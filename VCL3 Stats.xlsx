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View" sheetId="1" r:id="rId4"/>
    <sheet state="visible" name="Post Ranking" sheetId="2" r:id="rId5"/>
    <sheet state="visible" name="Post Rank General" sheetId="3" r:id="rId6"/>
    <sheet state="visible" name="Player Stats" sheetId="4" r:id="rId7"/>
    <sheet state="visible" name="Post Plants" sheetId="5" r:id="rId8"/>
    <sheet state="visible" name="acs2" sheetId="6" r:id="rId9"/>
    <sheet state="visible" name="acs2025" sheetId="7" r:id="rId10"/>
    <sheet state="visible" name="5v5" sheetId="8" r:id="rId11"/>
    <sheet state="visible" name="ecos" sheetId="9" r:id="rId12"/>
    <sheet state="visible" name="doubles" sheetId="10" r:id="rId13"/>
    <sheet state="visible" name="Antieco" sheetId="11" r:id="rId14"/>
    <sheet state="visible" name="Gun v Gun" sheetId="12" r:id="rId15"/>
    <sheet state="hidden" name="Guns" sheetId="13" r:id="rId16"/>
    <sheet state="visible" name="SelectedTeamStats" sheetId="14" r:id="rId17"/>
    <sheet state="hidden" name="Assets" sheetId="15" r:id="rId18"/>
    <sheet state="hidden" name="Picks" sheetId="16" r:id="rId19"/>
    <sheet state="hidden" name="FKS" sheetId="17" r:id="rId20"/>
    <sheet state="hidden" name="FDS" sheetId="18" r:id="rId21"/>
    <sheet state="hidden" name="Clutches" sheetId="19" r:id="rId22"/>
    <sheet state="visible" name="ACS" sheetId="20" r:id="rId23"/>
    <sheet state="hidden" name="Deaths" sheetId="21" r:id="rId24"/>
    <sheet state="hidden" name="Assists" sheetId="22" r:id="rId25"/>
    <sheet state="visible" name="Kills" sheetId="23" r:id="rId26"/>
    <sheet state="hidden" name="XvY" sheetId="24" r:id="rId27"/>
    <sheet state="hidden" name="MatchesInput" sheetId="25" r:id="rId28"/>
  </sheets>
  <definedNames>
    <definedName name="teams">Assets!$H$2:$H$15</definedName>
  </definedNames>
  <calcPr/>
  <extLst>
    <ext uri="GoogleSheetsCustomDataVersion2">
      <go:sheetsCustomData xmlns:go="http://customooxmlschemas.google.com/" r:id="rId29" roundtripDataChecksum="BT81Azqkt568ckmJnHHia6PihaIgOXEOqHUNyLjPePs="/>
    </ext>
  </extLst>
</workbook>
</file>

<file path=xl/sharedStrings.xml><?xml version="1.0" encoding="utf-8"?>
<sst xmlns="http://schemas.openxmlformats.org/spreadsheetml/2006/main" count="16731" uniqueCount="1281">
  <si>
    <t>Team</t>
  </si>
  <si>
    <t>Team Liquid Academy</t>
  </si>
  <si>
    <t>Team Statistics</t>
  </si>
  <si>
    <t>Map</t>
  </si>
  <si>
    <t>All Rounds</t>
  </si>
  <si>
    <t>Pistols</t>
  </si>
  <si>
    <t>Gun</t>
  </si>
  <si>
    <t>Anti Eco</t>
  </si>
  <si>
    <t>Eco</t>
  </si>
  <si>
    <t>Post Plant</t>
  </si>
  <si>
    <t>Maps</t>
  </si>
  <si>
    <t>Comp</t>
  </si>
  <si>
    <t>x</t>
  </si>
  <si>
    <t>Plays</t>
  </si>
  <si>
    <t>Win</t>
  </si>
  <si>
    <t>Loss</t>
  </si>
  <si>
    <t>rW%</t>
  </si>
  <si>
    <t>aW%</t>
  </si>
  <si>
    <t>dW%</t>
  </si>
  <si>
    <t>post
scens</t>
  </si>
  <si>
    <t>t
rounds</t>
  </si>
  <si>
    <t>post
/Map</t>
  </si>
  <si>
    <t>post
rW%</t>
  </si>
  <si>
    <t>post rW%
event avg.</t>
  </si>
  <si>
    <t>post
rank</t>
  </si>
  <si>
    <t>ret.
scens</t>
  </si>
  <si>
    <t>ct
rounds</t>
  </si>
  <si>
    <t>ret.
/Map</t>
  </si>
  <si>
    <t>ret.
rW%</t>
  </si>
  <si>
    <t>ret. rW%
event avg.</t>
  </si>
  <si>
    <t>ret
rank</t>
  </si>
  <si>
    <t>Cypher,Sova,Omen,Yoru,Iso</t>
  </si>
  <si>
    <t>Haven</t>
  </si>
  <si>
    <t>Yoru,Astra,Gekko,Deadlock,Waylay</t>
  </si>
  <si>
    <t>Bind</t>
  </si>
  <si>
    <t>Sova,Killjoy,Viper,Sage,Gekko</t>
  </si>
  <si>
    <t>Icebox</t>
  </si>
  <si>
    <t>Sova,Omen,Yoru,Vyse,Waylay</t>
  </si>
  <si>
    <t>Sunset</t>
  </si>
  <si>
    <t>Cypher,Omen,Neon,Fade,Iso</t>
  </si>
  <si>
    <t>Lotus</t>
  </si>
  <si>
    <t>Cypher,Phoenix,Omen,Yoru,Fade</t>
  </si>
  <si>
    <t>Corrode</t>
  </si>
  <si>
    <t>Pearl</t>
  </si>
  <si>
    <t>Viper,Yoru,Astra,Fade,Vyse</t>
  </si>
  <si>
    <t>Split</t>
  </si>
  <si>
    <t>All Maps</t>
  </si>
  <si>
    <t>Statistics Per Player</t>
  </si>
  <si>
    <t>Team XvY</t>
  </si>
  <si>
    <t>Team XvY vs Attending Average</t>
  </si>
  <si>
    <t>Attending Team Average</t>
  </si>
  <si>
    <t>Players</t>
  </si>
  <si>
    <t>Agents</t>
  </si>
  <si>
    <t>r</t>
  </si>
  <si>
    <t>K/D</t>
  </si>
  <si>
    <t>KA/D</t>
  </si>
  <si>
    <t>KAST</t>
  </si>
  <si>
    <t>fk/r</t>
  </si>
  <si>
    <t>fd/r</t>
  </si>
  <si>
    <t>fk/fd</t>
  </si>
  <si>
    <t>CL%</t>
  </si>
  <si>
    <t>AWP%</t>
  </si>
  <si>
    <t>X v Y</t>
  </si>
  <si>
    <t>List</t>
  </si>
  <si>
    <t>Retakes</t>
  </si>
  <si>
    <t>Post Plants</t>
  </si>
  <si>
    <t>retake rW%</t>
  </si>
  <si>
    <t>post rW%</t>
  </si>
  <si>
    <t>Rank</t>
  </si>
  <si>
    <t>BBL PCIFIC_Corrode</t>
  </si>
  <si>
    <t>BBL PCIFIC_Haven</t>
  </si>
  <si>
    <t>BBL PCIFIC_Icebox</t>
  </si>
  <si>
    <t>BBL PCIFIC_Lotus</t>
  </si>
  <si>
    <t>BBL PCIFIC_Pearl</t>
  </si>
  <si>
    <t>BBL PCIFIC_Split</t>
  </si>
  <si>
    <t>BBL PCIFIC_Sunset</t>
  </si>
  <si>
    <t>Boars Gaming_Ascent</t>
  </si>
  <si>
    <t>Boars Gaming_Bind</t>
  </si>
  <si>
    <t>Boars Gaming_Corrode</t>
  </si>
  <si>
    <t>Boars Gaming_Haven</t>
  </si>
  <si>
    <t>Boars Gaming_Icebox</t>
  </si>
  <si>
    <t>Boars Gaming_Lotus</t>
  </si>
  <si>
    <t>Boars Gaming_Pearl</t>
  </si>
  <si>
    <t>Boars Gaming_Split</t>
  </si>
  <si>
    <t>Boars Gaming_Sunset</t>
  </si>
  <si>
    <t>děti ulice_Ascent</t>
  </si>
  <si>
    <t>děti ulice_Bind</t>
  </si>
  <si>
    <t>děti ulice_Corrode</t>
  </si>
  <si>
    <t>děti ulice_Haven</t>
  </si>
  <si>
    <t>děti ulice_Icebox</t>
  </si>
  <si>
    <t>děti ulice_Lotus</t>
  </si>
  <si>
    <t>děti ulice_Split</t>
  </si>
  <si>
    <t>děti ulice_Sunset</t>
  </si>
  <si>
    <t>DNSTY_Ascent</t>
  </si>
  <si>
    <t>DNSTY_Bind</t>
  </si>
  <si>
    <t>DNSTY_Haven</t>
  </si>
  <si>
    <t>DNSTY_Icebox</t>
  </si>
  <si>
    <t>DNSTY_Lotus</t>
  </si>
  <si>
    <t>DNSTY_Sunset</t>
  </si>
  <si>
    <t>Eintracht Frankfurt_Ascent</t>
  </si>
  <si>
    <t>Eintracht Frankfurt_Bind</t>
  </si>
  <si>
    <t>Eintracht Frankfurt_Corrode</t>
  </si>
  <si>
    <t>Eintracht Frankfurt_Haven</t>
  </si>
  <si>
    <t>Eintracht Frankfurt_Icebox</t>
  </si>
  <si>
    <t>Eintracht Frankfurt_Lotus</t>
  </si>
  <si>
    <t>Eintracht Frankfurt_Split</t>
  </si>
  <si>
    <t>Eintracht Frankfurt_Sunset</t>
  </si>
  <si>
    <t>Enterprise Esports_Ascent</t>
  </si>
  <si>
    <t>Enterprise Esports_Bind</t>
  </si>
  <si>
    <t>Enterprise Esports_Corrode</t>
  </si>
  <si>
    <t>Enterprise Esports_Haven</t>
  </si>
  <si>
    <t>Enterprise Esports_Lotus</t>
  </si>
  <si>
    <t>Enterprise Esports_Sunset</t>
  </si>
  <si>
    <t>Joblife_Ascent</t>
  </si>
  <si>
    <t>Joblife_Bind</t>
  </si>
  <si>
    <t>Joblife_Haven</t>
  </si>
  <si>
    <t>Joblife_Icebox</t>
  </si>
  <si>
    <t>Joblife_Lotus</t>
  </si>
  <si>
    <t>Joblife_Sunset</t>
  </si>
  <si>
    <t>KOI Fénix_Ascent</t>
  </si>
  <si>
    <t>KOI Fénix_Bind</t>
  </si>
  <si>
    <t>KOI Fénix_Corrode</t>
  </si>
  <si>
    <t>KOI Fénix_Haven</t>
  </si>
  <si>
    <t>KOI Fénix_Lotus</t>
  </si>
  <si>
    <t>KOI Fénix_Split</t>
  </si>
  <si>
    <t>KOI Fénix_Sunset</t>
  </si>
  <si>
    <t>Mandatory_Ascent</t>
  </si>
  <si>
    <t>Mandatory_Corrode</t>
  </si>
  <si>
    <t>Mandatory_Haven</t>
  </si>
  <si>
    <t>Mandatory_Icebox</t>
  </si>
  <si>
    <t>Mandatory_Lotus</t>
  </si>
  <si>
    <t>Mandatory_Split</t>
  </si>
  <si>
    <t>Mandatory_Sunset</t>
  </si>
  <si>
    <t>MOUZ_Ascent</t>
  </si>
  <si>
    <t>MOUZ_Bind</t>
  </si>
  <si>
    <t>MOUZ_Corrode</t>
  </si>
  <si>
    <t>MOUZ_Haven</t>
  </si>
  <si>
    <t>MOUZ_Icebox</t>
  </si>
  <si>
    <t>MOUZ_Lotus</t>
  </si>
  <si>
    <t>MOUZ_Pearl</t>
  </si>
  <si>
    <t>MOUZ_Split</t>
  </si>
  <si>
    <t>MOUZ_Sunset</t>
  </si>
  <si>
    <t>Team Liquid Academy_Ascent</t>
  </si>
  <si>
    <t>Team Liquid Academy_Bind</t>
  </si>
  <si>
    <t>Team Liquid Academy_Corrode</t>
  </si>
  <si>
    <t>Team Liquid Academy_Haven</t>
  </si>
  <si>
    <t>Team Liquid Academy_Icebox</t>
  </si>
  <si>
    <t>Team Liquid Academy_Lotus</t>
  </si>
  <si>
    <t>Team Liquid Academy_Split</t>
  </si>
  <si>
    <t>Team Liquid Academy_Sunset</t>
  </si>
  <si>
    <t>The Ultimates_Ascent</t>
  </si>
  <si>
    <t>The Ultimates_Bind</t>
  </si>
  <si>
    <t>The Ultimates_Corrode</t>
  </si>
  <si>
    <t>The Ultimates_Haven</t>
  </si>
  <si>
    <t>The Ultimates_Icebox</t>
  </si>
  <si>
    <t>The Ultimates_Lotus</t>
  </si>
  <si>
    <t>The Ultimates_Pearl</t>
  </si>
  <si>
    <t>The Ultimates_Split</t>
  </si>
  <si>
    <t>The Ultimates_Sunset</t>
  </si>
  <si>
    <t>Twisted Minds Esports_Ascent</t>
  </si>
  <si>
    <t>Twisted Minds Esports_Bind</t>
  </si>
  <si>
    <t>Twisted Minds Esports_Corrode</t>
  </si>
  <si>
    <t>Twisted Minds Esports_Haven</t>
  </si>
  <si>
    <t>Twisted Minds Esports_Icebox</t>
  </si>
  <si>
    <t>Twisted Minds Esports_Lotus</t>
  </si>
  <si>
    <t>Twisted Minds Esports_Split</t>
  </si>
  <si>
    <t>Twisted Minds Esports_Sunset</t>
  </si>
  <si>
    <t>ULF Esports_Ascent</t>
  </si>
  <si>
    <t>ULF Esports_Bind</t>
  </si>
  <si>
    <t>ULF Esports_Corrode</t>
  </si>
  <si>
    <t>ULF Esports_Haven</t>
  </si>
  <si>
    <t>ULF Esports_Icebox</t>
  </si>
  <si>
    <t>ULF Esports_Lotus</t>
  </si>
  <si>
    <t>ULF Esports_Pearl</t>
  </si>
  <si>
    <t>ULF Esports_Split</t>
  </si>
  <si>
    <t>ULF Esports_Sunset</t>
  </si>
  <si>
    <t>_</t>
  </si>
  <si>
    <t>retake</t>
  </si>
  <si>
    <t>postplant</t>
  </si>
  <si>
    <t>Enterprise Esports</t>
  </si>
  <si>
    <t>MOUZ</t>
  </si>
  <si>
    <t>Boars Gaming</t>
  </si>
  <si>
    <t>DNSTY</t>
  </si>
  <si>
    <t>Eintracht Frankfurt</t>
  </si>
  <si>
    <t>Twisted Minds Esports</t>
  </si>
  <si>
    <t>The Ultimates</t>
  </si>
  <si>
    <t>BBL PCIFIC</t>
  </si>
  <si>
    <t>KOI Fénix</t>
  </si>
  <si>
    <t>ULF Esports</t>
  </si>
  <si>
    <t>Mandatory</t>
  </si>
  <si>
    <t>děti ulice</t>
  </si>
  <si>
    <t>ULF Esports (si)</t>
  </si>
  <si>
    <t>The Ultimates (ex)</t>
  </si>
  <si>
    <t>Eintracht Frankfurt (si)</t>
  </si>
  <si>
    <t>Playername</t>
  </si>
  <si>
    <t>ACS Split</t>
  </si>
  <si>
    <t>ACS Year</t>
  </si>
  <si>
    <t>Rounds</t>
  </si>
  <si>
    <t>Kills</t>
  </si>
  <si>
    <t>Deaths</t>
  </si>
  <si>
    <t>Assists</t>
  </si>
  <si>
    <t>FK</t>
  </si>
  <si>
    <t>FD</t>
  </si>
  <si>
    <t>K/D/A</t>
  </si>
  <si>
    <t>First%</t>
  </si>
  <si>
    <t>FK%</t>
  </si>
  <si>
    <t>FD%</t>
  </si>
  <si>
    <t>First Conversion</t>
  </si>
  <si>
    <t>Clutch Scens</t>
  </si>
  <si>
    <t>Clutches</t>
  </si>
  <si>
    <t>Clutch%</t>
  </si>
  <si>
    <t>N/A</t>
  </si>
  <si>
    <t>ComeBack</t>
  </si>
  <si>
    <t>Site</t>
  </si>
  <si>
    <t>Plants</t>
  </si>
  <si>
    <t>Percentage Of Total Plants</t>
  </si>
  <si>
    <t>Post Plant Attacking Wins</t>
  </si>
  <si>
    <t>Post Plant Attacking Losses</t>
  </si>
  <si>
    <t>Post Plant Win Percentage</t>
  </si>
  <si>
    <t>Post Plant Loss Percentage</t>
  </si>
  <si>
    <t>Opponent Plants</t>
  </si>
  <si>
    <t>Percentage Of Total Opponent Plants</t>
  </si>
  <si>
    <t>Post Plant Defending Wins</t>
  </si>
  <si>
    <t>Post Plant Defending Losses</t>
  </si>
  <si>
    <t>Post Plant Retake Success Percentage</t>
  </si>
  <si>
    <t>Post Plant Retake Failure Percentage</t>
  </si>
  <si>
    <t>Key</t>
  </si>
  <si>
    <t>Ascent</t>
  </si>
  <si>
    <t>A</t>
  </si>
  <si>
    <t>B</t>
  </si>
  <si>
    <t>BBL PCIFIC_Ascent</t>
  </si>
  <si>
    <t>C</t>
  </si>
  <si>
    <t>Joblife</t>
  </si>
  <si>
    <t>Ign</t>
  </si>
  <si>
    <t>Acs</t>
  </si>
  <si>
    <t>Matches</t>
  </si>
  <si>
    <t>Purp0</t>
  </si>
  <si>
    <t>jas</t>
  </si>
  <si>
    <t>bipo</t>
  </si>
  <si>
    <t>Kolosha</t>
  </si>
  <si>
    <t>Famsii</t>
  </si>
  <si>
    <t>GSR</t>
  </si>
  <si>
    <t>DisisJohn</t>
  </si>
  <si>
    <t>chiwa</t>
  </si>
  <si>
    <t>ExiT</t>
  </si>
  <si>
    <t>b1sk</t>
  </si>
  <si>
    <t>Fizzy</t>
  </si>
  <si>
    <t>umu7</t>
  </si>
  <si>
    <t>ZachKappa</t>
  </si>
  <si>
    <t>Lime</t>
  </si>
  <si>
    <t>s0pp</t>
  </si>
  <si>
    <t>troizyyy</t>
  </si>
  <si>
    <t>TakaS</t>
  </si>
  <si>
    <t>Guardy</t>
  </si>
  <si>
    <t>Enzo</t>
  </si>
  <si>
    <t>Donatello</t>
  </si>
  <si>
    <t>Ticey</t>
  </si>
  <si>
    <t>Nunmeister</t>
  </si>
  <si>
    <t>Lar0k</t>
  </si>
  <si>
    <t>SAND</t>
  </si>
  <si>
    <t>FAVIANN</t>
  </si>
  <si>
    <t>Doma</t>
  </si>
  <si>
    <t>Fractioned</t>
  </si>
  <si>
    <t>nvrfear</t>
  </si>
  <si>
    <t>sickrey</t>
  </si>
  <si>
    <t>musashi</t>
  </si>
  <si>
    <t>rexxtoned</t>
  </si>
  <si>
    <t>sh1n</t>
  </si>
  <si>
    <t>kiles</t>
  </si>
  <si>
    <t>zeek</t>
  </si>
  <si>
    <t>Leosen</t>
  </si>
  <si>
    <t>Loita</t>
  </si>
  <si>
    <t>Recoil</t>
  </si>
  <si>
    <t>RARE</t>
  </si>
  <si>
    <t>mikee</t>
  </si>
  <si>
    <t>NINJA</t>
  </si>
  <si>
    <t>SpY</t>
  </si>
  <si>
    <t>demek</t>
  </si>
  <si>
    <t>WADDLE</t>
  </si>
  <si>
    <t>keloqz</t>
  </si>
  <si>
    <t>Crewen</t>
  </si>
  <si>
    <t>globeX</t>
  </si>
  <si>
    <t>Azury</t>
  </si>
  <si>
    <t>Felix</t>
  </si>
  <si>
    <t>ech0</t>
  </si>
  <si>
    <t>Starxo</t>
  </si>
  <si>
    <t>Moh</t>
  </si>
  <si>
    <t>MaximN</t>
  </si>
  <si>
    <t>Erick</t>
  </si>
  <si>
    <t>Zimo</t>
  </si>
  <si>
    <t>basya</t>
  </si>
  <si>
    <t>pika</t>
  </si>
  <si>
    <t>iluri</t>
  </si>
  <si>
    <t>Tag</t>
  </si>
  <si>
    <t>Obnoks</t>
  </si>
  <si>
    <t>audaz</t>
  </si>
  <si>
    <t>Fighter</t>
  </si>
  <si>
    <t>Javelin</t>
  </si>
  <si>
    <t>waleed</t>
  </si>
  <si>
    <t>Qpert</t>
  </si>
  <si>
    <t>KHaaLiD</t>
  </si>
  <si>
    <t>Creamydreamy</t>
  </si>
  <si>
    <t>Jesse</t>
  </si>
  <si>
    <t>CyvOph</t>
  </si>
  <si>
    <t>nekky</t>
  </si>
  <si>
    <t>kya</t>
  </si>
  <si>
    <t>Rosé</t>
  </si>
  <si>
    <t>HyP</t>
  </si>
  <si>
    <t>starki</t>
  </si>
  <si>
    <t>Agent Red</t>
  </si>
  <si>
    <t>BBL PCIFIC (ex)</t>
  </si>
  <si>
    <t>WanZeru</t>
  </si>
  <si>
    <t>děti ulice (ex)</t>
  </si>
  <si>
    <t>isaa</t>
  </si>
  <si>
    <t>Team Liquid Academy (si)</t>
  </si>
  <si>
    <t>SimonD4rk</t>
  </si>
  <si>
    <t>sunfloweR</t>
  </si>
  <si>
    <t>děti ulice (si)</t>
  </si>
  <si>
    <t>MAGiK</t>
  </si>
  <si>
    <t>Mandatory (ex)</t>
  </si>
  <si>
    <t>OLIZERA</t>
  </si>
  <si>
    <t>KOI Fénix (ex)</t>
  </si>
  <si>
    <t>AKUMAAAAA</t>
  </si>
  <si>
    <t>Joblife (ex)</t>
  </si>
  <si>
    <t>wezzy</t>
  </si>
  <si>
    <t>ULF Esports (ex)</t>
  </si>
  <si>
    <t>Proxh</t>
  </si>
  <si>
    <t>Eintracht Frankfurt (ex)</t>
  </si>
  <si>
    <t>d3murrr</t>
  </si>
  <si>
    <t>Albert1ks</t>
  </si>
  <si>
    <t>UNFAKE</t>
  </si>
  <si>
    <t>baddyG</t>
  </si>
  <si>
    <t>DNSTY (ex)</t>
  </si>
  <si>
    <t>MONSTEERR</t>
  </si>
  <si>
    <t>Gunners</t>
  </si>
  <si>
    <t>Bizerra</t>
  </si>
  <si>
    <t>mepeezy</t>
  </si>
  <si>
    <t>Joojina</t>
  </si>
  <si>
    <t>KEMİKSİZ İVAR</t>
  </si>
  <si>
    <t>WACKIE</t>
  </si>
  <si>
    <t>Patix</t>
  </si>
  <si>
    <t>daiki</t>
  </si>
  <si>
    <t>caydeN</t>
  </si>
  <si>
    <t>sh0ut</t>
  </si>
  <si>
    <t>bstrdd</t>
  </si>
  <si>
    <t>Johnta</t>
  </si>
  <si>
    <t>Boars Gaming (si)</t>
  </si>
  <si>
    <t>Match Id</t>
  </si>
  <si>
    <t>Series Id</t>
  </si>
  <si>
    <t>Event Name</t>
  </si>
  <si>
    <t>Map Name</t>
  </si>
  <si>
    <t>Team 1 Name</t>
  </si>
  <si>
    <t>Team 2 Name</t>
  </si>
  <si>
    <t>Team 1 Agents</t>
  </si>
  <si>
    <t>Team 2 Agents</t>
  </si>
  <si>
    <t>Team 1 Score</t>
  </si>
  <si>
    <t>Team 2 Score</t>
  </si>
  <si>
    <t>Team 1 Score At Half</t>
  </si>
  <si>
    <t>Team 2 Score At Half</t>
  </si>
  <si>
    <t>Team 1 Attacking Pistol Wins</t>
  </si>
  <si>
    <t>Team 1 Defending Pistol Wins</t>
  </si>
  <si>
    <t>Team 1 Attacking Wins</t>
  </si>
  <si>
    <t>Team 1 Attacking Losses</t>
  </si>
  <si>
    <t>Team 1 Defending Wins</t>
  </si>
  <si>
    <t>Team 1 Defending Losses</t>
  </si>
  <si>
    <t>Team 2 Attacking Pistol Wins</t>
  </si>
  <si>
    <t>Team 2 Defending Pistol Wins</t>
  </si>
  <si>
    <t>Team 2 Attacking Wins</t>
  </si>
  <si>
    <t>Team 2 Attacking Losses</t>
  </si>
  <si>
    <t>Team 2 Defending Wins</t>
  </si>
  <si>
    <t>Team 2 Defending Losses</t>
  </si>
  <si>
    <t>Date</t>
  </si>
  <si>
    <t>Team_Map Index</t>
  </si>
  <si>
    <t>win team</t>
  </si>
  <si>
    <t>Wins</t>
  </si>
  <si>
    <t>Losses</t>
  </si>
  <si>
    <t>Win Percentage</t>
  </si>
  <si>
    <t>Side</t>
  </si>
  <si>
    <t>def</t>
  </si>
  <si>
    <t>atk</t>
  </si>
  <si>
    <t>GAMAX eSports_Lotus</t>
  </si>
  <si>
    <t>GAMAX eSports_Ascent</t>
  </si>
  <si>
    <t>GAMAX eSports_Bind</t>
  </si>
  <si>
    <t>GAMAX eSports_Haven</t>
  </si>
  <si>
    <t>GAMAX eSports</t>
  </si>
  <si>
    <t>Team RA'AD_Corrode</t>
  </si>
  <si>
    <t>Team RA'AD_Icebox</t>
  </si>
  <si>
    <t>Team RA'AD</t>
  </si>
  <si>
    <t>Team RA'AD_Lotus</t>
  </si>
  <si>
    <t>Team Valiant_Ascent</t>
  </si>
  <si>
    <t>Team Valiant_Haven</t>
  </si>
  <si>
    <t>Team Valiant_Lotus</t>
  </si>
  <si>
    <t>Team Valiant_Corrode</t>
  </si>
  <si>
    <t>Team Valiant</t>
  </si>
  <si>
    <t>Team Valiant_Icebox</t>
  </si>
  <si>
    <t>BLX CORP</t>
  </si>
  <si>
    <t>KCORP Blue Stars_Icebox</t>
  </si>
  <si>
    <t>KCORP Blue Stars_Lotus</t>
  </si>
  <si>
    <t>Galatasaray Esports</t>
  </si>
  <si>
    <t>Papara SuperMassive</t>
  </si>
  <si>
    <t>FOKUS</t>
  </si>
  <si>
    <t>Formulation Gaming</t>
  </si>
  <si>
    <t>RIZON_Corrode</t>
  </si>
  <si>
    <t>RIZON_Haven</t>
  </si>
  <si>
    <t>Metizport</t>
  </si>
  <si>
    <t>Fenerbahçe Esports_Corrode</t>
  </si>
  <si>
    <t>Fenerbahçe Esports_Haven</t>
  </si>
  <si>
    <t>Ramboot Club_Corrode</t>
  </si>
  <si>
    <t>Ramboot Club_Bind</t>
  </si>
  <si>
    <t>Ramboot Club_Ascent</t>
  </si>
  <si>
    <t>Ramboot Club</t>
  </si>
  <si>
    <t>S2G Esports</t>
  </si>
  <si>
    <t>Ramboot Club_Lotus</t>
  </si>
  <si>
    <t>Pixel Lumina</t>
  </si>
  <si>
    <t>Formulation Gaming_Haven</t>
  </si>
  <si>
    <t>Formulation Gaming_Lotus</t>
  </si>
  <si>
    <t>Formulation Gaming_Corrode</t>
  </si>
  <si>
    <t>Metizport_Haven</t>
  </si>
  <si>
    <t>Metizport_Sunset</t>
  </si>
  <si>
    <t>Metizport_Lotus</t>
  </si>
  <si>
    <t>FULL BOX 200_Bind</t>
  </si>
  <si>
    <t>FULL BOX 200_Sunset</t>
  </si>
  <si>
    <t>Twisted Saints Esports_Ascent</t>
  </si>
  <si>
    <t>Twisted Saints Esports_Haven</t>
  </si>
  <si>
    <t>Twisted Saints Esports_Lotus</t>
  </si>
  <si>
    <t>Twisted Saints Esports</t>
  </si>
  <si>
    <t>Input Lag Enjoyer_Icebox</t>
  </si>
  <si>
    <t>Input Lag Enjoyer_Haven</t>
  </si>
  <si>
    <t>ESC Gaming</t>
  </si>
  <si>
    <t>Barça eSports_Bind</t>
  </si>
  <si>
    <t>Barça eSports_Lotus</t>
  </si>
  <si>
    <t>AlQadsiah Esports_Corrode</t>
  </si>
  <si>
    <t>KPI Gaming_Corrode</t>
  </si>
  <si>
    <t>AlQadsiah Esports_Haven</t>
  </si>
  <si>
    <t>6GPA</t>
  </si>
  <si>
    <t>KPI Gaming_Lotus</t>
  </si>
  <si>
    <t>Fire Flux Esports_Ascent</t>
  </si>
  <si>
    <t>Fire Flux Esports_Lotus</t>
  </si>
  <si>
    <t>RvN</t>
  </si>
  <si>
    <t>ZETA Gaming</t>
  </si>
  <si>
    <t>ESC Gaming_Lotus</t>
  </si>
  <si>
    <t>Bitfix Gaming_Ascent</t>
  </si>
  <si>
    <t>Formulation Gaming_Sunset</t>
  </si>
  <si>
    <t>Hide On Bush</t>
  </si>
  <si>
    <t>Eternal Fire_Pearl</t>
  </si>
  <si>
    <t>Eternal Fire_Lotus</t>
  </si>
  <si>
    <t>HGE Esports_Ascent</t>
  </si>
  <si>
    <t>HGE Esports_Lotus</t>
  </si>
  <si>
    <t>UCAM Esports Club</t>
  </si>
  <si>
    <t>FULL BOX 200_Lotus</t>
  </si>
  <si>
    <t>FULL BOX 200</t>
  </si>
  <si>
    <t>FULL BOX 200_Split</t>
  </si>
  <si>
    <t>ACEGEAR TEMPEST</t>
  </si>
  <si>
    <t>Galakticos</t>
  </si>
  <si>
    <t>XPERION NXT_Haven</t>
  </si>
  <si>
    <t>XPERION NXT_Split</t>
  </si>
  <si>
    <t>XPERION NXT</t>
  </si>
  <si>
    <t>XPERION NXT_Icebox</t>
  </si>
  <si>
    <t>MANIA Esports</t>
  </si>
  <si>
    <t>Extreme Gaming</t>
  </si>
  <si>
    <t>NOVO Esports_Ascent</t>
  </si>
  <si>
    <t>NOVO Esports_Split</t>
  </si>
  <si>
    <t>NOVO Esports_Lotus</t>
  </si>
  <si>
    <t>NOVO Esports</t>
  </si>
  <si>
    <t>FALKE ESPORTS</t>
  </si>
  <si>
    <t>ALTERNATE aTTaX</t>
  </si>
  <si>
    <t>Gentle Mates_Sunset</t>
  </si>
  <si>
    <t>Gentle Mates</t>
  </si>
  <si>
    <t>Gentle Mates_Haven</t>
  </si>
  <si>
    <t>Gentle Mates_Lotus</t>
  </si>
  <si>
    <t>Natus Vincere_Icebox</t>
  </si>
  <si>
    <t>Natus Vincere</t>
  </si>
  <si>
    <t>Easties_Pearl</t>
  </si>
  <si>
    <t>Natus Vincere_Sunset</t>
  </si>
  <si>
    <t>Easties_Split</t>
  </si>
  <si>
    <t>Easties</t>
  </si>
  <si>
    <t>Easties_Lotus</t>
  </si>
  <si>
    <t>UNIWAY_Haven</t>
  </si>
  <si>
    <t>UNIWAY_Lotus</t>
  </si>
  <si>
    <t>STORMBORN GG</t>
  </si>
  <si>
    <t>Eternal Fire</t>
  </si>
  <si>
    <t>Stallions Esports_Lotus</t>
  </si>
  <si>
    <t>Stallions Esports_Icebox</t>
  </si>
  <si>
    <t>Stallions Esports_Sunset</t>
  </si>
  <si>
    <t>Stallions Esports</t>
  </si>
  <si>
    <t>Stallions Esports_Pearl</t>
  </si>
  <si>
    <t>AlQadsiah Esports_Ascent</t>
  </si>
  <si>
    <t>AlQadsiah Esports_Sunset</t>
  </si>
  <si>
    <t>CGN Esports_Sunset</t>
  </si>
  <si>
    <t>CGN Esports_Lotus</t>
  </si>
  <si>
    <t>GAMAX eSports_Sunset</t>
  </si>
  <si>
    <t>ALTERNATE aTTaX_Haven</t>
  </si>
  <si>
    <t>ALTERNATE aTTaX_Corrode</t>
  </si>
  <si>
    <t>FOKUS_Sunset</t>
  </si>
  <si>
    <t>FOKUS_Bind</t>
  </si>
  <si>
    <t>Eternal Fire_Sunset</t>
  </si>
  <si>
    <t>Eternal Fire_Corrode</t>
  </si>
  <si>
    <t>BLX CORP_Corrode</t>
  </si>
  <si>
    <t>BLX CORP_Icebox</t>
  </si>
  <si>
    <t>UCAM Esports Club_Lotus</t>
  </si>
  <si>
    <t>BLX CORP_Lotus</t>
  </si>
  <si>
    <t>UCAM Esports Club_Haven</t>
  </si>
  <si>
    <t>UCAM Esports Club_Sunset</t>
  </si>
  <si>
    <t>Team Valiant_Sunset</t>
  </si>
  <si>
    <t>Galatasaray Esports_Bind</t>
  </si>
  <si>
    <t>Galatasaray Esports_Lotus</t>
  </si>
  <si>
    <t>Galatasaray Esports_Haven</t>
  </si>
  <si>
    <t>Papara SuperMassive_Icebox</t>
  </si>
  <si>
    <t>Papara SuperMassive_Lotus</t>
  </si>
  <si>
    <t>Papara SuperMassive_Haven</t>
  </si>
  <si>
    <t>BLX CORP_Bind</t>
  </si>
  <si>
    <t>FOKUS_Corrode</t>
  </si>
  <si>
    <t>BLX CORP_Sunset</t>
  </si>
  <si>
    <t>Metizport_Ascent</t>
  </si>
  <si>
    <t>S2G Esports_Haven</t>
  </si>
  <si>
    <t>S2G Esports_Icebox</t>
  </si>
  <si>
    <t>S2G Esports_Bind</t>
  </si>
  <si>
    <t>Barça eSports_Sunset</t>
  </si>
  <si>
    <t>Pixel Lumina_Lotus</t>
  </si>
  <si>
    <t>Barça eSports_Corrode</t>
  </si>
  <si>
    <t>Pixel Lumina_Haven</t>
  </si>
  <si>
    <t>Ramboot Club_Haven</t>
  </si>
  <si>
    <t>Pixel Lumina_Ascent</t>
  </si>
  <si>
    <t>6GPA_Haven</t>
  </si>
  <si>
    <t>6GPA_Bind</t>
  </si>
  <si>
    <t>XPERION NXT_Sunset</t>
  </si>
  <si>
    <t>XPERION NXT_Corrode</t>
  </si>
  <si>
    <t>ESC Gaming_Haven</t>
  </si>
  <si>
    <t>ESC Gaming_Ascent</t>
  </si>
  <si>
    <t>Misa Esports_Lotus</t>
  </si>
  <si>
    <t>Metizport_Icebox</t>
  </si>
  <si>
    <t>Misa Esports_Ascent</t>
  </si>
  <si>
    <t>6GPA_Ascent</t>
  </si>
  <si>
    <t>6GPA_Lotus</t>
  </si>
  <si>
    <t>BONK_Corrode</t>
  </si>
  <si>
    <t>BONK_Icebox</t>
  </si>
  <si>
    <t>FOKUS_Icebox</t>
  </si>
  <si>
    <t>FOKUS_Lotus</t>
  </si>
  <si>
    <t>KCORP Blue Stars_Sunset</t>
  </si>
  <si>
    <t>KCORP Blue Stars_Haven</t>
  </si>
  <si>
    <t>RvN_Haven</t>
  </si>
  <si>
    <t>RvN_Icebox</t>
  </si>
  <si>
    <t>AlQadsiah Esports_Bind</t>
  </si>
  <si>
    <t>RvN_Sunset</t>
  </si>
  <si>
    <t>ZETA Gaming_Haven</t>
  </si>
  <si>
    <t>ZETA Gaming_Sunset</t>
  </si>
  <si>
    <t>ZETA Gaming_Lotus</t>
  </si>
  <si>
    <t>MANIA Esports_Ascent</t>
  </si>
  <si>
    <t>Easties_Haven</t>
  </si>
  <si>
    <t>Galatasaray Esports_Sunset</t>
  </si>
  <si>
    <t>F9 EICAR_Ascent</t>
  </si>
  <si>
    <t>RIZON_Icebox</t>
  </si>
  <si>
    <t>F9 EICAR_Haven</t>
  </si>
  <si>
    <t>Easties_Ascent</t>
  </si>
  <si>
    <t>Hide On Bush_Ascent</t>
  </si>
  <si>
    <t>Hide On Bush_Haven</t>
  </si>
  <si>
    <t>CGN Esports_Ascent</t>
  </si>
  <si>
    <t>Hide On Bush_Bind</t>
  </si>
  <si>
    <t>UCAM Esports Club_Ascent</t>
  </si>
  <si>
    <t>UCAM Esports Club_Bind</t>
  </si>
  <si>
    <t>ACEGEAR TEMPEST_Sunset</t>
  </si>
  <si>
    <t>ACEGEAR TEMPEST_Split</t>
  </si>
  <si>
    <t>ACEGEAR TEMPEST_Lotus</t>
  </si>
  <si>
    <t>Galakticos_Sunset</t>
  </si>
  <si>
    <t>Galakticos_Lotus</t>
  </si>
  <si>
    <t>Twisted Saints Esports_Sunset</t>
  </si>
  <si>
    <t>Galakticos_Haven</t>
  </si>
  <si>
    <t>WIP Esports_Lotus</t>
  </si>
  <si>
    <t>WIP Esports_Split</t>
  </si>
  <si>
    <t>Twisted Saints Esports_Split</t>
  </si>
  <si>
    <t>MIR_Haven</t>
  </si>
  <si>
    <t>MANIA Esports_Haven</t>
  </si>
  <si>
    <t>Extreme Gaming_Lotus</t>
  </si>
  <si>
    <t>MANIA Esports_Lotus</t>
  </si>
  <si>
    <t>Papara SuperMassive_Pearl</t>
  </si>
  <si>
    <t>CTRL Esports_Haven</t>
  </si>
  <si>
    <t>FALKE ESPORTS_Lotus</t>
  </si>
  <si>
    <t>FALKE ESPORTS_Icebox</t>
  </si>
  <si>
    <t>FALKE ESPORTS_Sunset</t>
  </si>
  <si>
    <t>Ramboot Club_Split</t>
  </si>
  <si>
    <t>ALTERNATE aTTaX_Icebox</t>
  </si>
  <si>
    <t>ALTERNATE aTTaX_Lotus</t>
  </si>
  <si>
    <t>VillianArc_Lotus</t>
  </si>
  <si>
    <t>VillianArc_Icebox</t>
  </si>
  <si>
    <t>STORMBORN GG_Sunset</t>
  </si>
  <si>
    <t>STORMBORN GG_Haven</t>
  </si>
  <si>
    <t>STORMBORN GG_Ascent</t>
  </si>
  <si>
    <t>Fraggerz_Lotus</t>
  </si>
  <si>
    <t>Fraggerz_Haven</t>
  </si>
  <si>
    <t>Eternal Fire_Haven</t>
  </si>
  <si>
    <t>Eternal Fire_Split</t>
  </si>
  <si>
    <t>Eternal Fire_Icebox</t>
  </si>
  <si>
    <t>AlQadsiah Esports_Split</t>
  </si>
  <si>
    <t>AlQadsiah Esports_Icebox</t>
  </si>
  <si>
    <t>CGN Esports_Icebox</t>
  </si>
  <si>
    <t>CGN Esports_Pearl</t>
  </si>
  <si>
    <t>RvN_Lotus</t>
  </si>
  <si>
    <t>Eternal Fire_Ascent</t>
  </si>
  <si>
    <t>ALTERNATE aTTaX_Split</t>
  </si>
  <si>
    <t>RIZON_Sunset</t>
  </si>
  <si>
    <t>RIZON_Lotus</t>
  </si>
  <si>
    <t>XPERION NXT_Lotus</t>
  </si>
  <si>
    <t>Weapon</t>
  </si>
  <si>
    <t>Picks</t>
  </si>
  <si>
    <t>Rounds Played</t>
  </si>
  <si>
    <t>Pick Percentage</t>
  </si>
  <si>
    <t>Vandal</t>
  </si>
  <si>
    <t>Classic</t>
  </si>
  <si>
    <t>Bulldog</t>
  </si>
  <si>
    <t>Sheriff</t>
  </si>
  <si>
    <t>Phantom</t>
  </si>
  <si>
    <t>Ghost</t>
  </si>
  <si>
    <t>Guardian</t>
  </si>
  <si>
    <t>Bucky</t>
  </si>
  <si>
    <t>Judge</t>
  </si>
  <si>
    <t>Frenzy</t>
  </si>
  <si>
    <t>Outlaw</t>
  </si>
  <si>
    <t>Marshal</t>
  </si>
  <si>
    <t>Stinger</t>
  </si>
  <si>
    <t>Spectre</t>
  </si>
  <si>
    <t>Odin</t>
  </si>
  <si>
    <t>Shorty</t>
  </si>
  <si>
    <t>Operator</t>
  </si>
  <si>
    <t>Ares</t>
  </si>
  <si>
    <t>Comp_Map</t>
  </si>
  <si>
    <t>Corrode_Cypher,Phoenix,Omen,Yoru,Fade</t>
  </si>
  <si>
    <t>Ascent_Sova,Omen,Yoru,Vyse,Waylay</t>
  </si>
  <si>
    <t>Bind_Yoru,Astra,Gekko,Deadlock,Waylay</t>
  </si>
  <si>
    <t>Sunset_Sova,Omen,Yoru,Vyse,Waylay</t>
  </si>
  <si>
    <t>Lotus_Cypher,Omen,Neon,Fade,Iso</t>
  </si>
  <si>
    <t>Haven_Cypher,Sova,Omen,Yoru,Iso</t>
  </si>
  <si>
    <t>Lotus_Breach,Cypher,Omen,Neon,Fade</t>
  </si>
  <si>
    <t>Icebox_Sova,Killjoy,Viper,Sage,Gekko</t>
  </si>
  <si>
    <t>Lotus_Raze,Viper,Omen,Fade,Vyse</t>
  </si>
  <si>
    <t>Split_Viper,Yoru,Astra,Fade,Vyse</t>
  </si>
  <si>
    <t>Map Pool</t>
  </si>
  <si>
    <t>Team Codes</t>
  </si>
  <si>
    <t>Astra</t>
  </si>
  <si>
    <t>Controller</t>
  </si>
  <si>
    <t>Brimstone</t>
  </si>
  <si>
    <t>'Brimstone'</t>
  </si>
  <si>
    <t>Clove</t>
  </si>
  <si>
    <t>'Clove'</t>
  </si>
  <si>
    <t>Harbor</t>
  </si>
  <si>
    <t>'Harbor'</t>
  </si>
  <si>
    <t>Omen</t>
  </si>
  <si>
    <t>'Omen'</t>
  </si>
  <si>
    <t>Viper</t>
  </si>
  <si>
    <t>'Viper'</t>
  </si>
  <si>
    <t>Iso</t>
  </si>
  <si>
    <t>'Iso'</t>
  </si>
  <si>
    <t>Duelist</t>
  </si>
  <si>
    <t>Jett</t>
  </si>
  <si>
    <t>'Jett'</t>
  </si>
  <si>
    <t>Neon</t>
  </si>
  <si>
    <t>'Neon'</t>
  </si>
  <si>
    <t>Phoenix</t>
  </si>
  <si>
    <t>'Phoenix'</t>
  </si>
  <si>
    <t>Raze</t>
  </si>
  <si>
    <t>'Raze'</t>
  </si>
  <si>
    <t>Reyna</t>
  </si>
  <si>
    <t>'Reyna'</t>
  </si>
  <si>
    <t>Waylay</t>
  </si>
  <si>
    <t>'Waylay'</t>
  </si>
  <si>
    <t>Yoru</t>
  </si>
  <si>
    <t>'Yoru'</t>
  </si>
  <si>
    <t>Breach</t>
  </si>
  <si>
    <t>'Breach'</t>
  </si>
  <si>
    <t>Initiator</t>
  </si>
  <si>
    <t>Fade</t>
  </si>
  <si>
    <t>'Fade'</t>
  </si>
  <si>
    <t>Gekko</t>
  </si>
  <si>
    <t>'Gekko'</t>
  </si>
  <si>
    <t>KAY/O</t>
  </si>
  <si>
    <t>'KAY/O'</t>
  </si>
  <si>
    <t>Skye</t>
  </si>
  <si>
    <t>'Skye'</t>
  </si>
  <si>
    <t>Sova</t>
  </si>
  <si>
    <t>'Sova'</t>
  </si>
  <si>
    <t>Tejo</t>
  </si>
  <si>
    <t>'Tejo'</t>
  </si>
  <si>
    <t>Chamber</t>
  </si>
  <si>
    <t>'Chamber'</t>
  </si>
  <si>
    <t>Sentinel</t>
  </si>
  <si>
    <t>Cypher</t>
  </si>
  <si>
    <t>'Cypher'</t>
  </si>
  <si>
    <t>Deadlock</t>
  </si>
  <si>
    <t>'Deadlock'</t>
  </si>
  <si>
    <t>Killjoy</t>
  </si>
  <si>
    <t>'Killjoy'</t>
  </si>
  <si>
    <t>Vyse</t>
  </si>
  <si>
    <t>'Vyse'</t>
  </si>
  <si>
    <t>Sage</t>
  </si>
  <si>
    <t>'Sage'</t>
  </si>
  <si>
    <t>''</t>
  </si>
  <si>
    <t>Agent</t>
  </si>
  <si>
    <t>Percentage</t>
  </si>
  <si>
    <t>Opponents</t>
  </si>
  <si>
    <t>Clutch Failures</t>
  </si>
  <si>
    <t>Scens</t>
  </si>
  <si>
    <t>Situation</t>
  </si>
  <si>
    <t>team1</t>
  </si>
  <si>
    <t>team2</t>
  </si>
  <si>
    <t>Delta</t>
  </si>
  <si>
    <t>Win %</t>
  </si>
  <si>
    <t>5v1</t>
  </si>
  <si>
    <t>+4</t>
  </si>
  <si>
    <t>5v2</t>
  </si>
  <si>
    <t>+3</t>
  </si>
  <si>
    <t>4v1</t>
  </si>
  <si>
    <t>5v3</t>
  </si>
  <si>
    <t>+2</t>
  </si>
  <si>
    <t>4v2</t>
  </si>
  <si>
    <t>3v1</t>
  </si>
  <si>
    <t>5v4</t>
  </si>
  <si>
    <t>+1</t>
  </si>
  <si>
    <t>4v3</t>
  </si>
  <si>
    <t>3v2</t>
  </si>
  <si>
    <t>2v1</t>
  </si>
  <si>
    <t>4v4</t>
  </si>
  <si>
    <t>3v3</t>
  </si>
  <si>
    <t>2v2</t>
  </si>
  <si>
    <t>1v1</t>
  </si>
  <si>
    <t>4v5</t>
  </si>
  <si>
    <t>3v4</t>
  </si>
  <si>
    <t>2v3</t>
  </si>
  <si>
    <t>1v2</t>
  </si>
  <si>
    <t>3v5</t>
  </si>
  <si>
    <t>2v4</t>
  </si>
  <si>
    <t>1v3</t>
  </si>
  <si>
    <t>2v5</t>
  </si>
  <si>
    <t>1v4</t>
  </si>
  <si>
    <t>1v5</t>
  </si>
  <si>
    <t>Team 1 Id</t>
  </si>
  <si>
    <t>Team 2 Id</t>
  </si>
  <si>
    <t>Attacking First Team Number</t>
  </si>
  <si>
    <t>Team 1 Pistol Wins</t>
  </si>
  <si>
    <t>Team 2 Pistol Wins</t>
  </si>
  <si>
    <t>Win Condition</t>
  </si>
  <si>
    <t>Team 1 Player Ids</t>
  </si>
  <si>
    <t>Team 2 Player Ids</t>
  </si>
  <si>
    <t>Total Count</t>
  </si>
  <si>
    <t>Challengers 2025: Spain Rising Finals - Playoffs</t>
  </si>
  <si>
    <t>standard</t>
  </si>
  <si>
    <t>2025-08-20T00:00:00.000Z</t>
  </si>
  <si>
    <t>[19982,38619,35569,8016,2142]</t>
  </si>
  <si>
    <t>[5397,11767,10532,15064,31226]</t>
  </si>
  <si>
    <t>Sova,Omen,Yoru,Chamber,Vyse</t>
  </si>
  <si>
    <t>Sova,Killjoy,Omen,Jett,KAY/O</t>
  </si>
  <si>
    <t>[2142,35569,19982,38619,8016]</t>
  </si>
  <si>
    <t>[5397,11767,31226,10532,15064]</t>
  </si>
  <si>
    <t>Breach,Cypher,Sova,Omen,Neon</t>
  </si>
  <si>
    <t>Sova,Killjoy,Viper,Omen,Neon</t>
  </si>
  <si>
    <t>[35569,38619,19982,8016,2142]</t>
  </si>
  <si>
    <t>[15064,11767,5397,10532,31226]</t>
  </si>
  <si>
    <t>Yoru,Astra,Gekko,Deadlock,Vyse</t>
  </si>
  <si>
    <t>Raze,Viper,Brimstone,Yoru,Fade</t>
  </si>
  <si>
    <t>Challengers League 2025 MENA: Resilience - LAN Finals - Main Event</t>
  </si>
  <si>
    <t>[2374,1812,3069,35237,37725]</t>
  </si>
  <si>
    <t>[715,1821,37611,1816,19574]</t>
  </si>
  <si>
    <t>Reyna,Omen,KAY/O,Harbor,Gekko</t>
  </si>
  <si>
    <t>Sova,Killjoy,Viper,Omen,Jett</t>
  </si>
  <si>
    <t>[2142,35569,38619,8016,19982]</t>
  </si>
  <si>
    <t>Breach,Sage,Omen,Neon,Gekko</t>
  </si>
  <si>
    <t>Sova,Viper,Omen,Neon,Deadlock</t>
  </si>
  <si>
    <t>[2374,35237,1812,3069,37725]</t>
  </si>
  <si>
    <t>[1821,1816,37611,19574,715]</t>
  </si>
  <si>
    <t>Raze,Viper,Omen,Fade,Gekko</t>
  </si>
  <si>
    <t>[2142,19982,35569,38619,8016]</t>
  </si>
  <si>
    <t>[15064,11767,31226,10532,5397]</t>
  </si>
  <si>
    <t>Breach,Sova,Killjoy,Omen,Neon</t>
  </si>
  <si>
    <t>Raze,Killjoy,Viper,Omen,Fade</t>
  </si>
  <si>
    <t>[3069,35237,37725,1812,2374]</t>
  </si>
  <si>
    <t>[715,37611,1821,1816,19574]</t>
  </si>
  <si>
    <t>2025-08-19T00:00:00.000Z</t>
  </si>
  <si>
    <t>[22193,1940,15482,40819,3686]</t>
  </si>
  <si>
    <t>[19574,1821,37611,1816,715]</t>
  </si>
  <si>
    <t>Raze,Omen,Yoru,Fade,Vyse</t>
  </si>
  <si>
    <t>[3686,40819,1940,22193,15482]</t>
  </si>
  <si>
    <t>[715,1816,19574,1821,37611]</t>
  </si>
  <si>
    <t>Cypher,Sova,Omen,Jett,Yoru</t>
  </si>
  <si>
    <t>[22193,3686,1940,15482,40819]</t>
  </si>
  <si>
    <t>Raze,Viper,Brimstone,Skye,Gekko</t>
  </si>
  <si>
    <t>2025-08-18T00:00:00.000Z</t>
  </si>
  <si>
    <t>[1816,19574,1821,715,37611]</t>
  </si>
  <si>
    <t>[910,4718,14029,37842,2319]</t>
  </si>
  <si>
    <t>Omen,Yoru,Chamber,Fade,Vyse</t>
  </si>
  <si>
    <t>Sage,Omen,Yoru,Fade,Vyse</t>
  </si>
  <si>
    <t>[37842,4718,14029,910,2319]</t>
  </si>
  <si>
    <t>[37725,1812,2374,3069,35237]</t>
  </si>
  <si>
    <t>Viper,Omen,Neon,Fade,Vyse</t>
  </si>
  <si>
    <t>[1816,1821,37611,19574,715]</t>
  </si>
  <si>
    <t>[3686,40819,1940,15482,22193]</t>
  </si>
  <si>
    <t>Breach,Cypher,Omen,Neon,Fade</t>
  </si>
  <si>
    <t>Cypher,Sova,Omen,Yoru,Neon</t>
  </si>
  <si>
    <t>[910,2319,14029,4718,37842]</t>
  </si>
  <si>
    <t>[3069,35237,1812,2374,37725]</t>
  </si>
  <si>
    <t>Breach,Viper,Omen,Neon,Fade</t>
  </si>
  <si>
    <t>Challengers League 2025 NORTH EAST: Split 3 - Playoffs</t>
  </si>
  <si>
    <t>2025-08-17T00:00:00.000Z</t>
  </si>
  <si>
    <t>[2391,1920,3208,2433,9311]</t>
  </si>
  <si>
    <t>[19185,35638,690,10617,57147]</t>
  </si>
  <si>
    <t>Challengers 2025: Türkiye Birlik Split 3 - Playoffs</t>
  </si>
  <si>
    <t>[41194,21918,40391,10751,13128]</t>
  </si>
  <si>
    <t>[40468,41192,36921,12637,58257]</t>
  </si>
  <si>
    <t>[1920,3208,2433,9311,2391]</t>
  </si>
  <si>
    <t>[19185,57147,690,10617,35638]</t>
  </si>
  <si>
    <t>Sova,Viper,Omen,Yoru,Fade</t>
  </si>
  <si>
    <t>[13128,10751,21918,40391,41194]</t>
  </si>
  <si>
    <t>[40468,12637,41192,36921,58257]</t>
  </si>
  <si>
    <t>Breach,Sova,Omen,Neon,Vyse</t>
  </si>
  <si>
    <t>[3208,1920,2433,9311,2391]</t>
  </si>
  <si>
    <t>[35638,690,57147,19185,10617]</t>
  </si>
  <si>
    <t>Cypher,Sova,Omen,Jett,KAY/O</t>
  </si>
  <si>
    <t>[41194,13128,10751,21918,40391]</t>
  </si>
  <si>
    <t>[40468,58257,12637,41192,36921]</t>
  </si>
  <si>
    <t>Breach,Cypher,Sova,Omen,Jett</t>
  </si>
  <si>
    <t>2025-08-16T00:00:00.000Z</t>
  </si>
  <si>
    <t>[57148,2572,12862,33106,24032]</t>
  </si>
  <si>
    <t>[57147,690,35638,19185,10617]</t>
  </si>
  <si>
    <t>[2572,24032,12862,33106,57148]</t>
  </si>
  <si>
    <t>Challengers 2025: France Revolution Split 3 - Playoffs</t>
  </si>
  <si>
    <t>[12977,3031,691,4835,509]</t>
  </si>
  <si>
    <t>[58,718,3085,200,1402]</t>
  </si>
  <si>
    <t>[57148,12862,33106,24032,2572]</t>
  </si>
  <si>
    <t>[19185,690,10617,35638,57147]</t>
  </si>
  <si>
    <t>[3031,691,4835,12977,509]</t>
  </si>
  <si>
    <t>[718,58,3085,200,1402]</t>
  </si>
  <si>
    <t>Cypher,Sova,Omen,Yoru,Chamber</t>
  </si>
  <si>
    <t>Sova,Viper,Omen,Yoru,Deadlock</t>
  </si>
  <si>
    <t>Challengers League 2025 DACH: Evolution Stage 3 - Playoffs</t>
  </si>
  <si>
    <t>[2036,6345,6317,1828,10643]</t>
  </si>
  <si>
    <t>[360,9504,4186,16287,3150]</t>
  </si>
  <si>
    <t>Viper,Phoenix,Omen,Fade,Waylay</t>
  </si>
  <si>
    <t>Omen,Yoru,Chamber,Neon,Fade</t>
  </si>
  <si>
    <t>[691,3031,4835,12977,509]</t>
  </si>
  <si>
    <t>Sova,Killjoy,Viper,Sage,Jett</t>
  </si>
  <si>
    <t>Sova,Killjoy,Viper,Omen,Gekko</t>
  </si>
  <si>
    <t>[2572,12862,33106,57148,24032]</t>
  </si>
  <si>
    <t>Viper,Omen,Chamber,Neon,Fade</t>
  </si>
  <si>
    <t>[1828,2036,6317,6345,10643]</t>
  </si>
  <si>
    <t>[3150,4186,360,16287,9504]</t>
  </si>
  <si>
    <t>Sova,Killjoy,Viper,Jett,KAY/O</t>
  </si>
  <si>
    <t>[10643,2036,6317,1828,6345]</t>
  </si>
  <si>
    <t>[16287,4186,360,9504,3150]</t>
  </si>
  <si>
    <t>Raze,Viper,Brimstone,Fade,Gekko</t>
  </si>
  <si>
    <t>2025-08-15T00:00:00.000Z</t>
  </si>
  <si>
    <t>[4186,3150,360,9504,16287]</t>
  </si>
  <si>
    <t>[20865,1769,38694,14385,58254]</t>
  </si>
  <si>
    <t>[1769,14385,58254,20865,38694]</t>
  </si>
  <si>
    <t>Sage,Omen,Neon,Fade,Vyse</t>
  </si>
  <si>
    <t>[6345,2036,6317,10643,1828]</t>
  </si>
  <si>
    <t>[7669,1190,2594,76,7322]</t>
  </si>
  <si>
    <t>Raze,Cypher,Omen,Yoru,Fade</t>
  </si>
  <si>
    <t>[7322,1190,76,2594,7669]</t>
  </si>
  <si>
    <t>2025-08-12T00:00:00.000Z</t>
  </si>
  <si>
    <t>[864,2124,1915,28717,2154]</t>
  </si>
  <si>
    <t>[2124,864,2154,1915,28717]</t>
  </si>
  <si>
    <t>[28717,864,2154,1915,2124]</t>
  </si>
  <si>
    <t>Cypher,Sova,Omen,Yoru,Deadlock</t>
  </si>
  <si>
    <t>[2154,1915,28717,2124,864]</t>
  </si>
  <si>
    <t>[200,1402,3085,718,58]</t>
  </si>
  <si>
    <t>Raze,Viper,Omen,Fade,Vyse</t>
  </si>
  <si>
    <t>[2124,864,1915,28717,2154]</t>
  </si>
  <si>
    <t>2025-08-11T00:00:00.000Z</t>
  </si>
  <si>
    <t>[13111,9642,3725,9640,9643]</t>
  </si>
  <si>
    <t>[41192,40468,36921,12637,58257]</t>
  </si>
  <si>
    <t>[3725,9640,9643,9642,13111]</t>
  </si>
  <si>
    <t>Omen,KAY/O,Neon,Fade,Vyse</t>
  </si>
  <si>
    <t>Omen,Yoru,Neon,Fade,Vyse</t>
  </si>
  <si>
    <t>[9643,3725,9640,9642,13111]</t>
  </si>
  <si>
    <t>2025-08-10T00:00:00.000Z</t>
  </si>
  <si>
    <t>[26754,24570,1797,38637,18535]</t>
  </si>
  <si>
    <t>Cypher,Sova,Phoenix,Yoru,Astra</t>
  </si>
  <si>
    <t>[21918,41194,40391,10751,13128]</t>
  </si>
  <si>
    <t>[38637,24570,18535,26754,1797]</t>
  </si>
  <si>
    <t>[5659,551,11783,2971,25928]</t>
  </si>
  <si>
    <t>Breach,Raze,Omen,Fade,Vyse</t>
  </si>
  <si>
    <t>[38637,18535,26754,1797,24570]</t>
  </si>
  <si>
    <t>Sova,Omen,KAY/O,Neon,Deadlock</t>
  </si>
  <si>
    <t>[5659,25928,2971,11783,551]</t>
  </si>
  <si>
    <t>[25928,2971,11783,5659,551]</t>
  </si>
  <si>
    <t>Cypher,Sova,Omen,KAY/O,Neon</t>
  </si>
  <si>
    <t>[2124,2154,1915,28717,864]</t>
  </si>
  <si>
    <t>Sova,Viper,Omen,Neon,Vyse</t>
  </si>
  <si>
    <t>2025-08-09T00:00:00.000Z</t>
  </si>
  <si>
    <t>[36378,33905,4955,28011,2370]</t>
  </si>
  <si>
    <t>[33905,2370,4955,36378,28011]</t>
  </si>
  <si>
    <t>[33905,4955,36378,28011,2370]</t>
  </si>
  <si>
    <t>KCORP Blue Stars</t>
  </si>
  <si>
    <t>[22455,33490,2503,19131,7474]</t>
  </si>
  <si>
    <t>Sova,Killjoy,Viper,Reyna,Gekko</t>
  </si>
  <si>
    <t>[19131,2503,7474,22455,33490]</t>
  </si>
  <si>
    <t>2025-08-04T00:00:00.000Z</t>
  </si>
  <si>
    <t>[58257,41192,12637,40468,36921]</t>
  </si>
  <si>
    <t>[10753,8529,20713,17643,3233]</t>
  </si>
  <si>
    <t>Viper,Brimstone,Skye,Vyse,Waylay</t>
  </si>
  <si>
    <t>[17643,10753,8529,20713,3233]</t>
  </si>
  <si>
    <t>Breach,Raze,Cypher,Omen,Fade</t>
  </si>
  <si>
    <t>[3233,8529,17643,20713,10753]</t>
  </si>
  <si>
    <t>[10751,13128,21918,41194,40391]</t>
  </si>
  <si>
    <t>[1425,40403,24458,1839,17739]</t>
  </si>
  <si>
    <t>Sova,Killjoy,Viper,Reyna,Jett</t>
  </si>
  <si>
    <t>[17739,40403,24458,1425,1839]</t>
  </si>
  <si>
    <t>[1839,40403,1425,24458,17739]</t>
  </si>
  <si>
    <t>2025-08-03T00:00:00.000Z</t>
  </si>
  <si>
    <t>[41965,28623,1847,35834,8811]</t>
  </si>
  <si>
    <t>[28623,1847,41965,35834,8811]</t>
  </si>
  <si>
    <t>[24570,18535,1797,26754,38637]</t>
  </si>
  <si>
    <t>Killjoy,Viper,Reyna,Gekko,Iso</t>
  </si>
  <si>
    <t>[57148,2572,24032,12862,33106]</t>
  </si>
  <si>
    <t>[2391,3208,9311,2433,1920]</t>
  </si>
  <si>
    <t>Raze,Viper,Yoru,Astra,Fade</t>
  </si>
  <si>
    <t>[12977,3031,4835,509,691]</t>
  </si>
  <si>
    <t>[1797,18535,26754,24570,38637]</t>
  </si>
  <si>
    <t>Raze,Brimstone,KAY/O,Deadlock,Vyse</t>
  </si>
  <si>
    <t>[33106,2572,24032,57148,12862]</t>
  </si>
  <si>
    <t>Challengers League 2025 DACH: Evolution Stage 3 - Play-Ins</t>
  </si>
  <si>
    <t>2025-08-02T00:00:00.000Z</t>
  </si>
  <si>
    <t>[2036,6345,6317,10643,1828]</t>
  </si>
  <si>
    <t>[7669,76,7322,2594,1190]</t>
  </si>
  <si>
    <t>Viper,Phoenix,Omen,Neon,Fade</t>
  </si>
  <si>
    <t>Yoru,Astra,Neon,Fade,Vyse</t>
  </si>
  <si>
    <t>Raze,Viper,Skye,Astra,Waylay</t>
  </si>
  <si>
    <t>[1847,8811,41965,28623,35834]</t>
  </si>
  <si>
    <t>[50263,14920,8017,12363,38431]</t>
  </si>
  <si>
    <t>Cypher,Sova,Viper,Omen,Neon</t>
  </si>
  <si>
    <t>[2036,1828,6317,6345,10643]</t>
  </si>
  <si>
    <t>[28623,1847,8811,41965,35834]</t>
  </si>
  <si>
    <t>[14920,50263,8017,12363,38431]</t>
  </si>
  <si>
    <t>[26754,24570,38637,18535,1797]</t>
  </si>
  <si>
    <t>[50263,8017,38431,14920,12363]</t>
  </si>
  <si>
    <t>Cypher,Omen,Neon,Fade,Deadlock</t>
  </si>
  <si>
    <t>RIZON</t>
  </si>
  <si>
    <t>[39727,6313,32993,4898,2922]</t>
  </si>
  <si>
    <t>Viper,Sage,Omen,Neon,Fade</t>
  </si>
  <si>
    <t>[1797,24570,18535,26754,38637]</t>
  </si>
  <si>
    <t>Raze,Viper,Omen,Fade,Iso</t>
  </si>
  <si>
    <t>Sova,Killjoy,Viper,Jett,Yoru</t>
  </si>
  <si>
    <t>[2540,33904,30405,1481,14300]</t>
  </si>
  <si>
    <t>[2922,6313,39727,32993,4898]</t>
  </si>
  <si>
    <t>[14300,30405,33904,2540,1481]</t>
  </si>
  <si>
    <t>[1481,14300,30405,33904,2540]</t>
  </si>
  <si>
    <t>2025-07-29T00:00:00.000Z</t>
  </si>
  <si>
    <t>Challengers League 2025 Türkiye Birlik: Split 3 - Group Stage</t>
  </si>
  <si>
    <t>Fenerbahçe Esports</t>
  </si>
  <si>
    <t>[30432,18846,31013,41193,40500]</t>
  </si>
  <si>
    <t>Raze,Yoru,Astra,Fade,Vyse</t>
  </si>
  <si>
    <t>[18846,40500,41193,31013,30432]</t>
  </si>
  <si>
    <t>Challengers League 2025 Spain Rising: Split 3 - Playoffs</t>
  </si>
  <si>
    <t>2025-07-28T00:00:00.000Z</t>
  </si>
  <si>
    <t>[4955,36378,28011,2370,33905]</t>
  </si>
  <si>
    <t>[38619,35569,8016,19982,2142]</t>
  </si>
  <si>
    <t>Omen,Chamber,Neon,Fade,Vyse</t>
  </si>
  <si>
    <t>[28011,33905,4955,2370,36378]</t>
  </si>
  <si>
    <t>Raze,Viper,Brimstone,Skye,Chamber</t>
  </si>
  <si>
    <t>[12637,58257,41192,36921,40468]</t>
  </si>
  <si>
    <t>[36918,1749,543,2864,10243]</t>
  </si>
  <si>
    <t>[12637,40468,41192,58257,36921]</t>
  </si>
  <si>
    <t>[543,1749,2864,10243,36918]</t>
  </si>
  <si>
    <t>[1749,543,10243,2864,36918]</t>
  </si>
  <si>
    <t>Cypher,Viper,Sage,Omen,Iso</t>
  </si>
  <si>
    <t>Barça eSports</t>
  </si>
  <si>
    <t>2025-07-27T00:00:00.000Z</t>
  </si>
  <si>
    <t>[2148,298,2669,41641,14278]</t>
  </si>
  <si>
    <t>Cypher,Sova,Omen,Neon,Deadlock</t>
  </si>
  <si>
    <t>[36200,9251,45528,7991,5660]</t>
  </si>
  <si>
    <t>Cypher,Omen,KAY/O,Neon,Fade</t>
  </si>
  <si>
    <t>[14278,2669,298,2148,41641]</t>
  </si>
  <si>
    <t>Viper,Omen,Fade,Vyse,Waylay</t>
  </si>
  <si>
    <t>[36200,5660,45528,7991,9251]</t>
  </si>
  <si>
    <t>[36200,5660,9251,7991,45528]</t>
  </si>
  <si>
    <t>[5399,28192,28230,426,54105]</t>
  </si>
  <si>
    <t>Sova,Killjoy,Viper,Omen,Yoru</t>
  </si>
  <si>
    <t>[28192,28230,426,54105,5399]</t>
  </si>
  <si>
    <t>[57147,19185,690,10617,35638]</t>
  </si>
  <si>
    <t>[8017,12363,38431,14920,50263]</t>
  </si>
  <si>
    <t>2025-07-26T00:00:00.000Z</t>
  </si>
  <si>
    <t>[38153,37998,10408,819,21054]</t>
  </si>
  <si>
    <t>[38153,819,10408,21054,37998]</t>
  </si>
  <si>
    <t>Cypher,Yoru,Astra,Neon,Fade</t>
  </si>
  <si>
    <t>[30405,14300,1481,33904,2540]</t>
  </si>
  <si>
    <t>[57000,45521,10493,16253,42847]</t>
  </si>
  <si>
    <t>[42847,10493,57000,45521,16253]</t>
  </si>
  <si>
    <t>Challengers League 2025 NORTH EAST: Split 3 - Upper Swiss Phase</t>
  </si>
  <si>
    <t>2025-07-22T00:00:00.000Z</t>
  </si>
  <si>
    <t>[28370,26258,35867,22192,20276]</t>
  </si>
  <si>
    <t>[20276,28370,26258,35867,22192]</t>
  </si>
  <si>
    <t>[35867,22192,26258,20276,28370]</t>
  </si>
  <si>
    <t>[57148,24032,2572,12862,33106]</t>
  </si>
  <si>
    <t>Input Lag Enjoyer</t>
  </si>
  <si>
    <t>[2427,49706,10861,37010,32863]</t>
  </si>
  <si>
    <t>[8811,1847,28623,41965,35834]</t>
  </si>
  <si>
    <t>2025-07-21T00:00:00.000Z</t>
  </si>
  <si>
    <t>[11706,38436,10701,28587,43273]</t>
  </si>
  <si>
    <t>[10701,11706,38436,28587,43273]</t>
  </si>
  <si>
    <t>Challengers League 2025 MENA: Resilience - GPI - Split 2 - Playoffs</t>
  </si>
  <si>
    <t>[43273,38436,28587,10701,11706]</t>
  </si>
  <si>
    <t>Challengers League 2025 Spain Rising: Split 3 - Group Stage</t>
  </si>
  <si>
    <t>[2148,2669,41641,14278,298]</t>
  </si>
  <si>
    <t>[15064,5397,31226,10532,11767]</t>
  </si>
  <si>
    <t>Viper,Brimstone,Yoru,Fade,Gekko</t>
  </si>
  <si>
    <t>[1812,2374,3069,37725,35237]</t>
  </si>
  <si>
    <t>[14278,298,2148,2669,41641]</t>
  </si>
  <si>
    <t>Breach,Sova,Viper,Omen,Neon</t>
  </si>
  <si>
    <t>[1821,715,37611,19574,1816]</t>
  </si>
  <si>
    <t>[35237,37725,1812,2374,3069]</t>
  </si>
  <si>
    <t>[35834,41965,8811,28623,1847]</t>
  </si>
  <si>
    <t>Raze,Astra,Gekko,Deadlock,Vyse</t>
  </si>
  <si>
    <t>[35237,1812,2374,37725,3069]</t>
  </si>
  <si>
    <t>Cypher,Omen,Yoru,Fade,Iso</t>
  </si>
  <si>
    <t>2025-07-20T00:00:00.000Z</t>
  </si>
  <si>
    <t>Misa Esports</t>
  </si>
  <si>
    <t>[13758,21078,1837,2181,13116]</t>
  </si>
  <si>
    <t>Challengers 2025: France Revolution Split 3 - Group Stage</t>
  </si>
  <si>
    <t>[24032,2572,12862,33106,57148]</t>
  </si>
  <si>
    <t>[30405,14300,33904,2540,1481]</t>
  </si>
  <si>
    <t>Sova,Killjoy,Viper,Jett,Harbor</t>
  </si>
  <si>
    <t>AlQadsiah Esports</t>
  </si>
  <si>
    <t>[27384,471,2242,3519,23015]</t>
  </si>
  <si>
    <t>Viper,Omen,Yoru,Chamber,Fade</t>
  </si>
  <si>
    <t>KPI Gaming</t>
  </si>
  <si>
    <t>[1635,491,51394,18315,999]</t>
  </si>
  <si>
    <t>[38619,8016,35569,2142,19982]</t>
  </si>
  <si>
    <t>Viper,Omen,Yoru,Fade,Deadlock</t>
  </si>
  <si>
    <t>Omen,Jett,Yoru,Chamber,Fade</t>
  </si>
  <si>
    <t>[58257,12637,41192,36921,40468]</t>
  </si>
  <si>
    <t>[2181,1837,13758,21078,13116]</t>
  </si>
  <si>
    <t>Cypher,Sova,Omen,Jett,Deadlock</t>
  </si>
  <si>
    <t>Sova,Omen,Yoru,Deadlock,Vyse</t>
  </si>
  <si>
    <t>[471,27384,23015,3519,2242]</t>
  </si>
  <si>
    <t>Breach,Cypher,Sova,Omen,Yoru</t>
  </si>
  <si>
    <t>Challengers League 2025 DACH: Evolution Stage 3 - Group Stage</t>
  </si>
  <si>
    <t>[2036,1828,6317,10643,6345]</t>
  </si>
  <si>
    <t>[5399,426,53565,28230,28192]</t>
  </si>
  <si>
    <t>[1635,491,51394,999,18315]</t>
  </si>
  <si>
    <t>Cypher,Omen,Yoru,Neon,Fade</t>
  </si>
  <si>
    <t>Fire Flux Esports</t>
  </si>
  <si>
    <t>[251,58255,1907,56850,1909]</t>
  </si>
  <si>
    <t>[53565,28192,426,5399,28230]</t>
  </si>
  <si>
    <t>Cypher,Viper,Omen,Yoru,Fade</t>
  </si>
  <si>
    <t>Raze,Cypher,Omen,Fade,Iso</t>
  </si>
  <si>
    <t>[1907,58255,56850,1909,251]</t>
  </si>
  <si>
    <t>BONK</t>
  </si>
  <si>
    <t>[51467,35587,55118,51373,33327]</t>
  </si>
  <si>
    <t>Omen,Jett,Yoru,Fade,Vyse</t>
  </si>
  <si>
    <t>[35638,19185,690,10617,57147]</t>
  </si>
  <si>
    <t>[51373,33327,55118,35587,51467]</t>
  </si>
  <si>
    <t>2025-07-19T00:00:00.000Z</t>
  </si>
  <si>
    <t>[7669,1190,76,2594,7322]</t>
  </si>
  <si>
    <t>[4186,360,9504,16287,3150]</t>
  </si>
  <si>
    <t>[7669,2594,1190,76,7322]</t>
  </si>
  <si>
    <t>[33490,7474,2503,19131,22455]</t>
  </si>
  <si>
    <t>Killjoy,Omen,Astra,Neon,Fade</t>
  </si>
  <si>
    <t>[22455,2503,19131,7474,33490]</t>
  </si>
  <si>
    <t>Sova,Omen,Neon,Fade,Vyse</t>
  </si>
  <si>
    <t>2025-07-15T00:00:00.000Z</t>
  </si>
  <si>
    <t>[2310,17140,1460,56504,577]</t>
  </si>
  <si>
    <t>[2310,17140,1460,577,56504]</t>
  </si>
  <si>
    <t>[2242,27384,3519,23015,471]</t>
  </si>
  <si>
    <t>Raze,Viper,Brimstone,Skye,Deadlock</t>
  </si>
  <si>
    <t>[3069,35237,37725,25848,2374]</t>
  </si>
  <si>
    <t>[2310,17140,56504,1460,577]</t>
  </si>
  <si>
    <t>2025-07-14T00:00:00.000Z</t>
  </si>
  <si>
    <t>[46528,43765,53203,15082,1646]</t>
  </si>
  <si>
    <t>Viper,Omen,Yoru,Fade,Vyse</t>
  </si>
  <si>
    <t>[1646,15082,43765,46528,53203]</t>
  </si>
  <si>
    <t>[53203,43765,46528,15082,1646]</t>
  </si>
  <si>
    <t>[1816,1821,715,37611,19574]</t>
  </si>
  <si>
    <t>[11706,10701,38436,28587,43273]</t>
  </si>
  <si>
    <t>[10617,35638,690,57147,19185]</t>
  </si>
  <si>
    <t>[26375,51372,3445,46506,27733]</t>
  </si>
  <si>
    <t>Bitfix Gaming</t>
  </si>
  <si>
    <t>[26265,56607,42476,2708,453]</t>
  </si>
  <si>
    <t>[3208,1920,2433,2391,9311]</t>
  </si>
  <si>
    <t>[916,57079,32026,14865,35640]</t>
  </si>
  <si>
    <t>2025-07-13T00:00:00.000Z</t>
  </si>
  <si>
    <t>Breach,Raze,Viper,Omen,Fade</t>
  </si>
  <si>
    <t>[8529,3233,17643,20713,10753]</t>
  </si>
  <si>
    <t>Cypher,Sova,Viper,Omen,Waylay</t>
  </si>
  <si>
    <t>F9 EICAR</t>
  </si>
  <si>
    <t>[40928,190,53936,53929,29648]</t>
  </si>
  <si>
    <t>[2922,6313,32993,4898,39727]</t>
  </si>
  <si>
    <t>Sova,Killjoy,Viper,Neon,Gekko</t>
  </si>
  <si>
    <t>[29648,40928,190,53936,53929]</t>
  </si>
  <si>
    <t>[57079,14865,32026,35640,916]</t>
  </si>
  <si>
    <t>2025-07-12T00:00:00.000Z</t>
  </si>
  <si>
    <t>[691,3031,4835,509,12977]</t>
  </si>
  <si>
    <t>[60059,4829,50403,34459,42376]</t>
  </si>
  <si>
    <t>[60059,34459,42376,4829,50403]</t>
  </si>
  <si>
    <t>CGN Esports</t>
  </si>
  <si>
    <t>[7375,7613,2693,2823,18082]</t>
  </si>
  <si>
    <t>[509,3031,4835,691,12977]</t>
  </si>
  <si>
    <t>[4829,50403,34459,60059,42376]</t>
  </si>
  <si>
    <t>Brimstone,Yoru,Chamber,Fade,Deadlock</t>
  </si>
  <si>
    <t>[2823,7375,2693,18082,7613]</t>
  </si>
  <si>
    <t>Raze,Viper,Omen,Neon,Fade</t>
  </si>
  <si>
    <t>[13111,9642,9640,3725,9643]</t>
  </si>
  <si>
    <t>[58257,12637,36921,41192,40468]</t>
  </si>
  <si>
    <t>Cypher,Sova,Yoru,Astra,Iso</t>
  </si>
  <si>
    <t>Cypher,Sova,Yoru,Astra,Neon</t>
  </si>
  <si>
    <t>[13111,3725,9640,9642,9643]</t>
  </si>
  <si>
    <t>Viper,Omen,Yoru,Fade,Iso</t>
  </si>
  <si>
    <t>HGE Esports</t>
  </si>
  <si>
    <t>2025-07-09T00:00:00.000Z</t>
  </si>
  <si>
    <t>[20,38743,28690,30545,37310]</t>
  </si>
  <si>
    <t>[28690,37310,38743,30545,20]</t>
  </si>
  <si>
    <t>2025-07-08T00:00:00.000Z</t>
  </si>
  <si>
    <t>[25928,2971,11783,551,5659]</t>
  </si>
  <si>
    <t>[551,25928,11783,2971,5659]</t>
  </si>
  <si>
    <t>Raze,Cypher,Brimstone,Skye,Gekko</t>
  </si>
  <si>
    <t>Challengers League 2025 NORTH EAST: Split 3 - Lower Swiss Phase</t>
  </si>
  <si>
    <t>2025-07-07T00:00:00.000Z</t>
  </si>
  <si>
    <t>[42847,10493,45521,16253,57000]</t>
  </si>
  <si>
    <t>[33106,12862,2572,24032,57148]</t>
  </si>
  <si>
    <t>Breach,Killjoy,Omen,Neon,Fade</t>
  </si>
  <si>
    <t>[10493,45521,16253,57000,42847]</t>
  </si>
  <si>
    <t>[57148,2572,33106,24032,12862]</t>
  </si>
  <si>
    <t>Viper,Sage,Omen,Yoru,Fade</t>
  </si>
  <si>
    <t>[57148,2572,12862,24032,33106]</t>
  </si>
  <si>
    <t>[7401,19544,26099,1107,15086]</t>
  </si>
  <si>
    <t>Raze,Viper,Skye,Astra,Gekko</t>
  </si>
  <si>
    <t>Breach,Raze,Cypher,Sova,Omen</t>
  </si>
  <si>
    <t>[19544,1107,26099,15086,7401]</t>
  </si>
  <si>
    <t>[12862,2572,24032,57148,33106]</t>
  </si>
  <si>
    <t>[19544,1107,15086,7401,26099]</t>
  </si>
  <si>
    <t>2025-07-06T00:00:00.000Z</t>
  </si>
  <si>
    <t>[3129,10929,59882,445,39473]</t>
  </si>
  <si>
    <t>Breach,Raze,Cypher,Omen,Neon</t>
  </si>
  <si>
    <t>[3129,59882,10929,445,39473]</t>
  </si>
  <si>
    <t>Killjoy,Viper,Jett,KAY/O,Gekko</t>
  </si>
  <si>
    <t>[28370,26258,20276,35867,22192]</t>
  </si>
  <si>
    <t>[16324,38153,37998,10408,21054]</t>
  </si>
  <si>
    <t>WIP Esports</t>
  </si>
  <si>
    <t>[14736,768,2772,9239,568]</t>
  </si>
  <si>
    <t>[38153,16324,10408,21054,37998]</t>
  </si>
  <si>
    <t>[16287,4186,9504,360,3150]</t>
  </si>
  <si>
    <t>Raze,Viper,Omen,Yoru,Fade</t>
  </si>
  <si>
    <t>[718,200,58,3085,1402]</t>
  </si>
  <si>
    <t>[568,14736,768,2772,9239]</t>
  </si>
  <si>
    <t>Breach,Raze,Viper,Omen,Yoru</t>
  </si>
  <si>
    <t>[38153,10408,21054,16324,37998]</t>
  </si>
  <si>
    <t>Killjoy,Viper,Omen,KAY/O,Gekko</t>
  </si>
  <si>
    <t>[35638,10617,690,57147,19185]</t>
  </si>
  <si>
    <t>[22192,35867,26258,20276,28370]</t>
  </si>
  <si>
    <t>[28370,20276,26258,35867,22192]</t>
  </si>
  <si>
    <t>MIR</t>
  </si>
  <si>
    <t>[10809,2728,1521,14978,54586]</t>
  </si>
  <si>
    <t>[12862,2572,33106,24032,57148]</t>
  </si>
  <si>
    <t>[46504,51372,3445,46506,27733]</t>
  </si>
  <si>
    <t>A1 eSports Cup #8</t>
  </si>
  <si>
    <t>2025-07-05T00:00:00.000Z</t>
  </si>
  <si>
    <t>[3150,9504,360,16287,4186]</t>
  </si>
  <si>
    <t>[3150,16287,360,9504,4186]</t>
  </si>
  <si>
    <t>Sova,Phoenix,Omen,Yoru,Vyse</t>
  </si>
  <si>
    <t>[20972,15170,45501,38122,51489]</t>
  </si>
  <si>
    <t>[46506,27733,46504,3445,51372]</t>
  </si>
  <si>
    <t>[1481,14300,33904,2540,30405]</t>
  </si>
  <si>
    <t>[13128,10751,40391,21918,41194]</t>
  </si>
  <si>
    <t>[40403,17739,24458,1425,1839]</t>
  </si>
  <si>
    <t>CTRL Esports</t>
  </si>
  <si>
    <t>[20133,28084,8845,28077,25692]</t>
  </si>
  <si>
    <t>2025-07-02T00:00:00.000Z</t>
  </si>
  <si>
    <t>[2266,46651,17650,47481,19657]</t>
  </si>
  <si>
    <t>[19657,47481,46651,17650,2266]</t>
  </si>
  <si>
    <t>[2142,8016,19982,38619,35569]</t>
  </si>
  <si>
    <t>Breach,Raze,Cypher,Omen,Skye</t>
  </si>
  <si>
    <t>Breach,Raze,Sage,Omen,Jett</t>
  </si>
  <si>
    <t>[47481,2266,17650,19657,46651]</t>
  </si>
  <si>
    <t>2025-07-01T00:00:00.000Z</t>
  </si>
  <si>
    <t>[12818,15084,1275,2515,3147]</t>
  </si>
  <si>
    <t>[5397,11767,31226,15064,10532]</t>
  </si>
  <si>
    <t>[1275,15084,2515,12818,3147]</t>
  </si>
  <si>
    <t>Sova,Killjoy,Viper,Sage,Omen</t>
  </si>
  <si>
    <t>[1275,12818,2515,3147,15084]</t>
  </si>
  <si>
    <t>Sova,Viper,Omen,Yoru,Chamber</t>
  </si>
  <si>
    <t>2025-06-30T00:00:00.000Z</t>
  </si>
  <si>
    <t>Challengers League 2025 NORTH EAST: Split 3 - East Qualifier</t>
  </si>
  <si>
    <t>2025-06-29T00:00:00.000Z</t>
  </si>
  <si>
    <t>[14865,57079,916,32026,35640]</t>
  </si>
  <si>
    <t>Omen,Chamber,Neon,Fade,Clove</t>
  </si>
  <si>
    <t>2025-06-28T00:00:00.000Z</t>
  </si>
  <si>
    <t>[14385,38694,1769,20865,58254]</t>
  </si>
  <si>
    <t>BtcTurk GameFest - Stage 3</t>
  </si>
  <si>
    <t>[21035,11832,4882,49208,40481]</t>
  </si>
  <si>
    <t>[58254,38694,1769,14385,20865]</t>
  </si>
  <si>
    <t>[11832,21035,4882,49208,40481]</t>
  </si>
  <si>
    <t>Challengers League 2025 MENA: Resilience - GPI - Split 2 - Group Stage</t>
  </si>
  <si>
    <t>VillianArc</t>
  </si>
  <si>
    <t>[58755,59973,41917,40814,39677]</t>
  </si>
  <si>
    <t>[21035,49208,11832,40481,4882]</t>
  </si>
  <si>
    <t>[715,37611,1816,19574,1821]</t>
  </si>
  <si>
    <t>[40814,39677,58755,59973,41917]</t>
  </si>
  <si>
    <t>Sova,Killjoy,Viper,Reyna,Omen</t>
  </si>
  <si>
    <t>[2335,27300,17211,2359,23702]</t>
  </si>
  <si>
    <t>[57079,916,32026,14865,35640]</t>
  </si>
  <si>
    <t>Cypher,Sova,Astra,KAY/O,Neon</t>
  </si>
  <si>
    <t>[27300,2359,17211,2335,23702]</t>
  </si>
  <si>
    <t>[57079,32026,35640,14865,916]</t>
  </si>
  <si>
    <t>Breach,Cypher,Omen,Neon,Tejo</t>
  </si>
  <si>
    <t>[14865,916,57079,32026,35640]</t>
  </si>
  <si>
    <t>UNIWAY</t>
  </si>
  <si>
    <t>2025-06-27T00:00:00.000Z</t>
  </si>
  <si>
    <t>[55602,55599,55600,28559,27219]</t>
  </si>
  <si>
    <t>Breach,Sova,Killjoy,Omen,Waylay</t>
  </si>
  <si>
    <t>[55602,27219,28559,55599,55600]</t>
  </si>
  <si>
    <t>Breach,Raze,Omen,Fade,Clove</t>
  </si>
  <si>
    <t>[47487,60380,57049,9511,60381]</t>
  </si>
  <si>
    <t>Raze,Cypher,Sova,Omen,Yoru</t>
  </si>
  <si>
    <t>[60380,57049,60381,9511,47487]</t>
  </si>
  <si>
    <t>Cypher,Sova,Reyna,Omen,Jett</t>
  </si>
  <si>
    <t>[1847,28623,41965,35834,8811]</t>
  </si>
  <si>
    <t>Cypher,Sage,Omen,Yoru,Fade</t>
  </si>
  <si>
    <t>Cypher,Sova,Phoenix,Omen,Jett</t>
  </si>
  <si>
    <t>Fraggerz</t>
  </si>
  <si>
    <t>2025-06-22T00:00:00.000Z</t>
  </si>
  <si>
    <t>[2443,13409,872,13410,29742]</t>
  </si>
  <si>
    <t>Breach,Omen,Jett,Skye,Vyse</t>
  </si>
  <si>
    <t>[13410,29742,2443,13409,872]</t>
  </si>
  <si>
    <t>Raze,Cypher,Sova,Omen,Jett</t>
  </si>
  <si>
    <t>Saudi eLeague 2025: Major 2 - Playoffs</t>
  </si>
  <si>
    <t>2025-06-19T00:00:00.000Z</t>
  </si>
  <si>
    <t>[910,2374,35237,1812,3069]</t>
  </si>
  <si>
    <t>[37612,1821,715,37611,19574]</t>
  </si>
  <si>
    <t>[35237,910,1812,2374,3069]</t>
  </si>
  <si>
    <t>[1821,715,37611,19574,37612]</t>
  </si>
  <si>
    <t>[2374,1812,910,35237,3069]</t>
  </si>
  <si>
    <t>[715,37612,37611,19574,1821]</t>
  </si>
  <si>
    <t>BtcTurk GameFest - Stage 2</t>
  </si>
  <si>
    <t>[37612,1821,37611,19574,715]</t>
  </si>
  <si>
    <t>[41194,13128,21918,40391,10751]</t>
  </si>
  <si>
    <t>[9643,13111,3725,9640,9642]</t>
  </si>
  <si>
    <t>[3069,35237,910,1812,2374]</t>
  </si>
  <si>
    <t>[10751,13128,21918,40391,41194]</t>
  </si>
  <si>
    <t>[9642,13111,3725,9643,9640]</t>
  </si>
  <si>
    <t>Sova,Killjoy,Viper,Jett,Gekko</t>
  </si>
  <si>
    <t>[29742,15398,29740,30488,39328]</t>
  </si>
  <si>
    <t>[19574,37612,1821,37611,715]</t>
  </si>
  <si>
    <t>[29742,39328,30488,29740,15398]</t>
  </si>
  <si>
    <t>[30488,39328,15398,29742,29740]</t>
  </si>
  <si>
    <t>2025-06-18T00:00:00.000Z</t>
  </si>
  <si>
    <t>[40468,58257,41192,36921,12637]</t>
  </si>
  <si>
    <t>[15398,30488,39328,29740,29742]</t>
  </si>
  <si>
    <t>[910,35237,2374,1812,3069]</t>
  </si>
  <si>
    <t>Cypher,Sova,Reyna,Yoru,Astra</t>
  </si>
  <si>
    <t>Sova,Killjoy,Yoru,Astra,Neon</t>
  </si>
  <si>
    <t>[23015,2242,27384,3519,471]</t>
  </si>
  <si>
    <t>[15398,29742,30488,39328,29740]</t>
  </si>
  <si>
    <t>[23015,3519,27384,2242,471]</t>
  </si>
  <si>
    <t>[910,35237,1812,2374,3069]</t>
  </si>
  <si>
    <t>[27384,23015,3519,2242,471]</t>
  </si>
  <si>
    <t>2025-06-17T00:00:00.000Z</t>
  </si>
  <si>
    <t>[7613,2693,7375,2823,1214]</t>
  </si>
  <si>
    <t>[16287,360,9504,3150,4186]</t>
  </si>
  <si>
    <t>[7375,7613,2823,2693,1214]</t>
  </si>
  <si>
    <t>Yoru,Astra,KAY/O,Fade,Vyse</t>
  </si>
  <si>
    <t>Cypher,Sova,Yoru,Astra,KAY/O</t>
  </si>
  <si>
    <t>2025-06-14T00:00:00.000Z</t>
  </si>
  <si>
    <t>[910,2374,25848,1812,3069]</t>
  </si>
  <si>
    <t>[2374,1812,910,25848,3069]</t>
  </si>
  <si>
    <t>[910,25848,1812,2374,3069]</t>
  </si>
  <si>
    <t>2025-06-12T00:00:00.000Z</t>
  </si>
  <si>
    <t>[10643,2036,6345,59879,1828]</t>
  </si>
  <si>
    <t>[2036,1828,59879,6345,10643]</t>
  </si>
  <si>
    <t>[6345,2036,59879,10643,1828]</t>
  </si>
  <si>
    <t>Breach,Cypher,Omen,Yoru,Fade</t>
  </si>
  <si>
    <t>2025-06-05T00:00:00.000Z</t>
  </si>
  <si>
    <t>[20844,14385,819,1221,5371]</t>
  </si>
  <si>
    <t>Raze,Omen,Yoru,Fade,Clove</t>
  </si>
  <si>
    <t>[14385,1221,20844,5371,819]</t>
  </si>
  <si>
    <t>[5371,14385,819,1221,20844]</t>
  </si>
  <si>
    <t>Phoenix,Omen,Jett,Deadlock,Iso</t>
  </si>
  <si>
    <t>[7375,7613,2693,2823,1214]</t>
  </si>
  <si>
    <t>Cypher,Sova,Omen,Yoru,KAY/O</t>
  </si>
  <si>
    <t>[1214,7375,7613,2693,2823]</t>
  </si>
  <si>
    <t>2025-05-29T00:00:00.000Z</t>
  </si>
  <si>
    <t>[6313,39727,4898,53707,53788]</t>
  </si>
  <si>
    <t>[6313,4898,53707,39727,53788]</t>
  </si>
  <si>
    <t>2025-05-27T00:00:00.000Z</t>
  </si>
  <si>
    <t>[6345,2036,1828,59879,10643]</t>
  </si>
  <si>
    <t>[16324,38153,10408,21054,37998]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</si>
</sst>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7">
    <font>
      <sz val="11.0"/>
      <color theme="1"/>
      <name val="Arial"/>
      <scheme val="minor"/>
    </font>
    <font>
      <color theme="1"/>
      <name val="Exo 2"/>
    </font>
    <font>
      <color rgb="FFFFFFFF"/>
      <name val="Exo 2"/>
    </font>
    <font>
      <b/>
      <color theme="1"/>
      <name val="Arial"/>
    </font>
    <font>
      <b/>
      <color theme="1"/>
      <name val="Exo 2"/>
    </font>
    <font>
      <sz val="13.0"/>
      <color theme="1"/>
      <name val="Exo 2"/>
    </font>
    <font>
      <sz val="13.0"/>
      <color rgb="FFFFFFFF"/>
      <name val="Exo 2"/>
    </font>
    <font>
      <b/>
      <sz val="12.0"/>
      <color theme="1"/>
      <name val="Exo 2"/>
    </font>
    <font>
      <sz val="12.0"/>
      <color theme="1"/>
      <name val="Exo 2"/>
    </font>
    <font/>
    <font>
      <sz val="11.0"/>
      <color theme="1"/>
      <name val="Exo 2"/>
    </font>
    <font>
      <sz val="10.0"/>
      <color theme="1"/>
      <name val="Exo 2"/>
    </font>
    <font>
      <color theme="1"/>
      <name val="Calibri"/>
    </font>
    <font>
      <sz val="12.0"/>
      <color rgb="FFFFFFFF"/>
      <name val="Exo 2"/>
    </font>
    <font>
      <sz val="8.0"/>
      <color theme="1"/>
      <name val="Exo 2"/>
    </font>
    <font>
      <color theme="1"/>
      <name val="Arial"/>
      <scheme val="minor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6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dotted">
        <color rgb="FF000000"/>
      </bottom>
    </border>
    <border>
      <left style="hair">
        <color rgb="FF000000"/>
      </left>
      <bottom style="dotted">
        <color rgb="FF000000"/>
      </bottom>
    </border>
    <border>
      <bottom style="dotted">
        <color rgb="FF000000"/>
      </bottom>
    </border>
    <border>
      <right style="hair">
        <color rgb="FF000000"/>
      </righ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hair">
        <color rgb="FF000000"/>
      </right>
      <bottom style="dotted">
        <color rgb="FF000000"/>
      </bottom>
    </border>
    <border>
      <left style="hair">
        <color rgb="FF000000"/>
      </left>
      <right style="hair">
        <color rgb="FF000000"/>
      </right>
      <bottom style="dotted">
        <color rgb="FF000000"/>
      </bottom>
    </border>
    <border>
      <left style="hair">
        <color rgb="FF000000"/>
      </left>
      <right style="thin">
        <color rgb="FF000000"/>
      </right>
      <bottom style="dotted">
        <color rgb="FF000000"/>
      </bottom>
    </border>
    <border>
      <left style="hair">
        <color rgb="FF000000"/>
      </left>
      <right style="medium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thin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hair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hair">
        <color rgb="FF000000"/>
      </lef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</border>
    <border>
      <left style="hair">
        <color rgb="FF000000"/>
      </left>
      <top style="dotted">
        <color rgb="FF000000"/>
      </top>
    </border>
    <border>
      <top style="dotted">
        <color rgb="FF000000"/>
      </top>
    </border>
    <border>
      <right style="hair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hair">
        <color rgb="FF000000"/>
      </right>
      <top style="dotted">
        <color rgb="FF000000"/>
      </top>
    </border>
    <border>
      <left style="hair">
        <color rgb="FF000000"/>
      </left>
      <right style="thin">
        <color rgb="FF000000"/>
      </right>
      <top style="dotted">
        <color rgb="FF000000"/>
      </top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left style="hair">
        <color rgb="FF000000"/>
      </lef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right style="hair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top style="dotted">
        <color rgb="FF000000"/>
      </top>
      <bottom style="medium">
        <color rgb="FF000000"/>
      </bottom>
    </border>
    <border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dotted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dotted">
        <color rgb="FF000000"/>
      </bottom>
    </border>
    <border>
      <left style="hair">
        <color rgb="FF000000"/>
      </left>
      <top style="medium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hair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wrapText="0"/>
    </xf>
    <xf borderId="1" fillId="3" fontId="1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left" readingOrder="0"/>
    </xf>
    <xf borderId="0" fillId="0" fontId="1" numFmtId="0" xfId="0" applyFont="1"/>
    <xf borderId="0" fillId="2" fontId="4" numFmtId="0" xfId="0" applyAlignment="1" applyFont="1">
      <alignment horizontal="left" readingOrder="0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shrinkToFit="0" vertical="center" wrapText="0"/>
    </xf>
    <xf borderId="0" fillId="4" fontId="7" numFmtId="0" xfId="0" applyAlignment="1" applyFill="1" applyFont="1">
      <alignment horizontal="center" vertical="center"/>
    </xf>
    <xf borderId="0" fillId="4" fontId="8" numFmtId="0" xfId="0" applyAlignment="1" applyFon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4" fillId="6" fontId="10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6" fillId="6" fontId="11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shrinkToFit="0" vertical="center" wrapText="1"/>
    </xf>
    <xf borderId="4" fillId="6" fontId="1" numFmtId="0" xfId="0" applyAlignment="1" applyBorder="1" applyFont="1">
      <alignment shrinkToFit="0" vertical="center" wrapText="1"/>
    </xf>
    <xf borderId="6" fillId="6" fontId="1" numFmtId="0" xfId="0" applyAlignment="1" applyBorder="1" applyFont="1">
      <alignment shrinkToFit="0" vertical="center" wrapText="1"/>
    </xf>
    <xf borderId="7" fillId="6" fontId="11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readingOrder="0" shrinkToFit="0" vertical="center" wrapText="1"/>
    </xf>
    <xf borderId="4" fillId="6" fontId="12" numFmtId="0" xfId="0" applyAlignment="1" applyBorder="1" applyFont="1">
      <alignment horizontal="center" vertical="center"/>
    </xf>
    <xf borderId="7" fillId="6" fontId="11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0"/>
    </xf>
    <xf borderId="8" fillId="3" fontId="10" numFmtId="0" xfId="0" applyAlignment="1" applyBorder="1" applyFont="1">
      <alignment horizontal="left" vertical="center"/>
    </xf>
    <xf borderId="9" fillId="3" fontId="8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1" numFmtId="164" xfId="0" applyAlignment="1" applyBorder="1" applyFont="1" applyNumberFormat="1">
      <alignment horizontal="center" vertical="center"/>
    </xf>
    <xf borderId="15" fillId="0" fontId="11" numFmtId="164" xfId="0" applyAlignment="1" applyBorder="1" applyFont="1" applyNumberFormat="1">
      <alignment horizontal="center" vertical="center"/>
    </xf>
    <xf borderId="16" fillId="0" fontId="11" numFmtId="164" xfId="0" applyAlignment="1" applyBorder="1" applyFont="1" applyNumberFormat="1">
      <alignment horizontal="center" vertical="center"/>
    </xf>
    <xf borderId="11" fillId="0" fontId="11" numFmtId="164" xfId="0" applyAlignment="1" applyBorder="1" applyFont="1" applyNumberFormat="1">
      <alignment horizontal="center" vertical="center"/>
    </xf>
    <xf borderId="9" fillId="0" fontId="11" numFmtId="164" xfId="0" applyAlignment="1" applyBorder="1" applyFont="1" applyNumberFormat="1">
      <alignment horizontal="center" vertical="center"/>
    </xf>
    <xf borderId="17" fillId="0" fontId="1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9" numFmtId="0" xfId="0" applyBorder="1" applyFont="1"/>
    <xf borderId="14" fillId="0" fontId="11" numFmtId="3" xfId="0" applyAlignment="1" applyBorder="1" applyFont="1" applyNumberFormat="1">
      <alignment horizontal="center" vertical="center"/>
    </xf>
    <xf borderId="15" fillId="0" fontId="11" numFmtId="3" xfId="0" applyAlignment="1" applyBorder="1" applyFont="1" applyNumberFormat="1">
      <alignment horizontal="center" vertical="center"/>
    </xf>
    <xf borderId="15" fillId="0" fontId="11" numFmtId="4" xfId="0" applyAlignment="1" applyBorder="1" applyFont="1" applyNumberFormat="1">
      <alignment horizontal="center" vertical="center"/>
    </xf>
    <xf borderId="9" fillId="0" fontId="11" numFmtId="9" xfId="0" applyAlignment="1" applyBorder="1" applyFont="1" applyNumberFormat="1">
      <alignment horizontal="center" vertical="center"/>
    </xf>
    <xf borderId="10" fillId="0" fontId="11" numFmtId="10" xfId="0" applyAlignment="1" applyBorder="1" applyFont="1" applyNumberFormat="1">
      <alignment horizontal="center" vertical="center"/>
    </xf>
    <xf borderId="10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vertical="center"/>
    </xf>
    <xf borderId="15" fillId="0" fontId="11" numFmtId="2" xfId="0" applyAlignment="1" applyBorder="1" applyFont="1" applyNumberFormat="1">
      <alignment horizontal="center" vertical="center"/>
    </xf>
    <xf borderId="10" fillId="0" fontId="11" numFmtId="9" xfId="0" applyAlignment="1" applyBorder="1" applyFont="1" applyNumberFormat="1">
      <alignment horizontal="center" vertical="center"/>
    </xf>
    <xf borderId="18" fillId="0" fontId="11" numFmtId="3" xfId="0" applyAlignment="1" applyBorder="1" applyFont="1" applyNumberFormat="1">
      <alignment horizontal="center" vertical="center"/>
    </xf>
    <xf borderId="0" fillId="0" fontId="11" numFmtId="4" xfId="0" applyAlignment="1" applyFont="1" applyNumberFormat="1">
      <alignment horizontal="center" vertical="center"/>
    </xf>
    <xf borderId="0" fillId="0" fontId="11" numFmtId="9" xfId="0" applyAlignment="1" applyFont="1" applyNumberFormat="1">
      <alignment horizontal="center" vertical="center"/>
    </xf>
    <xf borderId="9" fillId="3" fontId="11" numFmtId="0" xfId="0" applyAlignment="1" applyBorder="1" applyFont="1">
      <alignment horizontal="center" vertical="center"/>
    </xf>
    <xf borderId="19" fillId="0" fontId="11" numFmtId="164" xfId="0" applyAlignment="1" applyBorder="1" applyFont="1" applyNumberFormat="1">
      <alignment horizontal="center" vertical="center"/>
    </xf>
    <xf borderId="20" fillId="0" fontId="11" numFmtId="164" xfId="0" applyAlignment="1" applyBorder="1" applyFont="1" applyNumberFormat="1">
      <alignment horizontal="center" vertical="center"/>
    </xf>
    <xf borderId="21" fillId="0" fontId="11" numFmtId="164" xfId="0" applyAlignment="1" applyBorder="1" applyFont="1" applyNumberFormat="1">
      <alignment horizontal="center" vertical="center"/>
    </xf>
    <xf borderId="22" fillId="0" fontId="1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4" fillId="0" fontId="9" numFmtId="0" xfId="0" applyBorder="1" applyFont="1"/>
    <xf borderId="19" fillId="0" fontId="11" numFmtId="3" xfId="0" applyAlignment="1" applyBorder="1" applyFont="1" applyNumberFormat="1">
      <alignment horizontal="center" vertical="center"/>
    </xf>
    <xf borderId="20" fillId="0" fontId="11" numFmtId="3" xfId="0" applyAlignment="1" applyBorder="1" applyFont="1" applyNumberFormat="1">
      <alignment horizontal="center" vertical="center"/>
    </xf>
    <xf borderId="20" fillId="0" fontId="11" numFmtId="4" xfId="0" applyAlignment="1" applyBorder="1" applyFont="1" applyNumberFormat="1">
      <alignment horizontal="center" vertical="center"/>
    </xf>
    <xf borderId="25" fillId="0" fontId="11" numFmtId="9" xfId="0" applyAlignment="1" applyBorder="1" applyFont="1" applyNumberFormat="1">
      <alignment horizontal="center" vertical="center"/>
    </xf>
    <xf borderId="20" fillId="0" fontId="11" numFmtId="2" xfId="0" applyAlignment="1" applyBorder="1" applyFont="1" applyNumberFormat="1">
      <alignment horizontal="center" vertical="center"/>
    </xf>
    <xf borderId="24" fillId="0" fontId="11" numFmtId="9" xfId="0" applyAlignment="1" applyBorder="1" applyFont="1" applyNumberFormat="1">
      <alignment horizontal="center" vertical="center"/>
    </xf>
    <xf borderId="26" fillId="0" fontId="11" numFmtId="3" xfId="0" applyAlignment="1" applyBorder="1" applyFont="1" applyNumberFormat="1">
      <alignment horizontal="center" vertical="center"/>
    </xf>
    <xf borderId="23" fillId="3" fontId="10" numFmtId="0" xfId="0" applyAlignment="1" applyBorder="1" applyFont="1">
      <alignment horizontal="left" vertical="center"/>
    </xf>
    <xf borderId="25" fillId="3" fontId="11" numFmtId="0" xfId="0" applyAlignment="1" applyBorder="1" applyFont="1">
      <alignment horizontal="center" vertical="center"/>
    </xf>
    <xf borderId="24" fillId="3" fontId="1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4" fillId="0" fontId="11" numFmtId="10" xfId="0" applyAlignment="1" applyBorder="1" applyFont="1" applyNumberFormat="1">
      <alignment horizontal="center" vertical="center"/>
    </xf>
    <xf borderId="25" fillId="3" fontId="1" numFmtId="0" xfId="0" applyAlignment="1" applyBorder="1" applyFont="1">
      <alignment horizontal="center" vertical="center"/>
    </xf>
    <xf borderId="28" fillId="3" fontId="10" numFmtId="0" xfId="0" applyAlignment="1" applyBorder="1" applyFont="1">
      <alignment horizontal="left" vertical="center"/>
    </xf>
    <xf borderId="29" fillId="3" fontId="1" numFmtId="0" xfId="0" applyAlignment="1" applyBorder="1" applyFont="1">
      <alignment horizontal="center" vertical="center"/>
    </xf>
    <xf borderId="30" fillId="3" fontId="1" numFmtId="0" xfId="0" applyAlignment="1" applyBorder="1" applyFont="1">
      <alignment horizontal="center" vertical="center"/>
    </xf>
    <xf borderId="31" fillId="3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30" fillId="0" fontId="9" numFmtId="0" xfId="0" applyBorder="1" applyFont="1"/>
    <xf borderId="32" fillId="0" fontId="11" numFmtId="2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1" numFmtId="164" xfId="0" applyAlignment="1" applyBorder="1" applyFont="1" applyNumberFormat="1">
      <alignment horizontal="center" vertical="center"/>
    </xf>
    <xf borderId="32" fillId="0" fontId="11" numFmtId="164" xfId="0" applyAlignment="1" applyBorder="1" applyFont="1" applyNumberFormat="1">
      <alignment horizontal="center" vertical="center"/>
    </xf>
    <xf borderId="36" fillId="0" fontId="11" numFmtId="164" xfId="0" applyAlignment="1" applyBorder="1" applyFont="1" applyNumberFormat="1">
      <alignment horizontal="center" vertical="center"/>
    </xf>
    <xf borderId="31" fillId="0" fontId="11" numFmtId="164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37" fillId="3" fontId="1" numFmtId="0" xfId="0" applyAlignment="1" applyBorder="1" applyFont="1">
      <alignment horizontal="left" readingOrder="0" vertical="center"/>
    </xf>
    <xf borderId="38" fillId="7" fontId="1" numFmtId="0" xfId="0" applyAlignment="1" applyBorder="1" applyFill="1" applyFont="1">
      <alignment horizontal="center" vertical="center"/>
    </xf>
    <xf borderId="39" fillId="0" fontId="9" numFmtId="0" xfId="0" applyBorder="1" applyFont="1"/>
    <xf borderId="40" fillId="0" fontId="9" numFmtId="0" xfId="0" applyBorder="1" applyFont="1"/>
    <xf borderId="39" fillId="7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3" fillId="0" fontId="11" numFmtId="164" xfId="0" applyAlignment="1" applyBorder="1" applyFont="1" applyNumberFormat="1">
      <alignment horizontal="center" vertical="center"/>
    </xf>
    <xf borderId="44" fillId="0" fontId="11" numFmtId="164" xfId="0" applyAlignment="1" applyBorder="1" applyFont="1" applyNumberFormat="1">
      <alignment horizontal="center" vertical="center"/>
    </xf>
    <xf borderId="45" fillId="0" fontId="11" numFmtId="164" xfId="0" applyAlignment="1" applyBorder="1" applyFont="1" applyNumberFormat="1">
      <alignment horizontal="center" vertical="center"/>
    </xf>
    <xf borderId="40" fillId="0" fontId="11" numFmtId="164" xfId="0" applyAlignment="1" applyBorder="1" applyFont="1" applyNumberFormat="1">
      <alignment horizontal="center" vertical="center"/>
    </xf>
    <xf borderId="46" fillId="0" fontId="11" numFmtId="164" xfId="0" applyAlignment="1" applyBorder="1" applyFont="1" applyNumberFormat="1">
      <alignment horizontal="center" vertical="center"/>
    </xf>
    <xf borderId="47" fillId="0" fontId="11" numFmtId="164" xfId="0" applyAlignment="1" applyBorder="1" applyFont="1" applyNumberFormat="1">
      <alignment horizontal="center" vertical="center"/>
    </xf>
    <xf borderId="48" fillId="0" fontId="11" numFmtId="164" xfId="0" applyAlignment="1" applyBorder="1" applyFont="1" applyNumberFormat="1">
      <alignment horizontal="center" vertical="center"/>
    </xf>
    <xf borderId="49" fillId="0" fontId="11" numFmtId="164" xfId="0" applyAlignment="1" applyBorder="1" applyFont="1" applyNumberFormat="1">
      <alignment horizontal="center" vertical="center"/>
    </xf>
    <xf borderId="37" fillId="0" fontId="1" numFmtId="0" xfId="0" applyAlignment="1" applyBorder="1" applyFont="1">
      <alignment horizontal="center" readingOrder="0" vertical="center"/>
    </xf>
    <xf borderId="43" fillId="0" fontId="11" numFmtId="3" xfId="0" applyAlignment="1" applyBorder="1" applyFont="1" applyNumberFormat="1">
      <alignment horizontal="center" vertical="center"/>
    </xf>
    <xf borderId="44" fillId="0" fontId="11" numFmtId="3" xfId="0" applyAlignment="1" applyBorder="1" applyFont="1" applyNumberFormat="1">
      <alignment horizontal="center" vertical="center"/>
    </xf>
    <xf borderId="44" fillId="0" fontId="11" numFmtId="4" xfId="0" applyAlignment="1" applyBorder="1" applyFont="1" applyNumberFormat="1">
      <alignment horizontal="center" vertical="center"/>
    </xf>
    <xf borderId="38" fillId="0" fontId="11" numFmtId="164" xfId="0" applyAlignment="1" applyBorder="1" applyFont="1" applyNumberFormat="1">
      <alignment horizontal="center" vertical="center"/>
    </xf>
    <xf borderId="39" fillId="0" fontId="11" numFmtId="10" xfId="0" applyAlignment="1" applyBorder="1" applyFont="1" applyNumberFormat="1">
      <alignment horizontal="center" vertical="center"/>
    </xf>
    <xf borderId="39" fillId="0" fontId="11" numFmtId="0" xfId="0" applyAlignment="1" applyBorder="1" applyFont="1">
      <alignment horizontal="center" vertical="center"/>
    </xf>
    <xf borderId="43" fillId="0" fontId="11" numFmtId="0" xfId="0" applyAlignment="1" applyBorder="1" applyFont="1">
      <alignment horizontal="center" vertical="center"/>
    </xf>
    <xf borderId="44" fillId="0" fontId="12" numFmtId="0" xfId="0" applyAlignment="1" applyBorder="1" applyFont="1">
      <alignment horizontal="center" vertical="center"/>
    </xf>
    <xf borderId="44" fillId="0" fontId="11" numFmtId="2" xfId="0" applyAlignment="1" applyBorder="1" applyFont="1" applyNumberFormat="1">
      <alignment horizontal="center" vertical="center"/>
    </xf>
    <xf borderId="39" fillId="0" fontId="11" numFmtId="164" xfId="0" applyAlignment="1" applyBorder="1" applyFont="1" applyNumberFormat="1">
      <alignment horizontal="center" vertical="center"/>
    </xf>
    <xf borderId="50" fillId="0" fontId="11" numFmtId="3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2" fontId="1" numFmtId="0" xfId="0" applyFont="1"/>
    <xf borderId="0" fillId="2" fontId="2" numFmtId="0" xfId="0" applyAlignment="1" applyFont="1">
      <alignment shrinkToFit="0" wrapText="0"/>
    </xf>
    <xf borderId="0" fillId="2" fontId="7" numFmtId="0" xfId="0" applyAlignment="1" applyFont="1">
      <alignment horizontal="center"/>
    </xf>
    <xf borderId="0" fillId="2" fontId="8" numFmtId="0" xfId="0" applyAlignment="1" applyFont="1">
      <alignment horizontal="center" vertical="center"/>
    </xf>
    <xf borderId="0" fillId="8" fontId="7" numFmtId="0" xfId="0" applyAlignment="1" applyFill="1" applyFont="1">
      <alignment horizontal="center"/>
    </xf>
    <xf borderId="0" fillId="2" fontId="13" numFmtId="0" xfId="0" applyAlignment="1" applyFont="1">
      <alignment horizontal="center" vertical="center"/>
    </xf>
    <xf borderId="0" fillId="9" fontId="4" numFmtId="0" xfId="0" applyAlignment="1" applyFill="1" applyFont="1">
      <alignment horizontal="center"/>
    </xf>
    <xf borderId="0" fillId="9" fontId="4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3" fillId="6" fontId="8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51" fillId="6" fontId="11" numFmtId="0" xfId="0" applyAlignment="1" applyBorder="1" applyFont="1">
      <alignment horizontal="center" vertical="center"/>
    </xf>
    <xf borderId="52" fillId="6" fontId="11" numFmtId="0" xfId="0" applyAlignment="1" applyBorder="1" applyFont="1">
      <alignment horizontal="center" vertical="center"/>
    </xf>
    <xf borderId="53" fillId="6" fontId="11" numFmtId="0" xfId="0" applyAlignment="1" applyBorder="1" applyFont="1">
      <alignment horizontal="center" vertical="center"/>
    </xf>
    <xf borderId="54" fillId="6" fontId="11" numFmtId="0" xfId="0" applyAlignment="1" applyBorder="1" applyFont="1">
      <alignment horizontal="center" vertical="center"/>
    </xf>
    <xf borderId="0" fillId="2" fontId="12" numFmtId="0" xfId="0" applyAlignment="1" applyFont="1">
      <alignment horizontal="center" vertical="center"/>
    </xf>
    <xf borderId="3" fillId="10" fontId="1" numFmtId="0" xfId="0" applyAlignment="1" applyBorder="1" applyFill="1" applyFont="1">
      <alignment horizontal="center" vertical="center"/>
    </xf>
    <xf borderId="4" fillId="11" fontId="11" numFmtId="0" xfId="0" applyAlignment="1" applyBorder="1" applyFill="1" applyFont="1">
      <alignment horizontal="center" vertical="center"/>
    </xf>
    <xf borderId="4" fillId="11" fontId="1" numFmtId="0" xfId="0" applyAlignment="1" applyBorder="1" applyFont="1">
      <alignment horizontal="center" vertical="center"/>
    </xf>
    <xf borderId="7" fillId="11" fontId="1" numFmtId="0" xfId="0" applyAlignment="1" applyBorder="1" applyFont="1">
      <alignment horizontal="center" vertical="center"/>
    </xf>
    <xf borderId="55" fillId="3" fontId="1" numFmtId="0" xfId="0" applyAlignment="1" applyBorder="1" applyFont="1">
      <alignment horizontal="left"/>
    </xf>
    <xf borderId="15" fillId="3" fontId="1" numFmtId="0" xfId="0" applyBorder="1" applyFont="1"/>
    <xf borderId="9" fillId="3" fontId="1" numFmtId="0" xfId="0" applyAlignment="1" applyBorder="1" applyFont="1">
      <alignment horizontal="center" vertical="center"/>
    </xf>
    <xf borderId="19" fillId="3" fontId="1" numFmtId="2" xfId="0" applyAlignment="1" applyBorder="1" applyFont="1" applyNumberFormat="1">
      <alignment horizontal="center" vertical="center"/>
    </xf>
    <xf borderId="20" fillId="3" fontId="10" numFmtId="2" xfId="0" applyAlignment="1" applyBorder="1" applyFont="1" applyNumberFormat="1">
      <alignment horizontal="center" vertical="center"/>
    </xf>
    <xf borderId="20" fillId="3" fontId="10" numFmtId="9" xfId="0" applyAlignment="1" applyBorder="1" applyFont="1" applyNumberFormat="1">
      <alignment horizontal="center" vertical="center"/>
    </xf>
    <xf borderId="20" fillId="3" fontId="1" numFmtId="2" xfId="0" applyAlignment="1" applyBorder="1" applyFont="1" applyNumberFormat="1">
      <alignment horizontal="center" vertical="center"/>
    </xf>
    <xf borderId="20" fillId="3" fontId="1" numFmtId="9" xfId="0" applyAlignment="1" applyBorder="1" applyFont="1" applyNumberFormat="1">
      <alignment horizontal="center" vertical="center"/>
    </xf>
    <xf borderId="25" fillId="3" fontId="1" numFmtId="2" xfId="0" applyAlignment="1" applyBorder="1" applyFont="1" applyNumberFormat="1">
      <alignment horizontal="center" vertical="center"/>
    </xf>
    <xf borderId="56" fillId="0" fontId="1" numFmtId="164" xfId="0" applyAlignment="1" applyBorder="1" applyFont="1" applyNumberFormat="1">
      <alignment horizontal="center"/>
    </xf>
    <xf borderId="0" fillId="2" fontId="12" numFmtId="0" xfId="0" applyFont="1"/>
    <xf borderId="57" fillId="12" fontId="11" numFmtId="0" xfId="0" applyAlignment="1" applyBorder="1" applyFill="1" applyFon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58" fillId="0" fontId="14" numFmtId="164" xfId="0" applyAlignment="1" applyBorder="1" applyFont="1" applyNumberFormat="1">
      <alignment horizontal="center" vertical="center"/>
    </xf>
    <xf borderId="59" fillId="3" fontId="1" numFmtId="0" xfId="0" applyAlignment="1" applyBorder="1" applyFont="1">
      <alignment horizontal="left"/>
    </xf>
    <xf borderId="20" fillId="3" fontId="1" numFmtId="0" xfId="0" applyBorder="1" applyFont="1"/>
    <xf borderId="57" fillId="12" fontId="1" numFmtId="0" xfId="0" applyAlignment="1" applyBorder="1" applyFont="1">
      <alignment horizontal="center" vertical="center"/>
    </xf>
    <xf borderId="60" fillId="12" fontId="1" numFmtId="0" xfId="0" applyAlignment="1" applyBorder="1" applyFont="1">
      <alignment horizontal="center" vertical="center"/>
    </xf>
    <xf borderId="61" fillId="0" fontId="14" numFmtId="164" xfId="0" applyAlignment="1" applyBorder="1" applyFont="1" applyNumberFormat="1">
      <alignment horizontal="center" vertical="center"/>
    </xf>
    <xf borderId="62" fillId="0" fontId="14" numFmtId="164" xfId="0" applyAlignment="1" applyBorder="1" applyFont="1" applyNumberFormat="1">
      <alignment horizontal="center" vertical="center"/>
    </xf>
    <xf borderId="63" fillId="3" fontId="1" numFmtId="0" xfId="0" applyAlignment="1" applyBorder="1" applyFont="1">
      <alignment horizontal="left"/>
    </xf>
    <xf borderId="47" fillId="3" fontId="1" numFmtId="0" xfId="0" applyBorder="1" applyFont="1"/>
    <xf borderId="44" fillId="3" fontId="1" numFmtId="0" xfId="0" applyBorder="1" applyFont="1"/>
    <xf borderId="38" fillId="3" fontId="1" numFmtId="0" xfId="0" applyAlignment="1" applyBorder="1" applyFont="1">
      <alignment horizontal="center" vertical="center"/>
    </xf>
    <xf borderId="43" fillId="3" fontId="1" numFmtId="2" xfId="0" applyAlignment="1" applyBorder="1" applyFont="1" applyNumberFormat="1">
      <alignment horizontal="center" vertical="center"/>
    </xf>
    <xf borderId="44" fillId="3" fontId="10" numFmtId="2" xfId="0" applyAlignment="1" applyBorder="1" applyFont="1" applyNumberFormat="1">
      <alignment horizontal="center" vertical="center"/>
    </xf>
    <xf borderId="44" fillId="3" fontId="10" numFmtId="9" xfId="0" applyAlignment="1" applyBorder="1" applyFont="1" applyNumberFormat="1">
      <alignment horizontal="center" vertical="center"/>
    </xf>
    <xf borderId="44" fillId="3" fontId="1" numFmtId="2" xfId="0" applyAlignment="1" applyBorder="1" applyFont="1" applyNumberFormat="1">
      <alignment horizontal="center" vertical="center"/>
    </xf>
    <xf borderId="44" fillId="3" fontId="1" numFmtId="9" xfId="0" applyAlignment="1" applyBorder="1" applyFont="1" applyNumberFormat="1">
      <alignment horizontal="center" vertical="center"/>
    </xf>
    <xf borderId="38" fillId="3" fontId="1" numFmtId="2" xfId="0" applyAlignment="1" applyBorder="1" applyFont="1" applyNumberFormat="1">
      <alignment horizontal="center" vertical="center"/>
    </xf>
    <xf borderId="64" fillId="0" fontId="1" numFmtId="164" xfId="0" applyAlignment="1" applyBorder="1" applyFont="1" applyNumberFormat="1">
      <alignment horizontal="center"/>
    </xf>
    <xf borderId="0" fillId="0" fontId="15" numFmtId="0" xfId="0" applyAlignment="1" applyFont="1">
      <alignment readingOrder="0"/>
    </xf>
    <xf borderId="0" fillId="6" fontId="15" numFmtId="0" xfId="0" applyFont="1"/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0" fontId="15" numFmtId="10" xfId="0" applyAlignment="1" applyFont="1" applyNumberFormat="1">
      <alignment horizontal="center" readingOrder="0"/>
    </xf>
    <xf borderId="0" fillId="6" fontId="15" numFmtId="0" xfId="0" applyAlignment="1" applyFont="1">
      <alignment readingOrder="0"/>
    </xf>
    <xf borderId="0" fillId="0" fontId="15" numFmtId="0" xfId="0" applyAlignment="1" applyFont="1">
      <alignment horizontal="center" vertical="center"/>
    </xf>
    <xf borderId="0" fillId="0" fontId="15" numFmtId="0" xfId="0" applyFont="1"/>
    <xf borderId="0" fillId="0" fontId="15" numFmtId="10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2" xfId="0" applyAlignment="1" applyFont="1" applyNumberFormat="1">
      <alignment vertical="bottom"/>
    </xf>
    <xf borderId="0" fillId="0" fontId="10" numFmtId="10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0" fontId="10" numFmtId="9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5" numFmtId="2" xfId="0" applyAlignment="1" applyFont="1" applyNumberFormat="1">
      <alignment readingOrder="0"/>
    </xf>
    <xf borderId="0" fillId="0" fontId="15" numFmtId="10" xfId="0" applyAlignment="1" applyFont="1" applyNumberFormat="1">
      <alignment readingOrder="0"/>
    </xf>
    <xf borderId="0" fillId="0" fontId="15" numFmtId="2" xfId="0" applyFont="1" applyNumberFormat="1"/>
    <xf borderId="0" fillId="0" fontId="15" numFmtId="10" xfId="0" applyFont="1" applyNumberFormat="1"/>
    <xf borderId="0" fillId="0" fontId="1" numFmtId="0" xfId="0" applyFont="1"/>
    <xf borderId="0" fillId="0" fontId="15" numFmtId="9" xfId="0" applyAlignment="1" applyFont="1" applyNumberFormat="1">
      <alignment readingOrder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horizontal="left" readingOrder="0"/>
    </xf>
    <xf borderId="65" fillId="0" fontId="15" numFmtId="0" xfId="0" applyBorder="1" applyFont="1"/>
    <xf borderId="0" fillId="0" fontId="15" numFmtId="0" xfId="0" applyAlignment="1" applyFont="1">
      <alignment horizontal="left"/>
    </xf>
    <xf borderId="0" fillId="2" fontId="1" numFmtId="0" xfId="0" applyAlignment="1" applyFont="1">
      <alignment horizontal="center" vertical="bottom"/>
    </xf>
    <xf borderId="0" fillId="0" fontId="12" numFmtId="0" xfId="0" applyAlignment="1" applyFont="1">
      <alignment horizontal="center"/>
    </xf>
    <xf borderId="0" fillId="2" fontId="16" numFmtId="0" xfId="0" applyAlignment="1" applyFont="1">
      <alignment horizontal="center" vertical="bottom"/>
    </xf>
    <xf borderId="0" fillId="2" fontId="16" numFmtId="0" xfId="0" applyAlignment="1" applyFont="1">
      <alignment vertical="bottom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38"/>
    <col customWidth="1" hidden="1" min="2" max="2" width="13.63"/>
    <col customWidth="1" min="3" max="3" width="20.25"/>
    <col customWidth="1" min="4" max="9" width="3.75"/>
    <col customWidth="1" min="10" max="34" width="6.0"/>
    <col customWidth="1" min="35" max="35" width="8.75"/>
    <col customWidth="1" min="36" max="40" width="6.0"/>
    <col customWidth="1" min="41" max="41" width="8.88"/>
    <col customWidth="1" min="42" max="42" width="8.75"/>
    <col customWidth="1" min="43" max="44" width="6.0"/>
  </cols>
  <sheetData>
    <row r="1" ht="17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7.25" customHeight="1">
      <c r="A2" s="3"/>
      <c r="B2" s="4"/>
      <c r="C2" s="5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ht="17.25" customHeight="1">
      <c r="A3" s="3"/>
      <c r="B3" s="4"/>
      <c r="C3" s="6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P3" s="3"/>
      <c r="S3" s="3"/>
      <c r="V3" s="3"/>
      <c r="Y3" s="3"/>
      <c r="Z3" s="3"/>
      <c r="AA3" s="3"/>
      <c r="AB3" s="3"/>
      <c r="AC3" s="7"/>
      <c r="AD3" s="7"/>
      <c r="AE3" s="7"/>
      <c r="AF3" s="7"/>
      <c r="AG3" s="7"/>
      <c r="AH3" s="7"/>
      <c r="AI3" s="7"/>
      <c r="AJ3" s="3"/>
      <c r="AK3" s="3"/>
      <c r="AL3" s="3"/>
      <c r="AM3" s="3"/>
      <c r="AN3" s="3"/>
      <c r="AO3" s="3"/>
      <c r="AP3" s="3"/>
      <c r="AQ3" s="3"/>
      <c r="AR3" s="3"/>
    </row>
    <row r="4" ht="17.25" customHeight="1">
      <c r="A4" s="3"/>
      <c r="B4" s="4"/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7"/>
      <c r="AD4" s="7"/>
      <c r="AE4" s="7"/>
      <c r="AF4" s="7"/>
      <c r="AG4" s="7"/>
      <c r="AH4" s="7"/>
      <c r="AI4" s="7"/>
      <c r="AJ4" s="3"/>
      <c r="AK4" s="3"/>
      <c r="AL4" s="3"/>
      <c r="AM4" s="3"/>
      <c r="AN4" s="3"/>
      <c r="AO4" s="1"/>
      <c r="AP4" s="1"/>
      <c r="AQ4" s="1"/>
      <c r="AR4" s="1"/>
    </row>
    <row r="5" ht="16.5" customHeight="1">
      <c r="A5" s="9"/>
      <c r="B5" s="10"/>
      <c r="C5" s="11" t="s">
        <v>2</v>
      </c>
      <c r="J5" s="12" t="s">
        <v>3</v>
      </c>
      <c r="M5" s="12" t="s">
        <v>4</v>
      </c>
      <c r="P5" s="12" t="s">
        <v>5</v>
      </c>
      <c r="S5" s="12" t="s">
        <v>6</v>
      </c>
      <c r="V5" s="12" t="s">
        <v>7</v>
      </c>
      <c r="Y5" s="12" t="s">
        <v>8</v>
      </c>
      <c r="AB5" s="7"/>
      <c r="AC5" s="13" t="s">
        <v>9</v>
      </c>
      <c r="AQ5" s="14"/>
      <c r="AR5" s="14"/>
    </row>
    <row r="6">
      <c r="A6" s="15"/>
      <c r="B6" s="16"/>
      <c r="C6" s="17" t="s">
        <v>10</v>
      </c>
      <c r="D6" s="18" t="s">
        <v>11</v>
      </c>
      <c r="E6" s="19"/>
      <c r="F6" s="19"/>
      <c r="G6" s="19"/>
      <c r="H6" s="19"/>
      <c r="I6" s="20" t="s">
        <v>12</v>
      </c>
      <c r="J6" s="21" t="s">
        <v>13</v>
      </c>
      <c r="K6" s="22" t="s">
        <v>14</v>
      </c>
      <c r="L6" s="23" t="s">
        <v>15</v>
      </c>
      <c r="M6" s="24" t="s">
        <v>16</v>
      </c>
      <c r="N6" s="25" t="s">
        <v>17</v>
      </c>
      <c r="O6" s="26" t="s">
        <v>18</v>
      </c>
      <c r="P6" s="22" t="s">
        <v>16</v>
      </c>
      <c r="Q6" s="22" t="s">
        <v>17</v>
      </c>
      <c r="R6" s="23" t="s">
        <v>18</v>
      </c>
      <c r="S6" s="21" t="s">
        <v>16</v>
      </c>
      <c r="T6" s="22" t="s">
        <v>17</v>
      </c>
      <c r="U6" s="23" t="s">
        <v>18</v>
      </c>
      <c r="V6" s="22" t="s">
        <v>16</v>
      </c>
      <c r="W6" s="22" t="s">
        <v>17</v>
      </c>
      <c r="X6" s="22" t="s">
        <v>18</v>
      </c>
      <c r="Y6" s="21" t="s">
        <v>16</v>
      </c>
      <c r="Z6" s="22" t="s">
        <v>17</v>
      </c>
      <c r="AA6" s="27" t="s">
        <v>18</v>
      </c>
      <c r="AB6" s="7"/>
      <c r="AC6" s="28" t="s">
        <v>3</v>
      </c>
      <c r="AD6" s="19"/>
      <c r="AE6" s="21" t="s">
        <v>19</v>
      </c>
      <c r="AF6" s="29" t="s">
        <v>20</v>
      </c>
      <c r="AG6" s="29" t="s">
        <v>21</v>
      </c>
      <c r="AH6" s="22" t="s">
        <v>22</v>
      </c>
      <c r="AI6" s="30" t="s">
        <v>23</v>
      </c>
      <c r="AJ6" s="30" t="s">
        <v>24</v>
      </c>
      <c r="AK6" s="21" t="s">
        <v>25</v>
      </c>
      <c r="AL6" s="31" t="s">
        <v>26</v>
      </c>
      <c r="AM6" s="29" t="s">
        <v>27</v>
      </c>
      <c r="AN6" s="22" t="s">
        <v>28</v>
      </c>
      <c r="AO6" s="30" t="s">
        <v>29</v>
      </c>
      <c r="AP6" s="32" t="s">
        <v>30</v>
      </c>
      <c r="AQ6" s="33"/>
      <c r="AR6" s="33"/>
    </row>
    <row r="7" ht="19.5" customHeight="1">
      <c r="A7" s="7"/>
      <c r="B7" s="34" t="str">
        <f t="array" ref="B7:B15">XLOOKUP(""&amp;C3&amp;"_"&amp;C7:C15&amp;"",SelectedTeamStats!Z2:Z27,SelectedTeamStats!G2:G27)</f>
        <v>Sova,Omen,Yoru,Vyse,Waylay</v>
      </c>
      <c r="C7" s="35" t="str">
        <f t="array" ref="C7:C15">UNIQUE(doubles!D2:D27)</f>
        <v>Ascent</v>
      </c>
      <c r="D7" s="36" t="str">
        <f>IFERROR(__xludf.DUMMYFUNCTION("iferror(ARRAYFORMULA(xlookup(split(XLOOKUP(""""&amp;C3&amp;""_""&amp;C7:C15&amp;"""",SelectedTeamStats!Z2:Z27,SelectedTeamStats!G2:G27),"",""),Assets!A2:A27,Assets!C2:C27)))"),"")</f>
        <v/>
      </c>
      <c r="E7" s="37" t="str">
        <f>IFERROR(__xludf.DUMMYFUNCTION("""COMPUTED_VALUE"""),"")</f>
        <v/>
      </c>
      <c r="F7" s="37" t="str">
        <f>IFERROR(__xludf.DUMMYFUNCTION("""COMPUTED_VALUE"""),"")</f>
        <v/>
      </c>
      <c r="G7" s="37" t="str">
        <f>IFERROR(__xludf.DUMMYFUNCTION("""COMPUTED_VALUE"""),"")</f>
        <v/>
      </c>
      <c r="H7" s="38" t="str">
        <f>IFERROR(__xludf.DUMMYFUNCTION("""COMPUTED_VALUE"""),"")</f>
        <v/>
      </c>
      <c r="I7" s="37">
        <f t="array" ref="I7:I15">COUNTIF(SelectedTeamStats!AB2:AB27   ,""&amp;C7:C15&amp;"_"&amp;B7:B15&amp;"")</f>
        <v>6</v>
      </c>
      <c r="J7" s="39">
        <f t="array" ref="J7:J15">COUNTIF(SelectedTeamStats!D2:D27,C7:C15)</f>
        <v>6</v>
      </c>
      <c r="K7" s="40">
        <f t="array" ref="K7:K15">COUNTIFS(SelectedTeamStats!$D$2:$D27,C7:C15,SelectedTeamStats!$AA$2:$AA27,$C$3)</f>
        <v>4</v>
      </c>
      <c r="L7" s="41">
        <f t="array" ref="L7:L15">J7:J15-K7:K15</f>
        <v>2</v>
      </c>
      <c r="M7" s="42">
        <f t="array" ref="M7:M15">iferror(SUMIF(SelectedTeamStats!$D$2:$D27,C7:C15,SelectedTeamStats!$I$2:$I27)/(SUMIF(SelectedTeamStats!$D$2:$D27,C7:C15,SelectedTeamStats!$I$2:$I27)+SUMIF(SelectedTeamStats!$D$2:$D27,C7:C15,SelectedTeamStats!$J$2:$J27)),)</f>
        <v>0.6146788991</v>
      </c>
      <c r="N7" s="43">
        <f t="array" ref="N7:N15">iferror(SUMIF(SelectedTeamStats!$D$2:$D27,C7:C15,SelectedTeamStats!$O$2:$O27)/(SUMIF(SelectedTeamStats!$D$2:$D27,C7:C15,SelectedTeamStats!$O$2:$O27)+SUMIF(SelectedTeamStats!$D$2:$D27,C7:C15,SelectedTeamStats!$P$2:$P27)),)</f>
        <v>0.537037037</v>
      </c>
      <c r="O7" s="44">
        <f t="array" ref="O7:O15">iferror(SUMIF(SelectedTeamStats!$D$2:$D27,C7:C15,SelectedTeamStats!$Q$2:$Q27)/(SUMIF(SelectedTeamStats!$D$2:$D27,C7:C15,SelectedTeamStats!$Q$2:$Q27)+SUMIF(SelectedTeamStats!$D$2:$D27,C7:C15,SelectedTeamStats!$R$2:$R27)),)</f>
        <v>0.6909090909</v>
      </c>
      <c r="P7" s="45">
        <f t="array" ref="P7:P15">iferror((SUMIF(SelectedTeamStats!$D$2:$D27,C7:C15,SelectedTeamStats!$M$2:$M27)+
SUMIF(SelectedTeamStats!$D$2:$D27,C7:C15,SelectedTeamStats!$N$2:$N27))
/
(
SUMIF(SelectedTeamStats!$D$2:$D27,C7:C15,SelectedTeamStats!$M$2:$M27)+
SUMIF(SelectedTeamStats!$D$2:$D27,C7:C15,SelectedTeamStats!$T$2:$T27)+
SUMIF(SelectedTeamStats!$D$2:$D27,C7:C15,SelectedTeamStats!$N$2:$N27)+
SUMIF(SelectedTeamStats!$D$2:$D27,C7:C15,SelectedTeamStats!$S$2:$S27)
),)</f>
        <v>0.8333333333</v>
      </c>
      <c r="Q7" s="43">
        <f t="array" ref="Q7:Q15">iferror(SUMIF(SelectedTeamStats!$D$2:$D27,C7:C15,SelectedTeamStats!$M$2:$M27)/(SUMIF(SelectedTeamStats!$D$2:$D27,C7:C15,SelectedTeamStats!$M$2:$M27)+SUMIF(SelectedTeamStats!$D$2:$D27,C7:C15,SelectedTeamStats!$T$2:$T27)),)</f>
        <v>0.6666666667</v>
      </c>
      <c r="R7" s="46">
        <f t="array" ref="R7:R15">iferror(SUMIF(SelectedTeamStats!$D$2:$D27,C7:C15,SelectedTeamStats!$N$2:$N27)/(SUMIF(SelectedTeamStats!$D$2:$D27,C7:C15,SelectedTeamStats!$N$2:$N27)+SUMIF(SelectedTeamStats!$D$2:$D27,C7:C15,SelectedTeamStats!$S$2:$S27)),)</f>
        <v>1</v>
      </c>
      <c r="S7" s="42">
        <f>iferror(SUMIFS('Gun v Gun'!$C$2:$C27,'Gun v Gun'!$A$2:$A27,$C$3,'Gun v Gun'!$B$2:$B27,C7)/(SUMIFS('Gun v Gun'!$C$2:$C27,'Gun v Gun'!$A$2:$A27,$C$3,'Gun v Gun'!$B$2:$B27,C7)+SUMIFS('Gun v Gun'!$D$2:$D27,'Gun v Gun'!$A$2:$A27,$C$3,'Gun v Gun'!$B$2:$B27,C7)),)</f>
        <v>0.625</v>
      </c>
      <c r="T7" s="43">
        <f>iferror(SUMIFS('Gun v Gun'!$C$2:$C27,'Gun v Gun'!$A$2:$A27,$C$3,'Gun v Gun'!$B$2:$B27,C7,'Gun v Gun'!$F$2:$F27,"atk")/(SUMIFS('Gun v Gun'!$C$2:$C27,'Gun v Gun'!$A$2:$A27,$C$3,'Gun v Gun'!$B$2:$B27,C7,'Gun v Gun'!$F$2:$F27,"atk")+SUMIFS('Gun v Gun'!$D$2:$D27,'Gun v Gun'!$A$2:$A27,$C$3,'Gun v Gun'!$B$2:$B27,C7,'Gun v Gun'!$F$2:$F27,"atk")),)</f>
        <v>0.5555555556</v>
      </c>
      <c r="U7" s="44">
        <f>iferror(SUMIFS('Gun v Gun'!$C$2:$C27,'Gun v Gun'!$A$2:$A27,$C$3,'Gun v Gun'!$B$2:$B27,C7,'Gun v Gun'!$F$2:$F27,"def")/(SUMIFS('Gun v Gun'!$C$2:$C27,'Gun v Gun'!$A$2:$A27,$C$3,'Gun v Gun'!$B$2:$B27,C7,'Gun v Gun'!$F$2:$F27,"def")+SUMIFS('Gun v Gun'!$D$2:$D27,'Gun v Gun'!$A$2:$A27,$C$3,'Gun v Gun'!$B$2:$B27,C7,'Gun v Gun'!$F$2:$F27,"def")),)</f>
        <v>0.6944444444</v>
      </c>
      <c r="V7" s="42">
        <f>iferror(SUMIFS(Antieco!$C$2:$C27,Antieco!$A$2:$A27,$C$3,Antieco!$B$2:$B27,C7)/(SUMIFS(Antieco!$C$2:$C27,Antieco!$A$2:$A27,$C$3,Antieco!$B$2:$B27,C7)+SUMIFS(Antieco!$D$2:$D27,Antieco!$A$2:$A27,$C$3,Antieco!$B$2:$B27,C7)),)</f>
        <v>0.6875</v>
      </c>
      <c r="W7" s="43">
        <f>iferror(SUMIFS(Antieco!$C$2:$C27,Antieco!$A$2:$A27,$C$3,Antieco!$B$2:$B27,C7,Antieco!$F$2:$F27,"atk")/(SUMIFS(Antieco!$C$2:$C27,Antieco!$A$2:$A27,$C$3,Antieco!$B$2:$B27,C7,Antieco!$F$2:$F27,"atk")+SUMIFS(Antieco!$D$2:$D27,Antieco!$A$2:$A27,$C$3,Antieco!$B$2:$B27,C7,Antieco!$F$2:$F27,"atk")),)</f>
        <v>0.7777777778</v>
      </c>
      <c r="X7" s="44">
        <f>iferror(SUMIFS(Antieco!$C$2:$C27,Antieco!$A$2:$A27,$C$3,Antieco!$B$2:$B27,C7,Antieco!$F$2:$F27,"def")/(SUMIFS(Antieco!$C$2:$C27,Antieco!$A$2:$A27,$C$3,Antieco!$B$2:$B27,C7,Antieco!$F$2:$F27,"def")+SUMIFS(Antieco!$D$2:$D27,Antieco!$A$2:$A27,$C$3,Antieco!$B$2:$B27,C7,Antieco!$F$2:$F27,"def")),)</f>
        <v>0.5714285714</v>
      </c>
      <c r="Y7" s="45">
        <f>iferror(SUMIFS(ecos!$C$2:$C27,ecos!$A$2:$A27,$C$3,ecos!$B$2:$B27,C7)/(SUMIFS(ecos!$C$2:$C27,ecos!$A$2:$A27,$C$3,ecos!$B$2:$B27,C7)+SUMIFS(ecos!$D$2:$D27,ecos!$A$2:$A27,$C$3,ecos!$B$2:$B27,C7)),)</f>
        <v>0.1111111111</v>
      </c>
      <c r="Z7" s="43">
        <f>iferror(SUMIFS(ecos!$C$2:$C27,ecos!$A$2:$A27,$C$3,ecos!$B$2:$B27,C7,ecos!$F$2:$F27,"atk")/(SUMIFS(ecos!$C$2:$C27,ecos!$A$2:$A27,$C$3,ecos!$B$2:$B27,C7,ecos!$F$2:$F27,"atk")+SUMIFS(ecos!$D$2:$D27,ecos!$A$2:$A27,$C$3,ecos!$B$2:$B27,C7,ecos!$F$2:$F27,"atk")),)</f>
        <v>0.2</v>
      </c>
      <c r="AA7" s="47">
        <f>iferror(SUMIFS(ecos!$C$2:$C27,ecos!$A$2:$A27,$C$3,ecos!$B$2:$B27,C7,ecos!$F$2:$F27,"def")/(SUMIFS(ecos!$C$2:$C27,ecos!$A$2:$A27,$C$3,ecos!$B$2:$B27,C7,ecos!$F$2:$F27,"def")+SUMIFS(ecos!$D$2:$D27,ecos!$A$2:$A27,$C$3,ecos!$B$2:$B27,C7,ecos!$F$2:$F27,"def")),)</f>
        <v>0</v>
      </c>
      <c r="AB7" s="7"/>
      <c r="AC7" s="48" t="str">
        <f t="array" ref="AC7:AC15">UNIQUE(doubles!D2:D27)</f>
        <v>Ascent</v>
      </c>
      <c r="AD7" s="49"/>
      <c r="AE7" s="50">
        <f t="array" ref="AE7">SUMIFS('Post Plants'!$D$2:$D27,'Post Plants'!$B$2:$B27,AC7:AC15,'Post Plants'!$A$2:$A27,$C$3)</f>
        <v>30</v>
      </c>
      <c r="AF7" s="51">
        <f t="array" ref="AF7:AF15">iferror(0+(SUMIF(SelectedTeamStats!$D$2:$D27,C7:C15,SelectedTeamStats!$O$2:$O27)+SUMIF(SelectedTeamStats!$D$2:$D27,C7:C15,SelectedTeamStats!$P$2:$P27)),)</f>
        <v>54</v>
      </c>
      <c r="AG7" s="52">
        <f t="array" ref="AG7:AG15">iferror(AE7:AE15/J7:J15,0)</f>
        <v>5</v>
      </c>
      <c r="AH7" s="53">
        <f>iferror(SUMIFS('Post Plants'!$F$2:$F27,'Post Plants'!$B$2:$B27,AC7:AC15,'Post Plants'!$A$2:$A27,$C$3)/SUMIFS('Post Plants'!$D$2:$D27,'Post Plants'!$B$2:$B27,AC7:AC15,'Post Plants'!$A$2:$A27,$C$3),)</f>
        <v>0.7666666667</v>
      </c>
      <c r="AI7" s="54">
        <f>iferror(SUMIFS('Post Plants'!$F$2:$F27,'Post Plants'!$B$2:$B27,AC7:AC15)/SUMIFS('Post Plants'!$D$2:$D27,'Post Plants'!$B$2:$B27,AC7:AC15),)</f>
        <v>0.7615062762</v>
      </c>
      <c r="AJ7" s="55">
        <f t="array" ref="AJ7">XLOOKUP(C3,'Post Ranking'!G3:G27,'Post Ranking'!F3:F27)</f>
        <v>7</v>
      </c>
      <c r="AK7" s="56">
        <f t="array" ref="AK7">SUMIFS('Post Plants'!$J$2:$J27,'Post Plants'!$B$2:$B27,AC7:AC15,'Post Plants'!$A$2:$A27,$C$3)</f>
        <v>26</v>
      </c>
      <c r="AL7" s="57">
        <f t="array" ref="AL7:AL15">iferror(0+(SUMIF(SelectedTeamStats!$D$2:$D27,C7:C15,SelectedTeamStats!$Q$2:$Q27)+SUMIF(SelectedTeamStats!$D$2:$D27,C7:C15,SelectedTeamStats!$R$2:$R27)),)</f>
        <v>55</v>
      </c>
      <c r="AM7" s="58">
        <f t="array" ref="AM7:AM15">iferror(AK7:AK15/J7:J15,0)</f>
        <v>4.333333333</v>
      </c>
      <c r="AN7" s="53">
        <f>iferror(SUMIFS('Post Plants'!$L$2:$L27,'Post Plants'!$B$2:$B27,AC7:AC15,'Post Plants'!$A$2:$A27,$C$3)/SUMIFS('Post Plants'!$J$2:$J27,'Post Plants'!$B$2:$B27,AC7:AC15,'Post Plants'!$A$2:$A27,$C$3),)</f>
        <v>0.4615384615</v>
      </c>
      <c r="AO7" s="59">
        <f>iferror(SUMIFS('Post Plants'!$L$2:$L27,'Post Plants'!$B$2:$B27,AC7:AC15)/SUMIFS('Post Plants'!$J$2:$J27,'Post Plants'!$B$2:$B27,AC7:AC15),)</f>
        <v>0.3508064516</v>
      </c>
      <c r="AP7" s="60">
        <f t="array" ref="AP7">XLOOKUP(C3,'Post Ranking'!R3:R27,'Post Ranking'!F3:F27)</f>
        <v>2</v>
      </c>
      <c r="AQ7" s="61"/>
      <c r="AR7" s="62"/>
    </row>
    <row r="8" ht="19.5" customHeight="1">
      <c r="A8" s="7"/>
      <c r="B8" s="34" t="s">
        <v>31</v>
      </c>
      <c r="C8" s="35" t="s">
        <v>32</v>
      </c>
      <c r="D8" s="63" t="str">
        <f>IFERROR(__xludf.DUMMYFUNCTION("""COMPUTED_VALUE"""),"")</f>
        <v/>
      </c>
      <c r="E8" s="37" t="str">
        <f>IFERROR(__xludf.DUMMYFUNCTION("""COMPUTED_VALUE"""),"")</f>
        <v/>
      </c>
      <c r="F8" s="37" t="str">
        <f>IFERROR(__xludf.DUMMYFUNCTION("""COMPUTED_VALUE"""),"")</f>
        <v/>
      </c>
      <c r="G8" s="37" t="str">
        <f>IFERROR(__xludf.DUMMYFUNCTION("""COMPUTED_VALUE"""),"")</f>
        <v/>
      </c>
      <c r="H8" s="38" t="str">
        <f>IFERROR(__xludf.DUMMYFUNCTION("""COMPUTED_VALUE"""),"")</f>
        <v/>
      </c>
      <c r="I8" s="37">
        <v>4.0</v>
      </c>
      <c r="J8" s="39">
        <v>4.0</v>
      </c>
      <c r="K8" s="40">
        <v>2.0</v>
      </c>
      <c r="L8" s="41">
        <v>2.0</v>
      </c>
      <c r="M8" s="64">
        <v>0.4875</v>
      </c>
      <c r="N8" s="65">
        <v>0.4375</v>
      </c>
      <c r="O8" s="66">
        <v>0.5208333333333334</v>
      </c>
      <c r="P8" s="67">
        <v>0.375</v>
      </c>
      <c r="Q8" s="65">
        <v>0.25</v>
      </c>
      <c r="R8" s="66">
        <v>0.5</v>
      </c>
      <c r="S8" s="42">
        <f>iferror(SUMIFS('Gun v Gun'!$C$2:$C27,'Gun v Gun'!$A$2:$A27,$C$3,'Gun v Gun'!$B$2:$B27,C8)/(SUMIFS('Gun v Gun'!$C$2:$C27,'Gun v Gun'!$A$2:$A27,$C$3,'Gun v Gun'!$B$2:$B27,C8)+SUMIFS('Gun v Gun'!$D$2:$D27,'Gun v Gun'!$A$2:$A27,$C$3,'Gun v Gun'!$B$2:$B27,C8)),)</f>
        <v>0.5087719298</v>
      </c>
      <c r="T8" s="43">
        <f>iferror(SUMIFS('Gun v Gun'!$C$2:$C27,'Gun v Gun'!$A$2:$A27,$C$3,'Gun v Gun'!$B$2:$B27,C8,'Gun v Gun'!$F$2:$F27,"atk")/(SUMIFS('Gun v Gun'!$C$2:$C27,'Gun v Gun'!$A$2:$A27,$C$3,'Gun v Gun'!$B$2:$B27,C8,'Gun v Gun'!$F$2:$F27,"atk")+SUMIFS('Gun v Gun'!$D$2:$D27,'Gun v Gun'!$A$2:$A27,$C$3,'Gun v Gun'!$B$2:$B27,C8,'Gun v Gun'!$F$2:$F27,"atk")),)</f>
        <v>0.4782608696</v>
      </c>
      <c r="U8" s="44">
        <f>iferror(SUMIFS('Gun v Gun'!$C$2:$C27,'Gun v Gun'!$A$2:$A27,$C$3,'Gun v Gun'!$B$2:$B27,C8,'Gun v Gun'!$F$2:$F27,"def")/(SUMIFS('Gun v Gun'!$C$2:$C27,'Gun v Gun'!$A$2:$A27,$C$3,'Gun v Gun'!$B$2:$B27,C8,'Gun v Gun'!$F$2:$F27,"def")+SUMIFS('Gun v Gun'!$D$2:$D27,'Gun v Gun'!$A$2:$A27,$C$3,'Gun v Gun'!$B$2:$B27,C8,'Gun v Gun'!$F$2:$F27,"def")),)</f>
        <v>0.5294117647</v>
      </c>
      <c r="V8" s="42">
        <f>iferror(SUMIFS(Antieco!$C$2:$C27,Antieco!$A$2:$A27,$C$3,Antieco!$B$2:$B27,C8)/(SUMIFS(Antieco!$C$2:$C27,Antieco!$A$2:$A27,$C$3,Antieco!$B$2:$B27,C8)+SUMIFS(Antieco!$D$2:$D27,Antieco!$A$2:$A27,$C$3,Antieco!$B$2:$B27,C8)),)</f>
        <v>0.6666666667</v>
      </c>
      <c r="W8" s="43">
        <f>iferror(SUMIFS(Antieco!$C$2:$C27,Antieco!$A$2:$A27,$C$3,Antieco!$B$2:$B27,C8,Antieco!$F$2:$F27,"atk")/(SUMIFS(Antieco!$C$2:$C27,Antieco!$A$2:$A27,$C$3,Antieco!$B$2:$B27,C8,Antieco!$F$2:$F27,"atk")+SUMIFS(Antieco!$D$2:$D27,Antieco!$A$2:$A27,$C$3,Antieco!$B$2:$B27,C8,Antieco!$F$2:$F27,"atk")),)</f>
        <v>0.75</v>
      </c>
      <c r="X8" s="44">
        <f>iferror(SUMIFS(Antieco!$C$2:$C27,Antieco!$A$2:$A27,$C$3,Antieco!$B$2:$B27,C8,Antieco!$F$2:$F27,"def")/(SUMIFS(Antieco!$C$2:$C27,Antieco!$A$2:$A27,$C$3,Antieco!$B$2:$B27,C8,Antieco!$F$2:$F27,"def")+SUMIFS(Antieco!$D$2:$D27,Antieco!$A$2:$A27,$C$3,Antieco!$B$2:$B27,C8,Antieco!$F$2:$F27,"def")),)</f>
        <v>0.5</v>
      </c>
      <c r="Y8" s="45">
        <f>iferror(SUMIFS(ecos!$C$2:$C27,ecos!$A$2:$A27,$C$3,ecos!$B$2:$B27,C8)/(SUMIFS(ecos!$C$2:$C27,ecos!$A$2:$A27,$C$3,ecos!$B$2:$B27,C8)+SUMIFS(ecos!$D$2:$D27,ecos!$A$2:$A27,$C$3,ecos!$B$2:$B27,C8)),)</f>
        <v>0.3333333333</v>
      </c>
      <c r="Z8" s="65">
        <f>iferror(SUMIFS(ecos!$C$2:$C27,ecos!$A$2:$A27,$C$3,ecos!$B$2:$B27,C8,ecos!$F$2:$F27,"atk")/(SUMIFS(ecos!$C$2:$C27,ecos!$A$2:$A27,$C$3,ecos!$B$2:$B27,C8,ecos!$F$2:$F27,"atk")+SUMIFS(ecos!$D$2:$D27,ecos!$A$2:$A27,$C$3,ecos!$B$2:$B27,C8,ecos!$F$2:$F27,"atk")),)</f>
        <v>0.3333333333</v>
      </c>
      <c r="AA8" s="47">
        <f>iferror(SUMIFS(ecos!$C$2:$C27,ecos!$A$2:$A27,$C$3,ecos!$B$2:$B27,C8,ecos!$F$2:$F27,"def")/(SUMIFS(ecos!$C$2:$C27,ecos!$A$2:$A27,$C$3,ecos!$B$2:$B27,C8,ecos!$F$2:$F27,"def")+SUMIFS(ecos!$D$2:$D27,ecos!$A$2:$A27,$C$3,ecos!$B$2:$B27,C8,ecos!$F$2:$F27,"def")),)</f>
        <v>0.3333333333</v>
      </c>
      <c r="AB8" s="7"/>
      <c r="AC8" s="68" t="s">
        <v>32</v>
      </c>
      <c r="AD8" s="69"/>
      <c r="AE8" s="70">
        <f t="array" ref="AE8">SUMIFS('Post Plants'!$D$2:$D27,'Post Plants'!$B$2:$B27,AC8:AC16,'Post Plants'!$A$2:$A27,$C$3)</f>
        <v>19</v>
      </c>
      <c r="AF8" s="71">
        <v>32.0</v>
      </c>
      <c r="AG8" s="72">
        <v>4.75</v>
      </c>
      <c r="AH8" s="73">
        <f>iferror(SUMIFS('Post Plants'!$F$2:$F27,'Post Plants'!$B$2:$B27,AC8:AC16,'Post Plants'!$A$2:$A27,$C$3)/SUMIFS('Post Plants'!$D$2:$D27,'Post Plants'!$B$2:$B27,AC8:AC16,'Post Plants'!$A$2:$A27,$C$3),)</f>
        <v>0.5263157895</v>
      </c>
      <c r="AI8" s="54">
        <f>iferror(SUMIFS('Post Plants'!$F$2:$F27,'Post Plants'!$B$2:$B27,AC8:AC16)/SUMIFS('Post Plants'!$D$2:$D27,'Post Plants'!$B$2:$B27,AC8:AC16),)</f>
        <v>0.7329192547</v>
      </c>
      <c r="AJ8" s="55">
        <f t="array" ref="AJ8">XLOOKUP($C$3,'Post Ranking'!H3:H27,'Post Ranking'!$F$3:$F27)</f>
        <v>14</v>
      </c>
      <c r="AK8" s="56">
        <f t="array" ref="AK8">SUMIFS('Post Plants'!$J$2:$J27,'Post Plants'!$B$2:$B27,AC8:AC16,'Post Plants'!$A$2:$A27,$C$3)</f>
        <v>26</v>
      </c>
      <c r="AL8" s="57">
        <v>48.0</v>
      </c>
      <c r="AM8" s="74">
        <v>6.5</v>
      </c>
      <c r="AN8" s="53">
        <f>iferror(SUMIFS('Post Plants'!$L$2:$L27,'Post Plants'!$B$2:$B27,AC8:AC16,'Post Plants'!$A$2:$A27,$C$3)/SUMIFS('Post Plants'!$J$2:$J27,'Post Plants'!$B$2:$B27,AC8:AC16,'Post Plants'!$A$2:$A27,$C$3),)</f>
        <v>0.3461538462</v>
      </c>
      <c r="AO8" s="75">
        <f>iferror(SUMIFS('Post Plants'!$L$2:$L27,'Post Plants'!$B$2:$B27,AC8:AC16)/SUMIFS('Post Plants'!$J$2:$J27,'Post Plants'!$B$2:$B27,AC8:AC16),)</f>
        <v>0.3682926829</v>
      </c>
      <c r="AP8" s="76">
        <f t="array" ref="AP8">XLOOKUP(C3,'Post Ranking'!S3:S27,'Post Ranking'!F3:F27)</f>
        <v>9</v>
      </c>
      <c r="AQ8" s="62"/>
      <c r="AR8" s="62"/>
    </row>
    <row r="9" ht="19.5" customHeight="1">
      <c r="A9" s="7"/>
      <c r="B9" s="34" t="s">
        <v>33</v>
      </c>
      <c r="C9" s="77" t="s">
        <v>34</v>
      </c>
      <c r="D9" s="78" t="str">
        <f>IFERROR(__xludf.DUMMYFUNCTION("""COMPUTED_VALUE"""),"")</f>
        <v/>
      </c>
      <c r="E9" s="79" t="str">
        <f>IFERROR(__xludf.DUMMYFUNCTION("""COMPUTED_VALUE"""),"")</f>
        <v/>
      </c>
      <c r="F9" s="79" t="str">
        <f>IFERROR(__xludf.DUMMYFUNCTION("""COMPUTED_VALUE"""),"")</f>
        <v/>
      </c>
      <c r="G9" s="79" t="str">
        <f>IFERROR(__xludf.DUMMYFUNCTION("""COMPUTED_VALUE"""),"")</f>
        <v/>
      </c>
      <c r="H9" s="80" t="str">
        <f>IFERROR(__xludf.DUMMYFUNCTION("""COMPUTED_VALUE"""),"")</f>
        <v/>
      </c>
      <c r="I9" s="37">
        <v>1.0</v>
      </c>
      <c r="J9" s="39">
        <v>1.0</v>
      </c>
      <c r="K9" s="81">
        <v>1.0</v>
      </c>
      <c r="L9" s="82">
        <v>0.0</v>
      </c>
      <c r="M9" s="64">
        <v>0.6190476190476191</v>
      </c>
      <c r="N9" s="65">
        <v>0.8888888888888888</v>
      </c>
      <c r="O9" s="66">
        <v>0.4166666666666667</v>
      </c>
      <c r="P9" s="67">
        <v>0.5</v>
      </c>
      <c r="Q9" s="65">
        <v>1.0</v>
      </c>
      <c r="R9" s="66">
        <v>0.0</v>
      </c>
      <c r="S9" s="42">
        <f>iferror(SUMIFS('Gun v Gun'!$C$2:$C27,'Gun v Gun'!$A$2:$A27,$C$3,'Gun v Gun'!$B$2:$B27,C9)/(SUMIFS('Gun v Gun'!$C$2:$C27,'Gun v Gun'!$A$2:$A27,$C$3,'Gun v Gun'!$B$2:$B27,C9)+SUMIFS('Gun v Gun'!$D$2:$D27,'Gun v Gun'!$A$2:$A27,$C$3,'Gun v Gun'!$B$2:$B27,C9)),)</f>
        <v>0.6470588235</v>
      </c>
      <c r="T9" s="43">
        <f>iferror(SUMIFS('Gun v Gun'!$C$2:$C27,'Gun v Gun'!$A$2:$A27,$C$3,'Gun v Gun'!$B$2:$B27,C9,'Gun v Gun'!$F$2:$F27,"atk")/(SUMIFS('Gun v Gun'!$C$2:$C27,'Gun v Gun'!$A$2:$A27,$C$3,'Gun v Gun'!$B$2:$B27,C9,'Gun v Gun'!$F$2:$F27,"atk")+SUMIFS('Gun v Gun'!$D$2:$D27,'Gun v Gun'!$A$2:$A27,$C$3,'Gun v Gun'!$B$2:$B27,C9,'Gun v Gun'!$F$2:$F27,"atk")),)</f>
        <v>0.8571428571</v>
      </c>
      <c r="U9" s="44">
        <f>iferror(SUMIFS('Gun v Gun'!$C$2:$C27,'Gun v Gun'!$A$2:$A27,$C$3,'Gun v Gun'!$B$2:$B27,C9,'Gun v Gun'!$F$2:$F27,"def")/(SUMIFS('Gun v Gun'!$C$2:$C27,'Gun v Gun'!$A$2:$A27,$C$3,'Gun v Gun'!$B$2:$B27,C9,'Gun v Gun'!$F$2:$F27,"def")+SUMIFS('Gun v Gun'!$D$2:$D27,'Gun v Gun'!$A$2:$A27,$C$3,'Gun v Gun'!$B$2:$B27,C9,'Gun v Gun'!$F$2:$F27,"def")),)</f>
        <v>0.5</v>
      </c>
      <c r="V9" s="42">
        <f>iferror(SUMIFS(Antieco!$C$2:$C27,Antieco!$A$2:$A27,$C$3,Antieco!$B$2:$B27,C9)/(SUMIFS(Antieco!$C$2:$C27,Antieco!$A$2:$A27,$C$3,Antieco!$B$2:$B27,C9)+SUMIFS(Antieco!$D$2:$D27,Antieco!$A$2:$A27,$C$3,Antieco!$B$2:$B27,C9)),)</f>
        <v>1</v>
      </c>
      <c r="W9" s="43" t="str">
        <f>iferror(SUMIFS(Antieco!$C$2:$C27,Antieco!$A$2:$A27,$C$3,Antieco!$B$2:$B27,C9,Antieco!$F$2:$F27,"atk")/(SUMIFS(Antieco!$C$2:$C27,Antieco!$A$2:$A27,$C$3,Antieco!$B$2:$B27,C9,Antieco!$F$2:$F27,"atk")+SUMIFS(Antieco!$D$2:$D27,Antieco!$A$2:$A27,$C$3,Antieco!$B$2:$B27,C9,Antieco!$F$2:$F27,"atk")),)</f>
        <v/>
      </c>
      <c r="X9" s="44">
        <f>iferror(SUMIFS(Antieco!$C$2:$C27,Antieco!$A$2:$A27,$C$3,Antieco!$B$2:$B27,C9,Antieco!$F$2:$F27,"def")/(SUMIFS(Antieco!$C$2:$C27,Antieco!$A$2:$A27,$C$3,Antieco!$B$2:$B27,C9,Antieco!$F$2:$F27,"def")+SUMIFS(Antieco!$D$2:$D27,Antieco!$A$2:$A27,$C$3,Antieco!$B$2:$B27,C9,Antieco!$F$2:$F27,"def")),)</f>
        <v>1</v>
      </c>
      <c r="Y9" s="45">
        <f>iferror(SUMIFS(ecos!$C$2:$C27,ecos!$A$2:$A27,$C$3,ecos!$B$2:$B27,C9)/(SUMIFS(ecos!$C$2:$C27,ecos!$A$2:$A27,$C$3,ecos!$B$2:$B27,C9)+SUMIFS(ecos!$D$2:$D27,ecos!$A$2:$A27,$C$3,ecos!$B$2:$B27,C9)),)</f>
        <v>0</v>
      </c>
      <c r="Z9" s="65" t="str">
        <f>iferror(SUMIFS(ecos!$C$2:$C27,ecos!$A$2:$A27,$C$3,ecos!$B$2:$B27,C9,ecos!$F$2:$F27,"atk")/(SUMIFS(ecos!$C$2:$C27,ecos!$A$2:$A27,$C$3,ecos!$B$2:$B27,C9,ecos!$F$2:$F27,"atk")+SUMIFS(ecos!$D$2:$D27,ecos!$A$2:$A27,$C$3,ecos!$B$2:$B27,C9,ecos!$F$2:$F27,"atk")),)</f>
        <v/>
      </c>
      <c r="AA9" s="47">
        <f>iferror(SUMIFS(ecos!$C$2:$C27,ecos!$A$2:$A27,$C$3,ecos!$B$2:$B27,C9,ecos!$F$2:$F27,"def")/(SUMIFS(ecos!$C$2:$C27,ecos!$A$2:$A27,$C$3,ecos!$B$2:$B27,C9,ecos!$F$2:$F27,"def")+SUMIFS(ecos!$D$2:$D27,ecos!$A$2:$A27,$C$3,ecos!$B$2:$B27,C9,ecos!$F$2:$F27,"def")),)</f>
        <v>0</v>
      </c>
      <c r="AB9" s="7"/>
      <c r="AC9" s="68" t="s">
        <v>34</v>
      </c>
      <c r="AD9" s="69"/>
      <c r="AE9" s="70">
        <f t="array" ref="AE9">SUMIFS('Post Plants'!$D$2:$D27,'Post Plants'!$B$2:$B27,AC9:AC17,'Post Plants'!$A$2:$A27,$C$3)</f>
        <v>9</v>
      </c>
      <c r="AF9" s="71">
        <v>9.0</v>
      </c>
      <c r="AG9" s="72">
        <v>9.0</v>
      </c>
      <c r="AH9" s="73">
        <f>iferror(SUMIFS('Post Plants'!$F$2:$F27,'Post Plants'!$B$2:$B27,AC9:AC17,'Post Plants'!$A$2:$A27,$C$3)/SUMIFS('Post Plants'!$D$2:$D27,'Post Plants'!$B$2:$B27,AC9:AC17,'Post Plants'!$A$2:$A27,$C$3),)</f>
        <v>0.8888888889</v>
      </c>
      <c r="AI9" s="83">
        <f>iferror(SUMIFS('Post Plants'!$F$2:$F27,'Post Plants'!$B$2:$B27,AC9:AC17)/SUMIFS('Post Plants'!$D$2:$D27,'Post Plants'!$B$2:$B27,AC9:AC17),)</f>
        <v>0.7772277228</v>
      </c>
      <c r="AJ9" s="55">
        <f t="array" ref="AJ9">XLOOKUP($C$3,'Post Ranking'!I3:I27,'Post Ranking'!$F$3:$F27)</f>
        <v>3</v>
      </c>
      <c r="AK9" s="56">
        <f t="array" ref="AK9">SUMIFS('Post Plants'!$J$2:$J27,'Post Plants'!$B$2:$B27,AC9:AC17,'Post Plants'!$A$2:$A27,$C$3)</f>
        <v>10</v>
      </c>
      <c r="AL9" s="57">
        <v>12.0</v>
      </c>
      <c r="AM9" s="74">
        <v>10.0</v>
      </c>
      <c r="AN9" s="53">
        <f>iferror(SUMIFS('Post Plants'!$L$2:$L27,'Post Plants'!$B$2:$B27,AC9:AC17,'Post Plants'!$A$2:$A27,$C$3)/SUMIFS('Post Plants'!$J$2:$J27,'Post Plants'!$B$2:$B27,AC9:AC17,'Post Plants'!$A$2:$A27,$C$3),)</f>
        <v>0.3</v>
      </c>
      <c r="AO9" s="75">
        <f>iferror(SUMIFS('Post Plants'!$L$2:$L27,'Post Plants'!$B$2:$B27,AC9:AC17)/SUMIFS('Post Plants'!$J$2:$J27,'Post Plants'!$B$2:$B27,AC9:AC17),)</f>
        <v>0.3238636364</v>
      </c>
      <c r="AP9" s="76">
        <f t="array" ref="AP9">XLOOKUP(C3,'Post Ranking'!T3:T27,'Post Ranking'!F3:F27)</f>
        <v>8</v>
      </c>
      <c r="AQ9" s="62"/>
      <c r="AR9" s="62"/>
    </row>
    <row r="10" ht="19.5" customHeight="1">
      <c r="A10" s="7"/>
      <c r="B10" s="34" t="s">
        <v>35</v>
      </c>
      <c r="C10" s="77" t="s">
        <v>36</v>
      </c>
      <c r="D10" s="78" t="str">
        <f>IFERROR(__xludf.DUMMYFUNCTION("""COMPUTED_VALUE"""),"")</f>
        <v/>
      </c>
      <c r="E10" s="79" t="str">
        <f>IFERROR(__xludf.DUMMYFUNCTION("""COMPUTED_VALUE"""),"")</f>
        <v/>
      </c>
      <c r="F10" s="79" t="str">
        <f>IFERROR(__xludf.DUMMYFUNCTION("""COMPUTED_VALUE"""),"")</f>
        <v/>
      </c>
      <c r="G10" s="79" t="str">
        <f>IFERROR(__xludf.DUMMYFUNCTION("""COMPUTED_VALUE"""),"")</f>
        <v/>
      </c>
      <c r="H10" s="80" t="str">
        <f>IFERROR(__xludf.DUMMYFUNCTION("""COMPUTED_VALUE"""),"")</f>
        <v/>
      </c>
      <c r="I10" s="37">
        <v>1.0</v>
      </c>
      <c r="J10" s="39">
        <v>1.0</v>
      </c>
      <c r="K10" s="81">
        <v>1.0</v>
      </c>
      <c r="L10" s="82">
        <v>0.0</v>
      </c>
      <c r="M10" s="64">
        <v>0.5909090909090909</v>
      </c>
      <c r="N10" s="65">
        <v>0.4166666666666667</v>
      </c>
      <c r="O10" s="66">
        <v>0.8</v>
      </c>
      <c r="P10" s="67">
        <v>0.5</v>
      </c>
      <c r="Q10" s="65">
        <v>0.0</v>
      </c>
      <c r="R10" s="66">
        <v>1.0</v>
      </c>
      <c r="S10" s="42">
        <f>iferror(SUMIFS('Gun v Gun'!$C$2:$C27,'Gun v Gun'!$A$2:$A27,$C$3,'Gun v Gun'!$B$2:$B27,C10)/(SUMIFS('Gun v Gun'!$C$2:$C27,'Gun v Gun'!$A$2:$A27,$C$3,'Gun v Gun'!$B$2:$B27,C10)+SUMIFS('Gun v Gun'!$D$2:$D27,'Gun v Gun'!$A$2:$A27,$C$3,'Gun v Gun'!$B$2:$B27,C10)),)</f>
        <v>0.625</v>
      </c>
      <c r="T10" s="43">
        <f>iferror(SUMIFS('Gun v Gun'!$C$2:$C27,'Gun v Gun'!$A$2:$A27,$C$3,'Gun v Gun'!$B$2:$B27,C10,'Gun v Gun'!$F$2:$F27,"atk")/(SUMIFS('Gun v Gun'!$C$2:$C27,'Gun v Gun'!$A$2:$A27,$C$3,'Gun v Gun'!$B$2:$B27,C10,'Gun v Gun'!$F$2:$F27,"atk")+SUMIFS('Gun v Gun'!$D$2:$D27,'Gun v Gun'!$A$2:$A27,$C$3,'Gun v Gun'!$B$2:$B27,C10,'Gun v Gun'!$F$2:$F27,"atk")),)</f>
        <v>0.5555555556</v>
      </c>
      <c r="U10" s="44">
        <f>iferror(SUMIFS('Gun v Gun'!$C$2:$C27,'Gun v Gun'!$A$2:$A27,$C$3,'Gun v Gun'!$B$2:$B27,C10,'Gun v Gun'!$F$2:$F27,"def")/(SUMIFS('Gun v Gun'!$C$2:$C27,'Gun v Gun'!$A$2:$A27,$C$3,'Gun v Gun'!$B$2:$B27,C10,'Gun v Gun'!$F$2:$F27,"def")+SUMIFS('Gun v Gun'!$D$2:$D27,'Gun v Gun'!$A$2:$A27,$C$3,'Gun v Gun'!$B$2:$B27,C10,'Gun v Gun'!$F$2:$F27,"def")),)</f>
        <v>0.7142857143</v>
      </c>
      <c r="V10" s="42">
        <f>iferror(SUMIFS(Antieco!$C$2:$C27,Antieco!$A$2:$A27,$C$3,Antieco!$B$2:$B27,C10)/(SUMIFS(Antieco!$C$2:$C27,Antieco!$A$2:$A27,$C$3,Antieco!$B$2:$B27,C10)+SUMIFS(Antieco!$D$2:$D27,Antieco!$A$2:$A27,$C$3,Antieco!$B$2:$B27,C10)),)</f>
        <v>1</v>
      </c>
      <c r="W10" s="43">
        <f>iferror(SUMIFS(Antieco!$C$2:$C27,Antieco!$A$2:$A27,$C$3,Antieco!$B$2:$B27,C10,Antieco!$F$2:$F27,"atk")/(SUMIFS(Antieco!$C$2:$C27,Antieco!$A$2:$A27,$C$3,Antieco!$B$2:$B27,C10,Antieco!$F$2:$F27,"atk")+SUMIFS(Antieco!$D$2:$D27,Antieco!$A$2:$A27,$C$3,Antieco!$B$2:$B27,C10,Antieco!$F$2:$F27,"atk")),)</f>
        <v>1</v>
      </c>
      <c r="X10" s="44" t="str">
        <f>iferror(SUMIFS(Antieco!$C$2:$C27,Antieco!$A$2:$A27,$C$3,Antieco!$B$2:$B27,C10,Antieco!$F$2:$F27,"def")/(SUMIFS(Antieco!$C$2:$C27,Antieco!$A$2:$A27,$C$3,Antieco!$B$2:$B27,C10,Antieco!$F$2:$F27,"def")+SUMIFS(Antieco!$D$2:$D27,Antieco!$A$2:$A27,$C$3,Antieco!$B$2:$B27,C10,Antieco!$F$2:$F27,"def")),)</f>
        <v/>
      </c>
      <c r="Y10" s="45">
        <f>iferror(SUMIFS(ecos!$C$2:$C27,ecos!$A$2:$A27,$C$3,ecos!$B$2:$B27,C10)/(SUMIFS(ecos!$C$2:$C27,ecos!$A$2:$A27,$C$3,ecos!$B$2:$B27,C10)+SUMIFS(ecos!$D$2:$D27,ecos!$A$2:$A27,$C$3,ecos!$B$2:$B27,C10)),)</f>
        <v>0.3333333333</v>
      </c>
      <c r="Z10" s="65">
        <f>iferror(SUMIFS(ecos!$C$2:$C27,ecos!$A$2:$A27,$C$3,ecos!$B$2:$B27,C10,ecos!$F$2:$F27,"atk")/(SUMIFS(ecos!$C$2:$C27,ecos!$A$2:$A27,$C$3,ecos!$B$2:$B27,C10,ecos!$F$2:$F27,"atk")+SUMIFS(ecos!$D$2:$D27,ecos!$A$2:$A27,$C$3,ecos!$B$2:$B27,C10,ecos!$F$2:$F27,"atk")),)</f>
        <v>0</v>
      </c>
      <c r="AA10" s="47">
        <f>iferror(SUMIFS(ecos!$C$2:$C27,ecos!$A$2:$A27,$C$3,ecos!$B$2:$B27,C10,ecos!$F$2:$F27,"def")/(SUMIFS(ecos!$C$2:$C27,ecos!$A$2:$A27,$C$3,ecos!$B$2:$B27,C10,ecos!$F$2:$F27,"def")+SUMIFS(ecos!$D$2:$D27,ecos!$A$2:$A27,$C$3,ecos!$B$2:$B27,C10,ecos!$F$2:$F27,"def")),)</f>
        <v>1</v>
      </c>
      <c r="AB10" s="7"/>
      <c r="AC10" s="68" t="s">
        <v>36</v>
      </c>
      <c r="AD10" s="69"/>
      <c r="AE10" s="70">
        <f t="array" ref="AE10">SUMIFS('Post Plants'!$D$2:$D27,'Post Plants'!$B$2:$B27,AC10:AC18,'Post Plants'!$A$2:$A27,$C$3)</f>
        <v>7</v>
      </c>
      <c r="AF10" s="71">
        <v>12.0</v>
      </c>
      <c r="AG10" s="72">
        <v>7.0</v>
      </c>
      <c r="AH10" s="73">
        <f>iferror(SUMIFS('Post Plants'!$F$2:$F27,'Post Plants'!$B$2:$B27,AC10:AC18,'Post Plants'!$A$2:$A27,$C$3)/SUMIFS('Post Plants'!$D$2:$D27,'Post Plants'!$B$2:$B27,AC10:AC18,'Post Plants'!$A$2:$A27,$C$3),)</f>
        <v>0.7142857143</v>
      </c>
      <c r="AI10" s="83">
        <f>iferror(SUMIFS('Post Plants'!$F$2:$F27,'Post Plants'!$B$2:$B27,AC10:AC18)/SUMIFS('Post Plants'!$D$2:$D27,'Post Plants'!$B$2:$B27,AC10:AC18),)</f>
        <v>0.6594827586</v>
      </c>
      <c r="AJ10" s="55">
        <f t="array" ref="AJ10">XLOOKUP($C$3,'Post Ranking'!J3:J27,'Post Ranking'!$F$3:$F27)</f>
        <v>5</v>
      </c>
      <c r="AK10" s="56">
        <f t="array" ref="AK10">SUMIFS('Post Plants'!$J$2:$J27,'Post Plants'!$B$2:$B27,AC10:AC18,'Post Plants'!$A$2:$A27,$C$3)</f>
        <v>7</v>
      </c>
      <c r="AL10" s="57">
        <v>10.0</v>
      </c>
      <c r="AM10" s="74">
        <v>7.0</v>
      </c>
      <c r="AN10" s="53">
        <f>iferror(SUMIFS('Post Plants'!$L$2:$L27,'Post Plants'!$B$2:$B27,AC10:AC18,'Post Plants'!$A$2:$A27,$C$3)/SUMIFS('Post Plants'!$J$2:$J27,'Post Plants'!$B$2:$B27,AC10:AC18,'Post Plants'!$A$2:$A27,$C$3),)</f>
        <v>0.7142857143</v>
      </c>
      <c r="AO10" s="75">
        <f>iferror(SUMIFS('Post Plants'!$L$2:$L27,'Post Plants'!$B$2:$B27,AC10:AC18)/SUMIFS('Post Plants'!$J$2:$J27,'Post Plants'!$B$2:$B27,AC10:AC18),)</f>
        <v>0.3948497854</v>
      </c>
      <c r="AP10" s="76">
        <f t="array" ref="AP10">XLOOKUP(C3,'Post Ranking'!U3:U27,'Post Ranking'!F3:F27)</f>
        <v>1</v>
      </c>
      <c r="AQ10" s="62"/>
      <c r="AR10" s="62"/>
    </row>
    <row r="11" ht="19.5" customHeight="1">
      <c r="A11" s="7"/>
      <c r="B11" s="34" t="s">
        <v>37</v>
      </c>
      <c r="C11" s="77" t="s">
        <v>38</v>
      </c>
      <c r="D11" s="84" t="str">
        <f>IFERROR(__xludf.DUMMYFUNCTION("""COMPUTED_VALUE"""),"")</f>
        <v/>
      </c>
      <c r="E11" s="79" t="str">
        <f>IFERROR(__xludf.DUMMYFUNCTION("""COMPUTED_VALUE"""),"")</f>
        <v/>
      </c>
      <c r="F11" s="79" t="str">
        <f>IFERROR(__xludf.DUMMYFUNCTION("""COMPUTED_VALUE"""),"")</f>
        <v/>
      </c>
      <c r="G11" s="79" t="str">
        <f>IFERROR(__xludf.DUMMYFUNCTION("""COMPUTED_VALUE"""),"")</f>
        <v/>
      </c>
      <c r="H11" s="80" t="str">
        <f>IFERROR(__xludf.DUMMYFUNCTION("""COMPUTED_VALUE"""),"")</f>
        <v/>
      </c>
      <c r="I11" s="37">
        <v>2.0</v>
      </c>
      <c r="J11" s="39">
        <v>2.0</v>
      </c>
      <c r="K11" s="81">
        <v>1.0</v>
      </c>
      <c r="L11" s="82">
        <v>1.0</v>
      </c>
      <c r="M11" s="64">
        <v>0.5681818181818182</v>
      </c>
      <c r="N11" s="65">
        <v>0.56</v>
      </c>
      <c r="O11" s="66">
        <v>0.5789473684210527</v>
      </c>
      <c r="P11" s="67">
        <v>1.0</v>
      </c>
      <c r="Q11" s="65">
        <v>1.0</v>
      </c>
      <c r="R11" s="66">
        <v>1.0</v>
      </c>
      <c r="S11" s="42">
        <f>iferror(SUMIFS('Gun v Gun'!$C$2:$C27,'Gun v Gun'!$A$2:$A27,$C$3,'Gun v Gun'!$B$2:$B27,C11)/(SUMIFS('Gun v Gun'!$C$2:$C27,'Gun v Gun'!$A$2:$A27,$C$3,'Gun v Gun'!$B$2:$B27,C11)+SUMIFS('Gun v Gun'!$D$2:$D27,'Gun v Gun'!$A$2:$A27,$C$3,'Gun v Gun'!$B$2:$B27,C11)),)</f>
        <v>0.4375</v>
      </c>
      <c r="T11" s="43">
        <f>iferror(SUMIFS('Gun v Gun'!$C$2:$C27,'Gun v Gun'!$A$2:$A27,$C$3,'Gun v Gun'!$B$2:$B27,C11,'Gun v Gun'!$F$2:$F27,"atk")/(SUMIFS('Gun v Gun'!$C$2:$C27,'Gun v Gun'!$A$2:$A27,$C$3,'Gun v Gun'!$B$2:$B27,C11,'Gun v Gun'!$F$2:$F27,"atk")+SUMIFS('Gun v Gun'!$D$2:$D27,'Gun v Gun'!$A$2:$A27,$C$3,'Gun v Gun'!$B$2:$B27,C11,'Gun v Gun'!$F$2:$F27,"atk")),)</f>
        <v>0.4444444444</v>
      </c>
      <c r="U11" s="44">
        <f>iferror(SUMIFS('Gun v Gun'!$C$2:$C27,'Gun v Gun'!$A$2:$A27,$C$3,'Gun v Gun'!$B$2:$B27,C11,'Gun v Gun'!$F$2:$F27,"def")/(SUMIFS('Gun v Gun'!$C$2:$C27,'Gun v Gun'!$A$2:$A27,$C$3,'Gun v Gun'!$B$2:$B27,C11,'Gun v Gun'!$F$2:$F27,"def")+SUMIFS('Gun v Gun'!$D$2:$D27,'Gun v Gun'!$A$2:$A27,$C$3,'Gun v Gun'!$B$2:$B27,C11,'Gun v Gun'!$F$2:$F27,"def")),)</f>
        <v>0.4285714286</v>
      </c>
      <c r="V11" s="42">
        <f>iferror(SUMIFS(Antieco!$C$2:$C27,Antieco!$A$2:$A27,$C$3,Antieco!$B$2:$B27,C11)/(SUMIFS(Antieco!$C$2:$C27,Antieco!$A$2:$A27,$C$3,Antieco!$B$2:$B27,C11)+SUMIFS(Antieco!$D$2:$D27,Antieco!$A$2:$A27,$C$3,Antieco!$B$2:$B27,C11)),)</f>
        <v>1</v>
      </c>
      <c r="W11" s="43">
        <f>iferror(SUMIFS(Antieco!$C$2:$C27,Antieco!$A$2:$A27,$C$3,Antieco!$B$2:$B27,C11,Antieco!$F$2:$F27,"atk")/(SUMIFS(Antieco!$C$2:$C27,Antieco!$A$2:$A27,$C$3,Antieco!$B$2:$B27,C11,Antieco!$F$2:$F27,"atk")+SUMIFS(Antieco!$D$2:$D27,Antieco!$A$2:$A27,$C$3,Antieco!$B$2:$B27,C11,Antieco!$F$2:$F27,"atk")),)</f>
        <v>1</v>
      </c>
      <c r="X11" s="44">
        <f>iferror(SUMIFS(Antieco!$C$2:$C27,Antieco!$A$2:$A27,$C$3,Antieco!$B$2:$B27,C11,Antieco!$F$2:$F27,"def")/(SUMIFS(Antieco!$C$2:$C27,Antieco!$A$2:$A27,$C$3,Antieco!$B$2:$B27,C11,Antieco!$F$2:$F27,"def")+SUMIFS(Antieco!$D$2:$D27,Antieco!$A$2:$A27,$C$3,Antieco!$B$2:$B27,C11,Antieco!$F$2:$F27,"def")),)</f>
        <v>1</v>
      </c>
      <c r="Y11" s="45">
        <f>iferror(SUMIFS(ecos!$C$2:$C27,ecos!$A$2:$A27,$C$3,ecos!$B$2:$B27,C11)/(SUMIFS(ecos!$C$2:$C27,ecos!$A$2:$A27,$C$3,ecos!$B$2:$B27,C11)+SUMIFS(ecos!$D$2:$D27,ecos!$A$2:$A27,$C$3,ecos!$B$2:$B27,C11)),)</f>
        <v>0</v>
      </c>
      <c r="Z11" s="65">
        <f>iferror(SUMIFS(ecos!$C$2:$C27,ecos!$A$2:$A27,$C$3,ecos!$B$2:$B27,C11,ecos!$F$2:$F27,"atk")/(SUMIFS(ecos!$C$2:$C27,ecos!$A$2:$A27,$C$3,ecos!$B$2:$B27,C11,ecos!$F$2:$F27,"atk")+SUMIFS(ecos!$D$2:$D27,ecos!$A$2:$A27,$C$3,ecos!$B$2:$B27,C11,ecos!$F$2:$F27,"atk")),)</f>
        <v>0</v>
      </c>
      <c r="AA11" s="47" t="str">
        <f>iferror(SUMIFS(ecos!$C$2:$C27,ecos!$A$2:$A27,$C$3,ecos!$B$2:$B27,C11,ecos!$F$2:$F27,"def")/(SUMIFS(ecos!$C$2:$C27,ecos!$A$2:$A27,$C$3,ecos!$B$2:$B27,C11,ecos!$F$2:$F27,"def")+SUMIFS(ecos!$D$2:$D27,ecos!$A$2:$A27,$C$3,ecos!$B$2:$B27,C11,ecos!$F$2:$F27,"def")),)</f>
        <v/>
      </c>
      <c r="AB11" s="7"/>
      <c r="AC11" s="68" t="s">
        <v>38</v>
      </c>
      <c r="AD11" s="69"/>
      <c r="AE11" s="70">
        <f t="array" ref="AE11">SUMIFS('Post Plants'!$D$2:$D27,'Post Plants'!$B$2:$B27,AC11:AC19,'Post Plants'!$A$2:$A27,$C$3)</f>
        <v>19</v>
      </c>
      <c r="AF11" s="71">
        <v>25.0</v>
      </c>
      <c r="AG11" s="72">
        <v>9.5</v>
      </c>
      <c r="AH11" s="73">
        <f>iferror(SUMIFS('Post Plants'!$F$2:$F27,'Post Plants'!$B$2:$B27,AC11:AC19,'Post Plants'!$A$2:$A27,$C$3)/SUMIFS('Post Plants'!$D$2:$D27,'Post Plants'!$B$2:$B27,AC11:AC19,'Post Plants'!$A$2:$A27,$C$3),)</f>
        <v>0.6315789474</v>
      </c>
      <c r="AI11" s="83">
        <f>iferror(SUMIFS('Post Plants'!$F$2:$F27,'Post Plants'!$B$2:$B27,AC11:AC19)/SUMIFS('Post Plants'!$D$2:$D27,'Post Plants'!$B$2:$B27,AC11:AC19),)</f>
        <v>0.6848958333</v>
      </c>
      <c r="AJ11" s="55">
        <f t="array" ref="AJ11">XLOOKUP($C$3,'Post Ranking'!K3:K27,'Post Ranking'!$F$3:$F27)</f>
        <v>9</v>
      </c>
      <c r="AK11" s="56">
        <f t="array" ref="AK11">SUMIFS('Post Plants'!$J$2:$J27,'Post Plants'!$B$2:$B27,AC11:AC19,'Post Plants'!$A$2:$A27,$C$3)</f>
        <v>9</v>
      </c>
      <c r="AL11" s="57">
        <v>19.0</v>
      </c>
      <c r="AM11" s="74">
        <v>4.5</v>
      </c>
      <c r="AN11" s="53">
        <f>iferror(SUMIFS('Post Plants'!$L$2:$L27,'Post Plants'!$B$2:$B27,AC11:AC19,'Post Plants'!$A$2:$A27,$C$3)/SUMIFS('Post Plants'!$J$2:$J27,'Post Plants'!$B$2:$B27,AC11:AC19,'Post Plants'!$A$2:$A27,$C$3),)</f>
        <v>0.2222222222</v>
      </c>
      <c r="AO11" s="75">
        <f>iferror(SUMIFS('Post Plants'!$L$2:$L27,'Post Plants'!$B$2:$B27,AC11:AC19)/SUMIFS('Post Plants'!$J$2:$J27,'Post Plants'!$B$2:$B27,AC11:AC19),)</f>
        <v>0.3159609121</v>
      </c>
      <c r="AP11" s="76">
        <f t="array" ref="AP11">XLOOKUP(C3,'Post Ranking'!V3:V27,'Post Ranking'!F3:F27)</f>
        <v>13</v>
      </c>
      <c r="AQ11" s="62"/>
      <c r="AR11" s="62"/>
    </row>
    <row r="12" ht="19.5" customHeight="1">
      <c r="A12" s="7"/>
      <c r="B12" s="34" t="s">
        <v>39</v>
      </c>
      <c r="C12" s="77" t="s">
        <v>40</v>
      </c>
      <c r="D12" s="84" t="str">
        <f>IFERROR(__xludf.DUMMYFUNCTION("""COMPUTED_VALUE"""),"")</f>
        <v/>
      </c>
      <c r="E12" s="79" t="str">
        <f>IFERROR(__xludf.DUMMYFUNCTION("""COMPUTED_VALUE"""),"")</f>
        <v/>
      </c>
      <c r="F12" s="79" t="str">
        <f>IFERROR(__xludf.DUMMYFUNCTION("""COMPUTED_VALUE"""),"")</f>
        <v/>
      </c>
      <c r="G12" s="79" t="str">
        <f>IFERROR(__xludf.DUMMYFUNCTION("""COMPUTED_VALUE"""),"")</f>
        <v/>
      </c>
      <c r="H12" s="80" t="str">
        <f>IFERROR(__xludf.DUMMYFUNCTION("""COMPUTED_VALUE"""),"")</f>
        <v/>
      </c>
      <c r="I12" s="37">
        <v>3.0</v>
      </c>
      <c r="J12" s="39">
        <v>10.0</v>
      </c>
      <c r="K12" s="81">
        <v>5.0</v>
      </c>
      <c r="L12" s="82">
        <v>5.0</v>
      </c>
      <c r="M12" s="64">
        <v>0.5391705069124424</v>
      </c>
      <c r="N12" s="65">
        <v>0.49074074074074076</v>
      </c>
      <c r="O12" s="66">
        <v>0.5871559633027523</v>
      </c>
      <c r="P12" s="67">
        <v>0.5</v>
      </c>
      <c r="Q12" s="65">
        <v>0.4</v>
      </c>
      <c r="R12" s="66">
        <v>0.6</v>
      </c>
      <c r="S12" s="42">
        <f>iferror(SUMIFS('Gun v Gun'!$C$2:$C27,'Gun v Gun'!$A$2:$A27,$C$3,'Gun v Gun'!$B$2:$B27,C12)/(SUMIFS('Gun v Gun'!$C$2:$C27,'Gun v Gun'!$A$2:$A27,$C$3,'Gun v Gun'!$B$2:$B27,C12)+SUMIFS('Gun v Gun'!$D$2:$D27,'Gun v Gun'!$A$2:$A27,$C$3,'Gun v Gun'!$B$2:$B27,C12)),)</f>
        <v>0.5436241611</v>
      </c>
      <c r="T12" s="43">
        <f>iferror(SUMIFS('Gun v Gun'!$C$2:$C27,'Gun v Gun'!$A$2:$A27,$C$3,'Gun v Gun'!$B$2:$B27,C12,'Gun v Gun'!$F$2:$F27,"atk")/(SUMIFS('Gun v Gun'!$C$2:$C27,'Gun v Gun'!$A$2:$A27,$C$3,'Gun v Gun'!$B$2:$B27,C12,'Gun v Gun'!$F$2:$F27,"atk")+SUMIFS('Gun v Gun'!$D$2:$D27,'Gun v Gun'!$A$2:$A27,$C$3,'Gun v Gun'!$B$2:$B27,C12,'Gun v Gun'!$F$2:$F27,"atk")),)</f>
        <v>0.4931506849</v>
      </c>
      <c r="U12" s="44">
        <f>iferror(SUMIFS('Gun v Gun'!$C$2:$C27,'Gun v Gun'!$A$2:$A27,$C$3,'Gun v Gun'!$B$2:$B27,C12,'Gun v Gun'!$F$2:$F27,"def")/(SUMIFS('Gun v Gun'!$C$2:$C27,'Gun v Gun'!$A$2:$A27,$C$3,'Gun v Gun'!$B$2:$B27,C12,'Gun v Gun'!$F$2:$F27,"def")+SUMIFS('Gun v Gun'!$D$2:$D27,'Gun v Gun'!$A$2:$A27,$C$3,'Gun v Gun'!$B$2:$B27,C12,'Gun v Gun'!$F$2:$F27,"def")),)</f>
        <v>0.5921052632</v>
      </c>
      <c r="V12" s="42">
        <f>iferror(SUMIFS(Antieco!$C$2:$C27,Antieco!$A$2:$A27,$C$3,Antieco!$B$2:$B27,C12)/(SUMIFS(Antieco!$C$2:$C27,Antieco!$A$2:$A27,$C$3,Antieco!$B$2:$B27,C12)+SUMIFS(Antieco!$D$2:$D27,Antieco!$A$2:$A27,$C$3,Antieco!$B$2:$B27,C12)),)</f>
        <v>0.8928571429</v>
      </c>
      <c r="W12" s="43">
        <f>iferror(SUMIFS(Antieco!$C$2:$C27,Antieco!$A$2:$A27,$C$3,Antieco!$B$2:$B27,C12,Antieco!$F$2:$F27,"atk")/(SUMIFS(Antieco!$C$2:$C27,Antieco!$A$2:$A27,$C$3,Antieco!$B$2:$B27,C12,Antieco!$F$2:$F27,"atk")+SUMIFS(Antieco!$D$2:$D27,Antieco!$A$2:$A27,$C$3,Antieco!$B$2:$B27,C12,Antieco!$F$2:$F27,"atk")),)</f>
        <v>0.8571428571</v>
      </c>
      <c r="X12" s="44">
        <f>iferror(SUMIFS(Antieco!$C$2:$C27,Antieco!$A$2:$A27,$C$3,Antieco!$B$2:$B27,C12,Antieco!$F$2:$F27,"def")/(SUMIFS(Antieco!$C$2:$C27,Antieco!$A$2:$A27,$C$3,Antieco!$B$2:$B27,C12,Antieco!$F$2:$F27,"def")+SUMIFS(Antieco!$D$2:$D27,Antieco!$A$2:$A27,$C$3,Antieco!$B$2:$B27,C12,Antieco!$F$2:$F27,"def")),)</f>
        <v>0.9285714286</v>
      </c>
      <c r="Y12" s="45">
        <f>iferror(SUMIFS(ecos!$C$2:$C27,ecos!$A$2:$A27,$C$3,ecos!$B$2:$B27,C12)/(SUMIFS(ecos!$C$2:$C27,ecos!$A$2:$A27,$C$3,ecos!$B$2:$B27,C12)+SUMIFS(ecos!$D$2:$D27,ecos!$A$2:$A27,$C$3,ecos!$B$2:$B27,C12)),)</f>
        <v>0.05</v>
      </c>
      <c r="Z12" s="65">
        <f>iferror(SUMIFS(ecos!$C$2:$C27,ecos!$A$2:$A27,$C$3,ecos!$B$2:$B27,C12,ecos!$F$2:$F27,"atk")/(SUMIFS(ecos!$C$2:$C27,ecos!$A$2:$A27,$C$3,ecos!$B$2:$B27,C12,ecos!$F$2:$F27,"atk")+SUMIFS(ecos!$D$2:$D27,ecos!$A$2:$A27,$C$3,ecos!$B$2:$B27,C12,ecos!$F$2:$F27,"atk")),)</f>
        <v>0</v>
      </c>
      <c r="AA12" s="47">
        <f>iferror(SUMIFS(ecos!$C$2:$C27,ecos!$A$2:$A27,$C$3,ecos!$B$2:$B27,C12,ecos!$F$2:$F27,"def")/(SUMIFS(ecos!$C$2:$C27,ecos!$A$2:$A27,$C$3,ecos!$B$2:$B27,C12,ecos!$F$2:$F27,"def")+SUMIFS(ecos!$D$2:$D27,ecos!$A$2:$A27,$C$3,ecos!$B$2:$B27,C12,ecos!$F$2:$F27,"def")),)</f>
        <v>0.1111111111</v>
      </c>
      <c r="AB12" s="7"/>
      <c r="AC12" s="68" t="s">
        <v>40</v>
      </c>
      <c r="AD12" s="69"/>
      <c r="AE12" s="70">
        <f t="array" ref="AE12">SUMIFS('Post Plants'!$D$2:$D27,'Post Plants'!$B$2:$B27,AC12:AC20,'Post Plants'!$A$2:$A27,$C$3)</f>
        <v>73</v>
      </c>
      <c r="AF12" s="71">
        <v>108.0</v>
      </c>
      <c r="AG12" s="72">
        <v>7.3</v>
      </c>
      <c r="AH12" s="73">
        <f>iferror(SUMIFS('Post Plants'!$F$2:$F27,'Post Plants'!$B$2:$B27,AC12:AC20,'Post Plants'!$A$2:$A27,$C$3)/SUMIFS('Post Plants'!$D$2:$D27,'Post Plants'!$B$2:$B27,AC12:AC20,'Post Plants'!$A$2:$A27,$C$3),)</f>
        <v>0.6438356164</v>
      </c>
      <c r="AI12" s="83">
        <f>iferror(SUMIFS('Post Plants'!$F$2:$F27,'Post Plants'!$B$2:$B27,AC12:AC20)/SUMIFS('Post Plants'!$D$2:$D27,'Post Plants'!$B$2:$B27,AC12:AC20),)</f>
        <v>0.7020648968</v>
      </c>
      <c r="AJ12" s="55">
        <f t="array" ref="AJ12">XLOOKUP($C$3,'Post Ranking'!L3:L27,'Post Ranking'!$F$3:$F27)</f>
        <v>12</v>
      </c>
      <c r="AK12" s="56">
        <f t="array" ref="AK12">SUMIFS('Post Plants'!$J$2:$J27,'Post Plants'!$B$2:$B27,AC12:AC20,'Post Plants'!$A$2:$A27,$C$3)</f>
        <v>68</v>
      </c>
      <c r="AL12" s="57">
        <v>109.0</v>
      </c>
      <c r="AM12" s="74">
        <v>6.8</v>
      </c>
      <c r="AN12" s="53">
        <f>iferror(SUMIFS('Post Plants'!$L$2:$L27,'Post Plants'!$B$2:$B27,AC12:AC20,'Post Plants'!$A$2:$A27,$C$3)/SUMIFS('Post Plants'!$J$2:$J27,'Post Plants'!$B$2:$B27,AC12:AC20,'Post Plants'!$A$2:$A27,$C$3),)</f>
        <v>0.3676470588</v>
      </c>
      <c r="AO12" s="75">
        <f>iferror(SUMIFS('Post Plants'!$L$2:$L27,'Post Plants'!$B$2:$B27,AC12:AC20)/SUMIFS('Post Plants'!$J$2:$J27,'Post Plants'!$B$2:$B27,AC12:AC20),)</f>
        <v>0.3634920635</v>
      </c>
      <c r="AP12" s="76">
        <f t="array" ref="AP12">XLOOKUP(C3,'Post Ranking'!W3:W27,'Post Ranking'!F3:F27)</f>
        <v>8</v>
      </c>
      <c r="AQ12" s="62"/>
      <c r="AR12" s="62"/>
    </row>
    <row r="13" ht="19.5" customHeight="1">
      <c r="A13" s="7"/>
      <c r="B13" s="34" t="s">
        <v>41</v>
      </c>
      <c r="C13" s="77" t="s">
        <v>42</v>
      </c>
      <c r="D13" s="84" t="str">
        <f>IFERROR(__xludf.DUMMYFUNCTION("""COMPUTED_VALUE"""),"")</f>
        <v/>
      </c>
      <c r="E13" s="79" t="str">
        <f>IFERROR(__xludf.DUMMYFUNCTION("""COMPUTED_VALUE"""),"")</f>
        <v/>
      </c>
      <c r="F13" s="79" t="str">
        <f>IFERROR(__xludf.DUMMYFUNCTION("""COMPUTED_VALUE"""),"")</f>
        <v/>
      </c>
      <c r="G13" s="79" t="str">
        <f>IFERROR(__xludf.DUMMYFUNCTION("""COMPUTED_VALUE"""),"")</f>
        <v/>
      </c>
      <c r="H13" s="80" t="str">
        <f>IFERROR(__xludf.DUMMYFUNCTION("""COMPUTED_VALUE"""),"")</f>
        <v/>
      </c>
      <c r="I13" s="37">
        <v>6.0</v>
      </c>
      <c r="J13" s="39">
        <v>6.0</v>
      </c>
      <c r="K13" s="81">
        <v>4.0</v>
      </c>
      <c r="L13" s="82">
        <v>2.0</v>
      </c>
      <c r="M13" s="64">
        <v>0.5634920634920635</v>
      </c>
      <c r="N13" s="65">
        <v>0.45</v>
      </c>
      <c r="O13" s="66">
        <v>0.6666666666666666</v>
      </c>
      <c r="P13" s="67">
        <v>0.4166666666666667</v>
      </c>
      <c r="Q13" s="65">
        <v>0.3333333333333333</v>
      </c>
      <c r="R13" s="66">
        <v>0.5</v>
      </c>
      <c r="S13" s="42">
        <f>iferror(SUMIFS('Gun v Gun'!$C$2:$C27,'Gun v Gun'!$A$2:$A27,$C$3,'Gun v Gun'!$B$2:$B27,C13)/(SUMIFS('Gun v Gun'!$C$2:$C27,'Gun v Gun'!$A$2:$A27,$C$3,'Gun v Gun'!$B$2:$B27,C13)+SUMIFS('Gun v Gun'!$D$2:$D27,'Gun v Gun'!$A$2:$A27,$C$3,'Gun v Gun'!$B$2:$B27,C13)),)</f>
        <v>0.6292134831</v>
      </c>
      <c r="T13" s="43">
        <f>iferror(SUMIFS('Gun v Gun'!$C$2:$C27,'Gun v Gun'!$A$2:$A27,$C$3,'Gun v Gun'!$B$2:$B27,C13,'Gun v Gun'!$F$2:$F27,"atk")/(SUMIFS('Gun v Gun'!$C$2:$C27,'Gun v Gun'!$A$2:$A27,$C$3,'Gun v Gun'!$B$2:$B27,C13,'Gun v Gun'!$F$2:$F27,"atk")+SUMIFS('Gun v Gun'!$D$2:$D27,'Gun v Gun'!$A$2:$A27,$C$3,'Gun v Gun'!$B$2:$B27,C13,'Gun v Gun'!$F$2:$F27,"atk")),)</f>
        <v>0.575</v>
      </c>
      <c r="U13" s="44">
        <f>iferror(SUMIFS('Gun v Gun'!$C$2:$C27,'Gun v Gun'!$A$2:$A27,$C$3,'Gun v Gun'!$B$2:$B27,C13,'Gun v Gun'!$F$2:$F27,"def")/(SUMIFS('Gun v Gun'!$C$2:$C27,'Gun v Gun'!$A$2:$A27,$C$3,'Gun v Gun'!$B$2:$B27,C13,'Gun v Gun'!$F$2:$F27,"def")+SUMIFS('Gun v Gun'!$D$2:$D27,'Gun v Gun'!$A$2:$A27,$C$3,'Gun v Gun'!$B$2:$B27,C13,'Gun v Gun'!$F$2:$F27,"def")),)</f>
        <v>0.6734693878</v>
      </c>
      <c r="V13" s="42">
        <f>iferror(SUMIFS(Antieco!$C$2:$C27,Antieco!$A$2:$A27,$C$3,Antieco!$B$2:$B27,C13)/(SUMIFS(Antieco!$C$2:$C27,Antieco!$A$2:$A27,$C$3,Antieco!$B$2:$B27,C13)+SUMIFS(Antieco!$D$2:$D27,Antieco!$A$2:$A27,$C$3,Antieco!$B$2:$B27,C13)),)</f>
        <v>0.7777777778</v>
      </c>
      <c r="W13" s="43">
        <f>iferror(SUMIFS(Antieco!$C$2:$C27,Antieco!$A$2:$A27,$C$3,Antieco!$B$2:$B27,C13,Antieco!$F$2:$F27,"atk")/(SUMIFS(Antieco!$C$2:$C27,Antieco!$A$2:$A27,$C$3,Antieco!$B$2:$B27,C13,Antieco!$F$2:$F27,"atk")+SUMIFS(Antieco!$D$2:$D27,Antieco!$A$2:$A27,$C$3,Antieco!$B$2:$B27,C13,Antieco!$F$2:$F27,"atk")),)</f>
        <v>0.8333333333</v>
      </c>
      <c r="X13" s="44">
        <f>iferror(SUMIFS(Antieco!$C$2:$C27,Antieco!$A$2:$A27,$C$3,Antieco!$B$2:$B27,C13,Antieco!$F$2:$F27,"def")/(SUMIFS(Antieco!$C$2:$C27,Antieco!$A$2:$A27,$C$3,Antieco!$B$2:$B27,C13,Antieco!$F$2:$F27,"def")+SUMIFS(Antieco!$D$2:$D27,Antieco!$A$2:$A27,$C$3,Antieco!$B$2:$B27,C13,Antieco!$F$2:$F27,"def")),)</f>
        <v>0.6666666667</v>
      </c>
      <c r="Y13" s="45">
        <f>iferror(SUMIFS(ecos!$C$2:$C27,ecos!$A$2:$A27,$C$3,ecos!$B$2:$B27,C13)/(SUMIFS(ecos!$C$2:$C27,ecos!$A$2:$A27,$C$3,ecos!$B$2:$B27,C13)+SUMIFS(ecos!$D$2:$D27,ecos!$A$2:$A27,$C$3,ecos!$B$2:$B27,C13)),)</f>
        <v>0.1875</v>
      </c>
      <c r="Z13" s="65">
        <f>iferror(SUMIFS(ecos!$C$2:$C27,ecos!$A$2:$A27,$C$3,ecos!$B$2:$B27,C13,ecos!$F$2:$F27,"atk")/(SUMIFS(ecos!$C$2:$C27,ecos!$A$2:$A27,$C$3,ecos!$B$2:$B27,C13,ecos!$F$2:$F27,"atk")+SUMIFS(ecos!$D$2:$D27,ecos!$A$2:$A27,$C$3,ecos!$B$2:$B27,C13,ecos!$F$2:$F27,"atk")),)</f>
        <v>0</v>
      </c>
      <c r="AA13" s="47">
        <f>iferror(SUMIFS(ecos!$C$2:$C27,ecos!$A$2:$A27,$C$3,ecos!$B$2:$B27,C13,ecos!$F$2:$F27,"def")/(SUMIFS(ecos!$C$2:$C27,ecos!$A$2:$A27,$C$3,ecos!$B$2:$B27,C13,ecos!$F$2:$F27,"def")+SUMIFS(ecos!$D$2:$D27,ecos!$A$2:$A27,$C$3,ecos!$B$2:$B27,C13,ecos!$F$2:$F27,"def")),)</f>
        <v>0.6</v>
      </c>
      <c r="AB13" s="7"/>
      <c r="AC13" s="68" t="s">
        <v>42</v>
      </c>
      <c r="AD13" s="69"/>
      <c r="AE13" s="70">
        <f t="array" ref="AE13">SUMIFS('Post Plants'!$D$2:$D27,'Post Plants'!$B$2:$B27,AC13:AC21,'Post Plants'!$A$2:$A27,$C$3)</f>
        <v>35</v>
      </c>
      <c r="AF13" s="71">
        <v>60.0</v>
      </c>
      <c r="AG13" s="72">
        <v>5.833333333333333</v>
      </c>
      <c r="AH13" s="73">
        <f>iferror(SUMIFS('Post Plants'!$F$2:$F27,'Post Plants'!$B$2:$B27,AC13:AC21,'Post Plants'!$A$2:$A27,$C$3)/SUMIFS('Post Plants'!$D$2:$D27,'Post Plants'!$B$2:$B27,AC13:AC21,'Post Plants'!$A$2:$A27,$C$3),)</f>
        <v>0.6285714286</v>
      </c>
      <c r="AI13" s="83">
        <f>iferror(SUMIFS('Post Plants'!$F$2:$F27,'Post Plants'!$B$2:$B27,AC13:AC21)/SUMIFS('Post Plants'!$D$2:$D27,'Post Plants'!$B$2:$B27,AC13:AC21),)</f>
        <v>0.6877828054</v>
      </c>
      <c r="AJ13" s="55">
        <f t="array" ref="AJ13">XLOOKUP($C$3,'Post Ranking'!M3:M27,'Post Ranking'!$F$3:$F27)</f>
        <v>9</v>
      </c>
      <c r="AK13" s="56">
        <f t="array" ref="AK13">SUMIFS('Post Plants'!$J$2:$J27,'Post Plants'!$B$2:$B27,AC13:AC21,'Post Plants'!$A$2:$A27,$C$3)</f>
        <v>38</v>
      </c>
      <c r="AL13" s="57">
        <v>66.0</v>
      </c>
      <c r="AM13" s="74">
        <v>6.333333333333333</v>
      </c>
      <c r="AN13" s="53">
        <f>iferror(SUMIFS('Post Plants'!$L$2:$L27,'Post Plants'!$B$2:$B27,AC13:AC21,'Post Plants'!$A$2:$A27,$C$3)/SUMIFS('Post Plants'!$J$2:$J27,'Post Plants'!$B$2:$B27,AC13:AC21,'Post Plants'!$A$2:$A27,$C$3),)</f>
        <v>0.4736842105</v>
      </c>
      <c r="AO13" s="75">
        <f>iferror(SUMIFS('Post Plants'!$L$2:$L27,'Post Plants'!$B$2:$B27,AC13:AC21)/SUMIFS('Post Plants'!$J$2:$J27,'Post Plants'!$B$2:$B27,AC13:AC21),)</f>
        <v>0.4158878505</v>
      </c>
      <c r="AP13" s="76">
        <f t="array" ref="AP13">XLOOKUP(C3,'Post Ranking'!X3:X27,'Post Ranking'!F3:F27)</f>
        <v>4</v>
      </c>
      <c r="AQ13" s="62"/>
      <c r="AR13" s="62"/>
    </row>
    <row r="14" ht="19.5" customHeight="1">
      <c r="A14" s="7"/>
      <c r="B14" s="34" t="e">
        <v>#N/A</v>
      </c>
      <c r="C14" s="85" t="s">
        <v>43</v>
      </c>
      <c r="D14" s="86"/>
      <c r="E14" s="87"/>
      <c r="F14" s="87"/>
      <c r="G14" s="87"/>
      <c r="H14" s="88"/>
      <c r="I14" s="37">
        <v>0.0</v>
      </c>
      <c r="J14" s="39">
        <v>0.0</v>
      </c>
      <c r="K14" s="81">
        <v>0.0</v>
      </c>
      <c r="L14" s="82">
        <v>0.0</v>
      </c>
      <c r="M14" s="64"/>
      <c r="N14" s="65"/>
      <c r="O14" s="66"/>
      <c r="P14" s="67"/>
      <c r="Q14" s="65"/>
      <c r="R14" s="66"/>
      <c r="S14" s="42" t="str">
        <f>iferror(SUMIFS('Gun v Gun'!$C$2:$C27,'Gun v Gun'!$A$2:$A27,$C$3,'Gun v Gun'!$B$2:$B27,C14)/(SUMIFS('Gun v Gun'!$C$2:$C27,'Gun v Gun'!$A$2:$A27,$C$3,'Gun v Gun'!$B$2:$B27,C14)+SUMIFS('Gun v Gun'!$D$2:$D27,'Gun v Gun'!$A$2:$A27,$C$3,'Gun v Gun'!$B$2:$B27,C14)),)</f>
        <v/>
      </c>
      <c r="T14" s="43" t="str">
        <f>iferror(SUMIFS('Gun v Gun'!$C$2:$C27,'Gun v Gun'!$A$2:$A27,$C$3,'Gun v Gun'!$B$2:$B27,C14,'Gun v Gun'!$F$2:$F27,"atk")/(SUMIFS('Gun v Gun'!$C$2:$C27,'Gun v Gun'!$A$2:$A27,$C$3,'Gun v Gun'!$B$2:$B27,C14,'Gun v Gun'!$F$2:$F27,"atk")+SUMIFS('Gun v Gun'!$D$2:$D27,'Gun v Gun'!$A$2:$A27,$C$3,'Gun v Gun'!$B$2:$B27,C14,'Gun v Gun'!$F$2:$F27,"atk")),)</f>
        <v/>
      </c>
      <c r="U14" s="44" t="str">
        <f>iferror(SUMIFS('Gun v Gun'!$C$2:$C27,'Gun v Gun'!$A$2:$A27,$C$3,'Gun v Gun'!$B$2:$B27,C14,'Gun v Gun'!$F$2:$F27,"def")/(SUMIFS('Gun v Gun'!$C$2:$C27,'Gun v Gun'!$A$2:$A27,$C$3,'Gun v Gun'!$B$2:$B27,C14,'Gun v Gun'!$F$2:$F27,"def")+SUMIFS('Gun v Gun'!$D$2:$D27,'Gun v Gun'!$A$2:$A27,$C$3,'Gun v Gun'!$B$2:$B27,C14,'Gun v Gun'!$F$2:$F27,"def")),)</f>
        <v/>
      </c>
      <c r="V14" s="42" t="str">
        <f>iferror(SUMIFS(Antieco!$C$2:$C27,Antieco!$A$2:$A27,$C$3,Antieco!$B$2:$B27,C14)/(SUMIFS(Antieco!$C$2:$C27,Antieco!$A$2:$A27,$C$3,Antieco!$B$2:$B27,C14)+SUMIFS(Antieco!$D$2:$D27,Antieco!$A$2:$A27,$C$3,Antieco!$B$2:$B27,C14)),)</f>
        <v/>
      </c>
      <c r="W14" s="43" t="str">
        <f>iferror(SUMIFS(Antieco!$C$2:$C27,Antieco!$A$2:$A27,$C$3,Antieco!$B$2:$B27,C14,Antieco!$F$2:$F27,"atk")/(SUMIFS(Antieco!$C$2:$C27,Antieco!$A$2:$A27,$C$3,Antieco!$B$2:$B27,C14,Antieco!$F$2:$F27,"atk")+SUMIFS(Antieco!$D$2:$D27,Antieco!$A$2:$A27,$C$3,Antieco!$B$2:$B27,C14,Antieco!$F$2:$F27,"atk")),)</f>
        <v/>
      </c>
      <c r="X14" s="44" t="str">
        <f>iferror(SUMIFS(Antieco!$C$2:$C27,Antieco!$A$2:$A27,$C$3,Antieco!$B$2:$B27,C14,Antieco!$F$2:$F27,"def")/(SUMIFS(Antieco!$C$2:$C27,Antieco!$A$2:$A27,$C$3,Antieco!$B$2:$B27,C14,Antieco!$F$2:$F27,"def")+SUMIFS(Antieco!$D$2:$D27,Antieco!$A$2:$A27,$C$3,Antieco!$B$2:$B27,C14,Antieco!$F$2:$F27,"def")),)</f>
        <v/>
      </c>
      <c r="Y14" s="45" t="str">
        <f>iferror(SUMIFS(ecos!$C$2:$C27,ecos!$A$2:$A27,$C$3,ecos!$B$2:$B27,C14)/(SUMIFS(ecos!$C$2:$C27,ecos!$A$2:$A27,$C$3,ecos!$B$2:$B27,C14)+SUMIFS(ecos!$D$2:$D27,ecos!$A$2:$A27,$C$3,ecos!$B$2:$B27,C14)),)</f>
        <v/>
      </c>
      <c r="Z14" s="65" t="str">
        <f>iferror(SUMIFS(ecos!$C$2:$C27,ecos!$A$2:$A27,$C$3,ecos!$B$2:$B27,C14,ecos!$F$2:$F27,"atk")/(SUMIFS(ecos!$C$2:$C27,ecos!$A$2:$A27,$C$3,ecos!$B$2:$B27,C14,ecos!$F$2:$F27,"atk")+SUMIFS(ecos!$D$2:$D27,ecos!$A$2:$A27,$C$3,ecos!$B$2:$B27,C14,ecos!$F$2:$F27,"atk")),)</f>
        <v/>
      </c>
      <c r="AA14" s="47" t="str">
        <f>iferror(SUMIFS(ecos!$C$2:$C27,ecos!$A$2:$A27,$C$3,ecos!$B$2:$B27,C14,ecos!$F$2:$F27,"def")/(SUMIFS(ecos!$C$2:$C27,ecos!$A$2:$A27,$C$3,ecos!$B$2:$B27,C14,ecos!$F$2:$F27,"def")+SUMIFS(ecos!$D$2:$D27,ecos!$A$2:$A27,$C$3,ecos!$B$2:$B27,C14,ecos!$F$2:$F27,"def")),)</f>
        <v/>
      </c>
      <c r="AB14" s="7"/>
      <c r="AC14" s="89" t="s">
        <v>43</v>
      </c>
      <c r="AD14" s="90"/>
      <c r="AE14" s="70">
        <f t="array" ref="AE14">SUMIFS('Post Plants'!$D$2:$D27,'Post Plants'!$B$2:$B27,AC14:AC22,'Post Plants'!$A$2:$A27,$C$3)</f>
        <v>0</v>
      </c>
      <c r="AF14" s="71">
        <v>0.0</v>
      </c>
      <c r="AG14" s="72">
        <v>0.0</v>
      </c>
      <c r="AH14" s="73" t="str">
        <f>iferror(SUMIFS('Post Plants'!$F$2:$F27,'Post Plants'!$B$2:$B27,AC14:AC22,'Post Plants'!$A$2:$A27,$C$3)/SUMIFS('Post Plants'!$D$2:$D27,'Post Plants'!$B$2:$B27,AC14:AC22,'Post Plants'!$A$2:$A27,$C$3),)</f>
        <v/>
      </c>
      <c r="AI14" s="83">
        <f>iferror(SUMIFS('Post Plants'!$F$2:$F27,'Post Plants'!$B$2:$B27,AC14:AC22)/SUMIFS('Post Plants'!$D$2:$D27,'Post Plants'!$B$2:$B27,AC14:AC22),)</f>
        <v>0.8205128205</v>
      </c>
      <c r="AJ14" s="55" t="str">
        <f t="array" ref="AJ14">XLOOKUP($C$3,'Post Ranking'!N3:N27,'Post Ranking'!$F$3:$F27)</f>
        <v>#N/A</v>
      </c>
      <c r="AK14" s="56">
        <f t="array" ref="AK14">SUMIFS('Post Plants'!$J$2:$J27,'Post Plants'!$B$2:$B27,AC14:AC22,'Post Plants'!$A$2:$A27,$C$3)</f>
        <v>0</v>
      </c>
      <c r="AL14" s="57">
        <v>0.0</v>
      </c>
      <c r="AM14" s="91">
        <v>0.0</v>
      </c>
      <c r="AN14" s="53" t="str">
        <f>iferror(SUMIFS('Post Plants'!$L$2:$L27,'Post Plants'!$B$2:$B27,AC14:AC22,'Post Plants'!$A$2:$A27,$C$3)/SUMIFS('Post Plants'!$J$2:$J27,'Post Plants'!$B$2:$B27,AC14:AC22,'Post Plants'!$A$2:$A27,$C$3),)</f>
        <v/>
      </c>
      <c r="AO14" s="75">
        <f>iferror(SUMIFS('Post Plants'!$L$2:$L27,'Post Plants'!$B$2:$B27,AC14:AC22)/SUMIFS('Post Plants'!$J$2:$J27,'Post Plants'!$B$2:$B27,AC14:AC22),)</f>
        <v>0.5357142857</v>
      </c>
      <c r="AP14" s="76" t="str">
        <f t="array" ref="AP14">XLOOKUP(C3,'Post Ranking'!Y3:Y27,'Post Ranking'!F3:F27)</f>
        <v>#N/A</v>
      </c>
      <c r="AQ14" s="62"/>
      <c r="AR14" s="62"/>
    </row>
    <row r="15" ht="19.5" customHeight="1">
      <c r="A15" s="7"/>
      <c r="B15" s="34" t="s">
        <v>44</v>
      </c>
      <c r="C15" s="85" t="s">
        <v>45</v>
      </c>
      <c r="D15" s="86" t="str">
        <f>IFERROR(__xludf.DUMMYFUNCTION("""COMPUTED_VALUE"""),"")</f>
        <v/>
      </c>
      <c r="E15" s="87" t="str">
        <f>IFERROR(__xludf.DUMMYFUNCTION("""COMPUTED_VALUE"""),"")</f>
        <v/>
      </c>
      <c r="F15" s="87" t="str">
        <f>IFERROR(__xludf.DUMMYFUNCTION("""COMPUTED_VALUE"""),"")</f>
        <v/>
      </c>
      <c r="G15" s="87" t="str">
        <f>IFERROR(__xludf.DUMMYFUNCTION("""COMPUTED_VALUE"""),"")</f>
        <v/>
      </c>
      <c r="H15" s="88" t="str">
        <f>IFERROR(__xludf.DUMMYFUNCTION("""COMPUTED_VALUE"""),"")</f>
        <v/>
      </c>
      <c r="I15" s="87">
        <v>1.0</v>
      </c>
      <c r="J15" s="92">
        <v>1.0</v>
      </c>
      <c r="K15" s="93">
        <v>0.0</v>
      </c>
      <c r="L15" s="94">
        <v>1.0</v>
      </c>
      <c r="M15" s="95">
        <v>0.4090909090909091</v>
      </c>
      <c r="N15" s="96">
        <v>0.16666666666666666</v>
      </c>
      <c r="O15" s="97">
        <v>0.7</v>
      </c>
      <c r="P15" s="98">
        <v>0.5</v>
      </c>
      <c r="Q15" s="96">
        <v>0.0</v>
      </c>
      <c r="R15" s="97">
        <v>1.0</v>
      </c>
      <c r="S15" s="42">
        <f>iferror(SUMIFS('Gun v Gun'!$C$2:$C27,'Gun v Gun'!$A$2:$A27,$C$3,'Gun v Gun'!$B$2:$B27,C15)/(SUMIFS('Gun v Gun'!$C$2:$C27,'Gun v Gun'!$A$2:$A27,$C$3,'Gun v Gun'!$B$2:$B27,C15)+SUMIFS('Gun v Gun'!$D$2:$D27,'Gun v Gun'!$A$2:$A27,$C$3,'Gun v Gun'!$B$2:$B27,C15)),)</f>
        <v>0.375</v>
      </c>
      <c r="T15" s="43">
        <f>iferror(SUMIFS('Gun v Gun'!$C$2:$C27,'Gun v Gun'!$A$2:$A27,$C$3,'Gun v Gun'!$B$2:$B27,C15,'Gun v Gun'!$F$2:$F27,"atk")/(SUMIFS('Gun v Gun'!$C$2:$C27,'Gun v Gun'!$A$2:$A27,$C$3,'Gun v Gun'!$B$2:$B27,C15,'Gun v Gun'!$F$2:$F27,"atk")+SUMIFS('Gun v Gun'!$D$2:$D27,'Gun v Gun'!$A$2:$A27,$C$3,'Gun v Gun'!$B$2:$B27,C15,'Gun v Gun'!$F$2:$F27,"atk")),0)</f>
        <v>0.2222222222</v>
      </c>
      <c r="U15" s="44">
        <f>iferror(SUMIFS('Gun v Gun'!$C$2:$C27,'Gun v Gun'!$A$2:$A27,$C$3,'Gun v Gun'!$B$2:$B27,C15,'Gun v Gun'!$F$2:$F27,"def")/(SUMIFS('Gun v Gun'!$C$2:$C27,'Gun v Gun'!$A$2:$A27,$C$3,'Gun v Gun'!$B$2:$B27,C15,'Gun v Gun'!$F$2:$F27,"def")+SUMIFS('Gun v Gun'!$D$2:$D27,'Gun v Gun'!$A$2:$A27,$C$3,'Gun v Gun'!$B$2:$B27,C15,'Gun v Gun'!$F$2:$F27,"def")),)</f>
        <v>0.5714285714</v>
      </c>
      <c r="V15" s="42">
        <f>iferror(SUMIFS(Antieco!$C$2:$C27,Antieco!$A$2:$A27,$C$3,Antieco!$B$2:$B27,C15)/(SUMIFS(Antieco!$C$2:$C27,Antieco!$A$2:$A27,$C$3,Antieco!$B$2:$B27,C15)+SUMIFS(Antieco!$D$2:$D27,Antieco!$A$2:$A27,$C$3,Antieco!$B$2:$B27,C15)),)</f>
        <v>1</v>
      </c>
      <c r="W15" s="43">
        <f>iferror(SUMIFS(Antieco!$C$2:$C27,Antieco!$A$2:$A27,$C$3,Antieco!$B$2:$B27,C15,Antieco!$F$2:$F27,"atk")/(SUMIFS(Antieco!$C$2:$C27,Antieco!$A$2:$A27,$C$3,Antieco!$B$2:$B27,C15,Antieco!$F$2:$F27,"atk")+SUMIFS(Antieco!$D$2:$D27,Antieco!$A$2:$A27,$C$3,Antieco!$B$2:$B27,C15,Antieco!$F$2:$F27,"atk")),)</f>
        <v>1</v>
      </c>
      <c r="X15" s="44" t="str">
        <f>iferror(SUMIFS(Antieco!$C$2:$C27,Antieco!$A$2:$A27,$C$3,Antieco!$B$2:$B27,C15,Antieco!$F$2:$F27,"def")/(SUMIFS(Antieco!$C$2:$C27,Antieco!$A$2:$A27,$C$3,Antieco!$B$2:$B27,C15,Antieco!$F$2:$F27,"def")+SUMIFS(Antieco!$D$2:$D27,Antieco!$A$2:$A27,$C$3,Antieco!$B$2:$B27,C15,Antieco!$F$2:$F27,"def")),)</f>
        <v/>
      </c>
      <c r="Y15" s="45">
        <f>iferror(SUMIFS(ecos!$C$2:$C27,ecos!$A$2:$A27,$C$3,ecos!$B$2:$B27,C15)/(SUMIFS(ecos!$C$2:$C27,ecos!$A$2:$A27,$C$3,ecos!$B$2:$B27,C15)+SUMIFS(ecos!$D$2:$D27,ecos!$A$2:$A27,$C$3,ecos!$B$2:$B27,C15)),)</f>
        <v>0</v>
      </c>
      <c r="Z15" s="96">
        <f>iferror(SUMIFS(ecos!$C$2:$C27,ecos!$A$2:$A27,$C$3,ecos!$B$2:$B27,C15,ecos!$F$2:$F27,"atk")/(SUMIFS(ecos!$C$2:$C27,ecos!$A$2:$A27,$C$3,ecos!$B$2:$B27,C15,ecos!$F$2:$F27,"atk")+SUMIFS(ecos!$D$2:$D27,ecos!$A$2:$A27,$C$3,ecos!$B$2:$B27,C15,ecos!$F$2:$F27,"atk")),)</f>
        <v>0</v>
      </c>
      <c r="AA15" s="47" t="str">
        <f>iferror(SUMIFS(ecos!$C$2:$C27,ecos!$A$2:$A27,$C$3,ecos!$B$2:$B27,C15,ecos!$F$2:$F27,"def")/(SUMIFS(ecos!$C$2:$C27,ecos!$A$2:$A27,$C$3,ecos!$B$2:$B27,C15,ecos!$F$2:$F27,"def")+SUMIFS(ecos!$D$2:$D27,ecos!$A$2:$A27,$C$3,ecos!$B$2:$B27,C15,ecos!$F$2:$F27,"def")),)</f>
        <v/>
      </c>
      <c r="AB15" s="7"/>
      <c r="AC15" s="89" t="s">
        <v>45</v>
      </c>
      <c r="AD15" s="90"/>
      <c r="AE15" s="70">
        <f t="array" ref="AE15">SUMIFS('Post Plants'!$D$2:$D27,'Post Plants'!$B$2:$B27,AC15:AC23,'Post Plants'!$A$2:$A27,$C$3)</f>
        <v>6</v>
      </c>
      <c r="AF15" s="71">
        <v>12.0</v>
      </c>
      <c r="AG15" s="72">
        <v>6.0</v>
      </c>
      <c r="AH15" s="73">
        <f>iferror(SUMIFS('Post Plants'!$F$2:$F27,'Post Plants'!$B$2:$B27,AC15:AC23,'Post Plants'!$A$2:$A27,$C$3)/SUMIFS('Post Plants'!$D$2:$D27,'Post Plants'!$B$2:$B27,AC15:AC23,'Post Plants'!$A$2:$A27,$C$3),)</f>
        <v>0.3333333333</v>
      </c>
      <c r="AI15" s="83">
        <f>iferror(SUMIFS('Post Plants'!$F$2:$F27,'Post Plants'!$B$2:$B27,AC15:AC23)/SUMIFS('Post Plants'!$D$2:$D27,'Post Plants'!$B$2:$B27,AC15:AC23),)</f>
        <v>0.7522123894</v>
      </c>
      <c r="AJ15" s="55">
        <f t="array" ref="AJ15">XLOOKUP($C$3,'Post Ranking'!O3:O27,'Post Ranking'!$F$3:$F27)</f>
        <v>10</v>
      </c>
      <c r="AK15" s="56">
        <f t="array" ref="AK15">SUMIFS('Post Plants'!$J$2:$J27,'Post Plants'!$B$2:$B27,AC15:AC23,'Post Plants'!$A$2:$A27,$C$3)</f>
        <v>6</v>
      </c>
      <c r="AL15" s="99">
        <v>10.0</v>
      </c>
      <c r="AM15" s="91">
        <v>6.0</v>
      </c>
      <c r="AN15" s="53">
        <f>iferror(SUMIFS('Post Plants'!$L$2:$L27,'Post Plants'!$B$2:$B27,AC15:AC23,'Post Plants'!$A$2:$A27,$C$3)/SUMIFS('Post Plants'!$J$2:$J27,'Post Plants'!$B$2:$B27,AC15:AC23,'Post Plants'!$A$2:$A27,$C$3),)</f>
        <v>0.5</v>
      </c>
      <c r="AO15" s="75">
        <f>iferror(SUMIFS('Post Plants'!$L$2:$L27,'Post Plants'!$B$2:$B27,AC15:AC23)/SUMIFS('Post Plants'!$J$2:$J27,'Post Plants'!$B$2:$B27,AC15:AC23),)</f>
        <v>0.3229166667</v>
      </c>
      <c r="AP15" s="76">
        <f t="array" ref="AP15">XLOOKUP(C3,'Post Ranking'!Z3:Z27,'Post Ranking'!F3:F27)</f>
        <v>2</v>
      </c>
      <c r="AQ15" s="62"/>
      <c r="AR15" s="62"/>
    </row>
    <row r="16" ht="24.0" customHeight="1">
      <c r="A16" s="100"/>
      <c r="B16" s="101"/>
      <c r="C16" s="102" t="s">
        <v>46</v>
      </c>
      <c r="D16" s="103"/>
      <c r="E16" s="104"/>
      <c r="F16" s="104"/>
      <c r="G16" s="104"/>
      <c r="H16" s="105"/>
      <c r="I16" s="106"/>
      <c r="J16" s="107">
        <f t="shared" ref="J16:L16" si="1">SUM(J7:J15)</f>
        <v>31</v>
      </c>
      <c r="K16" s="108">
        <f t="shared" si="1"/>
        <v>18</v>
      </c>
      <c r="L16" s="109">
        <f t="shared" si="1"/>
        <v>13</v>
      </c>
      <c r="M16" s="110">
        <f>SUM(SelectedTeamStats!I2:I27)/(SUM(SelectedTeamStats!I2:I27)+sum(SelectedTeamStats!J2:J27))</f>
        <v>0.5522620905</v>
      </c>
      <c r="N16" s="111">
        <f>SUM(SelectedTeamStats!O2:O27)/(SUM(SelectedTeamStats!O2:O27)+sum(SelectedTeamStats!P2:P27))</f>
        <v>0.4871794872</v>
      </c>
      <c r="O16" s="112">
        <f>SUM(SelectedTeamStats!Q2:Q27)/(SUM(SelectedTeamStats!Q2:Q27)+sum(SelectedTeamStats!R2:R27))</f>
        <v>0.6139817629</v>
      </c>
      <c r="P16" s="113">
        <f>sum(SelectedTeamStats!M2:N27)/(SUM(SelectedTeamStats!M2:N27)+SUM(SelectedTeamStats!S2:T27))</f>
        <v>0.564516129</v>
      </c>
      <c r="Q16" s="111">
        <f>sum(SelectedTeamStats!M2:M27)/(SUM(SelectedTeamStats!M2:M27)+SUM(SelectedTeamStats!T2:T27))</f>
        <v>0.4516129032</v>
      </c>
      <c r="R16" s="112">
        <f>sum(SelectedTeamStats!N2:N27)/(SUM(SelectedTeamStats!N2:N27)+SUM(SelectedTeamStats!S2:S27))</f>
        <v>0.6774193548</v>
      </c>
      <c r="S16" s="114">
        <f>SUMIFS('Gun v Gun'!$C$2:$C27,'Gun v Gun'!$A$2:$A27,$C$3)/(SUMIFS('Gun v Gun'!$C$2:$C27,'Gun v Gun'!$A$2:$A27,$C$3)+SUMIFS('Gun v Gun'!$D$2:$D27,'Gun v Gun'!$A$2:$A27,$C$3))</f>
        <v>0.5625</v>
      </c>
      <c r="T16" s="115">
        <f>SUMIFS('Gun v Gun'!$C$2:$C27,'Gun v Gun'!$A$2:$A27,$C$3,'Gun v Gun'!$F$2:$F27,"atk")/(SUMIFS('Gun v Gun'!$C$2:$C27,'Gun v Gun'!$A$2:$A27,$C$3,'Gun v Gun'!$F$2:$F27,"atk")+SUMIFS('Gun v Gun'!$D$2:$D27,'Gun v Gun'!$A$2:$A27,$C$3,'Gun v Gun'!$F$2:$F27,"atk"))</f>
        <v>0.5162790698</v>
      </c>
      <c r="U16" s="112">
        <f>SUMIFS('Gun v Gun'!$C$2:$C27,'Gun v Gun'!$A$2:$A27,$C$3,'Gun v Gun'!$F$2:$F27,"def")/(SUMIFS('Gun v Gun'!$C$2:$C27,'Gun v Gun'!$A$2:$A27,$C$3,'Gun v Gun'!$F$2:$F27,"def")+SUMIFS('Gun v Gun'!$D$2:$D27,'Gun v Gun'!$A$2:$A27,$C$3,'Gun v Gun'!$F$2:$F27,"def"))</f>
        <v>0.6051502146</v>
      </c>
      <c r="V16" s="114">
        <f>SUMIFS(Antieco!$C$2:$C27,Antieco!$A$2:$A27,$C$3)/(SUMIFS(Antieco!$C$2:$C27,Antieco!$A$2:$A27,$C$3)+SUMIFS(Antieco!$D$2:$D27,Antieco!$A$2:$A27,$C$3))</f>
        <v>0.8285714286</v>
      </c>
      <c r="W16" s="115">
        <f>SUMIFS(Antieco!$C$2:$C27,Antieco!$A$2:$A27,$C$3,Antieco!$F$2:$F27,"atk")/(SUMIFS(Antieco!$C$2:$C27,Antieco!$A$2:$A27,$C$3,Antieco!$F$2:$F27,"atk")+SUMIFS(Antieco!$D$2:$D27,Antieco!$A$2:$A27,$C$3,Antieco!$F$2:$F27,"atk"))</f>
        <v>0.8461538462</v>
      </c>
      <c r="X16" s="112">
        <f>SUMIFS(Antieco!$C$2:$C27,Antieco!$A$2:$A27,$C$3,Antieco!$F$2:$F27,"def")/(SUMIFS(Antieco!$C$2:$C27,Antieco!$A$2:$A27,$C$3,Antieco!$F$2:$F27,"def")+SUMIFS(Antieco!$D$2:$D27,Antieco!$A$2:$A27,$C$3,Antieco!$F$2:$F27,"def"))</f>
        <v>0.8064516129</v>
      </c>
      <c r="Y16" s="116">
        <f>SUMIFS(ecos!$C$2:$C27,ecos!$A$2:$A27,$C$3)/(SUMIFS(ecos!$C$2:$C27,ecos!$A$2:$A27,$C$3)+SUMIFS(ecos!$D$2:$D27,ecos!$A$2:$A27,$C$3))</f>
        <v>0.1475409836</v>
      </c>
      <c r="Z16" s="111">
        <f>SUMIFS(ecos!$C$2:$C27,ecos!$A$2:$A27,$C$3,ecos!$F$2:$F27,"atk")/(SUMIFS(ecos!$C$2:$C27,ecos!$A$2:$A27,$C$3,ecos!$F$2:$F27,"atk")+SUMIFS(ecos!$D$2:$D27,ecos!$A$2:$A27,$C$3,ecos!$F$2:$F27,"atk"))</f>
        <v>0.05714285714</v>
      </c>
      <c r="AA16" s="117">
        <f>SUMIFS(ecos!$C$2:$C27,ecos!$A$2:$A27,$C$3,ecos!$F$2:$F27,"def")/(SUMIFS(ecos!$C$2:$C27,ecos!$A$2:$A27,$C$3,ecos!$F$2:$F27,"def")+SUMIFS(ecos!$D$2:$D27,ecos!$A$2:$A27,$C$3,ecos!$F$2:$F27,"def"))</f>
        <v>0.2692307692</v>
      </c>
      <c r="AB16" s="7"/>
      <c r="AC16" s="118" t="s">
        <v>46</v>
      </c>
      <c r="AD16" s="104"/>
      <c r="AE16" s="119">
        <f t="shared" ref="AE16:AF16" si="2">SUM(AE7:AE15)</f>
        <v>198</v>
      </c>
      <c r="AF16" s="120">
        <f t="shared" si="2"/>
        <v>312</v>
      </c>
      <c r="AG16" s="121">
        <f>AE16/J16</f>
        <v>6.387096774</v>
      </c>
      <c r="AH16" s="122">
        <f>SUMIF('Post Plants'!A2:A27,C3,'Post Plants'!F2:F27)/SUMIF('Post Plants'!A2:A27,C3,'Post Plants'!D2:D27)</f>
        <v>0.6515151515</v>
      </c>
      <c r="AI16" s="123">
        <f>SUM('Post Plants'!F2:F27)/SUM('Post Plants'!D2:D27)</f>
        <v>0.7155538402</v>
      </c>
      <c r="AJ16" s="124">
        <f t="array" ref="AJ16">XLOOKUP(C3,'Post Rank General'!F2:F27,'Post Rank General'!E2:E27)</f>
        <v>13</v>
      </c>
      <c r="AK16" s="125">
        <f t="shared" ref="AK16:AL16" si="3">SUM(AK7:AK15)</f>
        <v>190</v>
      </c>
      <c r="AL16" s="126">
        <f t="shared" si="3"/>
        <v>329</v>
      </c>
      <c r="AM16" s="127">
        <f>AK16/J16</f>
        <v>6.129032258</v>
      </c>
      <c r="AN16" s="122">
        <f>SUMIF('Post Plants'!A2:A27,C3,'Post Plants'!L2:L27)/SUMIF('Post Plants'!A2:A27,C3,'Post Plants'!J2:J27)</f>
        <v>0.4052631579</v>
      </c>
      <c r="AO16" s="128">
        <f>SUM('Post Plants'!L2:L27)/SUM('Post Plants'!J2:J27)</f>
        <v>0.3620836892</v>
      </c>
      <c r="AP16" s="129">
        <f t="array" ref="AP16">XLOOKUP(C3,'Post Rank General'!G2:G27,'Post Rank General'!E2:E27)</f>
        <v>3</v>
      </c>
      <c r="AQ16" s="130"/>
      <c r="AR16" s="130"/>
    </row>
    <row r="17" ht="6.75" customHeight="1">
      <c r="A17" s="131"/>
      <c r="B17" s="132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4"/>
      <c r="AN17" s="131"/>
      <c r="AO17" s="131"/>
      <c r="AP17" s="131"/>
      <c r="AQ17" s="131"/>
      <c r="AR17" s="131"/>
    </row>
    <row r="18" ht="17.25" customHeight="1">
      <c r="A18" s="7"/>
      <c r="B18" s="34"/>
      <c r="C18" s="135" t="s">
        <v>47</v>
      </c>
      <c r="R18" s="136"/>
      <c r="S18" s="137" t="s">
        <v>48</v>
      </c>
      <c r="Y18" s="100"/>
      <c r="Z18" s="138" t="s">
        <v>49</v>
      </c>
      <c r="AF18" s="7"/>
      <c r="AG18" s="138" t="s">
        <v>50</v>
      </c>
      <c r="AM18" s="139"/>
    </row>
    <row r="19" ht="19.5" customHeight="1">
      <c r="A19" s="7"/>
      <c r="B19" s="34"/>
      <c r="C19" s="140" t="s">
        <v>51</v>
      </c>
      <c r="D19" s="141" t="s">
        <v>52</v>
      </c>
      <c r="E19" s="19"/>
      <c r="F19" s="19"/>
      <c r="G19" s="19"/>
      <c r="H19" s="19"/>
      <c r="I19" s="18" t="s">
        <v>53</v>
      </c>
      <c r="J19" s="142" t="s">
        <v>54</v>
      </c>
      <c r="K19" s="143" t="s">
        <v>55</v>
      </c>
      <c r="L19" s="143" t="s">
        <v>56</v>
      </c>
      <c r="M19" s="143" t="s">
        <v>57</v>
      </c>
      <c r="N19" s="143" t="s">
        <v>58</v>
      </c>
      <c r="O19" s="143" t="s">
        <v>59</v>
      </c>
      <c r="P19" s="144" t="s">
        <v>60</v>
      </c>
      <c r="Q19" s="145" t="s">
        <v>61</v>
      </c>
      <c r="R19" s="146"/>
      <c r="S19" s="147" t="s">
        <v>62</v>
      </c>
      <c r="T19" s="148">
        <v>5.0</v>
      </c>
      <c r="U19" s="149">
        <v>4.0</v>
      </c>
      <c r="V19" s="149">
        <v>3.0</v>
      </c>
      <c r="W19" s="149">
        <v>2.0</v>
      </c>
      <c r="X19" s="150">
        <v>1.0</v>
      </c>
      <c r="Y19" s="7"/>
      <c r="Z19" s="147" t="s">
        <v>62</v>
      </c>
      <c r="AA19" s="148">
        <v>5.0</v>
      </c>
      <c r="AB19" s="149">
        <v>4.0</v>
      </c>
      <c r="AC19" s="149">
        <v>3.0</v>
      </c>
      <c r="AD19" s="149">
        <v>2.0</v>
      </c>
      <c r="AE19" s="150">
        <v>1.0</v>
      </c>
      <c r="AF19" s="7"/>
      <c r="AG19" s="147" t="s">
        <v>62</v>
      </c>
      <c r="AH19" s="148">
        <v>5.0</v>
      </c>
      <c r="AI19" s="149">
        <v>4.0</v>
      </c>
      <c r="AJ19" s="149">
        <v>3.0</v>
      </c>
      <c r="AK19" s="149">
        <v>2.0</v>
      </c>
      <c r="AL19" s="150">
        <v>1.0</v>
      </c>
    </row>
    <row r="20" ht="19.5" customHeight="1">
      <c r="A20" s="7"/>
      <c r="B20" s="34"/>
      <c r="C20" s="151" t="str">
        <f>IFERROR(__xludf.DUMMYFUNCTION("FILTER('Player Stats'!B2:B27,REGEXMATCH('Player Stats'!A2:A27,C3))"),"GSR")</f>
        <v>GSR</v>
      </c>
      <c r="D20" s="152" t="str">
        <f>IFERROR(__xludf.DUMMYFUNCTION("arrayformula(xlookup(split(JOIN("","",QUERY(Picks!$A$2:$F27, ""select C where A = '""&amp;C20&amp;""' order by F desc limit 5"")),"",""),Assets!$A$2:$A$28,Assets!$C$2:$C$28,))"),"")</f>
        <v/>
      </c>
      <c r="E20" s="152" t="str">
        <f>IFERROR(__xludf.DUMMYFUNCTION("""COMPUTED_VALUE"""),"")</f>
        <v/>
      </c>
      <c r="F20" s="152" t="str">
        <f>IFERROR(__xludf.DUMMYFUNCTION("""COMPUTED_VALUE"""),"")</f>
        <v/>
      </c>
      <c r="G20" s="152" t="str">
        <f>IFERROR(__xludf.DUMMYFUNCTION("""COMPUTED_VALUE"""),"")</f>
        <v/>
      </c>
      <c r="H20" s="152" t="str">
        <f>IFERROR(__xludf.DUMMYFUNCTION("""COMPUTED_VALUE"""),"")</f>
        <v/>
      </c>
      <c r="I20" s="153">
        <f t="array" ref="I20:I26">XLOOKUP(C20:C26,'Player Stats'!B2:B27,'Player Stats'!E2:E27,)</f>
        <v>641</v>
      </c>
      <c r="J20" s="154">
        <f t="array" ref="J20:J26">XLOOKUP(C20:C26,'Player Stats'!B2:B27,'Player Stats'!K2:K27,)</f>
        <v>1.22737819</v>
      </c>
      <c r="K20" s="155">
        <f t="array" ref="K20:K26">XLOOKUP(C20:C26,'Player Stats'!B2:B27,'Player Stats'!L2:L27,)</f>
        <v>1.654292343</v>
      </c>
      <c r="L20" s="156">
        <f t="array" ref="L20:L27">XLOOKUP(C20:C27,'Player Stats'!B2:B27,'Player Stats'!T2:T27,)</f>
        <v>0.75</v>
      </c>
      <c r="M20" s="157">
        <f t="array" ref="M20:M26">XLOOKUP(C20:C26,'Player Stats'!B2:B27,'Player Stats'!N2:N27,)</f>
        <v>0.151326053</v>
      </c>
      <c r="N20" s="157">
        <f t="array" ref="N20:N26">XLOOKUP(C20:C26,'Player Stats'!B2:B27,'Player Stats'!O2:O27,)</f>
        <v>0.1263650546</v>
      </c>
      <c r="O20" s="158">
        <f t="array" ref="O20:O26">XLOOKUP(C20:C26,'Player Stats'!B2:B27,'Player Stats'!P2:P27,)</f>
        <v>0.5449438202</v>
      </c>
      <c r="P20" s="159">
        <f t="array" ref="P20:P26">XLOOKUP(C20:C26,'Player Stats'!B2:B27,'Player Stats'!S2:S27,)</f>
        <v>0.1777777778</v>
      </c>
      <c r="Q20" s="160">
        <f t="array" ref="Q20:Q26">iferror(XLOOKUP(C20:C26,Guns!G2:G27,Guns!L2:L27)/100,"")</f>
        <v>0.0546</v>
      </c>
      <c r="R20" s="161"/>
      <c r="S20" s="162">
        <v>5.0</v>
      </c>
      <c r="T20" s="163">
        <f>SUM(SelectedTeamStats!I2:I27)/(SUM(SelectedTeamStats!I2:I27)+sum(SelectedTeamStats!J2:J27))</f>
        <v>0.5522620905</v>
      </c>
      <c r="U20" s="163">
        <f>SUMIFS(XvY!$F$2:$F27,XvY!$A$2:$A27,$C$3,XvY!$C$2:$C27,$S20,XvY!$D$2:$D27,U$19)/(SUMIFS(XvY!$F$2:$F27,XvY!$A$2:$A27,$C$3,XvY!$C$2:$C27,$S20,XvY!$D$2:$D27,U$19)+SUMIFS(XvY!$G$2:$G27,XvY!$A$2:$A27,$C$3,XvY!$C$2:$C27,$S20,XvY!$D$2:$D27,U$19))</f>
        <v>0.7903225806</v>
      </c>
      <c r="V20" s="163">
        <f>SUMIFS(XvY!$F$2:$F27,XvY!$A$2:$A27,$C$3,XvY!$C$2:$C27,$S20,XvY!$D$2:$D27,V$19)/(SUMIFS(XvY!$F$2:$F27,XvY!$A$2:$A27,$C$3,XvY!$C$2:$C27,$S20,XvY!$D$2:$D27,V$19)+SUMIFS(XvY!$G$2:$G27,XvY!$A$2:$A27,$C$3,XvY!$C$2:$C27,$S20,XvY!$D$2:$D27,V$19))</f>
        <v>0.9777777778</v>
      </c>
      <c r="W20" s="163">
        <f>SUMIFS(XvY!$F$2:$F27,XvY!$A$2:$A27,$C$3,XvY!$C$2:$C27,$S20,XvY!$D$2:$D27,W$19)/(SUMIFS(XvY!$F$2:$F27,XvY!$A$2:$A27,$C$3,XvY!$C$2:$C27,$S20,XvY!$D$2:$D27,W$19)+SUMIFS(XvY!$G$2:$G27,XvY!$A$2:$A27,$C$3,XvY!$C$2:$C27,$S20,XvY!$D$2:$D27,W$19))</f>
        <v>1</v>
      </c>
      <c r="X20" s="164">
        <f>SUMIFS(XvY!$F$2:$F27,XvY!$A$2:$A27,$C$3,XvY!$C$2:$C27,$S20,XvY!$D$2:$D27,X$19)/(SUMIFS(XvY!$F$2:$F27,XvY!$A$2:$A27,$C$3,XvY!$C$2:$C27,$S20,XvY!$D$2:$D27,X$19)+SUMIFS(XvY!$G$2:$G27,XvY!$A$2:$A27,$C$3,XvY!$C$2:$C27,$S20,XvY!$D$2:$D27,X$19))</f>
        <v>1</v>
      </c>
      <c r="Y20" s="7"/>
      <c r="Z20" s="162">
        <v>5.0</v>
      </c>
      <c r="AA20" s="163">
        <f t="shared" ref="AA20:AE20" si="4">T20-AH20</f>
        <v>0.00422575941</v>
      </c>
      <c r="AB20" s="163">
        <f t="shared" si="4"/>
        <v>0.02448120423</v>
      </c>
      <c r="AC20" s="163">
        <f t="shared" si="4"/>
        <v>0.06784277314</v>
      </c>
      <c r="AD20" s="163">
        <f t="shared" si="4"/>
        <v>0.01717557252</v>
      </c>
      <c r="AE20" s="164">
        <f t="shared" si="4"/>
        <v>0</v>
      </c>
      <c r="AF20" s="7"/>
      <c r="AG20" s="162">
        <v>5.0</v>
      </c>
      <c r="AH20" s="163">
        <f>SUM('5v5'!I2:I27)/(SUM('5v5'!I2:J27))</f>
        <v>0.5480363311</v>
      </c>
      <c r="AI20" s="163">
        <f>SUMIFS(XvY!$F$2:$F27,XvY!$C$2:$C27,$S20,XvY!$D$2:$D27,U$19)/(SUMIFS(XvY!$F$2:$F27,XvY!$C$2:$C27,$S20,XvY!$D$2:$D27,U$19)+SUMIFS(XvY!$G$2:$G27,XvY!$C$2:$C27,$S20,XvY!$D$2:$D27,U$19))</f>
        <v>0.7658413764</v>
      </c>
      <c r="AJ20" s="163">
        <f>SUMIFS(XvY!$F$2:$F27,XvY!$C$2:$C27,$S20,XvY!$D$2:$D27,V$19)/(SUMIFS(XvY!$F$2:$F27,XvY!$C$2:$C27,$S20,XvY!$D$2:$D27,V$19)+SUMIFS(XvY!$G$2:$G27,XvY!$C$2:$C27,$S20,XvY!$D$2:$D27,V$19))</f>
        <v>0.9099350046</v>
      </c>
      <c r="AK20" s="163">
        <f>SUMIFS(XvY!$F$2:$F27,XvY!$C$2:$C27,$S20,XvY!$D$2:$D27,W$19)/(SUMIFS(XvY!$F$2:$F27,XvY!$C$2:$C27,$S20,XvY!$D$2:$D27,W$19)+SUMIFS(XvY!$G$2:$G27,XvY!$C$2:$C27,$S20,XvY!$D$2:$D27,W$19))</f>
        <v>0.9828244275</v>
      </c>
      <c r="AL20" s="164">
        <f>SUMIFS(XvY!$F$2:$F27,XvY!$C$2:$C27,$S20,XvY!$D$2:$D27,X$19)/(SUMIFS(XvY!$F$2:$F27,XvY!$C$2:$C27,$S20,XvY!$D$2:$D27,X$19)+SUMIFS(XvY!$G$2:$G27,XvY!$C$2:$C27,$S20,XvY!$D$2:$D27,X$19))</f>
        <v>1</v>
      </c>
    </row>
    <row r="21" ht="19.5" customHeight="1">
      <c r="A21" s="7"/>
      <c r="B21" s="34"/>
      <c r="C21" s="165" t="str">
        <f>IFERROR(__xludf.DUMMYFUNCTION("""COMPUTED_VALUE"""),"rexxtoned")</f>
        <v>rexxtoned</v>
      </c>
      <c r="D21" s="152" t="str">
        <f>IFERROR(__xludf.DUMMYFUNCTION("arrayformula(xlookup(split(JOIN("","",QUERY(Picks!$A$2:$F27, ""select C where A = '""&amp;C21&amp;""' order by F desc limit 5"")),"",""),Assets!$A$2:$A$28,Assets!$C$2:$C$28,))"),"")</f>
        <v/>
      </c>
      <c r="E21" s="166" t="str">
        <f>IFERROR(__xludf.DUMMYFUNCTION("""COMPUTED_VALUE"""),"")</f>
        <v/>
      </c>
      <c r="F21" s="166" t="str">
        <f>IFERROR(__xludf.DUMMYFUNCTION("""COMPUTED_VALUE"""),"")</f>
        <v/>
      </c>
      <c r="G21" s="166" t="str">
        <f>IFERROR(__xludf.DUMMYFUNCTION("""COMPUTED_VALUE"""),"")</f>
        <v/>
      </c>
      <c r="H21" s="166"/>
      <c r="I21" s="84">
        <v>641.0</v>
      </c>
      <c r="J21" s="154">
        <v>1.277922077922078</v>
      </c>
      <c r="K21" s="155">
        <v>1.6571428571428573</v>
      </c>
      <c r="L21" s="156">
        <v>0.75</v>
      </c>
      <c r="M21" s="157">
        <v>0.0717628705148206</v>
      </c>
      <c r="N21" s="157">
        <v>0.054602184087363496</v>
      </c>
      <c r="O21" s="158">
        <v>0.5679012345679012</v>
      </c>
      <c r="P21" s="159">
        <v>0.12359550561797752</v>
      </c>
      <c r="Q21" s="160"/>
      <c r="R21" s="161"/>
      <c r="S21" s="167">
        <v>4.0</v>
      </c>
      <c r="T21" s="163">
        <f>SUMIFS(XvY!$F$2:$F27,XvY!$A$2:$A27,$C$3,XvY!$C$2:$C27,$S21,XvY!$D$2:$D27,T$19)/(SUMIFS(XvY!$F$2:$F27,XvY!$A$2:$A27,$C$3,XvY!$C$2:$C27,$S21,XvY!$D$2:$D27,T$19)+SUMIFS(XvY!$G$2:$G27,XvY!$A$2:$A27,$C$3,XvY!$C$2:$C27,$S21,XvY!$D$2:$D27,T$19))</f>
        <v>0.3370165746</v>
      </c>
      <c r="U21" s="163">
        <f>SUMIFS(XvY!$F$2:$F27,XvY!$A$2:$A27,$C$3,XvY!$C$2:$C27,$S21,XvY!$D$2:$D27,U$19)/(SUMIFS(XvY!$F$2:$F27,XvY!$A$2:$A27,$C$3,XvY!$C$2:$C27,$S21,XvY!$D$2:$D27,U$19)+SUMIFS(XvY!$G$2:$G27,XvY!$A$2:$A27,$C$3,XvY!$C$2:$C27,$S21,XvY!$D$2:$D27,U$19))</f>
        <v>0.5384615385</v>
      </c>
      <c r="V21" s="163">
        <f>SUMIFS(XvY!$F$2:$F27,XvY!$A$2:$A27,$C$3,XvY!$C$2:$C27,$S21,XvY!$D$2:$D27,V$19)/(SUMIFS(XvY!$F$2:$F27,XvY!$A$2:$A27,$C$3,XvY!$C$2:$C27,$S21,XvY!$D$2:$D27,V$19)+SUMIFS(XvY!$G$2:$G27,XvY!$A$2:$A27,$C$3,XvY!$C$2:$C27,$S21,XvY!$D$2:$D27,V$19))</f>
        <v>0.8152173913</v>
      </c>
      <c r="W21" s="163">
        <f>SUMIFS(XvY!$F$2:$F27,XvY!$A$2:$A27,$C$3,XvY!$C$2:$C27,$S21,XvY!$D$2:$D27,W$19)/(SUMIFS(XvY!$F$2:$F27,XvY!$A$2:$A27,$C$3,XvY!$C$2:$C27,$S21,XvY!$D$2:$D27,W$19)+SUMIFS(XvY!$G$2:$G27,XvY!$A$2:$A27,$C$3,XvY!$C$2:$C27,$S21,XvY!$D$2:$D27,W$19))</f>
        <v>0.9864864865</v>
      </c>
      <c r="X21" s="164">
        <f>SUMIFS(XvY!$F$2:$F27,XvY!$A$2:$A27,$C$3,XvY!$C$2:$C27,$S21,XvY!$D$2:$D27,X$19)/(SUMIFS(XvY!$F$2:$F27,XvY!$A$2:$A27,$C$3,XvY!$C$2:$C27,$S21,XvY!$D$2:$D27,X$19)+SUMIFS(XvY!$G$2:$G27,XvY!$A$2:$A27,$C$3,XvY!$C$2:$C27,$S21,XvY!$D$2:$D27,X$19))</f>
        <v>1</v>
      </c>
      <c r="Y21" s="7"/>
      <c r="Z21" s="167">
        <v>4.0</v>
      </c>
      <c r="AA21" s="163">
        <f t="shared" ref="AA21:AE21" si="5">T21-AH21</f>
        <v>0.02480144241</v>
      </c>
      <c r="AB21" s="163">
        <f t="shared" si="5"/>
        <v>0.001692885751</v>
      </c>
      <c r="AC21" s="163">
        <f t="shared" si="5"/>
        <v>0.03035982009</v>
      </c>
      <c r="AD21" s="163">
        <f t="shared" si="5"/>
        <v>0.03611689831</v>
      </c>
      <c r="AE21" s="164">
        <f t="shared" si="5"/>
        <v>0</v>
      </c>
      <c r="AF21" s="7"/>
      <c r="AG21" s="167">
        <v>4.0</v>
      </c>
      <c r="AH21" s="163">
        <f>SUMIFS(XvY!$F$2:$F27,XvY!$C$2:$C27,$S21,XvY!$D$2:$D27,T$19)/(SUMIFS(XvY!$F$2:$F27,XvY!$C$2:$C27,$S21,XvY!$D$2:$D27,T$19)+SUMIFS(XvY!$G$2:$G27,XvY!$C$2:$C27,$S21,XvY!$D$2:$D27,T$19))</f>
        <v>0.3122151322</v>
      </c>
      <c r="AI21" s="163">
        <f>SUMIFS(XvY!$F$2:$F27,XvY!$C$2:$C27,$S21,XvY!$D$2:$D27,U$19)/(SUMIFS(XvY!$F$2:$F27,XvY!$C$2:$C27,$S21,XvY!$D$2:$D27,U$19)+SUMIFS(XvY!$G$2:$G27,XvY!$C$2:$C27,$S21,XvY!$D$2:$D27,U$19))</f>
        <v>0.5367686527</v>
      </c>
      <c r="AJ21" s="163">
        <f>SUMIFS(XvY!$F$2:$F27,XvY!$C$2:$C27,$S21,XvY!$D$2:$D27,V$19)/(SUMIFS(XvY!$F$2:$F27,XvY!$C$2:$C27,$S21,XvY!$D$2:$D27,V$19)+SUMIFS(XvY!$G$2:$G27,XvY!$C$2:$C27,$S21,XvY!$D$2:$D27,V$19))</f>
        <v>0.7848575712</v>
      </c>
      <c r="AK21" s="163">
        <f>SUMIFS(XvY!$F$2:$F27,XvY!$C$2:$C27,$S21,XvY!$D$2:$D27,W$19)/(SUMIFS(XvY!$F$2:$F27,XvY!$C$2:$C27,$S21,XvY!$D$2:$D27,W$19)+SUMIFS(XvY!$G$2:$G27,XvY!$C$2:$C27,$S21,XvY!$D$2:$D27,W$19))</f>
        <v>0.9503695882</v>
      </c>
      <c r="AL21" s="164">
        <f>SUMIFS(XvY!$F$2:$F27,XvY!$C$2:$C27,$S21,XvY!$D$2:$D27,X$19)/(SUMIFS(XvY!$F$2:$F27,XvY!$C$2:$C27,$S21,XvY!$D$2:$D27,X$19)+SUMIFS(XvY!$G$2:$G27,XvY!$C$2:$C27,$S21,XvY!$D$2:$D27,X$19))</f>
        <v>1</v>
      </c>
    </row>
    <row r="22" ht="19.5" customHeight="1">
      <c r="A22" s="7"/>
      <c r="B22" s="34"/>
      <c r="C22" s="165" t="str">
        <f>IFERROR(__xludf.DUMMYFUNCTION("""COMPUTED_VALUE"""),"Donatello")</f>
        <v>Donatello</v>
      </c>
      <c r="D22" s="152" t="str">
        <f>IFERROR(__xludf.DUMMYFUNCTION("arrayformula(xlookup(split(JOIN("","",QUERY(Picks!$A$2:$F27, ""select C where A = '""&amp;C22&amp;""' order by F desc limit 5"")),"",""),Assets!$A$2:$A$28,Assets!$C$2:$C$28,))"),"")</f>
        <v/>
      </c>
      <c r="E22" s="166" t="str">
        <f>IFERROR(__xludf.DUMMYFUNCTION("""COMPUTED_VALUE"""),"")</f>
        <v/>
      </c>
      <c r="F22" s="166" t="str">
        <f>IFERROR(__xludf.DUMMYFUNCTION("""COMPUTED_VALUE"""),"")</f>
        <v/>
      </c>
      <c r="G22" s="166" t="str">
        <f>IFERROR(__xludf.DUMMYFUNCTION("""COMPUTED_VALUE"""),"")</f>
        <v/>
      </c>
      <c r="H22" s="166" t="str">
        <f>IFERROR(__xludf.DUMMYFUNCTION("""COMPUTED_VALUE"""),"")</f>
        <v/>
      </c>
      <c r="I22" s="84">
        <v>641.0</v>
      </c>
      <c r="J22" s="154">
        <v>0.989648033126294</v>
      </c>
      <c r="K22" s="155">
        <v>1.2277432712215322</v>
      </c>
      <c r="L22" s="156">
        <v>0.67</v>
      </c>
      <c r="M22" s="157">
        <v>0.17004680187207488</v>
      </c>
      <c r="N22" s="157">
        <v>0.1731669266770671</v>
      </c>
      <c r="O22" s="158">
        <v>0.4954545454545455</v>
      </c>
      <c r="P22" s="159">
        <v>0.10810810810810811</v>
      </c>
      <c r="Q22" s="160">
        <v>0.023399999999999997</v>
      </c>
      <c r="R22" s="161"/>
      <c r="S22" s="167">
        <v>3.0</v>
      </c>
      <c r="T22" s="163">
        <f>SUMIFS(XvY!$F$2:$F27,XvY!$A$2:$A27,$C$3,XvY!$C$2:$C27,$S22,XvY!$D$2:$D27,T$19)/(SUMIFS(XvY!$F$2:$F27,XvY!$A$2:$A27,$C$3,XvY!$C$2:$C27,$S22,XvY!$D$2:$D27,T$19)+SUMIFS(XvY!$G$2:$G27,XvY!$A$2:$A27,$C$3,XvY!$C$2:$C27,$S22,XvY!$D$2:$D27,T$19))</f>
        <v>0.08064516129</v>
      </c>
      <c r="U22" s="163">
        <f>SUMIFS(XvY!$F$2:$F27,XvY!$A$2:$A27,$C$3,XvY!$C$2:$C27,$S22,XvY!$D$2:$D27,U$19)/(SUMIFS(XvY!$F$2:$F27,XvY!$A$2:$A27,$C$3,XvY!$C$2:$C27,$S22,XvY!$D$2:$D27,U$19)+SUMIFS(XvY!$G$2:$G27,XvY!$A$2:$A27,$C$3,XvY!$C$2:$C27,$S22,XvY!$D$2:$D27,U$19))</f>
        <v>0.2079207921</v>
      </c>
      <c r="V22" s="163">
        <f>SUMIFS(XvY!$F$2:$F27,XvY!$A$2:$A27,$C$3,XvY!$C$2:$C27,$S22,XvY!$D$2:$D27,V$19)/(SUMIFS(XvY!$F$2:$F27,XvY!$A$2:$A27,$C$3,XvY!$C$2:$C27,$S22,XvY!$D$2:$D27,V$19)+SUMIFS(XvY!$G$2:$G27,XvY!$A$2:$A27,$C$3,XvY!$C$2:$C27,$S22,XvY!$D$2:$D27,V$19))</f>
        <v>0.495049505</v>
      </c>
      <c r="W22" s="163">
        <f>SUMIFS(XvY!$F$2:$F27,XvY!$A$2:$A27,$C$3,XvY!$C$2:$C27,$S22,XvY!$D$2:$D27,W$19)/(SUMIFS(XvY!$F$2:$F27,XvY!$A$2:$A27,$C$3,XvY!$C$2:$C27,$S22,XvY!$D$2:$D27,W$19)+SUMIFS(XvY!$G$2:$G27,XvY!$A$2:$A27,$C$3,XvY!$C$2:$C27,$S22,XvY!$D$2:$D27,W$19))</f>
        <v>0.8615384615</v>
      </c>
      <c r="X22" s="164">
        <f>SUMIFS(XvY!$F$2:$F27,XvY!$A$2:$A27,$C$3,XvY!$C$2:$C27,$S22,XvY!$D$2:$D27,X$19)/(SUMIFS(XvY!$F$2:$F27,XvY!$A$2:$A27,$C$3,XvY!$C$2:$C27,$S22,XvY!$D$2:$D27,X$19)+SUMIFS(XvY!$G$2:$G27,XvY!$A$2:$A27,$C$3,XvY!$C$2:$C27,$S22,XvY!$D$2:$D27,X$19))</f>
        <v>0.9863013699</v>
      </c>
      <c r="Y22" s="7"/>
      <c r="Z22" s="167">
        <v>3.0</v>
      </c>
      <c r="AA22" s="163">
        <f t="shared" ref="AA22:AE22" si="6">T22-AH22</f>
        <v>-0.05412267563</v>
      </c>
      <c r="AB22" s="163">
        <f t="shared" si="6"/>
        <v>-0.07191459887</v>
      </c>
      <c r="AC22" s="163">
        <f t="shared" si="6"/>
        <v>-0.04361028886</v>
      </c>
      <c r="AD22" s="163">
        <f t="shared" si="6"/>
        <v>0.05806397728</v>
      </c>
      <c r="AE22" s="164">
        <f t="shared" si="6"/>
        <v>0.0001378478504</v>
      </c>
      <c r="AF22" s="7"/>
      <c r="AG22" s="167">
        <v>3.0</v>
      </c>
      <c r="AH22" s="163">
        <f>SUMIFS(XvY!$F$2:$F27,XvY!$C$2:$C27,$S22,XvY!$D$2:$D27,T$19)/(SUMIFS(XvY!$F$2:$F27,XvY!$C$2:$C27,$S22,XvY!$D$2:$D27,T$19)+SUMIFS(XvY!$G$2:$G27,XvY!$C$2:$C27,$S22,XvY!$D$2:$D27,T$19))</f>
        <v>0.1347678369</v>
      </c>
      <c r="AI22" s="163">
        <f>SUMIFS(XvY!$F$2:$F27,XvY!$C$2:$C27,$S22,XvY!$D$2:$D27,U$19)/(SUMIFS(XvY!$F$2:$F27,XvY!$C$2:$C27,$S22,XvY!$D$2:$D27,U$19)+SUMIFS(XvY!$G$2:$G27,XvY!$C$2:$C27,$S22,XvY!$D$2:$D27,U$19))</f>
        <v>0.2798353909</v>
      </c>
      <c r="AJ22" s="163">
        <f>SUMIFS(XvY!$F$2:$F27,XvY!$C$2:$C27,$S22,XvY!$D$2:$D27,V$19)/(SUMIFS(XvY!$F$2:$F27,XvY!$C$2:$C27,$S22,XvY!$D$2:$D27,V$19)+SUMIFS(XvY!$G$2:$G27,XvY!$C$2:$C27,$S22,XvY!$D$2:$D27,V$19))</f>
        <v>0.5386597938</v>
      </c>
      <c r="AK22" s="163">
        <f>SUMIFS(XvY!$F$2:$F27,XvY!$C$2:$C27,$S22,XvY!$D$2:$D27,W$19)/(SUMIFS(XvY!$F$2:$F27,XvY!$C$2:$C27,$S22,XvY!$D$2:$D27,W$19)+SUMIFS(XvY!$G$2:$G27,XvY!$C$2:$C27,$S22,XvY!$D$2:$D27,W$19))</f>
        <v>0.8034744843</v>
      </c>
      <c r="AL22" s="164">
        <f>SUMIFS(XvY!$F$2:$F27,XvY!$C$2:$C27,$S22,XvY!$D$2:$D27,X$19)/(SUMIFS(XvY!$F$2:$F27,XvY!$C$2:$C27,$S22,XvY!$D$2:$D27,X$19)+SUMIFS(XvY!$G$2:$G27,XvY!$C$2:$C27,$S22,XvY!$D$2:$D27,X$19))</f>
        <v>0.986163522</v>
      </c>
    </row>
    <row r="23" ht="19.5" customHeight="1">
      <c r="A23" s="7"/>
      <c r="B23" s="34"/>
      <c r="C23" s="165" t="str">
        <f>IFERROR(__xludf.DUMMYFUNCTION("""COMPUTED_VALUE"""),"NINJA")</f>
        <v>NINJA</v>
      </c>
      <c r="D23" s="152" t="str">
        <f>IFERROR(__xludf.DUMMYFUNCTION("arrayformula(xlookup(split(JOIN("","",QUERY(Picks!$A$2:$F27, ""select C where A = '""&amp;C23&amp;""' order by F desc limit 5"")),"",""),Assets!$A$2:$A$28,Assets!$C$2:$C$28,))"),"")</f>
        <v/>
      </c>
      <c r="E23" s="166" t="str">
        <f>IFERROR(__xludf.DUMMYFUNCTION("""COMPUTED_VALUE"""),"")</f>
        <v/>
      </c>
      <c r="F23" s="166" t="str">
        <f>IFERROR(__xludf.DUMMYFUNCTION("""COMPUTED_VALUE"""),"")</f>
        <v/>
      </c>
      <c r="G23" s="166" t="str">
        <f>IFERROR(__xludf.DUMMYFUNCTION("""COMPUTED_VALUE"""),"")</f>
        <v/>
      </c>
      <c r="H23" s="166"/>
      <c r="I23" s="84">
        <v>641.0</v>
      </c>
      <c r="J23" s="154">
        <v>1.1167883211678833</v>
      </c>
      <c r="K23" s="155">
        <v>1.586374695863747</v>
      </c>
      <c r="L23" s="156">
        <v>0.75</v>
      </c>
      <c r="M23" s="157">
        <v>0.07020280811232449</v>
      </c>
      <c r="N23" s="157">
        <v>0.06708268330733229</v>
      </c>
      <c r="O23" s="158">
        <v>0.5113636363636364</v>
      </c>
      <c r="P23" s="159">
        <v>0.13580246913580246</v>
      </c>
      <c r="Q23" s="160">
        <v>0.0062</v>
      </c>
      <c r="R23" s="161"/>
      <c r="S23" s="167">
        <v>2.0</v>
      </c>
      <c r="T23" s="163">
        <f>SUMIFS(XvY!$F$2:$F27,XvY!$A$2:$A27,$C$3,XvY!$C$2:$C27,$S23,XvY!$D$2:$D27,T$19)/(SUMIFS(XvY!$F$2:$F27,XvY!$A$2:$A27,$C$3,XvY!$C$2:$C27,$S23,XvY!$D$2:$D27,T$19)+SUMIFS(XvY!$G$2:$G27,XvY!$A$2:$A27,$C$3,XvY!$C$2:$C27,$S23,XvY!$D$2:$D27,T$19))</f>
        <v>0.03125</v>
      </c>
      <c r="U23" s="163">
        <f>SUMIFS(XvY!$F$2:$F27,XvY!$A$2:$A27,$C$3,XvY!$C$2:$C27,$S23,XvY!$D$2:$D27,U$19)/(SUMIFS(XvY!$F$2:$F27,XvY!$A$2:$A27,$C$3,XvY!$C$2:$C27,$S23,XvY!$D$2:$D27,U$19)+SUMIFS(XvY!$G$2:$G27,XvY!$A$2:$A27,$C$3,XvY!$C$2:$C27,$S23,XvY!$D$2:$D27,U$19))</f>
        <v>0.04411764706</v>
      </c>
      <c r="V23" s="163">
        <f>SUMIFS(XvY!$F$2:$F27,XvY!$A$2:$A27,$C$3,XvY!$C$2:$C27,$S23,XvY!$D$2:$D27,V$19)/(SUMIFS(XvY!$F$2:$F27,XvY!$A$2:$A27,$C$3,XvY!$C$2:$C27,$S23,XvY!$D$2:$D27,V$19)+SUMIFS(XvY!$G$2:$G27,XvY!$A$2:$A27,$C$3,XvY!$C$2:$C27,$S23,XvY!$D$2:$D27,V$19))</f>
        <v>0.2098765432</v>
      </c>
      <c r="W23" s="163">
        <f>SUMIFS(XvY!$F$2:$F27,XvY!$A$2:$A27,$C$3,XvY!$C$2:$C27,$S23,XvY!$D$2:$D27,W$19)/(SUMIFS(XvY!$F$2:$F27,XvY!$A$2:$A27,$C$3,XvY!$C$2:$C27,$S23,XvY!$D$2:$D27,W$19)+SUMIFS(XvY!$G$2:$G27,XvY!$A$2:$A27,$C$3,XvY!$C$2:$C27,$S23,XvY!$D$2:$D27,W$19))</f>
        <v>0.4794520548</v>
      </c>
      <c r="X23" s="164">
        <f>SUMIFS(XvY!$F$2:$F27,XvY!$A$2:$A27,$C$3,XvY!$C$2:$C27,$S23,XvY!$D$2:$D27,X$19)/(SUMIFS(XvY!$F$2:$F27,XvY!$A$2:$A27,$C$3,XvY!$C$2:$C27,$S23,XvY!$D$2:$D27,X$19)+SUMIFS(XvY!$G$2:$G27,XvY!$A$2:$A27,$C$3,XvY!$C$2:$C27,$S23,XvY!$D$2:$D27,X$19))</f>
        <v>0.8666666667</v>
      </c>
      <c r="Y23" s="7"/>
      <c r="Z23" s="167">
        <v>2.0</v>
      </c>
      <c r="AA23" s="163">
        <f t="shared" ref="AA23:AE23" si="7">T23-AH23</f>
        <v>0.003277972028</v>
      </c>
      <c r="AB23" s="163">
        <f t="shared" si="7"/>
        <v>-0.02670042376</v>
      </c>
      <c r="AC23" s="163">
        <f t="shared" si="7"/>
        <v>-0.05025138856</v>
      </c>
      <c r="AD23" s="163">
        <f t="shared" si="7"/>
        <v>-0.07562815911</v>
      </c>
      <c r="AE23" s="164">
        <f t="shared" si="7"/>
        <v>-0.02967479675</v>
      </c>
      <c r="AF23" s="7"/>
      <c r="AG23" s="167">
        <v>2.0</v>
      </c>
      <c r="AH23" s="163">
        <f>SUMIFS(XvY!$F$2:$F27,XvY!$C$2:$C27,$S23,XvY!$D$2:$D27,T$19)/(SUMIFS(XvY!$F$2:$F27,XvY!$C$2:$C27,$S23,XvY!$D$2:$D27,T$19)+SUMIFS(XvY!$G$2:$G27,XvY!$C$2:$C27,$S23,XvY!$D$2:$D27,T$19))</f>
        <v>0.02797202797</v>
      </c>
      <c r="AI23" s="163">
        <f>SUMIFS(XvY!$F$2:$F27,XvY!$C$2:$C27,$S23,XvY!$D$2:$D27,U$19)/(SUMIFS(XvY!$F$2:$F27,XvY!$C$2:$C27,$S23,XvY!$D$2:$D27,U$19)+SUMIFS(XvY!$G$2:$G27,XvY!$C$2:$C27,$S23,XvY!$D$2:$D27,U$19))</f>
        <v>0.07081807082</v>
      </c>
      <c r="AJ23" s="163">
        <f>SUMIFS(XvY!$F$2:$F27,XvY!$C$2:$C27,$S23,XvY!$D$2:$D27,V$19)/(SUMIFS(XvY!$F$2:$F27,XvY!$C$2:$C27,$S23,XvY!$D$2:$D27,V$19)+SUMIFS(XvY!$G$2:$G27,XvY!$C$2:$C27,$S23,XvY!$D$2:$D27,V$19))</f>
        <v>0.2601279318</v>
      </c>
      <c r="AK23" s="163">
        <f>SUMIFS(XvY!$F$2:$F27,XvY!$C$2:$C27,$S23,XvY!$D$2:$D27,W$19)/(SUMIFS(XvY!$F$2:$F27,XvY!$C$2:$C27,$S23,XvY!$D$2:$D27,W$19)+SUMIFS(XvY!$G$2:$G27,XvY!$C$2:$C27,$S23,XvY!$D$2:$D27,W$19))</f>
        <v>0.5550802139</v>
      </c>
      <c r="AL23" s="164">
        <f>SUMIFS(XvY!$F$2:$F27,XvY!$C$2:$C27,$S23,XvY!$D$2:$D27,X$19)/(SUMIFS(XvY!$F$2:$F27,XvY!$C$2:$C27,$S23,XvY!$D$2:$D27,X$19)+SUMIFS(XvY!$G$2:$G27,XvY!$C$2:$C27,$S23,XvY!$D$2:$D27,X$19))</f>
        <v>0.8963414634</v>
      </c>
    </row>
    <row r="24" ht="19.5" customHeight="1">
      <c r="A24" s="7"/>
      <c r="B24" s="34"/>
      <c r="C24" s="165" t="str">
        <f>IFERROR(__xludf.DUMMYFUNCTION("""COMPUTED_VALUE"""),"Qpert")</f>
        <v>Qpert</v>
      </c>
      <c r="D24" s="152" t="str">
        <f>IFERROR(__xludf.DUMMYFUNCTION("arrayformula(xlookup(split(JOIN("","",QUERY(Picks!$A$2:$F27, ""select C where A = '""&amp;C24&amp;""' order by F desc limit 5"")),"",""),Assets!$A$2:$A$28,Assets!$C$2:$C$28,))"),"")</f>
        <v/>
      </c>
      <c r="E24" s="166" t="str">
        <f>IFERROR(__xludf.DUMMYFUNCTION("""COMPUTED_VALUE"""),"")</f>
        <v/>
      </c>
      <c r="F24" s="166" t="str">
        <f>IFERROR(__xludf.DUMMYFUNCTION("""COMPUTED_VALUE"""),"")</f>
        <v/>
      </c>
      <c r="G24" s="166"/>
      <c r="H24" s="166"/>
      <c r="I24" s="84">
        <v>641.0</v>
      </c>
      <c r="J24" s="154">
        <v>1.023076923076923</v>
      </c>
      <c r="K24" s="155">
        <v>1.758974358974359</v>
      </c>
      <c r="L24" s="156">
        <v>0.77</v>
      </c>
      <c r="M24" s="157">
        <v>0.057722308892355696</v>
      </c>
      <c r="N24" s="157">
        <v>0.062402496099843996</v>
      </c>
      <c r="O24" s="158">
        <v>0.4805194805194805</v>
      </c>
      <c r="P24" s="159">
        <v>0.21428571428571427</v>
      </c>
      <c r="Q24" s="160">
        <v>0.0016</v>
      </c>
      <c r="R24" s="161"/>
      <c r="S24" s="168">
        <v>1.0</v>
      </c>
      <c r="T24" s="169">
        <f>SUMIFS(XvY!$F$2:$F27,XvY!$A$2:$A27,$C$3,XvY!$C$2:$C27,$S24,XvY!$D$2:$D27,T$19)/(SUMIFS(XvY!$F$2:$F27,XvY!$A$2:$A27,$C$3,XvY!$C$2:$C27,$S24,XvY!$D$2:$D27,T$19)+SUMIFS(XvY!$G$2:$G27,XvY!$A$2:$A27,$C$3,XvY!$C$2:$C27,$S24,XvY!$D$2:$D27,T$19))</f>
        <v>0</v>
      </c>
      <c r="U24" s="169">
        <f>SUMIFS(XvY!$F$2:$F27,XvY!$A$2:$A27,$C$3,XvY!$C$2:$C27,$S24,XvY!$D$2:$D27,U$19)/(SUMIFS(XvY!$F$2:$F27,XvY!$A$2:$A27,$C$3,XvY!$C$2:$C27,$S24,XvY!$D$2:$D27,U$19)+SUMIFS(XvY!$G$2:$G27,XvY!$A$2:$A27,$C$3,XvY!$C$2:$C27,$S24,XvY!$D$2:$D27,U$19))</f>
        <v>0</v>
      </c>
      <c r="V24" s="169">
        <f>SUMIFS(XvY!$F$2:$F27,XvY!$A$2:$A27,$C$3,XvY!$C$2:$C27,$S24,XvY!$D$2:$D27,V$19)/(SUMIFS(XvY!$F$2:$F27,XvY!$A$2:$A27,$C$3,XvY!$C$2:$C27,$S24,XvY!$D$2:$D27,V$19)+SUMIFS(XvY!$G$2:$G27,XvY!$A$2:$A27,$C$3,XvY!$C$2:$C27,$S24,XvY!$D$2:$D27,V$19))</f>
        <v>0</v>
      </c>
      <c r="W24" s="169">
        <f>SUMIFS(XvY!$F$2:$F27,XvY!$A$2:$A27,$C$3,XvY!$C$2:$C27,$S24,XvY!$D$2:$D27,W$19)/(SUMIFS(XvY!$F$2:$F27,XvY!$A$2:$A27,$C$3,XvY!$C$2:$C27,$S24,XvY!$D$2:$D27,W$19)+SUMIFS(XvY!$G$2:$G27,XvY!$A$2:$A27,$C$3,XvY!$C$2:$C27,$S24,XvY!$D$2:$D27,W$19))</f>
        <v>0.06896551724</v>
      </c>
      <c r="X24" s="170">
        <f>SUMIFS(XvY!$F$2:$F27,XvY!$A$2:$A27,$C$3,XvY!$C$2:$C27,$S24,XvY!$D$2:$D27,X$19)/(SUMIFS(XvY!$F$2:$F27,XvY!$A$2:$A27,$C$3,XvY!$C$2:$C27,$S24,XvY!$D$2:$D27,X$19)+SUMIFS(XvY!$G$2:$G27,XvY!$A$2:$A27,$C$3,XvY!$C$2:$C27,$S24,XvY!$D$2:$D27,X$19))</f>
        <v>0.5</v>
      </c>
      <c r="Y24" s="7"/>
      <c r="Z24" s="168">
        <v>1.0</v>
      </c>
      <c r="AA24" s="169">
        <f t="shared" ref="AA24:AE24" si="8">T24-AH24</f>
        <v>0</v>
      </c>
      <c r="AB24" s="169">
        <f t="shared" si="8"/>
        <v>-0.008771929825</v>
      </c>
      <c r="AC24" s="169">
        <f t="shared" si="8"/>
        <v>-0.04293628809</v>
      </c>
      <c r="AD24" s="169">
        <f t="shared" si="8"/>
        <v>-0.08934582841</v>
      </c>
      <c r="AE24" s="170">
        <f t="shared" si="8"/>
        <v>-0.04253611557</v>
      </c>
      <c r="AF24" s="7"/>
      <c r="AG24" s="168">
        <v>1.0</v>
      </c>
      <c r="AH24" s="169">
        <f>SUMIFS(XvY!$F$2:$F27,XvY!$C$2:$C27,$S24,XvY!$D$2:$D27,T$19)/(SUMIFS(XvY!$F$2:$F27,XvY!$C$2:$C27,$S24,XvY!$D$2:$D27,T$19)+SUMIFS(XvY!$G$2:$G27,XvY!$C$2:$C27,$S24,XvY!$D$2:$D27,T$19))</f>
        <v>0</v>
      </c>
      <c r="AI24" s="169">
        <f>SUMIFS(XvY!$F$2:$F27,XvY!$C$2:$C27,$S24,XvY!$D$2:$D27,U$19)/(SUMIFS(XvY!$F$2:$F27,XvY!$C$2:$C27,$S24,XvY!$D$2:$D27,U$19)+SUMIFS(XvY!$G$2:$G27,XvY!$C$2:$C27,$S24,XvY!$D$2:$D27,U$19))</f>
        <v>0.008771929825</v>
      </c>
      <c r="AJ24" s="169">
        <f>SUMIFS(XvY!$F$2:$F27,XvY!$C$2:$C27,$S24,XvY!$D$2:$D27,V$19)/(SUMIFS(XvY!$F$2:$F27,XvY!$C$2:$C27,$S24,XvY!$D$2:$D27,V$19)+SUMIFS(XvY!$G$2:$G27,XvY!$C$2:$C27,$S24,XvY!$D$2:$D27,V$19))</f>
        <v>0.04293628809</v>
      </c>
      <c r="AK24" s="169">
        <f>SUMIFS(XvY!$F$2:$F27,XvY!$C$2:$C27,$S24,XvY!$D$2:$D27,W$19)/(SUMIFS(XvY!$F$2:$F27,XvY!$C$2:$C27,$S24,XvY!$D$2:$D27,W$19)+SUMIFS(XvY!$G$2:$G27,XvY!$C$2:$C27,$S24,XvY!$D$2:$D27,W$19))</f>
        <v>0.1583113456</v>
      </c>
      <c r="AL24" s="170">
        <f>SUMIFS(XvY!$F$2:$F27,XvY!$C$2:$C27,$S24,XvY!$D$2:$D27,X$19)/(SUMIFS(XvY!$F$2:$F27,XvY!$C$2:$C27,$S24,XvY!$D$2:$D27,X$19)+SUMIFS(XvY!$G$2:$G27,XvY!$C$2:$C27,$S24,XvY!$D$2:$D27,X$19))</f>
        <v>0.5425361156</v>
      </c>
    </row>
    <row r="25" ht="19.5" customHeight="1">
      <c r="A25" s="7"/>
      <c r="B25" s="34"/>
      <c r="C25" s="165"/>
      <c r="D25" s="152" t="str">
        <f>IFERROR(__xludf.DUMMYFUNCTION("arrayformula(xlookup(split(JOIN("","",QUERY(Picks!$A$2:$F27, ""select C where A = '""&amp;C25&amp;""' order by F desc limit 5"")),"",""),Assets!$A$2:$A$28,Assets!$C$2:$C$28,))"),"")</f>
        <v/>
      </c>
      <c r="E25" s="166"/>
      <c r="F25" s="166"/>
      <c r="G25" s="166"/>
      <c r="H25" s="166"/>
      <c r="I25" s="84"/>
      <c r="J25" s="154"/>
      <c r="K25" s="155"/>
      <c r="L25" s="156"/>
      <c r="M25" s="157"/>
      <c r="N25" s="157"/>
      <c r="O25" s="158"/>
      <c r="P25" s="159"/>
      <c r="Q25" s="16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ht="19.5" customHeight="1">
      <c r="A26" s="7"/>
      <c r="B26" s="34"/>
      <c r="C26" s="171"/>
      <c r="D26" s="172" t="str">
        <f>IFERROR(__xludf.DUMMYFUNCTION("arrayformula(xlookup(split(JOIN("","",QUERY(Picks!$A$2:$F27, ""select C where A = '""&amp;C26&amp;""' order by F desc limit 5"")),"",""),Assets!$A$2:$A$28,Assets!$C$2:$C$28,))"),"")</f>
        <v/>
      </c>
      <c r="E26" s="173"/>
      <c r="F26" s="173"/>
      <c r="G26" s="173"/>
      <c r="H26" s="173"/>
      <c r="I26" s="174"/>
      <c r="J26" s="175"/>
      <c r="K26" s="176"/>
      <c r="L26" s="177"/>
      <c r="M26" s="178"/>
      <c r="N26" s="178"/>
      <c r="O26" s="179"/>
      <c r="P26" s="180"/>
      <c r="Q26" s="18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ht="19.5" customHeight="1">
      <c r="A27" s="7"/>
      <c r="B27" s="3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</sheetData>
  <mergeCells count="30">
    <mergeCell ref="C5:I5"/>
    <mergeCell ref="D6:H6"/>
    <mergeCell ref="D16:H16"/>
    <mergeCell ref="C18:Q18"/>
    <mergeCell ref="S18:X18"/>
    <mergeCell ref="D19:H19"/>
    <mergeCell ref="M3:O3"/>
    <mergeCell ref="P3:R3"/>
    <mergeCell ref="S3:U3"/>
    <mergeCell ref="V3:X3"/>
    <mergeCell ref="J5:L5"/>
    <mergeCell ref="M5:O5"/>
    <mergeCell ref="V5:X5"/>
    <mergeCell ref="P5:R5"/>
    <mergeCell ref="S5:U5"/>
    <mergeCell ref="Y5:AA5"/>
    <mergeCell ref="AC5:AP5"/>
    <mergeCell ref="AC6:AD6"/>
    <mergeCell ref="AC7:AD7"/>
    <mergeCell ref="AC8:AD8"/>
    <mergeCell ref="AC16:AD16"/>
    <mergeCell ref="Z18:AE18"/>
    <mergeCell ref="AG18:AL18"/>
    <mergeCell ref="AC9:AD9"/>
    <mergeCell ref="AC10:AD10"/>
    <mergeCell ref="AC11:AD11"/>
    <mergeCell ref="AC12:AD12"/>
    <mergeCell ref="AC13:AD13"/>
    <mergeCell ref="AC14:AD14"/>
    <mergeCell ref="AC15:AD15"/>
  </mergeCells>
  <conditionalFormatting sqref="J19:J26">
    <cfRule type="colorScale" priority="1">
      <colorScale>
        <cfvo type="formula" val="0.8"/>
        <cfvo type="formula" val="1"/>
        <cfvo type="max"/>
        <color rgb="FFEA9999"/>
        <color rgb="FFFFF2CC"/>
        <color rgb="FF93C47D"/>
      </colorScale>
    </cfRule>
  </conditionalFormatting>
  <conditionalFormatting sqref="O19:O26">
    <cfRule type="colorScale" priority="2">
      <colorScale>
        <cfvo type="formula" val="0.4"/>
        <cfvo type="formula" val="0.5"/>
        <cfvo type="formula" val="0.6"/>
        <color rgb="FFEA9999"/>
        <color rgb="FFFFF2CC"/>
        <color rgb="FF93C47D"/>
      </colorScale>
    </cfRule>
  </conditionalFormatting>
  <conditionalFormatting sqref="P19:P26">
    <cfRule type="colorScale" priority="3">
      <colorScale>
        <cfvo type="formula" val="0"/>
        <cfvo type="formula" val="0.15"/>
        <cfvo type="formula" val="0.35"/>
        <color rgb="FFEA9999"/>
        <color rgb="FFFFF2CC"/>
        <color rgb="FF6AA84F"/>
      </colorScale>
    </cfRule>
  </conditionalFormatting>
  <conditionalFormatting sqref="T20:Y24 AH20:AR24">
    <cfRule type="colorScale" priority="4">
      <colorScale>
        <cfvo type="formula" val="0"/>
        <cfvo type="formula" val="0.5"/>
        <cfvo type="formula" val="1"/>
        <color rgb="FFEA9999"/>
        <color rgb="FFFFF2CC"/>
        <color rgb="FF6AA84F"/>
      </colorScale>
    </cfRule>
  </conditionalFormatting>
  <conditionalFormatting sqref="AA20:AF24">
    <cfRule type="colorScale" priority="5">
      <colorScale>
        <cfvo type="formula" val="-0.05"/>
        <cfvo type="formula" val="0"/>
        <cfvo type="formula" val="0.05"/>
        <color rgb="FFEA9999"/>
        <color rgb="FFFFF2CC"/>
        <color rgb="FF93C47D"/>
      </colorScale>
    </cfRule>
  </conditionalFormatting>
  <conditionalFormatting sqref="Q20:Q26">
    <cfRule type="colorScale" priority="6">
      <colorScale>
        <cfvo type="min"/>
        <cfvo type="formula" val="0.01"/>
        <cfvo type="formula" val="0.2"/>
        <color rgb="FFEFEFEF"/>
        <color rgb="FFB6D7A8"/>
        <color rgb="FF6AA84F"/>
      </colorScale>
    </cfRule>
  </conditionalFormatting>
  <conditionalFormatting sqref="N20:N26">
    <cfRule type="colorScale" priority="7">
      <colorScale>
        <cfvo type="formula" val="0"/>
        <cfvo type="formula" val="0.08"/>
        <cfvo type="formula" val="0.25"/>
        <color rgb="FF6AA84F"/>
        <color rgb="FFFFF2CC"/>
        <color rgb="FFE06666"/>
      </colorScale>
    </cfRule>
  </conditionalFormatting>
  <conditionalFormatting sqref="M20:M26">
    <cfRule type="colorScale" priority="8">
      <colorScale>
        <cfvo type="formula" val="0"/>
        <cfvo type="formula" val="0.1"/>
        <cfvo type="formula" val="0.2"/>
        <color rgb="FFE06666"/>
        <color rgb="FFFFF2CC"/>
        <color rgb="FF6AA84F"/>
      </colorScale>
    </cfRule>
  </conditionalFormatting>
  <conditionalFormatting sqref="L20:L26">
    <cfRule type="colorScale" priority="9">
      <colorScale>
        <cfvo type="formula" val="0.68"/>
        <cfvo type="formula" val="0.6"/>
        <cfvo type="formula" val="0.8"/>
        <color rgb="FFEA9999"/>
        <color rgb="FFFFF2CC"/>
        <color rgb="FF93C47D"/>
      </colorScale>
    </cfRule>
  </conditionalFormatting>
  <conditionalFormatting sqref="K20:K26">
    <cfRule type="colorScale" priority="10">
      <colorScale>
        <cfvo type="formula" val="0.7"/>
        <cfvo type="formula" val="1.2"/>
        <cfvo type="formula" val="1.8"/>
        <color rgb="FFEA9999"/>
        <color rgb="FFFFF2CC"/>
        <color rgb="FF93C47D"/>
      </colorScale>
    </cfRule>
  </conditionalFormatting>
  <conditionalFormatting sqref="M7:O16">
    <cfRule type="colorScale" priority="11">
      <colorScale>
        <cfvo type="formula" val="0.43"/>
        <cfvo type="formula" val="0.5"/>
        <cfvo type="formula" val="0.57"/>
        <color rgb="FFE06666"/>
        <color rgb="FFFFF2CC"/>
        <color rgb="FF93C47D"/>
      </colorScale>
    </cfRule>
  </conditionalFormatting>
  <conditionalFormatting sqref="P7:U16 X7:X16">
    <cfRule type="colorScale" priority="12">
      <colorScale>
        <cfvo type="formula" val="0.35"/>
        <cfvo type="formula" val="0.5"/>
        <cfvo type="formula" val="0.65"/>
        <color rgb="FFE06666"/>
        <color rgb="FFFFF2CC"/>
        <color rgb="FF93C47D"/>
      </colorScale>
    </cfRule>
  </conditionalFormatting>
  <conditionalFormatting sqref="V7:X16">
    <cfRule type="colorScale" priority="13">
      <colorScale>
        <cfvo type="formula" val="0.5"/>
        <cfvo type="formula" val="0.75"/>
        <cfvo type="formula" val="0.9"/>
        <color rgb="FFEA9999"/>
        <color rgb="FFFFF2CC"/>
        <color rgb="FF6AA84F"/>
      </colorScale>
    </cfRule>
  </conditionalFormatting>
  <conditionalFormatting sqref="Y7:AA16">
    <cfRule type="colorScale" priority="14">
      <colorScale>
        <cfvo type="formula" val="0"/>
        <cfvo type="formula" val="0.1"/>
        <cfvo type="formula" val="0.4"/>
        <color rgb="FFEA9999"/>
        <color rgb="FFFCE5CD"/>
        <color rgb="FF93C47D"/>
      </colorScale>
    </cfRule>
  </conditionalFormatting>
  <conditionalFormatting sqref="AG7:AG16 AM7:AM16">
    <cfRule type="colorScale" priority="15">
      <colorScale>
        <cfvo type="formula" val="0"/>
        <cfvo type="formula" val="5"/>
        <cfvo type="formula" val="10"/>
        <color rgb="FFFFFFFF"/>
        <color rgb="FFFFF2CC"/>
        <color rgb="FF6AA84F"/>
      </colorScale>
    </cfRule>
  </conditionalFormatting>
  <conditionalFormatting sqref="AH7:AI16">
    <cfRule type="colorScale" priority="16">
      <colorScale>
        <cfvo type="formula" val="0.6"/>
        <cfvo type="formula" val="0.7"/>
        <cfvo type="formula" val="0.9"/>
        <color rgb="FFEA9999"/>
        <color rgb="FFFFF2CC"/>
        <color rgb="FF93C47D"/>
      </colorScale>
    </cfRule>
  </conditionalFormatting>
  <conditionalFormatting sqref="AN7:AO16">
    <cfRule type="colorScale" priority="17">
      <colorScale>
        <cfvo type="formula" val="0.2"/>
        <cfvo type="formula" val="0.4"/>
        <cfvo type="formula" val="0.55"/>
        <color rgb="FFEA9999"/>
        <color rgb="FFFFF2CC"/>
        <color rgb="FF93C47D"/>
      </colorScale>
    </cfRule>
  </conditionalFormatting>
  <conditionalFormatting sqref="AJ7:AJ16 AP7:AP16">
    <cfRule type="colorScale" priority="18">
      <colorScale>
        <cfvo type="formula" val="1"/>
        <cfvo type="formula" val="7.5"/>
        <cfvo type="formula" val="14"/>
        <color rgb="FFB6D7A8"/>
        <color rgb="FFFCE5CD"/>
        <color rgb="FFEA9999"/>
      </colorScale>
    </cfRule>
  </conditionalFormatting>
  <dataValidations>
    <dataValidation type="list" allowBlank="1" showErrorMessage="1" sqref="C3">
      <formula1>Assets!$H$2:$H$15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0"/>
    <col customWidth="1" min="6" max="6" width="20.5"/>
    <col customWidth="1" min="7" max="13" width="19.38"/>
    <col customWidth="1" min="14" max="14" width="12.75"/>
    <col customWidth="1" min="15" max="15" width="19.38"/>
    <col customWidth="1" min="17" max="17" width="3.0"/>
    <col customWidth="1" min="18" max="24" width="19.38"/>
    <col customWidth="1" min="25" max="25" width="12.75"/>
    <col customWidth="1" min="26" max="26" width="19.38"/>
  </cols>
  <sheetData>
    <row r="1">
      <c r="A1" s="182" t="s">
        <v>63</v>
      </c>
      <c r="F1" s="183"/>
      <c r="G1" s="184" t="s">
        <v>64</v>
      </c>
      <c r="Q1" s="183"/>
      <c r="R1" s="184" t="s">
        <v>65</v>
      </c>
    </row>
    <row r="2">
      <c r="B2" s="185" t="s">
        <v>0</v>
      </c>
      <c r="C2" s="185" t="s">
        <v>3</v>
      </c>
      <c r="D2" s="186" t="s">
        <v>66</v>
      </c>
      <c r="E2" s="186" t="s">
        <v>67</v>
      </c>
      <c r="F2" s="187" t="s">
        <v>68</v>
      </c>
      <c r="G2" s="188" t="str">
        <f>IFERROR(__xludf.DUMMYFUNCTION("split(JOIN("","",ARRAYFORMULA('Team View'!AC7:AC16)),"","")"),"Ascent")</f>
        <v>Ascent</v>
      </c>
      <c r="H2" s="188" t="str">
        <f>IFERROR(__xludf.DUMMYFUNCTION("""COMPUTED_VALUE"""),"Haven")</f>
        <v>Haven</v>
      </c>
      <c r="I2" s="188" t="str">
        <f>IFERROR(__xludf.DUMMYFUNCTION("""COMPUTED_VALUE"""),"Bind")</f>
        <v>Bind</v>
      </c>
      <c r="J2" s="188" t="str">
        <f>IFERROR(__xludf.DUMMYFUNCTION("""COMPUTED_VALUE"""),"Icebox")</f>
        <v>Icebox</v>
      </c>
      <c r="K2" s="188" t="str">
        <f>IFERROR(__xludf.DUMMYFUNCTION("""COMPUTED_VALUE"""),"Sunset")</f>
        <v>Sunset</v>
      </c>
      <c r="L2" s="188" t="str">
        <f>IFERROR(__xludf.DUMMYFUNCTION("""COMPUTED_VALUE"""),"Lotus")</f>
        <v>Lotus</v>
      </c>
      <c r="M2" s="188" t="str">
        <f>IFERROR(__xludf.DUMMYFUNCTION("""COMPUTED_VALUE"""),"Corrode")</f>
        <v>Corrode</v>
      </c>
      <c r="N2" s="188" t="str">
        <f>IFERROR(__xludf.DUMMYFUNCTION("""COMPUTED_VALUE"""),"Pearl")</f>
        <v>Pearl</v>
      </c>
      <c r="O2" s="188" t="str">
        <f>IFERROR(__xludf.DUMMYFUNCTION("""COMPUTED_VALUE"""),"Split")</f>
        <v>Split</v>
      </c>
      <c r="P2" s="188" t="str">
        <f>IFERROR(__xludf.DUMMYFUNCTION("""COMPUTED_VALUE"""),"All Maps")</f>
        <v>All Maps</v>
      </c>
      <c r="Q2" s="183"/>
      <c r="R2" s="189" t="str">
        <f>IFERROR(__xludf.DUMMYFUNCTION("split(JOIN("","",ARRAYFORMULA('Team View'!AC7:AC16)),"","")"),"Ascent")</f>
        <v>Ascent</v>
      </c>
      <c r="S2" s="189" t="str">
        <f>IFERROR(__xludf.DUMMYFUNCTION("""COMPUTED_VALUE"""),"Haven")</f>
        <v>Haven</v>
      </c>
      <c r="T2" s="189" t="str">
        <f>IFERROR(__xludf.DUMMYFUNCTION("""COMPUTED_VALUE"""),"Bind")</f>
        <v>Bind</v>
      </c>
      <c r="U2" s="189" t="str">
        <f>IFERROR(__xludf.DUMMYFUNCTION("""COMPUTED_VALUE"""),"Icebox")</f>
        <v>Icebox</v>
      </c>
      <c r="V2" s="189" t="str">
        <f>IFERROR(__xludf.DUMMYFUNCTION("""COMPUTED_VALUE"""),"Sunset")</f>
        <v>Sunset</v>
      </c>
      <c r="W2" s="189" t="str">
        <f>IFERROR(__xludf.DUMMYFUNCTION("""COMPUTED_VALUE"""),"Lotus")</f>
        <v>Lotus</v>
      </c>
      <c r="X2" s="189" t="str">
        <f>IFERROR(__xludf.DUMMYFUNCTION("""COMPUTED_VALUE"""),"Corrode")</f>
        <v>Corrode</v>
      </c>
      <c r="Y2" s="189" t="str">
        <f>IFERROR(__xludf.DUMMYFUNCTION("""COMPUTED_VALUE"""),"Pearl")</f>
        <v>Pearl</v>
      </c>
      <c r="Z2" s="189" t="str">
        <f>IFERROR(__xludf.DUMMYFUNCTION("""COMPUTED_VALUE"""),"Split")</f>
        <v>Split</v>
      </c>
      <c r="AA2" s="189" t="str">
        <f>IFERROR(__xludf.DUMMYFUNCTION("""COMPUTED_VALUE"""),"All Maps")</f>
        <v>All Maps</v>
      </c>
    </row>
    <row r="3">
      <c r="A3" s="189" t="str">
        <f t="array" ref="A3:A111">UNIQUE('Post Plants'!P2:P1001)</f>
        <v>BBL PCIFIC_Ascent</v>
      </c>
      <c r="B3" s="190" t="str">
        <f>IFERROR(__xludf.DUMMYFUNCTION("ARRAYFORMULA( SPLIT(A3:A1001,""_""))"),"BBL PCIFIC")</f>
        <v>BBL PCIFIC</v>
      </c>
      <c r="C3" s="190" t="str">
        <f>IFERROR(__xludf.DUMMYFUNCTION("""COMPUTED_VALUE"""),"Ascent")</f>
        <v>Ascent</v>
      </c>
      <c r="D3" s="190">
        <f t="array" ref="D3:D1001">SUMIF('Post Plants'!P2:P1001,A3:A1001,'Post Plants'!F2:F1001)/SUMIF('Post Plants'!P2:P1001,A3:A1001,'Post Plants'!D2:D1001)</f>
        <v>1</v>
      </c>
      <c r="E3" s="190">
        <f t="array" ref="E3:E1001">SUMIF('Post Plants'!P2:P1001,A3:A1001,'Post Plants'!L2:L1001)/SUMIF('Post Plants'!P2:P1001,A3:A1001,'Post Plants'!J2:J1001)</f>
        <v>0.6666666667</v>
      </c>
      <c r="F3" s="187">
        <v>1.0</v>
      </c>
      <c r="G3" s="191" t="str">
        <f>IFERROR(__xludf.DUMMYFUNCTION("QUERY($A$3:$E1001,""select B where C = '""&amp;G2&amp;""' order by D desc"")"),"BBL PCIFIC")</f>
        <v>BBL PCIFIC</v>
      </c>
      <c r="H3" s="191" t="str">
        <f>IFERROR(__xludf.DUMMYFUNCTION("QUERY($A$3:$E1001,""select B where C = '""&amp;H2&amp;""' order by D desc"")"),"Enterprise Esports")</f>
        <v>Enterprise Esports</v>
      </c>
      <c r="I3" s="191" t="str">
        <f>IFERROR(__xludf.DUMMYFUNCTION("QUERY($A$3:$E1001,""select B where C = '""&amp;I2&amp;""' order by D desc"")"),"Enterprise Esports")</f>
        <v>Enterprise Esports</v>
      </c>
      <c r="J3" s="191" t="str">
        <f>IFERROR(__xludf.DUMMYFUNCTION("QUERY($A$3:$E1001,""select B where C = '""&amp;J2&amp;""' order by D desc"")"),"Joblife")</f>
        <v>Joblife</v>
      </c>
      <c r="K3" s="191" t="str">
        <f>IFERROR(__xludf.DUMMYFUNCTION("QUERY($A$3:$E1001,""select B where C = '""&amp;K2&amp;""' order by D desc"")"),"děti ulice")</f>
        <v>děti ulice</v>
      </c>
      <c r="L3" s="191" t="str">
        <f>IFERROR(__xludf.DUMMYFUNCTION("QUERY($A$3:$E1001,""select B where C = '""&amp;L2&amp;""' order by D desc"")"),"Joblife")</f>
        <v>Joblife</v>
      </c>
      <c r="M3" s="191" t="str">
        <f>IFERROR(__xludf.DUMMYFUNCTION("QUERY($A$3:$E1001,""select B where C = '""&amp;M2&amp;""' order by D desc"")"),"KOI Fénix")</f>
        <v>KOI Fénix</v>
      </c>
      <c r="N3" s="191" t="str">
        <f>IFERROR(__xludf.DUMMYFUNCTION("QUERY($A$3:$E1001,""select B where C = '""&amp;N2&amp;""' order by D desc"")"),"BBL PCIFIC")</f>
        <v>BBL PCIFIC</v>
      </c>
      <c r="O3" s="191" t="str">
        <f>IFERROR(__xludf.DUMMYFUNCTION("QUERY($A$3:$E1001,""select B where C = '""&amp;O2&amp;""' order by D desc"")"),"Eintracht Frankfurt")</f>
        <v>Eintracht Frankfurt</v>
      </c>
      <c r="Q3" s="183"/>
      <c r="R3" s="189" t="str">
        <f>IFERROR(__xludf.DUMMYFUNCTION("QUERY($A$3:$E1001,""select B where C = '""&amp;R2&amp;""' order by E desc"")"),"BBL PCIFIC")</f>
        <v>BBL PCIFIC</v>
      </c>
      <c r="S3" s="189" t="str">
        <f>IFERROR(__xludf.DUMMYFUNCTION("QUERY($A$3:$E1001,""select B where C = '""&amp;S2&amp;""' order by E desc"")"),"Enterprise Esports")</f>
        <v>Enterprise Esports</v>
      </c>
      <c r="T3" s="189" t="str">
        <f>IFERROR(__xludf.DUMMYFUNCTION("QUERY($A$3:$E1001,""select B where C = '""&amp;T2&amp;""' order by E desc"")"),"ULF Esports")</f>
        <v>ULF Esports</v>
      </c>
      <c r="U3" s="189" t="str">
        <f>IFERROR(__xludf.DUMMYFUNCTION("QUERY($A$3:$E1001,""select B where C = '""&amp;U2&amp;""' order by E desc"")"),"Team Liquid Academy")</f>
        <v>Team Liquid Academy</v>
      </c>
      <c r="V3" s="189" t="str">
        <f>IFERROR(__xludf.DUMMYFUNCTION("QUERY($A$3:$E1001,""select B where C = '""&amp;V2&amp;""' order by E desc"")"),"Mandatory")</f>
        <v>Mandatory</v>
      </c>
      <c r="W3" s="189" t="str">
        <f>IFERROR(__xludf.DUMMYFUNCTION("QUERY($A$3:$E1001,""select B where C = '""&amp;W2&amp;""' order by E desc"")"),"DNSTY")</f>
        <v>DNSTY</v>
      </c>
      <c r="X3" s="189" t="str">
        <f>IFERROR(__xludf.DUMMYFUNCTION("QUERY($A$3:$E1001,""select B where C = '""&amp;X2&amp;""' order by E desc"")"),"ULF Esports")</f>
        <v>ULF Esports</v>
      </c>
      <c r="Y3" s="189" t="str">
        <f>IFERROR(__xludf.DUMMYFUNCTION("QUERY($A$3:$E1001,""select B where C = '""&amp;Y2&amp;""' order by E desc"")"),"BBL PCIFIC")</f>
        <v>BBL PCIFIC</v>
      </c>
      <c r="Z3" s="189" t="str">
        <f>IFERROR(__xludf.DUMMYFUNCTION("QUERY($A$3:$E1001,""select B where C = '""&amp;Z2&amp;""' order by E desc"")"),"děti ulice")</f>
        <v>děti ulice</v>
      </c>
    </row>
    <row r="4">
      <c r="A4" s="189" t="s">
        <v>69</v>
      </c>
      <c r="B4" s="190" t="str">
        <f>IFERROR(__xludf.DUMMYFUNCTION("""COMPUTED_VALUE"""),"BBL PCIFIC")</f>
        <v>BBL PCIFIC</v>
      </c>
      <c r="C4" s="190" t="str">
        <f>IFERROR(__xludf.DUMMYFUNCTION("""COMPUTED_VALUE"""),"Corrode")</f>
        <v>Corrode</v>
      </c>
      <c r="D4" s="190">
        <v>0.6666666666666666</v>
      </c>
      <c r="E4" s="190">
        <v>0.35714285714285715</v>
      </c>
      <c r="F4" s="187">
        <v>2.0</v>
      </c>
      <c r="G4" s="191" t="str">
        <f>IFERROR(__xludf.DUMMYFUNCTION("""COMPUTED_VALUE"""),"ULF Esports")</f>
        <v>ULF Esports</v>
      </c>
      <c r="H4" s="191" t="str">
        <f>IFERROR(__xludf.DUMMYFUNCTION("""COMPUTED_VALUE"""),"KOI Fénix")</f>
        <v>KOI Fénix</v>
      </c>
      <c r="I4" s="191" t="str">
        <f>IFERROR(__xludf.DUMMYFUNCTION("""COMPUTED_VALUE"""),"The Ultimates")</f>
        <v>The Ultimates</v>
      </c>
      <c r="J4" s="191" t="str">
        <f>IFERROR(__xludf.DUMMYFUNCTION("""COMPUTED_VALUE"""),"MOUZ")</f>
        <v>MOUZ</v>
      </c>
      <c r="K4" s="191" t="str">
        <f>IFERROR(__xludf.DUMMYFUNCTION("""COMPUTED_VALUE"""),"Joblife")</f>
        <v>Joblife</v>
      </c>
      <c r="L4" s="191" t="str">
        <f>IFERROR(__xludf.DUMMYFUNCTION("""COMPUTED_VALUE"""),"ULF Esports")</f>
        <v>ULF Esports</v>
      </c>
      <c r="M4" s="191" t="str">
        <f>IFERROR(__xludf.DUMMYFUNCTION("""COMPUTED_VALUE"""),"Eintracht Frankfurt")</f>
        <v>Eintracht Frankfurt</v>
      </c>
      <c r="N4" s="191" t="str">
        <f>IFERROR(__xludf.DUMMYFUNCTION("""COMPUTED_VALUE"""),"MOUZ")</f>
        <v>MOUZ</v>
      </c>
      <c r="O4" s="191" t="str">
        <f>IFERROR(__xludf.DUMMYFUNCTION("""COMPUTED_VALUE"""),"Twisted Minds Esports")</f>
        <v>Twisted Minds Esports</v>
      </c>
      <c r="Q4" s="183"/>
      <c r="R4" s="189" t="str">
        <f>IFERROR(__xludf.DUMMYFUNCTION("""COMPUTED_VALUE"""),"Team Liquid Academy")</f>
        <v>Team Liquid Academy</v>
      </c>
      <c r="S4" s="189" t="str">
        <f>IFERROR(__xludf.DUMMYFUNCTION("""COMPUTED_VALUE"""),"MOUZ")</f>
        <v>MOUZ</v>
      </c>
      <c r="T4" s="189" t="str">
        <f>IFERROR(__xludf.DUMMYFUNCTION("""COMPUTED_VALUE"""),"MOUZ")</f>
        <v>MOUZ</v>
      </c>
      <c r="U4" s="189" t="str">
        <f>IFERROR(__xludf.DUMMYFUNCTION("""COMPUTED_VALUE"""),"Twisted Minds Esports")</f>
        <v>Twisted Minds Esports</v>
      </c>
      <c r="V4" s="189" t="str">
        <f>IFERROR(__xludf.DUMMYFUNCTION("""COMPUTED_VALUE"""),"KOI Fénix")</f>
        <v>KOI Fénix</v>
      </c>
      <c r="W4" s="189" t="str">
        <f>IFERROR(__xludf.DUMMYFUNCTION("""COMPUTED_VALUE"""),"KOI Fénix")</f>
        <v>KOI Fénix</v>
      </c>
      <c r="X4" s="189" t="str">
        <f>IFERROR(__xludf.DUMMYFUNCTION("""COMPUTED_VALUE"""),"Enterprise Esports")</f>
        <v>Enterprise Esports</v>
      </c>
      <c r="Y4" s="189" t="str">
        <f>IFERROR(__xludf.DUMMYFUNCTION("""COMPUTED_VALUE"""),"MOUZ")</f>
        <v>MOUZ</v>
      </c>
      <c r="Z4" s="189" t="str">
        <f>IFERROR(__xludf.DUMMYFUNCTION("""COMPUTED_VALUE"""),"Team Liquid Academy")</f>
        <v>Team Liquid Academy</v>
      </c>
    </row>
    <row r="5">
      <c r="A5" s="189" t="s">
        <v>70</v>
      </c>
      <c r="B5" s="190" t="str">
        <f>IFERROR(__xludf.DUMMYFUNCTION("""COMPUTED_VALUE"""),"BBL PCIFIC")</f>
        <v>BBL PCIFIC</v>
      </c>
      <c r="C5" s="190" t="str">
        <f>IFERROR(__xludf.DUMMYFUNCTION("""COMPUTED_VALUE"""),"Haven")</f>
        <v>Haven</v>
      </c>
      <c r="D5" s="190">
        <v>0.7368421052631579</v>
      </c>
      <c r="E5" s="190">
        <v>0.4</v>
      </c>
      <c r="F5" s="187">
        <v>3.0</v>
      </c>
      <c r="G5" s="191" t="str">
        <f>IFERROR(__xludf.DUMMYFUNCTION("""COMPUTED_VALUE"""),"Enterprise Esports")</f>
        <v>Enterprise Esports</v>
      </c>
      <c r="H5" s="191" t="str">
        <f>IFERROR(__xludf.DUMMYFUNCTION("""COMPUTED_VALUE"""),"DNSTY")</f>
        <v>DNSTY</v>
      </c>
      <c r="I5" s="191" t="str">
        <f>IFERROR(__xludf.DUMMYFUNCTION("""COMPUTED_VALUE"""),"Team Liquid Academy")</f>
        <v>Team Liquid Academy</v>
      </c>
      <c r="J5" s="191" t="str">
        <f>IFERROR(__xludf.DUMMYFUNCTION("""COMPUTED_VALUE"""),"Boars Gaming")</f>
        <v>Boars Gaming</v>
      </c>
      <c r="K5" s="191" t="str">
        <f>IFERROR(__xludf.DUMMYFUNCTION("""COMPUTED_VALUE"""),"Twisted Minds Esports")</f>
        <v>Twisted Minds Esports</v>
      </c>
      <c r="L5" s="191" t="str">
        <f>IFERROR(__xludf.DUMMYFUNCTION("""COMPUTED_VALUE"""),"Twisted Minds Esports")</f>
        <v>Twisted Minds Esports</v>
      </c>
      <c r="M5" s="191" t="str">
        <f>IFERROR(__xludf.DUMMYFUNCTION("""COMPUTED_VALUE"""),"The Ultimates")</f>
        <v>The Ultimates</v>
      </c>
      <c r="N5" s="191" t="str">
        <f>IFERROR(__xludf.DUMMYFUNCTION("""COMPUTED_VALUE"""),"The Ultimates")</f>
        <v>The Ultimates</v>
      </c>
      <c r="O5" s="191" t="str">
        <f>IFERROR(__xludf.DUMMYFUNCTION("""COMPUTED_VALUE"""),"BBL PCIFIC")</f>
        <v>BBL PCIFIC</v>
      </c>
      <c r="Q5" s="183"/>
      <c r="R5" s="189" t="str">
        <f>IFERROR(__xludf.DUMMYFUNCTION("""COMPUTED_VALUE"""),"ULF Esports")</f>
        <v>ULF Esports</v>
      </c>
      <c r="S5" s="189" t="str">
        <f>IFERROR(__xludf.DUMMYFUNCTION("""COMPUTED_VALUE"""),"Joblife")</f>
        <v>Joblife</v>
      </c>
      <c r="T5" s="189" t="str">
        <f>IFERROR(__xludf.DUMMYFUNCTION("""COMPUTED_VALUE"""),"Enterprise Esports")</f>
        <v>Enterprise Esports</v>
      </c>
      <c r="U5" s="189" t="str">
        <f>IFERROR(__xludf.DUMMYFUNCTION("""COMPUTED_VALUE"""),"Boars Gaming")</f>
        <v>Boars Gaming</v>
      </c>
      <c r="V5" s="189" t="str">
        <f>IFERROR(__xludf.DUMMYFUNCTION("""COMPUTED_VALUE"""),"DNSTY")</f>
        <v>DNSTY</v>
      </c>
      <c r="W5" s="189" t="str">
        <f>IFERROR(__xludf.DUMMYFUNCTION("""COMPUTED_VALUE"""),"Eintracht Frankfurt")</f>
        <v>Eintracht Frankfurt</v>
      </c>
      <c r="X5" s="189" t="str">
        <f>IFERROR(__xludf.DUMMYFUNCTION("""COMPUTED_VALUE"""),"KOI Fénix")</f>
        <v>KOI Fénix</v>
      </c>
      <c r="Y5" s="189" t="str">
        <f>IFERROR(__xludf.DUMMYFUNCTION("""COMPUTED_VALUE"""),"The Ultimates")</f>
        <v>The Ultimates</v>
      </c>
      <c r="Z5" s="189" t="str">
        <f>IFERROR(__xludf.DUMMYFUNCTION("""COMPUTED_VALUE"""),"MOUZ")</f>
        <v>MOUZ</v>
      </c>
    </row>
    <row r="6">
      <c r="A6" s="189" t="s">
        <v>71</v>
      </c>
      <c r="B6" s="190" t="str">
        <f>IFERROR(__xludf.DUMMYFUNCTION("""COMPUTED_VALUE"""),"BBL PCIFIC")</f>
        <v>BBL PCIFIC</v>
      </c>
      <c r="C6" s="190" t="str">
        <f>IFERROR(__xludf.DUMMYFUNCTION("""COMPUTED_VALUE"""),"Icebox")</f>
        <v>Icebox</v>
      </c>
      <c r="D6" s="190">
        <v>0.4090909090909091</v>
      </c>
      <c r="E6" s="190">
        <v>0.25</v>
      </c>
      <c r="F6" s="187">
        <v>4.0</v>
      </c>
      <c r="G6" s="191" t="str">
        <f>IFERROR(__xludf.DUMMYFUNCTION("""COMPUTED_VALUE"""),"Mandatory")</f>
        <v>Mandatory</v>
      </c>
      <c r="H6" s="191" t="str">
        <f>IFERROR(__xludf.DUMMYFUNCTION("""COMPUTED_VALUE"""),"MOUZ")</f>
        <v>MOUZ</v>
      </c>
      <c r="I6" s="191" t="str">
        <f>IFERROR(__xludf.DUMMYFUNCTION("""COMPUTED_VALUE"""),"MOUZ")</f>
        <v>MOUZ</v>
      </c>
      <c r="J6" s="191" t="str">
        <f>IFERROR(__xludf.DUMMYFUNCTION("""COMPUTED_VALUE"""),"Twisted Minds Esports")</f>
        <v>Twisted Minds Esports</v>
      </c>
      <c r="K6" s="191" t="str">
        <f>IFERROR(__xludf.DUMMYFUNCTION("""COMPUTED_VALUE"""),"Eintracht Frankfurt")</f>
        <v>Eintracht Frankfurt</v>
      </c>
      <c r="L6" s="191" t="str">
        <f>IFERROR(__xludf.DUMMYFUNCTION("""COMPUTED_VALUE"""),"MOUZ")</f>
        <v>MOUZ</v>
      </c>
      <c r="M6" s="191" t="str">
        <f>IFERROR(__xludf.DUMMYFUNCTION("""COMPUTED_VALUE"""),"Enterprise Esports")</f>
        <v>Enterprise Esports</v>
      </c>
      <c r="N6" s="191" t="str">
        <f>IFERROR(__xludf.DUMMYFUNCTION("""COMPUTED_VALUE"""),"Boars Gaming")</f>
        <v>Boars Gaming</v>
      </c>
      <c r="O6" s="191" t="str">
        <f>IFERROR(__xludf.DUMMYFUNCTION("""COMPUTED_VALUE"""),"Mandatory")</f>
        <v>Mandatory</v>
      </c>
      <c r="Q6" s="183"/>
      <c r="R6" s="189" t="str">
        <f>IFERROR(__xludf.DUMMYFUNCTION("""COMPUTED_VALUE"""),"Twisted Minds Esports")</f>
        <v>Twisted Minds Esports</v>
      </c>
      <c r="S6" s="189" t="str">
        <f>IFERROR(__xludf.DUMMYFUNCTION("""COMPUTED_VALUE"""),"Twisted Minds Esports")</f>
        <v>Twisted Minds Esports</v>
      </c>
      <c r="T6" s="189" t="str">
        <f>IFERROR(__xludf.DUMMYFUNCTION("""COMPUTED_VALUE"""),"DNSTY")</f>
        <v>DNSTY</v>
      </c>
      <c r="U6" s="189" t="str">
        <f>IFERROR(__xludf.DUMMYFUNCTION("""COMPUTED_VALUE"""),"Joblife")</f>
        <v>Joblife</v>
      </c>
      <c r="V6" s="189" t="str">
        <f>IFERROR(__xludf.DUMMYFUNCTION("""COMPUTED_VALUE"""),"ULF Esports")</f>
        <v>ULF Esports</v>
      </c>
      <c r="W6" s="189" t="str">
        <f>IFERROR(__xludf.DUMMYFUNCTION("""COMPUTED_VALUE"""),"Twisted Minds Esports")</f>
        <v>Twisted Minds Esports</v>
      </c>
      <c r="X6" s="189" t="str">
        <f>IFERROR(__xludf.DUMMYFUNCTION("""COMPUTED_VALUE"""),"Team Liquid Academy")</f>
        <v>Team Liquid Academy</v>
      </c>
      <c r="Y6" s="189" t="str">
        <f>IFERROR(__xludf.DUMMYFUNCTION("""COMPUTED_VALUE"""),"ULF Esports")</f>
        <v>ULF Esports</v>
      </c>
      <c r="Z6" s="189" t="str">
        <f>IFERROR(__xludf.DUMMYFUNCTION("""COMPUTED_VALUE"""),"Eintracht Frankfurt")</f>
        <v>Eintracht Frankfurt</v>
      </c>
    </row>
    <row r="7">
      <c r="A7" s="189" t="s">
        <v>72</v>
      </c>
      <c r="B7" s="190" t="str">
        <f>IFERROR(__xludf.DUMMYFUNCTION("""COMPUTED_VALUE"""),"BBL PCIFIC")</f>
        <v>BBL PCIFIC</v>
      </c>
      <c r="C7" s="190" t="str">
        <f>IFERROR(__xludf.DUMMYFUNCTION("""COMPUTED_VALUE"""),"Lotus")</f>
        <v>Lotus</v>
      </c>
      <c r="D7" s="190">
        <v>0.6440677966101694</v>
      </c>
      <c r="E7" s="190">
        <v>0.3157894736842105</v>
      </c>
      <c r="F7" s="187">
        <v>5.0</v>
      </c>
      <c r="G7" s="191" t="str">
        <f>IFERROR(__xludf.DUMMYFUNCTION("""COMPUTED_VALUE"""),"Joblife")</f>
        <v>Joblife</v>
      </c>
      <c r="H7" s="191" t="str">
        <f>IFERROR(__xludf.DUMMYFUNCTION("""COMPUTED_VALUE"""),"Boars Gaming")</f>
        <v>Boars Gaming</v>
      </c>
      <c r="I7" s="191" t="str">
        <f>IFERROR(__xludf.DUMMYFUNCTION("""COMPUTED_VALUE"""),"ULF Esports")</f>
        <v>ULF Esports</v>
      </c>
      <c r="J7" s="191" t="str">
        <f>IFERROR(__xludf.DUMMYFUNCTION("""COMPUTED_VALUE"""),"Team Liquid Academy")</f>
        <v>Team Liquid Academy</v>
      </c>
      <c r="K7" s="191" t="str">
        <f>IFERROR(__xludf.DUMMYFUNCTION("""COMPUTED_VALUE"""),"ULF Esports")</f>
        <v>ULF Esports</v>
      </c>
      <c r="L7" s="191" t="str">
        <f>IFERROR(__xludf.DUMMYFUNCTION("""COMPUTED_VALUE"""),"Eintracht Frankfurt")</f>
        <v>Eintracht Frankfurt</v>
      </c>
      <c r="M7" s="191" t="str">
        <f>IFERROR(__xludf.DUMMYFUNCTION("""COMPUTED_VALUE"""),"BBL PCIFIC")</f>
        <v>BBL PCIFIC</v>
      </c>
      <c r="N7" s="191" t="str">
        <f>IFERROR(__xludf.DUMMYFUNCTION("""COMPUTED_VALUE"""),"ULF Esports")</f>
        <v>ULF Esports</v>
      </c>
      <c r="O7" s="191" t="str">
        <f>IFERROR(__xludf.DUMMYFUNCTION("""COMPUTED_VALUE"""),"ULF Esports")</f>
        <v>ULF Esports</v>
      </c>
      <c r="Q7" s="183"/>
      <c r="R7" s="189" t="str">
        <f>IFERROR(__xludf.DUMMYFUNCTION("""COMPUTED_VALUE"""),"děti ulice")</f>
        <v>děti ulice</v>
      </c>
      <c r="S7" s="189" t="str">
        <f>IFERROR(__xludf.DUMMYFUNCTION("""COMPUTED_VALUE"""),"BBL PCIFIC")</f>
        <v>BBL PCIFIC</v>
      </c>
      <c r="T7" s="189" t="str">
        <f>IFERROR(__xludf.DUMMYFUNCTION("""COMPUTED_VALUE"""),"Twisted Minds Esports")</f>
        <v>Twisted Minds Esports</v>
      </c>
      <c r="U7" s="189" t="str">
        <f>IFERROR(__xludf.DUMMYFUNCTION("""COMPUTED_VALUE"""),"MOUZ")</f>
        <v>MOUZ</v>
      </c>
      <c r="V7" s="189" t="str">
        <f>IFERROR(__xludf.DUMMYFUNCTION("""COMPUTED_VALUE"""),"Twisted Minds Esports")</f>
        <v>Twisted Minds Esports</v>
      </c>
      <c r="W7" s="189" t="str">
        <f>IFERROR(__xludf.DUMMYFUNCTION("""COMPUTED_VALUE"""),"Joblife")</f>
        <v>Joblife</v>
      </c>
      <c r="X7" s="189" t="str">
        <f>IFERROR(__xludf.DUMMYFUNCTION("""COMPUTED_VALUE"""),"děti ulice")</f>
        <v>děti ulice</v>
      </c>
      <c r="Y7" s="189" t="str">
        <f>IFERROR(__xludf.DUMMYFUNCTION("""COMPUTED_VALUE"""),"Boars Gaming")</f>
        <v>Boars Gaming</v>
      </c>
      <c r="Z7" s="189" t="str">
        <f>IFERROR(__xludf.DUMMYFUNCTION("""COMPUTED_VALUE"""),"Mandatory")</f>
        <v>Mandatory</v>
      </c>
    </row>
    <row r="8">
      <c r="A8" s="189" t="s">
        <v>73</v>
      </c>
      <c r="B8" s="190" t="str">
        <f>IFERROR(__xludf.DUMMYFUNCTION("""COMPUTED_VALUE"""),"BBL PCIFIC")</f>
        <v>BBL PCIFIC</v>
      </c>
      <c r="C8" s="190" t="str">
        <f>IFERROR(__xludf.DUMMYFUNCTION("""COMPUTED_VALUE"""),"Pearl")</f>
        <v>Pearl</v>
      </c>
      <c r="D8" s="190">
        <v>0.9090909090909091</v>
      </c>
      <c r="E8" s="190">
        <v>0.5833333333333334</v>
      </c>
      <c r="F8" s="187">
        <v>6.0</v>
      </c>
      <c r="G8" s="191" t="str">
        <f>IFERROR(__xludf.DUMMYFUNCTION("""COMPUTED_VALUE"""),"děti ulice")</f>
        <v>děti ulice</v>
      </c>
      <c r="H8" s="191" t="str">
        <f>IFERROR(__xludf.DUMMYFUNCTION("""COMPUTED_VALUE"""),"Joblife")</f>
        <v>Joblife</v>
      </c>
      <c r="I8" s="191" t="str">
        <f>IFERROR(__xludf.DUMMYFUNCTION("""COMPUTED_VALUE"""),"Eintracht Frankfurt")</f>
        <v>Eintracht Frankfurt</v>
      </c>
      <c r="J8" s="191" t="str">
        <f>IFERROR(__xludf.DUMMYFUNCTION("""COMPUTED_VALUE"""),"děti ulice")</f>
        <v>děti ulice</v>
      </c>
      <c r="K8" s="191" t="str">
        <f>IFERROR(__xludf.DUMMYFUNCTION("""COMPUTED_VALUE"""),"Boars Gaming")</f>
        <v>Boars Gaming</v>
      </c>
      <c r="L8" s="191" t="str">
        <f>IFERROR(__xludf.DUMMYFUNCTION("""COMPUTED_VALUE"""),"děti ulice")</f>
        <v>děti ulice</v>
      </c>
      <c r="M8" s="191" t="str">
        <f>IFERROR(__xludf.DUMMYFUNCTION("""COMPUTED_VALUE"""),"Mandatory")</f>
        <v>Mandatory</v>
      </c>
      <c r="N8" s="191"/>
      <c r="O8" s="191" t="str">
        <f>IFERROR(__xludf.DUMMYFUNCTION("""COMPUTED_VALUE"""),"KOI Fénix")</f>
        <v>KOI Fénix</v>
      </c>
      <c r="Q8" s="183"/>
      <c r="R8" s="189" t="str">
        <f>IFERROR(__xludf.DUMMYFUNCTION("""COMPUTED_VALUE"""),"DNSTY")</f>
        <v>DNSTY</v>
      </c>
      <c r="S8" s="189" t="str">
        <f>IFERROR(__xludf.DUMMYFUNCTION("""COMPUTED_VALUE"""),"The Ultimates")</f>
        <v>The Ultimates</v>
      </c>
      <c r="T8" s="189" t="str">
        <f>IFERROR(__xludf.DUMMYFUNCTION("""COMPUTED_VALUE"""),"KOI Fénix")</f>
        <v>KOI Fénix</v>
      </c>
      <c r="U8" s="189" t="str">
        <f>IFERROR(__xludf.DUMMYFUNCTION("""COMPUTED_VALUE"""),"The Ultimates")</f>
        <v>The Ultimates</v>
      </c>
      <c r="V8" s="189" t="str">
        <f>IFERROR(__xludf.DUMMYFUNCTION("""COMPUTED_VALUE"""),"Joblife")</f>
        <v>Joblife</v>
      </c>
      <c r="W8" s="189" t="str">
        <f>IFERROR(__xludf.DUMMYFUNCTION("""COMPUTED_VALUE"""),"Boars Gaming")</f>
        <v>Boars Gaming</v>
      </c>
      <c r="X8" s="189" t="str">
        <f>IFERROR(__xludf.DUMMYFUNCTION("""COMPUTED_VALUE"""),"Twisted Minds Esports")</f>
        <v>Twisted Minds Esports</v>
      </c>
      <c r="Z8" s="189" t="str">
        <f>IFERROR(__xludf.DUMMYFUNCTION("""COMPUTED_VALUE"""),"ULF Esports")</f>
        <v>ULF Esports</v>
      </c>
    </row>
    <row r="9">
      <c r="A9" s="189" t="s">
        <v>74</v>
      </c>
      <c r="B9" s="190" t="str">
        <f>IFERROR(__xludf.DUMMYFUNCTION("""COMPUTED_VALUE"""),"BBL PCIFIC")</f>
        <v>BBL PCIFIC</v>
      </c>
      <c r="C9" s="190" t="str">
        <f>IFERROR(__xludf.DUMMYFUNCTION("""COMPUTED_VALUE"""),"Split")</f>
        <v>Split</v>
      </c>
      <c r="D9" s="190">
        <v>0.8888888888888888</v>
      </c>
      <c r="E9" s="190">
        <v>0.25</v>
      </c>
      <c r="F9" s="187">
        <v>7.0</v>
      </c>
      <c r="G9" s="191" t="str">
        <f>IFERROR(__xludf.DUMMYFUNCTION("""COMPUTED_VALUE"""),"Team Liquid Academy")</f>
        <v>Team Liquid Academy</v>
      </c>
      <c r="H9" s="191" t="str">
        <f>IFERROR(__xludf.DUMMYFUNCTION("""COMPUTED_VALUE"""),"děti ulice")</f>
        <v>děti ulice</v>
      </c>
      <c r="I9" s="191" t="str">
        <f>IFERROR(__xludf.DUMMYFUNCTION("""COMPUTED_VALUE"""),"Joblife")</f>
        <v>Joblife</v>
      </c>
      <c r="J9" s="191" t="str">
        <f>IFERROR(__xludf.DUMMYFUNCTION("""COMPUTED_VALUE"""),"Mandatory")</f>
        <v>Mandatory</v>
      </c>
      <c r="K9" s="191" t="str">
        <f>IFERROR(__xludf.DUMMYFUNCTION("""COMPUTED_VALUE"""),"MOUZ")</f>
        <v>MOUZ</v>
      </c>
      <c r="L9" s="191" t="str">
        <f>IFERROR(__xludf.DUMMYFUNCTION("""COMPUTED_VALUE"""),"Boars Gaming")</f>
        <v>Boars Gaming</v>
      </c>
      <c r="M9" s="191" t="str">
        <f>IFERROR(__xludf.DUMMYFUNCTION("""COMPUTED_VALUE"""),"MOUZ")</f>
        <v>MOUZ</v>
      </c>
      <c r="N9" s="191"/>
      <c r="O9" s="191" t="str">
        <f>IFERROR(__xludf.DUMMYFUNCTION("""COMPUTED_VALUE"""),"děti ulice")</f>
        <v>děti ulice</v>
      </c>
      <c r="Q9" s="183"/>
      <c r="R9" s="189" t="str">
        <f>IFERROR(__xludf.DUMMYFUNCTION("""COMPUTED_VALUE"""),"KOI Fénix")</f>
        <v>KOI Fénix</v>
      </c>
      <c r="S9" s="189" t="str">
        <f>IFERROR(__xludf.DUMMYFUNCTION("""COMPUTED_VALUE"""),"děti ulice")</f>
        <v>děti ulice</v>
      </c>
      <c r="T9" s="189" t="str">
        <f>IFERROR(__xludf.DUMMYFUNCTION("""COMPUTED_VALUE"""),"The Ultimates")</f>
        <v>The Ultimates</v>
      </c>
      <c r="U9" s="189" t="str">
        <f>IFERROR(__xludf.DUMMYFUNCTION("""COMPUTED_VALUE"""),"Eintracht Frankfurt")</f>
        <v>Eintracht Frankfurt</v>
      </c>
      <c r="V9" s="189" t="str">
        <f>IFERROR(__xludf.DUMMYFUNCTION("""COMPUTED_VALUE"""),"BBL PCIFIC")</f>
        <v>BBL PCIFIC</v>
      </c>
      <c r="W9" s="189" t="str">
        <f>IFERROR(__xludf.DUMMYFUNCTION("""COMPUTED_VALUE"""),"Mandatory")</f>
        <v>Mandatory</v>
      </c>
      <c r="X9" s="189" t="str">
        <f>IFERROR(__xludf.DUMMYFUNCTION("""COMPUTED_VALUE"""),"The Ultimates")</f>
        <v>The Ultimates</v>
      </c>
      <c r="Z9" s="189" t="str">
        <f>IFERROR(__xludf.DUMMYFUNCTION("""COMPUTED_VALUE"""),"Twisted Minds Esports")</f>
        <v>Twisted Minds Esports</v>
      </c>
    </row>
    <row r="10">
      <c r="A10" s="189" t="s">
        <v>75</v>
      </c>
      <c r="B10" s="190" t="str">
        <f>IFERROR(__xludf.DUMMYFUNCTION("""COMPUTED_VALUE"""),"BBL PCIFIC")</f>
        <v>BBL PCIFIC</v>
      </c>
      <c r="C10" s="190" t="str">
        <f>IFERROR(__xludf.DUMMYFUNCTION("""COMPUTED_VALUE"""),"Sunset")</f>
        <v>Sunset</v>
      </c>
      <c r="D10" s="190">
        <v>0.6388888888888888</v>
      </c>
      <c r="E10" s="190">
        <v>0.3103448275862069</v>
      </c>
      <c r="F10" s="187">
        <v>8.0</v>
      </c>
      <c r="G10" s="191" t="str">
        <f>IFERROR(__xludf.DUMMYFUNCTION("""COMPUTED_VALUE"""),"Twisted Minds Esports")</f>
        <v>Twisted Minds Esports</v>
      </c>
      <c r="H10" s="191" t="str">
        <f>IFERROR(__xludf.DUMMYFUNCTION("""COMPUTED_VALUE"""),"BBL PCIFIC")</f>
        <v>BBL PCIFIC</v>
      </c>
      <c r="I10" s="191" t="str">
        <f>IFERROR(__xludf.DUMMYFUNCTION("""COMPUTED_VALUE"""),"KOI Fénix")</f>
        <v>KOI Fénix</v>
      </c>
      <c r="J10" s="191" t="str">
        <f>IFERROR(__xludf.DUMMYFUNCTION("""COMPUTED_VALUE"""),"ULF Esports")</f>
        <v>ULF Esports</v>
      </c>
      <c r="K10" s="191" t="str">
        <f>IFERROR(__xludf.DUMMYFUNCTION("""COMPUTED_VALUE"""),"BBL PCIFIC")</f>
        <v>BBL PCIFIC</v>
      </c>
      <c r="L10" s="191" t="str">
        <f>IFERROR(__xludf.DUMMYFUNCTION("""COMPUTED_VALUE"""),"Enterprise Esports")</f>
        <v>Enterprise Esports</v>
      </c>
      <c r="M10" s="191" t="str">
        <f>IFERROR(__xludf.DUMMYFUNCTION("""COMPUTED_VALUE"""),"Twisted Minds Esports")</f>
        <v>Twisted Minds Esports</v>
      </c>
      <c r="N10" s="191"/>
      <c r="O10" s="191" t="str">
        <f>IFERROR(__xludf.DUMMYFUNCTION("""COMPUTED_VALUE"""),"Boars Gaming")</f>
        <v>Boars Gaming</v>
      </c>
      <c r="Q10" s="183"/>
      <c r="R10" s="189" t="str">
        <f>IFERROR(__xludf.DUMMYFUNCTION("""COMPUTED_VALUE"""),"Eintracht Frankfurt")</f>
        <v>Eintracht Frankfurt</v>
      </c>
      <c r="S10" s="189" t="str">
        <f>IFERROR(__xludf.DUMMYFUNCTION("""COMPUTED_VALUE"""),"Mandatory")</f>
        <v>Mandatory</v>
      </c>
      <c r="T10" s="189" t="str">
        <f>IFERROR(__xludf.DUMMYFUNCTION("""COMPUTED_VALUE"""),"Team Liquid Academy")</f>
        <v>Team Liquid Academy</v>
      </c>
      <c r="U10" s="189" t="str">
        <f>IFERROR(__xludf.DUMMYFUNCTION("""COMPUTED_VALUE"""),"Mandatory")</f>
        <v>Mandatory</v>
      </c>
      <c r="V10" s="189" t="str">
        <f>IFERROR(__xludf.DUMMYFUNCTION("""COMPUTED_VALUE"""),"Boars Gaming")</f>
        <v>Boars Gaming</v>
      </c>
      <c r="W10" s="189" t="str">
        <f>IFERROR(__xludf.DUMMYFUNCTION("""COMPUTED_VALUE"""),"Team Liquid Academy")</f>
        <v>Team Liquid Academy</v>
      </c>
      <c r="X10" s="189" t="str">
        <f>IFERROR(__xludf.DUMMYFUNCTION("""COMPUTED_VALUE"""),"BBL PCIFIC")</f>
        <v>BBL PCIFIC</v>
      </c>
      <c r="Z10" s="189" t="str">
        <f>IFERROR(__xludf.DUMMYFUNCTION("""COMPUTED_VALUE"""),"BBL PCIFIC")</f>
        <v>BBL PCIFIC</v>
      </c>
    </row>
    <row r="11">
      <c r="A11" s="189" t="s">
        <v>76</v>
      </c>
      <c r="B11" s="190" t="str">
        <f>IFERROR(__xludf.DUMMYFUNCTION("""COMPUTED_VALUE"""),"Boars Gaming")</f>
        <v>Boars Gaming</v>
      </c>
      <c r="C11" s="190" t="str">
        <f>IFERROR(__xludf.DUMMYFUNCTION("""COMPUTED_VALUE"""),"Ascent")</f>
        <v>Ascent</v>
      </c>
      <c r="D11" s="190">
        <v>0.3333333333333333</v>
      </c>
      <c r="E11" s="190">
        <v>0.0</v>
      </c>
      <c r="F11" s="187">
        <v>9.0</v>
      </c>
      <c r="G11" s="191" t="str">
        <f>IFERROR(__xludf.DUMMYFUNCTION("""COMPUTED_VALUE"""),"Eintracht Frankfurt")</f>
        <v>Eintracht Frankfurt</v>
      </c>
      <c r="H11" s="191" t="str">
        <f>IFERROR(__xludf.DUMMYFUNCTION("""COMPUTED_VALUE"""),"ULF Esports")</f>
        <v>ULF Esports</v>
      </c>
      <c r="I11" s="191" t="str">
        <f>IFERROR(__xludf.DUMMYFUNCTION("""COMPUTED_VALUE"""),"Twisted Minds Esports")</f>
        <v>Twisted Minds Esports</v>
      </c>
      <c r="J11" s="191" t="str">
        <f>IFERROR(__xludf.DUMMYFUNCTION("""COMPUTED_VALUE"""),"The Ultimates")</f>
        <v>The Ultimates</v>
      </c>
      <c r="K11" s="191" t="str">
        <f>IFERROR(__xludf.DUMMYFUNCTION("""COMPUTED_VALUE"""),"Team Liquid Academy")</f>
        <v>Team Liquid Academy</v>
      </c>
      <c r="L11" s="191" t="str">
        <f>IFERROR(__xludf.DUMMYFUNCTION("""COMPUTED_VALUE"""),"KOI Fénix")</f>
        <v>KOI Fénix</v>
      </c>
      <c r="M11" s="191" t="str">
        <f>IFERROR(__xludf.DUMMYFUNCTION("""COMPUTED_VALUE"""),"Team Liquid Academy")</f>
        <v>Team Liquid Academy</v>
      </c>
      <c r="N11" s="191"/>
      <c r="O11" s="191" t="str">
        <f>IFERROR(__xludf.DUMMYFUNCTION("""COMPUTED_VALUE"""),"MOUZ")</f>
        <v>MOUZ</v>
      </c>
      <c r="Q11" s="183"/>
      <c r="R11" s="189" t="str">
        <f>IFERROR(__xludf.DUMMYFUNCTION("""COMPUTED_VALUE"""),"The Ultimates")</f>
        <v>The Ultimates</v>
      </c>
      <c r="S11" s="189" t="str">
        <f>IFERROR(__xludf.DUMMYFUNCTION("""COMPUTED_VALUE"""),"Team Liquid Academy")</f>
        <v>Team Liquid Academy</v>
      </c>
      <c r="T11" s="189" t="str">
        <f>IFERROR(__xludf.DUMMYFUNCTION("""COMPUTED_VALUE"""),"Joblife")</f>
        <v>Joblife</v>
      </c>
      <c r="U11" s="189" t="str">
        <f>IFERROR(__xludf.DUMMYFUNCTION("""COMPUTED_VALUE"""),"BBL PCIFIC")</f>
        <v>BBL PCIFIC</v>
      </c>
      <c r="V11" s="189" t="str">
        <f>IFERROR(__xludf.DUMMYFUNCTION("""COMPUTED_VALUE"""),"děti ulice")</f>
        <v>děti ulice</v>
      </c>
      <c r="W11" s="189" t="str">
        <f>IFERROR(__xludf.DUMMYFUNCTION("""COMPUTED_VALUE"""),"Enterprise Esports")</f>
        <v>Enterprise Esports</v>
      </c>
      <c r="X11" s="189" t="str">
        <f>IFERROR(__xludf.DUMMYFUNCTION("""COMPUTED_VALUE"""),"MOUZ")</f>
        <v>MOUZ</v>
      </c>
      <c r="Z11" s="189" t="str">
        <f>IFERROR(__xludf.DUMMYFUNCTION("""COMPUTED_VALUE"""),"Boars Gaming")</f>
        <v>Boars Gaming</v>
      </c>
    </row>
    <row r="12">
      <c r="A12" s="189" t="s">
        <v>77</v>
      </c>
      <c r="B12" s="190" t="str">
        <f>IFERROR(__xludf.DUMMYFUNCTION("""COMPUTED_VALUE"""),"Boars Gaming")</f>
        <v>Boars Gaming</v>
      </c>
      <c r="C12" s="190" t="str">
        <f>IFERROR(__xludf.DUMMYFUNCTION("""COMPUTED_VALUE"""),"Bind")</f>
        <v>Bind</v>
      </c>
      <c r="D12" s="190">
        <v>0.7</v>
      </c>
      <c r="E12" s="190">
        <v>0.0</v>
      </c>
      <c r="F12" s="187">
        <v>10.0</v>
      </c>
      <c r="G12" s="191" t="str">
        <f>IFERROR(__xludf.DUMMYFUNCTION("""COMPUTED_VALUE"""),"The Ultimates")</f>
        <v>The Ultimates</v>
      </c>
      <c r="H12" s="191" t="str">
        <f>IFERROR(__xludf.DUMMYFUNCTION("""COMPUTED_VALUE"""),"The Ultimates")</f>
        <v>The Ultimates</v>
      </c>
      <c r="I12" s="191" t="str">
        <f>IFERROR(__xludf.DUMMYFUNCTION("""COMPUTED_VALUE"""),"Boars Gaming")</f>
        <v>Boars Gaming</v>
      </c>
      <c r="J12" s="191" t="str">
        <f>IFERROR(__xludf.DUMMYFUNCTION("""COMPUTED_VALUE"""),"Eintracht Frankfurt")</f>
        <v>Eintracht Frankfurt</v>
      </c>
      <c r="K12" s="191" t="str">
        <f>IFERROR(__xludf.DUMMYFUNCTION("""COMPUTED_VALUE"""),"The Ultimates")</f>
        <v>The Ultimates</v>
      </c>
      <c r="L12" s="191" t="str">
        <f>IFERROR(__xludf.DUMMYFUNCTION("""COMPUTED_VALUE"""),"Mandatory")</f>
        <v>Mandatory</v>
      </c>
      <c r="M12" s="191" t="str">
        <f>IFERROR(__xludf.DUMMYFUNCTION("""COMPUTED_VALUE"""),"ULF Esports")</f>
        <v>ULF Esports</v>
      </c>
      <c r="N12" s="191"/>
      <c r="O12" s="191" t="str">
        <f>IFERROR(__xludf.DUMMYFUNCTION("""COMPUTED_VALUE"""),"Team Liquid Academy")</f>
        <v>Team Liquid Academy</v>
      </c>
      <c r="Q12" s="183"/>
      <c r="R12" s="189" t="str">
        <f>IFERROR(__xludf.DUMMYFUNCTION("""COMPUTED_VALUE"""),"Enterprise Esports")</f>
        <v>Enterprise Esports</v>
      </c>
      <c r="S12" s="189" t="str">
        <f>IFERROR(__xludf.DUMMYFUNCTION("""COMPUTED_VALUE"""),"Boars Gaming")</f>
        <v>Boars Gaming</v>
      </c>
      <c r="T12" s="189" t="str">
        <f>IFERROR(__xludf.DUMMYFUNCTION("""COMPUTED_VALUE"""),"děti ulice")</f>
        <v>děti ulice</v>
      </c>
      <c r="U12" s="189" t="str">
        <f>IFERROR(__xludf.DUMMYFUNCTION("""COMPUTED_VALUE"""),"děti ulice")</f>
        <v>děti ulice</v>
      </c>
      <c r="V12" s="189" t="str">
        <f>IFERROR(__xludf.DUMMYFUNCTION("""COMPUTED_VALUE"""),"Eintracht Frankfurt")</f>
        <v>Eintracht Frankfurt</v>
      </c>
      <c r="W12" s="189" t="str">
        <f>IFERROR(__xludf.DUMMYFUNCTION("""COMPUTED_VALUE"""),"ULF Esports")</f>
        <v>ULF Esports</v>
      </c>
      <c r="X12" s="189" t="str">
        <f>IFERROR(__xludf.DUMMYFUNCTION("""COMPUTED_VALUE"""),"Mandatory")</f>
        <v>Mandatory</v>
      </c>
      <c r="Z12" s="189" t="str">
        <f>IFERROR(__xludf.DUMMYFUNCTION("""COMPUTED_VALUE"""),"KOI Fénix")</f>
        <v>KOI Fénix</v>
      </c>
    </row>
    <row r="13">
      <c r="A13" s="189" t="s">
        <v>78</v>
      </c>
      <c r="B13" s="190" t="str">
        <f>IFERROR(__xludf.DUMMYFUNCTION("""COMPUTED_VALUE"""),"Boars Gaming")</f>
        <v>Boars Gaming</v>
      </c>
      <c r="C13" s="190" t="str">
        <f>IFERROR(__xludf.DUMMYFUNCTION("""COMPUTED_VALUE"""),"Corrode")</f>
        <v>Corrode</v>
      </c>
      <c r="D13" s="190">
        <v>0.38461538461538464</v>
      </c>
      <c r="E13" s="190">
        <v>0.16666666666666666</v>
      </c>
      <c r="F13" s="187">
        <v>11.0</v>
      </c>
      <c r="G13" s="191" t="str">
        <f>IFERROR(__xludf.DUMMYFUNCTION("""COMPUTED_VALUE"""),"KOI Fénix")</f>
        <v>KOI Fénix</v>
      </c>
      <c r="H13" s="191" t="str">
        <f>IFERROR(__xludf.DUMMYFUNCTION("""COMPUTED_VALUE"""),"Twisted Minds Esports")</f>
        <v>Twisted Minds Esports</v>
      </c>
      <c r="I13" s="191" t="str">
        <f>IFERROR(__xludf.DUMMYFUNCTION("""COMPUTED_VALUE"""),"děti ulice")</f>
        <v>děti ulice</v>
      </c>
      <c r="J13" s="191" t="str">
        <f>IFERROR(__xludf.DUMMYFUNCTION("""COMPUTED_VALUE"""),"DNSTY")</f>
        <v>DNSTY</v>
      </c>
      <c r="K13" s="191" t="str">
        <f>IFERROR(__xludf.DUMMYFUNCTION("""COMPUTED_VALUE"""),"KOI Fénix")</f>
        <v>KOI Fénix</v>
      </c>
      <c r="L13" s="191" t="str">
        <f>IFERROR(__xludf.DUMMYFUNCTION("""COMPUTED_VALUE"""),"BBL PCIFIC")</f>
        <v>BBL PCIFIC</v>
      </c>
      <c r="M13" s="191" t="str">
        <f>IFERROR(__xludf.DUMMYFUNCTION("""COMPUTED_VALUE"""),"děti ulice")</f>
        <v>děti ulice</v>
      </c>
      <c r="N13" s="191"/>
      <c r="O13" s="191" t="str">
        <f>IFERROR(__xludf.DUMMYFUNCTION("""COMPUTED_VALUE"""),"The Ultimates")</f>
        <v>The Ultimates</v>
      </c>
      <c r="Q13" s="183"/>
      <c r="R13" s="189" t="str">
        <f>IFERROR(__xludf.DUMMYFUNCTION("""COMPUTED_VALUE"""),"Joblife")</f>
        <v>Joblife</v>
      </c>
      <c r="S13" s="189" t="str">
        <f>IFERROR(__xludf.DUMMYFUNCTION("""COMPUTED_VALUE"""),"DNSTY")</f>
        <v>DNSTY</v>
      </c>
      <c r="T13" s="189" t="str">
        <f>IFERROR(__xludf.DUMMYFUNCTION("""COMPUTED_VALUE"""),"Eintracht Frankfurt")</f>
        <v>Eintracht Frankfurt</v>
      </c>
      <c r="U13" s="189" t="str">
        <f>IFERROR(__xludf.DUMMYFUNCTION("""COMPUTED_VALUE"""),"ULF Esports")</f>
        <v>ULF Esports</v>
      </c>
      <c r="V13" s="189" t="str">
        <f>IFERROR(__xludf.DUMMYFUNCTION("""COMPUTED_VALUE"""),"Enterprise Esports")</f>
        <v>Enterprise Esports</v>
      </c>
      <c r="W13" s="189" t="str">
        <f>IFERROR(__xludf.DUMMYFUNCTION("""COMPUTED_VALUE"""),"BBL PCIFIC")</f>
        <v>BBL PCIFIC</v>
      </c>
      <c r="X13" s="189" t="str">
        <f>IFERROR(__xludf.DUMMYFUNCTION("""COMPUTED_VALUE"""),"Eintracht Frankfurt")</f>
        <v>Eintracht Frankfurt</v>
      </c>
      <c r="Z13" s="189" t="str">
        <f>IFERROR(__xludf.DUMMYFUNCTION("""COMPUTED_VALUE"""),"The Ultimates")</f>
        <v>The Ultimates</v>
      </c>
    </row>
    <row r="14">
      <c r="A14" s="189" t="s">
        <v>79</v>
      </c>
      <c r="B14" s="190" t="str">
        <f>IFERROR(__xludf.DUMMYFUNCTION("""COMPUTED_VALUE"""),"Boars Gaming")</f>
        <v>Boars Gaming</v>
      </c>
      <c r="C14" s="190" t="str">
        <f>IFERROR(__xludf.DUMMYFUNCTION("""COMPUTED_VALUE"""),"Haven")</f>
        <v>Haven</v>
      </c>
      <c r="D14" s="190">
        <v>0.796875</v>
      </c>
      <c r="E14" s="190">
        <v>0.3225806451612903</v>
      </c>
      <c r="F14" s="187">
        <v>12.0</v>
      </c>
      <c r="G14" s="191" t="str">
        <f>IFERROR(__xludf.DUMMYFUNCTION("""COMPUTED_VALUE"""),"DNSTY")</f>
        <v>DNSTY</v>
      </c>
      <c r="H14" s="191" t="str">
        <f>IFERROR(__xludf.DUMMYFUNCTION("""COMPUTED_VALUE"""),"Mandatory")</f>
        <v>Mandatory</v>
      </c>
      <c r="I14" s="191" t="str">
        <f>IFERROR(__xludf.DUMMYFUNCTION("""COMPUTED_VALUE"""),"DNSTY")</f>
        <v>DNSTY</v>
      </c>
      <c r="J14" s="191" t="str">
        <f>IFERROR(__xludf.DUMMYFUNCTION("""COMPUTED_VALUE"""),"BBL PCIFIC")</f>
        <v>BBL PCIFIC</v>
      </c>
      <c r="K14" s="191" t="str">
        <f>IFERROR(__xludf.DUMMYFUNCTION("""COMPUTED_VALUE"""),"DNSTY")</f>
        <v>DNSTY</v>
      </c>
      <c r="L14" s="191" t="str">
        <f>IFERROR(__xludf.DUMMYFUNCTION("""COMPUTED_VALUE"""),"Team Liquid Academy")</f>
        <v>Team Liquid Academy</v>
      </c>
      <c r="M14" s="191" t="str">
        <f>IFERROR(__xludf.DUMMYFUNCTION("""COMPUTED_VALUE"""),"Boars Gaming")</f>
        <v>Boars Gaming</v>
      </c>
      <c r="N14" s="191"/>
      <c r="O14" s="191"/>
      <c r="Q14" s="183"/>
      <c r="R14" s="189" t="str">
        <f>IFERROR(__xludf.DUMMYFUNCTION("""COMPUTED_VALUE"""),"Mandatory")</f>
        <v>Mandatory</v>
      </c>
      <c r="S14" s="189" t="str">
        <f>IFERROR(__xludf.DUMMYFUNCTION("""COMPUTED_VALUE"""),"ULF Esports")</f>
        <v>ULF Esports</v>
      </c>
      <c r="T14" s="189" t="str">
        <f>IFERROR(__xludf.DUMMYFUNCTION("""COMPUTED_VALUE"""),"Boars Gaming")</f>
        <v>Boars Gaming</v>
      </c>
      <c r="U14" s="189" t="str">
        <f>IFERROR(__xludf.DUMMYFUNCTION("""COMPUTED_VALUE"""),"DNSTY")</f>
        <v>DNSTY</v>
      </c>
      <c r="V14" s="189" t="str">
        <f>IFERROR(__xludf.DUMMYFUNCTION("""COMPUTED_VALUE"""),"The Ultimates")</f>
        <v>The Ultimates</v>
      </c>
      <c r="W14" s="189" t="str">
        <f>IFERROR(__xludf.DUMMYFUNCTION("""COMPUTED_VALUE"""),"MOUZ")</f>
        <v>MOUZ</v>
      </c>
      <c r="X14" s="189" t="str">
        <f>IFERROR(__xludf.DUMMYFUNCTION("""COMPUTED_VALUE"""),"Boars Gaming")</f>
        <v>Boars Gaming</v>
      </c>
    </row>
    <row r="15">
      <c r="A15" s="189" t="s">
        <v>80</v>
      </c>
      <c r="B15" s="190" t="str">
        <f>IFERROR(__xludf.DUMMYFUNCTION("""COMPUTED_VALUE"""),"Boars Gaming")</f>
        <v>Boars Gaming</v>
      </c>
      <c r="C15" s="190" t="str">
        <f>IFERROR(__xludf.DUMMYFUNCTION("""COMPUTED_VALUE"""),"Icebox")</f>
        <v>Icebox</v>
      </c>
      <c r="D15" s="190">
        <v>0.75</v>
      </c>
      <c r="E15" s="190">
        <v>0.5714285714285714</v>
      </c>
      <c r="F15" s="187">
        <v>13.0</v>
      </c>
      <c r="G15" s="191" t="str">
        <f>IFERROR(__xludf.DUMMYFUNCTION("""COMPUTED_VALUE"""),"MOUZ")</f>
        <v>MOUZ</v>
      </c>
      <c r="H15" s="191" t="str">
        <f>IFERROR(__xludf.DUMMYFUNCTION("""COMPUTED_VALUE"""),"Eintracht Frankfurt")</f>
        <v>Eintracht Frankfurt</v>
      </c>
      <c r="I15" s="191"/>
      <c r="J15" s="191"/>
      <c r="K15" s="191" t="str">
        <f>IFERROR(__xludf.DUMMYFUNCTION("""COMPUTED_VALUE"""),"Mandatory")</f>
        <v>Mandatory</v>
      </c>
      <c r="L15" s="191" t="str">
        <f>IFERROR(__xludf.DUMMYFUNCTION("""COMPUTED_VALUE"""),"The Ultimates")</f>
        <v>The Ultimates</v>
      </c>
      <c r="M15" s="191"/>
      <c r="N15" s="191"/>
      <c r="O15" s="191"/>
      <c r="Q15" s="183"/>
      <c r="R15" s="189" t="str">
        <f>IFERROR(__xludf.DUMMYFUNCTION("""COMPUTED_VALUE"""),"MOUZ")</f>
        <v>MOUZ</v>
      </c>
      <c r="S15" s="189" t="str">
        <f>IFERROR(__xludf.DUMMYFUNCTION("""COMPUTED_VALUE"""),"Eintracht Frankfurt")</f>
        <v>Eintracht Frankfurt</v>
      </c>
      <c r="V15" s="189" t="str">
        <f>IFERROR(__xludf.DUMMYFUNCTION("""COMPUTED_VALUE"""),"Team Liquid Academy")</f>
        <v>Team Liquid Academy</v>
      </c>
      <c r="W15" s="189" t="str">
        <f>IFERROR(__xludf.DUMMYFUNCTION("""COMPUTED_VALUE"""),"děti ulice")</f>
        <v>děti ulice</v>
      </c>
    </row>
    <row r="16">
      <c r="A16" s="189" t="s">
        <v>81</v>
      </c>
      <c r="B16" s="190" t="str">
        <f>IFERROR(__xludf.DUMMYFUNCTION("""COMPUTED_VALUE"""),"Boars Gaming")</f>
        <v>Boars Gaming</v>
      </c>
      <c r="C16" s="190" t="str">
        <f>IFERROR(__xludf.DUMMYFUNCTION("""COMPUTED_VALUE"""),"Lotus")</f>
        <v>Lotus</v>
      </c>
      <c r="D16" s="190">
        <v>0.7195121951219512</v>
      </c>
      <c r="E16" s="190">
        <v>0.375</v>
      </c>
      <c r="F16" s="187">
        <v>14.0</v>
      </c>
      <c r="G16" s="191" t="str">
        <f>IFERROR(__xludf.DUMMYFUNCTION("""COMPUTED_VALUE"""),"Boars Gaming")</f>
        <v>Boars Gaming</v>
      </c>
      <c r="H16" s="191" t="str">
        <f>IFERROR(__xludf.DUMMYFUNCTION("""COMPUTED_VALUE"""),"Team Liquid Academy")</f>
        <v>Team Liquid Academy</v>
      </c>
      <c r="I16" s="191"/>
      <c r="J16" s="191"/>
      <c r="K16" s="191" t="str">
        <f>IFERROR(__xludf.DUMMYFUNCTION("""COMPUTED_VALUE"""),"Enterprise Esports")</f>
        <v>Enterprise Esports</v>
      </c>
      <c r="L16" s="191" t="str">
        <f>IFERROR(__xludf.DUMMYFUNCTION("""COMPUTED_VALUE"""),"DNSTY")</f>
        <v>DNSTY</v>
      </c>
      <c r="M16" s="191"/>
      <c r="N16" s="191"/>
      <c r="O16" s="191"/>
      <c r="Q16" s="183"/>
      <c r="R16" s="189" t="str">
        <f>IFERROR(__xludf.DUMMYFUNCTION("""COMPUTED_VALUE"""),"Boars Gaming")</f>
        <v>Boars Gaming</v>
      </c>
      <c r="S16" s="189" t="str">
        <f>IFERROR(__xludf.DUMMYFUNCTION("""COMPUTED_VALUE"""),"KOI Fénix")</f>
        <v>KOI Fénix</v>
      </c>
      <c r="V16" s="189" t="str">
        <f>IFERROR(__xludf.DUMMYFUNCTION("""COMPUTED_VALUE"""),"MOUZ")</f>
        <v>MOUZ</v>
      </c>
      <c r="W16" s="189" t="str">
        <f>IFERROR(__xludf.DUMMYFUNCTION("""COMPUTED_VALUE"""),"The Ultimates")</f>
        <v>The Ultimates</v>
      </c>
    </row>
    <row r="17">
      <c r="A17" s="189" t="s">
        <v>82</v>
      </c>
      <c r="B17" s="190" t="str">
        <f>IFERROR(__xludf.DUMMYFUNCTION("""COMPUTED_VALUE"""),"Boars Gaming")</f>
        <v>Boars Gaming</v>
      </c>
      <c r="C17" s="190" t="str">
        <f>IFERROR(__xludf.DUMMYFUNCTION("""COMPUTED_VALUE"""),"Pearl")</f>
        <v>Pearl</v>
      </c>
      <c r="D17" s="190">
        <v>0.7777777777777778</v>
      </c>
      <c r="E17" s="190">
        <v>0.0</v>
      </c>
      <c r="F17" s="187">
        <v>15.0</v>
      </c>
      <c r="G17" s="191"/>
      <c r="H17" s="191"/>
      <c r="I17" s="191"/>
      <c r="J17" s="191"/>
      <c r="K17" s="191"/>
      <c r="L17" s="191"/>
      <c r="M17" s="191"/>
      <c r="N17" s="191"/>
      <c r="O17" s="191"/>
      <c r="Q17" s="183"/>
    </row>
    <row r="18">
      <c r="A18" s="189" t="s">
        <v>83</v>
      </c>
      <c r="B18" s="190" t="str">
        <f>IFERROR(__xludf.DUMMYFUNCTION("""COMPUTED_VALUE"""),"Boars Gaming")</f>
        <v>Boars Gaming</v>
      </c>
      <c r="C18" s="190" t="str">
        <f>IFERROR(__xludf.DUMMYFUNCTION("""COMPUTED_VALUE"""),"Split")</f>
        <v>Split</v>
      </c>
      <c r="D18" s="190">
        <v>0.7</v>
      </c>
      <c r="E18" s="190">
        <v>0.2</v>
      </c>
      <c r="F18" s="187">
        <v>16.0</v>
      </c>
      <c r="G18" s="191"/>
      <c r="H18" s="191"/>
      <c r="I18" s="191"/>
      <c r="J18" s="191"/>
      <c r="K18" s="191"/>
      <c r="L18" s="191"/>
      <c r="M18" s="191"/>
      <c r="N18" s="191"/>
      <c r="O18" s="191"/>
      <c r="Q18" s="183"/>
    </row>
    <row r="19">
      <c r="A19" s="189" t="s">
        <v>84</v>
      </c>
      <c r="B19" s="190" t="str">
        <f>IFERROR(__xludf.DUMMYFUNCTION("""COMPUTED_VALUE"""),"Boars Gaming")</f>
        <v>Boars Gaming</v>
      </c>
      <c r="C19" s="190" t="str">
        <f>IFERROR(__xludf.DUMMYFUNCTION("""COMPUTED_VALUE"""),"Sunset")</f>
        <v>Sunset</v>
      </c>
      <c r="D19" s="190">
        <v>0.6911764705882353</v>
      </c>
      <c r="E19" s="190">
        <v>0.28125</v>
      </c>
      <c r="F19" s="183"/>
      <c r="G19" s="191"/>
      <c r="H19" s="191"/>
      <c r="I19" s="191"/>
      <c r="J19" s="191"/>
      <c r="K19" s="191"/>
      <c r="L19" s="191"/>
      <c r="M19" s="191"/>
      <c r="N19" s="191"/>
      <c r="O19" s="191"/>
      <c r="Q19" s="183"/>
    </row>
    <row r="20">
      <c r="A20" s="189" t="s">
        <v>85</v>
      </c>
      <c r="B20" s="190" t="str">
        <f>IFERROR(__xludf.DUMMYFUNCTION("""COMPUTED_VALUE"""),"děti ulice")</f>
        <v>děti ulice</v>
      </c>
      <c r="C20" s="190" t="str">
        <f>IFERROR(__xludf.DUMMYFUNCTION("""COMPUTED_VALUE"""),"Ascent")</f>
        <v>Ascent</v>
      </c>
      <c r="D20" s="190">
        <v>0.782608695652174</v>
      </c>
      <c r="E20" s="190">
        <v>0.45</v>
      </c>
      <c r="F20" s="183"/>
      <c r="G20" s="191"/>
      <c r="H20" s="191"/>
      <c r="I20" s="191"/>
      <c r="J20" s="191"/>
      <c r="K20" s="191"/>
      <c r="L20" s="191"/>
      <c r="M20" s="191"/>
      <c r="N20" s="191"/>
      <c r="O20" s="191"/>
      <c r="Q20" s="183"/>
    </row>
    <row r="21">
      <c r="A21" s="189" t="s">
        <v>86</v>
      </c>
      <c r="B21" s="190" t="str">
        <f>IFERROR(__xludf.DUMMYFUNCTION("""COMPUTED_VALUE"""),"děti ulice")</f>
        <v>děti ulice</v>
      </c>
      <c r="C21" s="190" t="str">
        <f>IFERROR(__xludf.DUMMYFUNCTION("""COMPUTED_VALUE"""),"Bind")</f>
        <v>Bind</v>
      </c>
      <c r="D21" s="190">
        <v>0.68</v>
      </c>
      <c r="E21" s="190">
        <v>0.23529411764705882</v>
      </c>
      <c r="F21" s="183"/>
      <c r="G21" s="191"/>
      <c r="H21" s="191"/>
      <c r="I21" s="191"/>
      <c r="J21" s="191"/>
      <c r="K21" s="191"/>
      <c r="L21" s="191"/>
      <c r="M21" s="191"/>
      <c r="N21" s="191"/>
      <c r="O21" s="191"/>
      <c r="Q21" s="183"/>
    </row>
    <row r="22">
      <c r="A22" s="189" t="s">
        <v>87</v>
      </c>
      <c r="B22" s="190" t="str">
        <f>IFERROR(__xludf.DUMMYFUNCTION("""COMPUTED_VALUE"""),"děti ulice")</f>
        <v>děti ulice</v>
      </c>
      <c r="C22" s="190" t="str">
        <f>IFERROR(__xludf.DUMMYFUNCTION("""COMPUTED_VALUE"""),"Corrode")</f>
        <v>Corrode</v>
      </c>
      <c r="D22" s="190">
        <v>0.5555555555555556</v>
      </c>
      <c r="E22" s="190">
        <v>0.42857142857142855</v>
      </c>
      <c r="F22" s="183"/>
      <c r="G22" s="191"/>
      <c r="H22" s="191"/>
      <c r="I22" s="191"/>
      <c r="J22" s="191"/>
      <c r="K22" s="191"/>
      <c r="L22" s="191"/>
      <c r="M22" s="191"/>
      <c r="N22" s="191"/>
      <c r="O22" s="191"/>
      <c r="Q22" s="183"/>
    </row>
    <row r="23">
      <c r="A23" s="189" t="s">
        <v>88</v>
      </c>
      <c r="B23" s="190" t="str">
        <f>IFERROR(__xludf.DUMMYFUNCTION("""COMPUTED_VALUE"""),"děti ulice")</f>
        <v>děti ulice</v>
      </c>
      <c r="C23" s="190" t="str">
        <f>IFERROR(__xludf.DUMMYFUNCTION("""COMPUTED_VALUE"""),"Haven")</f>
        <v>Haven</v>
      </c>
      <c r="D23" s="190">
        <v>0.7674418604651163</v>
      </c>
      <c r="E23" s="190">
        <v>0.38095238095238093</v>
      </c>
      <c r="F23" s="183"/>
      <c r="G23" s="191"/>
      <c r="H23" s="191"/>
      <c r="I23" s="191"/>
      <c r="J23" s="191"/>
      <c r="K23" s="191"/>
      <c r="L23" s="191"/>
      <c r="M23" s="191"/>
      <c r="N23" s="191"/>
      <c r="O23" s="191"/>
      <c r="Q23" s="183"/>
    </row>
    <row r="24">
      <c r="A24" s="189" t="s">
        <v>89</v>
      </c>
      <c r="B24" s="190" t="str">
        <f>IFERROR(__xludf.DUMMYFUNCTION("""COMPUTED_VALUE"""),"děti ulice")</f>
        <v>děti ulice</v>
      </c>
      <c r="C24" s="190" t="str">
        <f>IFERROR(__xludf.DUMMYFUNCTION("""COMPUTED_VALUE"""),"Icebox")</f>
        <v>Icebox</v>
      </c>
      <c r="D24" s="190">
        <v>0.6923076923076923</v>
      </c>
      <c r="E24" s="190">
        <v>0.25</v>
      </c>
      <c r="F24" s="183"/>
      <c r="G24" s="191"/>
      <c r="H24" s="191"/>
      <c r="I24" s="191"/>
      <c r="J24" s="191"/>
      <c r="K24" s="191"/>
      <c r="L24" s="191"/>
      <c r="M24" s="191"/>
      <c r="N24" s="191"/>
      <c r="O24" s="191"/>
      <c r="Q24" s="183"/>
    </row>
    <row r="25">
      <c r="A25" s="189" t="s">
        <v>90</v>
      </c>
      <c r="B25" s="190" t="str">
        <f>IFERROR(__xludf.DUMMYFUNCTION("""COMPUTED_VALUE"""),"děti ulice")</f>
        <v>děti ulice</v>
      </c>
      <c r="C25" s="190" t="str">
        <f>IFERROR(__xludf.DUMMYFUNCTION("""COMPUTED_VALUE"""),"Lotus")</f>
        <v>Lotus</v>
      </c>
      <c r="D25" s="190">
        <v>0.7272727272727273</v>
      </c>
      <c r="E25" s="190">
        <v>0.2876712328767123</v>
      </c>
      <c r="F25" s="183"/>
      <c r="G25" s="191"/>
      <c r="H25" s="191"/>
      <c r="I25" s="191"/>
      <c r="J25" s="191"/>
      <c r="K25" s="191"/>
      <c r="L25" s="191"/>
      <c r="M25" s="191"/>
      <c r="N25" s="191"/>
      <c r="O25" s="191"/>
      <c r="Q25" s="183"/>
    </row>
    <row r="26">
      <c r="A26" s="189" t="s">
        <v>91</v>
      </c>
      <c r="B26" s="190" t="str">
        <f>IFERROR(__xludf.DUMMYFUNCTION("""COMPUTED_VALUE"""),"děti ulice")</f>
        <v>děti ulice</v>
      </c>
      <c r="C26" s="190" t="str">
        <f>IFERROR(__xludf.DUMMYFUNCTION("""COMPUTED_VALUE"""),"Split")</f>
        <v>Split</v>
      </c>
      <c r="D26" s="190">
        <v>0.75</v>
      </c>
      <c r="E26" s="190">
        <v>0.7</v>
      </c>
      <c r="F26" s="183"/>
      <c r="G26" s="191"/>
      <c r="H26" s="191"/>
      <c r="I26" s="191"/>
      <c r="J26" s="191"/>
      <c r="K26" s="191"/>
      <c r="L26" s="191"/>
      <c r="M26" s="191"/>
      <c r="N26" s="191"/>
      <c r="O26" s="191"/>
      <c r="Q26" s="183"/>
    </row>
    <row r="27">
      <c r="A27" s="189" t="s">
        <v>92</v>
      </c>
      <c r="B27" s="190" t="str">
        <f>IFERROR(__xludf.DUMMYFUNCTION("""COMPUTED_VALUE"""),"děti ulice")</f>
        <v>děti ulice</v>
      </c>
      <c r="C27" s="190" t="str">
        <f>IFERROR(__xludf.DUMMYFUNCTION("""COMPUTED_VALUE"""),"Sunset")</f>
        <v>Sunset</v>
      </c>
      <c r="D27" s="190">
        <v>0.8333333333333334</v>
      </c>
      <c r="E27" s="190">
        <v>0.25</v>
      </c>
      <c r="F27" s="183"/>
      <c r="G27" s="191"/>
      <c r="H27" s="191"/>
      <c r="I27" s="191"/>
      <c r="J27" s="191"/>
      <c r="K27" s="191"/>
      <c r="L27" s="191"/>
      <c r="M27" s="191"/>
      <c r="N27" s="191"/>
      <c r="O27" s="191"/>
      <c r="Q27" s="183"/>
    </row>
    <row r="28">
      <c r="A28" s="189" t="s">
        <v>93</v>
      </c>
      <c r="B28" s="190" t="str">
        <f>IFERROR(__xludf.DUMMYFUNCTION("""COMPUTED_VALUE"""),"DNSTY")</f>
        <v>DNSTY</v>
      </c>
      <c r="C28" s="190" t="str">
        <f>IFERROR(__xludf.DUMMYFUNCTION("""COMPUTED_VALUE"""),"Ascent")</f>
        <v>Ascent</v>
      </c>
      <c r="D28" s="190">
        <v>0.6363636363636364</v>
      </c>
      <c r="E28" s="190">
        <v>0.375</v>
      </c>
      <c r="F28" s="183"/>
      <c r="G28" s="191"/>
      <c r="H28" s="191"/>
      <c r="I28" s="191"/>
      <c r="J28" s="191"/>
      <c r="K28" s="191"/>
      <c r="L28" s="191"/>
      <c r="M28" s="191"/>
      <c r="N28" s="191"/>
      <c r="O28" s="191"/>
      <c r="Q28" s="183"/>
    </row>
    <row r="29">
      <c r="A29" s="189" t="s">
        <v>94</v>
      </c>
      <c r="B29" s="190" t="str">
        <f>IFERROR(__xludf.DUMMYFUNCTION("""COMPUTED_VALUE"""),"DNSTY")</f>
        <v>DNSTY</v>
      </c>
      <c r="C29" s="190" t="str">
        <f>IFERROR(__xludf.DUMMYFUNCTION("""COMPUTED_VALUE"""),"Bind")</f>
        <v>Bind</v>
      </c>
      <c r="D29" s="190">
        <v>0.5714285714285714</v>
      </c>
      <c r="E29" s="190">
        <v>0.35714285714285715</v>
      </c>
      <c r="F29" s="183"/>
      <c r="G29" s="191"/>
      <c r="H29" s="191"/>
      <c r="I29" s="191"/>
      <c r="J29" s="191"/>
      <c r="K29" s="191"/>
      <c r="L29" s="191"/>
      <c r="M29" s="191"/>
      <c r="N29" s="191"/>
      <c r="O29" s="191"/>
      <c r="Q29" s="183"/>
    </row>
    <row r="30">
      <c r="A30" s="189" t="s">
        <v>95</v>
      </c>
      <c r="B30" s="190" t="str">
        <f>IFERROR(__xludf.DUMMYFUNCTION("""COMPUTED_VALUE"""),"DNSTY")</f>
        <v>DNSTY</v>
      </c>
      <c r="C30" s="190" t="str">
        <f>IFERROR(__xludf.DUMMYFUNCTION("""COMPUTED_VALUE"""),"Haven")</f>
        <v>Haven</v>
      </c>
      <c r="D30" s="190">
        <v>0.8787878787878788</v>
      </c>
      <c r="E30" s="190">
        <v>0.25925925925925924</v>
      </c>
      <c r="F30" s="183"/>
      <c r="G30" s="191"/>
      <c r="H30" s="191"/>
      <c r="I30" s="191"/>
      <c r="J30" s="191"/>
      <c r="K30" s="191"/>
      <c r="L30" s="191"/>
      <c r="M30" s="191"/>
      <c r="N30" s="191"/>
      <c r="O30" s="191"/>
      <c r="Q30" s="183"/>
    </row>
    <row r="31">
      <c r="A31" s="189" t="s">
        <v>96</v>
      </c>
      <c r="B31" s="190" t="str">
        <f>IFERROR(__xludf.DUMMYFUNCTION("""COMPUTED_VALUE"""),"DNSTY")</f>
        <v>DNSTY</v>
      </c>
      <c r="C31" s="190" t="str">
        <f>IFERROR(__xludf.DUMMYFUNCTION("""COMPUTED_VALUE"""),"Icebox")</f>
        <v>Icebox</v>
      </c>
      <c r="D31" s="190">
        <v>0.5</v>
      </c>
      <c r="E31" s="190">
        <v>0.0</v>
      </c>
      <c r="F31" s="183"/>
      <c r="G31" s="191"/>
      <c r="H31" s="191"/>
      <c r="I31" s="191"/>
      <c r="J31" s="191"/>
      <c r="K31" s="191"/>
      <c r="L31" s="191"/>
      <c r="M31" s="191"/>
      <c r="N31" s="191"/>
      <c r="O31" s="191"/>
      <c r="Q31" s="183"/>
    </row>
    <row r="32">
      <c r="A32" s="189" t="s">
        <v>97</v>
      </c>
      <c r="B32" s="190" t="str">
        <f>IFERROR(__xludf.DUMMYFUNCTION("""COMPUTED_VALUE"""),"DNSTY")</f>
        <v>DNSTY</v>
      </c>
      <c r="C32" s="190" t="str">
        <f>IFERROR(__xludf.DUMMYFUNCTION("""COMPUTED_VALUE"""),"Lotus")</f>
        <v>Lotus</v>
      </c>
      <c r="D32" s="190">
        <v>0.58</v>
      </c>
      <c r="E32" s="190">
        <v>0.5714285714285714</v>
      </c>
      <c r="F32" s="183"/>
      <c r="G32" s="191"/>
      <c r="H32" s="191"/>
      <c r="I32" s="191"/>
      <c r="J32" s="191"/>
      <c r="K32" s="191"/>
      <c r="L32" s="191"/>
      <c r="M32" s="191"/>
      <c r="N32" s="191"/>
      <c r="O32" s="191"/>
      <c r="Q32" s="183"/>
    </row>
    <row r="33">
      <c r="A33" s="189" t="s">
        <v>98</v>
      </c>
      <c r="B33" s="190" t="str">
        <f>IFERROR(__xludf.DUMMYFUNCTION("""COMPUTED_VALUE"""),"DNSTY")</f>
        <v>DNSTY</v>
      </c>
      <c r="C33" s="190" t="str">
        <f>IFERROR(__xludf.DUMMYFUNCTION("""COMPUTED_VALUE"""),"Sunset")</f>
        <v>Sunset</v>
      </c>
      <c r="D33" s="190">
        <v>0.5714285714285714</v>
      </c>
      <c r="E33" s="190">
        <v>0.6111111111111112</v>
      </c>
      <c r="F33" s="183"/>
      <c r="G33" s="191"/>
      <c r="H33" s="191"/>
      <c r="I33" s="191"/>
      <c r="J33" s="191"/>
      <c r="K33" s="191"/>
      <c r="L33" s="191"/>
      <c r="M33" s="191"/>
      <c r="N33" s="191"/>
      <c r="O33" s="191"/>
      <c r="Q33" s="183"/>
    </row>
    <row r="34">
      <c r="A34" s="189" t="s">
        <v>99</v>
      </c>
      <c r="B34" s="190" t="str">
        <f>IFERROR(__xludf.DUMMYFUNCTION("""COMPUTED_VALUE"""),"Eintracht Frankfurt")</f>
        <v>Eintracht Frankfurt</v>
      </c>
      <c r="C34" s="190" t="str">
        <f>IFERROR(__xludf.DUMMYFUNCTION("""COMPUTED_VALUE"""),"Ascent")</f>
        <v>Ascent</v>
      </c>
      <c r="D34" s="190">
        <v>0.6842105263157895</v>
      </c>
      <c r="E34" s="190">
        <v>0.3125</v>
      </c>
      <c r="F34" s="183"/>
      <c r="G34" s="191"/>
      <c r="H34" s="191"/>
      <c r="I34" s="191"/>
      <c r="J34" s="191"/>
      <c r="K34" s="191"/>
      <c r="L34" s="191"/>
      <c r="M34" s="191"/>
      <c r="N34" s="191"/>
      <c r="O34" s="191"/>
      <c r="Q34" s="183"/>
    </row>
    <row r="35">
      <c r="A35" s="189" t="s">
        <v>100</v>
      </c>
      <c r="B35" s="190" t="str">
        <f>IFERROR(__xludf.DUMMYFUNCTION("""COMPUTED_VALUE"""),"Eintracht Frankfurt")</f>
        <v>Eintracht Frankfurt</v>
      </c>
      <c r="C35" s="190" t="str">
        <f>IFERROR(__xludf.DUMMYFUNCTION("""COMPUTED_VALUE"""),"Bind")</f>
        <v>Bind</v>
      </c>
      <c r="D35" s="190">
        <v>0.8076923076923077</v>
      </c>
      <c r="E35" s="190">
        <v>0.23076923076923078</v>
      </c>
      <c r="F35" s="183"/>
      <c r="G35" s="191"/>
      <c r="H35" s="191"/>
      <c r="I35" s="191"/>
      <c r="J35" s="191"/>
      <c r="K35" s="191"/>
      <c r="L35" s="191"/>
      <c r="M35" s="191"/>
      <c r="N35" s="191"/>
      <c r="O35" s="191"/>
      <c r="Q35" s="183"/>
    </row>
    <row r="36">
      <c r="A36" s="189" t="s">
        <v>101</v>
      </c>
      <c r="B36" s="190" t="str">
        <f>IFERROR(__xludf.DUMMYFUNCTION("""COMPUTED_VALUE"""),"Eintracht Frankfurt")</f>
        <v>Eintracht Frankfurt</v>
      </c>
      <c r="C36" s="190" t="str">
        <f>IFERROR(__xludf.DUMMYFUNCTION("""COMPUTED_VALUE"""),"Corrode")</f>
        <v>Corrode</v>
      </c>
      <c r="D36" s="190">
        <v>0.8095238095238095</v>
      </c>
      <c r="E36" s="190">
        <v>0.3157894736842105</v>
      </c>
      <c r="F36" s="183"/>
      <c r="G36" s="191"/>
      <c r="H36" s="191"/>
      <c r="I36" s="191"/>
      <c r="J36" s="191"/>
      <c r="K36" s="191"/>
      <c r="L36" s="191"/>
      <c r="M36" s="191"/>
      <c r="N36" s="191"/>
      <c r="O36" s="191"/>
      <c r="Q36" s="183"/>
    </row>
    <row r="37">
      <c r="A37" s="189" t="s">
        <v>102</v>
      </c>
      <c r="B37" s="190" t="str">
        <f>IFERROR(__xludf.DUMMYFUNCTION("""COMPUTED_VALUE"""),"Eintracht Frankfurt")</f>
        <v>Eintracht Frankfurt</v>
      </c>
      <c r="C37" s="190" t="str">
        <f>IFERROR(__xludf.DUMMYFUNCTION("""COMPUTED_VALUE"""),"Haven")</f>
        <v>Haven</v>
      </c>
      <c r="D37" s="190">
        <v>0.5555555555555556</v>
      </c>
      <c r="E37" s="190">
        <v>0.18181818181818182</v>
      </c>
      <c r="F37" s="183"/>
      <c r="G37" s="191"/>
      <c r="H37" s="191"/>
      <c r="I37" s="191"/>
      <c r="J37" s="191"/>
      <c r="K37" s="191"/>
      <c r="L37" s="191"/>
      <c r="M37" s="191"/>
      <c r="N37" s="191"/>
      <c r="O37" s="191"/>
      <c r="Q37" s="183"/>
    </row>
    <row r="38">
      <c r="A38" s="189" t="s">
        <v>103</v>
      </c>
      <c r="B38" s="190" t="str">
        <f>IFERROR(__xludf.DUMMYFUNCTION("""COMPUTED_VALUE"""),"Eintracht Frankfurt")</f>
        <v>Eintracht Frankfurt</v>
      </c>
      <c r="C38" s="190" t="str">
        <f>IFERROR(__xludf.DUMMYFUNCTION("""COMPUTED_VALUE"""),"Icebox")</f>
        <v>Icebox</v>
      </c>
      <c r="D38" s="190">
        <v>0.5555555555555556</v>
      </c>
      <c r="E38" s="190">
        <v>0.3333333333333333</v>
      </c>
      <c r="F38" s="183"/>
      <c r="G38" s="191"/>
      <c r="H38" s="191"/>
      <c r="I38" s="191"/>
      <c r="J38" s="191"/>
      <c r="K38" s="191"/>
      <c r="L38" s="191"/>
      <c r="M38" s="191"/>
      <c r="N38" s="191"/>
      <c r="O38" s="191"/>
      <c r="Q38" s="183"/>
    </row>
    <row r="39">
      <c r="A39" s="189" t="s">
        <v>104</v>
      </c>
      <c r="B39" s="190" t="str">
        <f>IFERROR(__xludf.DUMMYFUNCTION("""COMPUTED_VALUE"""),"Eintracht Frankfurt")</f>
        <v>Eintracht Frankfurt</v>
      </c>
      <c r="C39" s="190" t="str">
        <f>IFERROR(__xludf.DUMMYFUNCTION("""COMPUTED_VALUE"""),"Lotus")</f>
        <v>Lotus</v>
      </c>
      <c r="D39" s="190">
        <v>0.7391304347826086</v>
      </c>
      <c r="E39" s="190">
        <v>0.4186046511627907</v>
      </c>
      <c r="F39" s="183"/>
      <c r="G39" s="191"/>
      <c r="H39" s="191"/>
      <c r="I39" s="191"/>
      <c r="J39" s="191"/>
      <c r="K39" s="191"/>
      <c r="L39" s="191"/>
      <c r="M39" s="191"/>
      <c r="N39" s="191"/>
      <c r="O39" s="191"/>
      <c r="Q39" s="183"/>
    </row>
    <row r="40">
      <c r="A40" s="189" t="s">
        <v>105</v>
      </c>
      <c r="B40" s="190" t="str">
        <f>IFERROR(__xludf.DUMMYFUNCTION("""COMPUTED_VALUE"""),"Eintracht Frankfurt")</f>
        <v>Eintracht Frankfurt</v>
      </c>
      <c r="C40" s="190" t="str">
        <f>IFERROR(__xludf.DUMMYFUNCTION("""COMPUTED_VALUE"""),"Split")</f>
        <v>Split</v>
      </c>
      <c r="D40" s="190">
        <v>1.0</v>
      </c>
      <c r="E40" s="190">
        <v>0.3333333333333333</v>
      </c>
      <c r="F40" s="183"/>
      <c r="G40" s="191"/>
      <c r="H40" s="191"/>
      <c r="I40" s="191"/>
      <c r="J40" s="191"/>
      <c r="K40" s="191"/>
      <c r="L40" s="191"/>
      <c r="M40" s="191"/>
      <c r="N40" s="191"/>
      <c r="O40" s="191"/>
      <c r="Q40" s="183"/>
    </row>
    <row r="41">
      <c r="A41" s="189" t="s">
        <v>106</v>
      </c>
      <c r="B41" s="190" t="str">
        <f>IFERROR(__xludf.DUMMYFUNCTION("""COMPUTED_VALUE"""),"Eintracht Frankfurt")</f>
        <v>Eintracht Frankfurt</v>
      </c>
      <c r="C41" s="190" t="str">
        <f>IFERROR(__xludf.DUMMYFUNCTION("""COMPUTED_VALUE"""),"Sunset")</f>
        <v>Sunset</v>
      </c>
      <c r="D41" s="190">
        <v>0.7567567567567568</v>
      </c>
      <c r="E41" s="190">
        <v>0.25</v>
      </c>
      <c r="F41" s="183"/>
      <c r="G41" s="191"/>
      <c r="H41" s="191"/>
      <c r="I41" s="191"/>
      <c r="J41" s="191"/>
      <c r="K41" s="191"/>
      <c r="L41" s="191"/>
      <c r="M41" s="191"/>
      <c r="N41" s="191"/>
      <c r="O41" s="191"/>
      <c r="Q41" s="183"/>
    </row>
    <row r="42">
      <c r="A42" s="189" t="s">
        <v>107</v>
      </c>
      <c r="B42" s="190" t="str">
        <f>IFERROR(__xludf.DUMMYFUNCTION("""COMPUTED_VALUE"""),"Enterprise Esports")</f>
        <v>Enterprise Esports</v>
      </c>
      <c r="C42" s="190" t="str">
        <f>IFERROR(__xludf.DUMMYFUNCTION("""COMPUTED_VALUE"""),"Ascent")</f>
        <v>Ascent</v>
      </c>
      <c r="D42" s="190">
        <v>0.8108108108108109</v>
      </c>
      <c r="E42" s="190">
        <v>0.25925925925925924</v>
      </c>
      <c r="F42" s="183"/>
      <c r="G42" s="191"/>
      <c r="H42" s="191"/>
      <c r="I42" s="191"/>
      <c r="J42" s="191"/>
      <c r="K42" s="191"/>
      <c r="L42" s="191"/>
      <c r="M42" s="191"/>
      <c r="N42" s="191"/>
      <c r="O42" s="191"/>
      <c r="Q42" s="183"/>
    </row>
    <row r="43">
      <c r="A43" s="189" t="s">
        <v>108</v>
      </c>
      <c r="B43" s="190" t="str">
        <f>IFERROR(__xludf.DUMMYFUNCTION("""COMPUTED_VALUE"""),"Enterprise Esports")</f>
        <v>Enterprise Esports</v>
      </c>
      <c r="C43" s="190" t="str">
        <f>IFERROR(__xludf.DUMMYFUNCTION("""COMPUTED_VALUE"""),"Bind")</f>
        <v>Bind</v>
      </c>
      <c r="D43" s="190">
        <v>1.0</v>
      </c>
      <c r="E43" s="190">
        <v>0.375</v>
      </c>
      <c r="F43" s="183"/>
      <c r="G43" s="191"/>
      <c r="H43" s="191"/>
      <c r="I43" s="191"/>
      <c r="J43" s="191"/>
      <c r="K43" s="191"/>
      <c r="L43" s="191"/>
      <c r="M43" s="191"/>
      <c r="N43" s="191"/>
      <c r="O43" s="191"/>
      <c r="Q43" s="183"/>
    </row>
    <row r="44">
      <c r="A44" s="189" t="s">
        <v>109</v>
      </c>
      <c r="B44" s="190" t="str">
        <f>IFERROR(__xludf.DUMMYFUNCTION("""COMPUTED_VALUE"""),"Enterprise Esports")</f>
        <v>Enterprise Esports</v>
      </c>
      <c r="C44" s="190" t="str">
        <f>IFERROR(__xludf.DUMMYFUNCTION("""COMPUTED_VALUE"""),"Corrode")</f>
        <v>Corrode</v>
      </c>
      <c r="D44" s="190">
        <v>0.75</v>
      </c>
      <c r="E44" s="190">
        <v>0.5416666666666666</v>
      </c>
      <c r="F44" s="183"/>
      <c r="G44" s="191"/>
      <c r="H44" s="191"/>
      <c r="I44" s="191"/>
      <c r="J44" s="191"/>
      <c r="K44" s="191"/>
      <c r="L44" s="191"/>
      <c r="M44" s="191"/>
      <c r="N44" s="191"/>
      <c r="O44" s="191"/>
      <c r="Q44" s="183"/>
    </row>
    <row r="45">
      <c r="A45" s="189" t="s">
        <v>110</v>
      </c>
      <c r="B45" s="190" t="str">
        <f>IFERROR(__xludf.DUMMYFUNCTION("""COMPUTED_VALUE"""),"Enterprise Esports")</f>
        <v>Enterprise Esports</v>
      </c>
      <c r="C45" s="190" t="str">
        <f>IFERROR(__xludf.DUMMYFUNCTION("""COMPUTED_VALUE"""),"Haven")</f>
        <v>Haven</v>
      </c>
      <c r="D45" s="190">
        <v>1.0</v>
      </c>
      <c r="E45" s="190">
        <v>0.6666666666666666</v>
      </c>
      <c r="F45" s="183"/>
      <c r="G45" s="191"/>
      <c r="H45" s="191"/>
      <c r="I45" s="191"/>
      <c r="J45" s="191"/>
      <c r="K45" s="191"/>
      <c r="L45" s="191"/>
      <c r="M45" s="191"/>
      <c r="N45" s="191"/>
      <c r="O45" s="191"/>
      <c r="Q45" s="183"/>
    </row>
    <row r="46">
      <c r="A46" s="189" t="s">
        <v>111</v>
      </c>
      <c r="B46" s="190" t="str">
        <f>IFERROR(__xludf.DUMMYFUNCTION("""COMPUTED_VALUE"""),"Enterprise Esports")</f>
        <v>Enterprise Esports</v>
      </c>
      <c r="C46" s="190" t="str">
        <f>IFERROR(__xludf.DUMMYFUNCTION("""COMPUTED_VALUE"""),"Lotus")</f>
        <v>Lotus</v>
      </c>
      <c r="D46" s="190">
        <v>0.7058823529411765</v>
      </c>
      <c r="E46" s="190">
        <v>0.3333333333333333</v>
      </c>
      <c r="F46" s="183"/>
      <c r="G46" s="191"/>
      <c r="H46" s="191"/>
      <c r="I46" s="191"/>
      <c r="J46" s="191"/>
      <c r="K46" s="191"/>
      <c r="L46" s="191"/>
      <c r="M46" s="191"/>
      <c r="N46" s="191"/>
      <c r="O46" s="191"/>
      <c r="Q46" s="183"/>
    </row>
    <row r="47">
      <c r="A47" s="189" t="s">
        <v>112</v>
      </c>
      <c r="B47" s="190" t="str">
        <f>IFERROR(__xludf.DUMMYFUNCTION("""COMPUTED_VALUE"""),"Enterprise Esports")</f>
        <v>Enterprise Esports</v>
      </c>
      <c r="C47" s="190" t="str">
        <f>IFERROR(__xludf.DUMMYFUNCTION("""COMPUTED_VALUE"""),"Sunset")</f>
        <v>Sunset</v>
      </c>
      <c r="D47" s="190">
        <v>0.0</v>
      </c>
      <c r="E47" s="190">
        <v>0.25</v>
      </c>
      <c r="F47" s="183"/>
      <c r="G47" s="191"/>
      <c r="H47" s="191"/>
      <c r="I47" s="191"/>
      <c r="J47" s="191"/>
      <c r="K47" s="191"/>
      <c r="L47" s="191"/>
      <c r="M47" s="191"/>
      <c r="N47" s="191"/>
      <c r="O47" s="191"/>
      <c r="Q47" s="183"/>
    </row>
    <row r="48">
      <c r="A48" s="189" t="s">
        <v>113</v>
      </c>
      <c r="B48" s="190" t="str">
        <f>IFERROR(__xludf.DUMMYFUNCTION("""COMPUTED_VALUE"""),"Joblife")</f>
        <v>Joblife</v>
      </c>
      <c r="C48" s="190" t="str">
        <f>IFERROR(__xludf.DUMMYFUNCTION("""COMPUTED_VALUE"""),"Ascent")</f>
        <v>Ascent</v>
      </c>
      <c r="D48" s="190">
        <v>0.8</v>
      </c>
      <c r="E48" s="190">
        <v>0.16666666666666666</v>
      </c>
      <c r="F48" s="183"/>
      <c r="G48" s="191"/>
      <c r="H48" s="191"/>
      <c r="I48" s="191"/>
      <c r="J48" s="191"/>
      <c r="K48" s="191"/>
      <c r="L48" s="191"/>
      <c r="M48" s="191"/>
      <c r="N48" s="191"/>
      <c r="O48" s="191"/>
      <c r="Q48" s="183"/>
    </row>
    <row r="49">
      <c r="A49" s="189" t="s">
        <v>114</v>
      </c>
      <c r="B49" s="190" t="str">
        <f>IFERROR(__xludf.DUMMYFUNCTION("""COMPUTED_VALUE"""),"Joblife")</f>
        <v>Joblife</v>
      </c>
      <c r="C49" s="190" t="str">
        <f>IFERROR(__xludf.DUMMYFUNCTION("""COMPUTED_VALUE"""),"Bind")</f>
        <v>Bind</v>
      </c>
      <c r="D49" s="190">
        <v>0.7857142857142857</v>
      </c>
      <c r="E49" s="190">
        <v>0.25</v>
      </c>
      <c r="F49" s="183"/>
      <c r="G49" s="191"/>
      <c r="H49" s="191"/>
      <c r="I49" s="191"/>
      <c r="J49" s="191"/>
      <c r="K49" s="191"/>
      <c r="L49" s="191"/>
      <c r="M49" s="191"/>
      <c r="N49" s="191"/>
      <c r="O49" s="191"/>
      <c r="Q49" s="183"/>
    </row>
    <row r="50">
      <c r="A50" s="189" t="s">
        <v>115</v>
      </c>
      <c r="B50" s="190" t="str">
        <f>IFERROR(__xludf.DUMMYFUNCTION("""COMPUTED_VALUE"""),"Joblife")</f>
        <v>Joblife</v>
      </c>
      <c r="C50" s="190" t="str">
        <f>IFERROR(__xludf.DUMMYFUNCTION("""COMPUTED_VALUE"""),"Haven")</f>
        <v>Haven</v>
      </c>
      <c r="D50" s="190">
        <v>0.7741935483870968</v>
      </c>
      <c r="E50" s="190">
        <v>0.47619047619047616</v>
      </c>
      <c r="F50" s="183"/>
      <c r="G50" s="191"/>
      <c r="H50" s="191"/>
      <c r="I50" s="191"/>
      <c r="J50" s="191"/>
      <c r="K50" s="191"/>
      <c r="L50" s="191"/>
      <c r="M50" s="191"/>
      <c r="N50" s="191"/>
      <c r="O50" s="191"/>
      <c r="Q50" s="183"/>
    </row>
    <row r="51">
      <c r="A51" s="189" t="s">
        <v>116</v>
      </c>
      <c r="B51" s="190" t="str">
        <f>IFERROR(__xludf.DUMMYFUNCTION("""COMPUTED_VALUE"""),"Joblife")</f>
        <v>Joblife</v>
      </c>
      <c r="C51" s="190" t="str">
        <f>IFERROR(__xludf.DUMMYFUNCTION("""COMPUTED_VALUE"""),"Icebox")</f>
        <v>Icebox</v>
      </c>
      <c r="D51" s="190">
        <v>1.0</v>
      </c>
      <c r="E51" s="190">
        <v>0.46153846153846156</v>
      </c>
      <c r="F51" s="183"/>
      <c r="G51" s="191"/>
      <c r="H51" s="191"/>
      <c r="I51" s="191"/>
      <c r="J51" s="191"/>
      <c r="K51" s="191"/>
      <c r="L51" s="191"/>
      <c r="M51" s="191"/>
      <c r="N51" s="191"/>
      <c r="O51" s="191"/>
      <c r="Q51" s="183"/>
    </row>
    <row r="52">
      <c r="A52" s="189" t="s">
        <v>117</v>
      </c>
      <c r="B52" s="190" t="str">
        <f>IFERROR(__xludf.DUMMYFUNCTION("""COMPUTED_VALUE"""),"Joblife")</f>
        <v>Joblife</v>
      </c>
      <c r="C52" s="190" t="str">
        <f>IFERROR(__xludf.DUMMYFUNCTION("""COMPUTED_VALUE"""),"Lotus")</f>
        <v>Lotus</v>
      </c>
      <c r="D52" s="190">
        <v>1.0</v>
      </c>
      <c r="E52" s="190">
        <v>0.4</v>
      </c>
      <c r="F52" s="183"/>
      <c r="G52" s="191"/>
      <c r="H52" s="191"/>
      <c r="I52" s="191"/>
      <c r="J52" s="191"/>
      <c r="K52" s="191"/>
      <c r="L52" s="191"/>
      <c r="M52" s="191"/>
      <c r="N52" s="191"/>
      <c r="O52" s="191"/>
      <c r="Q52" s="183"/>
    </row>
    <row r="53">
      <c r="A53" s="189" t="s">
        <v>118</v>
      </c>
      <c r="B53" s="190" t="str">
        <f>IFERROR(__xludf.DUMMYFUNCTION("""COMPUTED_VALUE"""),"Joblife")</f>
        <v>Joblife</v>
      </c>
      <c r="C53" s="190" t="str">
        <f>IFERROR(__xludf.DUMMYFUNCTION("""COMPUTED_VALUE"""),"Sunset")</f>
        <v>Sunset</v>
      </c>
      <c r="D53" s="190">
        <v>0.8</v>
      </c>
      <c r="E53" s="190">
        <v>0.3125</v>
      </c>
      <c r="F53" s="183"/>
      <c r="G53" s="191"/>
      <c r="H53" s="191"/>
      <c r="I53" s="191"/>
      <c r="J53" s="191"/>
      <c r="K53" s="191"/>
      <c r="L53" s="191"/>
      <c r="M53" s="191"/>
      <c r="N53" s="191"/>
      <c r="O53" s="191"/>
      <c r="Q53" s="183"/>
    </row>
    <row r="54">
      <c r="A54" s="189" t="s">
        <v>119</v>
      </c>
      <c r="B54" s="190" t="str">
        <f>IFERROR(__xludf.DUMMYFUNCTION("""COMPUTED_VALUE"""),"KOI Fénix")</f>
        <v>KOI Fénix</v>
      </c>
      <c r="C54" s="190" t="str">
        <f>IFERROR(__xludf.DUMMYFUNCTION("""COMPUTED_VALUE"""),"Ascent")</f>
        <v>Ascent</v>
      </c>
      <c r="D54" s="190">
        <v>0.6818181818181818</v>
      </c>
      <c r="E54" s="190">
        <v>0.35714285714285715</v>
      </c>
      <c r="F54" s="183"/>
      <c r="G54" s="191"/>
      <c r="H54" s="191"/>
      <c r="I54" s="191"/>
      <c r="J54" s="191"/>
      <c r="K54" s="191"/>
      <c r="L54" s="191"/>
      <c r="M54" s="191"/>
      <c r="N54" s="191"/>
      <c r="O54" s="191"/>
      <c r="Q54" s="183"/>
    </row>
    <row r="55">
      <c r="A55" s="189" t="s">
        <v>120</v>
      </c>
      <c r="B55" s="190" t="str">
        <f>IFERROR(__xludf.DUMMYFUNCTION("""COMPUTED_VALUE"""),"KOI Fénix")</f>
        <v>KOI Fénix</v>
      </c>
      <c r="C55" s="190" t="str">
        <f>IFERROR(__xludf.DUMMYFUNCTION("""COMPUTED_VALUE"""),"Bind")</f>
        <v>Bind</v>
      </c>
      <c r="D55" s="190">
        <v>0.7714285714285715</v>
      </c>
      <c r="E55" s="190">
        <v>0.32</v>
      </c>
      <c r="F55" s="183"/>
      <c r="G55" s="191"/>
      <c r="H55" s="191"/>
      <c r="I55" s="191"/>
      <c r="J55" s="191"/>
      <c r="K55" s="191"/>
      <c r="L55" s="191"/>
      <c r="M55" s="191"/>
      <c r="N55" s="191"/>
      <c r="O55" s="191"/>
      <c r="Q55" s="183"/>
    </row>
    <row r="56">
      <c r="A56" s="189" t="s">
        <v>121</v>
      </c>
      <c r="B56" s="190" t="str">
        <f>IFERROR(__xludf.DUMMYFUNCTION("""COMPUTED_VALUE"""),"KOI Fénix")</f>
        <v>KOI Fénix</v>
      </c>
      <c r="C56" s="190" t="str">
        <f>IFERROR(__xludf.DUMMYFUNCTION("""COMPUTED_VALUE"""),"Corrode")</f>
        <v>Corrode</v>
      </c>
      <c r="D56" s="190">
        <v>0.8636363636363636</v>
      </c>
      <c r="E56" s="190">
        <v>0.5217391304347826</v>
      </c>
      <c r="F56" s="183"/>
      <c r="G56" s="191"/>
      <c r="H56" s="191"/>
      <c r="I56" s="191"/>
      <c r="J56" s="191"/>
      <c r="K56" s="191"/>
      <c r="L56" s="191"/>
      <c r="M56" s="191"/>
      <c r="N56" s="191"/>
      <c r="O56" s="191"/>
      <c r="Q56" s="183"/>
    </row>
    <row r="57">
      <c r="A57" s="189" t="s">
        <v>122</v>
      </c>
      <c r="B57" s="190" t="str">
        <f>IFERROR(__xludf.DUMMYFUNCTION("""COMPUTED_VALUE"""),"KOI Fénix")</f>
        <v>KOI Fénix</v>
      </c>
      <c r="C57" s="190" t="str">
        <f>IFERROR(__xludf.DUMMYFUNCTION("""COMPUTED_VALUE"""),"Haven")</f>
        <v>Haven</v>
      </c>
      <c r="D57" s="190">
        <v>0.9</v>
      </c>
      <c r="E57" s="190">
        <v>0.0</v>
      </c>
      <c r="F57" s="183"/>
      <c r="G57" s="191"/>
      <c r="H57" s="191"/>
      <c r="I57" s="191"/>
      <c r="J57" s="191"/>
      <c r="K57" s="191"/>
      <c r="L57" s="191"/>
      <c r="M57" s="191"/>
      <c r="N57" s="191"/>
      <c r="O57" s="191"/>
      <c r="Q57" s="183"/>
    </row>
    <row r="58">
      <c r="A58" s="189" t="s">
        <v>123</v>
      </c>
      <c r="B58" s="190" t="str">
        <f>IFERROR(__xludf.DUMMYFUNCTION("""COMPUTED_VALUE"""),"KOI Fénix")</f>
        <v>KOI Fénix</v>
      </c>
      <c r="C58" s="190" t="str">
        <f>IFERROR(__xludf.DUMMYFUNCTION("""COMPUTED_VALUE"""),"Lotus")</f>
        <v>Lotus</v>
      </c>
      <c r="D58" s="190">
        <v>0.6785714285714286</v>
      </c>
      <c r="E58" s="190">
        <v>0.43548387096774194</v>
      </c>
      <c r="F58" s="183"/>
      <c r="G58" s="191"/>
      <c r="H58" s="191"/>
      <c r="I58" s="191"/>
      <c r="J58" s="191"/>
      <c r="K58" s="191"/>
      <c r="L58" s="191"/>
      <c r="M58" s="191"/>
      <c r="N58" s="191"/>
      <c r="O58" s="191"/>
      <c r="Q58" s="183"/>
    </row>
    <row r="59">
      <c r="A59" s="189" t="s">
        <v>124</v>
      </c>
      <c r="B59" s="190" t="str">
        <f>IFERROR(__xludf.DUMMYFUNCTION("""COMPUTED_VALUE"""),"KOI Fénix")</f>
        <v>KOI Fénix</v>
      </c>
      <c r="C59" s="190" t="str">
        <f>IFERROR(__xludf.DUMMYFUNCTION("""COMPUTED_VALUE"""),"Split")</f>
        <v>Split</v>
      </c>
      <c r="D59" s="190">
        <v>0.8125</v>
      </c>
      <c r="E59" s="190">
        <v>0.2</v>
      </c>
      <c r="F59" s="183"/>
      <c r="G59" s="191"/>
      <c r="H59" s="191"/>
      <c r="I59" s="191"/>
      <c r="J59" s="191"/>
      <c r="K59" s="191"/>
      <c r="L59" s="191"/>
      <c r="M59" s="191"/>
      <c r="N59" s="191"/>
      <c r="O59" s="191"/>
      <c r="Q59" s="183"/>
    </row>
    <row r="60">
      <c r="A60" s="189" t="s">
        <v>125</v>
      </c>
      <c r="B60" s="190" t="str">
        <f>IFERROR(__xludf.DUMMYFUNCTION("""COMPUTED_VALUE"""),"KOI Fénix")</f>
        <v>KOI Fénix</v>
      </c>
      <c r="C60" s="190" t="str">
        <f>IFERROR(__xludf.DUMMYFUNCTION("""COMPUTED_VALUE"""),"Sunset")</f>
        <v>Sunset</v>
      </c>
      <c r="D60" s="190">
        <v>0.6</v>
      </c>
      <c r="E60" s="190">
        <v>0.6470588235294118</v>
      </c>
      <c r="F60" s="183"/>
      <c r="G60" s="191"/>
      <c r="H60" s="191"/>
      <c r="I60" s="191"/>
      <c r="J60" s="191"/>
      <c r="K60" s="191"/>
      <c r="L60" s="191"/>
      <c r="M60" s="191"/>
      <c r="N60" s="191"/>
      <c r="O60" s="191"/>
      <c r="Q60" s="183"/>
    </row>
    <row r="61">
      <c r="A61" s="189" t="s">
        <v>126</v>
      </c>
      <c r="B61" s="190" t="str">
        <f>IFERROR(__xludf.DUMMYFUNCTION("""COMPUTED_VALUE"""),"Mandatory")</f>
        <v>Mandatory</v>
      </c>
      <c r="C61" s="190" t="str">
        <f>IFERROR(__xludf.DUMMYFUNCTION("""COMPUTED_VALUE"""),"Ascent")</f>
        <v>Ascent</v>
      </c>
      <c r="D61" s="190">
        <v>0.8076923076923077</v>
      </c>
      <c r="E61" s="190">
        <v>0.15789473684210525</v>
      </c>
      <c r="F61" s="183"/>
      <c r="G61" s="191"/>
      <c r="H61" s="191"/>
      <c r="I61" s="191"/>
      <c r="J61" s="191"/>
      <c r="K61" s="191"/>
      <c r="L61" s="191"/>
      <c r="M61" s="191"/>
      <c r="N61" s="191"/>
      <c r="O61" s="191"/>
      <c r="Q61" s="183"/>
    </row>
    <row r="62">
      <c r="A62" s="189" t="s">
        <v>127</v>
      </c>
      <c r="B62" s="190" t="str">
        <f>IFERROR(__xludf.DUMMYFUNCTION("""COMPUTED_VALUE"""),"Mandatory")</f>
        <v>Mandatory</v>
      </c>
      <c r="C62" s="190" t="str">
        <f>IFERROR(__xludf.DUMMYFUNCTION("""COMPUTED_VALUE"""),"Corrode")</f>
        <v>Corrode</v>
      </c>
      <c r="D62" s="190">
        <v>0.6666666666666666</v>
      </c>
      <c r="E62" s="190">
        <v>0.3333333333333333</v>
      </c>
      <c r="F62" s="183"/>
      <c r="G62" s="191"/>
      <c r="H62" s="191"/>
      <c r="I62" s="191"/>
      <c r="J62" s="191"/>
      <c r="K62" s="191"/>
      <c r="L62" s="191"/>
      <c r="M62" s="191"/>
      <c r="N62" s="191"/>
      <c r="O62" s="191"/>
      <c r="Q62" s="183"/>
    </row>
    <row r="63">
      <c r="A63" s="189" t="s">
        <v>128</v>
      </c>
      <c r="B63" s="190" t="str">
        <f>IFERROR(__xludf.DUMMYFUNCTION("""COMPUTED_VALUE"""),"Mandatory")</f>
        <v>Mandatory</v>
      </c>
      <c r="C63" s="190" t="str">
        <f>IFERROR(__xludf.DUMMYFUNCTION("""COMPUTED_VALUE"""),"Haven")</f>
        <v>Haven</v>
      </c>
      <c r="D63" s="190">
        <v>0.6470588235294118</v>
      </c>
      <c r="E63" s="190">
        <v>0.375</v>
      </c>
      <c r="F63" s="183"/>
      <c r="G63" s="191"/>
      <c r="H63" s="191"/>
      <c r="I63" s="191"/>
      <c r="J63" s="191"/>
      <c r="K63" s="191"/>
      <c r="L63" s="191"/>
      <c r="M63" s="191"/>
      <c r="N63" s="191"/>
      <c r="O63" s="191"/>
      <c r="Q63" s="183"/>
    </row>
    <row r="64">
      <c r="A64" s="189" t="s">
        <v>129</v>
      </c>
      <c r="B64" s="190" t="str">
        <f>IFERROR(__xludf.DUMMYFUNCTION("""COMPUTED_VALUE"""),"Mandatory")</f>
        <v>Mandatory</v>
      </c>
      <c r="C64" s="190" t="str">
        <f>IFERROR(__xludf.DUMMYFUNCTION("""COMPUTED_VALUE"""),"Icebox")</f>
        <v>Icebox</v>
      </c>
      <c r="D64" s="190">
        <v>0.6363636363636364</v>
      </c>
      <c r="E64" s="190">
        <v>0.29545454545454547</v>
      </c>
      <c r="F64" s="183"/>
      <c r="G64" s="191"/>
      <c r="H64" s="191"/>
      <c r="I64" s="191"/>
      <c r="J64" s="191"/>
      <c r="K64" s="191"/>
      <c r="L64" s="191"/>
      <c r="M64" s="191"/>
      <c r="N64" s="191"/>
      <c r="O64" s="191"/>
      <c r="Q64" s="183"/>
    </row>
    <row r="65">
      <c r="A65" s="189" t="s">
        <v>130</v>
      </c>
      <c r="B65" s="190" t="str">
        <f>IFERROR(__xludf.DUMMYFUNCTION("""COMPUTED_VALUE"""),"Mandatory")</f>
        <v>Mandatory</v>
      </c>
      <c r="C65" s="190" t="str">
        <f>IFERROR(__xludf.DUMMYFUNCTION("""COMPUTED_VALUE"""),"Lotus")</f>
        <v>Lotus</v>
      </c>
      <c r="D65" s="190">
        <v>0.66</v>
      </c>
      <c r="E65" s="190">
        <v>0.375</v>
      </c>
      <c r="F65" s="183"/>
      <c r="G65" s="191"/>
      <c r="H65" s="191"/>
      <c r="I65" s="191"/>
      <c r="J65" s="191"/>
      <c r="K65" s="191"/>
      <c r="L65" s="191"/>
      <c r="M65" s="191"/>
      <c r="N65" s="191"/>
      <c r="O65" s="191"/>
      <c r="Q65" s="183"/>
    </row>
    <row r="66">
      <c r="A66" s="189" t="s">
        <v>131</v>
      </c>
      <c r="B66" s="190" t="str">
        <f>IFERROR(__xludf.DUMMYFUNCTION("""COMPUTED_VALUE"""),"Mandatory")</f>
        <v>Mandatory</v>
      </c>
      <c r="C66" s="190" t="str">
        <f>IFERROR(__xludf.DUMMYFUNCTION("""COMPUTED_VALUE"""),"Split")</f>
        <v>Split</v>
      </c>
      <c r="D66" s="190">
        <v>0.8888888888888888</v>
      </c>
      <c r="E66" s="190">
        <v>0.3333333333333333</v>
      </c>
      <c r="F66" s="183"/>
      <c r="G66" s="191"/>
      <c r="H66" s="191"/>
      <c r="I66" s="191"/>
      <c r="J66" s="191"/>
      <c r="K66" s="191"/>
      <c r="L66" s="191"/>
      <c r="M66" s="191"/>
      <c r="N66" s="191"/>
      <c r="O66" s="191"/>
      <c r="Q66" s="183"/>
    </row>
    <row r="67">
      <c r="A67" s="189" t="s">
        <v>132</v>
      </c>
      <c r="B67" s="190" t="str">
        <f>IFERROR(__xludf.DUMMYFUNCTION("""COMPUTED_VALUE"""),"Mandatory")</f>
        <v>Mandatory</v>
      </c>
      <c r="C67" s="190" t="str">
        <f>IFERROR(__xludf.DUMMYFUNCTION("""COMPUTED_VALUE"""),"Sunset")</f>
        <v>Sunset</v>
      </c>
      <c r="D67" s="190">
        <v>0.2857142857142857</v>
      </c>
      <c r="E67" s="190">
        <v>0.6666666666666666</v>
      </c>
      <c r="F67" s="183"/>
      <c r="G67" s="191"/>
      <c r="H67" s="191"/>
      <c r="I67" s="191"/>
      <c r="J67" s="191"/>
      <c r="K67" s="191"/>
      <c r="L67" s="191"/>
      <c r="M67" s="191"/>
      <c r="N67" s="191"/>
      <c r="O67" s="191"/>
      <c r="Q67" s="183"/>
    </row>
    <row r="68">
      <c r="A68" s="189" t="s">
        <v>133</v>
      </c>
      <c r="B68" s="190" t="str">
        <f>IFERROR(__xludf.DUMMYFUNCTION("""COMPUTED_VALUE"""),"MOUZ")</f>
        <v>MOUZ</v>
      </c>
      <c r="C68" s="190" t="str">
        <f>IFERROR(__xludf.DUMMYFUNCTION("""COMPUTED_VALUE"""),"Ascent")</f>
        <v>Ascent</v>
      </c>
      <c r="D68" s="190">
        <v>0.5</v>
      </c>
      <c r="E68" s="190">
        <v>0.14285714285714285</v>
      </c>
      <c r="F68" s="183"/>
      <c r="G68" s="191"/>
      <c r="H68" s="191"/>
      <c r="I68" s="191"/>
      <c r="J68" s="191"/>
      <c r="K68" s="191"/>
      <c r="L68" s="191"/>
      <c r="M68" s="191"/>
      <c r="N68" s="191"/>
      <c r="O68" s="191"/>
      <c r="Q68" s="183"/>
    </row>
    <row r="69">
      <c r="A69" s="189" t="s">
        <v>134</v>
      </c>
      <c r="B69" s="190" t="str">
        <f>IFERROR(__xludf.DUMMYFUNCTION("""COMPUTED_VALUE"""),"MOUZ")</f>
        <v>MOUZ</v>
      </c>
      <c r="C69" s="190" t="str">
        <f>IFERROR(__xludf.DUMMYFUNCTION("""COMPUTED_VALUE"""),"Bind")</f>
        <v>Bind</v>
      </c>
      <c r="D69" s="190">
        <v>0.8333333333333334</v>
      </c>
      <c r="E69" s="190">
        <v>0.4117647058823529</v>
      </c>
      <c r="F69" s="183"/>
      <c r="G69" s="191"/>
      <c r="H69" s="191"/>
      <c r="I69" s="191"/>
      <c r="J69" s="191"/>
      <c r="K69" s="191"/>
      <c r="L69" s="191"/>
      <c r="M69" s="191"/>
      <c r="N69" s="191"/>
      <c r="O69" s="191"/>
      <c r="Q69" s="183"/>
    </row>
    <row r="70">
      <c r="A70" s="189" t="s">
        <v>135</v>
      </c>
      <c r="B70" s="190" t="str">
        <f>IFERROR(__xludf.DUMMYFUNCTION("""COMPUTED_VALUE"""),"MOUZ")</f>
        <v>MOUZ</v>
      </c>
      <c r="C70" s="190" t="str">
        <f>IFERROR(__xludf.DUMMYFUNCTION("""COMPUTED_VALUE"""),"Corrode")</f>
        <v>Corrode</v>
      </c>
      <c r="D70" s="190">
        <v>0.6666666666666666</v>
      </c>
      <c r="E70" s="190">
        <v>0.35</v>
      </c>
      <c r="F70" s="183"/>
      <c r="G70" s="191"/>
      <c r="H70" s="191"/>
      <c r="I70" s="191"/>
      <c r="J70" s="191"/>
      <c r="K70" s="191"/>
      <c r="L70" s="191"/>
      <c r="M70" s="191"/>
      <c r="N70" s="191"/>
      <c r="O70" s="191"/>
      <c r="Q70" s="183"/>
    </row>
    <row r="71">
      <c r="A71" s="189" t="s">
        <v>136</v>
      </c>
      <c r="B71" s="190" t="str">
        <f>IFERROR(__xludf.DUMMYFUNCTION("""COMPUTED_VALUE"""),"MOUZ")</f>
        <v>MOUZ</v>
      </c>
      <c r="C71" s="190" t="str">
        <f>IFERROR(__xludf.DUMMYFUNCTION("""COMPUTED_VALUE"""),"Haven")</f>
        <v>Haven</v>
      </c>
      <c r="D71" s="190">
        <v>0.8157894736842105</v>
      </c>
      <c r="E71" s="190">
        <v>0.5</v>
      </c>
      <c r="F71" s="183"/>
      <c r="G71" s="191"/>
      <c r="H71" s="191"/>
      <c r="I71" s="191"/>
      <c r="J71" s="191"/>
      <c r="K71" s="191"/>
      <c r="L71" s="191"/>
      <c r="M71" s="191"/>
      <c r="N71" s="191"/>
      <c r="O71" s="191"/>
      <c r="Q71" s="183"/>
    </row>
    <row r="72">
      <c r="A72" s="189" t="s">
        <v>137</v>
      </c>
      <c r="B72" s="190" t="str">
        <f>IFERROR(__xludf.DUMMYFUNCTION("""COMPUTED_VALUE"""),"MOUZ")</f>
        <v>MOUZ</v>
      </c>
      <c r="C72" s="190" t="str">
        <f>IFERROR(__xludf.DUMMYFUNCTION("""COMPUTED_VALUE"""),"Icebox")</f>
        <v>Icebox</v>
      </c>
      <c r="D72" s="190">
        <v>0.7777777777777778</v>
      </c>
      <c r="E72" s="190">
        <v>0.4411764705882353</v>
      </c>
      <c r="F72" s="183"/>
      <c r="G72" s="191"/>
      <c r="H72" s="191"/>
      <c r="I72" s="191"/>
      <c r="J72" s="191"/>
      <c r="K72" s="191"/>
      <c r="L72" s="191"/>
      <c r="M72" s="191"/>
      <c r="N72" s="191"/>
      <c r="O72" s="191"/>
      <c r="Q72" s="183"/>
    </row>
    <row r="73">
      <c r="A73" s="189" t="s">
        <v>138</v>
      </c>
      <c r="B73" s="190" t="str">
        <f>IFERROR(__xludf.DUMMYFUNCTION("""COMPUTED_VALUE"""),"MOUZ")</f>
        <v>MOUZ</v>
      </c>
      <c r="C73" s="190" t="str">
        <f>IFERROR(__xludf.DUMMYFUNCTION("""COMPUTED_VALUE"""),"Lotus")</f>
        <v>Lotus</v>
      </c>
      <c r="D73" s="190">
        <v>0.7777777777777778</v>
      </c>
      <c r="E73" s="190">
        <v>0.3055555555555556</v>
      </c>
      <c r="F73" s="183"/>
      <c r="G73" s="191"/>
      <c r="H73" s="191"/>
      <c r="I73" s="191"/>
      <c r="J73" s="191"/>
      <c r="K73" s="191"/>
      <c r="L73" s="191"/>
      <c r="M73" s="191"/>
      <c r="N73" s="191"/>
      <c r="O73" s="191"/>
      <c r="Q73" s="183"/>
    </row>
    <row r="74">
      <c r="A74" s="189" t="s">
        <v>139</v>
      </c>
      <c r="B74" s="190" t="str">
        <f>IFERROR(__xludf.DUMMYFUNCTION("""COMPUTED_VALUE"""),"MOUZ")</f>
        <v>MOUZ</v>
      </c>
      <c r="C74" s="190" t="str">
        <f>IFERROR(__xludf.DUMMYFUNCTION("""COMPUTED_VALUE"""),"Pearl")</f>
        <v>Pearl</v>
      </c>
      <c r="D74" s="190">
        <v>0.8333333333333334</v>
      </c>
      <c r="E74" s="190">
        <v>0.5555555555555556</v>
      </c>
      <c r="F74" s="183"/>
      <c r="G74" s="191"/>
      <c r="H74" s="191"/>
      <c r="I74" s="191"/>
      <c r="J74" s="191"/>
      <c r="K74" s="191"/>
      <c r="L74" s="191"/>
      <c r="M74" s="191"/>
      <c r="N74" s="191"/>
      <c r="O74" s="191"/>
      <c r="Q74" s="183"/>
    </row>
    <row r="75">
      <c r="A75" s="189" t="s">
        <v>140</v>
      </c>
      <c r="B75" s="190" t="str">
        <f>IFERROR(__xludf.DUMMYFUNCTION("""COMPUTED_VALUE"""),"MOUZ")</f>
        <v>MOUZ</v>
      </c>
      <c r="C75" s="190" t="str">
        <f>IFERROR(__xludf.DUMMYFUNCTION("""COMPUTED_VALUE"""),"Split")</f>
        <v>Split</v>
      </c>
      <c r="D75" s="190">
        <v>0.6666666666666666</v>
      </c>
      <c r="E75" s="190">
        <v>0.375</v>
      </c>
      <c r="F75" s="183"/>
      <c r="G75" s="191"/>
      <c r="H75" s="191"/>
      <c r="I75" s="191"/>
      <c r="J75" s="191"/>
      <c r="K75" s="191"/>
      <c r="L75" s="191"/>
      <c r="M75" s="191"/>
      <c r="N75" s="191"/>
      <c r="O75" s="191"/>
      <c r="Q75" s="183"/>
    </row>
    <row r="76">
      <c r="A76" s="189" t="s">
        <v>141</v>
      </c>
      <c r="B76" s="190" t="str">
        <f>IFERROR(__xludf.DUMMYFUNCTION("""COMPUTED_VALUE"""),"MOUZ")</f>
        <v>MOUZ</v>
      </c>
      <c r="C76" s="190" t="str">
        <f>IFERROR(__xludf.DUMMYFUNCTION("""COMPUTED_VALUE"""),"Sunset")</f>
        <v>Sunset</v>
      </c>
      <c r="D76" s="190">
        <v>0.6842105263157895</v>
      </c>
      <c r="E76" s="190">
        <v>0.13636363636363635</v>
      </c>
      <c r="F76" s="183"/>
      <c r="G76" s="191"/>
      <c r="H76" s="191"/>
      <c r="I76" s="191"/>
      <c r="J76" s="191"/>
      <c r="K76" s="191"/>
      <c r="L76" s="191"/>
      <c r="M76" s="191"/>
      <c r="N76" s="191"/>
      <c r="O76" s="191"/>
      <c r="Q76" s="183"/>
    </row>
    <row r="77">
      <c r="A77" s="189" t="s">
        <v>142</v>
      </c>
      <c r="B77" s="190" t="str">
        <f>IFERROR(__xludf.DUMMYFUNCTION("""COMPUTED_VALUE"""),"Team Liquid Academy")</f>
        <v>Team Liquid Academy</v>
      </c>
      <c r="C77" s="190" t="str">
        <f>IFERROR(__xludf.DUMMYFUNCTION("""COMPUTED_VALUE"""),"Ascent")</f>
        <v>Ascent</v>
      </c>
      <c r="D77" s="190">
        <v>0.7666666666666667</v>
      </c>
      <c r="E77" s="190">
        <v>0.46153846153846156</v>
      </c>
      <c r="F77" s="183"/>
      <c r="G77" s="191"/>
      <c r="H77" s="191"/>
      <c r="I77" s="191"/>
      <c r="J77" s="191"/>
      <c r="K77" s="191"/>
      <c r="L77" s="191"/>
      <c r="M77" s="191"/>
      <c r="N77" s="191"/>
      <c r="O77" s="191"/>
      <c r="Q77" s="183"/>
    </row>
    <row r="78">
      <c r="A78" s="189" t="s">
        <v>143</v>
      </c>
      <c r="B78" s="190" t="str">
        <f>IFERROR(__xludf.DUMMYFUNCTION("""COMPUTED_VALUE"""),"Team Liquid Academy")</f>
        <v>Team Liquid Academy</v>
      </c>
      <c r="C78" s="190" t="str">
        <f>IFERROR(__xludf.DUMMYFUNCTION("""COMPUTED_VALUE"""),"Bind")</f>
        <v>Bind</v>
      </c>
      <c r="D78" s="190">
        <v>0.8888888888888888</v>
      </c>
      <c r="E78" s="190">
        <v>0.3</v>
      </c>
      <c r="F78" s="183"/>
      <c r="G78" s="191"/>
      <c r="H78" s="191"/>
      <c r="I78" s="191"/>
      <c r="J78" s="191"/>
      <c r="K78" s="191"/>
      <c r="L78" s="191"/>
      <c r="M78" s="191"/>
      <c r="N78" s="191"/>
      <c r="O78" s="191"/>
      <c r="Q78" s="183"/>
    </row>
    <row r="79">
      <c r="A79" s="189" t="s">
        <v>144</v>
      </c>
      <c r="B79" s="190" t="str">
        <f>IFERROR(__xludf.DUMMYFUNCTION("""COMPUTED_VALUE"""),"Team Liquid Academy")</f>
        <v>Team Liquid Academy</v>
      </c>
      <c r="C79" s="190" t="str">
        <f>IFERROR(__xludf.DUMMYFUNCTION("""COMPUTED_VALUE"""),"Corrode")</f>
        <v>Corrode</v>
      </c>
      <c r="D79" s="190">
        <v>0.6285714285714286</v>
      </c>
      <c r="E79" s="190">
        <v>0.47368421052631576</v>
      </c>
      <c r="F79" s="183"/>
      <c r="G79" s="191"/>
      <c r="H79" s="191"/>
      <c r="I79" s="191"/>
      <c r="J79" s="191"/>
      <c r="K79" s="191"/>
      <c r="L79" s="191"/>
      <c r="M79" s="191"/>
      <c r="N79" s="191"/>
      <c r="O79" s="191"/>
      <c r="Q79" s="183"/>
    </row>
    <row r="80">
      <c r="A80" s="189" t="s">
        <v>145</v>
      </c>
      <c r="B80" s="190" t="str">
        <f>IFERROR(__xludf.DUMMYFUNCTION("""COMPUTED_VALUE"""),"Team Liquid Academy")</f>
        <v>Team Liquid Academy</v>
      </c>
      <c r="C80" s="190" t="str">
        <f>IFERROR(__xludf.DUMMYFUNCTION("""COMPUTED_VALUE"""),"Haven")</f>
        <v>Haven</v>
      </c>
      <c r="D80" s="190">
        <v>0.5263157894736842</v>
      </c>
      <c r="E80" s="190">
        <v>0.34615384615384615</v>
      </c>
      <c r="F80" s="183"/>
      <c r="G80" s="191"/>
      <c r="H80" s="191"/>
      <c r="I80" s="191"/>
      <c r="J80" s="191"/>
      <c r="K80" s="191"/>
      <c r="L80" s="191"/>
      <c r="M80" s="191"/>
      <c r="N80" s="191"/>
      <c r="O80" s="191"/>
      <c r="Q80" s="183"/>
    </row>
    <row r="81">
      <c r="A81" s="189" t="s">
        <v>146</v>
      </c>
      <c r="B81" s="190" t="str">
        <f>IFERROR(__xludf.DUMMYFUNCTION("""COMPUTED_VALUE"""),"Team Liquid Academy")</f>
        <v>Team Liquid Academy</v>
      </c>
      <c r="C81" s="190" t="str">
        <f>IFERROR(__xludf.DUMMYFUNCTION("""COMPUTED_VALUE"""),"Icebox")</f>
        <v>Icebox</v>
      </c>
      <c r="D81" s="190">
        <v>0.7142857142857143</v>
      </c>
      <c r="E81" s="190">
        <v>0.7142857142857143</v>
      </c>
      <c r="F81" s="183"/>
      <c r="G81" s="191"/>
      <c r="H81" s="191"/>
      <c r="I81" s="191"/>
      <c r="J81" s="191"/>
      <c r="K81" s="191"/>
      <c r="L81" s="191"/>
      <c r="M81" s="191"/>
      <c r="N81" s="191"/>
      <c r="O81" s="191"/>
      <c r="Q81" s="183"/>
    </row>
    <row r="82">
      <c r="A82" s="189" t="s">
        <v>147</v>
      </c>
      <c r="B82" s="190" t="str">
        <f>IFERROR(__xludf.DUMMYFUNCTION("""COMPUTED_VALUE"""),"Team Liquid Academy")</f>
        <v>Team Liquid Academy</v>
      </c>
      <c r="C82" s="190" t="str">
        <f>IFERROR(__xludf.DUMMYFUNCTION("""COMPUTED_VALUE"""),"Lotus")</f>
        <v>Lotus</v>
      </c>
      <c r="D82" s="190">
        <v>0.6438356164383562</v>
      </c>
      <c r="E82" s="190">
        <v>0.36764705882352944</v>
      </c>
      <c r="F82" s="183"/>
      <c r="G82" s="191"/>
      <c r="H82" s="191"/>
      <c r="I82" s="191"/>
      <c r="J82" s="191"/>
      <c r="K82" s="191"/>
      <c r="L82" s="191"/>
      <c r="M82" s="191"/>
      <c r="N82" s="191"/>
      <c r="O82" s="191"/>
      <c r="Q82" s="183"/>
    </row>
    <row r="83">
      <c r="A83" s="189" t="s">
        <v>148</v>
      </c>
      <c r="B83" s="190" t="str">
        <f>IFERROR(__xludf.DUMMYFUNCTION("""COMPUTED_VALUE"""),"Team Liquid Academy")</f>
        <v>Team Liquid Academy</v>
      </c>
      <c r="C83" s="190" t="str">
        <f>IFERROR(__xludf.DUMMYFUNCTION("""COMPUTED_VALUE"""),"Split")</f>
        <v>Split</v>
      </c>
      <c r="D83" s="190">
        <v>0.3333333333333333</v>
      </c>
      <c r="E83" s="190">
        <v>0.5</v>
      </c>
      <c r="F83" s="183"/>
      <c r="G83" s="191"/>
      <c r="H83" s="191"/>
      <c r="I83" s="191"/>
      <c r="J83" s="191"/>
      <c r="K83" s="191"/>
      <c r="L83" s="191"/>
      <c r="M83" s="191"/>
      <c r="N83" s="191"/>
      <c r="O83" s="191"/>
      <c r="Q83" s="183"/>
    </row>
    <row r="84">
      <c r="A84" s="189" t="s">
        <v>149</v>
      </c>
      <c r="B84" s="190" t="str">
        <f>IFERROR(__xludf.DUMMYFUNCTION("""COMPUTED_VALUE"""),"Team Liquid Academy")</f>
        <v>Team Liquid Academy</v>
      </c>
      <c r="C84" s="190" t="str">
        <f>IFERROR(__xludf.DUMMYFUNCTION("""COMPUTED_VALUE"""),"Sunset")</f>
        <v>Sunset</v>
      </c>
      <c r="D84" s="190">
        <v>0.631578947368421</v>
      </c>
      <c r="E84" s="190">
        <v>0.2222222222222222</v>
      </c>
      <c r="F84" s="183"/>
      <c r="G84" s="191"/>
      <c r="H84" s="191"/>
      <c r="I84" s="191"/>
      <c r="J84" s="191"/>
      <c r="K84" s="191"/>
      <c r="L84" s="191"/>
      <c r="M84" s="191"/>
      <c r="N84" s="191"/>
      <c r="O84" s="191"/>
      <c r="Q84" s="183"/>
    </row>
    <row r="85">
      <c r="A85" s="189" t="s">
        <v>150</v>
      </c>
      <c r="B85" s="190" t="str">
        <f>IFERROR(__xludf.DUMMYFUNCTION("""COMPUTED_VALUE"""),"The Ultimates")</f>
        <v>The Ultimates</v>
      </c>
      <c r="C85" s="190" t="str">
        <f>IFERROR(__xludf.DUMMYFUNCTION("""COMPUTED_VALUE"""),"Ascent")</f>
        <v>Ascent</v>
      </c>
      <c r="D85" s="190">
        <v>0.6842105263157895</v>
      </c>
      <c r="E85" s="190">
        <v>0.26666666666666666</v>
      </c>
      <c r="F85" s="183"/>
      <c r="G85" s="191"/>
      <c r="H85" s="191"/>
      <c r="I85" s="191"/>
      <c r="J85" s="191"/>
      <c r="K85" s="191"/>
      <c r="L85" s="191"/>
      <c r="M85" s="191"/>
      <c r="N85" s="191"/>
      <c r="O85" s="191"/>
      <c r="Q85" s="183"/>
    </row>
    <row r="86">
      <c r="A86" s="189" t="s">
        <v>151</v>
      </c>
      <c r="B86" s="190" t="str">
        <f>IFERROR(__xludf.DUMMYFUNCTION("""COMPUTED_VALUE"""),"The Ultimates")</f>
        <v>The Ultimates</v>
      </c>
      <c r="C86" s="190" t="str">
        <f>IFERROR(__xludf.DUMMYFUNCTION("""COMPUTED_VALUE"""),"Bind")</f>
        <v>Bind</v>
      </c>
      <c r="D86" s="190">
        <v>1.0</v>
      </c>
      <c r="E86" s="190">
        <v>0.3125</v>
      </c>
      <c r="F86" s="183"/>
      <c r="G86" s="191"/>
      <c r="H86" s="191"/>
      <c r="I86" s="191"/>
      <c r="J86" s="191"/>
      <c r="K86" s="191"/>
      <c r="L86" s="191"/>
      <c r="M86" s="191"/>
      <c r="N86" s="191"/>
      <c r="O86" s="191"/>
      <c r="Q86" s="183"/>
    </row>
    <row r="87">
      <c r="A87" s="189" t="s">
        <v>152</v>
      </c>
      <c r="B87" s="190" t="str">
        <f>IFERROR(__xludf.DUMMYFUNCTION("""COMPUTED_VALUE"""),"The Ultimates")</f>
        <v>The Ultimates</v>
      </c>
      <c r="C87" s="190" t="str">
        <f>IFERROR(__xludf.DUMMYFUNCTION("""COMPUTED_VALUE"""),"Corrode")</f>
        <v>Corrode</v>
      </c>
      <c r="D87" s="190">
        <v>0.7916666666666666</v>
      </c>
      <c r="E87" s="190">
        <v>0.36363636363636365</v>
      </c>
      <c r="F87" s="183"/>
      <c r="G87" s="191"/>
      <c r="H87" s="191"/>
      <c r="I87" s="191"/>
      <c r="J87" s="191"/>
      <c r="K87" s="191"/>
      <c r="L87" s="191"/>
      <c r="M87" s="191"/>
      <c r="N87" s="191"/>
      <c r="O87" s="191"/>
      <c r="Q87" s="183"/>
    </row>
    <row r="88">
      <c r="A88" s="189" t="s">
        <v>153</v>
      </c>
      <c r="B88" s="190" t="str">
        <f>IFERROR(__xludf.DUMMYFUNCTION("""COMPUTED_VALUE"""),"The Ultimates")</f>
        <v>The Ultimates</v>
      </c>
      <c r="C88" s="190" t="str">
        <f>IFERROR(__xludf.DUMMYFUNCTION("""COMPUTED_VALUE"""),"Haven")</f>
        <v>Haven</v>
      </c>
      <c r="D88" s="190">
        <v>0.6551724137931034</v>
      </c>
      <c r="E88" s="190">
        <v>0.3953488372093023</v>
      </c>
      <c r="F88" s="183"/>
      <c r="G88" s="191"/>
      <c r="H88" s="191"/>
      <c r="I88" s="191"/>
      <c r="J88" s="191"/>
      <c r="K88" s="191"/>
      <c r="L88" s="191"/>
      <c r="M88" s="191"/>
      <c r="N88" s="191"/>
      <c r="O88" s="191"/>
      <c r="Q88" s="183"/>
    </row>
    <row r="89">
      <c r="A89" s="189" t="s">
        <v>154</v>
      </c>
      <c r="B89" s="190" t="str">
        <f>IFERROR(__xludf.DUMMYFUNCTION("""COMPUTED_VALUE"""),"The Ultimates")</f>
        <v>The Ultimates</v>
      </c>
      <c r="C89" s="190" t="str">
        <f>IFERROR(__xludf.DUMMYFUNCTION("""COMPUTED_VALUE"""),"Icebox")</f>
        <v>Icebox</v>
      </c>
      <c r="D89" s="190">
        <v>0.5945945945945946</v>
      </c>
      <c r="E89" s="190">
        <v>0.375</v>
      </c>
      <c r="F89" s="183"/>
      <c r="G89" s="191"/>
      <c r="H89" s="191"/>
      <c r="I89" s="191"/>
      <c r="J89" s="191"/>
      <c r="K89" s="191"/>
      <c r="L89" s="191"/>
      <c r="M89" s="191"/>
      <c r="N89" s="191"/>
      <c r="O89" s="191"/>
      <c r="Q89" s="183"/>
    </row>
    <row r="90">
      <c r="A90" s="189" t="s">
        <v>155</v>
      </c>
      <c r="B90" s="190" t="str">
        <f>IFERROR(__xludf.DUMMYFUNCTION("""COMPUTED_VALUE"""),"The Ultimates")</f>
        <v>The Ultimates</v>
      </c>
      <c r="C90" s="190" t="str">
        <f>IFERROR(__xludf.DUMMYFUNCTION("""COMPUTED_VALUE"""),"Lotus")</f>
        <v>Lotus</v>
      </c>
      <c r="D90" s="190">
        <v>0.6363636363636364</v>
      </c>
      <c r="E90" s="190">
        <v>0.18421052631578946</v>
      </c>
      <c r="F90" s="183"/>
      <c r="G90" s="191"/>
      <c r="H90" s="191"/>
      <c r="I90" s="191"/>
      <c r="J90" s="191"/>
      <c r="K90" s="191"/>
      <c r="L90" s="191"/>
      <c r="M90" s="191"/>
      <c r="N90" s="191"/>
      <c r="O90" s="191"/>
      <c r="Q90" s="183"/>
    </row>
    <row r="91">
      <c r="A91" s="189" t="s">
        <v>156</v>
      </c>
      <c r="B91" s="190" t="str">
        <f>IFERROR(__xludf.DUMMYFUNCTION("""COMPUTED_VALUE"""),"The Ultimates")</f>
        <v>The Ultimates</v>
      </c>
      <c r="C91" s="190" t="str">
        <f>IFERROR(__xludf.DUMMYFUNCTION("""COMPUTED_VALUE"""),"Pearl")</f>
        <v>Pearl</v>
      </c>
      <c r="D91" s="190">
        <v>0.8333333333333334</v>
      </c>
      <c r="E91" s="190">
        <v>0.5</v>
      </c>
      <c r="F91" s="183"/>
      <c r="G91" s="191"/>
      <c r="H91" s="191"/>
      <c r="I91" s="191"/>
      <c r="J91" s="191"/>
      <c r="K91" s="191"/>
      <c r="L91" s="191"/>
      <c r="M91" s="191"/>
      <c r="N91" s="191"/>
      <c r="O91" s="191"/>
      <c r="Q91" s="183"/>
    </row>
    <row r="92">
      <c r="A92" s="189" t="s">
        <v>157</v>
      </c>
      <c r="B92" s="190" t="str">
        <f>IFERROR(__xludf.DUMMYFUNCTION("""COMPUTED_VALUE"""),"The Ultimates")</f>
        <v>The Ultimates</v>
      </c>
      <c r="C92" s="190" t="str">
        <f>IFERROR(__xludf.DUMMYFUNCTION("""COMPUTED_VALUE"""),"Split")</f>
        <v>Split</v>
      </c>
      <c r="D92" s="190">
        <v>0.3333333333333333</v>
      </c>
      <c r="E92" s="190">
        <v>0.0</v>
      </c>
      <c r="F92" s="183"/>
      <c r="G92" s="191"/>
      <c r="H92" s="191"/>
      <c r="I92" s="191"/>
      <c r="J92" s="191"/>
      <c r="K92" s="191"/>
      <c r="L92" s="191"/>
      <c r="M92" s="191"/>
      <c r="N92" s="191"/>
      <c r="O92" s="191"/>
      <c r="Q92" s="183"/>
    </row>
    <row r="93">
      <c r="A93" s="189" t="s">
        <v>158</v>
      </c>
      <c r="B93" s="190" t="str">
        <f>IFERROR(__xludf.DUMMYFUNCTION("""COMPUTED_VALUE"""),"The Ultimates")</f>
        <v>The Ultimates</v>
      </c>
      <c r="C93" s="190" t="str">
        <f>IFERROR(__xludf.DUMMYFUNCTION("""COMPUTED_VALUE"""),"Sunset")</f>
        <v>Sunset</v>
      </c>
      <c r="D93" s="190">
        <v>0.6304347826086957</v>
      </c>
      <c r="E93" s="190">
        <v>0.225</v>
      </c>
      <c r="F93" s="183"/>
      <c r="G93" s="191"/>
      <c r="H93" s="191"/>
      <c r="I93" s="191"/>
      <c r="J93" s="191"/>
      <c r="K93" s="191"/>
      <c r="L93" s="191"/>
      <c r="M93" s="191"/>
      <c r="N93" s="191"/>
      <c r="O93" s="191"/>
      <c r="Q93" s="183"/>
    </row>
    <row r="94">
      <c r="A94" s="189" t="s">
        <v>159</v>
      </c>
      <c r="B94" s="190" t="str">
        <f>IFERROR(__xludf.DUMMYFUNCTION("""COMPUTED_VALUE"""),"Twisted Minds Esports")</f>
        <v>Twisted Minds Esports</v>
      </c>
      <c r="C94" s="190" t="str">
        <f>IFERROR(__xludf.DUMMYFUNCTION("""COMPUTED_VALUE"""),"Ascent")</f>
        <v>Ascent</v>
      </c>
      <c r="D94" s="190">
        <v>0.7647058823529411</v>
      </c>
      <c r="E94" s="190">
        <v>0.4583333333333333</v>
      </c>
      <c r="F94" s="183"/>
      <c r="G94" s="191"/>
      <c r="H94" s="191"/>
      <c r="I94" s="191"/>
      <c r="J94" s="191"/>
      <c r="K94" s="191"/>
      <c r="L94" s="191"/>
      <c r="M94" s="191"/>
      <c r="N94" s="191"/>
      <c r="O94" s="191"/>
      <c r="Q94" s="183"/>
    </row>
    <row r="95">
      <c r="A95" s="189" t="s">
        <v>160</v>
      </c>
      <c r="B95" s="190" t="str">
        <f>IFERROR(__xludf.DUMMYFUNCTION("""COMPUTED_VALUE"""),"Twisted Minds Esports")</f>
        <v>Twisted Minds Esports</v>
      </c>
      <c r="C95" s="190" t="str">
        <f>IFERROR(__xludf.DUMMYFUNCTION("""COMPUTED_VALUE"""),"Bind")</f>
        <v>Bind</v>
      </c>
      <c r="D95" s="190">
        <v>0.75</v>
      </c>
      <c r="E95" s="190">
        <v>0.3333333333333333</v>
      </c>
      <c r="F95" s="183"/>
      <c r="G95" s="191"/>
      <c r="H95" s="191"/>
      <c r="I95" s="191"/>
      <c r="J95" s="191"/>
      <c r="K95" s="191"/>
      <c r="L95" s="191"/>
      <c r="M95" s="191"/>
      <c r="N95" s="191"/>
      <c r="O95" s="191"/>
      <c r="Q95" s="183"/>
    </row>
    <row r="96">
      <c r="A96" s="189" t="s">
        <v>161</v>
      </c>
      <c r="B96" s="190" t="str">
        <f>IFERROR(__xludf.DUMMYFUNCTION("""COMPUTED_VALUE"""),"Twisted Minds Esports")</f>
        <v>Twisted Minds Esports</v>
      </c>
      <c r="C96" s="190" t="str">
        <f>IFERROR(__xludf.DUMMYFUNCTION("""COMPUTED_VALUE"""),"Corrode")</f>
        <v>Corrode</v>
      </c>
      <c r="D96" s="190">
        <v>0.6666666666666666</v>
      </c>
      <c r="E96" s="190">
        <v>0.3684210526315789</v>
      </c>
      <c r="F96" s="183"/>
      <c r="G96" s="191"/>
      <c r="H96" s="191"/>
      <c r="I96" s="191"/>
      <c r="J96" s="191"/>
      <c r="K96" s="191"/>
      <c r="L96" s="191"/>
      <c r="M96" s="191"/>
      <c r="N96" s="191"/>
      <c r="O96" s="191"/>
      <c r="Q96" s="183"/>
    </row>
    <row r="97">
      <c r="A97" s="189" t="s">
        <v>162</v>
      </c>
      <c r="B97" s="190" t="str">
        <f>IFERROR(__xludf.DUMMYFUNCTION("""COMPUTED_VALUE"""),"Twisted Minds Esports")</f>
        <v>Twisted Minds Esports</v>
      </c>
      <c r="C97" s="190" t="str">
        <f>IFERROR(__xludf.DUMMYFUNCTION("""COMPUTED_VALUE"""),"Haven")</f>
        <v>Haven</v>
      </c>
      <c r="D97" s="190">
        <v>0.6486486486486487</v>
      </c>
      <c r="E97" s="190">
        <v>0.46511627906976744</v>
      </c>
      <c r="F97" s="183"/>
      <c r="G97" s="191"/>
      <c r="H97" s="191"/>
      <c r="I97" s="191"/>
      <c r="J97" s="191"/>
      <c r="K97" s="191"/>
      <c r="L97" s="191"/>
      <c r="M97" s="191"/>
      <c r="N97" s="191"/>
      <c r="O97" s="191"/>
      <c r="Q97" s="183"/>
    </row>
    <row r="98">
      <c r="A98" s="189" t="s">
        <v>163</v>
      </c>
      <c r="B98" s="190" t="str">
        <f>IFERROR(__xludf.DUMMYFUNCTION("""COMPUTED_VALUE"""),"Twisted Minds Esports")</f>
        <v>Twisted Minds Esports</v>
      </c>
      <c r="C98" s="190" t="str">
        <f>IFERROR(__xludf.DUMMYFUNCTION("""COMPUTED_VALUE"""),"Icebox")</f>
        <v>Icebox</v>
      </c>
      <c r="D98" s="190">
        <v>0.7391304347826086</v>
      </c>
      <c r="E98" s="190">
        <v>0.6216216216216216</v>
      </c>
      <c r="F98" s="183"/>
      <c r="G98" s="191"/>
      <c r="H98" s="191"/>
      <c r="I98" s="191"/>
      <c r="J98" s="191"/>
      <c r="K98" s="191"/>
      <c r="L98" s="191"/>
      <c r="M98" s="191"/>
      <c r="N98" s="191"/>
      <c r="O98" s="191"/>
      <c r="Q98" s="183"/>
    </row>
    <row r="99">
      <c r="A99" s="189" t="s">
        <v>164</v>
      </c>
      <c r="B99" s="190" t="str">
        <f>IFERROR(__xludf.DUMMYFUNCTION("""COMPUTED_VALUE"""),"Twisted Minds Esports")</f>
        <v>Twisted Minds Esports</v>
      </c>
      <c r="C99" s="190" t="str">
        <f>IFERROR(__xludf.DUMMYFUNCTION("""COMPUTED_VALUE"""),"Lotus")</f>
        <v>Lotus</v>
      </c>
      <c r="D99" s="190">
        <v>0.7959183673469388</v>
      </c>
      <c r="E99" s="190">
        <v>0.4074074074074074</v>
      </c>
      <c r="F99" s="183"/>
      <c r="G99" s="191"/>
      <c r="H99" s="191"/>
      <c r="I99" s="191"/>
      <c r="J99" s="191"/>
      <c r="K99" s="191"/>
      <c r="L99" s="191"/>
      <c r="M99" s="191"/>
      <c r="N99" s="191"/>
      <c r="O99" s="191"/>
      <c r="Q99" s="183"/>
    </row>
    <row r="100">
      <c r="A100" s="189" t="s">
        <v>165</v>
      </c>
      <c r="B100" s="190" t="str">
        <f>IFERROR(__xludf.DUMMYFUNCTION("""COMPUTED_VALUE"""),"Twisted Minds Esports")</f>
        <v>Twisted Minds Esports</v>
      </c>
      <c r="C100" s="190" t="str">
        <f>IFERROR(__xludf.DUMMYFUNCTION("""COMPUTED_VALUE"""),"Split")</f>
        <v>Split</v>
      </c>
      <c r="D100" s="190">
        <v>0.9230769230769231</v>
      </c>
      <c r="E100" s="190">
        <v>0.3125</v>
      </c>
      <c r="F100" s="183"/>
      <c r="G100" s="191"/>
      <c r="H100" s="191"/>
      <c r="I100" s="191"/>
      <c r="J100" s="191"/>
      <c r="K100" s="191"/>
      <c r="L100" s="191"/>
      <c r="M100" s="191"/>
      <c r="N100" s="191"/>
      <c r="O100" s="191"/>
      <c r="Q100" s="183"/>
    </row>
    <row r="101">
      <c r="A101" s="189" t="s">
        <v>166</v>
      </c>
      <c r="B101" s="190" t="str">
        <f>IFERROR(__xludf.DUMMYFUNCTION("""COMPUTED_VALUE"""),"Twisted Minds Esports")</f>
        <v>Twisted Minds Esports</v>
      </c>
      <c r="C101" s="190" t="str">
        <f>IFERROR(__xludf.DUMMYFUNCTION("""COMPUTED_VALUE"""),"Sunset")</f>
        <v>Sunset</v>
      </c>
      <c r="D101" s="190">
        <v>0.7931034482758621</v>
      </c>
      <c r="E101" s="190">
        <v>0.3225806451612903</v>
      </c>
      <c r="F101" s="183"/>
      <c r="G101" s="191"/>
      <c r="H101" s="191"/>
      <c r="I101" s="191"/>
      <c r="J101" s="191"/>
      <c r="K101" s="191"/>
      <c r="L101" s="191"/>
      <c r="M101" s="191"/>
      <c r="N101" s="191"/>
      <c r="O101" s="191"/>
      <c r="Q101" s="183"/>
    </row>
    <row r="102">
      <c r="A102" s="189" t="s">
        <v>167</v>
      </c>
      <c r="B102" s="190" t="str">
        <f>IFERROR(__xludf.DUMMYFUNCTION("""COMPUTED_VALUE"""),"ULF Esports")</f>
        <v>ULF Esports</v>
      </c>
      <c r="C102" s="190" t="str">
        <f>IFERROR(__xludf.DUMMYFUNCTION("""COMPUTED_VALUE"""),"Ascent")</f>
        <v>Ascent</v>
      </c>
      <c r="D102" s="190">
        <v>1.0</v>
      </c>
      <c r="E102" s="190">
        <v>0.46153846153846156</v>
      </c>
      <c r="F102" s="183"/>
      <c r="G102" s="191"/>
      <c r="H102" s="191"/>
      <c r="I102" s="191"/>
      <c r="J102" s="191"/>
      <c r="K102" s="191"/>
      <c r="L102" s="191"/>
      <c r="M102" s="191"/>
      <c r="N102" s="191"/>
      <c r="O102" s="191"/>
      <c r="Q102" s="183"/>
    </row>
    <row r="103">
      <c r="A103" s="189" t="s">
        <v>168</v>
      </c>
      <c r="B103" s="190" t="str">
        <f>IFERROR(__xludf.DUMMYFUNCTION("""COMPUTED_VALUE"""),"ULF Esports")</f>
        <v>ULF Esports</v>
      </c>
      <c r="C103" s="190" t="str">
        <f>IFERROR(__xludf.DUMMYFUNCTION("""COMPUTED_VALUE"""),"Bind")</f>
        <v>Bind</v>
      </c>
      <c r="D103" s="190">
        <v>0.8181818181818182</v>
      </c>
      <c r="E103" s="190">
        <v>0.6363636363636364</v>
      </c>
      <c r="F103" s="183"/>
      <c r="G103" s="191"/>
      <c r="H103" s="191"/>
      <c r="I103" s="191"/>
      <c r="J103" s="191"/>
      <c r="K103" s="191"/>
      <c r="L103" s="191"/>
      <c r="M103" s="191"/>
      <c r="N103" s="191"/>
      <c r="O103" s="191"/>
      <c r="Q103" s="183"/>
    </row>
    <row r="104">
      <c r="A104" s="189" t="s">
        <v>169</v>
      </c>
      <c r="B104" s="190" t="str">
        <f>IFERROR(__xludf.DUMMYFUNCTION("""COMPUTED_VALUE"""),"ULF Esports")</f>
        <v>ULF Esports</v>
      </c>
      <c r="C104" s="190" t="str">
        <f>IFERROR(__xludf.DUMMYFUNCTION("""COMPUTED_VALUE"""),"Corrode")</f>
        <v>Corrode</v>
      </c>
      <c r="D104" s="190">
        <v>0.6</v>
      </c>
      <c r="E104" s="190">
        <v>0.5714285714285714</v>
      </c>
      <c r="F104" s="183"/>
      <c r="G104" s="191"/>
      <c r="H104" s="191"/>
      <c r="I104" s="191"/>
      <c r="J104" s="191"/>
      <c r="K104" s="191"/>
      <c r="L104" s="191"/>
      <c r="M104" s="191"/>
      <c r="N104" s="191"/>
      <c r="O104" s="191"/>
      <c r="Q104" s="183"/>
    </row>
    <row r="105">
      <c r="A105" s="189" t="s">
        <v>170</v>
      </c>
      <c r="B105" s="190" t="str">
        <f>IFERROR(__xludf.DUMMYFUNCTION("""COMPUTED_VALUE"""),"ULF Esports")</f>
        <v>ULF Esports</v>
      </c>
      <c r="C105" s="190" t="str">
        <f>IFERROR(__xludf.DUMMYFUNCTION("""COMPUTED_VALUE"""),"Haven")</f>
        <v>Haven</v>
      </c>
      <c r="D105" s="190">
        <v>0.6875</v>
      </c>
      <c r="E105" s="190">
        <v>0.24390243902439024</v>
      </c>
      <c r="F105" s="183"/>
      <c r="G105" s="191"/>
      <c r="H105" s="191"/>
      <c r="I105" s="191"/>
      <c r="J105" s="191"/>
      <c r="K105" s="191"/>
      <c r="L105" s="191"/>
      <c r="M105" s="191"/>
      <c r="N105" s="191"/>
      <c r="O105" s="191"/>
      <c r="Q105" s="183"/>
    </row>
    <row r="106">
      <c r="A106" s="189" t="s">
        <v>171</v>
      </c>
      <c r="B106" s="190" t="str">
        <f>IFERROR(__xludf.DUMMYFUNCTION("""COMPUTED_VALUE"""),"ULF Esports")</f>
        <v>ULF Esports</v>
      </c>
      <c r="C106" s="190" t="str">
        <f>IFERROR(__xludf.DUMMYFUNCTION("""COMPUTED_VALUE"""),"Icebox")</f>
        <v>Icebox</v>
      </c>
      <c r="D106" s="190">
        <v>0.6111111111111112</v>
      </c>
      <c r="E106" s="190">
        <v>0.17647058823529413</v>
      </c>
      <c r="F106" s="183"/>
      <c r="G106" s="191"/>
      <c r="H106" s="191"/>
      <c r="I106" s="191"/>
      <c r="J106" s="191"/>
      <c r="K106" s="191"/>
      <c r="L106" s="191"/>
      <c r="M106" s="191"/>
      <c r="N106" s="191"/>
      <c r="O106" s="191"/>
      <c r="Q106" s="183"/>
    </row>
    <row r="107">
      <c r="A107" s="189" t="s">
        <v>172</v>
      </c>
      <c r="B107" s="190" t="str">
        <f>IFERROR(__xludf.DUMMYFUNCTION("""COMPUTED_VALUE"""),"ULF Esports")</f>
        <v>ULF Esports</v>
      </c>
      <c r="C107" s="190" t="str">
        <f>IFERROR(__xludf.DUMMYFUNCTION("""COMPUTED_VALUE"""),"Lotus")</f>
        <v>Lotus</v>
      </c>
      <c r="D107" s="190">
        <v>0.8301886792452831</v>
      </c>
      <c r="E107" s="190">
        <v>0.32558139534883723</v>
      </c>
      <c r="F107" s="183"/>
      <c r="G107" s="191"/>
      <c r="H107" s="191"/>
      <c r="I107" s="191"/>
      <c r="J107" s="191"/>
      <c r="K107" s="191"/>
      <c r="L107" s="191"/>
      <c r="M107" s="191"/>
      <c r="N107" s="191"/>
      <c r="O107" s="191"/>
      <c r="Q107" s="183"/>
    </row>
    <row r="108">
      <c r="A108" s="189" t="s">
        <v>173</v>
      </c>
      <c r="B108" s="190" t="str">
        <f>IFERROR(__xludf.DUMMYFUNCTION("""COMPUTED_VALUE"""),"ULF Esports")</f>
        <v>ULF Esports</v>
      </c>
      <c r="C108" s="190" t="str">
        <f>IFERROR(__xludf.DUMMYFUNCTION("""COMPUTED_VALUE"""),"Pearl")</f>
        <v>Pearl</v>
      </c>
      <c r="D108" s="190">
        <v>0.7142857142857143</v>
      </c>
      <c r="E108" s="190">
        <v>0.5</v>
      </c>
      <c r="F108" s="183"/>
      <c r="G108" s="191"/>
      <c r="H108" s="191"/>
      <c r="I108" s="191"/>
      <c r="J108" s="191"/>
      <c r="K108" s="191"/>
      <c r="L108" s="191"/>
      <c r="M108" s="191"/>
      <c r="N108" s="191"/>
      <c r="O108" s="191"/>
      <c r="Q108" s="183"/>
    </row>
    <row r="109">
      <c r="A109" s="189" t="s">
        <v>174</v>
      </c>
      <c r="B109" s="190" t="str">
        <f>IFERROR(__xludf.DUMMYFUNCTION("""COMPUTED_VALUE"""),"ULF Esports")</f>
        <v>ULF Esports</v>
      </c>
      <c r="C109" s="190" t="str">
        <f>IFERROR(__xludf.DUMMYFUNCTION("""COMPUTED_VALUE"""),"Split")</f>
        <v>Split</v>
      </c>
      <c r="D109" s="190">
        <v>0.8888888888888888</v>
      </c>
      <c r="E109" s="190">
        <v>0.3333333333333333</v>
      </c>
      <c r="F109" s="183"/>
      <c r="G109" s="191"/>
      <c r="H109" s="191"/>
      <c r="I109" s="191"/>
      <c r="J109" s="191"/>
      <c r="K109" s="191"/>
      <c r="L109" s="191"/>
      <c r="M109" s="191"/>
      <c r="N109" s="191"/>
      <c r="O109" s="191"/>
      <c r="Q109" s="183"/>
    </row>
    <row r="110">
      <c r="A110" s="189" t="s">
        <v>175</v>
      </c>
      <c r="B110" s="190" t="str">
        <f>IFERROR(__xludf.DUMMYFUNCTION("""COMPUTED_VALUE"""),"ULF Esports")</f>
        <v>ULF Esports</v>
      </c>
      <c r="C110" s="190" t="str">
        <f>IFERROR(__xludf.DUMMYFUNCTION("""COMPUTED_VALUE"""),"Sunset")</f>
        <v>Sunset</v>
      </c>
      <c r="D110" s="190">
        <v>0.7368421052631579</v>
      </c>
      <c r="E110" s="190">
        <v>0.34782608695652173</v>
      </c>
      <c r="F110" s="183"/>
      <c r="G110" s="191"/>
      <c r="H110" s="191"/>
      <c r="I110" s="191"/>
      <c r="J110" s="191"/>
      <c r="K110" s="191"/>
      <c r="L110" s="191"/>
      <c r="M110" s="191"/>
      <c r="N110" s="191"/>
      <c r="O110" s="191"/>
      <c r="Q110" s="183"/>
    </row>
    <row r="111">
      <c r="A111" s="189" t="s">
        <v>176</v>
      </c>
      <c r="B111" s="190" t="str">
        <f>IFERROR(__xludf.DUMMYFUNCTION("""COMPUTED_VALUE"""),"_")</f>
        <v>_</v>
      </c>
      <c r="C111" s="190"/>
      <c r="D111" s="190" t="e">
        <v>#DIV/0!</v>
      </c>
      <c r="E111" s="190" t="e">
        <v>#DIV/0!</v>
      </c>
      <c r="F111" s="183"/>
      <c r="G111" s="191"/>
      <c r="H111" s="191"/>
      <c r="I111" s="191"/>
      <c r="J111" s="191"/>
      <c r="K111" s="191"/>
      <c r="L111" s="191"/>
      <c r="M111" s="191"/>
      <c r="N111" s="191"/>
      <c r="O111" s="191"/>
      <c r="Q111" s="183"/>
    </row>
    <row r="112">
      <c r="B112" s="190" t="str">
        <f>IFERROR(__xludf.DUMMYFUNCTION("""COMPUTED_VALUE"""),"#VALUE!")</f>
        <v>#VALUE!</v>
      </c>
      <c r="C112" s="190"/>
      <c r="D112" s="190" t="e">
        <v>#DIV/0!</v>
      </c>
      <c r="E112" s="190" t="e">
        <v>#DIV/0!</v>
      </c>
      <c r="F112" s="183"/>
      <c r="G112" s="191"/>
      <c r="H112" s="191"/>
      <c r="I112" s="191"/>
      <c r="J112" s="191"/>
      <c r="K112" s="191"/>
      <c r="L112" s="191"/>
      <c r="M112" s="191"/>
      <c r="N112" s="191"/>
      <c r="O112" s="191"/>
      <c r="Q112" s="183"/>
    </row>
    <row r="113">
      <c r="B113" s="190" t="str">
        <f>IFERROR(__xludf.DUMMYFUNCTION("""COMPUTED_VALUE"""),"#VALUE!")</f>
        <v>#VALUE!</v>
      </c>
      <c r="C113" s="190"/>
      <c r="D113" s="190" t="e">
        <v>#DIV/0!</v>
      </c>
      <c r="E113" s="190" t="e">
        <v>#DIV/0!</v>
      </c>
      <c r="F113" s="183"/>
      <c r="G113" s="191"/>
      <c r="H113" s="191"/>
      <c r="I113" s="191"/>
      <c r="J113" s="191"/>
      <c r="K113" s="191"/>
      <c r="L113" s="191"/>
      <c r="M113" s="191"/>
      <c r="N113" s="191"/>
      <c r="O113" s="191"/>
      <c r="Q113" s="183"/>
    </row>
    <row r="114">
      <c r="B114" s="190" t="str">
        <f>IFERROR(__xludf.DUMMYFUNCTION("""COMPUTED_VALUE"""),"#VALUE!")</f>
        <v>#VALUE!</v>
      </c>
      <c r="C114" s="190"/>
      <c r="D114" s="190" t="e">
        <v>#DIV/0!</v>
      </c>
      <c r="E114" s="190" t="e">
        <v>#DIV/0!</v>
      </c>
      <c r="F114" s="183"/>
      <c r="G114" s="191"/>
      <c r="H114" s="191"/>
      <c r="I114" s="191"/>
      <c r="J114" s="191"/>
      <c r="K114" s="191"/>
      <c r="L114" s="191"/>
      <c r="M114" s="191"/>
      <c r="N114" s="191"/>
      <c r="O114" s="191"/>
      <c r="Q114" s="183"/>
    </row>
    <row r="115">
      <c r="B115" s="190" t="str">
        <f>IFERROR(__xludf.DUMMYFUNCTION("""COMPUTED_VALUE"""),"#VALUE!")</f>
        <v>#VALUE!</v>
      </c>
      <c r="C115" s="190"/>
      <c r="D115" s="190" t="e">
        <v>#DIV/0!</v>
      </c>
      <c r="E115" s="190" t="e">
        <v>#DIV/0!</v>
      </c>
      <c r="F115" s="183"/>
      <c r="G115" s="191"/>
      <c r="H115" s="191"/>
      <c r="I115" s="191"/>
      <c r="J115" s="191"/>
      <c r="K115" s="191"/>
      <c r="L115" s="191"/>
      <c r="M115" s="191"/>
      <c r="N115" s="191"/>
      <c r="O115" s="191"/>
      <c r="Q115" s="183"/>
    </row>
    <row r="116">
      <c r="B116" s="190" t="str">
        <f>IFERROR(__xludf.DUMMYFUNCTION("""COMPUTED_VALUE"""),"#VALUE!")</f>
        <v>#VALUE!</v>
      </c>
      <c r="C116" s="190"/>
      <c r="D116" s="190" t="e">
        <v>#DIV/0!</v>
      </c>
      <c r="E116" s="190" t="e">
        <v>#DIV/0!</v>
      </c>
      <c r="F116" s="183"/>
      <c r="G116" s="191"/>
      <c r="H116" s="191"/>
      <c r="I116" s="191"/>
      <c r="J116" s="191"/>
      <c r="K116" s="191"/>
      <c r="L116" s="191"/>
      <c r="M116" s="191"/>
      <c r="N116" s="191"/>
      <c r="O116" s="191"/>
      <c r="Q116" s="183"/>
    </row>
    <row r="117">
      <c r="B117" s="190" t="str">
        <f>IFERROR(__xludf.DUMMYFUNCTION("""COMPUTED_VALUE"""),"#VALUE!")</f>
        <v>#VALUE!</v>
      </c>
      <c r="C117" s="190"/>
      <c r="D117" s="190" t="e">
        <v>#DIV/0!</v>
      </c>
      <c r="E117" s="190" t="e">
        <v>#DIV/0!</v>
      </c>
      <c r="F117" s="183"/>
      <c r="G117" s="191"/>
      <c r="H117" s="191"/>
      <c r="I117" s="191"/>
      <c r="J117" s="191"/>
      <c r="K117" s="191"/>
      <c r="L117" s="191"/>
      <c r="M117" s="191"/>
      <c r="N117" s="191"/>
      <c r="O117" s="191"/>
      <c r="Q117" s="183"/>
    </row>
    <row r="118">
      <c r="B118" s="190" t="str">
        <f>IFERROR(__xludf.DUMMYFUNCTION("""COMPUTED_VALUE"""),"#VALUE!")</f>
        <v>#VALUE!</v>
      </c>
      <c r="C118" s="190"/>
      <c r="D118" s="190" t="e">
        <v>#DIV/0!</v>
      </c>
      <c r="E118" s="190" t="e">
        <v>#DIV/0!</v>
      </c>
      <c r="F118" s="183"/>
      <c r="G118" s="191"/>
      <c r="H118" s="191"/>
      <c r="I118" s="191"/>
      <c r="J118" s="191"/>
      <c r="K118" s="191"/>
      <c r="L118" s="191"/>
      <c r="M118" s="191"/>
      <c r="N118" s="191"/>
      <c r="O118" s="191"/>
      <c r="Q118" s="183"/>
    </row>
    <row r="119">
      <c r="B119" s="190" t="str">
        <f>IFERROR(__xludf.DUMMYFUNCTION("""COMPUTED_VALUE"""),"#VALUE!")</f>
        <v>#VALUE!</v>
      </c>
      <c r="C119" s="190"/>
      <c r="D119" s="190" t="e">
        <v>#DIV/0!</v>
      </c>
      <c r="E119" s="190" t="e">
        <v>#DIV/0!</v>
      </c>
      <c r="F119" s="183"/>
      <c r="G119" s="191"/>
      <c r="H119" s="191"/>
      <c r="I119" s="191"/>
      <c r="J119" s="191"/>
      <c r="K119" s="191"/>
      <c r="L119" s="191"/>
      <c r="M119" s="191"/>
      <c r="N119" s="191"/>
      <c r="O119" s="191"/>
      <c r="Q119" s="183"/>
    </row>
    <row r="120">
      <c r="B120" s="190" t="str">
        <f>IFERROR(__xludf.DUMMYFUNCTION("""COMPUTED_VALUE"""),"#VALUE!")</f>
        <v>#VALUE!</v>
      </c>
      <c r="C120" s="190"/>
      <c r="D120" s="190" t="e">
        <v>#DIV/0!</v>
      </c>
      <c r="E120" s="190" t="e">
        <v>#DIV/0!</v>
      </c>
      <c r="F120" s="183"/>
      <c r="G120" s="191"/>
      <c r="H120" s="191"/>
      <c r="I120" s="191"/>
      <c r="J120" s="191"/>
      <c r="K120" s="191"/>
      <c r="L120" s="191"/>
      <c r="M120" s="191"/>
      <c r="N120" s="191"/>
      <c r="O120" s="191"/>
      <c r="Q120" s="183"/>
    </row>
    <row r="121">
      <c r="B121" s="190" t="str">
        <f>IFERROR(__xludf.DUMMYFUNCTION("""COMPUTED_VALUE"""),"#VALUE!")</f>
        <v>#VALUE!</v>
      </c>
      <c r="C121" s="190"/>
      <c r="D121" s="190" t="e">
        <v>#DIV/0!</v>
      </c>
      <c r="E121" s="190" t="e">
        <v>#DIV/0!</v>
      </c>
      <c r="F121" s="183"/>
      <c r="G121" s="191"/>
      <c r="H121" s="191"/>
      <c r="I121" s="191"/>
      <c r="J121" s="191"/>
      <c r="K121" s="191"/>
      <c r="L121" s="191"/>
      <c r="M121" s="191"/>
      <c r="N121" s="191"/>
      <c r="O121" s="191"/>
      <c r="Q121" s="183"/>
    </row>
    <row r="122">
      <c r="B122" s="190" t="str">
        <f>IFERROR(__xludf.DUMMYFUNCTION("""COMPUTED_VALUE"""),"#VALUE!")</f>
        <v>#VALUE!</v>
      </c>
      <c r="C122" s="190"/>
      <c r="D122" s="190" t="e">
        <v>#DIV/0!</v>
      </c>
      <c r="E122" s="190" t="e">
        <v>#DIV/0!</v>
      </c>
      <c r="F122" s="183"/>
      <c r="G122" s="191"/>
      <c r="H122" s="191"/>
      <c r="I122" s="191"/>
      <c r="J122" s="191"/>
      <c r="K122" s="191"/>
      <c r="L122" s="191"/>
      <c r="M122" s="191"/>
      <c r="N122" s="191"/>
      <c r="O122" s="191"/>
      <c r="Q122" s="183"/>
    </row>
    <row r="123">
      <c r="B123" s="190" t="str">
        <f>IFERROR(__xludf.DUMMYFUNCTION("""COMPUTED_VALUE"""),"#VALUE!")</f>
        <v>#VALUE!</v>
      </c>
      <c r="C123" s="190"/>
      <c r="D123" s="190" t="e">
        <v>#DIV/0!</v>
      </c>
      <c r="E123" s="190" t="e">
        <v>#DIV/0!</v>
      </c>
      <c r="F123" s="183"/>
      <c r="G123" s="191"/>
      <c r="H123" s="191"/>
      <c r="I123" s="191"/>
      <c r="J123" s="191"/>
      <c r="K123" s="191"/>
      <c r="L123" s="191"/>
      <c r="M123" s="191"/>
      <c r="N123" s="191"/>
      <c r="O123" s="191"/>
      <c r="Q123" s="183"/>
    </row>
    <row r="124">
      <c r="B124" s="190" t="str">
        <f>IFERROR(__xludf.DUMMYFUNCTION("""COMPUTED_VALUE"""),"#VALUE!")</f>
        <v>#VALUE!</v>
      </c>
      <c r="C124" s="190"/>
      <c r="D124" s="190" t="e">
        <v>#DIV/0!</v>
      </c>
      <c r="E124" s="190" t="e">
        <v>#DIV/0!</v>
      </c>
      <c r="F124" s="183"/>
      <c r="G124" s="191"/>
      <c r="H124" s="191"/>
      <c r="I124" s="191"/>
      <c r="J124" s="191"/>
      <c r="K124" s="191"/>
      <c r="L124" s="191"/>
      <c r="M124" s="191"/>
      <c r="N124" s="191"/>
      <c r="O124" s="191"/>
      <c r="Q124" s="183"/>
    </row>
    <row r="125">
      <c r="B125" s="190" t="str">
        <f>IFERROR(__xludf.DUMMYFUNCTION("""COMPUTED_VALUE"""),"#VALUE!")</f>
        <v>#VALUE!</v>
      </c>
      <c r="C125" s="190"/>
      <c r="D125" s="190" t="e">
        <v>#DIV/0!</v>
      </c>
      <c r="E125" s="190" t="e">
        <v>#DIV/0!</v>
      </c>
      <c r="F125" s="183"/>
      <c r="G125" s="191"/>
      <c r="H125" s="191"/>
      <c r="I125" s="191"/>
      <c r="J125" s="191"/>
      <c r="K125" s="191"/>
      <c r="L125" s="191"/>
      <c r="M125" s="191"/>
      <c r="N125" s="191"/>
      <c r="O125" s="191"/>
      <c r="Q125" s="183"/>
    </row>
    <row r="126">
      <c r="B126" s="190" t="str">
        <f>IFERROR(__xludf.DUMMYFUNCTION("""COMPUTED_VALUE"""),"#VALUE!")</f>
        <v>#VALUE!</v>
      </c>
      <c r="C126" s="190"/>
      <c r="D126" s="190" t="e">
        <v>#DIV/0!</v>
      </c>
      <c r="E126" s="190" t="e">
        <v>#DIV/0!</v>
      </c>
      <c r="F126" s="183"/>
      <c r="G126" s="191"/>
      <c r="H126" s="191"/>
      <c r="I126" s="191"/>
      <c r="J126" s="191"/>
      <c r="K126" s="191"/>
      <c r="L126" s="191"/>
      <c r="M126" s="191"/>
      <c r="N126" s="191"/>
      <c r="O126" s="191"/>
      <c r="Q126" s="183"/>
    </row>
    <row r="127">
      <c r="B127" s="190" t="str">
        <f>IFERROR(__xludf.DUMMYFUNCTION("""COMPUTED_VALUE"""),"#VALUE!")</f>
        <v>#VALUE!</v>
      </c>
      <c r="C127" s="190"/>
      <c r="D127" s="190" t="e">
        <v>#DIV/0!</v>
      </c>
      <c r="E127" s="190" t="e">
        <v>#DIV/0!</v>
      </c>
      <c r="F127" s="183"/>
      <c r="G127" s="191"/>
      <c r="H127" s="191"/>
      <c r="I127" s="191"/>
      <c r="J127" s="191"/>
      <c r="K127" s="191"/>
      <c r="L127" s="191"/>
      <c r="M127" s="191"/>
      <c r="N127" s="191"/>
      <c r="O127" s="191"/>
      <c r="Q127" s="183"/>
    </row>
    <row r="128">
      <c r="B128" s="190" t="str">
        <f>IFERROR(__xludf.DUMMYFUNCTION("""COMPUTED_VALUE"""),"#VALUE!")</f>
        <v>#VALUE!</v>
      </c>
      <c r="C128" s="190"/>
      <c r="D128" s="190" t="e">
        <v>#DIV/0!</v>
      </c>
      <c r="E128" s="190" t="e">
        <v>#DIV/0!</v>
      </c>
      <c r="F128" s="183"/>
      <c r="G128" s="191"/>
      <c r="H128" s="191"/>
      <c r="I128" s="191"/>
      <c r="J128" s="191"/>
      <c r="K128" s="191"/>
      <c r="L128" s="191"/>
      <c r="M128" s="191"/>
      <c r="N128" s="191"/>
      <c r="O128" s="191"/>
      <c r="Q128" s="183"/>
    </row>
    <row r="129">
      <c r="B129" s="190" t="str">
        <f>IFERROR(__xludf.DUMMYFUNCTION("""COMPUTED_VALUE"""),"#VALUE!")</f>
        <v>#VALUE!</v>
      </c>
      <c r="C129" s="190"/>
      <c r="D129" s="190" t="e">
        <v>#DIV/0!</v>
      </c>
      <c r="E129" s="190" t="e">
        <v>#DIV/0!</v>
      </c>
      <c r="F129" s="183"/>
      <c r="G129" s="191"/>
      <c r="H129" s="191"/>
      <c r="I129" s="191"/>
      <c r="J129" s="191"/>
      <c r="K129" s="191"/>
      <c r="L129" s="191"/>
      <c r="M129" s="191"/>
      <c r="N129" s="191"/>
      <c r="O129" s="191"/>
      <c r="Q129" s="183"/>
    </row>
    <row r="130">
      <c r="B130" s="190" t="str">
        <f>IFERROR(__xludf.DUMMYFUNCTION("""COMPUTED_VALUE"""),"#VALUE!")</f>
        <v>#VALUE!</v>
      </c>
      <c r="C130" s="190"/>
      <c r="D130" s="190" t="e">
        <v>#DIV/0!</v>
      </c>
      <c r="E130" s="190" t="e">
        <v>#DIV/0!</v>
      </c>
      <c r="F130" s="183"/>
      <c r="G130" s="191"/>
      <c r="H130" s="191"/>
      <c r="I130" s="191"/>
      <c r="J130" s="191"/>
      <c r="K130" s="191"/>
      <c r="L130" s="191"/>
      <c r="M130" s="191"/>
      <c r="N130" s="191"/>
      <c r="O130" s="191"/>
      <c r="Q130" s="183"/>
    </row>
    <row r="131">
      <c r="B131" s="190" t="str">
        <f>IFERROR(__xludf.DUMMYFUNCTION("""COMPUTED_VALUE"""),"#VALUE!")</f>
        <v>#VALUE!</v>
      </c>
      <c r="C131" s="190"/>
      <c r="D131" s="190" t="e">
        <v>#DIV/0!</v>
      </c>
      <c r="E131" s="190" t="e">
        <v>#DIV/0!</v>
      </c>
      <c r="F131" s="183"/>
      <c r="G131" s="191"/>
      <c r="H131" s="191"/>
      <c r="I131" s="191"/>
      <c r="J131" s="191"/>
      <c r="K131" s="191"/>
      <c r="L131" s="191"/>
      <c r="M131" s="191"/>
      <c r="N131" s="191"/>
      <c r="O131" s="191"/>
      <c r="Q131" s="183"/>
    </row>
    <row r="132">
      <c r="B132" s="190" t="str">
        <f>IFERROR(__xludf.DUMMYFUNCTION("""COMPUTED_VALUE"""),"#VALUE!")</f>
        <v>#VALUE!</v>
      </c>
      <c r="C132" s="190"/>
      <c r="D132" s="190" t="e">
        <v>#DIV/0!</v>
      </c>
      <c r="E132" s="190" t="e">
        <v>#DIV/0!</v>
      </c>
      <c r="F132" s="183"/>
      <c r="G132" s="191"/>
      <c r="H132" s="191"/>
      <c r="I132" s="191"/>
      <c r="J132" s="191"/>
      <c r="K132" s="191"/>
      <c r="L132" s="191"/>
      <c r="M132" s="191"/>
      <c r="N132" s="191"/>
      <c r="O132" s="191"/>
      <c r="Q132" s="183"/>
    </row>
    <row r="133">
      <c r="B133" s="190" t="str">
        <f>IFERROR(__xludf.DUMMYFUNCTION("""COMPUTED_VALUE"""),"#VALUE!")</f>
        <v>#VALUE!</v>
      </c>
      <c r="C133" s="190"/>
      <c r="D133" s="190" t="e">
        <v>#DIV/0!</v>
      </c>
      <c r="E133" s="190" t="e">
        <v>#DIV/0!</v>
      </c>
      <c r="F133" s="183"/>
      <c r="G133" s="191"/>
      <c r="H133" s="191"/>
      <c r="I133" s="191"/>
      <c r="J133" s="191"/>
      <c r="K133" s="191"/>
      <c r="L133" s="191"/>
      <c r="M133" s="191"/>
      <c r="N133" s="191"/>
      <c r="O133" s="191"/>
      <c r="Q133" s="183"/>
    </row>
    <row r="134">
      <c r="B134" s="190" t="str">
        <f>IFERROR(__xludf.DUMMYFUNCTION("""COMPUTED_VALUE"""),"#VALUE!")</f>
        <v>#VALUE!</v>
      </c>
      <c r="C134" s="190"/>
      <c r="D134" s="190" t="e">
        <v>#DIV/0!</v>
      </c>
      <c r="E134" s="190" t="e">
        <v>#DIV/0!</v>
      </c>
      <c r="F134" s="183"/>
      <c r="G134" s="191"/>
      <c r="H134" s="191"/>
      <c r="I134" s="191"/>
      <c r="J134" s="191"/>
      <c r="K134" s="191"/>
      <c r="L134" s="191"/>
      <c r="M134" s="191"/>
      <c r="N134" s="191"/>
      <c r="O134" s="191"/>
      <c r="Q134" s="183"/>
    </row>
    <row r="135">
      <c r="B135" s="190" t="str">
        <f>IFERROR(__xludf.DUMMYFUNCTION("""COMPUTED_VALUE"""),"#VALUE!")</f>
        <v>#VALUE!</v>
      </c>
      <c r="C135" s="190"/>
      <c r="D135" s="190" t="e">
        <v>#DIV/0!</v>
      </c>
      <c r="E135" s="190" t="e">
        <v>#DIV/0!</v>
      </c>
      <c r="F135" s="183"/>
      <c r="G135" s="191"/>
      <c r="H135" s="191"/>
      <c r="I135" s="191"/>
      <c r="J135" s="191"/>
      <c r="K135" s="191"/>
      <c r="L135" s="191"/>
      <c r="M135" s="191"/>
      <c r="N135" s="191"/>
      <c r="O135" s="191"/>
      <c r="Q135" s="183"/>
    </row>
    <row r="136">
      <c r="B136" s="190" t="str">
        <f>IFERROR(__xludf.DUMMYFUNCTION("""COMPUTED_VALUE"""),"#VALUE!")</f>
        <v>#VALUE!</v>
      </c>
      <c r="C136" s="190"/>
      <c r="D136" s="190" t="e">
        <v>#DIV/0!</v>
      </c>
      <c r="E136" s="190" t="e">
        <v>#DIV/0!</v>
      </c>
      <c r="F136" s="183"/>
      <c r="G136" s="191"/>
      <c r="H136" s="191"/>
      <c r="I136" s="191"/>
      <c r="J136" s="191"/>
      <c r="K136" s="191"/>
      <c r="L136" s="191"/>
      <c r="M136" s="191"/>
      <c r="N136" s="191"/>
      <c r="O136" s="191"/>
      <c r="Q136" s="183"/>
    </row>
    <row r="137">
      <c r="B137" s="190" t="str">
        <f>IFERROR(__xludf.DUMMYFUNCTION("""COMPUTED_VALUE"""),"#VALUE!")</f>
        <v>#VALUE!</v>
      </c>
      <c r="C137" s="190"/>
      <c r="D137" s="190" t="e">
        <v>#DIV/0!</v>
      </c>
      <c r="E137" s="190" t="e">
        <v>#DIV/0!</v>
      </c>
      <c r="F137" s="183"/>
      <c r="G137" s="191"/>
      <c r="H137" s="191"/>
      <c r="I137" s="191"/>
      <c r="J137" s="191"/>
      <c r="K137" s="191"/>
      <c r="L137" s="191"/>
      <c r="M137" s="191"/>
      <c r="N137" s="191"/>
      <c r="O137" s="191"/>
      <c r="Q137" s="183"/>
    </row>
    <row r="138">
      <c r="B138" s="190" t="str">
        <f>IFERROR(__xludf.DUMMYFUNCTION("""COMPUTED_VALUE"""),"#VALUE!")</f>
        <v>#VALUE!</v>
      </c>
      <c r="C138" s="190"/>
      <c r="D138" s="190" t="e">
        <v>#DIV/0!</v>
      </c>
      <c r="E138" s="190" t="e">
        <v>#DIV/0!</v>
      </c>
      <c r="F138" s="183"/>
      <c r="G138" s="191"/>
      <c r="H138" s="191"/>
      <c r="I138" s="191"/>
      <c r="J138" s="191"/>
      <c r="K138" s="191"/>
      <c r="L138" s="191"/>
      <c r="M138" s="191"/>
      <c r="N138" s="191"/>
      <c r="O138" s="191"/>
      <c r="Q138" s="183"/>
    </row>
    <row r="139">
      <c r="B139" s="190" t="str">
        <f>IFERROR(__xludf.DUMMYFUNCTION("""COMPUTED_VALUE"""),"#VALUE!")</f>
        <v>#VALUE!</v>
      </c>
      <c r="C139" s="190"/>
      <c r="D139" s="190" t="e">
        <v>#DIV/0!</v>
      </c>
      <c r="E139" s="190" t="e">
        <v>#DIV/0!</v>
      </c>
      <c r="F139" s="183"/>
      <c r="G139" s="191"/>
      <c r="H139" s="191"/>
      <c r="I139" s="191"/>
      <c r="J139" s="191"/>
      <c r="K139" s="191"/>
      <c r="L139" s="191"/>
      <c r="M139" s="191"/>
      <c r="N139" s="191"/>
      <c r="O139" s="191"/>
      <c r="Q139" s="183"/>
    </row>
    <row r="140">
      <c r="B140" s="190" t="str">
        <f>IFERROR(__xludf.DUMMYFUNCTION("""COMPUTED_VALUE"""),"#VALUE!")</f>
        <v>#VALUE!</v>
      </c>
      <c r="C140" s="190"/>
      <c r="D140" s="190" t="e">
        <v>#DIV/0!</v>
      </c>
      <c r="E140" s="190" t="e">
        <v>#DIV/0!</v>
      </c>
      <c r="F140" s="183"/>
      <c r="G140" s="191"/>
      <c r="H140" s="191"/>
      <c r="I140" s="191"/>
      <c r="J140" s="191"/>
      <c r="K140" s="191"/>
      <c r="L140" s="191"/>
      <c r="M140" s="191"/>
      <c r="N140" s="191"/>
      <c r="O140" s="191"/>
      <c r="Q140" s="183"/>
    </row>
    <row r="141">
      <c r="B141" s="190" t="str">
        <f>IFERROR(__xludf.DUMMYFUNCTION("""COMPUTED_VALUE"""),"#VALUE!")</f>
        <v>#VALUE!</v>
      </c>
      <c r="C141" s="190"/>
      <c r="D141" s="190" t="e">
        <v>#DIV/0!</v>
      </c>
      <c r="E141" s="190" t="e">
        <v>#DIV/0!</v>
      </c>
      <c r="F141" s="183"/>
      <c r="G141" s="191"/>
      <c r="H141" s="191"/>
      <c r="I141" s="191"/>
      <c r="J141" s="191"/>
      <c r="K141" s="191"/>
      <c r="L141" s="191"/>
      <c r="M141" s="191"/>
      <c r="N141" s="191"/>
      <c r="O141" s="191"/>
      <c r="Q141" s="183"/>
    </row>
    <row r="142">
      <c r="B142" s="190" t="str">
        <f>IFERROR(__xludf.DUMMYFUNCTION("""COMPUTED_VALUE"""),"#VALUE!")</f>
        <v>#VALUE!</v>
      </c>
      <c r="C142" s="190"/>
      <c r="D142" s="190" t="e">
        <v>#DIV/0!</v>
      </c>
      <c r="E142" s="190" t="e">
        <v>#DIV/0!</v>
      </c>
      <c r="F142" s="183"/>
      <c r="G142" s="191"/>
      <c r="H142" s="191"/>
      <c r="I142" s="191"/>
      <c r="J142" s="191"/>
      <c r="K142" s="191"/>
      <c r="L142" s="191"/>
      <c r="M142" s="191"/>
      <c r="N142" s="191"/>
      <c r="O142" s="191"/>
      <c r="Q142" s="183"/>
    </row>
    <row r="143">
      <c r="B143" s="190" t="str">
        <f>IFERROR(__xludf.DUMMYFUNCTION("""COMPUTED_VALUE"""),"#VALUE!")</f>
        <v>#VALUE!</v>
      </c>
      <c r="C143" s="190"/>
      <c r="D143" s="190" t="e">
        <v>#DIV/0!</v>
      </c>
      <c r="E143" s="190" t="e">
        <v>#DIV/0!</v>
      </c>
      <c r="F143" s="183"/>
      <c r="G143" s="191"/>
      <c r="H143" s="191"/>
      <c r="I143" s="191"/>
      <c r="J143" s="191"/>
      <c r="K143" s="191"/>
      <c r="L143" s="191"/>
      <c r="M143" s="191"/>
      <c r="N143" s="191"/>
      <c r="O143" s="191"/>
      <c r="Q143" s="183"/>
    </row>
    <row r="144">
      <c r="B144" s="190" t="str">
        <f>IFERROR(__xludf.DUMMYFUNCTION("""COMPUTED_VALUE"""),"#VALUE!")</f>
        <v>#VALUE!</v>
      </c>
      <c r="C144" s="190"/>
      <c r="D144" s="190" t="e">
        <v>#DIV/0!</v>
      </c>
      <c r="E144" s="190" t="e">
        <v>#DIV/0!</v>
      </c>
      <c r="F144" s="183"/>
      <c r="G144" s="191"/>
      <c r="H144" s="191"/>
      <c r="I144" s="191"/>
      <c r="J144" s="191"/>
      <c r="K144" s="191"/>
      <c r="L144" s="191"/>
      <c r="M144" s="191"/>
      <c r="N144" s="191"/>
      <c r="O144" s="191"/>
      <c r="Q144" s="183"/>
    </row>
    <row r="145">
      <c r="B145" s="190" t="str">
        <f>IFERROR(__xludf.DUMMYFUNCTION("""COMPUTED_VALUE"""),"#VALUE!")</f>
        <v>#VALUE!</v>
      </c>
      <c r="C145" s="190"/>
      <c r="D145" s="190" t="e">
        <v>#DIV/0!</v>
      </c>
      <c r="E145" s="190" t="e">
        <v>#DIV/0!</v>
      </c>
      <c r="F145" s="183"/>
      <c r="G145" s="191"/>
      <c r="H145" s="191"/>
      <c r="I145" s="191"/>
      <c r="J145" s="191"/>
      <c r="K145" s="191"/>
      <c r="L145" s="191"/>
      <c r="M145" s="191"/>
      <c r="N145" s="191"/>
      <c r="O145" s="191"/>
      <c r="Q145" s="183"/>
    </row>
    <row r="146">
      <c r="B146" s="190" t="str">
        <f>IFERROR(__xludf.DUMMYFUNCTION("""COMPUTED_VALUE"""),"#VALUE!")</f>
        <v>#VALUE!</v>
      </c>
      <c r="C146" s="190"/>
      <c r="D146" s="190" t="e">
        <v>#DIV/0!</v>
      </c>
      <c r="E146" s="190" t="e">
        <v>#DIV/0!</v>
      </c>
      <c r="F146" s="183"/>
      <c r="G146" s="191"/>
      <c r="H146" s="191"/>
      <c r="I146" s="191"/>
      <c r="J146" s="191"/>
      <c r="K146" s="191"/>
      <c r="L146" s="191"/>
      <c r="M146" s="191"/>
      <c r="N146" s="191"/>
      <c r="O146" s="191"/>
      <c r="Q146" s="183"/>
    </row>
    <row r="147">
      <c r="B147" s="190" t="str">
        <f>IFERROR(__xludf.DUMMYFUNCTION("""COMPUTED_VALUE"""),"#VALUE!")</f>
        <v>#VALUE!</v>
      </c>
      <c r="C147" s="190"/>
      <c r="D147" s="190" t="e">
        <v>#DIV/0!</v>
      </c>
      <c r="E147" s="190" t="e">
        <v>#DIV/0!</v>
      </c>
      <c r="F147" s="183"/>
      <c r="G147" s="191"/>
      <c r="H147" s="191"/>
      <c r="I147" s="191"/>
      <c r="J147" s="191"/>
      <c r="K147" s="191"/>
      <c r="L147" s="191"/>
      <c r="M147" s="191"/>
      <c r="N147" s="191"/>
      <c r="O147" s="191"/>
      <c r="Q147" s="183"/>
    </row>
    <row r="148">
      <c r="B148" s="190" t="str">
        <f>IFERROR(__xludf.DUMMYFUNCTION("""COMPUTED_VALUE"""),"#VALUE!")</f>
        <v>#VALUE!</v>
      </c>
      <c r="C148" s="190"/>
      <c r="D148" s="190" t="e">
        <v>#DIV/0!</v>
      </c>
      <c r="E148" s="190" t="e">
        <v>#DIV/0!</v>
      </c>
      <c r="F148" s="183"/>
      <c r="G148" s="191"/>
      <c r="H148" s="191"/>
      <c r="I148" s="191"/>
      <c r="J148" s="191"/>
      <c r="K148" s="191"/>
      <c r="L148" s="191"/>
      <c r="M148" s="191"/>
      <c r="N148" s="191"/>
      <c r="O148" s="191"/>
      <c r="Q148" s="183"/>
    </row>
    <row r="149">
      <c r="B149" s="190" t="str">
        <f>IFERROR(__xludf.DUMMYFUNCTION("""COMPUTED_VALUE"""),"#VALUE!")</f>
        <v>#VALUE!</v>
      </c>
      <c r="C149" s="190"/>
      <c r="D149" s="190" t="e">
        <v>#DIV/0!</v>
      </c>
      <c r="E149" s="190" t="e">
        <v>#DIV/0!</v>
      </c>
      <c r="F149" s="183"/>
      <c r="G149" s="191"/>
      <c r="H149" s="191"/>
      <c r="I149" s="191"/>
      <c r="J149" s="191"/>
      <c r="K149" s="191"/>
      <c r="L149" s="191"/>
      <c r="M149" s="191"/>
      <c r="N149" s="191"/>
      <c r="O149" s="191"/>
      <c r="Q149" s="183"/>
    </row>
    <row r="150">
      <c r="B150" s="190" t="str">
        <f>IFERROR(__xludf.DUMMYFUNCTION("""COMPUTED_VALUE"""),"#VALUE!")</f>
        <v>#VALUE!</v>
      </c>
      <c r="C150" s="190"/>
      <c r="D150" s="190" t="e">
        <v>#DIV/0!</v>
      </c>
      <c r="E150" s="190" t="e">
        <v>#DIV/0!</v>
      </c>
      <c r="F150" s="183"/>
      <c r="G150" s="191"/>
      <c r="H150" s="191"/>
      <c r="I150" s="191"/>
      <c r="J150" s="191"/>
      <c r="K150" s="191"/>
      <c r="L150" s="191"/>
      <c r="M150" s="191"/>
      <c r="N150" s="191"/>
      <c r="O150" s="191"/>
      <c r="Q150" s="183"/>
    </row>
    <row r="151">
      <c r="B151" s="190" t="str">
        <f>IFERROR(__xludf.DUMMYFUNCTION("""COMPUTED_VALUE"""),"#VALUE!")</f>
        <v>#VALUE!</v>
      </c>
      <c r="C151" s="190"/>
      <c r="D151" s="190" t="e">
        <v>#DIV/0!</v>
      </c>
      <c r="E151" s="190" t="e">
        <v>#DIV/0!</v>
      </c>
      <c r="F151" s="183"/>
      <c r="G151" s="191"/>
      <c r="H151" s="191"/>
      <c r="I151" s="191"/>
      <c r="J151" s="191"/>
      <c r="K151" s="191"/>
      <c r="L151" s="191"/>
      <c r="M151" s="191"/>
      <c r="N151" s="191"/>
      <c r="O151" s="191"/>
      <c r="Q151" s="183"/>
    </row>
    <row r="152">
      <c r="B152" s="190" t="str">
        <f>IFERROR(__xludf.DUMMYFUNCTION("""COMPUTED_VALUE"""),"#VALUE!")</f>
        <v>#VALUE!</v>
      </c>
      <c r="C152" s="190"/>
      <c r="D152" s="190" t="e">
        <v>#DIV/0!</v>
      </c>
      <c r="E152" s="190" t="e">
        <v>#DIV/0!</v>
      </c>
      <c r="F152" s="183"/>
      <c r="G152" s="191"/>
      <c r="H152" s="191"/>
      <c r="I152" s="191"/>
      <c r="J152" s="191"/>
      <c r="K152" s="191"/>
      <c r="L152" s="191"/>
      <c r="M152" s="191"/>
      <c r="N152" s="191"/>
      <c r="O152" s="191"/>
      <c r="Q152" s="183"/>
    </row>
    <row r="153">
      <c r="B153" s="190" t="str">
        <f>IFERROR(__xludf.DUMMYFUNCTION("""COMPUTED_VALUE"""),"#VALUE!")</f>
        <v>#VALUE!</v>
      </c>
      <c r="C153" s="190"/>
      <c r="D153" s="190" t="e">
        <v>#DIV/0!</v>
      </c>
      <c r="E153" s="190" t="e">
        <v>#DIV/0!</v>
      </c>
      <c r="F153" s="183"/>
      <c r="G153" s="191"/>
      <c r="H153" s="191"/>
      <c r="I153" s="191"/>
      <c r="J153" s="191"/>
      <c r="K153" s="191"/>
      <c r="L153" s="191"/>
      <c r="M153" s="191"/>
      <c r="N153" s="191"/>
      <c r="O153" s="191"/>
      <c r="Q153" s="183"/>
    </row>
    <row r="154">
      <c r="B154" s="190" t="str">
        <f>IFERROR(__xludf.DUMMYFUNCTION("""COMPUTED_VALUE"""),"#VALUE!")</f>
        <v>#VALUE!</v>
      </c>
      <c r="C154" s="190"/>
      <c r="D154" s="190" t="e">
        <v>#DIV/0!</v>
      </c>
      <c r="E154" s="190" t="e">
        <v>#DIV/0!</v>
      </c>
      <c r="F154" s="183"/>
      <c r="G154" s="191"/>
      <c r="H154" s="191"/>
      <c r="I154" s="191"/>
      <c r="J154" s="191"/>
      <c r="K154" s="191"/>
      <c r="L154" s="191"/>
      <c r="M154" s="191"/>
      <c r="N154" s="191"/>
      <c r="O154" s="191"/>
      <c r="Q154" s="183"/>
    </row>
    <row r="155">
      <c r="B155" s="190" t="str">
        <f>IFERROR(__xludf.DUMMYFUNCTION("""COMPUTED_VALUE"""),"#VALUE!")</f>
        <v>#VALUE!</v>
      </c>
      <c r="C155" s="190"/>
      <c r="D155" s="190" t="e">
        <v>#DIV/0!</v>
      </c>
      <c r="E155" s="190" t="e">
        <v>#DIV/0!</v>
      </c>
      <c r="F155" s="183"/>
      <c r="G155" s="191"/>
      <c r="H155" s="191"/>
      <c r="I155" s="191"/>
      <c r="J155" s="191"/>
      <c r="K155" s="191"/>
      <c r="L155" s="191"/>
      <c r="M155" s="191"/>
      <c r="N155" s="191"/>
      <c r="O155" s="191"/>
      <c r="Q155" s="183"/>
    </row>
    <row r="156">
      <c r="B156" s="190" t="str">
        <f>IFERROR(__xludf.DUMMYFUNCTION("""COMPUTED_VALUE"""),"#VALUE!")</f>
        <v>#VALUE!</v>
      </c>
      <c r="C156" s="190"/>
      <c r="D156" s="190" t="e">
        <v>#DIV/0!</v>
      </c>
      <c r="E156" s="190" t="e">
        <v>#DIV/0!</v>
      </c>
      <c r="F156" s="183"/>
      <c r="G156" s="191"/>
      <c r="H156" s="191"/>
      <c r="I156" s="191"/>
      <c r="J156" s="191"/>
      <c r="K156" s="191"/>
      <c r="L156" s="191"/>
      <c r="M156" s="191"/>
      <c r="N156" s="191"/>
      <c r="O156" s="191"/>
      <c r="Q156" s="183"/>
    </row>
    <row r="157">
      <c r="B157" s="190" t="str">
        <f>IFERROR(__xludf.DUMMYFUNCTION("""COMPUTED_VALUE"""),"#VALUE!")</f>
        <v>#VALUE!</v>
      </c>
      <c r="C157" s="190"/>
      <c r="D157" s="190" t="e">
        <v>#DIV/0!</v>
      </c>
      <c r="E157" s="190" t="e">
        <v>#DIV/0!</v>
      </c>
      <c r="F157" s="183"/>
      <c r="G157" s="191"/>
      <c r="H157" s="191"/>
      <c r="I157" s="191"/>
      <c r="J157" s="191"/>
      <c r="K157" s="191"/>
      <c r="L157" s="191"/>
      <c r="M157" s="191"/>
      <c r="N157" s="191"/>
      <c r="O157" s="191"/>
      <c r="Q157" s="183"/>
    </row>
    <row r="158">
      <c r="B158" s="190" t="str">
        <f>IFERROR(__xludf.DUMMYFUNCTION("""COMPUTED_VALUE"""),"#VALUE!")</f>
        <v>#VALUE!</v>
      </c>
      <c r="C158" s="190"/>
      <c r="D158" s="190" t="e">
        <v>#DIV/0!</v>
      </c>
      <c r="E158" s="190" t="e">
        <v>#DIV/0!</v>
      </c>
      <c r="F158" s="183"/>
      <c r="G158" s="191"/>
      <c r="H158" s="191"/>
      <c r="I158" s="191"/>
      <c r="J158" s="191"/>
      <c r="K158" s="191"/>
      <c r="L158" s="191"/>
      <c r="M158" s="191"/>
      <c r="N158" s="191"/>
      <c r="O158" s="191"/>
      <c r="Q158" s="183"/>
    </row>
    <row r="159">
      <c r="B159" s="190" t="str">
        <f>IFERROR(__xludf.DUMMYFUNCTION("""COMPUTED_VALUE"""),"#VALUE!")</f>
        <v>#VALUE!</v>
      </c>
      <c r="C159" s="190"/>
      <c r="D159" s="190" t="e">
        <v>#DIV/0!</v>
      </c>
      <c r="E159" s="190" t="e">
        <v>#DIV/0!</v>
      </c>
      <c r="F159" s="183"/>
      <c r="G159" s="191"/>
      <c r="H159" s="191"/>
      <c r="I159" s="191"/>
      <c r="J159" s="191"/>
      <c r="K159" s="191"/>
      <c r="L159" s="191"/>
      <c r="M159" s="191"/>
      <c r="N159" s="191"/>
      <c r="O159" s="191"/>
      <c r="Q159" s="183"/>
    </row>
    <row r="160">
      <c r="B160" s="190" t="str">
        <f>IFERROR(__xludf.DUMMYFUNCTION("""COMPUTED_VALUE"""),"#VALUE!")</f>
        <v>#VALUE!</v>
      </c>
      <c r="C160" s="190"/>
      <c r="D160" s="190" t="e">
        <v>#DIV/0!</v>
      </c>
      <c r="E160" s="190" t="e">
        <v>#DIV/0!</v>
      </c>
      <c r="F160" s="183"/>
      <c r="G160" s="191"/>
      <c r="H160" s="191"/>
      <c r="I160" s="191"/>
      <c r="J160" s="191"/>
      <c r="K160" s="191"/>
      <c r="L160" s="191"/>
      <c r="M160" s="191"/>
      <c r="N160" s="191"/>
      <c r="O160" s="191"/>
      <c r="Q160" s="183"/>
    </row>
    <row r="161">
      <c r="B161" s="190" t="str">
        <f>IFERROR(__xludf.DUMMYFUNCTION("""COMPUTED_VALUE"""),"#VALUE!")</f>
        <v>#VALUE!</v>
      </c>
      <c r="C161" s="190"/>
      <c r="D161" s="190" t="e">
        <v>#DIV/0!</v>
      </c>
      <c r="E161" s="190" t="e">
        <v>#DIV/0!</v>
      </c>
      <c r="F161" s="183"/>
      <c r="G161" s="191"/>
      <c r="H161" s="191"/>
      <c r="I161" s="191"/>
      <c r="J161" s="191"/>
      <c r="K161" s="191"/>
      <c r="L161" s="191"/>
      <c r="M161" s="191"/>
      <c r="N161" s="191"/>
      <c r="O161" s="191"/>
      <c r="Q161" s="183"/>
    </row>
    <row r="162">
      <c r="B162" s="190" t="str">
        <f>IFERROR(__xludf.DUMMYFUNCTION("""COMPUTED_VALUE"""),"#VALUE!")</f>
        <v>#VALUE!</v>
      </c>
      <c r="C162" s="190"/>
      <c r="D162" s="190" t="e">
        <v>#DIV/0!</v>
      </c>
      <c r="E162" s="190" t="e">
        <v>#DIV/0!</v>
      </c>
      <c r="F162" s="183"/>
      <c r="G162" s="191"/>
      <c r="H162" s="191"/>
      <c r="I162" s="191"/>
      <c r="J162" s="191"/>
      <c r="K162" s="191"/>
      <c r="L162" s="191"/>
      <c r="M162" s="191"/>
      <c r="N162" s="191"/>
      <c r="O162" s="191"/>
      <c r="Q162" s="183"/>
    </row>
    <row r="163">
      <c r="B163" s="190" t="str">
        <f>IFERROR(__xludf.DUMMYFUNCTION("""COMPUTED_VALUE"""),"#VALUE!")</f>
        <v>#VALUE!</v>
      </c>
      <c r="C163" s="190"/>
      <c r="D163" s="190" t="e">
        <v>#DIV/0!</v>
      </c>
      <c r="E163" s="190" t="e">
        <v>#DIV/0!</v>
      </c>
      <c r="F163" s="183"/>
      <c r="G163" s="191"/>
      <c r="H163" s="191"/>
      <c r="I163" s="191"/>
      <c r="J163" s="191"/>
      <c r="K163" s="191"/>
      <c r="L163" s="191"/>
      <c r="M163" s="191"/>
      <c r="N163" s="191"/>
      <c r="O163" s="191"/>
      <c r="Q163" s="183"/>
    </row>
    <row r="164">
      <c r="B164" s="190" t="str">
        <f>IFERROR(__xludf.DUMMYFUNCTION("""COMPUTED_VALUE"""),"#VALUE!")</f>
        <v>#VALUE!</v>
      </c>
      <c r="C164" s="190"/>
      <c r="D164" s="190" t="e">
        <v>#DIV/0!</v>
      </c>
      <c r="E164" s="190" t="e">
        <v>#DIV/0!</v>
      </c>
      <c r="F164" s="183"/>
      <c r="G164" s="191"/>
      <c r="H164" s="191"/>
      <c r="I164" s="191"/>
      <c r="J164" s="191"/>
      <c r="K164" s="191"/>
      <c r="L164" s="191"/>
      <c r="M164" s="191"/>
      <c r="N164" s="191"/>
      <c r="O164" s="191"/>
      <c r="Q164" s="183"/>
    </row>
    <row r="165">
      <c r="B165" s="190" t="str">
        <f>IFERROR(__xludf.DUMMYFUNCTION("""COMPUTED_VALUE"""),"#VALUE!")</f>
        <v>#VALUE!</v>
      </c>
      <c r="C165" s="190"/>
      <c r="D165" s="190" t="e">
        <v>#DIV/0!</v>
      </c>
      <c r="E165" s="190" t="e">
        <v>#DIV/0!</v>
      </c>
      <c r="F165" s="183"/>
      <c r="G165" s="191"/>
      <c r="H165" s="191"/>
      <c r="I165" s="191"/>
      <c r="J165" s="191"/>
      <c r="K165" s="191"/>
      <c r="L165" s="191"/>
      <c r="M165" s="191"/>
      <c r="N165" s="191"/>
      <c r="O165" s="191"/>
      <c r="Q165" s="183"/>
    </row>
    <row r="166">
      <c r="B166" s="190" t="str">
        <f>IFERROR(__xludf.DUMMYFUNCTION("""COMPUTED_VALUE"""),"#VALUE!")</f>
        <v>#VALUE!</v>
      </c>
      <c r="C166" s="190"/>
      <c r="D166" s="190" t="e">
        <v>#DIV/0!</v>
      </c>
      <c r="E166" s="190" t="e">
        <v>#DIV/0!</v>
      </c>
      <c r="F166" s="183"/>
      <c r="G166" s="191"/>
      <c r="H166" s="191"/>
      <c r="I166" s="191"/>
      <c r="J166" s="191"/>
      <c r="K166" s="191"/>
      <c r="L166" s="191"/>
      <c r="M166" s="191"/>
      <c r="N166" s="191"/>
      <c r="O166" s="191"/>
      <c r="Q166" s="183"/>
    </row>
    <row r="167">
      <c r="B167" s="190" t="str">
        <f>IFERROR(__xludf.DUMMYFUNCTION("""COMPUTED_VALUE"""),"#VALUE!")</f>
        <v>#VALUE!</v>
      </c>
      <c r="C167" s="190"/>
      <c r="D167" s="190" t="e">
        <v>#DIV/0!</v>
      </c>
      <c r="E167" s="190" t="e">
        <v>#DIV/0!</v>
      </c>
      <c r="F167" s="183"/>
      <c r="G167" s="191"/>
      <c r="H167" s="191"/>
      <c r="I167" s="191"/>
      <c r="J167" s="191"/>
      <c r="K167" s="191"/>
      <c r="L167" s="191"/>
      <c r="M167" s="191"/>
      <c r="N167" s="191"/>
      <c r="O167" s="191"/>
      <c r="Q167" s="183"/>
    </row>
    <row r="168">
      <c r="B168" s="190" t="str">
        <f>IFERROR(__xludf.DUMMYFUNCTION("""COMPUTED_VALUE"""),"#VALUE!")</f>
        <v>#VALUE!</v>
      </c>
      <c r="C168" s="190"/>
      <c r="D168" s="190" t="e">
        <v>#DIV/0!</v>
      </c>
      <c r="E168" s="190" t="e">
        <v>#DIV/0!</v>
      </c>
      <c r="F168" s="183"/>
      <c r="G168" s="191"/>
      <c r="H168" s="191"/>
      <c r="I168" s="191"/>
      <c r="J168" s="191"/>
      <c r="K168" s="191"/>
      <c r="L168" s="191"/>
      <c r="M168" s="191"/>
      <c r="N168" s="191"/>
      <c r="O168" s="191"/>
      <c r="Q168" s="183"/>
    </row>
    <row r="169">
      <c r="B169" s="190" t="str">
        <f>IFERROR(__xludf.DUMMYFUNCTION("""COMPUTED_VALUE"""),"#VALUE!")</f>
        <v>#VALUE!</v>
      </c>
      <c r="C169" s="190"/>
      <c r="D169" s="190" t="e">
        <v>#DIV/0!</v>
      </c>
      <c r="E169" s="190" t="e">
        <v>#DIV/0!</v>
      </c>
      <c r="F169" s="183"/>
      <c r="G169" s="191"/>
      <c r="H169" s="191"/>
      <c r="I169" s="191"/>
      <c r="J169" s="191"/>
      <c r="K169" s="191"/>
      <c r="L169" s="191"/>
      <c r="M169" s="191"/>
      <c r="N169" s="191"/>
      <c r="O169" s="191"/>
      <c r="Q169" s="183"/>
    </row>
    <row r="170">
      <c r="B170" s="190" t="str">
        <f>IFERROR(__xludf.DUMMYFUNCTION("""COMPUTED_VALUE"""),"#VALUE!")</f>
        <v>#VALUE!</v>
      </c>
      <c r="C170" s="190"/>
      <c r="D170" s="190" t="e">
        <v>#DIV/0!</v>
      </c>
      <c r="E170" s="190" t="e">
        <v>#DIV/0!</v>
      </c>
      <c r="F170" s="183"/>
      <c r="G170" s="191"/>
      <c r="H170" s="191"/>
      <c r="I170" s="191"/>
      <c r="J170" s="191"/>
      <c r="K170" s="191"/>
      <c r="L170" s="191"/>
      <c r="M170" s="191"/>
      <c r="N170" s="191"/>
      <c r="O170" s="191"/>
      <c r="Q170" s="183"/>
    </row>
    <row r="171">
      <c r="B171" s="190" t="str">
        <f>IFERROR(__xludf.DUMMYFUNCTION("""COMPUTED_VALUE"""),"#VALUE!")</f>
        <v>#VALUE!</v>
      </c>
      <c r="C171" s="190"/>
      <c r="D171" s="190" t="e">
        <v>#DIV/0!</v>
      </c>
      <c r="E171" s="190" t="e">
        <v>#DIV/0!</v>
      </c>
      <c r="F171" s="183"/>
      <c r="G171" s="191"/>
      <c r="H171" s="191"/>
      <c r="I171" s="191"/>
      <c r="J171" s="191"/>
      <c r="K171" s="191"/>
      <c r="L171" s="191"/>
      <c r="M171" s="191"/>
      <c r="N171" s="191"/>
      <c r="O171" s="191"/>
      <c r="Q171" s="183"/>
    </row>
    <row r="172">
      <c r="B172" s="190" t="str">
        <f>IFERROR(__xludf.DUMMYFUNCTION("""COMPUTED_VALUE"""),"#VALUE!")</f>
        <v>#VALUE!</v>
      </c>
      <c r="C172" s="190"/>
      <c r="D172" s="190" t="e">
        <v>#DIV/0!</v>
      </c>
      <c r="E172" s="190" t="e">
        <v>#DIV/0!</v>
      </c>
      <c r="F172" s="183"/>
      <c r="G172" s="191"/>
      <c r="H172" s="191"/>
      <c r="I172" s="191"/>
      <c r="J172" s="191"/>
      <c r="K172" s="191"/>
      <c r="L172" s="191"/>
      <c r="M172" s="191"/>
      <c r="N172" s="191"/>
      <c r="O172" s="191"/>
      <c r="Q172" s="183"/>
    </row>
    <row r="173">
      <c r="B173" s="190" t="str">
        <f>IFERROR(__xludf.DUMMYFUNCTION("""COMPUTED_VALUE"""),"#VALUE!")</f>
        <v>#VALUE!</v>
      </c>
      <c r="C173" s="190"/>
      <c r="D173" s="190" t="e">
        <v>#DIV/0!</v>
      </c>
      <c r="E173" s="190" t="e">
        <v>#DIV/0!</v>
      </c>
      <c r="F173" s="183"/>
      <c r="G173" s="191"/>
      <c r="H173" s="191"/>
      <c r="I173" s="191"/>
      <c r="J173" s="191"/>
      <c r="K173" s="191"/>
      <c r="L173" s="191"/>
      <c r="M173" s="191"/>
      <c r="N173" s="191"/>
      <c r="O173" s="191"/>
      <c r="Q173" s="183"/>
    </row>
    <row r="174">
      <c r="B174" s="190" t="str">
        <f>IFERROR(__xludf.DUMMYFUNCTION("""COMPUTED_VALUE"""),"#VALUE!")</f>
        <v>#VALUE!</v>
      </c>
      <c r="C174" s="190"/>
      <c r="D174" s="190" t="e">
        <v>#DIV/0!</v>
      </c>
      <c r="E174" s="190" t="e">
        <v>#DIV/0!</v>
      </c>
      <c r="F174" s="183"/>
      <c r="G174" s="191"/>
      <c r="H174" s="191"/>
      <c r="I174" s="191"/>
      <c r="J174" s="191"/>
      <c r="K174" s="191"/>
      <c r="L174" s="191"/>
      <c r="M174" s="191"/>
      <c r="N174" s="191"/>
      <c r="O174" s="191"/>
      <c r="Q174" s="183"/>
    </row>
    <row r="175">
      <c r="B175" s="190" t="str">
        <f>IFERROR(__xludf.DUMMYFUNCTION("""COMPUTED_VALUE"""),"#VALUE!")</f>
        <v>#VALUE!</v>
      </c>
      <c r="C175" s="190"/>
      <c r="D175" s="190" t="e">
        <v>#DIV/0!</v>
      </c>
      <c r="E175" s="190" t="e">
        <v>#DIV/0!</v>
      </c>
      <c r="F175" s="183"/>
      <c r="G175" s="191"/>
      <c r="H175" s="191"/>
      <c r="I175" s="191"/>
      <c r="J175" s="191"/>
      <c r="K175" s="191"/>
      <c r="L175" s="191"/>
      <c r="M175" s="191"/>
      <c r="N175" s="191"/>
      <c r="O175" s="191"/>
      <c r="Q175" s="183"/>
    </row>
    <row r="176">
      <c r="B176" s="190" t="str">
        <f>IFERROR(__xludf.DUMMYFUNCTION("""COMPUTED_VALUE"""),"#VALUE!")</f>
        <v>#VALUE!</v>
      </c>
      <c r="C176" s="190"/>
      <c r="D176" s="190" t="e">
        <v>#DIV/0!</v>
      </c>
      <c r="E176" s="190" t="e">
        <v>#DIV/0!</v>
      </c>
      <c r="F176" s="183"/>
      <c r="G176" s="191"/>
      <c r="H176" s="191"/>
      <c r="I176" s="191"/>
      <c r="J176" s="191"/>
      <c r="K176" s="191"/>
      <c r="L176" s="191"/>
      <c r="M176" s="191"/>
      <c r="N176" s="191"/>
      <c r="O176" s="191"/>
      <c r="Q176" s="183"/>
    </row>
    <row r="177">
      <c r="B177" s="190" t="str">
        <f>IFERROR(__xludf.DUMMYFUNCTION("""COMPUTED_VALUE"""),"#VALUE!")</f>
        <v>#VALUE!</v>
      </c>
      <c r="C177" s="190"/>
      <c r="D177" s="190" t="e">
        <v>#DIV/0!</v>
      </c>
      <c r="E177" s="190" t="e">
        <v>#DIV/0!</v>
      </c>
      <c r="F177" s="183"/>
      <c r="G177" s="191"/>
      <c r="H177" s="191"/>
      <c r="I177" s="191"/>
      <c r="J177" s="191"/>
      <c r="K177" s="191"/>
      <c r="L177" s="191"/>
      <c r="M177" s="191"/>
      <c r="N177" s="191"/>
      <c r="O177" s="191"/>
      <c r="Q177" s="183"/>
    </row>
    <row r="178">
      <c r="B178" s="190" t="str">
        <f>IFERROR(__xludf.DUMMYFUNCTION("""COMPUTED_VALUE"""),"#VALUE!")</f>
        <v>#VALUE!</v>
      </c>
      <c r="C178" s="190"/>
      <c r="D178" s="190" t="e">
        <v>#DIV/0!</v>
      </c>
      <c r="E178" s="190" t="e">
        <v>#DIV/0!</v>
      </c>
      <c r="F178" s="183"/>
      <c r="G178" s="191"/>
      <c r="H178" s="191"/>
      <c r="I178" s="191"/>
      <c r="J178" s="191"/>
      <c r="K178" s="191"/>
      <c r="L178" s="191"/>
      <c r="M178" s="191"/>
      <c r="N178" s="191"/>
      <c r="O178" s="191"/>
      <c r="Q178" s="183"/>
    </row>
    <row r="179">
      <c r="B179" s="190" t="str">
        <f>IFERROR(__xludf.DUMMYFUNCTION("""COMPUTED_VALUE"""),"#VALUE!")</f>
        <v>#VALUE!</v>
      </c>
      <c r="C179" s="190"/>
      <c r="D179" s="190" t="e">
        <v>#DIV/0!</v>
      </c>
      <c r="E179" s="190" t="e">
        <v>#DIV/0!</v>
      </c>
      <c r="F179" s="183"/>
      <c r="G179" s="191"/>
      <c r="H179" s="191"/>
      <c r="I179" s="191"/>
      <c r="J179" s="191"/>
      <c r="K179" s="191"/>
      <c r="L179" s="191"/>
      <c r="M179" s="191"/>
      <c r="N179" s="191"/>
      <c r="O179" s="191"/>
      <c r="Q179" s="183"/>
    </row>
    <row r="180">
      <c r="B180" s="190" t="str">
        <f>IFERROR(__xludf.DUMMYFUNCTION("""COMPUTED_VALUE"""),"#VALUE!")</f>
        <v>#VALUE!</v>
      </c>
      <c r="C180" s="190"/>
      <c r="D180" s="190" t="e">
        <v>#DIV/0!</v>
      </c>
      <c r="E180" s="190" t="e">
        <v>#DIV/0!</v>
      </c>
      <c r="F180" s="183"/>
      <c r="G180" s="191"/>
      <c r="H180" s="191"/>
      <c r="I180" s="191"/>
      <c r="J180" s="191"/>
      <c r="K180" s="191"/>
      <c r="L180" s="191"/>
      <c r="M180" s="191"/>
      <c r="N180" s="191"/>
      <c r="O180" s="191"/>
      <c r="Q180" s="183"/>
    </row>
    <row r="181">
      <c r="B181" s="190" t="str">
        <f>IFERROR(__xludf.DUMMYFUNCTION("""COMPUTED_VALUE"""),"#VALUE!")</f>
        <v>#VALUE!</v>
      </c>
      <c r="C181" s="190"/>
      <c r="D181" s="190" t="e">
        <v>#DIV/0!</v>
      </c>
      <c r="E181" s="190" t="e">
        <v>#DIV/0!</v>
      </c>
      <c r="F181" s="183"/>
      <c r="G181" s="191"/>
      <c r="H181" s="191"/>
      <c r="I181" s="191"/>
      <c r="J181" s="191"/>
      <c r="K181" s="191"/>
      <c r="L181" s="191"/>
      <c r="M181" s="191"/>
      <c r="N181" s="191"/>
      <c r="O181" s="191"/>
      <c r="Q181" s="183"/>
    </row>
    <row r="182">
      <c r="B182" s="190" t="str">
        <f>IFERROR(__xludf.DUMMYFUNCTION("""COMPUTED_VALUE"""),"#VALUE!")</f>
        <v>#VALUE!</v>
      </c>
      <c r="C182" s="190"/>
      <c r="D182" s="190" t="e">
        <v>#DIV/0!</v>
      </c>
      <c r="E182" s="190" t="e">
        <v>#DIV/0!</v>
      </c>
      <c r="F182" s="183"/>
      <c r="G182" s="191"/>
      <c r="H182" s="191"/>
      <c r="I182" s="191"/>
      <c r="J182" s="191"/>
      <c r="K182" s="191"/>
      <c r="L182" s="191"/>
      <c r="M182" s="191"/>
      <c r="N182" s="191"/>
      <c r="O182" s="191"/>
      <c r="Q182" s="183"/>
    </row>
    <row r="183">
      <c r="B183" s="190" t="str">
        <f>IFERROR(__xludf.DUMMYFUNCTION("""COMPUTED_VALUE"""),"#VALUE!")</f>
        <v>#VALUE!</v>
      </c>
      <c r="C183" s="190"/>
      <c r="D183" s="190" t="e">
        <v>#DIV/0!</v>
      </c>
      <c r="E183" s="190" t="e">
        <v>#DIV/0!</v>
      </c>
      <c r="F183" s="183"/>
      <c r="G183" s="191"/>
      <c r="H183" s="191"/>
      <c r="I183" s="191"/>
      <c r="J183" s="191"/>
      <c r="K183" s="191"/>
      <c r="L183" s="191"/>
      <c r="M183" s="191"/>
      <c r="N183" s="191"/>
      <c r="O183" s="191"/>
      <c r="Q183" s="183"/>
    </row>
    <row r="184">
      <c r="B184" s="190" t="str">
        <f>IFERROR(__xludf.DUMMYFUNCTION("""COMPUTED_VALUE"""),"#VALUE!")</f>
        <v>#VALUE!</v>
      </c>
      <c r="C184" s="190"/>
      <c r="D184" s="190" t="e">
        <v>#DIV/0!</v>
      </c>
      <c r="E184" s="190" t="e">
        <v>#DIV/0!</v>
      </c>
      <c r="F184" s="183"/>
      <c r="G184" s="191"/>
      <c r="H184" s="191"/>
      <c r="I184" s="191"/>
      <c r="J184" s="191"/>
      <c r="K184" s="191"/>
      <c r="L184" s="191"/>
      <c r="M184" s="191"/>
      <c r="N184" s="191"/>
      <c r="O184" s="191"/>
      <c r="Q184" s="183"/>
    </row>
    <row r="185">
      <c r="B185" s="190" t="str">
        <f>IFERROR(__xludf.DUMMYFUNCTION("""COMPUTED_VALUE"""),"#VALUE!")</f>
        <v>#VALUE!</v>
      </c>
      <c r="C185" s="190"/>
      <c r="D185" s="190" t="e">
        <v>#DIV/0!</v>
      </c>
      <c r="E185" s="190" t="e">
        <v>#DIV/0!</v>
      </c>
      <c r="F185" s="183"/>
      <c r="G185" s="191"/>
      <c r="H185" s="191"/>
      <c r="I185" s="191"/>
      <c r="J185" s="191"/>
      <c r="K185" s="191"/>
      <c r="L185" s="191"/>
      <c r="M185" s="191"/>
      <c r="N185" s="191"/>
      <c r="O185" s="191"/>
      <c r="Q185" s="183"/>
    </row>
    <row r="186">
      <c r="B186" s="190" t="str">
        <f>IFERROR(__xludf.DUMMYFUNCTION("""COMPUTED_VALUE"""),"#VALUE!")</f>
        <v>#VALUE!</v>
      </c>
      <c r="C186" s="190"/>
      <c r="D186" s="190" t="e">
        <v>#DIV/0!</v>
      </c>
      <c r="E186" s="190" t="e">
        <v>#DIV/0!</v>
      </c>
      <c r="F186" s="183"/>
      <c r="G186" s="191"/>
      <c r="H186" s="191"/>
      <c r="I186" s="191"/>
      <c r="J186" s="191"/>
      <c r="K186" s="191"/>
      <c r="L186" s="191"/>
      <c r="M186" s="191"/>
      <c r="N186" s="191"/>
      <c r="O186" s="191"/>
      <c r="Q186" s="183"/>
    </row>
    <row r="187">
      <c r="B187" s="190" t="str">
        <f>IFERROR(__xludf.DUMMYFUNCTION("""COMPUTED_VALUE"""),"#VALUE!")</f>
        <v>#VALUE!</v>
      </c>
      <c r="C187" s="190"/>
      <c r="D187" s="190" t="e">
        <v>#DIV/0!</v>
      </c>
      <c r="E187" s="190" t="e">
        <v>#DIV/0!</v>
      </c>
      <c r="F187" s="183"/>
      <c r="G187" s="191"/>
      <c r="H187" s="191"/>
      <c r="I187" s="191"/>
      <c r="J187" s="191"/>
      <c r="K187" s="191"/>
      <c r="L187" s="191"/>
      <c r="M187" s="191"/>
      <c r="N187" s="191"/>
      <c r="O187" s="191"/>
      <c r="Q187" s="183"/>
    </row>
    <row r="188">
      <c r="B188" s="190" t="str">
        <f>IFERROR(__xludf.DUMMYFUNCTION("""COMPUTED_VALUE"""),"#VALUE!")</f>
        <v>#VALUE!</v>
      </c>
      <c r="C188" s="190"/>
      <c r="D188" s="190" t="e">
        <v>#DIV/0!</v>
      </c>
      <c r="E188" s="190" t="e">
        <v>#DIV/0!</v>
      </c>
      <c r="F188" s="183"/>
      <c r="G188" s="191"/>
      <c r="H188" s="191"/>
      <c r="I188" s="191"/>
      <c r="J188" s="191"/>
      <c r="K188" s="191"/>
      <c r="L188" s="191"/>
      <c r="M188" s="191"/>
      <c r="N188" s="191"/>
      <c r="O188" s="191"/>
      <c r="Q188" s="183"/>
    </row>
    <row r="189">
      <c r="B189" s="190" t="str">
        <f>IFERROR(__xludf.DUMMYFUNCTION("""COMPUTED_VALUE"""),"#VALUE!")</f>
        <v>#VALUE!</v>
      </c>
      <c r="C189" s="190"/>
      <c r="D189" s="190" t="e">
        <v>#DIV/0!</v>
      </c>
      <c r="E189" s="190" t="e">
        <v>#DIV/0!</v>
      </c>
      <c r="F189" s="183"/>
      <c r="G189" s="191"/>
      <c r="H189" s="191"/>
      <c r="I189" s="191"/>
      <c r="J189" s="191"/>
      <c r="K189" s="191"/>
      <c r="L189" s="191"/>
      <c r="M189" s="191"/>
      <c r="N189" s="191"/>
      <c r="O189" s="191"/>
      <c r="Q189" s="183"/>
    </row>
    <row r="190">
      <c r="B190" s="190" t="str">
        <f>IFERROR(__xludf.DUMMYFUNCTION("""COMPUTED_VALUE"""),"#VALUE!")</f>
        <v>#VALUE!</v>
      </c>
      <c r="C190" s="190"/>
      <c r="D190" s="190" t="e">
        <v>#DIV/0!</v>
      </c>
      <c r="E190" s="190" t="e">
        <v>#DIV/0!</v>
      </c>
      <c r="F190" s="183"/>
      <c r="G190" s="191"/>
      <c r="H190" s="191"/>
      <c r="I190" s="191"/>
      <c r="J190" s="191"/>
      <c r="K190" s="191"/>
      <c r="L190" s="191"/>
      <c r="M190" s="191"/>
      <c r="N190" s="191"/>
      <c r="O190" s="191"/>
      <c r="Q190" s="183"/>
    </row>
    <row r="191">
      <c r="B191" s="190" t="str">
        <f>IFERROR(__xludf.DUMMYFUNCTION("""COMPUTED_VALUE"""),"#VALUE!")</f>
        <v>#VALUE!</v>
      </c>
      <c r="C191" s="190"/>
      <c r="D191" s="190" t="e">
        <v>#DIV/0!</v>
      </c>
      <c r="E191" s="190" t="e">
        <v>#DIV/0!</v>
      </c>
      <c r="F191" s="183"/>
      <c r="G191" s="191"/>
      <c r="H191" s="191"/>
      <c r="I191" s="191"/>
      <c r="J191" s="191"/>
      <c r="K191" s="191"/>
      <c r="L191" s="191"/>
      <c r="M191" s="191"/>
      <c r="N191" s="191"/>
      <c r="O191" s="191"/>
      <c r="Q191" s="183"/>
    </row>
    <row r="192">
      <c r="B192" s="190" t="str">
        <f>IFERROR(__xludf.DUMMYFUNCTION("""COMPUTED_VALUE"""),"#VALUE!")</f>
        <v>#VALUE!</v>
      </c>
      <c r="C192" s="190"/>
      <c r="D192" s="190" t="e">
        <v>#DIV/0!</v>
      </c>
      <c r="E192" s="190" t="e">
        <v>#DIV/0!</v>
      </c>
      <c r="F192" s="183"/>
      <c r="G192" s="191"/>
      <c r="H192" s="191"/>
      <c r="I192" s="191"/>
      <c r="J192" s="191"/>
      <c r="K192" s="191"/>
      <c r="L192" s="191"/>
      <c r="M192" s="191"/>
      <c r="N192" s="191"/>
      <c r="O192" s="191"/>
      <c r="Q192" s="183"/>
    </row>
    <row r="193">
      <c r="B193" s="190" t="str">
        <f>IFERROR(__xludf.DUMMYFUNCTION("""COMPUTED_VALUE"""),"#VALUE!")</f>
        <v>#VALUE!</v>
      </c>
      <c r="C193" s="190"/>
      <c r="D193" s="190" t="e">
        <v>#DIV/0!</v>
      </c>
      <c r="E193" s="190" t="e">
        <v>#DIV/0!</v>
      </c>
      <c r="F193" s="183"/>
      <c r="G193" s="191"/>
      <c r="H193" s="191"/>
      <c r="I193" s="191"/>
      <c r="J193" s="191"/>
      <c r="K193" s="191"/>
      <c r="L193" s="191"/>
      <c r="M193" s="191"/>
      <c r="N193" s="191"/>
      <c r="O193" s="191"/>
      <c r="Q193" s="183"/>
    </row>
    <row r="194">
      <c r="B194" s="190" t="str">
        <f>IFERROR(__xludf.DUMMYFUNCTION("""COMPUTED_VALUE"""),"#VALUE!")</f>
        <v>#VALUE!</v>
      </c>
      <c r="C194" s="190"/>
      <c r="D194" s="190" t="e">
        <v>#DIV/0!</v>
      </c>
      <c r="E194" s="190" t="e">
        <v>#DIV/0!</v>
      </c>
      <c r="F194" s="183"/>
      <c r="G194" s="191"/>
      <c r="H194" s="191"/>
      <c r="I194" s="191"/>
      <c r="J194" s="191"/>
      <c r="K194" s="191"/>
      <c r="L194" s="191"/>
      <c r="M194" s="191"/>
      <c r="N194" s="191"/>
      <c r="O194" s="191"/>
      <c r="Q194" s="183"/>
    </row>
    <row r="195">
      <c r="B195" s="190" t="str">
        <f>IFERROR(__xludf.DUMMYFUNCTION("""COMPUTED_VALUE"""),"#VALUE!")</f>
        <v>#VALUE!</v>
      </c>
      <c r="C195" s="190"/>
      <c r="D195" s="190" t="e">
        <v>#DIV/0!</v>
      </c>
      <c r="E195" s="190" t="e">
        <v>#DIV/0!</v>
      </c>
      <c r="F195" s="183"/>
      <c r="G195" s="191"/>
      <c r="H195" s="191"/>
      <c r="I195" s="191"/>
      <c r="J195" s="191"/>
      <c r="K195" s="191"/>
      <c r="L195" s="191"/>
      <c r="M195" s="191"/>
      <c r="N195" s="191"/>
      <c r="O195" s="191"/>
      <c r="Q195" s="183"/>
    </row>
    <row r="196">
      <c r="B196" s="190" t="str">
        <f>IFERROR(__xludf.DUMMYFUNCTION("""COMPUTED_VALUE"""),"#VALUE!")</f>
        <v>#VALUE!</v>
      </c>
      <c r="C196" s="190"/>
      <c r="D196" s="190" t="e">
        <v>#DIV/0!</v>
      </c>
      <c r="E196" s="190" t="e">
        <v>#DIV/0!</v>
      </c>
      <c r="F196" s="183"/>
      <c r="G196" s="191"/>
      <c r="H196" s="191"/>
      <c r="I196" s="191"/>
      <c r="J196" s="191"/>
      <c r="K196" s="191"/>
      <c r="L196" s="191"/>
      <c r="M196" s="191"/>
      <c r="N196" s="191"/>
      <c r="O196" s="191"/>
      <c r="Q196" s="183"/>
    </row>
    <row r="197">
      <c r="B197" s="190" t="str">
        <f>IFERROR(__xludf.DUMMYFUNCTION("""COMPUTED_VALUE"""),"#VALUE!")</f>
        <v>#VALUE!</v>
      </c>
      <c r="C197" s="190"/>
      <c r="D197" s="190" t="e">
        <v>#DIV/0!</v>
      </c>
      <c r="E197" s="190" t="e">
        <v>#DIV/0!</v>
      </c>
      <c r="F197" s="183"/>
      <c r="G197" s="191"/>
      <c r="H197" s="191"/>
      <c r="I197" s="191"/>
      <c r="J197" s="191"/>
      <c r="K197" s="191"/>
      <c r="L197" s="191"/>
      <c r="M197" s="191"/>
      <c r="N197" s="191"/>
      <c r="O197" s="191"/>
      <c r="Q197" s="183"/>
    </row>
    <row r="198">
      <c r="B198" s="190" t="str">
        <f>IFERROR(__xludf.DUMMYFUNCTION("""COMPUTED_VALUE"""),"#VALUE!")</f>
        <v>#VALUE!</v>
      </c>
      <c r="C198" s="190"/>
      <c r="D198" s="190" t="e">
        <v>#DIV/0!</v>
      </c>
      <c r="E198" s="190" t="e">
        <v>#DIV/0!</v>
      </c>
      <c r="F198" s="183"/>
      <c r="G198" s="191"/>
      <c r="H198" s="191"/>
      <c r="I198" s="191"/>
      <c r="J198" s="191"/>
      <c r="K198" s="191"/>
      <c r="L198" s="191"/>
      <c r="M198" s="191"/>
      <c r="N198" s="191"/>
      <c r="O198" s="191"/>
      <c r="Q198" s="183"/>
    </row>
    <row r="199">
      <c r="B199" s="190" t="str">
        <f>IFERROR(__xludf.DUMMYFUNCTION("""COMPUTED_VALUE"""),"#VALUE!")</f>
        <v>#VALUE!</v>
      </c>
      <c r="C199" s="190"/>
      <c r="D199" s="190" t="e">
        <v>#DIV/0!</v>
      </c>
      <c r="E199" s="190" t="e">
        <v>#DIV/0!</v>
      </c>
      <c r="F199" s="183"/>
      <c r="G199" s="191"/>
      <c r="H199" s="191"/>
      <c r="I199" s="191"/>
      <c r="J199" s="191"/>
      <c r="K199" s="191"/>
      <c r="L199" s="191"/>
      <c r="M199" s="191"/>
      <c r="N199" s="191"/>
      <c r="O199" s="191"/>
      <c r="Q199" s="183"/>
    </row>
    <row r="200">
      <c r="B200" s="190" t="str">
        <f>IFERROR(__xludf.DUMMYFUNCTION("""COMPUTED_VALUE"""),"#VALUE!")</f>
        <v>#VALUE!</v>
      </c>
      <c r="C200" s="190"/>
      <c r="D200" s="190" t="e">
        <v>#DIV/0!</v>
      </c>
      <c r="E200" s="190" t="e">
        <v>#DIV/0!</v>
      </c>
      <c r="F200" s="183"/>
      <c r="G200" s="191"/>
      <c r="H200" s="191"/>
      <c r="I200" s="191"/>
      <c r="J200" s="191"/>
      <c r="K200" s="191"/>
      <c r="L200" s="191"/>
      <c r="M200" s="191"/>
      <c r="N200" s="191"/>
      <c r="O200" s="191"/>
      <c r="Q200" s="183"/>
    </row>
    <row r="201">
      <c r="B201" s="190" t="str">
        <f>IFERROR(__xludf.DUMMYFUNCTION("""COMPUTED_VALUE"""),"#VALUE!")</f>
        <v>#VALUE!</v>
      </c>
      <c r="C201" s="190"/>
      <c r="D201" s="190" t="e">
        <v>#DIV/0!</v>
      </c>
      <c r="E201" s="190" t="e">
        <v>#DIV/0!</v>
      </c>
      <c r="F201" s="183"/>
      <c r="G201" s="191"/>
      <c r="H201" s="191"/>
      <c r="I201" s="191"/>
      <c r="J201" s="191"/>
      <c r="K201" s="191"/>
      <c r="L201" s="191"/>
      <c r="M201" s="191"/>
      <c r="N201" s="191"/>
      <c r="O201" s="191"/>
      <c r="Q201" s="183"/>
    </row>
    <row r="202">
      <c r="B202" s="190" t="str">
        <f>IFERROR(__xludf.DUMMYFUNCTION("""COMPUTED_VALUE"""),"#VALUE!")</f>
        <v>#VALUE!</v>
      </c>
      <c r="C202" s="190"/>
      <c r="D202" s="190" t="e">
        <v>#DIV/0!</v>
      </c>
      <c r="E202" s="190" t="e">
        <v>#DIV/0!</v>
      </c>
      <c r="F202" s="183"/>
      <c r="G202" s="191"/>
      <c r="H202" s="191"/>
      <c r="I202" s="191"/>
      <c r="J202" s="191"/>
      <c r="K202" s="191"/>
      <c r="L202" s="191"/>
      <c r="M202" s="191"/>
      <c r="N202" s="191"/>
      <c r="O202" s="191"/>
      <c r="Q202" s="183"/>
    </row>
    <row r="203">
      <c r="B203" s="190" t="str">
        <f>IFERROR(__xludf.DUMMYFUNCTION("""COMPUTED_VALUE"""),"#VALUE!")</f>
        <v>#VALUE!</v>
      </c>
      <c r="C203" s="190"/>
      <c r="D203" s="190" t="e">
        <v>#DIV/0!</v>
      </c>
      <c r="E203" s="190" t="e">
        <v>#DIV/0!</v>
      </c>
      <c r="F203" s="183"/>
      <c r="G203" s="191"/>
      <c r="H203" s="191"/>
      <c r="I203" s="191"/>
      <c r="J203" s="191"/>
      <c r="K203" s="191"/>
      <c r="L203" s="191"/>
      <c r="M203" s="191"/>
      <c r="N203" s="191"/>
      <c r="O203" s="191"/>
      <c r="Q203" s="183"/>
    </row>
    <row r="204">
      <c r="B204" s="190" t="str">
        <f>IFERROR(__xludf.DUMMYFUNCTION("""COMPUTED_VALUE"""),"#VALUE!")</f>
        <v>#VALUE!</v>
      </c>
      <c r="C204" s="190"/>
      <c r="D204" s="190" t="e">
        <v>#DIV/0!</v>
      </c>
      <c r="E204" s="190" t="e">
        <v>#DIV/0!</v>
      </c>
      <c r="F204" s="183"/>
      <c r="G204" s="191"/>
      <c r="H204" s="191"/>
      <c r="I204" s="191"/>
      <c r="J204" s="191"/>
      <c r="K204" s="191"/>
      <c r="L204" s="191"/>
      <c r="M204" s="191"/>
      <c r="N204" s="191"/>
      <c r="O204" s="191"/>
      <c r="Q204" s="183"/>
    </row>
    <row r="205">
      <c r="B205" s="190" t="str">
        <f>IFERROR(__xludf.DUMMYFUNCTION("""COMPUTED_VALUE"""),"#VALUE!")</f>
        <v>#VALUE!</v>
      </c>
      <c r="C205" s="190"/>
      <c r="D205" s="190" t="e">
        <v>#DIV/0!</v>
      </c>
      <c r="E205" s="190" t="e">
        <v>#DIV/0!</v>
      </c>
      <c r="F205" s="183"/>
      <c r="G205" s="191"/>
      <c r="H205" s="191"/>
      <c r="I205" s="191"/>
      <c r="J205" s="191"/>
      <c r="K205" s="191"/>
      <c r="L205" s="191"/>
      <c r="M205" s="191"/>
      <c r="N205" s="191"/>
      <c r="O205" s="191"/>
      <c r="Q205" s="183"/>
    </row>
    <row r="206">
      <c r="B206" s="190" t="str">
        <f>IFERROR(__xludf.DUMMYFUNCTION("""COMPUTED_VALUE"""),"#VALUE!")</f>
        <v>#VALUE!</v>
      </c>
      <c r="C206" s="190"/>
      <c r="D206" s="190" t="e">
        <v>#DIV/0!</v>
      </c>
      <c r="E206" s="190" t="e">
        <v>#DIV/0!</v>
      </c>
      <c r="F206" s="183"/>
      <c r="G206" s="191"/>
      <c r="H206" s="191"/>
      <c r="I206" s="191"/>
      <c r="J206" s="191"/>
      <c r="K206" s="191"/>
      <c r="L206" s="191"/>
      <c r="M206" s="191"/>
      <c r="N206" s="191"/>
      <c r="O206" s="191"/>
      <c r="Q206" s="183"/>
    </row>
    <row r="207">
      <c r="B207" s="190" t="str">
        <f>IFERROR(__xludf.DUMMYFUNCTION("""COMPUTED_VALUE"""),"#VALUE!")</f>
        <v>#VALUE!</v>
      </c>
      <c r="C207" s="190"/>
      <c r="D207" s="190" t="e">
        <v>#DIV/0!</v>
      </c>
      <c r="E207" s="190" t="e">
        <v>#DIV/0!</v>
      </c>
      <c r="F207" s="183"/>
      <c r="G207" s="191"/>
      <c r="H207" s="191"/>
      <c r="I207" s="191"/>
      <c r="J207" s="191"/>
      <c r="K207" s="191"/>
      <c r="L207" s="191"/>
      <c r="M207" s="191"/>
      <c r="N207" s="191"/>
      <c r="O207" s="191"/>
      <c r="Q207" s="183"/>
    </row>
    <row r="208">
      <c r="B208" s="190" t="str">
        <f>IFERROR(__xludf.DUMMYFUNCTION("""COMPUTED_VALUE"""),"#VALUE!")</f>
        <v>#VALUE!</v>
      </c>
      <c r="C208" s="190"/>
      <c r="D208" s="190" t="e">
        <v>#DIV/0!</v>
      </c>
      <c r="E208" s="190" t="e">
        <v>#DIV/0!</v>
      </c>
      <c r="F208" s="183"/>
      <c r="G208" s="191"/>
      <c r="H208" s="191"/>
      <c r="I208" s="191"/>
      <c r="J208" s="191"/>
      <c r="K208" s="191"/>
      <c r="L208" s="191"/>
      <c r="M208" s="191"/>
      <c r="N208" s="191"/>
      <c r="O208" s="191"/>
      <c r="Q208" s="183"/>
    </row>
    <row r="209">
      <c r="B209" s="190" t="str">
        <f>IFERROR(__xludf.DUMMYFUNCTION("""COMPUTED_VALUE"""),"#VALUE!")</f>
        <v>#VALUE!</v>
      </c>
      <c r="C209" s="190"/>
      <c r="D209" s="190" t="e">
        <v>#DIV/0!</v>
      </c>
      <c r="E209" s="190" t="e">
        <v>#DIV/0!</v>
      </c>
      <c r="F209" s="183"/>
      <c r="G209" s="191"/>
      <c r="H209" s="191"/>
      <c r="I209" s="191"/>
      <c r="J209" s="191"/>
      <c r="K209" s="191"/>
      <c r="L209" s="191"/>
      <c r="M209" s="191"/>
      <c r="N209" s="191"/>
      <c r="O209" s="191"/>
      <c r="Q209" s="183"/>
    </row>
    <row r="210">
      <c r="B210" s="190" t="str">
        <f>IFERROR(__xludf.DUMMYFUNCTION("""COMPUTED_VALUE"""),"#VALUE!")</f>
        <v>#VALUE!</v>
      </c>
      <c r="C210" s="190"/>
      <c r="D210" s="190" t="e">
        <v>#DIV/0!</v>
      </c>
      <c r="E210" s="190" t="e">
        <v>#DIV/0!</v>
      </c>
      <c r="F210" s="183"/>
      <c r="G210" s="191"/>
      <c r="H210" s="191"/>
      <c r="I210" s="191"/>
      <c r="J210" s="191"/>
      <c r="K210" s="191"/>
      <c r="L210" s="191"/>
      <c r="M210" s="191"/>
      <c r="N210" s="191"/>
      <c r="O210" s="191"/>
      <c r="Q210" s="183"/>
    </row>
    <row r="211">
      <c r="B211" s="190" t="str">
        <f>IFERROR(__xludf.DUMMYFUNCTION("""COMPUTED_VALUE"""),"#VALUE!")</f>
        <v>#VALUE!</v>
      </c>
      <c r="C211" s="190"/>
      <c r="D211" s="190" t="e">
        <v>#DIV/0!</v>
      </c>
      <c r="E211" s="190" t="e">
        <v>#DIV/0!</v>
      </c>
      <c r="F211" s="183"/>
      <c r="G211" s="191"/>
      <c r="H211" s="191"/>
      <c r="I211" s="191"/>
      <c r="J211" s="191"/>
      <c r="K211" s="191"/>
      <c r="L211" s="191"/>
      <c r="M211" s="191"/>
      <c r="N211" s="191"/>
      <c r="O211" s="191"/>
      <c r="Q211" s="183"/>
    </row>
    <row r="212">
      <c r="B212" s="190" t="str">
        <f>IFERROR(__xludf.DUMMYFUNCTION("""COMPUTED_VALUE"""),"#VALUE!")</f>
        <v>#VALUE!</v>
      </c>
      <c r="C212" s="190"/>
      <c r="D212" s="190" t="e">
        <v>#DIV/0!</v>
      </c>
      <c r="E212" s="190" t="e">
        <v>#DIV/0!</v>
      </c>
      <c r="F212" s="183"/>
      <c r="G212" s="191"/>
      <c r="H212" s="191"/>
      <c r="I212" s="191"/>
      <c r="J212" s="191"/>
      <c r="K212" s="191"/>
      <c r="L212" s="191"/>
      <c r="M212" s="191"/>
      <c r="N212" s="191"/>
      <c r="O212" s="191"/>
      <c r="Q212" s="183"/>
    </row>
    <row r="213">
      <c r="B213" s="190" t="str">
        <f>IFERROR(__xludf.DUMMYFUNCTION("""COMPUTED_VALUE"""),"#VALUE!")</f>
        <v>#VALUE!</v>
      </c>
      <c r="C213" s="190"/>
      <c r="D213" s="190" t="e">
        <v>#DIV/0!</v>
      </c>
      <c r="E213" s="190" t="e">
        <v>#DIV/0!</v>
      </c>
      <c r="F213" s="183"/>
      <c r="G213" s="191"/>
      <c r="H213" s="191"/>
      <c r="I213" s="191"/>
      <c r="J213" s="191"/>
      <c r="K213" s="191"/>
      <c r="L213" s="191"/>
      <c r="M213" s="191"/>
      <c r="N213" s="191"/>
      <c r="O213" s="191"/>
      <c r="Q213" s="183"/>
    </row>
    <row r="214">
      <c r="B214" s="190" t="str">
        <f>IFERROR(__xludf.DUMMYFUNCTION("""COMPUTED_VALUE"""),"#VALUE!")</f>
        <v>#VALUE!</v>
      </c>
      <c r="C214" s="190"/>
      <c r="D214" s="190" t="e">
        <v>#DIV/0!</v>
      </c>
      <c r="E214" s="190" t="e">
        <v>#DIV/0!</v>
      </c>
      <c r="F214" s="183"/>
      <c r="G214" s="191"/>
      <c r="H214" s="191"/>
      <c r="I214" s="191"/>
      <c r="J214" s="191"/>
      <c r="K214" s="191"/>
      <c r="L214" s="191"/>
      <c r="M214" s="191"/>
      <c r="N214" s="191"/>
      <c r="O214" s="191"/>
      <c r="Q214" s="183"/>
    </row>
    <row r="215">
      <c r="B215" s="190" t="str">
        <f>IFERROR(__xludf.DUMMYFUNCTION("""COMPUTED_VALUE"""),"#VALUE!")</f>
        <v>#VALUE!</v>
      </c>
      <c r="C215" s="190"/>
      <c r="D215" s="190" t="e">
        <v>#DIV/0!</v>
      </c>
      <c r="E215" s="190" t="e">
        <v>#DIV/0!</v>
      </c>
      <c r="F215" s="183"/>
      <c r="G215" s="191"/>
      <c r="H215" s="191"/>
      <c r="I215" s="191"/>
      <c r="J215" s="191"/>
      <c r="K215" s="191"/>
      <c r="L215" s="191"/>
      <c r="M215" s="191"/>
      <c r="N215" s="191"/>
      <c r="O215" s="191"/>
      <c r="Q215" s="183"/>
    </row>
    <row r="216">
      <c r="B216" s="190" t="str">
        <f>IFERROR(__xludf.DUMMYFUNCTION("""COMPUTED_VALUE"""),"#VALUE!")</f>
        <v>#VALUE!</v>
      </c>
      <c r="C216" s="190"/>
      <c r="D216" s="190" t="e">
        <v>#DIV/0!</v>
      </c>
      <c r="E216" s="190" t="e">
        <v>#DIV/0!</v>
      </c>
      <c r="F216" s="183"/>
      <c r="G216" s="191"/>
      <c r="H216" s="191"/>
      <c r="I216" s="191"/>
      <c r="J216" s="191"/>
      <c r="K216" s="191"/>
      <c r="L216" s="191"/>
      <c r="M216" s="191"/>
      <c r="N216" s="191"/>
      <c r="O216" s="191"/>
      <c r="Q216" s="183"/>
    </row>
    <row r="217">
      <c r="B217" s="190" t="str">
        <f>IFERROR(__xludf.DUMMYFUNCTION("""COMPUTED_VALUE"""),"#VALUE!")</f>
        <v>#VALUE!</v>
      </c>
      <c r="C217" s="190"/>
      <c r="D217" s="190" t="e">
        <v>#DIV/0!</v>
      </c>
      <c r="E217" s="190" t="e">
        <v>#DIV/0!</v>
      </c>
      <c r="F217" s="183"/>
      <c r="G217" s="191"/>
      <c r="H217" s="191"/>
      <c r="I217" s="191"/>
      <c r="J217" s="191"/>
      <c r="K217" s="191"/>
      <c r="L217" s="191"/>
      <c r="M217" s="191"/>
      <c r="N217" s="191"/>
      <c r="O217" s="191"/>
      <c r="Q217" s="183"/>
    </row>
    <row r="218">
      <c r="B218" s="190" t="str">
        <f>IFERROR(__xludf.DUMMYFUNCTION("""COMPUTED_VALUE"""),"#VALUE!")</f>
        <v>#VALUE!</v>
      </c>
      <c r="C218" s="190"/>
      <c r="D218" s="190" t="e">
        <v>#DIV/0!</v>
      </c>
      <c r="E218" s="190" t="e">
        <v>#DIV/0!</v>
      </c>
      <c r="F218" s="183"/>
      <c r="G218" s="191"/>
      <c r="H218" s="191"/>
      <c r="I218" s="191"/>
      <c r="J218" s="191"/>
      <c r="K218" s="191"/>
      <c r="L218" s="191"/>
      <c r="M218" s="191"/>
      <c r="N218" s="191"/>
      <c r="O218" s="191"/>
      <c r="Q218" s="183"/>
    </row>
    <row r="219">
      <c r="B219" s="190" t="str">
        <f>IFERROR(__xludf.DUMMYFUNCTION("""COMPUTED_VALUE"""),"#VALUE!")</f>
        <v>#VALUE!</v>
      </c>
      <c r="C219" s="190"/>
      <c r="D219" s="190" t="e">
        <v>#DIV/0!</v>
      </c>
      <c r="E219" s="190" t="e">
        <v>#DIV/0!</v>
      </c>
      <c r="F219" s="183"/>
      <c r="G219" s="191"/>
      <c r="H219" s="191"/>
      <c r="I219" s="191"/>
      <c r="J219" s="191"/>
      <c r="K219" s="191"/>
      <c r="L219" s="191"/>
      <c r="M219" s="191"/>
      <c r="N219" s="191"/>
      <c r="O219" s="191"/>
      <c r="Q219" s="183"/>
    </row>
    <row r="220">
      <c r="B220" s="190" t="str">
        <f>IFERROR(__xludf.DUMMYFUNCTION("""COMPUTED_VALUE"""),"#VALUE!")</f>
        <v>#VALUE!</v>
      </c>
      <c r="C220" s="190"/>
      <c r="D220" s="190" t="e">
        <v>#DIV/0!</v>
      </c>
      <c r="E220" s="190" t="e">
        <v>#DIV/0!</v>
      </c>
      <c r="F220" s="183"/>
      <c r="G220" s="191"/>
      <c r="H220" s="191"/>
      <c r="I220" s="191"/>
      <c r="J220" s="191"/>
      <c r="K220" s="191"/>
      <c r="L220" s="191"/>
      <c r="M220" s="191"/>
      <c r="N220" s="191"/>
      <c r="O220" s="191"/>
      <c r="Q220" s="183"/>
    </row>
    <row r="221">
      <c r="B221" s="190" t="str">
        <f>IFERROR(__xludf.DUMMYFUNCTION("""COMPUTED_VALUE"""),"#VALUE!")</f>
        <v>#VALUE!</v>
      </c>
      <c r="C221" s="190"/>
      <c r="D221" s="190" t="e">
        <v>#DIV/0!</v>
      </c>
      <c r="E221" s="190" t="e">
        <v>#DIV/0!</v>
      </c>
      <c r="F221" s="183"/>
      <c r="G221" s="191"/>
      <c r="H221" s="191"/>
      <c r="I221" s="191"/>
      <c r="J221" s="191"/>
      <c r="K221" s="191"/>
      <c r="L221" s="191"/>
      <c r="M221" s="191"/>
      <c r="N221" s="191"/>
      <c r="O221" s="191"/>
      <c r="Q221" s="183"/>
    </row>
    <row r="222">
      <c r="B222" s="190" t="str">
        <f>IFERROR(__xludf.DUMMYFUNCTION("""COMPUTED_VALUE"""),"#VALUE!")</f>
        <v>#VALUE!</v>
      </c>
      <c r="C222" s="190"/>
      <c r="D222" s="190" t="e">
        <v>#DIV/0!</v>
      </c>
      <c r="E222" s="190" t="e">
        <v>#DIV/0!</v>
      </c>
      <c r="F222" s="183"/>
      <c r="G222" s="191"/>
      <c r="H222" s="191"/>
      <c r="I222" s="191"/>
      <c r="J222" s="191"/>
      <c r="K222" s="191"/>
      <c r="L222" s="191"/>
      <c r="M222" s="191"/>
      <c r="N222" s="191"/>
      <c r="O222" s="191"/>
      <c r="Q222" s="183"/>
    </row>
    <row r="223">
      <c r="B223" s="190" t="str">
        <f>IFERROR(__xludf.DUMMYFUNCTION("""COMPUTED_VALUE"""),"#VALUE!")</f>
        <v>#VALUE!</v>
      </c>
      <c r="C223" s="190"/>
      <c r="D223" s="190" t="e">
        <v>#DIV/0!</v>
      </c>
      <c r="E223" s="190" t="e">
        <v>#DIV/0!</v>
      </c>
      <c r="F223" s="183"/>
      <c r="G223" s="191"/>
      <c r="H223" s="191"/>
      <c r="I223" s="191"/>
      <c r="J223" s="191"/>
      <c r="K223" s="191"/>
      <c r="L223" s="191"/>
      <c r="M223" s="191"/>
      <c r="N223" s="191"/>
      <c r="O223" s="191"/>
      <c r="Q223" s="183"/>
    </row>
    <row r="224">
      <c r="B224" s="190" t="str">
        <f>IFERROR(__xludf.DUMMYFUNCTION("""COMPUTED_VALUE"""),"#VALUE!")</f>
        <v>#VALUE!</v>
      </c>
      <c r="C224" s="190"/>
      <c r="D224" s="190" t="e">
        <v>#DIV/0!</v>
      </c>
      <c r="E224" s="190" t="e">
        <v>#DIV/0!</v>
      </c>
      <c r="F224" s="183"/>
      <c r="G224" s="191"/>
      <c r="H224" s="191"/>
      <c r="I224" s="191"/>
      <c r="J224" s="191"/>
      <c r="K224" s="191"/>
      <c r="L224" s="191"/>
      <c r="M224" s="191"/>
      <c r="N224" s="191"/>
      <c r="O224" s="191"/>
      <c r="Q224" s="183"/>
    </row>
    <row r="225">
      <c r="B225" s="190" t="str">
        <f>IFERROR(__xludf.DUMMYFUNCTION("""COMPUTED_VALUE"""),"#VALUE!")</f>
        <v>#VALUE!</v>
      </c>
      <c r="C225" s="190"/>
      <c r="D225" s="190" t="e">
        <v>#DIV/0!</v>
      </c>
      <c r="E225" s="190" t="e">
        <v>#DIV/0!</v>
      </c>
      <c r="F225" s="183"/>
      <c r="G225" s="191"/>
      <c r="H225" s="191"/>
      <c r="I225" s="191"/>
      <c r="J225" s="191"/>
      <c r="K225" s="191"/>
      <c r="L225" s="191"/>
      <c r="M225" s="191"/>
      <c r="N225" s="191"/>
      <c r="O225" s="191"/>
      <c r="Q225" s="183"/>
    </row>
    <row r="226">
      <c r="B226" s="190" t="str">
        <f>IFERROR(__xludf.DUMMYFUNCTION("""COMPUTED_VALUE"""),"#VALUE!")</f>
        <v>#VALUE!</v>
      </c>
      <c r="C226" s="190"/>
      <c r="D226" s="190" t="e">
        <v>#DIV/0!</v>
      </c>
      <c r="E226" s="190" t="e">
        <v>#DIV/0!</v>
      </c>
      <c r="F226" s="183"/>
      <c r="G226" s="191"/>
      <c r="H226" s="191"/>
      <c r="I226" s="191"/>
      <c r="J226" s="191"/>
      <c r="K226" s="191"/>
      <c r="L226" s="191"/>
      <c r="M226" s="191"/>
      <c r="N226" s="191"/>
      <c r="O226" s="191"/>
      <c r="Q226" s="183"/>
    </row>
    <row r="227">
      <c r="B227" s="190" t="str">
        <f>IFERROR(__xludf.DUMMYFUNCTION("""COMPUTED_VALUE"""),"#VALUE!")</f>
        <v>#VALUE!</v>
      </c>
      <c r="C227" s="190"/>
      <c r="D227" s="190" t="e">
        <v>#DIV/0!</v>
      </c>
      <c r="E227" s="190" t="e">
        <v>#DIV/0!</v>
      </c>
      <c r="F227" s="183"/>
      <c r="G227" s="191"/>
      <c r="H227" s="191"/>
      <c r="I227" s="191"/>
      <c r="J227" s="191"/>
      <c r="K227" s="191"/>
      <c r="L227" s="191"/>
      <c r="M227" s="191"/>
      <c r="N227" s="191"/>
      <c r="O227" s="191"/>
      <c r="Q227" s="183"/>
    </row>
    <row r="228">
      <c r="B228" s="190" t="str">
        <f>IFERROR(__xludf.DUMMYFUNCTION("""COMPUTED_VALUE"""),"#VALUE!")</f>
        <v>#VALUE!</v>
      </c>
      <c r="C228" s="190"/>
      <c r="D228" s="190" t="e">
        <v>#DIV/0!</v>
      </c>
      <c r="E228" s="190" t="e">
        <v>#DIV/0!</v>
      </c>
      <c r="F228" s="183"/>
      <c r="G228" s="191"/>
      <c r="H228" s="191"/>
      <c r="I228" s="191"/>
      <c r="J228" s="191"/>
      <c r="K228" s="191"/>
      <c r="L228" s="191"/>
      <c r="M228" s="191"/>
      <c r="N228" s="191"/>
      <c r="O228" s="191"/>
      <c r="Q228" s="183"/>
    </row>
    <row r="229">
      <c r="B229" s="190" t="str">
        <f>IFERROR(__xludf.DUMMYFUNCTION("""COMPUTED_VALUE"""),"#VALUE!")</f>
        <v>#VALUE!</v>
      </c>
      <c r="C229" s="190"/>
      <c r="D229" s="190" t="e">
        <v>#DIV/0!</v>
      </c>
      <c r="E229" s="190" t="e">
        <v>#DIV/0!</v>
      </c>
      <c r="F229" s="183"/>
      <c r="G229" s="191"/>
      <c r="H229" s="191"/>
      <c r="I229" s="191"/>
      <c r="J229" s="191"/>
      <c r="K229" s="191"/>
      <c r="L229" s="191"/>
      <c r="M229" s="191"/>
      <c r="N229" s="191"/>
      <c r="O229" s="191"/>
      <c r="Q229" s="183"/>
    </row>
    <row r="230">
      <c r="B230" s="190" t="str">
        <f>IFERROR(__xludf.DUMMYFUNCTION("""COMPUTED_VALUE"""),"#VALUE!")</f>
        <v>#VALUE!</v>
      </c>
      <c r="C230" s="190"/>
      <c r="D230" s="190" t="e">
        <v>#DIV/0!</v>
      </c>
      <c r="E230" s="190" t="e">
        <v>#DIV/0!</v>
      </c>
      <c r="F230" s="183"/>
      <c r="G230" s="191"/>
      <c r="H230" s="191"/>
      <c r="I230" s="191"/>
      <c r="J230" s="191"/>
      <c r="K230" s="191"/>
      <c r="L230" s="191"/>
      <c r="M230" s="191"/>
      <c r="N230" s="191"/>
      <c r="O230" s="191"/>
      <c r="Q230" s="183"/>
    </row>
    <row r="231">
      <c r="B231" s="190" t="str">
        <f>IFERROR(__xludf.DUMMYFUNCTION("""COMPUTED_VALUE"""),"#VALUE!")</f>
        <v>#VALUE!</v>
      </c>
      <c r="C231" s="190"/>
      <c r="D231" s="190" t="e">
        <v>#DIV/0!</v>
      </c>
      <c r="E231" s="190" t="e">
        <v>#DIV/0!</v>
      </c>
      <c r="F231" s="183"/>
      <c r="G231" s="191"/>
      <c r="H231" s="191"/>
      <c r="I231" s="191"/>
      <c r="J231" s="191"/>
      <c r="K231" s="191"/>
      <c r="L231" s="191"/>
      <c r="M231" s="191"/>
      <c r="N231" s="191"/>
      <c r="O231" s="191"/>
      <c r="Q231" s="183"/>
    </row>
    <row r="232">
      <c r="B232" s="190" t="str">
        <f>IFERROR(__xludf.DUMMYFUNCTION("""COMPUTED_VALUE"""),"#VALUE!")</f>
        <v>#VALUE!</v>
      </c>
      <c r="C232" s="190"/>
      <c r="D232" s="190" t="e">
        <v>#DIV/0!</v>
      </c>
      <c r="E232" s="190" t="e">
        <v>#DIV/0!</v>
      </c>
      <c r="F232" s="183"/>
      <c r="G232" s="191"/>
      <c r="H232" s="191"/>
      <c r="I232" s="191"/>
      <c r="J232" s="191"/>
      <c r="K232" s="191"/>
      <c r="L232" s="191"/>
      <c r="M232" s="191"/>
      <c r="N232" s="191"/>
      <c r="O232" s="191"/>
      <c r="Q232" s="183"/>
    </row>
    <row r="233">
      <c r="B233" s="190" t="str">
        <f>IFERROR(__xludf.DUMMYFUNCTION("""COMPUTED_VALUE"""),"#VALUE!")</f>
        <v>#VALUE!</v>
      </c>
      <c r="C233" s="190"/>
      <c r="D233" s="190" t="e">
        <v>#DIV/0!</v>
      </c>
      <c r="E233" s="190" t="e">
        <v>#DIV/0!</v>
      </c>
      <c r="F233" s="183"/>
      <c r="G233" s="191"/>
      <c r="H233" s="191"/>
      <c r="I233" s="191"/>
      <c r="J233" s="191"/>
      <c r="K233" s="191"/>
      <c r="L233" s="191"/>
      <c r="M233" s="191"/>
      <c r="N233" s="191"/>
      <c r="O233" s="191"/>
      <c r="Q233" s="183"/>
    </row>
    <row r="234">
      <c r="B234" s="190" t="str">
        <f>IFERROR(__xludf.DUMMYFUNCTION("""COMPUTED_VALUE"""),"#VALUE!")</f>
        <v>#VALUE!</v>
      </c>
      <c r="C234" s="190"/>
      <c r="D234" s="190" t="e">
        <v>#DIV/0!</v>
      </c>
      <c r="E234" s="190" t="e">
        <v>#DIV/0!</v>
      </c>
      <c r="F234" s="183"/>
      <c r="G234" s="191"/>
      <c r="H234" s="191"/>
      <c r="I234" s="191"/>
      <c r="J234" s="191"/>
      <c r="K234" s="191"/>
      <c r="L234" s="191"/>
      <c r="M234" s="191"/>
      <c r="N234" s="191"/>
      <c r="O234" s="191"/>
      <c r="Q234" s="183"/>
    </row>
    <row r="235">
      <c r="B235" s="190" t="str">
        <f>IFERROR(__xludf.DUMMYFUNCTION("""COMPUTED_VALUE"""),"#VALUE!")</f>
        <v>#VALUE!</v>
      </c>
      <c r="C235" s="190"/>
      <c r="D235" s="190" t="e">
        <v>#DIV/0!</v>
      </c>
      <c r="E235" s="190" t="e">
        <v>#DIV/0!</v>
      </c>
      <c r="F235" s="183"/>
      <c r="G235" s="191"/>
      <c r="H235" s="191"/>
      <c r="I235" s="191"/>
      <c r="J235" s="191"/>
      <c r="K235" s="191"/>
      <c r="L235" s="191"/>
      <c r="M235" s="191"/>
      <c r="N235" s="191"/>
      <c r="O235" s="191"/>
      <c r="Q235" s="183"/>
    </row>
    <row r="236">
      <c r="B236" s="190" t="str">
        <f>IFERROR(__xludf.DUMMYFUNCTION("""COMPUTED_VALUE"""),"#VALUE!")</f>
        <v>#VALUE!</v>
      </c>
      <c r="C236" s="190"/>
      <c r="D236" s="190" t="e">
        <v>#DIV/0!</v>
      </c>
      <c r="E236" s="190" t="e">
        <v>#DIV/0!</v>
      </c>
      <c r="F236" s="183"/>
      <c r="G236" s="191"/>
      <c r="H236" s="191"/>
      <c r="I236" s="191"/>
      <c r="J236" s="191"/>
      <c r="K236" s="191"/>
      <c r="L236" s="191"/>
      <c r="M236" s="191"/>
      <c r="N236" s="191"/>
      <c r="O236" s="191"/>
      <c r="Q236" s="183"/>
    </row>
    <row r="237">
      <c r="B237" s="190" t="str">
        <f>IFERROR(__xludf.DUMMYFUNCTION("""COMPUTED_VALUE"""),"#VALUE!")</f>
        <v>#VALUE!</v>
      </c>
      <c r="C237" s="190"/>
      <c r="D237" s="190" t="e">
        <v>#DIV/0!</v>
      </c>
      <c r="E237" s="190" t="e">
        <v>#DIV/0!</v>
      </c>
      <c r="F237" s="183"/>
      <c r="G237" s="191"/>
      <c r="H237" s="191"/>
      <c r="I237" s="191"/>
      <c r="J237" s="191"/>
      <c r="K237" s="191"/>
      <c r="L237" s="191"/>
      <c r="M237" s="191"/>
      <c r="N237" s="191"/>
      <c r="O237" s="191"/>
      <c r="Q237" s="183"/>
    </row>
    <row r="238">
      <c r="B238" s="190" t="str">
        <f>IFERROR(__xludf.DUMMYFUNCTION("""COMPUTED_VALUE"""),"#VALUE!")</f>
        <v>#VALUE!</v>
      </c>
      <c r="C238" s="190"/>
      <c r="D238" s="190" t="e">
        <v>#DIV/0!</v>
      </c>
      <c r="E238" s="190" t="e">
        <v>#DIV/0!</v>
      </c>
      <c r="F238" s="183"/>
      <c r="G238" s="191"/>
      <c r="H238" s="191"/>
      <c r="I238" s="191"/>
      <c r="J238" s="191"/>
      <c r="K238" s="191"/>
      <c r="L238" s="191"/>
      <c r="M238" s="191"/>
      <c r="N238" s="191"/>
      <c r="O238" s="191"/>
      <c r="Q238" s="183"/>
    </row>
    <row r="239">
      <c r="B239" s="190" t="str">
        <f>IFERROR(__xludf.DUMMYFUNCTION("""COMPUTED_VALUE"""),"#VALUE!")</f>
        <v>#VALUE!</v>
      </c>
      <c r="C239" s="190"/>
      <c r="D239" s="190" t="e">
        <v>#DIV/0!</v>
      </c>
      <c r="E239" s="190" t="e">
        <v>#DIV/0!</v>
      </c>
      <c r="F239" s="183"/>
      <c r="G239" s="191"/>
      <c r="H239" s="191"/>
      <c r="I239" s="191"/>
      <c r="J239" s="191"/>
      <c r="K239" s="191"/>
      <c r="L239" s="191"/>
      <c r="M239" s="191"/>
      <c r="N239" s="191"/>
      <c r="O239" s="191"/>
      <c r="Q239" s="183"/>
    </row>
    <row r="240">
      <c r="B240" s="190" t="str">
        <f>IFERROR(__xludf.DUMMYFUNCTION("""COMPUTED_VALUE"""),"#VALUE!")</f>
        <v>#VALUE!</v>
      </c>
      <c r="C240" s="190"/>
      <c r="D240" s="190" t="e">
        <v>#DIV/0!</v>
      </c>
      <c r="E240" s="190" t="e">
        <v>#DIV/0!</v>
      </c>
      <c r="F240" s="183"/>
      <c r="G240" s="191"/>
      <c r="H240" s="191"/>
      <c r="I240" s="191"/>
      <c r="J240" s="191"/>
      <c r="K240" s="191"/>
      <c r="L240" s="191"/>
      <c r="M240" s="191"/>
      <c r="N240" s="191"/>
      <c r="O240" s="191"/>
      <c r="Q240" s="183"/>
    </row>
    <row r="241">
      <c r="B241" s="190" t="str">
        <f>IFERROR(__xludf.DUMMYFUNCTION("""COMPUTED_VALUE"""),"#VALUE!")</f>
        <v>#VALUE!</v>
      </c>
      <c r="C241" s="190"/>
      <c r="D241" s="190" t="e">
        <v>#DIV/0!</v>
      </c>
      <c r="E241" s="190" t="e">
        <v>#DIV/0!</v>
      </c>
      <c r="F241" s="183"/>
      <c r="G241" s="191"/>
      <c r="H241" s="191"/>
      <c r="I241" s="191"/>
      <c r="J241" s="191"/>
      <c r="K241" s="191"/>
      <c r="L241" s="191"/>
      <c r="M241" s="191"/>
      <c r="N241" s="191"/>
      <c r="O241" s="191"/>
      <c r="Q241" s="183"/>
    </row>
    <row r="242">
      <c r="B242" s="190" t="str">
        <f>IFERROR(__xludf.DUMMYFUNCTION("""COMPUTED_VALUE"""),"#VALUE!")</f>
        <v>#VALUE!</v>
      </c>
      <c r="C242" s="190"/>
      <c r="D242" s="190" t="e">
        <v>#DIV/0!</v>
      </c>
      <c r="E242" s="190" t="e">
        <v>#DIV/0!</v>
      </c>
      <c r="F242" s="183"/>
      <c r="G242" s="191"/>
      <c r="H242" s="191"/>
      <c r="I242" s="191"/>
      <c r="J242" s="191"/>
      <c r="K242" s="191"/>
      <c r="L242" s="191"/>
      <c r="M242" s="191"/>
      <c r="N242" s="191"/>
      <c r="O242" s="191"/>
      <c r="Q242" s="183"/>
    </row>
    <row r="243">
      <c r="B243" s="190" t="str">
        <f>IFERROR(__xludf.DUMMYFUNCTION("""COMPUTED_VALUE"""),"#VALUE!")</f>
        <v>#VALUE!</v>
      </c>
      <c r="C243" s="190"/>
      <c r="D243" s="190" t="e">
        <v>#DIV/0!</v>
      </c>
      <c r="E243" s="190" t="e">
        <v>#DIV/0!</v>
      </c>
      <c r="F243" s="183"/>
      <c r="G243" s="191"/>
      <c r="H243" s="191"/>
      <c r="I243" s="191"/>
      <c r="J243" s="191"/>
      <c r="K243" s="191"/>
      <c r="L243" s="191"/>
      <c r="M243" s="191"/>
      <c r="N243" s="191"/>
      <c r="O243" s="191"/>
      <c r="Q243" s="183"/>
    </row>
    <row r="244">
      <c r="B244" s="190" t="str">
        <f>IFERROR(__xludf.DUMMYFUNCTION("""COMPUTED_VALUE"""),"#VALUE!")</f>
        <v>#VALUE!</v>
      </c>
      <c r="C244" s="190"/>
      <c r="D244" s="190" t="e">
        <v>#DIV/0!</v>
      </c>
      <c r="E244" s="190" t="e">
        <v>#DIV/0!</v>
      </c>
      <c r="F244" s="183"/>
      <c r="G244" s="191"/>
      <c r="H244" s="191"/>
      <c r="I244" s="191"/>
      <c r="J244" s="191"/>
      <c r="K244" s="191"/>
      <c r="L244" s="191"/>
      <c r="M244" s="191"/>
      <c r="N244" s="191"/>
      <c r="O244" s="191"/>
      <c r="Q244" s="183"/>
    </row>
    <row r="245">
      <c r="B245" s="190" t="str">
        <f>IFERROR(__xludf.DUMMYFUNCTION("""COMPUTED_VALUE"""),"#VALUE!")</f>
        <v>#VALUE!</v>
      </c>
      <c r="C245" s="190"/>
      <c r="D245" s="190" t="e">
        <v>#DIV/0!</v>
      </c>
      <c r="E245" s="190" t="e">
        <v>#DIV/0!</v>
      </c>
      <c r="F245" s="183"/>
      <c r="G245" s="191"/>
      <c r="H245" s="191"/>
      <c r="I245" s="191"/>
      <c r="J245" s="191"/>
      <c r="K245" s="191"/>
      <c r="L245" s="191"/>
      <c r="M245" s="191"/>
      <c r="N245" s="191"/>
      <c r="O245" s="191"/>
      <c r="Q245" s="183"/>
    </row>
    <row r="246">
      <c r="B246" s="190" t="str">
        <f>IFERROR(__xludf.DUMMYFUNCTION("""COMPUTED_VALUE"""),"#VALUE!")</f>
        <v>#VALUE!</v>
      </c>
      <c r="C246" s="190"/>
      <c r="D246" s="190" t="e">
        <v>#DIV/0!</v>
      </c>
      <c r="E246" s="190" t="e">
        <v>#DIV/0!</v>
      </c>
      <c r="F246" s="183"/>
      <c r="G246" s="191"/>
      <c r="H246" s="191"/>
      <c r="I246" s="191"/>
      <c r="J246" s="191"/>
      <c r="K246" s="191"/>
      <c r="L246" s="191"/>
      <c r="M246" s="191"/>
      <c r="N246" s="191"/>
      <c r="O246" s="191"/>
      <c r="Q246" s="183"/>
    </row>
    <row r="247">
      <c r="B247" s="190" t="str">
        <f>IFERROR(__xludf.DUMMYFUNCTION("""COMPUTED_VALUE"""),"#VALUE!")</f>
        <v>#VALUE!</v>
      </c>
      <c r="C247" s="190"/>
      <c r="D247" s="190" t="e">
        <v>#DIV/0!</v>
      </c>
      <c r="E247" s="190" t="e">
        <v>#DIV/0!</v>
      </c>
      <c r="F247" s="183"/>
      <c r="G247" s="191"/>
      <c r="H247" s="191"/>
      <c r="I247" s="191"/>
      <c r="J247" s="191"/>
      <c r="K247" s="191"/>
      <c r="L247" s="191"/>
      <c r="M247" s="191"/>
      <c r="N247" s="191"/>
      <c r="O247" s="191"/>
      <c r="Q247" s="183"/>
    </row>
    <row r="248">
      <c r="B248" s="190" t="str">
        <f>IFERROR(__xludf.DUMMYFUNCTION("""COMPUTED_VALUE"""),"#VALUE!")</f>
        <v>#VALUE!</v>
      </c>
      <c r="C248" s="190"/>
      <c r="D248" s="190" t="e">
        <v>#DIV/0!</v>
      </c>
      <c r="E248" s="190" t="e">
        <v>#DIV/0!</v>
      </c>
      <c r="F248" s="183"/>
      <c r="G248" s="191"/>
      <c r="H248" s="191"/>
      <c r="I248" s="191"/>
      <c r="J248" s="191"/>
      <c r="K248" s="191"/>
      <c r="L248" s="191"/>
      <c r="M248" s="191"/>
      <c r="N248" s="191"/>
      <c r="O248" s="191"/>
      <c r="Q248" s="183"/>
    </row>
    <row r="249">
      <c r="B249" s="190" t="str">
        <f>IFERROR(__xludf.DUMMYFUNCTION("""COMPUTED_VALUE"""),"#VALUE!")</f>
        <v>#VALUE!</v>
      </c>
      <c r="C249" s="190"/>
      <c r="D249" s="190" t="e">
        <v>#DIV/0!</v>
      </c>
      <c r="E249" s="190" t="e">
        <v>#DIV/0!</v>
      </c>
      <c r="F249" s="183"/>
      <c r="G249" s="191"/>
      <c r="H249" s="191"/>
      <c r="I249" s="191"/>
      <c r="J249" s="191"/>
      <c r="K249" s="191"/>
      <c r="L249" s="191"/>
      <c r="M249" s="191"/>
      <c r="N249" s="191"/>
      <c r="O249" s="191"/>
      <c r="Q249" s="183"/>
    </row>
    <row r="250">
      <c r="B250" s="190" t="str">
        <f>IFERROR(__xludf.DUMMYFUNCTION("""COMPUTED_VALUE"""),"#VALUE!")</f>
        <v>#VALUE!</v>
      </c>
      <c r="C250" s="190"/>
      <c r="D250" s="190" t="e">
        <v>#DIV/0!</v>
      </c>
      <c r="E250" s="190" t="e">
        <v>#DIV/0!</v>
      </c>
      <c r="F250" s="183"/>
      <c r="G250" s="191"/>
      <c r="H250" s="191"/>
      <c r="I250" s="191"/>
      <c r="J250" s="191"/>
      <c r="K250" s="191"/>
      <c r="L250" s="191"/>
      <c r="M250" s="191"/>
      <c r="N250" s="191"/>
      <c r="O250" s="191"/>
      <c r="Q250" s="183"/>
    </row>
    <row r="251">
      <c r="B251" s="190" t="str">
        <f>IFERROR(__xludf.DUMMYFUNCTION("""COMPUTED_VALUE"""),"#VALUE!")</f>
        <v>#VALUE!</v>
      </c>
      <c r="C251" s="190"/>
      <c r="D251" s="190" t="e">
        <v>#DIV/0!</v>
      </c>
      <c r="E251" s="190" t="e">
        <v>#DIV/0!</v>
      </c>
      <c r="F251" s="183"/>
      <c r="G251" s="191"/>
      <c r="H251" s="191"/>
      <c r="I251" s="191"/>
      <c r="J251" s="191"/>
      <c r="K251" s="191"/>
      <c r="L251" s="191"/>
      <c r="M251" s="191"/>
      <c r="N251" s="191"/>
      <c r="O251" s="191"/>
      <c r="Q251" s="183"/>
    </row>
    <row r="252">
      <c r="B252" s="190" t="str">
        <f>IFERROR(__xludf.DUMMYFUNCTION("""COMPUTED_VALUE"""),"#VALUE!")</f>
        <v>#VALUE!</v>
      </c>
      <c r="C252" s="190"/>
      <c r="D252" s="190" t="e">
        <v>#DIV/0!</v>
      </c>
      <c r="E252" s="190" t="e">
        <v>#DIV/0!</v>
      </c>
      <c r="F252" s="183"/>
      <c r="G252" s="191"/>
      <c r="H252" s="191"/>
      <c r="I252" s="191"/>
      <c r="J252" s="191"/>
      <c r="K252" s="191"/>
      <c r="L252" s="191"/>
      <c r="M252" s="191"/>
      <c r="N252" s="191"/>
      <c r="O252" s="191"/>
      <c r="Q252" s="183"/>
    </row>
    <row r="253">
      <c r="B253" s="190" t="str">
        <f>IFERROR(__xludf.DUMMYFUNCTION("""COMPUTED_VALUE"""),"#VALUE!")</f>
        <v>#VALUE!</v>
      </c>
      <c r="C253" s="190"/>
      <c r="D253" s="190" t="e">
        <v>#DIV/0!</v>
      </c>
      <c r="E253" s="190" t="e">
        <v>#DIV/0!</v>
      </c>
      <c r="F253" s="183"/>
      <c r="G253" s="191"/>
      <c r="H253" s="191"/>
      <c r="I253" s="191"/>
      <c r="J253" s="191"/>
      <c r="K253" s="191"/>
      <c r="L253" s="191"/>
      <c r="M253" s="191"/>
      <c r="N253" s="191"/>
      <c r="O253" s="191"/>
      <c r="Q253" s="183"/>
    </row>
    <row r="254">
      <c r="B254" s="190" t="str">
        <f>IFERROR(__xludf.DUMMYFUNCTION("""COMPUTED_VALUE"""),"#VALUE!")</f>
        <v>#VALUE!</v>
      </c>
      <c r="C254" s="190"/>
      <c r="D254" s="190" t="e">
        <v>#DIV/0!</v>
      </c>
      <c r="E254" s="190" t="e">
        <v>#DIV/0!</v>
      </c>
      <c r="F254" s="183"/>
      <c r="G254" s="191"/>
      <c r="H254" s="191"/>
      <c r="I254" s="191"/>
      <c r="J254" s="191"/>
      <c r="K254" s="191"/>
      <c r="L254" s="191"/>
      <c r="M254" s="191"/>
      <c r="N254" s="191"/>
      <c r="O254" s="191"/>
      <c r="Q254" s="183"/>
    </row>
    <row r="255">
      <c r="B255" s="190" t="str">
        <f>IFERROR(__xludf.DUMMYFUNCTION("""COMPUTED_VALUE"""),"#VALUE!")</f>
        <v>#VALUE!</v>
      </c>
      <c r="C255" s="190"/>
      <c r="D255" s="190" t="e">
        <v>#DIV/0!</v>
      </c>
      <c r="E255" s="190" t="e">
        <v>#DIV/0!</v>
      </c>
      <c r="F255" s="183"/>
      <c r="G255" s="191"/>
      <c r="H255" s="191"/>
      <c r="I255" s="191"/>
      <c r="J255" s="191"/>
      <c r="K255" s="191"/>
      <c r="L255" s="191"/>
      <c r="M255" s="191"/>
      <c r="N255" s="191"/>
      <c r="O255" s="191"/>
      <c r="Q255" s="183"/>
    </row>
    <row r="256">
      <c r="B256" s="190" t="str">
        <f>IFERROR(__xludf.DUMMYFUNCTION("""COMPUTED_VALUE"""),"#VALUE!")</f>
        <v>#VALUE!</v>
      </c>
      <c r="C256" s="190"/>
      <c r="D256" s="190" t="e">
        <v>#DIV/0!</v>
      </c>
      <c r="E256" s="190" t="e">
        <v>#DIV/0!</v>
      </c>
      <c r="F256" s="183"/>
      <c r="G256" s="191"/>
      <c r="H256" s="191"/>
      <c r="I256" s="191"/>
      <c r="J256" s="191"/>
      <c r="K256" s="191"/>
      <c r="L256" s="191"/>
      <c r="M256" s="191"/>
      <c r="N256" s="191"/>
      <c r="O256" s="191"/>
      <c r="Q256" s="183"/>
    </row>
    <row r="257">
      <c r="B257" s="190" t="str">
        <f>IFERROR(__xludf.DUMMYFUNCTION("""COMPUTED_VALUE"""),"#VALUE!")</f>
        <v>#VALUE!</v>
      </c>
      <c r="C257" s="190"/>
      <c r="D257" s="190" t="e">
        <v>#DIV/0!</v>
      </c>
      <c r="E257" s="190" t="e">
        <v>#DIV/0!</v>
      </c>
      <c r="F257" s="183"/>
      <c r="G257" s="191"/>
      <c r="H257" s="191"/>
      <c r="I257" s="191"/>
      <c r="J257" s="191"/>
      <c r="K257" s="191"/>
      <c r="L257" s="191"/>
      <c r="M257" s="191"/>
      <c r="N257" s="191"/>
      <c r="O257" s="191"/>
      <c r="Q257" s="183"/>
    </row>
    <row r="258">
      <c r="B258" s="190" t="str">
        <f>IFERROR(__xludf.DUMMYFUNCTION("""COMPUTED_VALUE"""),"#VALUE!")</f>
        <v>#VALUE!</v>
      </c>
      <c r="C258" s="190"/>
      <c r="D258" s="190" t="e">
        <v>#DIV/0!</v>
      </c>
      <c r="E258" s="190" t="e">
        <v>#DIV/0!</v>
      </c>
      <c r="F258" s="183"/>
      <c r="G258" s="191"/>
      <c r="H258" s="191"/>
      <c r="I258" s="191"/>
      <c r="J258" s="191"/>
      <c r="K258" s="191"/>
      <c r="L258" s="191"/>
      <c r="M258" s="191"/>
      <c r="N258" s="191"/>
      <c r="O258" s="191"/>
      <c r="Q258" s="183"/>
    </row>
    <row r="259">
      <c r="B259" s="190" t="str">
        <f>IFERROR(__xludf.DUMMYFUNCTION("""COMPUTED_VALUE"""),"#VALUE!")</f>
        <v>#VALUE!</v>
      </c>
      <c r="C259" s="190"/>
      <c r="D259" s="190" t="e">
        <v>#DIV/0!</v>
      </c>
      <c r="E259" s="190" t="e">
        <v>#DIV/0!</v>
      </c>
      <c r="F259" s="183"/>
      <c r="G259" s="191"/>
      <c r="H259" s="191"/>
      <c r="I259" s="191"/>
      <c r="J259" s="191"/>
      <c r="K259" s="191"/>
      <c r="L259" s="191"/>
      <c r="M259" s="191"/>
      <c r="N259" s="191"/>
      <c r="O259" s="191"/>
      <c r="Q259" s="183"/>
    </row>
    <row r="260">
      <c r="B260" s="190" t="str">
        <f>IFERROR(__xludf.DUMMYFUNCTION("""COMPUTED_VALUE"""),"#VALUE!")</f>
        <v>#VALUE!</v>
      </c>
      <c r="C260" s="190"/>
      <c r="D260" s="190" t="e">
        <v>#DIV/0!</v>
      </c>
      <c r="E260" s="190" t="e">
        <v>#DIV/0!</v>
      </c>
      <c r="F260" s="183"/>
      <c r="G260" s="191"/>
      <c r="H260" s="191"/>
      <c r="I260" s="191"/>
      <c r="J260" s="191"/>
      <c r="K260" s="191"/>
      <c r="L260" s="191"/>
      <c r="M260" s="191"/>
      <c r="N260" s="191"/>
      <c r="O260" s="191"/>
      <c r="Q260" s="183"/>
    </row>
    <row r="261">
      <c r="B261" s="190" t="str">
        <f>IFERROR(__xludf.DUMMYFUNCTION("""COMPUTED_VALUE"""),"#VALUE!")</f>
        <v>#VALUE!</v>
      </c>
      <c r="C261" s="190"/>
      <c r="D261" s="190" t="e">
        <v>#DIV/0!</v>
      </c>
      <c r="E261" s="190" t="e">
        <v>#DIV/0!</v>
      </c>
      <c r="F261" s="183"/>
      <c r="G261" s="191"/>
      <c r="H261" s="191"/>
      <c r="I261" s="191"/>
      <c r="J261" s="191"/>
      <c r="K261" s="191"/>
      <c r="L261" s="191"/>
      <c r="M261" s="191"/>
      <c r="N261" s="191"/>
      <c r="O261" s="191"/>
      <c r="Q261" s="183"/>
    </row>
    <row r="262">
      <c r="B262" s="190" t="str">
        <f>IFERROR(__xludf.DUMMYFUNCTION("""COMPUTED_VALUE"""),"#VALUE!")</f>
        <v>#VALUE!</v>
      </c>
      <c r="C262" s="190"/>
      <c r="D262" s="190" t="e">
        <v>#DIV/0!</v>
      </c>
      <c r="E262" s="190" t="e">
        <v>#DIV/0!</v>
      </c>
      <c r="F262" s="183"/>
      <c r="G262" s="191"/>
      <c r="H262" s="191"/>
      <c r="I262" s="191"/>
      <c r="J262" s="191"/>
      <c r="K262" s="191"/>
      <c r="L262" s="191"/>
      <c r="M262" s="191"/>
      <c r="N262" s="191"/>
      <c r="O262" s="191"/>
      <c r="Q262" s="183"/>
    </row>
    <row r="263">
      <c r="B263" s="190" t="str">
        <f>IFERROR(__xludf.DUMMYFUNCTION("""COMPUTED_VALUE"""),"#VALUE!")</f>
        <v>#VALUE!</v>
      </c>
      <c r="C263" s="190"/>
      <c r="D263" s="190" t="e">
        <v>#DIV/0!</v>
      </c>
      <c r="E263" s="190" t="e">
        <v>#DIV/0!</v>
      </c>
      <c r="F263" s="183"/>
      <c r="G263" s="191"/>
      <c r="H263" s="191"/>
      <c r="I263" s="191"/>
      <c r="J263" s="191"/>
      <c r="K263" s="191"/>
      <c r="L263" s="191"/>
      <c r="M263" s="191"/>
      <c r="N263" s="191"/>
      <c r="O263" s="191"/>
      <c r="Q263" s="183"/>
    </row>
    <row r="264">
      <c r="B264" s="190" t="str">
        <f>IFERROR(__xludf.DUMMYFUNCTION("""COMPUTED_VALUE"""),"#VALUE!")</f>
        <v>#VALUE!</v>
      </c>
      <c r="C264" s="190"/>
      <c r="D264" s="190" t="e">
        <v>#DIV/0!</v>
      </c>
      <c r="E264" s="190" t="e">
        <v>#DIV/0!</v>
      </c>
      <c r="F264" s="183"/>
      <c r="G264" s="191"/>
      <c r="H264" s="191"/>
      <c r="I264" s="191"/>
      <c r="J264" s="191"/>
      <c r="K264" s="191"/>
      <c r="L264" s="191"/>
      <c r="M264" s="191"/>
      <c r="N264" s="191"/>
      <c r="O264" s="191"/>
      <c r="Q264" s="183"/>
    </row>
    <row r="265">
      <c r="B265" s="190" t="str">
        <f>IFERROR(__xludf.DUMMYFUNCTION("""COMPUTED_VALUE"""),"#VALUE!")</f>
        <v>#VALUE!</v>
      </c>
      <c r="C265" s="190"/>
      <c r="D265" s="190" t="e">
        <v>#DIV/0!</v>
      </c>
      <c r="E265" s="190" t="e">
        <v>#DIV/0!</v>
      </c>
      <c r="F265" s="183"/>
      <c r="G265" s="191"/>
      <c r="H265" s="191"/>
      <c r="I265" s="191"/>
      <c r="J265" s="191"/>
      <c r="K265" s="191"/>
      <c r="L265" s="191"/>
      <c r="M265" s="191"/>
      <c r="N265" s="191"/>
      <c r="O265" s="191"/>
      <c r="Q265" s="183"/>
    </row>
    <row r="266">
      <c r="B266" s="190" t="str">
        <f>IFERROR(__xludf.DUMMYFUNCTION("""COMPUTED_VALUE"""),"#VALUE!")</f>
        <v>#VALUE!</v>
      </c>
      <c r="C266" s="190"/>
      <c r="D266" s="190" t="e">
        <v>#DIV/0!</v>
      </c>
      <c r="E266" s="190" t="e">
        <v>#DIV/0!</v>
      </c>
      <c r="F266" s="183"/>
      <c r="G266" s="191"/>
      <c r="H266" s="191"/>
      <c r="I266" s="191"/>
      <c r="J266" s="191"/>
      <c r="K266" s="191"/>
      <c r="L266" s="191"/>
      <c r="M266" s="191"/>
      <c r="N266" s="191"/>
      <c r="O266" s="191"/>
      <c r="Q266" s="183"/>
    </row>
    <row r="267">
      <c r="B267" s="190" t="str">
        <f>IFERROR(__xludf.DUMMYFUNCTION("""COMPUTED_VALUE"""),"#VALUE!")</f>
        <v>#VALUE!</v>
      </c>
      <c r="C267" s="190"/>
      <c r="D267" s="190" t="e">
        <v>#DIV/0!</v>
      </c>
      <c r="E267" s="190" t="e">
        <v>#DIV/0!</v>
      </c>
      <c r="F267" s="183"/>
      <c r="G267" s="191"/>
      <c r="H267" s="191"/>
      <c r="I267" s="191"/>
      <c r="J267" s="191"/>
      <c r="K267" s="191"/>
      <c r="L267" s="191"/>
      <c r="M267" s="191"/>
      <c r="N267" s="191"/>
      <c r="O267" s="191"/>
      <c r="Q267" s="183"/>
    </row>
    <row r="268">
      <c r="B268" s="190" t="str">
        <f>IFERROR(__xludf.DUMMYFUNCTION("""COMPUTED_VALUE"""),"#VALUE!")</f>
        <v>#VALUE!</v>
      </c>
      <c r="C268" s="190"/>
      <c r="D268" s="190" t="e">
        <v>#DIV/0!</v>
      </c>
      <c r="E268" s="190" t="e">
        <v>#DIV/0!</v>
      </c>
      <c r="F268" s="183"/>
      <c r="G268" s="191"/>
      <c r="H268" s="191"/>
      <c r="I268" s="191"/>
      <c r="J268" s="191"/>
      <c r="K268" s="191"/>
      <c r="L268" s="191"/>
      <c r="M268" s="191"/>
      <c r="N268" s="191"/>
      <c r="O268" s="191"/>
      <c r="Q268" s="183"/>
    </row>
    <row r="269">
      <c r="B269" s="190" t="str">
        <f>IFERROR(__xludf.DUMMYFUNCTION("""COMPUTED_VALUE"""),"#VALUE!")</f>
        <v>#VALUE!</v>
      </c>
      <c r="C269" s="190"/>
      <c r="D269" s="190" t="e">
        <v>#DIV/0!</v>
      </c>
      <c r="E269" s="190" t="e">
        <v>#DIV/0!</v>
      </c>
      <c r="F269" s="183"/>
      <c r="G269" s="191"/>
      <c r="H269" s="191"/>
      <c r="I269" s="191"/>
      <c r="J269" s="191"/>
      <c r="K269" s="191"/>
      <c r="L269" s="191"/>
      <c r="M269" s="191"/>
      <c r="N269" s="191"/>
      <c r="O269" s="191"/>
      <c r="Q269" s="183"/>
    </row>
    <row r="270">
      <c r="B270" s="190" t="str">
        <f>IFERROR(__xludf.DUMMYFUNCTION("""COMPUTED_VALUE"""),"#VALUE!")</f>
        <v>#VALUE!</v>
      </c>
      <c r="C270" s="190"/>
      <c r="D270" s="190" t="e">
        <v>#DIV/0!</v>
      </c>
      <c r="E270" s="190" t="e">
        <v>#DIV/0!</v>
      </c>
      <c r="F270" s="183"/>
      <c r="G270" s="191"/>
      <c r="H270" s="191"/>
      <c r="I270" s="191"/>
      <c r="J270" s="191"/>
      <c r="K270" s="191"/>
      <c r="L270" s="191"/>
      <c r="M270" s="191"/>
      <c r="N270" s="191"/>
      <c r="O270" s="191"/>
      <c r="Q270" s="183"/>
    </row>
    <row r="271">
      <c r="B271" s="190" t="str">
        <f>IFERROR(__xludf.DUMMYFUNCTION("""COMPUTED_VALUE"""),"#VALUE!")</f>
        <v>#VALUE!</v>
      </c>
      <c r="C271" s="190"/>
      <c r="D271" s="190" t="e">
        <v>#DIV/0!</v>
      </c>
      <c r="E271" s="190" t="e">
        <v>#DIV/0!</v>
      </c>
      <c r="F271" s="183"/>
      <c r="G271" s="191"/>
      <c r="H271" s="191"/>
      <c r="I271" s="191"/>
      <c r="J271" s="191"/>
      <c r="K271" s="191"/>
      <c r="L271" s="191"/>
      <c r="M271" s="191"/>
      <c r="N271" s="191"/>
      <c r="O271" s="191"/>
      <c r="Q271" s="183"/>
    </row>
    <row r="272">
      <c r="B272" s="190" t="str">
        <f>IFERROR(__xludf.DUMMYFUNCTION("""COMPUTED_VALUE"""),"#VALUE!")</f>
        <v>#VALUE!</v>
      </c>
      <c r="C272" s="190"/>
      <c r="D272" s="190" t="e">
        <v>#DIV/0!</v>
      </c>
      <c r="E272" s="190" t="e">
        <v>#DIV/0!</v>
      </c>
      <c r="F272" s="183"/>
      <c r="G272" s="191"/>
      <c r="H272" s="191"/>
      <c r="I272" s="191"/>
      <c r="J272" s="191"/>
      <c r="K272" s="191"/>
      <c r="L272" s="191"/>
      <c r="M272" s="191"/>
      <c r="N272" s="191"/>
      <c r="O272" s="191"/>
      <c r="Q272" s="183"/>
    </row>
    <row r="273">
      <c r="B273" s="190" t="str">
        <f>IFERROR(__xludf.DUMMYFUNCTION("""COMPUTED_VALUE"""),"#VALUE!")</f>
        <v>#VALUE!</v>
      </c>
      <c r="C273" s="190"/>
      <c r="D273" s="190" t="e">
        <v>#DIV/0!</v>
      </c>
      <c r="E273" s="190" t="e">
        <v>#DIV/0!</v>
      </c>
      <c r="F273" s="183"/>
      <c r="G273" s="191"/>
      <c r="H273" s="191"/>
      <c r="I273" s="191"/>
      <c r="J273" s="191"/>
      <c r="K273" s="191"/>
      <c r="L273" s="191"/>
      <c r="M273" s="191"/>
      <c r="N273" s="191"/>
      <c r="O273" s="191"/>
      <c r="Q273" s="183"/>
    </row>
    <row r="274">
      <c r="B274" s="190" t="str">
        <f>IFERROR(__xludf.DUMMYFUNCTION("""COMPUTED_VALUE"""),"#VALUE!")</f>
        <v>#VALUE!</v>
      </c>
      <c r="C274" s="190"/>
      <c r="D274" s="190" t="e">
        <v>#DIV/0!</v>
      </c>
      <c r="E274" s="190" t="e">
        <v>#DIV/0!</v>
      </c>
      <c r="F274" s="183"/>
      <c r="G274" s="191"/>
      <c r="H274" s="191"/>
      <c r="I274" s="191"/>
      <c r="J274" s="191"/>
      <c r="K274" s="191"/>
      <c r="L274" s="191"/>
      <c r="M274" s="191"/>
      <c r="N274" s="191"/>
      <c r="O274" s="191"/>
      <c r="Q274" s="183"/>
    </row>
    <row r="275">
      <c r="B275" s="190" t="str">
        <f>IFERROR(__xludf.DUMMYFUNCTION("""COMPUTED_VALUE"""),"#VALUE!")</f>
        <v>#VALUE!</v>
      </c>
      <c r="C275" s="190"/>
      <c r="D275" s="190" t="e">
        <v>#DIV/0!</v>
      </c>
      <c r="E275" s="190" t="e">
        <v>#DIV/0!</v>
      </c>
      <c r="F275" s="183"/>
      <c r="G275" s="191"/>
      <c r="H275" s="191"/>
      <c r="I275" s="191"/>
      <c r="J275" s="191"/>
      <c r="K275" s="191"/>
      <c r="L275" s="191"/>
      <c r="M275" s="191"/>
      <c r="N275" s="191"/>
      <c r="O275" s="191"/>
      <c r="Q275" s="183"/>
    </row>
    <row r="276">
      <c r="B276" s="190" t="str">
        <f>IFERROR(__xludf.DUMMYFUNCTION("""COMPUTED_VALUE"""),"#VALUE!")</f>
        <v>#VALUE!</v>
      </c>
      <c r="C276" s="190"/>
      <c r="D276" s="190" t="e">
        <v>#DIV/0!</v>
      </c>
      <c r="E276" s="190" t="e">
        <v>#DIV/0!</v>
      </c>
      <c r="F276" s="183"/>
      <c r="G276" s="191"/>
      <c r="H276" s="191"/>
      <c r="I276" s="191"/>
      <c r="J276" s="191"/>
      <c r="K276" s="191"/>
      <c r="L276" s="191"/>
      <c r="M276" s="191"/>
      <c r="N276" s="191"/>
      <c r="O276" s="191"/>
      <c r="Q276" s="183"/>
    </row>
    <row r="277">
      <c r="B277" s="190" t="str">
        <f>IFERROR(__xludf.DUMMYFUNCTION("""COMPUTED_VALUE"""),"#VALUE!")</f>
        <v>#VALUE!</v>
      </c>
      <c r="C277" s="190"/>
      <c r="D277" s="190" t="e">
        <v>#DIV/0!</v>
      </c>
      <c r="E277" s="190" t="e">
        <v>#DIV/0!</v>
      </c>
      <c r="F277" s="183"/>
      <c r="G277" s="191"/>
      <c r="H277" s="191"/>
      <c r="I277" s="191"/>
      <c r="J277" s="191"/>
      <c r="K277" s="191"/>
      <c r="L277" s="191"/>
      <c r="M277" s="191"/>
      <c r="N277" s="191"/>
      <c r="O277" s="191"/>
      <c r="Q277" s="183"/>
    </row>
    <row r="278">
      <c r="B278" s="190" t="str">
        <f>IFERROR(__xludf.DUMMYFUNCTION("""COMPUTED_VALUE"""),"#VALUE!")</f>
        <v>#VALUE!</v>
      </c>
      <c r="C278" s="190"/>
      <c r="D278" s="190" t="e">
        <v>#DIV/0!</v>
      </c>
      <c r="E278" s="190" t="e">
        <v>#DIV/0!</v>
      </c>
      <c r="F278" s="183"/>
      <c r="G278" s="191"/>
      <c r="H278" s="191"/>
      <c r="I278" s="191"/>
      <c r="J278" s="191"/>
      <c r="K278" s="191"/>
      <c r="L278" s="191"/>
      <c r="M278" s="191"/>
      <c r="N278" s="191"/>
      <c r="O278" s="191"/>
      <c r="Q278" s="183"/>
    </row>
    <row r="279">
      <c r="B279" s="190" t="str">
        <f>IFERROR(__xludf.DUMMYFUNCTION("""COMPUTED_VALUE"""),"#VALUE!")</f>
        <v>#VALUE!</v>
      </c>
      <c r="C279" s="190"/>
      <c r="D279" s="190" t="e">
        <v>#DIV/0!</v>
      </c>
      <c r="E279" s="190" t="e">
        <v>#DIV/0!</v>
      </c>
      <c r="F279" s="183"/>
      <c r="G279" s="191"/>
      <c r="H279" s="191"/>
      <c r="I279" s="191"/>
      <c r="J279" s="191"/>
      <c r="K279" s="191"/>
      <c r="L279" s="191"/>
      <c r="M279" s="191"/>
      <c r="N279" s="191"/>
      <c r="O279" s="191"/>
      <c r="Q279" s="183"/>
    </row>
    <row r="280">
      <c r="B280" s="190" t="str">
        <f>IFERROR(__xludf.DUMMYFUNCTION("""COMPUTED_VALUE"""),"#VALUE!")</f>
        <v>#VALUE!</v>
      </c>
      <c r="C280" s="190"/>
      <c r="D280" s="190" t="e">
        <v>#DIV/0!</v>
      </c>
      <c r="E280" s="190" t="e">
        <v>#DIV/0!</v>
      </c>
      <c r="F280" s="183"/>
      <c r="G280" s="191"/>
      <c r="H280" s="191"/>
      <c r="I280" s="191"/>
      <c r="J280" s="191"/>
      <c r="K280" s="191"/>
      <c r="L280" s="191"/>
      <c r="M280" s="191"/>
      <c r="N280" s="191"/>
      <c r="O280" s="191"/>
      <c r="Q280" s="183"/>
    </row>
    <row r="281">
      <c r="B281" s="190" t="str">
        <f>IFERROR(__xludf.DUMMYFUNCTION("""COMPUTED_VALUE"""),"#VALUE!")</f>
        <v>#VALUE!</v>
      </c>
      <c r="C281" s="190"/>
      <c r="D281" s="190" t="e">
        <v>#DIV/0!</v>
      </c>
      <c r="E281" s="190" t="e">
        <v>#DIV/0!</v>
      </c>
      <c r="F281" s="183"/>
      <c r="G281" s="191"/>
      <c r="H281" s="191"/>
      <c r="I281" s="191"/>
      <c r="J281" s="191"/>
      <c r="K281" s="191"/>
      <c r="L281" s="191"/>
      <c r="M281" s="191"/>
      <c r="N281" s="191"/>
      <c r="O281" s="191"/>
      <c r="Q281" s="183"/>
    </row>
    <row r="282">
      <c r="B282" s="190" t="str">
        <f>IFERROR(__xludf.DUMMYFUNCTION("""COMPUTED_VALUE"""),"#VALUE!")</f>
        <v>#VALUE!</v>
      </c>
      <c r="C282" s="190"/>
      <c r="D282" s="190" t="e">
        <v>#DIV/0!</v>
      </c>
      <c r="E282" s="190" t="e">
        <v>#DIV/0!</v>
      </c>
      <c r="F282" s="183"/>
      <c r="G282" s="191"/>
      <c r="H282" s="191"/>
      <c r="I282" s="191"/>
      <c r="J282" s="191"/>
      <c r="K282" s="191"/>
      <c r="L282" s="191"/>
      <c r="M282" s="191"/>
      <c r="N282" s="191"/>
      <c r="O282" s="191"/>
      <c r="Q282" s="183"/>
    </row>
    <row r="283">
      <c r="B283" s="190" t="str">
        <f>IFERROR(__xludf.DUMMYFUNCTION("""COMPUTED_VALUE"""),"#VALUE!")</f>
        <v>#VALUE!</v>
      </c>
      <c r="C283" s="190"/>
      <c r="D283" s="190" t="e">
        <v>#DIV/0!</v>
      </c>
      <c r="E283" s="190" t="e">
        <v>#DIV/0!</v>
      </c>
      <c r="F283" s="183"/>
      <c r="G283" s="191"/>
      <c r="H283" s="191"/>
      <c r="I283" s="191"/>
      <c r="J283" s="191"/>
      <c r="K283" s="191"/>
      <c r="L283" s="191"/>
      <c r="M283" s="191"/>
      <c r="N283" s="191"/>
      <c r="O283" s="191"/>
      <c r="Q283" s="183"/>
    </row>
    <row r="284">
      <c r="B284" s="190" t="str">
        <f>IFERROR(__xludf.DUMMYFUNCTION("""COMPUTED_VALUE"""),"#VALUE!")</f>
        <v>#VALUE!</v>
      </c>
      <c r="C284" s="190"/>
      <c r="D284" s="190" t="e">
        <v>#DIV/0!</v>
      </c>
      <c r="E284" s="190" t="e">
        <v>#DIV/0!</v>
      </c>
      <c r="F284" s="183"/>
      <c r="G284" s="191"/>
      <c r="H284" s="191"/>
      <c r="I284" s="191"/>
      <c r="J284" s="191"/>
      <c r="K284" s="191"/>
      <c r="L284" s="191"/>
      <c r="M284" s="191"/>
      <c r="N284" s="191"/>
      <c r="O284" s="191"/>
      <c r="Q284" s="183"/>
    </row>
    <row r="285">
      <c r="B285" s="190" t="str">
        <f>IFERROR(__xludf.DUMMYFUNCTION("""COMPUTED_VALUE"""),"#VALUE!")</f>
        <v>#VALUE!</v>
      </c>
      <c r="C285" s="190"/>
      <c r="D285" s="190" t="e">
        <v>#DIV/0!</v>
      </c>
      <c r="E285" s="190" t="e">
        <v>#DIV/0!</v>
      </c>
      <c r="F285" s="183"/>
      <c r="G285" s="191"/>
      <c r="H285" s="191"/>
      <c r="I285" s="191"/>
      <c r="J285" s="191"/>
      <c r="K285" s="191"/>
      <c r="L285" s="191"/>
      <c r="M285" s="191"/>
      <c r="N285" s="191"/>
      <c r="O285" s="191"/>
      <c r="Q285" s="183"/>
    </row>
    <row r="286">
      <c r="B286" s="190" t="str">
        <f>IFERROR(__xludf.DUMMYFUNCTION("""COMPUTED_VALUE"""),"#VALUE!")</f>
        <v>#VALUE!</v>
      </c>
      <c r="C286" s="190"/>
      <c r="D286" s="190" t="e">
        <v>#DIV/0!</v>
      </c>
      <c r="E286" s="190" t="e">
        <v>#DIV/0!</v>
      </c>
      <c r="F286" s="183"/>
      <c r="G286" s="191"/>
      <c r="H286" s="191"/>
      <c r="I286" s="191"/>
      <c r="J286" s="191"/>
      <c r="K286" s="191"/>
      <c r="L286" s="191"/>
      <c r="M286" s="191"/>
      <c r="N286" s="191"/>
      <c r="O286" s="191"/>
      <c r="Q286" s="183"/>
    </row>
    <row r="287">
      <c r="B287" s="190" t="str">
        <f>IFERROR(__xludf.DUMMYFUNCTION("""COMPUTED_VALUE"""),"#VALUE!")</f>
        <v>#VALUE!</v>
      </c>
      <c r="C287" s="190"/>
      <c r="D287" s="190" t="e">
        <v>#DIV/0!</v>
      </c>
      <c r="E287" s="190" t="e">
        <v>#DIV/0!</v>
      </c>
      <c r="F287" s="183"/>
      <c r="G287" s="191"/>
      <c r="H287" s="191"/>
      <c r="I287" s="191"/>
      <c r="J287" s="191"/>
      <c r="K287" s="191"/>
      <c r="L287" s="191"/>
      <c r="M287" s="191"/>
      <c r="N287" s="191"/>
      <c r="O287" s="191"/>
      <c r="Q287" s="183"/>
    </row>
    <row r="288">
      <c r="B288" s="190" t="str">
        <f>IFERROR(__xludf.DUMMYFUNCTION("""COMPUTED_VALUE"""),"#VALUE!")</f>
        <v>#VALUE!</v>
      </c>
      <c r="C288" s="190"/>
      <c r="D288" s="190" t="e">
        <v>#DIV/0!</v>
      </c>
      <c r="E288" s="190" t="e">
        <v>#DIV/0!</v>
      </c>
      <c r="F288" s="183"/>
      <c r="G288" s="191"/>
      <c r="H288" s="191"/>
      <c r="I288" s="191"/>
      <c r="J288" s="191"/>
      <c r="K288" s="191"/>
      <c r="L288" s="191"/>
      <c r="M288" s="191"/>
      <c r="N288" s="191"/>
      <c r="O288" s="191"/>
      <c r="Q288" s="183"/>
    </row>
    <row r="289">
      <c r="B289" s="190" t="str">
        <f>IFERROR(__xludf.DUMMYFUNCTION("""COMPUTED_VALUE"""),"#VALUE!")</f>
        <v>#VALUE!</v>
      </c>
      <c r="C289" s="190"/>
      <c r="D289" s="190" t="e">
        <v>#DIV/0!</v>
      </c>
      <c r="E289" s="190" t="e">
        <v>#DIV/0!</v>
      </c>
      <c r="F289" s="183"/>
      <c r="G289" s="191"/>
      <c r="H289" s="191"/>
      <c r="I289" s="191"/>
      <c r="J289" s="191"/>
      <c r="K289" s="191"/>
      <c r="L289" s="191"/>
      <c r="M289" s="191"/>
      <c r="N289" s="191"/>
      <c r="O289" s="191"/>
      <c r="Q289" s="183"/>
    </row>
    <row r="290">
      <c r="B290" s="190" t="str">
        <f>IFERROR(__xludf.DUMMYFUNCTION("""COMPUTED_VALUE"""),"#VALUE!")</f>
        <v>#VALUE!</v>
      </c>
      <c r="C290" s="190"/>
      <c r="D290" s="190" t="e">
        <v>#DIV/0!</v>
      </c>
      <c r="E290" s="190" t="e">
        <v>#DIV/0!</v>
      </c>
      <c r="F290" s="183"/>
      <c r="G290" s="191"/>
      <c r="H290" s="191"/>
      <c r="I290" s="191"/>
      <c r="J290" s="191"/>
      <c r="K290" s="191"/>
      <c r="L290" s="191"/>
      <c r="M290" s="191"/>
      <c r="N290" s="191"/>
      <c r="O290" s="191"/>
      <c r="Q290" s="183"/>
    </row>
    <row r="291">
      <c r="B291" s="190" t="str">
        <f>IFERROR(__xludf.DUMMYFUNCTION("""COMPUTED_VALUE"""),"#VALUE!")</f>
        <v>#VALUE!</v>
      </c>
      <c r="C291" s="190"/>
      <c r="D291" s="190" t="e">
        <v>#DIV/0!</v>
      </c>
      <c r="E291" s="190" t="e">
        <v>#DIV/0!</v>
      </c>
      <c r="F291" s="183"/>
      <c r="G291" s="191"/>
      <c r="H291" s="191"/>
      <c r="I291" s="191"/>
      <c r="J291" s="191"/>
      <c r="K291" s="191"/>
      <c r="L291" s="191"/>
      <c r="M291" s="191"/>
      <c r="N291" s="191"/>
      <c r="O291" s="191"/>
      <c r="Q291" s="183"/>
    </row>
    <row r="292">
      <c r="B292" s="190" t="str">
        <f>IFERROR(__xludf.DUMMYFUNCTION("""COMPUTED_VALUE"""),"#VALUE!")</f>
        <v>#VALUE!</v>
      </c>
      <c r="C292" s="190"/>
      <c r="D292" s="190" t="e">
        <v>#DIV/0!</v>
      </c>
      <c r="E292" s="190" t="e">
        <v>#DIV/0!</v>
      </c>
      <c r="F292" s="183"/>
      <c r="G292" s="191"/>
      <c r="H292" s="191"/>
      <c r="I292" s="191"/>
      <c r="J292" s="191"/>
      <c r="K292" s="191"/>
      <c r="L292" s="191"/>
      <c r="M292" s="191"/>
      <c r="N292" s="191"/>
      <c r="O292" s="191"/>
      <c r="Q292" s="183"/>
    </row>
    <row r="293">
      <c r="B293" s="190" t="str">
        <f>IFERROR(__xludf.DUMMYFUNCTION("""COMPUTED_VALUE"""),"#VALUE!")</f>
        <v>#VALUE!</v>
      </c>
      <c r="C293" s="190"/>
      <c r="D293" s="190" t="e">
        <v>#DIV/0!</v>
      </c>
      <c r="E293" s="190" t="e">
        <v>#DIV/0!</v>
      </c>
      <c r="F293" s="183"/>
      <c r="G293" s="191"/>
      <c r="H293" s="191"/>
      <c r="I293" s="191"/>
      <c r="J293" s="191"/>
      <c r="K293" s="191"/>
      <c r="L293" s="191"/>
      <c r="M293" s="191"/>
      <c r="N293" s="191"/>
      <c r="O293" s="191"/>
      <c r="Q293" s="183"/>
    </row>
    <row r="294">
      <c r="B294" s="190" t="str">
        <f>IFERROR(__xludf.DUMMYFUNCTION("""COMPUTED_VALUE"""),"#VALUE!")</f>
        <v>#VALUE!</v>
      </c>
      <c r="C294" s="190"/>
      <c r="D294" s="190" t="e">
        <v>#DIV/0!</v>
      </c>
      <c r="E294" s="190" t="e">
        <v>#DIV/0!</v>
      </c>
      <c r="F294" s="183"/>
      <c r="G294" s="191"/>
      <c r="H294" s="191"/>
      <c r="I294" s="191"/>
      <c r="J294" s="191"/>
      <c r="K294" s="191"/>
      <c r="L294" s="191"/>
      <c r="M294" s="191"/>
      <c r="N294" s="191"/>
      <c r="O294" s="191"/>
      <c r="Q294" s="183"/>
    </row>
    <row r="295">
      <c r="B295" s="190" t="str">
        <f>IFERROR(__xludf.DUMMYFUNCTION("""COMPUTED_VALUE"""),"#VALUE!")</f>
        <v>#VALUE!</v>
      </c>
      <c r="C295" s="190"/>
      <c r="D295" s="190" t="e">
        <v>#DIV/0!</v>
      </c>
      <c r="E295" s="190" t="e">
        <v>#DIV/0!</v>
      </c>
      <c r="F295" s="183"/>
      <c r="G295" s="191"/>
      <c r="H295" s="191"/>
      <c r="I295" s="191"/>
      <c r="J295" s="191"/>
      <c r="K295" s="191"/>
      <c r="L295" s="191"/>
      <c r="M295" s="191"/>
      <c r="N295" s="191"/>
      <c r="O295" s="191"/>
      <c r="Q295" s="183"/>
    </row>
    <row r="296">
      <c r="B296" s="190" t="str">
        <f>IFERROR(__xludf.DUMMYFUNCTION("""COMPUTED_VALUE"""),"#VALUE!")</f>
        <v>#VALUE!</v>
      </c>
      <c r="C296" s="190"/>
      <c r="D296" s="190" t="e">
        <v>#DIV/0!</v>
      </c>
      <c r="E296" s="190" t="e">
        <v>#DIV/0!</v>
      </c>
      <c r="F296" s="183"/>
      <c r="G296" s="191"/>
      <c r="H296" s="191"/>
      <c r="I296" s="191"/>
      <c r="J296" s="191"/>
      <c r="K296" s="191"/>
      <c r="L296" s="191"/>
      <c r="M296" s="191"/>
      <c r="N296" s="191"/>
      <c r="O296" s="191"/>
      <c r="Q296" s="183"/>
    </row>
    <row r="297">
      <c r="B297" s="190" t="str">
        <f>IFERROR(__xludf.DUMMYFUNCTION("""COMPUTED_VALUE"""),"#VALUE!")</f>
        <v>#VALUE!</v>
      </c>
      <c r="C297" s="190"/>
      <c r="D297" s="190" t="e">
        <v>#DIV/0!</v>
      </c>
      <c r="E297" s="190" t="e">
        <v>#DIV/0!</v>
      </c>
      <c r="F297" s="183"/>
      <c r="G297" s="191"/>
      <c r="H297" s="191"/>
      <c r="I297" s="191"/>
      <c r="J297" s="191"/>
      <c r="K297" s="191"/>
      <c r="L297" s="191"/>
      <c r="M297" s="191"/>
      <c r="N297" s="191"/>
      <c r="O297" s="191"/>
      <c r="Q297" s="183"/>
    </row>
    <row r="298">
      <c r="B298" s="190" t="str">
        <f>IFERROR(__xludf.DUMMYFUNCTION("""COMPUTED_VALUE"""),"#VALUE!")</f>
        <v>#VALUE!</v>
      </c>
      <c r="C298" s="190"/>
      <c r="D298" s="190" t="e">
        <v>#DIV/0!</v>
      </c>
      <c r="E298" s="190" t="e">
        <v>#DIV/0!</v>
      </c>
      <c r="F298" s="183"/>
      <c r="G298" s="191"/>
      <c r="H298" s="191"/>
      <c r="I298" s="191"/>
      <c r="J298" s="191"/>
      <c r="K298" s="191"/>
      <c r="L298" s="191"/>
      <c r="M298" s="191"/>
      <c r="N298" s="191"/>
      <c r="O298" s="191"/>
      <c r="Q298" s="183"/>
    </row>
    <row r="299">
      <c r="B299" s="190" t="str">
        <f>IFERROR(__xludf.DUMMYFUNCTION("""COMPUTED_VALUE"""),"#VALUE!")</f>
        <v>#VALUE!</v>
      </c>
      <c r="C299" s="190"/>
      <c r="D299" s="190" t="e">
        <v>#DIV/0!</v>
      </c>
      <c r="E299" s="190" t="e">
        <v>#DIV/0!</v>
      </c>
      <c r="F299" s="183"/>
      <c r="G299" s="191"/>
      <c r="H299" s="191"/>
      <c r="I299" s="191"/>
      <c r="J299" s="191"/>
      <c r="K299" s="191"/>
      <c r="L299" s="191"/>
      <c r="M299" s="191"/>
      <c r="N299" s="191"/>
      <c r="O299" s="191"/>
      <c r="Q299" s="183"/>
    </row>
    <row r="300">
      <c r="B300" s="190" t="str">
        <f>IFERROR(__xludf.DUMMYFUNCTION("""COMPUTED_VALUE"""),"#VALUE!")</f>
        <v>#VALUE!</v>
      </c>
      <c r="C300" s="190"/>
      <c r="D300" s="190" t="e">
        <v>#DIV/0!</v>
      </c>
      <c r="E300" s="190" t="e">
        <v>#DIV/0!</v>
      </c>
      <c r="F300" s="183"/>
      <c r="G300" s="191"/>
      <c r="H300" s="191"/>
      <c r="I300" s="191"/>
      <c r="J300" s="191"/>
      <c r="K300" s="191"/>
      <c r="L300" s="191"/>
      <c r="M300" s="191"/>
      <c r="N300" s="191"/>
      <c r="O300" s="191"/>
      <c r="Q300" s="183"/>
    </row>
    <row r="301">
      <c r="B301" s="190" t="str">
        <f>IFERROR(__xludf.DUMMYFUNCTION("""COMPUTED_VALUE"""),"#VALUE!")</f>
        <v>#VALUE!</v>
      </c>
      <c r="C301" s="190"/>
      <c r="D301" s="190" t="e">
        <v>#DIV/0!</v>
      </c>
      <c r="E301" s="190" t="e">
        <v>#DIV/0!</v>
      </c>
      <c r="F301" s="183"/>
      <c r="G301" s="191"/>
      <c r="H301" s="191"/>
      <c r="I301" s="191"/>
      <c r="J301" s="191"/>
      <c r="K301" s="191"/>
      <c r="L301" s="191"/>
      <c r="M301" s="191"/>
      <c r="N301" s="191"/>
      <c r="O301" s="191"/>
      <c r="Q301" s="183"/>
    </row>
    <row r="302">
      <c r="B302" s="190" t="str">
        <f>IFERROR(__xludf.DUMMYFUNCTION("""COMPUTED_VALUE"""),"#VALUE!")</f>
        <v>#VALUE!</v>
      </c>
      <c r="C302" s="190"/>
      <c r="D302" s="190" t="e">
        <v>#DIV/0!</v>
      </c>
      <c r="E302" s="190" t="e">
        <v>#DIV/0!</v>
      </c>
      <c r="F302" s="183"/>
      <c r="G302" s="191"/>
      <c r="H302" s="191"/>
      <c r="I302" s="191"/>
      <c r="J302" s="191"/>
      <c r="K302" s="191"/>
      <c r="L302" s="191"/>
      <c r="M302" s="191"/>
      <c r="N302" s="191"/>
      <c r="O302" s="191"/>
      <c r="Q302" s="183"/>
    </row>
    <row r="303">
      <c r="B303" s="190" t="str">
        <f>IFERROR(__xludf.DUMMYFUNCTION("""COMPUTED_VALUE"""),"#VALUE!")</f>
        <v>#VALUE!</v>
      </c>
      <c r="C303" s="190"/>
      <c r="D303" s="190" t="e">
        <v>#DIV/0!</v>
      </c>
      <c r="E303" s="190" t="e">
        <v>#DIV/0!</v>
      </c>
      <c r="F303" s="183"/>
      <c r="G303" s="191"/>
      <c r="H303" s="191"/>
      <c r="I303" s="191"/>
      <c r="J303" s="191"/>
      <c r="K303" s="191"/>
      <c r="L303" s="191"/>
      <c r="M303" s="191"/>
      <c r="N303" s="191"/>
      <c r="O303" s="191"/>
      <c r="Q303" s="183"/>
    </row>
    <row r="304">
      <c r="B304" s="190" t="str">
        <f>IFERROR(__xludf.DUMMYFUNCTION("""COMPUTED_VALUE"""),"#VALUE!")</f>
        <v>#VALUE!</v>
      </c>
      <c r="C304" s="190"/>
      <c r="D304" s="190" t="e">
        <v>#DIV/0!</v>
      </c>
      <c r="E304" s="190" t="e">
        <v>#DIV/0!</v>
      </c>
      <c r="F304" s="183"/>
      <c r="G304" s="191"/>
      <c r="H304" s="191"/>
      <c r="I304" s="191"/>
      <c r="J304" s="191"/>
      <c r="K304" s="191"/>
      <c r="L304" s="191"/>
      <c r="M304" s="191"/>
      <c r="N304" s="191"/>
      <c r="O304" s="191"/>
      <c r="Q304" s="183"/>
    </row>
    <row r="305">
      <c r="B305" s="190" t="str">
        <f>IFERROR(__xludf.DUMMYFUNCTION("""COMPUTED_VALUE"""),"#VALUE!")</f>
        <v>#VALUE!</v>
      </c>
      <c r="C305" s="190"/>
      <c r="D305" s="190" t="e">
        <v>#DIV/0!</v>
      </c>
      <c r="E305" s="190" t="e">
        <v>#DIV/0!</v>
      </c>
      <c r="F305" s="183"/>
      <c r="G305" s="191"/>
      <c r="H305" s="191"/>
      <c r="I305" s="191"/>
      <c r="J305" s="191"/>
      <c r="K305" s="191"/>
      <c r="L305" s="191"/>
      <c r="M305" s="191"/>
      <c r="N305" s="191"/>
      <c r="O305" s="191"/>
      <c r="Q305" s="183"/>
    </row>
    <row r="306">
      <c r="B306" s="190" t="str">
        <f>IFERROR(__xludf.DUMMYFUNCTION("""COMPUTED_VALUE"""),"#VALUE!")</f>
        <v>#VALUE!</v>
      </c>
      <c r="C306" s="190"/>
      <c r="D306" s="190" t="e">
        <v>#DIV/0!</v>
      </c>
      <c r="E306" s="190" t="e">
        <v>#DIV/0!</v>
      </c>
      <c r="F306" s="183"/>
      <c r="G306" s="191"/>
      <c r="H306" s="191"/>
      <c r="I306" s="191"/>
      <c r="J306" s="191"/>
      <c r="K306" s="191"/>
      <c r="L306" s="191"/>
      <c r="M306" s="191"/>
      <c r="N306" s="191"/>
      <c r="O306" s="191"/>
      <c r="Q306" s="183"/>
    </row>
    <row r="307">
      <c r="B307" s="190" t="str">
        <f>IFERROR(__xludf.DUMMYFUNCTION("""COMPUTED_VALUE"""),"#VALUE!")</f>
        <v>#VALUE!</v>
      </c>
      <c r="C307" s="190"/>
      <c r="D307" s="190" t="e">
        <v>#DIV/0!</v>
      </c>
      <c r="E307" s="190" t="e">
        <v>#DIV/0!</v>
      </c>
      <c r="F307" s="183"/>
      <c r="G307" s="191"/>
      <c r="H307" s="191"/>
      <c r="I307" s="191"/>
      <c r="J307" s="191"/>
      <c r="K307" s="191"/>
      <c r="L307" s="191"/>
      <c r="M307" s="191"/>
      <c r="N307" s="191"/>
      <c r="O307" s="191"/>
      <c r="Q307" s="183"/>
    </row>
    <row r="308">
      <c r="B308" s="190" t="str">
        <f>IFERROR(__xludf.DUMMYFUNCTION("""COMPUTED_VALUE"""),"#VALUE!")</f>
        <v>#VALUE!</v>
      </c>
      <c r="C308" s="190"/>
      <c r="D308" s="190" t="e">
        <v>#DIV/0!</v>
      </c>
      <c r="E308" s="190" t="e">
        <v>#DIV/0!</v>
      </c>
      <c r="F308" s="183"/>
      <c r="G308" s="191"/>
      <c r="H308" s="191"/>
      <c r="I308" s="191"/>
      <c r="J308" s="191"/>
      <c r="K308" s="191"/>
      <c r="L308" s="191"/>
      <c r="M308" s="191"/>
      <c r="N308" s="191"/>
      <c r="O308" s="191"/>
      <c r="Q308" s="183"/>
    </row>
    <row r="309">
      <c r="B309" s="190" t="str">
        <f>IFERROR(__xludf.DUMMYFUNCTION("""COMPUTED_VALUE"""),"#VALUE!")</f>
        <v>#VALUE!</v>
      </c>
      <c r="C309" s="190"/>
      <c r="D309" s="190" t="e">
        <v>#DIV/0!</v>
      </c>
      <c r="E309" s="190" t="e">
        <v>#DIV/0!</v>
      </c>
      <c r="F309" s="183"/>
      <c r="G309" s="191"/>
      <c r="H309" s="191"/>
      <c r="I309" s="191"/>
      <c r="J309" s="191"/>
      <c r="K309" s="191"/>
      <c r="L309" s="191"/>
      <c r="M309" s="191"/>
      <c r="N309" s="191"/>
      <c r="O309" s="191"/>
      <c r="Q309" s="183"/>
    </row>
    <row r="310">
      <c r="B310" s="190" t="str">
        <f>IFERROR(__xludf.DUMMYFUNCTION("""COMPUTED_VALUE"""),"#VALUE!")</f>
        <v>#VALUE!</v>
      </c>
      <c r="C310" s="190"/>
      <c r="D310" s="190" t="e">
        <v>#DIV/0!</v>
      </c>
      <c r="E310" s="190" t="e">
        <v>#DIV/0!</v>
      </c>
      <c r="F310" s="183"/>
      <c r="G310" s="191"/>
      <c r="H310" s="191"/>
      <c r="I310" s="191"/>
      <c r="J310" s="191"/>
      <c r="K310" s="191"/>
      <c r="L310" s="191"/>
      <c r="M310" s="191"/>
      <c r="N310" s="191"/>
      <c r="O310" s="191"/>
      <c r="Q310" s="183"/>
    </row>
    <row r="311">
      <c r="B311" s="190" t="str">
        <f>IFERROR(__xludf.DUMMYFUNCTION("""COMPUTED_VALUE"""),"#VALUE!")</f>
        <v>#VALUE!</v>
      </c>
      <c r="C311" s="190"/>
      <c r="D311" s="190" t="e">
        <v>#DIV/0!</v>
      </c>
      <c r="E311" s="190" t="e">
        <v>#DIV/0!</v>
      </c>
      <c r="F311" s="183"/>
      <c r="G311" s="191"/>
      <c r="H311" s="191"/>
      <c r="I311" s="191"/>
      <c r="J311" s="191"/>
      <c r="K311" s="191"/>
      <c r="L311" s="191"/>
      <c r="M311" s="191"/>
      <c r="N311" s="191"/>
      <c r="O311" s="191"/>
      <c r="Q311" s="183"/>
    </row>
    <row r="312">
      <c r="B312" s="190" t="str">
        <f>IFERROR(__xludf.DUMMYFUNCTION("""COMPUTED_VALUE"""),"#VALUE!")</f>
        <v>#VALUE!</v>
      </c>
      <c r="C312" s="190"/>
      <c r="D312" s="190" t="e">
        <v>#DIV/0!</v>
      </c>
      <c r="E312" s="190" t="e">
        <v>#DIV/0!</v>
      </c>
      <c r="F312" s="183"/>
      <c r="G312" s="191"/>
      <c r="H312" s="191"/>
      <c r="I312" s="191"/>
      <c r="J312" s="191"/>
      <c r="K312" s="191"/>
      <c r="L312" s="191"/>
      <c r="M312" s="191"/>
      <c r="N312" s="191"/>
      <c r="O312" s="191"/>
      <c r="Q312" s="183"/>
    </row>
    <row r="313">
      <c r="B313" s="190" t="str">
        <f>IFERROR(__xludf.DUMMYFUNCTION("""COMPUTED_VALUE"""),"#VALUE!")</f>
        <v>#VALUE!</v>
      </c>
      <c r="C313" s="190"/>
      <c r="D313" s="190" t="e">
        <v>#DIV/0!</v>
      </c>
      <c r="E313" s="190" t="e">
        <v>#DIV/0!</v>
      </c>
      <c r="F313" s="183"/>
      <c r="G313" s="191"/>
      <c r="H313" s="191"/>
      <c r="I313" s="191"/>
      <c r="J313" s="191"/>
      <c r="K313" s="191"/>
      <c r="L313" s="191"/>
      <c r="M313" s="191"/>
      <c r="N313" s="191"/>
      <c r="O313" s="191"/>
      <c r="Q313" s="183"/>
    </row>
    <row r="314">
      <c r="B314" s="190" t="str">
        <f>IFERROR(__xludf.DUMMYFUNCTION("""COMPUTED_VALUE"""),"#VALUE!")</f>
        <v>#VALUE!</v>
      </c>
      <c r="C314" s="190"/>
      <c r="D314" s="190" t="e">
        <v>#DIV/0!</v>
      </c>
      <c r="E314" s="190" t="e">
        <v>#DIV/0!</v>
      </c>
      <c r="F314" s="183"/>
      <c r="G314" s="191"/>
      <c r="H314" s="191"/>
      <c r="I314" s="191"/>
      <c r="J314" s="191"/>
      <c r="K314" s="191"/>
      <c r="L314" s="191"/>
      <c r="M314" s="191"/>
      <c r="N314" s="191"/>
      <c r="O314" s="191"/>
      <c r="Q314" s="183"/>
    </row>
    <row r="315">
      <c r="B315" s="190" t="str">
        <f>IFERROR(__xludf.DUMMYFUNCTION("""COMPUTED_VALUE"""),"#VALUE!")</f>
        <v>#VALUE!</v>
      </c>
      <c r="C315" s="190"/>
      <c r="D315" s="190" t="e">
        <v>#DIV/0!</v>
      </c>
      <c r="E315" s="190" t="e">
        <v>#DIV/0!</v>
      </c>
      <c r="F315" s="183"/>
      <c r="G315" s="191"/>
      <c r="H315" s="191"/>
      <c r="I315" s="191"/>
      <c r="J315" s="191"/>
      <c r="K315" s="191"/>
      <c r="L315" s="191"/>
      <c r="M315" s="191"/>
      <c r="N315" s="191"/>
      <c r="O315" s="191"/>
      <c r="Q315" s="183"/>
    </row>
    <row r="316">
      <c r="B316" s="190" t="str">
        <f>IFERROR(__xludf.DUMMYFUNCTION("""COMPUTED_VALUE"""),"#VALUE!")</f>
        <v>#VALUE!</v>
      </c>
      <c r="C316" s="190"/>
      <c r="D316" s="190" t="e">
        <v>#DIV/0!</v>
      </c>
      <c r="E316" s="190" t="e">
        <v>#DIV/0!</v>
      </c>
      <c r="F316" s="183"/>
      <c r="G316" s="191"/>
      <c r="H316" s="191"/>
      <c r="I316" s="191"/>
      <c r="J316" s="191"/>
      <c r="K316" s="191"/>
      <c r="L316" s="191"/>
      <c r="M316" s="191"/>
      <c r="N316" s="191"/>
      <c r="O316" s="191"/>
      <c r="Q316" s="183"/>
    </row>
    <row r="317">
      <c r="B317" s="190" t="str">
        <f>IFERROR(__xludf.DUMMYFUNCTION("""COMPUTED_VALUE"""),"#VALUE!")</f>
        <v>#VALUE!</v>
      </c>
      <c r="C317" s="190"/>
      <c r="D317" s="190" t="e">
        <v>#DIV/0!</v>
      </c>
      <c r="E317" s="190" t="e">
        <v>#DIV/0!</v>
      </c>
      <c r="F317" s="183"/>
      <c r="G317" s="191"/>
      <c r="H317" s="191"/>
      <c r="I317" s="191"/>
      <c r="J317" s="191"/>
      <c r="K317" s="191"/>
      <c r="L317" s="191"/>
      <c r="M317" s="191"/>
      <c r="N317" s="191"/>
      <c r="O317" s="191"/>
      <c r="Q317" s="183"/>
    </row>
    <row r="318">
      <c r="B318" s="190" t="str">
        <f>IFERROR(__xludf.DUMMYFUNCTION("""COMPUTED_VALUE"""),"#VALUE!")</f>
        <v>#VALUE!</v>
      </c>
      <c r="C318" s="190"/>
      <c r="D318" s="190" t="e">
        <v>#DIV/0!</v>
      </c>
      <c r="E318" s="190" t="e">
        <v>#DIV/0!</v>
      </c>
      <c r="F318" s="183"/>
      <c r="G318" s="191"/>
      <c r="H318" s="191"/>
      <c r="I318" s="191"/>
      <c r="J318" s="191"/>
      <c r="K318" s="191"/>
      <c r="L318" s="191"/>
      <c r="M318" s="191"/>
      <c r="N318" s="191"/>
      <c r="O318" s="191"/>
      <c r="Q318" s="183"/>
    </row>
    <row r="319">
      <c r="B319" s="190" t="str">
        <f>IFERROR(__xludf.DUMMYFUNCTION("""COMPUTED_VALUE"""),"#VALUE!")</f>
        <v>#VALUE!</v>
      </c>
      <c r="C319" s="190"/>
      <c r="D319" s="190" t="e">
        <v>#DIV/0!</v>
      </c>
      <c r="E319" s="190" t="e">
        <v>#DIV/0!</v>
      </c>
      <c r="F319" s="183"/>
      <c r="G319" s="191"/>
      <c r="H319" s="191"/>
      <c r="I319" s="191"/>
      <c r="J319" s="191"/>
      <c r="K319" s="191"/>
      <c r="L319" s="191"/>
      <c r="M319" s="191"/>
      <c r="N319" s="191"/>
      <c r="O319" s="191"/>
      <c r="Q319" s="183"/>
    </row>
    <row r="320">
      <c r="B320" s="190" t="str">
        <f>IFERROR(__xludf.DUMMYFUNCTION("""COMPUTED_VALUE"""),"#VALUE!")</f>
        <v>#VALUE!</v>
      </c>
      <c r="C320" s="190"/>
      <c r="D320" s="190" t="e">
        <v>#DIV/0!</v>
      </c>
      <c r="E320" s="190" t="e">
        <v>#DIV/0!</v>
      </c>
      <c r="F320" s="183"/>
      <c r="G320" s="191"/>
      <c r="H320" s="191"/>
      <c r="I320" s="191"/>
      <c r="J320" s="191"/>
      <c r="K320" s="191"/>
      <c r="L320" s="191"/>
      <c r="M320" s="191"/>
      <c r="N320" s="191"/>
      <c r="O320" s="191"/>
      <c r="Q320" s="183"/>
    </row>
    <row r="321">
      <c r="B321" s="190" t="str">
        <f>IFERROR(__xludf.DUMMYFUNCTION("""COMPUTED_VALUE"""),"#VALUE!")</f>
        <v>#VALUE!</v>
      </c>
      <c r="C321" s="190"/>
      <c r="D321" s="190" t="e">
        <v>#DIV/0!</v>
      </c>
      <c r="E321" s="190" t="e">
        <v>#DIV/0!</v>
      </c>
      <c r="F321" s="183"/>
      <c r="G321" s="191"/>
      <c r="H321" s="191"/>
      <c r="I321" s="191"/>
      <c r="J321" s="191"/>
      <c r="K321" s="191"/>
      <c r="L321" s="191"/>
      <c r="M321" s="191"/>
      <c r="N321" s="191"/>
      <c r="O321" s="191"/>
      <c r="Q321" s="183"/>
    </row>
    <row r="322">
      <c r="B322" s="190" t="str">
        <f>IFERROR(__xludf.DUMMYFUNCTION("""COMPUTED_VALUE"""),"#VALUE!")</f>
        <v>#VALUE!</v>
      </c>
      <c r="C322" s="190"/>
      <c r="D322" s="190" t="e">
        <v>#DIV/0!</v>
      </c>
      <c r="E322" s="190" t="e">
        <v>#DIV/0!</v>
      </c>
      <c r="F322" s="183"/>
      <c r="G322" s="191"/>
      <c r="H322" s="191"/>
      <c r="I322" s="191"/>
      <c r="J322" s="191"/>
      <c r="K322" s="191"/>
      <c r="L322" s="191"/>
      <c r="M322" s="191"/>
      <c r="N322" s="191"/>
      <c r="O322" s="191"/>
      <c r="Q322" s="183"/>
    </row>
    <row r="323">
      <c r="B323" s="190" t="str">
        <f>IFERROR(__xludf.DUMMYFUNCTION("""COMPUTED_VALUE"""),"#VALUE!")</f>
        <v>#VALUE!</v>
      </c>
      <c r="C323" s="190"/>
      <c r="D323" s="190" t="e">
        <v>#DIV/0!</v>
      </c>
      <c r="E323" s="190" t="e">
        <v>#DIV/0!</v>
      </c>
      <c r="F323" s="183"/>
      <c r="G323" s="191"/>
      <c r="H323" s="191"/>
      <c r="I323" s="191"/>
      <c r="J323" s="191"/>
      <c r="K323" s="191"/>
      <c r="L323" s="191"/>
      <c r="M323" s="191"/>
      <c r="N323" s="191"/>
      <c r="O323" s="191"/>
      <c r="Q323" s="183"/>
    </row>
    <row r="324">
      <c r="B324" s="190" t="str">
        <f>IFERROR(__xludf.DUMMYFUNCTION("""COMPUTED_VALUE"""),"#VALUE!")</f>
        <v>#VALUE!</v>
      </c>
      <c r="C324" s="190"/>
      <c r="D324" s="190" t="e">
        <v>#DIV/0!</v>
      </c>
      <c r="E324" s="190" t="e">
        <v>#DIV/0!</v>
      </c>
      <c r="F324" s="183"/>
      <c r="G324" s="191"/>
      <c r="H324" s="191"/>
      <c r="I324" s="191"/>
      <c r="J324" s="191"/>
      <c r="K324" s="191"/>
      <c r="L324" s="191"/>
      <c r="M324" s="191"/>
      <c r="N324" s="191"/>
      <c r="O324" s="191"/>
      <c r="Q324" s="183"/>
    </row>
    <row r="325">
      <c r="B325" s="190" t="str">
        <f>IFERROR(__xludf.DUMMYFUNCTION("""COMPUTED_VALUE"""),"#VALUE!")</f>
        <v>#VALUE!</v>
      </c>
      <c r="C325" s="190"/>
      <c r="D325" s="190" t="e">
        <v>#DIV/0!</v>
      </c>
      <c r="E325" s="190" t="e">
        <v>#DIV/0!</v>
      </c>
      <c r="F325" s="183"/>
      <c r="G325" s="191"/>
      <c r="H325" s="191"/>
      <c r="I325" s="191"/>
      <c r="J325" s="191"/>
      <c r="K325" s="191"/>
      <c r="L325" s="191"/>
      <c r="M325" s="191"/>
      <c r="N325" s="191"/>
      <c r="O325" s="191"/>
      <c r="Q325" s="183"/>
    </row>
    <row r="326">
      <c r="B326" s="190" t="str">
        <f>IFERROR(__xludf.DUMMYFUNCTION("""COMPUTED_VALUE"""),"#VALUE!")</f>
        <v>#VALUE!</v>
      </c>
      <c r="C326" s="190"/>
      <c r="D326" s="190" t="e">
        <v>#DIV/0!</v>
      </c>
      <c r="E326" s="190" t="e">
        <v>#DIV/0!</v>
      </c>
      <c r="F326" s="183"/>
      <c r="G326" s="191"/>
      <c r="H326" s="191"/>
      <c r="I326" s="191"/>
      <c r="J326" s="191"/>
      <c r="K326" s="191"/>
      <c r="L326" s="191"/>
      <c r="M326" s="191"/>
      <c r="N326" s="191"/>
      <c r="O326" s="191"/>
      <c r="Q326" s="183"/>
    </row>
    <row r="327">
      <c r="B327" s="190" t="str">
        <f>IFERROR(__xludf.DUMMYFUNCTION("""COMPUTED_VALUE"""),"#VALUE!")</f>
        <v>#VALUE!</v>
      </c>
      <c r="C327" s="190"/>
      <c r="D327" s="190" t="e">
        <v>#DIV/0!</v>
      </c>
      <c r="E327" s="190" t="e">
        <v>#DIV/0!</v>
      </c>
      <c r="F327" s="183"/>
      <c r="G327" s="191"/>
      <c r="H327" s="191"/>
      <c r="I327" s="191"/>
      <c r="J327" s="191"/>
      <c r="K327" s="191"/>
      <c r="L327" s="191"/>
      <c r="M327" s="191"/>
      <c r="N327" s="191"/>
      <c r="O327" s="191"/>
      <c r="Q327" s="183"/>
    </row>
    <row r="328">
      <c r="B328" s="190" t="str">
        <f>IFERROR(__xludf.DUMMYFUNCTION("""COMPUTED_VALUE"""),"#VALUE!")</f>
        <v>#VALUE!</v>
      </c>
      <c r="C328" s="190"/>
      <c r="D328" s="190" t="e">
        <v>#DIV/0!</v>
      </c>
      <c r="E328" s="190" t="e">
        <v>#DIV/0!</v>
      </c>
      <c r="F328" s="183"/>
      <c r="G328" s="191"/>
      <c r="H328" s="191"/>
      <c r="I328" s="191"/>
      <c r="J328" s="191"/>
      <c r="K328" s="191"/>
      <c r="L328" s="191"/>
      <c r="M328" s="191"/>
      <c r="N328" s="191"/>
      <c r="O328" s="191"/>
      <c r="Q328" s="183"/>
    </row>
    <row r="329">
      <c r="B329" s="190" t="str">
        <f>IFERROR(__xludf.DUMMYFUNCTION("""COMPUTED_VALUE"""),"#VALUE!")</f>
        <v>#VALUE!</v>
      </c>
      <c r="C329" s="190"/>
      <c r="D329" s="190" t="e">
        <v>#DIV/0!</v>
      </c>
      <c r="E329" s="190" t="e">
        <v>#DIV/0!</v>
      </c>
      <c r="F329" s="183"/>
      <c r="G329" s="191"/>
      <c r="H329" s="191"/>
      <c r="I329" s="191"/>
      <c r="J329" s="191"/>
      <c r="K329" s="191"/>
      <c r="L329" s="191"/>
      <c r="M329" s="191"/>
      <c r="N329" s="191"/>
      <c r="O329" s="191"/>
      <c r="Q329" s="183"/>
    </row>
    <row r="330">
      <c r="B330" s="190" t="str">
        <f>IFERROR(__xludf.DUMMYFUNCTION("""COMPUTED_VALUE"""),"#VALUE!")</f>
        <v>#VALUE!</v>
      </c>
      <c r="C330" s="190"/>
      <c r="D330" s="190" t="e">
        <v>#DIV/0!</v>
      </c>
      <c r="E330" s="190" t="e">
        <v>#DIV/0!</v>
      </c>
      <c r="F330" s="183"/>
      <c r="G330" s="191"/>
      <c r="H330" s="191"/>
      <c r="I330" s="191"/>
      <c r="J330" s="191"/>
      <c r="K330" s="191"/>
      <c r="L330" s="191"/>
      <c r="M330" s="191"/>
      <c r="N330" s="191"/>
      <c r="O330" s="191"/>
      <c r="Q330" s="183"/>
    </row>
    <row r="331">
      <c r="B331" s="190" t="str">
        <f>IFERROR(__xludf.DUMMYFUNCTION("""COMPUTED_VALUE"""),"#VALUE!")</f>
        <v>#VALUE!</v>
      </c>
      <c r="C331" s="190"/>
      <c r="D331" s="190" t="e">
        <v>#DIV/0!</v>
      </c>
      <c r="E331" s="190" t="e">
        <v>#DIV/0!</v>
      </c>
      <c r="F331" s="183"/>
      <c r="G331" s="191"/>
      <c r="H331" s="191"/>
      <c r="I331" s="191"/>
      <c r="J331" s="191"/>
      <c r="K331" s="191"/>
      <c r="L331" s="191"/>
      <c r="M331" s="191"/>
      <c r="N331" s="191"/>
      <c r="O331" s="191"/>
      <c r="Q331" s="183"/>
    </row>
    <row r="332">
      <c r="B332" s="190" t="str">
        <f>IFERROR(__xludf.DUMMYFUNCTION("""COMPUTED_VALUE"""),"#VALUE!")</f>
        <v>#VALUE!</v>
      </c>
      <c r="C332" s="190"/>
      <c r="D332" s="190" t="e">
        <v>#DIV/0!</v>
      </c>
      <c r="E332" s="190" t="e">
        <v>#DIV/0!</v>
      </c>
      <c r="F332" s="183"/>
      <c r="G332" s="191"/>
      <c r="H332" s="191"/>
      <c r="I332" s="191"/>
      <c r="J332" s="191"/>
      <c r="K332" s="191"/>
      <c r="L332" s="191"/>
      <c r="M332" s="191"/>
      <c r="N332" s="191"/>
      <c r="O332" s="191"/>
      <c r="Q332" s="183"/>
    </row>
    <row r="333">
      <c r="B333" s="190" t="str">
        <f>IFERROR(__xludf.DUMMYFUNCTION("""COMPUTED_VALUE"""),"#VALUE!")</f>
        <v>#VALUE!</v>
      </c>
      <c r="C333" s="190"/>
      <c r="D333" s="190" t="e">
        <v>#DIV/0!</v>
      </c>
      <c r="E333" s="190" t="e">
        <v>#DIV/0!</v>
      </c>
      <c r="F333" s="183"/>
      <c r="G333" s="191"/>
      <c r="H333" s="191"/>
      <c r="I333" s="191"/>
      <c r="J333" s="191"/>
      <c r="K333" s="191"/>
      <c r="L333" s="191"/>
      <c r="M333" s="191"/>
      <c r="N333" s="191"/>
      <c r="O333" s="191"/>
      <c r="Q333" s="183"/>
    </row>
    <row r="334">
      <c r="B334" s="190" t="str">
        <f>IFERROR(__xludf.DUMMYFUNCTION("""COMPUTED_VALUE"""),"#VALUE!")</f>
        <v>#VALUE!</v>
      </c>
      <c r="C334" s="190"/>
      <c r="D334" s="190" t="e">
        <v>#DIV/0!</v>
      </c>
      <c r="E334" s="190" t="e">
        <v>#DIV/0!</v>
      </c>
      <c r="F334" s="183"/>
      <c r="G334" s="191"/>
      <c r="H334" s="191"/>
      <c r="I334" s="191"/>
      <c r="J334" s="191"/>
      <c r="K334" s="191"/>
      <c r="L334" s="191"/>
      <c r="M334" s="191"/>
      <c r="N334" s="191"/>
      <c r="O334" s="191"/>
      <c r="Q334" s="183"/>
    </row>
    <row r="335">
      <c r="B335" s="190" t="str">
        <f>IFERROR(__xludf.DUMMYFUNCTION("""COMPUTED_VALUE"""),"#VALUE!")</f>
        <v>#VALUE!</v>
      </c>
      <c r="C335" s="190"/>
      <c r="D335" s="190" t="e">
        <v>#DIV/0!</v>
      </c>
      <c r="E335" s="190" t="e">
        <v>#DIV/0!</v>
      </c>
      <c r="F335" s="183"/>
      <c r="G335" s="191"/>
      <c r="H335" s="191"/>
      <c r="I335" s="191"/>
      <c r="J335" s="191"/>
      <c r="K335" s="191"/>
      <c r="L335" s="191"/>
      <c r="M335" s="191"/>
      <c r="N335" s="191"/>
      <c r="O335" s="191"/>
      <c r="Q335" s="183"/>
    </row>
    <row r="336">
      <c r="B336" s="190" t="str">
        <f>IFERROR(__xludf.DUMMYFUNCTION("""COMPUTED_VALUE"""),"#VALUE!")</f>
        <v>#VALUE!</v>
      </c>
      <c r="C336" s="190"/>
      <c r="D336" s="190" t="e">
        <v>#DIV/0!</v>
      </c>
      <c r="E336" s="190" t="e">
        <v>#DIV/0!</v>
      </c>
      <c r="F336" s="183"/>
      <c r="G336" s="191"/>
      <c r="H336" s="191"/>
      <c r="I336" s="191"/>
      <c r="J336" s="191"/>
      <c r="K336" s="191"/>
      <c r="L336" s="191"/>
      <c r="M336" s="191"/>
      <c r="N336" s="191"/>
      <c r="O336" s="191"/>
      <c r="Q336" s="183"/>
    </row>
    <row r="337">
      <c r="B337" s="190" t="str">
        <f>IFERROR(__xludf.DUMMYFUNCTION("""COMPUTED_VALUE"""),"#VALUE!")</f>
        <v>#VALUE!</v>
      </c>
      <c r="C337" s="190"/>
      <c r="D337" s="190" t="e">
        <v>#DIV/0!</v>
      </c>
      <c r="E337" s="190" t="e">
        <v>#DIV/0!</v>
      </c>
      <c r="F337" s="183"/>
      <c r="G337" s="191"/>
      <c r="H337" s="191"/>
      <c r="I337" s="191"/>
      <c r="J337" s="191"/>
      <c r="K337" s="191"/>
      <c r="L337" s="191"/>
      <c r="M337" s="191"/>
      <c r="N337" s="191"/>
      <c r="O337" s="191"/>
      <c r="Q337" s="183"/>
    </row>
    <row r="338">
      <c r="B338" s="190" t="str">
        <f>IFERROR(__xludf.DUMMYFUNCTION("""COMPUTED_VALUE"""),"#VALUE!")</f>
        <v>#VALUE!</v>
      </c>
      <c r="C338" s="190"/>
      <c r="D338" s="190" t="e">
        <v>#DIV/0!</v>
      </c>
      <c r="E338" s="190" t="e">
        <v>#DIV/0!</v>
      </c>
      <c r="F338" s="183"/>
      <c r="G338" s="191"/>
      <c r="H338" s="191"/>
      <c r="I338" s="191"/>
      <c r="J338" s="191"/>
      <c r="K338" s="191"/>
      <c r="L338" s="191"/>
      <c r="M338" s="191"/>
      <c r="N338" s="191"/>
      <c r="O338" s="191"/>
      <c r="Q338" s="183"/>
    </row>
    <row r="339">
      <c r="B339" s="190" t="str">
        <f>IFERROR(__xludf.DUMMYFUNCTION("""COMPUTED_VALUE"""),"#VALUE!")</f>
        <v>#VALUE!</v>
      </c>
      <c r="C339" s="190"/>
      <c r="D339" s="190" t="e">
        <v>#DIV/0!</v>
      </c>
      <c r="E339" s="190" t="e">
        <v>#DIV/0!</v>
      </c>
      <c r="F339" s="183"/>
      <c r="G339" s="191"/>
      <c r="H339" s="191"/>
      <c r="I339" s="191"/>
      <c r="J339" s="191"/>
      <c r="K339" s="191"/>
      <c r="L339" s="191"/>
      <c r="M339" s="191"/>
      <c r="N339" s="191"/>
      <c r="O339" s="191"/>
      <c r="Q339" s="183"/>
    </row>
    <row r="340">
      <c r="B340" s="190" t="str">
        <f>IFERROR(__xludf.DUMMYFUNCTION("""COMPUTED_VALUE"""),"#VALUE!")</f>
        <v>#VALUE!</v>
      </c>
      <c r="C340" s="190"/>
      <c r="D340" s="190" t="e">
        <v>#DIV/0!</v>
      </c>
      <c r="E340" s="190" t="e">
        <v>#DIV/0!</v>
      </c>
      <c r="F340" s="183"/>
      <c r="G340" s="191"/>
      <c r="H340" s="191"/>
      <c r="I340" s="191"/>
      <c r="J340" s="191"/>
      <c r="K340" s="191"/>
      <c r="L340" s="191"/>
      <c r="M340" s="191"/>
      <c r="N340" s="191"/>
      <c r="O340" s="191"/>
      <c r="Q340" s="183"/>
    </row>
    <row r="341">
      <c r="B341" s="190" t="str">
        <f>IFERROR(__xludf.DUMMYFUNCTION("""COMPUTED_VALUE"""),"#VALUE!")</f>
        <v>#VALUE!</v>
      </c>
      <c r="C341" s="190"/>
      <c r="D341" s="190" t="e">
        <v>#DIV/0!</v>
      </c>
      <c r="E341" s="190" t="e">
        <v>#DIV/0!</v>
      </c>
      <c r="F341" s="183"/>
      <c r="G341" s="191"/>
      <c r="H341" s="191"/>
      <c r="I341" s="191"/>
      <c r="J341" s="191"/>
      <c r="K341" s="191"/>
      <c r="L341" s="191"/>
      <c r="M341" s="191"/>
      <c r="N341" s="191"/>
      <c r="O341" s="191"/>
      <c r="Q341" s="183"/>
    </row>
    <row r="342">
      <c r="B342" s="190" t="str">
        <f>IFERROR(__xludf.DUMMYFUNCTION("""COMPUTED_VALUE"""),"#VALUE!")</f>
        <v>#VALUE!</v>
      </c>
      <c r="C342" s="190"/>
      <c r="D342" s="190" t="e">
        <v>#DIV/0!</v>
      </c>
      <c r="E342" s="190" t="e">
        <v>#DIV/0!</v>
      </c>
      <c r="F342" s="183"/>
      <c r="G342" s="191"/>
      <c r="H342" s="191"/>
      <c r="I342" s="191"/>
      <c r="J342" s="191"/>
      <c r="K342" s="191"/>
      <c r="L342" s="191"/>
      <c r="M342" s="191"/>
      <c r="N342" s="191"/>
      <c r="O342" s="191"/>
      <c r="Q342" s="183"/>
    </row>
    <row r="343">
      <c r="B343" s="190" t="str">
        <f>IFERROR(__xludf.DUMMYFUNCTION("""COMPUTED_VALUE"""),"#VALUE!")</f>
        <v>#VALUE!</v>
      </c>
      <c r="C343" s="190"/>
      <c r="D343" s="190" t="e">
        <v>#DIV/0!</v>
      </c>
      <c r="E343" s="190" t="e">
        <v>#DIV/0!</v>
      </c>
      <c r="F343" s="183"/>
      <c r="G343" s="191"/>
      <c r="H343" s="191"/>
      <c r="I343" s="191"/>
      <c r="J343" s="191"/>
      <c r="K343" s="191"/>
      <c r="L343" s="191"/>
      <c r="M343" s="191"/>
      <c r="N343" s="191"/>
      <c r="O343" s="191"/>
      <c r="Q343" s="183"/>
    </row>
    <row r="344">
      <c r="B344" s="190" t="str">
        <f>IFERROR(__xludf.DUMMYFUNCTION("""COMPUTED_VALUE"""),"#VALUE!")</f>
        <v>#VALUE!</v>
      </c>
      <c r="C344" s="190"/>
      <c r="D344" s="190" t="e">
        <v>#DIV/0!</v>
      </c>
      <c r="E344" s="190" t="e">
        <v>#DIV/0!</v>
      </c>
      <c r="F344" s="183"/>
      <c r="G344" s="191"/>
      <c r="H344" s="191"/>
      <c r="I344" s="191"/>
      <c r="J344" s="191"/>
      <c r="K344" s="191"/>
      <c r="L344" s="191"/>
      <c r="M344" s="191"/>
      <c r="N344" s="191"/>
      <c r="O344" s="191"/>
      <c r="Q344" s="183"/>
    </row>
    <row r="345">
      <c r="B345" s="190" t="str">
        <f>IFERROR(__xludf.DUMMYFUNCTION("""COMPUTED_VALUE"""),"#VALUE!")</f>
        <v>#VALUE!</v>
      </c>
      <c r="C345" s="190"/>
      <c r="D345" s="190" t="e">
        <v>#DIV/0!</v>
      </c>
      <c r="E345" s="190" t="e">
        <v>#DIV/0!</v>
      </c>
      <c r="F345" s="183"/>
      <c r="G345" s="191"/>
      <c r="H345" s="191"/>
      <c r="I345" s="191"/>
      <c r="J345" s="191"/>
      <c r="K345" s="191"/>
      <c r="L345" s="191"/>
      <c r="M345" s="191"/>
      <c r="N345" s="191"/>
      <c r="O345" s="191"/>
      <c r="Q345" s="183"/>
    </row>
    <row r="346">
      <c r="B346" s="190" t="str">
        <f>IFERROR(__xludf.DUMMYFUNCTION("""COMPUTED_VALUE"""),"#VALUE!")</f>
        <v>#VALUE!</v>
      </c>
      <c r="C346" s="190"/>
      <c r="D346" s="190" t="e">
        <v>#DIV/0!</v>
      </c>
      <c r="E346" s="190" t="e">
        <v>#DIV/0!</v>
      </c>
      <c r="F346" s="183"/>
      <c r="G346" s="191"/>
      <c r="H346" s="191"/>
      <c r="I346" s="191"/>
      <c r="J346" s="191"/>
      <c r="K346" s="191"/>
      <c r="L346" s="191"/>
      <c r="M346" s="191"/>
      <c r="N346" s="191"/>
      <c r="O346" s="191"/>
      <c r="Q346" s="183"/>
    </row>
    <row r="347">
      <c r="B347" s="190" t="str">
        <f>IFERROR(__xludf.DUMMYFUNCTION("""COMPUTED_VALUE"""),"#VALUE!")</f>
        <v>#VALUE!</v>
      </c>
      <c r="C347" s="190"/>
      <c r="D347" s="190" t="e">
        <v>#DIV/0!</v>
      </c>
      <c r="E347" s="190" t="e">
        <v>#DIV/0!</v>
      </c>
      <c r="F347" s="183"/>
      <c r="G347" s="191"/>
      <c r="H347" s="191"/>
      <c r="I347" s="191"/>
      <c r="J347" s="191"/>
      <c r="K347" s="191"/>
      <c r="L347" s="191"/>
      <c r="M347" s="191"/>
      <c r="N347" s="191"/>
      <c r="O347" s="191"/>
      <c r="Q347" s="183"/>
    </row>
    <row r="348">
      <c r="B348" s="190" t="str">
        <f>IFERROR(__xludf.DUMMYFUNCTION("""COMPUTED_VALUE"""),"#VALUE!")</f>
        <v>#VALUE!</v>
      </c>
      <c r="C348" s="190"/>
      <c r="D348" s="190" t="e">
        <v>#DIV/0!</v>
      </c>
      <c r="E348" s="190" t="e">
        <v>#DIV/0!</v>
      </c>
      <c r="F348" s="183"/>
      <c r="G348" s="191"/>
      <c r="H348" s="191"/>
      <c r="I348" s="191"/>
      <c r="J348" s="191"/>
      <c r="K348" s="191"/>
      <c r="L348" s="191"/>
      <c r="M348" s="191"/>
      <c r="N348" s="191"/>
      <c r="O348" s="191"/>
      <c r="Q348" s="183"/>
    </row>
    <row r="349">
      <c r="B349" s="190" t="str">
        <f>IFERROR(__xludf.DUMMYFUNCTION("""COMPUTED_VALUE"""),"#VALUE!")</f>
        <v>#VALUE!</v>
      </c>
      <c r="C349" s="190"/>
      <c r="D349" s="190" t="e">
        <v>#DIV/0!</v>
      </c>
      <c r="E349" s="190" t="e">
        <v>#DIV/0!</v>
      </c>
      <c r="F349" s="183"/>
      <c r="G349" s="191"/>
      <c r="H349" s="191"/>
      <c r="I349" s="191"/>
      <c r="J349" s="191"/>
      <c r="K349" s="191"/>
      <c r="L349" s="191"/>
      <c r="M349" s="191"/>
      <c r="N349" s="191"/>
      <c r="O349" s="191"/>
      <c r="Q349" s="183"/>
    </row>
    <row r="350">
      <c r="B350" s="190" t="str">
        <f>IFERROR(__xludf.DUMMYFUNCTION("""COMPUTED_VALUE"""),"#VALUE!")</f>
        <v>#VALUE!</v>
      </c>
      <c r="C350" s="190"/>
      <c r="D350" s="190" t="e">
        <v>#DIV/0!</v>
      </c>
      <c r="E350" s="190" t="e">
        <v>#DIV/0!</v>
      </c>
      <c r="F350" s="183"/>
      <c r="G350" s="191"/>
      <c r="H350" s="191"/>
      <c r="I350" s="191"/>
      <c r="J350" s="191"/>
      <c r="K350" s="191"/>
      <c r="L350" s="191"/>
      <c r="M350" s="191"/>
      <c r="N350" s="191"/>
      <c r="O350" s="191"/>
      <c r="Q350" s="183"/>
    </row>
    <row r="351">
      <c r="B351" s="190" t="str">
        <f>IFERROR(__xludf.DUMMYFUNCTION("""COMPUTED_VALUE"""),"#VALUE!")</f>
        <v>#VALUE!</v>
      </c>
      <c r="C351" s="190"/>
      <c r="D351" s="190" t="e">
        <v>#DIV/0!</v>
      </c>
      <c r="E351" s="190" t="e">
        <v>#DIV/0!</v>
      </c>
      <c r="F351" s="183"/>
      <c r="G351" s="191"/>
      <c r="H351" s="191"/>
      <c r="I351" s="191"/>
      <c r="J351" s="191"/>
      <c r="K351" s="191"/>
      <c r="L351" s="191"/>
      <c r="M351" s="191"/>
      <c r="N351" s="191"/>
      <c r="O351" s="191"/>
      <c r="Q351" s="183"/>
    </row>
    <row r="352">
      <c r="B352" s="190" t="str">
        <f>IFERROR(__xludf.DUMMYFUNCTION("""COMPUTED_VALUE"""),"#VALUE!")</f>
        <v>#VALUE!</v>
      </c>
      <c r="C352" s="190"/>
      <c r="D352" s="190" t="e">
        <v>#DIV/0!</v>
      </c>
      <c r="E352" s="190" t="e">
        <v>#DIV/0!</v>
      </c>
      <c r="F352" s="183"/>
      <c r="G352" s="191"/>
      <c r="H352" s="191"/>
      <c r="I352" s="191"/>
      <c r="J352" s="191"/>
      <c r="K352" s="191"/>
      <c r="L352" s="191"/>
      <c r="M352" s="191"/>
      <c r="N352" s="191"/>
      <c r="O352" s="191"/>
      <c r="Q352" s="183"/>
    </row>
    <row r="353">
      <c r="B353" s="190" t="str">
        <f>IFERROR(__xludf.DUMMYFUNCTION("""COMPUTED_VALUE"""),"#VALUE!")</f>
        <v>#VALUE!</v>
      </c>
      <c r="C353" s="190"/>
      <c r="D353" s="190" t="e">
        <v>#DIV/0!</v>
      </c>
      <c r="E353" s="190" t="e">
        <v>#DIV/0!</v>
      </c>
      <c r="F353" s="183"/>
      <c r="G353" s="191"/>
      <c r="H353" s="191"/>
      <c r="I353" s="191"/>
      <c r="J353" s="191"/>
      <c r="K353" s="191"/>
      <c r="L353" s="191"/>
      <c r="M353" s="191"/>
      <c r="N353" s="191"/>
      <c r="O353" s="191"/>
      <c r="Q353" s="183"/>
    </row>
    <row r="354">
      <c r="B354" s="190" t="str">
        <f>IFERROR(__xludf.DUMMYFUNCTION("""COMPUTED_VALUE"""),"#VALUE!")</f>
        <v>#VALUE!</v>
      </c>
      <c r="C354" s="190"/>
      <c r="D354" s="190" t="e">
        <v>#DIV/0!</v>
      </c>
      <c r="E354" s="190" t="e">
        <v>#DIV/0!</v>
      </c>
      <c r="F354" s="183"/>
      <c r="G354" s="191"/>
      <c r="H354" s="191"/>
      <c r="I354" s="191"/>
      <c r="J354" s="191"/>
      <c r="K354" s="191"/>
      <c r="L354" s="191"/>
      <c r="M354" s="191"/>
      <c r="N354" s="191"/>
      <c r="O354" s="191"/>
      <c r="Q354" s="183"/>
    </row>
    <row r="355">
      <c r="B355" s="190" t="str">
        <f>IFERROR(__xludf.DUMMYFUNCTION("""COMPUTED_VALUE"""),"#VALUE!")</f>
        <v>#VALUE!</v>
      </c>
      <c r="C355" s="190"/>
      <c r="D355" s="190" t="e">
        <v>#DIV/0!</v>
      </c>
      <c r="E355" s="190" t="e">
        <v>#DIV/0!</v>
      </c>
      <c r="F355" s="183"/>
      <c r="G355" s="191"/>
      <c r="H355" s="191"/>
      <c r="I355" s="191"/>
      <c r="J355" s="191"/>
      <c r="K355" s="191"/>
      <c r="L355" s="191"/>
      <c r="M355" s="191"/>
      <c r="N355" s="191"/>
      <c r="O355" s="191"/>
      <c r="Q355" s="183"/>
    </row>
    <row r="356">
      <c r="B356" s="190" t="str">
        <f>IFERROR(__xludf.DUMMYFUNCTION("""COMPUTED_VALUE"""),"#VALUE!")</f>
        <v>#VALUE!</v>
      </c>
      <c r="C356" s="190"/>
      <c r="D356" s="190" t="e">
        <v>#DIV/0!</v>
      </c>
      <c r="E356" s="190" t="e">
        <v>#DIV/0!</v>
      </c>
      <c r="F356" s="183"/>
      <c r="G356" s="191"/>
      <c r="H356" s="191"/>
      <c r="I356" s="191"/>
      <c r="J356" s="191"/>
      <c r="K356" s="191"/>
      <c r="L356" s="191"/>
      <c r="M356" s="191"/>
      <c r="N356" s="191"/>
      <c r="O356" s="191"/>
      <c r="Q356" s="183"/>
    </row>
    <row r="357">
      <c r="B357" s="190" t="str">
        <f>IFERROR(__xludf.DUMMYFUNCTION("""COMPUTED_VALUE"""),"#VALUE!")</f>
        <v>#VALUE!</v>
      </c>
      <c r="C357" s="190"/>
      <c r="D357" s="190" t="e">
        <v>#DIV/0!</v>
      </c>
      <c r="E357" s="190" t="e">
        <v>#DIV/0!</v>
      </c>
      <c r="F357" s="183"/>
      <c r="G357" s="191"/>
      <c r="H357" s="191"/>
      <c r="I357" s="191"/>
      <c r="J357" s="191"/>
      <c r="K357" s="191"/>
      <c r="L357" s="191"/>
      <c r="M357" s="191"/>
      <c r="N357" s="191"/>
      <c r="O357" s="191"/>
      <c r="Q357" s="183"/>
    </row>
    <row r="358">
      <c r="B358" s="190" t="str">
        <f>IFERROR(__xludf.DUMMYFUNCTION("""COMPUTED_VALUE"""),"#VALUE!")</f>
        <v>#VALUE!</v>
      </c>
      <c r="C358" s="190"/>
      <c r="D358" s="190" t="e">
        <v>#DIV/0!</v>
      </c>
      <c r="E358" s="190" t="e">
        <v>#DIV/0!</v>
      </c>
      <c r="F358" s="183"/>
      <c r="G358" s="191"/>
      <c r="H358" s="191"/>
      <c r="I358" s="191"/>
      <c r="J358" s="191"/>
      <c r="K358" s="191"/>
      <c r="L358" s="191"/>
      <c r="M358" s="191"/>
      <c r="N358" s="191"/>
      <c r="O358" s="191"/>
      <c r="Q358" s="183"/>
    </row>
    <row r="359">
      <c r="B359" s="190" t="str">
        <f>IFERROR(__xludf.DUMMYFUNCTION("""COMPUTED_VALUE"""),"#VALUE!")</f>
        <v>#VALUE!</v>
      </c>
      <c r="C359" s="190"/>
      <c r="D359" s="190" t="e">
        <v>#DIV/0!</v>
      </c>
      <c r="E359" s="190" t="e">
        <v>#DIV/0!</v>
      </c>
      <c r="F359" s="183"/>
      <c r="G359" s="191"/>
      <c r="H359" s="191"/>
      <c r="I359" s="191"/>
      <c r="J359" s="191"/>
      <c r="K359" s="191"/>
      <c r="L359" s="191"/>
      <c r="M359" s="191"/>
      <c r="N359" s="191"/>
      <c r="O359" s="191"/>
      <c r="Q359" s="183"/>
    </row>
    <row r="360">
      <c r="B360" s="190" t="str">
        <f>IFERROR(__xludf.DUMMYFUNCTION("""COMPUTED_VALUE"""),"#VALUE!")</f>
        <v>#VALUE!</v>
      </c>
      <c r="C360" s="190"/>
      <c r="D360" s="190" t="e">
        <v>#DIV/0!</v>
      </c>
      <c r="E360" s="190" t="e">
        <v>#DIV/0!</v>
      </c>
      <c r="F360" s="183"/>
      <c r="G360" s="191"/>
      <c r="H360" s="191"/>
      <c r="I360" s="191"/>
      <c r="J360" s="191"/>
      <c r="K360" s="191"/>
      <c r="L360" s="191"/>
      <c r="M360" s="191"/>
      <c r="N360" s="191"/>
      <c r="O360" s="191"/>
      <c r="Q360" s="183"/>
    </row>
    <row r="361">
      <c r="B361" s="190" t="str">
        <f>IFERROR(__xludf.DUMMYFUNCTION("""COMPUTED_VALUE"""),"#VALUE!")</f>
        <v>#VALUE!</v>
      </c>
      <c r="C361" s="190"/>
      <c r="D361" s="190" t="e">
        <v>#DIV/0!</v>
      </c>
      <c r="E361" s="190" t="e">
        <v>#DIV/0!</v>
      </c>
      <c r="F361" s="183"/>
      <c r="G361" s="191"/>
      <c r="H361" s="191"/>
      <c r="I361" s="191"/>
      <c r="J361" s="191"/>
      <c r="K361" s="191"/>
      <c r="L361" s="191"/>
      <c r="M361" s="191"/>
      <c r="N361" s="191"/>
      <c r="O361" s="191"/>
      <c r="Q361" s="183"/>
    </row>
    <row r="362">
      <c r="B362" s="190" t="str">
        <f>IFERROR(__xludf.DUMMYFUNCTION("""COMPUTED_VALUE"""),"#VALUE!")</f>
        <v>#VALUE!</v>
      </c>
      <c r="C362" s="190"/>
      <c r="D362" s="190" t="e">
        <v>#DIV/0!</v>
      </c>
      <c r="E362" s="190" t="e">
        <v>#DIV/0!</v>
      </c>
      <c r="F362" s="183"/>
      <c r="G362" s="191"/>
      <c r="H362" s="191"/>
      <c r="I362" s="191"/>
      <c r="J362" s="191"/>
      <c r="K362" s="191"/>
      <c r="L362" s="191"/>
      <c r="M362" s="191"/>
      <c r="N362" s="191"/>
      <c r="O362" s="191"/>
      <c r="Q362" s="183"/>
    </row>
    <row r="363">
      <c r="B363" s="190" t="str">
        <f>IFERROR(__xludf.DUMMYFUNCTION("""COMPUTED_VALUE"""),"#VALUE!")</f>
        <v>#VALUE!</v>
      </c>
      <c r="C363" s="190"/>
      <c r="D363" s="190" t="e">
        <v>#DIV/0!</v>
      </c>
      <c r="E363" s="190" t="e">
        <v>#DIV/0!</v>
      </c>
      <c r="F363" s="183"/>
      <c r="G363" s="191"/>
      <c r="H363" s="191"/>
      <c r="I363" s="191"/>
      <c r="J363" s="191"/>
      <c r="K363" s="191"/>
      <c r="L363" s="191"/>
      <c r="M363" s="191"/>
      <c r="N363" s="191"/>
      <c r="O363" s="191"/>
      <c r="Q363" s="183"/>
    </row>
    <row r="364">
      <c r="B364" s="190" t="str">
        <f>IFERROR(__xludf.DUMMYFUNCTION("""COMPUTED_VALUE"""),"#VALUE!")</f>
        <v>#VALUE!</v>
      </c>
      <c r="C364" s="190"/>
      <c r="D364" s="190" t="e">
        <v>#DIV/0!</v>
      </c>
      <c r="E364" s="190" t="e">
        <v>#DIV/0!</v>
      </c>
      <c r="F364" s="183"/>
      <c r="G364" s="191"/>
      <c r="H364" s="191"/>
      <c r="I364" s="191"/>
      <c r="J364" s="191"/>
      <c r="K364" s="191"/>
      <c r="L364" s="191"/>
      <c r="M364" s="191"/>
      <c r="N364" s="191"/>
      <c r="O364" s="191"/>
      <c r="Q364" s="183"/>
    </row>
    <row r="365">
      <c r="B365" s="190" t="str">
        <f>IFERROR(__xludf.DUMMYFUNCTION("""COMPUTED_VALUE"""),"#VALUE!")</f>
        <v>#VALUE!</v>
      </c>
      <c r="C365" s="190"/>
      <c r="D365" s="190" t="e">
        <v>#DIV/0!</v>
      </c>
      <c r="E365" s="190" t="e">
        <v>#DIV/0!</v>
      </c>
      <c r="F365" s="183"/>
      <c r="G365" s="191"/>
      <c r="H365" s="191"/>
      <c r="I365" s="191"/>
      <c r="J365" s="191"/>
      <c r="K365" s="191"/>
      <c r="L365" s="191"/>
      <c r="M365" s="191"/>
      <c r="N365" s="191"/>
      <c r="O365" s="191"/>
      <c r="Q365" s="183"/>
    </row>
    <row r="366">
      <c r="B366" s="190" t="str">
        <f>IFERROR(__xludf.DUMMYFUNCTION("""COMPUTED_VALUE"""),"#VALUE!")</f>
        <v>#VALUE!</v>
      </c>
      <c r="C366" s="190"/>
      <c r="D366" s="190" t="e">
        <v>#DIV/0!</v>
      </c>
      <c r="E366" s="190" t="e">
        <v>#DIV/0!</v>
      </c>
      <c r="F366" s="183"/>
      <c r="G366" s="191"/>
      <c r="H366" s="191"/>
      <c r="I366" s="191"/>
      <c r="J366" s="191"/>
      <c r="K366" s="191"/>
      <c r="L366" s="191"/>
      <c r="M366" s="191"/>
      <c r="N366" s="191"/>
      <c r="O366" s="191"/>
      <c r="Q366" s="183"/>
    </row>
    <row r="367">
      <c r="B367" s="190" t="str">
        <f>IFERROR(__xludf.DUMMYFUNCTION("""COMPUTED_VALUE"""),"#VALUE!")</f>
        <v>#VALUE!</v>
      </c>
      <c r="C367" s="190"/>
      <c r="D367" s="190" t="e">
        <v>#DIV/0!</v>
      </c>
      <c r="E367" s="190" t="e">
        <v>#DIV/0!</v>
      </c>
      <c r="F367" s="183"/>
      <c r="G367" s="191"/>
      <c r="H367" s="191"/>
      <c r="I367" s="191"/>
      <c r="J367" s="191"/>
      <c r="K367" s="191"/>
      <c r="L367" s="191"/>
      <c r="M367" s="191"/>
      <c r="N367" s="191"/>
      <c r="O367" s="191"/>
      <c r="Q367" s="183"/>
    </row>
    <row r="368">
      <c r="B368" s="190" t="str">
        <f>IFERROR(__xludf.DUMMYFUNCTION("""COMPUTED_VALUE"""),"#VALUE!")</f>
        <v>#VALUE!</v>
      </c>
      <c r="C368" s="190"/>
      <c r="D368" s="190" t="e">
        <v>#DIV/0!</v>
      </c>
      <c r="E368" s="190" t="e">
        <v>#DIV/0!</v>
      </c>
      <c r="F368" s="183"/>
      <c r="G368" s="191"/>
      <c r="H368" s="191"/>
      <c r="I368" s="191"/>
      <c r="J368" s="191"/>
      <c r="K368" s="191"/>
      <c r="L368" s="191"/>
      <c r="M368" s="191"/>
      <c r="N368" s="191"/>
      <c r="O368" s="191"/>
      <c r="Q368" s="183"/>
    </row>
    <row r="369">
      <c r="B369" s="190" t="str">
        <f>IFERROR(__xludf.DUMMYFUNCTION("""COMPUTED_VALUE"""),"#VALUE!")</f>
        <v>#VALUE!</v>
      </c>
      <c r="C369" s="190"/>
      <c r="D369" s="190" t="e">
        <v>#DIV/0!</v>
      </c>
      <c r="E369" s="190" t="e">
        <v>#DIV/0!</v>
      </c>
      <c r="F369" s="183"/>
      <c r="G369" s="191"/>
      <c r="H369" s="191"/>
      <c r="I369" s="191"/>
      <c r="J369" s="191"/>
      <c r="K369" s="191"/>
      <c r="L369" s="191"/>
      <c r="M369" s="191"/>
      <c r="N369" s="191"/>
      <c r="O369" s="191"/>
      <c r="Q369" s="183"/>
    </row>
    <row r="370">
      <c r="B370" s="190" t="str">
        <f>IFERROR(__xludf.DUMMYFUNCTION("""COMPUTED_VALUE"""),"#VALUE!")</f>
        <v>#VALUE!</v>
      </c>
      <c r="C370" s="190"/>
      <c r="D370" s="190" t="e">
        <v>#DIV/0!</v>
      </c>
      <c r="E370" s="190" t="e">
        <v>#DIV/0!</v>
      </c>
      <c r="F370" s="183"/>
      <c r="G370" s="191"/>
      <c r="H370" s="191"/>
      <c r="I370" s="191"/>
      <c r="J370" s="191"/>
      <c r="K370" s="191"/>
      <c r="L370" s="191"/>
      <c r="M370" s="191"/>
      <c r="N370" s="191"/>
      <c r="O370" s="191"/>
      <c r="Q370" s="183"/>
    </row>
    <row r="371">
      <c r="B371" s="190" t="str">
        <f>IFERROR(__xludf.DUMMYFUNCTION("""COMPUTED_VALUE"""),"#VALUE!")</f>
        <v>#VALUE!</v>
      </c>
      <c r="C371" s="190"/>
      <c r="D371" s="190" t="e">
        <v>#DIV/0!</v>
      </c>
      <c r="E371" s="190" t="e">
        <v>#DIV/0!</v>
      </c>
      <c r="F371" s="183"/>
      <c r="G371" s="191"/>
      <c r="H371" s="191"/>
      <c r="I371" s="191"/>
      <c r="J371" s="191"/>
      <c r="K371" s="191"/>
      <c r="L371" s="191"/>
      <c r="M371" s="191"/>
      <c r="N371" s="191"/>
      <c r="O371" s="191"/>
      <c r="Q371" s="183"/>
    </row>
    <row r="372">
      <c r="B372" s="190" t="str">
        <f>IFERROR(__xludf.DUMMYFUNCTION("""COMPUTED_VALUE"""),"#VALUE!")</f>
        <v>#VALUE!</v>
      </c>
      <c r="C372" s="190"/>
      <c r="D372" s="190" t="e">
        <v>#DIV/0!</v>
      </c>
      <c r="E372" s="190" t="e">
        <v>#DIV/0!</v>
      </c>
      <c r="F372" s="183"/>
      <c r="G372" s="191"/>
      <c r="H372" s="191"/>
      <c r="I372" s="191"/>
      <c r="J372" s="191"/>
      <c r="K372" s="191"/>
      <c r="L372" s="191"/>
      <c r="M372" s="191"/>
      <c r="N372" s="191"/>
      <c r="O372" s="191"/>
      <c r="Q372" s="183"/>
    </row>
    <row r="373">
      <c r="B373" s="190" t="str">
        <f>IFERROR(__xludf.DUMMYFUNCTION("""COMPUTED_VALUE"""),"#VALUE!")</f>
        <v>#VALUE!</v>
      </c>
      <c r="C373" s="190"/>
      <c r="D373" s="190" t="e">
        <v>#DIV/0!</v>
      </c>
      <c r="E373" s="190" t="e">
        <v>#DIV/0!</v>
      </c>
      <c r="F373" s="183"/>
      <c r="G373" s="191"/>
      <c r="H373" s="191"/>
      <c r="I373" s="191"/>
      <c r="J373" s="191"/>
      <c r="K373" s="191"/>
      <c r="L373" s="191"/>
      <c r="M373" s="191"/>
      <c r="N373" s="191"/>
      <c r="O373" s="191"/>
      <c r="Q373" s="183"/>
    </row>
    <row r="374">
      <c r="B374" s="190" t="str">
        <f>IFERROR(__xludf.DUMMYFUNCTION("""COMPUTED_VALUE"""),"#VALUE!")</f>
        <v>#VALUE!</v>
      </c>
      <c r="C374" s="190"/>
      <c r="D374" s="190" t="e">
        <v>#DIV/0!</v>
      </c>
      <c r="E374" s="190" t="e">
        <v>#DIV/0!</v>
      </c>
      <c r="F374" s="183"/>
      <c r="G374" s="191"/>
      <c r="H374" s="191"/>
      <c r="I374" s="191"/>
      <c r="J374" s="191"/>
      <c r="K374" s="191"/>
      <c r="L374" s="191"/>
      <c r="M374" s="191"/>
      <c r="N374" s="191"/>
      <c r="O374" s="191"/>
      <c r="Q374" s="183"/>
    </row>
    <row r="375">
      <c r="B375" s="190" t="str">
        <f>IFERROR(__xludf.DUMMYFUNCTION("""COMPUTED_VALUE"""),"#VALUE!")</f>
        <v>#VALUE!</v>
      </c>
      <c r="C375" s="190"/>
      <c r="D375" s="190" t="e">
        <v>#DIV/0!</v>
      </c>
      <c r="E375" s="190" t="e">
        <v>#DIV/0!</v>
      </c>
      <c r="F375" s="183"/>
      <c r="G375" s="191"/>
      <c r="H375" s="191"/>
      <c r="I375" s="191"/>
      <c r="J375" s="191"/>
      <c r="K375" s="191"/>
      <c r="L375" s="191"/>
      <c r="M375" s="191"/>
      <c r="N375" s="191"/>
      <c r="O375" s="191"/>
      <c r="Q375" s="183"/>
    </row>
    <row r="376">
      <c r="B376" s="190" t="str">
        <f>IFERROR(__xludf.DUMMYFUNCTION("""COMPUTED_VALUE"""),"#VALUE!")</f>
        <v>#VALUE!</v>
      </c>
      <c r="C376" s="190"/>
      <c r="D376" s="190" t="e">
        <v>#DIV/0!</v>
      </c>
      <c r="E376" s="190" t="e">
        <v>#DIV/0!</v>
      </c>
      <c r="F376" s="183"/>
      <c r="G376" s="191"/>
      <c r="H376" s="191"/>
      <c r="I376" s="191"/>
      <c r="J376" s="191"/>
      <c r="K376" s="191"/>
      <c r="L376" s="191"/>
      <c r="M376" s="191"/>
      <c r="N376" s="191"/>
      <c r="O376" s="191"/>
      <c r="Q376" s="183"/>
    </row>
    <row r="377">
      <c r="B377" s="190" t="str">
        <f>IFERROR(__xludf.DUMMYFUNCTION("""COMPUTED_VALUE"""),"#VALUE!")</f>
        <v>#VALUE!</v>
      </c>
      <c r="C377" s="190"/>
      <c r="D377" s="190" t="e">
        <v>#DIV/0!</v>
      </c>
      <c r="E377" s="190" t="e">
        <v>#DIV/0!</v>
      </c>
      <c r="F377" s="183"/>
      <c r="G377" s="191"/>
      <c r="H377" s="191"/>
      <c r="I377" s="191"/>
      <c r="J377" s="191"/>
      <c r="K377" s="191"/>
      <c r="L377" s="191"/>
      <c r="M377" s="191"/>
      <c r="N377" s="191"/>
      <c r="O377" s="191"/>
      <c r="Q377" s="183"/>
    </row>
    <row r="378">
      <c r="B378" s="190" t="str">
        <f>IFERROR(__xludf.DUMMYFUNCTION("""COMPUTED_VALUE"""),"#VALUE!")</f>
        <v>#VALUE!</v>
      </c>
      <c r="C378" s="190"/>
      <c r="D378" s="190" t="e">
        <v>#DIV/0!</v>
      </c>
      <c r="E378" s="190" t="e">
        <v>#DIV/0!</v>
      </c>
      <c r="F378" s="183"/>
      <c r="G378" s="191"/>
      <c r="H378" s="191"/>
      <c r="I378" s="191"/>
      <c r="J378" s="191"/>
      <c r="K378" s="191"/>
      <c r="L378" s="191"/>
      <c r="M378" s="191"/>
      <c r="N378" s="191"/>
      <c r="O378" s="191"/>
      <c r="Q378" s="183"/>
    </row>
    <row r="379">
      <c r="B379" s="190" t="str">
        <f>IFERROR(__xludf.DUMMYFUNCTION("""COMPUTED_VALUE"""),"#VALUE!")</f>
        <v>#VALUE!</v>
      </c>
      <c r="C379" s="190"/>
      <c r="D379" s="190" t="e">
        <v>#DIV/0!</v>
      </c>
      <c r="E379" s="190" t="e">
        <v>#DIV/0!</v>
      </c>
      <c r="F379" s="183"/>
      <c r="G379" s="191"/>
      <c r="H379" s="191"/>
      <c r="I379" s="191"/>
      <c r="J379" s="191"/>
      <c r="K379" s="191"/>
      <c r="L379" s="191"/>
      <c r="M379" s="191"/>
      <c r="N379" s="191"/>
      <c r="O379" s="191"/>
      <c r="Q379" s="183"/>
    </row>
    <row r="380">
      <c r="B380" s="190" t="str">
        <f>IFERROR(__xludf.DUMMYFUNCTION("""COMPUTED_VALUE"""),"#VALUE!")</f>
        <v>#VALUE!</v>
      </c>
      <c r="C380" s="190"/>
      <c r="D380" s="190" t="e">
        <v>#DIV/0!</v>
      </c>
      <c r="E380" s="190" t="e">
        <v>#DIV/0!</v>
      </c>
      <c r="F380" s="183"/>
      <c r="G380" s="191"/>
      <c r="H380" s="191"/>
      <c r="I380" s="191"/>
      <c r="J380" s="191"/>
      <c r="K380" s="191"/>
      <c r="L380" s="191"/>
      <c r="M380" s="191"/>
      <c r="N380" s="191"/>
      <c r="O380" s="191"/>
      <c r="Q380" s="183"/>
    </row>
    <row r="381">
      <c r="B381" s="190" t="str">
        <f>IFERROR(__xludf.DUMMYFUNCTION("""COMPUTED_VALUE"""),"#VALUE!")</f>
        <v>#VALUE!</v>
      </c>
      <c r="C381" s="190"/>
      <c r="D381" s="190" t="e">
        <v>#DIV/0!</v>
      </c>
      <c r="E381" s="190" t="e">
        <v>#DIV/0!</v>
      </c>
      <c r="F381" s="183"/>
      <c r="G381" s="191"/>
      <c r="H381" s="191"/>
      <c r="I381" s="191"/>
      <c r="J381" s="191"/>
      <c r="K381" s="191"/>
      <c r="L381" s="191"/>
      <c r="M381" s="191"/>
      <c r="N381" s="191"/>
      <c r="O381" s="191"/>
      <c r="Q381" s="183"/>
    </row>
    <row r="382">
      <c r="B382" s="190" t="str">
        <f>IFERROR(__xludf.DUMMYFUNCTION("""COMPUTED_VALUE"""),"#VALUE!")</f>
        <v>#VALUE!</v>
      </c>
      <c r="C382" s="190"/>
      <c r="D382" s="190" t="e">
        <v>#DIV/0!</v>
      </c>
      <c r="E382" s="190" t="e">
        <v>#DIV/0!</v>
      </c>
      <c r="F382" s="183"/>
      <c r="G382" s="191"/>
      <c r="H382" s="191"/>
      <c r="I382" s="191"/>
      <c r="J382" s="191"/>
      <c r="K382" s="191"/>
      <c r="L382" s="191"/>
      <c r="M382" s="191"/>
      <c r="N382" s="191"/>
      <c r="O382" s="191"/>
      <c r="Q382" s="183"/>
    </row>
    <row r="383">
      <c r="B383" s="190" t="str">
        <f>IFERROR(__xludf.DUMMYFUNCTION("""COMPUTED_VALUE"""),"#VALUE!")</f>
        <v>#VALUE!</v>
      </c>
      <c r="C383" s="190"/>
      <c r="D383" s="190" t="e">
        <v>#DIV/0!</v>
      </c>
      <c r="E383" s="190" t="e">
        <v>#DIV/0!</v>
      </c>
      <c r="F383" s="183"/>
      <c r="G383" s="191"/>
      <c r="H383" s="191"/>
      <c r="I383" s="191"/>
      <c r="J383" s="191"/>
      <c r="K383" s="191"/>
      <c r="L383" s="191"/>
      <c r="M383" s="191"/>
      <c r="N383" s="191"/>
      <c r="O383" s="191"/>
      <c r="Q383" s="183"/>
    </row>
    <row r="384">
      <c r="B384" s="190" t="str">
        <f>IFERROR(__xludf.DUMMYFUNCTION("""COMPUTED_VALUE"""),"#VALUE!")</f>
        <v>#VALUE!</v>
      </c>
      <c r="C384" s="190"/>
      <c r="D384" s="190" t="e">
        <v>#DIV/0!</v>
      </c>
      <c r="E384" s="190" t="e">
        <v>#DIV/0!</v>
      </c>
      <c r="F384" s="183"/>
      <c r="G384" s="191"/>
      <c r="H384" s="191"/>
      <c r="I384" s="191"/>
      <c r="J384" s="191"/>
      <c r="K384" s="191"/>
      <c r="L384" s="191"/>
      <c r="M384" s="191"/>
      <c r="N384" s="191"/>
      <c r="O384" s="191"/>
      <c r="Q384" s="183"/>
    </row>
    <row r="385">
      <c r="B385" s="190" t="str">
        <f>IFERROR(__xludf.DUMMYFUNCTION("""COMPUTED_VALUE"""),"#VALUE!")</f>
        <v>#VALUE!</v>
      </c>
      <c r="C385" s="190"/>
      <c r="D385" s="190" t="e">
        <v>#DIV/0!</v>
      </c>
      <c r="E385" s="190" t="e">
        <v>#DIV/0!</v>
      </c>
      <c r="F385" s="183"/>
      <c r="G385" s="191"/>
      <c r="H385" s="191"/>
      <c r="I385" s="191"/>
      <c r="J385" s="191"/>
      <c r="K385" s="191"/>
      <c r="L385" s="191"/>
      <c r="M385" s="191"/>
      <c r="N385" s="191"/>
      <c r="O385" s="191"/>
      <c r="Q385" s="183"/>
    </row>
    <row r="386">
      <c r="B386" s="190" t="str">
        <f>IFERROR(__xludf.DUMMYFUNCTION("""COMPUTED_VALUE"""),"#VALUE!")</f>
        <v>#VALUE!</v>
      </c>
      <c r="C386" s="190"/>
      <c r="D386" s="190" t="e">
        <v>#DIV/0!</v>
      </c>
      <c r="E386" s="190" t="e">
        <v>#DIV/0!</v>
      </c>
      <c r="F386" s="183"/>
      <c r="G386" s="191"/>
      <c r="H386" s="191"/>
      <c r="I386" s="191"/>
      <c r="J386" s="191"/>
      <c r="K386" s="191"/>
      <c r="L386" s="191"/>
      <c r="M386" s="191"/>
      <c r="N386" s="191"/>
      <c r="O386" s="191"/>
      <c r="Q386" s="183"/>
    </row>
    <row r="387">
      <c r="B387" s="190" t="str">
        <f>IFERROR(__xludf.DUMMYFUNCTION("""COMPUTED_VALUE"""),"#VALUE!")</f>
        <v>#VALUE!</v>
      </c>
      <c r="C387" s="190"/>
      <c r="D387" s="190" t="e">
        <v>#DIV/0!</v>
      </c>
      <c r="E387" s="190" t="e">
        <v>#DIV/0!</v>
      </c>
      <c r="F387" s="183"/>
      <c r="G387" s="191"/>
      <c r="H387" s="191"/>
      <c r="I387" s="191"/>
      <c r="J387" s="191"/>
      <c r="K387" s="191"/>
      <c r="L387" s="191"/>
      <c r="M387" s="191"/>
      <c r="N387" s="191"/>
      <c r="O387" s="191"/>
      <c r="Q387" s="183"/>
    </row>
    <row r="388">
      <c r="B388" s="190" t="str">
        <f>IFERROR(__xludf.DUMMYFUNCTION("""COMPUTED_VALUE"""),"#VALUE!")</f>
        <v>#VALUE!</v>
      </c>
      <c r="C388" s="190"/>
      <c r="D388" s="190" t="e">
        <v>#DIV/0!</v>
      </c>
      <c r="E388" s="190" t="e">
        <v>#DIV/0!</v>
      </c>
      <c r="F388" s="183"/>
      <c r="G388" s="191"/>
      <c r="H388" s="191"/>
      <c r="I388" s="191"/>
      <c r="J388" s="191"/>
      <c r="K388" s="191"/>
      <c r="L388" s="191"/>
      <c r="M388" s="191"/>
      <c r="N388" s="191"/>
      <c r="O388" s="191"/>
      <c r="Q388" s="183"/>
    </row>
    <row r="389">
      <c r="B389" s="190" t="str">
        <f>IFERROR(__xludf.DUMMYFUNCTION("""COMPUTED_VALUE"""),"#VALUE!")</f>
        <v>#VALUE!</v>
      </c>
      <c r="C389" s="190"/>
      <c r="D389" s="190" t="e">
        <v>#DIV/0!</v>
      </c>
      <c r="E389" s="190" t="e">
        <v>#DIV/0!</v>
      </c>
      <c r="F389" s="183"/>
      <c r="G389" s="191"/>
      <c r="H389" s="191"/>
      <c r="I389" s="191"/>
      <c r="J389" s="191"/>
      <c r="K389" s="191"/>
      <c r="L389" s="191"/>
      <c r="M389" s="191"/>
      <c r="N389" s="191"/>
      <c r="O389" s="191"/>
      <c r="Q389" s="183"/>
    </row>
    <row r="390">
      <c r="B390" s="190" t="str">
        <f>IFERROR(__xludf.DUMMYFUNCTION("""COMPUTED_VALUE"""),"#VALUE!")</f>
        <v>#VALUE!</v>
      </c>
      <c r="C390" s="190"/>
      <c r="D390" s="190" t="e">
        <v>#DIV/0!</v>
      </c>
      <c r="E390" s="190" t="e">
        <v>#DIV/0!</v>
      </c>
      <c r="F390" s="183"/>
      <c r="G390" s="191"/>
      <c r="H390" s="191"/>
      <c r="I390" s="191"/>
      <c r="J390" s="191"/>
      <c r="K390" s="191"/>
      <c r="L390" s="191"/>
      <c r="M390" s="191"/>
      <c r="N390" s="191"/>
      <c r="O390" s="191"/>
      <c r="Q390" s="183"/>
    </row>
    <row r="391">
      <c r="B391" s="190" t="str">
        <f>IFERROR(__xludf.DUMMYFUNCTION("""COMPUTED_VALUE"""),"#VALUE!")</f>
        <v>#VALUE!</v>
      </c>
      <c r="C391" s="190"/>
      <c r="D391" s="190" t="e">
        <v>#DIV/0!</v>
      </c>
      <c r="E391" s="190" t="e">
        <v>#DIV/0!</v>
      </c>
      <c r="F391" s="183"/>
      <c r="G391" s="191"/>
      <c r="H391" s="191"/>
      <c r="I391" s="191"/>
      <c r="J391" s="191"/>
      <c r="K391" s="191"/>
      <c r="L391" s="191"/>
      <c r="M391" s="191"/>
      <c r="N391" s="191"/>
      <c r="O391" s="191"/>
      <c r="Q391" s="183"/>
    </row>
    <row r="392">
      <c r="B392" s="190" t="str">
        <f>IFERROR(__xludf.DUMMYFUNCTION("""COMPUTED_VALUE"""),"#VALUE!")</f>
        <v>#VALUE!</v>
      </c>
      <c r="C392" s="190"/>
      <c r="D392" s="190" t="e">
        <v>#DIV/0!</v>
      </c>
      <c r="E392" s="190" t="e">
        <v>#DIV/0!</v>
      </c>
      <c r="F392" s="183"/>
      <c r="G392" s="191"/>
      <c r="H392" s="191"/>
      <c r="I392" s="191"/>
      <c r="J392" s="191"/>
      <c r="K392" s="191"/>
      <c r="L392" s="191"/>
      <c r="M392" s="191"/>
      <c r="N392" s="191"/>
      <c r="O392" s="191"/>
      <c r="Q392" s="183"/>
    </row>
    <row r="393">
      <c r="B393" s="190" t="str">
        <f>IFERROR(__xludf.DUMMYFUNCTION("""COMPUTED_VALUE"""),"#VALUE!")</f>
        <v>#VALUE!</v>
      </c>
      <c r="C393" s="190"/>
      <c r="D393" s="190" t="e">
        <v>#DIV/0!</v>
      </c>
      <c r="E393" s="190" t="e">
        <v>#DIV/0!</v>
      </c>
      <c r="F393" s="183"/>
      <c r="G393" s="191"/>
      <c r="H393" s="191"/>
      <c r="I393" s="191"/>
      <c r="J393" s="191"/>
      <c r="K393" s="191"/>
      <c r="L393" s="191"/>
      <c r="M393" s="191"/>
      <c r="N393" s="191"/>
      <c r="O393" s="191"/>
      <c r="Q393" s="183"/>
    </row>
    <row r="394">
      <c r="B394" s="190" t="str">
        <f>IFERROR(__xludf.DUMMYFUNCTION("""COMPUTED_VALUE"""),"#VALUE!")</f>
        <v>#VALUE!</v>
      </c>
      <c r="C394" s="190"/>
      <c r="D394" s="190" t="e">
        <v>#DIV/0!</v>
      </c>
      <c r="E394" s="190" t="e">
        <v>#DIV/0!</v>
      </c>
      <c r="F394" s="183"/>
      <c r="G394" s="191"/>
      <c r="H394" s="191"/>
      <c r="I394" s="191"/>
      <c r="J394" s="191"/>
      <c r="K394" s="191"/>
      <c r="L394" s="191"/>
      <c r="M394" s="191"/>
      <c r="N394" s="191"/>
      <c r="O394" s="191"/>
      <c r="Q394" s="183"/>
    </row>
    <row r="395">
      <c r="B395" s="190" t="str">
        <f>IFERROR(__xludf.DUMMYFUNCTION("""COMPUTED_VALUE"""),"#VALUE!")</f>
        <v>#VALUE!</v>
      </c>
      <c r="C395" s="190"/>
      <c r="D395" s="190" t="e">
        <v>#DIV/0!</v>
      </c>
      <c r="E395" s="190" t="e">
        <v>#DIV/0!</v>
      </c>
      <c r="F395" s="183"/>
      <c r="G395" s="191"/>
      <c r="H395" s="191"/>
      <c r="I395" s="191"/>
      <c r="J395" s="191"/>
      <c r="K395" s="191"/>
      <c r="L395" s="191"/>
      <c r="M395" s="191"/>
      <c r="N395" s="191"/>
      <c r="O395" s="191"/>
      <c r="Q395" s="183"/>
    </row>
    <row r="396">
      <c r="B396" s="190" t="str">
        <f>IFERROR(__xludf.DUMMYFUNCTION("""COMPUTED_VALUE"""),"#VALUE!")</f>
        <v>#VALUE!</v>
      </c>
      <c r="C396" s="190"/>
      <c r="D396" s="190" t="e">
        <v>#DIV/0!</v>
      </c>
      <c r="E396" s="190" t="e">
        <v>#DIV/0!</v>
      </c>
      <c r="F396" s="183"/>
      <c r="G396" s="191"/>
      <c r="H396" s="191"/>
      <c r="I396" s="191"/>
      <c r="J396" s="191"/>
      <c r="K396" s="191"/>
      <c r="L396" s="191"/>
      <c r="M396" s="191"/>
      <c r="N396" s="191"/>
      <c r="O396" s="191"/>
      <c r="Q396" s="183"/>
    </row>
    <row r="397">
      <c r="B397" s="190" t="str">
        <f>IFERROR(__xludf.DUMMYFUNCTION("""COMPUTED_VALUE"""),"#VALUE!")</f>
        <v>#VALUE!</v>
      </c>
      <c r="C397" s="190"/>
      <c r="D397" s="190" t="e">
        <v>#DIV/0!</v>
      </c>
      <c r="E397" s="190" t="e">
        <v>#DIV/0!</v>
      </c>
      <c r="F397" s="183"/>
      <c r="G397" s="191"/>
      <c r="H397" s="191"/>
      <c r="I397" s="191"/>
      <c r="J397" s="191"/>
      <c r="K397" s="191"/>
      <c r="L397" s="191"/>
      <c r="M397" s="191"/>
      <c r="N397" s="191"/>
      <c r="O397" s="191"/>
      <c r="Q397" s="183"/>
    </row>
    <row r="398">
      <c r="B398" s="190" t="str">
        <f>IFERROR(__xludf.DUMMYFUNCTION("""COMPUTED_VALUE"""),"#VALUE!")</f>
        <v>#VALUE!</v>
      </c>
      <c r="C398" s="190"/>
      <c r="D398" s="190" t="e">
        <v>#DIV/0!</v>
      </c>
      <c r="E398" s="190" t="e">
        <v>#DIV/0!</v>
      </c>
      <c r="F398" s="183"/>
      <c r="G398" s="191"/>
      <c r="H398" s="191"/>
      <c r="I398" s="191"/>
      <c r="J398" s="191"/>
      <c r="K398" s="191"/>
      <c r="L398" s="191"/>
      <c r="M398" s="191"/>
      <c r="N398" s="191"/>
      <c r="O398" s="191"/>
      <c r="Q398" s="183"/>
    </row>
    <row r="399">
      <c r="B399" s="190" t="str">
        <f>IFERROR(__xludf.DUMMYFUNCTION("""COMPUTED_VALUE"""),"#VALUE!")</f>
        <v>#VALUE!</v>
      </c>
      <c r="C399" s="190"/>
      <c r="D399" s="190" t="e">
        <v>#DIV/0!</v>
      </c>
      <c r="E399" s="190" t="e">
        <v>#DIV/0!</v>
      </c>
      <c r="F399" s="183"/>
      <c r="G399" s="191"/>
      <c r="H399" s="191"/>
      <c r="I399" s="191"/>
      <c r="J399" s="191"/>
      <c r="K399" s="191"/>
      <c r="L399" s="191"/>
      <c r="M399" s="191"/>
      <c r="N399" s="191"/>
      <c r="O399" s="191"/>
      <c r="Q399" s="183"/>
    </row>
    <row r="400">
      <c r="B400" s="190" t="str">
        <f>IFERROR(__xludf.DUMMYFUNCTION("""COMPUTED_VALUE"""),"#VALUE!")</f>
        <v>#VALUE!</v>
      </c>
      <c r="C400" s="190"/>
      <c r="D400" s="190" t="e">
        <v>#DIV/0!</v>
      </c>
      <c r="E400" s="190" t="e">
        <v>#DIV/0!</v>
      </c>
      <c r="F400" s="183"/>
      <c r="G400" s="191"/>
      <c r="H400" s="191"/>
      <c r="I400" s="191"/>
      <c r="J400" s="191"/>
      <c r="K400" s="191"/>
      <c r="L400" s="191"/>
      <c r="M400" s="191"/>
      <c r="N400" s="191"/>
      <c r="O400" s="191"/>
      <c r="Q400" s="183"/>
    </row>
    <row r="401">
      <c r="B401" s="190" t="str">
        <f>IFERROR(__xludf.DUMMYFUNCTION("""COMPUTED_VALUE"""),"#VALUE!")</f>
        <v>#VALUE!</v>
      </c>
      <c r="C401" s="190"/>
      <c r="D401" s="190" t="e">
        <v>#DIV/0!</v>
      </c>
      <c r="E401" s="190" t="e">
        <v>#DIV/0!</v>
      </c>
      <c r="F401" s="183"/>
      <c r="G401" s="191"/>
      <c r="H401" s="191"/>
      <c r="I401" s="191"/>
      <c r="J401" s="191"/>
      <c r="K401" s="191"/>
      <c r="L401" s="191"/>
      <c r="M401" s="191"/>
      <c r="N401" s="191"/>
      <c r="O401" s="191"/>
      <c r="Q401" s="183"/>
    </row>
    <row r="402">
      <c r="B402" s="190" t="str">
        <f>IFERROR(__xludf.DUMMYFUNCTION("""COMPUTED_VALUE"""),"#VALUE!")</f>
        <v>#VALUE!</v>
      </c>
      <c r="C402" s="190"/>
      <c r="D402" s="190" t="e">
        <v>#DIV/0!</v>
      </c>
      <c r="E402" s="190" t="e">
        <v>#DIV/0!</v>
      </c>
      <c r="F402" s="183"/>
      <c r="G402" s="191"/>
      <c r="H402" s="191"/>
      <c r="I402" s="191"/>
      <c r="J402" s="191"/>
      <c r="K402" s="191"/>
      <c r="L402" s="191"/>
      <c r="M402" s="191"/>
      <c r="N402" s="191"/>
      <c r="O402" s="191"/>
      <c r="Q402" s="183"/>
    </row>
    <row r="403">
      <c r="B403" s="190" t="str">
        <f>IFERROR(__xludf.DUMMYFUNCTION("""COMPUTED_VALUE"""),"#VALUE!")</f>
        <v>#VALUE!</v>
      </c>
      <c r="C403" s="190"/>
      <c r="D403" s="190" t="e">
        <v>#DIV/0!</v>
      </c>
      <c r="E403" s="190" t="e">
        <v>#DIV/0!</v>
      </c>
      <c r="F403" s="183"/>
      <c r="G403" s="191"/>
      <c r="H403" s="191"/>
      <c r="I403" s="191"/>
      <c r="J403" s="191"/>
      <c r="K403" s="191"/>
      <c r="L403" s="191"/>
      <c r="M403" s="191"/>
      <c r="N403" s="191"/>
      <c r="O403" s="191"/>
      <c r="Q403" s="183"/>
    </row>
    <row r="404">
      <c r="B404" s="190" t="str">
        <f>IFERROR(__xludf.DUMMYFUNCTION("""COMPUTED_VALUE"""),"#VALUE!")</f>
        <v>#VALUE!</v>
      </c>
      <c r="C404" s="190"/>
      <c r="D404" s="190" t="e">
        <v>#DIV/0!</v>
      </c>
      <c r="E404" s="190" t="e">
        <v>#DIV/0!</v>
      </c>
      <c r="F404" s="183"/>
      <c r="G404" s="191"/>
      <c r="H404" s="191"/>
      <c r="I404" s="191"/>
      <c r="J404" s="191"/>
      <c r="K404" s="191"/>
      <c r="L404" s="191"/>
      <c r="M404" s="191"/>
      <c r="N404" s="191"/>
      <c r="O404" s="191"/>
      <c r="Q404" s="183"/>
    </row>
    <row r="405">
      <c r="B405" s="190" t="str">
        <f>IFERROR(__xludf.DUMMYFUNCTION("""COMPUTED_VALUE"""),"#VALUE!")</f>
        <v>#VALUE!</v>
      </c>
      <c r="C405" s="190"/>
      <c r="D405" s="190" t="e">
        <v>#DIV/0!</v>
      </c>
      <c r="E405" s="190" t="e">
        <v>#DIV/0!</v>
      </c>
      <c r="F405" s="183"/>
      <c r="G405" s="191"/>
      <c r="H405" s="191"/>
      <c r="I405" s="191"/>
      <c r="J405" s="191"/>
      <c r="K405" s="191"/>
      <c r="L405" s="191"/>
      <c r="M405" s="191"/>
      <c r="N405" s="191"/>
      <c r="O405" s="191"/>
      <c r="Q405" s="183"/>
    </row>
    <row r="406">
      <c r="B406" s="190" t="str">
        <f>IFERROR(__xludf.DUMMYFUNCTION("""COMPUTED_VALUE"""),"#VALUE!")</f>
        <v>#VALUE!</v>
      </c>
      <c r="C406" s="190"/>
      <c r="D406" s="190" t="e">
        <v>#DIV/0!</v>
      </c>
      <c r="E406" s="190" t="e">
        <v>#DIV/0!</v>
      </c>
      <c r="F406" s="183"/>
      <c r="G406" s="191"/>
      <c r="H406" s="191"/>
      <c r="I406" s="191"/>
      <c r="J406" s="191"/>
      <c r="K406" s="191"/>
      <c r="L406" s="191"/>
      <c r="M406" s="191"/>
      <c r="N406" s="191"/>
      <c r="O406" s="191"/>
      <c r="Q406" s="183"/>
    </row>
    <row r="407">
      <c r="B407" s="190" t="str">
        <f>IFERROR(__xludf.DUMMYFUNCTION("""COMPUTED_VALUE"""),"#VALUE!")</f>
        <v>#VALUE!</v>
      </c>
      <c r="C407" s="190"/>
      <c r="D407" s="190" t="e">
        <v>#DIV/0!</v>
      </c>
      <c r="E407" s="190" t="e">
        <v>#DIV/0!</v>
      </c>
      <c r="F407" s="183"/>
      <c r="G407" s="191"/>
      <c r="H407" s="191"/>
      <c r="I407" s="191"/>
      <c r="J407" s="191"/>
      <c r="K407" s="191"/>
      <c r="L407" s="191"/>
      <c r="M407" s="191"/>
      <c r="N407" s="191"/>
      <c r="O407" s="191"/>
      <c r="Q407" s="183"/>
    </row>
    <row r="408">
      <c r="B408" s="190" t="str">
        <f>IFERROR(__xludf.DUMMYFUNCTION("""COMPUTED_VALUE"""),"#VALUE!")</f>
        <v>#VALUE!</v>
      </c>
      <c r="C408" s="190"/>
      <c r="D408" s="190" t="e">
        <v>#DIV/0!</v>
      </c>
      <c r="E408" s="190" t="e">
        <v>#DIV/0!</v>
      </c>
      <c r="F408" s="183"/>
      <c r="G408" s="191"/>
      <c r="H408" s="191"/>
      <c r="I408" s="191"/>
      <c r="J408" s="191"/>
      <c r="K408" s="191"/>
      <c r="L408" s="191"/>
      <c r="M408" s="191"/>
      <c r="N408" s="191"/>
      <c r="O408" s="191"/>
      <c r="Q408" s="183"/>
    </row>
    <row r="409">
      <c r="B409" s="190" t="str">
        <f>IFERROR(__xludf.DUMMYFUNCTION("""COMPUTED_VALUE"""),"#VALUE!")</f>
        <v>#VALUE!</v>
      </c>
      <c r="C409" s="190"/>
      <c r="D409" s="190" t="e">
        <v>#DIV/0!</v>
      </c>
      <c r="E409" s="190" t="e">
        <v>#DIV/0!</v>
      </c>
      <c r="F409" s="183"/>
      <c r="G409" s="191"/>
      <c r="H409" s="191"/>
      <c r="I409" s="191"/>
      <c r="J409" s="191"/>
      <c r="K409" s="191"/>
      <c r="L409" s="191"/>
      <c r="M409" s="191"/>
      <c r="N409" s="191"/>
      <c r="O409" s="191"/>
      <c r="Q409" s="183"/>
    </row>
    <row r="410">
      <c r="B410" s="190" t="str">
        <f>IFERROR(__xludf.DUMMYFUNCTION("""COMPUTED_VALUE"""),"#VALUE!")</f>
        <v>#VALUE!</v>
      </c>
      <c r="C410" s="190"/>
      <c r="D410" s="190" t="e">
        <v>#DIV/0!</v>
      </c>
      <c r="E410" s="190" t="e">
        <v>#DIV/0!</v>
      </c>
      <c r="F410" s="183"/>
      <c r="G410" s="191"/>
      <c r="H410" s="191"/>
      <c r="I410" s="191"/>
      <c r="J410" s="191"/>
      <c r="K410" s="191"/>
      <c r="L410" s="191"/>
      <c r="M410" s="191"/>
      <c r="N410" s="191"/>
      <c r="O410" s="191"/>
      <c r="Q410" s="183"/>
    </row>
    <row r="411">
      <c r="B411" s="190" t="str">
        <f>IFERROR(__xludf.DUMMYFUNCTION("""COMPUTED_VALUE"""),"#VALUE!")</f>
        <v>#VALUE!</v>
      </c>
      <c r="C411" s="190"/>
      <c r="D411" s="190" t="e">
        <v>#DIV/0!</v>
      </c>
      <c r="E411" s="190" t="e">
        <v>#DIV/0!</v>
      </c>
      <c r="F411" s="183"/>
      <c r="G411" s="191"/>
      <c r="H411" s="191"/>
      <c r="I411" s="191"/>
      <c r="J411" s="191"/>
      <c r="K411" s="191"/>
      <c r="L411" s="191"/>
      <c r="M411" s="191"/>
      <c r="N411" s="191"/>
      <c r="O411" s="191"/>
      <c r="Q411" s="183"/>
    </row>
    <row r="412">
      <c r="B412" s="190" t="str">
        <f>IFERROR(__xludf.DUMMYFUNCTION("""COMPUTED_VALUE"""),"#VALUE!")</f>
        <v>#VALUE!</v>
      </c>
      <c r="C412" s="190"/>
      <c r="D412" s="190" t="e">
        <v>#DIV/0!</v>
      </c>
      <c r="E412" s="190" t="e">
        <v>#DIV/0!</v>
      </c>
      <c r="F412" s="183"/>
      <c r="G412" s="191"/>
      <c r="H412" s="191"/>
      <c r="I412" s="191"/>
      <c r="J412" s="191"/>
      <c r="K412" s="191"/>
      <c r="L412" s="191"/>
      <c r="M412" s="191"/>
      <c r="N412" s="191"/>
      <c r="O412" s="191"/>
      <c r="Q412" s="183"/>
    </row>
    <row r="413">
      <c r="B413" s="190" t="str">
        <f>IFERROR(__xludf.DUMMYFUNCTION("""COMPUTED_VALUE"""),"#VALUE!")</f>
        <v>#VALUE!</v>
      </c>
      <c r="C413" s="190"/>
      <c r="D413" s="190" t="e">
        <v>#DIV/0!</v>
      </c>
      <c r="E413" s="190" t="e">
        <v>#DIV/0!</v>
      </c>
      <c r="F413" s="183"/>
      <c r="G413" s="191"/>
      <c r="H413" s="191"/>
      <c r="I413" s="191"/>
      <c r="J413" s="191"/>
      <c r="K413" s="191"/>
      <c r="L413" s="191"/>
      <c r="M413" s="191"/>
      <c r="N413" s="191"/>
      <c r="O413" s="191"/>
      <c r="Q413" s="183"/>
    </row>
    <row r="414">
      <c r="B414" s="190" t="str">
        <f>IFERROR(__xludf.DUMMYFUNCTION("""COMPUTED_VALUE"""),"#VALUE!")</f>
        <v>#VALUE!</v>
      </c>
      <c r="C414" s="190"/>
      <c r="D414" s="190" t="e">
        <v>#DIV/0!</v>
      </c>
      <c r="E414" s="190" t="e">
        <v>#DIV/0!</v>
      </c>
      <c r="F414" s="183"/>
      <c r="G414" s="191"/>
      <c r="H414" s="191"/>
      <c r="I414" s="191"/>
      <c r="J414" s="191"/>
      <c r="K414" s="191"/>
      <c r="L414" s="191"/>
      <c r="M414" s="191"/>
      <c r="N414" s="191"/>
      <c r="O414" s="191"/>
      <c r="Q414" s="183"/>
    </row>
    <row r="415">
      <c r="B415" s="190" t="str">
        <f>IFERROR(__xludf.DUMMYFUNCTION("""COMPUTED_VALUE"""),"#VALUE!")</f>
        <v>#VALUE!</v>
      </c>
      <c r="C415" s="190"/>
      <c r="D415" s="190" t="e">
        <v>#DIV/0!</v>
      </c>
      <c r="E415" s="190" t="e">
        <v>#DIV/0!</v>
      </c>
      <c r="F415" s="183"/>
      <c r="G415" s="191"/>
      <c r="H415" s="191"/>
      <c r="I415" s="191"/>
      <c r="J415" s="191"/>
      <c r="K415" s="191"/>
      <c r="L415" s="191"/>
      <c r="M415" s="191"/>
      <c r="N415" s="191"/>
      <c r="O415" s="191"/>
      <c r="Q415" s="183"/>
    </row>
    <row r="416">
      <c r="B416" s="190" t="str">
        <f>IFERROR(__xludf.DUMMYFUNCTION("""COMPUTED_VALUE"""),"#VALUE!")</f>
        <v>#VALUE!</v>
      </c>
      <c r="C416" s="190"/>
      <c r="D416" s="190" t="e">
        <v>#DIV/0!</v>
      </c>
      <c r="E416" s="190" t="e">
        <v>#DIV/0!</v>
      </c>
      <c r="F416" s="183"/>
      <c r="G416" s="191"/>
      <c r="H416" s="191"/>
      <c r="I416" s="191"/>
      <c r="J416" s="191"/>
      <c r="K416" s="191"/>
      <c r="L416" s="191"/>
      <c r="M416" s="191"/>
      <c r="N416" s="191"/>
      <c r="O416" s="191"/>
      <c r="Q416" s="183"/>
    </row>
    <row r="417">
      <c r="B417" s="190" t="str">
        <f>IFERROR(__xludf.DUMMYFUNCTION("""COMPUTED_VALUE"""),"#VALUE!")</f>
        <v>#VALUE!</v>
      </c>
      <c r="C417" s="190"/>
      <c r="D417" s="190" t="e">
        <v>#DIV/0!</v>
      </c>
      <c r="E417" s="190" t="e">
        <v>#DIV/0!</v>
      </c>
      <c r="F417" s="183"/>
      <c r="G417" s="191"/>
      <c r="H417" s="191"/>
      <c r="I417" s="191"/>
      <c r="J417" s="191"/>
      <c r="K417" s="191"/>
      <c r="L417" s="191"/>
      <c r="M417" s="191"/>
      <c r="N417" s="191"/>
      <c r="O417" s="191"/>
      <c r="Q417" s="183"/>
    </row>
    <row r="418">
      <c r="B418" s="190" t="str">
        <f>IFERROR(__xludf.DUMMYFUNCTION("""COMPUTED_VALUE"""),"#VALUE!")</f>
        <v>#VALUE!</v>
      </c>
      <c r="C418" s="190"/>
      <c r="D418" s="190" t="e">
        <v>#DIV/0!</v>
      </c>
      <c r="E418" s="190" t="e">
        <v>#DIV/0!</v>
      </c>
      <c r="F418" s="183"/>
      <c r="G418" s="191"/>
      <c r="H418" s="191"/>
      <c r="I418" s="191"/>
      <c r="J418" s="191"/>
      <c r="K418" s="191"/>
      <c r="L418" s="191"/>
      <c r="M418" s="191"/>
      <c r="N418" s="191"/>
      <c r="O418" s="191"/>
      <c r="Q418" s="183"/>
    </row>
    <row r="419">
      <c r="B419" s="190" t="str">
        <f>IFERROR(__xludf.DUMMYFUNCTION("""COMPUTED_VALUE"""),"#VALUE!")</f>
        <v>#VALUE!</v>
      </c>
      <c r="C419" s="190"/>
      <c r="D419" s="190" t="e">
        <v>#DIV/0!</v>
      </c>
      <c r="E419" s="190" t="e">
        <v>#DIV/0!</v>
      </c>
      <c r="F419" s="183"/>
      <c r="G419" s="191"/>
      <c r="H419" s="191"/>
      <c r="I419" s="191"/>
      <c r="J419" s="191"/>
      <c r="K419" s="191"/>
      <c r="L419" s="191"/>
      <c r="M419" s="191"/>
      <c r="N419" s="191"/>
      <c r="O419" s="191"/>
      <c r="Q419" s="183"/>
    </row>
    <row r="420">
      <c r="B420" s="190" t="str">
        <f>IFERROR(__xludf.DUMMYFUNCTION("""COMPUTED_VALUE"""),"#VALUE!")</f>
        <v>#VALUE!</v>
      </c>
      <c r="C420" s="190"/>
      <c r="D420" s="190" t="e">
        <v>#DIV/0!</v>
      </c>
      <c r="E420" s="190" t="e">
        <v>#DIV/0!</v>
      </c>
      <c r="F420" s="183"/>
      <c r="G420" s="191"/>
      <c r="H420" s="191"/>
      <c r="I420" s="191"/>
      <c r="J420" s="191"/>
      <c r="K420" s="191"/>
      <c r="L420" s="191"/>
      <c r="M420" s="191"/>
      <c r="N420" s="191"/>
      <c r="O420" s="191"/>
      <c r="Q420" s="183"/>
    </row>
    <row r="421">
      <c r="B421" s="190" t="str">
        <f>IFERROR(__xludf.DUMMYFUNCTION("""COMPUTED_VALUE"""),"#VALUE!")</f>
        <v>#VALUE!</v>
      </c>
      <c r="C421" s="190"/>
      <c r="D421" s="190" t="e">
        <v>#DIV/0!</v>
      </c>
      <c r="E421" s="190" t="e">
        <v>#DIV/0!</v>
      </c>
      <c r="F421" s="183"/>
      <c r="G421" s="191"/>
      <c r="H421" s="191"/>
      <c r="I421" s="191"/>
      <c r="J421" s="191"/>
      <c r="K421" s="191"/>
      <c r="L421" s="191"/>
      <c r="M421" s="191"/>
      <c r="N421" s="191"/>
      <c r="O421" s="191"/>
      <c r="Q421" s="183"/>
    </row>
    <row r="422">
      <c r="B422" s="190" t="str">
        <f>IFERROR(__xludf.DUMMYFUNCTION("""COMPUTED_VALUE"""),"#VALUE!")</f>
        <v>#VALUE!</v>
      </c>
      <c r="C422" s="190"/>
      <c r="D422" s="190" t="e">
        <v>#DIV/0!</v>
      </c>
      <c r="E422" s="190" t="e">
        <v>#DIV/0!</v>
      </c>
      <c r="F422" s="183"/>
      <c r="G422" s="191"/>
      <c r="H422" s="191"/>
      <c r="I422" s="191"/>
      <c r="J422" s="191"/>
      <c r="K422" s="191"/>
      <c r="L422" s="191"/>
      <c r="M422" s="191"/>
      <c r="N422" s="191"/>
      <c r="O422" s="191"/>
      <c r="Q422" s="183"/>
    </row>
    <row r="423">
      <c r="B423" s="190" t="str">
        <f>IFERROR(__xludf.DUMMYFUNCTION("""COMPUTED_VALUE"""),"#VALUE!")</f>
        <v>#VALUE!</v>
      </c>
      <c r="C423" s="190"/>
      <c r="D423" s="190" t="e">
        <v>#DIV/0!</v>
      </c>
      <c r="E423" s="190" t="e">
        <v>#DIV/0!</v>
      </c>
      <c r="F423" s="183"/>
      <c r="G423" s="191"/>
      <c r="H423" s="191"/>
      <c r="I423" s="191"/>
      <c r="J423" s="191"/>
      <c r="K423" s="191"/>
      <c r="L423" s="191"/>
      <c r="M423" s="191"/>
      <c r="N423" s="191"/>
      <c r="O423" s="191"/>
      <c r="Q423" s="183"/>
    </row>
    <row r="424">
      <c r="B424" s="190" t="str">
        <f>IFERROR(__xludf.DUMMYFUNCTION("""COMPUTED_VALUE"""),"#VALUE!")</f>
        <v>#VALUE!</v>
      </c>
      <c r="C424" s="190"/>
      <c r="D424" s="190" t="e">
        <v>#DIV/0!</v>
      </c>
      <c r="E424" s="190" t="e">
        <v>#DIV/0!</v>
      </c>
      <c r="F424" s="183"/>
      <c r="G424" s="191"/>
      <c r="H424" s="191"/>
      <c r="I424" s="191"/>
      <c r="J424" s="191"/>
      <c r="K424" s="191"/>
      <c r="L424" s="191"/>
      <c r="M424" s="191"/>
      <c r="N424" s="191"/>
      <c r="O424" s="191"/>
      <c r="Q424" s="183"/>
    </row>
    <row r="425">
      <c r="B425" s="190" t="str">
        <f>IFERROR(__xludf.DUMMYFUNCTION("""COMPUTED_VALUE"""),"#VALUE!")</f>
        <v>#VALUE!</v>
      </c>
      <c r="C425" s="190"/>
      <c r="D425" s="190" t="e">
        <v>#DIV/0!</v>
      </c>
      <c r="E425" s="190" t="e">
        <v>#DIV/0!</v>
      </c>
      <c r="F425" s="183"/>
      <c r="G425" s="191"/>
      <c r="H425" s="191"/>
      <c r="I425" s="191"/>
      <c r="J425" s="191"/>
      <c r="K425" s="191"/>
      <c r="L425" s="191"/>
      <c r="M425" s="191"/>
      <c r="N425" s="191"/>
      <c r="O425" s="191"/>
      <c r="Q425" s="183"/>
    </row>
    <row r="426">
      <c r="B426" s="190" t="str">
        <f>IFERROR(__xludf.DUMMYFUNCTION("""COMPUTED_VALUE"""),"#VALUE!")</f>
        <v>#VALUE!</v>
      </c>
      <c r="C426" s="190"/>
      <c r="D426" s="190" t="e">
        <v>#DIV/0!</v>
      </c>
      <c r="E426" s="190" t="e">
        <v>#DIV/0!</v>
      </c>
      <c r="F426" s="183"/>
      <c r="G426" s="191"/>
      <c r="H426" s="191"/>
      <c r="I426" s="191"/>
      <c r="J426" s="191"/>
      <c r="K426" s="191"/>
      <c r="L426" s="191"/>
      <c r="M426" s="191"/>
      <c r="N426" s="191"/>
      <c r="O426" s="191"/>
      <c r="Q426" s="183"/>
    </row>
    <row r="427">
      <c r="B427" s="190" t="str">
        <f>IFERROR(__xludf.DUMMYFUNCTION("""COMPUTED_VALUE"""),"#VALUE!")</f>
        <v>#VALUE!</v>
      </c>
      <c r="C427" s="190"/>
      <c r="D427" s="190" t="e">
        <v>#DIV/0!</v>
      </c>
      <c r="E427" s="190" t="e">
        <v>#DIV/0!</v>
      </c>
      <c r="F427" s="183"/>
      <c r="G427" s="191"/>
      <c r="H427" s="191"/>
      <c r="I427" s="191"/>
      <c r="J427" s="191"/>
      <c r="K427" s="191"/>
      <c r="L427" s="191"/>
      <c r="M427" s="191"/>
      <c r="N427" s="191"/>
      <c r="O427" s="191"/>
      <c r="Q427" s="183"/>
    </row>
    <row r="428">
      <c r="B428" s="190" t="str">
        <f>IFERROR(__xludf.DUMMYFUNCTION("""COMPUTED_VALUE"""),"#VALUE!")</f>
        <v>#VALUE!</v>
      </c>
      <c r="C428" s="190"/>
      <c r="D428" s="190" t="e">
        <v>#DIV/0!</v>
      </c>
      <c r="E428" s="190" t="e">
        <v>#DIV/0!</v>
      </c>
      <c r="F428" s="183"/>
      <c r="G428" s="191"/>
      <c r="H428" s="191"/>
      <c r="I428" s="191"/>
      <c r="J428" s="191"/>
      <c r="K428" s="191"/>
      <c r="L428" s="191"/>
      <c r="M428" s="191"/>
      <c r="N428" s="191"/>
      <c r="O428" s="191"/>
      <c r="Q428" s="183"/>
    </row>
    <row r="429">
      <c r="B429" s="190" t="str">
        <f>IFERROR(__xludf.DUMMYFUNCTION("""COMPUTED_VALUE"""),"#VALUE!")</f>
        <v>#VALUE!</v>
      </c>
      <c r="C429" s="190"/>
      <c r="D429" s="190" t="e">
        <v>#DIV/0!</v>
      </c>
      <c r="E429" s="190" t="e">
        <v>#DIV/0!</v>
      </c>
      <c r="F429" s="183"/>
      <c r="G429" s="191"/>
      <c r="H429" s="191"/>
      <c r="I429" s="191"/>
      <c r="J429" s="191"/>
      <c r="K429" s="191"/>
      <c r="L429" s="191"/>
      <c r="M429" s="191"/>
      <c r="N429" s="191"/>
      <c r="O429" s="191"/>
      <c r="Q429" s="183"/>
    </row>
    <row r="430">
      <c r="B430" s="190" t="str">
        <f>IFERROR(__xludf.DUMMYFUNCTION("""COMPUTED_VALUE"""),"#VALUE!")</f>
        <v>#VALUE!</v>
      </c>
      <c r="C430" s="190"/>
      <c r="D430" s="190" t="e">
        <v>#DIV/0!</v>
      </c>
      <c r="E430" s="190" t="e">
        <v>#DIV/0!</v>
      </c>
      <c r="F430" s="183"/>
      <c r="G430" s="191"/>
      <c r="H430" s="191"/>
      <c r="I430" s="191"/>
      <c r="J430" s="191"/>
      <c r="K430" s="191"/>
      <c r="L430" s="191"/>
      <c r="M430" s="191"/>
      <c r="N430" s="191"/>
      <c r="O430" s="191"/>
      <c r="Q430" s="183"/>
    </row>
    <row r="431">
      <c r="B431" s="190" t="str">
        <f>IFERROR(__xludf.DUMMYFUNCTION("""COMPUTED_VALUE"""),"#VALUE!")</f>
        <v>#VALUE!</v>
      </c>
      <c r="C431" s="190"/>
      <c r="D431" s="190" t="e">
        <v>#DIV/0!</v>
      </c>
      <c r="E431" s="190" t="e">
        <v>#DIV/0!</v>
      </c>
      <c r="F431" s="183"/>
      <c r="G431" s="191"/>
      <c r="H431" s="191"/>
      <c r="I431" s="191"/>
      <c r="J431" s="191"/>
      <c r="K431" s="191"/>
      <c r="L431" s="191"/>
      <c r="M431" s="191"/>
      <c r="N431" s="191"/>
      <c r="O431" s="191"/>
      <c r="Q431" s="183"/>
    </row>
    <row r="432">
      <c r="B432" s="190" t="str">
        <f>IFERROR(__xludf.DUMMYFUNCTION("""COMPUTED_VALUE"""),"#VALUE!")</f>
        <v>#VALUE!</v>
      </c>
      <c r="C432" s="190"/>
      <c r="D432" s="190" t="e">
        <v>#DIV/0!</v>
      </c>
      <c r="E432" s="190" t="e">
        <v>#DIV/0!</v>
      </c>
      <c r="F432" s="183"/>
      <c r="G432" s="191"/>
      <c r="H432" s="191"/>
      <c r="I432" s="191"/>
      <c r="J432" s="191"/>
      <c r="K432" s="191"/>
      <c r="L432" s="191"/>
      <c r="M432" s="191"/>
      <c r="N432" s="191"/>
      <c r="O432" s="191"/>
      <c r="Q432" s="183"/>
    </row>
    <row r="433">
      <c r="B433" s="190" t="str">
        <f>IFERROR(__xludf.DUMMYFUNCTION("""COMPUTED_VALUE"""),"#VALUE!")</f>
        <v>#VALUE!</v>
      </c>
      <c r="C433" s="190"/>
      <c r="D433" s="190" t="e">
        <v>#DIV/0!</v>
      </c>
      <c r="E433" s="190" t="e">
        <v>#DIV/0!</v>
      </c>
      <c r="F433" s="183"/>
      <c r="G433" s="191"/>
      <c r="H433" s="191"/>
      <c r="I433" s="191"/>
      <c r="J433" s="191"/>
      <c r="K433" s="191"/>
      <c r="L433" s="191"/>
      <c r="M433" s="191"/>
      <c r="N433" s="191"/>
      <c r="O433" s="191"/>
      <c r="Q433" s="183"/>
    </row>
    <row r="434">
      <c r="B434" s="190" t="str">
        <f>IFERROR(__xludf.DUMMYFUNCTION("""COMPUTED_VALUE"""),"#VALUE!")</f>
        <v>#VALUE!</v>
      </c>
      <c r="C434" s="190"/>
      <c r="D434" s="190" t="e">
        <v>#DIV/0!</v>
      </c>
      <c r="E434" s="190" t="e">
        <v>#DIV/0!</v>
      </c>
      <c r="F434" s="183"/>
      <c r="G434" s="191"/>
      <c r="H434" s="191"/>
      <c r="I434" s="191"/>
      <c r="J434" s="191"/>
      <c r="K434" s="191"/>
      <c r="L434" s="191"/>
      <c r="M434" s="191"/>
      <c r="N434" s="191"/>
      <c r="O434" s="191"/>
      <c r="Q434" s="183"/>
    </row>
    <row r="435">
      <c r="B435" s="190" t="str">
        <f>IFERROR(__xludf.DUMMYFUNCTION("""COMPUTED_VALUE"""),"#VALUE!")</f>
        <v>#VALUE!</v>
      </c>
      <c r="C435" s="190"/>
      <c r="D435" s="190" t="e">
        <v>#DIV/0!</v>
      </c>
      <c r="E435" s="190" t="e">
        <v>#DIV/0!</v>
      </c>
      <c r="F435" s="183"/>
      <c r="G435" s="191"/>
      <c r="H435" s="191"/>
      <c r="I435" s="191"/>
      <c r="J435" s="191"/>
      <c r="K435" s="191"/>
      <c r="L435" s="191"/>
      <c r="M435" s="191"/>
      <c r="N435" s="191"/>
      <c r="O435" s="191"/>
      <c r="Q435" s="183"/>
    </row>
    <row r="436">
      <c r="B436" s="190" t="str">
        <f>IFERROR(__xludf.DUMMYFUNCTION("""COMPUTED_VALUE"""),"#VALUE!")</f>
        <v>#VALUE!</v>
      </c>
      <c r="C436" s="190"/>
      <c r="D436" s="190" t="e">
        <v>#DIV/0!</v>
      </c>
      <c r="E436" s="190" t="e">
        <v>#DIV/0!</v>
      </c>
      <c r="F436" s="183"/>
      <c r="G436" s="191"/>
      <c r="H436" s="191"/>
      <c r="I436" s="191"/>
      <c r="J436" s="191"/>
      <c r="K436" s="191"/>
      <c r="L436" s="191"/>
      <c r="M436" s="191"/>
      <c r="N436" s="191"/>
      <c r="O436" s="191"/>
      <c r="Q436" s="183"/>
    </row>
    <row r="437">
      <c r="B437" s="190" t="str">
        <f>IFERROR(__xludf.DUMMYFUNCTION("""COMPUTED_VALUE"""),"#VALUE!")</f>
        <v>#VALUE!</v>
      </c>
      <c r="C437" s="190"/>
      <c r="D437" s="190" t="e">
        <v>#DIV/0!</v>
      </c>
      <c r="E437" s="190" t="e">
        <v>#DIV/0!</v>
      </c>
      <c r="F437" s="183"/>
      <c r="G437" s="191"/>
      <c r="H437" s="191"/>
      <c r="I437" s="191"/>
      <c r="J437" s="191"/>
      <c r="K437" s="191"/>
      <c r="L437" s="191"/>
      <c r="M437" s="191"/>
      <c r="N437" s="191"/>
      <c r="O437" s="191"/>
      <c r="Q437" s="183"/>
    </row>
    <row r="438">
      <c r="B438" s="190" t="str">
        <f>IFERROR(__xludf.DUMMYFUNCTION("""COMPUTED_VALUE"""),"#VALUE!")</f>
        <v>#VALUE!</v>
      </c>
      <c r="C438" s="190"/>
      <c r="D438" s="190" t="e">
        <v>#DIV/0!</v>
      </c>
      <c r="E438" s="190" t="e">
        <v>#DIV/0!</v>
      </c>
      <c r="F438" s="183"/>
      <c r="G438" s="191"/>
      <c r="H438" s="191"/>
      <c r="I438" s="191"/>
      <c r="J438" s="191"/>
      <c r="K438" s="191"/>
      <c r="L438" s="191"/>
      <c r="M438" s="191"/>
      <c r="N438" s="191"/>
      <c r="O438" s="191"/>
      <c r="Q438" s="183"/>
    </row>
    <row r="439">
      <c r="B439" s="190" t="str">
        <f>IFERROR(__xludf.DUMMYFUNCTION("""COMPUTED_VALUE"""),"#VALUE!")</f>
        <v>#VALUE!</v>
      </c>
      <c r="C439" s="190"/>
      <c r="D439" s="190" t="e">
        <v>#DIV/0!</v>
      </c>
      <c r="E439" s="190" t="e">
        <v>#DIV/0!</v>
      </c>
      <c r="F439" s="183"/>
      <c r="G439" s="191"/>
      <c r="H439" s="191"/>
      <c r="I439" s="191"/>
      <c r="J439" s="191"/>
      <c r="K439" s="191"/>
      <c r="L439" s="191"/>
      <c r="M439" s="191"/>
      <c r="N439" s="191"/>
      <c r="O439" s="191"/>
      <c r="Q439" s="183"/>
    </row>
    <row r="440">
      <c r="B440" s="190" t="str">
        <f>IFERROR(__xludf.DUMMYFUNCTION("""COMPUTED_VALUE"""),"#VALUE!")</f>
        <v>#VALUE!</v>
      </c>
      <c r="C440" s="190"/>
      <c r="D440" s="190" t="e">
        <v>#DIV/0!</v>
      </c>
      <c r="E440" s="190" t="e">
        <v>#DIV/0!</v>
      </c>
      <c r="F440" s="183"/>
      <c r="G440" s="191"/>
      <c r="H440" s="191"/>
      <c r="I440" s="191"/>
      <c r="J440" s="191"/>
      <c r="K440" s="191"/>
      <c r="L440" s="191"/>
      <c r="M440" s="191"/>
      <c r="N440" s="191"/>
      <c r="O440" s="191"/>
      <c r="Q440" s="183"/>
    </row>
    <row r="441">
      <c r="B441" s="190" t="str">
        <f>IFERROR(__xludf.DUMMYFUNCTION("""COMPUTED_VALUE"""),"#VALUE!")</f>
        <v>#VALUE!</v>
      </c>
      <c r="C441" s="190"/>
      <c r="D441" s="190" t="e">
        <v>#DIV/0!</v>
      </c>
      <c r="E441" s="190" t="e">
        <v>#DIV/0!</v>
      </c>
      <c r="F441" s="183"/>
      <c r="G441" s="191"/>
      <c r="H441" s="191"/>
      <c r="I441" s="191"/>
      <c r="J441" s="191"/>
      <c r="K441" s="191"/>
      <c r="L441" s="191"/>
      <c r="M441" s="191"/>
      <c r="N441" s="191"/>
      <c r="O441" s="191"/>
      <c r="Q441" s="183"/>
    </row>
    <row r="442">
      <c r="B442" s="190" t="str">
        <f>IFERROR(__xludf.DUMMYFUNCTION("""COMPUTED_VALUE"""),"#VALUE!")</f>
        <v>#VALUE!</v>
      </c>
      <c r="C442" s="190"/>
      <c r="D442" s="190" t="e">
        <v>#DIV/0!</v>
      </c>
      <c r="E442" s="190" t="e">
        <v>#DIV/0!</v>
      </c>
      <c r="F442" s="183"/>
      <c r="G442" s="191"/>
      <c r="H442" s="191"/>
      <c r="I442" s="191"/>
      <c r="J442" s="191"/>
      <c r="K442" s="191"/>
      <c r="L442" s="191"/>
      <c r="M442" s="191"/>
      <c r="N442" s="191"/>
      <c r="O442" s="191"/>
      <c r="Q442" s="183"/>
    </row>
    <row r="443">
      <c r="B443" s="190" t="str">
        <f>IFERROR(__xludf.DUMMYFUNCTION("""COMPUTED_VALUE"""),"#VALUE!")</f>
        <v>#VALUE!</v>
      </c>
      <c r="C443" s="190"/>
      <c r="D443" s="190" t="e">
        <v>#DIV/0!</v>
      </c>
      <c r="E443" s="190" t="e">
        <v>#DIV/0!</v>
      </c>
      <c r="F443" s="183"/>
      <c r="G443" s="191"/>
      <c r="H443" s="191"/>
      <c r="I443" s="191"/>
      <c r="J443" s="191"/>
      <c r="K443" s="191"/>
      <c r="L443" s="191"/>
      <c r="M443" s="191"/>
      <c r="N443" s="191"/>
      <c r="O443" s="191"/>
      <c r="Q443" s="183"/>
    </row>
    <row r="444">
      <c r="B444" s="190" t="str">
        <f>IFERROR(__xludf.DUMMYFUNCTION("""COMPUTED_VALUE"""),"#VALUE!")</f>
        <v>#VALUE!</v>
      </c>
      <c r="C444" s="190"/>
      <c r="D444" s="190" t="e">
        <v>#DIV/0!</v>
      </c>
      <c r="E444" s="190" t="e">
        <v>#DIV/0!</v>
      </c>
      <c r="F444" s="183"/>
      <c r="G444" s="191"/>
      <c r="H444" s="191"/>
      <c r="I444" s="191"/>
      <c r="J444" s="191"/>
      <c r="K444" s="191"/>
      <c r="L444" s="191"/>
      <c r="M444" s="191"/>
      <c r="N444" s="191"/>
      <c r="O444" s="191"/>
      <c r="Q444" s="183"/>
    </row>
    <row r="445">
      <c r="B445" s="190" t="str">
        <f>IFERROR(__xludf.DUMMYFUNCTION("""COMPUTED_VALUE"""),"#VALUE!")</f>
        <v>#VALUE!</v>
      </c>
      <c r="C445" s="190"/>
      <c r="D445" s="190" t="e">
        <v>#DIV/0!</v>
      </c>
      <c r="E445" s="190" t="e">
        <v>#DIV/0!</v>
      </c>
      <c r="F445" s="183"/>
      <c r="G445" s="191"/>
      <c r="H445" s="191"/>
      <c r="I445" s="191"/>
      <c r="J445" s="191"/>
      <c r="K445" s="191"/>
      <c r="L445" s="191"/>
      <c r="M445" s="191"/>
      <c r="N445" s="191"/>
      <c r="O445" s="191"/>
      <c r="Q445" s="183"/>
    </row>
    <row r="446">
      <c r="B446" s="190" t="str">
        <f>IFERROR(__xludf.DUMMYFUNCTION("""COMPUTED_VALUE"""),"#VALUE!")</f>
        <v>#VALUE!</v>
      </c>
      <c r="C446" s="190"/>
      <c r="D446" s="190" t="e">
        <v>#DIV/0!</v>
      </c>
      <c r="E446" s="190" t="e">
        <v>#DIV/0!</v>
      </c>
      <c r="F446" s="183"/>
      <c r="G446" s="191"/>
      <c r="H446" s="191"/>
      <c r="I446" s="191"/>
      <c r="J446" s="191"/>
      <c r="K446" s="191"/>
      <c r="L446" s="191"/>
      <c r="M446" s="191"/>
      <c r="N446" s="191"/>
      <c r="O446" s="191"/>
      <c r="Q446" s="183"/>
    </row>
    <row r="447">
      <c r="B447" s="190" t="str">
        <f>IFERROR(__xludf.DUMMYFUNCTION("""COMPUTED_VALUE"""),"#VALUE!")</f>
        <v>#VALUE!</v>
      </c>
      <c r="C447" s="190"/>
      <c r="D447" s="190" t="e">
        <v>#DIV/0!</v>
      </c>
      <c r="E447" s="190" t="e">
        <v>#DIV/0!</v>
      </c>
      <c r="F447" s="183"/>
      <c r="G447" s="191"/>
      <c r="H447" s="191"/>
      <c r="I447" s="191"/>
      <c r="J447" s="191"/>
      <c r="K447" s="191"/>
      <c r="L447" s="191"/>
      <c r="M447" s="191"/>
      <c r="N447" s="191"/>
      <c r="O447" s="191"/>
      <c r="Q447" s="183"/>
    </row>
    <row r="448">
      <c r="B448" s="190" t="str">
        <f>IFERROR(__xludf.DUMMYFUNCTION("""COMPUTED_VALUE"""),"#VALUE!")</f>
        <v>#VALUE!</v>
      </c>
      <c r="C448" s="190"/>
      <c r="D448" s="190" t="e">
        <v>#DIV/0!</v>
      </c>
      <c r="E448" s="190" t="e">
        <v>#DIV/0!</v>
      </c>
      <c r="F448" s="183"/>
      <c r="G448" s="191"/>
      <c r="H448" s="191"/>
      <c r="I448" s="191"/>
      <c r="J448" s="191"/>
      <c r="K448" s="191"/>
      <c r="L448" s="191"/>
      <c r="M448" s="191"/>
      <c r="N448" s="191"/>
      <c r="O448" s="191"/>
      <c r="Q448" s="183"/>
    </row>
    <row r="449">
      <c r="B449" s="190" t="str">
        <f>IFERROR(__xludf.DUMMYFUNCTION("""COMPUTED_VALUE"""),"#VALUE!")</f>
        <v>#VALUE!</v>
      </c>
      <c r="C449" s="190"/>
      <c r="D449" s="190" t="e">
        <v>#DIV/0!</v>
      </c>
      <c r="E449" s="190" t="e">
        <v>#DIV/0!</v>
      </c>
      <c r="F449" s="183"/>
      <c r="G449" s="191"/>
      <c r="H449" s="191"/>
      <c r="I449" s="191"/>
      <c r="J449" s="191"/>
      <c r="K449" s="191"/>
      <c r="L449" s="191"/>
      <c r="M449" s="191"/>
      <c r="N449" s="191"/>
      <c r="O449" s="191"/>
      <c r="Q449" s="183"/>
    </row>
    <row r="450">
      <c r="B450" s="190" t="str">
        <f>IFERROR(__xludf.DUMMYFUNCTION("""COMPUTED_VALUE"""),"#VALUE!")</f>
        <v>#VALUE!</v>
      </c>
      <c r="C450" s="190"/>
      <c r="D450" s="190" t="e">
        <v>#DIV/0!</v>
      </c>
      <c r="E450" s="190" t="e">
        <v>#DIV/0!</v>
      </c>
      <c r="F450" s="183"/>
      <c r="G450" s="191"/>
      <c r="H450" s="191"/>
      <c r="I450" s="191"/>
      <c r="J450" s="191"/>
      <c r="K450" s="191"/>
      <c r="L450" s="191"/>
      <c r="M450" s="191"/>
      <c r="N450" s="191"/>
      <c r="O450" s="191"/>
      <c r="Q450" s="183"/>
    </row>
    <row r="451">
      <c r="B451" s="190" t="str">
        <f>IFERROR(__xludf.DUMMYFUNCTION("""COMPUTED_VALUE"""),"#VALUE!")</f>
        <v>#VALUE!</v>
      </c>
      <c r="C451" s="190"/>
      <c r="D451" s="190" t="e">
        <v>#DIV/0!</v>
      </c>
      <c r="E451" s="190" t="e">
        <v>#DIV/0!</v>
      </c>
      <c r="F451" s="183"/>
      <c r="G451" s="191"/>
      <c r="H451" s="191"/>
      <c r="I451" s="191"/>
      <c r="J451" s="191"/>
      <c r="K451" s="191"/>
      <c r="L451" s="191"/>
      <c r="M451" s="191"/>
      <c r="N451" s="191"/>
      <c r="O451" s="191"/>
      <c r="Q451" s="183"/>
    </row>
    <row r="452">
      <c r="B452" s="190" t="str">
        <f>IFERROR(__xludf.DUMMYFUNCTION("""COMPUTED_VALUE"""),"#VALUE!")</f>
        <v>#VALUE!</v>
      </c>
      <c r="C452" s="190"/>
      <c r="D452" s="190" t="e">
        <v>#DIV/0!</v>
      </c>
      <c r="E452" s="190" t="e">
        <v>#DIV/0!</v>
      </c>
      <c r="F452" s="183"/>
      <c r="G452" s="191"/>
      <c r="H452" s="191"/>
      <c r="I452" s="191"/>
      <c r="J452" s="191"/>
      <c r="K452" s="191"/>
      <c r="L452" s="191"/>
      <c r="M452" s="191"/>
      <c r="N452" s="191"/>
      <c r="O452" s="191"/>
      <c r="Q452" s="183"/>
    </row>
    <row r="453">
      <c r="B453" s="190" t="str">
        <f>IFERROR(__xludf.DUMMYFUNCTION("""COMPUTED_VALUE"""),"#VALUE!")</f>
        <v>#VALUE!</v>
      </c>
      <c r="C453" s="190"/>
      <c r="D453" s="190" t="e">
        <v>#DIV/0!</v>
      </c>
      <c r="E453" s="190" t="e">
        <v>#DIV/0!</v>
      </c>
      <c r="F453" s="183"/>
      <c r="G453" s="191"/>
      <c r="H453" s="191"/>
      <c r="I453" s="191"/>
      <c r="J453" s="191"/>
      <c r="K453" s="191"/>
      <c r="L453" s="191"/>
      <c r="M453" s="191"/>
      <c r="N453" s="191"/>
      <c r="O453" s="191"/>
      <c r="Q453" s="183"/>
    </row>
    <row r="454">
      <c r="B454" s="190" t="str">
        <f>IFERROR(__xludf.DUMMYFUNCTION("""COMPUTED_VALUE"""),"#VALUE!")</f>
        <v>#VALUE!</v>
      </c>
      <c r="C454" s="190"/>
      <c r="D454" s="190" t="e">
        <v>#DIV/0!</v>
      </c>
      <c r="E454" s="190" t="e">
        <v>#DIV/0!</v>
      </c>
      <c r="F454" s="183"/>
      <c r="G454" s="191"/>
      <c r="H454" s="191"/>
      <c r="I454" s="191"/>
      <c r="J454" s="191"/>
      <c r="K454" s="191"/>
      <c r="L454" s="191"/>
      <c r="M454" s="191"/>
      <c r="N454" s="191"/>
      <c r="O454" s="191"/>
      <c r="Q454" s="183"/>
    </row>
    <row r="455">
      <c r="B455" s="190" t="str">
        <f>IFERROR(__xludf.DUMMYFUNCTION("""COMPUTED_VALUE"""),"#VALUE!")</f>
        <v>#VALUE!</v>
      </c>
      <c r="C455" s="190"/>
      <c r="D455" s="190" t="e">
        <v>#DIV/0!</v>
      </c>
      <c r="E455" s="190" t="e">
        <v>#DIV/0!</v>
      </c>
      <c r="F455" s="183"/>
      <c r="G455" s="191"/>
      <c r="H455" s="191"/>
      <c r="I455" s="191"/>
      <c r="J455" s="191"/>
      <c r="K455" s="191"/>
      <c r="L455" s="191"/>
      <c r="M455" s="191"/>
      <c r="N455" s="191"/>
      <c r="O455" s="191"/>
      <c r="Q455" s="183"/>
    </row>
    <row r="456">
      <c r="B456" s="190" t="str">
        <f>IFERROR(__xludf.DUMMYFUNCTION("""COMPUTED_VALUE"""),"#VALUE!")</f>
        <v>#VALUE!</v>
      </c>
      <c r="C456" s="190"/>
      <c r="D456" s="190" t="e">
        <v>#DIV/0!</v>
      </c>
      <c r="E456" s="190" t="e">
        <v>#DIV/0!</v>
      </c>
      <c r="F456" s="183"/>
      <c r="G456" s="191"/>
      <c r="H456" s="191"/>
      <c r="I456" s="191"/>
      <c r="J456" s="191"/>
      <c r="K456" s="191"/>
      <c r="L456" s="191"/>
      <c r="M456" s="191"/>
      <c r="N456" s="191"/>
      <c r="O456" s="191"/>
      <c r="Q456" s="183"/>
    </row>
    <row r="457">
      <c r="B457" s="190" t="str">
        <f>IFERROR(__xludf.DUMMYFUNCTION("""COMPUTED_VALUE"""),"#VALUE!")</f>
        <v>#VALUE!</v>
      </c>
      <c r="C457" s="190"/>
      <c r="D457" s="190" t="e">
        <v>#DIV/0!</v>
      </c>
      <c r="E457" s="190" t="e">
        <v>#DIV/0!</v>
      </c>
      <c r="F457" s="183"/>
      <c r="G457" s="191"/>
      <c r="H457" s="191"/>
      <c r="I457" s="191"/>
      <c r="J457" s="191"/>
      <c r="K457" s="191"/>
      <c r="L457" s="191"/>
      <c r="M457" s="191"/>
      <c r="N457" s="191"/>
      <c r="O457" s="191"/>
      <c r="Q457" s="183"/>
    </row>
    <row r="458">
      <c r="B458" s="190" t="str">
        <f>IFERROR(__xludf.DUMMYFUNCTION("""COMPUTED_VALUE"""),"#VALUE!")</f>
        <v>#VALUE!</v>
      </c>
      <c r="C458" s="190"/>
      <c r="D458" s="190" t="e">
        <v>#DIV/0!</v>
      </c>
      <c r="E458" s="190" t="e">
        <v>#DIV/0!</v>
      </c>
      <c r="F458" s="183"/>
      <c r="G458" s="191"/>
      <c r="H458" s="191"/>
      <c r="I458" s="191"/>
      <c r="J458" s="191"/>
      <c r="K458" s="191"/>
      <c r="L458" s="191"/>
      <c r="M458" s="191"/>
      <c r="N458" s="191"/>
      <c r="O458" s="191"/>
      <c r="Q458" s="183"/>
    </row>
    <row r="459">
      <c r="B459" s="190" t="str">
        <f>IFERROR(__xludf.DUMMYFUNCTION("""COMPUTED_VALUE"""),"#VALUE!")</f>
        <v>#VALUE!</v>
      </c>
      <c r="C459" s="190"/>
      <c r="D459" s="190" t="e">
        <v>#DIV/0!</v>
      </c>
      <c r="E459" s="190" t="e">
        <v>#DIV/0!</v>
      </c>
      <c r="F459" s="183"/>
      <c r="G459" s="191"/>
      <c r="H459" s="191"/>
      <c r="I459" s="191"/>
      <c r="J459" s="191"/>
      <c r="K459" s="191"/>
      <c r="L459" s="191"/>
      <c r="M459" s="191"/>
      <c r="N459" s="191"/>
      <c r="O459" s="191"/>
      <c r="Q459" s="183"/>
    </row>
    <row r="460">
      <c r="B460" s="190" t="str">
        <f>IFERROR(__xludf.DUMMYFUNCTION("""COMPUTED_VALUE"""),"#VALUE!")</f>
        <v>#VALUE!</v>
      </c>
      <c r="C460" s="190"/>
      <c r="D460" s="190" t="e">
        <v>#DIV/0!</v>
      </c>
      <c r="E460" s="190" t="e">
        <v>#DIV/0!</v>
      </c>
      <c r="F460" s="183"/>
      <c r="G460" s="191"/>
      <c r="H460" s="191"/>
      <c r="I460" s="191"/>
      <c r="J460" s="191"/>
      <c r="K460" s="191"/>
      <c r="L460" s="191"/>
      <c r="M460" s="191"/>
      <c r="N460" s="191"/>
      <c r="O460" s="191"/>
      <c r="Q460" s="183"/>
    </row>
    <row r="461">
      <c r="B461" s="190" t="str">
        <f>IFERROR(__xludf.DUMMYFUNCTION("""COMPUTED_VALUE"""),"#VALUE!")</f>
        <v>#VALUE!</v>
      </c>
      <c r="C461" s="190"/>
      <c r="D461" s="190" t="e">
        <v>#DIV/0!</v>
      </c>
      <c r="E461" s="190" t="e">
        <v>#DIV/0!</v>
      </c>
      <c r="F461" s="183"/>
      <c r="G461" s="191"/>
      <c r="H461" s="191"/>
      <c r="I461" s="191"/>
      <c r="J461" s="191"/>
      <c r="K461" s="191"/>
      <c r="L461" s="191"/>
      <c r="M461" s="191"/>
      <c r="N461" s="191"/>
      <c r="O461" s="191"/>
      <c r="Q461" s="183"/>
    </row>
    <row r="462">
      <c r="B462" s="190" t="str">
        <f>IFERROR(__xludf.DUMMYFUNCTION("""COMPUTED_VALUE"""),"#VALUE!")</f>
        <v>#VALUE!</v>
      </c>
      <c r="C462" s="190"/>
      <c r="D462" s="190" t="e">
        <v>#DIV/0!</v>
      </c>
      <c r="E462" s="190" t="e">
        <v>#DIV/0!</v>
      </c>
      <c r="F462" s="183"/>
      <c r="G462" s="191"/>
      <c r="H462" s="191"/>
      <c r="I462" s="191"/>
      <c r="J462" s="191"/>
      <c r="K462" s="191"/>
      <c r="L462" s="191"/>
      <c r="M462" s="191"/>
      <c r="N462" s="191"/>
      <c r="O462" s="191"/>
      <c r="Q462" s="183"/>
    </row>
    <row r="463">
      <c r="B463" s="190" t="str">
        <f>IFERROR(__xludf.DUMMYFUNCTION("""COMPUTED_VALUE"""),"#VALUE!")</f>
        <v>#VALUE!</v>
      </c>
      <c r="C463" s="190"/>
      <c r="D463" s="190" t="e">
        <v>#DIV/0!</v>
      </c>
      <c r="E463" s="190" t="e">
        <v>#DIV/0!</v>
      </c>
      <c r="F463" s="183"/>
      <c r="G463" s="191"/>
      <c r="H463" s="191"/>
      <c r="I463" s="191"/>
      <c r="J463" s="191"/>
      <c r="K463" s="191"/>
      <c r="L463" s="191"/>
      <c r="M463" s="191"/>
      <c r="N463" s="191"/>
      <c r="O463" s="191"/>
      <c r="Q463" s="183"/>
    </row>
    <row r="464">
      <c r="B464" s="190" t="str">
        <f>IFERROR(__xludf.DUMMYFUNCTION("""COMPUTED_VALUE"""),"#VALUE!")</f>
        <v>#VALUE!</v>
      </c>
      <c r="C464" s="190"/>
      <c r="D464" s="190" t="e">
        <v>#DIV/0!</v>
      </c>
      <c r="E464" s="190" t="e">
        <v>#DIV/0!</v>
      </c>
      <c r="F464" s="183"/>
      <c r="G464" s="191"/>
      <c r="H464" s="191"/>
      <c r="I464" s="191"/>
      <c r="J464" s="191"/>
      <c r="K464" s="191"/>
      <c r="L464" s="191"/>
      <c r="M464" s="191"/>
      <c r="N464" s="191"/>
      <c r="O464" s="191"/>
      <c r="Q464" s="183"/>
    </row>
    <row r="465">
      <c r="B465" s="190" t="str">
        <f>IFERROR(__xludf.DUMMYFUNCTION("""COMPUTED_VALUE"""),"#VALUE!")</f>
        <v>#VALUE!</v>
      </c>
      <c r="C465" s="190"/>
      <c r="D465" s="190" t="e">
        <v>#DIV/0!</v>
      </c>
      <c r="E465" s="190" t="e">
        <v>#DIV/0!</v>
      </c>
      <c r="F465" s="183"/>
      <c r="G465" s="191"/>
      <c r="H465" s="191"/>
      <c r="I465" s="191"/>
      <c r="J465" s="191"/>
      <c r="K465" s="191"/>
      <c r="L465" s="191"/>
      <c r="M465" s="191"/>
      <c r="N465" s="191"/>
      <c r="O465" s="191"/>
      <c r="Q465" s="183"/>
    </row>
    <row r="466">
      <c r="B466" s="190" t="str">
        <f>IFERROR(__xludf.DUMMYFUNCTION("""COMPUTED_VALUE"""),"#VALUE!")</f>
        <v>#VALUE!</v>
      </c>
      <c r="C466" s="190"/>
      <c r="D466" s="190" t="e">
        <v>#DIV/0!</v>
      </c>
      <c r="E466" s="190" t="e">
        <v>#DIV/0!</v>
      </c>
      <c r="F466" s="183"/>
      <c r="G466" s="191"/>
      <c r="H466" s="191"/>
      <c r="I466" s="191"/>
      <c r="J466" s="191"/>
      <c r="K466" s="191"/>
      <c r="L466" s="191"/>
      <c r="M466" s="191"/>
      <c r="N466" s="191"/>
      <c r="O466" s="191"/>
      <c r="Q466" s="183"/>
    </row>
    <row r="467">
      <c r="B467" s="190" t="str">
        <f>IFERROR(__xludf.DUMMYFUNCTION("""COMPUTED_VALUE"""),"#VALUE!")</f>
        <v>#VALUE!</v>
      </c>
      <c r="C467" s="190"/>
      <c r="D467" s="190" t="e">
        <v>#DIV/0!</v>
      </c>
      <c r="E467" s="190" t="e">
        <v>#DIV/0!</v>
      </c>
      <c r="F467" s="183"/>
      <c r="G467" s="191"/>
      <c r="H467" s="191"/>
      <c r="I467" s="191"/>
      <c r="J467" s="191"/>
      <c r="K467" s="191"/>
      <c r="L467" s="191"/>
      <c r="M467" s="191"/>
      <c r="N467" s="191"/>
      <c r="O467" s="191"/>
      <c r="Q467" s="183"/>
    </row>
    <row r="468">
      <c r="B468" s="190" t="str">
        <f>IFERROR(__xludf.DUMMYFUNCTION("""COMPUTED_VALUE"""),"#VALUE!")</f>
        <v>#VALUE!</v>
      </c>
      <c r="C468" s="190"/>
      <c r="D468" s="190" t="e">
        <v>#DIV/0!</v>
      </c>
      <c r="E468" s="190" t="e">
        <v>#DIV/0!</v>
      </c>
      <c r="F468" s="183"/>
      <c r="G468" s="191"/>
      <c r="H468" s="191"/>
      <c r="I468" s="191"/>
      <c r="J468" s="191"/>
      <c r="K468" s="191"/>
      <c r="L468" s="191"/>
      <c r="M468" s="191"/>
      <c r="N468" s="191"/>
      <c r="O468" s="191"/>
      <c r="Q468" s="183"/>
    </row>
    <row r="469">
      <c r="B469" s="190" t="str">
        <f>IFERROR(__xludf.DUMMYFUNCTION("""COMPUTED_VALUE"""),"#VALUE!")</f>
        <v>#VALUE!</v>
      </c>
      <c r="C469" s="190"/>
      <c r="D469" s="190" t="e">
        <v>#DIV/0!</v>
      </c>
      <c r="E469" s="190" t="e">
        <v>#DIV/0!</v>
      </c>
      <c r="F469" s="183"/>
      <c r="G469" s="191"/>
      <c r="H469" s="191"/>
      <c r="I469" s="191"/>
      <c r="J469" s="191"/>
      <c r="K469" s="191"/>
      <c r="L469" s="191"/>
      <c r="M469" s="191"/>
      <c r="N469" s="191"/>
      <c r="O469" s="191"/>
      <c r="Q469" s="183"/>
    </row>
    <row r="470">
      <c r="B470" s="190" t="str">
        <f>IFERROR(__xludf.DUMMYFUNCTION("""COMPUTED_VALUE"""),"#VALUE!")</f>
        <v>#VALUE!</v>
      </c>
      <c r="C470" s="190"/>
      <c r="D470" s="190" t="e">
        <v>#DIV/0!</v>
      </c>
      <c r="E470" s="190" t="e">
        <v>#DIV/0!</v>
      </c>
      <c r="F470" s="183"/>
      <c r="G470" s="191"/>
      <c r="H470" s="191"/>
      <c r="I470" s="191"/>
      <c r="J470" s="191"/>
      <c r="K470" s="191"/>
      <c r="L470" s="191"/>
      <c r="M470" s="191"/>
      <c r="N470" s="191"/>
      <c r="O470" s="191"/>
      <c r="Q470" s="183"/>
    </row>
    <row r="471">
      <c r="B471" s="190" t="str">
        <f>IFERROR(__xludf.DUMMYFUNCTION("""COMPUTED_VALUE"""),"#VALUE!")</f>
        <v>#VALUE!</v>
      </c>
      <c r="C471" s="190"/>
      <c r="D471" s="190" t="e">
        <v>#DIV/0!</v>
      </c>
      <c r="E471" s="190" t="e">
        <v>#DIV/0!</v>
      </c>
      <c r="F471" s="183"/>
      <c r="G471" s="191"/>
      <c r="H471" s="191"/>
      <c r="I471" s="191"/>
      <c r="J471" s="191"/>
      <c r="K471" s="191"/>
      <c r="L471" s="191"/>
      <c r="M471" s="191"/>
      <c r="N471" s="191"/>
      <c r="O471" s="191"/>
      <c r="Q471" s="183"/>
    </row>
    <row r="472">
      <c r="B472" s="190" t="str">
        <f>IFERROR(__xludf.DUMMYFUNCTION("""COMPUTED_VALUE"""),"#VALUE!")</f>
        <v>#VALUE!</v>
      </c>
      <c r="C472" s="190"/>
      <c r="D472" s="190" t="e">
        <v>#DIV/0!</v>
      </c>
      <c r="E472" s="190" t="e">
        <v>#DIV/0!</v>
      </c>
      <c r="F472" s="183"/>
      <c r="G472" s="191"/>
      <c r="H472" s="191"/>
      <c r="I472" s="191"/>
      <c r="J472" s="191"/>
      <c r="K472" s="191"/>
      <c r="L472" s="191"/>
      <c r="M472" s="191"/>
      <c r="N472" s="191"/>
      <c r="O472" s="191"/>
      <c r="Q472" s="183"/>
    </row>
    <row r="473">
      <c r="B473" s="190" t="str">
        <f>IFERROR(__xludf.DUMMYFUNCTION("""COMPUTED_VALUE"""),"#VALUE!")</f>
        <v>#VALUE!</v>
      </c>
      <c r="C473" s="190"/>
      <c r="D473" s="190" t="e">
        <v>#DIV/0!</v>
      </c>
      <c r="E473" s="190" t="e">
        <v>#DIV/0!</v>
      </c>
      <c r="F473" s="183"/>
      <c r="G473" s="191"/>
      <c r="H473" s="191"/>
      <c r="I473" s="191"/>
      <c r="J473" s="191"/>
      <c r="K473" s="191"/>
      <c r="L473" s="191"/>
      <c r="M473" s="191"/>
      <c r="N473" s="191"/>
      <c r="O473" s="191"/>
      <c r="Q473" s="183"/>
    </row>
    <row r="474">
      <c r="B474" s="190" t="str">
        <f>IFERROR(__xludf.DUMMYFUNCTION("""COMPUTED_VALUE"""),"#VALUE!")</f>
        <v>#VALUE!</v>
      </c>
      <c r="C474" s="190"/>
      <c r="D474" s="190" t="e">
        <v>#DIV/0!</v>
      </c>
      <c r="E474" s="190" t="e">
        <v>#DIV/0!</v>
      </c>
      <c r="F474" s="183"/>
      <c r="G474" s="191"/>
      <c r="H474" s="191"/>
      <c r="I474" s="191"/>
      <c r="J474" s="191"/>
      <c r="K474" s="191"/>
      <c r="L474" s="191"/>
      <c r="M474" s="191"/>
      <c r="N474" s="191"/>
      <c r="O474" s="191"/>
      <c r="Q474" s="183"/>
    </row>
    <row r="475">
      <c r="B475" s="190" t="str">
        <f>IFERROR(__xludf.DUMMYFUNCTION("""COMPUTED_VALUE"""),"#VALUE!")</f>
        <v>#VALUE!</v>
      </c>
      <c r="C475" s="190"/>
      <c r="D475" s="190" t="e">
        <v>#DIV/0!</v>
      </c>
      <c r="E475" s="190" t="e">
        <v>#DIV/0!</v>
      </c>
      <c r="F475" s="183"/>
      <c r="G475" s="191"/>
      <c r="H475" s="191"/>
      <c r="I475" s="191"/>
      <c r="J475" s="191"/>
      <c r="K475" s="191"/>
      <c r="L475" s="191"/>
      <c r="M475" s="191"/>
      <c r="N475" s="191"/>
      <c r="O475" s="191"/>
      <c r="Q475" s="183"/>
    </row>
    <row r="476">
      <c r="B476" s="190" t="str">
        <f>IFERROR(__xludf.DUMMYFUNCTION("""COMPUTED_VALUE"""),"#VALUE!")</f>
        <v>#VALUE!</v>
      </c>
      <c r="C476" s="190"/>
      <c r="D476" s="190" t="e">
        <v>#DIV/0!</v>
      </c>
      <c r="E476" s="190" t="e">
        <v>#DIV/0!</v>
      </c>
      <c r="F476" s="183"/>
      <c r="G476" s="191"/>
      <c r="H476" s="191"/>
      <c r="I476" s="191"/>
      <c r="J476" s="191"/>
      <c r="K476" s="191"/>
      <c r="L476" s="191"/>
      <c r="M476" s="191"/>
      <c r="N476" s="191"/>
      <c r="O476" s="191"/>
      <c r="Q476" s="183"/>
    </row>
    <row r="477">
      <c r="B477" s="190" t="str">
        <f>IFERROR(__xludf.DUMMYFUNCTION("""COMPUTED_VALUE"""),"#VALUE!")</f>
        <v>#VALUE!</v>
      </c>
      <c r="C477" s="190"/>
      <c r="D477" s="190" t="e">
        <v>#DIV/0!</v>
      </c>
      <c r="E477" s="190" t="e">
        <v>#DIV/0!</v>
      </c>
      <c r="F477" s="183"/>
      <c r="G477" s="191"/>
      <c r="H477" s="191"/>
      <c r="I477" s="191"/>
      <c r="J477" s="191"/>
      <c r="K477" s="191"/>
      <c r="L477" s="191"/>
      <c r="M477" s="191"/>
      <c r="N477" s="191"/>
      <c r="O477" s="191"/>
      <c r="Q477" s="183"/>
    </row>
    <row r="478">
      <c r="B478" s="190" t="str">
        <f>IFERROR(__xludf.DUMMYFUNCTION("""COMPUTED_VALUE"""),"#VALUE!")</f>
        <v>#VALUE!</v>
      </c>
      <c r="C478" s="190"/>
      <c r="D478" s="190" t="e">
        <v>#DIV/0!</v>
      </c>
      <c r="E478" s="190" t="e">
        <v>#DIV/0!</v>
      </c>
      <c r="F478" s="183"/>
      <c r="G478" s="191"/>
      <c r="H478" s="191"/>
      <c r="I478" s="191"/>
      <c r="J478" s="191"/>
      <c r="K478" s="191"/>
      <c r="L478" s="191"/>
      <c r="M478" s="191"/>
      <c r="N478" s="191"/>
      <c r="O478" s="191"/>
      <c r="Q478" s="183"/>
    </row>
    <row r="479">
      <c r="B479" s="190" t="str">
        <f>IFERROR(__xludf.DUMMYFUNCTION("""COMPUTED_VALUE"""),"#VALUE!")</f>
        <v>#VALUE!</v>
      </c>
      <c r="C479" s="190"/>
      <c r="D479" s="190" t="e">
        <v>#DIV/0!</v>
      </c>
      <c r="E479" s="190" t="e">
        <v>#DIV/0!</v>
      </c>
      <c r="F479" s="183"/>
      <c r="G479" s="191"/>
      <c r="H479" s="191"/>
      <c r="I479" s="191"/>
      <c r="J479" s="191"/>
      <c r="K479" s="191"/>
      <c r="L479" s="191"/>
      <c r="M479" s="191"/>
      <c r="N479" s="191"/>
      <c r="O479" s="191"/>
      <c r="Q479" s="183"/>
    </row>
    <row r="480">
      <c r="B480" s="190" t="str">
        <f>IFERROR(__xludf.DUMMYFUNCTION("""COMPUTED_VALUE"""),"#VALUE!")</f>
        <v>#VALUE!</v>
      </c>
      <c r="C480" s="190"/>
      <c r="D480" s="190" t="e">
        <v>#DIV/0!</v>
      </c>
      <c r="E480" s="190" t="e">
        <v>#DIV/0!</v>
      </c>
      <c r="F480" s="183"/>
      <c r="G480" s="191"/>
      <c r="H480" s="191"/>
      <c r="I480" s="191"/>
      <c r="J480" s="191"/>
      <c r="K480" s="191"/>
      <c r="L480" s="191"/>
      <c r="M480" s="191"/>
      <c r="N480" s="191"/>
      <c r="O480" s="191"/>
      <c r="Q480" s="183"/>
    </row>
    <row r="481">
      <c r="B481" s="190" t="str">
        <f>IFERROR(__xludf.DUMMYFUNCTION("""COMPUTED_VALUE"""),"#VALUE!")</f>
        <v>#VALUE!</v>
      </c>
      <c r="C481" s="190"/>
      <c r="D481" s="190" t="e">
        <v>#DIV/0!</v>
      </c>
      <c r="E481" s="190" t="e">
        <v>#DIV/0!</v>
      </c>
      <c r="F481" s="183"/>
      <c r="G481" s="191"/>
      <c r="H481" s="191"/>
      <c r="I481" s="191"/>
      <c r="J481" s="191"/>
      <c r="K481" s="191"/>
      <c r="L481" s="191"/>
      <c r="M481" s="191"/>
      <c r="N481" s="191"/>
      <c r="O481" s="191"/>
      <c r="Q481" s="183"/>
    </row>
    <row r="482">
      <c r="B482" s="190" t="str">
        <f>IFERROR(__xludf.DUMMYFUNCTION("""COMPUTED_VALUE"""),"#VALUE!")</f>
        <v>#VALUE!</v>
      </c>
      <c r="C482" s="190"/>
      <c r="D482" s="190" t="e">
        <v>#DIV/0!</v>
      </c>
      <c r="E482" s="190" t="e">
        <v>#DIV/0!</v>
      </c>
      <c r="F482" s="183"/>
      <c r="G482" s="191"/>
      <c r="H482" s="191"/>
      <c r="I482" s="191"/>
      <c r="J482" s="191"/>
      <c r="K482" s="191"/>
      <c r="L482" s="191"/>
      <c r="M482" s="191"/>
      <c r="N482" s="191"/>
      <c r="O482" s="191"/>
      <c r="Q482" s="183"/>
    </row>
    <row r="483">
      <c r="B483" s="190" t="str">
        <f>IFERROR(__xludf.DUMMYFUNCTION("""COMPUTED_VALUE"""),"#VALUE!")</f>
        <v>#VALUE!</v>
      </c>
      <c r="C483" s="190"/>
      <c r="D483" s="190" t="e">
        <v>#DIV/0!</v>
      </c>
      <c r="E483" s="190" t="e">
        <v>#DIV/0!</v>
      </c>
      <c r="F483" s="183"/>
      <c r="G483" s="191"/>
      <c r="H483" s="191"/>
      <c r="I483" s="191"/>
      <c r="J483" s="191"/>
      <c r="K483" s="191"/>
      <c r="L483" s="191"/>
      <c r="M483" s="191"/>
      <c r="N483" s="191"/>
      <c r="O483" s="191"/>
      <c r="Q483" s="183"/>
    </row>
    <row r="484">
      <c r="B484" s="190" t="str">
        <f>IFERROR(__xludf.DUMMYFUNCTION("""COMPUTED_VALUE"""),"#VALUE!")</f>
        <v>#VALUE!</v>
      </c>
      <c r="C484" s="190"/>
      <c r="D484" s="190" t="e">
        <v>#DIV/0!</v>
      </c>
      <c r="E484" s="190" t="e">
        <v>#DIV/0!</v>
      </c>
      <c r="F484" s="183"/>
      <c r="G484" s="191"/>
      <c r="H484" s="191"/>
      <c r="I484" s="191"/>
      <c r="J484" s="191"/>
      <c r="K484" s="191"/>
      <c r="L484" s="191"/>
      <c r="M484" s="191"/>
      <c r="N484" s="191"/>
      <c r="O484" s="191"/>
      <c r="Q484" s="183"/>
    </row>
    <row r="485">
      <c r="B485" s="190" t="str">
        <f>IFERROR(__xludf.DUMMYFUNCTION("""COMPUTED_VALUE"""),"#VALUE!")</f>
        <v>#VALUE!</v>
      </c>
      <c r="C485" s="190"/>
      <c r="D485" s="190" t="e">
        <v>#DIV/0!</v>
      </c>
      <c r="E485" s="190" t="e">
        <v>#DIV/0!</v>
      </c>
      <c r="F485" s="183"/>
      <c r="G485" s="191"/>
      <c r="H485" s="191"/>
      <c r="I485" s="191"/>
      <c r="J485" s="191"/>
      <c r="K485" s="191"/>
      <c r="L485" s="191"/>
      <c r="M485" s="191"/>
      <c r="N485" s="191"/>
      <c r="O485" s="191"/>
      <c r="Q485" s="183"/>
    </row>
    <row r="486">
      <c r="B486" s="190" t="str">
        <f>IFERROR(__xludf.DUMMYFUNCTION("""COMPUTED_VALUE"""),"#VALUE!")</f>
        <v>#VALUE!</v>
      </c>
      <c r="C486" s="190"/>
      <c r="D486" s="190" t="e">
        <v>#DIV/0!</v>
      </c>
      <c r="E486" s="190" t="e">
        <v>#DIV/0!</v>
      </c>
      <c r="F486" s="183"/>
      <c r="G486" s="191"/>
      <c r="H486" s="191"/>
      <c r="I486" s="191"/>
      <c r="J486" s="191"/>
      <c r="K486" s="191"/>
      <c r="L486" s="191"/>
      <c r="M486" s="191"/>
      <c r="N486" s="191"/>
      <c r="O486" s="191"/>
      <c r="Q486" s="183"/>
    </row>
    <row r="487">
      <c r="B487" s="190" t="str">
        <f>IFERROR(__xludf.DUMMYFUNCTION("""COMPUTED_VALUE"""),"#VALUE!")</f>
        <v>#VALUE!</v>
      </c>
      <c r="C487" s="190"/>
      <c r="D487" s="190" t="e">
        <v>#DIV/0!</v>
      </c>
      <c r="E487" s="190" t="e">
        <v>#DIV/0!</v>
      </c>
      <c r="F487" s="183"/>
      <c r="G487" s="191"/>
      <c r="H487" s="191"/>
      <c r="I487" s="191"/>
      <c r="J487" s="191"/>
      <c r="K487" s="191"/>
      <c r="L487" s="191"/>
      <c r="M487" s="191"/>
      <c r="N487" s="191"/>
      <c r="O487" s="191"/>
      <c r="Q487" s="183"/>
    </row>
    <row r="488">
      <c r="B488" s="190" t="str">
        <f>IFERROR(__xludf.DUMMYFUNCTION("""COMPUTED_VALUE"""),"#VALUE!")</f>
        <v>#VALUE!</v>
      </c>
      <c r="C488" s="190"/>
      <c r="D488" s="190" t="e">
        <v>#DIV/0!</v>
      </c>
      <c r="E488" s="190" t="e">
        <v>#DIV/0!</v>
      </c>
      <c r="F488" s="183"/>
      <c r="G488" s="191"/>
      <c r="H488" s="191"/>
      <c r="I488" s="191"/>
      <c r="J488" s="191"/>
      <c r="K488" s="191"/>
      <c r="L488" s="191"/>
      <c r="M488" s="191"/>
      <c r="N488" s="191"/>
      <c r="O488" s="191"/>
      <c r="Q488" s="183"/>
    </row>
    <row r="489">
      <c r="B489" s="190" t="str">
        <f>IFERROR(__xludf.DUMMYFUNCTION("""COMPUTED_VALUE"""),"#VALUE!")</f>
        <v>#VALUE!</v>
      </c>
      <c r="C489" s="190"/>
      <c r="D489" s="190" t="e">
        <v>#DIV/0!</v>
      </c>
      <c r="E489" s="190" t="e">
        <v>#DIV/0!</v>
      </c>
      <c r="F489" s="183"/>
      <c r="G489" s="191"/>
      <c r="H489" s="191"/>
      <c r="I489" s="191"/>
      <c r="J489" s="191"/>
      <c r="K489" s="191"/>
      <c r="L489" s="191"/>
      <c r="M489" s="191"/>
      <c r="N489" s="191"/>
      <c r="O489" s="191"/>
      <c r="Q489" s="183"/>
    </row>
    <row r="490">
      <c r="B490" s="190" t="str">
        <f>IFERROR(__xludf.DUMMYFUNCTION("""COMPUTED_VALUE"""),"#VALUE!")</f>
        <v>#VALUE!</v>
      </c>
      <c r="C490" s="190"/>
      <c r="D490" s="190" t="e">
        <v>#DIV/0!</v>
      </c>
      <c r="E490" s="190" t="e">
        <v>#DIV/0!</v>
      </c>
      <c r="F490" s="183"/>
      <c r="G490" s="191"/>
      <c r="H490" s="191"/>
      <c r="I490" s="191"/>
      <c r="J490" s="191"/>
      <c r="K490" s="191"/>
      <c r="L490" s="191"/>
      <c r="M490" s="191"/>
      <c r="N490" s="191"/>
      <c r="O490" s="191"/>
      <c r="Q490" s="183"/>
    </row>
    <row r="491">
      <c r="B491" s="190" t="str">
        <f>IFERROR(__xludf.DUMMYFUNCTION("""COMPUTED_VALUE"""),"#VALUE!")</f>
        <v>#VALUE!</v>
      </c>
      <c r="C491" s="190"/>
      <c r="D491" s="190" t="e">
        <v>#DIV/0!</v>
      </c>
      <c r="E491" s="190" t="e">
        <v>#DIV/0!</v>
      </c>
      <c r="F491" s="183"/>
      <c r="G491" s="191"/>
      <c r="H491" s="191"/>
      <c r="I491" s="191"/>
      <c r="J491" s="191"/>
      <c r="K491" s="191"/>
      <c r="L491" s="191"/>
      <c r="M491" s="191"/>
      <c r="N491" s="191"/>
      <c r="O491" s="191"/>
      <c r="Q491" s="183"/>
    </row>
    <row r="492">
      <c r="B492" s="190" t="str">
        <f>IFERROR(__xludf.DUMMYFUNCTION("""COMPUTED_VALUE"""),"#VALUE!")</f>
        <v>#VALUE!</v>
      </c>
      <c r="C492" s="190"/>
      <c r="D492" s="190" t="e">
        <v>#DIV/0!</v>
      </c>
      <c r="E492" s="190" t="e">
        <v>#DIV/0!</v>
      </c>
      <c r="F492" s="183"/>
      <c r="G492" s="191"/>
      <c r="H492" s="191"/>
      <c r="I492" s="191"/>
      <c r="J492" s="191"/>
      <c r="K492" s="191"/>
      <c r="L492" s="191"/>
      <c r="M492" s="191"/>
      <c r="N492" s="191"/>
      <c r="O492" s="191"/>
      <c r="Q492" s="183"/>
    </row>
    <row r="493">
      <c r="B493" s="190" t="str">
        <f>IFERROR(__xludf.DUMMYFUNCTION("""COMPUTED_VALUE"""),"#VALUE!")</f>
        <v>#VALUE!</v>
      </c>
      <c r="C493" s="190"/>
      <c r="D493" s="190" t="e">
        <v>#DIV/0!</v>
      </c>
      <c r="E493" s="190" t="e">
        <v>#DIV/0!</v>
      </c>
      <c r="F493" s="183"/>
      <c r="G493" s="191"/>
      <c r="H493" s="191"/>
      <c r="I493" s="191"/>
      <c r="J493" s="191"/>
      <c r="K493" s="191"/>
      <c r="L493" s="191"/>
      <c r="M493" s="191"/>
      <c r="N493" s="191"/>
      <c r="O493" s="191"/>
      <c r="Q493" s="183"/>
    </row>
    <row r="494">
      <c r="B494" s="190" t="str">
        <f>IFERROR(__xludf.DUMMYFUNCTION("""COMPUTED_VALUE"""),"#VALUE!")</f>
        <v>#VALUE!</v>
      </c>
      <c r="C494" s="190"/>
      <c r="D494" s="190" t="e">
        <v>#DIV/0!</v>
      </c>
      <c r="E494" s="190" t="e">
        <v>#DIV/0!</v>
      </c>
      <c r="F494" s="183"/>
      <c r="G494" s="191"/>
      <c r="H494" s="191"/>
      <c r="I494" s="191"/>
      <c r="J494" s="191"/>
      <c r="K494" s="191"/>
      <c r="L494" s="191"/>
      <c r="M494" s="191"/>
      <c r="N494" s="191"/>
      <c r="O494" s="191"/>
      <c r="Q494" s="183"/>
    </row>
    <row r="495">
      <c r="B495" s="190" t="str">
        <f>IFERROR(__xludf.DUMMYFUNCTION("""COMPUTED_VALUE"""),"#VALUE!")</f>
        <v>#VALUE!</v>
      </c>
      <c r="C495" s="190"/>
      <c r="D495" s="190" t="e">
        <v>#DIV/0!</v>
      </c>
      <c r="E495" s="190" t="e">
        <v>#DIV/0!</v>
      </c>
      <c r="F495" s="183"/>
      <c r="G495" s="191"/>
      <c r="H495" s="191"/>
      <c r="I495" s="191"/>
      <c r="J495" s="191"/>
      <c r="K495" s="191"/>
      <c r="L495" s="191"/>
      <c r="M495" s="191"/>
      <c r="N495" s="191"/>
      <c r="O495" s="191"/>
      <c r="Q495" s="183"/>
    </row>
    <row r="496">
      <c r="B496" s="190" t="str">
        <f>IFERROR(__xludf.DUMMYFUNCTION("""COMPUTED_VALUE"""),"#VALUE!")</f>
        <v>#VALUE!</v>
      </c>
      <c r="C496" s="190"/>
      <c r="D496" s="190" t="e">
        <v>#DIV/0!</v>
      </c>
      <c r="E496" s="190" t="e">
        <v>#DIV/0!</v>
      </c>
      <c r="F496" s="183"/>
      <c r="G496" s="191"/>
      <c r="H496" s="191"/>
      <c r="I496" s="191"/>
      <c r="J496" s="191"/>
      <c r="K496" s="191"/>
      <c r="L496" s="191"/>
      <c r="M496" s="191"/>
      <c r="N496" s="191"/>
      <c r="O496" s="191"/>
      <c r="Q496" s="183"/>
    </row>
    <row r="497">
      <c r="B497" s="190" t="str">
        <f>IFERROR(__xludf.DUMMYFUNCTION("""COMPUTED_VALUE"""),"#VALUE!")</f>
        <v>#VALUE!</v>
      </c>
      <c r="C497" s="190"/>
      <c r="D497" s="190" t="e">
        <v>#DIV/0!</v>
      </c>
      <c r="E497" s="190" t="e">
        <v>#DIV/0!</v>
      </c>
      <c r="F497" s="183"/>
      <c r="G497" s="191"/>
      <c r="H497" s="191"/>
      <c r="I497" s="191"/>
      <c r="J497" s="191"/>
      <c r="K497" s="191"/>
      <c r="L497" s="191"/>
      <c r="M497" s="191"/>
      <c r="N497" s="191"/>
      <c r="O497" s="191"/>
      <c r="Q497" s="183"/>
    </row>
    <row r="498">
      <c r="B498" s="190" t="str">
        <f>IFERROR(__xludf.DUMMYFUNCTION("""COMPUTED_VALUE"""),"#VALUE!")</f>
        <v>#VALUE!</v>
      </c>
      <c r="C498" s="190"/>
      <c r="D498" s="190" t="e">
        <v>#DIV/0!</v>
      </c>
      <c r="E498" s="190" t="e">
        <v>#DIV/0!</v>
      </c>
      <c r="F498" s="183"/>
      <c r="G498" s="191"/>
      <c r="H498" s="191"/>
      <c r="I498" s="191"/>
      <c r="J498" s="191"/>
      <c r="K498" s="191"/>
      <c r="L498" s="191"/>
      <c r="M498" s="191"/>
      <c r="N498" s="191"/>
      <c r="O498" s="191"/>
      <c r="Q498" s="183"/>
    </row>
    <row r="499">
      <c r="B499" s="190" t="str">
        <f>IFERROR(__xludf.DUMMYFUNCTION("""COMPUTED_VALUE"""),"#VALUE!")</f>
        <v>#VALUE!</v>
      </c>
      <c r="C499" s="190"/>
      <c r="D499" s="190" t="e">
        <v>#DIV/0!</v>
      </c>
      <c r="E499" s="190" t="e">
        <v>#DIV/0!</v>
      </c>
      <c r="F499" s="183"/>
      <c r="G499" s="191"/>
      <c r="H499" s="191"/>
      <c r="I499" s="191"/>
      <c r="J499" s="191"/>
      <c r="K499" s="191"/>
      <c r="L499" s="191"/>
      <c r="M499" s="191"/>
      <c r="N499" s="191"/>
      <c r="O499" s="191"/>
      <c r="Q499" s="183"/>
    </row>
    <row r="500">
      <c r="B500" s="190" t="str">
        <f>IFERROR(__xludf.DUMMYFUNCTION("""COMPUTED_VALUE"""),"#VALUE!")</f>
        <v>#VALUE!</v>
      </c>
      <c r="C500" s="190"/>
      <c r="D500" s="190" t="e">
        <v>#DIV/0!</v>
      </c>
      <c r="E500" s="190" t="e">
        <v>#DIV/0!</v>
      </c>
      <c r="F500" s="183"/>
      <c r="G500" s="191"/>
      <c r="H500" s="191"/>
      <c r="I500" s="191"/>
      <c r="J500" s="191"/>
      <c r="K500" s="191"/>
      <c r="L500" s="191"/>
      <c r="M500" s="191"/>
      <c r="N500" s="191"/>
      <c r="O500" s="191"/>
      <c r="Q500" s="183"/>
    </row>
    <row r="501">
      <c r="B501" s="190" t="str">
        <f>IFERROR(__xludf.DUMMYFUNCTION("""COMPUTED_VALUE"""),"#VALUE!")</f>
        <v>#VALUE!</v>
      </c>
      <c r="C501" s="190"/>
      <c r="D501" s="190" t="e">
        <v>#DIV/0!</v>
      </c>
      <c r="E501" s="190" t="e">
        <v>#DIV/0!</v>
      </c>
      <c r="F501" s="183"/>
      <c r="G501" s="191"/>
      <c r="H501" s="191"/>
      <c r="I501" s="191"/>
      <c r="J501" s="191"/>
      <c r="K501" s="191"/>
      <c r="L501" s="191"/>
      <c r="M501" s="191"/>
      <c r="N501" s="191"/>
      <c r="O501" s="191"/>
      <c r="Q501" s="183"/>
    </row>
    <row r="502">
      <c r="B502" s="190" t="str">
        <f>IFERROR(__xludf.DUMMYFUNCTION("""COMPUTED_VALUE"""),"#VALUE!")</f>
        <v>#VALUE!</v>
      </c>
      <c r="C502" s="190"/>
      <c r="D502" s="190" t="e">
        <v>#DIV/0!</v>
      </c>
      <c r="E502" s="190" t="e">
        <v>#DIV/0!</v>
      </c>
      <c r="F502" s="183"/>
      <c r="G502" s="191"/>
      <c r="H502" s="191"/>
      <c r="I502" s="191"/>
      <c r="J502" s="191"/>
      <c r="K502" s="191"/>
      <c r="L502" s="191"/>
      <c r="M502" s="191"/>
      <c r="N502" s="191"/>
      <c r="O502" s="191"/>
      <c r="Q502" s="183"/>
    </row>
    <row r="503">
      <c r="B503" s="190" t="str">
        <f>IFERROR(__xludf.DUMMYFUNCTION("""COMPUTED_VALUE"""),"#VALUE!")</f>
        <v>#VALUE!</v>
      </c>
      <c r="C503" s="190"/>
      <c r="D503" s="190" t="e">
        <v>#DIV/0!</v>
      </c>
      <c r="E503" s="190" t="e">
        <v>#DIV/0!</v>
      </c>
      <c r="F503" s="183"/>
      <c r="G503" s="191"/>
      <c r="H503" s="191"/>
      <c r="I503" s="191"/>
      <c r="J503" s="191"/>
      <c r="K503" s="191"/>
      <c r="L503" s="191"/>
      <c r="M503" s="191"/>
      <c r="N503" s="191"/>
      <c r="O503" s="191"/>
      <c r="Q503" s="183"/>
    </row>
    <row r="504">
      <c r="B504" s="190" t="str">
        <f>IFERROR(__xludf.DUMMYFUNCTION("""COMPUTED_VALUE"""),"#VALUE!")</f>
        <v>#VALUE!</v>
      </c>
      <c r="C504" s="190"/>
      <c r="D504" s="190" t="e">
        <v>#DIV/0!</v>
      </c>
      <c r="E504" s="190" t="e">
        <v>#DIV/0!</v>
      </c>
      <c r="F504" s="183"/>
      <c r="G504" s="191"/>
      <c r="H504" s="191"/>
      <c r="I504" s="191"/>
      <c r="J504" s="191"/>
      <c r="K504" s="191"/>
      <c r="L504" s="191"/>
      <c r="M504" s="191"/>
      <c r="N504" s="191"/>
      <c r="O504" s="191"/>
      <c r="Q504" s="183"/>
    </row>
    <row r="505">
      <c r="B505" s="190" t="str">
        <f>IFERROR(__xludf.DUMMYFUNCTION("""COMPUTED_VALUE"""),"#VALUE!")</f>
        <v>#VALUE!</v>
      </c>
      <c r="C505" s="190"/>
      <c r="D505" s="190" t="e">
        <v>#DIV/0!</v>
      </c>
      <c r="E505" s="190" t="e">
        <v>#DIV/0!</v>
      </c>
      <c r="F505" s="183"/>
      <c r="G505" s="191"/>
      <c r="H505" s="191"/>
      <c r="I505" s="191"/>
      <c r="J505" s="191"/>
      <c r="K505" s="191"/>
      <c r="L505" s="191"/>
      <c r="M505" s="191"/>
      <c r="N505" s="191"/>
      <c r="O505" s="191"/>
      <c r="Q505" s="183"/>
    </row>
    <row r="506">
      <c r="B506" s="190" t="str">
        <f>IFERROR(__xludf.DUMMYFUNCTION("""COMPUTED_VALUE"""),"#VALUE!")</f>
        <v>#VALUE!</v>
      </c>
      <c r="C506" s="190"/>
      <c r="D506" s="190" t="e">
        <v>#DIV/0!</v>
      </c>
      <c r="E506" s="190" t="e">
        <v>#DIV/0!</v>
      </c>
      <c r="F506" s="183"/>
      <c r="G506" s="191"/>
      <c r="H506" s="191"/>
      <c r="I506" s="191"/>
      <c r="J506" s="191"/>
      <c r="K506" s="191"/>
      <c r="L506" s="191"/>
      <c r="M506" s="191"/>
      <c r="N506" s="191"/>
      <c r="O506" s="191"/>
      <c r="Q506" s="183"/>
    </row>
    <row r="507">
      <c r="B507" s="190" t="str">
        <f>IFERROR(__xludf.DUMMYFUNCTION("""COMPUTED_VALUE"""),"#VALUE!")</f>
        <v>#VALUE!</v>
      </c>
      <c r="C507" s="190"/>
      <c r="D507" s="190" t="e">
        <v>#DIV/0!</v>
      </c>
      <c r="E507" s="190" t="e">
        <v>#DIV/0!</v>
      </c>
      <c r="F507" s="183"/>
      <c r="G507" s="191"/>
      <c r="H507" s="191"/>
      <c r="I507" s="191"/>
      <c r="J507" s="191"/>
      <c r="K507" s="191"/>
      <c r="L507" s="191"/>
      <c r="M507" s="191"/>
      <c r="N507" s="191"/>
      <c r="O507" s="191"/>
      <c r="Q507" s="183"/>
    </row>
    <row r="508">
      <c r="B508" s="190" t="str">
        <f>IFERROR(__xludf.DUMMYFUNCTION("""COMPUTED_VALUE"""),"#VALUE!")</f>
        <v>#VALUE!</v>
      </c>
      <c r="C508" s="190"/>
      <c r="D508" s="190" t="e">
        <v>#DIV/0!</v>
      </c>
      <c r="E508" s="190" t="e">
        <v>#DIV/0!</v>
      </c>
      <c r="F508" s="183"/>
      <c r="G508" s="191"/>
      <c r="H508" s="191"/>
      <c r="I508" s="191"/>
      <c r="J508" s="191"/>
      <c r="K508" s="191"/>
      <c r="L508" s="191"/>
      <c r="M508" s="191"/>
      <c r="N508" s="191"/>
      <c r="O508" s="191"/>
      <c r="Q508" s="183"/>
    </row>
    <row r="509">
      <c r="B509" s="190" t="str">
        <f>IFERROR(__xludf.DUMMYFUNCTION("""COMPUTED_VALUE"""),"#VALUE!")</f>
        <v>#VALUE!</v>
      </c>
      <c r="C509" s="190"/>
      <c r="D509" s="190" t="e">
        <v>#DIV/0!</v>
      </c>
      <c r="E509" s="190" t="e">
        <v>#DIV/0!</v>
      </c>
      <c r="F509" s="183"/>
      <c r="G509" s="191"/>
      <c r="H509" s="191"/>
      <c r="I509" s="191"/>
      <c r="J509" s="191"/>
      <c r="K509" s="191"/>
      <c r="L509" s="191"/>
      <c r="M509" s="191"/>
      <c r="N509" s="191"/>
      <c r="O509" s="191"/>
      <c r="Q509" s="183"/>
    </row>
    <row r="510">
      <c r="B510" s="190" t="str">
        <f>IFERROR(__xludf.DUMMYFUNCTION("""COMPUTED_VALUE"""),"#VALUE!")</f>
        <v>#VALUE!</v>
      </c>
      <c r="C510" s="190"/>
      <c r="D510" s="190" t="e">
        <v>#DIV/0!</v>
      </c>
      <c r="E510" s="190" t="e">
        <v>#DIV/0!</v>
      </c>
      <c r="F510" s="183"/>
      <c r="G510" s="191"/>
      <c r="H510" s="191"/>
      <c r="I510" s="191"/>
      <c r="J510" s="191"/>
      <c r="K510" s="191"/>
      <c r="L510" s="191"/>
      <c r="M510" s="191"/>
      <c r="N510" s="191"/>
      <c r="O510" s="191"/>
      <c r="Q510" s="183"/>
    </row>
    <row r="511">
      <c r="B511" s="190" t="str">
        <f>IFERROR(__xludf.DUMMYFUNCTION("""COMPUTED_VALUE"""),"#VALUE!")</f>
        <v>#VALUE!</v>
      </c>
      <c r="C511" s="190"/>
      <c r="D511" s="190" t="e">
        <v>#DIV/0!</v>
      </c>
      <c r="E511" s="190" t="e">
        <v>#DIV/0!</v>
      </c>
      <c r="F511" s="183"/>
      <c r="G511" s="191"/>
      <c r="H511" s="191"/>
      <c r="I511" s="191"/>
      <c r="J511" s="191"/>
      <c r="K511" s="191"/>
      <c r="L511" s="191"/>
      <c r="M511" s="191"/>
      <c r="N511" s="191"/>
      <c r="O511" s="191"/>
      <c r="Q511" s="183"/>
    </row>
    <row r="512">
      <c r="B512" s="190" t="str">
        <f>IFERROR(__xludf.DUMMYFUNCTION("""COMPUTED_VALUE"""),"#VALUE!")</f>
        <v>#VALUE!</v>
      </c>
      <c r="C512" s="190"/>
      <c r="D512" s="190" t="e">
        <v>#DIV/0!</v>
      </c>
      <c r="E512" s="190" t="e">
        <v>#DIV/0!</v>
      </c>
      <c r="F512" s="183"/>
      <c r="G512" s="191"/>
      <c r="H512" s="191"/>
      <c r="I512" s="191"/>
      <c r="J512" s="191"/>
      <c r="K512" s="191"/>
      <c r="L512" s="191"/>
      <c r="M512" s="191"/>
      <c r="N512" s="191"/>
      <c r="O512" s="191"/>
      <c r="Q512" s="183"/>
    </row>
    <row r="513">
      <c r="B513" s="190" t="str">
        <f>IFERROR(__xludf.DUMMYFUNCTION("""COMPUTED_VALUE"""),"#VALUE!")</f>
        <v>#VALUE!</v>
      </c>
      <c r="C513" s="190"/>
      <c r="D513" s="190" t="e">
        <v>#DIV/0!</v>
      </c>
      <c r="E513" s="190" t="e">
        <v>#DIV/0!</v>
      </c>
      <c r="F513" s="183"/>
      <c r="G513" s="191"/>
      <c r="H513" s="191"/>
      <c r="I513" s="191"/>
      <c r="J513" s="191"/>
      <c r="K513" s="191"/>
      <c r="L513" s="191"/>
      <c r="M513" s="191"/>
      <c r="N513" s="191"/>
      <c r="O513" s="191"/>
      <c r="Q513" s="183"/>
    </row>
    <row r="514">
      <c r="B514" s="190" t="str">
        <f>IFERROR(__xludf.DUMMYFUNCTION("""COMPUTED_VALUE"""),"#VALUE!")</f>
        <v>#VALUE!</v>
      </c>
      <c r="C514" s="190"/>
      <c r="D514" s="190" t="e">
        <v>#DIV/0!</v>
      </c>
      <c r="E514" s="190" t="e">
        <v>#DIV/0!</v>
      </c>
      <c r="F514" s="183"/>
      <c r="G514" s="191"/>
      <c r="H514" s="191"/>
      <c r="I514" s="191"/>
      <c r="J514" s="191"/>
      <c r="K514" s="191"/>
      <c r="L514" s="191"/>
      <c r="M514" s="191"/>
      <c r="N514" s="191"/>
      <c r="O514" s="191"/>
      <c r="Q514" s="183"/>
    </row>
    <row r="515">
      <c r="B515" s="190" t="str">
        <f>IFERROR(__xludf.DUMMYFUNCTION("""COMPUTED_VALUE"""),"#VALUE!")</f>
        <v>#VALUE!</v>
      </c>
      <c r="C515" s="190"/>
      <c r="D515" s="190" t="e">
        <v>#DIV/0!</v>
      </c>
      <c r="E515" s="190" t="e">
        <v>#DIV/0!</v>
      </c>
      <c r="F515" s="183"/>
      <c r="G515" s="191"/>
      <c r="H515" s="191"/>
      <c r="I515" s="191"/>
      <c r="J515" s="191"/>
      <c r="K515" s="191"/>
      <c r="L515" s="191"/>
      <c r="M515" s="191"/>
      <c r="N515" s="191"/>
      <c r="O515" s="191"/>
      <c r="Q515" s="183"/>
    </row>
    <row r="516">
      <c r="B516" s="190" t="str">
        <f>IFERROR(__xludf.DUMMYFUNCTION("""COMPUTED_VALUE"""),"#VALUE!")</f>
        <v>#VALUE!</v>
      </c>
      <c r="C516" s="190"/>
      <c r="D516" s="190" t="e">
        <v>#DIV/0!</v>
      </c>
      <c r="E516" s="190" t="e">
        <v>#DIV/0!</v>
      </c>
      <c r="F516" s="183"/>
      <c r="G516" s="191"/>
      <c r="H516" s="191"/>
      <c r="I516" s="191"/>
      <c r="J516" s="191"/>
      <c r="K516" s="191"/>
      <c r="L516" s="191"/>
      <c r="M516" s="191"/>
      <c r="N516" s="191"/>
      <c r="O516" s="191"/>
      <c r="Q516" s="183"/>
    </row>
    <row r="517">
      <c r="B517" s="190" t="str">
        <f>IFERROR(__xludf.DUMMYFUNCTION("""COMPUTED_VALUE"""),"#VALUE!")</f>
        <v>#VALUE!</v>
      </c>
      <c r="C517" s="190"/>
      <c r="D517" s="190" t="e">
        <v>#DIV/0!</v>
      </c>
      <c r="E517" s="190" t="e">
        <v>#DIV/0!</v>
      </c>
      <c r="F517" s="183"/>
      <c r="G517" s="191"/>
      <c r="H517" s="191"/>
      <c r="I517" s="191"/>
      <c r="J517" s="191"/>
      <c r="K517" s="191"/>
      <c r="L517" s="191"/>
      <c r="M517" s="191"/>
      <c r="N517" s="191"/>
      <c r="O517" s="191"/>
      <c r="Q517" s="183"/>
    </row>
    <row r="518">
      <c r="B518" s="190" t="str">
        <f>IFERROR(__xludf.DUMMYFUNCTION("""COMPUTED_VALUE"""),"#VALUE!")</f>
        <v>#VALUE!</v>
      </c>
      <c r="C518" s="190"/>
      <c r="D518" s="190" t="e">
        <v>#DIV/0!</v>
      </c>
      <c r="E518" s="190" t="e">
        <v>#DIV/0!</v>
      </c>
      <c r="F518" s="183"/>
      <c r="G518" s="191"/>
      <c r="H518" s="191"/>
      <c r="I518" s="191"/>
      <c r="J518" s="191"/>
      <c r="K518" s="191"/>
      <c r="L518" s="191"/>
      <c r="M518" s="191"/>
      <c r="N518" s="191"/>
      <c r="O518" s="191"/>
      <c r="Q518" s="183"/>
    </row>
    <row r="519">
      <c r="B519" s="190" t="str">
        <f>IFERROR(__xludf.DUMMYFUNCTION("""COMPUTED_VALUE"""),"#VALUE!")</f>
        <v>#VALUE!</v>
      </c>
      <c r="C519" s="190"/>
      <c r="D519" s="190" t="e">
        <v>#DIV/0!</v>
      </c>
      <c r="E519" s="190" t="e">
        <v>#DIV/0!</v>
      </c>
      <c r="F519" s="183"/>
      <c r="G519" s="191"/>
      <c r="H519" s="191"/>
      <c r="I519" s="191"/>
      <c r="J519" s="191"/>
      <c r="K519" s="191"/>
      <c r="L519" s="191"/>
      <c r="M519" s="191"/>
      <c r="N519" s="191"/>
      <c r="O519" s="191"/>
      <c r="Q519" s="183"/>
    </row>
    <row r="520">
      <c r="B520" s="190" t="str">
        <f>IFERROR(__xludf.DUMMYFUNCTION("""COMPUTED_VALUE"""),"#VALUE!")</f>
        <v>#VALUE!</v>
      </c>
      <c r="C520" s="190"/>
      <c r="D520" s="190" t="e">
        <v>#DIV/0!</v>
      </c>
      <c r="E520" s="190" t="e">
        <v>#DIV/0!</v>
      </c>
      <c r="F520" s="183"/>
      <c r="G520" s="191"/>
      <c r="H520" s="191"/>
      <c r="I520" s="191"/>
      <c r="J520" s="191"/>
      <c r="K520" s="191"/>
      <c r="L520" s="191"/>
      <c r="M520" s="191"/>
      <c r="N520" s="191"/>
      <c r="O520" s="191"/>
      <c r="Q520" s="183"/>
    </row>
    <row r="521">
      <c r="B521" s="190" t="str">
        <f>IFERROR(__xludf.DUMMYFUNCTION("""COMPUTED_VALUE"""),"#VALUE!")</f>
        <v>#VALUE!</v>
      </c>
      <c r="C521" s="190"/>
      <c r="D521" s="190" t="e">
        <v>#DIV/0!</v>
      </c>
      <c r="E521" s="190" t="e">
        <v>#DIV/0!</v>
      </c>
      <c r="F521" s="183"/>
      <c r="G521" s="191"/>
      <c r="H521" s="191"/>
      <c r="I521" s="191"/>
      <c r="J521" s="191"/>
      <c r="K521" s="191"/>
      <c r="L521" s="191"/>
      <c r="M521" s="191"/>
      <c r="N521" s="191"/>
      <c r="O521" s="191"/>
      <c r="Q521" s="183"/>
    </row>
    <row r="522">
      <c r="B522" s="190" t="str">
        <f>IFERROR(__xludf.DUMMYFUNCTION("""COMPUTED_VALUE"""),"#VALUE!")</f>
        <v>#VALUE!</v>
      </c>
      <c r="C522" s="190"/>
      <c r="D522" s="190" t="e">
        <v>#DIV/0!</v>
      </c>
      <c r="E522" s="190" t="e">
        <v>#DIV/0!</v>
      </c>
      <c r="F522" s="183"/>
      <c r="G522" s="191"/>
      <c r="H522" s="191"/>
      <c r="I522" s="191"/>
      <c r="J522" s="191"/>
      <c r="K522" s="191"/>
      <c r="L522" s="191"/>
      <c r="M522" s="191"/>
      <c r="N522" s="191"/>
      <c r="O522" s="191"/>
      <c r="Q522" s="183"/>
    </row>
    <row r="523">
      <c r="B523" s="190" t="str">
        <f>IFERROR(__xludf.DUMMYFUNCTION("""COMPUTED_VALUE"""),"#VALUE!")</f>
        <v>#VALUE!</v>
      </c>
      <c r="C523" s="190"/>
      <c r="D523" s="190" t="e">
        <v>#DIV/0!</v>
      </c>
      <c r="E523" s="190" t="e">
        <v>#DIV/0!</v>
      </c>
      <c r="F523" s="183"/>
      <c r="G523" s="191"/>
      <c r="H523" s="191"/>
      <c r="I523" s="191"/>
      <c r="J523" s="191"/>
      <c r="K523" s="191"/>
      <c r="L523" s="191"/>
      <c r="M523" s="191"/>
      <c r="N523" s="191"/>
      <c r="O523" s="191"/>
      <c r="Q523" s="183"/>
    </row>
    <row r="524">
      <c r="B524" s="190" t="str">
        <f>IFERROR(__xludf.DUMMYFUNCTION("""COMPUTED_VALUE"""),"#VALUE!")</f>
        <v>#VALUE!</v>
      </c>
      <c r="C524" s="190"/>
      <c r="D524" s="190" t="e">
        <v>#DIV/0!</v>
      </c>
      <c r="E524" s="190" t="e">
        <v>#DIV/0!</v>
      </c>
      <c r="F524" s="183"/>
      <c r="G524" s="191"/>
      <c r="H524" s="191"/>
      <c r="I524" s="191"/>
      <c r="J524" s="191"/>
      <c r="K524" s="191"/>
      <c r="L524" s="191"/>
      <c r="M524" s="191"/>
      <c r="N524" s="191"/>
      <c r="O524" s="191"/>
      <c r="Q524" s="183"/>
    </row>
    <row r="525">
      <c r="B525" s="190" t="str">
        <f>IFERROR(__xludf.DUMMYFUNCTION("""COMPUTED_VALUE"""),"#VALUE!")</f>
        <v>#VALUE!</v>
      </c>
      <c r="C525" s="190"/>
      <c r="D525" s="190" t="e">
        <v>#DIV/0!</v>
      </c>
      <c r="E525" s="190" t="e">
        <v>#DIV/0!</v>
      </c>
      <c r="F525" s="183"/>
      <c r="G525" s="191"/>
      <c r="H525" s="191"/>
      <c r="I525" s="191"/>
      <c r="J525" s="191"/>
      <c r="K525" s="191"/>
      <c r="L525" s="191"/>
      <c r="M525" s="191"/>
      <c r="N525" s="191"/>
      <c r="O525" s="191"/>
      <c r="Q525" s="183"/>
    </row>
    <row r="526">
      <c r="B526" s="190" t="str">
        <f>IFERROR(__xludf.DUMMYFUNCTION("""COMPUTED_VALUE"""),"#VALUE!")</f>
        <v>#VALUE!</v>
      </c>
      <c r="C526" s="190"/>
      <c r="D526" s="190" t="e">
        <v>#DIV/0!</v>
      </c>
      <c r="E526" s="190" t="e">
        <v>#DIV/0!</v>
      </c>
      <c r="F526" s="183"/>
      <c r="G526" s="191"/>
      <c r="H526" s="191"/>
      <c r="I526" s="191"/>
      <c r="J526" s="191"/>
      <c r="K526" s="191"/>
      <c r="L526" s="191"/>
      <c r="M526" s="191"/>
      <c r="N526" s="191"/>
      <c r="O526" s="191"/>
      <c r="Q526" s="183"/>
    </row>
    <row r="527">
      <c r="B527" s="190" t="str">
        <f>IFERROR(__xludf.DUMMYFUNCTION("""COMPUTED_VALUE"""),"#VALUE!")</f>
        <v>#VALUE!</v>
      </c>
      <c r="C527" s="190"/>
      <c r="D527" s="190" t="e">
        <v>#DIV/0!</v>
      </c>
      <c r="E527" s="190" t="e">
        <v>#DIV/0!</v>
      </c>
      <c r="F527" s="183"/>
      <c r="G527" s="191"/>
      <c r="H527" s="191"/>
      <c r="I527" s="191"/>
      <c r="J527" s="191"/>
      <c r="K527" s="191"/>
      <c r="L527" s="191"/>
      <c r="M527" s="191"/>
      <c r="N527" s="191"/>
      <c r="O527" s="191"/>
      <c r="Q527" s="183"/>
    </row>
    <row r="528">
      <c r="B528" s="190" t="str">
        <f>IFERROR(__xludf.DUMMYFUNCTION("""COMPUTED_VALUE"""),"#VALUE!")</f>
        <v>#VALUE!</v>
      </c>
      <c r="C528" s="190"/>
      <c r="D528" s="190" t="e">
        <v>#DIV/0!</v>
      </c>
      <c r="E528" s="190" t="e">
        <v>#DIV/0!</v>
      </c>
      <c r="F528" s="183"/>
      <c r="G528" s="191"/>
      <c r="H528" s="191"/>
      <c r="I528" s="191"/>
      <c r="J528" s="191"/>
      <c r="K528" s="191"/>
      <c r="L528" s="191"/>
      <c r="M528" s="191"/>
      <c r="N528" s="191"/>
      <c r="O528" s="191"/>
      <c r="Q528" s="183"/>
    </row>
    <row r="529">
      <c r="B529" s="190" t="str">
        <f>IFERROR(__xludf.DUMMYFUNCTION("""COMPUTED_VALUE"""),"#VALUE!")</f>
        <v>#VALUE!</v>
      </c>
      <c r="C529" s="190"/>
      <c r="D529" s="190" t="e">
        <v>#DIV/0!</v>
      </c>
      <c r="E529" s="190" t="e">
        <v>#DIV/0!</v>
      </c>
      <c r="F529" s="183"/>
      <c r="G529" s="191"/>
      <c r="H529" s="191"/>
      <c r="I529" s="191"/>
      <c r="J529" s="191"/>
      <c r="K529" s="191"/>
      <c r="L529" s="191"/>
      <c r="M529" s="191"/>
      <c r="N529" s="191"/>
      <c r="O529" s="191"/>
      <c r="Q529" s="183"/>
    </row>
    <row r="530">
      <c r="B530" s="190" t="str">
        <f>IFERROR(__xludf.DUMMYFUNCTION("""COMPUTED_VALUE"""),"#VALUE!")</f>
        <v>#VALUE!</v>
      </c>
      <c r="C530" s="190"/>
      <c r="D530" s="190" t="e">
        <v>#DIV/0!</v>
      </c>
      <c r="E530" s="190" t="e">
        <v>#DIV/0!</v>
      </c>
      <c r="F530" s="183"/>
      <c r="G530" s="191"/>
      <c r="H530" s="191"/>
      <c r="I530" s="191"/>
      <c r="J530" s="191"/>
      <c r="K530" s="191"/>
      <c r="L530" s="191"/>
      <c r="M530" s="191"/>
      <c r="N530" s="191"/>
      <c r="O530" s="191"/>
      <c r="Q530" s="183"/>
    </row>
    <row r="531">
      <c r="B531" s="190" t="str">
        <f>IFERROR(__xludf.DUMMYFUNCTION("""COMPUTED_VALUE"""),"#VALUE!")</f>
        <v>#VALUE!</v>
      </c>
      <c r="C531" s="190"/>
      <c r="D531" s="190" t="e">
        <v>#DIV/0!</v>
      </c>
      <c r="E531" s="190" t="e">
        <v>#DIV/0!</v>
      </c>
      <c r="F531" s="183"/>
      <c r="G531" s="191"/>
      <c r="H531" s="191"/>
      <c r="I531" s="191"/>
      <c r="J531" s="191"/>
      <c r="K531" s="191"/>
      <c r="L531" s="191"/>
      <c r="M531" s="191"/>
      <c r="N531" s="191"/>
      <c r="O531" s="191"/>
      <c r="Q531" s="183"/>
    </row>
    <row r="532">
      <c r="B532" s="190" t="str">
        <f>IFERROR(__xludf.DUMMYFUNCTION("""COMPUTED_VALUE"""),"#VALUE!")</f>
        <v>#VALUE!</v>
      </c>
      <c r="C532" s="190"/>
      <c r="D532" s="190" t="e">
        <v>#DIV/0!</v>
      </c>
      <c r="E532" s="190" t="e">
        <v>#DIV/0!</v>
      </c>
      <c r="F532" s="183"/>
      <c r="G532" s="191"/>
      <c r="H532" s="191"/>
      <c r="I532" s="191"/>
      <c r="J532" s="191"/>
      <c r="K532" s="191"/>
      <c r="L532" s="191"/>
      <c r="M532" s="191"/>
      <c r="N532" s="191"/>
      <c r="O532" s="191"/>
      <c r="Q532" s="183"/>
    </row>
    <row r="533">
      <c r="B533" s="190" t="str">
        <f>IFERROR(__xludf.DUMMYFUNCTION("""COMPUTED_VALUE"""),"#VALUE!")</f>
        <v>#VALUE!</v>
      </c>
      <c r="C533" s="190"/>
      <c r="D533" s="190" t="e">
        <v>#DIV/0!</v>
      </c>
      <c r="E533" s="190" t="e">
        <v>#DIV/0!</v>
      </c>
      <c r="F533" s="183"/>
      <c r="G533" s="191"/>
      <c r="H533" s="191"/>
      <c r="I533" s="191"/>
      <c r="J533" s="191"/>
      <c r="K533" s="191"/>
      <c r="L533" s="191"/>
      <c r="M533" s="191"/>
      <c r="N533" s="191"/>
      <c r="O533" s="191"/>
      <c r="Q533" s="183"/>
    </row>
    <row r="534">
      <c r="B534" s="190" t="str">
        <f>IFERROR(__xludf.DUMMYFUNCTION("""COMPUTED_VALUE"""),"#VALUE!")</f>
        <v>#VALUE!</v>
      </c>
      <c r="C534" s="190"/>
      <c r="D534" s="190" t="e">
        <v>#DIV/0!</v>
      </c>
      <c r="E534" s="190" t="e">
        <v>#DIV/0!</v>
      </c>
      <c r="F534" s="183"/>
      <c r="G534" s="191"/>
      <c r="H534" s="191"/>
      <c r="I534" s="191"/>
      <c r="J534" s="191"/>
      <c r="K534" s="191"/>
      <c r="L534" s="191"/>
      <c r="M534" s="191"/>
      <c r="N534" s="191"/>
      <c r="O534" s="191"/>
      <c r="Q534" s="183"/>
    </row>
    <row r="535">
      <c r="B535" s="190" t="str">
        <f>IFERROR(__xludf.DUMMYFUNCTION("""COMPUTED_VALUE"""),"#VALUE!")</f>
        <v>#VALUE!</v>
      </c>
      <c r="C535" s="190"/>
      <c r="D535" s="190" t="e">
        <v>#DIV/0!</v>
      </c>
      <c r="E535" s="190" t="e">
        <v>#DIV/0!</v>
      </c>
      <c r="F535" s="183"/>
      <c r="G535" s="191"/>
      <c r="H535" s="191"/>
      <c r="I535" s="191"/>
      <c r="J535" s="191"/>
      <c r="K535" s="191"/>
      <c r="L535" s="191"/>
      <c r="M535" s="191"/>
      <c r="N535" s="191"/>
      <c r="O535" s="191"/>
      <c r="Q535" s="183"/>
    </row>
    <row r="536">
      <c r="B536" s="190" t="str">
        <f>IFERROR(__xludf.DUMMYFUNCTION("""COMPUTED_VALUE"""),"#VALUE!")</f>
        <v>#VALUE!</v>
      </c>
      <c r="C536" s="190"/>
      <c r="D536" s="190" t="e">
        <v>#DIV/0!</v>
      </c>
      <c r="E536" s="190" t="e">
        <v>#DIV/0!</v>
      </c>
      <c r="F536" s="183"/>
      <c r="G536" s="191"/>
      <c r="H536" s="191"/>
      <c r="I536" s="191"/>
      <c r="J536" s="191"/>
      <c r="K536" s="191"/>
      <c r="L536" s="191"/>
      <c r="M536" s="191"/>
      <c r="N536" s="191"/>
      <c r="O536" s="191"/>
      <c r="Q536" s="183"/>
    </row>
    <row r="537">
      <c r="B537" s="190" t="str">
        <f>IFERROR(__xludf.DUMMYFUNCTION("""COMPUTED_VALUE"""),"#VALUE!")</f>
        <v>#VALUE!</v>
      </c>
      <c r="C537" s="190"/>
      <c r="D537" s="190" t="e">
        <v>#DIV/0!</v>
      </c>
      <c r="E537" s="190" t="e">
        <v>#DIV/0!</v>
      </c>
      <c r="F537" s="183"/>
      <c r="G537" s="191"/>
      <c r="H537" s="191"/>
      <c r="I537" s="191"/>
      <c r="J537" s="191"/>
      <c r="K537" s="191"/>
      <c r="L537" s="191"/>
      <c r="M537" s="191"/>
      <c r="N537" s="191"/>
      <c r="O537" s="191"/>
      <c r="Q537" s="183"/>
    </row>
    <row r="538">
      <c r="B538" s="190" t="str">
        <f>IFERROR(__xludf.DUMMYFUNCTION("""COMPUTED_VALUE"""),"#VALUE!")</f>
        <v>#VALUE!</v>
      </c>
      <c r="C538" s="190"/>
      <c r="D538" s="190" t="e">
        <v>#DIV/0!</v>
      </c>
      <c r="E538" s="190" t="e">
        <v>#DIV/0!</v>
      </c>
      <c r="F538" s="183"/>
      <c r="G538" s="191"/>
      <c r="H538" s="191"/>
      <c r="I538" s="191"/>
      <c r="J538" s="191"/>
      <c r="K538" s="191"/>
      <c r="L538" s="191"/>
      <c r="M538" s="191"/>
      <c r="N538" s="191"/>
      <c r="O538" s="191"/>
      <c r="Q538" s="183"/>
    </row>
    <row r="539">
      <c r="B539" s="190" t="str">
        <f>IFERROR(__xludf.DUMMYFUNCTION("""COMPUTED_VALUE"""),"#VALUE!")</f>
        <v>#VALUE!</v>
      </c>
      <c r="C539" s="190"/>
      <c r="D539" s="190" t="e">
        <v>#DIV/0!</v>
      </c>
      <c r="E539" s="190" t="e">
        <v>#DIV/0!</v>
      </c>
      <c r="F539" s="183"/>
      <c r="G539" s="191"/>
      <c r="H539" s="191"/>
      <c r="I539" s="191"/>
      <c r="J539" s="191"/>
      <c r="K539" s="191"/>
      <c r="L539" s="191"/>
      <c r="M539" s="191"/>
      <c r="N539" s="191"/>
      <c r="O539" s="191"/>
      <c r="Q539" s="183"/>
    </row>
    <row r="540">
      <c r="B540" s="190" t="str">
        <f>IFERROR(__xludf.DUMMYFUNCTION("""COMPUTED_VALUE"""),"#VALUE!")</f>
        <v>#VALUE!</v>
      </c>
      <c r="C540" s="190"/>
      <c r="D540" s="190" t="e">
        <v>#DIV/0!</v>
      </c>
      <c r="E540" s="190" t="e">
        <v>#DIV/0!</v>
      </c>
      <c r="F540" s="183"/>
      <c r="G540" s="191"/>
      <c r="H540" s="191"/>
      <c r="I540" s="191"/>
      <c r="J540" s="191"/>
      <c r="K540" s="191"/>
      <c r="L540" s="191"/>
      <c r="M540" s="191"/>
      <c r="N540" s="191"/>
      <c r="O540" s="191"/>
      <c r="Q540" s="183"/>
    </row>
    <row r="541">
      <c r="B541" s="190" t="str">
        <f>IFERROR(__xludf.DUMMYFUNCTION("""COMPUTED_VALUE"""),"#VALUE!")</f>
        <v>#VALUE!</v>
      </c>
      <c r="C541" s="190"/>
      <c r="D541" s="190" t="e">
        <v>#DIV/0!</v>
      </c>
      <c r="E541" s="190" t="e">
        <v>#DIV/0!</v>
      </c>
      <c r="F541" s="183"/>
      <c r="G541" s="191"/>
      <c r="H541" s="191"/>
      <c r="I541" s="191"/>
      <c r="J541" s="191"/>
      <c r="K541" s="191"/>
      <c r="L541" s="191"/>
      <c r="M541" s="191"/>
      <c r="N541" s="191"/>
      <c r="O541" s="191"/>
      <c r="Q541" s="183"/>
    </row>
    <row r="542">
      <c r="B542" s="190" t="str">
        <f>IFERROR(__xludf.DUMMYFUNCTION("""COMPUTED_VALUE"""),"#VALUE!")</f>
        <v>#VALUE!</v>
      </c>
      <c r="C542" s="190"/>
      <c r="D542" s="190" t="e">
        <v>#DIV/0!</v>
      </c>
      <c r="E542" s="190" t="e">
        <v>#DIV/0!</v>
      </c>
      <c r="F542" s="183"/>
      <c r="G542" s="191"/>
      <c r="H542" s="191"/>
      <c r="I542" s="191"/>
      <c r="J542" s="191"/>
      <c r="K542" s="191"/>
      <c r="L542" s="191"/>
      <c r="M542" s="191"/>
      <c r="N542" s="191"/>
      <c r="O542" s="191"/>
      <c r="Q542" s="183"/>
    </row>
    <row r="543">
      <c r="B543" s="190" t="str">
        <f>IFERROR(__xludf.DUMMYFUNCTION("""COMPUTED_VALUE"""),"#VALUE!")</f>
        <v>#VALUE!</v>
      </c>
      <c r="C543" s="190"/>
      <c r="D543" s="190" t="e">
        <v>#DIV/0!</v>
      </c>
      <c r="E543" s="190" t="e">
        <v>#DIV/0!</v>
      </c>
      <c r="F543" s="183"/>
      <c r="G543" s="191"/>
      <c r="H543" s="191"/>
      <c r="I543" s="191"/>
      <c r="J543" s="191"/>
      <c r="K543" s="191"/>
      <c r="L543" s="191"/>
      <c r="M543" s="191"/>
      <c r="N543" s="191"/>
      <c r="O543" s="191"/>
      <c r="Q543" s="183"/>
    </row>
    <row r="544">
      <c r="B544" s="190" t="str">
        <f>IFERROR(__xludf.DUMMYFUNCTION("""COMPUTED_VALUE"""),"#VALUE!")</f>
        <v>#VALUE!</v>
      </c>
      <c r="C544" s="190"/>
      <c r="D544" s="190" t="e">
        <v>#DIV/0!</v>
      </c>
      <c r="E544" s="190" t="e">
        <v>#DIV/0!</v>
      </c>
      <c r="F544" s="183"/>
      <c r="G544" s="191"/>
      <c r="H544" s="191"/>
      <c r="I544" s="191"/>
      <c r="J544" s="191"/>
      <c r="K544" s="191"/>
      <c r="L544" s="191"/>
      <c r="M544" s="191"/>
      <c r="N544" s="191"/>
      <c r="O544" s="191"/>
      <c r="Q544" s="183"/>
    </row>
    <row r="545">
      <c r="B545" s="190" t="str">
        <f>IFERROR(__xludf.DUMMYFUNCTION("""COMPUTED_VALUE"""),"#VALUE!")</f>
        <v>#VALUE!</v>
      </c>
      <c r="C545" s="190"/>
      <c r="D545" s="190" t="e">
        <v>#DIV/0!</v>
      </c>
      <c r="E545" s="190" t="e">
        <v>#DIV/0!</v>
      </c>
      <c r="F545" s="183"/>
      <c r="G545" s="191"/>
      <c r="H545" s="191"/>
      <c r="I545" s="191"/>
      <c r="J545" s="191"/>
      <c r="K545" s="191"/>
      <c r="L545" s="191"/>
      <c r="M545" s="191"/>
      <c r="N545" s="191"/>
      <c r="O545" s="191"/>
      <c r="Q545" s="183"/>
    </row>
    <row r="546">
      <c r="B546" s="190" t="str">
        <f>IFERROR(__xludf.DUMMYFUNCTION("""COMPUTED_VALUE"""),"#VALUE!")</f>
        <v>#VALUE!</v>
      </c>
      <c r="C546" s="190"/>
      <c r="D546" s="190" t="e">
        <v>#DIV/0!</v>
      </c>
      <c r="E546" s="190" t="e">
        <v>#DIV/0!</v>
      </c>
      <c r="F546" s="183"/>
      <c r="G546" s="191"/>
      <c r="H546" s="191"/>
      <c r="I546" s="191"/>
      <c r="J546" s="191"/>
      <c r="K546" s="191"/>
      <c r="L546" s="191"/>
      <c r="M546" s="191"/>
      <c r="N546" s="191"/>
      <c r="O546" s="191"/>
      <c r="Q546" s="183"/>
    </row>
    <row r="547">
      <c r="B547" s="190" t="str">
        <f>IFERROR(__xludf.DUMMYFUNCTION("""COMPUTED_VALUE"""),"#VALUE!")</f>
        <v>#VALUE!</v>
      </c>
      <c r="C547" s="190"/>
      <c r="D547" s="190" t="e">
        <v>#DIV/0!</v>
      </c>
      <c r="E547" s="190" t="e">
        <v>#DIV/0!</v>
      </c>
      <c r="F547" s="183"/>
      <c r="G547" s="191"/>
      <c r="H547" s="191"/>
      <c r="I547" s="191"/>
      <c r="J547" s="191"/>
      <c r="K547" s="191"/>
      <c r="L547" s="191"/>
      <c r="M547" s="191"/>
      <c r="N547" s="191"/>
      <c r="O547" s="191"/>
      <c r="Q547" s="183"/>
    </row>
    <row r="548">
      <c r="B548" s="190" t="str">
        <f>IFERROR(__xludf.DUMMYFUNCTION("""COMPUTED_VALUE"""),"#VALUE!")</f>
        <v>#VALUE!</v>
      </c>
      <c r="C548" s="190"/>
      <c r="D548" s="190" t="e">
        <v>#DIV/0!</v>
      </c>
      <c r="E548" s="190" t="e">
        <v>#DIV/0!</v>
      </c>
      <c r="F548" s="183"/>
      <c r="G548" s="191"/>
      <c r="H548" s="191"/>
      <c r="I548" s="191"/>
      <c r="J548" s="191"/>
      <c r="K548" s="191"/>
      <c r="L548" s="191"/>
      <c r="M548" s="191"/>
      <c r="N548" s="191"/>
      <c r="O548" s="191"/>
      <c r="Q548" s="183"/>
    </row>
    <row r="549">
      <c r="B549" s="190" t="str">
        <f>IFERROR(__xludf.DUMMYFUNCTION("""COMPUTED_VALUE"""),"#VALUE!")</f>
        <v>#VALUE!</v>
      </c>
      <c r="C549" s="190"/>
      <c r="D549" s="190" t="e">
        <v>#DIV/0!</v>
      </c>
      <c r="E549" s="190" t="e">
        <v>#DIV/0!</v>
      </c>
      <c r="F549" s="183"/>
      <c r="G549" s="191"/>
      <c r="H549" s="191"/>
      <c r="I549" s="191"/>
      <c r="J549" s="191"/>
      <c r="K549" s="191"/>
      <c r="L549" s="191"/>
      <c r="M549" s="191"/>
      <c r="N549" s="191"/>
      <c r="O549" s="191"/>
      <c r="Q549" s="183"/>
    </row>
    <row r="550">
      <c r="B550" s="190" t="str">
        <f>IFERROR(__xludf.DUMMYFUNCTION("""COMPUTED_VALUE"""),"#VALUE!")</f>
        <v>#VALUE!</v>
      </c>
      <c r="C550" s="190"/>
      <c r="D550" s="190" t="e">
        <v>#DIV/0!</v>
      </c>
      <c r="E550" s="190" t="e">
        <v>#DIV/0!</v>
      </c>
      <c r="F550" s="183"/>
      <c r="G550" s="191"/>
      <c r="H550" s="191"/>
      <c r="I550" s="191"/>
      <c r="J550" s="191"/>
      <c r="K550" s="191"/>
      <c r="L550" s="191"/>
      <c r="M550" s="191"/>
      <c r="N550" s="191"/>
      <c r="O550" s="191"/>
      <c r="Q550" s="183"/>
    </row>
    <row r="551">
      <c r="B551" s="190" t="str">
        <f>IFERROR(__xludf.DUMMYFUNCTION("""COMPUTED_VALUE"""),"#VALUE!")</f>
        <v>#VALUE!</v>
      </c>
      <c r="C551" s="190"/>
      <c r="D551" s="190" t="e">
        <v>#DIV/0!</v>
      </c>
      <c r="E551" s="190" t="e">
        <v>#DIV/0!</v>
      </c>
      <c r="F551" s="183"/>
      <c r="G551" s="191"/>
      <c r="H551" s="191"/>
      <c r="I551" s="191"/>
      <c r="J551" s="191"/>
      <c r="K551" s="191"/>
      <c r="L551" s="191"/>
      <c r="M551" s="191"/>
      <c r="N551" s="191"/>
      <c r="O551" s="191"/>
      <c r="Q551" s="183"/>
    </row>
    <row r="552">
      <c r="B552" s="190" t="str">
        <f>IFERROR(__xludf.DUMMYFUNCTION("""COMPUTED_VALUE"""),"#VALUE!")</f>
        <v>#VALUE!</v>
      </c>
      <c r="C552" s="190"/>
      <c r="D552" s="190" t="e">
        <v>#DIV/0!</v>
      </c>
      <c r="E552" s="190" t="e">
        <v>#DIV/0!</v>
      </c>
      <c r="F552" s="183"/>
      <c r="G552" s="191"/>
      <c r="H552" s="191"/>
      <c r="I552" s="191"/>
      <c r="J552" s="191"/>
      <c r="K552" s="191"/>
      <c r="L552" s="191"/>
      <c r="M552" s="191"/>
      <c r="N552" s="191"/>
      <c r="O552" s="191"/>
      <c r="Q552" s="183"/>
    </row>
    <row r="553">
      <c r="B553" s="190" t="str">
        <f>IFERROR(__xludf.DUMMYFUNCTION("""COMPUTED_VALUE"""),"#VALUE!")</f>
        <v>#VALUE!</v>
      </c>
      <c r="C553" s="190"/>
      <c r="D553" s="190" t="e">
        <v>#DIV/0!</v>
      </c>
      <c r="E553" s="190" t="e">
        <v>#DIV/0!</v>
      </c>
      <c r="F553" s="183"/>
      <c r="G553" s="191"/>
      <c r="H553" s="191"/>
      <c r="I553" s="191"/>
      <c r="J553" s="191"/>
      <c r="K553" s="191"/>
      <c r="L553" s="191"/>
      <c r="M553" s="191"/>
      <c r="N553" s="191"/>
      <c r="O553" s="191"/>
      <c r="Q553" s="183"/>
    </row>
    <row r="554">
      <c r="B554" s="190" t="str">
        <f>IFERROR(__xludf.DUMMYFUNCTION("""COMPUTED_VALUE"""),"#VALUE!")</f>
        <v>#VALUE!</v>
      </c>
      <c r="C554" s="190"/>
      <c r="D554" s="190" t="e">
        <v>#DIV/0!</v>
      </c>
      <c r="E554" s="190" t="e">
        <v>#DIV/0!</v>
      </c>
      <c r="F554" s="183"/>
      <c r="G554" s="191"/>
      <c r="H554" s="191"/>
      <c r="I554" s="191"/>
      <c r="J554" s="191"/>
      <c r="K554" s="191"/>
      <c r="L554" s="191"/>
      <c r="M554" s="191"/>
      <c r="N554" s="191"/>
      <c r="O554" s="191"/>
      <c r="Q554" s="183"/>
    </row>
    <row r="555">
      <c r="B555" s="190" t="str">
        <f>IFERROR(__xludf.DUMMYFUNCTION("""COMPUTED_VALUE"""),"#VALUE!")</f>
        <v>#VALUE!</v>
      </c>
      <c r="C555" s="190"/>
      <c r="D555" s="190" t="e">
        <v>#DIV/0!</v>
      </c>
      <c r="E555" s="190" t="e">
        <v>#DIV/0!</v>
      </c>
      <c r="F555" s="183"/>
      <c r="G555" s="191"/>
      <c r="H555" s="191"/>
      <c r="I555" s="191"/>
      <c r="J555" s="191"/>
      <c r="K555" s="191"/>
      <c r="L555" s="191"/>
      <c r="M555" s="191"/>
      <c r="N555" s="191"/>
      <c r="O555" s="191"/>
      <c r="Q555" s="183"/>
    </row>
    <row r="556">
      <c r="B556" s="190" t="str">
        <f>IFERROR(__xludf.DUMMYFUNCTION("""COMPUTED_VALUE"""),"#VALUE!")</f>
        <v>#VALUE!</v>
      </c>
      <c r="C556" s="190"/>
      <c r="D556" s="190" t="e">
        <v>#DIV/0!</v>
      </c>
      <c r="E556" s="190" t="e">
        <v>#DIV/0!</v>
      </c>
      <c r="F556" s="183"/>
      <c r="G556" s="191"/>
      <c r="H556" s="191"/>
      <c r="I556" s="191"/>
      <c r="J556" s="191"/>
      <c r="K556" s="191"/>
      <c r="L556" s="191"/>
      <c r="M556" s="191"/>
      <c r="N556" s="191"/>
      <c r="O556" s="191"/>
      <c r="Q556" s="183"/>
    </row>
    <row r="557">
      <c r="B557" s="190" t="str">
        <f>IFERROR(__xludf.DUMMYFUNCTION("""COMPUTED_VALUE"""),"#VALUE!")</f>
        <v>#VALUE!</v>
      </c>
      <c r="C557" s="190"/>
      <c r="D557" s="190" t="e">
        <v>#DIV/0!</v>
      </c>
      <c r="E557" s="190" t="e">
        <v>#DIV/0!</v>
      </c>
      <c r="F557" s="183"/>
      <c r="G557" s="191"/>
      <c r="H557" s="191"/>
      <c r="I557" s="191"/>
      <c r="J557" s="191"/>
      <c r="K557" s="191"/>
      <c r="L557" s="191"/>
      <c r="M557" s="191"/>
      <c r="N557" s="191"/>
      <c r="O557" s="191"/>
      <c r="Q557" s="183"/>
    </row>
    <row r="558">
      <c r="B558" s="190" t="str">
        <f>IFERROR(__xludf.DUMMYFUNCTION("""COMPUTED_VALUE"""),"#VALUE!")</f>
        <v>#VALUE!</v>
      </c>
      <c r="C558" s="190"/>
      <c r="D558" s="190" t="e">
        <v>#DIV/0!</v>
      </c>
      <c r="E558" s="190" t="e">
        <v>#DIV/0!</v>
      </c>
      <c r="F558" s="183"/>
      <c r="G558" s="191"/>
      <c r="H558" s="191"/>
      <c r="I558" s="191"/>
      <c r="J558" s="191"/>
      <c r="K558" s="191"/>
      <c r="L558" s="191"/>
      <c r="M558" s="191"/>
      <c r="N558" s="191"/>
      <c r="O558" s="191"/>
      <c r="Q558" s="183"/>
    </row>
    <row r="559">
      <c r="B559" s="190" t="str">
        <f>IFERROR(__xludf.DUMMYFUNCTION("""COMPUTED_VALUE"""),"#VALUE!")</f>
        <v>#VALUE!</v>
      </c>
      <c r="C559" s="190"/>
      <c r="D559" s="190" t="e">
        <v>#DIV/0!</v>
      </c>
      <c r="E559" s="190" t="e">
        <v>#DIV/0!</v>
      </c>
      <c r="F559" s="183"/>
      <c r="G559" s="191"/>
      <c r="H559" s="191"/>
      <c r="I559" s="191"/>
      <c r="J559" s="191"/>
      <c r="K559" s="191"/>
      <c r="L559" s="191"/>
      <c r="M559" s="191"/>
      <c r="N559" s="191"/>
      <c r="O559" s="191"/>
      <c r="Q559" s="183"/>
    </row>
    <row r="560">
      <c r="B560" s="190" t="str">
        <f>IFERROR(__xludf.DUMMYFUNCTION("""COMPUTED_VALUE"""),"#VALUE!")</f>
        <v>#VALUE!</v>
      </c>
      <c r="C560" s="190"/>
      <c r="D560" s="190" t="e">
        <v>#DIV/0!</v>
      </c>
      <c r="E560" s="190" t="e">
        <v>#DIV/0!</v>
      </c>
      <c r="F560" s="183"/>
      <c r="G560" s="191"/>
      <c r="H560" s="191"/>
      <c r="I560" s="191"/>
      <c r="J560" s="191"/>
      <c r="K560" s="191"/>
      <c r="L560" s="191"/>
      <c r="M560" s="191"/>
      <c r="N560" s="191"/>
      <c r="O560" s="191"/>
      <c r="Q560" s="183"/>
    </row>
    <row r="561">
      <c r="B561" s="190" t="str">
        <f>IFERROR(__xludf.DUMMYFUNCTION("""COMPUTED_VALUE"""),"#VALUE!")</f>
        <v>#VALUE!</v>
      </c>
      <c r="C561" s="190"/>
      <c r="D561" s="190" t="e">
        <v>#DIV/0!</v>
      </c>
      <c r="E561" s="190" t="e">
        <v>#DIV/0!</v>
      </c>
      <c r="F561" s="183"/>
      <c r="G561" s="191"/>
      <c r="H561" s="191"/>
      <c r="I561" s="191"/>
      <c r="J561" s="191"/>
      <c r="K561" s="191"/>
      <c r="L561" s="191"/>
      <c r="M561" s="191"/>
      <c r="N561" s="191"/>
      <c r="O561" s="191"/>
      <c r="Q561" s="183"/>
    </row>
    <row r="562">
      <c r="B562" s="190" t="str">
        <f>IFERROR(__xludf.DUMMYFUNCTION("""COMPUTED_VALUE"""),"#VALUE!")</f>
        <v>#VALUE!</v>
      </c>
      <c r="C562" s="190"/>
      <c r="D562" s="190" t="e">
        <v>#DIV/0!</v>
      </c>
      <c r="E562" s="190" t="e">
        <v>#DIV/0!</v>
      </c>
      <c r="F562" s="183"/>
      <c r="G562" s="191"/>
      <c r="H562" s="191"/>
      <c r="I562" s="191"/>
      <c r="J562" s="191"/>
      <c r="K562" s="191"/>
      <c r="L562" s="191"/>
      <c r="M562" s="191"/>
      <c r="N562" s="191"/>
      <c r="O562" s="191"/>
      <c r="Q562" s="183"/>
    </row>
    <row r="563">
      <c r="B563" s="190" t="str">
        <f>IFERROR(__xludf.DUMMYFUNCTION("""COMPUTED_VALUE"""),"#VALUE!")</f>
        <v>#VALUE!</v>
      </c>
      <c r="C563" s="190"/>
      <c r="D563" s="190" t="e">
        <v>#DIV/0!</v>
      </c>
      <c r="E563" s="190" t="e">
        <v>#DIV/0!</v>
      </c>
      <c r="F563" s="183"/>
      <c r="G563" s="191"/>
      <c r="H563" s="191"/>
      <c r="I563" s="191"/>
      <c r="J563" s="191"/>
      <c r="K563" s="191"/>
      <c r="L563" s="191"/>
      <c r="M563" s="191"/>
      <c r="N563" s="191"/>
      <c r="O563" s="191"/>
      <c r="Q563" s="183"/>
    </row>
    <row r="564">
      <c r="B564" s="190" t="str">
        <f>IFERROR(__xludf.DUMMYFUNCTION("""COMPUTED_VALUE"""),"#VALUE!")</f>
        <v>#VALUE!</v>
      </c>
      <c r="C564" s="190"/>
      <c r="D564" s="190" t="e">
        <v>#DIV/0!</v>
      </c>
      <c r="E564" s="190" t="e">
        <v>#DIV/0!</v>
      </c>
      <c r="F564" s="183"/>
      <c r="G564" s="191"/>
      <c r="H564" s="191"/>
      <c r="I564" s="191"/>
      <c r="J564" s="191"/>
      <c r="K564" s="191"/>
      <c r="L564" s="191"/>
      <c r="M564" s="191"/>
      <c r="N564" s="191"/>
      <c r="O564" s="191"/>
      <c r="Q564" s="183"/>
    </row>
    <row r="565">
      <c r="B565" s="190" t="str">
        <f>IFERROR(__xludf.DUMMYFUNCTION("""COMPUTED_VALUE"""),"#VALUE!")</f>
        <v>#VALUE!</v>
      </c>
      <c r="C565" s="190"/>
      <c r="D565" s="190" t="e">
        <v>#DIV/0!</v>
      </c>
      <c r="E565" s="190" t="e">
        <v>#DIV/0!</v>
      </c>
      <c r="F565" s="183"/>
      <c r="G565" s="191"/>
      <c r="H565" s="191"/>
      <c r="I565" s="191"/>
      <c r="J565" s="191"/>
      <c r="K565" s="191"/>
      <c r="L565" s="191"/>
      <c r="M565" s="191"/>
      <c r="N565" s="191"/>
      <c r="O565" s="191"/>
      <c r="Q565" s="183"/>
    </row>
    <row r="566">
      <c r="B566" s="190" t="str">
        <f>IFERROR(__xludf.DUMMYFUNCTION("""COMPUTED_VALUE"""),"#VALUE!")</f>
        <v>#VALUE!</v>
      </c>
      <c r="C566" s="190"/>
      <c r="D566" s="190" t="e">
        <v>#DIV/0!</v>
      </c>
      <c r="E566" s="190" t="e">
        <v>#DIV/0!</v>
      </c>
      <c r="F566" s="183"/>
      <c r="G566" s="191"/>
      <c r="H566" s="191"/>
      <c r="I566" s="191"/>
      <c r="J566" s="191"/>
      <c r="K566" s="191"/>
      <c r="L566" s="191"/>
      <c r="M566" s="191"/>
      <c r="N566" s="191"/>
      <c r="O566" s="191"/>
      <c r="Q566" s="183"/>
    </row>
    <row r="567">
      <c r="B567" s="190" t="str">
        <f>IFERROR(__xludf.DUMMYFUNCTION("""COMPUTED_VALUE"""),"#VALUE!")</f>
        <v>#VALUE!</v>
      </c>
      <c r="C567" s="190"/>
      <c r="D567" s="190" t="e">
        <v>#DIV/0!</v>
      </c>
      <c r="E567" s="190" t="e">
        <v>#DIV/0!</v>
      </c>
      <c r="F567" s="183"/>
      <c r="G567" s="191"/>
      <c r="H567" s="191"/>
      <c r="I567" s="191"/>
      <c r="J567" s="191"/>
      <c r="K567" s="191"/>
      <c r="L567" s="191"/>
      <c r="M567" s="191"/>
      <c r="N567" s="191"/>
      <c r="O567" s="191"/>
      <c r="Q567" s="183"/>
    </row>
    <row r="568">
      <c r="B568" s="190" t="str">
        <f>IFERROR(__xludf.DUMMYFUNCTION("""COMPUTED_VALUE"""),"#VALUE!")</f>
        <v>#VALUE!</v>
      </c>
      <c r="C568" s="190"/>
      <c r="D568" s="190" t="e">
        <v>#DIV/0!</v>
      </c>
      <c r="E568" s="190" t="e">
        <v>#DIV/0!</v>
      </c>
      <c r="F568" s="183"/>
      <c r="G568" s="191"/>
      <c r="H568" s="191"/>
      <c r="I568" s="191"/>
      <c r="J568" s="191"/>
      <c r="K568" s="191"/>
      <c r="L568" s="191"/>
      <c r="M568" s="191"/>
      <c r="N568" s="191"/>
      <c r="O568" s="191"/>
      <c r="Q568" s="183"/>
    </row>
    <row r="569">
      <c r="B569" s="190" t="str">
        <f>IFERROR(__xludf.DUMMYFUNCTION("""COMPUTED_VALUE"""),"#VALUE!")</f>
        <v>#VALUE!</v>
      </c>
      <c r="C569" s="190"/>
      <c r="D569" s="190" t="e">
        <v>#DIV/0!</v>
      </c>
      <c r="E569" s="190" t="e">
        <v>#DIV/0!</v>
      </c>
      <c r="F569" s="183"/>
      <c r="G569" s="191"/>
      <c r="H569" s="191"/>
      <c r="I569" s="191"/>
      <c r="J569" s="191"/>
      <c r="K569" s="191"/>
      <c r="L569" s="191"/>
      <c r="M569" s="191"/>
      <c r="N569" s="191"/>
      <c r="O569" s="191"/>
      <c r="Q569" s="183"/>
    </row>
    <row r="570">
      <c r="B570" s="190" t="str">
        <f>IFERROR(__xludf.DUMMYFUNCTION("""COMPUTED_VALUE"""),"#VALUE!")</f>
        <v>#VALUE!</v>
      </c>
      <c r="C570" s="190"/>
      <c r="D570" s="190" t="e">
        <v>#DIV/0!</v>
      </c>
      <c r="E570" s="190" t="e">
        <v>#DIV/0!</v>
      </c>
      <c r="F570" s="183"/>
      <c r="G570" s="191"/>
      <c r="H570" s="191"/>
      <c r="I570" s="191"/>
      <c r="J570" s="191"/>
      <c r="K570" s="191"/>
      <c r="L570" s="191"/>
      <c r="M570" s="191"/>
      <c r="N570" s="191"/>
      <c r="O570" s="191"/>
      <c r="Q570" s="183"/>
    </row>
    <row r="571">
      <c r="B571" s="190" t="str">
        <f>IFERROR(__xludf.DUMMYFUNCTION("""COMPUTED_VALUE"""),"#VALUE!")</f>
        <v>#VALUE!</v>
      </c>
      <c r="C571" s="190"/>
      <c r="D571" s="190" t="e">
        <v>#DIV/0!</v>
      </c>
      <c r="E571" s="190" t="e">
        <v>#DIV/0!</v>
      </c>
      <c r="F571" s="183"/>
      <c r="G571" s="191"/>
      <c r="H571" s="191"/>
      <c r="I571" s="191"/>
      <c r="J571" s="191"/>
      <c r="K571" s="191"/>
      <c r="L571" s="191"/>
      <c r="M571" s="191"/>
      <c r="N571" s="191"/>
      <c r="O571" s="191"/>
      <c r="Q571" s="183"/>
    </row>
    <row r="572">
      <c r="B572" s="190" t="str">
        <f>IFERROR(__xludf.DUMMYFUNCTION("""COMPUTED_VALUE"""),"#VALUE!")</f>
        <v>#VALUE!</v>
      </c>
      <c r="C572" s="190"/>
      <c r="D572" s="190" t="e">
        <v>#DIV/0!</v>
      </c>
      <c r="E572" s="190" t="e">
        <v>#DIV/0!</v>
      </c>
      <c r="F572" s="183"/>
      <c r="G572" s="191"/>
      <c r="H572" s="191"/>
      <c r="I572" s="191"/>
      <c r="J572" s="191"/>
      <c r="K572" s="191"/>
      <c r="L572" s="191"/>
      <c r="M572" s="191"/>
      <c r="N572" s="191"/>
      <c r="O572" s="191"/>
      <c r="Q572" s="183"/>
    </row>
    <row r="573">
      <c r="B573" s="190" t="str">
        <f>IFERROR(__xludf.DUMMYFUNCTION("""COMPUTED_VALUE"""),"#VALUE!")</f>
        <v>#VALUE!</v>
      </c>
      <c r="C573" s="190"/>
      <c r="D573" s="190" t="e">
        <v>#DIV/0!</v>
      </c>
      <c r="E573" s="190" t="e">
        <v>#DIV/0!</v>
      </c>
      <c r="F573" s="183"/>
      <c r="G573" s="191"/>
      <c r="H573" s="191"/>
      <c r="I573" s="191"/>
      <c r="J573" s="191"/>
      <c r="K573" s="191"/>
      <c r="L573" s="191"/>
      <c r="M573" s="191"/>
      <c r="N573" s="191"/>
      <c r="O573" s="191"/>
      <c r="Q573" s="183"/>
    </row>
    <row r="574">
      <c r="B574" s="190" t="str">
        <f>IFERROR(__xludf.DUMMYFUNCTION("""COMPUTED_VALUE"""),"#VALUE!")</f>
        <v>#VALUE!</v>
      </c>
      <c r="C574" s="190"/>
      <c r="D574" s="190" t="e">
        <v>#DIV/0!</v>
      </c>
      <c r="E574" s="190" t="e">
        <v>#DIV/0!</v>
      </c>
      <c r="F574" s="183"/>
      <c r="G574" s="191"/>
      <c r="H574" s="191"/>
      <c r="I574" s="191"/>
      <c r="J574" s="191"/>
      <c r="K574" s="191"/>
      <c r="L574" s="191"/>
      <c r="M574" s="191"/>
      <c r="N574" s="191"/>
      <c r="O574" s="191"/>
      <c r="Q574" s="183"/>
    </row>
    <row r="575">
      <c r="B575" s="190" t="str">
        <f>IFERROR(__xludf.DUMMYFUNCTION("""COMPUTED_VALUE"""),"#VALUE!")</f>
        <v>#VALUE!</v>
      </c>
      <c r="C575" s="190"/>
      <c r="D575" s="190" t="e">
        <v>#DIV/0!</v>
      </c>
      <c r="E575" s="190" t="e">
        <v>#DIV/0!</v>
      </c>
      <c r="F575" s="183"/>
      <c r="G575" s="191"/>
      <c r="H575" s="191"/>
      <c r="I575" s="191"/>
      <c r="J575" s="191"/>
      <c r="K575" s="191"/>
      <c r="L575" s="191"/>
      <c r="M575" s="191"/>
      <c r="N575" s="191"/>
      <c r="O575" s="191"/>
      <c r="Q575" s="183"/>
    </row>
    <row r="576">
      <c r="B576" s="190" t="str">
        <f>IFERROR(__xludf.DUMMYFUNCTION("""COMPUTED_VALUE"""),"#VALUE!")</f>
        <v>#VALUE!</v>
      </c>
      <c r="C576" s="190"/>
      <c r="D576" s="190" t="e">
        <v>#DIV/0!</v>
      </c>
      <c r="E576" s="190" t="e">
        <v>#DIV/0!</v>
      </c>
      <c r="F576" s="183"/>
      <c r="G576" s="191"/>
      <c r="H576" s="191"/>
      <c r="I576" s="191"/>
      <c r="J576" s="191"/>
      <c r="K576" s="191"/>
      <c r="L576" s="191"/>
      <c r="M576" s="191"/>
      <c r="N576" s="191"/>
      <c r="O576" s="191"/>
      <c r="Q576" s="183"/>
    </row>
    <row r="577">
      <c r="B577" s="190" t="str">
        <f>IFERROR(__xludf.DUMMYFUNCTION("""COMPUTED_VALUE"""),"#VALUE!")</f>
        <v>#VALUE!</v>
      </c>
      <c r="C577" s="190"/>
      <c r="D577" s="190" t="e">
        <v>#DIV/0!</v>
      </c>
      <c r="E577" s="190" t="e">
        <v>#DIV/0!</v>
      </c>
      <c r="F577" s="183"/>
      <c r="G577" s="191"/>
      <c r="H577" s="191"/>
      <c r="I577" s="191"/>
      <c r="J577" s="191"/>
      <c r="K577" s="191"/>
      <c r="L577" s="191"/>
      <c r="M577" s="191"/>
      <c r="N577" s="191"/>
      <c r="O577" s="191"/>
      <c r="Q577" s="183"/>
    </row>
    <row r="578">
      <c r="B578" s="190" t="str">
        <f>IFERROR(__xludf.DUMMYFUNCTION("""COMPUTED_VALUE"""),"#VALUE!")</f>
        <v>#VALUE!</v>
      </c>
      <c r="C578" s="190"/>
      <c r="D578" s="190" t="e">
        <v>#DIV/0!</v>
      </c>
      <c r="E578" s="190" t="e">
        <v>#DIV/0!</v>
      </c>
      <c r="F578" s="183"/>
      <c r="G578" s="191"/>
      <c r="H578" s="191"/>
      <c r="I578" s="191"/>
      <c r="J578" s="191"/>
      <c r="K578" s="191"/>
      <c r="L578" s="191"/>
      <c r="M578" s="191"/>
      <c r="N578" s="191"/>
      <c r="O578" s="191"/>
      <c r="Q578" s="183"/>
    </row>
    <row r="579">
      <c r="B579" s="190" t="str">
        <f>IFERROR(__xludf.DUMMYFUNCTION("""COMPUTED_VALUE"""),"#VALUE!")</f>
        <v>#VALUE!</v>
      </c>
      <c r="C579" s="190"/>
      <c r="D579" s="190" t="e">
        <v>#DIV/0!</v>
      </c>
      <c r="E579" s="190" t="e">
        <v>#DIV/0!</v>
      </c>
      <c r="F579" s="183"/>
      <c r="G579" s="191"/>
      <c r="H579" s="191"/>
      <c r="I579" s="191"/>
      <c r="J579" s="191"/>
      <c r="K579" s="191"/>
      <c r="L579" s="191"/>
      <c r="M579" s="191"/>
      <c r="N579" s="191"/>
      <c r="O579" s="191"/>
      <c r="Q579" s="183"/>
    </row>
    <row r="580">
      <c r="B580" s="190" t="str">
        <f>IFERROR(__xludf.DUMMYFUNCTION("""COMPUTED_VALUE"""),"#VALUE!")</f>
        <v>#VALUE!</v>
      </c>
      <c r="C580" s="190"/>
      <c r="D580" s="190" t="e">
        <v>#DIV/0!</v>
      </c>
      <c r="E580" s="190" t="e">
        <v>#DIV/0!</v>
      </c>
      <c r="F580" s="183"/>
      <c r="G580" s="191"/>
      <c r="H580" s="191"/>
      <c r="I580" s="191"/>
      <c r="J580" s="191"/>
      <c r="K580" s="191"/>
      <c r="L580" s="191"/>
      <c r="M580" s="191"/>
      <c r="N580" s="191"/>
      <c r="O580" s="191"/>
      <c r="Q580" s="183"/>
    </row>
    <row r="581">
      <c r="B581" s="190" t="str">
        <f>IFERROR(__xludf.DUMMYFUNCTION("""COMPUTED_VALUE"""),"#VALUE!")</f>
        <v>#VALUE!</v>
      </c>
      <c r="C581" s="190"/>
      <c r="D581" s="190" t="e">
        <v>#DIV/0!</v>
      </c>
      <c r="E581" s="190" t="e">
        <v>#DIV/0!</v>
      </c>
      <c r="F581" s="183"/>
      <c r="G581" s="191"/>
      <c r="H581" s="191"/>
      <c r="I581" s="191"/>
      <c r="J581" s="191"/>
      <c r="K581" s="191"/>
      <c r="L581" s="191"/>
      <c r="M581" s="191"/>
      <c r="N581" s="191"/>
      <c r="O581" s="191"/>
      <c r="Q581" s="183"/>
    </row>
    <row r="582">
      <c r="B582" s="190" t="str">
        <f>IFERROR(__xludf.DUMMYFUNCTION("""COMPUTED_VALUE"""),"#VALUE!")</f>
        <v>#VALUE!</v>
      </c>
      <c r="C582" s="190"/>
      <c r="D582" s="190" t="e">
        <v>#DIV/0!</v>
      </c>
      <c r="E582" s="190" t="e">
        <v>#DIV/0!</v>
      </c>
      <c r="F582" s="183"/>
      <c r="G582" s="191"/>
      <c r="H582" s="191"/>
      <c r="I582" s="191"/>
      <c r="J582" s="191"/>
      <c r="K582" s="191"/>
      <c r="L582" s="191"/>
      <c r="M582" s="191"/>
      <c r="N582" s="191"/>
      <c r="O582" s="191"/>
      <c r="Q582" s="183"/>
    </row>
    <row r="583">
      <c r="B583" s="190" t="str">
        <f>IFERROR(__xludf.DUMMYFUNCTION("""COMPUTED_VALUE"""),"#VALUE!")</f>
        <v>#VALUE!</v>
      </c>
      <c r="C583" s="190"/>
      <c r="D583" s="190" t="e">
        <v>#DIV/0!</v>
      </c>
      <c r="E583" s="190" t="e">
        <v>#DIV/0!</v>
      </c>
      <c r="F583" s="183"/>
      <c r="G583" s="191"/>
      <c r="H583" s="191"/>
      <c r="I583" s="191"/>
      <c r="J583" s="191"/>
      <c r="K583" s="191"/>
      <c r="L583" s="191"/>
      <c r="M583" s="191"/>
      <c r="N583" s="191"/>
      <c r="O583" s="191"/>
      <c r="Q583" s="183"/>
    </row>
    <row r="584">
      <c r="B584" s="190" t="str">
        <f>IFERROR(__xludf.DUMMYFUNCTION("""COMPUTED_VALUE"""),"#VALUE!")</f>
        <v>#VALUE!</v>
      </c>
      <c r="C584" s="190"/>
      <c r="D584" s="190" t="e">
        <v>#DIV/0!</v>
      </c>
      <c r="E584" s="190" t="e">
        <v>#DIV/0!</v>
      </c>
      <c r="F584" s="183"/>
      <c r="G584" s="191"/>
      <c r="H584" s="191"/>
      <c r="I584" s="191"/>
      <c r="J584" s="191"/>
      <c r="K584" s="191"/>
      <c r="L584" s="191"/>
      <c r="M584" s="191"/>
      <c r="N584" s="191"/>
      <c r="O584" s="191"/>
      <c r="Q584" s="183"/>
    </row>
    <row r="585">
      <c r="B585" s="190" t="str">
        <f>IFERROR(__xludf.DUMMYFUNCTION("""COMPUTED_VALUE"""),"#VALUE!")</f>
        <v>#VALUE!</v>
      </c>
      <c r="C585" s="190"/>
      <c r="D585" s="190" t="e">
        <v>#DIV/0!</v>
      </c>
      <c r="E585" s="190" t="e">
        <v>#DIV/0!</v>
      </c>
      <c r="F585" s="183"/>
      <c r="G585" s="191"/>
      <c r="H585" s="191"/>
      <c r="I585" s="191"/>
      <c r="J585" s="191"/>
      <c r="K585" s="191"/>
      <c r="L585" s="191"/>
      <c r="M585" s="191"/>
      <c r="N585" s="191"/>
      <c r="O585" s="191"/>
      <c r="Q585" s="183"/>
    </row>
    <row r="586">
      <c r="B586" s="190" t="str">
        <f>IFERROR(__xludf.DUMMYFUNCTION("""COMPUTED_VALUE"""),"#VALUE!")</f>
        <v>#VALUE!</v>
      </c>
      <c r="C586" s="190"/>
      <c r="D586" s="190" t="e">
        <v>#DIV/0!</v>
      </c>
      <c r="E586" s="190" t="e">
        <v>#DIV/0!</v>
      </c>
      <c r="F586" s="183"/>
      <c r="G586" s="191"/>
      <c r="H586" s="191"/>
      <c r="I586" s="191"/>
      <c r="J586" s="191"/>
      <c r="K586" s="191"/>
      <c r="L586" s="191"/>
      <c r="M586" s="191"/>
      <c r="N586" s="191"/>
      <c r="O586" s="191"/>
      <c r="Q586" s="183"/>
    </row>
    <row r="587">
      <c r="B587" s="190" t="str">
        <f>IFERROR(__xludf.DUMMYFUNCTION("""COMPUTED_VALUE"""),"#VALUE!")</f>
        <v>#VALUE!</v>
      </c>
      <c r="C587" s="190"/>
      <c r="D587" s="190" t="e">
        <v>#DIV/0!</v>
      </c>
      <c r="E587" s="190" t="e">
        <v>#DIV/0!</v>
      </c>
      <c r="F587" s="183"/>
      <c r="G587" s="191"/>
      <c r="H587" s="191"/>
      <c r="I587" s="191"/>
      <c r="J587" s="191"/>
      <c r="K587" s="191"/>
      <c r="L587" s="191"/>
      <c r="M587" s="191"/>
      <c r="N587" s="191"/>
      <c r="O587" s="191"/>
      <c r="Q587" s="183"/>
    </row>
    <row r="588">
      <c r="B588" s="190" t="str">
        <f>IFERROR(__xludf.DUMMYFUNCTION("""COMPUTED_VALUE"""),"#VALUE!")</f>
        <v>#VALUE!</v>
      </c>
      <c r="C588" s="190"/>
      <c r="D588" s="190" t="e">
        <v>#DIV/0!</v>
      </c>
      <c r="E588" s="190" t="e">
        <v>#DIV/0!</v>
      </c>
      <c r="F588" s="183"/>
      <c r="G588" s="191"/>
      <c r="H588" s="191"/>
      <c r="I588" s="191"/>
      <c r="J588" s="191"/>
      <c r="K588" s="191"/>
      <c r="L588" s="191"/>
      <c r="M588" s="191"/>
      <c r="N588" s="191"/>
      <c r="O588" s="191"/>
      <c r="Q588" s="183"/>
    </row>
    <row r="589">
      <c r="B589" s="190" t="str">
        <f>IFERROR(__xludf.DUMMYFUNCTION("""COMPUTED_VALUE"""),"#VALUE!")</f>
        <v>#VALUE!</v>
      </c>
      <c r="C589" s="190"/>
      <c r="D589" s="190" t="e">
        <v>#DIV/0!</v>
      </c>
      <c r="E589" s="190" t="e">
        <v>#DIV/0!</v>
      </c>
      <c r="F589" s="183"/>
      <c r="G589" s="191"/>
      <c r="H589" s="191"/>
      <c r="I589" s="191"/>
      <c r="J589" s="191"/>
      <c r="K589" s="191"/>
      <c r="L589" s="191"/>
      <c r="M589" s="191"/>
      <c r="N589" s="191"/>
      <c r="O589" s="191"/>
      <c r="Q589" s="183"/>
    </row>
    <row r="590">
      <c r="B590" s="190" t="str">
        <f>IFERROR(__xludf.DUMMYFUNCTION("""COMPUTED_VALUE"""),"#VALUE!")</f>
        <v>#VALUE!</v>
      </c>
      <c r="C590" s="190"/>
      <c r="D590" s="190" t="e">
        <v>#DIV/0!</v>
      </c>
      <c r="E590" s="190" t="e">
        <v>#DIV/0!</v>
      </c>
      <c r="F590" s="183"/>
      <c r="G590" s="191"/>
      <c r="H590" s="191"/>
      <c r="I590" s="191"/>
      <c r="J590" s="191"/>
      <c r="K590" s="191"/>
      <c r="L590" s="191"/>
      <c r="M590" s="191"/>
      <c r="N590" s="191"/>
      <c r="O590" s="191"/>
      <c r="Q590" s="183"/>
    </row>
    <row r="591">
      <c r="B591" s="190" t="str">
        <f>IFERROR(__xludf.DUMMYFUNCTION("""COMPUTED_VALUE"""),"#VALUE!")</f>
        <v>#VALUE!</v>
      </c>
      <c r="C591" s="190"/>
      <c r="D591" s="190" t="e">
        <v>#DIV/0!</v>
      </c>
      <c r="E591" s="190" t="e">
        <v>#DIV/0!</v>
      </c>
      <c r="F591" s="183"/>
      <c r="G591" s="191"/>
      <c r="H591" s="191"/>
      <c r="I591" s="191"/>
      <c r="J591" s="191"/>
      <c r="K591" s="191"/>
      <c r="L591" s="191"/>
      <c r="M591" s="191"/>
      <c r="N591" s="191"/>
      <c r="O591" s="191"/>
      <c r="Q591" s="183"/>
    </row>
    <row r="592">
      <c r="B592" s="190" t="str">
        <f>IFERROR(__xludf.DUMMYFUNCTION("""COMPUTED_VALUE"""),"#VALUE!")</f>
        <v>#VALUE!</v>
      </c>
      <c r="C592" s="190"/>
      <c r="D592" s="190" t="e">
        <v>#DIV/0!</v>
      </c>
      <c r="E592" s="190" t="e">
        <v>#DIV/0!</v>
      </c>
      <c r="F592" s="183"/>
      <c r="G592" s="191"/>
      <c r="H592" s="191"/>
      <c r="I592" s="191"/>
      <c r="J592" s="191"/>
      <c r="K592" s="191"/>
      <c r="L592" s="191"/>
      <c r="M592" s="191"/>
      <c r="N592" s="191"/>
      <c r="O592" s="191"/>
      <c r="Q592" s="183"/>
    </row>
    <row r="593">
      <c r="B593" s="190" t="str">
        <f>IFERROR(__xludf.DUMMYFUNCTION("""COMPUTED_VALUE"""),"#VALUE!")</f>
        <v>#VALUE!</v>
      </c>
      <c r="C593" s="190"/>
      <c r="D593" s="190" t="e">
        <v>#DIV/0!</v>
      </c>
      <c r="E593" s="190" t="e">
        <v>#DIV/0!</v>
      </c>
      <c r="F593" s="183"/>
      <c r="G593" s="191"/>
      <c r="H593" s="191"/>
      <c r="I593" s="191"/>
      <c r="J593" s="191"/>
      <c r="K593" s="191"/>
      <c r="L593" s="191"/>
      <c r="M593" s="191"/>
      <c r="N593" s="191"/>
      <c r="O593" s="191"/>
      <c r="Q593" s="183"/>
    </row>
    <row r="594">
      <c r="B594" s="190" t="str">
        <f>IFERROR(__xludf.DUMMYFUNCTION("""COMPUTED_VALUE"""),"#VALUE!")</f>
        <v>#VALUE!</v>
      </c>
      <c r="C594" s="190"/>
      <c r="D594" s="190" t="e">
        <v>#DIV/0!</v>
      </c>
      <c r="E594" s="190" t="e">
        <v>#DIV/0!</v>
      </c>
      <c r="F594" s="183"/>
      <c r="G594" s="191"/>
      <c r="H594" s="191"/>
      <c r="I594" s="191"/>
      <c r="J594" s="191"/>
      <c r="K594" s="191"/>
      <c r="L594" s="191"/>
      <c r="M594" s="191"/>
      <c r="N594" s="191"/>
      <c r="O594" s="191"/>
      <c r="Q594" s="183"/>
    </row>
    <row r="595">
      <c r="B595" s="190" t="str">
        <f>IFERROR(__xludf.DUMMYFUNCTION("""COMPUTED_VALUE"""),"#VALUE!")</f>
        <v>#VALUE!</v>
      </c>
      <c r="C595" s="190"/>
      <c r="D595" s="190" t="e">
        <v>#DIV/0!</v>
      </c>
      <c r="E595" s="190" t="e">
        <v>#DIV/0!</v>
      </c>
      <c r="F595" s="183"/>
      <c r="G595" s="191"/>
      <c r="H595" s="191"/>
      <c r="I595" s="191"/>
      <c r="J595" s="191"/>
      <c r="K595" s="191"/>
      <c r="L595" s="191"/>
      <c r="M595" s="191"/>
      <c r="N595" s="191"/>
      <c r="O595" s="191"/>
      <c r="Q595" s="183"/>
    </row>
    <row r="596">
      <c r="B596" s="190" t="str">
        <f>IFERROR(__xludf.DUMMYFUNCTION("""COMPUTED_VALUE"""),"#VALUE!")</f>
        <v>#VALUE!</v>
      </c>
      <c r="C596" s="190"/>
      <c r="D596" s="190" t="e">
        <v>#DIV/0!</v>
      </c>
      <c r="E596" s="190" t="e">
        <v>#DIV/0!</v>
      </c>
      <c r="F596" s="183"/>
      <c r="G596" s="191"/>
      <c r="H596" s="191"/>
      <c r="I596" s="191"/>
      <c r="J596" s="191"/>
      <c r="K596" s="191"/>
      <c r="L596" s="191"/>
      <c r="M596" s="191"/>
      <c r="N596" s="191"/>
      <c r="O596" s="191"/>
      <c r="Q596" s="183"/>
    </row>
    <row r="597">
      <c r="B597" s="190" t="str">
        <f>IFERROR(__xludf.DUMMYFUNCTION("""COMPUTED_VALUE"""),"#VALUE!")</f>
        <v>#VALUE!</v>
      </c>
      <c r="C597" s="190"/>
      <c r="D597" s="190" t="e">
        <v>#DIV/0!</v>
      </c>
      <c r="E597" s="190" t="e">
        <v>#DIV/0!</v>
      </c>
      <c r="F597" s="183"/>
      <c r="G597" s="191"/>
      <c r="H597" s="191"/>
      <c r="I597" s="191"/>
      <c r="J597" s="191"/>
      <c r="K597" s="191"/>
      <c r="L597" s="191"/>
      <c r="M597" s="191"/>
      <c r="N597" s="191"/>
      <c r="O597" s="191"/>
      <c r="Q597" s="183"/>
    </row>
    <row r="598">
      <c r="B598" s="190" t="str">
        <f>IFERROR(__xludf.DUMMYFUNCTION("""COMPUTED_VALUE"""),"#VALUE!")</f>
        <v>#VALUE!</v>
      </c>
      <c r="C598" s="190"/>
      <c r="D598" s="190" t="e">
        <v>#DIV/0!</v>
      </c>
      <c r="E598" s="190" t="e">
        <v>#DIV/0!</v>
      </c>
      <c r="F598" s="183"/>
      <c r="G598" s="191"/>
      <c r="H598" s="191"/>
      <c r="I598" s="191"/>
      <c r="J598" s="191"/>
      <c r="K598" s="191"/>
      <c r="L598" s="191"/>
      <c r="M598" s="191"/>
      <c r="N598" s="191"/>
      <c r="O598" s="191"/>
      <c r="Q598" s="183"/>
    </row>
    <row r="599">
      <c r="B599" s="190" t="str">
        <f>IFERROR(__xludf.DUMMYFUNCTION("""COMPUTED_VALUE"""),"#VALUE!")</f>
        <v>#VALUE!</v>
      </c>
      <c r="C599" s="190"/>
      <c r="D599" s="190" t="e">
        <v>#DIV/0!</v>
      </c>
      <c r="E599" s="190" t="e">
        <v>#DIV/0!</v>
      </c>
      <c r="F599" s="183"/>
      <c r="G599" s="191"/>
      <c r="H599" s="191"/>
      <c r="I599" s="191"/>
      <c r="J599" s="191"/>
      <c r="K599" s="191"/>
      <c r="L599" s="191"/>
      <c r="M599" s="191"/>
      <c r="N599" s="191"/>
      <c r="O599" s="191"/>
      <c r="Q599" s="183"/>
    </row>
    <row r="600">
      <c r="B600" s="190" t="str">
        <f>IFERROR(__xludf.DUMMYFUNCTION("""COMPUTED_VALUE"""),"#VALUE!")</f>
        <v>#VALUE!</v>
      </c>
      <c r="C600" s="190"/>
      <c r="D600" s="190" t="e">
        <v>#DIV/0!</v>
      </c>
      <c r="E600" s="190" t="e">
        <v>#DIV/0!</v>
      </c>
      <c r="F600" s="183"/>
      <c r="G600" s="191"/>
      <c r="H600" s="191"/>
      <c r="I600" s="191"/>
      <c r="J600" s="191"/>
      <c r="K600" s="191"/>
      <c r="L600" s="191"/>
      <c r="M600" s="191"/>
      <c r="N600" s="191"/>
      <c r="O600" s="191"/>
      <c r="Q600" s="183"/>
    </row>
    <row r="601">
      <c r="B601" s="190" t="str">
        <f>IFERROR(__xludf.DUMMYFUNCTION("""COMPUTED_VALUE"""),"#VALUE!")</f>
        <v>#VALUE!</v>
      </c>
      <c r="C601" s="190"/>
      <c r="D601" s="190" t="e">
        <v>#DIV/0!</v>
      </c>
      <c r="E601" s="190" t="e">
        <v>#DIV/0!</v>
      </c>
      <c r="F601" s="183"/>
      <c r="G601" s="191"/>
      <c r="H601" s="191"/>
      <c r="I601" s="191"/>
      <c r="J601" s="191"/>
      <c r="K601" s="191"/>
      <c r="L601" s="191"/>
      <c r="M601" s="191"/>
      <c r="N601" s="191"/>
      <c r="O601" s="191"/>
      <c r="Q601" s="183"/>
    </row>
    <row r="602">
      <c r="B602" s="190" t="str">
        <f>IFERROR(__xludf.DUMMYFUNCTION("""COMPUTED_VALUE"""),"#VALUE!")</f>
        <v>#VALUE!</v>
      </c>
      <c r="C602" s="190"/>
      <c r="D602" s="190" t="e">
        <v>#DIV/0!</v>
      </c>
      <c r="E602" s="190" t="e">
        <v>#DIV/0!</v>
      </c>
      <c r="F602" s="183"/>
      <c r="G602" s="191"/>
      <c r="H602" s="191"/>
      <c r="I602" s="191"/>
      <c r="J602" s="191"/>
      <c r="K602" s="191"/>
      <c r="L602" s="191"/>
      <c r="M602" s="191"/>
      <c r="N602" s="191"/>
      <c r="O602" s="191"/>
      <c r="Q602" s="183"/>
    </row>
    <row r="603">
      <c r="B603" s="190" t="str">
        <f>IFERROR(__xludf.DUMMYFUNCTION("""COMPUTED_VALUE"""),"#VALUE!")</f>
        <v>#VALUE!</v>
      </c>
      <c r="C603" s="190"/>
      <c r="D603" s="190" t="e">
        <v>#DIV/0!</v>
      </c>
      <c r="E603" s="190" t="e">
        <v>#DIV/0!</v>
      </c>
      <c r="F603" s="183"/>
      <c r="G603" s="191"/>
      <c r="H603" s="191"/>
      <c r="I603" s="191"/>
      <c r="J603" s="191"/>
      <c r="K603" s="191"/>
      <c r="L603" s="191"/>
      <c r="M603" s="191"/>
      <c r="N603" s="191"/>
      <c r="O603" s="191"/>
      <c r="Q603" s="183"/>
    </row>
    <row r="604">
      <c r="B604" s="190" t="str">
        <f>IFERROR(__xludf.DUMMYFUNCTION("""COMPUTED_VALUE"""),"#VALUE!")</f>
        <v>#VALUE!</v>
      </c>
      <c r="C604" s="190"/>
      <c r="D604" s="190" t="e">
        <v>#DIV/0!</v>
      </c>
      <c r="E604" s="190" t="e">
        <v>#DIV/0!</v>
      </c>
      <c r="F604" s="183"/>
      <c r="G604" s="191"/>
      <c r="H604" s="191"/>
      <c r="I604" s="191"/>
      <c r="J604" s="191"/>
      <c r="K604" s="191"/>
      <c r="L604" s="191"/>
      <c r="M604" s="191"/>
      <c r="N604" s="191"/>
      <c r="O604" s="191"/>
      <c r="Q604" s="183"/>
    </row>
    <row r="605">
      <c r="B605" s="190" t="str">
        <f>IFERROR(__xludf.DUMMYFUNCTION("""COMPUTED_VALUE"""),"#VALUE!")</f>
        <v>#VALUE!</v>
      </c>
      <c r="C605" s="190"/>
      <c r="D605" s="190" t="e">
        <v>#DIV/0!</v>
      </c>
      <c r="E605" s="190" t="e">
        <v>#DIV/0!</v>
      </c>
      <c r="F605" s="183"/>
      <c r="G605" s="191"/>
      <c r="H605" s="191"/>
      <c r="I605" s="191"/>
      <c r="J605" s="191"/>
      <c r="K605" s="191"/>
      <c r="L605" s="191"/>
      <c r="M605" s="191"/>
      <c r="N605" s="191"/>
      <c r="O605" s="191"/>
      <c r="Q605" s="183"/>
    </row>
    <row r="606">
      <c r="B606" s="190" t="str">
        <f>IFERROR(__xludf.DUMMYFUNCTION("""COMPUTED_VALUE"""),"#VALUE!")</f>
        <v>#VALUE!</v>
      </c>
      <c r="C606" s="190"/>
      <c r="D606" s="190" t="e">
        <v>#DIV/0!</v>
      </c>
      <c r="E606" s="190" t="e">
        <v>#DIV/0!</v>
      </c>
      <c r="F606" s="183"/>
      <c r="G606" s="191"/>
      <c r="H606" s="191"/>
      <c r="I606" s="191"/>
      <c r="J606" s="191"/>
      <c r="K606" s="191"/>
      <c r="L606" s="191"/>
      <c r="M606" s="191"/>
      <c r="N606" s="191"/>
      <c r="O606" s="191"/>
      <c r="Q606" s="183"/>
    </row>
    <row r="607">
      <c r="B607" s="190" t="str">
        <f>IFERROR(__xludf.DUMMYFUNCTION("""COMPUTED_VALUE"""),"#VALUE!")</f>
        <v>#VALUE!</v>
      </c>
      <c r="C607" s="190"/>
      <c r="D607" s="190" t="e">
        <v>#DIV/0!</v>
      </c>
      <c r="E607" s="190" t="e">
        <v>#DIV/0!</v>
      </c>
      <c r="F607" s="183"/>
      <c r="G607" s="191"/>
      <c r="H607" s="191"/>
      <c r="I607" s="191"/>
      <c r="J607" s="191"/>
      <c r="K607" s="191"/>
      <c r="L607" s="191"/>
      <c r="M607" s="191"/>
      <c r="N607" s="191"/>
      <c r="O607" s="191"/>
      <c r="Q607" s="183"/>
    </row>
    <row r="608">
      <c r="B608" s="190" t="str">
        <f>IFERROR(__xludf.DUMMYFUNCTION("""COMPUTED_VALUE"""),"#VALUE!")</f>
        <v>#VALUE!</v>
      </c>
      <c r="C608" s="190"/>
      <c r="D608" s="190" t="e">
        <v>#DIV/0!</v>
      </c>
      <c r="E608" s="190" t="e">
        <v>#DIV/0!</v>
      </c>
      <c r="F608" s="183"/>
      <c r="G608" s="191"/>
      <c r="H608" s="191"/>
      <c r="I608" s="191"/>
      <c r="J608" s="191"/>
      <c r="K608" s="191"/>
      <c r="L608" s="191"/>
      <c r="M608" s="191"/>
      <c r="N608" s="191"/>
      <c r="O608" s="191"/>
      <c r="Q608" s="183"/>
    </row>
    <row r="609">
      <c r="B609" s="190" t="str">
        <f>IFERROR(__xludf.DUMMYFUNCTION("""COMPUTED_VALUE"""),"#VALUE!")</f>
        <v>#VALUE!</v>
      </c>
      <c r="C609" s="190"/>
      <c r="D609" s="190" t="e">
        <v>#DIV/0!</v>
      </c>
      <c r="E609" s="190" t="e">
        <v>#DIV/0!</v>
      </c>
      <c r="F609" s="183"/>
      <c r="G609" s="191"/>
      <c r="H609" s="191"/>
      <c r="I609" s="191"/>
      <c r="J609" s="191"/>
      <c r="K609" s="191"/>
      <c r="L609" s="191"/>
      <c r="M609" s="191"/>
      <c r="N609" s="191"/>
      <c r="O609" s="191"/>
      <c r="Q609" s="183"/>
    </row>
    <row r="610">
      <c r="B610" s="190" t="str">
        <f>IFERROR(__xludf.DUMMYFUNCTION("""COMPUTED_VALUE"""),"#VALUE!")</f>
        <v>#VALUE!</v>
      </c>
      <c r="C610" s="190"/>
      <c r="D610" s="190" t="e">
        <v>#DIV/0!</v>
      </c>
      <c r="E610" s="190" t="e">
        <v>#DIV/0!</v>
      </c>
      <c r="F610" s="183"/>
      <c r="G610" s="191"/>
      <c r="H610" s="191"/>
      <c r="I610" s="191"/>
      <c r="J610" s="191"/>
      <c r="K610" s="191"/>
      <c r="L610" s="191"/>
      <c r="M610" s="191"/>
      <c r="N610" s="191"/>
      <c r="O610" s="191"/>
      <c r="Q610" s="183"/>
    </row>
    <row r="611">
      <c r="B611" s="190" t="str">
        <f>IFERROR(__xludf.DUMMYFUNCTION("""COMPUTED_VALUE"""),"#VALUE!")</f>
        <v>#VALUE!</v>
      </c>
      <c r="C611" s="190"/>
      <c r="D611" s="190" t="e">
        <v>#DIV/0!</v>
      </c>
      <c r="E611" s="190" t="e">
        <v>#DIV/0!</v>
      </c>
      <c r="F611" s="183"/>
      <c r="G611" s="191"/>
      <c r="H611" s="191"/>
      <c r="I611" s="191"/>
      <c r="J611" s="191"/>
      <c r="K611" s="191"/>
      <c r="L611" s="191"/>
      <c r="M611" s="191"/>
      <c r="N611" s="191"/>
      <c r="O611" s="191"/>
      <c r="Q611" s="183"/>
    </row>
    <row r="612">
      <c r="B612" s="190" t="str">
        <f>IFERROR(__xludf.DUMMYFUNCTION("""COMPUTED_VALUE"""),"#VALUE!")</f>
        <v>#VALUE!</v>
      </c>
      <c r="C612" s="190"/>
      <c r="D612" s="190" t="e">
        <v>#DIV/0!</v>
      </c>
      <c r="E612" s="190" t="e">
        <v>#DIV/0!</v>
      </c>
      <c r="F612" s="183"/>
      <c r="G612" s="191"/>
      <c r="H612" s="191"/>
      <c r="I612" s="191"/>
      <c r="J612" s="191"/>
      <c r="K612" s="191"/>
      <c r="L612" s="191"/>
      <c r="M612" s="191"/>
      <c r="N612" s="191"/>
      <c r="O612" s="191"/>
      <c r="Q612" s="183"/>
    </row>
    <row r="613">
      <c r="B613" s="190" t="str">
        <f>IFERROR(__xludf.DUMMYFUNCTION("""COMPUTED_VALUE"""),"#VALUE!")</f>
        <v>#VALUE!</v>
      </c>
      <c r="C613" s="190"/>
      <c r="D613" s="190" t="e">
        <v>#DIV/0!</v>
      </c>
      <c r="E613" s="190" t="e">
        <v>#DIV/0!</v>
      </c>
      <c r="F613" s="183"/>
      <c r="G613" s="191"/>
      <c r="H613" s="191"/>
      <c r="I613" s="191"/>
      <c r="J613" s="191"/>
      <c r="K613" s="191"/>
      <c r="L613" s="191"/>
      <c r="M613" s="191"/>
      <c r="N613" s="191"/>
      <c r="O613" s="191"/>
      <c r="Q613" s="183"/>
    </row>
    <row r="614">
      <c r="B614" s="190" t="str">
        <f>IFERROR(__xludf.DUMMYFUNCTION("""COMPUTED_VALUE"""),"#VALUE!")</f>
        <v>#VALUE!</v>
      </c>
      <c r="C614" s="190"/>
      <c r="D614" s="190" t="e">
        <v>#DIV/0!</v>
      </c>
      <c r="E614" s="190" t="e">
        <v>#DIV/0!</v>
      </c>
      <c r="F614" s="183"/>
      <c r="G614" s="191"/>
      <c r="H614" s="191"/>
      <c r="I614" s="191"/>
      <c r="J614" s="191"/>
      <c r="K614" s="191"/>
      <c r="L614" s="191"/>
      <c r="M614" s="191"/>
      <c r="N614" s="191"/>
      <c r="O614" s="191"/>
      <c r="Q614" s="183"/>
    </row>
    <row r="615">
      <c r="B615" s="190" t="str">
        <f>IFERROR(__xludf.DUMMYFUNCTION("""COMPUTED_VALUE"""),"#VALUE!")</f>
        <v>#VALUE!</v>
      </c>
      <c r="C615" s="190"/>
      <c r="D615" s="190" t="e">
        <v>#DIV/0!</v>
      </c>
      <c r="E615" s="190" t="e">
        <v>#DIV/0!</v>
      </c>
      <c r="F615" s="183"/>
      <c r="G615" s="191"/>
      <c r="H615" s="191"/>
      <c r="I615" s="191"/>
      <c r="J615" s="191"/>
      <c r="K615" s="191"/>
      <c r="L615" s="191"/>
      <c r="M615" s="191"/>
      <c r="N615" s="191"/>
      <c r="O615" s="191"/>
      <c r="Q615" s="183"/>
    </row>
    <row r="616">
      <c r="B616" s="190" t="str">
        <f>IFERROR(__xludf.DUMMYFUNCTION("""COMPUTED_VALUE"""),"#VALUE!")</f>
        <v>#VALUE!</v>
      </c>
      <c r="C616" s="190"/>
      <c r="D616" s="190" t="e">
        <v>#DIV/0!</v>
      </c>
      <c r="E616" s="190" t="e">
        <v>#DIV/0!</v>
      </c>
      <c r="F616" s="183"/>
      <c r="G616" s="191"/>
      <c r="H616" s="191"/>
      <c r="I616" s="191"/>
      <c r="J616" s="191"/>
      <c r="K616" s="191"/>
      <c r="L616" s="191"/>
      <c r="M616" s="191"/>
      <c r="N616" s="191"/>
      <c r="O616" s="191"/>
      <c r="Q616" s="183"/>
    </row>
    <row r="617">
      <c r="B617" s="190" t="str">
        <f>IFERROR(__xludf.DUMMYFUNCTION("""COMPUTED_VALUE"""),"#VALUE!")</f>
        <v>#VALUE!</v>
      </c>
      <c r="C617" s="190"/>
      <c r="D617" s="190" t="e">
        <v>#DIV/0!</v>
      </c>
      <c r="E617" s="190" t="e">
        <v>#DIV/0!</v>
      </c>
      <c r="F617" s="183"/>
      <c r="G617" s="191"/>
      <c r="H617" s="191"/>
      <c r="I617" s="191"/>
      <c r="J617" s="191"/>
      <c r="K617" s="191"/>
      <c r="L617" s="191"/>
      <c r="M617" s="191"/>
      <c r="N617" s="191"/>
      <c r="O617" s="191"/>
      <c r="Q617" s="183"/>
    </row>
    <row r="618">
      <c r="B618" s="190" t="str">
        <f>IFERROR(__xludf.DUMMYFUNCTION("""COMPUTED_VALUE"""),"#VALUE!")</f>
        <v>#VALUE!</v>
      </c>
      <c r="C618" s="190"/>
      <c r="D618" s="190" t="e">
        <v>#DIV/0!</v>
      </c>
      <c r="E618" s="190" t="e">
        <v>#DIV/0!</v>
      </c>
      <c r="F618" s="183"/>
      <c r="G618" s="191"/>
      <c r="H618" s="191"/>
      <c r="I618" s="191"/>
      <c r="J618" s="191"/>
      <c r="K618" s="191"/>
      <c r="L618" s="191"/>
      <c r="M618" s="191"/>
      <c r="N618" s="191"/>
      <c r="O618" s="191"/>
      <c r="Q618" s="183"/>
    </row>
    <row r="619">
      <c r="B619" s="190" t="str">
        <f>IFERROR(__xludf.DUMMYFUNCTION("""COMPUTED_VALUE"""),"#VALUE!")</f>
        <v>#VALUE!</v>
      </c>
      <c r="C619" s="190"/>
      <c r="D619" s="190" t="e">
        <v>#DIV/0!</v>
      </c>
      <c r="E619" s="190" t="e">
        <v>#DIV/0!</v>
      </c>
      <c r="F619" s="183"/>
      <c r="G619" s="191"/>
      <c r="H619" s="191"/>
      <c r="I619" s="191"/>
      <c r="J619" s="191"/>
      <c r="K619" s="191"/>
      <c r="L619" s="191"/>
      <c r="M619" s="191"/>
      <c r="N619" s="191"/>
      <c r="O619" s="191"/>
      <c r="Q619" s="183"/>
    </row>
    <row r="620">
      <c r="B620" s="190" t="str">
        <f>IFERROR(__xludf.DUMMYFUNCTION("""COMPUTED_VALUE"""),"#VALUE!")</f>
        <v>#VALUE!</v>
      </c>
      <c r="C620" s="190"/>
      <c r="D620" s="190" t="e">
        <v>#DIV/0!</v>
      </c>
      <c r="E620" s="190" t="e">
        <v>#DIV/0!</v>
      </c>
      <c r="F620" s="183"/>
      <c r="G620" s="191"/>
      <c r="H620" s="191"/>
      <c r="I620" s="191"/>
      <c r="J620" s="191"/>
      <c r="K620" s="191"/>
      <c r="L620" s="191"/>
      <c r="M620" s="191"/>
      <c r="N620" s="191"/>
      <c r="O620" s="191"/>
      <c r="Q620" s="183"/>
    </row>
    <row r="621">
      <c r="B621" s="190" t="str">
        <f>IFERROR(__xludf.DUMMYFUNCTION("""COMPUTED_VALUE"""),"#VALUE!")</f>
        <v>#VALUE!</v>
      </c>
      <c r="C621" s="190"/>
      <c r="D621" s="190" t="e">
        <v>#DIV/0!</v>
      </c>
      <c r="E621" s="190" t="e">
        <v>#DIV/0!</v>
      </c>
      <c r="F621" s="183"/>
      <c r="G621" s="191"/>
      <c r="H621" s="191"/>
      <c r="I621" s="191"/>
      <c r="J621" s="191"/>
      <c r="K621" s="191"/>
      <c r="L621" s="191"/>
      <c r="M621" s="191"/>
      <c r="N621" s="191"/>
      <c r="O621" s="191"/>
      <c r="Q621" s="183"/>
    </row>
    <row r="622">
      <c r="B622" s="190" t="str">
        <f>IFERROR(__xludf.DUMMYFUNCTION("""COMPUTED_VALUE"""),"#VALUE!")</f>
        <v>#VALUE!</v>
      </c>
      <c r="C622" s="190"/>
      <c r="D622" s="190" t="e">
        <v>#DIV/0!</v>
      </c>
      <c r="E622" s="190" t="e">
        <v>#DIV/0!</v>
      </c>
      <c r="F622" s="183"/>
      <c r="G622" s="191"/>
      <c r="H622" s="191"/>
      <c r="I622" s="191"/>
      <c r="J622" s="191"/>
      <c r="K622" s="191"/>
      <c r="L622" s="191"/>
      <c r="M622" s="191"/>
      <c r="N622" s="191"/>
      <c r="O622" s="191"/>
      <c r="Q622" s="183"/>
    </row>
    <row r="623">
      <c r="B623" s="190" t="str">
        <f>IFERROR(__xludf.DUMMYFUNCTION("""COMPUTED_VALUE"""),"#VALUE!")</f>
        <v>#VALUE!</v>
      </c>
      <c r="C623" s="190"/>
      <c r="D623" s="190" t="e">
        <v>#DIV/0!</v>
      </c>
      <c r="E623" s="190" t="e">
        <v>#DIV/0!</v>
      </c>
      <c r="F623" s="183"/>
      <c r="G623" s="191"/>
      <c r="H623" s="191"/>
      <c r="I623" s="191"/>
      <c r="J623" s="191"/>
      <c r="K623" s="191"/>
      <c r="L623" s="191"/>
      <c r="M623" s="191"/>
      <c r="N623" s="191"/>
      <c r="O623" s="191"/>
      <c r="Q623" s="183"/>
    </row>
    <row r="624">
      <c r="B624" s="190" t="str">
        <f>IFERROR(__xludf.DUMMYFUNCTION("""COMPUTED_VALUE"""),"#VALUE!")</f>
        <v>#VALUE!</v>
      </c>
      <c r="C624" s="190"/>
      <c r="D624" s="190" t="e">
        <v>#DIV/0!</v>
      </c>
      <c r="E624" s="190" t="e">
        <v>#DIV/0!</v>
      </c>
      <c r="F624" s="183"/>
      <c r="G624" s="191"/>
      <c r="H624" s="191"/>
      <c r="I624" s="191"/>
      <c r="J624" s="191"/>
      <c r="K624" s="191"/>
      <c r="L624" s="191"/>
      <c r="M624" s="191"/>
      <c r="N624" s="191"/>
      <c r="O624" s="191"/>
      <c r="Q624" s="183"/>
    </row>
    <row r="625">
      <c r="B625" s="190" t="str">
        <f>IFERROR(__xludf.DUMMYFUNCTION("""COMPUTED_VALUE"""),"#VALUE!")</f>
        <v>#VALUE!</v>
      </c>
      <c r="C625" s="190"/>
      <c r="D625" s="190" t="e">
        <v>#DIV/0!</v>
      </c>
      <c r="E625" s="190" t="e">
        <v>#DIV/0!</v>
      </c>
      <c r="F625" s="183"/>
      <c r="G625" s="191"/>
      <c r="H625" s="191"/>
      <c r="I625" s="191"/>
      <c r="J625" s="191"/>
      <c r="K625" s="191"/>
      <c r="L625" s="191"/>
      <c r="M625" s="191"/>
      <c r="N625" s="191"/>
      <c r="O625" s="191"/>
      <c r="Q625" s="183"/>
    </row>
    <row r="626">
      <c r="B626" s="190" t="str">
        <f>IFERROR(__xludf.DUMMYFUNCTION("""COMPUTED_VALUE"""),"#VALUE!")</f>
        <v>#VALUE!</v>
      </c>
      <c r="C626" s="190"/>
      <c r="D626" s="190" t="e">
        <v>#DIV/0!</v>
      </c>
      <c r="E626" s="190" t="e">
        <v>#DIV/0!</v>
      </c>
      <c r="F626" s="183"/>
      <c r="G626" s="191"/>
      <c r="H626" s="191"/>
      <c r="I626" s="191"/>
      <c r="J626" s="191"/>
      <c r="K626" s="191"/>
      <c r="L626" s="191"/>
      <c r="M626" s="191"/>
      <c r="N626" s="191"/>
      <c r="O626" s="191"/>
      <c r="Q626" s="183"/>
    </row>
    <row r="627">
      <c r="B627" s="190" t="str">
        <f>IFERROR(__xludf.DUMMYFUNCTION("""COMPUTED_VALUE"""),"#VALUE!")</f>
        <v>#VALUE!</v>
      </c>
      <c r="C627" s="190"/>
      <c r="D627" s="190" t="e">
        <v>#DIV/0!</v>
      </c>
      <c r="E627" s="190" t="e">
        <v>#DIV/0!</v>
      </c>
      <c r="F627" s="183"/>
      <c r="G627" s="191"/>
      <c r="H627" s="191"/>
      <c r="I627" s="191"/>
      <c r="J627" s="191"/>
      <c r="K627" s="191"/>
      <c r="L627" s="191"/>
      <c r="M627" s="191"/>
      <c r="N627" s="191"/>
      <c r="O627" s="191"/>
      <c r="Q627" s="183"/>
    </row>
    <row r="628">
      <c r="B628" s="190" t="str">
        <f>IFERROR(__xludf.DUMMYFUNCTION("""COMPUTED_VALUE"""),"#VALUE!")</f>
        <v>#VALUE!</v>
      </c>
      <c r="C628" s="190"/>
      <c r="D628" s="190" t="e">
        <v>#DIV/0!</v>
      </c>
      <c r="E628" s="190" t="e">
        <v>#DIV/0!</v>
      </c>
      <c r="F628" s="183"/>
      <c r="G628" s="191"/>
      <c r="H628" s="191"/>
      <c r="I628" s="191"/>
      <c r="J628" s="191"/>
      <c r="K628" s="191"/>
      <c r="L628" s="191"/>
      <c r="M628" s="191"/>
      <c r="N628" s="191"/>
      <c r="O628" s="191"/>
      <c r="Q628" s="183"/>
    </row>
    <row r="629">
      <c r="B629" s="190" t="str">
        <f>IFERROR(__xludf.DUMMYFUNCTION("""COMPUTED_VALUE"""),"#VALUE!")</f>
        <v>#VALUE!</v>
      </c>
      <c r="C629" s="190"/>
      <c r="D629" s="190" t="e">
        <v>#DIV/0!</v>
      </c>
      <c r="E629" s="190" t="e">
        <v>#DIV/0!</v>
      </c>
      <c r="F629" s="183"/>
      <c r="G629" s="191"/>
      <c r="H629" s="191"/>
      <c r="I629" s="191"/>
      <c r="J629" s="191"/>
      <c r="K629" s="191"/>
      <c r="L629" s="191"/>
      <c r="M629" s="191"/>
      <c r="N629" s="191"/>
      <c r="O629" s="191"/>
      <c r="Q629" s="183"/>
    </row>
    <row r="630">
      <c r="B630" s="190" t="str">
        <f>IFERROR(__xludf.DUMMYFUNCTION("""COMPUTED_VALUE"""),"#VALUE!")</f>
        <v>#VALUE!</v>
      </c>
      <c r="C630" s="190"/>
      <c r="D630" s="190" t="e">
        <v>#DIV/0!</v>
      </c>
      <c r="E630" s="190" t="e">
        <v>#DIV/0!</v>
      </c>
      <c r="F630" s="183"/>
      <c r="G630" s="191"/>
      <c r="H630" s="191"/>
      <c r="I630" s="191"/>
      <c r="J630" s="191"/>
      <c r="K630" s="191"/>
      <c r="L630" s="191"/>
      <c r="M630" s="191"/>
      <c r="N630" s="191"/>
      <c r="O630" s="191"/>
      <c r="Q630" s="183"/>
    </row>
    <row r="631">
      <c r="B631" s="190" t="str">
        <f>IFERROR(__xludf.DUMMYFUNCTION("""COMPUTED_VALUE"""),"#VALUE!")</f>
        <v>#VALUE!</v>
      </c>
      <c r="C631" s="190"/>
      <c r="D631" s="190" t="e">
        <v>#DIV/0!</v>
      </c>
      <c r="E631" s="190" t="e">
        <v>#DIV/0!</v>
      </c>
      <c r="F631" s="183"/>
      <c r="G631" s="191"/>
      <c r="H631" s="191"/>
      <c r="I631" s="191"/>
      <c r="J631" s="191"/>
      <c r="K631" s="191"/>
      <c r="L631" s="191"/>
      <c r="M631" s="191"/>
      <c r="N631" s="191"/>
      <c r="O631" s="191"/>
      <c r="Q631" s="183"/>
    </row>
    <row r="632">
      <c r="B632" s="190" t="str">
        <f>IFERROR(__xludf.DUMMYFUNCTION("""COMPUTED_VALUE"""),"#VALUE!")</f>
        <v>#VALUE!</v>
      </c>
      <c r="C632" s="190"/>
      <c r="D632" s="190" t="e">
        <v>#DIV/0!</v>
      </c>
      <c r="E632" s="190" t="e">
        <v>#DIV/0!</v>
      </c>
      <c r="F632" s="183"/>
      <c r="G632" s="191"/>
      <c r="H632" s="191"/>
      <c r="I632" s="191"/>
      <c r="J632" s="191"/>
      <c r="K632" s="191"/>
      <c r="L632" s="191"/>
      <c r="M632" s="191"/>
      <c r="N632" s="191"/>
      <c r="O632" s="191"/>
      <c r="Q632" s="183"/>
    </row>
    <row r="633">
      <c r="B633" s="190" t="str">
        <f>IFERROR(__xludf.DUMMYFUNCTION("""COMPUTED_VALUE"""),"#VALUE!")</f>
        <v>#VALUE!</v>
      </c>
      <c r="C633" s="190"/>
      <c r="D633" s="190" t="e">
        <v>#DIV/0!</v>
      </c>
      <c r="E633" s="190" t="e">
        <v>#DIV/0!</v>
      </c>
      <c r="F633" s="183"/>
      <c r="G633" s="191"/>
      <c r="H633" s="191"/>
      <c r="I633" s="191"/>
      <c r="J633" s="191"/>
      <c r="K633" s="191"/>
      <c r="L633" s="191"/>
      <c r="M633" s="191"/>
      <c r="N633" s="191"/>
      <c r="O633" s="191"/>
      <c r="Q633" s="183"/>
    </row>
    <row r="634">
      <c r="B634" s="190" t="str">
        <f>IFERROR(__xludf.DUMMYFUNCTION("""COMPUTED_VALUE"""),"#VALUE!")</f>
        <v>#VALUE!</v>
      </c>
      <c r="C634" s="190"/>
      <c r="D634" s="190" t="e">
        <v>#DIV/0!</v>
      </c>
      <c r="E634" s="190" t="e">
        <v>#DIV/0!</v>
      </c>
      <c r="F634" s="183"/>
      <c r="G634" s="191"/>
      <c r="H634" s="191"/>
      <c r="I634" s="191"/>
      <c r="J634" s="191"/>
      <c r="K634" s="191"/>
      <c r="L634" s="191"/>
      <c r="M634" s="191"/>
      <c r="N634" s="191"/>
      <c r="O634" s="191"/>
      <c r="Q634" s="183"/>
    </row>
    <row r="635">
      <c r="B635" s="190" t="str">
        <f>IFERROR(__xludf.DUMMYFUNCTION("""COMPUTED_VALUE"""),"#VALUE!")</f>
        <v>#VALUE!</v>
      </c>
      <c r="C635" s="190"/>
      <c r="D635" s="190" t="e">
        <v>#DIV/0!</v>
      </c>
      <c r="E635" s="190" t="e">
        <v>#DIV/0!</v>
      </c>
      <c r="F635" s="183"/>
      <c r="G635" s="191"/>
      <c r="H635" s="191"/>
      <c r="I635" s="191"/>
      <c r="J635" s="191"/>
      <c r="K635" s="191"/>
      <c r="L635" s="191"/>
      <c r="M635" s="191"/>
      <c r="N635" s="191"/>
      <c r="O635" s="191"/>
      <c r="Q635" s="183"/>
    </row>
    <row r="636">
      <c r="B636" s="190" t="str">
        <f>IFERROR(__xludf.DUMMYFUNCTION("""COMPUTED_VALUE"""),"#VALUE!")</f>
        <v>#VALUE!</v>
      </c>
      <c r="C636" s="190"/>
      <c r="D636" s="190" t="e">
        <v>#DIV/0!</v>
      </c>
      <c r="E636" s="190" t="e">
        <v>#DIV/0!</v>
      </c>
      <c r="F636" s="183"/>
      <c r="G636" s="191"/>
      <c r="H636" s="191"/>
      <c r="I636" s="191"/>
      <c r="J636" s="191"/>
      <c r="K636" s="191"/>
      <c r="L636" s="191"/>
      <c r="M636" s="191"/>
      <c r="N636" s="191"/>
      <c r="O636" s="191"/>
      <c r="Q636" s="183"/>
    </row>
    <row r="637">
      <c r="B637" s="190" t="str">
        <f>IFERROR(__xludf.DUMMYFUNCTION("""COMPUTED_VALUE"""),"#VALUE!")</f>
        <v>#VALUE!</v>
      </c>
      <c r="C637" s="190"/>
      <c r="D637" s="190" t="e">
        <v>#DIV/0!</v>
      </c>
      <c r="E637" s="190" t="e">
        <v>#DIV/0!</v>
      </c>
      <c r="F637" s="183"/>
      <c r="G637" s="191"/>
      <c r="H637" s="191"/>
      <c r="I637" s="191"/>
      <c r="J637" s="191"/>
      <c r="K637" s="191"/>
      <c r="L637" s="191"/>
      <c r="M637" s="191"/>
      <c r="N637" s="191"/>
      <c r="O637" s="191"/>
      <c r="Q637" s="183"/>
    </row>
    <row r="638">
      <c r="B638" s="190" t="str">
        <f>IFERROR(__xludf.DUMMYFUNCTION("""COMPUTED_VALUE"""),"#VALUE!")</f>
        <v>#VALUE!</v>
      </c>
      <c r="C638" s="190"/>
      <c r="D638" s="190" t="e">
        <v>#DIV/0!</v>
      </c>
      <c r="E638" s="190" t="e">
        <v>#DIV/0!</v>
      </c>
      <c r="F638" s="183"/>
      <c r="G638" s="191"/>
      <c r="H638" s="191"/>
      <c r="I638" s="191"/>
      <c r="J638" s="191"/>
      <c r="K638" s="191"/>
      <c r="L638" s="191"/>
      <c r="M638" s="191"/>
      <c r="N638" s="191"/>
      <c r="O638" s="191"/>
      <c r="Q638" s="183"/>
    </row>
    <row r="639">
      <c r="B639" s="190" t="str">
        <f>IFERROR(__xludf.DUMMYFUNCTION("""COMPUTED_VALUE"""),"#VALUE!")</f>
        <v>#VALUE!</v>
      </c>
      <c r="C639" s="190"/>
      <c r="D639" s="190" t="e">
        <v>#DIV/0!</v>
      </c>
      <c r="E639" s="190" t="e">
        <v>#DIV/0!</v>
      </c>
      <c r="F639" s="183"/>
      <c r="G639" s="191"/>
      <c r="H639" s="191"/>
      <c r="I639" s="191"/>
      <c r="J639" s="191"/>
      <c r="K639" s="191"/>
      <c r="L639" s="191"/>
      <c r="M639" s="191"/>
      <c r="N639" s="191"/>
      <c r="O639" s="191"/>
      <c r="Q639" s="183"/>
    </row>
    <row r="640">
      <c r="B640" s="190" t="str">
        <f>IFERROR(__xludf.DUMMYFUNCTION("""COMPUTED_VALUE"""),"#VALUE!")</f>
        <v>#VALUE!</v>
      </c>
      <c r="C640" s="190"/>
      <c r="D640" s="190" t="e">
        <v>#DIV/0!</v>
      </c>
      <c r="E640" s="190" t="e">
        <v>#DIV/0!</v>
      </c>
      <c r="F640" s="183"/>
      <c r="G640" s="191"/>
      <c r="H640" s="191"/>
      <c r="I640" s="191"/>
      <c r="J640" s="191"/>
      <c r="K640" s="191"/>
      <c r="L640" s="191"/>
      <c r="M640" s="191"/>
      <c r="N640" s="191"/>
      <c r="O640" s="191"/>
      <c r="Q640" s="183"/>
    </row>
    <row r="641">
      <c r="B641" s="190" t="str">
        <f>IFERROR(__xludf.DUMMYFUNCTION("""COMPUTED_VALUE"""),"#VALUE!")</f>
        <v>#VALUE!</v>
      </c>
      <c r="C641" s="190"/>
      <c r="D641" s="190" t="e">
        <v>#DIV/0!</v>
      </c>
      <c r="E641" s="190" t="e">
        <v>#DIV/0!</v>
      </c>
      <c r="F641" s="183"/>
      <c r="G641" s="191"/>
      <c r="H641" s="191"/>
      <c r="I641" s="191"/>
      <c r="J641" s="191"/>
      <c r="K641" s="191"/>
      <c r="L641" s="191"/>
      <c r="M641" s="191"/>
      <c r="N641" s="191"/>
      <c r="O641" s="191"/>
      <c r="Q641" s="183"/>
    </row>
    <row r="642">
      <c r="B642" s="190" t="str">
        <f>IFERROR(__xludf.DUMMYFUNCTION("""COMPUTED_VALUE"""),"#VALUE!")</f>
        <v>#VALUE!</v>
      </c>
      <c r="C642" s="190"/>
      <c r="D642" s="190" t="e">
        <v>#DIV/0!</v>
      </c>
      <c r="E642" s="190" t="e">
        <v>#DIV/0!</v>
      </c>
      <c r="F642" s="183"/>
      <c r="G642" s="191"/>
      <c r="H642" s="191"/>
      <c r="I642" s="191"/>
      <c r="J642" s="191"/>
      <c r="K642" s="191"/>
      <c r="L642" s="191"/>
      <c r="M642" s="191"/>
      <c r="N642" s="191"/>
      <c r="O642" s="191"/>
      <c r="Q642" s="183"/>
    </row>
    <row r="643">
      <c r="B643" s="190" t="str">
        <f>IFERROR(__xludf.DUMMYFUNCTION("""COMPUTED_VALUE"""),"#VALUE!")</f>
        <v>#VALUE!</v>
      </c>
      <c r="C643" s="190"/>
      <c r="D643" s="190" t="e">
        <v>#DIV/0!</v>
      </c>
      <c r="E643" s="190" t="e">
        <v>#DIV/0!</v>
      </c>
      <c r="F643" s="183"/>
      <c r="G643" s="191"/>
      <c r="H643" s="191"/>
      <c r="I643" s="191"/>
      <c r="J643" s="191"/>
      <c r="K643" s="191"/>
      <c r="L643" s="191"/>
      <c r="M643" s="191"/>
      <c r="N643" s="191"/>
      <c r="O643" s="191"/>
      <c r="Q643" s="183"/>
    </row>
    <row r="644">
      <c r="B644" s="190" t="str">
        <f>IFERROR(__xludf.DUMMYFUNCTION("""COMPUTED_VALUE"""),"#VALUE!")</f>
        <v>#VALUE!</v>
      </c>
      <c r="C644" s="190"/>
      <c r="D644" s="190" t="e">
        <v>#DIV/0!</v>
      </c>
      <c r="E644" s="190" t="e">
        <v>#DIV/0!</v>
      </c>
      <c r="F644" s="183"/>
      <c r="G644" s="191"/>
      <c r="H644" s="191"/>
      <c r="I644" s="191"/>
      <c r="J644" s="191"/>
      <c r="K644" s="191"/>
      <c r="L644" s="191"/>
      <c r="M644" s="191"/>
      <c r="N644" s="191"/>
      <c r="O644" s="191"/>
      <c r="Q644" s="183"/>
    </row>
    <row r="645">
      <c r="B645" s="190" t="str">
        <f>IFERROR(__xludf.DUMMYFUNCTION("""COMPUTED_VALUE"""),"#VALUE!")</f>
        <v>#VALUE!</v>
      </c>
      <c r="C645" s="190"/>
      <c r="D645" s="190" t="e">
        <v>#DIV/0!</v>
      </c>
      <c r="E645" s="190" t="e">
        <v>#DIV/0!</v>
      </c>
      <c r="F645" s="183"/>
      <c r="G645" s="191"/>
      <c r="H645" s="191"/>
      <c r="I645" s="191"/>
      <c r="J645" s="191"/>
      <c r="K645" s="191"/>
      <c r="L645" s="191"/>
      <c r="M645" s="191"/>
      <c r="N645" s="191"/>
      <c r="O645" s="191"/>
      <c r="Q645" s="183"/>
    </row>
    <row r="646">
      <c r="B646" s="190" t="str">
        <f>IFERROR(__xludf.DUMMYFUNCTION("""COMPUTED_VALUE"""),"#VALUE!")</f>
        <v>#VALUE!</v>
      </c>
      <c r="C646" s="190"/>
      <c r="D646" s="190" t="e">
        <v>#DIV/0!</v>
      </c>
      <c r="E646" s="190" t="e">
        <v>#DIV/0!</v>
      </c>
      <c r="F646" s="183"/>
      <c r="G646" s="191"/>
      <c r="H646" s="191"/>
      <c r="I646" s="191"/>
      <c r="J646" s="191"/>
      <c r="K646" s="191"/>
      <c r="L646" s="191"/>
      <c r="M646" s="191"/>
      <c r="N646" s="191"/>
      <c r="O646" s="191"/>
      <c r="Q646" s="183"/>
    </row>
    <row r="647">
      <c r="B647" s="190" t="str">
        <f>IFERROR(__xludf.DUMMYFUNCTION("""COMPUTED_VALUE"""),"#VALUE!")</f>
        <v>#VALUE!</v>
      </c>
      <c r="C647" s="190"/>
      <c r="D647" s="190" t="e">
        <v>#DIV/0!</v>
      </c>
      <c r="E647" s="190" t="e">
        <v>#DIV/0!</v>
      </c>
      <c r="F647" s="183"/>
      <c r="G647" s="191"/>
      <c r="H647" s="191"/>
      <c r="I647" s="191"/>
      <c r="J647" s="191"/>
      <c r="K647" s="191"/>
      <c r="L647" s="191"/>
      <c r="M647" s="191"/>
      <c r="N647" s="191"/>
      <c r="O647" s="191"/>
      <c r="Q647" s="183"/>
    </row>
    <row r="648">
      <c r="B648" s="190" t="str">
        <f>IFERROR(__xludf.DUMMYFUNCTION("""COMPUTED_VALUE"""),"#VALUE!")</f>
        <v>#VALUE!</v>
      </c>
      <c r="C648" s="190"/>
      <c r="D648" s="190" t="e">
        <v>#DIV/0!</v>
      </c>
      <c r="E648" s="190" t="e">
        <v>#DIV/0!</v>
      </c>
      <c r="F648" s="183"/>
      <c r="G648" s="191"/>
      <c r="H648" s="191"/>
      <c r="I648" s="191"/>
      <c r="J648" s="191"/>
      <c r="K648" s="191"/>
      <c r="L648" s="191"/>
      <c r="M648" s="191"/>
      <c r="N648" s="191"/>
      <c r="O648" s="191"/>
      <c r="Q648" s="183"/>
    </row>
    <row r="649">
      <c r="B649" s="190" t="str">
        <f>IFERROR(__xludf.DUMMYFUNCTION("""COMPUTED_VALUE"""),"#VALUE!")</f>
        <v>#VALUE!</v>
      </c>
      <c r="C649" s="190"/>
      <c r="D649" s="190" t="e">
        <v>#DIV/0!</v>
      </c>
      <c r="E649" s="190" t="e">
        <v>#DIV/0!</v>
      </c>
      <c r="F649" s="183"/>
      <c r="G649" s="191"/>
      <c r="H649" s="191"/>
      <c r="I649" s="191"/>
      <c r="J649" s="191"/>
      <c r="K649" s="191"/>
      <c r="L649" s="191"/>
      <c r="M649" s="191"/>
      <c r="N649" s="191"/>
      <c r="O649" s="191"/>
      <c r="Q649" s="183"/>
    </row>
    <row r="650">
      <c r="B650" s="190" t="str">
        <f>IFERROR(__xludf.DUMMYFUNCTION("""COMPUTED_VALUE"""),"#VALUE!")</f>
        <v>#VALUE!</v>
      </c>
      <c r="C650" s="190"/>
      <c r="D650" s="190" t="e">
        <v>#DIV/0!</v>
      </c>
      <c r="E650" s="190" t="e">
        <v>#DIV/0!</v>
      </c>
      <c r="F650" s="183"/>
      <c r="G650" s="191"/>
      <c r="H650" s="191"/>
      <c r="I650" s="191"/>
      <c r="J650" s="191"/>
      <c r="K650" s="191"/>
      <c r="L650" s="191"/>
      <c r="M650" s="191"/>
      <c r="N650" s="191"/>
      <c r="O650" s="191"/>
      <c r="Q650" s="183"/>
    </row>
    <row r="651">
      <c r="B651" s="190" t="str">
        <f>IFERROR(__xludf.DUMMYFUNCTION("""COMPUTED_VALUE"""),"#VALUE!")</f>
        <v>#VALUE!</v>
      </c>
      <c r="C651" s="190"/>
      <c r="D651" s="190" t="e">
        <v>#DIV/0!</v>
      </c>
      <c r="E651" s="190" t="e">
        <v>#DIV/0!</v>
      </c>
      <c r="F651" s="183"/>
      <c r="G651" s="191"/>
      <c r="H651" s="191"/>
      <c r="I651" s="191"/>
      <c r="J651" s="191"/>
      <c r="K651" s="191"/>
      <c r="L651" s="191"/>
      <c r="M651" s="191"/>
      <c r="N651" s="191"/>
      <c r="O651" s="191"/>
      <c r="Q651" s="183"/>
    </row>
    <row r="652">
      <c r="B652" s="190" t="str">
        <f>IFERROR(__xludf.DUMMYFUNCTION("""COMPUTED_VALUE"""),"#VALUE!")</f>
        <v>#VALUE!</v>
      </c>
      <c r="C652" s="190"/>
      <c r="D652" s="190" t="e">
        <v>#DIV/0!</v>
      </c>
      <c r="E652" s="190" t="e">
        <v>#DIV/0!</v>
      </c>
      <c r="F652" s="183"/>
      <c r="G652" s="191"/>
      <c r="H652" s="191"/>
      <c r="I652" s="191"/>
      <c r="J652" s="191"/>
      <c r="K652" s="191"/>
      <c r="L652" s="191"/>
      <c r="M652" s="191"/>
      <c r="N652" s="191"/>
      <c r="O652" s="191"/>
      <c r="Q652" s="183"/>
    </row>
    <row r="653">
      <c r="B653" s="190" t="str">
        <f>IFERROR(__xludf.DUMMYFUNCTION("""COMPUTED_VALUE"""),"#VALUE!")</f>
        <v>#VALUE!</v>
      </c>
      <c r="C653" s="190"/>
      <c r="D653" s="190" t="e">
        <v>#DIV/0!</v>
      </c>
      <c r="E653" s="190" t="e">
        <v>#DIV/0!</v>
      </c>
      <c r="F653" s="183"/>
      <c r="G653" s="191"/>
      <c r="H653" s="191"/>
      <c r="I653" s="191"/>
      <c r="J653" s="191"/>
      <c r="K653" s="191"/>
      <c r="L653" s="191"/>
      <c r="M653" s="191"/>
      <c r="N653" s="191"/>
      <c r="O653" s="191"/>
      <c r="Q653" s="183"/>
    </row>
    <row r="654">
      <c r="B654" s="190" t="str">
        <f>IFERROR(__xludf.DUMMYFUNCTION("""COMPUTED_VALUE"""),"#VALUE!")</f>
        <v>#VALUE!</v>
      </c>
      <c r="C654" s="190"/>
      <c r="D654" s="190" t="e">
        <v>#DIV/0!</v>
      </c>
      <c r="E654" s="190" t="e">
        <v>#DIV/0!</v>
      </c>
      <c r="F654" s="183"/>
      <c r="G654" s="191"/>
      <c r="H654" s="191"/>
      <c r="I654" s="191"/>
      <c r="J654" s="191"/>
      <c r="K654" s="191"/>
      <c r="L654" s="191"/>
      <c r="M654" s="191"/>
      <c r="N654" s="191"/>
      <c r="O654" s="191"/>
      <c r="Q654" s="183"/>
    </row>
    <row r="655">
      <c r="B655" s="190" t="str">
        <f>IFERROR(__xludf.DUMMYFUNCTION("""COMPUTED_VALUE"""),"#VALUE!")</f>
        <v>#VALUE!</v>
      </c>
      <c r="C655" s="190"/>
      <c r="D655" s="190" t="e">
        <v>#DIV/0!</v>
      </c>
      <c r="E655" s="190" t="e">
        <v>#DIV/0!</v>
      </c>
      <c r="F655" s="183"/>
      <c r="G655" s="191"/>
      <c r="H655" s="191"/>
      <c r="I655" s="191"/>
      <c r="J655" s="191"/>
      <c r="K655" s="191"/>
      <c r="L655" s="191"/>
      <c r="M655" s="191"/>
      <c r="N655" s="191"/>
      <c r="O655" s="191"/>
      <c r="Q655" s="183"/>
    </row>
    <row r="656">
      <c r="B656" s="190" t="str">
        <f>IFERROR(__xludf.DUMMYFUNCTION("""COMPUTED_VALUE"""),"#VALUE!")</f>
        <v>#VALUE!</v>
      </c>
      <c r="C656" s="190"/>
      <c r="D656" s="190" t="e">
        <v>#DIV/0!</v>
      </c>
      <c r="E656" s="190" t="e">
        <v>#DIV/0!</v>
      </c>
      <c r="F656" s="183"/>
      <c r="G656" s="191"/>
      <c r="H656" s="191"/>
      <c r="I656" s="191"/>
      <c r="J656" s="191"/>
      <c r="K656" s="191"/>
      <c r="L656" s="191"/>
      <c r="M656" s="191"/>
      <c r="N656" s="191"/>
      <c r="O656" s="191"/>
      <c r="Q656" s="183"/>
    </row>
    <row r="657">
      <c r="B657" s="190" t="str">
        <f>IFERROR(__xludf.DUMMYFUNCTION("""COMPUTED_VALUE"""),"#VALUE!")</f>
        <v>#VALUE!</v>
      </c>
      <c r="C657" s="190"/>
      <c r="D657" s="190" t="e">
        <v>#DIV/0!</v>
      </c>
      <c r="E657" s="190" t="e">
        <v>#DIV/0!</v>
      </c>
      <c r="F657" s="183"/>
      <c r="G657" s="191"/>
      <c r="H657" s="191"/>
      <c r="I657" s="191"/>
      <c r="J657" s="191"/>
      <c r="K657" s="191"/>
      <c r="L657" s="191"/>
      <c r="M657" s="191"/>
      <c r="N657" s="191"/>
      <c r="O657" s="191"/>
      <c r="Q657" s="183"/>
    </row>
    <row r="658">
      <c r="B658" s="190" t="str">
        <f>IFERROR(__xludf.DUMMYFUNCTION("""COMPUTED_VALUE"""),"#VALUE!")</f>
        <v>#VALUE!</v>
      </c>
      <c r="C658" s="190"/>
      <c r="D658" s="190" t="e">
        <v>#DIV/0!</v>
      </c>
      <c r="E658" s="190" t="e">
        <v>#DIV/0!</v>
      </c>
      <c r="F658" s="183"/>
      <c r="G658" s="191"/>
      <c r="H658" s="191"/>
      <c r="I658" s="191"/>
      <c r="J658" s="191"/>
      <c r="K658" s="191"/>
      <c r="L658" s="191"/>
      <c r="M658" s="191"/>
      <c r="N658" s="191"/>
      <c r="O658" s="191"/>
      <c r="Q658" s="183"/>
    </row>
    <row r="659">
      <c r="B659" s="190" t="str">
        <f>IFERROR(__xludf.DUMMYFUNCTION("""COMPUTED_VALUE"""),"#VALUE!")</f>
        <v>#VALUE!</v>
      </c>
      <c r="C659" s="190"/>
      <c r="D659" s="190" t="e">
        <v>#DIV/0!</v>
      </c>
      <c r="E659" s="190" t="e">
        <v>#DIV/0!</v>
      </c>
      <c r="F659" s="183"/>
      <c r="G659" s="191"/>
      <c r="H659" s="191"/>
      <c r="I659" s="191"/>
      <c r="J659" s="191"/>
      <c r="K659" s="191"/>
      <c r="L659" s="191"/>
      <c r="M659" s="191"/>
      <c r="N659" s="191"/>
      <c r="O659" s="191"/>
      <c r="Q659" s="183"/>
    </row>
    <row r="660">
      <c r="B660" s="190" t="str">
        <f>IFERROR(__xludf.DUMMYFUNCTION("""COMPUTED_VALUE"""),"#VALUE!")</f>
        <v>#VALUE!</v>
      </c>
      <c r="C660" s="190"/>
      <c r="D660" s="190" t="e">
        <v>#DIV/0!</v>
      </c>
      <c r="E660" s="190" t="e">
        <v>#DIV/0!</v>
      </c>
      <c r="F660" s="183"/>
      <c r="G660" s="191"/>
      <c r="H660" s="191"/>
      <c r="I660" s="191"/>
      <c r="J660" s="191"/>
      <c r="K660" s="191"/>
      <c r="L660" s="191"/>
      <c r="M660" s="191"/>
      <c r="N660" s="191"/>
      <c r="O660" s="191"/>
      <c r="Q660" s="183"/>
    </row>
    <row r="661">
      <c r="B661" s="190" t="str">
        <f>IFERROR(__xludf.DUMMYFUNCTION("""COMPUTED_VALUE"""),"#VALUE!")</f>
        <v>#VALUE!</v>
      </c>
      <c r="C661" s="190"/>
      <c r="D661" s="190" t="e">
        <v>#DIV/0!</v>
      </c>
      <c r="E661" s="190" t="e">
        <v>#DIV/0!</v>
      </c>
      <c r="F661" s="183"/>
      <c r="G661" s="191"/>
      <c r="H661" s="191"/>
      <c r="I661" s="191"/>
      <c r="J661" s="191"/>
      <c r="K661" s="191"/>
      <c r="L661" s="191"/>
      <c r="M661" s="191"/>
      <c r="N661" s="191"/>
      <c r="O661" s="191"/>
      <c r="Q661" s="183"/>
    </row>
    <row r="662">
      <c r="B662" s="190" t="str">
        <f>IFERROR(__xludf.DUMMYFUNCTION("""COMPUTED_VALUE"""),"#VALUE!")</f>
        <v>#VALUE!</v>
      </c>
      <c r="C662" s="190"/>
      <c r="D662" s="190" t="e">
        <v>#DIV/0!</v>
      </c>
      <c r="E662" s="190" t="e">
        <v>#DIV/0!</v>
      </c>
      <c r="F662" s="183"/>
      <c r="G662" s="191"/>
      <c r="H662" s="191"/>
      <c r="I662" s="191"/>
      <c r="J662" s="191"/>
      <c r="K662" s="191"/>
      <c r="L662" s="191"/>
      <c r="M662" s="191"/>
      <c r="N662" s="191"/>
      <c r="O662" s="191"/>
      <c r="Q662" s="183"/>
    </row>
    <row r="663">
      <c r="B663" s="190" t="str">
        <f>IFERROR(__xludf.DUMMYFUNCTION("""COMPUTED_VALUE"""),"#VALUE!")</f>
        <v>#VALUE!</v>
      </c>
      <c r="C663" s="190"/>
      <c r="D663" s="190" t="e">
        <v>#DIV/0!</v>
      </c>
      <c r="E663" s="190" t="e">
        <v>#DIV/0!</v>
      </c>
      <c r="F663" s="183"/>
      <c r="G663" s="191"/>
      <c r="H663" s="191"/>
      <c r="I663" s="191"/>
      <c r="J663" s="191"/>
      <c r="K663" s="191"/>
      <c r="L663" s="191"/>
      <c r="M663" s="191"/>
      <c r="N663" s="191"/>
      <c r="O663" s="191"/>
      <c r="Q663" s="183"/>
    </row>
    <row r="664">
      <c r="B664" s="190" t="str">
        <f>IFERROR(__xludf.DUMMYFUNCTION("""COMPUTED_VALUE"""),"#VALUE!")</f>
        <v>#VALUE!</v>
      </c>
      <c r="C664" s="190"/>
      <c r="D664" s="190" t="e">
        <v>#DIV/0!</v>
      </c>
      <c r="E664" s="190" t="e">
        <v>#DIV/0!</v>
      </c>
      <c r="F664" s="183"/>
      <c r="G664" s="191"/>
      <c r="H664" s="191"/>
      <c r="I664" s="191"/>
      <c r="J664" s="191"/>
      <c r="K664" s="191"/>
      <c r="L664" s="191"/>
      <c r="M664" s="191"/>
      <c r="N664" s="191"/>
      <c r="O664" s="191"/>
      <c r="Q664" s="183"/>
    </row>
    <row r="665">
      <c r="B665" s="190" t="str">
        <f>IFERROR(__xludf.DUMMYFUNCTION("""COMPUTED_VALUE"""),"#VALUE!")</f>
        <v>#VALUE!</v>
      </c>
      <c r="C665" s="190"/>
      <c r="D665" s="190" t="e">
        <v>#DIV/0!</v>
      </c>
      <c r="E665" s="190" t="e">
        <v>#DIV/0!</v>
      </c>
      <c r="F665" s="183"/>
      <c r="G665" s="191"/>
      <c r="H665" s="191"/>
      <c r="I665" s="191"/>
      <c r="J665" s="191"/>
      <c r="K665" s="191"/>
      <c r="L665" s="191"/>
      <c r="M665" s="191"/>
      <c r="N665" s="191"/>
      <c r="O665" s="191"/>
      <c r="Q665" s="183"/>
    </row>
    <row r="666">
      <c r="B666" s="190" t="str">
        <f>IFERROR(__xludf.DUMMYFUNCTION("""COMPUTED_VALUE"""),"#VALUE!")</f>
        <v>#VALUE!</v>
      </c>
      <c r="C666" s="190"/>
      <c r="D666" s="190" t="e">
        <v>#DIV/0!</v>
      </c>
      <c r="E666" s="190" t="e">
        <v>#DIV/0!</v>
      </c>
      <c r="F666" s="183"/>
      <c r="G666" s="191"/>
      <c r="H666" s="191"/>
      <c r="I666" s="191"/>
      <c r="J666" s="191"/>
      <c r="K666" s="191"/>
      <c r="L666" s="191"/>
      <c r="M666" s="191"/>
      <c r="N666" s="191"/>
      <c r="O666" s="191"/>
      <c r="Q666" s="183"/>
    </row>
    <row r="667">
      <c r="B667" s="190" t="str">
        <f>IFERROR(__xludf.DUMMYFUNCTION("""COMPUTED_VALUE"""),"#VALUE!")</f>
        <v>#VALUE!</v>
      </c>
      <c r="C667" s="190"/>
      <c r="D667" s="190" t="e">
        <v>#DIV/0!</v>
      </c>
      <c r="E667" s="190" t="e">
        <v>#DIV/0!</v>
      </c>
      <c r="F667" s="183"/>
      <c r="G667" s="191"/>
      <c r="H667" s="191"/>
      <c r="I667" s="191"/>
      <c r="J667" s="191"/>
      <c r="K667" s="191"/>
      <c r="L667" s="191"/>
      <c r="M667" s="191"/>
      <c r="N667" s="191"/>
      <c r="O667" s="191"/>
      <c r="Q667" s="183"/>
    </row>
    <row r="668">
      <c r="B668" s="190" t="str">
        <f>IFERROR(__xludf.DUMMYFUNCTION("""COMPUTED_VALUE"""),"#VALUE!")</f>
        <v>#VALUE!</v>
      </c>
      <c r="C668" s="190"/>
      <c r="D668" s="190" t="e">
        <v>#DIV/0!</v>
      </c>
      <c r="E668" s="190" t="e">
        <v>#DIV/0!</v>
      </c>
      <c r="F668" s="183"/>
      <c r="G668" s="191"/>
      <c r="H668" s="191"/>
      <c r="I668" s="191"/>
      <c r="J668" s="191"/>
      <c r="K668" s="191"/>
      <c r="L668" s="191"/>
      <c r="M668" s="191"/>
      <c r="N668" s="191"/>
      <c r="O668" s="191"/>
      <c r="Q668" s="183"/>
    </row>
    <row r="669">
      <c r="B669" s="190" t="str">
        <f>IFERROR(__xludf.DUMMYFUNCTION("""COMPUTED_VALUE"""),"#VALUE!")</f>
        <v>#VALUE!</v>
      </c>
      <c r="C669" s="190"/>
      <c r="D669" s="190" t="e">
        <v>#DIV/0!</v>
      </c>
      <c r="E669" s="190" t="e">
        <v>#DIV/0!</v>
      </c>
      <c r="F669" s="183"/>
      <c r="G669" s="191"/>
      <c r="H669" s="191"/>
      <c r="I669" s="191"/>
      <c r="J669" s="191"/>
      <c r="K669" s="191"/>
      <c r="L669" s="191"/>
      <c r="M669" s="191"/>
      <c r="N669" s="191"/>
      <c r="O669" s="191"/>
      <c r="Q669" s="183"/>
    </row>
    <row r="670">
      <c r="B670" s="190" t="str">
        <f>IFERROR(__xludf.DUMMYFUNCTION("""COMPUTED_VALUE"""),"#VALUE!")</f>
        <v>#VALUE!</v>
      </c>
      <c r="C670" s="190"/>
      <c r="D670" s="190" t="e">
        <v>#DIV/0!</v>
      </c>
      <c r="E670" s="190" t="e">
        <v>#DIV/0!</v>
      </c>
      <c r="F670" s="183"/>
      <c r="G670" s="191"/>
      <c r="H670" s="191"/>
      <c r="I670" s="191"/>
      <c r="J670" s="191"/>
      <c r="K670" s="191"/>
      <c r="L670" s="191"/>
      <c r="M670" s="191"/>
      <c r="N670" s="191"/>
      <c r="O670" s="191"/>
      <c r="Q670" s="183"/>
    </row>
    <row r="671">
      <c r="B671" s="190" t="str">
        <f>IFERROR(__xludf.DUMMYFUNCTION("""COMPUTED_VALUE"""),"#VALUE!")</f>
        <v>#VALUE!</v>
      </c>
      <c r="C671" s="190"/>
      <c r="D671" s="190" t="e">
        <v>#DIV/0!</v>
      </c>
      <c r="E671" s="190" t="e">
        <v>#DIV/0!</v>
      </c>
      <c r="F671" s="183"/>
      <c r="G671" s="191"/>
      <c r="H671" s="191"/>
      <c r="I671" s="191"/>
      <c r="J671" s="191"/>
      <c r="K671" s="191"/>
      <c r="L671" s="191"/>
      <c r="M671" s="191"/>
      <c r="N671" s="191"/>
      <c r="O671" s="191"/>
      <c r="Q671" s="183"/>
    </row>
    <row r="672">
      <c r="B672" s="190" t="str">
        <f>IFERROR(__xludf.DUMMYFUNCTION("""COMPUTED_VALUE"""),"#VALUE!")</f>
        <v>#VALUE!</v>
      </c>
      <c r="C672" s="190"/>
      <c r="D672" s="190" t="e">
        <v>#DIV/0!</v>
      </c>
      <c r="E672" s="190" t="e">
        <v>#DIV/0!</v>
      </c>
      <c r="F672" s="183"/>
      <c r="G672" s="191"/>
      <c r="H672" s="191"/>
      <c r="I672" s="191"/>
      <c r="J672" s="191"/>
      <c r="K672" s="191"/>
      <c r="L672" s="191"/>
      <c r="M672" s="191"/>
      <c r="N672" s="191"/>
      <c r="O672" s="191"/>
      <c r="Q672" s="183"/>
    </row>
    <row r="673">
      <c r="B673" s="190" t="str">
        <f>IFERROR(__xludf.DUMMYFUNCTION("""COMPUTED_VALUE"""),"#VALUE!")</f>
        <v>#VALUE!</v>
      </c>
      <c r="C673" s="190"/>
      <c r="D673" s="190" t="e">
        <v>#DIV/0!</v>
      </c>
      <c r="E673" s="190" t="e">
        <v>#DIV/0!</v>
      </c>
      <c r="F673" s="183"/>
      <c r="G673" s="191"/>
      <c r="H673" s="191"/>
      <c r="I673" s="191"/>
      <c r="J673" s="191"/>
      <c r="K673" s="191"/>
      <c r="L673" s="191"/>
      <c r="M673" s="191"/>
      <c r="N673" s="191"/>
      <c r="O673" s="191"/>
      <c r="Q673" s="183"/>
    </row>
    <row r="674">
      <c r="B674" s="190" t="str">
        <f>IFERROR(__xludf.DUMMYFUNCTION("""COMPUTED_VALUE"""),"#VALUE!")</f>
        <v>#VALUE!</v>
      </c>
      <c r="C674" s="190"/>
      <c r="D674" s="190" t="e">
        <v>#DIV/0!</v>
      </c>
      <c r="E674" s="190" t="e">
        <v>#DIV/0!</v>
      </c>
      <c r="F674" s="183"/>
      <c r="G674" s="191"/>
      <c r="H674" s="191"/>
      <c r="I674" s="191"/>
      <c r="J674" s="191"/>
      <c r="K674" s="191"/>
      <c r="L674" s="191"/>
      <c r="M674" s="191"/>
      <c r="N674" s="191"/>
      <c r="O674" s="191"/>
      <c r="Q674" s="183"/>
    </row>
    <row r="675">
      <c r="B675" s="190" t="str">
        <f>IFERROR(__xludf.DUMMYFUNCTION("""COMPUTED_VALUE"""),"#VALUE!")</f>
        <v>#VALUE!</v>
      </c>
      <c r="C675" s="190"/>
      <c r="D675" s="190" t="e">
        <v>#DIV/0!</v>
      </c>
      <c r="E675" s="190" t="e">
        <v>#DIV/0!</v>
      </c>
      <c r="F675" s="183"/>
      <c r="G675" s="191"/>
      <c r="H675" s="191"/>
      <c r="I675" s="191"/>
      <c r="J675" s="191"/>
      <c r="K675" s="191"/>
      <c r="L675" s="191"/>
      <c r="M675" s="191"/>
      <c r="N675" s="191"/>
      <c r="O675" s="191"/>
      <c r="Q675" s="183"/>
    </row>
    <row r="676">
      <c r="B676" s="190" t="str">
        <f>IFERROR(__xludf.DUMMYFUNCTION("""COMPUTED_VALUE"""),"#VALUE!")</f>
        <v>#VALUE!</v>
      </c>
      <c r="C676" s="190"/>
      <c r="D676" s="190" t="e">
        <v>#DIV/0!</v>
      </c>
      <c r="E676" s="190" t="e">
        <v>#DIV/0!</v>
      </c>
      <c r="F676" s="183"/>
      <c r="G676" s="191"/>
      <c r="H676" s="191"/>
      <c r="I676" s="191"/>
      <c r="J676" s="191"/>
      <c r="K676" s="191"/>
      <c r="L676" s="191"/>
      <c r="M676" s="191"/>
      <c r="N676" s="191"/>
      <c r="O676" s="191"/>
      <c r="Q676" s="183"/>
    </row>
    <row r="677">
      <c r="B677" s="190" t="str">
        <f>IFERROR(__xludf.DUMMYFUNCTION("""COMPUTED_VALUE"""),"#VALUE!")</f>
        <v>#VALUE!</v>
      </c>
      <c r="C677" s="190"/>
      <c r="D677" s="190" t="e">
        <v>#DIV/0!</v>
      </c>
      <c r="E677" s="190" t="e">
        <v>#DIV/0!</v>
      </c>
      <c r="F677" s="183"/>
      <c r="G677" s="191"/>
      <c r="H677" s="191"/>
      <c r="I677" s="191"/>
      <c r="J677" s="191"/>
      <c r="K677" s="191"/>
      <c r="L677" s="191"/>
      <c r="M677" s="191"/>
      <c r="N677" s="191"/>
      <c r="O677" s="191"/>
      <c r="Q677" s="183"/>
    </row>
    <row r="678">
      <c r="B678" s="190" t="str">
        <f>IFERROR(__xludf.DUMMYFUNCTION("""COMPUTED_VALUE"""),"#VALUE!")</f>
        <v>#VALUE!</v>
      </c>
      <c r="C678" s="190"/>
      <c r="D678" s="190" t="e">
        <v>#DIV/0!</v>
      </c>
      <c r="E678" s="190" t="e">
        <v>#DIV/0!</v>
      </c>
      <c r="F678" s="183"/>
      <c r="G678" s="191"/>
      <c r="H678" s="191"/>
      <c r="I678" s="191"/>
      <c r="J678" s="191"/>
      <c r="K678" s="191"/>
      <c r="L678" s="191"/>
      <c r="M678" s="191"/>
      <c r="N678" s="191"/>
      <c r="O678" s="191"/>
      <c r="Q678" s="183"/>
    </row>
    <row r="679">
      <c r="B679" s="190" t="str">
        <f>IFERROR(__xludf.DUMMYFUNCTION("""COMPUTED_VALUE"""),"#VALUE!")</f>
        <v>#VALUE!</v>
      </c>
      <c r="C679" s="190"/>
      <c r="D679" s="190" t="e">
        <v>#DIV/0!</v>
      </c>
      <c r="E679" s="190" t="e">
        <v>#DIV/0!</v>
      </c>
      <c r="F679" s="183"/>
      <c r="G679" s="191"/>
      <c r="H679" s="191"/>
      <c r="I679" s="191"/>
      <c r="J679" s="191"/>
      <c r="K679" s="191"/>
      <c r="L679" s="191"/>
      <c r="M679" s="191"/>
      <c r="N679" s="191"/>
      <c r="O679" s="191"/>
      <c r="Q679" s="183"/>
    </row>
    <row r="680">
      <c r="B680" s="190" t="str">
        <f>IFERROR(__xludf.DUMMYFUNCTION("""COMPUTED_VALUE"""),"#VALUE!")</f>
        <v>#VALUE!</v>
      </c>
      <c r="C680" s="190"/>
      <c r="D680" s="190" t="e">
        <v>#DIV/0!</v>
      </c>
      <c r="E680" s="190" t="e">
        <v>#DIV/0!</v>
      </c>
      <c r="F680" s="183"/>
      <c r="G680" s="191"/>
      <c r="H680" s="191"/>
      <c r="I680" s="191"/>
      <c r="J680" s="191"/>
      <c r="K680" s="191"/>
      <c r="L680" s="191"/>
      <c r="M680" s="191"/>
      <c r="N680" s="191"/>
      <c r="O680" s="191"/>
      <c r="Q680" s="183"/>
    </row>
    <row r="681">
      <c r="B681" s="190" t="str">
        <f>IFERROR(__xludf.DUMMYFUNCTION("""COMPUTED_VALUE"""),"#VALUE!")</f>
        <v>#VALUE!</v>
      </c>
      <c r="C681" s="190"/>
      <c r="D681" s="190" t="e">
        <v>#DIV/0!</v>
      </c>
      <c r="E681" s="190" t="e">
        <v>#DIV/0!</v>
      </c>
      <c r="F681" s="183"/>
      <c r="G681" s="191"/>
      <c r="H681" s="191"/>
      <c r="I681" s="191"/>
      <c r="J681" s="191"/>
      <c r="K681" s="191"/>
      <c r="L681" s="191"/>
      <c r="M681" s="191"/>
      <c r="N681" s="191"/>
      <c r="O681" s="191"/>
      <c r="Q681" s="183"/>
    </row>
    <row r="682">
      <c r="B682" s="190" t="str">
        <f>IFERROR(__xludf.DUMMYFUNCTION("""COMPUTED_VALUE"""),"#VALUE!")</f>
        <v>#VALUE!</v>
      </c>
      <c r="C682" s="190"/>
      <c r="D682" s="190" t="e">
        <v>#DIV/0!</v>
      </c>
      <c r="E682" s="190" t="e">
        <v>#DIV/0!</v>
      </c>
      <c r="F682" s="183"/>
      <c r="G682" s="191"/>
      <c r="H682" s="191"/>
      <c r="I682" s="191"/>
      <c r="J682" s="191"/>
      <c r="K682" s="191"/>
      <c r="L682" s="191"/>
      <c r="M682" s="191"/>
      <c r="N682" s="191"/>
      <c r="O682" s="191"/>
      <c r="Q682" s="183"/>
    </row>
    <row r="683">
      <c r="B683" s="190" t="str">
        <f>IFERROR(__xludf.DUMMYFUNCTION("""COMPUTED_VALUE"""),"#VALUE!")</f>
        <v>#VALUE!</v>
      </c>
      <c r="C683" s="190"/>
      <c r="D683" s="190" t="e">
        <v>#DIV/0!</v>
      </c>
      <c r="E683" s="190" t="e">
        <v>#DIV/0!</v>
      </c>
      <c r="F683" s="183"/>
      <c r="G683" s="191"/>
      <c r="H683" s="191"/>
      <c r="I683" s="191"/>
      <c r="J683" s="191"/>
      <c r="K683" s="191"/>
      <c r="L683" s="191"/>
      <c r="M683" s="191"/>
      <c r="N683" s="191"/>
      <c r="O683" s="191"/>
      <c r="Q683" s="183"/>
    </row>
    <row r="684">
      <c r="B684" s="190" t="str">
        <f>IFERROR(__xludf.DUMMYFUNCTION("""COMPUTED_VALUE"""),"#VALUE!")</f>
        <v>#VALUE!</v>
      </c>
      <c r="C684" s="190"/>
      <c r="D684" s="190" t="e">
        <v>#DIV/0!</v>
      </c>
      <c r="E684" s="190" t="e">
        <v>#DIV/0!</v>
      </c>
      <c r="F684" s="183"/>
      <c r="G684" s="191"/>
      <c r="H684" s="191"/>
      <c r="I684" s="191"/>
      <c r="J684" s="191"/>
      <c r="K684" s="191"/>
      <c r="L684" s="191"/>
      <c r="M684" s="191"/>
      <c r="N684" s="191"/>
      <c r="O684" s="191"/>
      <c r="Q684" s="183"/>
    </row>
    <row r="685">
      <c r="B685" s="190" t="str">
        <f>IFERROR(__xludf.DUMMYFUNCTION("""COMPUTED_VALUE"""),"#VALUE!")</f>
        <v>#VALUE!</v>
      </c>
      <c r="C685" s="190"/>
      <c r="D685" s="190" t="e">
        <v>#DIV/0!</v>
      </c>
      <c r="E685" s="190" t="e">
        <v>#DIV/0!</v>
      </c>
      <c r="F685" s="183"/>
      <c r="G685" s="191"/>
      <c r="H685" s="191"/>
      <c r="I685" s="191"/>
      <c r="J685" s="191"/>
      <c r="K685" s="191"/>
      <c r="L685" s="191"/>
      <c r="M685" s="191"/>
      <c r="N685" s="191"/>
      <c r="O685" s="191"/>
      <c r="Q685" s="183"/>
    </row>
    <row r="686">
      <c r="B686" s="190" t="str">
        <f>IFERROR(__xludf.DUMMYFUNCTION("""COMPUTED_VALUE"""),"#VALUE!")</f>
        <v>#VALUE!</v>
      </c>
      <c r="C686" s="190"/>
      <c r="D686" s="190" t="e">
        <v>#DIV/0!</v>
      </c>
      <c r="E686" s="190" t="e">
        <v>#DIV/0!</v>
      </c>
      <c r="F686" s="183"/>
      <c r="G686" s="191"/>
      <c r="H686" s="191"/>
      <c r="I686" s="191"/>
      <c r="J686" s="191"/>
      <c r="K686" s="191"/>
      <c r="L686" s="191"/>
      <c r="M686" s="191"/>
      <c r="N686" s="191"/>
      <c r="O686" s="191"/>
      <c r="Q686" s="183"/>
    </row>
    <row r="687">
      <c r="B687" s="190" t="str">
        <f>IFERROR(__xludf.DUMMYFUNCTION("""COMPUTED_VALUE"""),"#VALUE!")</f>
        <v>#VALUE!</v>
      </c>
      <c r="C687" s="190"/>
      <c r="D687" s="190" t="e">
        <v>#DIV/0!</v>
      </c>
      <c r="E687" s="190" t="e">
        <v>#DIV/0!</v>
      </c>
      <c r="F687" s="183"/>
      <c r="G687" s="191"/>
      <c r="H687" s="191"/>
      <c r="I687" s="191"/>
      <c r="J687" s="191"/>
      <c r="K687" s="191"/>
      <c r="L687" s="191"/>
      <c r="M687" s="191"/>
      <c r="N687" s="191"/>
      <c r="O687" s="191"/>
      <c r="Q687" s="183"/>
    </row>
    <row r="688">
      <c r="B688" s="190" t="str">
        <f>IFERROR(__xludf.DUMMYFUNCTION("""COMPUTED_VALUE"""),"#VALUE!")</f>
        <v>#VALUE!</v>
      </c>
      <c r="C688" s="190"/>
      <c r="D688" s="190" t="e">
        <v>#DIV/0!</v>
      </c>
      <c r="E688" s="190" t="e">
        <v>#DIV/0!</v>
      </c>
      <c r="F688" s="183"/>
      <c r="G688" s="191"/>
      <c r="H688" s="191"/>
      <c r="I688" s="191"/>
      <c r="J688" s="191"/>
      <c r="K688" s="191"/>
      <c r="L688" s="191"/>
      <c r="M688" s="191"/>
      <c r="N688" s="191"/>
      <c r="O688" s="191"/>
      <c r="Q688" s="183"/>
    </row>
    <row r="689">
      <c r="B689" s="190" t="str">
        <f>IFERROR(__xludf.DUMMYFUNCTION("""COMPUTED_VALUE"""),"#VALUE!")</f>
        <v>#VALUE!</v>
      </c>
      <c r="C689" s="190"/>
      <c r="D689" s="190" t="e">
        <v>#DIV/0!</v>
      </c>
      <c r="E689" s="190" t="e">
        <v>#DIV/0!</v>
      </c>
      <c r="F689" s="183"/>
      <c r="G689" s="191"/>
      <c r="H689" s="191"/>
      <c r="I689" s="191"/>
      <c r="J689" s="191"/>
      <c r="K689" s="191"/>
      <c r="L689" s="191"/>
      <c r="M689" s="191"/>
      <c r="N689" s="191"/>
      <c r="O689" s="191"/>
      <c r="Q689" s="183"/>
    </row>
    <row r="690">
      <c r="B690" s="190" t="str">
        <f>IFERROR(__xludf.DUMMYFUNCTION("""COMPUTED_VALUE"""),"#VALUE!")</f>
        <v>#VALUE!</v>
      </c>
      <c r="C690" s="190"/>
      <c r="D690" s="190" t="e">
        <v>#DIV/0!</v>
      </c>
      <c r="E690" s="190" t="e">
        <v>#DIV/0!</v>
      </c>
      <c r="F690" s="183"/>
      <c r="G690" s="191"/>
      <c r="H690" s="191"/>
      <c r="I690" s="191"/>
      <c r="J690" s="191"/>
      <c r="K690" s="191"/>
      <c r="L690" s="191"/>
      <c r="M690" s="191"/>
      <c r="N690" s="191"/>
      <c r="O690" s="191"/>
      <c r="Q690" s="183"/>
    </row>
    <row r="691">
      <c r="B691" s="190" t="str">
        <f>IFERROR(__xludf.DUMMYFUNCTION("""COMPUTED_VALUE"""),"#VALUE!")</f>
        <v>#VALUE!</v>
      </c>
      <c r="C691" s="190"/>
      <c r="D691" s="190" t="e">
        <v>#DIV/0!</v>
      </c>
      <c r="E691" s="190" t="e">
        <v>#DIV/0!</v>
      </c>
      <c r="F691" s="183"/>
      <c r="G691" s="191"/>
      <c r="H691" s="191"/>
      <c r="I691" s="191"/>
      <c r="J691" s="191"/>
      <c r="K691" s="191"/>
      <c r="L691" s="191"/>
      <c r="M691" s="191"/>
      <c r="N691" s="191"/>
      <c r="O691" s="191"/>
      <c r="Q691" s="183"/>
    </row>
    <row r="692">
      <c r="B692" s="190" t="str">
        <f>IFERROR(__xludf.DUMMYFUNCTION("""COMPUTED_VALUE"""),"#VALUE!")</f>
        <v>#VALUE!</v>
      </c>
      <c r="C692" s="190"/>
      <c r="D692" s="190" t="e">
        <v>#DIV/0!</v>
      </c>
      <c r="E692" s="190" t="e">
        <v>#DIV/0!</v>
      </c>
      <c r="F692" s="183"/>
      <c r="G692" s="191"/>
      <c r="H692" s="191"/>
      <c r="I692" s="191"/>
      <c r="J692" s="191"/>
      <c r="K692" s="191"/>
      <c r="L692" s="191"/>
      <c r="M692" s="191"/>
      <c r="N692" s="191"/>
      <c r="O692" s="191"/>
      <c r="Q692" s="183"/>
    </row>
    <row r="693">
      <c r="B693" s="190" t="str">
        <f>IFERROR(__xludf.DUMMYFUNCTION("""COMPUTED_VALUE"""),"#VALUE!")</f>
        <v>#VALUE!</v>
      </c>
      <c r="C693" s="190"/>
      <c r="D693" s="190" t="e">
        <v>#DIV/0!</v>
      </c>
      <c r="E693" s="190" t="e">
        <v>#DIV/0!</v>
      </c>
      <c r="F693" s="183"/>
      <c r="G693" s="191"/>
      <c r="H693" s="191"/>
      <c r="I693" s="191"/>
      <c r="J693" s="191"/>
      <c r="K693" s="191"/>
      <c r="L693" s="191"/>
      <c r="M693" s="191"/>
      <c r="N693" s="191"/>
      <c r="O693" s="191"/>
      <c r="Q693" s="183"/>
    </row>
    <row r="694">
      <c r="B694" s="190" t="str">
        <f>IFERROR(__xludf.DUMMYFUNCTION("""COMPUTED_VALUE"""),"#VALUE!")</f>
        <v>#VALUE!</v>
      </c>
      <c r="C694" s="190"/>
      <c r="D694" s="190" t="e">
        <v>#DIV/0!</v>
      </c>
      <c r="E694" s="190" t="e">
        <v>#DIV/0!</v>
      </c>
      <c r="F694" s="183"/>
      <c r="G694" s="191"/>
      <c r="H694" s="191"/>
      <c r="I694" s="191"/>
      <c r="J694" s="191"/>
      <c r="K694" s="191"/>
      <c r="L694" s="191"/>
      <c r="M694" s="191"/>
      <c r="N694" s="191"/>
      <c r="O694" s="191"/>
      <c r="Q694" s="183"/>
    </row>
    <row r="695">
      <c r="B695" s="190" t="str">
        <f>IFERROR(__xludf.DUMMYFUNCTION("""COMPUTED_VALUE"""),"#VALUE!")</f>
        <v>#VALUE!</v>
      </c>
      <c r="C695" s="190"/>
      <c r="D695" s="190" t="e">
        <v>#DIV/0!</v>
      </c>
      <c r="E695" s="190" t="e">
        <v>#DIV/0!</v>
      </c>
      <c r="F695" s="183"/>
      <c r="G695" s="191"/>
      <c r="H695" s="191"/>
      <c r="I695" s="191"/>
      <c r="J695" s="191"/>
      <c r="K695" s="191"/>
      <c r="L695" s="191"/>
      <c r="M695" s="191"/>
      <c r="N695" s="191"/>
      <c r="O695" s="191"/>
      <c r="Q695" s="183"/>
    </row>
    <row r="696">
      <c r="B696" s="190" t="str">
        <f>IFERROR(__xludf.DUMMYFUNCTION("""COMPUTED_VALUE"""),"#VALUE!")</f>
        <v>#VALUE!</v>
      </c>
      <c r="C696" s="190"/>
      <c r="D696" s="190" t="e">
        <v>#DIV/0!</v>
      </c>
      <c r="E696" s="190" t="e">
        <v>#DIV/0!</v>
      </c>
      <c r="F696" s="183"/>
      <c r="G696" s="191"/>
      <c r="H696" s="191"/>
      <c r="I696" s="191"/>
      <c r="J696" s="191"/>
      <c r="K696" s="191"/>
      <c r="L696" s="191"/>
      <c r="M696" s="191"/>
      <c r="N696" s="191"/>
      <c r="O696" s="191"/>
      <c r="Q696" s="183"/>
    </row>
    <row r="697">
      <c r="B697" s="190" t="str">
        <f>IFERROR(__xludf.DUMMYFUNCTION("""COMPUTED_VALUE"""),"#VALUE!")</f>
        <v>#VALUE!</v>
      </c>
      <c r="C697" s="190"/>
      <c r="D697" s="190" t="e">
        <v>#DIV/0!</v>
      </c>
      <c r="E697" s="190" t="e">
        <v>#DIV/0!</v>
      </c>
      <c r="F697" s="183"/>
      <c r="G697" s="191"/>
      <c r="H697" s="191"/>
      <c r="I697" s="191"/>
      <c r="J697" s="191"/>
      <c r="K697" s="191"/>
      <c r="L697" s="191"/>
      <c r="M697" s="191"/>
      <c r="N697" s="191"/>
      <c r="O697" s="191"/>
      <c r="Q697" s="183"/>
    </row>
    <row r="698">
      <c r="B698" s="190" t="str">
        <f>IFERROR(__xludf.DUMMYFUNCTION("""COMPUTED_VALUE"""),"#VALUE!")</f>
        <v>#VALUE!</v>
      </c>
      <c r="C698" s="190"/>
      <c r="D698" s="190" t="e">
        <v>#DIV/0!</v>
      </c>
      <c r="E698" s="190" t="e">
        <v>#DIV/0!</v>
      </c>
      <c r="F698" s="183"/>
      <c r="G698" s="191"/>
      <c r="H698" s="191"/>
      <c r="I698" s="191"/>
      <c r="J698" s="191"/>
      <c r="K698" s="191"/>
      <c r="L698" s="191"/>
      <c r="M698" s="191"/>
      <c r="N698" s="191"/>
      <c r="O698" s="191"/>
      <c r="Q698" s="183"/>
    </row>
    <row r="699">
      <c r="B699" s="190" t="str">
        <f>IFERROR(__xludf.DUMMYFUNCTION("""COMPUTED_VALUE"""),"#VALUE!")</f>
        <v>#VALUE!</v>
      </c>
      <c r="C699" s="190"/>
      <c r="D699" s="190" t="e">
        <v>#DIV/0!</v>
      </c>
      <c r="E699" s="190" t="e">
        <v>#DIV/0!</v>
      </c>
      <c r="F699" s="183"/>
      <c r="G699" s="191"/>
      <c r="H699" s="191"/>
      <c r="I699" s="191"/>
      <c r="J699" s="191"/>
      <c r="K699" s="191"/>
      <c r="L699" s="191"/>
      <c r="M699" s="191"/>
      <c r="N699" s="191"/>
      <c r="O699" s="191"/>
      <c r="Q699" s="183"/>
    </row>
    <row r="700">
      <c r="B700" s="190" t="str">
        <f>IFERROR(__xludf.DUMMYFUNCTION("""COMPUTED_VALUE"""),"#VALUE!")</f>
        <v>#VALUE!</v>
      </c>
      <c r="C700" s="190"/>
      <c r="D700" s="190" t="e">
        <v>#DIV/0!</v>
      </c>
      <c r="E700" s="190" t="e">
        <v>#DIV/0!</v>
      </c>
      <c r="F700" s="183"/>
      <c r="G700" s="191"/>
      <c r="H700" s="191"/>
      <c r="I700" s="191"/>
      <c r="J700" s="191"/>
      <c r="K700" s="191"/>
      <c r="L700" s="191"/>
      <c r="M700" s="191"/>
      <c r="N700" s="191"/>
      <c r="O700" s="191"/>
      <c r="Q700" s="183"/>
    </row>
    <row r="701">
      <c r="B701" s="190" t="str">
        <f>IFERROR(__xludf.DUMMYFUNCTION("""COMPUTED_VALUE"""),"#VALUE!")</f>
        <v>#VALUE!</v>
      </c>
      <c r="C701" s="190"/>
      <c r="D701" s="190" t="e">
        <v>#DIV/0!</v>
      </c>
      <c r="E701" s="190" t="e">
        <v>#DIV/0!</v>
      </c>
      <c r="F701" s="183"/>
      <c r="G701" s="191"/>
      <c r="H701" s="191"/>
      <c r="I701" s="191"/>
      <c r="J701" s="191"/>
      <c r="K701" s="191"/>
      <c r="L701" s="191"/>
      <c r="M701" s="191"/>
      <c r="N701" s="191"/>
      <c r="O701" s="191"/>
      <c r="Q701" s="183"/>
    </row>
    <row r="702">
      <c r="B702" s="190" t="str">
        <f>IFERROR(__xludf.DUMMYFUNCTION("""COMPUTED_VALUE"""),"#VALUE!")</f>
        <v>#VALUE!</v>
      </c>
      <c r="C702" s="190"/>
      <c r="D702" s="190" t="e">
        <v>#DIV/0!</v>
      </c>
      <c r="E702" s="190" t="e">
        <v>#DIV/0!</v>
      </c>
      <c r="F702" s="183"/>
      <c r="G702" s="191"/>
      <c r="H702" s="191"/>
      <c r="I702" s="191"/>
      <c r="J702" s="191"/>
      <c r="K702" s="191"/>
      <c r="L702" s="191"/>
      <c r="M702" s="191"/>
      <c r="N702" s="191"/>
      <c r="O702" s="191"/>
      <c r="Q702" s="183"/>
    </row>
    <row r="703">
      <c r="B703" s="190" t="str">
        <f>IFERROR(__xludf.DUMMYFUNCTION("""COMPUTED_VALUE"""),"#VALUE!")</f>
        <v>#VALUE!</v>
      </c>
      <c r="C703" s="190"/>
      <c r="D703" s="190" t="e">
        <v>#DIV/0!</v>
      </c>
      <c r="E703" s="190" t="e">
        <v>#DIV/0!</v>
      </c>
      <c r="F703" s="183"/>
      <c r="G703" s="191"/>
      <c r="H703" s="191"/>
      <c r="I703" s="191"/>
      <c r="J703" s="191"/>
      <c r="K703" s="191"/>
      <c r="L703" s="191"/>
      <c r="M703" s="191"/>
      <c r="N703" s="191"/>
      <c r="O703" s="191"/>
      <c r="Q703" s="183"/>
    </row>
    <row r="704">
      <c r="B704" s="190" t="str">
        <f>IFERROR(__xludf.DUMMYFUNCTION("""COMPUTED_VALUE"""),"#VALUE!")</f>
        <v>#VALUE!</v>
      </c>
      <c r="C704" s="190"/>
      <c r="D704" s="190" t="e">
        <v>#DIV/0!</v>
      </c>
      <c r="E704" s="190" t="e">
        <v>#DIV/0!</v>
      </c>
      <c r="F704" s="183"/>
      <c r="G704" s="191"/>
      <c r="H704" s="191"/>
      <c r="I704" s="191"/>
      <c r="J704" s="191"/>
      <c r="K704" s="191"/>
      <c r="L704" s="191"/>
      <c r="M704" s="191"/>
      <c r="N704" s="191"/>
      <c r="O704" s="191"/>
      <c r="Q704" s="183"/>
    </row>
    <row r="705">
      <c r="B705" s="190" t="str">
        <f>IFERROR(__xludf.DUMMYFUNCTION("""COMPUTED_VALUE"""),"#VALUE!")</f>
        <v>#VALUE!</v>
      </c>
      <c r="C705" s="190"/>
      <c r="D705" s="190" t="e">
        <v>#DIV/0!</v>
      </c>
      <c r="E705" s="190" t="e">
        <v>#DIV/0!</v>
      </c>
      <c r="F705" s="183"/>
      <c r="G705" s="191"/>
      <c r="H705" s="191"/>
      <c r="I705" s="191"/>
      <c r="J705" s="191"/>
      <c r="K705" s="191"/>
      <c r="L705" s="191"/>
      <c r="M705" s="191"/>
      <c r="N705" s="191"/>
      <c r="O705" s="191"/>
      <c r="Q705" s="183"/>
    </row>
    <row r="706">
      <c r="B706" s="190" t="str">
        <f>IFERROR(__xludf.DUMMYFUNCTION("""COMPUTED_VALUE"""),"#VALUE!")</f>
        <v>#VALUE!</v>
      </c>
      <c r="C706" s="190"/>
      <c r="D706" s="190" t="e">
        <v>#DIV/0!</v>
      </c>
      <c r="E706" s="190" t="e">
        <v>#DIV/0!</v>
      </c>
      <c r="F706" s="183"/>
      <c r="G706" s="191"/>
      <c r="H706" s="191"/>
      <c r="I706" s="191"/>
      <c r="J706" s="191"/>
      <c r="K706" s="191"/>
      <c r="L706" s="191"/>
      <c r="M706" s="191"/>
      <c r="N706" s="191"/>
      <c r="O706" s="191"/>
      <c r="Q706" s="183"/>
    </row>
    <row r="707">
      <c r="B707" s="190" t="str">
        <f>IFERROR(__xludf.DUMMYFUNCTION("""COMPUTED_VALUE"""),"#VALUE!")</f>
        <v>#VALUE!</v>
      </c>
      <c r="C707" s="190"/>
      <c r="D707" s="190" t="e">
        <v>#DIV/0!</v>
      </c>
      <c r="E707" s="190" t="e">
        <v>#DIV/0!</v>
      </c>
      <c r="F707" s="183"/>
      <c r="G707" s="191"/>
      <c r="H707" s="191"/>
      <c r="I707" s="191"/>
      <c r="J707" s="191"/>
      <c r="K707" s="191"/>
      <c r="L707" s="191"/>
      <c r="M707" s="191"/>
      <c r="N707" s="191"/>
      <c r="O707" s="191"/>
      <c r="Q707" s="183"/>
    </row>
    <row r="708">
      <c r="B708" s="190" t="str">
        <f>IFERROR(__xludf.DUMMYFUNCTION("""COMPUTED_VALUE"""),"#VALUE!")</f>
        <v>#VALUE!</v>
      </c>
      <c r="C708" s="190"/>
      <c r="D708" s="190" t="e">
        <v>#DIV/0!</v>
      </c>
      <c r="E708" s="190" t="e">
        <v>#DIV/0!</v>
      </c>
      <c r="F708" s="183"/>
      <c r="G708" s="191"/>
      <c r="H708" s="191"/>
      <c r="I708" s="191"/>
      <c r="J708" s="191"/>
      <c r="K708" s="191"/>
      <c r="L708" s="191"/>
      <c r="M708" s="191"/>
      <c r="N708" s="191"/>
      <c r="O708" s="191"/>
      <c r="Q708" s="183"/>
    </row>
    <row r="709">
      <c r="B709" s="190" t="str">
        <f>IFERROR(__xludf.DUMMYFUNCTION("""COMPUTED_VALUE"""),"#VALUE!")</f>
        <v>#VALUE!</v>
      </c>
      <c r="C709" s="190"/>
      <c r="D709" s="190" t="e">
        <v>#DIV/0!</v>
      </c>
      <c r="E709" s="190" t="e">
        <v>#DIV/0!</v>
      </c>
      <c r="F709" s="183"/>
      <c r="G709" s="191"/>
      <c r="H709" s="191"/>
      <c r="I709" s="191"/>
      <c r="J709" s="191"/>
      <c r="K709" s="191"/>
      <c r="L709" s="191"/>
      <c r="M709" s="191"/>
      <c r="N709" s="191"/>
      <c r="O709" s="191"/>
      <c r="Q709" s="183"/>
    </row>
    <row r="710">
      <c r="B710" s="190" t="str">
        <f>IFERROR(__xludf.DUMMYFUNCTION("""COMPUTED_VALUE"""),"#VALUE!")</f>
        <v>#VALUE!</v>
      </c>
      <c r="C710" s="190"/>
      <c r="D710" s="190" t="e">
        <v>#DIV/0!</v>
      </c>
      <c r="E710" s="190" t="e">
        <v>#DIV/0!</v>
      </c>
      <c r="F710" s="183"/>
      <c r="G710" s="191"/>
      <c r="H710" s="191"/>
      <c r="I710" s="191"/>
      <c r="J710" s="191"/>
      <c r="K710" s="191"/>
      <c r="L710" s="191"/>
      <c r="M710" s="191"/>
      <c r="N710" s="191"/>
      <c r="O710" s="191"/>
      <c r="Q710" s="183"/>
    </row>
    <row r="711">
      <c r="B711" s="190" t="str">
        <f>IFERROR(__xludf.DUMMYFUNCTION("""COMPUTED_VALUE"""),"#VALUE!")</f>
        <v>#VALUE!</v>
      </c>
      <c r="C711" s="190"/>
      <c r="D711" s="190" t="e">
        <v>#DIV/0!</v>
      </c>
      <c r="E711" s="190" t="e">
        <v>#DIV/0!</v>
      </c>
      <c r="F711" s="183"/>
      <c r="G711" s="191"/>
      <c r="H711" s="191"/>
      <c r="I711" s="191"/>
      <c r="J711" s="191"/>
      <c r="K711" s="191"/>
      <c r="L711" s="191"/>
      <c r="M711" s="191"/>
      <c r="N711" s="191"/>
      <c r="O711" s="191"/>
      <c r="Q711" s="183"/>
    </row>
    <row r="712">
      <c r="B712" s="190" t="str">
        <f>IFERROR(__xludf.DUMMYFUNCTION("""COMPUTED_VALUE"""),"#VALUE!")</f>
        <v>#VALUE!</v>
      </c>
      <c r="C712" s="190"/>
      <c r="D712" s="190" t="e">
        <v>#DIV/0!</v>
      </c>
      <c r="E712" s="190" t="e">
        <v>#DIV/0!</v>
      </c>
      <c r="F712" s="183"/>
      <c r="G712" s="191"/>
      <c r="H712" s="191"/>
      <c r="I712" s="191"/>
      <c r="J712" s="191"/>
      <c r="K712" s="191"/>
      <c r="L712" s="191"/>
      <c r="M712" s="191"/>
      <c r="N712" s="191"/>
      <c r="O712" s="191"/>
      <c r="Q712" s="183"/>
    </row>
    <row r="713">
      <c r="B713" s="190" t="str">
        <f>IFERROR(__xludf.DUMMYFUNCTION("""COMPUTED_VALUE"""),"#VALUE!")</f>
        <v>#VALUE!</v>
      </c>
      <c r="C713" s="190"/>
      <c r="D713" s="190" t="e">
        <v>#DIV/0!</v>
      </c>
      <c r="E713" s="190" t="e">
        <v>#DIV/0!</v>
      </c>
      <c r="F713" s="183"/>
      <c r="G713" s="191"/>
      <c r="H713" s="191"/>
      <c r="I713" s="191"/>
      <c r="J713" s="191"/>
      <c r="K713" s="191"/>
      <c r="L713" s="191"/>
      <c r="M713" s="191"/>
      <c r="N713" s="191"/>
      <c r="O713" s="191"/>
      <c r="Q713" s="183"/>
    </row>
    <row r="714">
      <c r="B714" s="190" t="str">
        <f>IFERROR(__xludf.DUMMYFUNCTION("""COMPUTED_VALUE"""),"#VALUE!")</f>
        <v>#VALUE!</v>
      </c>
      <c r="C714" s="190"/>
      <c r="D714" s="190" t="e">
        <v>#DIV/0!</v>
      </c>
      <c r="E714" s="190" t="e">
        <v>#DIV/0!</v>
      </c>
      <c r="F714" s="183"/>
      <c r="G714" s="191"/>
      <c r="H714" s="191"/>
      <c r="I714" s="191"/>
      <c r="J714" s="191"/>
      <c r="K714" s="191"/>
      <c r="L714" s="191"/>
      <c r="M714" s="191"/>
      <c r="N714" s="191"/>
      <c r="O714" s="191"/>
      <c r="Q714" s="183"/>
    </row>
    <row r="715">
      <c r="B715" s="190" t="str">
        <f>IFERROR(__xludf.DUMMYFUNCTION("""COMPUTED_VALUE"""),"#VALUE!")</f>
        <v>#VALUE!</v>
      </c>
      <c r="C715" s="190"/>
      <c r="D715" s="190" t="e">
        <v>#DIV/0!</v>
      </c>
      <c r="E715" s="190" t="e">
        <v>#DIV/0!</v>
      </c>
      <c r="F715" s="183"/>
      <c r="G715" s="191"/>
      <c r="H715" s="191"/>
      <c r="I715" s="191"/>
      <c r="J715" s="191"/>
      <c r="K715" s="191"/>
      <c r="L715" s="191"/>
      <c r="M715" s="191"/>
      <c r="N715" s="191"/>
      <c r="O715" s="191"/>
      <c r="Q715" s="183"/>
    </row>
    <row r="716">
      <c r="B716" s="190" t="str">
        <f>IFERROR(__xludf.DUMMYFUNCTION("""COMPUTED_VALUE"""),"#VALUE!")</f>
        <v>#VALUE!</v>
      </c>
      <c r="C716" s="190"/>
      <c r="D716" s="190" t="e">
        <v>#DIV/0!</v>
      </c>
      <c r="E716" s="190" t="e">
        <v>#DIV/0!</v>
      </c>
      <c r="F716" s="183"/>
      <c r="G716" s="191"/>
      <c r="H716" s="191"/>
      <c r="I716" s="191"/>
      <c r="J716" s="191"/>
      <c r="K716" s="191"/>
      <c r="L716" s="191"/>
      <c r="M716" s="191"/>
      <c r="N716" s="191"/>
      <c r="O716" s="191"/>
      <c r="Q716" s="183"/>
    </row>
    <row r="717">
      <c r="B717" s="190" t="str">
        <f>IFERROR(__xludf.DUMMYFUNCTION("""COMPUTED_VALUE"""),"#VALUE!")</f>
        <v>#VALUE!</v>
      </c>
      <c r="C717" s="190"/>
      <c r="D717" s="190" t="e">
        <v>#DIV/0!</v>
      </c>
      <c r="E717" s="190" t="e">
        <v>#DIV/0!</v>
      </c>
      <c r="F717" s="183"/>
      <c r="G717" s="191"/>
      <c r="H717" s="191"/>
      <c r="I717" s="191"/>
      <c r="J717" s="191"/>
      <c r="K717" s="191"/>
      <c r="L717" s="191"/>
      <c r="M717" s="191"/>
      <c r="N717" s="191"/>
      <c r="O717" s="191"/>
      <c r="Q717" s="183"/>
    </row>
    <row r="718">
      <c r="B718" s="190" t="str">
        <f>IFERROR(__xludf.DUMMYFUNCTION("""COMPUTED_VALUE"""),"#VALUE!")</f>
        <v>#VALUE!</v>
      </c>
      <c r="C718" s="190"/>
      <c r="D718" s="190" t="e">
        <v>#DIV/0!</v>
      </c>
      <c r="E718" s="190" t="e">
        <v>#DIV/0!</v>
      </c>
      <c r="F718" s="183"/>
      <c r="G718" s="191"/>
      <c r="H718" s="191"/>
      <c r="I718" s="191"/>
      <c r="J718" s="191"/>
      <c r="K718" s="191"/>
      <c r="L718" s="191"/>
      <c r="M718" s="191"/>
      <c r="N718" s="191"/>
      <c r="O718" s="191"/>
      <c r="Q718" s="183"/>
    </row>
    <row r="719">
      <c r="B719" s="190" t="str">
        <f>IFERROR(__xludf.DUMMYFUNCTION("""COMPUTED_VALUE"""),"#VALUE!")</f>
        <v>#VALUE!</v>
      </c>
      <c r="C719" s="190"/>
      <c r="D719" s="190" t="e">
        <v>#DIV/0!</v>
      </c>
      <c r="E719" s="190" t="e">
        <v>#DIV/0!</v>
      </c>
      <c r="F719" s="183"/>
      <c r="G719" s="191"/>
      <c r="H719" s="191"/>
      <c r="I719" s="191"/>
      <c r="J719" s="191"/>
      <c r="K719" s="191"/>
      <c r="L719" s="191"/>
      <c r="M719" s="191"/>
      <c r="N719" s="191"/>
      <c r="O719" s="191"/>
      <c r="Q719" s="183"/>
    </row>
    <row r="720">
      <c r="B720" s="190" t="str">
        <f>IFERROR(__xludf.DUMMYFUNCTION("""COMPUTED_VALUE"""),"#VALUE!")</f>
        <v>#VALUE!</v>
      </c>
      <c r="C720" s="190"/>
      <c r="D720" s="190" t="e">
        <v>#DIV/0!</v>
      </c>
      <c r="E720" s="190" t="e">
        <v>#DIV/0!</v>
      </c>
      <c r="F720" s="183"/>
      <c r="G720" s="191"/>
      <c r="H720" s="191"/>
      <c r="I720" s="191"/>
      <c r="J720" s="191"/>
      <c r="K720" s="191"/>
      <c r="L720" s="191"/>
      <c r="M720" s="191"/>
      <c r="N720" s="191"/>
      <c r="O720" s="191"/>
      <c r="Q720" s="183"/>
    </row>
    <row r="721">
      <c r="B721" s="190" t="str">
        <f>IFERROR(__xludf.DUMMYFUNCTION("""COMPUTED_VALUE"""),"#VALUE!")</f>
        <v>#VALUE!</v>
      </c>
      <c r="C721" s="190"/>
      <c r="D721" s="190" t="e">
        <v>#DIV/0!</v>
      </c>
      <c r="E721" s="190" t="e">
        <v>#DIV/0!</v>
      </c>
      <c r="F721" s="183"/>
      <c r="G721" s="191"/>
      <c r="H721" s="191"/>
      <c r="I721" s="191"/>
      <c r="J721" s="191"/>
      <c r="K721" s="191"/>
      <c r="L721" s="191"/>
      <c r="M721" s="191"/>
      <c r="N721" s="191"/>
      <c r="O721" s="191"/>
      <c r="Q721" s="183"/>
    </row>
    <row r="722">
      <c r="B722" s="190" t="str">
        <f>IFERROR(__xludf.DUMMYFUNCTION("""COMPUTED_VALUE"""),"#VALUE!")</f>
        <v>#VALUE!</v>
      </c>
      <c r="C722" s="190"/>
      <c r="D722" s="190" t="e">
        <v>#DIV/0!</v>
      </c>
      <c r="E722" s="190" t="e">
        <v>#DIV/0!</v>
      </c>
      <c r="F722" s="183"/>
      <c r="G722" s="191"/>
      <c r="H722" s="191"/>
      <c r="I722" s="191"/>
      <c r="J722" s="191"/>
      <c r="K722" s="191"/>
      <c r="L722" s="191"/>
      <c r="M722" s="191"/>
      <c r="N722" s="191"/>
      <c r="O722" s="191"/>
      <c r="Q722" s="183"/>
    </row>
    <row r="723">
      <c r="B723" s="190" t="str">
        <f>IFERROR(__xludf.DUMMYFUNCTION("""COMPUTED_VALUE"""),"#VALUE!")</f>
        <v>#VALUE!</v>
      </c>
      <c r="C723" s="190"/>
      <c r="D723" s="190" t="e">
        <v>#DIV/0!</v>
      </c>
      <c r="E723" s="190" t="e">
        <v>#DIV/0!</v>
      </c>
      <c r="F723" s="183"/>
      <c r="G723" s="191"/>
      <c r="H723" s="191"/>
      <c r="I723" s="191"/>
      <c r="J723" s="191"/>
      <c r="K723" s="191"/>
      <c r="L723" s="191"/>
      <c r="M723" s="191"/>
      <c r="N723" s="191"/>
      <c r="O723" s="191"/>
      <c r="Q723" s="183"/>
    </row>
    <row r="724">
      <c r="B724" s="190" t="str">
        <f>IFERROR(__xludf.DUMMYFUNCTION("""COMPUTED_VALUE"""),"#VALUE!")</f>
        <v>#VALUE!</v>
      </c>
      <c r="C724" s="190"/>
      <c r="D724" s="190" t="e">
        <v>#DIV/0!</v>
      </c>
      <c r="E724" s="190" t="e">
        <v>#DIV/0!</v>
      </c>
      <c r="F724" s="183"/>
      <c r="G724" s="191"/>
      <c r="H724" s="191"/>
      <c r="I724" s="191"/>
      <c r="J724" s="191"/>
      <c r="K724" s="191"/>
      <c r="L724" s="191"/>
      <c r="M724" s="191"/>
      <c r="N724" s="191"/>
      <c r="O724" s="191"/>
      <c r="Q724" s="183"/>
    </row>
    <row r="725">
      <c r="B725" s="190" t="str">
        <f>IFERROR(__xludf.DUMMYFUNCTION("""COMPUTED_VALUE"""),"#VALUE!")</f>
        <v>#VALUE!</v>
      </c>
      <c r="C725" s="190"/>
      <c r="D725" s="190" t="e">
        <v>#DIV/0!</v>
      </c>
      <c r="E725" s="190" t="e">
        <v>#DIV/0!</v>
      </c>
      <c r="F725" s="183"/>
      <c r="G725" s="191"/>
      <c r="H725" s="191"/>
      <c r="I725" s="191"/>
      <c r="J725" s="191"/>
      <c r="K725" s="191"/>
      <c r="L725" s="191"/>
      <c r="M725" s="191"/>
      <c r="N725" s="191"/>
      <c r="O725" s="191"/>
      <c r="Q725" s="183"/>
    </row>
    <row r="726">
      <c r="B726" s="190" t="str">
        <f>IFERROR(__xludf.DUMMYFUNCTION("""COMPUTED_VALUE"""),"#VALUE!")</f>
        <v>#VALUE!</v>
      </c>
      <c r="C726" s="190"/>
      <c r="D726" s="190" t="e">
        <v>#DIV/0!</v>
      </c>
      <c r="E726" s="190" t="e">
        <v>#DIV/0!</v>
      </c>
      <c r="F726" s="183"/>
      <c r="G726" s="191"/>
      <c r="H726" s="191"/>
      <c r="I726" s="191"/>
      <c r="J726" s="191"/>
      <c r="K726" s="191"/>
      <c r="L726" s="191"/>
      <c r="M726" s="191"/>
      <c r="N726" s="191"/>
      <c r="O726" s="191"/>
      <c r="Q726" s="183"/>
    </row>
    <row r="727">
      <c r="B727" s="190" t="str">
        <f>IFERROR(__xludf.DUMMYFUNCTION("""COMPUTED_VALUE"""),"#VALUE!")</f>
        <v>#VALUE!</v>
      </c>
      <c r="C727" s="190"/>
      <c r="D727" s="190" t="e">
        <v>#DIV/0!</v>
      </c>
      <c r="E727" s="190" t="e">
        <v>#DIV/0!</v>
      </c>
      <c r="F727" s="183"/>
      <c r="G727" s="191"/>
      <c r="H727" s="191"/>
      <c r="I727" s="191"/>
      <c r="J727" s="191"/>
      <c r="K727" s="191"/>
      <c r="L727" s="191"/>
      <c r="M727" s="191"/>
      <c r="N727" s="191"/>
      <c r="O727" s="191"/>
      <c r="Q727" s="183"/>
    </row>
    <row r="728">
      <c r="B728" s="190" t="str">
        <f>IFERROR(__xludf.DUMMYFUNCTION("""COMPUTED_VALUE"""),"#VALUE!")</f>
        <v>#VALUE!</v>
      </c>
      <c r="C728" s="190"/>
      <c r="D728" s="190" t="e">
        <v>#DIV/0!</v>
      </c>
      <c r="E728" s="190" t="e">
        <v>#DIV/0!</v>
      </c>
      <c r="F728" s="183"/>
      <c r="G728" s="191"/>
      <c r="H728" s="191"/>
      <c r="I728" s="191"/>
      <c r="J728" s="191"/>
      <c r="K728" s="191"/>
      <c r="L728" s="191"/>
      <c r="M728" s="191"/>
      <c r="N728" s="191"/>
      <c r="O728" s="191"/>
      <c r="Q728" s="183"/>
    </row>
    <row r="729">
      <c r="B729" s="190" t="str">
        <f>IFERROR(__xludf.DUMMYFUNCTION("""COMPUTED_VALUE"""),"#VALUE!")</f>
        <v>#VALUE!</v>
      </c>
      <c r="C729" s="190"/>
      <c r="D729" s="190" t="e">
        <v>#DIV/0!</v>
      </c>
      <c r="E729" s="190" t="e">
        <v>#DIV/0!</v>
      </c>
      <c r="F729" s="183"/>
      <c r="G729" s="191"/>
      <c r="H729" s="191"/>
      <c r="I729" s="191"/>
      <c r="J729" s="191"/>
      <c r="K729" s="191"/>
      <c r="L729" s="191"/>
      <c r="M729" s="191"/>
      <c r="N729" s="191"/>
      <c r="O729" s="191"/>
      <c r="Q729" s="183"/>
    </row>
    <row r="730">
      <c r="B730" s="190" t="str">
        <f>IFERROR(__xludf.DUMMYFUNCTION("""COMPUTED_VALUE"""),"#VALUE!")</f>
        <v>#VALUE!</v>
      </c>
      <c r="C730" s="190"/>
      <c r="D730" s="190" t="e">
        <v>#DIV/0!</v>
      </c>
      <c r="E730" s="190" t="e">
        <v>#DIV/0!</v>
      </c>
      <c r="F730" s="183"/>
      <c r="G730" s="191"/>
      <c r="H730" s="191"/>
      <c r="I730" s="191"/>
      <c r="J730" s="191"/>
      <c r="K730" s="191"/>
      <c r="L730" s="191"/>
      <c r="M730" s="191"/>
      <c r="N730" s="191"/>
      <c r="O730" s="191"/>
      <c r="Q730" s="183"/>
    </row>
    <row r="731">
      <c r="B731" s="190" t="str">
        <f>IFERROR(__xludf.DUMMYFUNCTION("""COMPUTED_VALUE"""),"#VALUE!")</f>
        <v>#VALUE!</v>
      </c>
      <c r="C731" s="190"/>
      <c r="D731" s="190" t="e">
        <v>#DIV/0!</v>
      </c>
      <c r="E731" s="190" t="e">
        <v>#DIV/0!</v>
      </c>
      <c r="F731" s="183"/>
      <c r="G731" s="191"/>
      <c r="H731" s="191"/>
      <c r="I731" s="191"/>
      <c r="J731" s="191"/>
      <c r="K731" s="191"/>
      <c r="L731" s="191"/>
      <c r="M731" s="191"/>
      <c r="N731" s="191"/>
      <c r="O731" s="191"/>
      <c r="Q731" s="183"/>
    </row>
    <row r="732">
      <c r="B732" s="190" t="str">
        <f>IFERROR(__xludf.DUMMYFUNCTION("""COMPUTED_VALUE"""),"#VALUE!")</f>
        <v>#VALUE!</v>
      </c>
      <c r="C732" s="190"/>
      <c r="D732" s="190" t="e">
        <v>#DIV/0!</v>
      </c>
      <c r="E732" s="190" t="e">
        <v>#DIV/0!</v>
      </c>
      <c r="F732" s="183"/>
      <c r="G732" s="191"/>
      <c r="H732" s="191"/>
      <c r="I732" s="191"/>
      <c r="J732" s="191"/>
      <c r="K732" s="191"/>
      <c r="L732" s="191"/>
      <c r="M732" s="191"/>
      <c r="N732" s="191"/>
      <c r="O732" s="191"/>
      <c r="Q732" s="183"/>
    </row>
    <row r="733">
      <c r="B733" s="190" t="str">
        <f>IFERROR(__xludf.DUMMYFUNCTION("""COMPUTED_VALUE"""),"#VALUE!")</f>
        <v>#VALUE!</v>
      </c>
      <c r="C733" s="190"/>
      <c r="D733" s="190" t="e">
        <v>#DIV/0!</v>
      </c>
      <c r="E733" s="190" t="e">
        <v>#DIV/0!</v>
      </c>
      <c r="F733" s="183"/>
      <c r="G733" s="191"/>
      <c r="H733" s="191"/>
      <c r="I733" s="191"/>
      <c r="J733" s="191"/>
      <c r="K733" s="191"/>
      <c r="L733" s="191"/>
      <c r="M733" s="191"/>
      <c r="N733" s="191"/>
      <c r="O733" s="191"/>
      <c r="Q733" s="183"/>
    </row>
    <row r="734">
      <c r="B734" s="190" t="str">
        <f>IFERROR(__xludf.DUMMYFUNCTION("""COMPUTED_VALUE"""),"#VALUE!")</f>
        <v>#VALUE!</v>
      </c>
      <c r="C734" s="190"/>
      <c r="D734" s="190" t="e">
        <v>#DIV/0!</v>
      </c>
      <c r="E734" s="190" t="e">
        <v>#DIV/0!</v>
      </c>
      <c r="F734" s="183"/>
      <c r="G734" s="191"/>
      <c r="H734" s="191"/>
      <c r="I734" s="191"/>
      <c r="J734" s="191"/>
      <c r="K734" s="191"/>
      <c r="L734" s="191"/>
      <c r="M734" s="191"/>
      <c r="N734" s="191"/>
      <c r="O734" s="191"/>
      <c r="Q734" s="183"/>
    </row>
    <row r="735">
      <c r="B735" s="190" t="str">
        <f>IFERROR(__xludf.DUMMYFUNCTION("""COMPUTED_VALUE"""),"#VALUE!")</f>
        <v>#VALUE!</v>
      </c>
      <c r="C735" s="190"/>
      <c r="D735" s="190" t="e">
        <v>#DIV/0!</v>
      </c>
      <c r="E735" s="190" t="e">
        <v>#DIV/0!</v>
      </c>
      <c r="F735" s="183"/>
      <c r="G735" s="191"/>
      <c r="H735" s="191"/>
      <c r="I735" s="191"/>
      <c r="J735" s="191"/>
      <c r="K735" s="191"/>
      <c r="L735" s="191"/>
      <c r="M735" s="191"/>
      <c r="N735" s="191"/>
      <c r="O735" s="191"/>
      <c r="Q735" s="183"/>
    </row>
    <row r="736">
      <c r="B736" s="190" t="str">
        <f>IFERROR(__xludf.DUMMYFUNCTION("""COMPUTED_VALUE"""),"#VALUE!")</f>
        <v>#VALUE!</v>
      </c>
      <c r="C736" s="190"/>
      <c r="D736" s="190" t="e">
        <v>#DIV/0!</v>
      </c>
      <c r="E736" s="190" t="e">
        <v>#DIV/0!</v>
      </c>
      <c r="F736" s="183"/>
      <c r="G736" s="191"/>
      <c r="H736" s="191"/>
      <c r="I736" s="191"/>
      <c r="J736" s="191"/>
      <c r="K736" s="191"/>
      <c r="L736" s="191"/>
      <c r="M736" s="191"/>
      <c r="N736" s="191"/>
      <c r="O736" s="191"/>
      <c r="Q736" s="183"/>
    </row>
    <row r="737">
      <c r="B737" s="190" t="str">
        <f>IFERROR(__xludf.DUMMYFUNCTION("""COMPUTED_VALUE"""),"#VALUE!")</f>
        <v>#VALUE!</v>
      </c>
      <c r="C737" s="190"/>
      <c r="D737" s="190" t="e">
        <v>#DIV/0!</v>
      </c>
      <c r="E737" s="190" t="e">
        <v>#DIV/0!</v>
      </c>
      <c r="F737" s="183"/>
      <c r="G737" s="191"/>
      <c r="H737" s="191"/>
      <c r="I737" s="191"/>
      <c r="J737" s="191"/>
      <c r="K737" s="191"/>
      <c r="L737" s="191"/>
      <c r="M737" s="191"/>
      <c r="N737" s="191"/>
      <c r="O737" s="191"/>
      <c r="Q737" s="183"/>
    </row>
    <row r="738">
      <c r="B738" s="190" t="str">
        <f>IFERROR(__xludf.DUMMYFUNCTION("""COMPUTED_VALUE"""),"#VALUE!")</f>
        <v>#VALUE!</v>
      </c>
      <c r="C738" s="190"/>
      <c r="D738" s="190" t="e">
        <v>#DIV/0!</v>
      </c>
      <c r="E738" s="190" t="e">
        <v>#DIV/0!</v>
      </c>
      <c r="F738" s="183"/>
      <c r="G738" s="191"/>
      <c r="H738" s="191"/>
      <c r="I738" s="191"/>
      <c r="J738" s="191"/>
      <c r="K738" s="191"/>
      <c r="L738" s="191"/>
      <c r="M738" s="191"/>
      <c r="N738" s="191"/>
      <c r="O738" s="191"/>
      <c r="Q738" s="183"/>
    </row>
    <row r="739">
      <c r="B739" s="190" t="str">
        <f>IFERROR(__xludf.DUMMYFUNCTION("""COMPUTED_VALUE"""),"#VALUE!")</f>
        <v>#VALUE!</v>
      </c>
      <c r="C739" s="190"/>
      <c r="D739" s="190" t="e">
        <v>#DIV/0!</v>
      </c>
      <c r="E739" s="190" t="e">
        <v>#DIV/0!</v>
      </c>
      <c r="F739" s="183"/>
      <c r="G739" s="191"/>
      <c r="H739" s="191"/>
      <c r="I739" s="191"/>
      <c r="J739" s="191"/>
      <c r="K739" s="191"/>
      <c r="L739" s="191"/>
      <c r="M739" s="191"/>
      <c r="N739" s="191"/>
      <c r="O739" s="191"/>
      <c r="Q739" s="183"/>
    </row>
    <row r="740">
      <c r="B740" s="190" t="str">
        <f>IFERROR(__xludf.DUMMYFUNCTION("""COMPUTED_VALUE"""),"#VALUE!")</f>
        <v>#VALUE!</v>
      </c>
      <c r="C740" s="190"/>
      <c r="D740" s="190" t="e">
        <v>#DIV/0!</v>
      </c>
      <c r="E740" s="190" t="e">
        <v>#DIV/0!</v>
      </c>
      <c r="F740" s="183"/>
      <c r="G740" s="191"/>
      <c r="H740" s="191"/>
      <c r="I740" s="191"/>
      <c r="J740" s="191"/>
      <c r="K740" s="191"/>
      <c r="L740" s="191"/>
      <c r="M740" s="191"/>
      <c r="N740" s="191"/>
      <c r="O740" s="191"/>
      <c r="Q740" s="183"/>
    </row>
    <row r="741">
      <c r="B741" s="190" t="str">
        <f>IFERROR(__xludf.DUMMYFUNCTION("""COMPUTED_VALUE"""),"#VALUE!")</f>
        <v>#VALUE!</v>
      </c>
      <c r="C741" s="190"/>
      <c r="D741" s="190" t="e">
        <v>#DIV/0!</v>
      </c>
      <c r="E741" s="190" t="e">
        <v>#DIV/0!</v>
      </c>
      <c r="F741" s="183"/>
      <c r="G741" s="191"/>
      <c r="H741" s="191"/>
      <c r="I741" s="191"/>
      <c r="J741" s="191"/>
      <c r="K741" s="191"/>
      <c r="L741" s="191"/>
      <c r="M741" s="191"/>
      <c r="N741" s="191"/>
      <c r="O741" s="191"/>
      <c r="Q741" s="183"/>
    </row>
    <row r="742">
      <c r="B742" s="190" t="str">
        <f>IFERROR(__xludf.DUMMYFUNCTION("""COMPUTED_VALUE"""),"#VALUE!")</f>
        <v>#VALUE!</v>
      </c>
      <c r="C742" s="190"/>
      <c r="D742" s="190" t="e">
        <v>#DIV/0!</v>
      </c>
      <c r="E742" s="190" t="e">
        <v>#DIV/0!</v>
      </c>
      <c r="F742" s="183"/>
      <c r="G742" s="191"/>
      <c r="H742" s="191"/>
      <c r="I742" s="191"/>
      <c r="J742" s="191"/>
      <c r="K742" s="191"/>
      <c r="L742" s="191"/>
      <c r="M742" s="191"/>
      <c r="N742" s="191"/>
      <c r="O742" s="191"/>
      <c r="Q742" s="183"/>
    </row>
    <row r="743">
      <c r="B743" s="190" t="str">
        <f>IFERROR(__xludf.DUMMYFUNCTION("""COMPUTED_VALUE"""),"#VALUE!")</f>
        <v>#VALUE!</v>
      </c>
      <c r="C743" s="190"/>
      <c r="D743" s="190" t="e">
        <v>#DIV/0!</v>
      </c>
      <c r="E743" s="190" t="e">
        <v>#DIV/0!</v>
      </c>
      <c r="F743" s="183"/>
      <c r="G743" s="191"/>
      <c r="H743" s="191"/>
      <c r="I743" s="191"/>
      <c r="J743" s="191"/>
      <c r="K743" s="191"/>
      <c r="L743" s="191"/>
      <c r="M743" s="191"/>
      <c r="N743" s="191"/>
      <c r="O743" s="191"/>
      <c r="Q743" s="183"/>
    </row>
    <row r="744">
      <c r="B744" s="190" t="str">
        <f>IFERROR(__xludf.DUMMYFUNCTION("""COMPUTED_VALUE"""),"#VALUE!")</f>
        <v>#VALUE!</v>
      </c>
      <c r="C744" s="190"/>
      <c r="D744" s="190" t="e">
        <v>#DIV/0!</v>
      </c>
      <c r="E744" s="190" t="e">
        <v>#DIV/0!</v>
      </c>
      <c r="F744" s="183"/>
      <c r="G744" s="191"/>
      <c r="H744" s="191"/>
      <c r="I744" s="191"/>
      <c r="J744" s="191"/>
      <c r="K744" s="191"/>
      <c r="L744" s="191"/>
      <c r="M744" s="191"/>
      <c r="N744" s="191"/>
      <c r="O744" s="191"/>
      <c r="Q744" s="183"/>
    </row>
    <row r="745">
      <c r="B745" s="190" t="str">
        <f>IFERROR(__xludf.DUMMYFUNCTION("""COMPUTED_VALUE"""),"#VALUE!")</f>
        <v>#VALUE!</v>
      </c>
      <c r="C745" s="190"/>
      <c r="D745" s="190" t="e">
        <v>#DIV/0!</v>
      </c>
      <c r="E745" s="190" t="e">
        <v>#DIV/0!</v>
      </c>
      <c r="F745" s="183"/>
      <c r="G745" s="191"/>
      <c r="H745" s="191"/>
      <c r="I745" s="191"/>
      <c r="J745" s="191"/>
      <c r="K745" s="191"/>
      <c r="L745" s="191"/>
      <c r="M745" s="191"/>
      <c r="N745" s="191"/>
      <c r="O745" s="191"/>
      <c r="Q745" s="183"/>
    </row>
    <row r="746">
      <c r="B746" s="190" t="str">
        <f>IFERROR(__xludf.DUMMYFUNCTION("""COMPUTED_VALUE"""),"#VALUE!")</f>
        <v>#VALUE!</v>
      </c>
      <c r="C746" s="190"/>
      <c r="D746" s="190" t="e">
        <v>#DIV/0!</v>
      </c>
      <c r="E746" s="190" t="e">
        <v>#DIV/0!</v>
      </c>
      <c r="F746" s="183"/>
      <c r="G746" s="191"/>
      <c r="H746" s="191"/>
      <c r="I746" s="191"/>
      <c r="J746" s="191"/>
      <c r="K746" s="191"/>
      <c r="L746" s="191"/>
      <c r="M746" s="191"/>
      <c r="N746" s="191"/>
      <c r="O746" s="191"/>
      <c r="Q746" s="183"/>
    </row>
    <row r="747">
      <c r="B747" s="190" t="str">
        <f>IFERROR(__xludf.DUMMYFUNCTION("""COMPUTED_VALUE"""),"#VALUE!")</f>
        <v>#VALUE!</v>
      </c>
      <c r="C747" s="190"/>
      <c r="D747" s="190" t="e">
        <v>#DIV/0!</v>
      </c>
      <c r="E747" s="190" t="e">
        <v>#DIV/0!</v>
      </c>
      <c r="F747" s="183"/>
      <c r="G747" s="191"/>
      <c r="H747" s="191"/>
      <c r="I747" s="191"/>
      <c r="J747" s="191"/>
      <c r="K747" s="191"/>
      <c r="L747" s="191"/>
      <c r="M747" s="191"/>
      <c r="N747" s="191"/>
      <c r="O747" s="191"/>
      <c r="Q747" s="183"/>
    </row>
    <row r="748">
      <c r="B748" s="190" t="str">
        <f>IFERROR(__xludf.DUMMYFUNCTION("""COMPUTED_VALUE"""),"#VALUE!")</f>
        <v>#VALUE!</v>
      </c>
      <c r="C748" s="190"/>
      <c r="D748" s="190" t="e">
        <v>#DIV/0!</v>
      </c>
      <c r="E748" s="190" t="e">
        <v>#DIV/0!</v>
      </c>
      <c r="F748" s="183"/>
      <c r="G748" s="191"/>
      <c r="H748" s="191"/>
      <c r="I748" s="191"/>
      <c r="J748" s="191"/>
      <c r="K748" s="191"/>
      <c r="L748" s="191"/>
      <c r="M748" s="191"/>
      <c r="N748" s="191"/>
      <c r="O748" s="191"/>
      <c r="Q748" s="183"/>
    </row>
    <row r="749">
      <c r="B749" s="190" t="str">
        <f>IFERROR(__xludf.DUMMYFUNCTION("""COMPUTED_VALUE"""),"#VALUE!")</f>
        <v>#VALUE!</v>
      </c>
      <c r="C749" s="190"/>
      <c r="D749" s="190" t="e">
        <v>#DIV/0!</v>
      </c>
      <c r="E749" s="190" t="e">
        <v>#DIV/0!</v>
      </c>
      <c r="F749" s="183"/>
      <c r="G749" s="191"/>
      <c r="H749" s="191"/>
      <c r="I749" s="191"/>
      <c r="J749" s="191"/>
      <c r="K749" s="191"/>
      <c r="L749" s="191"/>
      <c r="M749" s="191"/>
      <c r="N749" s="191"/>
      <c r="O749" s="191"/>
      <c r="Q749" s="183"/>
    </row>
    <row r="750">
      <c r="B750" s="190" t="str">
        <f>IFERROR(__xludf.DUMMYFUNCTION("""COMPUTED_VALUE"""),"#VALUE!")</f>
        <v>#VALUE!</v>
      </c>
      <c r="C750" s="190"/>
      <c r="D750" s="190" t="e">
        <v>#DIV/0!</v>
      </c>
      <c r="E750" s="190" t="e">
        <v>#DIV/0!</v>
      </c>
      <c r="F750" s="183"/>
      <c r="G750" s="191"/>
      <c r="H750" s="191"/>
      <c r="I750" s="191"/>
      <c r="J750" s="191"/>
      <c r="K750" s="191"/>
      <c r="L750" s="191"/>
      <c r="M750" s="191"/>
      <c r="N750" s="191"/>
      <c r="O750" s="191"/>
      <c r="Q750" s="183"/>
    </row>
    <row r="751">
      <c r="B751" s="190" t="str">
        <f>IFERROR(__xludf.DUMMYFUNCTION("""COMPUTED_VALUE"""),"#VALUE!")</f>
        <v>#VALUE!</v>
      </c>
      <c r="C751" s="190"/>
      <c r="D751" s="190" t="e">
        <v>#DIV/0!</v>
      </c>
      <c r="E751" s="190" t="e">
        <v>#DIV/0!</v>
      </c>
      <c r="F751" s="183"/>
      <c r="G751" s="191"/>
      <c r="H751" s="191"/>
      <c r="I751" s="191"/>
      <c r="J751" s="191"/>
      <c r="K751" s="191"/>
      <c r="L751" s="191"/>
      <c r="M751" s="191"/>
      <c r="N751" s="191"/>
      <c r="O751" s="191"/>
      <c r="Q751" s="183"/>
    </row>
    <row r="752">
      <c r="B752" s="190" t="str">
        <f>IFERROR(__xludf.DUMMYFUNCTION("""COMPUTED_VALUE"""),"#VALUE!")</f>
        <v>#VALUE!</v>
      </c>
      <c r="C752" s="190"/>
      <c r="D752" s="190" t="e">
        <v>#DIV/0!</v>
      </c>
      <c r="E752" s="190" t="e">
        <v>#DIV/0!</v>
      </c>
      <c r="F752" s="183"/>
      <c r="G752" s="191"/>
      <c r="H752" s="191"/>
      <c r="I752" s="191"/>
      <c r="J752" s="191"/>
      <c r="K752" s="191"/>
      <c r="L752" s="191"/>
      <c r="M752" s="191"/>
      <c r="N752" s="191"/>
      <c r="O752" s="191"/>
      <c r="Q752" s="183"/>
    </row>
    <row r="753">
      <c r="B753" s="190" t="str">
        <f>IFERROR(__xludf.DUMMYFUNCTION("""COMPUTED_VALUE"""),"#VALUE!")</f>
        <v>#VALUE!</v>
      </c>
      <c r="C753" s="190"/>
      <c r="D753" s="190" t="e">
        <v>#DIV/0!</v>
      </c>
      <c r="E753" s="190" t="e">
        <v>#DIV/0!</v>
      </c>
      <c r="F753" s="183"/>
      <c r="G753" s="191"/>
      <c r="H753" s="191"/>
      <c r="I753" s="191"/>
      <c r="J753" s="191"/>
      <c r="K753" s="191"/>
      <c r="L753" s="191"/>
      <c r="M753" s="191"/>
      <c r="N753" s="191"/>
      <c r="O753" s="191"/>
      <c r="Q753" s="183"/>
    </row>
    <row r="754">
      <c r="B754" s="190" t="str">
        <f>IFERROR(__xludf.DUMMYFUNCTION("""COMPUTED_VALUE"""),"#VALUE!")</f>
        <v>#VALUE!</v>
      </c>
      <c r="C754" s="190"/>
      <c r="D754" s="190" t="e">
        <v>#DIV/0!</v>
      </c>
      <c r="E754" s="190" t="e">
        <v>#DIV/0!</v>
      </c>
      <c r="F754" s="183"/>
      <c r="G754" s="191"/>
      <c r="H754" s="191"/>
      <c r="I754" s="191"/>
      <c r="J754" s="191"/>
      <c r="K754" s="191"/>
      <c r="L754" s="191"/>
      <c r="M754" s="191"/>
      <c r="N754" s="191"/>
      <c r="O754" s="191"/>
      <c r="Q754" s="183"/>
    </row>
    <row r="755">
      <c r="B755" s="190" t="str">
        <f>IFERROR(__xludf.DUMMYFUNCTION("""COMPUTED_VALUE"""),"#VALUE!")</f>
        <v>#VALUE!</v>
      </c>
      <c r="C755" s="190"/>
      <c r="D755" s="190" t="e">
        <v>#DIV/0!</v>
      </c>
      <c r="E755" s="190" t="e">
        <v>#DIV/0!</v>
      </c>
      <c r="F755" s="183"/>
      <c r="G755" s="191"/>
      <c r="H755" s="191"/>
      <c r="I755" s="191"/>
      <c r="J755" s="191"/>
      <c r="K755" s="191"/>
      <c r="L755" s="191"/>
      <c r="M755" s="191"/>
      <c r="N755" s="191"/>
      <c r="O755" s="191"/>
      <c r="Q755" s="183"/>
    </row>
    <row r="756">
      <c r="B756" s="190" t="str">
        <f>IFERROR(__xludf.DUMMYFUNCTION("""COMPUTED_VALUE"""),"#VALUE!")</f>
        <v>#VALUE!</v>
      </c>
      <c r="C756" s="190"/>
      <c r="D756" s="190" t="e">
        <v>#DIV/0!</v>
      </c>
      <c r="E756" s="190" t="e">
        <v>#DIV/0!</v>
      </c>
      <c r="F756" s="183"/>
      <c r="G756" s="191"/>
      <c r="H756" s="191"/>
      <c r="I756" s="191"/>
      <c r="J756" s="191"/>
      <c r="K756" s="191"/>
      <c r="L756" s="191"/>
      <c r="M756" s="191"/>
      <c r="N756" s="191"/>
      <c r="O756" s="191"/>
      <c r="Q756" s="183"/>
    </row>
    <row r="757">
      <c r="B757" s="190" t="str">
        <f>IFERROR(__xludf.DUMMYFUNCTION("""COMPUTED_VALUE"""),"#VALUE!")</f>
        <v>#VALUE!</v>
      </c>
      <c r="C757" s="190"/>
      <c r="D757" s="190" t="e">
        <v>#DIV/0!</v>
      </c>
      <c r="E757" s="190" t="e">
        <v>#DIV/0!</v>
      </c>
      <c r="F757" s="183"/>
      <c r="G757" s="191"/>
      <c r="H757" s="191"/>
      <c r="I757" s="191"/>
      <c r="J757" s="191"/>
      <c r="K757" s="191"/>
      <c r="L757" s="191"/>
      <c r="M757" s="191"/>
      <c r="N757" s="191"/>
      <c r="O757" s="191"/>
      <c r="Q757" s="183"/>
    </row>
    <row r="758">
      <c r="B758" s="190" t="str">
        <f>IFERROR(__xludf.DUMMYFUNCTION("""COMPUTED_VALUE"""),"#VALUE!")</f>
        <v>#VALUE!</v>
      </c>
      <c r="C758" s="190"/>
      <c r="D758" s="190" t="e">
        <v>#DIV/0!</v>
      </c>
      <c r="E758" s="190" t="e">
        <v>#DIV/0!</v>
      </c>
      <c r="F758" s="183"/>
      <c r="G758" s="191"/>
      <c r="H758" s="191"/>
      <c r="I758" s="191"/>
      <c r="J758" s="191"/>
      <c r="K758" s="191"/>
      <c r="L758" s="191"/>
      <c r="M758" s="191"/>
      <c r="N758" s="191"/>
      <c r="O758" s="191"/>
      <c r="Q758" s="183"/>
    </row>
    <row r="759">
      <c r="B759" s="190" t="str">
        <f>IFERROR(__xludf.DUMMYFUNCTION("""COMPUTED_VALUE"""),"#VALUE!")</f>
        <v>#VALUE!</v>
      </c>
      <c r="C759" s="190"/>
      <c r="D759" s="190" t="e">
        <v>#DIV/0!</v>
      </c>
      <c r="E759" s="190" t="e">
        <v>#DIV/0!</v>
      </c>
      <c r="F759" s="183"/>
      <c r="G759" s="191"/>
      <c r="H759" s="191"/>
      <c r="I759" s="191"/>
      <c r="J759" s="191"/>
      <c r="K759" s="191"/>
      <c r="L759" s="191"/>
      <c r="M759" s="191"/>
      <c r="N759" s="191"/>
      <c r="O759" s="191"/>
      <c r="Q759" s="183"/>
    </row>
    <row r="760">
      <c r="B760" s="190" t="str">
        <f>IFERROR(__xludf.DUMMYFUNCTION("""COMPUTED_VALUE"""),"#VALUE!")</f>
        <v>#VALUE!</v>
      </c>
      <c r="C760" s="190"/>
      <c r="D760" s="190" t="e">
        <v>#DIV/0!</v>
      </c>
      <c r="E760" s="190" t="e">
        <v>#DIV/0!</v>
      </c>
      <c r="F760" s="183"/>
      <c r="G760" s="191"/>
      <c r="H760" s="191"/>
      <c r="I760" s="191"/>
      <c r="J760" s="191"/>
      <c r="K760" s="191"/>
      <c r="L760" s="191"/>
      <c r="M760" s="191"/>
      <c r="N760" s="191"/>
      <c r="O760" s="191"/>
      <c r="Q760" s="183"/>
    </row>
    <row r="761">
      <c r="B761" s="190" t="str">
        <f>IFERROR(__xludf.DUMMYFUNCTION("""COMPUTED_VALUE"""),"#VALUE!")</f>
        <v>#VALUE!</v>
      </c>
      <c r="C761" s="190"/>
      <c r="D761" s="190" t="e">
        <v>#DIV/0!</v>
      </c>
      <c r="E761" s="190" t="e">
        <v>#DIV/0!</v>
      </c>
      <c r="F761" s="183"/>
      <c r="G761" s="191"/>
      <c r="H761" s="191"/>
      <c r="I761" s="191"/>
      <c r="J761" s="191"/>
      <c r="K761" s="191"/>
      <c r="L761" s="191"/>
      <c r="M761" s="191"/>
      <c r="N761" s="191"/>
      <c r="O761" s="191"/>
      <c r="Q761" s="183"/>
    </row>
    <row r="762">
      <c r="B762" s="190" t="str">
        <f>IFERROR(__xludf.DUMMYFUNCTION("""COMPUTED_VALUE"""),"#VALUE!")</f>
        <v>#VALUE!</v>
      </c>
      <c r="C762" s="190"/>
      <c r="D762" s="190" t="e">
        <v>#DIV/0!</v>
      </c>
      <c r="E762" s="190" t="e">
        <v>#DIV/0!</v>
      </c>
      <c r="F762" s="183"/>
      <c r="G762" s="191"/>
      <c r="H762" s="191"/>
      <c r="I762" s="191"/>
      <c r="J762" s="191"/>
      <c r="K762" s="191"/>
      <c r="L762" s="191"/>
      <c r="M762" s="191"/>
      <c r="N762" s="191"/>
      <c r="O762" s="191"/>
      <c r="Q762" s="183"/>
    </row>
    <row r="763">
      <c r="B763" s="190" t="str">
        <f>IFERROR(__xludf.DUMMYFUNCTION("""COMPUTED_VALUE"""),"#VALUE!")</f>
        <v>#VALUE!</v>
      </c>
      <c r="C763" s="190"/>
      <c r="D763" s="190" t="e">
        <v>#DIV/0!</v>
      </c>
      <c r="E763" s="190" t="e">
        <v>#DIV/0!</v>
      </c>
      <c r="F763" s="183"/>
      <c r="G763" s="191"/>
      <c r="H763" s="191"/>
      <c r="I763" s="191"/>
      <c r="J763" s="191"/>
      <c r="K763" s="191"/>
      <c r="L763" s="191"/>
      <c r="M763" s="191"/>
      <c r="N763" s="191"/>
      <c r="O763" s="191"/>
      <c r="Q763" s="183"/>
    </row>
    <row r="764">
      <c r="B764" s="190" t="str">
        <f>IFERROR(__xludf.DUMMYFUNCTION("""COMPUTED_VALUE"""),"#VALUE!")</f>
        <v>#VALUE!</v>
      </c>
      <c r="C764" s="190"/>
      <c r="D764" s="190" t="e">
        <v>#DIV/0!</v>
      </c>
      <c r="E764" s="190" t="e">
        <v>#DIV/0!</v>
      </c>
      <c r="F764" s="183"/>
      <c r="G764" s="191"/>
      <c r="H764" s="191"/>
      <c r="I764" s="191"/>
      <c r="J764" s="191"/>
      <c r="K764" s="191"/>
      <c r="L764" s="191"/>
      <c r="M764" s="191"/>
      <c r="N764" s="191"/>
      <c r="O764" s="191"/>
      <c r="Q764" s="183"/>
    </row>
    <row r="765">
      <c r="B765" s="190" t="str">
        <f>IFERROR(__xludf.DUMMYFUNCTION("""COMPUTED_VALUE"""),"#VALUE!")</f>
        <v>#VALUE!</v>
      </c>
      <c r="C765" s="190"/>
      <c r="D765" s="190" t="e">
        <v>#DIV/0!</v>
      </c>
      <c r="E765" s="190" t="e">
        <v>#DIV/0!</v>
      </c>
      <c r="F765" s="183"/>
      <c r="G765" s="191"/>
      <c r="H765" s="191"/>
      <c r="I765" s="191"/>
      <c r="J765" s="191"/>
      <c r="K765" s="191"/>
      <c r="L765" s="191"/>
      <c r="M765" s="191"/>
      <c r="N765" s="191"/>
      <c r="O765" s="191"/>
      <c r="Q765" s="183"/>
    </row>
    <row r="766">
      <c r="B766" s="190" t="str">
        <f>IFERROR(__xludf.DUMMYFUNCTION("""COMPUTED_VALUE"""),"#VALUE!")</f>
        <v>#VALUE!</v>
      </c>
      <c r="C766" s="190"/>
      <c r="D766" s="190" t="e">
        <v>#DIV/0!</v>
      </c>
      <c r="E766" s="190" t="e">
        <v>#DIV/0!</v>
      </c>
      <c r="F766" s="183"/>
      <c r="G766" s="191"/>
      <c r="H766" s="191"/>
      <c r="I766" s="191"/>
      <c r="J766" s="191"/>
      <c r="K766" s="191"/>
      <c r="L766" s="191"/>
      <c r="M766" s="191"/>
      <c r="N766" s="191"/>
      <c r="O766" s="191"/>
      <c r="Q766" s="183"/>
    </row>
    <row r="767">
      <c r="B767" s="190" t="str">
        <f>IFERROR(__xludf.DUMMYFUNCTION("""COMPUTED_VALUE"""),"#VALUE!")</f>
        <v>#VALUE!</v>
      </c>
      <c r="C767" s="190"/>
      <c r="D767" s="190" t="e">
        <v>#DIV/0!</v>
      </c>
      <c r="E767" s="190" t="e">
        <v>#DIV/0!</v>
      </c>
      <c r="F767" s="183"/>
      <c r="G767" s="191"/>
      <c r="H767" s="191"/>
      <c r="I767" s="191"/>
      <c r="J767" s="191"/>
      <c r="K767" s="191"/>
      <c r="L767" s="191"/>
      <c r="M767" s="191"/>
      <c r="N767" s="191"/>
      <c r="O767" s="191"/>
      <c r="Q767" s="183"/>
    </row>
    <row r="768">
      <c r="B768" s="190" t="str">
        <f>IFERROR(__xludf.DUMMYFUNCTION("""COMPUTED_VALUE"""),"#VALUE!")</f>
        <v>#VALUE!</v>
      </c>
      <c r="C768" s="190"/>
      <c r="D768" s="190" t="e">
        <v>#DIV/0!</v>
      </c>
      <c r="E768" s="190" t="e">
        <v>#DIV/0!</v>
      </c>
      <c r="F768" s="183"/>
      <c r="G768" s="191"/>
      <c r="H768" s="191"/>
      <c r="I768" s="191"/>
      <c r="J768" s="191"/>
      <c r="K768" s="191"/>
      <c r="L768" s="191"/>
      <c r="M768" s="191"/>
      <c r="N768" s="191"/>
      <c r="O768" s="191"/>
      <c r="Q768" s="183"/>
    </row>
    <row r="769">
      <c r="B769" s="190" t="str">
        <f>IFERROR(__xludf.DUMMYFUNCTION("""COMPUTED_VALUE"""),"#VALUE!")</f>
        <v>#VALUE!</v>
      </c>
      <c r="C769" s="190"/>
      <c r="D769" s="190" t="e">
        <v>#DIV/0!</v>
      </c>
      <c r="E769" s="190" t="e">
        <v>#DIV/0!</v>
      </c>
      <c r="F769" s="183"/>
      <c r="G769" s="191"/>
      <c r="H769" s="191"/>
      <c r="I769" s="191"/>
      <c r="J769" s="191"/>
      <c r="K769" s="191"/>
      <c r="L769" s="191"/>
      <c r="M769" s="191"/>
      <c r="N769" s="191"/>
      <c r="O769" s="191"/>
      <c r="Q769" s="183"/>
    </row>
    <row r="770">
      <c r="B770" s="190" t="str">
        <f>IFERROR(__xludf.DUMMYFUNCTION("""COMPUTED_VALUE"""),"#VALUE!")</f>
        <v>#VALUE!</v>
      </c>
      <c r="C770" s="190"/>
      <c r="D770" s="190" t="e">
        <v>#DIV/0!</v>
      </c>
      <c r="E770" s="190" t="e">
        <v>#DIV/0!</v>
      </c>
      <c r="F770" s="183"/>
      <c r="G770" s="191"/>
      <c r="H770" s="191"/>
      <c r="I770" s="191"/>
      <c r="J770" s="191"/>
      <c r="K770" s="191"/>
      <c r="L770" s="191"/>
      <c r="M770" s="191"/>
      <c r="N770" s="191"/>
      <c r="O770" s="191"/>
      <c r="Q770" s="183"/>
    </row>
    <row r="771">
      <c r="B771" s="190" t="str">
        <f>IFERROR(__xludf.DUMMYFUNCTION("""COMPUTED_VALUE"""),"#VALUE!")</f>
        <v>#VALUE!</v>
      </c>
      <c r="C771" s="190"/>
      <c r="D771" s="190" t="e">
        <v>#DIV/0!</v>
      </c>
      <c r="E771" s="190" t="e">
        <v>#DIV/0!</v>
      </c>
      <c r="F771" s="183"/>
      <c r="G771" s="191"/>
      <c r="H771" s="191"/>
      <c r="I771" s="191"/>
      <c r="J771" s="191"/>
      <c r="K771" s="191"/>
      <c r="L771" s="191"/>
      <c r="M771" s="191"/>
      <c r="N771" s="191"/>
      <c r="O771" s="191"/>
      <c r="Q771" s="183"/>
    </row>
    <row r="772">
      <c r="B772" s="190" t="str">
        <f>IFERROR(__xludf.DUMMYFUNCTION("""COMPUTED_VALUE"""),"#VALUE!")</f>
        <v>#VALUE!</v>
      </c>
      <c r="C772" s="190"/>
      <c r="D772" s="190" t="e">
        <v>#DIV/0!</v>
      </c>
      <c r="E772" s="190" t="e">
        <v>#DIV/0!</v>
      </c>
      <c r="F772" s="183"/>
      <c r="G772" s="191"/>
      <c r="H772" s="191"/>
      <c r="I772" s="191"/>
      <c r="J772" s="191"/>
      <c r="K772" s="191"/>
      <c r="L772" s="191"/>
      <c r="M772" s="191"/>
      <c r="N772" s="191"/>
      <c r="O772" s="191"/>
      <c r="Q772" s="183"/>
    </row>
    <row r="773">
      <c r="B773" s="190" t="str">
        <f>IFERROR(__xludf.DUMMYFUNCTION("""COMPUTED_VALUE"""),"#VALUE!")</f>
        <v>#VALUE!</v>
      </c>
      <c r="C773" s="190"/>
      <c r="D773" s="190" t="e">
        <v>#DIV/0!</v>
      </c>
      <c r="E773" s="190" t="e">
        <v>#DIV/0!</v>
      </c>
      <c r="F773" s="183"/>
      <c r="G773" s="191"/>
      <c r="H773" s="191"/>
      <c r="I773" s="191"/>
      <c r="J773" s="191"/>
      <c r="K773" s="191"/>
      <c r="L773" s="191"/>
      <c r="M773" s="191"/>
      <c r="N773" s="191"/>
      <c r="O773" s="191"/>
      <c r="Q773" s="183"/>
    </row>
    <row r="774">
      <c r="B774" s="190" t="str">
        <f>IFERROR(__xludf.DUMMYFUNCTION("""COMPUTED_VALUE"""),"#VALUE!")</f>
        <v>#VALUE!</v>
      </c>
      <c r="C774" s="190"/>
      <c r="D774" s="190" t="e">
        <v>#DIV/0!</v>
      </c>
      <c r="E774" s="190" t="e">
        <v>#DIV/0!</v>
      </c>
      <c r="F774" s="183"/>
      <c r="G774" s="191"/>
      <c r="H774" s="191"/>
      <c r="I774" s="191"/>
      <c r="J774" s="191"/>
      <c r="K774" s="191"/>
      <c r="L774" s="191"/>
      <c r="M774" s="191"/>
      <c r="N774" s="191"/>
      <c r="O774" s="191"/>
      <c r="Q774" s="183"/>
    </row>
    <row r="775">
      <c r="B775" s="190" t="str">
        <f>IFERROR(__xludf.DUMMYFUNCTION("""COMPUTED_VALUE"""),"#VALUE!")</f>
        <v>#VALUE!</v>
      </c>
      <c r="C775" s="190"/>
      <c r="D775" s="190" t="e">
        <v>#DIV/0!</v>
      </c>
      <c r="E775" s="190" t="e">
        <v>#DIV/0!</v>
      </c>
      <c r="F775" s="183"/>
      <c r="G775" s="191"/>
      <c r="H775" s="191"/>
      <c r="I775" s="191"/>
      <c r="J775" s="191"/>
      <c r="K775" s="191"/>
      <c r="L775" s="191"/>
      <c r="M775" s="191"/>
      <c r="N775" s="191"/>
      <c r="O775" s="191"/>
      <c r="Q775" s="183"/>
    </row>
    <row r="776">
      <c r="B776" s="190" t="str">
        <f>IFERROR(__xludf.DUMMYFUNCTION("""COMPUTED_VALUE"""),"#VALUE!")</f>
        <v>#VALUE!</v>
      </c>
      <c r="C776" s="190"/>
      <c r="D776" s="190" t="e">
        <v>#DIV/0!</v>
      </c>
      <c r="E776" s="190" t="e">
        <v>#DIV/0!</v>
      </c>
      <c r="F776" s="183"/>
      <c r="G776" s="191"/>
      <c r="H776" s="191"/>
      <c r="I776" s="191"/>
      <c r="J776" s="191"/>
      <c r="K776" s="191"/>
      <c r="L776" s="191"/>
      <c r="M776" s="191"/>
      <c r="N776" s="191"/>
      <c r="O776" s="191"/>
      <c r="Q776" s="183"/>
    </row>
    <row r="777">
      <c r="B777" s="190" t="str">
        <f>IFERROR(__xludf.DUMMYFUNCTION("""COMPUTED_VALUE"""),"#VALUE!")</f>
        <v>#VALUE!</v>
      </c>
      <c r="C777" s="190"/>
      <c r="D777" s="190" t="e">
        <v>#DIV/0!</v>
      </c>
      <c r="E777" s="190" t="e">
        <v>#DIV/0!</v>
      </c>
      <c r="F777" s="183"/>
      <c r="G777" s="191"/>
      <c r="H777" s="191"/>
      <c r="I777" s="191"/>
      <c r="J777" s="191"/>
      <c r="K777" s="191"/>
      <c r="L777" s="191"/>
      <c r="M777" s="191"/>
      <c r="N777" s="191"/>
      <c r="O777" s="191"/>
      <c r="Q777" s="183"/>
    </row>
    <row r="778">
      <c r="B778" s="190" t="str">
        <f>IFERROR(__xludf.DUMMYFUNCTION("""COMPUTED_VALUE"""),"#VALUE!")</f>
        <v>#VALUE!</v>
      </c>
      <c r="C778" s="190"/>
      <c r="D778" s="190" t="e">
        <v>#DIV/0!</v>
      </c>
      <c r="E778" s="190" t="e">
        <v>#DIV/0!</v>
      </c>
      <c r="F778" s="183"/>
      <c r="G778" s="191"/>
      <c r="H778" s="191"/>
      <c r="I778" s="191"/>
      <c r="J778" s="191"/>
      <c r="K778" s="191"/>
      <c r="L778" s="191"/>
      <c r="M778" s="191"/>
      <c r="N778" s="191"/>
      <c r="O778" s="191"/>
      <c r="Q778" s="183"/>
    </row>
    <row r="779">
      <c r="B779" s="190" t="str">
        <f>IFERROR(__xludf.DUMMYFUNCTION("""COMPUTED_VALUE"""),"#VALUE!")</f>
        <v>#VALUE!</v>
      </c>
      <c r="C779" s="190"/>
      <c r="D779" s="190" t="e">
        <v>#DIV/0!</v>
      </c>
      <c r="E779" s="190" t="e">
        <v>#DIV/0!</v>
      </c>
      <c r="F779" s="183"/>
      <c r="G779" s="191"/>
      <c r="H779" s="191"/>
      <c r="I779" s="191"/>
      <c r="J779" s="191"/>
      <c r="K779" s="191"/>
      <c r="L779" s="191"/>
      <c r="M779" s="191"/>
      <c r="N779" s="191"/>
      <c r="O779" s="191"/>
      <c r="Q779" s="183"/>
    </row>
    <row r="780">
      <c r="B780" s="190" t="str">
        <f>IFERROR(__xludf.DUMMYFUNCTION("""COMPUTED_VALUE"""),"#VALUE!")</f>
        <v>#VALUE!</v>
      </c>
      <c r="C780" s="190"/>
      <c r="D780" s="190" t="e">
        <v>#DIV/0!</v>
      </c>
      <c r="E780" s="190" t="e">
        <v>#DIV/0!</v>
      </c>
      <c r="F780" s="183"/>
      <c r="G780" s="191"/>
      <c r="H780" s="191"/>
      <c r="I780" s="191"/>
      <c r="J780" s="191"/>
      <c r="K780" s="191"/>
      <c r="L780" s="191"/>
      <c r="M780" s="191"/>
      <c r="N780" s="191"/>
      <c r="O780" s="191"/>
      <c r="Q780" s="183"/>
    </row>
    <row r="781">
      <c r="B781" s="190" t="str">
        <f>IFERROR(__xludf.DUMMYFUNCTION("""COMPUTED_VALUE"""),"#VALUE!")</f>
        <v>#VALUE!</v>
      </c>
      <c r="C781" s="190"/>
      <c r="D781" s="190" t="e">
        <v>#DIV/0!</v>
      </c>
      <c r="E781" s="190" t="e">
        <v>#DIV/0!</v>
      </c>
      <c r="F781" s="183"/>
      <c r="G781" s="191"/>
      <c r="H781" s="191"/>
      <c r="I781" s="191"/>
      <c r="J781" s="191"/>
      <c r="K781" s="191"/>
      <c r="L781" s="191"/>
      <c r="M781" s="191"/>
      <c r="N781" s="191"/>
      <c r="O781" s="191"/>
      <c r="Q781" s="183"/>
    </row>
    <row r="782">
      <c r="B782" s="190" t="str">
        <f>IFERROR(__xludf.DUMMYFUNCTION("""COMPUTED_VALUE"""),"#VALUE!")</f>
        <v>#VALUE!</v>
      </c>
      <c r="C782" s="190"/>
      <c r="D782" s="190" t="e">
        <v>#DIV/0!</v>
      </c>
      <c r="E782" s="190" t="e">
        <v>#DIV/0!</v>
      </c>
      <c r="F782" s="183"/>
      <c r="G782" s="191"/>
      <c r="H782" s="191"/>
      <c r="I782" s="191"/>
      <c r="J782" s="191"/>
      <c r="K782" s="191"/>
      <c r="L782" s="191"/>
      <c r="M782" s="191"/>
      <c r="N782" s="191"/>
      <c r="O782" s="191"/>
      <c r="Q782" s="183"/>
    </row>
    <row r="783">
      <c r="B783" s="190" t="str">
        <f>IFERROR(__xludf.DUMMYFUNCTION("""COMPUTED_VALUE"""),"#VALUE!")</f>
        <v>#VALUE!</v>
      </c>
      <c r="C783" s="190"/>
      <c r="D783" s="190" t="e">
        <v>#DIV/0!</v>
      </c>
      <c r="E783" s="190" t="e">
        <v>#DIV/0!</v>
      </c>
      <c r="F783" s="183"/>
      <c r="G783" s="191"/>
      <c r="H783" s="191"/>
      <c r="I783" s="191"/>
      <c r="J783" s="191"/>
      <c r="K783" s="191"/>
      <c r="L783" s="191"/>
      <c r="M783" s="191"/>
      <c r="N783" s="191"/>
      <c r="O783" s="191"/>
      <c r="Q783" s="183"/>
    </row>
    <row r="784">
      <c r="B784" s="190" t="str">
        <f>IFERROR(__xludf.DUMMYFUNCTION("""COMPUTED_VALUE"""),"#VALUE!")</f>
        <v>#VALUE!</v>
      </c>
      <c r="C784" s="190"/>
      <c r="D784" s="190" t="e">
        <v>#DIV/0!</v>
      </c>
      <c r="E784" s="190" t="e">
        <v>#DIV/0!</v>
      </c>
      <c r="F784" s="183"/>
      <c r="G784" s="191"/>
      <c r="H784" s="191"/>
      <c r="I784" s="191"/>
      <c r="J784" s="191"/>
      <c r="K784" s="191"/>
      <c r="L784" s="191"/>
      <c r="M784" s="191"/>
      <c r="N784" s="191"/>
      <c r="O784" s="191"/>
      <c r="Q784" s="183"/>
    </row>
    <row r="785">
      <c r="B785" s="190" t="str">
        <f>IFERROR(__xludf.DUMMYFUNCTION("""COMPUTED_VALUE"""),"#VALUE!")</f>
        <v>#VALUE!</v>
      </c>
      <c r="C785" s="190"/>
      <c r="D785" s="190" t="e">
        <v>#DIV/0!</v>
      </c>
      <c r="E785" s="190" t="e">
        <v>#DIV/0!</v>
      </c>
      <c r="F785" s="183"/>
      <c r="G785" s="191"/>
      <c r="H785" s="191"/>
      <c r="I785" s="191"/>
      <c r="J785" s="191"/>
      <c r="K785" s="191"/>
      <c r="L785" s="191"/>
      <c r="M785" s="191"/>
      <c r="N785" s="191"/>
      <c r="O785" s="191"/>
      <c r="Q785" s="183"/>
    </row>
    <row r="786">
      <c r="B786" s="190" t="str">
        <f>IFERROR(__xludf.DUMMYFUNCTION("""COMPUTED_VALUE"""),"#VALUE!")</f>
        <v>#VALUE!</v>
      </c>
      <c r="C786" s="190"/>
      <c r="D786" s="190" t="e">
        <v>#DIV/0!</v>
      </c>
      <c r="E786" s="190" t="e">
        <v>#DIV/0!</v>
      </c>
      <c r="F786" s="183"/>
      <c r="G786" s="191"/>
      <c r="H786" s="191"/>
      <c r="I786" s="191"/>
      <c r="J786" s="191"/>
      <c r="K786" s="191"/>
      <c r="L786" s="191"/>
      <c r="M786" s="191"/>
      <c r="N786" s="191"/>
      <c r="O786" s="191"/>
      <c r="Q786" s="183"/>
    </row>
    <row r="787">
      <c r="B787" s="190" t="str">
        <f>IFERROR(__xludf.DUMMYFUNCTION("""COMPUTED_VALUE"""),"#VALUE!")</f>
        <v>#VALUE!</v>
      </c>
      <c r="C787" s="190"/>
      <c r="D787" s="190" t="e">
        <v>#DIV/0!</v>
      </c>
      <c r="E787" s="190" t="e">
        <v>#DIV/0!</v>
      </c>
      <c r="F787" s="183"/>
      <c r="G787" s="191"/>
      <c r="H787" s="191"/>
      <c r="I787" s="191"/>
      <c r="J787" s="191"/>
      <c r="K787" s="191"/>
      <c r="L787" s="191"/>
      <c r="M787" s="191"/>
      <c r="N787" s="191"/>
      <c r="O787" s="191"/>
      <c r="Q787" s="183"/>
    </row>
    <row r="788">
      <c r="B788" s="190" t="str">
        <f>IFERROR(__xludf.DUMMYFUNCTION("""COMPUTED_VALUE"""),"#VALUE!")</f>
        <v>#VALUE!</v>
      </c>
      <c r="C788" s="190"/>
      <c r="D788" s="190" t="e">
        <v>#DIV/0!</v>
      </c>
      <c r="E788" s="190" t="e">
        <v>#DIV/0!</v>
      </c>
      <c r="F788" s="183"/>
      <c r="G788" s="191"/>
      <c r="H788" s="191"/>
      <c r="I788" s="191"/>
      <c r="J788" s="191"/>
      <c r="K788" s="191"/>
      <c r="L788" s="191"/>
      <c r="M788" s="191"/>
      <c r="N788" s="191"/>
      <c r="O788" s="191"/>
      <c r="Q788" s="183"/>
    </row>
    <row r="789">
      <c r="B789" s="190" t="str">
        <f>IFERROR(__xludf.DUMMYFUNCTION("""COMPUTED_VALUE"""),"#VALUE!")</f>
        <v>#VALUE!</v>
      </c>
      <c r="C789" s="190"/>
      <c r="D789" s="190" t="e">
        <v>#DIV/0!</v>
      </c>
      <c r="E789" s="190" t="e">
        <v>#DIV/0!</v>
      </c>
      <c r="F789" s="183"/>
      <c r="G789" s="191"/>
      <c r="H789" s="191"/>
      <c r="I789" s="191"/>
      <c r="J789" s="191"/>
      <c r="K789" s="191"/>
      <c r="L789" s="191"/>
      <c r="M789" s="191"/>
      <c r="N789" s="191"/>
      <c r="O789" s="191"/>
      <c r="Q789" s="183"/>
    </row>
    <row r="790">
      <c r="B790" s="190" t="str">
        <f>IFERROR(__xludf.DUMMYFUNCTION("""COMPUTED_VALUE"""),"#VALUE!")</f>
        <v>#VALUE!</v>
      </c>
      <c r="C790" s="190"/>
      <c r="D790" s="190" t="e">
        <v>#DIV/0!</v>
      </c>
      <c r="E790" s="190" t="e">
        <v>#DIV/0!</v>
      </c>
      <c r="F790" s="183"/>
      <c r="G790" s="191"/>
      <c r="H790" s="191"/>
      <c r="I790" s="191"/>
      <c r="J790" s="191"/>
      <c r="K790" s="191"/>
      <c r="L790" s="191"/>
      <c r="M790" s="191"/>
      <c r="N790" s="191"/>
      <c r="O790" s="191"/>
      <c r="Q790" s="183"/>
    </row>
    <row r="791">
      <c r="B791" s="190" t="str">
        <f>IFERROR(__xludf.DUMMYFUNCTION("""COMPUTED_VALUE"""),"#VALUE!")</f>
        <v>#VALUE!</v>
      </c>
      <c r="C791" s="190"/>
      <c r="D791" s="190" t="e">
        <v>#DIV/0!</v>
      </c>
      <c r="E791" s="190" t="e">
        <v>#DIV/0!</v>
      </c>
      <c r="F791" s="183"/>
      <c r="G791" s="191"/>
      <c r="H791" s="191"/>
      <c r="I791" s="191"/>
      <c r="J791" s="191"/>
      <c r="K791" s="191"/>
      <c r="L791" s="191"/>
      <c r="M791" s="191"/>
      <c r="N791" s="191"/>
      <c r="O791" s="191"/>
      <c r="Q791" s="183"/>
    </row>
    <row r="792">
      <c r="B792" s="190" t="str">
        <f>IFERROR(__xludf.DUMMYFUNCTION("""COMPUTED_VALUE"""),"#VALUE!")</f>
        <v>#VALUE!</v>
      </c>
      <c r="C792" s="190"/>
      <c r="D792" s="190" t="e">
        <v>#DIV/0!</v>
      </c>
      <c r="E792" s="190" t="e">
        <v>#DIV/0!</v>
      </c>
      <c r="F792" s="183"/>
      <c r="G792" s="191"/>
      <c r="H792" s="191"/>
      <c r="I792" s="191"/>
      <c r="J792" s="191"/>
      <c r="K792" s="191"/>
      <c r="L792" s="191"/>
      <c r="M792" s="191"/>
      <c r="N792" s="191"/>
      <c r="O792" s="191"/>
      <c r="Q792" s="183"/>
    </row>
    <row r="793">
      <c r="B793" s="190" t="str">
        <f>IFERROR(__xludf.DUMMYFUNCTION("""COMPUTED_VALUE"""),"#VALUE!")</f>
        <v>#VALUE!</v>
      </c>
      <c r="C793" s="190"/>
      <c r="D793" s="190" t="e">
        <v>#DIV/0!</v>
      </c>
      <c r="E793" s="190" t="e">
        <v>#DIV/0!</v>
      </c>
      <c r="F793" s="183"/>
      <c r="G793" s="191"/>
      <c r="H793" s="191"/>
      <c r="I793" s="191"/>
      <c r="J793" s="191"/>
      <c r="K793" s="191"/>
      <c r="L793" s="191"/>
      <c r="M793" s="191"/>
      <c r="N793" s="191"/>
      <c r="O793" s="191"/>
      <c r="Q793" s="183"/>
    </row>
    <row r="794">
      <c r="B794" s="190" t="str">
        <f>IFERROR(__xludf.DUMMYFUNCTION("""COMPUTED_VALUE"""),"#VALUE!")</f>
        <v>#VALUE!</v>
      </c>
      <c r="C794" s="190"/>
      <c r="D794" s="190" t="e">
        <v>#DIV/0!</v>
      </c>
      <c r="E794" s="190" t="e">
        <v>#DIV/0!</v>
      </c>
      <c r="F794" s="183"/>
      <c r="G794" s="191"/>
      <c r="H794" s="191"/>
      <c r="I794" s="191"/>
      <c r="J794" s="191"/>
      <c r="K794" s="191"/>
      <c r="L794" s="191"/>
      <c r="M794" s="191"/>
      <c r="N794" s="191"/>
      <c r="O794" s="191"/>
      <c r="Q794" s="183"/>
    </row>
    <row r="795">
      <c r="B795" s="190" t="str">
        <f>IFERROR(__xludf.DUMMYFUNCTION("""COMPUTED_VALUE"""),"#VALUE!")</f>
        <v>#VALUE!</v>
      </c>
      <c r="C795" s="190"/>
      <c r="D795" s="190" t="e">
        <v>#DIV/0!</v>
      </c>
      <c r="E795" s="190" t="e">
        <v>#DIV/0!</v>
      </c>
      <c r="F795" s="183"/>
      <c r="G795" s="191"/>
      <c r="H795" s="191"/>
      <c r="I795" s="191"/>
      <c r="J795" s="191"/>
      <c r="K795" s="191"/>
      <c r="L795" s="191"/>
      <c r="M795" s="191"/>
      <c r="N795" s="191"/>
      <c r="O795" s="191"/>
      <c r="Q795" s="183"/>
    </row>
    <row r="796">
      <c r="B796" s="190" t="str">
        <f>IFERROR(__xludf.DUMMYFUNCTION("""COMPUTED_VALUE"""),"#VALUE!")</f>
        <v>#VALUE!</v>
      </c>
      <c r="C796" s="190"/>
      <c r="D796" s="190" t="e">
        <v>#DIV/0!</v>
      </c>
      <c r="E796" s="190" t="e">
        <v>#DIV/0!</v>
      </c>
      <c r="F796" s="183"/>
      <c r="G796" s="191"/>
      <c r="H796" s="191"/>
      <c r="I796" s="191"/>
      <c r="J796" s="191"/>
      <c r="K796" s="191"/>
      <c r="L796" s="191"/>
      <c r="M796" s="191"/>
      <c r="N796" s="191"/>
      <c r="O796" s="191"/>
      <c r="Q796" s="183"/>
    </row>
    <row r="797">
      <c r="B797" s="190" t="str">
        <f>IFERROR(__xludf.DUMMYFUNCTION("""COMPUTED_VALUE"""),"#VALUE!")</f>
        <v>#VALUE!</v>
      </c>
      <c r="C797" s="190"/>
      <c r="D797" s="190" t="e">
        <v>#DIV/0!</v>
      </c>
      <c r="E797" s="190" t="e">
        <v>#DIV/0!</v>
      </c>
      <c r="F797" s="183"/>
      <c r="G797" s="191"/>
      <c r="H797" s="191"/>
      <c r="I797" s="191"/>
      <c r="J797" s="191"/>
      <c r="K797" s="191"/>
      <c r="L797" s="191"/>
      <c r="M797" s="191"/>
      <c r="N797" s="191"/>
      <c r="O797" s="191"/>
      <c r="Q797" s="183"/>
    </row>
    <row r="798">
      <c r="B798" s="190" t="str">
        <f>IFERROR(__xludf.DUMMYFUNCTION("""COMPUTED_VALUE"""),"#VALUE!")</f>
        <v>#VALUE!</v>
      </c>
      <c r="C798" s="190"/>
      <c r="D798" s="190" t="e">
        <v>#DIV/0!</v>
      </c>
      <c r="E798" s="190" t="e">
        <v>#DIV/0!</v>
      </c>
      <c r="F798" s="183"/>
      <c r="G798" s="191"/>
      <c r="H798" s="191"/>
      <c r="I798" s="191"/>
      <c r="J798" s="191"/>
      <c r="K798" s="191"/>
      <c r="L798" s="191"/>
      <c r="M798" s="191"/>
      <c r="N798" s="191"/>
      <c r="O798" s="191"/>
      <c r="Q798" s="183"/>
    </row>
    <row r="799">
      <c r="B799" s="190" t="str">
        <f>IFERROR(__xludf.DUMMYFUNCTION("""COMPUTED_VALUE"""),"#VALUE!")</f>
        <v>#VALUE!</v>
      </c>
      <c r="C799" s="190"/>
      <c r="D799" s="190" t="e">
        <v>#DIV/0!</v>
      </c>
      <c r="E799" s="190" t="e">
        <v>#DIV/0!</v>
      </c>
      <c r="F799" s="183"/>
      <c r="G799" s="191"/>
      <c r="H799" s="191"/>
      <c r="I799" s="191"/>
      <c r="J799" s="191"/>
      <c r="K799" s="191"/>
      <c r="L799" s="191"/>
      <c r="M799" s="191"/>
      <c r="N799" s="191"/>
      <c r="O799" s="191"/>
      <c r="Q799" s="183"/>
    </row>
    <row r="800">
      <c r="B800" s="190" t="str">
        <f>IFERROR(__xludf.DUMMYFUNCTION("""COMPUTED_VALUE"""),"#VALUE!")</f>
        <v>#VALUE!</v>
      </c>
      <c r="C800" s="190"/>
      <c r="D800" s="190" t="e">
        <v>#DIV/0!</v>
      </c>
      <c r="E800" s="190" t="e">
        <v>#DIV/0!</v>
      </c>
      <c r="F800" s="183"/>
      <c r="G800" s="191"/>
      <c r="H800" s="191"/>
      <c r="I800" s="191"/>
      <c r="J800" s="191"/>
      <c r="K800" s="191"/>
      <c r="L800" s="191"/>
      <c r="M800" s="191"/>
      <c r="N800" s="191"/>
      <c r="O800" s="191"/>
      <c r="Q800" s="183"/>
    </row>
    <row r="801">
      <c r="B801" s="190" t="str">
        <f>IFERROR(__xludf.DUMMYFUNCTION("""COMPUTED_VALUE"""),"#VALUE!")</f>
        <v>#VALUE!</v>
      </c>
      <c r="C801" s="190"/>
      <c r="D801" s="190" t="e">
        <v>#DIV/0!</v>
      </c>
      <c r="E801" s="190" t="e">
        <v>#DIV/0!</v>
      </c>
      <c r="F801" s="183"/>
      <c r="G801" s="191"/>
      <c r="H801" s="191"/>
      <c r="I801" s="191"/>
      <c r="J801" s="191"/>
      <c r="K801" s="191"/>
      <c r="L801" s="191"/>
      <c r="M801" s="191"/>
      <c r="N801" s="191"/>
      <c r="O801" s="191"/>
      <c r="Q801" s="183"/>
    </row>
    <row r="802">
      <c r="B802" s="190" t="str">
        <f>IFERROR(__xludf.DUMMYFUNCTION("""COMPUTED_VALUE"""),"#VALUE!")</f>
        <v>#VALUE!</v>
      </c>
      <c r="C802" s="190"/>
      <c r="D802" s="190" t="e">
        <v>#DIV/0!</v>
      </c>
      <c r="E802" s="190" t="e">
        <v>#DIV/0!</v>
      </c>
      <c r="F802" s="183"/>
      <c r="G802" s="191"/>
      <c r="H802" s="191"/>
      <c r="I802" s="191"/>
      <c r="J802" s="191"/>
      <c r="K802" s="191"/>
      <c r="L802" s="191"/>
      <c r="M802" s="191"/>
      <c r="N802" s="191"/>
      <c r="O802" s="191"/>
      <c r="Q802" s="183"/>
    </row>
    <row r="803">
      <c r="B803" s="190" t="str">
        <f>IFERROR(__xludf.DUMMYFUNCTION("""COMPUTED_VALUE"""),"#VALUE!")</f>
        <v>#VALUE!</v>
      </c>
      <c r="C803" s="190"/>
      <c r="D803" s="190" t="e">
        <v>#DIV/0!</v>
      </c>
      <c r="E803" s="190" t="e">
        <v>#DIV/0!</v>
      </c>
      <c r="F803" s="183"/>
      <c r="G803" s="191"/>
      <c r="H803" s="191"/>
      <c r="I803" s="191"/>
      <c r="J803" s="191"/>
      <c r="K803" s="191"/>
      <c r="L803" s="191"/>
      <c r="M803" s="191"/>
      <c r="N803" s="191"/>
      <c r="O803" s="191"/>
      <c r="Q803" s="183"/>
    </row>
    <row r="804">
      <c r="B804" s="190" t="str">
        <f>IFERROR(__xludf.DUMMYFUNCTION("""COMPUTED_VALUE"""),"#VALUE!")</f>
        <v>#VALUE!</v>
      </c>
      <c r="C804" s="190"/>
      <c r="D804" s="190" t="e">
        <v>#DIV/0!</v>
      </c>
      <c r="E804" s="190" t="e">
        <v>#DIV/0!</v>
      </c>
      <c r="F804" s="183"/>
      <c r="G804" s="191"/>
      <c r="H804" s="191"/>
      <c r="I804" s="191"/>
      <c r="J804" s="191"/>
      <c r="K804" s="191"/>
      <c r="L804" s="191"/>
      <c r="M804" s="191"/>
      <c r="N804" s="191"/>
      <c r="O804" s="191"/>
      <c r="Q804" s="183"/>
    </row>
    <row r="805">
      <c r="B805" s="190" t="str">
        <f>IFERROR(__xludf.DUMMYFUNCTION("""COMPUTED_VALUE"""),"#VALUE!")</f>
        <v>#VALUE!</v>
      </c>
      <c r="C805" s="190"/>
      <c r="D805" s="190" t="e">
        <v>#DIV/0!</v>
      </c>
      <c r="E805" s="190" t="e">
        <v>#DIV/0!</v>
      </c>
      <c r="F805" s="183"/>
      <c r="G805" s="191"/>
      <c r="H805" s="191"/>
      <c r="I805" s="191"/>
      <c r="J805" s="191"/>
      <c r="K805" s="191"/>
      <c r="L805" s="191"/>
      <c r="M805" s="191"/>
      <c r="N805" s="191"/>
      <c r="O805" s="191"/>
      <c r="Q805" s="183"/>
    </row>
    <row r="806">
      <c r="B806" s="190" t="str">
        <f>IFERROR(__xludf.DUMMYFUNCTION("""COMPUTED_VALUE"""),"#VALUE!")</f>
        <v>#VALUE!</v>
      </c>
      <c r="C806" s="190"/>
      <c r="D806" s="190" t="e">
        <v>#DIV/0!</v>
      </c>
      <c r="E806" s="190" t="e">
        <v>#DIV/0!</v>
      </c>
      <c r="F806" s="183"/>
      <c r="G806" s="191"/>
      <c r="H806" s="191"/>
      <c r="I806" s="191"/>
      <c r="J806" s="191"/>
      <c r="K806" s="191"/>
      <c r="L806" s="191"/>
      <c r="M806" s="191"/>
      <c r="N806" s="191"/>
      <c r="O806" s="191"/>
      <c r="Q806" s="183"/>
    </row>
    <row r="807">
      <c r="B807" s="190" t="str">
        <f>IFERROR(__xludf.DUMMYFUNCTION("""COMPUTED_VALUE"""),"#VALUE!")</f>
        <v>#VALUE!</v>
      </c>
      <c r="C807" s="190"/>
      <c r="D807" s="190" t="e">
        <v>#DIV/0!</v>
      </c>
      <c r="E807" s="190" t="e">
        <v>#DIV/0!</v>
      </c>
      <c r="F807" s="183"/>
      <c r="G807" s="191"/>
      <c r="H807" s="191"/>
      <c r="I807" s="191"/>
      <c r="J807" s="191"/>
      <c r="K807" s="191"/>
      <c r="L807" s="191"/>
      <c r="M807" s="191"/>
      <c r="N807" s="191"/>
      <c r="O807" s="191"/>
      <c r="Q807" s="183"/>
    </row>
    <row r="808">
      <c r="B808" s="190" t="str">
        <f>IFERROR(__xludf.DUMMYFUNCTION("""COMPUTED_VALUE"""),"#VALUE!")</f>
        <v>#VALUE!</v>
      </c>
      <c r="C808" s="190"/>
      <c r="D808" s="190" t="e">
        <v>#DIV/0!</v>
      </c>
      <c r="E808" s="190" t="e">
        <v>#DIV/0!</v>
      </c>
      <c r="F808" s="183"/>
      <c r="G808" s="191"/>
      <c r="H808" s="191"/>
      <c r="I808" s="191"/>
      <c r="J808" s="191"/>
      <c r="K808" s="191"/>
      <c r="L808" s="191"/>
      <c r="M808" s="191"/>
      <c r="N808" s="191"/>
      <c r="O808" s="191"/>
      <c r="Q808" s="183"/>
    </row>
    <row r="809">
      <c r="B809" s="190" t="str">
        <f>IFERROR(__xludf.DUMMYFUNCTION("""COMPUTED_VALUE"""),"#VALUE!")</f>
        <v>#VALUE!</v>
      </c>
      <c r="C809" s="190"/>
      <c r="D809" s="190" t="e">
        <v>#DIV/0!</v>
      </c>
      <c r="E809" s="190" t="e">
        <v>#DIV/0!</v>
      </c>
      <c r="F809" s="183"/>
      <c r="G809" s="191"/>
      <c r="H809" s="191"/>
      <c r="I809" s="191"/>
      <c r="J809" s="191"/>
      <c r="K809" s="191"/>
      <c r="L809" s="191"/>
      <c r="M809" s="191"/>
      <c r="N809" s="191"/>
      <c r="O809" s="191"/>
      <c r="Q809" s="183"/>
    </row>
    <row r="810">
      <c r="B810" s="190" t="str">
        <f>IFERROR(__xludf.DUMMYFUNCTION("""COMPUTED_VALUE"""),"#VALUE!")</f>
        <v>#VALUE!</v>
      </c>
      <c r="C810" s="190"/>
      <c r="D810" s="190" t="e">
        <v>#DIV/0!</v>
      </c>
      <c r="E810" s="190" t="e">
        <v>#DIV/0!</v>
      </c>
      <c r="F810" s="183"/>
      <c r="G810" s="191"/>
      <c r="H810" s="191"/>
      <c r="I810" s="191"/>
      <c r="J810" s="191"/>
      <c r="K810" s="191"/>
      <c r="L810" s="191"/>
      <c r="M810" s="191"/>
      <c r="N810" s="191"/>
      <c r="O810" s="191"/>
      <c r="Q810" s="183"/>
    </row>
    <row r="811">
      <c r="B811" s="190" t="str">
        <f>IFERROR(__xludf.DUMMYFUNCTION("""COMPUTED_VALUE"""),"#VALUE!")</f>
        <v>#VALUE!</v>
      </c>
      <c r="C811" s="190"/>
      <c r="D811" s="190" t="e">
        <v>#DIV/0!</v>
      </c>
      <c r="E811" s="190" t="e">
        <v>#DIV/0!</v>
      </c>
      <c r="F811" s="183"/>
      <c r="G811" s="191"/>
      <c r="H811" s="191"/>
      <c r="I811" s="191"/>
      <c r="J811" s="191"/>
      <c r="K811" s="191"/>
      <c r="L811" s="191"/>
      <c r="M811" s="191"/>
      <c r="N811" s="191"/>
      <c r="O811" s="191"/>
      <c r="Q811" s="183"/>
    </row>
    <row r="812">
      <c r="B812" s="190" t="str">
        <f>IFERROR(__xludf.DUMMYFUNCTION("""COMPUTED_VALUE"""),"#VALUE!")</f>
        <v>#VALUE!</v>
      </c>
      <c r="C812" s="190"/>
      <c r="D812" s="190" t="e">
        <v>#DIV/0!</v>
      </c>
      <c r="E812" s="190" t="e">
        <v>#DIV/0!</v>
      </c>
      <c r="F812" s="183"/>
      <c r="G812" s="191"/>
      <c r="H812" s="191"/>
      <c r="I812" s="191"/>
      <c r="J812" s="191"/>
      <c r="K812" s="191"/>
      <c r="L812" s="191"/>
      <c r="M812" s="191"/>
      <c r="N812" s="191"/>
      <c r="O812" s="191"/>
      <c r="Q812" s="183"/>
    </row>
    <row r="813">
      <c r="B813" s="190" t="str">
        <f>IFERROR(__xludf.DUMMYFUNCTION("""COMPUTED_VALUE"""),"#VALUE!")</f>
        <v>#VALUE!</v>
      </c>
      <c r="C813" s="190"/>
      <c r="D813" s="190" t="e">
        <v>#DIV/0!</v>
      </c>
      <c r="E813" s="190" t="e">
        <v>#DIV/0!</v>
      </c>
      <c r="F813" s="183"/>
      <c r="G813" s="191"/>
      <c r="H813" s="191"/>
      <c r="I813" s="191"/>
      <c r="J813" s="191"/>
      <c r="K813" s="191"/>
      <c r="L813" s="191"/>
      <c r="M813" s="191"/>
      <c r="N813" s="191"/>
      <c r="O813" s="191"/>
      <c r="Q813" s="183"/>
    </row>
    <row r="814">
      <c r="B814" s="190" t="str">
        <f>IFERROR(__xludf.DUMMYFUNCTION("""COMPUTED_VALUE"""),"#VALUE!")</f>
        <v>#VALUE!</v>
      </c>
      <c r="C814" s="190"/>
      <c r="D814" s="190" t="e">
        <v>#DIV/0!</v>
      </c>
      <c r="E814" s="190" t="e">
        <v>#DIV/0!</v>
      </c>
      <c r="F814" s="183"/>
      <c r="G814" s="191"/>
      <c r="H814" s="191"/>
      <c r="I814" s="191"/>
      <c r="J814" s="191"/>
      <c r="K814" s="191"/>
      <c r="L814" s="191"/>
      <c r="M814" s="191"/>
      <c r="N814" s="191"/>
      <c r="O814" s="191"/>
      <c r="Q814" s="183"/>
    </row>
    <row r="815">
      <c r="B815" s="190" t="str">
        <f>IFERROR(__xludf.DUMMYFUNCTION("""COMPUTED_VALUE"""),"#VALUE!")</f>
        <v>#VALUE!</v>
      </c>
      <c r="C815" s="190"/>
      <c r="D815" s="190" t="e">
        <v>#DIV/0!</v>
      </c>
      <c r="E815" s="190" t="e">
        <v>#DIV/0!</v>
      </c>
      <c r="F815" s="183"/>
      <c r="G815" s="191"/>
      <c r="H815" s="191"/>
      <c r="I815" s="191"/>
      <c r="J815" s="191"/>
      <c r="K815" s="191"/>
      <c r="L815" s="191"/>
      <c r="M815" s="191"/>
      <c r="N815" s="191"/>
      <c r="O815" s="191"/>
      <c r="Q815" s="183"/>
    </row>
    <row r="816">
      <c r="B816" s="190" t="str">
        <f>IFERROR(__xludf.DUMMYFUNCTION("""COMPUTED_VALUE"""),"#VALUE!")</f>
        <v>#VALUE!</v>
      </c>
      <c r="C816" s="190"/>
      <c r="D816" s="190" t="e">
        <v>#DIV/0!</v>
      </c>
      <c r="E816" s="190" t="e">
        <v>#DIV/0!</v>
      </c>
      <c r="F816" s="183"/>
      <c r="G816" s="191"/>
      <c r="H816" s="191"/>
      <c r="I816" s="191"/>
      <c r="J816" s="191"/>
      <c r="K816" s="191"/>
      <c r="L816" s="191"/>
      <c r="M816" s="191"/>
      <c r="N816" s="191"/>
      <c r="O816" s="191"/>
      <c r="Q816" s="183"/>
    </row>
    <row r="817">
      <c r="B817" s="190" t="str">
        <f>IFERROR(__xludf.DUMMYFUNCTION("""COMPUTED_VALUE"""),"#VALUE!")</f>
        <v>#VALUE!</v>
      </c>
      <c r="C817" s="190"/>
      <c r="D817" s="190" t="e">
        <v>#DIV/0!</v>
      </c>
      <c r="E817" s="190" t="e">
        <v>#DIV/0!</v>
      </c>
      <c r="F817" s="183"/>
      <c r="G817" s="191"/>
      <c r="H817" s="191"/>
      <c r="I817" s="191"/>
      <c r="J817" s="191"/>
      <c r="K817" s="191"/>
      <c r="L817" s="191"/>
      <c r="M817" s="191"/>
      <c r="N817" s="191"/>
      <c r="O817" s="191"/>
      <c r="Q817" s="183"/>
    </row>
    <row r="818">
      <c r="B818" s="190" t="str">
        <f>IFERROR(__xludf.DUMMYFUNCTION("""COMPUTED_VALUE"""),"#VALUE!")</f>
        <v>#VALUE!</v>
      </c>
      <c r="C818" s="190"/>
      <c r="D818" s="190" t="e">
        <v>#DIV/0!</v>
      </c>
      <c r="E818" s="190" t="e">
        <v>#DIV/0!</v>
      </c>
      <c r="F818" s="183"/>
      <c r="G818" s="191"/>
      <c r="H818" s="191"/>
      <c r="I818" s="191"/>
      <c r="J818" s="191"/>
      <c r="K818" s="191"/>
      <c r="L818" s="191"/>
      <c r="M818" s="191"/>
      <c r="N818" s="191"/>
      <c r="O818" s="191"/>
      <c r="Q818" s="183"/>
    </row>
    <row r="819">
      <c r="B819" s="190" t="str">
        <f>IFERROR(__xludf.DUMMYFUNCTION("""COMPUTED_VALUE"""),"#VALUE!")</f>
        <v>#VALUE!</v>
      </c>
      <c r="C819" s="190"/>
      <c r="D819" s="190" t="e">
        <v>#DIV/0!</v>
      </c>
      <c r="E819" s="190" t="e">
        <v>#DIV/0!</v>
      </c>
      <c r="F819" s="183"/>
      <c r="G819" s="191"/>
      <c r="H819" s="191"/>
      <c r="I819" s="191"/>
      <c r="J819" s="191"/>
      <c r="K819" s="191"/>
      <c r="L819" s="191"/>
      <c r="M819" s="191"/>
      <c r="N819" s="191"/>
      <c r="O819" s="191"/>
      <c r="Q819" s="183"/>
    </row>
    <row r="820">
      <c r="B820" s="190" t="str">
        <f>IFERROR(__xludf.DUMMYFUNCTION("""COMPUTED_VALUE"""),"#VALUE!")</f>
        <v>#VALUE!</v>
      </c>
      <c r="C820" s="190"/>
      <c r="D820" s="190" t="e">
        <v>#DIV/0!</v>
      </c>
      <c r="E820" s="190" t="e">
        <v>#DIV/0!</v>
      </c>
      <c r="F820" s="183"/>
      <c r="G820" s="191"/>
      <c r="H820" s="191"/>
      <c r="I820" s="191"/>
      <c r="J820" s="191"/>
      <c r="K820" s="191"/>
      <c r="L820" s="191"/>
      <c r="M820" s="191"/>
      <c r="N820" s="191"/>
      <c r="O820" s="191"/>
      <c r="Q820" s="183"/>
    </row>
    <row r="821">
      <c r="B821" s="190" t="str">
        <f>IFERROR(__xludf.DUMMYFUNCTION("""COMPUTED_VALUE"""),"#VALUE!")</f>
        <v>#VALUE!</v>
      </c>
      <c r="C821" s="190"/>
      <c r="D821" s="190" t="e">
        <v>#DIV/0!</v>
      </c>
      <c r="E821" s="190" t="e">
        <v>#DIV/0!</v>
      </c>
      <c r="F821" s="183"/>
      <c r="G821" s="191"/>
      <c r="H821" s="191"/>
      <c r="I821" s="191"/>
      <c r="J821" s="191"/>
      <c r="K821" s="191"/>
      <c r="L821" s="191"/>
      <c r="M821" s="191"/>
      <c r="N821" s="191"/>
      <c r="O821" s="191"/>
      <c r="Q821" s="183"/>
    </row>
    <row r="822">
      <c r="B822" s="190" t="str">
        <f>IFERROR(__xludf.DUMMYFUNCTION("""COMPUTED_VALUE"""),"#VALUE!")</f>
        <v>#VALUE!</v>
      </c>
      <c r="C822" s="190"/>
      <c r="D822" s="190" t="e">
        <v>#DIV/0!</v>
      </c>
      <c r="E822" s="190" t="e">
        <v>#DIV/0!</v>
      </c>
      <c r="F822" s="183"/>
      <c r="G822" s="191"/>
      <c r="H822" s="191"/>
      <c r="I822" s="191"/>
      <c r="J822" s="191"/>
      <c r="K822" s="191"/>
      <c r="L822" s="191"/>
      <c r="M822" s="191"/>
      <c r="N822" s="191"/>
      <c r="O822" s="191"/>
      <c r="Q822" s="183"/>
    </row>
    <row r="823">
      <c r="B823" s="190" t="str">
        <f>IFERROR(__xludf.DUMMYFUNCTION("""COMPUTED_VALUE"""),"#VALUE!")</f>
        <v>#VALUE!</v>
      </c>
      <c r="C823" s="190"/>
      <c r="D823" s="190" t="e">
        <v>#DIV/0!</v>
      </c>
      <c r="E823" s="190" t="e">
        <v>#DIV/0!</v>
      </c>
      <c r="F823" s="183"/>
      <c r="G823" s="191"/>
      <c r="H823" s="191"/>
      <c r="I823" s="191"/>
      <c r="J823" s="191"/>
      <c r="K823" s="191"/>
      <c r="L823" s="191"/>
      <c r="M823" s="191"/>
      <c r="N823" s="191"/>
      <c r="O823" s="191"/>
      <c r="Q823" s="183"/>
    </row>
    <row r="824">
      <c r="B824" s="190" t="str">
        <f>IFERROR(__xludf.DUMMYFUNCTION("""COMPUTED_VALUE"""),"#VALUE!")</f>
        <v>#VALUE!</v>
      </c>
      <c r="C824" s="190"/>
      <c r="D824" s="190" t="e">
        <v>#DIV/0!</v>
      </c>
      <c r="E824" s="190" t="e">
        <v>#DIV/0!</v>
      </c>
      <c r="F824" s="183"/>
      <c r="G824" s="191"/>
      <c r="H824" s="191"/>
      <c r="I824" s="191"/>
      <c r="J824" s="191"/>
      <c r="K824" s="191"/>
      <c r="L824" s="191"/>
      <c r="M824" s="191"/>
      <c r="N824" s="191"/>
      <c r="O824" s="191"/>
      <c r="Q824" s="183"/>
    </row>
    <row r="825">
      <c r="B825" s="190" t="str">
        <f>IFERROR(__xludf.DUMMYFUNCTION("""COMPUTED_VALUE"""),"#VALUE!")</f>
        <v>#VALUE!</v>
      </c>
      <c r="C825" s="190"/>
      <c r="D825" s="190" t="e">
        <v>#DIV/0!</v>
      </c>
      <c r="E825" s="190" t="e">
        <v>#DIV/0!</v>
      </c>
      <c r="F825" s="183"/>
      <c r="G825" s="191"/>
      <c r="H825" s="191"/>
      <c r="I825" s="191"/>
      <c r="J825" s="191"/>
      <c r="K825" s="191"/>
      <c r="L825" s="191"/>
      <c r="M825" s="191"/>
      <c r="N825" s="191"/>
      <c r="O825" s="191"/>
      <c r="Q825" s="183"/>
    </row>
    <row r="826">
      <c r="B826" s="190" t="str">
        <f>IFERROR(__xludf.DUMMYFUNCTION("""COMPUTED_VALUE"""),"#VALUE!")</f>
        <v>#VALUE!</v>
      </c>
      <c r="C826" s="190"/>
      <c r="D826" s="190" t="e">
        <v>#DIV/0!</v>
      </c>
      <c r="E826" s="190" t="e">
        <v>#DIV/0!</v>
      </c>
      <c r="F826" s="183"/>
      <c r="G826" s="191"/>
      <c r="H826" s="191"/>
      <c r="I826" s="191"/>
      <c r="J826" s="191"/>
      <c r="K826" s="191"/>
      <c r="L826" s="191"/>
      <c r="M826" s="191"/>
      <c r="N826" s="191"/>
      <c r="O826" s="191"/>
      <c r="Q826" s="183"/>
    </row>
    <row r="827">
      <c r="B827" s="190" t="str">
        <f>IFERROR(__xludf.DUMMYFUNCTION("""COMPUTED_VALUE"""),"#VALUE!")</f>
        <v>#VALUE!</v>
      </c>
      <c r="C827" s="190"/>
      <c r="D827" s="190" t="e">
        <v>#DIV/0!</v>
      </c>
      <c r="E827" s="190" t="e">
        <v>#DIV/0!</v>
      </c>
      <c r="F827" s="183"/>
      <c r="G827" s="191"/>
      <c r="H827" s="191"/>
      <c r="I827" s="191"/>
      <c r="J827" s="191"/>
      <c r="K827" s="191"/>
      <c r="L827" s="191"/>
      <c r="M827" s="191"/>
      <c r="N827" s="191"/>
      <c r="O827" s="191"/>
      <c r="Q827" s="183"/>
    </row>
    <row r="828">
      <c r="B828" s="190" t="str">
        <f>IFERROR(__xludf.DUMMYFUNCTION("""COMPUTED_VALUE"""),"#VALUE!")</f>
        <v>#VALUE!</v>
      </c>
      <c r="C828" s="190"/>
      <c r="D828" s="190" t="e">
        <v>#DIV/0!</v>
      </c>
      <c r="E828" s="190" t="e">
        <v>#DIV/0!</v>
      </c>
      <c r="F828" s="183"/>
      <c r="G828" s="191"/>
      <c r="H828" s="191"/>
      <c r="I828" s="191"/>
      <c r="J828" s="191"/>
      <c r="K828" s="191"/>
      <c r="L828" s="191"/>
      <c r="M828" s="191"/>
      <c r="N828" s="191"/>
      <c r="O828" s="191"/>
      <c r="Q828" s="183"/>
    </row>
    <row r="829">
      <c r="B829" s="190" t="str">
        <f>IFERROR(__xludf.DUMMYFUNCTION("""COMPUTED_VALUE"""),"#VALUE!")</f>
        <v>#VALUE!</v>
      </c>
      <c r="C829" s="190"/>
      <c r="D829" s="190" t="e">
        <v>#DIV/0!</v>
      </c>
      <c r="E829" s="190" t="e">
        <v>#DIV/0!</v>
      </c>
      <c r="F829" s="183"/>
      <c r="G829" s="191"/>
      <c r="H829" s="191"/>
      <c r="I829" s="191"/>
      <c r="J829" s="191"/>
      <c r="K829" s="191"/>
      <c r="L829" s="191"/>
      <c r="M829" s="191"/>
      <c r="N829" s="191"/>
      <c r="O829" s="191"/>
      <c r="Q829" s="183"/>
    </row>
    <row r="830">
      <c r="B830" s="190" t="str">
        <f>IFERROR(__xludf.DUMMYFUNCTION("""COMPUTED_VALUE"""),"#VALUE!")</f>
        <v>#VALUE!</v>
      </c>
      <c r="C830" s="190"/>
      <c r="D830" s="190" t="e">
        <v>#DIV/0!</v>
      </c>
      <c r="E830" s="190" t="e">
        <v>#DIV/0!</v>
      </c>
      <c r="F830" s="183"/>
      <c r="G830" s="191"/>
      <c r="H830" s="191"/>
      <c r="I830" s="191"/>
      <c r="J830" s="191"/>
      <c r="K830" s="191"/>
      <c r="L830" s="191"/>
      <c r="M830" s="191"/>
      <c r="N830" s="191"/>
      <c r="O830" s="191"/>
      <c r="Q830" s="183"/>
    </row>
    <row r="831">
      <c r="B831" s="190" t="str">
        <f>IFERROR(__xludf.DUMMYFUNCTION("""COMPUTED_VALUE"""),"#VALUE!")</f>
        <v>#VALUE!</v>
      </c>
      <c r="C831" s="190"/>
      <c r="D831" s="190" t="e">
        <v>#DIV/0!</v>
      </c>
      <c r="E831" s="190" t="e">
        <v>#DIV/0!</v>
      </c>
      <c r="F831" s="183"/>
      <c r="G831" s="191"/>
      <c r="H831" s="191"/>
      <c r="I831" s="191"/>
      <c r="J831" s="191"/>
      <c r="K831" s="191"/>
      <c r="L831" s="191"/>
      <c r="M831" s="191"/>
      <c r="N831" s="191"/>
      <c r="O831" s="191"/>
      <c r="Q831" s="183"/>
    </row>
    <row r="832">
      <c r="B832" s="190" t="str">
        <f>IFERROR(__xludf.DUMMYFUNCTION("""COMPUTED_VALUE"""),"#VALUE!")</f>
        <v>#VALUE!</v>
      </c>
      <c r="C832" s="190"/>
      <c r="D832" s="190" t="e">
        <v>#DIV/0!</v>
      </c>
      <c r="E832" s="190" t="e">
        <v>#DIV/0!</v>
      </c>
      <c r="F832" s="183"/>
      <c r="G832" s="191"/>
      <c r="H832" s="191"/>
      <c r="I832" s="191"/>
      <c r="J832" s="191"/>
      <c r="K832" s="191"/>
      <c r="L832" s="191"/>
      <c r="M832" s="191"/>
      <c r="N832" s="191"/>
      <c r="O832" s="191"/>
      <c r="Q832" s="183"/>
    </row>
    <row r="833">
      <c r="B833" s="190" t="str">
        <f>IFERROR(__xludf.DUMMYFUNCTION("""COMPUTED_VALUE"""),"#VALUE!")</f>
        <v>#VALUE!</v>
      </c>
      <c r="C833" s="190"/>
      <c r="D833" s="190" t="e">
        <v>#DIV/0!</v>
      </c>
      <c r="E833" s="190" t="e">
        <v>#DIV/0!</v>
      </c>
      <c r="F833" s="183"/>
      <c r="G833" s="191"/>
      <c r="H833" s="191"/>
      <c r="I833" s="191"/>
      <c r="J833" s="191"/>
      <c r="K833" s="191"/>
      <c r="L833" s="191"/>
      <c r="M833" s="191"/>
      <c r="N833" s="191"/>
      <c r="O833" s="191"/>
      <c r="Q833" s="183"/>
    </row>
    <row r="834">
      <c r="B834" s="190" t="str">
        <f>IFERROR(__xludf.DUMMYFUNCTION("""COMPUTED_VALUE"""),"#VALUE!")</f>
        <v>#VALUE!</v>
      </c>
      <c r="C834" s="190"/>
      <c r="D834" s="190" t="e">
        <v>#DIV/0!</v>
      </c>
      <c r="E834" s="190" t="e">
        <v>#DIV/0!</v>
      </c>
      <c r="F834" s="183"/>
      <c r="G834" s="191"/>
      <c r="H834" s="191"/>
      <c r="I834" s="191"/>
      <c r="J834" s="191"/>
      <c r="K834" s="191"/>
      <c r="L834" s="191"/>
      <c r="M834" s="191"/>
      <c r="N834" s="191"/>
      <c r="O834" s="191"/>
      <c r="Q834" s="183"/>
    </row>
    <row r="835">
      <c r="B835" s="190" t="str">
        <f>IFERROR(__xludf.DUMMYFUNCTION("""COMPUTED_VALUE"""),"#VALUE!")</f>
        <v>#VALUE!</v>
      </c>
      <c r="C835" s="190"/>
      <c r="D835" s="190" t="e">
        <v>#DIV/0!</v>
      </c>
      <c r="E835" s="190" t="e">
        <v>#DIV/0!</v>
      </c>
      <c r="F835" s="183"/>
      <c r="G835" s="191"/>
      <c r="H835" s="191"/>
      <c r="I835" s="191"/>
      <c r="J835" s="191"/>
      <c r="K835" s="191"/>
      <c r="L835" s="191"/>
      <c r="M835" s="191"/>
      <c r="N835" s="191"/>
      <c r="O835" s="191"/>
      <c r="Q835" s="183"/>
    </row>
    <row r="836">
      <c r="B836" s="190" t="str">
        <f>IFERROR(__xludf.DUMMYFUNCTION("""COMPUTED_VALUE"""),"#VALUE!")</f>
        <v>#VALUE!</v>
      </c>
      <c r="C836" s="190"/>
      <c r="D836" s="190" t="e">
        <v>#DIV/0!</v>
      </c>
      <c r="E836" s="190" t="e">
        <v>#DIV/0!</v>
      </c>
      <c r="F836" s="183"/>
      <c r="G836" s="191"/>
      <c r="H836" s="191"/>
      <c r="I836" s="191"/>
      <c r="J836" s="191"/>
      <c r="K836" s="191"/>
      <c r="L836" s="191"/>
      <c r="M836" s="191"/>
      <c r="N836" s="191"/>
      <c r="O836" s="191"/>
      <c r="Q836" s="183"/>
    </row>
    <row r="837">
      <c r="B837" s="190" t="str">
        <f>IFERROR(__xludf.DUMMYFUNCTION("""COMPUTED_VALUE"""),"#VALUE!")</f>
        <v>#VALUE!</v>
      </c>
      <c r="C837" s="190"/>
      <c r="D837" s="190" t="e">
        <v>#DIV/0!</v>
      </c>
      <c r="E837" s="190" t="e">
        <v>#DIV/0!</v>
      </c>
      <c r="F837" s="183"/>
      <c r="G837" s="191"/>
      <c r="H837" s="191"/>
      <c r="I837" s="191"/>
      <c r="J837" s="191"/>
      <c r="K837" s="191"/>
      <c r="L837" s="191"/>
      <c r="M837" s="191"/>
      <c r="N837" s="191"/>
      <c r="O837" s="191"/>
      <c r="Q837" s="183"/>
    </row>
    <row r="838">
      <c r="B838" s="190" t="str">
        <f>IFERROR(__xludf.DUMMYFUNCTION("""COMPUTED_VALUE"""),"#VALUE!")</f>
        <v>#VALUE!</v>
      </c>
      <c r="C838" s="190"/>
      <c r="D838" s="190" t="e">
        <v>#DIV/0!</v>
      </c>
      <c r="E838" s="190" t="e">
        <v>#DIV/0!</v>
      </c>
      <c r="F838" s="183"/>
      <c r="G838" s="191"/>
      <c r="H838" s="191"/>
      <c r="I838" s="191"/>
      <c r="J838" s="191"/>
      <c r="K838" s="191"/>
      <c r="L838" s="191"/>
      <c r="M838" s="191"/>
      <c r="N838" s="191"/>
      <c r="O838" s="191"/>
      <c r="Q838" s="183"/>
    </row>
    <row r="839">
      <c r="B839" s="190" t="str">
        <f>IFERROR(__xludf.DUMMYFUNCTION("""COMPUTED_VALUE"""),"#VALUE!")</f>
        <v>#VALUE!</v>
      </c>
      <c r="C839" s="190"/>
      <c r="D839" s="190" t="e">
        <v>#DIV/0!</v>
      </c>
      <c r="E839" s="190" t="e">
        <v>#DIV/0!</v>
      </c>
      <c r="F839" s="183"/>
      <c r="G839" s="191"/>
      <c r="H839" s="191"/>
      <c r="I839" s="191"/>
      <c r="J839" s="191"/>
      <c r="K839" s="191"/>
      <c r="L839" s="191"/>
      <c r="M839" s="191"/>
      <c r="N839" s="191"/>
      <c r="O839" s="191"/>
      <c r="Q839" s="183"/>
    </row>
    <row r="840">
      <c r="B840" s="190" t="str">
        <f>IFERROR(__xludf.DUMMYFUNCTION("""COMPUTED_VALUE"""),"#VALUE!")</f>
        <v>#VALUE!</v>
      </c>
      <c r="C840" s="190"/>
      <c r="D840" s="190" t="e">
        <v>#DIV/0!</v>
      </c>
      <c r="E840" s="190" t="e">
        <v>#DIV/0!</v>
      </c>
      <c r="F840" s="183"/>
      <c r="G840" s="191"/>
      <c r="H840" s="191"/>
      <c r="I840" s="191"/>
      <c r="J840" s="191"/>
      <c r="K840" s="191"/>
      <c r="L840" s="191"/>
      <c r="M840" s="191"/>
      <c r="N840" s="191"/>
      <c r="O840" s="191"/>
      <c r="Q840" s="183"/>
    </row>
    <row r="841">
      <c r="B841" s="190" t="str">
        <f>IFERROR(__xludf.DUMMYFUNCTION("""COMPUTED_VALUE"""),"#VALUE!")</f>
        <v>#VALUE!</v>
      </c>
      <c r="C841" s="190"/>
      <c r="D841" s="190" t="e">
        <v>#DIV/0!</v>
      </c>
      <c r="E841" s="190" t="e">
        <v>#DIV/0!</v>
      </c>
      <c r="F841" s="183"/>
      <c r="G841" s="191"/>
      <c r="H841" s="191"/>
      <c r="I841" s="191"/>
      <c r="J841" s="191"/>
      <c r="K841" s="191"/>
      <c r="L841" s="191"/>
      <c r="M841" s="191"/>
      <c r="N841" s="191"/>
      <c r="O841" s="191"/>
      <c r="Q841" s="183"/>
    </row>
    <row r="842">
      <c r="B842" s="190" t="str">
        <f>IFERROR(__xludf.DUMMYFUNCTION("""COMPUTED_VALUE"""),"#VALUE!")</f>
        <v>#VALUE!</v>
      </c>
      <c r="C842" s="190"/>
      <c r="D842" s="190" t="e">
        <v>#DIV/0!</v>
      </c>
      <c r="E842" s="190" t="e">
        <v>#DIV/0!</v>
      </c>
      <c r="F842" s="183"/>
      <c r="G842" s="191"/>
      <c r="H842" s="191"/>
      <c r="I842" s="191"/>
      <c r="J842" s="191"/>
      <c r="K842" s="191"/>
      <c r="L842" s="191"/>
      <c r="M842" s="191"/>
      <c r="N842" s="191"/>
      <c r="O842" s="191"/>
      <c r="Q842" s="183"/>
    </row>
    <row r="843">
      <c r="B843" s="190" t="str">
        <f>IFERROR(__xludf.DUMMYFUNCTION("""COMPUTED_VALUE"""),"#VALUE!")</f>
        <v>#VALUE!</v>
      </c>
      <c r="C843" s="190"/>
      <c r="D843" s="190" t="e">
        <v>#DIV/0!</v>
      </c>
      <c r="E843" s="190" t="e">
        <v>#DIV/0!</v>
      </c>
      <c r="F843" s="183"/>
      <c r="G843" s="191"/>
      <c r="H843" s="191"/>
      <c r="I843" s="191"/>
      <c r="J843" s="191"/>
      <c r="K843" s="191"/>
      <c r="L843" s="191"/>
      <c r="M843" s="191"/>
      <c r="N843" s="191"/>
      <c r="O843" s="191"/>
      <c r="Q843" s="183"/>
    </row>
    <row r="844">
      <c r="B844" s="190" t="str">
        <f>IFERROR(__xludf.DUMMYFUNCTION("""COMPUTED_VALUE"""),"#VALUE!")</f>
        <v>#VALUE!</v>
      </c>
      <c r="C844" s="190"/>
      <c r="D844" s="190" t="e">
        <v>#DIV/0!</v>
      </c>
      <c r="E844" s="190" t="e">
        <v>#DIV/0!</v>
      </c>
      <c r="F844" s="183"/>
      <c r="G844" s="191"/>
      <c r="H844" s="191"/>
      <c r="I844" s="191"/>
      <c r="J844" s="191"/>
      <c r="K844" s="191"/>
      <c r="L844" s="191"/>
      <c r="M844" s="191"/>
      <c r="N844" s="191"/>
      <c r="O844" s="191"/>
      <c r="Q844" s="183"/>
    </row>
    <row r="845">
      <c r="B845" s="190" t="str">
        <f>IFERROR(__xludf.DUMMYFUNCTION("""COMPUTED_VALUE"""),"#VALUE!")</f>
        <v>#VALUE!</v>
      </c>
      <c r="C845" s="190"/>
      <c r="D845" s="190" t="e">
        <v>#DIV/0!</v>
      </c>
      <c r="E845" s="190" t="e">
        <v>#DIV/0!</v>
      </c>
      <c r="F845" s="183"/>
      <c r="G845" s="191"/>
      <c r="H845" s="191"/>
      <c r="I845" s="191"/>
      <c r="J845" s="191"/>
      <c r="K845" s="191"/>
      <c r="L845" s="191"/>
      <c r="M845" s="191"/>
      <c r="N845" s="191"/>
      <c r="O845" s="191"/>
      <c r="Q845" s="183"/>
    </row>
    <row r="846">
      <c r="B846" s="190" t="str">
        <f>IFERROR(__xludf.DUMMYFUNCTION("""COMPUTED_VALUE"""),"#VALUE!")</f>
        <v>#VALUE!</v>
      </c>
      <c r="C846" s="190"/>
      <c r="D846" s="190" t="e">
        <v>#DIV/0!</v>
      </c>
      <c r="E846" s="190" t="e">
        <v>#DIV/0!</v>
      </c>
      <c r="F846" s="183"/>
      <c r="G846" s="191"/>
      <c r="H846" s="191"/>
      <c r="I846" s="191"/>
      <c r="J846" s="191"/>
      <c r="K846" s="191"/>
      <c r="L846" s="191"/>
      <c r="M846" s="191"/>
      <c r="N846" s="191"/>
      <c r="O846" s="191"/>
      <c r="Q846" s="183"/>
    </row>
    <row r="847">
      <c r="B847" s="190" t="str">
        <f>IFERROR(__xludf.DUMMYFUNCTION("""COMPUTED_VALUE"""),"#VALUE!")</f>
        <v>#VALUE!</v>
      </c>
      <c r="C847" s="190"/>
      <c r="D847" s="190" t="e">
        <v>#DIV/0!</v>
      </c>
      <c r="E847" s="190" t="e">
        <v>#DIV/0!</v>
      </c>
      <c r="F847" s="183"/>
      <c r="G847" s="191"/>
      <c r="H847" s="191"/>
      <c r="I847" s="191"/>
      <c r="J847" s="191"/>
      <c r="K847" s="191"/>
      <c r="L847" s="191"/>
      <c r="M847" s="191"/>
      <c r="N847" s="191"/>
      <c r="O847" s="191"/>
      <c r="Q847" s="183"/>
    </row>
    <row r="848">
      <c r="B848" s="190" t="str">
        <f>IFERROR(__xludf.DUMMYFUNCTION("""COMPUTED_VALUE"""),"#VALUE!")</f>
        <v>#VALUE!</v>
      </c>
      <c r="C848" s="190"/>
      <c r="D848" s="190" t="e">
        <v>#DIV/0!</v>
      </c>
      <c r="E848" s="190" t="e">
        <v>#DIV/0!</v>
      </c>
      <c r="F848" s="183"/>
      <c r="G848" s="191"/>
      <c r="H848" s="191"/>
      <c r="I848" s="191"/>
      <c r="J848" s="191"/>
      <c r="K848" s="191"/>
      <c r="L848" s="191"/>
      <c r="M848" s="191"/>
      <c r="N848" s="191"/>
      <c r="O848" s="191"/>
      <c r="Q848" s="183"/>
    </row>
    <row r="849">
      <c r="B849" s="190" t="str">
        <f>IFERROR(__xludf.DUMMYFUNCTION("""COMPUTED_VALUE"""),"#VALUE!")</f>
        <v>#VALUE!</v>
      </c>
      <c r="C849" s="190"/>
      <c r="D849" s="190" t="e">
        <v>#DIV/0!</v>
      </c>
      <c r="E849" s="190" t="e">
        <v>#DIV/0!</v>
      </c>
      <c r="F849" s="183"/>
      <c r="G849" s="191"/>
      <c r="H849" s="191"/>
      <c r="I849" s="191"/>
      <c r="J849" s="191"/>
      <c r="K849" s="191"/>
      <c r="L849" s="191"/>
      <c r="M849" s="191"/>
      <c r="N849" s="191"/>
      <c r="O849" s="191"/>
      <c r="Q849" s="183"/>
    </row>
    <row r="850">
      <c r="B850" s="190" t="str">
        <f>IFERROR(__xludf.DUMMYFUNCTION("""COMPUTED_VALUE"""),"#VALUE!")</f>
        <v>#VALUE!</v>
      </c>
      <c r="C850" s="190"/>
      <c r="D850" s="190" t="e">
        <v>#DIV/0!</v>
      </c>
      <c r="E850" s="190" t="e">
        <v>#DIV/0!</v>
      </c>
      <c r="F850" s="183"/>
      <c r="G850" s="191"/>
      <c r="H850" s="191"/>
      <c r="I850" s="191"/>
      <c r="J850" s="191"/>
      <c r="K850" s="191"/>
      <c r="L850" s="191"/>
      <c r="M850" s="191"/>
      <c r="N850" s="191"/>
      <c r="O850" s="191"/>
      <c r="Q850" s="183"/>
    </row>
    <row r="851">
      <c r="B851" s="190" t="str">
        <f>IFERROR(__xludf.DUMMYFUNCTION("""COMPUTED_VALUE"""),"#VALUE!")</f>
        <v>#VALUE!</v>
      </c>
      <c r="C851" s="190"/>
      <c r="D851" s="190" t="e">
        <v>#DIV/0!</v>
      </c>
      <c r="E851" s="190" t="e">
        <v>#DIV/0!</v>
      </c>
      <c r="F851" s="183"/>
      <c r="G851" s="191"/>
      <c r="H851" s="191"/>
      <c r="I851" s="191"/>
      <c r="J851" s="191"/>
      <c r="K851" s="191"/>
      <c r="L851" s="191"/>
      <c r="M851" s="191"/>
      <c r="N851" s="191"/>
      <c r="O851" s="191"/>
      <c r="Q851" s="183"/>
    </row>
    <row r="852">
      <c r="B852" s="190" t="str">
        <f>IFERROR(__xludf.DUMMYFUNCTION("""COMPUTED_VALUE"""),"#VALUE!")</f>
        <v>#VALUE!</v>
      </c>
      <c r="C852" s="190"/>
      <c r="D852" s="190" t="e">
        <v>#DIV/0!</v>
      </c>
      <c r="E852" s="190" t="e">
        <v>#DIV/0!</v>
      </c>
      <c r="F852" s="183"/>
      <c r="G852" s="191"/>
      <c r="H852" s="191"/>
      <c r="I852" s="191"/>
      <c r="J852" s="191"/>
      <c r="K852" s="191"/>
      <c r="L852" s="191"/>
      <c r="M852" s="191"/>
      <c r="N852" s="191"/>
      <c r="O852" s="191"/>
      <c r="Q852" s="183"/>
    </row>
    <row r="853">
      <c r="B853" s="190" t="str">
        <f>IFERROR(__xludf.DUMMYFUNCTION("""COMPUTED_VALUE"""),"#VALUE!")</f>
        <v>#VALUE!</v>
      </c>
      <c r="C853" s="190"/>
      <c r="D853" s="190" t="e">
        <v>#DIV/0!</v>
      </c>
      <c r="E853" s="190" t="e">
        <v>#DIV/0!</v>
      </c>
      <c r="F853" s="183"/>
      <c r="G853" s="191"/>
      <c r="H853" s="191"/>
      <c r="I853" s="191"/>
      <c r="J853" s="191"/>
      <c r="K853" s="191"/>
      <c r="L853" s="191"/>
      <c r="M853" s="191"/>
      <c r="N853" s="191"/>
      <c r="O853" s="191"/>
      <c r="Q853" s="183"/>
    </row>
    <row r="854">
      <c r="B854" s="190" t="str">
        <f>IFERROR(__xludf.DUMMYFUNCTION("""COMPUTED_VALUE"""),"#VALUE!")</f>
        <v>#VALUE!</v>
      </c>
      <c r="C854" s="190"/>
      <c r="D854" s="190" t="e">
        <v>#DIV/0!</v>
      </c>
      <c r="E854" s="190" t="e">
        <v>#DIV/0!</v>
      </c>
      <c r="F854" s="183"/>
      <c r="G854" s="191"/>
      <c r="H854" s="191"/>
      <c r="I854" s="191"/>
      <c r="J854" s="191"/>
      <c r="K854" s="191"/>
      <c r="L854" s="191"/>
      <c r="M854" s="191"/>
      <c r="N854" s="191"/>
      <c r="O854" s="191"/>
      <c r="Q854" s="183"/>
    </row>
    <row r="855">
      <c r="B855" s="190" t="str">
        <f>IFERROR(__xludf.DUMMYFUNCTION("""COMPUTED_VALUE"""),"#VALUE!")</f>
        <v>#VALUE!</v>
      </c>
      <c r="C855" s="190"/>
      <c r="D855" s="190" t="e">
        <v>#DIV/0!</v>
      </c>
      <c r="E855" s="190" t="e">
        <v>#DIV/0!</v>
      </c>
      <c r="F855" s="183"/>
      <c r="G855" s="191"/>
      <c r="H855" s="191"/>
      <c r="I855" s="191"/>
      <c r="J855" s="191"/>
      <c r="K855" s="191"/>
      <c r="L855" s="191"/>
      <c r="M855" s="191"/>
      <c r="N855" s="191"/>
      <c r="O855" s="191"/>
      <c r="Q855" s="183"/>
    </row>
    <row r="856">
      <c r="B856" s="190" t="str">
        <f>IFERROR(__xludf.DUMMYFUNCTION("""COMPUTED_VALUE"""),"#VALUE!")</f>
        <v>#VALUE!</v>
      </c>
      <c r="C856" s="190"/>
      <c r="D856" s="190" t="e">
        <v>#DIV/0!</v>
      </c>
      <c r="E856" s="190" t="e">
        <v>#DIV/0!</v>
      </c>
      <c r="F856" s="183"/>
      <c r="G856" s="191"/>
      <c r="H856" s="191"/>
      <c r="I856" s="191"/>
      <c r="J856" s="191"/>
      <c r="K856" s="191"/>
      <c r="L856" s="191"/>
      <c r="M856" s="191"/>
      <c r="N856" s="191"/>
      <c r="O856" s="191"/>
      <c r="Q856" s="183"/>
    </row>
    <row r="857">
      <c r="B857" s="190" t="str">
        <f>IFERROR(__xludf.DUMMYFUNCTION("""COMPUTED_VALUE"""),"#VALUE!")</f>
        <v>#VALUE!</v>
      </c>
      <c r="C857" s="190"/>
      <c r="D857" s="190" t="e">
        <v>#DIV/0!</v>
      </c>
      <c r="E857" s="190" t="e">
        <v>#DIV/0!</v>
      </c>
      <c r="F857" s="183"/>
      <c r="G857" s="191"/>
      <c r="H857" s="191"/>
      <c r="I857" s="191"/>
      <c r="J857" s="191"/>
      <c r="K857" s="191"/>
      <c r="L857" s="191"/>
      <c r="M857" s="191"/>
      <c r="N857" s="191"/>
      <c r="O857" s="191"/>
      <c r="Q857" s="183"/>
    </row>
    <row r="858">
      <c r="B858" s="190" t="str">
        <f>IFERROR(__xludf.DUMMYFUNCTION("""COMPUTED_VALUE"""),"#VALUE!")</f>
        <v>#VALUE!</v>
      </c>
      <c r="C858" s="190"/>
      <c r="D858" s="190" t="e">
        <v>#DIV/0!</v>
      </c>
      <c r="E858" s="190" t="e">
        <v>#DIV/0!</v>
      </c>
      <c r="F858" s="183"/>
      <c r="G858" s="191"/>
      <c r="H858" s="191"/>
      <c r="I858" s="191"/>
      <c r="J858" s="191"/>
      <c r="K858" s="191"/>
      <c r="L858" s="191"/>
      <c r="M858" s="191"/>
      <c r="N858" s="191"/>
      <c r="O858" s="191"/>
      <c r="Q858" s="183"/>
    </row>
    <row r="859">
      <c r="B859" s="190" t="str">
        <f>IFERROR(__xludf.DUMMYFUNCTION("""COMPUTED_VALUE"""),"#VALUE!")</f>
        <v>#VALUE!</v>
      </c>
      <c r="C859" s="190"/>
      <c r="D859" s="190" t="e">
        <v>#DIV/0!</v>
      </c>
      <c r="E859" s="190" t="e">
        <v>#DIV/0!</v>
      </c>
      <c r="F859" s="183"/>
      <c r="G859" s="191"/>
      <c r="H859" s="191"/>
      <c r="I859" s="191"/>
      <c r="J859" s="191"/>
      <c r="K859" s="191"/>
      <c r="L859" s="191"/>
      <c r="M859" s="191"/>
      <c r="N859" s="191"/>
      <c r="O859" s="191"/>
      <c r="Q859" s="183"/>
    </row>
    <row r="860">
      <c r="B860" s="190" t="str">
        <f>IFERROR(__xludf.DUMMYFUNCTION("""COMPUTED_VALUE"""),"#VALUE!")</f>
        <v>#VALUE!</v>
      </c>
      <c r="C860" s="190"/>
      <c r="D860" s="190" t="e">
        <v>#DIV/0!</v>
      </c>
      <c r="E860" s="190" t="e">
        <v>#DIV/0!</v>
      </c>
      <c r="F860" s="183"/>
      <c r="G860" s="191"/>
      <c r="H860" s="191"/>
      <c r="I860" s="191"/>
      <c r="J860" s="191"/>
      <c r="K860" s="191"/>
      <c r="L860" s="191"/>
      <c r="M860" s="191"/>
      <c r="N860" s="191"/>
      <c r="O860" s="191"/>
      <c r="Q860" s="183"/>
    </row>
    <row r="861">
      <c r="B861" s="190" t="str">
        <f>IFERROR(__xludf.DUMMYFUNCTION("""COMPUTED_VALUE"""),"#VALUE!")</f>
        <v>#VALUE!</v>
      </c>
      <c r="C861" s="190"/>
      <c r="D861" s="190" t="e">
        <v>#DIV/0!</v>
      </c>
      <c r="E861" s="190" t="e">
        <v>#DIV/0!</v>
      </c>
      <c r="F861" s="183"/>
      <c r="G861" s="191"/>
      <c r="H861" s="191"/>
      <c r="I861" s="191"/>
      <c r="J861" s="191"/>
      <c r="K861" s="191"/>
      <c r="L861" s="191"/>
      <c r="M861" s="191"/>
      <c r="N861" s="191"/>
      <c r="O861" s="191"/>
      <c r="Q861" s="183"/>
    </row>
    <row r="862">
      <c r="B862" s="190" t="str">
        <f>IFERROR(__xludf.DUMMYFUNCTION("""COMPUTED_VALUE"""),"#VALUE!")</f>
        <v>#VALUE!</v>
      </c>
      <c r="C862" s="190"/>
      <c r="D862" s="190" t="e">
        <v>#DIV/0!</v>
      </c>
      <c r="E862" s="190" t="e">
        <v>#DIV/0!</v>
      </c>
      <c r="F862" s="183"/>
      <c r="G862" s="191"/>
      <c r="H862" s="191"/>
      <c r="I862" s="191"/>
      <c r="J862" s="191"/>
      <c r="K862" s="191"/>
      <c r="L862" s="191"/>
      <c r="M862" s="191"/>
      <c r="N862" s="191"/>
      <c r="O862" s="191"/>
      <c r="Q862" s="183"/>
    </row>
    <row r="863">
      <c r="B863" s="190" t="str">
        <f>IFERROR(__xludf.DUMMYFUNCTION("""COMPUTED_VALUE"""),"#VALUE!")</f>
        <v>#VALUE!</v>
      </c>
      <c r="C863" s="190"/>
      <c r="D863" s="190" t="e">
        <v>#DIV/0!</v>
      </c>
      <c r="E863" s="190" t="e">
        <v>#DIV/0!</v>
      </c>
      <c r="F863" s="183"/>
      <c r="G863" s="191"/>
      <c r="H863" s="191"/>
      <c r="I863" s="191"/>
      <c r="J863" s="191"/>
      <c r="K863" s="191"/>
      <c r="L863" s="191"/>
      <c r="M863" s="191"/>
      <c r="N863" s="191"/>
      <c r="O863" s="191"/>
      <c r="Q863" s="183"/>
    </row>
    <row r="864">
      <c r="B864" s="190" t="str">
        <f>IFERROR(__xludf.DUMMYFUNCTION("""COMPUTED_VALUE"""),"#VALUE!")</f>
        <v>#VALUE!</v>
      </c>
      <c r="C864" s="190"/>
      <c r="D864" s="190" t="e">
        <v>#DIV/0!</v>
      </c>
      <c r="E864" s="190" t="e">
        <v>#DIV/0!</v>
      </c>
      <c r="F864" s="183"/>
      <c r="G864" s="191"/>
      <c r="H864" s="191"/>
      <c r="I864" s="191"/>
      <c r="J864" s="191"/>
      <c r="K864" s="191"/>
      <c r="L864" s="191"/>
      <c r="M864" s="191"/>
      <c r="N864" s="191"/>
      <c r="O864" s="191"/>
      <c r="Q864" s="183"/>
    </row>
    <row r="865">
      <c r="B865" s="190" t="str">
        <f>IFERROR(__xludf.DUMMYFUNCTION("""COMPUTED_VALUE"""),"#VALUE!")</f>
        <v>#VALUE!</v>
      </c>
      <c r="C865" s="190"/>
      <c r="D865" s="190" t="e">
        <v>#DIV/0!</v>
      </c>
      <c r="E865" s="190" t="e">
        <v>#DIV/0!</v>
      </c>
      <c r="F865" s="183"/>
      <c r="G865" s="191"/>
      <c r="H865" s="191"/>
      <c r="I865" s="191"/>
      <c r="J865" s="191"/>
      <c r="K865" s="191"/>
      <c r="L865" s="191"/>
      <c r="M865" s="191"/>
      <c r="N865" s="191"/>
      <c r="O865" s="191"/>
      <c r="Q865" s="183"/>
    </row>
    <row r="866">
      <c r="B866" s="190" t="str">
        <f>IFERROR(__xludf.DUMMYFUNCTION("""COMPUTED_VALUE"""),"#VALUE!")</f>
        <v>#VALUE!</v>
      </c>
      <c r="C866" s="190"/>
      <c r="D866" s="190" t="e">
        <v>#DIV/0!</v>
      </c>
      <c r="E866" s="190" t="e">
        <v>#DIV/0!</v>
      </c>
      <c r="F866" s="183"/>
      <c r="G866" s="191"/>
      <c r="H866" s="191"/>
      <c r="I866" s="191"/>
      <c r="J866" s="191"/>
      <c r="K866" s="191"/>
      <c r="L866" s="191"/>
      <c r="M866" s="191"/>
      <c r="N866" s="191"/>
      <c r="O866" s="191"/>
      <c r="Q866" s="183"/>
    </row>
    <row r="867">
      <c r="B867" s="190" t="str">
        <f>IFERROR(__xludf.DUMMYFUNCTION("""COMPUTED_VALUE"""),"#VALUE!")</f>
        <v>#VALUE!</v>
      </c>
      <c r="C867" s="190"/>
      <c r="D867" s="190" t="e">
        <v>#DIV/0!</v>
      </c>
      <c r="E867" s="190" t="e">
        <v>#DIV/0!</v>
      </c>
      <c r="F867" s="183"/>
      <c r="G867" s="191"/>
      <c r="H867" s="191"/>
      <c r="I867" s="191"/>
      <c r="J867" s="191"/>
      <c r="K867" s="191"/>
      <c r="L867" s="191"/>
      <c r="M867" s="191"/>
      <c r="N867" s="191"/>
      <c r="O867" s="191"/>
      <c r="Q867" s="183"/>
    </row>
    <row r="868">
      <c r="B868" s="190" t="str">
        <f>IFERROR(__xludf.DUMMYFUNCTION("""COMPUTED_VALUE"""),"#VALUE!")</f>
        <v>#VALUE!</v>
      </c>
      <c r="C868" s="190"/>
      <c r="D868" s="190" t="e">
        <v>#DIV/0!</v>
      </c>
      <c r="E868" s="190" t="e">
        <v>#DIV/0!</v>
      </c>
      <c r="F868" s="183"/>
      <c r="G868" s="191"/>
      <c r="H868" s="191"/>
      <c r="I868" s="191"/>
      <c r="J868" s="191"/>
      <c r="K868" s="191"/>
      <c r="L868" s="191"/>
      <c r="M868" s="191"/>
      <c r="N868" s="191"/>
      <c r="O868" s="191"/>
      <c r="Q868" s="183"/>
    </row>
    <row r="869">
      <c r="B869" s="190" t="str">
        <f>IFERROR(__xludf.DUMMYFUNCTION("""COMPUTED_VALUE"""),"#VALUE!")</f>
        <v>#VALUE!</v>
      </c>
      <c r="C869" s="190"/>
      <c r="D869" s="190" t="e">
        <v>#DIV/0!</v>
      </c>
      <c r="E869" s="190" t="e">
        <v>#DIV/0!</v>
      </c>
      <c r="F869" s="183"/>
      <c r="G869" s="191"/>
      <c r="H869" s="191"/>
      <c r="I869" s="191"/>
      <c r="J869" s="191"/>
      <c r="K869" s="191"/>
      <c r="L869" s="191"/>
      <c r="M869" s="191"/>
      <c r="N869" s="191"/>
      <c r="O869" s="191"/>
      <c r="Q869" s="183"/>
    </row>
    <row r="870">
      <c r="B870" s="190" t="str">
        <f>IFERROR(__xludf.DUMMYFUNCTION("""COMPUTED_VALUE"""),"#VALUE!")</f>
        <v>#VALUE!</v>
      </c>
      <c r="C870" s="190"/>
      <c r="D870" s="190" t="e">
        <v>#DIV/0!</v>
      </c>
      <c r="E870" s="190" t="e">
        <v>#DIV/0!</v>
      </c>
      <c r="F870" s="183"/>
      <c r="G870" s="191"/>
      <c r="H870" s="191"/>
      <c r="I870" s="191"/>
      <c r="J870" s="191"/>
      <c r="K870" s="191"/>
      <c r="L870" s="191"/>
      <c r="M870" s="191"/>
      <c r="N870" s="191"/>
      <c r="O870" s="191"/>
      <c r="Q870" s="183"/>
    </row>
    <row r="871">
      <c r="B871" s="190" t="str">
        <f>IFERROR(__xludf.DUMMYFUNCTION("""COMPUTED_VALUE"""),"#VALUE!")</f>
        <v>#VALUE!</v>
      </c>
      <c r="C871" s="190"/>
      <c r="D871" s="190" t="e">
        <v>#DIV/0!</v>
      </c>
      <c r="E871" s="190" t="e">
        <v>#DIV/0!</v>
      </c>
      <c r="F871" s="183"/>
      <c r="G871" s="191"/>
      <c r="H871" s="191"/>
      <c r="I871" s="191"/>
      <c r="J871" s="191"/>
      <c r="K871" s="191"/>
      <c r="L871" s="191"/>
      <c r="M871" s="191"/>
      <c r="N871" s="191"/>
      <c r="O871" s="191"/>
      <c r="Q871" s="183"/>
    </row>
    <row r="872">
      <c r="B872" s="190" t="str">
        <f>IFERROR(__xludf.DUMMYFUNCTION("""COMPUTED_VALUE"""),"#VALUE!")</f>
        <v>#VALUE!</v>
      </c>
      <c r="C872" s="190"/>
      <c r="D872" s="190" t="e">
        <v>#DIV/0!</v>
      </c>
      <c r="E872" s="190" t="e">
        <v>#DIV/0!</v>
      </c>
      <c r="F872" s="183"/>
      <c r="G872" s="191"/>
      <c r="H872" s="191"/>
      <c r="I872" s="191"/>
      <c r="J872" s="191"/>
      <c r="K872" s="191"/>
      <c r="L872" s="191"/>
      <c r="M872" s="191"/>
      <c r="N872" s="191"/>
      <c r="O872" s="191"/>
      <c r="Q872" s="183"/>
    </row>
    <row r="873">
      <c r="B873" s="190" t="str">
        <f>IFERROR(__xludf.DUMMYFUNCTION("""COMPUTED_VALUE"""),"#VALUE!")</f>
        <v>#VALUE!</v>
      </c>
      <c r="C873" s="190"/>
      <c r="D873" s="190" t="e">
        <v>#DIV/0!</v>
      </c>
      <c r="E873" s="190" t="e">
        <v>#DIV/0!</v>
      </c>
      <c r="F873" s="183"/>
      <c r="G873" s="191"/>
      <c r="H873" s="191"/>
      <c r="I873" s="191"/>
      <c r="J873" s="191"/>
      <c r="K873" s="191"/>
      <c r="L873" s="191"/>
      <c r="M873" s="191"/>
      <c r="N873" s="191"/>
      <c r="O873" s="191"/>
      <c r="Q873" s="183"/>
    </row>
    <row r="874">
      <c r="B874" s="190" t="str">
        <f>IFERROR(__xludf.DUMMYFUNCTION("""COMPUTED_VALUE"""),"#VALUE!")</f>
        <v>#VALUE!</v>
      </c>
      <c r="C874" s="190"/>
      <c r="D874" s="190" t="e">
        <v>#DIV/0!</v>
      </c>
      <c r="E874" s="190" t="e">
        <v>#DIV/0!</v>
      </c>
      <c r="F874" s="183"/>
      <c r="G874" s="191"/>
      <c r="H874" s="191"/>
      <c r="I874" s="191"/>
      <c r="J874" s="191"/>
      <c r="K874" s="191"/>
      <c r="L874" s="191"/>
      <c r="M874" s="191"/>
      <c r="N874" s="191"/>
      <c r="O874" s="191"/>
      <c r="Q874" s="183"/>
    </row>
    <row r="875">
      <c r="B875" s="190" t="str">
        <f>IFERROR(__xludf.DUMMYFUNCTION("""COMPUTED_VALUE"""),"#VALUE!")</f>
        <v>#VALUE!</v>
      </c>
      <c r="C875" s="190"/>
      <c r="D875" s="190" t="e">
        <v>#DIV/0!</v>
      </c>
      <c r="E875" s="190" t="e">
        <v>#DIV/0!</v>
      </c>
      <c r="F875" s="183"/>
      <c r="G875" s="191"/>
      <c r="H875" s="191"/>
      <c r="I875" s="191"/>
      <c r="J875" s="191"/>
      <c r="K875" s="191"/>
      <c r="L875" s="191"/>
      <c r="M875" s="191"/>
      <c r="N875" s="191"/>
      <c r="O875" s="191"/>
      <c r="Q875" s="183"/>
    </row>
    <row r="876">
      <c r="B876" s="190" t="str">
        <f>IFERROR(__xludf.DUMMYFUNCTION("""COMPUTED_VALUE"""),"#VALUE!")</f>
        <v>#VALUE!</v>
      </c>
      <c r="C876" s="190"/>
      <c r="D876" s="190" t="e">
        <v>#DIV/0!</v>
      </c>
      <c r="E876" s="190" t="e">
        <v>#DIV/0!</v>
      </c>
      <c r="F876" s="183"/>
      <c r="G876" s="191"/>
      <c r="H876" s="191"/>
      <c r="I876" s="191"/>
      <c r="J876" s="191"/>
      <c r="K876" s="191"/>
      <c r="L876" s="191"/>
      <c r="M876" s="191"/>
      <c r="N876" s="191"/>
      <c r="O876" s="191"/>
      <c r="Q876" s="183"/>
    </row>
    <row r="877">
      <c r="B877" s="190" t="str">
        <f>IFERROR(__xludf.DUMMYFUNCTION("""COMPUTED_VALUE"""),"#VALUE!")</f>
        <v>#VALUE!</v>
      </c>
      <c r="C877" s="190"/>
      <c r="D877" s="190" t="e">
        <v>#DIV/0!</v>
      </c>
      <c r="E877" s="190" t="e">
        <v>#DIV/0!</v>
      </c>
      <c r="F877" s="183"/>
      <c r="G877" s="191"/>
      <c r="H877" s="191"/>
      <c r="I877" s="191"/>
      <c r="J877" s="191"/>
      <c r="K877" s="191"/>
      <c r="L877" s="191"/>
      <c r="M877" s="191"/>
      <c r="N877" s="191"/>
      <c r="O877" s="191"/>
      <c r="Q877" s="183"/>
    </row>
    <row r="878">
      <c r="B878" s="190" t="str">
        <f>IFERROR(__xludf.DUMMYFUNCTION("""COMPUTED_VALUE"""),"#VALUE!")</f>
        <v>#VALUE!</v>
      </c>
      <c r="C878" s="190"/>
      <c r="D878" s="190" t="e">
        <v>#DIV/0!</v>
      </c>
      <c r="E878" s="190" t="e">
        <v>#DIV/0!</v>
      </c>
      <c r="F878" s="183"/>
      <c r="G878" s="191"/>
      <c r="H878" s="191"/>
      <c r="I878" s="191"/>
      <c r="J878" s="191"/>
      <c r="K878" s="191"/>
      <c r="L878" s="191"/>
      <c r="M878" s="191"/>
      <c r="N878" s="191"/>
      <c r="O878" s="191"/>
      <c r="Q878" s="183"/>
    </row>
    <row r="879">
      <c r="B879" s="190" t="str">
        <f>IFERROR(__xludf.DUMMYFUNCTION("""COMPUTED_VALUE"""),"#VALUE!")</f>
        <v>#VALUE!</v>
      </c>
      <c r="C879" s="190"/>
      <c r="D879" s="190" t="e">
        <v>#DIV/0!</v>
      </c>
      <c r="E879" s="190" t="e">
        <v>#DIV/0!</v>
      </c>
      <c r="F879" s="183"/>
      <c r="G879" s="191"/>
      <c r="H879" s="191"/>
      <c r="I879" s="191"/>
      <c r="J879" s="191"/>
      <c r="K879" s="191"/>
      <c r="L879" s="191"/>
      <c r="M879" s="191"/>
      <c r="N879" s="191"/>
      <c r="O879" s="191"/>
      <c r="Q879" s="183"/>
    </row>
    <row r="880">
      <c r="B880" s="190" t="str">
        <f>IFERROR(__xludf.DUMMYFUNCTION("""COMPUTED_VALUE"""),"#VALUE!")</f>
        <v>#VALUE!</v>
      </c>
      <c r="C880" s="190"/>
      <c r="D880" s="190" t="e">
        <v>#DIV/0!</v>
      </c>
      <c r="E880" s="190" t="e">
        <v>#DIV/0!</v>
      </c>
      <c r="F880" s="183"/>
      <c r="G880" s="191"/>
      <c r="H880" s="191"/>
      <c r="I880" s="191"/>
      <c r="J880" s="191"/>
      <c r="K880" s="191"/>
      <c r="L880" s="191"/>
      <c r="M880" s="191"/>
      <c r="N880" s="191"/>
      <c r="O880" s="191"/>
      <c r="Q880" s="183"/>
    </row>
    <row r="881">
      <c r="B881" s="190" t="str">
        <f>IFERROR(__xludf.DUMMYFUNCTION("""COMPUTED_VALUE"""),"#VALUE!")</f>
        <v>#VALUE!</v>
      </c>
      <c r="C881" s="190"/>
      <c r="D881" s="190" t="e">
        <v>#DIV/0!</v>
      </c>
      <c r="E881" s="190" t="e">
        <v>#DIV/0!</v>
      </c>
      <c r="F881" s="183"/>
      <c r="G881" s="191"/>
      <c r="H881" s="191"/>
      <c r="I881" s="191"/>
      <c r="J881" s="191"/>
      <c r="K881" s="191"/>
      <c r="L881" s="191"/>
      <c r="M881" s="191"/>
      <c r="N881" s="191"/>
      <c r="O881" s="191"/>
      <c r="Q881" s="183"/>
    </row>
    <row r="882">
      <c r="B882" s="190" t="str">
        <f>IFERROR(__xludf.DUMMYFUNCTION("""COMPUTED_VALUE"""),"#VALUE!")</f>
        <v>#VALUE!</v>
      </c>
      <c r="C882" s="190"/>
      <c r="D882" s="190" t="e">
        <v>#DIV/0!</v>
      </c>
      <c r="E882" s="190" t="e">
        <v>#DIV/0!</v>
      </c>
      <c r="F882" s="183"/>
      <c r="G882" s="191"/>
      <c r="H882" s="191"/>
      <c r="I882" s="191"/>
      <c r="J882" s="191"/>
      <c r="K882" s="191"/>
      <c r="L882" s="191"/>
      <c r="M882" s="191"/>
      <c r="N882" s="191"/>
      <c r="O882" s="191"/>
      <c r="Q882" s="183"/>
    </row>
    <row r="883">
      <c r="B883" s="190" t="str">
        <f>IFERROR(__xludf.DUMMYFUNCTION("""COMPUTED_VALUE"""),"#VALUE!")</f>
        <v>#VALUE!</v>
      </c>
      <c r="C883" s="190"/>
      <c r="D883" s="190" t="e">
        <v>#DIV/0!</v>
      </c>
      <c r="E883" s="190" t="e">
        <v>#DIV/0!</v>
      </c>
      <c r="F883" s="183"/>
      <c r="G883" s="191"/>
      <c r="H883" s="191"/>
      <c r="I883" s="191"/>
      <c r="J883" s="191"/>
      <c r="K883" s="191"/>
      <c r="L883" s="191"/>
      <c r="M883" s="191"/>
      <c r="N883" s="191"/>
      <c r="O883" s="191"/>
      <c r="Q883" s="183"/>
    </row>
    <row r="884">
      <c r="B884" s="190" t="str">
        <f>IFERROR(__xludf.DUMMYFUNCTION("""COMPUTED_VALUE"""),"#VALUE!")</f>
        <v>#VALUE!</v>
      </c>
      <c r="C884" s="190"/>
      <c r="D884" s="190" t="e">
        <v>#DIV/0!</v>
      </c>
      <c r="E884" s="190" t="e">
        <v>#DIV/0!</v>
      </c>
      <c r="F884" s="183"/>
      <c r="G884" s="191"/>
      <c r="H884" s="191"/>
      <c r="I884" s="191"/>
      <c r="J884" s="191"/>
      <c r="K884" s="191"/>
      <c r="L884" s="191"/>
      <c r="M884" s="191"/>
      <c r="N884" s="191"/>
      <c r="O884" s="191"/>
      <c r="Q884" s="183"/>
    </row>
    <row r="885">
      <c r="B885" s="190" t="str">
        <f>IFERROR(__xludf.DUMMYFUNCTION("""COMPUTED_VALUE"""),"#VALUE!")</f>
        <v>#VALUE!</v>
      </c>
      <c r="C885" s="190"/>
      <c r="D885" s="190" t="e">
        <v>#DIV/0!</v>
      </c>
      <c r="E885" s="190" t="e">
        <v>#DIV/0!</v>
      </c>
      <c r="F885" s="183"/>
      <c r="G885" s="191"/>
      <c r="H885" s="191"/>
      <c r="I885" s="191"/>
      <c r="J885" s="191"/>
      <c r="K885" s="191"/>
      <c r="L885" s="191"/>
      <c r="M885" s="191"/>
      <c r="N885" s="191"/>
      <c r="O885" s="191"/>
      <c r="Q885" s="183"/>
    </row>
    <row r="886">
      <c r="B886" s="190" t="str">
        <f>IFERROR(__xludf.DUMMYFUNCTION("""COMPUTED_VALUE"""),"#VALUE!")</f>
        <v>#VALUE!</v>
      </c>
      <c r="C886" s="190"/>
      <c r="D886" s="190" t="e">
        <v>#DIV/0!</v>
      </c>
      <c r="E886" s="190" t="e">
        <v>#DIV/0!</v>
      </c>
      <c r="F886" s="183"/>
      <c r="G886" s="191"/>
      <c r="H886" s="191"/>
      <c r="I886" s="191"/>
      <c r="J886" s="191"/>
      <c r="K886" s="191"/>
      <c r="L886" s="191"/>
      <c r="M886" s="191"/>
      <c r="N886" s="191"/>
      <c r="O886" s="191"/>
      <c r="Q886" s="183"/>
    </row>
    <row r="887">
      <c r="B887" s="190" t="str">
        <f>IFERROR(__xludf.DUMMYFUNCTION("""COMPUTED_VALUE"""),"#VALUE!")</f>
        <v>#VALUE!</v>
      </c>
      <c r="C887" s="190"/>
      <c r="D887" s="190" t="e">
        <v>#DIV/0!</v>
      </c>
      <c r="E887" s="190" t="e">
        <v>#DIV/0!</v>
      </c>
      <c r="F887" s="183"/>
      <c r="G887" s="191"/>
      <c r="H887" s="191"/>
      <c r="I887" s="191"/>
      <c r="J887" s="191"/>
      <c r="K887" s="191"/>
      <c r="L887" s="191"/>
      <c r="M887" s="191"/>
      <c r="N887" s="191"/>
      <c r="O887" s="191"/>
      <c r="Q887" s="183"/>
    </row>
    <row r="888">
      <c r="B888" s="190" t="str">
        <f>IFERROR(__xludf.DUMMYFUNCTION("""COMPUTED_VALUE"""),"#VALUE!")</f>
        <v>#VALUE!</v>
      </c>
      <c r="C888" s="190"/>
      <c r="D888" s="190" t="e">
        <v>#DIV/0!</v>
      </c>
      <c r="E888" s="190" t="e">
        <v>#DIV/0!</v>
      </c>
      <c r="F888" s="183"/>
      <c r="G888" s="191"/>
      <c r="H888" s="191"/>
      <c r="I888" s="191"/>
      <c r="J888" s="191"/>
      <c r="K888" s="191"/>
      <c r="L888" s="191"/>
      <c r="M888" s="191"/>
      <c r="N888" s="191"/>
      <c r="O888" s="191"/>
      <c r="Q888" s="183"/>
    </row>
    <row r="889">
      <c r="B889" s="190" t="str">
        <f>IFERROR(__xludf.DUMMYFUNCTION("""COMPUTED_VALUE"""),"#VALUE!")</f>
        <v>#VALUE!</v>
      </c>
      <c r="C889" s="190"/>
      <c r="D889" s="190" t="e">
        <v>#DIV/0!</v>
      </c>
      <c r="E889" s="190" t="e">
        <v>#DIV/0!</v>
      </c>
      <c r="F889" s="183"/>
      <c r="G889" s="191"/>
      <c r="H889" s="191"/>
      <c r="I889" s="191"/>
      <c r="J889" s="191"/>
      <c r="K889" s="191"/>
      <c r="L889" s="191"/>
      <c r="M889" s="191"/>
      <c r="N889" s="191"/>
      <c r="O889" s="191"/>
      <c r="Q889" s="183"/>
    </row>
    <row r="890">
      <c r="B890" s="190" t="str">
        <f>IFERROR(__xludf.DUMMYFUNCTION("""COMPUTED_VALUE"""),"#VALUE!")</f>
        <v>#VALUE!</v>
      </c>
      <c r="C890" s="190"/>
      <c r="D890" s="190" t="e">
        <v>#DIV/0!</v>
      </c>
      <c r="E890" s="190" t="e">
        <v>#DIV/0!</v>
      </c>
      <c r="F890" s="183"/>
      <c r="G890" s="191"/>
      <c r="H890" s="191"/>
      <c r="I890" s="191"/>
      <c r="J890" s="191"/>
      <c r="K890" s="191"/>
      <c r="L890" s="191"/>
      <c r="M890" s="191"/>
      <c r="N890" s="191"/>
      <c r="O890" s="191"/>
      <c r="Q890" s="183"/>
    </row>
    <row r="891">
      <c r="B891" s="190" t="str">
        <f>IFERROR(__xludf.DUMMYFUNCTION("""COMPUTED_VALUE"""),"#VALUE!")</f>
        <v>#VALUE!</v>
      </c>
      <c r="C891" s="190"/>
      <c r="D891" s="190" t="e">
        <v>#DIV/0!</v>
      </c>
      <c r="E891" s="190" t="e">
        <v>#DIV/0!</v>
      </c>
      <c r="F891" s="183"/>
      <c r="G891" s="191"/>
      <c r="H891" s="191"/>
      <c r="I891" s="191"/>
      <c r="J891" s="191"/>
      <c r="K891" s="191"/>
      <c r="L891" s="191"/>
      <c r="M891" s="191"/>
      <c r="N891" s="191"/>
      <c r="O891" s="191"/>
      <c r="Q891" s="183"/>
    </row>
    <row r="892">
      <c r="B892" s="190" t="str">
        <f>IFERROR(__xludf.DUMMYFUNCTION("""COMPUTED_VALUE"""),"#VALUE!")</f>
        <v>#VALUE!</v>
      </c>
      <c r="C892" s="190"/>
      <c r="D892" s="190" t="e">
        <v>#DIV/0!</v>
      </c>
      <c r="E892" s="190" t="e">
        <v>#DIV/0!</v>
      </c>
      <c r="F892" s="183"/>
      <c r="G892" s="191"/>
      <c r="H892" s="191"/>
      <c r="I892" s="191"/>
      <c r="J892" s="191"/>
      <c r="K892" s="191"/>
      <c r="L892" s="191"/>
      <c r="M892" s="191"/>
      <c r="N892" s="191"/>
      <c r="O892" s="191"/>
      <c r="Q892" s="183"/>
    </row>
    <row r="893">
      <c r="B893" s="190" t="str">
        <f>IFERROR(__xludf.DUMMYFUNCTION("""COMPUTED_VALUE"""),"#VALUE!")</f>
        <v>#VALUE!</v>
      </c>
      <c r="C893" s="190"/>
      <c r="D893" s="190" t="e">
        <v>#DIV/0!</v>
      </c>
      <c r="E893" s="190" t="e">
        <v>#DIV/0!</v>
      </c>
      <c r="F893" s="183"/>
      <c r="G893" s="191"/>
      <c r="H893" s="191"/>
      <c r="I893" s="191"/>
      <c r="J893" s="191"/>
      <c r="K893" s="191"/>
      <c r="L893" s="191"/>
      <c r="M893" s="191"/>
      <c r="N893" s="191"/>
      <c r="O893" s="191"/>
      <c r="Q893" s="183"/>
    </row>
    <row r="894">
      <c r="B894" s="190" t="str">
        <f>IFERROR(__xludf.DUMMYFUNCTION("""COMPUTED_VALUE"""),"#VALUE!")</f>
        <v>#VALUE!</v>
      </c>
      <c r="C894" s="190"/>
      <c r="D894" s="190" t="e">
        <v>#DIV/0!</v>
      </c>
      <c r="E894" s="190" t="e">
        <v>#DIV/0!</v>
      </c>
      <c r="F894" s="183"/>
      <c r="G894" s="191"/>
      <c r="H894" s="191"/>
      <c r="I894" s="191"/>
      <c r="J894" s="191"/>
      <c r="K894" s="191"/>
      <c r="L894" s="191"/>
      <c r="M894" s="191"/>
      <c r="N894" s="191"/>
      <c r="O894" s="191"/>
      <c r="Q894" s="183"/>
    </row>
    <row r="895">
      <c r="B895" s="190" t="str">
        <f>IFERROR(__xludf.DUMMYFUNCTION("""COMPUTED_VALUE"""),"#VALUE!")</f>
        <v>#VALUE!</v>
      </c>
      <c r="C895" s="190"/>
      <c r="D895" s="190" t="e">
        <v>#DIV/0!</v>
      </c>
      <c r="E895" s="190" t="e">
        <v>#DIV/0!</v>
      </c>
      <c r="F895" s="183"/>
      <c r="G895" s="191"/>
      <c r="H895" s="191"/>
      <c r="I895" s="191"/>
      <c r="J895" s="191"/>
      <c r="K895" s="191"/>
      <c r="L895" s="191"/>
      <c r="M895" s="191"/>
      <c r="N895" s="191"/>
      <c r="O895" s="191"/>
      <c r="Q895" s="183"/>
    </row>
    <row r="896">
      <c r="B896" s="190" t="str">
        <f>IFERROR(__xludf.DUMMYFUNCTION("""COMPUTED_VALUE"""),"#VALUE!")</f>
        <v>#VALUE!</v>
      </c>
      <c r="C896" s="190"/>
      <c r="D896" s="190" t="e">
        <v>#DIV/0!</v>
      </c>
      <c r="E896" s="190" t="e">
        <v>#DIV/0!</v>
      </c>
      <c r="F896" s="183"/>
      <c r="G896" s="191"/>
      <c r="H896" s="191"/>
      <c r="I896" s="191"/>
      <c r="J896" s="191"/>
      <c r="K896" s="191"/>
      <c r="L896" s="191"/>
      <c r="M896" s="191"/>
      <c r="N896" s="191"/>
      <c r="O896" s="191"/>
      <c r="Q896" s="183"/>
    </row>
    <row r="897">
      <c r="B897" s="190" t="str">
        <f>IFERROR(__xludf.DUMMYFUNCTION("""COMPUTED_VALUE"""),"#VALUE!")</f>
        <v>#VALUE!</v>
      </c>
      <c r="C897" s="190"/>
      <c r="D897" s="190" t="e">
        <v>#DIV/0!</v>
      </c>
      <c r="E897" s="190" t="e">
        <v>#DIV/0!</v>
      </c>
      <c r="F897" s="183"/>
      <c r="G897" s="191"/>
      <c r="H897" s="191"/>
      <c r="I897" s="191"/>
      <c r="J897" s="191"/>
      <c r="K897" s="191"/>
      <c r="L897" s="191"/>
      <c r="M897" s="191"/>
      <c r="N897" s="191"/>
      <c r="O897" s="191"/>
      <c r="Q897" s="183"/>
    </row>
    <row r="898">
      <c r="B898" s="190" t="str">
        <f>IFERROR(__xludf.DUMMYFUNCTION("""COMPUTED_VALUE"""),"#VALUE!")</f>
        <v>#VALUE!</v>
      </c>
      <c r="C898" s="190"/>
      <c r="D898" s="190" t="e">
        <v>#DIV/0!</v>
      </c>
      <c r="E898" s="190" t="e">
        <v>#DIV/0!</v>
      </c>
      <c r="F898" s="183"/>
      <c r="G898" s="191"/>
      <c r="H898" s="191"/>
      <c r="I898" s="191"/>
      <c r="J898" s="191"/>
      <c r="K898" s="191"/>
      <c r="L898" s="191"/>
      <c r="M898" s="191"/>
      <c r="N898" s="191"/>
      <c r="O898" s="191"/>
      <c r="Q898" s="183"/>
    </row>
    <row r="899">
      <c r="B899" s="190" t="str">
        <f>IFERROR(__xludf.DUMMYFUNCTION("""COMPUTED_VALUE"""),"#VALUE!")</f>
        <v>#VALUE!</v>
      </c>
      <c r="C899" s="190"/>
      <c r="D899" s="190" t="e">
        <v>#DIV/0!</v>
      </c>
      <c r="E899" s="190" t="e">
        <v>#DIV/0!</v>
      </c>
      <c r="F899" s="183"/>
      <c r="G899" s="191"/>
      <c r="H899" s="191"/>
      <c r="I899" s="191"/>
      <c r="J899" s="191"/>
      <c r="K899" s="191"/>
      <c r="L899" s="191"/>
      <c r="M899" s="191"/>
      <c r="N899" s="191"/>
      <c r="O899" s="191"/>
      <c r="Q899" s="183"/>
    </row>
    <row r="900">
      <c r="B900" s="190" t="str">
        <f>IFERROR(__xludf.DUMMYFUNCTION("""COMPUTED_VALUE"""),"#VALUE!")</f>
        <v>#VALUE!</v>
      </c>
      <c r="C900" s="190"/>
      <c r="D900" s="190" t="e">
        <v>#DIV/0!</v>
      </c>
      <c r="E900" s="190" t="e">
        <v>#DIV/0!</v>
      </c>
      <c r="F900" s="183"/>
      <c r="G900" s="191"/>
      <c r="H900" s="191"/>
      <c r="I900" s="191"/>
      <c r="J900" s="191"/>
      <c r="K900" s="191"/>
      <c r="L900" s="191"/>
      <c r="M900" s="191"/>
      <c r="N900" s="191"/>
      <c r="O900" s="191"/>
      <c r="Q900" s="183"/>
    </row>
    <row r="901">
      <c r="B901" s="190" t="str">
        <f>IFERROR(__xludf.DUMMYFUNCTION("""COMPUTED_VALUE"""),"#VALUE!")</f>
        <v>#VALUE!</v>
      </c>
      <c r="C901" s="190"/>
      <c r="D901" s="190" t="e">
        <v>#DIV/0!</v>
      </c>
      <c r="E901" s="190" t="e">
        <v>#DIV/0!</v>
      </c>
      <c r="F901" s="183"/>
      <c r="G901" s="191"/>
      <c r="H901" s="191"/>
      <c r="I901" s="191"/>
      <c r="J901" s="191"/>
      <c r="K901" s="191"/>
      <c r="L901" s="191"/>
      <c r="M901" s="191"/>
      <c r="N901" s="191"/>
      <c r="O901" s="191"/>
      <c r="Q901" s="183"/>
    </row>
    <row r="902">
      <c r="B902" s="190" t="str">
        <f>IFERROR(__xludf.DUMMYFUNCTION("""COMPUTED_VALUE"""),"#VALUE!")</f>
        <v>#VALUE!</v>
      </c>
      <c r="C902" s="190"/>
      <c r="D902" s="190" t="e">
        <v>#DIV/0!</v>
      </c>
      <c r="E902" s="190" t="e">
        <v>#DIV/0!</v>
      </c>
      <c r="F902" s="183"/>
      <c r="G902" s="191"/>
      <c r="H902" s="191"/>
      <c r="I902" s="191"/>
      <c r="J902" s="191"/>
      <c r="K902" s="191"/>
      <c r="L902" s="191"/>
      <c r="M902" s="191"/>
      <c r="N902" s="191"/>
      <c r="O902" s="191"/>
      <c r="Q902" s="183"/>
    </row>
    <row r="903">
      <c r="B903" s="190" t="str">
        <f>IFERROR(__xludf.DUMMYFUNCTION("""COMPUTED_VALUE"""),"#VALUE!")</f>
        <v>#VALUE!</v>
      </c>
      <c r="C903" s="190"/>
      <c r="D903" s="190" t="e">
        <v>#DIV/0!</v>
      </c>
      <c r="E903" s="190" t="e">
        <v>#DIV/0!</v>
      </c>
      <c r="F903" s="183"/>
      <c r="G903" s="191"/>
      <c r="H903" s="191"/>
      <c r="I903" s="191"/>
      <c r="J903" s="191"/>
      <c r="K903" s="191"/>
      <c r="L903" s="191"/>
      <c r="M903" s="191"/>
      <c r="N903" s="191"/>
      <c r="O903" s="191"/>
      <c r="Q903" s="183"/>
    </row>
    <row r="904">
      <c r="B904" s="190" t="str">
        <f>IFERROR(__xludf.DUMMYFUNCTION("""COMPUTED_VALUE"""),"#VALUE!")</f>
        <v>#VALUE!</v>
      </c>
      <c r="C904" s="190"/>
      <c r="D904" s="190" t="e">
        <v>#DIV/0!</v>
      </c>
      <c r="E904" s="190" t="e">
        <v>#DIV/0!</v>
      </c>
      <c r="F904" s="183"/>
      <c r="G904" s="191"/>
      <c r="H904" s="191"/>
      <c r="I904" s="191"/>
      <c r="J904" s="191"/>
      <c r="K904" s="191"/>
      <c r="L904" s="191"/>
      <c r="M904" s="191"/>
      <c r="N904" s="191"/>
      <c r="O904" s="191"/>
      <c r="Q904" s="183"/>
    </row>
    <row r="905">
      <c r="B905" s="190" t="str">
        <f>IFERROR(__xludf.DUMMYFUNCTION("""COMPUTED_VALUE"""),"#VALUE!")</f>
        <v>#VALUE!</v>
      </c>
      <c r="C905" s="190"/>
      <c r="D905" s="190" t="e">
        <v>#DIV/0!</v>
      </c>
      <c r="E905" s="190" t="e">
        <v>#DIV/0!</v>
      </c>
      <c r="F905" s="183"/>
      <c r="G905" s="191"/>
      <c r="H905" s="191"/>
      <c r="I905" s="191"/>
      <c r="J905" s="191"/>
      <c r="K905" s="191"/>
      <c r="L905" s="191"/>
      <c r="M905" s="191"/>
      <c r="N905" s="191"/>
      <c r="O905" s="191"/>
      <c r="Q905" s="183"/>
    </row>
    <row r="906">
      <c r="B906" s="190" t="str">
        <f>IFERROR(__xludf.DUMMYFUNCTION("""COMPUTED_VALUE"""),"#VALUE!")</f>
        <v>#VALUE!</v>
      </c>
      <c r="C906" s="190"/>
      <c r="D906" s="190" t="e">
        <v>#DIV/0!</v>
      </c>
      <c r="E906" s="190" t="e">
        <v>#DIV/0!</v>
      </c>
      <c r="F906" s="183"/>
      <c r="G906" s="191"/>
      <c r="H906" s="191"/>
      <c r="I906" s="191"/>
      <c r="J906" s="191"/>
      <c r="K906" s="191"/>
      <c r="L906" s="191"/>
      <c r="M906" s="191"/>
      <c r="N906" s="191"/>
      <c r="O906" s="191"/>
      <c r="Q906" s="183"/>
    </row>
    <row r="907">
      <c r="B907" s="190" t="str">
        <f>IFERROR(__xludf.DUMMYFUNCTION("""COMPUTED_VALUE"""),"#VALUE!")</f>
        <v>#VALUE!</v>
      </c>
      <c r="C907" s="190"/>
      <c r="D907" s="190" t="e">
        <v>#DIV/0!</v>
      </c>
      <c r="E907" s="190" t="e">
        <v>#DIV/0!</v>
      </c>
      <c r="F907" s="183"/>
      <c r="G907" s="191"/>
      <c r="H907" s="191"/>
      <c r="I907" s="191"/>
      <c r="J907" s="191"/>
      <c r="K907" s="191"/>
      <c r="L907" s="191"/>
      <c r="M907" s="191"/>
      <c r="N907" s="191"/>
      <c r="O907" s="191"/>
      <c r="Q907" s="183"/>
    </row>
    <row r="908">
      <c r="B908" s="190" t="str">
        <f>IFERROR(__xludf.DUMMYFUNCTION("""COMPUTED_VALUE"""),"#VALUE!")</f>
        <v>#VALUE!</v>
      </c>
      <c r="C908" s="190"/>
      <c r="D908" s="190" t="e">
        <v>#DIV/0!</v>
      </c>
      <c r="E908" s="190" t="e">
        <v>#DIV/0!</v>
      </c>
      <c r="F908" s="183"/>
      <c r="G908" s="191"/>
      <c r="H908" s="191"/>
      <c r="I908" s="191"/>
      <c r="J908" s="191"/>
      <c r="K908" s="191"/>
      <c r="L908" s="191"/>
      <c r="M908" s="191"/>
      <c r="N908" s="191"/>
      <c r="O908" s="191"/>
      <c r="Q908" s="183"/>
    </row>
    <row r="909">
      <c r="B909" s="190" t="str">
        <f>IFERROR(__xludf.DUMMYFUNCTION("""COMPUTED_VALUE"""),"#VALUE!")</f>
        <v>#VALUE!</v>
      </c>
      <c r="C909" s="190"/>
      <c r="D909" s="190" t="e">
        <v>#DIV/0!</v>
      </c>
      <c r="E909" s="190" t="e">
        <v>#DIV/0!</v>
      </c>
      <c r="F909" s="183"/>
      <c r="G909" s="191"/>
      <c r="H909" s="191"/>
      <c r="I909" s="191"/>
      <c r="J909" s="191"/>
      <c r="K909" s="191"/>
      <c r="L909" s="191"/>
      <c r="M909" s="191"/>
      <c r="N909" s="191"/>
      <c r="O909" s="191"/>
      <c r="Q909" s="183"/>
    </row>
    <row r="910">
      <c r="B910" s="190" t="str">
        <f>IFERROR(__xludf.DUMMYFUNCTION("""COMPUTED_VALUE"""),"#VALUE!")</f>
        <v>#VALUE!</v>
      </c>
      <c r="C910" s="190"/>
      <c r="D910" s="190" t="e">
        <v>#DIV/0!</v>
      </c>
      <c r="E910" s="190" t="e">
        <v>#DIV/0!</v>
      </c>
      <c r="F910" s="183"/>
      <c r="G910" s="191"/>
      <c r="H910" s="191"/>
      <c r="I910" s="191"/>
      <c r="J910" s="191"/>
      <c r="K910" s="191"/>
      <c r="L910" s="191"/>
      <c r="M910" s="191"/>
      <c r="N910" s="191"/>
      <c r="O910" s="191"/>
      <c r="Q910" s="183"/>
    </row>
    <row r="911">
      <c r="B911" s="190" t="str">
        <f>IFERROR(__xludf.DUMMYFUNCTION("""COMPUTED_VALUE"""),"#VALUE!")</f>
        <v>#VALUE!</v>
      </c>
      <c r="C911" s="190"/>
      <c r="D911" s="190" t="e">
        <v>#DIV/0!</v>
      </c>
      <c r="E911" s="190" t="e">
        <v>#DIV/0!</v>
      </c>
      <c r="F911" s="183"/>
      <c r="G911" s="191"/>
      <c r="H911" s="191"/>
      <c r="I911" s="191"/>
      <c r="J911" s="191"/>
      <c r="K911" s="191"/>
      <c r="L911" s="191"/>
      <c r="M911" s="191"/>
      <c r="N911" s="191"/>
      <c r="O911" s="191"/>
      <c r="Q911" s="183"/>
    </row>
    <row r="912">
      <c r="B912" s="190" t="str">
        <f>IFERROR(__xludf.DUMMYFUNCTION("""COMPUTED_VALUE"""),"#VALUE!")</f>
        <v>#VALUE!</v>
      </c>
      <c r="C912" s="190"/>
      <c r="D912" s="190" t="e">
        <v>#DIV/0!</v>
      </c>
      <c r="E912" s="190" t="e">
        <v>#DIV/0!</v>
      </c>
      <c r="F912" s="183"/>
      <c r="G912" s="191"/>
      <c r="H912" s="191"/>
      <c r="I912" s="191"/>
      <c r="J912" s="191"/>
      <c r="K912" s="191"/>
      <c r="L912" s="191"/>
      <c r="M912" s="191"/>
      <c r="N912" s="191"/>
      <c r="O912" s="191"/>
      <c r="Q912" s="183"/>
    </row>
    <row r="913">
      <c r="B913" s="190" t="str">
        <f>IFERROR(__xludf.DUMMYFUNCTION("""COMPUTED_VALUE"""),"#VALUE!")</f>
        <v>#VALUE!</v>
      </c>
      <c r="C913" s="190"/>
      <c r="D913" s="190" t="e">
        <v>#DIV/0!</v>
      </c>
      <c r="E913" s="190" t="e">
        <v>#DIV/0!</v>
      </c>
      <c r="F913" s="183"/>
      <c r="G913" s="191"/>
      <c r="H913" s="191"/>
      <c r="I913" s="191"/>
      <c r="J913" s="191"/>
      <c r="K913" s="191"/>
      <c r="L913" s="191"/>
      <c r="M913" s="191"/>
      <c r="N913" s="191"/>
      <c r="O913" s="191"/>
      <c r="Q913" s="183"/>
    </row>
    <row r="914">
      <c r="B914" s="190" t="str">
        <f>IFERROR(__xludf.DUMMYFUNCTION("""COMPUTED_VALUE"""),"#VALUE!")</f>
        <v>#VALUE!</v>
      </c>
      <c r="C914" s="190"/>
      <c r="D914" s="190" t="e">
        <v>#DIV/0!</v>
      </c>
      <c r="E914" s="190" t="e">
        <v>#DIV/0!</v>
      </c>
      <c r="F914" s="183"/>
      <c r="G914" s="191"/>
      <c r="H914" s="191"/>
      <c r="I914" s="191"/>
      <c r="J914" s="191"/>
      <c r="K914" s="191"/>
      <c r="L914" s="191"/>
      <c r="M914" s="191"/>
      <c r="N914" s="191"/>
      <c r="O914" s="191"/>
      <c r="Q914" s="183"/>
    </row>
    <row r="915">
      <c r="B915" s="190" t="str">
        <f>IFERROR(__xludf.DUMMYFUNCTION("""COMPUTED_VALUE"""),"#VALUE!")</f>
        <v>#VALUE!</v>
      </c>
      <c r="C915" s="190"/>
      <c r="D915" s="190" t="e">
        <v>#DIV/0!</v>
      </c>
      <c r="E915" s="190" t="e">
        <v>#DIV/0!</v>
      </c>
      <c r="F915" s="183"/>
      <c r="G915" s="191"/>
      <c r="H915" s="191"/>
      <c r="I915" s="191"/>
      <c r="J915" s="191"/>
      <c r="K915" s="191"/>
      <c r="L915" s="191"/>
      <c r="M915" s="191"/>
      <c r="N915" s="191"/>
      <c r="O915" s="191"/>
      <c r="Q915" s="183"/>
    </row>
    <row r="916">
      <c r="B916" s="190" t="str">
        <f>IFERROR(__xludf.DUMMYFUNCTION("""COMPUTED_VALUE"""),"#VALUE!")</f>
        <v>#VALUE!</v>
      </c>
      <c r="C916" s="190"/>
      <c r="D916" s="190" t="e">
        <v>#DIV/0!</v>
      </c>
      <c r="E916" s="190" t="e">
        <v>#DIV/0!</v>
      </c>
      <c r="F916" s="183"/>
      <c r="G916" s="191"/>
      <c r="H916" s="191"/>
      <c r="I916" s="191"/>
      <c r="J916" s="191"/>
      <c r="K916" s="191"/>
      <c r="L916" s="191"/>
      <c r="M916" s="191"/>
      <c r="N916" s="191"/>
      <c r="O916" s="191"/>
      <c r="Q916" s="183"/>
    </row>
    <row r="917">
      <c r="B917" s="190" t="str">
        <f>IFERROR(__xludf.DUMMYFUNCTION("""COMPUTED_VALUE"""),"#VALUE!")</f>
        <v>#VALUE!</v>
      </c>
      <c r="C917" s="190"/>
      <c r="D917" s="190" t="e">
        <v>#DIV/0!</v>
      </c>
      <c r="E917" s="190" t="e">
        <v>#DIV/0!</v>
      </c>
      <c r="F917" s="183"/>
      <c r="G917" s="191"/>
      <c r="H917" s="191"/>
      <c r="I917" s="191"/>
      <c r="J917" s="191"/>
      <c r="K917" s="191"/>
      <c r="L917" s="191"/>
      <c r="M917" s="191"/>
      <c r="N917" s="191"/>
      <c r="O917" s="191"/>
      <c r="Q917" s="183"/>
    </row>
    <row r="918">
      <c r="B918" s="190" t="str">
        <f>IFERROR(__xludf.DUMMYFUNCTION("""COMPUTED_VALUE"""),"#VALUE!")</f>
        <v>#VALUE!</v>
      </c>
      <c r="C918" s="190"/>
      <c r="D918" s="190" t="e">
        <v>#DIV/0!</v>
      </c>
      <c r="E918" s="190" t="e">
        <v>#DIV/0!</v>
      </c>
      <c r="F918" s="183"/>
      <c r="G918" s="191"/>
      <c r="H918" s="191"/>
      <c r="I918" s="191"/>
      <c r="J918" s="191"/>
      <c r="K918" s="191"/>
      <c r="L918" s="191"/>
      <c r="M918" s="191"/>
      <c r="N918" s="191"/>
      <c r="O918" s="191"/>
      <c r="Q918" s="183"/>
    </row>
    <row r="919">
      <c r="B919" s="190" t="str">
        <f>IFERROR(__xludf.DUMMYFUNCTION("""COMPUTED_VALUE"""),"#VALUE!")</f>
        <v>#VALUE!</v>
      </c>
      <c r="C919" s="190"/>
      <c r="D919" s="190" t="e">
        <v>#DIV/0!</v>
      </c>
      <c r="E919" s="190" t="e">
        <v>#DIV/0!</v>
      </c>
      <c r="F919" s="183"/>
      <c r="G919" s="191"/>
      <c r="H919" s="191"/>
      <c r="I919" s="191"/>
      <c r="J919" s="191"/>
      <c r="K919" s="191"/>
      <c r="L919" s="191"/>
      <c r="M919" s="191"/>
      <c r="N919" s="191"/>
      <c r="O919" s="191"/>
      <c r="Q919" s="183"/>
    </row>
    <row r="920">
      <c r="B920" s="190" t="str">
        <f>IFERROR(__xludf.DUMMYFUNCTION("""COMPUTED_VALUE"""),"#VALUE!")</f>
        <v>#VALUE!</v>
      </c>
      <c r="C920" s="190"/>
      <c r="D920" s="190" t="e">
        <v>#DIV/0!</v>
      </c>
      <c r="E920" s="190" t="e">
        <v>#DIV/0!</v>
      </c>
      <c r="F920" s="183"/>
      <c r="G920" s="191"/>
      <c r="H920" s="191"/>
      <c r="I920" s="191"/>
      <c r="J920" s="191"/>
      <c r="K920" s="191"/>
      <c r="L920" s="191"/>
      <c r="M920" s="191"/>
      <c r="N920" s="191"/>
      <c r="O920" s="191"/>
      <c r="Q920" s="183"/>
    </row>
    <row r="921">
      <c r="B921" s="190" t="str">
        <f>IFERROR(__xludf.DUMMYFUNCTION("""COMPUTED_VALUE"""),"#VALUE!")</f>
        <v>#VALUE!</v>
      </c>
      <c r="C921" s="190"/>
      <c r="D921" s="190" t="e">
        <v>#DIV/0!</v>
      </c>
      <c r="E921" s="190" t="e">
        <v>#DIV/0!</v>
      </c>
      <c r="F921" s="183"/>
      <c r="G921" s="191"/>
      <c r="H921" s="191"/>
      <c r="I921" s="191"/>
      <c r="J921" s="191"/>
      <c r="K921" s="191"/>
      <c r="L921" s="191"/>
      <c r="M921" s="191"/>
      <c r="N921" s="191"/>
      <c r="O921" s="191"/>
      <c r="Q921" s="183"/>
    </row>
    <row r="922">
      <c r="B922" s="190" t="str">
        <f>IFERROR(__xludf.DUMMYFUNCTION("""COMPUTED_VALUE"""),"#VALUE!")</f>
        <v>#VALUE!</v>
      </c>
      <c r="C922" s="190"/>
      <c r="D922" s="190" t="e">
        <v>#DIV/0!</v>
      </c>
      <c r="E922" s="190" t="e">
        <v>#DIV/0!</v>
      </c>
      <c r="F922" s="183"/>
      <c r="G922" s="191"/>
      <c r="H922" s="191"/>
      <c r="I922" s="191"/>
      <c r="J922" s="191"/>
      <c r="K922" s="191"/>
      <c r="L922" s="191"/>
      <c r="M922" s="191"/>
      <c r="N922" s="191"/>
      <c r="O922" s="191"/>
      <c r="Q922" s="183"/>
    </row>
    <row r="923">
      <c r="B923" s="190" t="str">
        <f>IFERROR(__xludf.DUMMYFUNCTION("""COMPUTED_VALUE"""),"#VALUE!")</f>
        <v>#VALUE!</v>
      </c>
      <c r="C923" s="190"/>
      <c r="D923" s="190" t="e">
        <v>#DIV/0!</v>
      </c>
      <c r="E923" s="190" t="e">
        <v>#DIV/0!</v>
      </c>
      <c r="F923" s="183"/>
      <c r="G923" s="191"/>
      <c r="H923" s="191"/>
      <c r="I923" s="191"/>
      <c r="J923" s="191"/>
      <c r="K923" s="191"/>
      <c r="L923" s="191"/>
      <c r="M923" s="191"/>
      <c r="N923" s="191"/>
      <c r="O923" s="191"/>
      <c r="Q923" s="183"/>
    </row>
    <row r="924">
      <c r="B924" s="190" t="str">
        <f>IFERROR(__xludf.DUMMYFUNCTION("""COMPUTED_VALUE"""),"#VALUE!")</f>
        <v>#VALUE!</v>
      </c>
      <c r="C924" s="190"/>
      <c r="D924" s="190" t="e">
        <v>#DIV/0!</v>
      </c>
      <c r="E924" s="190" t="e">
        <v>#DIV/0!</v>
      </c>
      <c r="F924" s="183"/>
      <c r="G924" s="191"/>
      <c r="H924" s="191"/>
      <c r="I924" s="191"/>
      <c r="J924" s="191"/>
      <c r="K924" s="191"/>
      <c r="L924" s="191"/>
      <c r="M924" s="191"/>
      <c r="N924" s="191"/>
      <c r="O924" s="191"/>
      <c r="Q924" s="183"/>
    </row>
    <row r="925">
      <c r="B925" s="190" t="str">
        <f>IFERROR(__xludf.DUMMYFUNCTION("""COMPUTED_VALUE"""),"#VALUE!")</f>
        <v>#VALUE!</v>
      </c>
      <c r="C925" s="190"/>
      <c r="D925" s="190" t="e">
        <v>#DIV/0!</v>
      </c>
      <c r="E925" s="190" t="e">
        <v>#DIV/0!</v>
      </c>
      <c r="F925" s="183"/>
      <c r="G925" s="191"/>
      <c r="H925" s="191"/>
      <c r="I925" s="191"/>
      <c r="J925" s="191"/>
      <c r="K925" s="191"/>
      <c r="L925" s="191"/>
      <c r="M925" s="191"/>
      <c r="N925" s="191"/>
      <c r="O925" s="191"/>
      <c r="Q925" s="183"/>
    </row>
    <row r="926">
      <c r="B926" s="190" t="str">
        <f>IFERROR(__xludf.DUMMYFUNCTION("""COMPUTED_VALUE"""),"#VALUE!")</f>
        <v>#VALUE!</v>
      </c>
      <c r="C926" s="190"/>
      <c r="D926" s="190" t="e">
        <v>#DIV/0!</v>
      </c>
      <c r="E926" s="190" t="e">
        <v>#DIV/0!</v>
      </c>
      <c r="F926" s="183"/>
      <c r="G926" s="191"/>
      <c r="H926" s="191"/>
      <c r="I926" s="191"/>
      <c r="J926" s="191"/>
      <c r="K926" s="191"/>
      <c r="L926" s="191"/>
      <c r="M926" s="191"/>
      <c r="N926" s="191"/>
      <c r="O926" s="191"/>
      <c r="Q926" s="183"/>
    </row>
    <row r="927">
      <c r="B927" s="190" t="str">
        <f>IFERROR(__xludf.DUMMYFUNCTION("""COMPUTED_VALUE"""),"#VALUE!")</f>
        <v>#VALUE!</v>
      </c>
      <c r="C927" s="190"/>
      <c r="D927" s="190" t="e">
        <v>#DIV/0!</v>
      </c>
      <c r="E927" s="190" t="e">
        <v>#DIV/0!</v>
      </c>
      <c r="F927" s="183"/>
      <c r="G927" s="191"/>
      <c r="H927" s="191"/>
      <c r="I927" s="191"/>
      <c r="J927" s="191"/>
      <c r="K927" s="191"/>
      <c r="L927" s="191"/>
      <c r="M927" s="191"/>
      <c r="N927" s="191"/>
      <c r="O927" s="191"/>
      <c r="Q927" s="183"/>
    </row>
    <row r="928">
      <c r="B928" s="190" t="str">
        <f>IFERROR(__xludf.DUMMYFUNCTION("""COMPUTED_VALUE"""),"#VALUE!")</f>
        <v>#VALUE!</v>
      </c>
      <c r="C928" s="190"/>
      <c r="D928" s="190" t="e">
        <v>#DIV/0!</v>
      </c>
      <c r="E928" s="190" t="e">
        <v>#DIV/0!</v>
      </c>
      <c r="F928" s="183"/>
      <c r="G928" s="191"/>
      <c r="H928" s="191"/>
      <c r="I928" s="191"/>
      <c r="J928" s="191"/>
      <c r="K928" s="191"/>
      <c r="L928" s="191"/>
      <c r="M928" s="191"/>
      <c r="N928" s="191"/>
      <c r="O928" s="191"/>
      <c r="Q928" s="183"/>
    </row>
    <row r="929">
      <c r="B929" s="190" t="str">
        <f>IFERROR(__xludf.DUMMYFUNCTION("""COMPUTED_VALUE"""),"#VALUE!")</f>
        <v>#VALUE!</v>
      </c>
      <c r="C929" s="190"/>
      <c r="D929" s="190" t="e">
        <v>#DIV/0!</v>
      </c>
      <c r="E929" s="190" t="e">
        <v>#DIV/0!</v>
      </c>
      <c r="F929" s="183"/>
      <c r="G929" s="191"/>
      <c r="H929" s="191"/>
      <c r="I929" s="191"/>
      <c r="J929" s="191"/>
      <c r="K929" s="191"/>
      <c r="L929" s="191"/>
      <c r="M929" s="191"/>
      <c r="N929" s="191"/>
      <c r="O929" s="191"/>
      <c r="Q929" s="183"/>
    </row>
    <row r="930">
      <c r="B930" s="190" t="str">
        <f>IFERROR(__xludf.DUMMYFUNCTION("""COMPUTED_VALUE"""),"#VALUE!")</f>
        <v>#VALUE!</v>
      </c>
      <c r="C930" s="190"/>
      <c r="D930" s="190" t="e">
        <v>#DIV/0!</v>
      </c>
      <c r="E930" s="190" t="e">
        <v>#DIV/0!</v>
      </c>
      <c r="F930" s="183"/>
      <c r="G930" s="191"/>
      <c r="H930" s="191"/>
      <c r="I930" s="191"/>
      <c r="J930" s="191"/>
      <c r="K930" s="191"/>
      <c r="L930" s="191"/>
      <c r="M930" s="191"/>
      <c r="N930" s="191"/>
      <c r="O930" s="191"/>
      <c r="Q930" s="183"/>
    </row>
    <row r="931">
      <c r="B931" s="190" t="str">
        <f>IFERROR(__xludf.DUMMYFUNCTION("""COMPUTED_VALUE"""),"#VALUE!")</f>
        <v>#VALUE!</v>
      </c>
      <c r="C931" s="190"/>
      <c r="D931" s="190" t="e">
        <v>#DIV/0!</v>
      </c>
      <c r="E931" s="190" t="e">
        <v>#DIV/0!</v>
      </c>
      <c r="F931" s="183"/>
      <c r="G931" s="191"/>
      <c r="H931" s="191"/>
      <c r="I931" s="191"/>
      <c r="J931" s="191"/>
      <c r="K931" s="191"/>
      <c r="L931" s="191"/>
      <c r="M931" s="191"/>
      <c r="N931" s="191"/>
      <c r="O931" s="191"/>
      <c r="Q931" s="183"/>
    </row>
    <row r="932">
      <c r="B932" s="190" t="str">
        <f>IFERROR(__xludf.DUMMYFUNCTION("""COMPUTED_VALUE"""),"#VALUE!")</f>
        <v>#VALUE!</v>
      </c>
      <c r="C932" s="190"/>
      <c r="D932" s="190" t="e">
        <v>#DIV/0!</v>
      </c>
      <c r="E932" s="190" t="e">
        <v>#DIV/0!</v>
      </c>
      <c r="F932" s="183"/>
      <c r="G932" s="191"/>
      <c r="H932" s="191"/>
      <c r="I932" s="191"/>
      <c r="J932" s="191"/>
      <c r="K932" s="191"/>
      <c r="L932" s="191"/>
      <c r="M932" s="191"/>
      <c r="N932" s="191"/>
      <c r="O932" s="191"/>
      <c r="Q932" s="183"/>
    </row>
    <row r="933">
      <c r="B933" s="190" t="str">
        <f>IFERROR(__xludf.DUMMYFUNCTION("""COMPUTED_VALUE"""),"#VALUE!")</f>
        <v>#VALUE!</v>
      </c>
      <c r="C933" s="190"/>
      <c r="D933" s="190" t="e">
        <v>#DIV/0!</v>
      </c>
      <c r="E933" s="190" t="e">
        <v>#DIV/0!</v>
      </c>
      <c r="F933" s="183"/>
      <c r="G933" s="191"/>
      <c r="H933" s="191"/>
      <c r="I933" s="191"/>
      <c r="J933" s="191"/>
      <c r="K933" s="191"/>
      <c r="L933" s="191"/>
      <c r="M933" s="191"/>
      <c r="N933" s="191"/>
      <c r="O933" s="191"/>
      <c r="Q933" s="183"/>
    </row>
    <row r="934">
      <c r="B934" s="190" t="str">
        <f>IFERROR(__xludf.DUMMYFUNCTION("""COMPUTED_VALUE"""),"#VALUE!")</f>
        <v>#VALUE!</v>
      </c>
      <c r="C934" s="190"/>
      <c r="D934" s="190" t="e">
        <v>#DIV/0!</v>
      </c>
      <c r="E934" s="190" t="e">
        <v>#DIV/0!</v>
      </c>
      <c r="F934" s="183"/>
      <c r="G934" s="191"/>
      <c r="H934" s="191"/>
      <c r="I934" s="191"/>
      <c r="J934" s="191"/>
      <c r="K934" s="191"/>
      <c r="L934" s="191"/>
      <c r="M934" s="191"/>
      <c r="N934" s="191"/>
      <c r="O934" s="191"/>
      <c r="Q934" s="183"/>
    </row>
    <row r="935">
      <c r="B935" s="190" t="str">
        <f>IFERROR(__xludf.DUMMYFUNCTION("""COMPUTED_VALUE"""),"#VALUE!")</f>
        <v>#VALUE!</v>
      </c>
      <c r="C935" s="190"/>
      <c r="D935" s="190" t="e">
        <v>#DIV/0!</v>
      </c>
      <c r="E935" s="190" t="e">
        <v>#DIV/0!</v>
      </c>
      <c r="F935" s="183"/>
      <c r="G935" s="191"/>
      <c r="H935" s="191"/>
      <c r="I935" s="191"/>
      <c r="J935" s="191"/>
      <c r="K935" s="191"/>
      <c r="L935" s="191"/>
      <c r="M935" s="191"/>
      <c r="N935" s="191"/>
      <c r="O935" s="191"/>
      <c r="Q935" s="183"/>
    </row>
    <row r="936">
      <c r="B936" s="190" t="str">
        <f>IFERROR(__xludf.DUMMYFUNCTION("""COMPUTED_VALUE"""),"#VALUE!")</f>
        <v>#VALUE!</v>
      </c>
      <c r="C936" s="190"/>
      <c r="D936" s="190" t="e">
        <v>#DIV/0!</v>
      </c>
      <c r="E936" s="190" t="e">
        <v>#DIV/0!</v>
      </c>
      <c r="F936" s="183"/>
      <c r="G936" s="191"/>
      <c r="H936" s="191"/>
      <c r="I936" s="191"/>
      <c r="J936" s="191"/>
      <c r="K936" s="191"/>
      <c r="L936" s="191"/>
      <c r="M936" s="191"/>
      <c r="N936" s="191"/>
      <c r="O936" s="191"/>
      <c r="Q936" s="183"/>
    </row>
    <row r="937">
      <c r="B937" s="190" t="str">
        <f>IFERROR(__xludf.DUMMYFUNCTION("""COMPUTED_VALUE"""),"#VALUE!")</f>
        <v>#VALUE!</v>
      </c>
      <c r="C937" s="190"/>
      <c r="D937" s="190" t="e">
        <v>#DIV/0!</v>
      </c>
      <c r="E937" s="190" t="e">
        <v>#DIV/0!</v>
      </c>
      <c r="F937" s="183"/>
      <c r="G937" s="191"/>
      <c r="H937" s="191"/>
      <c r="I937" s="191"/>
      <c r="J937" s="191"/>
      <c r="K937" s="191"/>
      <c r="L937" s="191"/>
      <c r="M937" s="191"/>
      <c r="N937" s="191"/>
      <c r="O937" s="191"/>
      <c r="Q937" s="183"/>
    </row>
    <row r="938">
      <c r="B938" s="190" t="str">
        <f>IFERROR(__xludf.DUMMYFUNCTION("""COMPUTED_VALUE"""),"#VALUE!")</f>
        <v>#VALUE!</v>
      </c>
      <c r="C938" s="190"/>
      <c r="D938" s="190" t="e">
        <v>#DIV/0!</v>
      </c>
      <c r="E938" s="190" t="e">
        <v>#DIV/0!</v>
      </c>
      <c r="F938" s="183"/>
      <c r="G938" s="191"/>
      <c r="H938" s="191"/>
      <c r="I938" s="191"/>
      <c r="J938" s="191"/>
      <c r="K938" s="191"/>
      <c r="L938" s="191"/>
      <c r="M938" s="191"/>
      <c r="N938" s="191"/>
      <c r="O938" s="191"/>
      <c r="Q938" s="183"/>
    </row>
    <row r="939">
      <c r="B939" s="190" t="str">
        <f>IFERROR(__xludf.DUMMYFUNCTION("""COMPUTED_VALUE"""),"#VALUE!")</f>
        <v>#VALUE!</v>
      </c>
      <c r="C939" s="190"/>
      <c r="D939" s="190" t="e">
        <v>#DIV/0!</v>
      </c>
      <c r="E939" s="190" t="e">
        <v>#DIV/0!</v>
      </c>
      <c r="F939" s="183"/>
      <c r="G939" s="191"/>
      <c r="H939" s="191"/>
      <c r="I939" s="191"/>
      <c r="J939" s="191"/>
      <c r="K939" s="191"/>
      <c r="L939" s="191"/>
      <c r="M939" s="191"/>
      <c r="N939" s="191"/>
      <c r="O939" s="191"/>
      <c r="Q939" s="183"/>
    </row>
    <row r="940">
      <c r="B940" s="190" t="str">
        <f>IFERROR(__xludf.DUMMYFUNCTION("""COMPUTED_VALUE"""),"#VALUE!")</f>
        <v>#VALUE!</v>
      </c>
      <c r="C940" s="190"/>
      <c r="D940" s="190" t="e">
        <v>#DIV/0!</v>
      </c>
      <c r="E940" s="190" t="e">
        <v>#DIV/0!</v>
      </c>
      <c r="F940" s="183"/>
      <c r="G940" s="191"/>
      <c r="H940" s="191"/>
      <c r="I940" s="191"/>
      <c r="J940" s="191"/>
      <c r="K940" s="191"/>
      <c r="L940" s="191"/>
      <c r="M940" s="191"/>
      <c r="N940" s="191"/>
      <c r="O940" s="191"/>
      <c r="Q940" s="183"/>
    </row>
    <row r="941">
      <c r="B941" s="190" t="str">
        <f>IFERROR(__xludf.DUMMYFUNCTION("""COMPUTED_VALUE"""),"#VALUE!")</f>
        <v>#VALUE!</v>
      </c>
      <c r="C941" s="190"/>
      <c r="D941" s="190" t="e">
        <v>#DIV/0!</v>
      </c>
      <c r="E941" s="190" t="e">
        <v>#DIV/0!</v>
      </c>
      <c r="F941" s="183"/>
      <c r="G941" s="191"/>
      <c r="H941" s="191"/>
      <c r="I941" s="191"/>
      <c r="J941" s="191"/>
      <c r="K941" s="191"/>
      <c r="L941" s="191"/>
      <c r="M941" s="191"/>
      <c r="N941" s="191"/>
      <c r="O941" s="191"/>
      <c r="Q941" s="183"/>
    </row>
    <row r="942">
      <c r="B942" s="190" t="str">
        <f>IFERROR(__xludf.DUMMYFUNCTION("""COMPUTED_VALUE"""),"#VALUE!")</f>
        <v>#VALUE!</v>
      </c>
      <c r="C942" s="190"/>
      <c r="D942" s="190" t="e">
        <v>#DIV/0!</v>
      </c>
      <c r="E942" s="190" t="e">
        <v>#DIV/0!</v>
      </c>
      <c r="F942" s="183"/>
      <c r="G942" s="191"/>
      <c r="H942" s="191"/>
      <c r="I942" s="191"/>
      <c r="J942" s="191"/>
      <c r="K942" s="191"/>
      <c r="L942" s="191"/>
      <c r="M942" s="191"/>
      <c r="N942" s="191"/>
      <c r="O942" s="191"/>
      <c r="Q942" s="183"/>
    </row>
    <row r="943">
      <c r="B943" s="190" t="str">
        <f>IFERROR(__xludf.DUMMYFUNCTION("""COMPUTED_VALUE"""),"#VALUE!")</f>
        <v>#VALUE!</v>
      </c>
      <c r="C943" s="190"/>
      <c r="D943" s="190" t="e">
        <v>#DIV/0!</v>
      </c>
      <c r="E943" s="190" t="e">
        <v>#DIV/0!</v>
      </c>
      <c r="F943" s="183"/>
      <c r="G943" s="191"/>
      <c r="H943" s="191"/>
      <c r="I943" s="191"/>
      <c r="J943" s="191"/>
      <c r="K943" s="191"/>
      <c r="L943" s="191"/>
      <c r="M943" s="191"/>
      <c r="N943" s="191"/>
      <c r="O943" s="191"/>
      <c r="Q943" s="183"/>
    </row>
    <row r="944">
      <c r="B944" s="190" t="str">
        <f>IFERROR(__xludf.DUMMYFUNCTION("""COMPUTED_VALUE"""),"#VALUE!")</f>
        <v>#VALUE!</v>
      </c>
      <c r="C944" s="190"/>
      <c r="D944" s="190" t="e">
        <v>#DIV/0!</v>
      </c>
      <c r="E944" s="190" t="e">
        <v>#DIV/0!</v>
      </c>
      <c r="F944" s="183"/>
      <c r="G944" s="191"/>
      <c r="H944" s="191"/>
      <c r="I944" s="191"/>
      <c r="J944" s="191"/>
      <c r="K944" s="191"/>
      <c r="L944" s="191"/>
      <c r="M944" s="191"/>
      <c r="N944" s="191"/>
      <c r="O944" s="191"/>
      <c r="Q944" s="183"/>
    </row>
    <row r="945">
      <c r="B945" s="190" t="str">
        <f>IFERROR(__xludf.DUMMYFUNCTION("""COMPUTED_VALUE"""),"#VALUE!")</f>
        <v>#VALUE!</v>
      </c>
      <c r="C945" s="190"/>
      <c r="D945" s="190" t="e">
        <v>#DIV/0!</v>
      </c>
      <c r="E945" s="190" t="e">
        <v>#DIV/0!</v>
      </c>
      <c r="F945" s="183"/>
      <c r="G945" s="191"/>
      <c r="H945" s="191"/>
      <c r="I945" s="191"/>
      <c r="J945" s="191"/>
      <c r="K945" s="191"/>
      <c r="L945" s="191"/>
      <c r="M945" s="191"/>
      <c r="N945" s="191"/>
      <c r="O945" s="191"/>
      <c r="Q945" s="183"/>
    </row>
    <row r="946">
      <c r="B946" s="190" t="str">
        <f>IFERROR(__xludf.DUMMYFUNCTION("""COMPUTED_VALUE"""),"#VALUE!")</f>
        <v>#VALUE!</v>
      </c>
      <c r="C946" s="190"/>
      <c r="D946" s="190" t="e">
        <v>#DIV/0!</v>
      </c>
      <c r="E946" s="190" t="e">
        <v>#DIV/0!</v>
      </c>
      <c r="F946" s="183"/>
      <c r="G946" s="191"/>
      <c r="H946" s="191"/>
      <c r="I946" s="191"/>
      <c r="J946" s="191"/>
      <c r="K946" s="191"/>
      <c r="L946" s="191"/>
      <c r="M946" s="191"/>
      <c r="N946" s="191"/>
      <c r="O946" s="191"/>
      <c r="Q946" s="183"/>
    </row>
    <row r="947">
      <c r="B947" s="190" t="str">
        <f>IFERROR(__xludf.DUMMYFUNCTION("""COMPUTED_VALUE"""),"#VALUE!")</f>
        <v>#VALUE!</v>
      </c>
      <c r="C947" s="190"/>
      <c r="D947" s="190" t="e">
        <v>#DIV/0!</v>
      </c>
      <c r="E947" s="190" t="e">
        <v>#DIV/0!</v>
      </c>
      <c r="F947" s="183"/>
      <c r="G947" s="191"/>
      <c r="H947" s="191"/>
      <c r="I947" s="191"/>
      <c r="J947" s="191"/>
      <c r="K947" s="191"/>
      <c r="L947" s="191"/>
      <c r="M947" s="191"/>
      <c r="N947" s="191"/>
      <c r="O947" s="191"/>
      <c r="Q947" s="183"/>
    </row>
    <row r="948">
      <c r="B948" s="190" t="str">
        <f>IFERROR(__xludf.DUMMYFUNCTION("""COMPUTED_VALUE"""),"#VALUE!")</f>
        <v>#VALUE!</v>
      </c>
      <c r="C948" s="190"/>
      <c r="D948" s="190" t="e">
        <v>#DIV/0!</v>
      </c>
      <c r="E948" s="190" t="e">
        <v>#DIV/0!</v>
      </c>
      <c r="F948" s="183"/>
      <c r="G948" s="191"/>
      <c r="H948" s="191"/>
      <c r="I948" s="191"/>
      <c r="J948" s="191"/>
      <c r="K948" s="191"/>
      <c r="L948" s="191"/>
      <c r="M948" s="191"/>
      <c r="N948" s="191"/>
      <c r="O948" s="191"/>
      <c r="Q948" s="183"/>
    </row>
    <row r="949">
      <c r="B949" s="190" t="str">
        <f>IFERROR(__xludf.DUMMYFUNCTION("""COMPUTED_VALUE"""),"#VALUE!")</f>
        <v>#VALUE!</v>
      </c>
      <c r="C949" s="190"/>
      <c r="D949" s="190" t="e">
        <v>#DIV/0!</v>
      </c>
      <c r="E949" s="190" t="e">
        <v>#DIV/0!</v>
      </c>
      <c r="F949" s="183"/>
      <c r="G949" s="191"/>
      <c r="H949" s="191"/>
      <c r="I949" s="191"/>
      <c r="J949" s="191"/>
      <c r="K949" s="191"/>
      <c r="L949" s="191"/>
      <c r="M949" s="191"/>
      <c r="N949" s="191"/>
      <c r="O949" s="191"/>
      <c r="Q949" s="183"/>
    </row>
    <row r="950">
      <c r="B950" s="190" t="str">
        <f>IFERROR(__xludf.DUMMYFUNCTION("""COMPUTED_VALUE"""),"#VALUE!")</f>
        <v>#VALUE!</v>
      </c>
      <c r="C950" s="190"/>
      <c r="D950" s="190" t="e">
        <v>#DIV/0!</v>
      </c>
      <c r="E950" s="190" t="e">
        <v>#DIV/0!</v>
      </c>
      <c r="F950" s="183"/>
      <c r="G950" s="191"/>
      <c r="H950" s="191"/>
      <c r="I950" s="191"/>
      <c r="J950" s="191"/>
      <c r="K950" s="191"/>
      <c r="L950" s="191"/>
      <c r="M950" s="191"/>
      <c r="N950" s="191"/>
      <c r="O950" s="191"/>
      <c r="Q950" s="183"/>
    </row>
    <row r="951">
      <c r="B951" s="190" t="str">
        <f>IFERROR(__xludf.DUMMYFUNCTION("""COMPUTED_VALUE"""),"#VALUE!")</f>
        <v>#VALUE!</v>
      </c>
      <c r="C951" s="190"/>
      <c r="D951" s="190" t="e">
        <v>#DIV/0!</v>
      </c>
      <c r="E951" s="190" t="e">
        <v>#DIV/0!</v>
      </c>
      <c r="F951" s="183"/>
      <c r="G951" s="191"/>
      <c r="H951" s="191"/>
      <c r="I951" s="191"/>
      <c r="J951" s="191"/>
      <c r="K951" s="191"/>
      <c r="L951" s="191"/>
      <c r="M951" s="191"/>
      <c r="N951" s="191"/>
      <c r="O951" s="191"/>
      <c r="Q951" s="183"/>
    </row>
    <row r="952">
      <c r="B952" s="190" t="str">
        <f>IFERROR(__xludf.DUMMYFUNCTION("""COMPUTED_VALUE"""),"#VALUE!")</f>
        <v>#VALUE!</v>
      </c>
      <c r="C952" s="190"/>
      <c r="D952" s="190" t="e">
        <v>#DIV/0!</v>
      </c>
      <c r="E952" s="190" t="e">
        <v>#DIV/0!</v>
      </c>
      <c r="F952" s="183"/>
      <c r="G952" s="191"/>
      <c r="H952" s="191"/>
      <c r="I952" s="191"/>
      <c r="J952" s="191"/>
      <c r="K952" s="191"/>
      <c r="L952" s="191"/>
      <c r="M952" s="191"/>
      <c r="N952" s="191"/>
      <c r="O952" s="191"/>
      <c r="Q952" s="183"/>
    </row>
    <row r="953">
      <c r="B953" s="190" t="str">
        <f>IFERROR(__xludf.DUMMYFUNCTION("""COMPUTED_VALUE"""),"#VALUE!")</f>
        <v>#VALUE!</v>
      </c>
      <c r="C953" s="190"/>
      <c r="D953" s="190" t="e">
        <v>#DIV/0!</v>
      </c>
      <c r="E953" s="190" t="e">
        <v>#DIV/0!</v>
      </c>
      <c r="F953" s="183"/>
      <c r="G953" s="191"/>
      <c r="H953" s="191"/>
      <c r="I953" s="191"/>
      <c r="J953" s="191"/>
      <c r="K953" s="191"/>
      <c r="L953" s="191"/>
      <c r="M953" s="191"/>
      <c r="N953" s="191"/>
      <c r="O953" s="191"/>
      <c r="Q953" s="183"/>
    </row>
    <row r="954">
      <c r="B954" s="190" t="str">
        <f>IFERROR(__xludf.DUMMYFUNCTION("""COMPUTED_VALUE"""),"#VALUE!")</f>
        <v>#VALUE!</v>
      </c>
      <c r="C954" s="190"/>
      <c r="D954" s="190" t="e">
        <v>#DIV/0!</v>
      </c>
      <c r="E954" s="190" t="e">
        <v>#DIV/0!</v>
      </c>
      <c r="F954" s="183"/>
      <c r="G954" s="191"/>
      <c r="H954" s="191"/>
      <c r="I954" s="191"/>
      <c r="J954" s="191"/>
      <c r="K954" s="191"/>
      <c r="L954" s="191"/>
      <c r="M954" s="191"/>
      <c r="N954" s="191"/>
      <c r="O954" s="191"/>
      <c r="Q954" s="183"/>
    </row>
    <row r="955">
      <c r="B955" s="190" t="str">
        <f>IFERROR(__xludf.DUMMYFUNCTION("""COMPUTED_VALUE"""),"#VALUE!")</f>
        <v>#VALUE!</v>
      </c>
      <c r="C955" s="190"/>
      <c r="D955" s="190" t="e">
        <v>#DIV/0!</v>
      </c>
      <c r="E955" s="190" t="e">
        <v>#DIV/0!</v>
      </c>
      <c r="F955" s="183"/>
      <c r="G955" s="191"/>
      <c r="H955" s="191"/>
      <c r="I955" s="191"/>
      <c r="J955" s="191"/>
      <c r="K955" s="191"/>
      <c r="L955" s="191"/>
      <c r="M955" s="191"/>
      <c r="N955" s="191"/>
      <c r="O955" s="191"/>
      <c r="Q955" s="183"/>
    </row>
    <row r="956">
      <c r="B956" s="190" t="str">
        <f>IFERROR(__xludf.DUMMYFUNCTION("""COMPUTED_VALUE"""),"#VALUE!")</f>
        <v>#VALUE!</v>
      </c>
      <c r="C956" s="190"/>
      <c r="D956" s="190" t="e">
        <v>#DIV/0!</v>
      </c>
      <c r="E956" s="190" t="e">
        <v>#DIV/0!</v>
      </c>
      <c r="F956" s="183"/>
      <c r="G956" s="191"/>
      <c r="H956" s="191"/>
      <c r="I956" s="191"/>
      <c r="J956" s="191"/>
      <c r="K956" s="191"/>
      <c r="L956" s="191"/>
      <c r="M956" s="191"/>
      <c r="N956" s="191"/>
      <c r="O956" s="191"/>
      <c r="Q956" s="183"/>
    </row>
    <row r="957">
      <c r="B957" s="190" t="str">
        <f>IFERROR(__xludf.DUMMYFUNCTION("""COMPUTED_VALUE"""),"#VALUE!")</f>
        <v>#VALUE!</v>
      </c>
      <c r="C957" s="190"/>
      <c r="D957" s="190" t="e">
        <v>#DIV/0!</v>
      </c>
      <c r="E957" s="190" t="e">
        <v>#DIV/0!</v>
      </c>
      <c r="F957" s="183"/>
      <c r="G957" s="191"/>
      <c r="H957" s="191"/>
      <c r="I957" s="191"/>
      <c r="J957" s="191"/>
      <c r="K957" s="191"/>
      <c r="L957" s="191"/>
      <c r="M957" s="191"/>
      <c r="N957" s="191"/>
      <c r="O957" s="191"/>
      <c r="Q957" s="183"/>
    </row>
    <row r="958">
      <c r="B958" s="190" t="str">
        <f>IFERROR(__xludf.DUMMYFUNCTION("""COMPUTED_VALUE"""),"#VALUE!")</f>
        <v>#VALUE!</v>
      </c>
      <c r="C958" s="190"/>
      <c r="D958" s="190" t="e">
        <v>#DIV/0!</v>
      </c>
      <c r="E958" s="190" t="e">
        <v>#DIV/0!</v>
      </c>
      <c r="F958" s="183"/>
      <c r="G958" s="191"/>
      <c r="H958" s="191"/>
      <c r="I958" s="191"/>
      <c r="J958" s="191"/>
      <c r="K958" s="191"/>
      <c r="L958" s="191"/>
      <c r="M958" s="191"/>
      <c r="N958" s="191"/>
      <c r="O958" s="191"/>
      <c r="Q958" s="183"/>
    </row>
    <row r="959">
      <c r="B959" s="190" t="str">
        <f>IFERROR(__xludf.DUMMYFUNCTION("""COMPUTED_VALUE"""),"#VALUE!")</f>
        <v>#VALUE!</v>
      </c>
      <c r="C959" s="190"/>
      <c r="D959" s="190" t="e">
        <v>#DIV/0!</v>
      </c>
      <c r="E959" s="190" t="e">
        <v>#DIV/0!</v>
      </c>
      <c r="F959" s="183"/>
      <c r="G959" s="191"/>
      <c r="H959" s="191"/>
      <c r="I959" s="191"/>
      <c r="J959" s="191"/>
      <c r="K959" s="191"/>
      <c r="L959" s="191"/>
      <c r="M959" s="191"/>
      <c r="N959" s="191"/>
      <c r="O959" s="191"/>
      <c r="Q959" s="183"/>
    </row>
    <row r="960">
      <c r="B960" s="190" t="str">
        <f>IFERROR(__xludf.DUMMYFUNCTION("""COMPUTED_VALUE"""),"#VALUE!")</f>
        <v>#VALUE!</v>
      </c>
      <c r="C960" s="190"/>
      <c r="D960" s="190" t="e">
        <v>#DIV/0!</v>
      </c>
      <c r="E960" s="190" t="e">
        <v>#DIV/0!</v>
      </c>
      <c r="F960" s="183"/>
      <c r="G960" s="191"/>
      <c r="H960" s="191"/>
      <c r="I960" s="191"/>
      <c r="J960" s="191"/>
      <c r="K960" s="191"/>
      <c r="L960" s="191"/>
      <c r="M960" s="191"/>
      <c r="N960" s="191"/>
      <c r="O960" s="191"/>
      <c r="Q960" s="183"/>
    </row>
    <row r="961">
      <c r="B961" s="190" t="str">
        <f>IFERROR(__xludf.DUMMYFUNCTION("""COMPUTED_VALUE"""),"#VALUE!")</f>
        <v>#VALUE!</v>
      </c>
      <c r="C961" s="190"/>
      <c r="D961" s="190" t="e">
        <v>#DIV/0!</v>
      </c>
      <c r="E961" s="190" t="e">
        <v>#DIV/0!</v>
      </c>
      <c r="F961" s="183"/>
      <c r="G961" s="191"/>
      <c r="H961" s="191"/>
      <c r="I961" s="191"/>
      <c r="J961" s="191"/>
      <c r="K961" s="191"/>
      <c r="L961" s="191"/>
      <c r="M961" s="191"/>
      <c r="N961" s="191"/>
      <c r="O961" s="191"/>
      <c r="Q961" s="183"/>
    </row>
    <row r="962">
      <c r="B962" s="190" t="str">
        <f>IFERROR(__xludf.DUMMYFUNCTION("""COMPUTED_VALUE"""),"#VALUE!")</f>
        <v>#VALUE!</v>
      </c>
      <c r="C962" s="190"/>
      <c r="D962" s="190" t="e">
        <v>#DIV/0!</v>
      </c>
      <c r="E962" s="190" t="e">
        <v>#DIV/0!</v>
      </c>
      <c r="F962" s="183"/>
      <c r="G962" s="191"/>
      <c r="H962" s="191"/>
      <c r="I962" s="191"/>
      <c r="J962" s="191"/>
      <c r="K962" s="191"/>
      <c r="L962" s="191"/>
      <c r="M962" s="191"/>
      <c r="N962" s="191"/>
      <c r="O962" s="191"/>
      <c r="Q962" s="183"/>
    </row>
    <row r="963">
      <c r="B963" s="190" t="str">
        <f>IFERROR(__xludf.DUMMYFUNCTION("""COMPUTED_VALUE"""),"#VALUE!")</f>
        <v>#VALUE!</v>
      </c>
      <c r="C963" s="190"/>
      <c r="D963" s="190" t="e">
        <v>#DIV/0!</v>
      </c>
      <c r="E963" s="190" t="e">
        <v>#DIV/0!</v>
      </c>
      <c r="F963" s="183"/>
      <c r="G963" s="191"/>
      <c r="H963" s="191"/>
      <c r="I963" s="191"/>
      <c r="J963" s="191"/>
      <c r="K963" s="191"/>
      <c r="L963" s="191"/>
      <c r="M963" s="191"/>
      <c r="N963" s="191"/>
      <c r="O963" s="191"/>
      <c r="Q963" s="183"/>
    </row>
    <row r="964">
      <c r="B964" s="190" t="str">
        <f>IFERROR(__xludf.DUMMYFUNCTION("""COMPUTED_VALUE"""),"#VALUE!")</f>
        <v>#VALUE!</v>
      </c>
      <c r="C964" s="190"/>
      <c r="D964" s="190" t="e">
        <v>#DIV/0!</v>
      </c>
      <c r="E964" s="190" t="e">
        <v>#DIV/0!</v>
      </c>
      <c r="F964" s="183"/>
      <c r="G964" s="191"/>
      <c r="H964" s="191"/>
      <c r="I964" s="191"/>
      <c r="J964" s="191"/>
      <c r="K964" s="191"/>
      <c r="L964" s="191"/>
      <c r="M964" s="191"/>
      <c r="N964" s="191"/>
      <c r="O964" s="191"/>
      <c r="Q964" s="183"/>
    </row>
    <row r="965">
      <c r="B965" s="190" t="str">
        <f>IFERROR(__xludf.DUMMYFUNCTION("""COMPUTED_VALUE"""),"#VALUE!")</f>
        <v>#VALUE!</v>
      </c>
      <c r="C965" s="190"/>
      <c r="D965" s="190" t="e">
        <v>#DIV/0!</v>
      </c>
      <c r="E965" s="190" t="e">
        <v>#DIV/0!</v>
      </c>
      <c r="F965" s="183"/>
      <c r="G965" s="191"/>
      <c r="H965" s="191"/>
      <c r="I965" s="191"/>
      <c r="J965" s="191"/>
      <c r="K965" s="191"/>
      <c r="L965" s="191"/>
      <c r="M965" s="191"/>
      <c r="N965" s="191"/>
      <c r="O965" s="191"/>
      <c r="Q965" s="183"/>
    </row>
    <row r="966">
      <c r="B966" s="190" t="str">
        <f>IFERROR(__xludf.DUMMYFUNCTION("""COMPUTED_VALUE"""),"#VALUE!")</f>
        <v>#VALUE!</v>
      </c>
      <c r="C966" s="190"/>
      <c r="D966" s="190" t="e">
        <v>#DIV/0!</v>
      </c>
      <c r="E966" s="190" t="e">
        <v>#DIV/0!</v>
      </c>
      <c r="F966" s="183"/>
      <c r="G966" s="191"/>
      <c r="H966" s="191"/>
      <c r="I966" s="191"/>
      <c r="J966" s="191"/>
      <c r="K966" s="191"/>
      <c r="L966" s="191"/>
      <c r="M966" s="191"/>
      <c r="N966" s="191"/>
      <c r="O966" s="191"/>
      <c r="Q966" s="183"/>
    </row>
    <row r="967">
      <c r="B967" s="190" t="str">
        <f>IFERROR(__xludf.DUMMYFUNCTION("""COMPUTED_VALUE"""),"#VALUE!")</f>
        <v>#VALUE!</v>
      </c>
      <c r="C967" s="190"/>
      <c r="D967" s="190" t="e">
        <v>#DIV/0!</v>
      </c>
      <c r="E967" s="190" t="e">
        <v>#DIV/0!</v>
      </c>
      <c r="F967" s="183"/>
      <c r="G967" s="191"/>
      <c r="H967" s="191"/>
      <c r="I967" s="191"/>
      <c r="J967" s="191"/>
      <c r="K967" s="191"/>
      <c r="L967" s="191"/>
      <c r="M967" s="191"/>
      <c r="N967" s="191"/>
      <c r="O967" s="191"/>
      <c r="Q967" s="183"/>
    </row>
    <row r="968">
      <c r="B968" s="190" t="str">
        <f>IFERROR(__xludf.DUMMYFUNCTION("""COMPUTED_VALUE"""),"#VALUE!")</f>
        <v>#VALUE!</v>
      </c>
      <c r="C968" s="190"/>
      <c r="D968" s="190" t="e">
        <v>#DIV/0!</v>
      </c>
      <c r="E968" s="190" t="e">
        <v>#DIV/0!</v>
      </c>
      <c r="F968" s="183"/>
      <c r="G968" s="191"/>
      <c r="H968" s="191"/>
      <c r="I968" s="191"/>
      <c r="J968" s="191"/>
      <c r="K968" s="191"/>
      <c r="L968" s="191"/>
      <c r="M968" s="191"/>
      <c r="N968" s="191"/>
      <c r="O968" s="191"/>
      <c r="Q968" s="183"/>
    </row>
    <row r="969">
      <c r="B969" s="190" t="str">
        <f>IFERROR(__xludf.DUMMYFUNCTION("""COMPUTED_VALUE"""),"#VALUE!")</f>
        <v>#VALUE!</v>
      </c>
      <c r="C969" s="190"/>
      <c r="D969" s="190" t="e">
        <v>#DIV/0!</v>
      </c>
      <c r="E969" s="190" t="e">
        <v>#DIV/0!</v>
      </c>
      <c r="F969" s="183"/>
      <c r="G969" s="191"/>
      <c r="H969" s="191"/>
      <c r="I969" s="191"/>
      <c r="J969" s="191"/>
      <c r="K969" s="191"/>
      <c r="L969" s="191"/>
      <c r="M969" s="191"/>
      <c r="N969" s="191"/>
      <c r="O969" s="191"/>
      <c r="Q969" s="183"/>
    </row>
    <row r="970">
      <c r="B970" s="190" t="str">
        <f>IFERROR(__xludf.DUMMYFUNCTION("""COMPUTED_VALUE"""),"#VALUE!")</f>
        <v>#VALUE!</v>
      </c>
      <c r="C970" s="190"/>
      <c r="D970" s="190" t="e">
        <v>#DIV/0!</v>
      </c>
      <c r="E970" s="190" t="e">
        <v>#DIV/0!</v>
      </c>
      <c r="F970" s="183"/>
      <c r="G970" s="191"/>
      <c r="H970" s="191"/>
      <c r="I970" s="191"/>
      <c r="J970" s="191"/>
      <c r="K970" s="191"/>
      <c r="L970" s="191"/>
      <c r="M970" s="191"/>
      <c r="N970" s="191"/>
      <c r="O970" s="191"/>
      <c r="Q970" s="183"/>
    </row>
    <row r="971">
      <c r="B971" s="190" t="str">
        <f>IFERROR(__xludf.DUMMYFUNCTION("""COMPUTED_VALUE"""),"#VALUE!")</f>
        <v>#VALUE!</v>
      </c>
      <c r="C971" s="190"/>
      <c r="D971" s="190" t="e">
        <v>#DIV/0!</v>
      </c>
      <c r="E971" s="190" t="e">
        <v>#DIV/0!</v>
      </c>
      <c r="F971" s="183"/>
      <c r="G971" s="191"/>
      <c r="H971" s="191"/>
      <c r="I971" s="191"/>
      <c r="J971" s="191"/>
      <c r="K971" s="191"/>
      <c r="L971" s="191"/>
      <c r="M971" s="191"/>
      <c r="N971" s="191"/>
      <c r="O971" s="191"/>
      <c r="Q971" s="183"/>
    </row>
    <row r="972">
      <c r="B972" s="190" t="str">
        <f>IFERROR(__xludf.DUMMYFUNCTION("""COMPUTED_VALUE"""),"#VALUE!")</f>
        <v>#VALUE!</v>
      </c>
      <c r="C972" s="190"/>
      <c r="D972" s="190" t="e">
        <v>#DIV/0!</v>
      </c>
      <c r="E972" s="190" t="e">
        <v>#DIV/0!</v>
      </c>
      <c r="F972" s="183"/>
      <c r="G972" s="191"/>
      <c r="H972" s="191"/>
      <c r="I972" s="191"/>
      <c r="J972" s="191"/>
      <c r="K972" s="191"/>
      <c r="L972" s="191"/>
      <c r="M972" s="191"/>
      <c r="N972" s="191"/>
      <c r="O972" s="191"/>
      <c r="Q972" s="183"/>
    </row>
    <row r="973">
      <c r="B973" s="190" t="str">
        <f>IFERROR(__xludf.DUMMYFUNCTION("""COMPUTED_VALUE"""),"#VALUE!")</f>
        <v>#VALUE!</v>
      </c>
      <c r="C973" s="190"/>
      <c r="D973" s="190" t="e">
        <v>#DIV/0!</v>
      </c>
      <c r="E973" s="190" t="e">
        <v>#DIV/0!</v>
      </c>
      <c r="F973" s="183"/>
      <c r="G973" s="191"/>
      <c r="H973" s="191"/>
      <c r="I973" s="191"/>
      <c r="J973" s="191"/>
      <c r="K973" s="191"/>
      <c r="L973" s="191"/>
      <c r="M973" s="191"/>
      <c r="N973" s="191"/>
      <c r="O973" s="191"/>
      <c r="Q973" s="183"/>
    </row>
    <row r="974">
      <c r="B974" s="190" t="str">
        <f>IFERROR(__xludf.DUMMYFUNCTION("""COMPUTED_VALUE"""),"#VALUE!")</f>
        <v>#VALUE!</v>
      </c>
      <c r="C974" s="190"/>
      <c r="D974" s="190" t="e">
        <v>#DIV/0!</v>
      </c>
      <c r="E974" s="190" t="e">
        <v>#DIV/0!</v>
      </c>
      <c r="F974" s="183"/>
      <c r="G974" s="191"/>
      <c r="H974" s="191"/>
      <c r="I974" s="191"/>
      <c r="J974" s="191"/>
      <c r="K974" s="191"/>
      <c r="L974" s="191"/>
      <c r="M974" s="191"/>
      <c r="N974" s="191"/>
      <c r="O974" s="191"/>
      <c r="Q974" s="183"/>
    </row>
    <row r="975">
      <c r="B975" s="190" t="str">
        <f>IFERROR(__xludf.DUMMYFUNCTION("""COMPUTED_VALUE"""),"#VALUE!")</f>
        <v>#VALUE!</v>
      </c>
      <c r="C975" s="190"/>
      <c r="D975" s="190" t="e">
        <v>#DIV/0!</v>
      </c>
      <c r="E975" s="190" t="e">
        <v>#DIV/0!</v>
      </c>
      <c r="F975" s="183"/>
      <c r="G975" s="191"/>
      <c r="H975" s="191"/>
      <c r="I975" s="191"/>
      <c r="J975" s="191"/>
      <c r="K975" s="191"/>
      <c r="L975" s="191"/>
      <c r="M975" s="191"/>
      <c r="N975" s="191"/>
      <c r="O975" s="191"/>
      <c r="Q975" s="183"/>
    </row>
    <row r="976">
      <c r="B976" s="190" t="str">
        <f>IFERROR(__xludf.DUMMYFUNCTION("""COMPUTED_VALUE"""),"#VALUE!")</f>
        <v>#VALUE!</v>
      </c>
      <c r="C976" s="190"/>
      <c r="D976" s="190" t="e">
        <v>#DIV/0!</v>
      </c>
      <c r="E976" s="190" t="e">
        <v>#DIV/0!</v>
      </c>
      <c r="F976" s="183"/>
      <c r="G976" s="191"/>
      <c r="H976" s="191"/>
      <c r="I976" s="191"/>
      <c r="J976" s="191"/>
      <c r="K976" s="191"/>
      <c r="L976" s="191"/>
      <c r="M976" s="191"/>
      <c r="N976" s="191"/>
      <c r="O976" s="191"/>
      <c r="Q976" s="183"/>
    </row>
    <row r="977">
      <c r="B977" s="190" t="str">
        <f>IFERROR(__xludf.DUMMYFUNCTION("""COMPUTED_VALUE"""),"#VALUE!")</f>
        <v>#VALUE!</v>
      </c>
      <c r="C977" s="190"/>
      <c r="D977" s="190" t="e">
        <v>#DIV/0!</v>
      </c>
      <c r="E977" s="190" t="e">
        <v>#DIV/0!</v>
      </c>
      <c r="F977" s="183"/>
      <c r="G977" s="191"/>
      <c r="H977" s="191"/>
      <c r="I977" s="191"/>
      <c r="J977" s="191"/>
      <c r="K977" s="191"/>
      <c r="L977" s="191"/>
      <c r="M977" s="191"/>
      <c r="N977" s="191"/>
      <c r="O977" s="191"/>
      <c r="Q977" s="183"/>
    </row>
    <row r="978">
      <c r="B978" s="190" t="str">
        <f>IFERROR(__xludf.DUMMYFUNCTION("""COMPUTED_VALUE"""),"#VALUE!")</f>
        <v>#VALUE!</v>
      </c>
      <c r="C978" s="190"/>
      <c r="D978" s="190" t="e">
        <v>#DIV/0!</v>
      </c>
      <c r="E978" s="190" t="e">
        <v>#DIV/0!</v>
      </c>
      <c r="F978" s="183"/>
      <c r="G978" s="191"/>
      <c r="H978" s="191"/>
      <c r="I978" s="191"/>
      <c r="J978" s="191"/>
      <c r="K978" s="191"/>
      <c r="L978" s="191"/>
      <c r="M978" s="191"/>
      <c r="N978" s="191"/>
      <c r="O978" s="191"/>
      <c r="Q978" s="183"/>
    </row>
    <row r="979">
      <c r="B979" s="190" t="str">
        <f>IFERROR(__xludf.DUMMYFUNCTION("""COMPUTED_VALUE"""),"#VALUE!")</f>
        <v>#VALUE!</v>
      </c>
      <c r="C979" s="190"/>
      <c r="D979" s="190" t="e">
        <v>#DIV/0!</v>
      </c>
      <c r="E979" s="190" t="e">
        <v>#DIV/0!</v>
      </c>
      <c r="F979" s="183"/>
      <c r="G979" s="191"/>
      <c r="H979" s="191"/>
      <c r="I979" s="191"/>
      <c r="J979" s="191"/>
      <c r="K979" s="191"/>
      <c r="L979" s="191"/>
      <c r="M979" s="191"/>
      <c r="N979" s="191"/>
      <c r="O979" s="191"/>
      <c r="Q979" s="183"/>
    </row>
    <row r="980">
      <c r="B980" s="190" t="str">
        <f>IFERROR(__xludf.DUMMYFUNCTION("""COMPUTED_VALUE"""),"#VALUE!")</f>
        <v>#VALUE!</v>
      </c>
      <c r="C980" s="190"/>
      <c r="D980" s="190" t="e">
        <v>#DIV/0!</v>
      </c>
      <c r="E980" s="190" t="e">
        <v>#DIV/0!</v>
      </c>
      <c r="F980" s="183"/>
      <c r="G980" s="191"/>
      <c r="H980" s="191"/>
      <c r="I980" s="191"/>
      <c r="J980" s="191"/>
      <c r="K980" s="191"/>
      <c r="L980" s="191"/>
      <c r="M980" s="191"/>
      <c r="N980" s="191"/>
      <c r="O980" s="191"/>
      <c r="Q980" s="183"/>
    </row>
    <row r="981">
      <c r="B981" s="190" t="str">
        <f>IFERROR(__xludf.DUMMYFUNCTION("""COMPUTED_VALUE"""),"#VALUE!")</f>
        <v>#VALUE!</v>
      </c>
      <c r="C981" s="190"/>
      <c r="D981" s="190" t="e">
        <v>#DIV/0!</v>
      </c>
      <c r="E981" s="190" t="e">
        <v>#DIV/0!</v>
      </c>
      <c r="F981" s="183"/>
      <c r="G981" s="191"/>
      <c r="H981" s="191"/>
      <c r="I981" s="191"/>
      <c r="J981" s="191"/>
      <c r="K981" s="191"/>
      <c r="L981" s="191"/>
      <c r="M981" s="191"/>
      <c r="N981" s="191"/>
      <c r="O981" s="191"/>
      <c r="Q981" s="183"/>
    </row>
    <row r="982">
      <c r="B982" s="190" t="str">
        <f>IFERROR(__xludf.DUMMYFUNCTION("""COMPUTED_VALUE"""),"#VALUE!")</f>
        <v>#VALUE!</v>
      </c>
      <c r="C982" s="190"/>
      <c r="D982" s="190" t="e">
        <v>#DIV/0!</v>
      </c>
      <c r="E982" s="190" t="e">
        <v>#DIV/0!</v>
      </c>
      <c r="F982" s="183"/>
      <c r="G982" s="191"/>
      <c r="H982" s="191"/>
      <c r="I982" s="191"/>
      <c r="J982" s="191"/>
      <c r="K982" s="191"/>
      <c r="L982" s="191"/>
      <c r="M982" s="191"/>
      <c r="N982" s="191"/>
      <c r="O982" s="191"/>
      <c r="Q982" s="183"/>
    </row>
    <row r="983">
      <c r="B983" s="190" t="str">
        <f>IFERROR(__xludf.DUMMYFUNCTION("""COMPUTED_VALUE"""),"#VALUE!")</f>
        <v>#VALUE!</v>
      </c>
      <c r="C983" s="190"/>
      <c r="D983" s="190" t="e">
        <v>#DIV/0!</v>
      </c>
      <c r="E983" s="190" t="e">
        <v>#DIV/0!</v>
      </c>
      <c r="F983" s="183"/>
      <c r="G983" s="191"/>
      <c r="H983" s="191"/>
      <c r="I983" s="191"/>
      <c r="J983" s="191"/>
      <c r="K983" s="191"/>
      <c r="L983" s="191"/>
      <c r="M983" s="191"/>
      <c r="N983" s="191"/>
      <c r="O983" s="191"/>
      <c r="Q983" s="183"/>
    </row>
    <row r="984">
      <c r="B984" s="190" t="str">
        <f>IFERROR(__xludf.DUMMYFUNCTION("""COMPUTED_VALUE"""),"#VALUE!")</f>
        <v>#VALUE!</v>
      </c>
      <c r="C984" s="190"/>
      <c r="D984" s="190" t="e">
        <v>#DIV/0!</v>
      </c>
      <c r="E984" s="190" t="e">
        <v>#DIV/0!</v>
      </c>
      <c r="F984" s="183"/>
      <c r="G984" s="191"/>
      <c r="H984" s="191"/>
      <c r="I984" s="191"/>
      <c r="J984" s="191"/>
      <c r="K984" s="191"/>
      <c r="L984" s="191"/>
      <c r="M984" s="191"/>
      <c r="N984" s="191"/>
      <c r="O984" s="191"/>
      <c r="Q984" s="183"/>
    </row>
    <row r="985">
      <c r="B985" s="190" t="str">
        <f>IFERROR(__xludf.DUMMYFUNCTION("""COMPUTED_VALUE"""),"#VALUE!")</f>
        <v>#VALUE!</v>
      </c>
      <c r="C985" s="190"/>
      <c r="D985" s="190" t="e">
        <v>#DIV/0!</v>
      </c>
      <c r="E985" s="190" t="e">
        <v>#DIV/0!</v>
      </c>
      <c r="F985" s="183"/>
      <c r="G985" s="191"/>
      <c r="H985" s="191"/>
      <c r="I985" s="191"/>
      <c r="J985" s="191"/>
      <c r="K985" s="191"/>
      <c r="L985" s="191"/>
      <c r="M985" s="191"/>
      <c r="N985" s="191"/>
      <c r="O985" s="191"/>
      <c r="Q985" s="183"/>
    </row>
    <row r="986">
      <c r="B986" s="190" t="str">
        <f>IFERROR(__xludf.DUMMYFUNCTION("""COMPUTED_VALUE"""),"#VALUE!")</f>
        <v>#VALUE!</v>
      </c>
      <c r="C986" s="190"/>
      <c r="D986" s="190" t="e">
        <v>#DIV/0!</v>
      </c>
      <c r="E986" s="190" t="e">
        <v>#DIV/0!</v>
      </c>
      <c r="F986" s="183"/>
      <c r="G986" s="191"/>
      <c r="H986" s="191"/>
      <c r="I986" s="191"/>
      <c r="J986" s="191"/>
      <c r="K986" s="191"/>
      <c r="L986" s="191"/>
      <c r="M986" s="191"/>
      <c r="N986" s="191"/>
      <c r="O986" s="191"/>
      <c r="Q986" s="183"/>
    </row>
    <row r="987">
      <c r="B987" s="190" t="str">
        <f>IFERROR(__xludf.DUMMYFUNCTION("""COMPUTED_VALUE"""),"#VALUE!")</f>
        <v>#VALUE!</v>
      </c>
      <c r="C987" s="190"/>
      <c r="D987" s="190" t="e">
        <v>#DIV/0!</v>
      </c>
      <c r="E987" s="190" t="e">
        <v>#DIV/0!</v>
      </c>
      <c r="F987" s="183"/>
      <c r="G987" s="191"/>
      <c r="H987" s="191"/>
      <c r="I987" s="191"/>
      <c r="J987" s="191"/>
      <c r="K987" s="191"/>
      <c r="L987" s="191"/>
      <c r="M987" s="191"/>
      <c r="N987" s="191"/>
      <c r="O987" s="191"/>
      <c r="Q987" s="183"/>
    </row>
    <row r="988">
      <c r="B988" s="190" t="str">
        <f>IFERROR(__xludf.DUMMYFUNCTION("""COMPUTED_VALUE"""),"#VALUE!")</f>
        <v>#VALUE!</v>
      </c>
      <c r="C988" s="190"/>
      <c r="D988" s="190" t="e">
        <v>#DIV/0!</v>
      </c>
      <c r="E988" s="190" t="e">
        <v>#DIV/0!</v>
      </c>
      <c r="F988" s="183"/>
      <c r="G988" s="191"/>
      <c r="H988" s="191"/>
      <c r="I988" s="191"/>
      <c r="J988" s="191"/>
      <c r="K988" s="191"/>
      <c r="L988" s="191"/>
      <c r="M988" s="191"/>
      <c r="N988" s="191"/>
      <c r="O988" s="191"/>
      <c r="Q988" s="183"/>
    </row>
    <row r="989">
      <c r="B989" s="190" t="str">
        <f>IFERROR(__xludf.DUMMYFUNCTION("""COMPUTED_VALUE"""),"#VALUE!")</f>
        <v>#VALUE!</v>
      </c>
      <c r="C989" s="190"/>
      <c r="D989" s="190" t="e">
        <v>#DIV/0!</v>
      </c>
      <c r="E989" s="190" t="e">
        <v>#DIV/0!</v>
      </c>
      <c r="F989" s="183"/>
      <c r="G989" s="191"/>
      <c r="H989" s="191"/>
      <c r="I989" s="191"/>
      <c r="J989" s="191"/>
      <c r="K989" s="191"/>
      <c r="L989" s="191"/>
      <c r="M989" s="191"/>
      <c r="N989" s="191"/>
      <c r="O989" s="191"/>
      <c r="Q989" s="183"/>
    </row>
    <row r="990">
      <c r="B990" s="190" t="str">
        <f>IFERROR(__xludf.DUMMYFUNCTION("""COMPUTED_VALUE"""),"#VALUE!")</f>
        <v>#VALUE!</v>
      </c>
      <c r="C990" s="190"/>
      <c r="D990" s="190" t="e">
        <v>#DIV/0!</v>
      </c>
      <c r="E990" s="190" t="e">
        <v>#DIV/0!</v>
      </c>
      <c r="F990" s="183"/>
      <c r="G990" s="191"/>
      <c r="H990" s="191"/>
      <c r="I990" s="191"/>
      <c r="J990" s="191"/>
      <c r="K990" s="191"/>
      <c r="L990" s="191"/>
      <c r="M990" s="191"/>
      <c r="N990" s="191"/>
      <c r="O990" s="191"/>
      <c r="Q990" s="183"/>
    </row>
    <row r="991">
      <c r="B991" s="190" t="str">
        <f>IFERROR(__xludf.DUMMYFUNCTION("""COMPUTED_VALUE"""),"#VALUE!")</f>
        <v>#VALUE!</v>
      </c>
      <c r="C991" s="190"/>
      <c r="D991" s="190" t="e">
        <v>#DIV/0!</v>
      </c>
      <c r="E991" s="190" t="e">
        <v>#DIV/0!</v>
      </c>
      <c r="F991" s="183"/>
      <c r="G991" s="191"/>
      <c r="H991" s="191"/>
      <c r="I991" s="191"/>
      <c r="J991" s="191"/>
      <c r="K991" s="191"/>
      <c r="L991" s="191"/>
      <c r="M991" s="191"/>
      <c r="N991" s="191"/>
      <c r="O991" s="191"/>
      <c r="Q991" s="183"/>
    </row>
    <row r="992">
      <c r="B992" s="190" t="str">
        <f>IFERROR(__xludf.DUMMYFUNCTION("""COMPUTED_VALUE"""),"#VALUE!")</f>
        <v>#VALUE!</v>
      </c>
      <c r="C992" s="190"/>
      <c r="D992" s="190" t="e">
        <v>#DIV/0!</v>
      </c>
      <c r="E992" s="190" t="e">
        <v>#DIV/0!</v>
      </c>
      <c r="F992" s="183"/>
      <c r="G992" s="191"/>
      <c r="H992" s="191"/>
      <c r="I992" s="191"/>
      <c r="J992" s="191"/>
      <c r="K992" s="191"/>
      <c r="L992" s="191"/>
      <c r="M992" s="191"/>
      <c r="N992" s="191"/>
      <c r="O992" s="191"/>
      <c r="Q992" s="183"/>
    </row>
    <row r="993">
      <c r="B993" s="190" t="str">
        <f>IFERROR(__xludf.DUMMYFUNCTION("""COMPUTED_VALUE"""),"#VALUE!")</f>
        <v>#VALUE!</v>
      </c>
      <c r="C993" s="190"/>
      <c r="D993" s="190" t="e">
        <v>#DIV/0!</v>
      </c>
      <c r="E993" s="190" t="e">
        <v>#DIV/0!</v>
      </c>
      <c r="F993" s="183"/>
      <c r="G993" s="191"/>
      <c r="H993" s="191"/>
      <c r="I993" s="191"/>
      <c r="J993" s="191"/>
      <c r="K993" s="191"/>
      <c r="L993" s="191"/>
      <c r="M993" s="191"/>
      <c r="N993" s="191"/>
      <c r="O993" s="191"/>
      <c r="Q993" s="183"/>
    </row>
    <row r="994">
      <c r="B994" s="190" t="str">
        <f>IFERROR(__xludf.DUMMYFUNCTION("""COMPUTED_VALUE"""),"#VALUE!")</f>
        <v>#VALUE!</v>
      </c>
      <c r="C994" s="190"/>
      <c r="D994" s="190" t="e">
        <v>#DIV/0!</v>
      </c>
      <c r="E994" s="190" t="e">
        <v>#DIV/0!</v>
      </c>
      <c r="F994" s="183"/>
      <c r="G994" s="191"/>
      <c r="H994" s="191"/>
      <c r="I994" s="191"/>
      <c r="J994" s="191"/>
      <c r="K994" s="191"/>
      <c r="L994" s="191"/>
      <c r="M994" s="191"/>
      <c r="N994" s="191"/>
      <c r="O994" s="191"/>
      <c r="Q994" s="183"/>
    </row>
    <row r="995">
      <c r="B995" s="190" t="str">
        <f>IFERROR(__xludf.DUMMYFUNCTION("""COMPUTED_VALUE"""),"#VALUE!")</f>
        <v>#VALUE!</v>
      </c>
      <c r="C995" s="190"/>
      <c r="D995" s="190" t="e">
        <v>#DIV/0!</v>
      </c>
      <c r="E995" s="190" t="e">
        <v>#DIV/0!</v>
      </c>
      <c r="F995" s="183"/>
      <c r="G995" s="191"/>
      <c r="H995" s="191"/>
      <c r="I995" s="191"/>
      <c r="J995" s="191"/>
      <c r="K995" s="191"/>
      <c r="L995" s="191"/>
      <c r="M995" s="191"/>
      <c r="N995" s="191"/>
      <c r="O995" s="191"/>
      <c r="Q995" s="183"/>
    </row>
    <row r="996">
      <c r="B996" s="190" t="str">
        <f>IFERROR(__xludf.DUMMYFUNCTION("""COMPUTED_VALUE"""),"#VALUE!")</f>
        <v>#VALUE!</v>
      </c>
      <c r="C996" s="190"/>
      <c r="D996" s="190" t="e">
        <v>#DIV/0!</v>
      </c>
      <c r="E996" s="190" t="e">
        <v>#DIV/0!</v>
      </c>
      <c r="F996" s="183"/>
      <c r="G996" s="191"/>
      <c r="H996" s="191"/>
      <c r="I996" s="191"/>
      <c r="J996" s="191"/>
      <c r="K996" s="191"/>
      <c r="L996" s="191"/>
      <c r="M996" s="191"/>
      <c r="N996" s="191"/>
      <c r="O996" s="191"/>
      <c r="Q996" s="183"/>
    </row>
    <row r="997">
      <c r="B997" s="190" t="str">
        <f>IFERROR(__xludf.DUMMYFUNCTION("""COMPUTED_VALUE"""),"#VALUE!")</f>
        <v>#VALUE!</v>
      </c>
      <c r="C997" s="190"/>
      <c r="D997" s="190" t="e">
        <v>#DIV/0!</v>
      </c>
      <c r="E997" s="190" t="e">
        <v>#DIV/0!</v>
      </c>
      <c r="F997" s="183"/>
      <c r="G997" s="191"/>
      <c r="H997" s="191"/>
      <c r="I997" s="191"/>
      <c r="J997" s="191"/>
      <c r="K997" s="191"/>
      <c r="L997" s="191"/>
      <c r="M997" s="191"/>
      <c r="N997" s="191"/>
      <c r="O997" s="191"/>
      <c r="Q997" s="183"/>
    </row>
    <row r="998">
      <c r="B998" s="190" t="str">
        <f>IFERROR(__xludf.DUMMYFUNCTION("""COMPUTED_VALUE"""),"#VALUE!")</f>
        <v>#VALUE!</v>
      </c>
      <c r="C998" s="190"/>
      <c r="D998" s="190" t="e">
        <v>#DIV/0!</v>
      </c>
      <c r="E998" s="190" t="e">
        <v>#DIV/0!</v>
      </c>
      <c r="F998" s="183"/>
      <c r="G998" s="191"/>
      <c r="H998" s="191"/>
      <c r="I998" s="191"/>
      <c r="J998" s="191"/>
      <c r="K998" s="191"/>
      <c r="L998" s="191"/>
      <c r="M998" s="191"/>
      <c r="N998" s="191"/>
      <c r="O998" s="191"/>
      <c r="Q998" s="183"/>
    </row>
    <row r="999">
      <c r="B999" s="190" t="str">
        <f>IFERROR(__xludf.DUMMYFUNCTION("""COMPUTED_VALUE"""),"#VALUE!")</f>
        <v>#VALUE!</v>
      </c>
      <c r="C999" s="190"/>
      <c r="D999" s="190" t="e">
        <v>#DIV/0!</v>
      </c>
      <c r="E999" s="190" t="e">
        <v>#DIV/0!</v>
      </c>
      <c r="F999" s="183"/>
      <c r="G999" s="191"/>
      <c r="H999" s="191"/>
      <c r="I999" s="191"/>
      <c r="J999" s="191"/>
      <c r="K999" s="191"/>
      <c r="L999" s="191"/>
      <c r="M999" s="191"/>
      <c r="N999" s="191"/>
      <c r="O999" s="191"/>
      <c r="Q999" s="183"/>
    </row>
    <row r="1000">
      <c r="B1000" s="190" t="str">
        <f>IFERROR(__xludf.DUMMYFUNCTION("""COMPUTED_VALUE"""),"#VALUE!")</f>
        <v>#VALUE!</v>
      </c>
      <c r="C1000" s="190"/>
      <c r="D1000" s="190" t="e">
        <v>#DIV/0!</v>
      </c>
      <c r="E1000" s="190" t="e">
        <v>#DIV/0!</v>
      </c>
      <c r="F1000" s="183"/>
      <c r="G1000" s="191"/>
      <c r="H1000" s="191"/>
      <c r="I1000" s="191"/>
      <c r="J1000" s="191"/>
      <c r="K1000" s="191"/>
      <c r="L1000" s="191"/>
      <c r="M1000" s="191"/>
      <c r="N1000" s="191"/>
      <c r="O1000" s="191"/>
      <c r="Q1000" s="183"/>
    </row>
    <row r="1001">
      <c r="B1001" s="190" t="str">
        <f>IFERROR(__xludf.DUMMYFUNCTION("""COMPUTED_VALUE"""),"#VALUE!")</f>
        <v>#VALUE!</v>
      </c>
      <c r="C1001" s="190"/>
      <c r="D1001" s="190" t="e">
        <v>#DIV/0!</v>
      </c>
      <c r="E1001" s="190" t="e">
        <v>#DIV/0!</v>
      </c>
      <c r="F1001" s="183"/>
      <c r="G1001" s="191"/>
      <c r="H1001" s="191"/>
      <c r="I1001" s="191"/>
      <c r="J1001" s="191"/>
      <c r="K1001" s="191"/>
      <c r="L1001" s="191"/>
      <c r="M1001" s="191"/>
      <c r="N1001" s="191"/>
      <c r="O1001" s="191"/>
      <c r="Q1001" s="183"/>
    </row>
  </sheetData>
  <mergeCells count="3">
    <mergeCell ref="A1:E1"/>
    <mergeCell ref="G1:P1"/>
    <mergeCell ref="R1:AA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5" max="6" width="19.38"/>
  </cols>
  <sheetData>
    <row r="1">
      <c r="B1" s="182" t="s">
        <v>177</v>
      </c>
      <c r="C1" s="182" t="s">
        <v>178</v>
      </c>
    </row>
    <row r="2">
      <c r="A2" s="189" t="str">
        <f t="array" ref="A2:A19">UNIQUE('acs2'!B2:B1001)</f>
        <v>Joblife</v>
      </c>
      <c r="B2" s="189">
        <f t="array" ref="B2:B1001">SUMIF('Post Plants'!A2:A1001,A2:A1001,'Post Plants'!F2:F1001)/SUMIF('Post Plants'!A2:A1001,A2:A1001,'Post Plants'!D2:D1001)</f>
        <v>0.8383838384</v>
      </c>
      <c r="C2" s="189">
        <f t="array" ref="C2:C1001">SUMIF('Post Plants'!A2:A1001,A2:A1001,'Post Plants'!L2:L1001)/SUMIF('Post Plants'!A2:A1001,A2:A1001,'Post Plants'!J2:J1001)</f>
        <v>0.3544303797</v>
      </c>
      <c r="E2" s="182">
        <v>1.0</v>
      </c>
      <c r="F2" s="189" t="str">
        <f>IFERROR(__xludf.DUMMYFUNCTION("QUERY(A2:C15,""select A order by B desc"")"),"Joblife")</f>
        <v>Joblife</v>
      </c>
      <c r="G2" s="189" t="str">
        <f>IFERROR(__xludf.DUMMYFUNCTION("QUERY(A2:C15,""select A order by C desc"")"),"DNSTY")</f>
        <v>DNSTY</v>
      </c>
    </row>
    <row r="3">
      <c r="A3" s="189" t="s">
        <v>179</v>
      </c>
      <c r="B3" s="189">
        <v>0.7956989247311828</v>
      </c>
      <c r="C3" s="189">
        <v>0.38235294117647056</v>
      </c>
      <c r="E3" s="182">
        <v>2.0</v>
      </c>
      <c r="F3" s="189" t="str">
        <f>IFERROR(__xludf.DUMMYFUNCTION("""COMPUTED_VALUE"""),"Enterprise Esports")</f>
        <v>Enterprise Esports</v>
      </c>
      <c r="G3" s="189" t="str">
        <f>IFERROR(__xludf.DUMMYFUNCTION("""COMPUTED_VALUE"""),"Twisted Minds Esports")</f>
        <v>Twisted Minds Esports</v>
      </c>
    </row>
    <row r="4">
      <c r="A4" s="189" t="s">
        <v>180</v>
      </c>
      <c r="B4" s="189">
        <v>0.7514792899408284</v>
      </c>
      <c r="C4" s="189">
        <v>0.3689839572192513</v>
      </c>
      <c r="E4" s="182">
        <v>3.0</v>
      </c>
      <c r="F4" s="189" t="str">
        <f>IFERROR(__xludf.DUMMYFUNCTION("""COMPUTED_VALUE"""),"ULF Esports")</f>
        <v>ULF Esports</v>
      </c>
      <c r="G4" s="189" t="str">
        <f>IFERROR(__xludf.DUMMYFUNCTION("""COMPUTED_VALUE"""),"Team Liquid Academy")</f>
        <v>Team Liquid Academy</v>
      </c>
    </row>
    <row r="5">
      <c r="A5" s="189" t="s">
        <v>181</v>
      </c>
      <c r="B5" s="189">
        <v>0.7116104868913857</v>
      </c>
      <c r="C5" s="189">
        <v>0.31547619047619047</v>
      </c>
      <c r="E5" s="182">
        <v>4.0</v>
      </c>
      <c r="F5" s="189" t="str">
        <f>IFERROR(__xludf.DUMMYFUNCTION("""COMPUTED_VALUE"""),"MOUZ")</f>
        <v>MOUZ</v>
      </c>
      <c r="G5" s="189" t="str">
        <f>IFERROR(__xludf.DUMMYFUNCTION("""COMPUTED_VALUE"""),"KOI Fénix")</f>
        <v>KOI Fénix</v>
      </c>
    </row>
    <row r="6">
      <c r="A6" s="189" t="s">
        <v>182</v>
      </c>
      <c r="B6" s="189">
        <v>0.6458333333333334</v>
      </c>
      <c r="C6" s="189">
        <v>0.44166666666666665</v>
      </c>
      <c r="E6" s="182">
        <v>5.0</v>
      </c>
      <c r="F6" s="189" t="str">
        <f>IFERROR(__xludf.DUMMYFUNCTION("""COMPUTED_VALUE"""),"Twisted Minds Esports")</f>
        <v>Twisted Minds Esports</v>
      </c>
      <c r="G6" s="189" t="str">
        <f>IFERROR(__xludf.DUMMYFUNCTION("""COMPUTED_VALUE"""),"Enterprise Esports")</f>
        <v>Enterprise Esports</v>
      </c>
    </row>
    <row r="7">
      <c r="A7" s="189" t="s">
        <v>1</v>
      </c>
      <c r="B7" s="189">
        <v>0.6515151515151515</v>
      </c>
      <c r="C7" s="189">
        <v>0.4052631578947368</v>
      </c>
      <c r="E7" s="182">
        <v>6.0</v>
      </c>
      <c r="F7" s="189" t="str">
        <f>IFERROR(__xludf.DUMMYFUNCTION("""COMPUTED_VALUE"""),"KOI Fénix")</f>
        <v>KOI Fénix</v>
      </c>
      <c r="G7" s="189" t="str">
        <f>IFERROR(__xludf.DUMMYFUNCTION("""COMPUTED_VALUE"""),"MOUZ")</f>
        <v>MOUZ</v>
      </c>
    </row>
    <row r="8">
      <c r="A8" s="189" t="s">
        <v>183</v>
      </c>
      <c r="B8" s="189">
        <v>0.7219251336898396</v>
      </c>
      <c r="C8" s="189">
        <v>0.31756756756756754</v>
      </c>
      <c r="E8" s="182">
        <v>7.0</v>
      </c>
      <c r="F8" s="189" t="str">
        <f>IFERROR(__xludf.DUMMYFUNCTION("""COMPUTED_VALUE"""),"děti ulice")</f>
        <v>děti ulice</v>
      </c>
      <c r="G8" s="189" t="str">
        <f>IFERROR(__xludf.DUMMYFUNCTION("""COMPUTED_VALUE"""),"Joblife")</f>
        <v>Joblife</v>
      </c>
    </row>
    <row r="9">
      <c r="A9" s="189" t="s">
        <v>184</v>
      </c>
      <c r="B9" s="189">
        <v>0.7467248908296943</v>
      </c>
      <c r="C9" s="189">
        <v>0.4297520661157025</v>
      </c>
      <c r="E9" s="182">
        <v>8.0</v>
      </c>
      <c r="F9" s="189" t="str">
        <f>IFERROR(__xludf.DUMMYFUNCTION("""COMPUTED_VALUE"""),"Eintracht Frankfurt")</f>
        <v>Eintracht Frankfurt</v>
      </c>
      <c r="G9" s="189" t="str">
        <f>IFERROR(__xludf.DUMMYFUNCTION("""COMPUTED_VALUE"""),"BBL PCIFIC")</f>
        <v>BBL PCIFIC</v>
      </c>
    </row>
    <row r="10">
      <c r="A10" s="189" t="s">
        <v>185</v>
      </c>
      <c r="B10" s="189">
        <v>0.659919028340081</v>
      </c>
      <c r="C10" s="189">
        <v>0.2985781990521327</v>
      </c>
      <c r="E10" s="182">
        <v>9.0</v>
      </c>
      <c r="F10" s="189" t="str">
        <f>IFERROR(__xludf.DUMMYFUNCTION("""COMPUTED_VALUE"""),"Boars Gaming")</f>
        <v>Boars Gaming</v>
      </c>
      <c r="G10" s="189" t="str">
        <f>IFERROR(__xludf.DUMMYFUNCTION("""COMPUTED_VALUE"""),"děti ulice")</f>
        <v>děti ulice</v>
      </c>
    </row>
    <row r="11">
      <c r="A11" s="189" t="s">
        <v>186</v>
      </c>
      <c r="B11" s="189">
        <v>0.6761904761904762</v>
      </c>
      <c r="C11" s="189">
        <v>0.35233160621761656</v>
      </c>
      <c r="E11" s="182">
        <v>10.0</v>
      </c>
      <c r="F11" s="189" t="str">
        <f>IFERROR(__xludf.DUMMYFUNCTION("""COMPUTED_VALUE"""),"BBL PCIFIC")</f>
        <v>BBL PCIFIC</v>
      </c>
      <c r="G11" s="189" t="str">
        <f>IFERROR(__xludf.DUMMYFUNCTION("""COMPUTED_VALUE"""),"ULF Esports")</f>
        <v>ULF Esports</v>
      </c>
    </row>
    <row r="12">
      <c r="A12" s="189" t="s">
        <v>187</v>
      </c>
      <c r="B12" s="189">
        <v>0.7426900584795322</v>
      </c>
      <c r="C12" s="189">
        <v>0.39226519337016574</v>
      </c>
      <c r="E12" s="182">
        <v>11.0</v>
      </c>
      <c r="F12" s="189" t="str">
        <f>IFERROR(__xludf.DUMMYFUNCTION("""COMPUTED_VALUE"""),"Mandatory")</f>
        <v>Mandatory</v>
      </c>
      <c r="G12" s="189" t="str">
        <f>IFERROR(__xludf.DUMMYFUNCTION("""COMPUTED_VALUE"""),"Mandatory")</f>
        <v>Mandatory</v>
      </c>
    </row>
    <row r="13">
      <c r="A13" s="189" t="s">
        <v>188</v>
      </c>
      <c r="B13" s="189">
        <v>0.7614213197969543</v>
      </c>
      <c r="C13" s="189">
        <v>0.3395061728395062</v>
      </c>
      <c r="E13" s="182">
        <v>12.0</v>
      </c>
      <c r="F13" s="189" t="str">
        <f>IFERROR(__xludf.DUMMYFUNCTION("""COMPUTED_VALUE"""),"The Ultimates")</f>
        <v>The Ultimates</v>
      </c>
      <c r="G13" s="189" t="str">
        <f>IFERROR(__xludf.DUMMYFUNCTION("""COMPUTED_VALUE"""),"Eintracht Frankfurt")</f>
        <v>Eintracht Frankfurt</v>
      </c>
    </row>
    <row r="14">
      <c r="A14" s="189" t="s">
        <v>189</v>
      </c>
      <c r="B14" s="189">
        <v>0.6727272727272727</v>
      </c>
      <c r="C14" s="189">
        <v>0.3230769230769231</v>
      </c>
      <c r="E14" s="182">
        <v>13.0</v>
      </c>
      <c r="F14" s="189" t="str">
        <f>IFERROR(__xludf.DUMMYFUNCTION("""COMPUTED_VALUE"""),"Team Liquid Academy")</f>
        <v>Team Liquid Academy</v>
      </c>
      <c r="G14" s="189" t="str">
        <f>IFERROR(__xludf.DUMMYFUNCTION("""COMPUTED_VALUE"""),"Boars Gaming")</f>
        <v>Boars Gaming</v>
      </c>
    </row>
    <row r="15">
      <c r="A15" s="189" t="s">
        <v>190</v>
      </c>
      <c r="B15" s="189">
        <v>0.7395348837209302</v>
      </c>
      <c r="C15" s="189">
        <v>0.34497816593886466</v>
      </c>
      <c r="E15" s="182">
        <v>14.0</v>
      </c>
      <c r="F15" s="189" t="str">
        <f>IFERROR(__xludf.DUMMYFUNCTION("""COMPUTED_VALUE"""),"DNSTY")</f>
        <v>DNSTY</v>
      </c>
      <c r="G15" s="189" t="str">
        <f>IFERROR(__xludf.DUMMYFUNCTION("""COMPUTED_VALUE"""),"The Ultimates")</f>
        <v>The Ultimates</v>
      </c>
    </row>
    <row r="16">
      <c r="A16" s="189" t="s">
        <v>191</v>
      </c>
      <c r="B16" s="189" t="e">
        <v>#DIV/0!</v>
      </c>
      <c r="C16" s="189" t="e">
        <v>#DIV/0!</v>
      </c>
    </row>
    <row r="17">
      <c r="A17" s="189" t="s">
        <v>192</v>
      </c>
      <c r="B17" s="189" t="e">
        <v>#DIV/0!</v>
      </c>
      <c r="C17" s="189" t="e">
        <v>#DIV/0!</v>
      </c>
    </row>
    <row r="18">
      <c r="A18" s="189" t="s">
        <v>193</v>
      </c>
      <c r="B18" s="189" t="e">
        <v>#DIV/0!</v>
      </c>
      <c r="C18" s="189" t="e">
        <v>#DIV/0!</v>
      </c>
    </row>
    <row r="19">
      <c r="A19" s="189"/>
      <c r="B19" s="189" t="e">
        <v>#DIV/0!</v>
      </c>
      <c r="C19" s="189" t="e">
        <v>#DIV/0!</v>
      </c>
    </row>
    <row r="20">
      <c r="B20" s="189" t="e">
        <v>#DIV/0!</v>
      </c>
      <c r="C20" s="189" t="e">
        <v>#DIV/0!</v>
      </c>
    </row>
    <row r="21">
      <c r="B21" s="189" t="e">
        <v>#DIV/0!</v>
      </c>
      <c r="C21" s="189" t="e">
        <v>#DIV/0!</v>
      </c>
    </row>
    <row r="22">
      <c r="B22" s="189" t="e">
        <v>#DIV/0!</v>
      </c>
      <c r="C22" s="189" t="e">
        <v>#DIV/0!</v>
      </c>
    </row>
    <row r="23">
      <c r="B23" s="189" t="e">
        <v>#DIV/0!</v>
      </c>
      <c r="C23" s="189" t="e">
        <v>#DIV/0!</v>
      </c>
    </row>
    <row r="24">
      <c r="B24" s="189" t="e">
        <v>#DIV/0!</v>
      </c>
      <c r="C24" s="189" t="e">
        <v>#DIV/0!</v>
      </c>
    </row>
    <row r="25">
      <c r="B25" s="189" t="e">
        <v>#DIV/0!</v>
      </c>
      <c r="C25" s="189" t="e">
        <v>#DIV/0!</v>
      </c>
    </row>
    <row r="26">
      <c r="B26" s="189" t="e">
        <v>#DIV/0!</v>
      </c>
      <c r="C26" s="189" t="e">
        <v>#DIV/0!</v>
      </c>
    </row>
    <row r="27">
      <c r="B27" s="189" t="e">
        <v>#DIV/0!</v>
      </c>
      <c r="C27" s="189" t="e">
        <v>#DIV/0!</v>
      </c>
    </row>
    <row r="28">
      <c r="B28" s="189" t="e">
        <v>#DIV/0!</v>
      </c>
      <c r="C28" s="189" t="e">
        <v>#DIV/0!</v>
      </c>
    </row>
    <row r="29">
      <c r="B29" s="189" t="e">
        <v>#DIV/0!</v>
      </c>
      <c r="C29" s="189" t="e">
        <v>#DIV/0!</v>
      </c>
    </row>
    <row r="30">
      <c r="B30" s="189" t="e">
        <v>#DIV/0!</v>
      </c>
      <c r="C30" s="189" t="e">
        <v>#DIV/0!</v>
      </c>
    </row>
    <row r="31">
      <c r="B31" s="189" t="e">
        <v>#DIV/0!</v>
      </c>
      <c r="C31" s="189" t="e">
        <v>#DIV/0!</v>
      </c>
    </row>
    <row r="32">
      <c r="B32" s="189" t="e">
        <v>#DIV/0!</v>
      </c>
      <c r="C32" s="189" t="e">
        <v>#DIV/0!</v>
      </c>
    </row>
    <row r="33">
      <c r="B33" s="189" t="e">
        <v>#DIV/0!</v>
      </c>
      <c r="C33" s="189" t="e">
        <v>#DIV/0!</v>
      </c>
    </row>
    <row r="34">
      <c r="B34" s="189" t="e">
        <v>#DIV/0!</v>
      </c>
      <c r="C34" s="189" t="e">
        <v>#DIV/0!</v>
      </c>
    </row>
    <row r="35">
      <c r="B35" s="189" t="e">
        <v>#DIV/0!</v>
      </c>
      <c r="C35" s="189" t="e">
        <v>#DIV/0!</v>
      </c>
    </row>
    <row r="36">
      <c r="B36" s="189" t="e">
        <v>#DIV/0!</v>
      </c>
      <c r="C36" s="189" t="e">
        <v>#DIV/0!</v>
      </c>
    </row>
    <row r="37">
      <c r="B37" s="189" t="e">
        <v>#DIV/0!</v>
      </c>
      <c r="C37" s="189" t="e">
        <v>#DIV/0!</v>
      </c>
    </row>
    <row r="38">
      <c r="B38" s="189" t="e">
        <v>#DIV/0!</v>
      </c>
      <c r="C38" s="189" t="e">
        <v>#DIV/0!</v>
      </c>
    </row>
    <row r="39">
      <c r="B39" s="189" t="e">
        <v>#DIV/0!</v>
      </c>
      <c r="C39" s="189" t="e">
        <v>#DIV/0!</v>
      </c>
    </row>
    <row r="40">
      <c r="B40" s="189" t="e">
        <v>#DIV/0!</v>
      </c>
      <c r="C40" s="189" t="e">
        <v>#DIV/0!</v>
      </c>
    </row>
    <row r="41">
      <c r="B41" s="189" t="e">
        <v>#DIV/0!</v>
      </c>
      <c r="C41" s="189" t="e">
        <v>#DIV/0!</v>
      </c>
    </row>
    <row r="42">
      <c r="B42" s="189" t="e">
        <v>#DIV/0!</v>
      </c>
      <c r="C42" s="189" t="e">
        <v>#DIV/0!</v>
      </c>
    </row>
    <row r="43">
      <c r="B43" s="189" t="e">
        <v>#DIV/0!</v>
      </c>
      <c r="C43" s="189" t="e">
        <v>#DIV/0!</v>
      </c>
    </row>
    <row r="44">
      <c r="B44" s="189" t="e">
        <v>#DIV/0!</v>
      </c>
      <c r="C44" s="189" t="e">
        <v>#DIV/0!</v>
      </c>
    </row>
    <row r="45">
      <c r="B45" s="189" t="e">
        <v>#DIV/0!</v>
      </c>
      <c r="C45" s="189" t="e">
        <v>#DIV/0!</v>
      </c>
    </row>
    <row r="46">
      <c r="B46" s="189" t="e">
        <v>#DIV/0!</v>
      </c>
      <c r="C46" s="189" t="e">
        <v>#DIV/0!</v>
      </c>
    </row>
    <row r="47">
      <c r="B47" s="189" t="e">
        <v>#DIV/0!</v>
      </c>
      <c r="C47" s="189" t="e">
        <v>#DIV/0!</v>
      </c>
    </row>
    <row r="48">
      <c r="B48" s="189" t="e">
        <v>#DIV/0!</v>
      </c>
      <c r="C48" s="189" t="e">
        <v>#DIV/0!</v>
      </c>
    </row>
    <row r="49">
      <c r="B49" s="189" t="e">
        <v>#DIV/0!</v>
      </c>
      <c r="C49" s="189" t="e">
        <v>#DIV/0!</v>
      </c>
    </row>
    <row r="50">
      <c r="B50" s="189" t="e">
        <v>#DIV/0!</v>
      </c>
      <c r="C50" s="189" t="e">
        <v>#DIV/0!</v>
      </c>
    </row>
    <row r="51">
      <c r="B51" s="189" t="e">
        <v>#DIV/0!</v>
      </c>
      <c r="C51" s="189" t="e">
        <v>#DIV/0!</v>
      </c>
    </row>
    <row r="52">
      <c r="B52" s="189" t="e">
        <v>#DIV/0!</v>
      </c>
      <c r="C52" s="189" t="e">
        <v>#DIV/0!</v>
      </c>
    </row>
    <row r="53">
      <c r="B53" s="189" t="e">
        <v>#DIV/0!</v>
      </c>
      <c r="C53" s="189" t="e">
        <v>#DIV/0!</v>
      </c>
    </row>
    <row r="54">
      <c r="B54" s="189" t="e">
        <v>#DIV/0!</v>
      </c>
      <c r="C54" s="189" t="e">
        <v>#DIV/0!</v>
      </c>
    </row>
    <row r="55">
      <c r="B55" s="189" t="e">
        <v>#DIV/0!</v>
      </c>
      <c r="C55" s="189" t="e">
        <v>#DIV/0!</v>
      </c>
    </row>
    <row r="56">
      <c r="B56" s="189" t="e">
        <v>#DIV/0!</v>
      </c>
      <c r="C56" s="189" t="e">
        <v>#DIV/0!</v>
      </c>
    </row>
    <row r="57">
      <c r="B57" s="189" t="e">
        <v>#DIV/0!</v>
      </c>
      <c r="C57" s="189" t="e">
        <v>#DIV/0!</v>
      </c>
    </row>
    <row r="58">
      <c r="B58" s="189" t="e">
        <v>#DIV/0!</v>
      </c>
      <c r="C58" s="189" t="e">
        <v>#DIV/0!</v>
      </c>
    </row>
    <row r="59">
      <c r="B59" s="189" t="e">
        <v>#DIV/0!</v>
      </c>
      <c r="C59" s="189" t="e">
        <v>#DIV/0!</v>
      </c>
    </row>
    <row r="60">
      <c r="B60" s="189" t="e">
        <v>#DIV/0!</v>
      </c>
      <c r="C60" s="189" t="e">
        <v>#DIV/0!</v>
      </c>
    </row>
    <row r="61">
      <c r="B61" s="189" t="e">
        <v>#DIV/0!</v>
      </c>
      <c r="C61" s="189" t="e">
        <v>#DIV/0!</v>
      </c>
    </row>
    <row r="62">
      <c r="B62" s="189" t="e">
        <v>#DIV/0!</v>
      </c>
      <c r="C62" s="189" t="e">
        <v>#DIV/0!</v>
      </c>
    </row>
    <row r="63">
      <c r="B63" s="189" t="e">
        <v>#DIV/0!</v>
      </c>
      <c r="C63" s="189" t="e">
        <v>#DIV/0!</v>
      </c>
    </row>
    <row r="64">
      <c r="B64" s="189" t="e">
        <v>#DIV/0!</v>
      </c>
      <c r="C64" s="189" t="e">
        <v>#DIV/0!</v>
      </c>
    </row>
    <row r="65">
      <c r="B65" s="189" t="e">
        <v>#DIV/0!</v>
      </c>
      <c r="C65" s="189" t="e">
        <v>#DIV/0!</v>
      </c>
    </row>
    <row r="66">
      <c r="B66" s="189" t="e">
        <v>#DIV/0!</v>
      </c>
      <c r="C66" s="189" t="e">
        <v>#DIV/0!</v>
      </c>
    </row>
    <row r="67">
      <c r="B67" s="189" t="e">
        <v>#DIV/0!</v>
      </c>
      <c r="C67" s="189" t="e">
        <v>#DIV/0!</v>
      </c>
    </row>
    <row r="68">
      <c r="B68" s="189" t="e">
        <v>#DIV/0!</v>
      </c>
      <c r="C68" s="189" t="e">
        <v>#DIV/0!</v>
      </c>
    </row>
    <row r="69">
      <c r="B69" s="189" t="e">
        <v>#DIV/0!</v>
      </c>
      <c r="C69" s="189" t="e">
        <v>#DIV/0!</v>
      </c>
    </row>
    <row r="70">
      <c r="B70" s="189" t="e">
        <v>#DIV/0!</v>
      </c>
      <c r="C70" s="189" t="e">
        <v>#DIV/0!</v>
      </c>
    </row>
    <row r="71">
      <c r="B71" s="189" t="e">
        <v>#DIV/0!</v>
      </c>
      <c r="C71" s="189" t="e">
        <v>#DIV/0!</v>
      </c>
    </row>
    <row r="72">
      <c r="B72" s="189" t="e">
        <v>#DIV/0!</v>
      </c>
      <c r="C72" s="189" t="e">
        <v>#DIV/0!</v>
      </c>
    </row>
    <row r="73">
      <c r="B73" s="189" t="e">
        <v>#DIV/0!</v>
      </c>
      <c r="C73" s="189" t="e">
        <v>#DIV/0!</v>
      </c>
    </row>
    <row r="74">
      <c r="B74" s="189" t="e">
        <v>#DIV/0!</v>
      </c>
      <c r="C74" s="189" t="e">
        <v>#DIV/0!</v>
      </c>
    </row>
    <row r="75">
      <c r="B75" s="189" t="e">
        <v>#DIV/0!</v>
      </c>
      <c r="C75" s="189" t="e">
        <v>#DIV/0!</v>
      </c>
    </row>
    <row r="76">
      <c r="B76" s="189" t="e">
        <v>#DIV/0!</v>
      </c>
      <c r="C76" s="189" t="e">
        <v>#DIV/0!</v>
      </c>
    </row>
    <row r="77">
      <c r="B77" s="189" t="e">
        <v>#DIV/0!</v>
      </c>
      <c r="C77" s="189" t="e">
        <v>#DIV/0!</v>
      </c>
    </row>
    <row r="78">
      <c r="B78" s="189" t="e">
        <v>#DIV/0!</v>
      </c>
      <c r="C78" s="189" t="e">
        <v>#DIV/0!</v>
      </c>
    </row>
    <row r="79">
      <c r="B79" s="189" t="e">
        <v>#DIV/0!</v>
      </c>
      <c r="C79" s="189" t="e">
        <v>#DIV/0!</v>
      </c>
    </row>
    <row r="80">
      <c r="B80" s="189" t="e">
        <v>#DIV/0!</v>
      </c>
      <c r="C80" s="189" t="e">
        <v>#DIV/0!</v>
      </c>
    </row>
    <row r="81">
      <c r="B81" s="189" t="e">
        <v>#DIV/0!</v>
      </c>
      <c r="C81" s="189" t="e">
        <v>#DIV/0!</v>
      </c>
    </row>
    <row r="82">
      <c r="B82" s="189" t="e">
        <v>#DIV/0!</v>
      </c>
      <c r="C82" s="189" t="e">
        <v>#DIV/0!</v>
      </c>
    </row>
    <row r="83">
      <c r="B83" s="189" t="e">
        <v>#DIV/0!</v>
      </c>
      <c r="C83" s="189" t="e">
        <v>#DIV/0!</v>
      </c>
    </row>
    <row r="84">
      <c r="B84" s="189" t="e">
        <v>#DIV/0!</v>
      </c>
      <c r="C84" s="189" t="e">
        <v>#DIV/0!</v>
      </c>
    </row>
    <row r="85">
      <c r="B85" s="189" t="e">
        <v>#DIV/0!</v>
      </c>
      <c r="C85" s="189" t="e">
        <v>#DIV/0!</v>
      </c>
    </row>
    <row r="86">
      <c r="B86" s="189" t="e">
        <v>#DIV/0!</v>
      </c>
      <c r="C86" s="189" t="e">
        <v>#DIV/0!</v>
      </c>
    </row>
    <row r="87">
      <c r="B87" s="189" t="e">
        <v>#DIV/0!</v>
      </c>
      <c r="C87" s="189" t="e">
        <v>#DIV/0!</v>
      </c>
    </row>
    <row r="88">
      <c r="B88" s="189" t="e">
        <v>#DIV/0!</v>
      </c>
      <c r="C88" s="189" t="e">
        <v>#DIV/0!</v>
      </c>
    </row>
    <row r="89">
      <c r="B89" s="189" t="e">
        <v>#DIV/0!</v>
      </c>
      <c r="C89" s="189" t="e">
        <v>#DIV/0!</v>
      </c>
    </row>
    <row r="90">
      <c r="B90" s="189" t="e">
        <v>#DIV/0!</v>
      </c>
      <c r="C90" s="189" t="e">
        <v>#DIV/0!</v>
      </c>
    </row>
    <row r="91">
      <c r="B91" s="189" t="e">
        <v>#DIV/0!</v>
      </c>
      <c r="C91" s="189" t="e">
        <v>#DIV/0!</v>
      </c>
    </row>
    <row r="92">
      <c r="B92" s="189" t="e">
        <v>#DIV/0!</v>
      </c>
      <c r="C92" s="189" t="e">
        <v>#DIV/0!</v>
      </c>
    </row>
    <row r="93">
      <c r="B93" s="189" t="e">
        <v>#DIV/0!</v>
      </c>
      <c r="C93" s="189" t="e">
        <v>#DIV/0!</v>
      </c>
    </row>
    <row r="94">
      <c r="B94" s="189" t="e">
        <v>#DIV/0!</v>
      </c>
      <c r="C94" s="189" t="e">
        <v>#DIV/0!</v>
      </c>
    </row>
    <row r="95">
      <c r="B95" s="189" t="e">
        <v>#DIV/0!</v>
      </c>
      <c r="C95" s="189" t="e">
        <v>#DIV/0!</v>
      </c>
    </row>
    <row r="96">
      <c r="B96" s="189" t="e">
        <v>#DIV/0!</v>
      </c>
      <c r="C96" s="189" t="e">
        <v>#DIV/0!</v>
      </c>
    </row>
    <row r="97">
      <c r="B97" s="189" t="e">
        <v>#DIV/0!</v>
      </c>
      <c r="C97" s="189" t="e">
        <v>#DIV/0!</v>
      </c>
    </row>
    <row r="98">
      <c r="B98" s="189" t="e">
        <v>#DIV/0!</v>
      </c>
      <c r="C98" s="189" t="e">
        <v>#DIV/0!</v>
      </c>
    </row>
    <row r="99">
      <c r="B99" s="189" t="e">
        <v>#DIV/0!</v>
      </c>
      <c r="C99" s="189" t="e">
        <v>#DIV/0!</v>
      </c>
    </row>
    <row r="100">
      <c r="B100" s="189" t="e">
        <v>#DIV/0!</v>
      </c>
      <c r="C100" s="189" t="e">
        <v>#DIV/0!</v>
      </c>
    </row>
    <row r="101">
      <c r="B101" s="189" t="e">
        <v>#DIV/0!</v>
      </c>
      <c r="C101" s="189" t="e">
        <v>#DIV/0!</v>
      </c>
    </row>
    <row r="102">
      <c r="B102" s="189" t="e">
        <v>#DIV/0!</v>
      </c>
      <c r="C102" s="189" t="e">
        <v>#DIV/0!</v>
      </c>
    </row>
    <row r="103">
      <c r="B103" s="189" t="e">
        <v>#DIV/0!</v>
      </c>
      <c r="C103" s="189" t="e">
        <v>#DIV/0!</v>
      </c>
    </row>
    <row r="104">
      <c r="B104" s="189" t="e">
        <v>#DIV/0!</v>
      </c>
      <c r="C104" s="189" t="e">
        <v>#DIV/0!</v>
      </c>
    </row>
    <row r="105">
      <c r="B105" s="189" t="e">
        <v>#DIV/0!</v>
      </c>
      <c r="C105" s="189" t="e">
        <v>#DIV/0!</v>
      </c>
    </row>
    <row r="106">
      <c r="B106" s="189" t="e">
        <v>#DIV/0!</v>
      </c>
      <c r="C106" s="189" t="e">
        <v>#DIV/0!</v>
      </c>
    </row>
    <row r="107">
      <c r="B107" s="189" t="e">
        <v>#DIV/0!</v>
      </c>
      <c r="C107" s="189" t="e">
        <v>#DIV/0!</v>
      </c>
    </row>
    <row r="108">
      <c r="B108" s="189" t="e">
        <v>#DIV/0!</v>
      </c>
      <c r="C108" s="189" t="e">
        <v>#DIV/0!</v>
      </c>
    </row>
    <row r="109">
      <c r="B109" s="189" t="e">
        <v>#DIV/0!</v>
      </c>
      <c r="C109" s="189" t="e">
        <v>#DIV/0!</v>
      </c>
    </row>
    <row r="110">
      <c r="B110" s="189" t="e">
        <v>#DIV/0!</v>
      </c>
      <c r="C110" s="189" t="e">
        <v>#DIV/0!</v>
      </c>
    </row>
    <row r="111">
      <c r="B111" s="189" t="e">
        <v>#DIV/0!</v>
      </c>
      <c r="C111" s="189" t="e">
        <v>#DIV/0!</v>
      </c>
    </row>
    <row r="112">
      <c r="B112" s="189" t="e">
        <v>#DIV/0!</v>
      </c>
      <c r="C112" s="189" t="e">
        <v>#DIV/0!</v>
      </c>
    </row>
    <row r="113">
      <c r="B113" s="189" t="e">
        <v>#DIV/0!</v>
      </c>
      <c r="C113" s="189" t="e">
        <v>#DIV/0!</v>
      </c>
    </row>
    <row r="114">
      <c r="B114" s="189" t="e">
        <v>#DIV/0!</v>
      </c>
      <c r="C114" s="189" t="e">
        <v>#DIV/0!</v>
      </c>
    </row>
    <row r="115">
      <c r="B115" s="189" t="e">
        <v>#DIV/0!</v>
      </c>
      <c r="C115" s="189" t="e">
        <v>#DIV/0!</v>
      </c>
    </row>
    <row r="116">
      <c r="B116" s="189" t="e">
        <v>#DIV/0!</v>
      </c>
      <c r="C116" s="189" t="e">
        <v>#DIV/0!</v>
      </c>
    </row>
    <row r="117">
      <c r="B117" s="189" t="e">
        <v>#DIV/0!</v>
      </c>
      <c r="C117" s="189" t="e">
        <v>#DIV/0!</v>
      </c>
    </row>
    <row r="118">
      <c r="B118" s="189" t="e">
        <v>#DIV/0!</v>
      </c>
      <c r="C118" s="189" t="e">
        <v>#DIV/0!</v>
      </c>
    </row>
    <row r="119">
      <c r="B119" s="189" t="e">
        <v>#DIV/0!</v>
      </c>
      <c r="C119" s="189" t="e">
        <v>#DIV/0!</v>
      </c>
    </row>
    <row r="120">
      <c r="B120" s="189" t="e">
        <v>#DIV/0!</v>
      </c>
      <c r="C120" s="189" t="e">
        <v>#DIV/0!</v>
      </c>
    </row>
    <row r="121">
      <c r="B121" s="189" t="e">
        <v>#DIV/0!</v>
      </c>
      <c r="C121" s="189" t="e">
        <v>#DIV/0!</v>
      </c>
    </row>
    <row r="122">
      <c r="B122" s="189" t="e">
        <v>#DIV/0!</v>
      </c>
      <c r="C122" s="189" t="e">
        <v>#DIV/0!</v>
      </c>
    </row>
    <row r="123">
      <c r="B123" s="189" t="e">
        <v>#DIV/0!</v>
      </c>
      <c r="C123" s="189" t="e">
        <v>#DIV/0!</v>
      </c>
    </row>
    <row r="124">
      <c r="B124" s="189" t="e">
        <v>#DIV/0!</v>
      </c>
      <c r="C124" s="189" t="e">
        <v>#DIV/0!</v>
      </c>
    </row>
    <row r="125">
      <c r="B125" s="189" t="e">
        <v>#DIV/0!</v>
      </c>
      <c r="C125" s="189" t="e">
        <v>#DIV/0!</v>
      </c>
    </row>
    <row r="126">
      <c r="B126" s="189" t="e">
        <v>#DIV/0!</v>
      </c>
      <c r="C126" s="189" t="e">
        <v>#DIV/0!</v>
      </c>
    </row>
    <row r="127">
      <c r="B127" s="189" t="e">
        <v>#DIV/0!</v>
      </c>
      <c r="C127" s="189" t="e">
        <v>#DIV/0!</v>
      </c>
    </row>
    <row r="128">
      <c r="B128" s="189" t="e">
        <v>#DIV/0!</v>
      </c>
      <c r="C128" s="189" t="e">
        <v>#DIV/0!</v>
      </c>
    </row>
    <row r="129">
      <c r="B129" s="189" t="e">
        <v>#DIV/0!</v>
      </c>
      <c r="C129" s="189" t="e">
        <v>#DIV/0!</v>
      </c>
    </row>
    <row r="130">
      <c r="B130" s="189" t="e">
        <v>#DIV/0!</v>
      </c>
      <c r="C130" s="189" t="e">
        <v>#DIV/0!</v>
      </c>
    </row>
    <row r="131">
      <c r="B131" s="189" t="e">
        <v>#DIV/0!</v>
      </c>
      <c r="C131" s="189" t="e">
        <v>#DIV/0!</v>
      </c>
    </row>
    <row r="132">
      <c r="B132" s="189" t="e">
        <v>#DIV/0!</v>
      </c>
      <c r="C132" s="189" t="e">
        <v>#DIV/0!</v>
      </c>
    </row>
    <row r="133">
      <c r="B133" s="189" t="e">
        <v>#DIV/0!</v>
      </c>
      <c r="C133" s="189" t="e">
        <v>#DIV/0!</v>
      </c>
    </row>
    <row r="134">
      <c r="B134" s="189" t="e">
        <v>#DIV/0!</v>
      </c>
      <c r="C134" s="189" t="e">
        <v>#DIV/0!</v>
      </c>
    </row>
    <row r="135">
      <c r="B135" s="189" t="e">
        <v>#DIV/0!</v>
      </c>
      <c r="C135" s="189" t="e">
        <v>#DIV/0!</v>
      </c>
    </row>
    <row r="136">
      <c r="B136" s="189" t="e">
        <v>#DIV/0!</v>
      </c>
      <c r="C136" s="189" t="e">
        <v>#DIV/0!</v>
      </c>
    </row>
    <row r="137">
      <c r="B137" s="189" t="e">
        <v>#DIV/0!</v>
      </c>
      <c r="C137" s="189" t="e">
        <v>#DIV/0!</v>
      </c>
    </row>
    <row r="138">
      <c r="B138" s="189" t="e">
        <v>#DIV/0!</v>
      </c>
      <c r="C138" s="189" t="e">
        <v>#DIV/0!</v>
      </c>
    </row>
    <row r="139">
      <c r="B139" s="189" t="e">
        <v>#DIV/0!</v>
      </c>
      <c r="C139" s="189" t="e">
        <v>#DIV/0!</v>
      </c>
    </row>
    <row r="140">
      <c r="B140" s="189" t="e">
        <v>#DIV/0!</v>
      </c>
      <c r="C140" s="189" t="e">
        <v>#DIV/0!</v>
      </c>
    </row>
    <row r="141">
      <c r="B141" s="189" t="e">
        <v>#DIV/0!</v>
      </c>
      <c r="C141" s="189" t="e">
        <v>#DIV/0!</v>
      </c>
    </row>
    <row r="142">
      <c r="B142" s="189" t="e">
        <v>#DIV/0!</v>
      </c>
      <c r="C142" s="189" t="e">
        <v>#DIV/0!</v>
      </c>
    </row>
    <row r="143">
      <c r="B143" s="189" t="e">
        <v>#DIV/0!</v>
      </c>
      <c r="C143" s="189" t="e">
        <v>#DIV/0!</v>
      </c>
    </row>
    <row r="144">
      <c r="B144" s="189" t="e">
        <v>#DIV/0!</v>
      </c>
      <c r="C144" s="189" t="e">
        <v>#DIV/0!</v>
      </c>
    </row>
    <row r="145">
      <c r="B145" s="189" t="e">
        <v>#DIV/0!</v>
      </c>
      <c r="C145" s="189" t="e">
        <v>#DIV/0!</v>
      </c>
    </row>
    <row r="146">
      <c r="B146" s="189" t="e">
        <v>#DIV/0!</v>
      </c>
      <c r="C146" s="189" t="e">
        <v>#DIV/0!</v>
      </c>
    </row>
    <row r="147">
      <c r="B147" s="189" t="e">
        <v>#DIV/0!</v>
      </c>
      <c r="C147" s="189" t="e">
        <v>#DIV/0!</v>
      </c>
    </row>
    <row r="148">
      <c r="B148" s="189" t="e">
        <v>#DIV/0!</v>
      </c>
      <c r="C148" s="189" t="e">
        <v>#DIV/0!</v>
      </c>
    </row>
    <row r="149">
      <c r="B149" s="189" t="e">
        <v>#DIV/0!</v>
      </c>
      <c r="C149" s="189" t="e">
        <v>#DIV/0!</v>
      </c>
    </row>
    <row r="150">
      <c r="B150" s="189" t="e">
        <v>#DIV/0!</v>
      </c>
      <c r="C150" s="189" t="e">
        <v>#DIV/0!</v>
      </c>
    </row>
    <row r="151">
      <c r="B151" s="189" t="e">
        <v>#DIV/0!</v>
      </c>
      <c r="C151" s="189" t="e">
        <v>#DIV/0!</v>
      </c>
    </row>
    <row r="152">
      <c r="B152" s="189" t="e">
        <v>#DIV/0!</v>
      </c>
      <c r="C152" s="189" t="e">
        <v>#DIV/0!</v>
      </c>
    </row>
    <row r="153">
      <c r="B153" s="189" t="e">
        <v>#DIV/0!</v>
      </c>
      <c r="C153" s="189" t="e">
        <v>#DIV/0!</v>
      </c>
    </row>
    <row r="154">
      <c r="B154" s="189" t="e">
        <v>#DIV/0!</v>
      </c>
      <c r="C154" s="189" t="e">
        <v>#DIV/0!</v>
      </c>
    </row>
    <row r="155">
      <c r="B155" s="189" t="e">
        <v>#DIV/0!</v>
      </c>
      <c r="C155" s="189" t="e">
        <v>#DIV/0!</v>
      </c>
    </row>
    <row r="156">
      <c r="B156" s="189" t="e">
        <v>#DIV/0!</v>
      </c>
      <c r="C156" s="189" t="e">
        <v>#DIV/0!</v>
      </c>
    </row>
    <row r="157">
      <c r="B157" s="189" t="e">
        <v>#DIV/0!</v>
      </c>
      <c r="C157" s="189" t="e">
        <v>#DIV/0!</v>
      </c>
    </row>
    <row r="158">
      <c r="B158" s="189" t="e">
        <v>#DIV/0!</v>
      </c>
      <c r="C158" s="189" t="e">
        <v>#DIV/0!</v>
      </c>
    </row>
    <row r="159">
      <c r="B159" s="189" t="e">
        <v>#DIV/0!</v>
      </c>
      <c r="C159" s="189" t="e">
        <v>#DIV/0!</v>
      </c>
    </row>
    <row r="160">
      <c r="B160" s="189" t="e">
        <v>#DIV/0!</v>
      </c>
      <c r="C160" s="189" t="e">
        <v>#DIV/0!</v>
      </c>
    </row>
    <row r="161">
      <c r="B161" s="189" t="e">
        <v>#DIV/0!</v>
      </c>
      <c r="C161" s="189" t="e">
        <v>#DIV/0!</v>
      </c>
    </row>
    <row r="162">
      <c r="B162" s="189" t="e">
        <v>#DIV/0!</v>
      </c>
      <c r="C162" s="189" t="e">
        <v>#DIV/0!</v>
      </c>
    </row>
    <row r="163">
      <c r="B163" s="189" t="e">
        <v>#DIV/0!</v>
      </c>
      <c r="C163" s="189" t="e">
        <v>#DIV/0!</v>
      </c>
    </row>
    <row r="164">
      <c r="B164" s="189" t="e">
        <v>#DIV/0!</v>
      </c>
      <c r="C164" s="189" t="e">
        <v>#DIV/0!</v>
      </c>
    </row>
    <row r="165">
      <c r="B165" s="189" t="e">
        <v>#DIV/0!</v>
      </c>
      <c r="C165" s="189" t="e">
        <v>#DIV/0!</v>
      </c>
    </row>
    <row r="166">
      <c r="B166" s="189" t="e">
        <v>#DIV/0!</v>
      </c>
      <c r="C166" s="189" t="e">
        <v>#DIV/0!</v>
      </c>
    </row>
    <row r="167">
      <c r="B167" s="189" t="e">
        <v>#DIV/0!</v>
      </c>
      <c r="C167" s="189" t="e">
        <v>#DIV/0!</v>
      </c>
    </row>
    <row r="168">
      <c r="B168" s="189" t="e">
        <v>#DIV/0!</v>
      </c>
      <c r="C168" s="189" t="e">
        <v>#DIV/0!</v>
      </c>
    </row>
    <row r="169">
      <c r="B169" s="189" t="e">
        <v>#DIV/0!</v>
      </c>
      <c r="C169" s="189" t="e">
        <v>#DIV/0!</v>
      </c>
    </row>
    <row r="170">
      <c r="B170" s="189" t="e">
        <v>#DIV/0!</v>
      </c>
      <c r="C170" s="189" t="e">
        <v>#DIV/0!</v>
      </c>
    </row>
    <row r="171">
      <c r="B171" s="189" t="e">
        <v>#DIV/0!</v>
      </c>
      <c r="C171" s="189" t="e">
        <v>#DIV/0!</v>
      </c>
    </row>
    <row r="172">
      <c r="B172" s="189" t="e">
        <v>#DIV/0!</v>
      </c>
      <c r="C172" s="189" t="e">
        <v>#DIV/0!</v>
      </c>
    </row>
    <row r="173">
      <c r="B173" s="189" t="e">
        <v>#DIV/0!</v>
      </c>
      <c r="C173" s="189" t="e">
        <v>#DIV/0!</v>
      </c>
    </row>
    <row r="174">
      <c r="B174" s="189" t="e">
        <v>#DIV/0!</v>
      </c>
      <c r="C174" s="189" t="e">
        <v>#DIV/0!</v>
      </c>
    </row>
    <row r="175">
      <c r="B175" s="189" t="e">
        <v>#DIV/0!</v>
      </c>
      <c r="C175" s="189" t="e">
        <v>#DIV/0!</v>
      </c>
    </row>
    <row r="176">
      <c r="B176" s="189" t="e">
        <v>#DIV/0!</v>
      </c>
      <c r="C176" s="189" t="e">
        <v>#DIV/0!</v>
      </c>
    </row>
    <row r="177">
      <c r="B177" s="189" t="e">
        <v>#DIV/0!</v>
      </c>
      <c r="C177" s="189" t="e">
        <v>#DIV/0!</v>
      </c>
    </row>
    <row r="178">
      <c r="B178" s="189" t="e">
        <v>#DIV/0!</v>
      </c>
      <c r="C178" s="189" t="e">
        <v>#DIV/0!</v>
      </c>
    </row>
    <row r="179">
      <c r="B179" s="189" t="e">
        <v>#DIV/0!</v>
      </c>
      <c r="C179" s="189" t="e">
        <v>#DIV/0!</v>
      </c>
    </row>
    <row r="180">
      <c r="B180" s="189" t="e">
        <v>#DIV/0!</v>
      </c>
      <c r="C180" s="189" t="e">
        <v>#DIV/0!</v>
      </c>
    </row>
    <row r="181">
      <c r="B181" s="189" t="e">
        <v>#DIV/0!</v>
      </c>
      <c r="C181" s="189" t="e">
        <v>#DIV/0!</v>
      </c>
    </row>
    <row r="182">
      <c r="B182" s="189" t="e">
        <v>#DIV/0!</v>
      </c>
      <c r="C182" s="189" t="e">
        <v>#DIV/0!</v>
      </c>
    </row>
    <row r="183">
      <c r="B183" s="189" t="e">
        <v>#DIV/0!</v>
      </c>
      <c r="C183" s="189" t="e">
        <v>#DIV/0!</v>
      </c>
    </row>
    <row r="184">
      <c r="B184" s="189" t="e">
        <v>#DIV/0!</v>
      </c>
      <c r="C184" s="189" t="e">
        <v>#DIV/0!</v>
      </c>
    </row>
    <row r="185">
      <c r="B185" s="189" t="e">
        <v>#DIV/0!</v>
      </c>
      <c r="C185" s="189" t="e">
        <v>#DIV/0!</v>
      </c>
    </row>
    <row r="186">
      <c r="B186" s="189" t="e">
        <v>#DIV/0!</v>
      </c>
      <c r="C186" s="189" t="e">
        <v>#DIV/0!</v>
      </c>
    </row>
    <row r="187">
      <c r="B187" s="189" t="e">
        <v>#DIV/0!</v>
      </c>
      <c r="C187" s="189" t="e">
        <v>#DIV/0!</v>
      </c>
    </row>
    <row r="188">
      <c r="B188" s="189" t="e">
        <v>#DIV/0!</v>
      </c>
      <c r="C188" s="189" t="e">
        <v>#DIV/0!</v>
      </c>
    </row>
    <row r="189">
      <c r="B189" s="189" t="e">
        <v>#DIV/0!</v>
      </c>
      <c r="C189" s="189" t="e">
        <v>#DIV/0!</v>
      </c>
    </row>
    <row r="190">
      <c r="B190" s="189" t="e">
        <v>#DIV/0!</v>
      </c>
      <c r="C190" s="189" t="e">
        <v>#DIV/0!</v>
      </c>
    </row>
    <row r="191">
      <c r="B191" s="189" t="e">
        <v>#DIV/0!</v>
      </c>
      <c r="C191" s="189" t="e">
        <v>#DIV/0!</v>
      </c>
    </row>
    <row r="192">
      <c r="B192" s="189" t="e">
        <v>#DIV/0!</v>
      </c>
      <c r="C192" s="189" t="e">
        <v>#DIV/0!</v>
      </c>
    </row>
    <row r="193">
      <c r="B193" s="189" t="e">
        <v>#DIV/0!</v>
      </c>
      <c r="C193" s="189" t="e">
        <v>#DIV/0!</v>
      </c>
    </row>
    <row r="194">
      <c r="B194" s="189" t="e">
        <v>#DIV/0!</v>
      </c>
      <c r="C194" s="189" t="e">
        <v>#DIV/0!</v>
      </c>
    </row>
    <row r="195">
      <c r="B195" s="189" t="e">
        <v>#DIV/0!</v>
      </c>
      <c r="C195" s="189" t="e">
        <v>#DIV/0!</v>
      </c>
    </row>
    <row r="196">
      <c r="B196" s="189" t="e">
        <v>#DIV/0!</v>
      </c>
      <c r="C196" s="189" t="e">
        <v>#DIV/0!</v>
      </c>
    </row>
    <row r="197">
      <c r="B197" s="189" t="e">
        <v>#DIV/0!</v>
      </c>
      <c r="C197" s="189" t="e">
        <v>#DIV/0!</v>
      </c>
    </row>
    <row r="198">
      <c r="B198" s="189" t="e">
        <v>#DIV/0!</v>
      </c>
      <c r="C198" s="189" t="e">
        <v>#DIV/0!</v>
      </c>
    </row>
    <row r="199">
      <c r="B199" s="189" t="e">
        <v>#DIV/0!</v>
      </c>
      <c r="C199" s="189" t="e">
        <v>#DIV/0!</v>
      </c>
    </row>
    <row r="200">
      <c r="B200" s="189" t="e">
        <v>#DIV/0!</v>
      </c>
      <c r="C200" s="189" t="e">
        <v>#DIV/0!</v>
      </c>
    </row>
    <row r="201">
      <c r="B201" s="189" t="e">
        <v>#DIV/0!</v>
      </c>
      <c r="C201" s="189" t="e">
        <v>#DIV/0!</v>
      </c>
    </row>
    <row r="202">
      <c r="B202" s="189" t="e">
        <v>#DIV/0!</v>
      </c>
      <c r="C202" s="189" t="e">
        <v>#DIV/0!</v>
      </c>
    </row>
    <row r="203">
      <c r="B203" s="189" t="e">
        <v>#DIV/0!</v>
      </c>
      <c r="C203" s="189" t="e">
        <v>#DIV/0!</v>
      </c>
    </row>
    <row r="204">
      <c r="B204" s="189" t="e">
        <v>#DIV/0!</v>
      </c>
      <c r="C204" s="189" t="e">
        <v>#DIV/0!</v>
      </c>
    </row>
    <row r="205">
      <c r="B205" s="189" t="e">
        <v>#DIV/0!</v>
      </c>
      <c r="C205" s="189" t="e">
        <v>#DIV/0!</v>
      </c>
    </row>
    <row r="206">
      <c r="B206" s="189" t="e">
        <v>#DIV/0!</v>
      </c>
      <c r="C206" s="189" t="e">
        <v>#DIV/0!</v>
      </c>
    </row>
    <row r="207">
      <c r="B207" s="189" t="e">
        <v>#DIV/0!</v>
      </c>
      <c r="C207" s="189" t="e">
        <v>#DIV/0!</v>
      </c>
    </row>
    <row r="208">
      <c r="B208" s="189" t="e">
        <v>#DIV/0!</v>
      </c>
      <c r="C208" s="189" t="e">
        <v>#DIV/0!</v>
      </c>
    </row>
    <row r="209">
      <c r="B209" s="189" t="e">
        <v>#DIV/0!</v>
      </c>
      <c r="C209" s="189" t="e">
        <v>#DIV/0!</v>
      </c>
    </row>
    <row r="210">
      <c r="B210" s="189" t="e">
        <v>#DIV/0!</v>
      </c>
      <c r="C210" s="189" t="e">
        <v>#DIV/0!</v>
      </c>
    </row>
    <row r="211">
      <c r="B211" s="189" t="e">
        <v>#DIV/0!</v>
      </c>
      <c r="C211" s="189" t="e">
        <v>#DIV/0!</v>
      </c>
    </row>
    <row r="212">
      <c r="B212" s="189" t="e">
        <v>#DIV/0!</v>
      </c>
      <c r="C212" s="189" t="e">
        <v>#DIV/0!</v>
      </c>
    </row>
    <row r="213">
      <c r="B213" s="189" t="e">
        <v>#DIV/0!</v>
      </c>
      <c r="C213" s="189" t="e">
        <v>#DIV/0!</v>
      </c>
    </row>
    <row r="214">
      <c r="B214" s="189" t="e">
        <v>#DIV/0!</v>
      </c>
      <c r="C214" s="189" t="e">
        <v>#DIV/0!</v>
      </c>
    </row>
    <row r="215">
      <c r="B215" s="189" t="e">
        <v>#DIV/0!</v>
      </c>
      <c r="C215" s="189" t="e">
        <v>#DIV/0!</v>
      </c>
    </row>
    <row r="216">
      <c r="B216" s="189" t="e">
        <v>#DIV/0!</v>
      </c>
      <c r="C216" s="189" t="e">
        <v>#DIV/0!</v>
      </c>
    </row>
    <row r="217">
      <c r="B217" s="189" t="e">
        <v>#DIV/0!</v>
      </c>
      <c r="C217" s="189" t="e">
        <v>#DIV/0!</v>
      </c>
    </row>
    <row r="218">
      <c r="B218" s="189" t="e">
        <v>#DIV/0!</v>
      </c>
      <c r="C218" s="189" t="e">
        <v>#DIV/0!</v>
      </c>
    </row>
    <row r="219">
      <c r="B219" s="189" t="e">
        <v>#DIV/0!</v>
      </c>
      <c r="C219" s="189" t="e">
        <v>#DIV/0!</v>
      </c>
    </row>
    <row r="220">
      <c r="B220" s="189" t="e">
        <v>#DIV/0!</v>
      </c>
      <c r="C220" s="189" t="e">
        <v>#DIV/0!</v>
      </c>
    </row>
    <row r="221">
      <c r="B221" s="189" t="e">
        <v>#DIV/0!</v>
      </c>
      <c r="C221" s="189" t="e">
        <v>#DIV/0!</v>
      </c>
    </row>
    <row r="222">
      <c r="B222" s="189" t="e">
        <v>#DIV/0!</v>
      </c>
      <c r="C222" s="189" t="e">
        <v>#DIV/0!</v>
      </c>
    </row>
    <row r="223">
      <c r="B223" s="189" t="e">
        <v>#DIV/0!</v>
      </c>
      <c r="C223" s="189" t="e">
        <v>#DIV/0!</v>
      </c>
    </row>
    <row r="224">
      <c r="B224" s="189" t="e">
        <v>#DIV/0!</v>
      </c>
      <c r="C224" s="189" t="e">
        <v>#DIV/0!</v>
      </c>
    </row>
    <row r="225">
      <c r="B225" s="189" t="e">
        <v>#DIV/0!</v>
      </c>
      <c r="C225" s="189" t="e">
        <v>#DIV/0!</v>
      </c>
    </row>
    <row r="226">
      <c r="B226" s="189" t="e">
        <v>#DIV/0!</v>
      </c>
      <c r="C226" s="189" t="e">
        <v>#DIV/0!</v>
      </c>
    </row>
    <row r="227">
      <c r="B227" s="189" t="e">
        <v>#DIV/0!</v>
      </c>
      <c r="C227" s="189" t="e">
        <v>#DIV/0!</v>
      </c>
    </row>
    <row r="228">
      <c r="B228" s="189" t="e">
        <v>#DIV/0!</v>
      </c>
      <c r="C228" s="189" t="e">
        <v>#DIV/0!</v>
      </c>
    </row>
    <row r="229">
      <c r="B229" s="189" t="e">
        <v>#DIV/0!</v>
      </c>
      <c r="C229" s="189" t="e">
        <v>#DIV/0!</v>
      </c>
    </row>
    <row r="230">
      <c r="B230" s="189" t="e">
        <v>#DIV/0!</v>
      </c>
      <c r="C230" s="189" t="e">
        <v>#DIV/0!</v>
      </c>
    </row>
    <row r="231">
      <c r="B231" s="189" t="e">
        <v>#DIV/0!</v>
      </c>
      <c r="C231" s="189" t="e">
        <v>#DIV/0!</v>
      </c>
    </row>
    <row r="232">
      <c r="B232" s="189" t="e">
        <v>#DIV/0!</v>
      </c>
      <c r="C232" s="189" t="e">
        <v>#DIV/0!</v>
      </c>
    </row>
    <row r="233">
      <c r="B233" s="189" t="e">
        <v>#DIV/0!</v>
      </c>
      <c r="C233" s="189" t="e">
        <v>#DIV/0!</v>
      </c>
    </row>
    <row r="234">
      <c r="B234" s="189" t="e">
        <v>#DIV/0!</v>
      </c>
      <c r="C234" s="189" t="e">
        <v>#DIV/0!</v>
      </c>
    </row>
    <row r="235">
      <c r="B235" s="189" t="e">
        <v>#DIV/0!</v>
      </c>
      <c r="C235" s="189" t="e">
        <v>#DIV/0!</v>
      </c>
    </row>
    <row r="236">
      <c r="B236" s="189" t="e">
        <v>#DIV/0!</v>
      </c>
      <c r="C236" s="189" t="e">
        <v>#DIV/0!</v>
      </c>
    </row>
    <row r="237">
      <c r="B237" s="189" t="e">
        <v>#DIV/0!</v>
      </c>
      <c r="C237" s="189" t="e">
        <v>#DIV/0!</v>
      </c>
    </row>
    <row r="238">
      <c r="B238" s="189" t="e">
        <v>#DIV/0!</v>
      </c>
      <c r="C238" s="189" t="e">
        <v>#DIV/0!</v>
      </c>
    </row>
    <row r="239">
      <c r="B239" s="189" t="e">
        <v>#DIV/0!</v>
      </c>
      <c r="C239" s="189" t="e">
        <v>#DIV/0!</v>
      </c>
    </row>
    <row r="240">
      <c r="B240" s="189" t="e">
        <v>#DIV/0!</v>
      </c>
      <c r="C240" s="189" t="e">
        <v>#DIV/0!</v>
      </c>
    </row>
    <row r="241">
      <c r="B241" s="189" t="e">
        <v>#DIV/0!</v>
      </c>
      <c r="C241" s="189" t="e">
        <v>#DIV/0!</v>
      </c>
    </row>
    <row r="242">
      <c r="B242" s="189" t="e">
        <v>#DIV/0!</v>
      </c>
      <c r="C242" s="189" t="e">
        <v>#DIV/0!</v>
      </c>
    </row>
    <row r="243">
      <c r="B243" s="189" t="e">
        <v>#DIV/0!</v>
      </c>
      <c r="C243" s="189" t="e">
        <v>#DIV/0!</v>
      </c>
    </row>
    <row r="244">
      <c r="B244" s="189" t="e">
        <v>#DIV/0!</v>
      </c>
      <c r="C244" s="189" t="e">
        <v>#DIV/0!</v>
      </c>
    </row>
    <row r="245">
      <c r="B245" s="189" t="e">
        <v>#DIV/0!</v>
      </c>
      <c r="C245" s="189" t="e">
        <v>#DIV/0!</v>
      </c>
    </row>
    <row r="246">
      <c r="B246" s="189" t="e">
        <v>#DIV/0!</v>
      </c>
      <c r="C246" s="189" t="e">
        <v>#DIV/0!</v>
      </c>
    </row>
    <row r="247">
      <c r="B247" s="189" t="e">
        <v>#DIV/0!</v>
      </c>
      <c r="C247" s="189" t="e">
        <v>#DIV/0!</v>
      </c>
    </row>
    <row r="248">
      <c r="B248" s="189" t="e">
        <v>#DIV/0!</v>
      </c>
      <c r="C248" s="189" t="e">
        <v>#DIV/0!</v>
      </c>
    </row>
    <row r="249">
      <c r="B249" s="189" t="e">
        <v>#DIV/0!</v>
      </c>
      <c r="C249" s="189" t="e">
        <v>#DIV/0!</v>
      </c>
    </row>
    <row r="250">
      <c r="B250" s="189" t="e">
        <v>#DIV/0!</v>
      </c>
      <c r="C250" s="189" t="e">
        <v>#DIV/0!</v>
      </c>
    </row>
    <row r="251">
      <c r="B251" s="189" t="e">
        <v>#DIV/0!</v>
      </c>
      <c r="C251" s="189" t="e">
        <v>#DIV/0!</v>
      </c>
    </row>
    <row r="252">
      <c r="B252" s="189" t="e">
        <v>#DIV/0!</v>
      </c>
      <c r="C252" s="189" t="e">
        <v>#DIV/0!</v>
      </c>
    </row>
    <row r="253">
      <c r="B253" s="189" t="e">
        <v>#DIV/0!</v>
      </c>
      <c r="C253" s="189" t="e">
        <v>#DIV/0!</v>
      </c>
    </row>
    <row r="254">
      <c r="B254" s="189" t="e">
        <v>#DIV/0!</v>
      </c>
      <c r="C254" s="189" t="e">
        <v>#DIV/0!</v>
      </c>
    </row>
    <row r="255">
      <c r="B255" s="189" t="e">
        <v>#DIV/0!</v>
      </c>
      <c r="C255" s="189" t="e">
        <v>#DIV/0!</v>
      </c>
    </row>
    <row r="256">
      <c r="B256" s="189" t="e">
        <v>#DIV/0!</v>
      </c>
      <c r="C256" s="189" t="e">
        <v>#DIV/0!</v>
      </c>
    </row>
    <row r="257">
      <c r="B257" s="189" t="e">
        <v>#DIV/0!</v>
      </c>
      <c r="C257" s="189" t="e">
        <v>#DIV/0!</v>
      </c>
    </row>
    <row r="258">
      <c r="B258" s="189" t="e">
        <v>#DIV/0!</v>
      </c>
      <c r="C258" s="189" t="e">
        <v>#DIV/0!</v>
      </c>
    </row>
    <row r="259">
      <c r="B259" s="189" t="e">
        <v>#DIV/0!</v>
      </c>
      <c r="C259" s="189" t="e">
        <v>#DIV/0!</v>
      </c>
    </row>
    <row r="260">
      <c r="B260" s="189" t="e">
        <v>#DIV/0!</v>
      </c>
      <c r="C260" s="189" t="e">
        <v>#DIV/0!</v>
      </c>
    </row>
    <row r="261">
      <c r="B261" s="189" t="e">
        <v>#DIV/0!</v>
      </c>
      <c r="C261" s="189" t="e">
        <v>#DIV/0!</v>
      </c>
    </row>
    <row r="262">
      <c r="B262" s="189" t="e">
        <v>#DIV/0!</v>
      </c>
      <c r="C262" s="189" t="e">
        <v>#DIV/0!</v>
      </c>
    </row>
    <row r="263">
      <c r="B263" s="189" t="e">
        <v>#DIV/0!</v>
      </c>
      <c r="C263" s="189" t="e">
        <v>#DIV/0!</v>
      </c>
    </row>
    <row r="264">
      <c r="B264" s="189" t="e">
        <v>#DIV/0!</v>
      </c>
      <c r="C264" s="189" t="e">
        <v>#DIV/0!</v>
      </c>
    </row>
    <row r="265">
      <c r="B265" s="189" t="e">
        <v>#DIV/0!</v>
      </c>
      <c r="C265" s="189" t="e">
        <v>#DIV/0!</v>
      </c>
    </row>
    <row r="266">
      <c r="B266" s="189" t="e">
        <v>#DIV/0!</v>
      </c>
      <c r="C266" s="189" t="e">
        <v>#DIV/0!</v>
      </c>
    </row>
    <row r="267">
      <c r="B267" s="189" t="e">
        <v>#DIV/0!</v>
      </c>
      <c r="C267" s="189" t="e">
        <v>#DIV/0!</v>
      </c>
    </row>
    <row r="268">
      <c r="B268" s="189" t="e">
        <v>#DIV/0!</v>
      </c>
      <c r="C268" s="189" t="e">
        <v>#DIV/0!</v>
      </c>
    </row>
    <row r="269">
      <c r="B269" s="189" t="e">
        <v>#DIV/0!</v>
      </c>
      <c r="C269" s="189" t="e">
        <v>#DIV/0!</v>
      </c>
    </row>
    <row r="270">
      <c r="B270" s="189" t="e">
        <v>#DIV/0!</v>
      </c>
      <c r="C270" s="189" t="e">
        <v>#DIV/0!</v>
      </c>
    </row>
    <row r="271">
      <c r="B271" s="189" t="e">
        <v>#DIV/0!</v>
      </c>
      <c r="C271" s="189" t="e">
        <v>#DIV/0!</v>
      </c>
    </row>
    <row r="272">
      <c r="B272" s="189" t="e">
        <v>#DIV/0!</v>
      </c>
      <c r="C272" s="189" t="e">
        <v>#DIV/0!</v>
      </c>
    </row>
    <row r="273">
      <c r="B273" s="189" t="e">
        <v>#DIV/0!</v>
      </c>
      <c r="C273" s="189" t="e">
        <v>#DIV/0!</v>
      </c>
    </row>
    <row r="274">
      <c r="B274" s="189" t="e">
        <v>#DIV/0!</v>
      </c>
      <c r="C274" s="189" t="e">
        <v>#DIV/0!</v>
      </c>
    </row>
    <row r="275">
      <c r="B275" s="189" t="e">
        <v>#DIV/0!</v>
      </c>
      <c r="C275" s="189" t="e">
        <v>#DIV/0!</v>
      </c>
    </row>
    <row r="276">
      <c r="B276" s="189" t="e">
        <v>#DIV/0!</v>
      </c>
      <c r="C276" s="189" t="e">
        <v>#DIV/0!</v>
      </c>
    </row>
    <row r="277">
      <c r="B277" s="189" t="e">
        <v>#DIV/0!</v>
      </c>
      <c r="C277" s="189" t="e">
        <v>#DIV/0!</v>
      </c>
    </row>
    <row r="278">
      <c r="B278" s="189" t="e">
        <v>#DIV/0!</v>
      </c>
      <c r="C278" s="189" t="e">
        <v>#DIV/0!</v>
      </c>
    </row>
    <row r="279">
      <c r="B279" s="189" t="e">
        <v>#DIV/0!</v>
      </c>
      <c r="C279" s="189" t="e">
        <v>#DIV/0!</v>
      </c>
    </row>
    <row r="280">
      <c r="B280" s="189" t="e">
        <v>#DIV/0!</v>
      </c>
      <c r="C280" s="189" t="e">
        <v>#DIV/0!</v>
      </c>
    </row>
    <row r="281">
      <c r="B281" s="189" t="e">
        <v>#DIV/0!</v>
      </c>
      <c r="C281" s="189" t="e">
        <v>#DIV/0!</v>
      </c>
    </row>
    <row r="282">
      <c r="B282" s="189" t="e">
        <v>#DIV/0!</v>
      </c>
      <c r="C282" s="189" t="e">
        <v>#DIV/0!</v>
      </c>
    </row>
    <row r="283">
      <c r="B283" s="189" t="e">
        <v>#DIV/0!</v>
      </c>
      <c r="C283" s="189" t="e">
        <v>#DIV/0!</v>
      </c>
    </row>
    <row r="284">
      <c r="B284" s="189" t="e">
        <v>#DIV/0!</v>
      </c>
      <c r="C284" s="189" t="e">
        <v>#DIV/0!</v>
      </c>
    </row>
    <row r="285">
      <c r="B285" s="189" t="e">
        <v>#DIV/0!</v>
      </c>
      <c r="C285" s="189" t="e">
        <v>#DIV/0!</v>
      </c>
    </row>
    <row r="286">
      <c r="B286" s="189" t="e">
        <v>#DIV/0!</v>
      </c>
      <c r="C286" s="189" t="e">
        <v>#DIV/0!</v>
      </c>
    </row>
    <row r="287">
      <c r="B287" s="189" t="e">
        <v>#DIV/0!</v>
      </c>
      <c r="C287" s="189" t="e">
        <v>#DIV/0!</v>
      </c>
    </row>
    <row r="288">
      <c r="B288" s="189" t="e">
        <v>#DIV/0!</v>
      </c>
      <c r="C288" s="189" t="e">
        <v>#DIV/0!</v>
      </c>
    </row>
    <row r="289">
      <c r="B289" s="189" t="e">
        <v>#DIV/0!</v>
      </c>
      <c r="C289" s="189" t="e">
        <v>#DIV/0!</v>
      </c>
    </row>
    <row r="290">
      <c r="B290" s="189" t="e">
        <v>#DIV/0!</v>
      </c>
      <c r="C290" s="189" t="e">
        <v>#DIV/0!</v>
      </c>
    </row>
    <row r="291">
      <c r="B291" s="189" t="e">
        <v>#DIV/0!</v>
      </c>
      <c r="C291" s="189" t="e">
        <v>#DIV/0!</v>
      </c>
    </row>
    <row r="292">
      <c r="B292" s="189" t="e">
        <v>#DIV/0!</v>
      </c>
      <c r="C292" s="189" t="e">
        <v>#DIV/0!</v>
      </c>
    </row>
    <row r="293">
      <c r="B293" s="189" t="e">
        <v>#DIV/0!</v>
      </c>
      <c r="C293" s="189" t="e">
        <v>#DIV/0!</v>
      </c>
    </row>
    <row r="294">
      <c r="B294" s="189" t="e">
        <v>#DIV/0!</v>
      </c>
      <c r="C294" s="189" t="e">
        <v>#DIV/0!</v>
      </c>
    </row>
    <row r="295">
      <c r="B295" s="189" t="e">
        <v>#DIV/0!</v>
      </c>
      <c r="C295" s="189" t="e">
        <v>#DIV/0!</v>
      </c>
    </row>
    <row r="296">
      <c r="B296" s="189" t="e">
        <v>#DIV/0!</v>
      </c>
      <c r="C296" s="189" t="e">
        <v>#DIV/0!</v>
      </c>
    </row>
    <row r="297">
      <c r="B297" s="189" t="e">
        <v>#DIV/0!</v>
      </c>
      <c r="C297" s="189" t="e">
        <v>#DIV/0!</v>
      </c>
    </row>
    <row r="298">
      <c r="B298" s="189" t="e">
        <v>#DIV/0!</v>
      </c>
      <c r="C298" s="189" t="e">
        <v>#DIV/0!</v>
      </c>
    </row>
    <row r="299">
      <c r="B299" s="189" t="e">
        <v>#DIV/0!</v>
      </c>
      <c r="C299" s="189" t="e">
        <v>#DIV/0!</v>
      </c>
    </row>
    <row r="300">
      <c r="B300" s="189" t="e">
        <v>#DIV/0!</v>
      </c>
      <c r="C300" s="189" t="e">
        <v>#DIV/0!</v>
      </c>
    </row>
    <row r="301">
      <c r="B301" s="189" t="e">
        <v>#DIV/0!</v>
      </c>
      <c r="C301" s="189" t="e">
        <v>#DIV/0!</v>
      </c>
    </row>
    <row r="302">
      <c r="B302" s="189" t="e">
        <v>#DIV/0!</v>
      </c>
      <c r="C302" s="189" t="e">
        <v>#DIV/0!</v>
      </c>
    </row>
    <row r="303">
      <c r="B303" s="189" t="e">
        <v>#DIV/0!</v>
      </c>
      <c r="C303" s="189" t="e">
        <v>#DIV/0!</v>
      </c>
    </row>
    <row r="304">
      <c r="B304" s="189" t="e">
        <v>#DIV/0!</v>
      </c>
      <c r="C304" s="189" t="e">
        <v>#DIV/0!</v>
      </c>
    </row>
    <row r="305">
      <c r="B305" s="189" t="e">
        <v>#DIV/0!</v>
      </c>
      <c r="C305" s="189" t="e">
        <v>#DIV/0!</v>
      </c>
    </row>
    <row r="306">
      <c r="B306" s="189" t="e">
        <v>#DIV/0!</v>
      </c>
      <c r="C306" s="189" t="e">
        <v>#DIV/0!</v>
      </c>
    </row>
    <row r="307">
      <c r="B307" s="189" t="e">
        <v>#DIV/0!</v>
      </c>
      <c r="C307" s="189" t="e">
        <v>#DIV/0!</v>
      </c>
    </row>
    <row r="308">
      <c r="B308" s="189" t="e">
        <v>#DIV/0!</v>
      </c>
      <c r="C308" s="189" t="e">
        <v>#DIV/0!</v>
      </c>
    </row>
    <row r="309">
      <c r="B309" s="189" t="e">
        <v>#DIV/0!</v>
      </c>
      <c r="C309" s="189" t="e">
        <v>#DIV/0!</v>
      </c>
    </row>
    <row r="310">
      <c r="B310" s="189" t="e">
        <v>#DIV/0!</v>
      </c>
      <c r="C310" s="189" t="e">
        <v>#DIV/0!</v>
      </c>
    </row>
    <row r="311">
      <c r="B311" s="189" t="e">
        <v>#DIV/0!</v>
      </c>
      <c r="C311" s="189" t="e">
        <v>#DIV/0!</v>
      </c>
    </row>
    <row r="312">
      <c r="B312" s="189" t="e">
        <v>#DIV/0!</v>
      </c>
      <c r="C312" s="189" t="e">
        <v>#DIV/0!</v>
      </c>
    </row>
    <row r="313">
      <c r="B313" s="189" t="e">
        <v>#DIV/0!</v>
      </c>
      <c r="C313" s="189" t="e">
        <v>#DIV/0!</v>
      </c>
    </row>
    <row r="314">
      <c r="B314" s="189" t="e">
        <v>#DIV/0!</v>
      </c>
      <c r="C314" s="189" t="e">
        <v>#DIV/0!</v>
      </c>
    </row>
    <row r="315">
      <c r="B315" s="189" t="e">
        <v>#DIV/0!</v>
      </c>
      <c r="C315" s="189" t="e">
        <v>#DIV/0!</v>
      </c>
    </row>
    <row r="316">
      <c r="B316" s="189" t="e">
        <v>#DIV/0!</v>
      </c>
      <c r="C316" s="189" t="e">
        <v>#DIV/0!</v>
      </c>
    </row>
    <row r="317">
      <c r="B317" s="189" t="e">
        <v>#DIV/0!</v>
      </c>
      <c r="C317" s="189" t="e">
        <v>#DIV/0!</v>
      </c>
    </row>
    <row r="318">
      <c r="B318" s="189" t="e">
        <v>#DIV/0!</v>
      </c>
      <c r="C318" s="189" t="e">
        <v>#DIV/0!</v>
      </c>
    </row>
    <row r="319">
      <c r="B319" s="189" t="e">
        <v>#DIV/0!</v>
      </c>
      <c r="C319" s="189" t="e">
        <v>#DIV/0!</v>
      </c>
    </row>
    <row r="320">
      <c r="B320" s="189" t="e">
        <v>#DIV/0!</v>
      </c>
      <c r="C320" s="189" t="e">
        <v>#DIV/0!</v>
      </c>
    </row>
    <row r="321">
      <c r="B321" s="189" t="e">
        <v>#DIV/0!</v>
      </c>
      <c r="C321" s="189" t="e">
        <v>#DIV/0!</v>
      </c>
    </row>
    <row r="322">
      <c r="B322" s="189" t="e">
        <v>#DIV/0!</v>
      </c>
      <c r="C322" s="189" t="e">
        <v>#DIV/0!</v>
      </c>
    </row>
    <row r="323">
      <c r="B323" s="189" t="e">
        <v>#DIV/0!</v>
      </c>
      <c r="C323" s="189" t="e">
        <v>#DIV/0!</v>
      </c>
    </row>
    <row r="324">
      <c r="B324" s="189" t="e">
        <v>#DIV/0!</v>
      </c>
      <c r="C324" s="189" t="e">
        <v>#DIV/0!</v>
      </c>
    </row>
    <row r="325">
      <c r="B325" s="189" t="e">
        <v>#DIV/0!</v>
      </c>
      <c r="C325" s="189" t="e">
        <v>#DIV/0!</v>
      </c>
    </row>
    <row r="326">
      <c r="B326" s="189" t="e">
        <v>#DIV/0!</v>
      </c>
      <c r="C326" s="189" t="e">
        <v>#DIV/0!</v>
      </c>
    </row>
    <row r="327">
      <c r="B327" s="189" t="e">
        <v>#DIV/0!</v>
      </c>
      <c r="C327" s="189" t="e">
        <v>#DIV/0!</v>
      </c>
    </row>
    <row r="328">
      <c r="B328" s="189" t="e">
        <v>#DIV/0!</v>
      </c>
      <c r="C328" s="189" t="e">
        <v>#DIV/0!</v>
      </c>
    </row>
    <row r="329">
      <c r="B329" s="189" t="e">
        <v>#DIV/0!</v>
      </c>
      <c r="C329" s="189" t="e">
        <v>#DIV/0!</v>
      </c>
    </row>
    <row r="330">
      <c r="B330" s="189" t="e">
        <v>#DIV/0!</v>
      </c>
      <c r="C330" s="189" t="e">
        <v>#DIV/0!</v>
      </c>
    </row>
    <row r="331">
      <c r="B331" s="189" t="e">
        <v>#DIV/0!</v>
      </c>
      <c r="C331" s="189" t="e">
        <v>#DIV/0!</v>
      </c>
    </row>
    <row r="332">
      <c r="B332" s="189" t="e">
        <v>#DIV/0!</v>
      </c>
      <c r="C332" s="189" t="e">
        <v>#DIV/0!</v>
      </c>
    </row>
    <row r="333">
      <c r="B333" s="189" t="e">
        <v>#DIV/0!</v>
      </c>
      <c r="C333" s="189" t="e">
        <v>#DIV/0!</v>
      </c>
    </row>
    <row r="334">
      <c r="B334" s="189" t="e">
        <v>#DIV/0!</v>
      </c>
      <c r="C334" s="189" t="e">
        <v>#DIV/0!</v>
      </c>
    </row>
    <row r="335">
      <c r="B335" s="189" t="e">
        <v>#DIV/0!</v>
      </c>
      <c r="C335" s="189" t="e">
        <v>#DIV/0!</v>
      </c>
    </row>
    <row r="336">
      <c r="B336" s="189" t="e">
        <v>#DIV/0!</v>
      </c>
      <c r="C336" s="189" t="e">
        <v>#DIV/0!</v>
      </c>
    </row>
    <row r="337">
      <c r="B337" s="189" t="e">
        <v>#DIV/0!</v>
      </c>
      <c r="C337" s="189" t="e">
        <v>#DIV/0!</v>
      </c>
    </row>
    <row r="338">
      <c r="B338" s="189" t="e">
        <v>#DIV/0!</v>
      </c>
      <c r="C338" s="189" t="e">
        <v>#DIV/0!</v>
      </c>
    </row>
    <row r="339">
      <c r="B339" s="189" t="e">
        <v>#DIV/0!</v>
      </c>
      <c r="C339" s="189" t="e">
        <v>#DIV/0!</v>
      </c>
    </row>
    <row r="340">
      <c r="B340" s="189" t="e">
        <v>#DIV/0!</v>
      </c>
      <c r="C340" s="189" t="e">
        <v>#DIV/0!</v>
      </c>
    </row>
    <row r="341">
      <c r="B341" s="189" t="e">
        <v>#DIV/0!</v>
      </c>
      <c r="C341" s="189" t="e">
        <v>#DIV/0!</v>
      </c>
    </row>
    <row r="342">
      <c r="B342" s="189" t="e">
        <v>#DIV/0!</v>
      </c>
      <c r="C342" s="189" t="e">
        <v>#DIV/0!</v>
      </c>
    </row>
    <row r="343">
      <c r="B343" s="189" t="e">
        <v>#DIV/0!</v>
      </c>
      <c r="C343" s="189" t="e">
        <v>#DIV/0!</v>
      </c>
    </row>
    <row r="344">
      <c r="B344" s="189" t="e">
        <v>#DIV/0!</v>
      </c>
      <c r="C344" s="189" t="e">
        <v>#DIV/0!</v>
      </c>
    </row>
    <row r="345">
      <c r="B345" s="189" t="e">
        <v>#DIV/0!</v>
      </c>
      <c r="C345" s="189" t="e">
        <v>#DIV/0!</v>
      </c>
    </row>
    <row r="346">
      <c r="B346" s="189" t="e">
        <v>#DIV/0!</v>
      </c>
      <c r="C346" s="189" t="e">
        <v>#DIV/0!</v>
      </c>
    </row>
    <row r="347">
      <c r="B347" s="189" t="e">
        <v>#DIV/0!</v>
      </c>
      <c r="C347" s="189" t="e">
        <v>#DIV/0!</v>
      </c>
    </row>
    <row r="348">
      <c r="B348" s="189" t="e">
        <v>#DIV/0!</v>
      </c>
      <c r="C348" s="189" t="e">
        <v>#DIV/0!</v>
      </c>
    </row>
    <row r="349">
      <c r="B349" s="189" t="e">
        <v>#DIV/0!</v>
      </c>
      <c r="C349" s="189" t="e">
        <v>#DIV/0!</v>
      </c>
    </row>
    <row r="350">
      <c r="B350" s="189" t="e">
        <v>#DIV/0!</v>
      </c>
      <c r="C350" s="189" t="e">
        <v>#DIV/0!</v>
      </c>
    </row>
    <row r="351">
      <c r="B351" s="189" t="e">
        <v>#DIV/0!</v>
      </c>
      <c r="C351" s="189" t="e">
        <v>#DIV/0!</v>
      </c>
    </row>
    <row r="352">
      <c r="B352" s="189" t="e">
        <v>#DIV/0!</v>
      </c>
      <c r="C352" s="189" t="e">
        <v>#DIV/0!</v>
      </c>
    </row>
    <row r="353">
      <c r="B353" s="189" t="e">
        <v>#DIV/0!</v>
      </c>
      <c r="C353" s="189" t="e">
        <v>#DIV/0!</v>
      </c>
    </row>
    <row r="354">
      <c r="B354" s="189" t="e">
        <v>#DIV/0!</v>
      </c>
      <c r="C354" s="189" t="e">
        <v>#DIV/0!</v>
      </c>
    </row>
    <row r="355">
      <c r="B355" s="189" t="e">
        <v>#DIV/0!</v>
      </c>
      <c r="C355" s="189" t="e">
        <v>#DIV/0!</v>
      </c>
    </row>
    <row r="356">
      <c r="B356" s="189" t="e">
        <v>#DIV/0!</v>
      </c>
      <c r="C356" s="189" t="e">
        <v>#DIV/0!</v>
      </c>
    </row>
    <row r="357">
      <c r="B357" s="189" t="e">
        <v>#DIV/0!</v>
      </c>
      <c r="C357" s="189" t="e">
        <v>#DIV/0!</v>
      </c>
    </row>
    <row r="358">
      <c r="B358" s="189" t="e">
        <v>#DIV/0!</v>
      </c>
      <c r="C358" s="189" t="e">
        <v>#DIV/0!</v>
      </c>
    </row>
    <row r="359">
      <c r="B359" s="189" t="e">
        <v>#DIV/0!</v>
      </c>
      <c r="C359" s="189" t="e">
        <v>#DIV/0!</v>
      </c>
    </row>
    <row r="360">
      <c r="B360" s="189" t="e">
        <v>#DIV/0!</v>
      </c>
      <c r="C360" s="189" t="e">
        <v>#DIV/0!</v>
      </c>
    </row>
    <row r="361">
      <c r="B361" s="189" t="e">
        <v>#DIV/0!</v>
      </c>
      <c r="C361" s="189" t="e">
        <v>#DIV/0!</v>
      </c>
    </row>
    <row r="362">
      <c r="B362" s="189" t="e">
        <v>#DIV/0!</v>
      </c>
      <c r="C362" s="189" t="e">
        <v>#DIV/0!</v>
      </c>
    </row>
    <row r="363">
      <c r="B363" s="189" t="e">
        <v>#DIV/0!</v>
      </c>
      <c r="C363" s="189" t="e">
        <v>#DIV/0!</v>
      </c>
    </row>
    <row r="364">
      <c r="B364" s="189" t="e">
        <v>#DIV/0!</v>
      </c>
      <c r="C364" s="189" t="e">
        <v>#DIV/0!</v>
      </c>
    </row>
    <row r="365">
      <c r="B365" s="189" t="e">
        <v>#DIV/0!</v>
      </c>
      <c r="C365" s="189" t="e">
        <v>#DIV/0!</v>
      </c>
    </row>
    <row r="366">
      <c r="B366" s="189" t="e">
        <v>#DIV/0!</v>
      </c>
      <c r="C366" s="189" t="e">
        <v>#DIV/0!</v>
      </c>
    </row>
    <row r="367">
      <c r="B367" s="189" t="e">
        <v>#DIV/0!</v>
      </c>
      <c r="C367" s="189" t="e">
        <v>#DIV/0!</v>
      </c>
    </row>
    <row r="368">
      <c r="B368" s="189" t="e">
        <v>#DIV/0!</v>
      </c>
      <c r="C368" s="189" t="e">
        <v>#DIV/0!</v>
      </c>
    </row>
    <row r="369">
      <c r="B369" s="189" t="e">
        <v>#DIV/0!</v>
      </c>
      <c r="C369" s="189" t="e">
        <v>#DIV/0!</v>
      </c>
    </row>
    <row r="370">
      <c r="B370" s="189" t="e">
        <v>#DIV/0!</v>
      </c>
      <c r="C370" s="189" t="e">
        <v>#DIV/0!</v>
      </c>
    </row>
    <row r="371">
      <c r="B371" s="189" t="e">
        <v>#DIV/0!</v>
      </c>
      <c r="C371" s="189" t="e">
        <v>#DIV/0!</v>
      </c>
    </row>
    <row r="372">
      <c r="B372" s="189" t="e">
        <v>#DIV/0!</v>
      </c>
      <c r="C372" s="189" t="e">
        <v>#DIV/0!</v>
      </c>
    </row>
    <row r="373">
      <c r="B373" s="189" t="e">
        <v>#DIV/0!</v>
      </c>
      <c r="C373" s="189" t="e">
        <v>#DIV/0!</v>
      </c>
    </row>
    <row r="374">
      <c r="B374" s="189" t="e">
        <v>#DIV/0!</v>
      </c>
      <c r="C374" s="189" t="e">
        <v>#DIV/0!</v>
      </c>
    </row>
    <row r="375">
      <c r="B375" s="189" t="e">
        <v>#DIV/0!</v>
      </c>
      <c r="C375" s="189" t="e">
        <v>#DIV/0!</v>
      </c>
    </row>
    <row r="376">
      <c r="B376" s="189" t="e">
        <v>#DIV/0!</v>
      </c>
      <c r="C376" s="189" t="e">
        <v>#DIV/0!</v>
      </c>
    </row>
    <row r="377">
      <c r="B377" s="189" t="e">
        <v>#DIV/0!</v>
      </c>
      <c r="C377" s="189" t="e">
        <v>#DIV/0!</v>
      </c>
    </row>
    <row r="378">
      <c r="B378" s="189" t="e">
        <v>#DIV/0!</v>
      </c>
      <c r="C378" s="189" t="e">
        <v>#DIV/0!</v>
      </c>
    </row>
    <row r="379">
      <c r="B379" s="189" t="e">
        <v>#DIV/0!</v>
      </c>
      <c r="C379" s="189" t="e">
        <v>#DIV/0!</v>
      </c>
    </row>
    <row r="380">
      <c r="B380" s="189" t="e">
        <v>#DIV/0!</v>
      </c>
      <c r="C380" s="189" t="e">
        <v>#DIV/0!</v>
      </c>
    </row>
    <row r="381">
      <c r="B381" s="189" t="e">
        <v>#DIV/0!</v>
      </c>
      <c r="C381" s="189" t="e">
        <v>#DIV/0!</v>
      </c>
    </row>
    <row r="382">
      <c r="B382" s="189" t="e">
        <v>#DIV/0!</v>
      </c>
      <c r="C382" s="189" t="e">
        <v>#DIV/0!</v>
      </c>
    </row>
    <row r="383">
      <c r="B383" s="189" t="e">
        <v>#DIV/0!</v>
      </c>
      <c r="C383" s="189" t="e">
        <v>#DIV/0!</v>
      </c>
    </row>
    <row r="384">
      <c r="B384" s="189" t="e">
        <v>#DIV/0!</v>
      </c>
      <c r="C384" s="189" t="e">
        <v>#DIV/0!</v>
      </c>
    </row>
    <row r="385">
      <c r="B385" s="189" t="e">
        <v>#DIV/0!</v>
      </c>
      <c r="C385" s="189" t="e">
        <v>#DIV/0!</v>
      </c>
    </row>
    <row r="386">
      <c r="B386" s="189" t="e">
        <v>#DIV/0!</v>
      </c>
      <c r="C386" s="189" t="e">
        <v>#DIV/0!</v>
      </c>
    </row>
    <row r="387">
      <c r="B387" s="189" t="e">
        <v>#DIV/0!</v>
      </c>
      <c r="C387" s="189" t="e">
        <v>#DIV/0!</v>
      </c>
    </row>
    <row r="388">
      <c r="B388" s="189" t="e">
        <v>#DIV/0!</v>
      </c>
      <c r="C388" s="189" t="e">
        <v>#DIV/0!</v>
      </c>
    </row>
    <row r="389">
      <c r="B389" s="189" t="e">
        <v>#DIV/0!</v>
      </c>
      <c r="C389" s="189" t="e">
        <v>#DIV/0!</v>
      </c>
    </row>
    <row r="390">
      <c r="B390" s="189" t="e">
        <v>#DIV/0!</v>
      </c>
      <c r="C390" s="189" t="e">
        <v>#DIV/0!</v>
      </c>
    </row>
    <row r="391">
      <c r="B391" s="189" t="e">
        <v>#DIV/0!</v>
      </c>
      <c r="C391" s="189" t="e">
        <v>#DIV/0!</v>
      </c>
    </row>
    <row r="392">
      <c r="B392" s="189" t="e">
        <v>#DIV/0!</v>
      </c>
      <c r="C392" s="189" t="e">
        <v>#DIV/0!</v>
      </c>
    </row>
    <row r="393">
      <c r="B393" s="189" t="e">
        <v>#DIV/0!</v>
      </c>
      <c r="C393" s="189" t="e">
        <v>#DIV/0!</v>
      </c>
    </row>
    <row r="394">
      <c r="B394" s="189" t="e">
        <v>#DIV/0!</v>
      </c>
      <c r="C394" s="189" t="e">
        <v>#DIV/0!</v>
      </c>
    </row>
    <row r="395">
      <c r="B395" s="189" t="e">
        <v>#DIV/0!</v>
      </c>
      <c r="C395" s="189" t="e">
        <v>#DIV/0!</v>
      </c>
    </row>
    <row r="396">
      <c r="B396" s="189" t="e">
        <v>#DIV/0!</v>
      </c>
      <c r="C396" s="189" t="e">
        <v>#DIV/0!</v>
      </c>
    </row>
    <row r="397">
      <c r="B397" s="189" t="e">
        <v>#DIV/0!</v>
      </c>
      <c r="C397" s="189" t="e">
        <v>#DIV/0!</v>
      </c>
    </row>
    <row r="398">
      <c r="B398" s="189" t="e">
        <v>#DIV/0!</v>
      </c>
      <c r="C398" s="189" t="e">
        <v>#DIV/0!</v>
      </c>
    </row>
    <row r="399">
      <c r="B399" s="189" t="e">
        <v>#DIV/0!</v>
      </c>
      <c r="C399" s="189" t="e">
        <v>#DIV/0!</v>
      </c>
    </row>
    <row r="400">
      <c r="B400" s="189" t="e">
        <v>#DIV/0!</v>
      </c>
      <c r="C400" s="189" t="e">
        <v>#DIV/0!</v>
      </c>
    </row>
    <row r="401">
      <c r="B401" s="189" t="e">
        <v>#DIV/0!</v>
      </c>
      <c r="C401" s="189" t="e">
        <v>#DIV/0!</v>
      </c>
    </row>
    <row r="402">
      <c r="B402" s="189" t="e">
        <v>#DIV/0!</v>
      </c>
      <c r="C402" s="189" t="e">
        <v>#DIV/0!</v>
      </c>
    </row>
    <row r="403">
      <c r="B403" s="189" t="e">
        <v>#DIV/0!</v>
      </c>
      <c r="C403" s="189" t="e">
        <v>#DIV/0!</v>
      </c>
    </row>
    <row r="404">
      <c r="B404" s="189" t="e">
        <v>#DIV/0!</v>
      </c>
      <c r="C404" s="189" t="e">
        <v>#DIV/0!</v>
      </c>
    </row>
    <row r="405">
      <c r="B405" s="189" t="e">
        <v>#DIV/0!</v>
      </c>
      <c r="C405" s="189" t="e">
        <v>#DIV/0!</v>
      </c>
    </row>
    <row r="406">
      <c r="B406" s="189" t="e">
        <v>#DIV/0!</v>
      </c>
      <c r="C406" s="189" t="e">
        <v>#DIV/0!</v>
      </c>
    </row>
    <row r="407">
      <c r="B407" s="189" t="e">
        <v>#DIV/0!</v>
      </c>
      <c r="C407" s="189" t="e">
        <v>#DIV/0!</v>
      </c>
    </row>
    <row r="408">
      <c r="B408" s="189" t="e">
        <v>#DIV/0!</v>
      </c>
      <c r="C408" s="189" t="e">
        <v>#DIV/0!</v>
      </c>
    </row>
    <row r="409">
      <c r="B409" s="189" t="e">
        <v>#DIV/0!</v>
      </c>
      <c r="C409" s="189" t="e">
        <v>#DIV/0!</v>
      </c>
    </row>
    <row r="410">
      <c r="B410" s="189" t="e">
        <v>#DIV/0!</v>
      </c>
      <c r="C410" s="189" t="e">
        <v>#DIV/0!</v>
      </c>
    </row>
    <row r="411">
      <c r="B411" s="189" t="e">
        <v>#DIV/0!</v>
      </c>
      <c r="C411" s="189" t="e">
        <v>#DIV/0!</v>
      </c>
    </row>
    <row r="412">
      <c r="B412" s="189" t="e">
        <v>#DIV/0!</v>
      </c>
      <c r="C412" s="189" t="e">
        <v>#DIV/0!</v>
      </c>
    </row>
    <row r="413">
      <c r="B413" s="189" t="e">
        <v>#DIV/0!</v>
      </c>
      <c r="C413" s="189" t="e">
        <v>#DIV/0!</v>
      </c>
    </row>
    <row r="414">
      <c r="B414" s="189" t="e">
        <v>#DIV/0!</v>
      </c>
      <c r="C414" s="189" t="e">
        <v>#DIV/0!</v>
      </c>
    </row>
    <row r="415">
      <c r="B415" s="189" t="e">
        <v>#DIV/0!</v>
      </c>
      <c r="C415" s="189" t="e">
        <v>#DIV/0!</v>
      </c>
    </row>
    <row r="416">
      <c r="B416" s="189" t="e">
        <v>#DIV/0!</v>
      </c>
      <c r="C416" s="189" t="e">
        <v>#DIV/0!</v>
      </c>
    </row>
    <row r="417">
      <c r="B417" s="189" t="e">
        <v>#DIV/0!</v>
      </c>
      <c r="C417" s="189" t="e">
        <v>#DIV/0!</v>
      </c>
    </row>
    <row r="418">
      <c r="B418" s="189" t="e">
        <v>#DIV/0!</v>
      </c>
      <c r="C418" s="189" t="e">
        <v>#DIV/0!</v>
      </c>
    </row>
    <row r="419">
      <c r="B419" s="189" t="e">
        <v>#DIV/0!</v>
      </c>
      <c r="C419" s="189" t="e">
        <v>#DIV/0!</v>
      </c>
    </row>
    <row r="420">
      <c r="B420" s="189" t="e">
        <v>#DIV/0!</v>
      </c>
      <c r="C420" s="189" t="e">
        <v>#DIV/0!</v>
      </c>
    </row>
    <row r="421">
      <c r="B421" s="189" t="e">
        <v>#DIV/0!</v>
      </c>
      <c r="C421" s="189" t="e">
        <v>#DIV/0!</v>
      </c>
    </row>
    <row r="422">
      <c r="B422" s="189" t="e">
        <v>#DIV/0!</v>
      </c>
      <c r="C422" s="189" t="e">
        <v>#DIV/0!</v>
      </c>
    </row>
    <row r="423">
      <c r="B423" s="189" t="e">
        <v>#DIV/0!</v>
      </c>
      <c r="C423" s="189" t="e">
        <v>#DIV/0!</v>
      </c>
    </row>
    <row r="424">
      <c r="B424" s="189" t="e">
        <v>#DIV/0!</v>
      </c>
      <c r="C424" s="189" t="e">
        <v>#DIV/0!</v>
      </c>
    </row>
    <row r="425">
      <c r="B425" s="189" t="e">
        <v>#DIV/0!</v>
      </c>
      <c r="C425" s="189" t="e">
        <v>#DIV/0!</v>
      </c>
    </row>
    <row r="426">
      <c r="B426" s="189" t="e">
        <v>#DIV/0!</v>
      </c>
      <c r="C426" s="189" t="e">
        <v>#DIV/0!</v>
      </c>
    </row>
    <row r="427">
      <c r="B427" s="189" t="e">
        <v>#DIV/0!</v>
      </c>
      <c r="C427" s="189" t="e">
        <v>#DIV/0!</v>
      </c>
    </row>
    <row r="428">
      <c r="B428" s="189" t="e">
        <v>#DIV/0!</v>
      </c>
      <c r="C428" s="189" t="e">
        <v>#DIV/0!</v>
      </c>
    </row>
    <row r="429">
      <c r="B429" s="189" t="e">
        <v>#DIV/0!</v>
      </c>
      <c r="C429" s="189" t="e">
        <v>#DIV/0!</v>
      </c>
    </row>
    <row r="430">
      <c r="B430" s="189" t="e">
        <v>#DIV/0!</v>
      </c>
      <c r="C430" s="189" t="e">
        <v>#DIV/0!</v>
      </c>
    </row>
    <row r="431">
      <c r="B431" s="189" t="e">
        <v>#DIV/0!</v>
      </c>
      <c r="C431" s="189" t="e">
        <v>#DIV/0!</v>
      </c>
    </row>
    <row r="432">
      <c r="B432" s="189" t="e">
        <v>#DIV/0!</v>
      </c>
      <c r="C432" s="189" t="e">
        <v>#DIV/0!</v>
      </c>
    </row>
    <row r="433">
      <c r="B433" s="189" t="e">
        <v>#DIV/0!</v>
      </c>
      <c r="C433" s="189" t="e">
        <v>#DIV/0!</v>
      </c>
    </row>
    <row r="434">
      <c r="B434" s="189" t="e">
        <v>#DIV/0!</v>
      </c>
      <c r="C434" s="189" t="e">
        <v>#DIV/0!</v>
      </c>
    </row>
    <row r="435">
      <c r="B435" s="189" t="e">
        <v>#DIV/0!</v>
      </c>
      <c r="C435" s="189" t="e">
        <v>#DIV/0!</v>
      </c>
    </row>
    <row r="436">
      <c r="B436" s="189" t="e">
        <v>#DIV/0!</v>
      </c>
      <c r="C436" s="189" t="e">
        <v>#DIV/0!</v>
      </c>
    </row>
    <row r="437">
      <c r="B437" s="189" t="e">
        <v>#DIV/0!</v>
      </c>
      <c r="C437" s="189" t="e">
        <v>#DIV/0!</v>
      </c>
    </row>
    <row r="438">
      <c r="B438" s="189" t="e">
        <v>#DIV/0!</v>
      </c>
      <c r="C438" s="189" t="e">
        <v>#DIV/0!</v>
      </c>
    </row>
    <row r="439">
      <c r="B439" s="189" t="e">
        <v>#DIV/0!</v>
      </c>
      <c r="C439" s="189" t="e">
        <v>#DIV/0!</v>
      </c>
    </row>
    <row r="440">
      <c r="B440" s="189" t="e">
        <v>#DIV/0!</v>
      </c>
      <c r="C440" s="189" t="e">
        <v>#DIV/0!</v>
      </c>
    </row>
    <row r="441">
      <c r="B441" s="189" t="e">
        <v>#DIV/0!</v>
      </c>
      <c r="C441" s="189" t="e">
        <v>#DIV/0!</v>
      </c>
    </row>
    <row r="442">
      <c r="B442" s="189" t="e">
        <v>#DIV/0!</v>
      </c>
      <c r="C442" s="189" t="e">
        <v>#DIV/0!</v>
      </c>
    </row>
    <row r="443">
      <c r="B443" s="189" t="e">
        <v>#DIV/0!</v>
      </c>
      <c r="C443" s="189" t="e">
        <v>#DIV/0!</v>
      </c>
    </row>
    <row r="444">
      <c r="B444" s="189" t="e">
        <v>#DIV/0!</v>
      </c>
      <c r="C444" s="189" t="e">
        <v>#DIV/0!</v>
      </c>
    </row>
    <row r="445">
      <c r="B445" s="189" t="e">
        <v>#DIV/0!</v>
      </c>
      <c r="C445" s="189" t="e">
        <v>#DIV/0!</v>
      </c>
    </row>
    <row r="446">
      <c r="B446" s="189" t="e">
        <v>#DIV/0!</v>
      </c>
      <c r="C446" s="189" t="e">
        <v>#DIV/0!</v>
      </c>
    </row>
    <row r="447">
      <c r="B447" s="189" t="e">
        <v>#DIV/0!</v>
      </c>
      <c r="C447" s="189" t="e">
        <v>#DIV/0!</v>
      </c>
    </row>
    <row r="448">
      <c r="B448" s="189" t="e">
        <v>#DIV/0!</v>
      </c>
      <c r="C448" s="189" t="e">
        <v>#DIV/0!</v>
      </c>
    </row>
    <row r="449">
      <c r="B449" s="189" t="e">
        <v>#DIV/0!</v>
      </c>
      <c r="C449" s="189" t="e">
        <v>#DIV/0!</v>
      </c>
    </row>
    <row r="450">
      <c r="B450" s="189" t="e">
        <v>#DIV/0!</v>
      </c>
      <c r="C450" s="189" t="e">
        <v>#DIV/0!</v>
      </c>
    </row>
    <row r="451">
      <c r="B451" s="189" t="e">
        <v>#DIV/0!</v>
      </c>
      <c r="C451" s="189" t="e">
        <v>#DIV/0!</v>
      </c>
    </row>
    <row r="452">
      <c r="B452" s="189" t="e">
        <v>#DIV/0!</v>
      </c>
      <c r="C452" s="189" t="e">
        <v>#DIV/0!</v>
      </c>
    </row>
    <row r="453">
      <c r="B453" s="189" t="e">
        <v>#DIV/0!</v>
      </c>
      <c r="C453" s="189" t="e">
        <v>#DIV/0!</v>
      </c>
    </row>
    <row r="454">
      <c r="B454" s="189" t="e">
        <v>#DIV/0!</v>
      </c>
      <c r="C454" s="189" t="e">
        <v>#DIV/0!</v>
      </c>
    </row>
    <row r="455">
      <c r="B455" s="189" t="e">
        <v>#DIV/0!</v>
      </c>
      <c r="C455" s="189" t="e">
        <v>#DIV/0!</v>
      </c>
    </row>
    <row r="456">
      <c r="B456" s="189" t="e">
        <v>#DIV/0!</v>
      </c>
      <c r="C456" s="189" t="e">
        <v>#DIV/0!</v>
      </c>
    </row>
    <row r="457">
      <c r="B457" s="189" t="e">
        <v>#DIV/0!</v>
      </c>
      <c r="C457" s="189" t="e">
        <v>#DIV/0!</v>
      </c>
    </row>
    <row r="458">
      <c r="B458" s="189" t="e">
        <v>#DIV/0!</v>
      </c>
      <c r="C458" s="189" t="e">
        <v>#DIV/0!</v>
      </c>
    </row>
    <row r="459">
      <c r="B459" s="189" t="e">
        <v>#DIV/0!</v>
      </c>
      <c r="C459" s="189" t="e">
        <v>#DIV/0!</v>
      </c>
    </row>
    <row r="460">
      <c r="B460" s="189" t="e">
        <v>#DIV/0!</v>
      </c>
      <c r="C460" s="189" t="e">
        <v>#DIV/0!</v>
      </c>
    </row>
    <row r="461">
      <c r="B461" s="189" t="e">
        <v>#DIV/0!</v>
      </c>
      <c r="C461" s="189" t="e">
        <v>#DIV/0!</v>
      </c>
    </row>
    <row r="462">
      <c r="B462" s="189" t="e">
        <v>#DIV/0!</v>
      </c>
      <c r="C462" s="189" t="e">
        <v>#DIV/0!</v>
      </c>
    </row>
    <row r="463">
      <c r="B463" s="189" t="e">
        <v>#DIV/0!</v>
      </c>
      <c r="C463" s="189" t="e">
        <v>#DIV/0!</v>
      </c>
    </row>
    <row r="464">
      <c r="B464" s="189" t="e">
        <v>#DIV/0!</v>
      </c>
      <c r="C464" s="189" t="e">
        <v>#DIV/0!</v>
      </c>
    </row>
    <row r="465">
      <c r="B465" s="189" t="e">
        <v>#DIV/0!</v>
      </c>
      <c r="C465" s="189" t="e">
        <v>#DIV/0!</v>
      </c>
    </row>
    <row r="466">
      <c r="B466" s="189" t="e">
        <v>#DIV/0!</v>
      </c>
      <c r="C466" s="189" t="e">
        <v>#DIV/0!</v>
      </c>
    </row>
    <row r="467">
      <c r="B467" s="189" t="e">
        <v>#DIV/0!</v>
      </c>
      <c r="C467" s="189" t="e">
        <v>#DIV/0!</v>
      </c>
    </row>
    <row r="468">
      <c r="B468" s="189" t="e">
        <v>#DIV/0!</v>
      </c>
      <c r="C468" s="189" t="e">
        <v>#DIV/0!</v>
      </c>
    </row>
    <row r="469">
      <c r="B469" s="189" t="e">
        <v>#DIV/0!</v>
      </c>
      <c r="C469" s="189" t="e">
        <v>#DIV/0!</v>
      </c>
    </row>
    <row r="470">
      <c r="B470" s="189" t="e">
        <v>#DIV/0!</v>
      </c>
      <c r="C470" s="189" t="e">
        <v>#DIV/0!</v>
      </c>
    </row>
    <row r="471">
      <c r="B471" s="189" t="e">
        <v>#DIV/0!</v>
      </c>
      <c r="C471" s="189" t="e">
        <v>#DIV/0!</v>
      </c>
    </row>
    <row r="472">
      <c r="B472" s="189" t="e">
        <v>#DIV/0!</v>
      </c>
      <c r="C472" s="189" t="e">
        <v>#DIV/0!</v>
      </c>
    </row>
    <row r="473">
      <c r="B473" s="189" t="e">
        <v>#DIV/0!</v>
      </c>
      <c r="C473" s="189" t="e">
        <v>#DIV/0!</v>
      </c>
    </row>
    <row r="474">
      <c r="B474" s="189" t="e">
        <v>#DIV/0!</v>
      </c>
      <c r="C474" s="189" t="e">
        <v>#DIV/0!</v>
      </c>
    </row>
    <row r="475">
      <c r="B475" s="189" t="e">
        <v>#DIV/0!</v>
      </c>
      <c r="C475" s="189" t="e">
        <v>#DIV/0!</v>
      </c>
    </row>
    <row r="476">
      <c r="B476" s="189" t="e">
        <v>#DIV/0!</v>
      </c>
      <c r="C476" s="189" t="e">
        <v>#DIV/0!</v>
      </c>
    </row>
    <row r="477">
      <c r="B477" s="189" t="e">
        <v>#DIV/0!</v>
      </c>
      <c r="C477" s="189" t="e">
        <v>#DIV/0!</v>
      </c>
    </row>
    <row r="478">
      <c r="B478" s="189" t="e">
        <v>#DIV/0!</v>
      </c>
      <c r="C478" s="189" t="e">
        <v>#DIV/0!</v>
      </c>
    </row>
    <row r="479">
      <c r="B479" s="189" t="e">
        <v>#DIV/0!</v>
      </c>
      <c r="C479" s="189" t="e">
        <v>#DIV/0!</v>
      </c>
    </row>
    <row r="480">
      <c r="B480" s="189" t="e">
        <v>#DIV/0!</v>
      </c>
      <c r="C480" s="189" t="e">
        <v>#DIV/0!</v>
      </c>
    </row>
    <row r="481">
      <c r="B481" s="189" t="e">
        <v>#DIV/0!</v>
      </c>
      <c r="C481" s="189" t="e">
        <v>#DIV/0!</v>
      </c>
    </row>
    <row r="482">
      <c r="B482" s="189" t="e">
        <v>#DIV/0!</v>
      </c>
      <c r="C482" s="189" t="e">
        <v>#DIV/0!</v>
      </c>
    </row>
    <row r="483">
      <c r="B483" s="189" t="e">
        <v>#DIV/0!</v>
      </c>
      <c r="C483" s="189" t="e">
        <v>#DIV/0!</v>
      </c>
    </row>
    <row r="484">
      <c r="B484" s="189" t="e">
        <v>#DIV/0!</v>
      </c>
      <c r="C484" s="189" t="e">
        <v>#DIV/0!</v>
      </c>
    </row>
    <row r="485">
      <c r="B485" s="189" t="e">
        <v>#DIV/0!</v>
      </c>
      <c r="C485" s="189" t="e">
        <v>#DIV/0!</v>
      </c>
    </row>
    <row r="486">
      <c r="B486" s="189" t="e">
        <v>#DIV/0!</v>
      </c>
      <c r="C486" s="189" t="e">
        <v>#DIV/0!</v>
      </c>
    </row>
    <row r="487">
      <c r="B487" s="189" t="e">
        <v>#DIV/0!</v>
      </c>
      <c r="C487" s="189" t="e">
        <v>#DIV/0!</v>
      </c>
    </row>
    <row r="488">
      <c r="B488" s="189" t="e">
        <v>#DIV/0!</v>
      </c>
      <c r="C488" s="189" t="e">
        <v>#DIV/0!</v>
      </c>
    </row>
    <row r="489">
      <c r="B489" s="189" t="e">
        <v>#DIV/0!</v>
      </c>
      <c r="C489" s="189" t="e">
        <v>#DIV/0!</v>
      </c>
    </row>
    <row r="490">
      <c r="B490" s="189" t="e">
        <v>#DIV/0!</v>
      </c>
      <c r="C490" s="189" t="e">
        <v>#DIV/0!</v>
      </c>
    </row>
    <row r="491">
      <c r="B491" s="189" t="e">
        <v>#DIV/0!</v>
      </c>
      <c r="C491" s="189" t="e">
        <v>#DIV/0!</v>
      </c>
    </row>
    <row r="492">
      <c r="B492" s="189" t="e">
        <v>#DIV/0!</v>
      </c>
      <c r="C492" s="189" t="e">
        <v>#DIV/0!</v>
      </c>
    </row>
    <row r="493">
      <c r="B493" s="189" t="e">
        <v>#DIV/0!</v>
      </c>
      <c r="C493" s="189" t="e">
        <v>#DIV/0!</v>
      </c>
    </row>
    <row r="494">
      <c r="B494" s="189" t="e">
        <v>#DIV/0!</v>
      </c>
      <c r="C494" s="189" t="e">
        <v>#DIV/0!</v>
      </c>
    </row>
    <row r="495">
      <c r="B495" s="189" t="e">
        <v>#DIV/0!</v>
      </c>
      <c r="C495" s="189" t="e">
        <v>#DIV/0!</v>
      </c>
    </row>
    <row r="496">
      <c r="B496" s="189" t="e">
        <v>#DIV/0!</v>
      </c>
      <c r="C496" s="189" t="e">
        <v>#DIV/0!</v>
      </c>
    </row>
    <row r="497">
      <c r="B497" s="189" t="e">
        <v>#DIV/0!</v>
      </c>
      <c r="C497" s="189" t="e">
        <v>#DIV/0!</v>
      </c>
    </row>
    <row r="498">
      <c r="B498" s="189" t="e">
        <v>#DIV/0!</v>
      </c>
      <c r="C498" s="189" t="e">
        <v>#DIV/0!</v>
      </c>
    </row>
    <row r="499">
      <c r="B499" s="189" t="e">
        <v>#DIV/0!</v>
      </c>
      <c r="C499" s="189" t="e">
        <v>#DIV/0!</v>
      </c>
    </row>
    <row r="500">
      <c r="B500" s="189" t="e">
        <v>#DIV/0!</v>
      </c>
      <c r="C500" s="189" t="e">
        <v>#DIV/0!</v>
      </c>
    </row>
    <row r="501">
      <c r="B501" s="189" t="e">
        <v>#DIV/0!</v>
      </c>
      <c r="C501" s="189" t="e">
        <v>#DIV/0!</v>
      </c>
    </row>
    <row r="502">
      <c r="B502" s="189" t="e">
        <v>#DIV/0!</v>
      </c>
      <c r="C502" s="189" t="e">
        <v>#DIV/0!</v>
      </c>
    </row>
    <row r="503">
      <c r="B503" s="189" t="e">
        <v>#DIV/0!</v>
      </c>
      <c r="C503" s="189" t="e">
        <v>#DIV/0!</v>
      </c>
    </row>
    <row r="504">
      <c r="B504" s="189" t="e">
        <v>#DIV/0!</v>
      </c>
      <c r="C504" s="189" t="e">
        <v>#DIV/0!</v>
      </c>
    </row>
    <row r="505">
      <c r="B505" s="189" t="e">
        <v>#DIV/0!</v>
      </c>
      <c r="C505" s="189" t="e">
        <v>#DIV/0!</v>
      </c>
    </row>
    <row r="506">
      <c r="B506" s="189" t="e">
        <v>#DIV/0!</v>
      </c>
      <c r="C506" s="189" t="e">
        <v>#DIV/0!</v>
      </c>
    </row>
    <row r="507">
      <c r="B507" s="189" t="e">
        <v>#DIV/0!</v>
      </c>
      <c r="C507" s="189" t="e">
        <v>#DIV/0!</v>
      </c>
    </row>
    <row r="508">
      <c r="B508" s="189" t="e">
        <v>#DIV/0!</v>
      </c>
      <c r="C508" s="189" t="e">
        <v>#DIV/0!</v>
      </c>
    </row>
    <row r="509">
      <c r="B509" s="189" t="e">
        <v>#DIV/0!</v>
      </c>
      <c r="C509" s="189" t="e">
        <v>#DIV/0!</v>
      </c>
    </row>
    <row r="510">
      <c r="B510" s="189" t="e">
        <v>#DIV/0!</v>
      </c>
      <c r="C510" s="189" t="e">
        <v>#DIV/0!</v>
      </c>
    </row>
    <row r="511">
      <c r="B511" s="189" t="e">
        <v>#DIV/0!</v>
      </c>
      <c r="C511" s="189" t="e">
        <v>#DIV/0!</v>
      </c>
    </row>
    <row r="512">
      <c r="B512" s="189" t="e">
        <v>#DIV/0!</v>
      </c>
      <c r="C512" s="189" t="e">
        <v>#DIV/0!</v>
      </c>
    </row>
    <row r="513">
      <c r="B513" s="189" t="e">
        <v>#DIV/0!</v>
      </c>
      <c r="C513" s="189" t="e">
        <v>#DIV/0!</v>
      </c>
    </row>
    <row r="514">
      <c r="B514" s="189" t="e">
        <v>#DIV/0!</v>
      </c>
      <c r="C514" s="189" t="e">
        <v>#DIV/0!</v>
      </c>
    </row>
    <row r="515">
      <c r="B515" s="189" t="e">
        <v>#DIV/0!</v>
      </c>
      <c r="C515" s="189" t="e">
        <v>#DIV/0!</v>
      </c>
    </row>
    <row r="516">
      <c r="B516" s="189" t="e">
        <v>#DIV/0!</v>
      </c>
      <c r="C516" s="189" t="e">
        <v>#DIV/0!</v>
      </c>
    </row>
    <row r="517">
      <c r="B517" s="189" t="e">
        <v>#DIV/0!</v>
      </c>
      <c r="C517" s="189" t="e">
        <v>#DIV/0!</v>
      </c>
    </row>
    <row r="518">
      <c r="B518" s="189" t="e">
        <v>#DIV/0!</v>
      </c>
      <c r="C518" s="189" t="e">
        <v>#DIV/0!</v>
      </c>
    </row>
    <row r="519">
      <c r="B519" s="189" t="e">
        <v>#DIV/0!</v>
      </c>
      <c r="C519" s="189" t="e">
        <v>#DIV/0!</v>
      </c>
    </row>
    <row r="520">
      <c r="B520" s="189" t="e">
        <v>#DIV/0!</v>
      </c>
      <c r="C520" s="189" t="e">
        <v>#DIV/0!</v>
      </c>
    </row>
    <row r="521">
      <c r="B521" s="189" t="e">
        <v>#DIV/0!</v>
      </c>
      <c r="C521" s="189" t="e">
        <v>#DIV/0!</v>
      </c>
    </row>
    <row r="522">
      <c r="B522" s="189" t="e">
        <v>#DIV/0!</v>
      </c>
      <c r="C522" s="189" t="e">
        <v>#DIV/0!</v>
      </c>
    </row>
    <row r="523">
      <c r="B523" s="189" t="e">
        <v>#DIV/0!</v>
      </c>
      <c r="C523" s="189" t="e">
        <v>#DIV/0!</v>
      </c>
    </row>
    <row r="524">
      <c r="B524" s="189" t="e">
        <v>#DIV/0!</v>
      </c>
      <c r="C524" s="189" t="e">
        <v>#DIV/0!</v>
      </c>
    </row>
    <row r="525">
      <c r="B525" s="189" t="e">
        <v>#DIV/0!</v>
      </c>
      <c r="C525" s="189" t="e">
        <v>#DIV/0!</v>
      </c>
    </row>
    <row r="526">
      <c r="B526" s="189" t="e">
        <v>#DIV/0!</v>
      </c>
      <c r="C526" s="189" t="e">
        <v>#DIV/0!</v>
      </c>
    </row>
    <row r="527">
      <c r="B527" s="189" t="e">
        <v>#DIV/0!</v>
      </c>
      <c r="C527" s="189" t="e">
        <v>#DIV/0!</v>
      </c>
    </row>
    <row r="528">
      <c r="B528" s="189" t="e">
        <v>#DIV/0!</v>
      </c>
      <c r="C528" s="189" t="e">
        <v>#DIV/0!</v>
      </c>
    </row>
    <row r="529">
      <c r="B529" s="189" t="e">
        <v>#DIV/0!</v>
      </c>
      <c r="C529" s="189" t="e">
        <v>#DIV/0!</v>
      </c>
    </row>
    <row r="530">
      <c r="B530" s="189" t="e">
        <v>#DIV/0!</v>
      </c>
      <c r="C530" s="189" t="e">
        <v>#DIV/0!</v>
      </c>
    </row>
    <row r="531">
      <c r="B531" s="189" t="e">
        <v>#DIV/0!</v>
      </c>
      <c r="C531" s="189" t="e">
        <v>#DIV/0!</v>
      </c>
    </row>
    <row r="532">
      <c r="B532" s="189" t="e">
        <v>#DIV/0!</v>
      </c>
      <c r="C532" s="189" t="e">
        <v>#DIV/0!</v>
      </c>
    </row>
    <row r="533">
      <c r="B533" s="189" t="e">
        <v>#DIV/0!</v>
      </c>
      <c r="C533" s="189" t="e">
        <v>#DIV/0!</v>
      </c>
    </row>
    <row r="534">
      <c r="B534" s="189" t="e">
        <v>#DIV/0!</v>
      </c>
      <c r="C534" s="189" t="e">
        <v>#DIV/0!</v>
      </c>
    </row>
    <row r="535">
      <c r="B535" s="189" t="e">
        <v>#DIV/0!</v>
      </c>
      <c r="C535" s="189" t="e">
        <v>#DIV/0!</v>
      </c>
    </row>
    <row r="536">
      <c r="B536" s="189" t="e">
        <v>#DIV/0!</v>
      </c>
      <c r="C536" s="189" t="e">
        <v>#DIV/0!</v>
      </c>
    </row>
    <row r="537">
      <c r="B537" s="189" t="e">
        <v>#DIV/0!</v>
      </c>
      <c r="C537" s="189" t="e">
        <v>#DIV/0!</v>
      </c>
    </row>
    <row r="538">
      <c r="B538" s="189" t="e">
        <v>#DIV/0!</v>
      </c>
      <c r="C538" s="189" t="e">
        <v>#DIV/0!</v>
      </c>
    </row>
    <row r="539">
      <c r="B539" s="189" t="e">
        <v>#DIV/0!</v>
      </c>
      <c r="C539" s="189" t="e">
        <v>#DIV/0!</v>
      </c>
    </row>
    <row r="540">
      <c r="B540" s="189" t="e">
        <v>#DIV/0!</v>
      </c>
      <c r="C540" s="189" t="e">
        <v>#DIV/0!</v>
      </c>
    </row>
    <row r="541">
      <c r="B541" s="189" t="e">
        <v>#DIV/0!</v>
      </c>
      <c r="C541" s="189" t="e">
        <v>#DIV/0!</v>
      </c>
    </row>
    <row r="542">
      <c r="B542" s="189" t="e">
        <v>#DIV/0!</v>
      </c>
      <c r="C542" s="189" t="e">
        <v>#DIV/0!</v>
      </c>
    </row>
    <row r="543">
      <c r="B543" s="189" t="e">
        <v>#DIV/0!</v>
      </c>
      <c r="C543" s="189" t="e">
        <v>#DIV/0!</v>
      </c>
    </row>
    <row r="544">
      <c r="B544" s="189" t="e">
        <v>#DIV/0!</v>
      </c>
      <c r="C544" s="189" t="e">
        <v>#DIV/0!</v>
      </c>
    </row>
    <row r="545">
      <c r="B545" s="189" t="e">
        <v>#DIV/0!</v>
      </c>
      <c r="C545" s="189" t="e">
        <v>#DIV/0!</v>
      </c>
    </row>
    <row r="546">
      <c r="B546" s="189" t="e">
        <v>#DIV/0!</v>
      </c>
      <c r="C546" s="189" t="e">
        <v>#DIV/0!</v>
      </c>
    </row>
    <row r="547">
      <c r="B547" s="189" t="e">
        <v>#DIV/0!</v>
      </c>
      <c r="C547" s="189" t="e">
        <v>#DIV/0!</v>
      </c>
    </row>
    <row r="548">
      <c r="B548" s="189" t="e">
        <v>#DIV/0!</v>
      </c>
      <c r="C548" s="189" t="e">
        <v>#DIV/0!</v>
      </c>
    </row>
    <row r="549">
      <c r="B549" s="189" t="e">
        <v>#DIV/0!</v>
      </c>
      <c r="C549" s="189" t="e">
        <v>#DIV/0!</v>
      </c>
    </row>
    <row r="550">
      <c r="B550" s="189" t="e">
        <v>#DIV/0!</v>
      </c>
      <c r="C550" s="189" t="e">
        <v>#DIV/0!</v>
      </c>
    </row>
    <row r="551">
      <c r="B551" s="189" t="e">
        <v>#DIV/0!</v>
      </c>
      <c r="C551" s="189" t="e">
        <v>#DIV/0!</v>
      </c>
    </row>
    <row r="552">
      <c r="B552" s="189" t="e">
        <v>#DIV/0!</v>
      </c>
      <c r="C552" s="189" t="e">
        <v>#DIV/0!</v>
      </c>
    </row>
    <row r="553">
      <c r="B553" s="189" t="e">
        <v>#DIV/0!</v>
      </c>
      <c r="C553" s="189" t="e">
        <v>#DIV/0!</v>
      </c>
    </row>
    <row r="554">
      <c r="B554" s="189" t="e">
        <v>#DIV/0!</v>
      </c>
      <c r="C554" s="189" t="e">
        <v>#DIV/0!</v>
      </c>
    </row>
    <row r="555">
      <c r="B555" s="189" t="e">
        <v>#DIV/0!</v>
      </c>
      <c r="C555" s="189" t="e">
        <v>#DIV/0!</v>
      </c>
    </row>
    <row r="556">
      <c r="B556" s="189" t="e">
        <v>#DIV/0!</v>
      </c>
      <c r="C556" s="189" t="e">
        <v>#DIV/0!</v>
      </c>
    </row>
    <row r="557">
      <c r="B557" s="189" t="e">
        <v>#DIV/0!</v>
      </c>
      <c r="C557" s="189" t="e">
        <v>#DIV/0!</v>
      </c>
    </row>
    <row r="558">
      <c r="B558" s="189" t="e">
        <v>#DIV/0!</v>
      </c>
      <c r="C558" s="189" t="e">
        <v>#DIV/0!</v>
      </c>
    </row>
    <row r="559">
      <c r="B559" s="189" t="e">
        <v>#DIV/0!</v>
      </c>
      <c r="C559" s="189" t="e">
        <v>#DIV/0!</v>
      </c>
    </row>
    <row r="560">
      <c r="B560" s="189" t="e">
        <v>#DIV/0!</v>
      </c>
      <c r="C560" s="189" t="e">
        <v>#DIV/0!</v>
      </c>
    </row>
    <row r="561">
      <c r="B561" s="189" t="e">
        <v>#DIV/0!</v>
      </c>
      <c r="C561" s="189" t="e">
        <v>#DIV/0!</v>
      </c>
    </row>
    <row r="562">
      <c r="B562" s="189" t="e">
        <v>#DIV/0!</v>
      </c>
      <c r="C562" s="189" t="e">
        <v>#DIV/0!</v>
      </c>
    </row>
    <row r="563">
      <c r="B563" s="189" t="e">
        <v>#DIV/0!</v>
      </c>
      <c r="C563" s="189" t="e">
        <v>#DIV/0!</v>
      </c>
    </row>
    <row r="564">
      <c r="B564" s="189" t="e">
        <v>#DIV/0!</v>
      </c>
      <c r="C564" s="189" t="e">
        <v>#DIV/0!</v>
      </c>
    </row>
    <row r="565">
      <c r="B565" s="189" t="e">
        <v>#DIV/0!</v>
      </c>
      <c r="C565" s="189" t="e">
        <v>#DIV/0!</v>
      </c>
    </row>
    <row r="566">
      <c r="B566" s="189" t="e">
        <v>#DIV/0!</v>
      </c>
      <c r="C566" s="189" t="e">
        <v>#DIV/0!</v>
      </c>
    </row>
    <row r="567">
      <c r="B567" s="189" t="e">
        <v>#DIV/0!</v>
      </c>
      <c r="C567" s="189" t="e">
        <v>#DIV/0!</v>
      </c>
    </row>
    <row r="568">
      <c r="B568" s="189" t="e">
        <v>#DIV/0!</v>
      </c>
      <c r="C568" s="189" t="e">
        <v>#DIV/0!</v>
      </c>
    </row>
    <row r="569">
      <c r="B569" s="189" t="e">
        <v>#DIV/0!</v>
      </c>
      <c r="C569" s="189" t="e">
        <v>#DIV/0!</v>
      </c>
    </row>
    <row r="570">
      <c r="B570" s="189" t="e">
        <v>#DIV/0!</v>
      </c>
      <c r="C570" s="189" t="e">
        <v>#DIV/0!</v>
      </c>
    </row>
    <row r="571">
      <c r="B571" s="189" t="e">
        <v>#DIV/0!</v>
      </c>
      <c r="C571" s="189" t="e">
        <v>#DIV/0!</v>
      </c>
    </row>
    <row r="572">
      <c r="B572" s="189" t="e">
        <v>#DIV/0!</v>
      </c>
      <c r="C572" s="189" t="e">
        <v>#DIV/0!</v>
      </c>
    </row>
    <row r="573">
      <c r="B573" s="189" t="e">
        <v>#DIV/0!</v>
      </c>
      <c r="C573" s="189" t="e">
        <v>#DIV/0!</v>
      </c>
    </row>
    <row r="574">
      <c r="B574" s="189" t="e">
        <v>#DIV/0!</v>
      </c>
      <c r="C574" s="189" t="e">
        <v>#DIV/0!</v>
      </c>
    </row>
    <row r="575">
      <c r="B575" s="189" t="e">
        <v>#DIV/0!</v>
      </c>
      <c r="C575" s="189" t="e">
        <v>#DIV/0!</v>
      </c>
    </row>
    <row r="576">
      <c r="B576" s="189" t="e">
        <v>#DIV/0!</v>
      </c>
      <c r="C576" s="189" t="e">
        <v>#DIV/0!</v>
      </c>
    </row>
    <row r="577">
      <c r="B577" s="189" t="e">
        <v>#DIV/0!</v>
      </c>
      <c r="C577" s="189" t="e">
        <v>#DIV/0!</v>
      </c>
    </row>
    <row r="578">
      <c r="B578" s="189" t="e">
        <v>#DIV/0!</v>
      </c>
      <c r="C578" s="189" t="e">
        <v>#DIV/0!</v>
      </c>
    </row>
    <row r="579">
      <c r="B579" s="189" t="e">
        <v>#DIV/0!</v>
      </c>
      <c r="C579" s="189" t="e">
        <v>#DIV/0!</v>
      </c>
    </row>
    <row r="580">
      <c r="B580" s="189" t="e">
        <v>#DIV/0!</v>
      </c>
      <c r="C580" s="189" t="e">
        <v>#DIV/0!</v>
      </c>
    </row>
    <row r="581">
      <c r="B581" s="189" t="e">
        <v>#DIV/0!</v>
      </c>
      <c r="C581" s="189" t="e">
        <v>#DIV/0!</v>
      </c>
    </row>
    <row r="582">
      <c r="B582" s="189" t="e">
        <v>#DIV/0!</v>
      </c>
      <c r="C582" s="189" t="e">
        <v>#DIV/0!</v>
      </c>
    </row>
    <row r="583">
      <c r="B583" s="189" t="e">
        <v>#DIV/0!</v>
      </c>
      <c r="C583" s="189" t="e">
        <v>#DIV/0!</v>
      </c>
    </row>
    <row r="584">
      <c r="B584" s="189" t="e">
        <v>#DIV/0!</v>
      </c>
      <c r="C584" s="189" t="e">
        <v>#DIV/0!</v>
      </c>
    </row>
    <row r="585">
      <c r="B585" s="189" t="e">
        <v>#DIV/0!</v>
      </c>
      <c r="C585" s="189" t="e">
        <v>#DIV/0!</v>
      </c>
    </row>
    <row r="586">
      <c r="B586" s="189" t="e">
        <v>#DIV/0!</v>
      </c>
      <c r="C586" s="189" t="e">
        <v>#DIV/0!</v>
      </c>
    </row>
    <row r="587">
      <c r="B587" s="189" t="e">
        <v>#DIV/0!</v>
      </c>
      <c r="C587" s="189" t="e">
        <v>#DIV/0!</v>
      </c>
    </row>
    <row r="588">
      <c r="B588" s="189" t="e">
        <v>#DIV/0!</v>
      </c>
      <c r="C588" s="189" t="e">
        <v>#DIV/0!</v>
      </c>
    </row>
    <row r="589">
      <c r="B589" s="189" t="e">
        <v>#DIV/0!</v>
      </c>
      <c r="C589" s="189" t="e">
        <v>#DIV/0!</v>
      </c>
    </row>
    <row r="590">
      <c r="B590" s="189" t="e">
        <v>#DIV/0!</v>
      </c>
      <c r="C590" s="189" t="e">
        <v>#DIV/0!</v>
      </c>
    </row>
    <row r="591">
      <c r="B591" s="189" t="e">
        <v>#DIV/0!</v>
      </c>
      <c r="C591" s="189" t="e">
        <v>#DIV/0!</v>
      </c>
    </row>
    <row r="592">
      <c r="B592" s="189" t="e">
        <v>#DIV/0!</v>
      </c>
      <c r="C592" s="189" t="e">
        <v>#DIV/0!</v>
      </c>
    </row>
    <row r="593">
      <c r="B593" s="189" t="e">
        <v>#DIV/0!</v>
      </c>
      <c r="C593" s="189" t="e">
        <v>#DIV/0!</v>
      </c>
    </row>
    <row r="594">
      <c r="B594" s="189" t="e">
        <v>#DIV/0!</v>
      </c>
      <c r="C594" s="189" t="e">
        <v>#DIV/0!</v>
      </c>
    </row>
    <row r="595">
      <c r="B595" s="189" t="e">
        <v>#DIV/0!</v>
      </c>
      <c r="C595" s="189" t="e">
        <v>#DIV/0!</v>
      </c>
    </row>
    <row r="596">
      <c r="B596" s="189" t="e">
        <v>#DIV/0!</v>
      </c>
      <c r="C596" s="189" t="e">
        <v>#DIV/0!</v>
      </c>
    </row>
    <row r="597">
      <c r="B597" s="189" t="e">
        <v>#DIV/0!</v>
      </c>
      <c r="C597" s="189" t="e">
        <v>#DIV/0!</v>
      </c>
    </row>
    <row r="598">
      <c r="B598" s="189" t="e">
        <v>#DIV/0!</v>
      </c>
      <c r="C598" s="189" t="e">
        <v>#DIV/0!</v>
      </c>
    </row>
    <row r="599">
      <c r="B599" s="189" t="e">
        <v>#DIV/0!</v>
      </c>
      <c r="C599" s="189" t="e">
        <v>#DIV/0!</v>
      </c>
    </row>
    <row r="600">
      <c r="B600" s="189" t="e">
        <v>#DIV/0!</v>
      </c>
      <c r="C600" s="189" t="e">
        <v>#DIV/0!</v>
      </c>
    </row>
    <row r="601">
      <c r="B601" s="189" t="e">
        <v>#DIV/0!</v>
      </c>
      <c r="C601" s="189" t="e">
        <v>#DIV/0!</v>
      </c>
    </row>
    <row r="602">
      <c r="B602" s="189" t="e">
        <v>#DIV/0!</v>
      </c>
      <c r="C602" s="189" t="e">
        <v>#DIV/0!</v>
      </c>
    </row>
    <row r="603">
      <c r="B603" s="189" t="e">
        <v>#DIV/0!</v>
      </c>
      <c r="C603" s="189" t="e">
        <v>#DIV/0!</v>
      </c>
    </row>
    <row r="604">
      <c r="B604" s="189" t="e">
        <v>#DIV/0!</v>
      </c>
      <c r="C604" s="189" t="e">
        <v>#DIV/0!</v>
      </c>
    </row>
    <row r="605">
      <c r="B605" s="189" t="e">
        <v>#DIV/0!</v>
      </c>
      <c r="C605" s="189" t="e">
        <v>#DIV/0!</v>
      </c>
    </row>
    <row r="606">
      <c r="B606" s="189" t="e">
        <v>#DIV/0!</v>
      </c>
      <c r="C606" s="189" t="e">
        <v>#DIV/0!</v>
      </c>
    </row>
    <row r="607">
      <c r="B607" s="189" t="e">
        <v>#DIV/0!</v>
      </c>
      <c r="C607" s="189" t="e">
        <v>#DIV/0!</v>
      </c>
    </row>
    <row r="608">
      <c r="B608" s="189" t="e">
        <v>#DIV/0!</v>
      </c>
      <c r="C608" s="189" t="e">
        <v>#DIV/0!</v>
      </c>
    </row>
    <row r="609">
      <c r="B609" s="189" t="e">
        <v>#DIV/0!</v>
      </c>
      <c r="C609" s="189" t="e">
        <v>#DIV/0!</v>
      </c>
    </row>
    <row r="610">
      <c r="B610" s="189" t="e">
        <v>#DIV/0!</v>
      </c>
      <c r="C610" s="189" t="e">
        <v>#DIV/0!</v>
      </c>
    </row>
    <row r="611">
      <c r="B611" s="189" t="e">
        <v>#DIV/0!</v>
      </c>
      <c r="C611" s="189" t="e">
        <v>#DIV/0!</v>
      </c>
    </row>
    <row r="612">
      <c r="B612" s="189" t="e">
        <v>#DIV/0!</v>
      </c>
      <c r="C612" s="189" t="e">
        <v>#DIV/0!</v>
      </c>
    </row>
    <row r="613">
      <c r="B613" s="189" t="e">
        <v>#DIV/0!</v>
      </c>
      <c r="C613" s="189" t="e">
        <v>#DIV/0!</v>
      </c>
    </row>
    <row r="614">
      <c r="B614" s="189" t="e">
        <v>#DIV/0!</v>
      </c>
      <c r="C614" s="189" t="e">
        <v>#DIV/0!</v>
      </c>
    </row>
    <row r="615">
      <c r="B615" s="189" t="e">
        <v>#DIV/0!</v>
      </c>
      <c r="C615" s="189" t="e">
        <v>#DIV/0!</v>
      </c>
    </row>
    <row r="616">
      <c r="B616" s="189" t="e">
        <v>#DIV/0!</v>
      </c>
      <c r="C616" s="189" t="e">
        <v>#DIV/0!</v>
      </c>
    </row>
    <row r="617">
      <c r="B617" s="189" t="e">
        <v>#DIV/0!</v>
      </c>
      <c r="C617" s="189" t="e">
        <v>#DIV/0!</v>
      </c>
    </row>
    <row r="618">
      <c r="B618" s="189" t="e">
        <v>#DIV/0!</v>
      </c>
      <c r="C618" s="189" t="e">
        <v>#DIV/0!</v>
      </c>
    </row>
    <row r="619">
      <c r="B619" s="189" t="e">
        <v>#DIV/0!</v>
      </c>
      <c r="C619" s="189" t="e">
        <v>#DIV/0!</v>
      </c>
    </row>
    <row r="620">
      <c r="B620" s="189" t="e">
        <v>#DIV/0!</v>
      </c>
      <c r="C620" s="189" t="e">
        <v>#DIV/0!</v>
      </c>
    </row>
    <row r="621">
      <c r="B621" s="189" t="e">
        <v>#DIV/0!</v>
      </c>
      <c r="C621" s="189" t="e">
        <v>#DIV/0!</v>
      </c>
    </row>
    <row r="622">
      <c r="B622" s="189" t="e">
        <v>#DIV/0!</v>
      </c>
      <c r="C622" s="189" t="e">
        <v>#DIV/0!</v>
      </c>
    </row>
    <row r="623">
      <c r="B623" s="189" t="e">
        <v>#DIV/0!</v>
      </c>
      <c r="C623" s="189" t="e">
        <v>#DIV/0!</v>
      </c>
    </row>
    <row r="624">
      <c r="B624" s="189" t="e">
        <v>#DIV/0!</v>
      </c>
      <c r="C624" s="189" t="e">
        <v>#DIV/0!</v>
      </c>
    </row>
    <row r="625">
      <c r="B625" s="189" t="e">
        <v>#DIV/0!</v>
      </c>
      <c r="C625" s="189" t="e">
        <v>#DIV/0!</v>
      </c>
    </row>
    <row r="626">
      <c r="B626" s="189" t="e">
        <v>#DIV/0!</v>
      </c>
      <c r="C626" s="189" t="e">
        <v>#DIV/0!</v>
      </c>
    </row>
    <row r="627">
      <c r="B627" s="189" t="e">
        <v>#DIV/0!</v>
      </c>
      <c r="C627" s="189" t="e">
        <v>#DIV/0!</v>
      </c>
    </row>
    <row r="628">
      <c r="B628" s="189" t="e">
        <v>#DIV/0!</v>
      </c>
      <c r="C628" s="189" t="e">
        <v>#DIV/0!</v>
      </c>
    </row>
    <row r="629">
      <c r="B629" s="189" t="e">
        <v>#DIV/0!</v>
      </c>
      <c r="C629" s="189" t="e">
        <v>#DIV/0!</v>
      </c>
    </row>
    <row r="630">
      <c r="B630" s="189" t="e">
        <v>#DIV/0!</v>
      </c>
      <c r="C630" s="189" t="e">
        <v>#DIV/0!</v>
      </c>
    </row>
    <row r="631">
      <c r="B631" s="189" t="e">
        <v>#DIV/0!</v>
      </c>
      <c r="C631" s="189" t="e">
        <v>#DIV/0!</v>
      </c>
    </row>
    <row r="632">
      <c r="B632" s="189" t="e">
        <v>#DIV/0!</v>
      </c>
      <c r="C632" s="189" t="e">
        <v>#DIV/0!</v>
      </c>
    </row>
    <row r="633">
      <c r="B633" s="189" t="e">
        <v>#DIV/0!</v>
      </c>
      <c r="C633" s="189" t="e">
        <v>#DIV/0!</v>
      </c>
    </row>
    <row r="634">
      <c r="B634" s="189" t="e">
        <v>#DIV/0!</v>
      </c>
      <c r="C634" s="189" t="e">
        <v>#DIV/0!</v>
      </c>
    </row>
    <row r="635">
      <c r="B635" s="189" t="e">
        <v>#DIV/0!</v>
      </c>
      <c r="C635" s="189" t="e">
        <v>#DIV/0!</v>
      </c>
    </row>
    <row r="636">
      <c r="B636" s="189" t="e">
        <v>#DIV/0!</v>
      </c>
      <c r="C636" s="189" t="e">
        <v>#DIV/0!</v>
      </c>
    </row>
    <row r="637">
      <c r="B637" s="189" t="e">
        <v>#DIV/0!</v>
      </c>
      <c r="C637" s="189" t="e">
        <v>#DIV/0!</v>
      </c>
    </row>
    <row r="638">
      <c r="B638" s="189" t="e">
        <v>#DIV/0!</v>
      </c>
      <c r="C638" s="189" t="e">
        <v>#DIV/0!</v>
      </c>
    </row>
    <row r="639">
      <c r="B639" s="189" t="e">
        <v>#DIV/0!</v>
      </c>
      <c r="C639" s="189" t="e">
        <v>#DIV/0!</v>
      </c>
    </row>
    <row r="640">
      <c r="B640" s="189" t="e">
        <v>#DIV/0!</v>
      </c>
      <c r="C640" s="189" t="e">
        <v>#DIV/0!</v>
      </c>
    </row>
    <row r="641">
      <c r="B641" s="189" t="e">
        <v>#DIV/0!</v>
      </c>
      <c r="C641" s="189" t="e">
        <v>#DIV/0!</v>
      </c>
    </row>
    <row r="642">
      <c r="B642" s="189" t="e">
        <v>#DIV/0!</v>
      </c>
      <c r="C642" s="189" t="e">
        <v>#DIV/0!</v>
      </c>
    </row>
    <row r="643">
      <c r="B643" s="189" t="e">
        <v>#DIV/0!</v>
      </c>
      <c r="C643" s="189" t="e">
        <v>#DIV/0!</v>
      </c>
    </row>
    <row r="644">
      <c r="B644" s="189" t="e">
        <v>#DIV/0!</v>
      </c>
      <c r="C644" s="189" t="e">
        <v>#DIV/0!</v>
      </c>
    </row>
    <row r="645">
      <c r="B645" s="189" t="e">
        <v>#DIV/0!</v>
      </c>
      <c r="C645" s="189" t="e">
        <v>#DIV/0!</v>
      </c>
    </row>
    <row r="646">
      <c r="B646" s="189" t="e">
        <v>#DIV/0!</v>
      </c>
      <c r="C646" s="189" t="e">
        <v>#DIV/0!</v>
      </c>
    </row>
    <row r="647">
      <c r="B647" s="189" t="e">
        <v>#DIV/0!</v>
      </c>
      <c r="C647" s="189" t="e">
        <v>#DIV/0!</v>
      </c>
    </row>
    <row r="648">
      <c r="B648" s="189" t="e">
        <v>#DIV/0!</v>
      </c>
      <c r="C648" s="189" t="e">
        <v>#DIV/0!</v>
      </c>
    </row>
    <row r="649">
      <c r="B649" s="189" t="e">
        <v>#DIV/0!</v>
      </c>
      <c r="C649" s="189" t="e">
        <v>#DIV/0!</v>
      </c>
    </row>
    <row r="650">
      <c r="B650" s="189" t="e">
        <v>#DIV/0!</v>
      </c>
      <c r="C650" s="189" t="e">
        <v>#DIV/0!</v>
      </c>
    </row>
    <row r="651">
      <c r="B651" s="189" t="e">
        <v>#DIV/0!</v>
      </c>
      <c r="C651" s="189" t="e">
        <v>#DIV/0!</v>
      </c>
    </row>
    <row r="652">
      <c r="B652" s="189" t="e">
        <v>#DIV/0!</v>
      </c>
      <c r="C652" s="189" t="e">
        <v>#DIV/0!</v>
      </c>
    </row>
    <row r="653">
      <c r="B653" s="189" t="e">
        <v>#DIV/0!</v>
      </c>
      <c r="C653" s="189" t="e">
        <v>#DIV/0!</v>
      </c>
    </row>
    <row r="654">
      <c r="B654" s="189" t="e">
        <v>#DIV/0!</v>
      </c>
      <c r="C654" s="189" t="e">
        <v>#DIV/0!</v>
      </c>
    </row>
    <row r="655">
      <c r="B655" s="189" t="e">
        <v>#DIV/0!</v>
      </c>
      <c r="C655" s="189" t="e">
        <v>#DIV/0!</v>
      </c>
    </row>
    <row r="656">
      <c r="B656" s="189" t="e">
        <v>#DIV/0!</v>
      </c>
      <c r="C656" s="189" t="e">
        <v>#DIV/0!</v>
      </c>
    </row>
    <row r="657">
      <c r="B657" s="189" t="e">
        <v>#DIV/0!</v>
      </c>
      <c r="C657" s="189" t="e">
        <v>#DIV/0!</v>
      </c>
    </row>
    <row r="658">
      <c r="B658" s="189" t="e">
        <v>#DIV/0!</v>
      </c>
      <c r="C658" s="189" t="e">
        <v>#DIV/0!</v>
      </c>
    </row>
    <row r="659">
      <c r="B659" s="189" t="e">
        <v>#DIV/0!</v>
      </c>
      <c r="C659" s="189" t="e">
        <v>#DIV/0!</v>
      </c>
    </row>
    <row r="660">
      <c r="B660" s="189" t="e">
        <v>#DIV/0!</v>
      </c>
      <c r="C660" s="189" t="e">
        <v>#DIV/0!</v>
      </c>
    </row>
    <row r="661">
      <c r="B661" s="189" t="e">
        <v>#DIV/0!</v>
      </c>
      <c r="C661" s="189" t="e">
        <v>#DIV/0!</v>
      </c>
    </row>
    <row r="662">
      <c r="B662" s="189" t="e">
        <v>#DIV/0!</v>
      </c>
      <c r="C662" s="189" t="e">
        <v>#DIV/0!</v>
      </c>
    </row>
    <row r="663">
      <c r="B663" s="189" t="e">
        <v>#DIV/0!</v>
      </c>
      <c r="C663" s="189" t="e">
        <v>#DIV/0!</v>
      </c>
    </row>
    <row r="664">
      <c r="B664" s="189" t="e">
        <v>#DIV/0!</v>
      </c>
      <c r="C664" s="189" t="e">
        <v>#DIV/0!</v>
      </c>
    </row>
    <row r="665">
      <c r="B665" s="189" t="e">
        <v>#DIV/0!</v>
      </c>
      <c r="C665" s="189" t="e">
        <v>#DIV/0!</v>
      </c>
    </row>
    <row r="666">
      <c r="B666" s="189" t="e">
        <v>#DIV/0!</v>
      </c>
      <c r="C666" s="189" t="e">
        <v>#DIV/0!</v>
      </c>
    </row>
    <row r="667">
      <c r="B667" s="189" t="e">
        <v>#DIV/0!</v>
      </c>
      <c r="C667" s="189" t="e">
        <v>#DIV/0!</v>
      </c>
    </row>
    <row r="668">
      <c r="B668" s="189" t="e">
        <v>#DIV/0!</v>
      </c>
      <c r="C668" s="189" t="e">
        <v>#DIV/0!</v>
      </c>
    </row>
    <row r="669">
      <c r="B669" s="189" t="e">
        <v>#DIV/0!</v>
      </c>
      <c r="C669" s="189" t="e">
        <v>#DIV/0!</v>
      </c>
    </row>
    <row r="670">
      <c r="B670" s="189" t="e">
        <v>#DIV/0!</v>
      </c>
      <c r="C670" s="189" t="e">
        <v>#DIV/0!</v>
      </c>
    </row>
    <row r="671">
      <c r="B671" s="189" t="e">
        <v>#DIV/0!</v>
      </c>
      <c r="C671" s="189" t="e">
        <v>#DIV/0!</v>
      </c>
    </row>
    <row r="672">
      <c r="B672" s="189" t="e">
        <v>#DIV/0!</v>
      </c>
      <c r="C672" s="189" t="e">
        <v>#DIV/0!</v>
      </c>
    </row>
    <row r="673">
      <c r="B673" s="189" t="e">
        <v>#DIV/0!</v>
      </c>
      <c r="C673" s="189" t="e">
        <v>#DIV/0!</v>
      </c>
    </row>
    <row r="674">
      <c r="B674" s="189" t="e">
        <v>#DIV/0!</v>
      </c>
      <c r="C674" s="189" t="e">
        <v>#DIV/0!</v>
      </c>
    </row>
    <row r="675">
      <c r="B675" s="189" t="e">
        <v>#DIV/0!</v>
      </c>
      <c r="C675" s="189" t="e">
        <v>#DIV/0!</v>
      </c>
    </row>
    <row r="676">
      <c r="B676" s="189" t="e">
        <v>#DIV/0!</v>
      </c>
      <c r="C676" s="189" t="e">
        <v>#DIV/0!</v>
      </c>
    </row>
    <row r="677">
      <c r="B677" s="189" t="e">
        <v>#DIV/0!</v>
      </c>
      <c r="C677" s="189" t="e">
        <v>#DIV/0!</v>
      </c>
    </row>
    <row r="678">
      <c r="B678" s="189" t="e">
        <v>#DIV/0!</v>
      </c>
      <c r="C678" s="189" t="e">
        <v>#DIV/0!</v>
      </c>
    </row>
    <row r="679">
      <c r="B679" s="189" t="e">
        <v>#DIV/0!</v>
      </c>
      <c r="C679" s="189" t="e">
        <v>#DIV/0!</v>
      </c>
    </row>
    <row r="680">
      <c r="B680" s="189" t="e">
        <v>#DIV/0!</v>
      </c>
      <c r="C680" s="189" t="e">
        <v>#DIV/0!</v>
      </c>
    </row>
    <row r="681">
      <c r="B681" s="189" t="e">
        <v>#DIV/0!</v>
      </c>
      <c r="C681" s="189" t="e">
        <v>#DIV/0!</v>
      </c>
    </row>
    <row r="682">
      <c r="B682" s="189" t="e">
        <v>#DIV/0!</v>
      </c>
      <c r="C682" s="189" t="e">
        <v>#DIV/0!</v>
      </c>
    </row>
    <row r="683">
      <c r="B683" s="189" t="e">
        <v>#DIV/0!</v>
      </c>
      <c r="C683" s="189" t="e">
        <v>#DIV/0!</v>
      </c>
    </row>
    <row r="684">
      <c r="B684" s="189" t="e">
        <v>#DIV/0!</v>
      </c>
      <c r="C684" s="189" t="e">
        <v>#DIV/0!</v>
      </c>
    </row>
    <row r="685">
      <c r="B685" s="189" t="e">
        <v>#DIV/0!</v>
      </c>
      <c r="C685" s="189" t="e">
        <v>#DIV/0!</v>
      </c>
    </row>
    <row r="686">
      <c r="B686" s="189" t="e">
        <v>#DIV/0!</v>
      </c>
      <c r="C686" s="189" t="e">
        <v>#DIV/0!</v>
      </c>
    </row>
    <row r="687">
      <c r="B687" s="189" t="e">
        <v>#DIV/0!</v>
      </c>
      <c r="C687" s="189" t="e">
        <v>#DIV/0!</v>
      </c>
    </row>
    <row r="688">
      <c r="B688" s="189" t="e">
        <v>#DIV/0!</v>
      </c>
      <c r="C688" s="189" t="e">
        <v>#DIV/0!</v>
      </c>
    </row>
    <row r="689">
      <c r="B689" s="189" t="e">
        <v>#DIV/0!</v>
      </c>
      <c r="C689" s="189" t="e">
        <v>#DIV/0!</v>
      </c>
    </row>
    <row r="690">
      <c r="B690" s="189" t="e">
        <v>#DIV/0!</v>
      </c>
      <c r="C690" s="189" t="e">
        <v>#DIV/0!</v>
      </c>
    </row>
    <row r="691">
      <c r="B691" s="189" t="e">
        <v>#DIV/0!</v>
      </c>
      <c r="C691" s="189" t="e">
        <v>#DIV/0!</v>
      </c>
    </row>
    <row r="692">
      <c r="B692" s="189" t="e">
        <v>#DIV/0!</v>
      </c>
      <c r="C692" s="189" t="e">
        <v>#DIV/0!</v>
      </c>
    </row>
    <row r="693">
      <c r="B693" s="189" t="e">
        <v>#DIV/0!</v>
      </c>
      <c r="C693" s="189" t="e">
        <v>#DIV/0!</v>
      </c>
    </row>
    <row r="694">
      <c r="B694" s="189" t="e">
        <v>#DIV/0!</v>
      </c>
      <c r="C694" s="189" t="e">
        <v>#DIV/0!</v>
      </c>
    </row>
    <row r="695">
      <c r="B695" s="189" t="e">
        <v>#DIV/0!</v>
      </c>
      <c r="C695" s="189" t="e">
        <v>#DIV/0!</v>
      </c>
    </row>
    <row r="696">
      <c r="B696" s="189" t="e">
        <v>#DIV/0!</v>
      </c>
      <c r="C696" s="189" t="e">
        <v>#DIV/0!</v>
      </c>
    </row>
    <row r="697">
      <c r="B697" s="189" t="e">
        <v>#DIV/0!</v>
      </c>
      <c r="C697" s="189" t="e">
        <v>#DIV/0!</v>
      </c>
    </row>
    <row r="698">
      <c r="B698" s="189" t="e">
        <v>#DIV/0!</v>
      </c>
      <c r="C698" s="189" t="e">
        <v>#DIV/0!</v>
      </c>
    </row>
    <row r="699">
      <c r="B699" s="189" t="e">
        <v>#DIV/0!</v>
      </c>
      <c r="C699" s="189" t="e">
        <v>#DIV/0!</v>
      </c>
    </row>
    <row r="700">
      <c r="B700" s="189" t="e">
        <v>#DIV/0!</v>
      </c>
      <c r="C700" s="189" t="e">
        <v>#DIV/0!</v>
      </c>
    </row>
    <row r="701">
      <c r="B701" s="189" t="e">
        <v>#DIV/0!</v>
      </c>
      <c r="C701" s="189" t="e">
        <v>#DIV/0!</v>
      </c>
    </row>
    <row r="702">
      <c r="B702" s="189" t="e">
        <v>#DIV/0!</v>
      </c>
      <c r="C702" s="189" t="e">
        <v>#DIV/0!</v>
      </c>
    </row>
    <row r="703">
      <c r="B703" s="189" t="e">
        <v>#DIV/0!</v>
      </c>
      <c r="C703" s="189" t="e">
        <v>#DIV/0!</v>
      </c>
    </row>
    <row r="704">
      <c r="B704" s="189" t="e">
        <v>#DIV/0!</v>
      </c>
      <c r="C704" s="189" t="e">
        <v>#DIV/0!</v>
      </c>
    </row>
    <row r="705">
      <c r="B705" s="189" t="e">
        <v>#DIV/0!</v>
      </c>
      <c r="C705" s="189" t="e">
        <v>#DIV/0!</v>
      </c>
    </row>
    <row r="706">
      <c r="B706" s="189" t="e">
        <v>#DIV/0!</v>
      </c>
      <c r="C706" s="189" t="e">
        <v>#DIV/0!</v>
      </c>
    </row>
    <row r="707">
      <c r="B707" s="189" t="e">
        <v>#DIV/0!</v>
      </c>
      <c r="C707" s="189" t="e">
        <v>#DIV/0!</v>
      </c>
    </row>
    <row r="708">
      <c r="B708" s="189" t="e">
        <v>#DIV/0!</v>
      </c>
      <c r="C708" s="189" t="e">
        <v>#DIV/0!</v>
      </c>
    </row>
    <row r="709">
      <c r="B709" s="189" t="e">
        <v>#DIV/0!</v>
      </c>
      <c r="C709" s="189" t="e">
        <v>#DIV/0!</v>
      </c>
    </row>
    <row r="710">
      <c r="B710" s="189" t="e">
        <v>#DIV/0!</v>
      </c>
      <c r="C710" s="189" t="e">
        <v>#DIV/0!</v>
      </c>
    </row>
    <row r="711">
      <c r="B711" s="189" t="e">
        <v>#DIV/0!</v>
      </c>
      <c r="C711" s="189" t="e">
        <v>#DIV/0!</v>
      </c>
    </row>
    <row r="712">
      <c r="B712" s="189" t="e">
        <v>#DIV/0!</v>
      </c>
      <c r="C712" s="189" t="e">
        <v>#DIV/0!</v>
      </c>
    </row>
    <row r="713">
      <c r="B713" s="189" t="e">
        <v>#DIV/0!</v>
      </c>
      <c r="C713" s="189" t="e">
        <v>#DIV/0!</v>
      </c>
    </row>
    <row r="714">
      <c r="B714" s="189" t="e">
        <v>#DIV/0!</v>
      </c>
      <c r="C714" s="189" t="e">
        <v>#DIV/0!</v>
      </c>
    </row>
    <row r="715">
      <c r="B715" s="189" t="e">
        <v>#DIV/0!</v>
      </c>
      <c r="C715" s="189" t="e">
        <v>#DIV/0!</v>
      </c>
    </row>
    <row r="716">
      <c r="B716" s="189" t="e">
        <v>#DIV/0!</v>
      </c>
      <c r="C716" s="189" t="e">
        <v>#DIV/0!</v>
      </c>
    </row>
    <row r="717">
      <c r="B717" s="189" t="e">
        <v>#DIV/0!</v>
      </c>
      <c r="C717" s="189" t="e">
        <v>#DIV/0!</v>
      </c>
    </row>
    <row r="718">
      <c r="B718" s="189" t="e">
        <v>#DIV/0!</v>
      </c>
      <c r="C718" s="189" t="e">
        <v>#DIV/0!</v>
      </c>
    </row>
    <row r="719">
      <c r="B719" s="189" t="e">
        <v>#DIV/0!</v>
      </c>
      <c r="C719" s="189" t="e">
        <v>#DIV/0!</v>
      </c>
    </row>
    <row r="720">
      <c r="B720" s="189" t="e">
        <v>#DIV/0!</v>
      </c>
      <c r="C720" s="189" t="e">
        <v>#DIV/0!</v>
      </c>
    </row>
    <row r="721">
      <c r="B721" s="189" t="e">
        <v>#DIV/0!</v>
      </c>
      <c r="C721" s="189" t="e">
        <v>#DIV/0!</v>
      </c>
    </row>
    <row r="722">
      <c r="B722" s="189" t="e">
        <v>#DIV/0!</v>
      </c>
      <c r="C722" s="189" t="e">
        <v>#DIV/0!</v>
      </c>
    </row>
    <row r="723">
      <c r="B723" s="189" t="e">
        <v>#DIV/0!</v>
      </c>
      <c r="C723" s="189" t="e">
        <v>#DIV/0!</v>
      </c>
    </row>
    <row r="724">
      <c r="B724" s="189" t="e">
        <v>#DIV/0!</v>
      </c>
      <c r="C724" s="189" t="e">
        <v>#DIV/0!</v>
      </c>
    </row>
    <row r="725">
      <c r="B725" s="189" t="e">
        <v>#DIV/0!</v>
      </c>
      <c r="C725" s="189" t="e">
        <v>#DIV/0!</v>
      </c>
    </row>
    <row r="726">
      <c r="B726" s="189" t="e">
        <v>#DIV/0!</v>
      </c>
      <c r="C726" s="189" t="e">
        <v>#DIV/0!</v>
      </c>
    </row>
    <row r="727">
      <c r="B727" s="189" t="e">
        <v>#DIV/0!</v>
      </c>
      <c r="C727" s="189" t="e">
        <v>#DIV/0!</v>
      </c>
    </row>
    <row r="728">
      <c r="B728" s="189" t="e">
        <v>#DIV/0!</v>
      </c>
      <c r="C728" s="189" t="e">
        <v>#DIV/0!</v>
      </c>
    </row>
    <row r="729">
      <c r="B729" s="189" t="e">
        <v>#DIV/0!</v>
      </c>
      <c r="C729" s="189" t="e">
        <v>#DIV/0!</v>
      </c>
    </row>
    <row r="730">
      <c r="B730" s="189" t="e">
        <v>#DIV/0!</v>
      </c>
      <c r="C730" s="189" t="e">
        <v>#DIV/0!</v>
      </c>
    </row>
    <row r="731">
      <c r="B731" s="189" t="e">
        <v>#DIV/0!</v>
      </c>
      <c r="C731" s="189" t="e">
        <v>#DIV/0!</v>
      </c>
    </row>
    <row r="732">
      <c r="B732" s="189" t="e">
        <v>#DIV/0!</v>
      </c>
      <c r="C732" s="189" t="e">
        <v>#DIV/0!</v>
      </c>
    </row>
    <row r="733">
      <c r="B733" s="189" t="e">
        <v>#DIV/0!</v>
      </c>
      <c r="C733" s="189" t="e">
        <v>#DIV/0!</v>
      </c>
    </row>
    <row r="734">
      <c r="B734" s="189" t="e">
        <v>#DIV/0!</v>
      </c>
      <c r="C734" s="189" t="e">
        <v>#DIV/0!</v>
      </c>
    </row>
    <row r="735">
      <c r="B735" s="189" t="e">
        <v>#DIV/0!</v>
      </c>
      <c r="C735" s="189" t="e">
        <v>#DIV/0!</v>
      </c>
    </row>
    <row r="736">
      <c r="B736" s="189" t="e">
        <v>#DIV/0!</v>
      </c>
      <c r="C736" s="189" t="e">
        <v>#DIV/0!</v>
      </c>
    </row>
    <row r="737">
      <c r="B737" s="189" t="e">
        <v>#DIV/0!</v>
      </c>
      <c r="C737" s="189" t="e">
        <v>#DIV/0!</v>
      </c>
    </row>
    <row r="738">
      <c r="B738" s="189" t="e">
        <v>#DIV/0!</v>
      </c>
      <c r="C738" s="189" t="e">
        <v>#DIV/0!</v>
      </c>
    </row>
    <row r="739">
      <c r="B739" s="189" t="e">
        <v>#DIV/0!</v>
      </c>
      <c r="C739" s="189" t="e">
        <v>#DIV/0!</v>
      </c>
    </row>
    <row r="740">
      <c r="B740" s="189" t="e">
        <v>#DIV/0!</v>
      </c>
      <c r="C740" s="189" t="e">
        <v>#DIV/0!</v>
      </c>
    </row>
    <row r="741">
      <c r="B741" s="189" t="e">
        <v>#DIV/0!</v>
      </c>
      <c r="C741" s="189" t="e">
        <v>#DIV/0!</v>
      </c>
    </row>
    <row r="742">
      <c r="B742" s="189" t="e">
        <v>#DIV/0!</v>
      </c>
      <c r="C742" s="189" t="e">
        <v>#DIV/0!</v>
      </c>
    </row>
    <row r="743">
      <c r="B743" s="189" t="e">
        <v>#DIV/0!</v>
      </c>
      <c r="C743" s="189" t="e">
        <v>#DIV/0!</v>
      </c>
    </row>
    <row r="744">
      <c r="B744" s="189" t="e">
        <v>#DIV/0!</v>
      </c>
      <c r="C744" s="189" t="e">
        <v>#DIV/0!</v>
      </c>
    </row>
    <row r="745">
      <c r="B745" s="189" t="e">
        <v>#DIV/0!</v>
      </c>
      <c r="C745" s="189" t="e">
        <v>#DIV/0!</v>
      </c>
    </row>
    <row r="746">
      <c r="B746" s="189" t="e">
        <v>#DIV/0!</v>
      </c>
      <c r="C746" s="189" t="e">
        <v>#DIV/0!</v>
      </c>
    </row>
    <row r="747">
      <c r="B747" s="189" t="e">
        <v>#DIV/0!</v>
      </c>
      <c r="C747" s="189" t="e">
        <v>#DIV/0!</v>
      </c>
    </row>
    <row r="748">
      <c r="B748" s="189" t="e">
        <v>#DIV/0!</v>
      </c>
      <c r="C748" s="189" t="e">
        <v>#DIV/0!</v>
      </c>
    </row>
    <row r="749">
      <c r="B749" s="189" t="e">
        <v>#DIV/0!</v>
      </c>
      <c r="C749" s="189" t="e">
        <v>#DIV/0!</v>
      </c>
    </row>
    <row r="750">
      <c r="B750" s="189" t="e">
        <v>#DIV/0!</v>
      </c>
      <c r="C750" s="189" t="e">
        <v>#DIV/0!</v>
      </c>
    </row>
    <row r="751">
      <c r="B751" s="189" t="e">
        <v>#DIV/0!</v>
      </c>
      <c r="C751" s="189" t="e">
        <v>#DIV/0!</v>
      </c>
    </row>
    <row r="752">
      <c r="B752" s="189" t="e">
        <v>#DIV/0!</v>
      </c>
      <c r="C752" s="189" t="e">
        <v>#DIV/0!</v>
      </c>
    </row>
    <row r="753">
      <c r="B753" s="189" t="e">
        <v>#DIV/0!</v>
      </c>
      <c r="C753" s="189" t="e">
        <v>#DIV/0!</v>
      </c>
    </row>
    <row r="754">
      <c r="B754" s="189" t="e">
        <v>#DIV/0!</v>
      </c>
      <c r="C754" s="189" t="e">
        <v>#DIV/0!</v>
      </c>
    </row>
    <row r="755">
      <c r="B755" s="189" t="e">
        <v>#DIV/0!</v>
      </c>
      <c r="C755" s="189" t="e">
        <v>#DIV/0!</v>
      </c>
    </row>
    <row r="756">
      <c r="B756" s="189" t="e">
        <v>#DIV/0!</v>
      </c>
      <c r="C756" s="189" t="e">
        <v>#DIV/0!</v>
      </c>
    </row>
    <row r="757">
      <c r="B757" s="189" t="e">
        <v>#DIV/0!</v>
      </c>
      <c r="C757" s="189" t="e">
        <v>#DIV/0!</v>
      </c>
    </row>
    <row r="758">
      <c r="B758" s="189" t="e">
        <v>#DIV/0!</v>
      </c>
      <c r="C758" s="189" t="e">
        <v>#DIV/0!</v>
      </c>
    </row>
    <row r="759">
      <c r="B759" s="189" t="e">
        <v>#DIV/0!</v>
      </c>
      <c r="C759" s="189" t="e">
        <v>#DIV/0!</v>
      </c>
    </row>
    <row r="760">
      <c r="B760" s="189" t="e">
        <v>#DIV/0!</v>
      </c>
      <c r="C760" s="189" t="e">
        <v>#DIV/0!</v>
      </c>
    </row>
    <row r="761">
      <c r="B761" s="189" t="e">
        <v>#DIV/0!</v>
      </c>
      <c r="C761" s="189" t="e">
        <v>#DIV/0!</v>
      </c>
    </row>
    <row r="762">
      <c r="B762" s="189" t="e">
        <v>#DIV/0!</v>
      </c>
      <c r="C762" s="189" t="e">
        <v>#DIV/0!</v>
      </c>
    </row>
    <row r="763">
      <c r="B763" s="189" t="e">
        <v>#DIV/0!</v>
      </c>
      <c r="C763" s="189" t="e">
        <v>#DIV/0!</v>
      </c>
    </row>
    <row r="764">
      <c r="B764" s="189" t="e">
        <v>#DIV/0!</v>
      </c>
      <c r="C764" s="189" t="e">
        <v>#DIV/0!</v>
      </c>
    </row>
    <row r="765">
      <c r="B765" s="189" t="e">
        <v>#DIV/0!</v>
      </c>
      <c r="C765" s="189" t="e">
        <v>#DIV/0!</v>
      </c>
    </row>
    <row r="766">
      <c r="B766" s="189" t="e">
        <v>#DIV/0!</v>
      </c>
      <c r="C766" s="189" t="e">
        <v>#DIV/0!</v>
      </c>
    </row>
    <row r="767">
      <c r="B767" s="189" t="e">
        <v>#DIV/0!</v>
      </c>
      <c r="C767" s="189" t="e">
        <v>#DIV/0!</v>
      </c>
    </row>
    <row r="768">
      <c r="B768" s="189" t="e">
        <v>#DIV/0!</v>
      </c>
      <c r="C768" s="189" t="e">
        <v>#DIV/0!</v>
      </c>
    </row>
    <row r="769">
      <c r="B769" s="189" t="e">
        <v>#DIV/0!</v>
      </c>
      <c r="C769" s="189" t="e">
        <v>#DIV/0!</v>
      </c>
    </row>
    <row r="770">
      <c r="B770" s="189" t="e">
        <v>#DIV/0!</v>
      </c>
      <c r="C770" s="189" t="e">
        <v>#DIV/0!</v>
      </c>
    </row>
    <row r="771">
      <c r="B771" s="189" t="e">
        <v>#DIV/0!</v>
      </c>
      <c r="C771" s="189" t="e">
        <v>#DIV/0!</v>
      </c>
    </row>
    <row r="772">
      <c r="B772" s="189" t="e">
        <v>#DIV/0!</v>
      </c>
      <c r="C772" s="189" t="e">
        <v>#DIV/0!</v>
      </c>
    </row>
    <row r="773">
      <c r="B773" s="189" t="e">
        <v>#DIV/0!</v>
      </c>
      <c r="C773" s="189" t="e">
        <v>#DIV/0!</v>
      </c>
    </row>
    <row r="774">
      <c r="B774" s="189" t="e">
        <v>#DIV/0!</v>
      </c>
      <c r="C774" s="189" t="e">
        <v>#DIV/0!</v>
      </c>
    </row>
    <row r="775">
      <c r="B775" s="189" t="e">
        <v>#DIV/0!</v>
      </c>
      <c r="C775" s="189" t="e">
        <v>#DIV/0!</v>
      </c>
    </row>
    <row r="776">
      <c r="B776" s="189" t="e">
        <v>#DIV/0!</v>
      </c>
      <c r="C776" s="189" t="e">
        <v>#DIV/0!</v>
      </c>
    </row>
    <row r="777">
      <c r="B777" s="189" t="e">
        <v>#DIV/0!</v>
      </c>
      <c r="C777" s="189" t="e">
        <v>#DIV/0!</v>
      </c>
    </row>
    <row r="778">
      <c r="B778" s="189" t="e">
        <v>#DIV/0!</v>
      </c>
      <c r="C778" s="189" t="e">
        <v>#DIV/0!</v>
      </c>
    </row>
    <row r="779">
      <c r="B779" s="189" t="e">
        <v>#DIV/0!</v>
      </c>
      <c r="C779" s="189" t="e">
        <v>#DIV/0!</v>
      </c>
    </row>
    <row r="780">
      <c r="B780" s="189" t="e">
        <v>#DIV/0!</v>
      </c>
      <c r="C780" s="189" t="e">
        <v>#DIV/0!</v>
      </c>
    </row>
    <row r="781">
      <c r="B781" s="189" t="e">
        <v>#DIV/0!</v>
      </c>
      <c r="C781" s="189" t="e">
        <v>#DIV/0!</v>
      </c>
    </row>
    <row r="782">
      <c r="B782" s="189" t="e">
        <v>#DIV/0!</v>
      </c>
      <c r="C782" s="189" t="e">
        <v>#DIV/0!</v>
      </c>
    </row>
    <row r="783">
      <c r="B783" s="189" t="e">
        <v>#DIV/0!</v>
      </c>
      <c r="C783" s="189" t="e">
        <v>#DIV/0!</v>
      </c>
    </row>
    <row r="784">
      <c r="B784" s="189" t="e">
        <v>#DIV/0!</v>
      </c>
      <c r="C784" s="189" t="e">
        <v>#DIV/0!</v>
      </c>
    </row>
    <row r="785">
      <c r="B785" s="189" t="e">
        <v>#DIV/0!</v>
      </c>
      <c r="C785" s="189" t="e">
        <v>#DIV/0!</v>
      </c>
    </row>
    <row r="786">
      <c r="B786" s="189" t="e">
        <v>#DIV/0!</v>
      </c>
      <c r="C786" s="189" t="e">
        <v>#DIV/0!</v>
      </c>
    </row>
    <row r="787">
      <c r="B787" s="189" t="e">
        <v>#DIV/0!</v>
      </c>
      <c r="C787" s="189" t="e">
        <v>#DIV/0!</v>
      </c>
    </row>
    <row r="788">
      <c r="B788" s="189" t="e">
        <v>#DIV/0!</v>
      </c>
      <c r="C788" s="189" t="e">
        <v>#DIV/0!</v>
      </c>
    </row>
    <row r="789">
      <c r="B789" s="189" t="e">
        <v>#DIV/0!</v>
      </c>
      <c r="C789" s="189" t="e">
        <v>#DIV/0!</v>
      </c>
    </row>
    <row r="790">
      <c r="B790" s="189" t="e">
        <v>#DIV/0!</v>
      </c>
      <c r="C790" s="189" t="e">
        <v>#DIV/0!</v>
      </c>
    </row>
    <row r="791">
      <c r="B791" s="189" t="e">
        <v>#DIV/0!</v>
      </c>
      <c r="C791" s="189" t="e">
        <v>#DIV/0!</v>
      </c>
    </row>
    <row r="792">
      <c r="B792" s="189" t="e">
        <v>#DIV/0!</v>
      </c>
      <c r="C792" s="189" t="e">
        <v>#DIV/0!</v>
      </c>
    </row>
    <row r="793">
      <c r="B793" s="189" t="e">
        <v>#DIV/0!</v>
      </c>
      <c r="C793" s="189" t="e">
        <v>#DIV/0!</v>
      </c>
    </row>
    <row r="794">
      <c r="B794" s="189" t="e">
        <v>#DIV/0!</v>
      </c>
      <c r="C794" s="189" t="e">
        <v>#DIV/0!</v>
      </c>
    </row>
    <row r="795">
      <c r="B795" s="189" t="e">
        <v>#DIV/0!</v>
      </c>
      <c r="C795" s="189" t="e">
        <v>#DIV/0!</v>
      </c>
    </row>
    <row r="796">
      <c r="B796" s="189" t="e">
        <v>#DIV/0!</v>
      </c>
      <c r="C796" s="189" t="e">
        <v>#DIV/0!</v>
      </c>
    </row>
    <row r="797">
      <c r="B797" s="189" t="e">
        <v>#DIV/0!</v>
      </c>
      <c r="C797" s="189" t="e">
        <v>#DIV/0!</v>
      </c>
    </row>
    <row r="798">
      <c r="B798" s="189" t="e">
        <v>#DIV/0!</v>
      </c>
      <c r="C798" s="189" t="e">
        <v>#DIV/0!</v>
      </c>
    </row>
    <row r="799">
      <c r="B799" s="189" t="e">
        <v>#DIV/0!</v>
      </c>
      <c r="C799" s="189" t="e">
        <v>#DIV/0!</v>
      </c>
    </row>
    <row r="800">
      <c r="B800" s="189" t="e">
        <v>#DIV/0!</v>
      </c>
      <c r="C800" s="189" t="e">
        <v>#DIV/0!</v>
      </c>
    </row>
    <row r="801">
      <c r="B801" s="189" t="e">
        <v>#DIV/0!</v>
      </c>
      <c r="C801" s="189" t="e">
        <v>#DIV/0!</v>
      </c>
    </row>
    <row r="802">
      <c r="B802" s="189" t="e">
        <v>#DIV/0!</v>
      </c>
      <c r="C802" s="189" t="e">
        <v>#DIV/0!</v>
      </c>
    </row>
    <row r="803">
      <c r="B803" s="189" t="e">
        <v>#DIV/0!</v>
      </c>
      <c r="C803" s="189" t="e">
        <v>#DIV/0!</v>
      </c>
    </row>
    <row r="804">
      <c r="B804" s="189" t="e">
        <v>#DIV/0!</v>
      </c>
      <c r="C804" s="189" t="e">
        <v>#DIV/0!</v>
      </c>
    </row>
    <row r="805">
      <c r="B805" s="189" t="e">
        <v>#DIV/0!</v>
      </c>
      <c r="C805" s="189" t="e">
        <v>#DIV/0!</v>
      </c>
    </row>
    <row r="806">
      <c r="B806" s="189" t="e">
        <v>#DIV/0!</v>
      </c>
      <c r="C806" s="189" t="e">
        <v>#DIV/0!</v>
      </c>
    </row>
    <row r="807">
      <c r="B807" s="189" t="e">
        <v>#DIV/0!</v>
      </c>
      <c r="C807" s="189" t="e">
        <v>#DIV/0!</v>
      </c>
    </row>
    <row r="808">
      <c r="B808" s="189" t="e">
        <v>#DIV/0!</v>
      </c>
      <c r="C808" s="189" t="e">
        <v>#DIV/0!</v>
      </c>
    </row>
    <row r="809">
      <c r="B809" s="189" t="e">
        <v>#DIV/0!</v>
      </c>
      <c r="C809" s="189" t="e">
        <v>#DIV/0!</v>
      </c>
    </row>
    <row r="810">
      <c r="B810" s="189" t="e">
        <v>#DIV/0!</v>
      </c>
      <c r="C810" s="189" t="e">
        <v>#DIV/0!</v>
      </c>
    </row>
    <row r="811">
      <c r="B811" s="189" t="e">
        <v>#DIV/0!</v>
      </c>
      <c r="C811" s="189" t="e">
        <v>#DIV/0!</v>
      </c>
    </row>
    <row r="812">
      <c r="B812" s="189" t="e">
        <v>#DIV/0!</v>
      </c>
      <c r="C812" s="189" t="e">
        <v>#DIV/0!</v>
      </c>
    </row>
    <row r="813">
      <c r="B813" s="189" t="e">
        <v>#DIV/0!</v>
      </c>
      <c r="C813" s="189" t="e">
        <v>#DIV/0!</v>
      </c>
    </row>
    <row r="814">
      <c r="B814" s="189" t="e">
        <v>#DIV/0!</v>
      </c>
      <c r="C814" s="189" t="e">
        <v>#DIV/0!</v>
      </c>
    </row>
    <row r="815">
      <c r="B815" s="189" t="e">
        <v>#DIV/0!</v>
      </c>
      <c r="C815" s="189" t="e">
        <v>#DIV/0!</v>
      </c>
    </row>
    <row r="816">
      <c r="B816" s="189" t="e">
        <v>#DIV/0!</v>
      </c>
      <c r="C816" s="189" t="e">
        <v>#DIV/0!</v>
      </c>
    </row>
    <row r="817">
      <c r="B817" s="189" t="e">
        <v>#DIV/0!</v>
      </c>
      <c r="C817" s="189" t="e">
        <v>#DIV/0!</v>
      </c>
    </row>
    <row r="818">
      <c r="B818" s="189" t="e">
        <v>#DIV/0!</v>
      </c>
      <c r="C818" s="189" t="e">
        <v>#DIV/0!</v>
      </c>
    </row>
    <row r="819">
      <c r="B819" s="189" t="e">
        <v>#DIV/0!</v>
      </c>
      <c r="C819" s="189" t="e">
        <v>#DIV/0!</v>
      </c>
    </row>
    <row r="820">
      <c r="B820" s="189" t="e">
        <v>#DIV/0!</v>
      </c>
      <c r="C820" s="189" t="e">
        <v>#DIV/0!</v>
      </c>
    </row>
    <row r="821">
      <c r="B821" s="189" t="e">
        <v>#DIV/0!</v>
      </c>
      <c r="C821" s="189" t="e">
        <v>#DIV/0!</v>
      </c>
    </row>
    <row r="822">
      <c r="B822" s="189" t="e">
        <v>#DIV/0!</v>
      </c>
      <c r="C822" s="189" t="e">
        <v>#DIV/0!</v>
      </c>
    </row>
    <row r="823">
      <c r="B823" s="189" t="e">
        <v>#DIV/0!</v>
      </c>
      <c r="C823" s="189" t="e">
        <v>#DIV/0!</v>
      </c>
    </row>
    <row r="824">
      <c r="B824" s="189" t="e">
        <v>#DIV/0!</v>
      </c>
      <c r="C824" s="189" t="e">
        <v>#DIV/0!</v>
      </c>
    </row>
    <row r="825">
      <c r="B825" s="189" t="e">
        <v>#DIV/0!</v>
      </c>
      <c r="C825" s="189" t="e">
        <v>#DIV/0!</v>
      </c>
    </row>
    <row r="826">
      <c r="B826" s="189" t="e">
        <v>#DIV/0!</v>
      </c>
      <c r="C826" s="189" t="e">
        <v>#DIV/0!</v>
      </c>
    </row>
    <row r="827">
      <c r="B827" s="189" t="e">
        <v>#DIV/0!</v>
      </c>
      <c r="C827" s="189" t="e">
        <v>#DIV/0!</v>
      </c>
    </row>
    <row r="828">
      <c r="B828" s="189" t="e">
        <v>#DIV/0!</v>
      </c>
      <c r="C828" s="189" t="e">
        <v>#DIV/0!</v>
      </c>
    </row>
    <row r="829">
      <c r="B829" s="189" t="e">
        <v>#DIV/0!</v>
      </c>
      <c r="C829" s="189" t="e">
        <v>#DIV/0!</v>
      </c>
    </row>
    <row r="830">
      <c r="B830" s="189" t="e">
        <v>#DIV/0!</v>
      </c>
      <c r="C830" s="189" t="e">
        <v>#DIV/0!</v>
      </c>
    </row>
    <row r="831">
      <c r="B831" s="189" t="e">
        <v>#DIV/0!</v>
      </c>
      <c r="C831" s="189" t="e">
        <v>#DIV/0!</v>
      </c>
    </row>
    <row r="832">
      <c r="B832" s="189" t="e">
        <v>#DIV/0!</v>
      </c>
      <c r="C832" s="189" t="e">
        <v>#DIV/0!</v>
      </c>
    </row>
    <row r="833">
      <c r="B833" s="189" t="e">
        <v>#DIV/0!</v>
      </c>
      <c r="C833" s="189" t="e">
        <v>#DIV/0!</v>
      </c>
    </row>
    <row r="834">
      <c r="B834" s="189" t="e">
        <v>#DIV/0!</v>
      </c>
      <c r="C834" s="189" t="e">
        <v>#DIV/0!</v>
      </c>
    </row>
    <row r="835">
      <c r="B835" s="189" t="e">
        <v>#DIV/0!</v>
      </c>
      <c r="C835" s="189" t="e">
        <v>#DIV/0!</v>
      </c>
    </row>
    <row r="836">
      <c r="B836" s="189" t="e">
        <v>#DIV/0!</v>
      </c>
      <c r="C836" s="189" t="e">
        <v>#DIV/0!</v>
      </c>
    </row>
    <row r="837">
      <c r="B837" s="189" t="e">
        <v>#DIV/0!</v>
      </c>
      <c r="C837" s="189" t="e">
        <v>#DIV/0!</v>
      </c>
    </row>
    <row r="838">
      <c r="B838" s="189" t="e">
        <v>#DIV/0!</v>
      </c>
      <c r="C838" s="189" t="e">
        <v>#DIV/0!</v>
      </c>
    </row>
    <row r="839">
      <c r="B839" s="189" t="e">
        <v>#DIV/0!</v>
      </c>
      <c r="C839" s="189" t="e">
        <v>#DIV/0!</v>
      </c>
    </row>
    <row r="840">
      <c r="B840" s="189" t="e">
        <v>#DIV/0!</v>
      </c>
      <c r="C840" s="189" t="e">
        <v>#DIV/0!</v>
      </c>
    </row>
    <row r="841">
      <c r="B841" s="189" t="e">
        <v>#DIV/0!</v>
      </c>
      <c r="C841" s="189" t="e">
        <v>#DIV/0!</v>
      </c>
    </row>
    <row r="842">
      <c r="B842" s="189" t="e">
        <v>#DIV/0!</v>
      </c>
      <c r="C842" s="189" t="e">
        <v>#DIV/0!</v>
      </c>
    </row>
    <row r="843">
      <c r="B843" s="189" t="e">
        <v>#DIV/0!</v>
      </c>
      <c r="C843" s="189" t="e">
        <v>#DIV/0!</v>
      </c>
    </row>
    <row r="844">
      <c r="B844" s="189" t="e">
        <v>#DIV/0!</v>
      </c>
      <c r="C844" s="189" t="e">
        <v>#DIV/0!</v>
      </c>
    </row>
    <row r="845">
      <c r="B845" s="189" t="e">
        <v>#DIV/0!</v>
      </c>
      <c r="C845" s="189" t="e">
        <v>#DIV/0!</v>
      </c>
    </row>
    <row r="846">
      <c r="B846" s="189" t="e">
        <v>#DIV/0!</v>
      </c>
      <c r="C846" s="189" t="e">
        <v>#DIV/0!</v>
      </c>
    </row>
    <row r="847">
      <c r="B847" s="189" t="e">
        <v>#DIV/0!</v>
      </c>
      <c r="C847" s="189" t="e">
        <v>#DIV/0!</v>
      </c>
    </row>
    <row r="848">
      <c r="B848" s="189" t="e">
        <v>#DIV/0!</v>
      </c>
      <c r="C848" s="189" t="e">
        <v>#DIV/0!</v>
      </c>
    </row>
    <row r="849">
      <c r="B849" s="189" t="e">
        <v>#DIV/0!</v>
      </c>
      <c r="C849" s="189" t="e">
        <v>#DIV/0!</v>
      </c>
    </row>
    <row r="850">
      <c r="B850" s="189" t="e">
        <v>#DIV/0!</v>
      </c>
      <c r="C850" s="189" t="e">
        <v>#DIV/0!</v>
      </c>
    </row>
    <row r="851">
      <c r="B851" s="189" t="e">
        <v>#DIV/0!</v>
      </c>
      <c r="C851" s="189" t="e">
        <v>#DIV/0!</v>
      </c>
    </row>
    <row r="852">
      <c r="B852" s="189" t="e">
        <v>#DIV/0!</v>
      </c>
      <c r="C852" s="189" t="e">
        <v>#DIV/0!</v>
      </c>
    </row>
    <row r="853">
      <c r="B853" s="189" t="e">
        <v>#DIV/0!</v>
      </c>
      <c r="C853" s="189" t="e">
        <v>#DIV/0!</v>
      </c>
    </row>
    <row r="854">
      <c r="B854" s="189" t="e">
        <v>#DIV/0!</v>
      </c>
      <c r="C854" s="189" t="e">
        <v>#DIV/0!</v>
      </c>
    </row>
    <row r="855">
      <c r="B855" s="189" t="e">
        <v>#DIV/0!</v>
      </c>
      <c r="C855" s="189" t="e">
        <v>#DIV/0!</v>
      </c>
    </row>
    <row r="856">
      <c r="B856" s="189" t="e">
        <v>#DIV/0!</v>
      </c>
      <c r="C856" s="189" t="e">
        <v>#DIV/0!</v>
      </c>
    </row>
    <row r="857">
      <c r="B857" s="189" t="e">
        <v>#DIV/0!</v>
      </c>
      <c r="C857" s="189" t="e">
        <v>#DIV/0!</v>
      </c>
    </row>
    <row r="858">
      <c r="B858" s="189" t="e">
        <v>#DIV/0!</v>
      </c>
      <c r="C858" s="189" t="e">
        <v>#DIV/0!</v>
      </c>
    </row>
    <row r="859">
      <c r="B859" s="189" t="e">
        <v>#DIV/0!</v>
      </c>
      <c r="C859" s="189" t="e">
        <v>#DIV/0!</v>
      </c>
    </row>
    <row r="860">
      <c r="B860" s="189" t="e">
        <v>#DIV/0!</v>
      </c>
      <c r="C860" s="189" t="e">
        <v>#DIV/0!</v>
      </c>
    </row>
    <row r="861">
      <c r="B861" s="189" t="e">
        <v>#DIV/0!</v>
      </c>
      <c r="C861" s="189" t="e">
        <v>#DIV/0!</v>
      </c>
    </row>
    <row r="862">
      <c r="B862" s="189" t="e">
        <v>#DIV/0!</v>
      </c>
      <c r="C862" s="189" t="e">
        <v>#DIV/0!</v>
      </c>
    </row>
    <row r="863">
      <c r="B863" s="189" t="e">
        <v>#DIV/0!</v>
      </c>
      <c r="C863" s="189" t="e">
        <v>#DIV/0!</v>
      </c>
    </row>
    <row r="864">
      <c r="B864" s="189" t="e">
        <v>#DIV/0!</v>
      </c>
      <c r="C864" s="189" t="e">
        <v>#DIV/0!</v>
      </c>
    </row>
    <row r="865">
      <c r="B865" s="189" t="e">
        <v>#DIV/0!</v>
      </c>
      <c r="C865" s="189" t="e">
        <v>#DIV/0!</v>
      </c>
    </row>
    <row r="866">
      <c r="B866" s="189" t="e">
        <v>#DIV/0!</v>
      </c>
      <c r="C866" s="189" t="e">
        <v>#DIV/0!</v>
      </c>
    </row>
    <row r="867">
      <c r="B867" s="189" t="e">
        <v>#DIV/0!</v>
      </c>
      <c r="C867" s="189" t="e">
        <v>#DIV/0!</v>
      </c>
    </row>
    <row r="868">
      <c r="B868" s="189" t="e">
        <v>#DIV/0!</v>
      </c>
      <c r="C868" s="189" t="e">
        <v>#DIV/0!</v>
      </c>
    </row>
    <row r="869">
      <c r="B869" s="189" t="e">
        <v>#DIV/0!</v>
      </c>
      <c r="C869" s="189" t="e">
        <v>#DIV/0!</v>
      </c>
    </row>
    <row r="870">
      <c r="B870" s="189" t="e">
        <v>#DIV/0!</v>
      </c>
      <c r="C870" s="189" t="e">
        <v>#DIV/0!</v>
      </c>
    </row>
    <row r="871">
      <c r="B871" s="189" t="e">
        <v>#DIV/0!</v>
      </c>
      <c r="C871" s="189" t="e">
        <v>#DIV/0!</v>
      </c>
    </row>
    <row r="872">
      <c r="B872" s="189" t="e">
        <v>#DIV/0!</v>
      </c>
      <c r="C872" s="189" t="e">
        <v>#DIV/0!</v>
      </c>
    </row>
    <row r="873">
      <c r="B873" s="189" t="e">
        <v>#DIV/0!</v>
      </c>
      <c r="C873" s="189" t="e">
        <v>#DIV/0!</v>
      </c>
    </row>
    <row r="874">
      <c r="B874" s="189" t="e">
        <v>#DIV/0!</v>
      </c>
      <c r="C874" s="189" t="e">
        <v>#DIV/0!</v>
      </c>
    </row>
    <row r="875">
      <c r="B875" s="189" t="e">
        <v>#DIV/0!</v>
      </c>
      <c r="C875" s="189" t="e">
        <v>#DIV/0!</v>
      </c>
    </row>
    <row r="876">
      <c r="B876" s="189" t="e">
        <v>#DIV/0!</v>
      </c>
      <c r="C876" s="189" t="e">
        <v>#DIV/0!</v>
      </c>
    </row>
    <row r="877">
      <c r="B877" s="189" t="e">
        <v>#DIV/0!</v>
      </c>
      <c r="C877" s="189" t="e">
        <v>#DIV/0!</v>
      </c>
    </row>
    <row r="878">
      <c r="B878" s="189" t="e">
        <v>#DIV/0!</v>
      </c>
      <c r="C878" s="189" t="e">
        <v>#DIV/0!</v>
      </c>
    </row>
    <row r="879">
      <c r="B879" s="189" t="e">
        <v>#DIV/0!</v>
      </c>
      <c r="C879" s="189" t="e">
        <v>#DIV/0!</v>
      </c>
    </row>
    <row r="880">
      <c r="B880" s="189" t="e">
        <v>#DIV/0!</v>
      </c>
      <c r="C880" s="189" t="e">
        <v>#DIV/0!</v>
      </c>
    </row>
    <row r="881">
      <c r="B881" s="189" t="e">
        <v>#DIV/0!</v>
      </c>
      <c r="C881" s="189" t="e">
        <v>#DIV/0!</v>
      </c>
    </row>
    <row r="882">
      <c r="B882" s="189" t="e">
        <v>#DIV/0!</v>
      </c>
      <c r="C882" s="189" t="e">
        <v>#DIV/0!</v>
      </c>
    </row>
    <row r="883">
      <c r="B883" s="189" t="e">
        <v>#DIV/0!</v>
      </c>
      <c r="C883" s="189" t="e">
        <v>#DIV/0!</v>
      </c>
    </row>
    <row r="884">
      <c r="B884" s="189" t="e">
        <v>#DIV/0!</v>
      </c>
      <c r="C884" s="189" t="e">
        <v>#DIV/0!</v>
      </c>
    </row>
    <row r="885">
      <c r="B885" s="189" t="e">
        <v>#DIV/0!</v>
      </c>
      <c r="C885" s="189" t="e">
        <v>#DIV/0!</v>
      </c>
    </row>
    <row r="886">
      <c r="B886" s="189" t="e">
        <v>#DIV/0!</v>
      </c>
      <c r="C886" s="189" t="e">
        <v>#DIV/0!</v>
      </c>
    </row>
    <row r="887">
      <c r="B887" s="189" t="e">
        <v>#DIV/0!</v>
      </c>
      <c r="C887" s="189" t="e">
        <v>#DIV/0!</v>
      </c>
    </row>
    <row r="888">
      <c r="B888" s="189" t="e">
        <v>#DIV/0!</v>
      </c>
      <c r="C888" s="189" t="e">
        <v>#DIV/0!</v>
      </c>
    </row>
    <row r="889">
      <c r="B889" s="189" t="e">
        <v>#DIV/0!</v>
      </c>
      <c r="C889" s="189" t="e">
        <v>#DIV/0!</v>
      </c>
    </row>
    <row r="890">
      <c r="B890" s="189" t="e">
        <v>#DIV/0!</v>
      </c>
      <c r="C890" s="189" t="e">
        <v>#DIV/0!</v>
      </c>
    </row>
    <row r="891">
      <c r="B891" s="189" t="e">
        <v>#DIV/0!</v>
      </c>
      <c r="C891" s="189" t="e">
        <v>#DIV/0!</v>
      </c>
    </row>
    <row r="892">
      <c r="B892" s="189" t="e">
        <v>#DIV/0!</v>
      </c>
      <c r="C892" s="189" t="e">
        <v>#DIV/0!</v>
      </c>
    </row>
    <row r="893">
      <c r="B893" s="189" t="e">
        <v>#DIV/0!</v>
      </c>
      <c r="C893" s="189" t="e">
        <v>#DIV/0!</v>
      </c>
    </row>
    <row r="894">
      <c r="B894" s="189" t="e">
        <v>#DIV/0!</v>
      </c>
      <c r="C894" s="189" t="e">
        <v>#DIV/0!</v>
      </c>
    </row>
    <row r="895">
      <c r="B895" s="189" t="e">
        <v>#DIV/0!</v>
      </c>
      <c r="C895" s="189" t="e">
        <v>#DIV/0!</v>
      </c>
    </row>
    <row r="896">
      <c r="B896" s="189" t="e">
        <v>#DIV/0!</v>
      </c>
      <c r="C896" s="189" t="e">
        <v>#DIV/0!</v>
      </c>
    </row>
    <row r="897">
      <c r="B897" s="189" t="e">
        <v>#DIV/0!</v>
      </c>
      <c r="C897" s="189" t="e">
        <v>#DIV/0!</v>
      </c>
    </row>
    <row r="898">
      <c r="B898" s="189" t="e">
        <v>#DIV/0!</v>
      </c>
      <c r="C898" s="189" t="e">
        <v>#DIV/0!</v>
      </c>
    </row>
    <row r="899">
      <c r="B899" s="189" t="e">
        <v>#DIV/0!</v>
      </c>
      <c r="C899" s="189" t="e">
        <v>#DIV/0!</v>
      </c>
    </row>
    <row r="900">
      <c r="B900" s="189" t="e">
        <v>#DIV/0!</v>
      </c>
      <c r="C900" s="189" t="e">
        <v>#DIV/0!</v>
      </c>
    </row>
    <row r="901">
      <c r="B901" s="189" t="e">
        <v>#DIV/0!</v>
      </c>
      <c r="C901" s="189" t="e">
        <v>#DIV/0!</v>
      </c>
    </row>
    <row r="902">
      <c r="B902" s="189" t="e">
        <v>#DIV/0!</v>
      </c>
      <c r="C902" s="189" t="e">
        <v>#DIV/0!</v>
      </c>
    </row>
    <row r="903">
      <c r="B903" s="189" t="e">
        <v>#DIV/0!</v>
      </c>
      <c r="C903" s="189" t="e">
        <v>#DIV/0!</v>
      </c>
    </row>
    <row r="904">
      <c r="B904" s="189" t="e">
        <v>#DIV/0!</v>
      </c>
      <c r="C904" s="189" t="e">
        <v>#DIV/0!</v>
      </c>
    </row>
    <row r="905">
      <c r="B905" s="189" t="e">
        <v>#DIV/0!</v>
      </c>
      <c r="C905" s="189" t="e">
        <v>#DIV/0!</v>
      </c>
    </row>
    <row r="906">
      <c r="B906" s="189" t="e">
        <v>#DIV/0!</v>
      </c>
      <c r="C906" s="189" t="e">
        <v>#DIV/0!</v>
      </c>
    </row>
    <row r="907">
      <c r="B907" s="189" t="e">
        <v>#DIV/0!</v>
      </c>
      <c r="C907" s="189" t="e">
        <v>#DIV/0!</v>
      </c>
    </row>
    <row r="908">
      <c r="B908" s="189" t="e">
        <v>#DIV/0!</v>
      </c>
      <c r="C908" s="189" t="e">
        <v>#DIV/0!</v>
      </c>
    </row>
    <row r="909">
      <c r="B909" s="189" t="e">
        <v>#DIV/0!</v>
      </c>
      <c r="C909" s="189" t="e">
        <v>#DIV/0!</v>
      </c>
    </row>
    <row r="910">
      <c r="B910" s="189" t="e">
        <v>#DIV/0!</v>
      </c>
      <c r="C910" s="189" t="e">
        <v>#DIV/0!</v>
      </c>
    </row>
    <row r="911">
      <c r="B911" s="189" t="e">
        <v>#DIV/0!</v>
      </c>
      <c r="C911" s="189" t="e">
        <v>#DIV/0!</v>
      </c>
    </row>
    <row r="912">
      <c r="B912" s="189" t="e">
        <v>#DIV/0!</v>
      </c>
      <c r="C912" s="189" t="e">
        <v>#DIV/0!</v>
      </c>
    </row>
    <row r="913">
      <c r="B913" s="189" t="e">
        <v>#DIV/0!</v>
      </c>
      <c r="C913" s="189" t="e">
        <v>#DIV/0!</v>
      </c>
    </row>
    <row r="914">
      <c r="B914" s="189" t="e">
        <v>#DIV/0!</v>
      </c>
      <c r="C914" s="189" t="e">
        <v>#DIV/0!</v>
      </c>
    </row>
    <row r="915">
      <c r="B915" s="189" t="e">
        <v>#DIV/0!</v>
      </c>
      <c r="C915" s="189" t="e">
        <v>#DIV/0!</v>
      </c>
    </row>
    <row r="916">
      <c r="B916" s="189" t="e">
        <v>#DIV/0!</v>
      </c>
      <c r="C916" s="189" t="e">
        <v>#DIV/0!</v>
      </c>
    </row>
    <row r="917">
      <c r="B917" s="189" t="e">
        <v>#DIV/0!</v>
      </c>
      <c r="C917" s="189" t="e">
        <v>#DIV/0!</v>
      </c>
    </row>
    <row r="918">
      <c r="B918" s="189" t="e">
        <v>#DIV/0!</v>
      </c>
      <c r="C918" s="189" t="e">
        <v>#DIV/0!</v>
      </c>
    </row>
    <row r="919">
      <c r="B919" s="189" t="e">
        <v>#DIV/0!</v>
      </c>
      <c r="C919" s="189" t="e">
        <v>#DIV/0!</v>
      </c>
    </row>
    <row r="920">
      <c r="B920" s="189" t="e">
        <v>#DIV/0!</v>
      </c>
      <c r="C920" s="189" t="e">
        <v>#DIV/0!</v>
      </c>
    </row>
    <row r="921">
      <c r="B921" s="189" t="e">
        <v>#DIV/0!</v>
      </c>
      <c r="C921" s="189" t="e">
        <v>#DIV/0!</v>
      </c>
    </row>
    <row r="922">
      <c r="B922" s="189" t="e">
        <v>#DIV/0!</v>
      </c>
      <c r="C922" s="189" t="e">
        <v>#DIV/0!</v>
      </c>
    </row>
    <row r="923">
      <c r="B923" s="189" t="e">
        <v>#DIV/0!</v>
      </c>
      <c r="C923" s="189" t="e">
        <v>#DIV/0!</v>
      </c>
    </row>
    <row r="924">
      <c r="B924" s="189" t="e">
        <v>#DIV/0!</v>
      </c>
      <c r="C924" s="189" t="e">
        <v>#DIV/0!</v>
      </c>
    </row>
    <row r="925">
      <c r="B925" s="189" t="e">
        <v>#DIV/0!</v>
      </c>
      <c r="C925" s="189" t="e">
        <v>#DIV/0!</v>
      </c>
    </row>
    <row r="926">
      <c r="B926" s="189" t="e">
        <v>#DIV/0!</v>
      </c>
      <c r="C926" s="189" t="e">
        <v>#DIV/0!</v>
      </c>
    </row>
    <row r="927">
      <c r="B927" s="189" t="e">
        <v>#DIV/0!</v>
      </c>
      <c r="C927" s="189" t="e">
        <v>#DIV/0!</v>
      </c>
    </row>
    <row r="928">
      <c r="B928" s="189" t="e">
        <v>#DIV/0!</v>
      </c>
      <c r="C928" s="189" t="e">
        <v>#DIV/0!</v>
      </c>
    </row>
    <row r="929">
      <c r="B929" s="189" t="e">
        <v>#DIV/0!</v>
      </c>
      <c r="C929" s="189" t="e">
        <v>#DIV/0!</v>
      </c>
    </row>
    <row r="930">
      <c r="B930" s="189" t="e">
        <v>#DIV/0!</v>
      </c>
      <c r="C930" s="189" t="e">
        <v>#DIV/0!</v>
      </c>
    </row>
    <row r="931">
      <c r="B931" s="189" t="e">
        <v>#DIV/0!</v>
      </c>
      <c r="C931" s="189" t="e">
        <v>#DIV/0!</v>
      </c>
    </row>
    <row r="932">
      <c r="B932" s="189" t="e">
        <v>#DIV/0!</v>
      </c>
      <c r="C932" s="189" t="e">
        <v>#DIV/0!</v>
      </c>
    </row>
    <row r="933">
      <c r="B933" s="189" t="e">
        <v>#DIV/0!</v>
      </c>
      <c r="C933" s="189" t="e">
        <v>#DIV/0!</v>
      </c>
    </row>
    <row r="934">
      <c r="B934" s="189" t="e">
        <v>#DIV/0!</v>
      </c>
      <c r="C934" s="189" t="e">
        <v>#DIV/0!</v>
      </c>
    </row>
    <row r="935">
      <c r="B935" s="189" t="e">
        <v>#DIV/0!</v>
      </c>
      <c r="C935" s="189" t="e">
        <v>#DIV/0!</v>
      </c>
    </row>
    <row r="936">
      <c r="B936" s="189" t="e">
        <v>#DIV/0!</v>
      </c>
      <c r="C936" s="189" t="e">
        <v>#DIV/0!</v>
      </c>
    </row>
    <row r="937">
      <c r="B937" s="189" t="e">
        <v>#DIV/0!</v>
      </c>
      <c r="C937" s="189" t="e">
        <v>#DIV/0!</v>
      </c>
    </row>
    <row r="938">
      <c r="B938" s="189" t="e">
        <v>#DIV/0!</v>
      </c>
      <c r="C938" s="189" t="e">
        <v>#DIV/0!</v>
      </c>
    </row>
    <row r="939">
      <c r="B939" s="189" t="e">
        <v>#DIV/0!</v>
      </c>
      <c r="C939" s="189" t="e">
        <v>#DIV/0!</v>
      </c>
    </row>
    <row r="940">
      <c r="B940" s="189" t="e">
        <v>#DIV/0!</v>
      </c>
      <c r="C940" s="189" t="e">
        <v>#DIV/0!</v>
      </c>
    </row>
    <row r="941">
      <c r="B941" s="189" t="e">
        <v>#DIV/0!</v>
      </c>
      <c r="C941" s="189" t="e">
        <v>#DIV/0!</v>
      </c>
    </row>
    <row r="942">
      <c r="B942" s="189" t="e">
        <v>#DIV/0!</v>
      </c>
      <c r="C942" s="189" t="e">
        <v>#DIV/0!</v>
      </c>
    </row>
    <row r="943">
      <c r="B943" s="189" t="e">
        <v>#DIV/0!</v>
      </c>
      <c r="C943" s="189" t="e">
        <v>#DIV/0!</v>
      </c>
    </row>
    <row r="944">
      <c r="B944" s="189" t="e">
        <v>#DIV/0!</v>
      </c>
      <c r="C944" s="189" t="e">
        <v>#DIV/0!</v>
      </c>
    </row>
    <row r="945">
      <c r="B945" s="189" t="e">
        <v>#DIV/0!</v>
      </c>
      <c r="C945" s="189" t="e">
        <v>#DIV/0!</v>
      </c>
    </row>
    <row r="946">
      <c r="B946" s="189" t="e">
        <v>#DIV/0!</v>
      </c>
      <c r="C946" s="189" t="e">
        <v>#DIV/0!</v>
      </c>
    </row>
    <row r="947">
      <c r="B947" s="189" t="e">
        <v>#DIV/0!</v>
      </c>
      <c r="C947" s="189" t="e">
        <v>#DIV/0!</v>
      </c>
    </row>
    <row r="948">
      <c r="B948" s="189" t="e">
        <v>#DIV/0!</v>
      </c>
      <c r="C948" s="189" t="e">
        <v>#DIV/0!</v>
      </c>
    </row>
    <row r="949">
      <c r="B949" s="189" t="e">
        <v>#DIV/0!</v>
      </c>
      <c r="C949" s="189" t="e">
        <v>#DIV/0!</v>
      </c>
    </row>
    <row r="950">
      <c r="B950" s="189" t="e">
        <v>#DIV/0!</v>
      </c>
      <c r="C950" s="189" t="e">
        <v>#DIV/0!</v>
      </c>
    </row>
    <row r="951">
      <c r="B951" s="189" t="e">
        <v>#DIV/0!</v>
      </c>
      <c r="C951" s="189" t="e">
        <v>#DIV/0!</v>
      </c>
    </row>
    <row r="952">
      <c r="B952" s="189" t="e">
        <v>#DIV/0!</v>
      </c>
      <c r="C952" s="189" t="e">
        <v>#DIV/0!</v>
      </c>
    </row>
    <row r="953">
      <c r="B953" s="189" t="e">
        <v>#DIV/0!</v>
      </c>
      <c r="C953" s="189" t="e">
        <v>#DIV/0!</v>
      </c>
    </row>
    <row r="954">
      <c r="B954" s="189" t="e">
        <v>#DIV/0!</v>
      </c>
      <c r="C954" s="189" t="e">
        <v>#DIV/0!</v>
      </c>
    </row>
    <row r="955">
      <c r="B955" s="189" t="e">
        <v>#DIV/0!</v>
      </c>
      <c r="C955" s="189" t="e">
        <v>#DIV/0!</v>
      </c>
    </row>
    <row r="956">
      <c r="B956" s="189" t="e">
        <v>#DIV/0!</v>
      </c>
      <c r="C956" s="189" t="e">
        <v>#DIV/0!</v>
      </c>
    </row>
    <row r="957">
      <c r="B957" s="189" t="e">
        <v>#DIV/0!</v>
      </c>
      <c r="C957" s="189" t="e">
        <v>#DIV/0!</v>
      </c>
    </row>
    <row r="958">
      <c r="B958" s="189" t="e">
        <v>#DIV/0!</v>
      </c>
      <c r="C958" s="189" t="e">
        <v>#DIV/0!</v>
      </c>
    </row>
    <row r="959">
      <c r="B959" s="189" t="e">
        <v>#DIV/0!</v>
      </c>
      <c r="C959" s="189" t="e">
        <v>#DIV/0!</v>
      </c>
    </row>
    <row r="960">
      <c r="B960" s="189" t="e">
        <v>#DIV/0!</v>
      </c>
      <c r="C960" s="189" t="e">
        <v>#DIV/0!</v>
      </c>
    </row>
    <row r="961">
      <c r="B961" s="189" t="e">
        <v>#DIV/0!</v>
      </c>
      <c r="C961" s="189" t="e">
        <v>#DIV/0!</v>
      </c>
    </row>
    <row r="962">
      <c r="B962" s="189" t="e">
        <v>#DIV/0!</v>
      </c>
      <c r="C962" s="189" t="e">
        <v>#DIV/0!</v>
      </c>
    </row>
    <row r="963">
      <c r="B963" s="189" t="e">
        <v>#DIV/0!</v>
      </c>
      <c r="C963" s="189" t="e">
        <v>#DIV/0!</v>
      </c>
    </row>
    <row r="964">
      <c r="B964" s="189" t="e">
        <v>#DIV/0!</v>
      </c>
      <c r="C964" s="189" t="e">
        <v>#DIV/0!</v>
      </c>
    </row>
    <row r="965">
      <c r="B965" s="189" t="e">
        <v>#DIV/0!</v>
      </c>
      <c r="C965" s="189" t="e">
        <v>#DIV/0!</v>
      </c>
    </row>
    <row r="966">
      <c r="B966" s="189" t="e">
        <v>#DIV/0!</v>
      </c>
      <c r="C966" s="189" t="e">
        <v>#DIV/0!</v>
      </c>
    </row>
    <row r="967">
      <c r="B967" s="189" t="e">
        <v>#DIV/0!</v>
      </c>
      <c r="C967" s="189" t="e">
        <v>#DIV/0!</v>
      </c>
    </row>
    <row r="968">
      <c r="B968" s="189" t="e">
        <v>#DIV/0!</v>
      </c>
      <c r="C968" s="189" t="e">
        <v>#DIV/0!</v>
      </c>
    </row>
    <row r="969">
      <c r="B969" s="189" t="e">
        <v>#DIV/0!</v>
      </c>
      <c r="C969" s="189" t="e">
        <v>#DIV/0!</v>
      </c>
    </row>
    <row r="970">
      <c r="B970" s="189" t="e">
        <v>#DIV/0!</v>
      </c>
      <c r="C970" s="189" t="e">
        <v>#DIV/0!</v>
      </c>
    </row>
    <row r="971">
      <c r="B971" s="189" t="e">
        <v>#DIV/0!</v>
      </c>
      <c r="C971" s="189" t="e">
        <v>#DIV/0!</v>
      </c>
    </row>
    <row r="972">
      <c r="B972" s="189" t="e">
        <v>#DIV/0!</v>
      </c>
      <c r="C972" s="189" t="e">
        <v>#DIV/0!</v>
      </c>
    </row>
    <row r="973">
      <c r="B973" s="189" t="e">
        <v>#DIV/0!</v>
      </c>
      <c r="C973" s="189" t="e">
        <v>#DIV/0!</v>
      </c>
    </row>
    <row r="974">
      <c r="B974" s="189" t="e">
        <v>#DIV/0!</v>
      </c>
      <c r="C974" s="189" t="e">
        <v>#DIV/0!</v>
      </c>
    </row>
    <row r="975">
      <c r="B975" s="189" t="e">
        <v>#DIV/0!</v>
      </c>
      <c r="C975" s="189" t="e">
        <v>#DIV/0!</v>
      </c>
    </row>
    <row r="976">
      <c r="B976" s="189" t="e">
        <v>#DIV/0!</v>
      </c>
      <c r="C976" s="189" t="e">
        <v>#DIV/0!</v>
      </c>
    </row>
    <row r="977">
      <c r="B977" s="189" t="e">
        <v>#DIV/0!</v>
      </c>
      <c r="C977" s="189" t="e">
        <v>#DIV/0!</v>
      </c>
    </row>
    <row r="978">
      <c r="B978" s="189" t="e">
        <v>#DIV/0!</v>
      </c>
      <c r="C978" s="189" t="e">
        <v>#DIV/0!</v>
      </c>
    </row>
    <row r="979">
      <c r="B979" s="189" t="e">
        <v>#DIV/0!</v>
      </c>
      <c r="C979" s="189" t="e">
        <v>#DIV/0!</v>
      </c>
    </row>
    <row r="980">
      <c r="B980" s="189" t="e">
        <v>#DIV/0!</v>
      </c>
      <c r="C980" s="189" t="e">
        <v>#DIV/0!</v>
      </c>
    </row>
    <row r="981">
      <c r="B981" s="189" t="e">
        <v>#DIV/0!</v>
      </c>
      <c r="C981" s="189" t="e">
        <v>#DIV/0!</v>
      </c>
    </row>
    <row r="982">
      <c r="B982" s="189" t="e">
        <v>#DIV/0!</v>
      </c>
      <c r="C982" s="189" t="e">
        <v>#DIV/0!</v>
      </c>
    </row>
    <row r="983">
      <c r="B983" s="189" t="e">
        <v>#DIV/0!</v>
      </c>
      <c r="C983" s="189" t="e">
        <v>#DIV/0!</v>
      </c>
    </row>
    <row r="984">
      <c r="B984" s="189" t="e">
        <v>#DIV/0!</v>
      </c>
      <c r="C984" s="189" t="e">
        <v>#DIV/0!</v>
      </c>
    </row>
    <row r="985">
      <c r="B985" s="189" t="e">
        <v>#DIV/0!</v>
      </c>
      <c r="C985" s="189" t="e">
        <v>#DIV/0!</v>
      </c>
    </row>
    <row r="986">
      <c r="B986" s="189" t="e">
        <v>#DIV/0!</v>
      </c>
      <c r="C986" s="189" t="e">
        <v>#DIV/0!</v>
      </c>
    </row>
    <row r="987">
      <c r="B987" s="189" t="e">
        <v>#DIV/0!</v>
      </c>
      <c r="C987" s="189" t="e">
        <v>#DIV/0!</v>
      </c>
    </row>
    <row r="988">
      <c r="B988" s="189" t="e">
        <v>#DIV/0!</v>
      </c>
      <c r="C988" s="189" t="e">
        <v>#DIV/0!</v>
      </c>
    </row>
    <row r="989">
      <c r="B989" s="189" t="e">
        <v>#DIV/0!</v>
      </c>
      <c r="C989" s="189" t="e">
        <v>#DIV/0!</v>
      </c>
    </row>
    <row r="990">
      <c r="B990" s="189" t="e">
        <v>#DIV/0!</v>
      </c>
      <c r="C990" s="189" t="e">
        <v>#DIV/0!</v>
      </c>
    </row>
    <row r="991">
      <c r="B991" s="189" t="e">
        <v>#DIV/0!</v>
      </c>
      <c r="C991" s="189" t="e">
        <v>#DIV/0!</v>
      </c>
    </row>
    <row r="992">
      <c r="B992" s="189" t="e">
        <v>#DIV/0!</v>
      </c>
      <c r="C992" s="189" t="e">
        <v>#DIV/0!</v>
      </c>
    </row>
    <row r="993">
      <c r="B993" s="189" t="e">
        <v>#DIV/0!</v>
      </c>
      <c r="C993" s="189" t="e">
        <v>#DIV/0!</v>
      </c>
    </row>
    <row r="994">
      <c r="B994" s="189" t="e">
        <v>#DIV/0!</v>
      </c>
      <c r="C994" s="189" t="e">
        <v>#DIV/0!</v>
      </c>
    </row>
    <row r="995">
      <c r="B995" s="189" t="e">
        <v>#DIV/0!</v>
      </c>
      <c r="C995" s="189" t="e">
        <v>#DIV/0!</v>
      </c>
    </row>
    <row r="996">
      <c r="B996" s="189" t="e">
        <v>#DIV/0!</v>
      </c>
      <c r="C996" s="189" t="e">
        <v>#DIV/0!</v>
      </c>
    </row>
    <row r="997">
      <c r="B997" s="189" t="e">
        <v>#DIV/0!</v>
      </c>
      <c r="C997" s="189" t="e">
        <v>#DIV/0!</v>
      </c>
    </row>
    <row r="998">
      <c r="B998" s="189" t="e">
        <v>#DIV/0!</v>
      </c>
      <c r="C998" s="189" t="e">
        <v>#DIV/0!</v>
      </c>
    </row>
    <row r="999">
      <c r="B999" s="189" t="e">
        <v>#DIV/0!</v>
      </c>
      <c r="C999" s="189" t="e">
        <v>#DIV/0!</v>
      </c>
    </row>
    <row r="1000">
      <c r="B1000" s="189" t="e">
        <v>#DIV/0!</v>
      </c>
      <c r="C1000" s="189" t="e">
        <v>#DIV/0!</v>
      </c>
    </row>
    <row r="1001">
      <c r="B1001" s="189" t="e">
        <v>#DIV/0!</v>
      </c>
      <c r="C1001" s="189" t="e">
        <v>#DIV/0!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20.38"/>
    <col customWidth="1" min="3" max="15" width="9.25"/>
    <col customWidth="1" min="16" max="16" width="14.5"/>
    <col customWidth="1" min="17" max="17" width="11.63"/>
    <col customWidth="1" min="18" max="26" width="9.25"/>
  </cols>
  <sheetData>
    <row r="1">
      <c r="A1" s="192" t="s">
        <v>0</v>
      </c>
      <c r="B1" s="192" t="s">
        <v>194</v>
      </c>
      <c r="C1" s="193" t="s">
        <v>195</v>
      </c>
      <c r="D1" s="193" t="s">
        <v>196</v>
      </c>
      <c r="E1" s="192" t="s">
        <v>197</v>
      </c>
      <c r="F1" s="192" t="s">
        <v>198</v>
      </c>
      <c r="G1" s="192" t="s">
        <v>199</v>
      </c>
      <c r="H1" s="192" t="s">
        <v>200</v>
      </c>
      <c r="I1" s="192" t="s">
        <v>201</v>
      </c>
      <c r="J1" s="192" t="s">
        <v>202</v>
      </c>
      <c r="K1" s="194" t="s">
        <v>54</v>
      </c>
      <c r="L1" s="194" t="s">
        <v>203</v>
      </c>
      <c r="M1" s="195" t="s">
        <v>204</v>
      </c>
      <c r="N1" s="195" t="s">
        <v>205</v>
      </c>
      <c r="O1" s="195" t="s">
        <v>206</v>
      </c>
      <c r="P1" s="195" t="s">
        <v>207</v>
      </c>
      <c r="Q1" s="196" t="s">
        <v>208</v>
      </c>
      <c r="R1" s="196" t="s">
        <v>209</v>
      </c>
      <c r="S1" s="195" t="s">
        <v>210</v>
      </c>
      <c r="T1" s="197" t="s">
        <v>56</v>
      </c>
      <c r="U1" s="197"/>
      <c r="V1" s="197"/>
      <c r="W1" s="197"/>
      <c r="X1" s="197"/>
      <c r="Y1" s="197"/>
      <c r="Z1" s="197"/>
    </row>
    <row r="2">
      <c r="A2" s="198" t="str">
        <f>IFERROR(__xludf.DUMMYFUNCTION("QUERY(Kills!A2:C1501,""select B, A order by B desc"")"),"ULF Esports (si)")</f>
        <v>ULF Esports (si)</v>
      </c>
      <c r="B2" s="198" t="str">
        <f>IFERROR(__xludf.DUMMYFUNCTION("""COMPUTED_VALUE"""),"FAVIANN")</f>
        <v>FAVIANN</v>
      </c>
      <c r="C2" s="198">
        <f t="array" ref="C2:C1501">XLOOKUP(B2:B1501,'acs2'!A2:A1501,'acs2'!C2:C1501)</f>
        <v>211</v>
      </c>
      <c r="D2" s="198">
        <f t="array" ref="D2:D1501">XLOOKUP(B2:B1501,'acs2025'!A2:A1501,'acs2025'!C2:C1501)</f>
        <v>211</v>
      </c>
      <c r="E2" s="198">
        <f t="array" ref="E2:E1501">XLOOKUP(B2:B1501,Guns!A2:A1501,Guns!E2:E1501)</f>
        <v>588</v>
      </c>
      <c r="F2" s="198">
        <f t="array" ref="F2:F1501">XLOOKUP(B2:B1501,Kills!A2:A1501,Kills!C2:C1501)</f>
        <v>452</v>
      </c>
      <c r="G2" s="198">
        <f t="array" ref="G2:G1501">XLOOKUP(B2:B1501,Deaths!A2:A1501,Deaths!C2:C1501)</f>
        <v>416</v>
      </c>
      <c r="H2" s="198">
        <f t="array" ref="H2:H1501">XLOOKUP(B2:B1501,Assists!A2:A1501,Assists!C2:C1501)</f>
        <v>132</v>
      </c>
      <c r="I2" s="198">
        <f t="array" ref="I2:I1501">XLOOKUP(B2:B1501,FKS!A2:A1501,FKS!C2:C1501)</f>
        <v>66</v>
      </c>
      <c r="J2" s="198">
        <f t="array" ref="J2:J1501">XLOOKUP(B2:B1501,FDS!A2:A1501,FDS!C2:C1501)</f>
        <v>51</v>
      </c>
      <c r="K2" s="199">
        <f t="array" ref="K2:K1501">F2:F1501/G2:G1501</f>
        <v>1.086538462</v>
      </c>
      <c r="L2" s="199">
        <f t="array" ref="L2:L1501">(F2:F1501+H2:H1501)/G2:G1501</f>
        <v>1.403846154</v>
      </c>
      <c r="M2" s="200">
        <f t="array" ref="M2:M1501">(I2:I1501+J2:J1501)/E2:E1501</f>
        <v>0.1989795918</v>
      </c>
      <c r="N2" s="200">
        <f t="array" ref="N2:N1501">I2:I1501/E2:E1501</f>
        <v>0.112244898</v>
      </c>
      <c r="O2" s="200">
        <f t="array" ref="O2:O1501">J2:J1501/E2:E1501</f>
        <v>0.08673469388</v>
      </c>
      <c r="P2" s="200">
        <f t="array" ref="P2:P1501">I2:I1501/(I2:I1501+J2:J1501)</f>
        <v>0.5641025641</v>
      </c>
      <c r="Q2" s="198">
        <f t="array" ref="Q2:Q1501">XLOOKUP(B2:B1501,Clutches!A2:A1501,Clutches!F2:F1501)</f>
        <v>53</v>
      </c>
      <c r="R2" s="198">
        <f t="array" ref="R2:R1501">XLOOKUP(B2:B1501,Clutches!A2:A1501,Clutches!D2:D1501)</f>
        <v>5</v>
      </c>
      <c r="S2" s="200">
        <f t="array" ref="S2:S1501">R2:R1501/Q2:Q1501</f>
        <v>0.09433962264</v>
      </c>
      <c r="T2" s="201">
        <v>0.7</v>
      </c>
      <c r="U2" s="198"/>
      <c r="V2" s="198"/>
      <c r="W2" s="198"/>
      <c r="X2" s="198"/>
      <c r="Y2" s="198"/>
      <c r="Z2" s="198"/>
    </row>
    <row r="3">
      <c r="A3" s="198" t="str">
        <f>IFERROR(__xludf.DUMMYFUNCTION("""COMPUTED_VALUE"""),"ULF Esports")</f>
        <v>ULF Esports</v>
      </c>
      <c r="B3" s="198" t="str">
        <f>IFERROR(__xludf.DUMMYFUNCTION("""COMPUTED_VALUE"""),"s0pp")</f>
        <v>s0pp</v>
      </c>
      <c r="C3" s="198">
        <v>219.0</v>
      </c>
      <c r="D3" s="198">
        <v>212.0</v>
      </c>
      <c r="E3" s="198">
        <v>588.0</v>
      </c>
      <c r="F3" s="198">
        <v>454.0</v>
      </c>
      <c r="G3" s="198">
        <v>414.0</v>
      </c>
      <c r="H3" s="198">
        <v>131.0</v>
      </c>
      <c r="I3" s="198">
        <v>94.0</v>
      </c>
      <c r="J3" s="198">
        <v>75.0</v>
      </c>
      <c r="K3" s="199">
        <v>1.0966183574879227</v>
      </c>
      <c r="L3" s="199">
        <v>1.4130434782608696</v>
      </c>
      <c r="M3" s="200">
        <v>0.28741496598639454</v>
      </c>
      <c r="N3" s="200">
        <v>0.1598639455782313</v>
      </c>
      <c r="O3" s="200">
        <v>0.12755102040816327</v>
      </c>
      <c r="P3" s="200">
        <v>0.5562130177514792</v>
      </c>
      <c r="Q3" s="198">
        <v>58.0</v>
      </c>
      <c r="R3" s="198">
        <v>6.0</v>
      </c>
      <c r="S3" s="200">
        <v>0.10344827586206896</v>
      </c>
      <c r="T3" s="201">
        <v>0.71</v>
      </c>
      <c r="U3" s="198"/>
      <c r="V3" s="198"/>
      <c r="W3" s="198"/>
      <c r="X3" s="198"/>
      <c r="Y3" s="198"/>
      <c r="Z3" s="198"/>
    </row>
    <row r="4">
      <c r="A4" s="198" t="str">
        <f>IFERROR(__xludf.DUMMYFUNCTION("""COMPUTED_VALUE"""),"ULF Esports")</f>
        <v>ULF Esports</v>
      </c>
      <c r="B4" s="198" t="str">
        <f>IFERROR(__xludf.DUMMYFUNCTION("""COMPUTED_VALUE"""),"ech0")</f>
        <v>ech0</v>
      </c>
      <c r="C4" s="198">
        <v>193.0</v>
      </c>
      <c r="D4" s="198">
        <v>203.0</v>
      </c>
      <c r="E4" s="198">
        <v>588.0</v>
      </c>
      <c r="F4" s="198">
        <v>407.0</v>
      </c>
      <c r="G4" s="198">
        <v>420.0</v>
      </c>
      <c r="H4" s="198">
        <v>123.0</v>
      </c>
      <c r="I4" s="198">
        <v>63.0</v>
      </c>
      <c r="J4" s="198">
        <v>66.0</v>
      </c>
      <c r="K4" s="199">
        <v>0.969047619047619</v>
      </c>
      <c r="L4" s="199">
        <v>1.2619047619047619</v>
      </c>
      <c r="M4" s="200">
        <v>0.2193877551020408</v>
      </c>
      <c r="N4" s="200">
        <v>0.10714285714285714</v>
      </c>
      <c r="O4" s="200">
        <v>0.11224489795918367</v>
      </c>
      <c r="P4" s="200">
        <v>0.4883720930232558</v>
      </c>
      <c r="Q4" s="198">
        <v>71.0</v>
      </c>
      <c r="R4" s="198">
        <v>14.0</v>
      </c>
      <c r="S4" s="200">
        <v>0.19718309859154928</v>
      </c>
      <c r="T4" s="201">
        <v>0.68</v>
      </c>
      <c r="U4" s="198"/>
      <c r="V4" s="198"/>
      <c r="W4" s="198"/>
      <c r="X4" s="198"/>
      <c r="Y4" s="198"/>
      <c r="Z4" s="198"/>
    </row>
    <row r="5">
      <c r="A5" s="198" t="str">
        <f>IFERROR(__xludf.DUMMYFUNCTION("""COMPUTED_VALUE"""),"ULF Esports")</f>
        <v>ULF Esports</v>
      </c>
      <c r="B5" s="198" t="str">
        <f>IFERROR(__xludf.DUMMYFUNCTION("""COMPUTED_VALUE"""),"audaz")</f>
        <v>audaz</v>
      </c>
      <c r="C5" s="198">
        <v>183.0</v>
      </c>
      <c r="D5" s="198">
        <v>187.0</v>
      </c>
      <c r="E5" s="198">
        <v>588.0</v>
      </c>
      <c r="F5" s="198">
        <v>380.0</v>
      </c>
      <c r="G5" s="198">
        <v>368.0</v>
      </c>
      <c r="H5" s="198">
        <v>213.0</v>
      </c>
      <c r="I5" s="198">
        <v>41.0</v>
      </c>
      <c r="J5" s="198">
        <v>42.0</v>
      </c>
      <c r="K5" s="199">
        <v>1.0326086956521738</v>
      </c>
      <c r="L5" s="199">
        <v>1.611413043478261</v>
      </c>
      <c r="M5" s="200">
        <v>0.141156462585034</v>
      </c>
      <c r="N5" s="200">
        <v>0.06972789115646258</v>
      </c>
      <c r="O5" s="200">
        <v>0.07142857142857142</v>
      </c>
      <c r="P5" s="200">
        <v>0.4939759036144578</v>
      </c>
      <c r="Q5" s="198">
        <v>92.0</v>
      </c>
      <c r="R5" s="198">
        <v>13.0</v>
      </c>
      <c r="S5" s="200">
        <v>0.14130434782608695</v>
      </c>
      <c r="T5" s="201">
        <v>0.71</v>
      </c>
      <c r="U5" s="198"/>
      <c r="V5" s="198"/>
      <c r="W5" s="198"/>
      <c r="X5" s="198"/>
      <c r="Y5" s="198"/>
      <c r="Z5" s="198"/>
    </row>
    <row r="6">
      <c r="A6" s="189" t="str">
        <f>IFERROR(__xludf.DUMMYFUNCTION("""COMPUTED_VALUE"""),"ULF Esports")</f>
        <v>ULF Esports</v>
      </c>
      <c r="B6" s="198" t="str">
        <f>IFERROR(__xludf.DUMMYFUNCTION("""COMPUTED_VALUE"""),"nekky")</f>
        <v>nekky</v>
      </c>
      <c r="C6" s="198">
        <v>173.0</v>
      </c>
      <c r="D6" s="198">
        <v>182.0</v>
      </c>
      <c r="E6" s="198">
        <v>588.0</v>
      </c>
      <c r="F6" s="198">
        <v>347.0</v>
      </c>
      <c r="G6" s="198">
        <v>394.0</v>
      </c>
      <c r="H6" s="198">
        <v>168.0</v>
      </c>
      <c r="I6" s="198">
        <v>39.0</v>
      </c>
      <c r="J6" s="198">
        <v>51.0</v>
      </c>
      <c r="K6" s="199">
        <v>0.8807106598984772</v>
      </c>
      <c r="L6" s="199">
        <v>1.3071065989847717</v>
      </c>
      <c r="M6" s="200">
        <v>0.15306122448979592</v>
      </c>
      <c r="N6" s="200">
        <v>0.0663265306122449</v>
      </c>
      <c r="O6" s="200">
        <v>0.08673469387755102</v>
      </c>
      <c r="P6" s="200">
        <v>0.43333333333333335</v>
      </c>
      <c r="Q6" s="198">
        <v>44.0</v>
      </c>
      <c r="R6" s="198">
        <v>11.0</v>
      </c>
      <c r="S6" s="200">
        <v>0.25</v>
      </c>
      <c r="T6" s="201">
        <v>0.69</v>
      </c>
      <c r="U6" s="198"/>
      <c r="V6" s="198"/>
      <c r="W6" s="198"/>
      <c r="X6" s="198"/>
      <c r="Y6" s="198"/>
      <c r="Z6" s="198"/>
    </row>
    <row r="7">
      <c r="A7" s="189" t="str">
        <f>IFERROR(__xludf.DUMMYFUNCTION("""COMPUTED_VALUE"""),"Twisted Minds Esports")</f>
        <v>Twisted Minds Esports</v>
      </c>
      <c r="B7" s="198" t="str">
        <f>IFERROR(__xludf.DUMMYFUNCTION("""COMPUTED_VALUE"""),"ExiT")</f>
        <v>ExiT</v>
      </c>
      <c r="C7" s="198">
        <v>231.0</v>
      </c>
      <c r="D7" s="198">
        <v>241.0</v>
      </c>
      <c r="E7" s="198">
        <v>724.0</v>
      </c>
      <c r="F7" s="198">
        <v>588.0</v>
      </c>
      <c r="G7" s="198">
        <v>545.0</v>
      </c>
      <c r="H7" s="198">
        <v>156.0</v>
      </c>
      <c r="I7" s="198">
        <v>165.0</v>
      </c>
      <c r="J7" s="198">
        <v>143.0</v>
      </c>
      <c r="K7" s="199">
        <v>1.0788990825688074</v>
      </c>
      <c r="L7" s="199">
        <v>1.3651376146788992</v>
      </c>
      <c r="M7" s="200">
        <v>0.425414364640884</v>
      </c>
      <c r="N7" s="200">
        <v>0.22790055248618785</v>
      </c>
      <c r="O7" s="200">
        <v>0.19751381215469613</v>
      </c>
      <c r="P7" s="200">
        <v>0.5357142857142857</v>
      </c>
      <c r="Q7" s="198">
        <v>44.0</v>
      </c>
      <c r="R7" s="198">
        <v>6.0</v>
      </c>
      <c r="S7" s="200">
        <v>0.13636363636363635</v>
      </c>
      <c r="T7" s="201">
        <v>0.71</v>
      </c>
      <c r="U7" s="198"/>
      <c r="V7" s="198"/>
      <c r="W7" s="198"/>
      <c r="X7" s="198"/>
      <c r="Y7" s="198"/>
      <c r="Z7" s="198"/>
    </row>
    <row r="8">
      <c r="A8" s="189" t="str">
        <f>IFERROR(__xludf.DUMMYFUNCTION("""COMPUTED_VALUE"""),"Twisted Minds Esports")</f>
        <v>Twisted Minds Esports</v>
      </c>
      <c r="B8" s="198" t="str">
        <f>IFERROR(__xludf.DUMMYFUNCTION("""COMPUTED_VALUE"""),"SAND")</f>
        <v>SAND</v>
      </c>
      <c r="C8" s="198">
        <v>211.0</v>
      </c>
      <c r="D8" s="198">
        <v>199.0</v>
      </c>
      <c r="E8" s="198">
        <v>724.0</v>
      </c>
      <c r="F8" s="198">
        <v>565.0</v>
      </c>
      <c r="G8" s="198">
        <v>486.0</v>
      </c>
      <c r="H8" s="198">
        <v>138.0</v>
      </c>
      <c r="I8" s="198">
        <v>80.0</v>
      </c>
      <c r="J8" s="198">
        <v>66.0</v>
      </c>
      <c r="K8" s="199">
        <v>1.162551440329218</v>
      </c>
      <c r="L8" s="199">
        <v>1.4465020576131686</v>
      </c>
      <c r="M8" s="200">
        <v>0.20165745856353592</v>
      </c>
      <c r="N8" s="200">
        <v>0.11049723756906077</v>
      </c>
      <c r="O8" s="200">
        <v>0.09116022099447514</v>
      </c>
      <c r="P8" s="200">
        <v>0.547945205479452</v>
      </c>
      <c r="Q8" s="198">
        <v>65.0</v>
      </c>
      <c r="R8" s="198">
        <v>15.0</v>
      </c>
      <c r="S8" s="200">
        <v>0.23076923076923078</v>
      </c>
      <c r="T8" s="201">
        <v>0.69</v>
      </c>
      <c r="U8" s="198"/>
      <c r="V8" s="198"/>
      <c r="W8" s="198"/>
      <c r="X8" s="198"/>
      <c r="Y8" s="198"/>
      <c r="Z8" s="198"/>
    </row>
    <row r="9">
      <c r="A9" s="189" t="str">
        <f>IFERROR(__xludf.DUMMYFUNCTION("""COMPUTED_VALUE"""),"Twisted Minds Esports")</f>
        <v>Twisted Minds Esports</v>
      </c>
      <c r="B9" s="198" t="str">
        <f>IFERROR(__xludf.DUMMYFUNCTION("""COMPUTED_VALUE"""),"sickrey")</f>
        <v>sickrey</v>
      </c>
      <c r="C9" s="198">
        <v>207.0</v>
      </c>
      <c r="D9" s="198">
        <v>204.0</v>
      </c>
      <c r="E9" s="198">
        <v>724.0</v>
      </c>
      <c r="F9" s="198">
        <v>529.0</v>
      </c>
      <c r="G9" s="198">
        <v>419.0</v>
      </c>
      <c r="H9" s="198">
        <v>291.0</v>
      </c>
      <c r="I9" s="198">
        <v>34.0</v>
      </c>
      <c r="J9" s="198">
        <v>31.0</v>
      </c>
      <c r="K9" s="199">
        <v>1.2625298329355608</v>
      </c>
      <c r="L9" s="199">
        <v>1.9570405727923628</v>
      </c>
      <c r="M9" s="200">
        <v>0.08977900552486189</v>
      </c>
      <c r="N9" s="200">
        <v>0.04696132596685083</v>
      </c>
      <c r="O9" s="200">
        <v>0.04281767955801105</v>
      </c>
      <c r="P9" s="200">
        <v>0.5230769230769231</v>
      </c>
      <c r="Q9" s="198">
        <v>108.0</v>
      </c>
      <c r="R9" s="198">
        <v>16.0</v>
      </c>
      <c r="S9" s="200">
        <v>0.14814814814814814</v>
      </c>
      <c r="T9" s="201">
        <v>0.78</v>
      </c>
      <c r="U9" s="198"/>
      <c r="V9" s="198"/>
      <c r="W9" s="198"/>
      <c r="X9" s="198"/>
      <c r="Y9" s="198"/>
      <c r="Z9" s="198"/>
    </row>
    <row r="10">
      <c r="A10" s="189" t="str">
        <f>IFERROR(__xludf.DUMMYFUNCTION("""COMPUTED_VALUE"""),"Twisted Minds Esports")</f>
        <v>Twisted Minds Esports</v>
      </c>
      <c r="B10" s="198" t="str">
        <f>IFERROR(__xludf.DUMMYFUNCTION("""COMPUTED_VALUE"""),"Zimo")</f>
        <v>Zimo</v>
      </c>
      <c r="C10" s="198">
        <v>190.0</v>
      </c>
      <c r="D10" s="198">
        <v>183.0</v>
      </c>
      <c r="E10" s="198">
        <v>724.0</v>
      </c>
      <c r="F10" s="198">
        <v>523.0</v>
      </c>
      <c r="G10" s="198">
        <v>460.0</v>
      </c>
      <c r="H10" s="198">
        <v>237.0</v>
      </c>
      <c r="I10" s="198">
        <v>54.0</v>
      </c>
      <c r="J10" s="198">
        <v>58.0</v>
      </c>
      <c r="K10" s="199">
        <v>1.1369565217391304</v>
      </c>
      <c r="L10" s="199">
        <v>1.6521739130434783</v>
      </c>
      <c r="M10" s="200">
        <v>0.15469613259668508</v>
      </c>
      <c r="N10" s="200">
        <v>0.07458563535911603</v>
      </c>
      <c r="O10" s="200">
        <v>0.08011049723756906</v>
      </c>
      <c r="P10" s="200">
        <v>0.48214285714285715</v>
      </c>
      <c r="Q10" s="198">
        <v>94.0</v>
      </c>
      <c r="R10" s="198">
        <v>21.0</v>
      </c>
      <c r="S10" s="200">
        <v>0.22340425531914893</v>
      </c>
      <c r="T10" s="201">
        <v>0.74</v>
      </c>
      <c r="U10" s="198"/>
      <c r="V10" s="198"/>
      <c r="W10" s="198"/>
      <c r="X10" s="198"/>
      <c r="Y10" s="198"/>
      <c r="Z10" s="198"/>
    </row>
    <row r="11">
      <c r="A11" s="189" t="str">
        <f>IFERROR(__xludf.DUMMYFUNCTION("""COMPUTED_VALUE"""),"Twisted Minds Esports")</f>
        <v>Twisted Minds Esports</v>
      </c>
      <c r="B11" s="198" t="str">
        <f>IFERROR(__xludf.DUMMYFUNCTION("""COMPUTED_VALUE"""),"Jesse")</f>
        <v>Jesse</v>
      </c>
      <c r="C11" s="198">
        <v>176.0</v>
      </c>
      <c r="D11" s="198">
        <v>188.0</v>
      </c>
      <c r="E11" s="198">
        <v>481.0</v>
      </c>
      <c r="F11" s="198">
        <v>309.0</v>
      </c>
      <c r="G11" s="198">
        <v>312.0</v>
      </c>
      <c r="H11" s="198">
        <v>193.0</v>
      </c>
      <c r="I11" s="198">
        <v>32.0</v>
      </c>
      <c r="J11" s="198">
        <v>29.0</v>
      </c>
      <c r="K11" s="199">
        <v>0.9903846153846154</v>
      </c>
      <c r="L11" s="199">
        <v>1.608974358974359</v>
      </c>
      <c r="M11" s="200">
        <v>0.12681912681912683</v>
      </c>
      <c r="N11" s="200">
        <v>0.06652806652806653</v>
      </c>
      <c r="O11" s="200">
        <v>0.060291060291060294</v>
      </c>
      <c r="P11" s="200">
        <v>0.5245901639344263</v>
      </c>
      <c r="Q11" s="198">
        <v>39.0</v>
      </c>
      <c r="R11" s="198">
        <v>14.0</v>
      </c>
      <c r="S11" s="200">
        <v>0.358974358974359</v>
      </c>
      <c r="T11" s="201">
        <v>0.74</v>
      </c>
      <c r="U11" s="198"/>
      <c r="V11" s="198"/>
      <c r="W11" s="198"/>
      <c r="X11" s="198"/>
      <c r="Y11" s="198"/>
      <c r="Z11" s="198"/>
    </row>
    <row r="12">
      <c r="A12" s="189" t="str">
        <f>IFERROR(__xludf.DUMMYFUNCTION("""COMPUTED_VALUE"""),"Twisted Minds Esports")</f>
        <v>Twisted Minds Esports</v>
      </c>
      <c r="B12" s="198" t="str">
        <f>IFERROR(__xludf.DUMMYFUNCTION("""COMPUTED_VALUE"""),"waleed")</f>
        <v>waleed</v>
      </c>
      <c r="C12" s="198">
        <v>179.0</v>
      </c>
      <c r="D12" s="198">
        <v>166.0</v>
      </c>
      <c r="E12" s="198">
        <v>243.0</v>
      </c>
      <c r="F12" s="198">
        <v>153.0</v>
      </c>
      <c r="G12" s="198">
        <v>163.0</v>
      </c>
      <c r="H12" s="198">
        <v>67.0</v>
      </c>
      <c r="I12" s="198">
        <v>14.0</v>
      </c>
      <c r="J12" s="198">
        <v>16.0</v>
      </c>
      <c r="K12" s="199">
        <v>0.9386503067484663</v>
      </c>
      <c r="L12" s="199">
        <v>1.3496932515337423</v>
      </c>
      <c r="M12" s="200">
        <v>0.12345679012345678</v>
      </c>
      <c r="N12" s="200">
        <v>0.05761316872427984</v>
      </c>
      <c r="O12" s="200">
        <v>0.06584362139917696</v>
      </c>
      <c r="P12" s="200">
        <v>0.4666666666666667</v>
      </c>
      <c r="Q12" s="198">
        <v>16.0</v>
      </c>
      <c r="R12" s="198">
        <v>3.0</v>
      </c>
      <c r="S12" s="200">
        <v>0.1875</v>
      </c>
      <c r="T12" s="198" t="s">
        <v>211</v>
      </c>
      <c r="U12" s="198"/>
      <c r="V12" s="198"/>
      <c r="W12" s="198"/>
      <c r="X12" s="198"/>
      <c r="Y12" s="198"/>
      <c r="Z12" s="198"/>
    </row>
    <row r="13">
      <c r="A13" s="189" t="str">
        <f>IFERROR(__xludf.DUMMYFUNCTION("""COMPUTED_VALUE"""),"The Ultimates (ex)")</f>
        <v>The Ultimates (ex)</v>
      </c>
      <c r="B13" s="198" t="str">
        <f>IFERROR(__xludf.DUMMYFUNCTION("""COMPUTED_VALUE"""),"KHaaLiD")</f>
        <v>KHaaLiD</v>
      </c>
      <c r="C13" s="198">
        <v>177.0</v>
      </c>
      <c r="D13" s="198">
        <v>182.0</v>
      </c>
      <c r="E13" s="198">
        <v>303.0</v>
      </c>
      <c r="F13" s="198">
        <v>172.0</v>
      </c>
      <c r="G13" s="198">
        <v>214.0</v>
      </c>
      <c r="H13" s="198">
        <v>121.0</v>
      </c>
      <c r="I13" s="198">
        <v>12.0</v>
      </c>
      <c r="J13" s="198">
        <v>23.0</v>
      </c>
      <c r="K13" s="199">
        <v>0.8037383177570093</v>
      </c>
      <c r="L13" s="199">
        <v>1.3691588785046729</v>
      </c>
      <c r="M13" s="200">
        <v>0.11551155115511551</v>
      </c>
      <c r="N13" s="200">
        <v>0.039603960396039604</v>
      </c>
      <c r="O13" s="200">
        <v>0.07590759075907591</v>
      </c>
      <c r="P13" s="200">
        <v>0.34285714285714286</v>
      </c>
      <c r="Q13" s="198">
        <v>31.0</v>
      </c>
      <c r="R13" s="198">
        <v>6.0</v>
      </c>
      <c r="S13" s="200">
        <v>0.1935483870967742</v>
      </c>
      <c r="T13" s="198" t="s">
        <v>211</v>
      </c>
      <c r="U13" s="198"/>
      <c r="V13" s="198"/>
      <c r="W13" s="198"/>
      <c r="X13" s="198"/>
      <c r="Y13" s="198"/>
      <c r="Z13" s="198"/>
    </row>
    <row r="14">
      <c r="A14" s="189" t="str">
        <f>IFERROR(__xludf.DUMMYFUNCTION("""COMPUTED_VALUE"""),"The Ultimates")</f>
        <v>The Ultimates</v>
      </c>
      <c r="B14" s="198" t="str">
        <f>IFERROR(__xludf.DUMMYFUNCTION("""COMPUTED_VALUE"""),"b1sk")</f>
        <v>b1sk</v>
      </c>
      <c r="C14" s="198">
        <v>225.0</v>
      </c>
      <c r="D14" s="198">
        <v>234.0</v>
      </c>
      <c r="E14" s="198">
        <v>721.0</v>
      </c>
      <c r="F14" s="198">
        <v>549.0</v>
      </c>
      <c r="G14" s="198">
        <v>511.0</v>
      </c>
      <c r="H14" s="198">
        <v>135.0</v>
      </c>
      <c r="I14" s="198">
        <v>142.0</v>
      </c>
      <c r="J14" s="198">
        <v>119.0</v>
      </c>
      <c r="K14" s="199">
        <v>1.0743639921722115</v>
      </c>
      <c r="L14" s="199">
        <v>1.3385518590998042</v>
      </c>
      <c r="M14" s="200">
        <v>0.361997226074896</v>
      </c>
      <c r="N14" s="200">
        <v>0.19694868238557559</v>
      </c>
      <c r="O14" s="200">
        <v>0.1650485436893204</v>
      </c>
      <c r="P14" s="200">
        <v>0.5440613026819924</v>
      </c>
      <c r="Q14" s="198">
        <v>52.0</v>
      </c>
      <c r="R14" s="198">
        <v>10.0</v>
      </c>
      <c r="S14" s="200">
        <v>0.19230769230769232</v>
      </c>
      <c r="T14" s="201">
        <v>0.72</v>
      </c>
      <c r="U14" s="198"/>
      <c r="V14" s="198"/>
      <c r="W14" s="198"/>
      <c r="X14" s="198"/>
      <c r="Y14" s="198"/>
      <c r="Z14" s="198"/>
    </row>
    <row r="15">
      <c r="A15" s="189" t="str">
        <f>IFERROR(__xludf.DUMMYFUNCTION("""COMPUTED_VALUE"""),"The Ultimates")</f>
        <v>The Ultimates</v>
      </c>
      <c r="B15" s="198" t="str">
        <f>IFERROR(__xludf.DUMMYFUNCTION("""COMPUTED_VALUE"""),"SpY")</f>
        <v>SpY</v>
      </c>
      <c r="C15" s="198">
        <v>201.0</v>
      </c>
      <c r="D15" s="198">
        <v>212.0</v>
      </c>
      <c r="E15" s="198">
        <v>721.0</v>
      </c>
      <c r="F15" s="198">
        <v>501.0</v>
      </c>
      <c r="G15" s="198">
        <v>503.0</v>
      </c>
      <c r="H15" s="198">
        <v>235.0</v>
      </c>
      <c r="I15" s="198">
        <v>54.0</v>
      </c>
      <c r="J15" s="198">
        <v>59.0</v>
      </c>
      <c r="K15" s="199">
        <v>0.9960238568588469</v>
      </c>
      <c r="L15" s="199">
        <v>1.463220675944334</v>
      </c>
      <c r="M15" s="200">
        <v>0.15672676837725383</v>
      </c>
      <c r="N15" s="200">
        <v>0.07489597780859916</v>
      </c>
      <c r="O15" s="200">
        <v>0.08183079056865465</v>
      </c>
      <c r="P15" s="200">
        <v>0.4778761061946903</v>
      </c>
      <c r="Q15" s="198">
        <v>93.0</v>
      </c>
      <c r="R15" s="198">
        <v>18.0</v>
      </c>
      <c r="S15" s="200">
        <v>0.1935483870967742</v>
      </c>
      <c r="T15" s="201">
        <v>0.72</v>
      </c>
      <c r="U15" s="198"/>
      <c r="V15" s="198"/>
      <c r="W15" s="198"/>
      <c r="X15" s="198"/>
      <c r="Y15" s="198"/>
      <c r="Z15" s="198"/>
    </row>
    <row r="16">
      <c r="A16" s="189" t="str">
        <f>IFERROR(__xludf.DUMMYFUNCTION("""COMPUTED_VALUE"""),"The Ultimates")</f>
        <v>The Ultimates</v>
      </c>
      <c r="B16" s="198" t="str">
        <f>IFERROR(__xludf.DUMMYFUNCTION("""COMPUTED_VALUE"""),"Moh")</f>
        <v>Moh</v>
      </c>
      <c r="C16" s="198">
        <v>190.0</v>
      </c>
      <c r="D16" s="198">
        <v>203.0</v>
      </c>
      <c r="E16" s="198">
        <v>698.0</v>
      </c>
      <c r="F16" s="198">
        <v>468.0</v>
      </c>
      <c r="G16" s="198">
        <v>481.0</v>
      </c>
      <c r="H16" s="198">
        <v>219.0</v>
      </c>
      <c r="I16" s="198">
        <v>54.0</v>
      </c>
      <c r="J16" s="198">
        <v>86.0</v>
      </c>
      <c r="K16" s="199">
        <v>0.972972972972973</v>
      </c>
      <c r="L16" s="199">
        <v>1.4282744282744282</v>
      </c>
      <c r="M16" s="200">
        <v>0.20057306590257878</v>
      </c>
      <c r="N16" s="200">
        <v>0.07736389684813753</v>
      </c>
      <c r="O16" s="200">
        <v>0.12320916905444126</v>
      </c>
      <c r="P16" s="200">
        <v>0.38571428571428573</v>
      </c>
      <c r="Q16" s="198">
        <v>78.0</v>
      </c>
      <c r="R16" s="198">
        <v>7.0</v>
      </c>
      <c r="S16" s="200">
        <v>0.08974358974358974</v>
      </c>
      <c r="T16" s="201">
        <v>0.68</v>
      </c>
      <c r="U16" s="198"/>
      <c r="V16" s="198"/>
      <c r="W16" s="198"/>
      <c r="X16" s="198"/>
      <c r="Y16" s="198"/>
      <c r="Z16" s="198"/>
    </row>
    <row r="17">
      <c r="A17" s="189" t="str">
        <f>IFERROR(__xludf.DUMMYFUNCTION("""COMPUTED_VALUE"""),"The Ultimates")</f>
        <v>The Ultimates</v>
      </c>
      <c r="B17" s="198" t="str">
        <f>IFERROR(__xludf.DUMMYFUNCTION("""COMPUTED_VALUE"""),"Fighter")</f>
        <v>Fighter</v>
      </c>
      <c r="C17" s="198">
        <v>183.0</v>
      </c>
      <c r="D17" s="198">
        <v>195.0</v>
      </c>
      <c r="E17" s="198">
        <v>630.0</v>
      </c>
      <c r="F17" s="198">
        <v>418.0</v>
      </c>
      <c r="G17" s="198">
        <v>447.0</v>
      </c>
      <c r="H17" s="198">
        <v>140.0</v>
      </c>
      <c r="I17" s="198">
        <v>36.0</v>
      </c>
      <c r="J17" s="198">
        <v>50.0</v>
      </c>
      <c r="K17" s="199">
        <v>0.9351230425055929</v>
      </c>
      <c r="L17" s="199">
        <v>1.2483221476510067</v>
      </c>
      <c r="M17" s="200">
        <v>0.1365079365079365</v>
      </c>
      <c r="N17" s="200">
        <v>0.05714285714285714</v>
      </c>
      <c r="O17" s="200">
        <v>0.07936507936507936</v>
      </c>
      <c r="P17" s="200">
        <v>0.4186046511627907</v>
      </c>
      <c r="Q17" s="198">
        <v>70.0</v>
      </c>
      <c r="R17" s="198">
        <v>12.0</v>
      </c>
      <c r="S17" s="200">
        <v>0.17142857142857143</v>
      </c>
      <c r="T17" s="201">
        <v>0.63</v>
      </c>
      <c r="U17" s="198"/>
      <c r="V17" s="198"/>
      <c r="W17" s="198"/>
      <c r="X17" s="198"/>
      <c r="Y17" s="198"/>
      <c r="Z17" s="198"/>
    </row>
    <row r="18">
      <c r="A18" s="189" t="str">
        <f>IFERROR(__xludf.DUMMYFUNCTION("""COMPUTED_VALUE"""),"The Ultimates")</f>
        <v>The Ultimates</v>
      </c>
      <c r="B18" s="198" t="str">
        <f>IFERROR(__xludf.DUMMYFUNCTION("""COMPUTED_VALUE"""),"Recoil")</f>
        <v>Recoil</v>
      </c>
      <c r="C18" s="198">
        <v>202.0</v>
      </c>
      <c r="D18" s="198">
        <v>202.0</v>
      </c>
      <c r="E18" s="198">
        <v>418.0</v>
      </c>
      <c r="F18" s="198">
        <v>297.0</v>
      </c>
      <c r="G18" s="198">
        <v>292.0</v>
      </c>
      <c r="H18" s="198">
        <v>120.0</v>
      </c>
      <c r="I18" s="198">
        <v>34.0</v>
      </c>
      <c r="J18" s="198">
        <v>25.0</v>
      </c>
      <c r="K18" s="199">
        <v>1.0171232876712328</v>
      </c>
      <c r="L18" s="199">
        <v>1.428082191780822</v>
      </c>
      <c r="M18" s="200">
        <v>0.14114832535885166</v>
      </c>
      <c r="N18" s="200">
        <v>0.08133971291866028</v>
      </c>
      <c r="O18" s="200">
        <v>0.05980861244019139</v>
      </c>
      <c r="P18" s="200">
        <v>0.576271186440678</v>
      </c>
      <c r="Q18" s="198">
        <v>56.0</v>
      </c>
      <c r="R18" s="198">
        <v>6.0</v>
      </c>
      <c r="S18" s="200">
        <v>0.10714285714285714</v>
      </c>
      <c r="T18" s="201">
        <v>0.74</v>
      </c>
      <c r="U18" s="198"/>
      <c r="V18" s="198"/>
      <c r="W18" s="198"/>
      <c r="X18" s="198"/>
      <c r="Y18" s="198"/>
      <c r="Z18" s="198"/>
    </row>
    <row r="19">
      <c r="A19" s="189" t="str">
        <f>IFERROR(__xludf.DUMMYFUNCTION("""COMPUTED_VALUE"""),"The Ultimates")</f>
        <v>The Ultimates</v>
      </c>
      <c r="B19" s="198" t="str">
        <f>IFERROR(__xludf.DUMMYFUNCTION("""COMPUTED_VALUE"""),"Erick")</f>
        <v>Erick</v>
      </c>
      <c r="C19" s="198">
        <v>190.0</v>
      </c>
      <c r="D19" s="198">
        <v>206.0</v>
      </c>
      <c r="E19" s="198">
        <v>114.0</v>
      </c>
      <c r="F19" s="198">
        <v>59.0</v>
      </c>
      <c r="G19" s="198">
        <v>86.0</v>
      </c>
      <c r="H19" s="198">
        <v>29.0</v>
      </c>
      <c r="I19" s="198">
        <v>5.0</v>
      </c>
      <c r="J19" s="198">
        <v>14.0</v>
      </c>
      <c r="K19" s="199">
        <v>0.686046511627907</v>
      </c>
      <c r="L19" s="199">
        <v>1.0232558139534884</v>
      </c>
      <c r="M19" s="200">
        <v>0.16666666666666666</v>
      </c>
      <c r="N19" s="200">
        <v>0.043859649122807015</v>
      </c>
      <c r="O19" s="200">
        <v>0.12280701754385964</v>
      </c>
      <c r="P19" s="200">
        <v>0.2631578947368421</v>
      </c>
      <c r="Q19" s="198">
        <v>22.0</v>
      </c>
      <c r="R19" s="198">
        <v>0.0</v>
      </c>
      <c r="S19" s="200">
        <v>0.0</v>
      </c>
      <c r="T19" s="198" t="s">
        <v>211</v>
      </c>
      <c r="U19" s="198"/>
      <c r="V19" s="198"/>
      <c r="W19" s="198"/>
      <c r="X19" s="198"/>
      <c r="Y19" s="198"/>
      <c r="Z19" s="198"/>
    </row>
    <row r="20">
      <c r="A20" s="189" t="str">
        <f>IFERROR(__xludf.DUMMYFUNCTION("""COMPUTED_VALUE"""),"Team Liquid Academy")</f>
        <v>Team Liquid Academy</v>
      </c>
      <c r="B20" s="198" t="str">
        <f>IFERROR(__xludf.DUMMYFUNCTION("""COMPUTED_VALUE"""),"GSR")</f>
        <v>GSR</v>
      </c>
      <c r="C20" s="198">
        <v>233.0</v>
      </c>
      <c r="D20" s="198">
        <v>232.0</v>
      </c>
      <c r="E20" s="198">
        <v>641.0</v>
      </c>
      <c r="F20" s="198">
        <v>529.0</v>
      </c>
      <c r="G20" s="198">
        <v>431.0</v>
      </c>
      <c r="H20" s="198">
        <v>184.0</v>
      </c>
      <c r="I20" s="198">
        <v>97.0</v>
      </c>
      <c r="J20" s="198">
        <v>81.0</v>
      </c>
      <c r="K20" s="199">
        <v>1.2273781902552203</v>
      </c>
      <c r="L20" s="199">
        <v>1.654292343387471</v>
      </c>
      <c r="M20" s="200">
        <v>0.27769110764430577</v>
      </c>
      <c r="N20" s="200">
        <v>0.15132605304212168</v>
      </c>
      <c r="O20" s="200">
        <v>0.12636505460218408</v>
      </c>
      <c r="P20" s="200">
        <v>0.5449438202247191</v>
      </c>
      <c r="Q20" s="198">
        <v>45.0</v>
      </c>
      <c r="R20" s="198">
        <v>8.0</v>
      </c>
      <c r="S20" s="200">
        <v>0.17777777777777778</v>
      </c>
      <c r="T20" s="201">
        <v>0.75</v>
      </c>
      <c r="U20" s="198"/>
      <c r="V20" s="198"/>
      <c r="W20" s="198"/>
      <c r="X20" s="198"/>
      <c r="Y20" s="198"/>
      <c r="Z20" s="198"/>
    </row>
    <row r="21">
      <c r="A21" s="189" t="str">
        <f>IFERROR(__xludf.DUMMYFUNCTION("""COMPUTED_VALUE"""),"Team Liquid Academy")</f>
        <v>Team Liquid Academy</v>
      </c>
      <c r="B21" s="198" t="str">
        <f>IFERROR(__xludf.DUMMYFUNCTION("""COMPUTED_VALUE"""),"rexxtoned")</f>
        <v>rexxtoned</v>
      </c>
      <c r="C21" s="198">
        <v>205.0</v>
      </c>
      <c r="D21" s="198">
        <v>196.0</v>
      </c>
      <c r="E21" s="198">
        <v>641.0</v>
      </c>
      <c r="F21" s="198">
        <v>492.0</v>
      </c>
      <c r="G21" s="198">
        <v>385.0</v>
      </c>
      <c r="H21" s="198">
        <v>146.0</v>
      </c>
      <c r="I21" s="198">
        <v>46.0</v>
      </c>
      <c r="J21" s="198">
        <v>35.0</v>
      </c>
      <c r="K21" s="199">
        <v>1.277922077922078</v>
      </c>
      <c r="L21" s="199">
        <v>1.6571428571428573</v>
      </c>
      <c r="M21" s="200">
        <v>0.12636505460218408</v>
      </c>
      <c r="N21" s="200">
        <v>0.0717628705148206</v>
      </c>
      <c r="O21" s="200">
        <v>0.054602184087363496</v>
      </c>
      <c r="P21" s="200">
        <v>0.5679012345679012</v>
      </c>
      <c r="Q21" s="198">
        <v>89.0</v>
      </c>
      <c r="R21" s="198">
        <v>11.0</v>
      </c>
      <c r="S21" s="200">
        <v>0.12359550561797752</v>
      </c>
      <c r="T21" s="201">
        <v>0.75</v>
      </c>
      <c r="U21" s="198"/>
      <c r="V21" s="198"/>
      <c r="W21" s="198"/>
      <c r="X21" s="198"/>
      <c r="Y21" s="198"/>
      <c r="Z21" s="198"/>
    </row>
    <row r="22">
      <c r="A22" s="189" t="str">
        <f>IFERROR(__xludf.DUMMYFUNCTION("""COMPUTED_VALUE"""),"Team Liquid Academy")</f>
        <v>Team Liquid Academy</v>
      </c>
      <c r="B22" s="198" t="str">
        <f>IFERROR(__xludf.DUMMYFUNCTION("""COMPUTED_VALUE"""),"Donatello")</f>
        <v>Donatello</v>
      </c>
      <c r="C22" s="198">
        <v>213.0</v>
      </c>
      <c r="D22" s="198">
        <v>216.0</v>
      </c>
      <c r="E22" s="198">
        <v>641.0</v>
      </c>
      <c r="F22" s="198">
        <v>478.0</v>
      </c>
      <c r="G22" s="198">
        <v>483.0</v>
      </c>
      <c r="H22" s="198">
        <v>115.0</v>
      </c>
      <c r="I22" s="198">
        <v>109.0</v>
      </c>
      <c r="J22" s="198">
        <v>111.0</v>
      </c>
      <c r="K22" s="199">
        <v>0.989648033126294</v>
      </c>
      <c r="L22" s="199">
        <v>1.2277432712215322</v>
      </c>
      <c r="M22" s="200">
        <v>0.34321372854914195</v>
      </c>
      <c r="N22" s="200">
        <v>0.17004680187207488</v>
      </c>
      <c r="O22" s="200">
        <v>0.1731669266770671</v>
      </c>
      <c r="P22" s="200">
        <v>0.4954545454545455</v>
      </c>
      <c r="Q22" s="198">
        <v>37.0</v>
      </c>
      <c r="R22" s="198">
        <v>4.0</v>
      </c>
      <c r="S22" s="200">
        <v>0.10810810810810811</v>
      </c>
      <c r="T22" s="201">
        <v>0.67</v>
      </c>
      <c r="U22" s="198"/>
      <c r="V22" s="198"/>
      <c r="W22" s="198"/>
      <c r="X22" s="198"/>
      <c r="Y22" s="198"/>
      <c r="Z22" s="198"/>
    </row>
    <row r="23">
      <c r="A23" s="189" t="str">
        <f>IFERROR(__xludf.DUMMYFUNCTION("""COMPUTED_VALUE"""),"Team Liquid Academy")</f>
        <v>Team Liquid Academy</v>
      </c>
      <c r="B23" s="198" t="str">
        <f>IFERROR(__xludf.DUMMYFUNCTION("""COMPUTED_VALUE"""),"NINJA")</f>
        <v>NINJA</v>
      </c>
      <c r="C23" s="198">
        <v>201.0</v>
      </c>
      <c r="D23" s="198">
        <v>203.0</v>
      </c>
      <c r="E23" s="198">
        <v>641.0</v>
      </c>
      <c r="F23" s="198">
        <v>459.0</v>
      </c>
      <c r="G23" s="198">
        <v>411.0</v>
      </c>
      <c r="H23" s="198">
        <v>193.0</v>
      </c>
      <c r="I23" s="198">
        <v>45.0</v>
      </c>
      <c r="J23" s="198">
        <v>43.0</v>
      </c>
      <c r="K23" s="199">
        <v>1.1167883211678833</v>
      </c>
      <c r="L23" s="199">
        <v>1.586374695863747</v>
      </c>
      <c r="M23" s="200">
        <v>0.1372854914196568</v>
      </c>
      <c r="N23" s="200">
        <v>0.07020280811232449</v>
      </c>
      <c r="O23" s="200">
        <v>0.06708268330733229</v>
      </c>
      <c r="P23" s="200">
        <v>0.5113636363636364</v>
      </c>
      <c r="Q23" s="198">
        <v>81.0</v>
      </c>
      <c r="R23" s="198">
        <v>11.0</v>
      </c>
      <c r="S23" s="200">
        <v>0.13580246913580246</v>
      </c>
      <c r="T23" s="201">
        <v>0.75</v>
      </c>
      <c r="U23" s="198"/>
      <c r="V23" s="198"/>
      <c r="W23" s="198"/>
      <c r="X23" s="198"/>
      <c r="Y23" s="198"/>
      <c r="Z23" s="198"/>
    </row>
    <row r="24">
      <c r="A24" s="189" t="str">
        <f>IFERROR(__xludf.DUMMYFUNCTION("""COMPUTED_VALUE"""),"Team Liquid Academy")</f>
        <v>Team Liquid Academy</v>
      </c>
      <c r="B24" s="198" t="str">
        <f>IFERROR(__xludf.DUMMYFUNCTION("""COMPUTED_VALUE"""),"Qpert")</f>
        <v>Qpert</v>
      </c>
      <c r="C24" s="198">
        <v>179.0</v>
      </c>
      <c r="D24" s="198">
        <v>168.0</v>
      </c>
      <c r="E24" s="198">
        <v>641.0</v>
      </c>
      <c r="F24" s="198">
        <v>399.0</v>
      </c>
      <c r="G24" s="198">
        <v>390.0</v>
      </c>
      <c r="H24" s="198">
        <v>287.0</v>
      </c>
      <c r="I24" s="198">
        <v>37.0</v>
      </c>
      <c r="J24" s="198">
        <v>40.0</v>
      </c>
      <c r="K24" s="199">
        <v>1.023076923076923</v>
      </c>
      <c r="L24" s="199">
        <v>1.758974358974359</v>
      </c>
      <c r="M24" s="200">
        <v>0.12012480499219969</v>
      </c>
      <c r="N24" s="200">
        <v>0.057722308892355696</v>
      </c>
      <c r="O24" s="200">
        <v>0.062402496099843996</v>
      </c>
      <c r="P24" s="200">
        <v>0.4805194805194805</v>
      </c>
      <c r="Q24" s="198">
        <v>70.0</v>
      </c>
      <c r="R24" s="198">
        <v>15.0</v>
      </c>
      <c r="S24" s="200">
        <v>0.21428571428571427</v>
      </c>
      <c r="T24" s="201">
        <v>0.77</v>
      </c>
      <c r="U24" s="198"/>
      <c r="V24" s="198"/>
      <c r="W24" s="198"/>
      <c r="X24" s="198"/>
      <c r="Y24" s="198"/>
      <c r="Z24" s="198"/>
    </row>
    <row r="25">
      <c r="A25" s="189" t="str">
        <f>IFERROR(__xludf.DUMMYFUNCTION("""COMPUTED_VALUE"""),"MOUZ")</f>
        <v>MOUZ</v>
      </c>
      <c r="B25" s="198" t="str">
        <f>IFERROR(__xludf.DUMMYFUNCTION("""COMPUTED_VALUE"""),"bipo")</f>
        <v>bipo</v>
      </c>
      <c r="C25" s="198">
        <v>247.0</v>
      </c>
      <c r="D25" s="198">
        <v>242.0</v>
      </c>
      <c r="E25" s="198">
        <v>567.0</v>
      </c>
      <c r="F25" s="198">
        <v>512.0</v>
      </c>
      <c r="G25" s="198">
        <v>371.0</v>
      </c>
      <c r="H25" s="198">
        <v>106.0</v>
      </c>
      <c r="I25" s="198">
        <v>110.0</v>
      </c>
      <c r="J25" s="198">
        <v>68.0</v>
      </c>
      <c r="K25" s="199">
        <v>1.3800539083557952</v>
      </c>
      <c r="L25" s="199">
        <v>1.6657681940700808</v>
      </c>
      <c r="M25" s="200">
        <v>0.31393298059964725</v>
      </c>
      <c r="N25" s="200">
        <v>0.19400352733686066</v>
      </c>
      <c r="O25" s="200">
        <v>0.11992945326278659</v>
      </c>
      <c r="P25" s="200">
        <v>0.6179775280898876</v>
      </c>
      <c r="Q25" s="198">
        <v>39.0</v>
      </c>
      <c r="R25" s="198">
        <v>5.0</v>
      </c>
      <c r="S25" s="200">
        <v>0.1282051282051282</v>
      </c>
      <c r="T25" s="201">
        <v>0.75</v>
      </c>
      <c r="U25" s="198"/>
      <c r="V25" s="198"/>
      <c r="W25" s="198"/>
      <c r="X25" s="198"/>
      <c r="Y25" s="198"/>
      <c r="Z25" s="198"/>
    </row>
    <row r="26">
      <c r="A26" s="189" t="str">
        <f>IFERROR(__xludf.DUMMYFUNCTION("""COMPUTED_VALUE"""),"MOUZ")</f>
        <v>MOUZ</v>
      </c>
      <c r="B26" s="198" t="str">
        <f>IFERROR(__xludf.DUMMYFUNCTION("""COMPUTED_VALUE"""),"Fizzy")</f>
        <v>Fizzy</v>
      </c>
      <c r="C26" s="198">
        <v>223.0</v>
      </c>
      <c r="D26" s="198">
        <v>216.0</v>
      </c>
      <c r="E26" s="198">
        <v>567.0</v>
      </c>
      <c r="F26" s="198">
        <v>459.0</v>
      </c>
      <c r="G26" s="198">
        <v>327.0</v>
      </c>
      <c r="H26" s="198">
        <v>119.0</v>
      </c>
      <c r="I26" s="198">
        <v>68.0</v>
      </c>
      <c r="J26" s="198">
        <v>31.0</v>
      </c>
      <c r="K26" s="199">
        <v>1.4036697247706422</v>
      </c>
      <c r="L26" s="199">
        <v>1.7675840978593271</v>
      </c>
      <c r="M26" s="200">
        <v>0.1746031746031746</v>
      </c>
      <c r="N26" s="200">
        <v>0.11992945326278659</v>
      </c>
      <c r="O26" s="200">
        <v>0.054673721340388004</v>
      </c>
      <c r="P26" s="200">
        <v>0.6868686868686869</v>
      </c>
      <c r="Q26" s="198">
        <v>88.0</v>
      </c>
      <c r="R26" s="198">
        <v>14.0</v>
      </c>
      <c r="S26" s="200">
        <v>0.1590909090909091</v>
      </c>
      <c r="T26" s="201">
        <v>0.75</v>
      </c>
      <c r="U26" s="198"/>
      <c r="V26" s="198"/>
      <c r="W26" s="198"/>
      <c r="X26" s="198"/>
      <c r="Y26" s="198"/>
      <c r="Z26" s="198"/>
    </row>
    <row r="27">
      <c r="A27" s="189" t="str">
        <f>IFERROR(__xludf.DUMMYFUNCTION("""COMPUTED_VALUE"""),"MOUZ")</f>
        <v>MOUZ</v>
      </c>
      <c r="B27" s="198" t="str">
        <f>IFERROR(__xludf.DUMMYFUNCTION("""COMPUTED_VALUE"""),"Lime")</f>
        <v>Lime</v>
      </c>
      <c r="C27" s="198">
        <v>221.0</v>
      </c>
      <c r="D27" s="198">
        <v>217.0</v>
      </c>
      <c r="E27" s="198">
        <v>567.0</v>
      </c>
      <c r="F27" s="198">
        <v>445.0</v>
      </c>
      <c r="G27" s="198">
        <v>360.0</v>
      </c>
      <c r="H27" s="198">
        <v>201.0</v>
      </c>
      <c r="I27" s="198">
        <v>80.0</v>
      </c>
      <c r="J27" s="198">
        <v>44.0</v>
      </c>
      <c r="K27" s="199">
        <v>1.2361111111111112</v>
      </c>
      <c r="L27" s="199">
        <v>1.7944444444444445</v>
      </c>
      <c r="M27" s="200">
        <v>0.21869488536155202</v>
      </c>
      <c r="N27" s="200">
        <v>0.14109347442680775</v>
      </c>
      <c r="O27" s="200">
        <v>0.07760141093474426</v>
      </c>
      <c r="P27" s="200">
        <v>0.6451612903225806</v>
      </c>
      <c r="Q27" s="198">
        <v>32.0</v>
      </c>
      <c r="R27" s="198">
        <v>5.0</v>
      </c>
      <c r="S27" s="200">
        <v>0.15625</v>
      </c>
      <c r="T27" s="201">
        <v>0.79</v>
      </c>
      <c r="U27" s="198"/>
      <c r="V27" s="198"/>
      <c r="W27" s="198"/>
      <c r="X27" s="198"/>
      <c r="Y27" s="198"/>
      <c r="Z27" s="198"/>
    </row>
    <row r="28">
      <c r="A28" s="189" t="str">
        <f>IFERROR(__xludf.DUMMYFUNCTION("""COMPUTED_VALUE"""),"MOUZ")</f>
        <v>MOUZ</v>
      </c>
      <c r="B28" s="198" t="str">
        <f>IFERROR(__xludf.DUMMYFUNCTION("""COMPUTED_VALUE"""),"iluri")</f>
        <v>iluri</v>
      </c>
      <c r="C28" s="198">
        <v>188.0</v>
      </c>
      <c r="D28" s="198">
        <v>176.0</v>
      </c>
      <c r="E28" s="198">
        <v>567.0</v>
      </c>
      <c r="F28" s="198">
        <v>379.0</v>
      </c>
      <c r="G28" s="198">
        <v>344.0</v>
      </c>
      <c r="H28" s="198">
        <v>189.0</v>
      </c>
      <c r="I28" s="198">
        <v>46.0</v>
      </c>
      <c r="J28" s="198">
        <v>36.0</v>
      </c>
      <c r="K28" s="199">
        <v>1.1017441860465116</v>
      </c>
      <c r="L28" s="199">
        <v>1.6511627906976745</v>
      </c>
      <c r="M28" s="200">
        <v>0.14462081128747795</v>
      </c>
      <c r="N28" s="200">
        <v>0.08112874779541446</v>
      </c>
      <c r="O28" s="200">
        <v>0.06349206349206349</v>
      </c>
      <c r="P28" s="200">
        <v>0.5609756097560976</v>
      </c>
      <c r="Q28" s="198">
        <v>53.0</v>
      </c>
      <c r="R28" s="198">
        <v>14.0</v>
      </c>
      <c r="S28" s="200">
        <v>0.2641509433962264</v>
      </c>
      <c r="T28" s="201">
        <v>0.83</v>
      </c>
      <c r="U28" s="198"/>
      <c r="V28" s="198"/>
      <c r="W28" s="198"/>
      <c r="X28" s="198"/>
      <c r="Y28" s="198"/>
      <c r="Z28" s="198"/>
    </row>
    <row r="29">
      <c r="A29" s="189" t="str">
        <f>IFERROR(__xludf.DUMMYFUNCTION("""COMPUTED_VALUE"""),"MOUZ")</f>
        <v>MOUZ</v>
      </c>
      <c r="B29" s="198" t="str">
        <f>IFERROR(__xludf.DUMMYFUNCTION("""COMPUTED_VALUE"""),"Obnoks")</f>
        <v>Obnoks</v>
      </c>
      <c r="C29" s="198">
        <v>185.0</v>
      </c>
      <c r="D29" s="198">
        <v>201.0</v>
      </c>
      <c r="E29" s="198">
        <v>567.0</v>
      </c>
      <c r="F29" s="198">
        <v>369.0</v>
      </c>
      <c r="G29" s="198">
        <v>383.0</v>
      </c>
      <c r="H29" s="198">
        <v>211.0</v>
      </c>
      <c r="I29" s="198">
        <v>45.0</v>
      </c>
      <c r="J29" s="198">
        <v>42.0</v>
      </c>
      <c r="K29" s="199">
        <v>0.9634464751958225</v>
      </c>
      <c r="L29" s="199">
        <v>1.514360313315927</v>
      </c>
      <c r="M29" s="200">
        <v>0.15343915343915343</v>
      </c>
      <c r="N29" s="200">
        <v>0.07936507936507936</v>
      </c>
      <c r="O29" s="200">
        <v>0.07407407407407407</v>
      </c>
      <c r="P29" s="200">
        <v>0.5172413793103449</v>
      </c>
      <c r="Q29" s="198">
        <v>53.0</v>
      </c>
      <c r="R29" s="198">
        <v>5.0</v>
      </c>
      <c r="S29" s="200">
        <v>0.09433962264150944</v>
      </c>
      <c r="T29" s="201">
        <v>0.73</v>
      </c>
      <c r="U29" s="198"/>
      <c r="V29" s="198"/>
      <c r="W29" s="198"/>
      <c r="X29" s="198"/>
      <c r="Y29" s="198"/>
      <c r="Z29" s="198"/>
    </row>
    <row r="30">
      <c r="A30" s="189" t="str">
        <f>IFERROR(__xludf.DUMMYFUNCTION("""COMPUTED_VALUE"""),"Mandatory")</f>
        <v>Mandatory</v>
      </c>
      <c r="B30" s="198" t="str">
        <f>IFERROR(__xludf.DUMMYFUNCTION("""COMPUTED_VALUE"""),"TakaS")</f>
        <v>TakaS</v>
      </c>
      <c r="C30" s="198">
        <v>216.0</v>
      </c>
      <c r="D30" s="198">
        <v>216.0</v>
      </c>
      <c r="E30" s="198">
        <v>485.0</v>
      </c>
      <c r="F30" s="198">
        <v>380.0</v>
      </c>
      <c r="G30" s="198">
        <v>349.0</v>
      </c>
      <c r="H30" s="198">
        <v>116.0</v>
      </c>
      <c r="I30" s="198">
        <v>51.0</v>
      </c>
      <c r="J30" s="198">
        <v>55.0</v>
      </c>
      <c r="K30" s="199">
        <v>1.0888252148997135</v>
      </c>
      <c r="L30" s="199">
        <v>1.4212034383954155</v>
      </c>
      <c r="M30" s="200">
        <v>0.21855670103092784</v>
      </c>
      <c r="N30" s="200">
        <v>0.10515463917525773</v>
      </c>
      <c r="O30" s="200">
        <v>0.1134020618556701</v>
      </c>
      <c r="P30" s="200">
        <v>0.4811320754716981</v>
      </c>
      <c r="Q30" s="198">
        <v>40.0</v>
      </c>
      <c r="R30" s="198">
        <v>5.0</v>
      </c>
      <c r="S30" s="200">
        <v>0.125</v>
      </c>
      <c r="T30" s="201">
        <v>0.69</v>
      </c>
      <c r="U30" s="198"/>
      <c r="V30" s="198"/>
      <c r="W30" s="198"/>
      <c r="X30" s="198"/>
      <c r="Y30" s="198"/>
      <c r="Z30" s="198"/>
    </row>
    <row r="31">
      <c r="A31" s="189" t="str">
        <f>IFERROR(__xludf.DUMMYFUNCTION("""COMPUTED_VALUE"""),"Mandatory")</f>
        <v>Mandatory</v>
      </c>
      <c r="B31" s="198" t="str">
        <f>IFERROR(__xludf.DUMMYFUNCTION("""COMPUTED_VALUE"""),"keloqz")</f>
        <v>keloqz</v>
      </c>
      <c r="C31" s="198">
        <v>200.0</v>
      </c>
      <c r="D31" s="198">
        <v>207.0</v>
      </c>
      <c r="E31" s="198">
        <v>485.0</v>
      </c>
      <c r="F31" s="198">
        <v>350.0</v>
      </c>
      <c r="G31" s="198">
        <v>360.0</v>
      </c>
      <c r="H31" s="198">
        <v>81.0</v>
      </c>
      <c r="I31" s="198">
        <v>85.0</v>
      </c>
      <c r="J31" s="198">
        <v>79.0</v>
      </c>
      <c r="K31" s="199">
        <v>0.9722222222222222</v>
      </c>
      <c r="L31" s="199">
        <v>1.1972222222222222</v>
      </c>
      <c r="M31" s="200">
        <v>0.33814432989690724</v>
      </c>
      <c r="N31" s="200">
        <v>0.17525773195876287</v>
      </c>
      <c r="O31" s="200">
        <v>0.16288659793814433</v>
      </c>
      <c r="P31" s="200">
        <v>0.5182926829268293</v>
      </c>
      <c r="Q31" s="198">
        <v>32.0</v>
      </c>
      <c r="R31" s="198">
        <v>3.0</v>
      </c>
      <c r="S31" s="200">
        <v>0.09375</v>
      </c>
      <c r="T31" s="201">
        <v>0.67</v>
      </c>
      <c r="U31" s="198"/>
      <c r="V31" s="198"/>
      <c r="W31" s="198"/>
      <c r="X31" s="198"/>
      <c r="Y31" s="198"/>
      <c r="Z31" s="198"/>
    </row>
    <row r="32">
      <c r="A32" s="189" t="str">
        <f>IFERROR(__xludf.DUMMYFUNCTION("""COMPUTED_VALUE"""),"Mandatory")</f>
        <v>Mandatory</v>
      </c>
      <c r="B32" s="198" t="str">
        <f>IFERROR(__xludf.DUMMYFUNCTION("""COMPUTED_VALUE"""),"mikee")</f>
        <v>mikee</v>
      </c>
      <c r="C32" s="198">
        <v>202.0</v>
      </c>
      <c r="D32" s="198">
        <v>190.0</v>
      </c>
      <c r="E32" s="198">
        <v>485.0</v>
      </c>
      <c r="F32" s="198">
        <v>338.0</v>
      </c>
      <c r="G32" s="198">
        <v>335.0</v>
      </c>
      <c r="H32" s="198">
        <v>180.0</v>
      </c>
      <c r="I32" s="198">
        <v>38.0</v>
      </c>
      <c r="J32" s="198">
        <v>39.0</v>
      </c>
      <c r="K32" s="199">
        <v>1.008955223880597</v>
      </c>
      <c r="L32" s="199">
        <v>1.5462686567164179</v>
      </c>
      <c r="M32" s="200">
        <v>0.15876288659793814</v>
      </c>
      <c r="N32" s="200">
        <v>0.07835051546391752</v>
      </c>
      <c r="O32" s="200">
        <v>0.08041237113402062</v>
      </c>
      <c r="P32" s="200">
        <v>0.4935064935064935</v>
      </c>
      <c r="Q32" s="198">
        <v>55.0</v>
      </c>
      <c r="R32" s="198">
        <v>8.0</v>
      </c>
      <c r="S32" s="200">
        <v>0.14545454545454545</v>
      </c>
      <c r="T32" s="201">
        <v>0.75</v>
      </c>
      <c r="U32" s="198"/>
      <c r="V32" s="198"/>
      <c r="W32" s="198"/>
      <c r="X32" s="198"/>
      <c r="Y32" s="198"/>
      <c r="Z32" s="198"/>
    </row>
    <row r="33">
      <c r="A33" s="189" t="str">
        <f>IFERROR(__xludf.DUMMYFUNCTION("""COMPUTED_VALUE"""),"Mandatory")</f>
        <v>Mandatory</v>
      </c>
      <c r="B33" s="198" t="str">
        <f>IFERROR(__xludf.DUMMYFUNCTION("""COMPUTED_VALUE"""),"Enzo")</f>
        <v>Enzo</v>
      </c>
      <c r="C33" s="198">
        <v>214.0</v>
      </c>
      <c r="D33" s="198">
        <v>216.0</v>
      </c>
      <c r="E33" s="198">
        <v>485.0</v>
      </c>
      <c r="F33" s="198">
        <v>337.0</v>
      </c>
      <c r="G33" s="198">
        <v>307.0</v>
      </c>
      <c r="H33" s="198">
        <v>192.0</v>
      </c>
      <c r="I33" s="198">
        <v>35.0</v>
      </c>
      <c r="J33" s="198">
        <v>28.0</v>
      </c>
      <c r="K33" s="199">
        <v>1.0977198697068404</v>
      </c>
      <c r="L33" s="199">
        <v>1.723127035830619</v>
      </c>
      <c r="M33" s="200">
        <v>0.12989690721649486</v>
      </c>
      <c r="N33" s="200">
        <v>0.07216494845360824</v>
      </c>
      <c r="O33" s="200">
        <v>0.0577319587628866</v>
      </c>
      <c r="P33" s="200">
        <v>0.5555555555555556</v>
      </c>
      <c r="Q33" s="198">
        <v>85.0</v>
      </c>
      <c r="R33" s="198">
        <v>12.0</v>
      </c>
      <c r="S33" s="200">
        <v>0.1411764705882353</v>
      </c>
      <c r="T33" s="201">
        <v>0.74</v>
      </c>
      <c r="U33" s="198"/>
      <c r="V33" s="198"/>
      <c r="W33" s="198"/>
      <c r="X33" s="198"/>
      <c r="Y33" s="198"/>
      <c r="Z33" s="198"/>
    </row>
    <row r="34">
      <c r="A34" s="189" t="str">
        <f>IFERROR(__xludf.DUMMYFUNCTION("""COMPUTED_VALUE"""),"Mandatory")</f>
        <v>Mandatory</v>
      </c>
      <c r="B34" s="198" t="str">
        <f>IFERROR(__xludf.DUMMYFUNCTION("""COMPUTED_VALUE"""),"HyP")</f>
        <v>HyP</v>
      </c>
      <c r="C34" s="198">
        <v>166.0</v>
      </c>
      <c r="D34" s="198">
        <v>168.0</v>
      </c>
      <c r="E34" s="198">
        <v>485.0</v>
      </c>
      <c r="F34" s="198">
        <v>292.0</v>
      </c>
      <c r="G34" s="198">
        <v>314.0</v>
      </c>
      <c r="H34" s="198">
        <v>113.0</v>
      </c>
      <c r="I34" s="198">
        <v>36.0</v>
      </c>
      <c r="J34" s="198">
        <v>41.0</v>
      </c>
      <c r="K34" s="199">
        <v>0.9299363057324841</v>
      </c>
      <c r="L34" s="199">
        <v>1.2898089171974523</v>
      </c>
      <c r="M34" s="200">
        <v>0.15876288659793814</v>
      </c>
      <c r="N34" s="200">
        <v>0.07422680412371134</v>
      </c>
      <c r="O34" s="200">
        <v>0.08453608247422681</v>
      </c>
      <c r="P34" s="200">
        <v>0.4675324675324675</v>
      </c>
      <c r="Q34" s="198">
        <v>52.0</v>
      </c>
      <c r="R34" s="198">
        <v>10.0</v>
      </c>
      <c r="S34" s="200">
        <v>0.19230769230769232</v>
      </c>
      <c r="T34" s="201">
        <v>0.69</v>
      </c>
      <c r="U34" s="198"/>
      <c r="V34" s="198"/>
      <c r="W34" s="198"/>
      <c r="X34" s="198"/>
      <c r="Y34" s="198"/>
      <c r="Z34" s="198"/>
    </row>
    <row r="35">
      <c r="A35" s="189" t="str">
        <f>IFERROR(__xludf.DUMMYFUNCTION("""COMPUTED_VALUE"""),"KOI Fénix")</f>
        <v>KOI Fénix</v>
      </c>
      <c r="B35" s="198" t="str">
        <f>IFERROR(__xludf.DUMMYFUNCTION("""COMPUTED_VALUE"""),"ZachKappa")</f>
        <v>ZachKappa</v>
      </c>
      <c r="C35" s="198">
        <v>221.0</v>
      </c>
      <c r="D35" s="198">
        <v>219.0</v>
      </c>
      <c r="E35" s="198">
        <v>519.0</v>
      </c>
      <c r="F35" s="198">
        <v>410.0</v>
      </c>
      <c r="G35" s="198">
        <v>335.0</v>
      </c>
      <c r="H35" s="198">
        <v>103.0</v>
      </c>
      <c r="I35" s="198">
        <v>63.0</v>
      </c>
      <c r="J35" s="198">
        <v>49.0</v>
      </c>
      <c r="K35" s="199">
        <v>1.2238805970149254</v>
      </c>
      <c r="L35" s="199">
        <v>1.5313432835820895</v>
      </c>
      <c r="M35" s="200">
        <v>0.21579961464354527</v>
      </c>
      <c r="N35" s="200">
        <v>0.12138728323699421</v>
      </c>
      <c r="O35" s="200">
        <v>0.09441233140655106</v>
      </c>
      <c r="P35" s="200">
        <v>0.5625</v>
      </c>
      <c r="Q35" s="198">
        <v>56.0</v>
      </c>
      <c r="R35" s="198">
        <v>8.0</v>
      </c>
      <c r="S35" s="200">
        <v>0.14285714285714285</v>
      </c>
      <c r="T35" s="200">
        <v>0.7334</v>
      </c>
      <c r="U35" s="198"/>
      <c r="V35" s="198"/>
      <c r="W35" s="198"/>
      <c r="X35" s="198"/>
      <c r="Y35" s="198"/>
      <c r="Z35" s="200"/>
    </row>
    <row r="36">
      <c r="A36" s="189" t="str">
        <f>IFERROR(__xludf.DUMMYFUNCTION("""COMPUTED_VALUE"""),"KOI Fénix")</f>
        <v>KOI Fénix</v>
      </c>
      <c r="B36" s="198" t="str">
        <f>IFERROR(__xludf.DUMMYFUNCTION("""COMPUTED_VALUE"""),"Guardy")</f>
        <v>Guardy</v>
      </c>
      <c r="C36" s="198">
        <v>215.0</v>
      </c>
      <c r="D36" s="198">
        <v>200.0</v>
      </c>
      <c r="E36" s="198">
        <v>519.0</v>
      </c>
      <c r="F36" s="198">
        <v>386.0</v>
      </c>
      <c r="G36" s="198">
        <v>348.0</v>
      </c>
      <c r="H36" s="198">
        <v>179.0</v>
      </c>
      <c r="I36" s="198">
        <v>64.0</v>
      </c>
      <c r="J36" s="198">
        <v>41.0</v>
      </c>
      <c r="K36" s="199">
        <v>1.1091954022988506</v>
      </c>
      <c r="L36" s="199">
        <v>1.6235632183908046</v>
      </c>
      <c r="M36" s="200">
        <v>0.2023121387283237</v>
      </c>
      <c r="N36" s="200">
        <v>0.1233140655105973</v>
      </c>
      <c r="O36" s="200">
        <v>0.0789980732177264</v>
      </c>
      <c r="P36" s="200">
        <v>0.6095238095238096</v>
      </c>
      <c r="Q36" s="198">
        <v>44.0</v>
      </c>
      <c r="R36" s="198">
        <v>9.0</v>
      </c>
      <c r="S36" s="200">
        <v>0.20454545454545456</v>
      </c>
      <c r="T36" s="200">
        <v>0.7267</v>
      </c>
      <c r="U36" s="198"/>
      <c r="V36" s="198"/>
      <c r="W36" s="198"/>
      <c r="X36" s="198"/>
      <c r="Y36" s="198"/>
      <c r="Z36" s="200"/>
    </row>
    <row r="37">
      <c r="A37" s="189" t="str">
        <f>IFERROR(__xludf.DUMMYFUNCTION("""COMPUTED_VALUE"""),"KOI Fénix")</f>
        <v>KOI Fénix</v>
      </c>
      <c r="B37" s="198" t="str">
        <f>IFERROR(__xludf.DUMMYFUNCTION("""COMPUTED_VALUE"""),"demek")</f>
        <v>demek</v>
      </c>
      <c r="C37" s="198">
        <v>201.0</v>
      </c>
      <c r="D37" s="198">
        <v>201.0</v>
      </c>
      <c r="E37" s="198">
        <v>519.0</v>
      </c>
      <c r="F37" s="198">
        <v>373.0</v>
      </c>
      <c r="G37" s="198">
        <v>376.0</v>
      </c>
      <c r="H37" s="198">
        <v>113.0</v>
      </c>
      <c r="I37" s="198">
        <v>75.0</v>
      </c>
      <c r="J37" s="198">
        <v>65.0</v>
      </c>
      <c r="K37" s="199">
        <v>0.9920212765957447</v>
      </c>
      <c r="L37" s="199">
        <v>1.2925531914893618</v>
      </c>
      <c r="M37" s="200">
        <v>0.2697495183044316</v>
      </c>
      <c r="N37" s="200">
        <v>0.14450867052023122</v>
      </c>
      <c r="O37" s="200">
        <v>0.1252408477842004</v>
      </c>
      <c r="P37" s="200">
        <v>0.5357142857142857</v>
      </c>
      <c r="Q37" s="198">
        <v>49.0</v>
      </c>
      <c r="R37" s="198">
        <v>6.0</v>
      </c>
      <c r="S37" s="200">
        <v>0.12244897959183673</v>
      </c>
      <c r="T37" s="200">
        <v>0.7534</v>
      </c>
      <c r="U37" s="198"/>
      <c r="V37" s="198"/>
      <c r="W37" s="198"/>
      <c r="X37" s="198"/>
      <c r="Y37" s="198"/>
      <c r="Z37" s="200"/>
    </row>
    <row r="38">
      <c r="A38" s="189" t="str">
        <f>IFERROR(__xludf.DUMMYFUNCTION("""COMPUTED_VALUE"""),"KOI Fénix")</f>
        <v>KOI Fénix</v>
      </c>
      <c r="B38" s="198" t="str">
        <f>IFERROR(__xludf.DUMMYFUNCTION("""COMPUTED_VALUE"""),"globeX")</f>
        <v>globeX</v>
      </c>
      <c r="C38" s="198">
        <v>198.0</v>
      </c>
      <c r="D38" s="198">
        <v>199.0</v>
      </c>
      <c r="E38" s="198">
        <v>519.0</v>
      </c>
      <c r="F38" s="198">
        <v>371.0</v>
      </c>
      <c r="G38" s="198">
        <v>317.0</v>
      </c>
      <c r="H38" s="198">
        <v>238.0</v>
      </c>
      <c r="I38" s="198">
        <v>47.0</v>
      </c>
      <c r="J38" s="198">
        <v>29.0</v>
      </c>
      <c r="K38" s="199">
        <v>1.1703470031545742</v>
      </c>
      <c r="L38" s="199">
        <v>1.9211356466876972</v>
      </c>
      <c r="M38" s="200">
        <v>0.1464354527938343</v>
      </c>
      <c r="N38" s="200">
        <v>0.0905587668593449</v>
      </c>
      <c r="O38" s="200">
        <v>0.055876685934489405</v>
      </c>
      <c r="P38" s="200">
        <v>0.618421052631579</v>
      </c>
      <c r="Q38" s="198">
        <v>83.0</v>
      </c>
      <c r="R38" s="198">
        <v>17.0</v>
      </c>
      <c r="S38" s="200">
        <v>0.20481927710843373</v>
      </c>
      <c r="T38" s="201">
        <v>0.79</v>
      </c>
      <c r="U38" s="198"/>
      <c r="V38" s="198"/>
      <c r="W38" s="198"/>
      <c r="X38" s="198"/>
      <c r="Y38" s="198"/>
      <c r="Z38" s="201"/>
    </row>
    <row r="39">
      <c r="A39" s="189" t="str">
        <f>IFERROR(__xludf.DUMMYFUNCTION("""COMPUTED_VALUE"""),"KOI Fénix")</f>
        <v>KOI Fénix</v>
      </c>
      <c r="B39" s="198" t="str">
        <f>IFERROR(__xludf.DUMMYFUNCTION("""COMPUTED_VALUE"""),"pika")</f>
        <v>pika</v>
      </c>
      <c r="C39" s="198">
        <v>189.0</v>
      </c>
      <c r="D39" s="198">
        <v>171.0</v>
      </c>
      <c r="E39" s="198">
        <v>519.0</v>
      </c>
      <c r="F39" s="198">
        <v>342.0</v>
      </c>
      <c r="G39" s="198">
        <v>343.0</v>
      </c>
      <c r="H39" s="198">
        <v>147.0</v>
      </c>
      <c r="I39" s="198">
        <v>37.0</v>
      </c>
      <c r="J39" s="198">
        <v>52.0</v>
      </c>
      <c r="K39" s="199">
        <v>0.9970845481049563</v>
      </c>
      <c r="L39" s="199">
        <v>1.4256559766763848</v>
      </c>
      <c r="M39" s="200">
        <v>0.17148362235067438</v>
      </c>
      <c r="N39" s="200">
        <v>0.07129094412331406</v>
      </c>
      <c r="O39" s="200">
        <v>0.1001926782273603</v>
      </c>
      <c r="P39" s="200">
        <v>0.4157303370786517</v>
      </c>
      <c r="Q39" s="198">
        <v>37.0</v>
      </c>
      <c r="R39" s="198">
        <v>11.0</v>
      </c>
      <c r="S39" s="200">
        <v>0.2972972972972973</v>
      </c>
      <c r="T39" s="200">
        <v>0.7366</v>
      </c>
      <c r="U39" s="198"/>
      <c r="V39" s="198"/>
      <c r="W39" s="198"/>
      <c r="X39" s="198"/>
      <c r="Y39" s="198"/>
      <c r="Z39" s="200"/>
    </row>
    <row r="40">
      <c r="A40" s="189" t="str">
        <f>IFERROR(__xludf.DUMMYFUNCTION("""COMPUTED_VALUE"""),"Joblife")</f>
        <v>Joblife</v>
      </c>
      <c r="B40" s="198" t="str">
        <f>IFERROR(__xludf.DUMMYFUNCTION("""COMPUTED_VALUE"""),"Purp0")</f>
        <v>Purp0</v>
      </c>
      <c r="C40" s="198">
        <v>258.0</v>
      </c>
      <c r="D40" s="198">
        <v>258.0</v>
      </c>
      <c r="E40" s="198">
        <v>289.0</v>
      </c>
      <c r="F40" s="198">
        <v>276.0</v>
      </c>
      <c r="G40" s="198">
        <v>182.0</v>
      </c>
      <c r="H40" s="198">
        <v>37.0</v>
      </c>
      <c r="I40" s="198">
        <v>74.0</v>
      </c>
      <c r="J40" s="198">
        <v>34.0</v>
      </c>
      <c r="K40" s="199">
        <v>1.5164835164835164</v>
      </c>
      <c r="L40" s="199">
        <v>1.7197802197802199</v>
      </c>
      <c r="M40" s="200">
        <v>0.3737024221453287</v>
      </c>
      <c r="N40" s="200">
        <v>0.2560553633217993</v>
      </c>
      <c r="O40" s="200">
        <v>0.11764705882352941</v>
      </c>
      <c r="P40" s="200">
        <v>0.6851851851851852</v>
      </c>
      <c r="Q40" s="198">
        <v>16.0</v>
      </c>
      <c r="R40" s="198">
        <v>2.0</v>
      </c>
      <c r="S40" s="200">
        <v>0.125</v>
      </c>
      <c r="T40" s="201">
        <v>0.77</v>
      </c>
      <c r="U40" s="198"/>
      <c r="V40" s="198"/>
      <c r="W40" s="198"/>
      <c r="X40" s="198"/>
      <c r="Y40" s="198"/>
      <c r="Z40" s="198"/>
    </row>
    <row r="41">
      <c r="A41" s="189" t="str">
        <f>IFERROR(__xludf.DUMMYFUNCTION("""COMPUTED_VALUE"""),"Joblife")</f>
        <v>Joblife</v>
      </c>
      <c r="B41" s="198" t="str">
        <f>IFERROR(__xludf.DUMMYFUNCTION("""COMPUTED_VALUE"""),"chiwa")</f>
        <v>chiwa</v>
      </c>
      <c r="C41" s="198">
        <v>231.0</v>
      </c>
      <c r="D41" s="198">
        <v>231.0</v>
      </c>
      <c r="E41" s="198">
        <v>289.0</v>
      </c>
      <c r="F41" s="198">
        <v>246.0</v>
      </c>
      <c r="G41" s="198">
        <v>172.0</v>
      </c>
      <c r="H41" s="198">
        <v>52.0</v>
      </c>
      <c r="I41" s="198">
        <v>40.0</v>
      </c>
      <c r="J41" s="198">
        <v>25.0</v>
      </c>
      <c r="K41" s="199">
        <v>1.430232558139535</v>
      </c>
      <c r="L41" s="199">
        <v>1.7325581395348837</v>
      </c>
      <c r="M41" s="200">
        <v>0.22491349480968859</v>
      </c>
      <c r="N41" s="200">
        <v>0.1384083044982699</v>
      </c>
      <c r="O41" s="200">
        <v>0.08650519031141868</v>
      </c>
      <c r="P41" s="200">
        <v>0.6153846153846154</v>
      </c>
      <c r="Q41" s="198">
        <v>25.0</v>
      </c>
      <c r="R41" s="198">
        <v>4.0</v>
      </c>
      <c r="S41" s="200">
        <v>0.16</v>
      </c>
      <c r="T41" s="201">
        <v>0.76</v>
      </c>
      <c r="U41" s="198"/>
      <c r="V41" s="198"/>
      <c r="W41" s="198"/>
      <c r="X41" s="198"/>
      <c r="Y41" s="198"/>
      <c r="Z41" s="198"/>
    </row>
    <row r="42">
      <c r="A42" s="189" t="str">
        <f>IFERROR(__xludf.DUMMYFUNCTION("""COMPUTED_VALUE"""),"Joblife")</f>
        <v>Joblife</v>
      </c>
      <c r="B42" s="198" t="str">
        <f>IFERROR(__xludf.DUMMYFUNCTION("""COMPUTED_VALUE"""),"sh1n")</f>
        <v>sh1n</v>
      </c>
      <c r="C42" s="198">
        <v>204.0</v>
      </c>
      <c r="D42" s="198">
        <v>204.0</v>
      </c>
      <c r="E42" s="198">
        <v>289.0</v>
      </c>
      <c r="F42" s="198">
        <v>213.0</v>
      </c>
      <c r="G42" s="198">
        <v>166.0</v>
      </c>
      <c r="H42" s="198">
        <v>121.0</v>
      </c>
      <c r="I42" s="198">
        <v>24.0</v>
      </c>
      <c r="J42" s="198">
        <v>10.0</v>
      </c>
      <c r="K42" s="199">
        <v>1.283132530120482</v>
      </c>
      <c r="L42" s="199">
        <v>2.0120481927710845</v>
      </c>
      <c r="M42" s="200">
        <v>0.11764705882352941</v>
      </c>
      <c r="N42" s="200">
        <v>0.08304498269896193</v>
      </c>
      <c r="O42" s="200">
        <v>0.03460207612456748</v>
      </c>
      <c r="P42" s="200">
        <v>0.7058823529411765</v>
      </c>
      <c r="Q42" s="198">
        <v>30.0</v>
      </c>
      <c r="R42" s="198">
        <v>4.0</v>
      </c>
      <c r="S42" s="200">
        <v>0.13333333333333333</v>
      </c>
      <c r="T42" s="201">
        <v>0.79</v>
      </c>
      <c r="U42" s="198"/>
      <c r="V42" s="198"/>
      <c r="W42" s="198"/>
      <c r="X42" s="198"/>
      <c r="Y42" s="198"/>
      <c r="Z42" s="198"/>
    </row>
    <row r="43">
      <c r="A43" s="189" t="str">
        <f>IFERROR(__xludf.DUMMYFUNCTION("""COMPUTED_VALUE"""),"Joblife")</f>
        <v>Joblife</v>
      </c>
      <c r="B43" s="198" t="str">
        <f>IFERROR(__xludf.DUMMYFUNCTION("""COMPUTED_VALUE"""),"Starxo")</f>
        <v>Starxo</v>
      </c>
      <c r="C43" s="198">
        <v>192.0</v>
      </c>
      <c r="D43" s="198">
        <v>203.0</v>
      </c>
      <c r="E43" s="198">
        <v>289.0</v>
      </c>
      <c r="F43" s="198">
        <v>188.0</v>
      </c>
      <c r="G43" s="198">
        <v>177.0</v>
      </c>
      <c r="H43" s="198">
        <v>99.0</v>
      </c>
      <c r="I43" s="198">
        <v>25.0</v>
      </c>
      <c r="J43" s="198">
        <v>24.0</v>
      </c>
      <c r="K43" s="199">
        <v>1.0621468926553672</v>
      </c>
      <c r="L43" s="199">
        <v>1.6214689265536724</v>
      </c>
      <c r="M43" s="200">
        <v>0.1695501730103806</v>
      </c>
      <c r="N43" s="200">
        <v>0.08650519031141868</v>
      </c>
      <c r="O43" s="200">
        <v>0.08304498269896193</v>
      </c>
      <c r="P43" s="200">
        <v>0.5102040816326531</v>
      </c>
      <c r="Q43" s="198">
        <v>22.0</v>
      </c>
      <c r="R43" s="198">
        <v>3.0</v>
      </c>
      <c r="S43" s="200">
        <v>0.13636363636363635</v>
      </c>
      <c r="T43" s="201">
        <v>0.77</v>
      </c>
      <c r="U43" s="198"/>
      <c r="V43" s="198"/>
      <c r="W43" s="198"/>
      <c r="X43" s="198"/>
      <c r="Y43" s="198"/>
      <c r="Z43" s="198"/>
    </row>
    <row r="44">
      <c r="A44" s="189" t="str">
        <f>IFERROR(__xludf.DUMMYFUNCTION("""COMPUTED_VALUE"""),"Joblife")</f>
        <v>Joblife</v>
      </c>
      <c r="B44" s="198" t="str">
        <f>IFERROR(__xludf.DUMMYFUNCTION("""COMPUTED_VALUE"""),"CyvOph")</f>
        <v>CyvOph</v>
      </c>
      <c r="C44" s="198">
        <v>175.0</v>
      </c>
      <c r="D44" s="198">
        <v>222.0</v>
      </c>
      <c r="E44" s="198">
        <v>289.0</v>
      </c>
      <c r="F44" s="198">
        <v>180.0</v>
      </c>
      <c r="G44" s="198">
        <v>166.0</v>
      </c>
      <c r="H44" s="198">
        <v>127.0</v>
      </c>
      <c r="I44" s="198">
        <v>15.0</v>
      </c>
      <c r="J44" s="198">
        <v>21.0</v>
      </c>
      <c r="K44" s="199">
        <v>1.0843373493975903</v>
      </c>
      <c r="L44" s="199">
        <v>1.8493975903614457</v>
      </c>
      <c r="M44" s="200">
        <v>0.1245674740484429</v>
      </c>
      <c r="N44" s="200">
        <v>0.05190311418685121</v>
      </c>
      <c r="O44" s="200">
        <v>0.0726643598615917</v>
      </c>
      <c r="P44" s="200">
        <v>0.4166666666666667</v>
      </c>
      <c r="Q44" s="198">
        <v>27.0</v>
      </c>
      <c r="R44" s="198">
        <v>6.0</v>
      </c>
      <c r="S44" s="200">
        <v>0.2222222222222222</v>
      </c>
      <c r="T44" s="201">
        <v>0.78</v>
      </c>
      <c r="U44" s="198"/>
      <c r="V44" s="198"/>
      <c r="W44" s="198"/>
      <c r="X44" s="198"/>
      <c r="Y44" s="198"/>
      <c r="Z44" s="198"/>
    </row>
    <row r="45">
      <c r="A45" s="189" t="str">
        <f>IFERROR(__xludf.DUMMYFUNCTION("""COMPUTED_VALUE"""),"Enterprise Esports")</f>
        <v>Enterprise Esports</v>
      </c>
      <c r="B45" s="198" t="str">
        <f>IFERROR(__xludf.DUMMYFUNCTION("""COMPUTED_VALUE"""),"jas")</f>
        <v>jas</v>
      </c>
      <c r="C45" s="198">
        <v>255.0</v>
      </c>
      <c r="D45" s="198">
        <v>238.0</v>
      </c>
      <c r="E45" s="198">
        <v>342.0</v>
      </c>
      <c r="F45" s="198">
        <v>315.0</v>
      </c>
      <c r="G45" s="198">
        <v>230.0</v>
      </c>
      <c r="H45" s="198">
        <v>61.0</v>
      </c>
      <c r="I45" s="198">
        <v>91.0</v>
      </c>
      <c r="J45" s="198">
        <v>54.0</v>
      </c>
      <c r="K45" s="199">
        <v>1.3695652173913044</v>
      </c>
      <c r="L45" s="199">
        <v>1.6347826086956523</v>
      </c>
      <c r="M45" s="200">
        <v>0.4239766081871345</v>
      </c>
      <c r="N45" s="200">
        <v>0.26608187134502925</v>
      </c>
      <c r="O45" s="200">
        <v>0.15789473684210525</v>
      </c>
      <c r="P45" s="200">
        <v>0.6275862068965518</v>
      </c>
      <c r="Q45" s="198">
        <v>22.0</v>
      </c>
      <c r="R45" s="198">
        <v>4.0</v>
      </c>
      <c r="S45" s="200">
        <v>0.18181818181818182</v>
      </c>
      <c r="T45" s="201">
        <v>0.75</v>
      </c>
      <c r="U45" s="198"/>
      <c r="V45" s="198"/>
      <c r="W45" s="198"/>
      <c r="X45" s="198"/>
      <c r="Y45" s="198"/>
      <c r="Z45" s="198"/>
    </row>
    <row r="46">
      <c r="A46" s="189" t="str">
        <f>IFERROR(__xludf.DUMMYFUNCTION("""COMPUTED_VALUE"""),"Enterprise Esports")</f>
        <v>Enterprise Esports</v>
      </c>
      <c r="B46" s="198" t="str">
        <f>IFERROR(__xludf.DUMMYFUNCTION("""COMPUTED_VALUE"""),"kiles")</f>
        <v>kiles</v>
      </c>
      <c r="C46" s="198">
        <v>204.0</v>
      </c>
      <c r="D46" s="198">
        <v>204.0</v>
      </c>
      <c r="E46" s="198">
        <v>342.0</v>
      </c>
      <c r="F46" s="198">
        <v>265.0</v>
      </c>
      <c r="G46" s="198">
        <v>197.0</v>
      </c>
      <c r="H46" s="198">
        <v>69.0</v>
      </c>
      <c r="I46" s="198">
        <v>24.0</v>
      </c>
      <c r="J46" s="198">
        <v>19.0</v>
      </c>
      <c r="K46" s="199">
        <v>1.3451776649746192</v>
      </c>
      <c r="L46" s="199">
        <v>1.6954314720812182</v>
      </c>
      <c r="M46" s="200">
        <v>0.12573099415204678</v>
      </c>
      <c r="N46" s="200">
        <v>0.07017543859649122</v>
      </c>
      <c r="O46" s="200">
        <v>0.05555555555555555</v>
      </c>
      <c r="P46" s="200">
        <v>0.5581395348837209</v>
      </c>
      <c r="Q46" s="198">
        <v>43.0</v>
      </c>
      <c r="R46" s="198">
        <v>6.0</v>
      </c>
      <c r="S46" s="200">
        <v>0.13953488372093023</v>
      </c>
      <c r="T46" s="201">
        <v>0.77</v>
      </c>
      <c r="U46" s="198"/>
      <c r="V46" s="198"/>
      <c r="W46" s="198"/>
      <c r="X46" s="198"/>
      <c r="Y46" s="198"/>
      <c r="Z46" s="198"/>
    </row>
    <row r="47">
      <c r="A47" s="189" t="str">
        <f>IFERROR(__xludf.DUMMYFUNCTION("""COMPUTED_VALUE"""),"Enterprise Esports")</f>
        <v>Enterprise Esports</v>
      </c>
      <c r="B47" s="198" t="str">
        <f>IFERROR(__xludf.DUMMYFUNCTION("""COMPUTED_VALUE"""),"Doma")</f>
        <v>Doma</v>
      </c>
      <c r="C47" s="198">
        <v>211.0</v>
      </c>
      <c r="D47" s="198">
        <v>194.0</v>
      </c>
      <c r="E47" s="198">
        <v>342.0</v>
      </c>
      <c r="F47" s="198">
        <v>252.0</v>
      </c>
      <c r="G47" s="198">
        <v>198.0</v>
      </c>
      <c r="H47" s="198">
        <v>82.0</v>
      </c>
      <c r="I47" s="198">
        <v>28.0</v>
      </c>
      <c r="J47" s="198">
        <v>16.0</v>
      </c>
      <c r="K47" s="199">
        <v>1.2727272727272727</v>
      </c>
      <c r="L47" s="199">
        <v>1.6868686868686869</v>
      </c>
      <c r="M47" s="200">
        <v>0.1286549707602339</v>
      </c>
      <c r="N47" s="200">
        <v>0.08187134502923976</v>
      </c>
      <c r="O47" s="200">
        <v>0.04678362573099415</v>
      </c>
      <c r="P47" s="200">
        <v>0.6363636363636364</v>
      </c>
      <c r="Q47" s="198">
        <v>30.0</v>
      </c>
      <c r="R47" s="198">
        <v>6.0</v>
      </c>
      <c r="S47" s="200">
        <v>0.2</v>
      </c>
      <c r="T47" s="201">
        <v>0.78</v>
      </c>
      <c r="U47" s="198"/>
      <c r="V47" s="198"/>
      <c r="W47" s="198"/>
      <c r="X47" s="198"/>
      <c r="Y47" s="198"/>
      <c r="Z47" s="198"/>
    </row>
    <row r="48">
      <c r="A48" s="189" t="str">
        <f>IFERROR(__xludf.DUMMYFUNCTION("""COMPUTED_VALUE"""),"Enterprise Esports")</f>
        <v>Enterprise Esports</v>
      </c>
      <c r="B48" s="198" t="str">
        <f>IFERROR(__xludf.DUMMYFUNCTION("""COMPUTED_VALUE"""),"zeek")</f>
        <v>zeek</v>
      </c>
      <c r="C48" s="198">
        <v>204.0</v>
      </c>
      <c r="D48" s="198">
        <v>207.0</v>
      </c>
      <c r="E48" s="198">
        <v>342.0</v>
      </c>
      <c r="F48" s="198">
        <v>246.0</v>
      </c>
      <c r="G48" s="198">
        <v>216.0</v>
      </c>
      <c r="H48" s="198">
        <v>135.0</v>
      </c>
      <c r="I48" s="198">
        <v>33.0</v>
      </c>
      <c r="J48" s="198">
        <v>29.0</v>
      </c>
      <c r="K48" s="199">
        <v>1.1388888888888888</v>
      </c>
      <c r="L48" s="199">
        <v>1.7638888888888888</v>
      </c>
      <c r="M48" s="200">
        <v>0.18128654970760233</v>
      </c>
      <c r="N48" s="200">
        <v>0.09649122807017543</v>
      </c>
      <c r="O48" s="200">
        <v>0.0847953216374269</v>
      </c>
      <c r="P48" s="200">
        <v>0.532258064516129</v>
      </c>
      <c r="Q48" s="198">
        <v>22.0</v>
      </c>
      <c r="R48" s="198">
        <v>2.0</v>
      </c>
      <c r="S48" s="200">
        <v>0.09090909090909091</v>
      </c>
      <c r="T48" s="201">
        <v>0.81</v>
      </c>
      <c r="U48" s="198"/>
      <c r="V48" s="198"/>
      <c r="W48" s="198"/>
      <c r="X48" s="198"/>
      <c r="Y48" s="198"/>
      <c r="Z48" s="198"/>
    </row>
    <row r="49">
      <c r="A49" s="189" t="str">
        <f>IFERROR(__xludf.DUMMYFUNCTION("""COMPUTED_VALUE"""),"Enterprise Esports")</f>
        <v>Enterprise Esports</v>
      </c>
      <c r="B49" s="198" t="str">
        <f>IFERROR(__xludf.DUMMYFUNCTION("""COMPUTED_VALUE"""),"starki")</f>
        <v>starki</v>
      </c>
      <c r="C49" s="198">
        <v>163.0</v>
      </c>
      <c r="D49" s="198">
        <v>175.0</v>
      </c>
      <c r="E49" s="198">
        <v>342.0</v>
      </c>
      <c r="F49" s="198">
        <v>200.0</v>
      </c>
      <c r="G49" s="198">
        <v>202.0</v>
      </c>
      <c r="H49" s="198">
        <v>151.0</v>
      </c>
      <c r="I49" s="198">
        <v>23.0</v>
      </c>
      <c r="J49" s="198">
        <v>27.0</v>
      </c>
      <c r="K49" s="199">
        <v>0.9900990099009901</v>
      </c>
      <c r="L49" s="199">
        <v>1.7376237623762376</v>
      </c>
      <c r="M49" s="200">
        <v>0.14619883040935672</v>
      </c>
      <c r="N49" s="200">
        <v>0.06725146198830409</v>
      </c>
      <c r="O49" s="200">
        <v>0.07894736842105263</v>
      </c>
      <c r="P49" s="200">
        <v>0.46</v>
      </c>
      <c r="Q49" s="198">
        <v>38.0</v>
      </c>
      <c r="R49" s="198">
        <v>4.0</v>
      </c>
      <c r="S49" s="200">
        <v>0.10526315789473684</v>
      </c>
      <c r="T49" s="201">
        <v>0.8</v>
      </c>
      <c r="U49" s="198"/>
      <c r="V49" s="198"/>
      <c r="W49" s="198"/>
      <c r="X49" s="198"/>
      <c r="Y49" s="198"/>
      <c r="Z49" s="198"/>
    </row>
    <row r="50">
      <c r="A50" s="189" t="str">
        <f>IFERROR(__xludf.DUMMYFUNCTION("""COMPUTED_VALUE"""),"Eintracht Frankfurt (si)")</f>
        <v>Eintracht Frankfurt (si)</v>
      </c>
      <c r="B50" s="198" t="str">
        <f>IFERROR(__xludf.DUMMYFUNCTION("""COMPUTED_VALUE"""),"Agent Red")</f>
        <v>Agent Red</v>
      </c>
      <c r="C50" s="198">
        <v>160.0</v>
      </c>
      <c r="D50" s="198">
        <v>160.0</v>
      </c>
      <c r="E50" s="198">
        <v>145.0</v>
      </c>
      <c r="F50" s="198">
        <v>78.0</v>
      </c>
      <c r="G50" s="198">
        <v>83.0</v>
      </c>
      <c r="H50" s="198">
        <v>82.0</v>
      </c>
      <c r="I50" s="198">
        <v>5.0</v>
      </c>
      <c r="J50" s="198">
        <v>15.0</v>
      </c>
      <c r="K50" s="199">
        <v>0.9397590361445783</v>
      </c>
      <c r="L50" s="199">
        <v>1.927710843373494</v>
      </c>
      <c r="M50" s="200">
        <v>0.13793103448275862</v>
      </c>
      <c r="N50" s="200">
        <v>0.034482758620689655</v>
      </c>
      <c r="O50" s="200">
        <v>0.10344827586206896</v>
      </c>
      <c r="P50" s="200">
        <v>0.25</v>
      </c>
      <c r="Q50" s="198">
        <v>13.0</v>
      </c>
      <c r="R50" s="198">
        <v>2.0</v>
      </c>
      <c r="S50" s="200">
        <v>0.15384615384615385</v>
      </c>
      <c r="T50" s="201">
        <v>0.76</v>
      </c>
      <c r="U50" s="198"/>
      <c r="V50" s="198"/>
      <c r="W50" s="198"/>
      <c r="X50" s="198"/>
      <c r="Y50" s="198"/>
      <c r="Z50" s="198"/>
    </row>
    <row r="51">
      <c r="A51" s="189" t="str">
        <f>IFERROR(__xludf.DUMMYFUNCTION("""COMPUTED_VALUE"""),"Eintracht Frankfurt")</f>
        <v>Eintracht Frankfurt</v>
      </c>
      <c r="B51" s="198" t="str">
        <f>IFERROR(__xludf.DUMMYFUNCTION("""COMPUTED_VALUE"""),"DisisJohn")</f>
        <v>DisisJohn</v>
      </c>
      <c r="C51" s="198">
        <v>233.0</v>
      </c>
      <c r="D51" s="198">
        <v>217.0</v>
      </c>
      <c r="E51" s="198">
        <v>554.0</v>
      </c>
      <c r="F51" s="198">
        <v>458.0</v>
      </c>
      <c r="G51" s="198">
        <v>400.0</v>
      </c>
      <c r="H51" s="198">
        <v>101.0</v>
      </c>
      <c r="I51" s="198">
        <v>98.0</v>
      </c>
      <c r="J51" s="198">
        <v>100.0</v>
      </c>
      <c r="K51" s="199">
        <v>1.145</v>
      </c>
      <c r="L51" s="199">
        <v>1.3975</v>
      </c>
      <c r="M51" s="200">
        <v>0.3574007220216607</v>
      </c>
      <c r="N51" s="200">
        <v>0.17689530685920576</v>
      </c>
      <c r="O51" s="200">
        <v>0.18050541516245489</v>
      </c>
      <c r="P51" s="200">
        <v>0.494949494949495</v>
      </c>
      <c r="Q51" s="198">
        <v>36.0</v>
      </c>
      <c r="R51" s="198">
        <v>7.0</v>
      </c>
      <c r="S51" s="200">
        <v>0.19444444444444445</v>
      </c>
      <c r="T51" s="201">
        <v>0.7</v>
      </c>
      <c r="U51" s="198"/>
      <c r="V51" s="198"/>
      <c r="W51" s="198"/>
      <c r="X51" s="198"/>
      <c r="Y51" s="198"/>
      <c r="Z51" s="198"/>
    </row>
    <row r="52">
      <c r="A52" s="189" t="str">
        <f>IFERROR(__xludf.DUMMYFUNCTION("""COMPUTED_VALUE"""),"Eintracht Frankfurt")</f>
        <v>Eintracht Frankfurt</v>
      </c>
      <c r="B52" s="198" t="str">
        <f>IFERROR(__xludf.DUMMYFUNCTION("""COMPUTED_VALUE"""),"Leosen")</f>
        <v>Leosen</v>
      </c>
      <c r="C52" s="198">
        <v>203.0</v>
      </c>
      <c r="D52" s="198">
        <v>198.0</v>
      </c>
      <c r="E52" s="198">
        <v>554.0</v>
      </c>
      <c r="F52" s="198">
        <v>411.0</v>
      </c>
      <c r="G52" s="198">
        <v>373.0</v>
      </c>
      <c r="H52" s="198">
        <v>176.0</v>
      </c>
      <c r="I52" s="198">
        <v>49.0</v>
      </c>
      <c r="J52" s="198">
        <v>47.0</v>
      </c>
      <c r="K52" s="199">
        <v>1.1018766756032172</v>
      </c>
      <c r="L52" s="199">
        <v>1.5737265415549597</v>
      </c>
      <c r="M52" s="200">
        <v>0.17328519855595667</v>
      </c>
      <c r="N52" s="200">
        <v>0.08844765342960288</v>
      </c>
      <c r="O52" s="200">
        <v>0.08483754512635379</v>
      </c>
      <c r="P52" s="200">
        <v>0.5104166666666666</v>
      </c>
      <c r="Q52" s="198">
        <v>43.0</v>
      </c>
      <c r="R52" s="198">
        <v>8.0</v>
      </c>
      <c r="S52" s="200">
        <v>0.18604651162790697</v>
      </c>
      <c r="T52" s="201">
        <v>0.69</v>
      </c>
      <c r="U52" s="198"/>
      <c r="V52" s="198"/>
      <c r="W52" s="198"/>
      <c r="X52" s="198"/>
      <c r="Y52" s="198"/>
      <c r="Z52" s="198"/>
    </row>
    <row r="53">
      <c r="A53" s="189" t="str">
        <f>IFERROR(__xludf.DUMMYFUNCTION("""COMPUTED_VALUE"""),"Eintracht Frankfurt")</f>
        <v>Eintracht Frankfurt</v>
      </c>
      <c r="B53" s="198" t="str">
        <f>IFERROR(__xludf.DUMMYFUNCTION("""COMPUTED_VALUE"""),"musashi")</f>
        <v>musashi</v>
      </c>
      <c r="C53" s="198">
        <v>205.0</v>
      </c>
      <c r="D53" s="198">
        <v>193.0</v>
      </c>
      <c r="E53" s="198">
        <v>554.0</v>
      </c>
      <c r="F53" s="198">
        <v>410.0</v>
      </c>
      <c r="G53" s="198">
        <v>355.0</v>
      </c>
      <c r="H53" s="198">
        <v>170.0</v>
      </c>
      <c r="I53" s="198">
        <v>41.0</v>
      </c>
      <c r="J53" s="198">
        <v>56.0</v>
      </c>
      <c r="K53" s="199">
        <v>1.1549295774647887</v>
      </c>
      <c r="L53" s="199">
        <v>1.6338028169014085</v>
      </c>
      <c r="M53" s="200">
        <v>0.17509025270758122</v>
      </c>
      <c r="N53" s="200">
        <v>0.0740072202166065</v>
      </c>
      <c r="O53" s="200">
        <v>0.10108303249097472</v>
      </c>
      <c r="P53" s="200">
        <v>0.422680412371134</v>
      </c>
      <c r="Q53" s="198">
        <v>69.0</v>
      </c>
      <c r="R53" s="198">
        <v>11.0</v>
      </c>
      <c r="S53" s="200">
        <v>0.15942028985507245</v>
      </c>
      <c r="T53" s="201">
        <v>0.73</v>
      </c>
      <c r="U53" s="198"/>
      <c r="V53" s="198"/>
      <c r="W53" s="198"/>
      <c r="X53" s="198"/>
      <c r="Y53" s="198"/>
      <c r="Z53" s="198"/>
    </row>
    <row r="54">
      <c r="A54" s="189" t="str">
        <f>IFERROR(__xludf.DUMMYFUNCTION("""COMPUTED_VALUE"""),"Eintracht Frankfurt")</f>
        <v>Eintracht Frankfurt</v>
      </c>
      <c r="B54" s="198" t="str">
        <f>IFERROR(__xludf.DUMMYFUNCTION("""COMPUTED_VALUE"""),"Azury")</f>
        <v>Azury</v>
      </c>
      <c r="C54" s="198">
        <v>195.0</v>
      </c>
      <c r="D54" s="198">
        <v>193.0</v>
      </c>
      <c r="E54" s="198">
        <v>554.0</v>
      </c>
      <c r="F54" s="198">
        <v>398.0</v>
      </c>
      <c r="G54" s="198">
        <v>344.0</v>
      </c>
      <c r="H54" s="198">
        <v>111.0</v>
      </c>
      <c r="I54" s="198">
        <v>40.0</v>
      </c>
      <c r="J54" s="198">
        <v>36.0</v>
      </c>
      <c r="K54" s="199">
        <v>1.1569767441860466</v>
      </c>
      <c r="L54" s="199">
        <v>1.4796511627906976</v>
      </c>
      <c r="M54" s="200">
        <v>0.1371841155234657</v>
      </c>
      <c r="N54" s="200">
        <v>0.07220216606498195</v>
      </c>
      <c r="O54" s="200">
        <v>0.06498194945848375</v>
      </c>
      <c r="P54" s="200">
        <v>0.5263157894736842</v>
      </c>
      <c r="Q54" s="198">
        <v>63.0</v>
      </c>
      <c r="R54" s="198">
        <v>6.0</v>
      </c>
      <c r="S54" s="200">
        <v>0.09523809523809523</v>
      </c>
      <c r="T54" s="201">
        <v>0.74</v>
      </c>
      <c r="U54" s="198"/>
      <c r="V54" s="198"/>
      <c r="W54" s="198"/>
      <c r="X54" s="198"/>
      <c r="Y54" s="198"/>
      <c r="Z54" s="198"/>
    </row>
    <row r="55">
      <c r="A55" s="189" t="str">
        <f>IFERROR(__xludf.DUMMYFUNCTION("""COMPUTED_VALUE"""),"Eintracht Frankfurt")</f>
        <v>Eintracht Frankfurt</v>
      </c>
      <c r="B55" s="198" t="str">
        <f>IFERROR(__xludf.DUMMYFUNCTION("""COMPUTED_VALUE"""),"Felix")</f>
        <v>Felix</v>
      </c>
      <c r="C55" s="198">
        <v>193.0</v>
      </c>
      <c r="D55" s="198">
        <v>193.0</v>
      </c>
      <c r="E55" s="198">
        <v>409.0</v>
      </c>
      <c r="F55" s="198">
        <v>275.0</v>
      </c>
      <c r="G55" s="198">
        <v>271.0</v>
      </c>
      <c r="H55" s="198">
        <v>143.0</v>
      </c>
      <c r="I55" s="198">
        <v>32.0</v>
      </c>
      <c r="J55" s="198">
        <v>37.0</v>
      </c>
      <c r="K55" s="199">
        <v>1.014760147601476</v>
      </c>
      <c r="L55" s="199">
        <v>1.5424354243542435</v>
      </c>
      <c r="M55" s="200">
        <v>0.1687041564792176</v>
      </c>
      <c r="N55" s="200">
        <v>0.07823960880195599</v>
      </c>
      <c r="O55" s="200">
        <v>0.09046454767726161</v>
      </c>
      <c r="P55" s="200">
        <v>0.463768115942029</v>
      </c>
      <c r="Q55" s="198">
        <v>54.0</v>
      </c>
      <c r="R55" s="198">
        <v>7.0</v>
      </c>
      <c r="S55" s="200">
        <v>0.12962962962962962</v>
      </c>
      <c r="T55" s="201">
        <v>0.72</v>
      </c>
      <c r="U55" s="198"/>
      <c r="V55" s="198"/>
      <c r="W55" s="198"/>
      <c r="X55" s="198"/>
      <c r="Y55" s="198"/>
      <c r="Z55" s="198"/>
    </row>
    <row r="56">
      <c r="A56" s="189" t="str">
        <f>IFERROR(__xludf.DUMMYFUNCTION("""COMPUTED_VALUE"""),"děti ulice")</f>
        <v>děti ulice</v>
      </c>
      <c r="B56" s="198" t="str">
        <f>IFERROR(__xludf.DUMMYFUNCTION("""COMPUTED_VALUE"""),"Nunmeister")</f>
        <v>Nunmeister</v>
      </c>
      <c r="C56" s="198">
        <v>212.0</v>
      </c>
      <c r="D56" s="198">
        <v>212.0</v>
      </c>
      <c r="E56" s="198">
        <v>667.0</v>
      </c>
      <c r="F56" s="198">
        <v>499.0</v>
      </c>
      <c r="G56" s="198">
        <v>473.0</v>
      </c>
      <c r="H56" s="198">
        <v>168.0</v>
      </c>
      <c r="I56" s="198">
        <v>67.0</v>
      </c>
      <c r="J56" s="198">
        <v>75.0</v>
      </c>
      <c r="K56" s="199">
        <v>1.054968287526427</v>
      </c>
      <c r="L56" s="199">
        <v>1.4101479915433404</v>
      </c>
      <c r="M56" s="200">
        <v>0.2128935532233883</v>
      </c>
      <c r="N56" s="200">
        <v>0.10044977511244378</v>
      </c>
      <c r="O56" s="200">
        <v>0.11244377811094453</v>
      </c>
      <c r="P56" s="200">
        <v>0.47183098591549294</v>
      </c>
      <c r="Q56" s="198">
        <v>62.0</v>
      </c>
      <c r="R56" s="198">
        <v>17.0</v>
      </c>
      <c r="S56" s="200">
        <v>0.27419354838709675</v>
      </c>
      <c r="T56" s="201">
        <v>0.67</v>
      </c>
      <c r="U56" s="198"/>
      <c r="V56" s="198"/>
      <c r="W56" s="198"/>
      <c r="X56" s="198"/>
      <c r="Y56" s="198"/>
      <c r="Z56" s="198"/>
    </row>
    <row r="57">
      <c r="A57" s="189" t="str">
        <f>IFERROR(__xludf.DUMMYFUNCTION("""COMPUTED_VALUE"""),"děti ulice")</f>
        <v>děti ulice</v>
      </c>
      <c r="B57" s="198" t="str">
        <f>IFERROR(__xludf.DUMMYFUNCTION("""COMPUTED_VALUE"""),"Fractioned")</f>
        <v>Fractioned</v>
      </c>
      <c r="C57" s="198">
        <v>210.0</v>
      </c>
      <c r="D57" s="198">
        <v>210.0</v>
      </c>
      <c r="E57" s="198">
        <v>667.0</v>
      </c>
      <c r="F57" s="198">
        <v>482.0</v>
      </c>
      <c r="G57" s="198">
        <v>516.0</v>
      </c>
      <c r="H57" s="198">
        <v>125.0</v>
      </c>
      <c r="I57" s="198">
        <v>127.0</v>
      </c>
      <c r="J57" s="198">
        <v>125.0</v>
      </c>
      <c r="K57" s="199">
        <v>0.9341085271317829</v>
      </c>
      <c r="L57" s="199">
        <v>1.176356589147287</v>
      </c>
      <c r="M57" s="200">
        <v>0.3778110944527736</v>
      </c>
      <c r="N57" s="200">
        <v>0.1904047976011994</v>
      </c>
      <c r="O57" s="200">
        <v>0.1874062968515742</v>
      </c>
      <c r="P57" s="200">
        <v>0.503968253968254</v>
      </c>
      <c r="Q57" s="198">
        <v>43.0</v>
      </c>
      <c r="R57" s="198">
        <v>4.0</v>
      </c>
      <c r="S57" s="200">
        <v>0.09302325581395349</v>
      </c>
      <c r="T57" s="201">
        <v>0.7</v>
      </c>
      <c r="U57" s="198"/>
      <c r="V57" s="198"/>
      <c r="W57" s="198"/>
      <c r="X57" s="198"/>
      <c r="Y57" s="198"/>
      <c r="Z57" s="198"/>
    </row>
    <row r="58">
      <c r="A58" s="189" t="str">
        <f>IFERROR(__xludf.DUMMYFUNCTION("""COMPUTED_VALUE"""),"děti ulice")</f>
        <v>děti ulice</v>
      </c>
      <c r="B58" s="198" t="str">
        <f>IFERROR(__xludf.DUMMYFUNCTION("""COMPUTED_VALUE"""),"basya")</f>
        <v>basya</v>
      </c>
      <c r="C58" s="198">
        <v>190.0</v>
      </c>
      <c r="D58" s="198">
        <v>190.0</v>
      </c>
      <c r="E58" s="198">
        <v>667.0</v>
      </c>
      <c r="F58" s="198">
        <v>448.0</v>
      </c>
      <c r="G58" s="198">
        <v>447.0</v>
      </c>
      <c r="H58" s="198">
        <v>139.0</v>
      </c>
      <c r="I58" s="198">
        <v>58.0</v>
      </c>
      <c r="J58" s="198">
        <v>53.0</v>
      </c>
      <c r="K58" s="199">
        <v>1.0022371364653244</v>
      </c>
      <c r="L58" s="199">
        <v>1.313199105145414</v>
      </c>
      <c r="M58" s="200">
        <v>0.1664167916041979</v>
      </c>
      <c r="N58" s="200">
        <v>0.08695652173913043</v>
      </c>
      <c r="O58" s="200">
        <v>0.07946026986506746</v>
      </c>
      <c r="P58" s="200">
        <v>0.5225225225225225</v>
      </c>
      <c r="Q58" s="198">
        <v>90.0</v>
      </c>
      <c r="R58" s="198">
        <v>15.0</v>
      </c>
      <c r="S58" s="200">
        <v>0.16666666666666666</v>
      </c>
      <c r="T58" s="201">
        <v>0.69</v>
      </c>
      <c r="U58" s="198"/>
      <c r="V58" s="198"/>
      <c r="W58" s="198"/>
      <c r="X58" s="198"/>
      <c r="Y58" s="198"/>
      <c r="Z58" s="198"/>
    </row>
    <row r="59">
      <c r="A59" s="189" t="str">
        <f>IFERROR(__xludf.DUMMYFUNCTION("""COMPUTED_VALUE"""),"děti ulice")</f>
        <v>děti ulice</v>
      </c>
      <c r="B59" s="198" t="str">
        <f>IFERROR(__xludf.DUMMYFUNCTION("""COMPUTED_VALUE"""),"MaximN")</f>
        <v>MaximN</v>
      </c>
      <c r="C59" s="198">
        <v>190.0</v>
      </c>
      <c r="D59" s="198">
        <v>190.0</v>
      </c>
      <c r="E59" s="198">
        <v>667.0</v>
      </c>
      <c r="F59" s="198">
        <v>441.0</v>
      </c>
      <c r="G59" s="198">
        <v>440.0</v>
      </c>
      <c r="H59" s="198">
        <v>223.0</v>
      </c>
      <c r="I59" s="198">
        <v>36.0</v>
      </c>
      <c r="J59" s="198">
        <v>32.0</v>
      </c>
      <c r="K59" s="199">
        <v>1.0022727272727272</v>
      </c>
      <c r="L59" s="199">
        <v>1.509090909090909</v>
      </c>
      <c r="M59" s="200">
        <v>0.10194902548725637</v>
      </c>
      <c r="N59" s="200">
        <v>0.053973013493253376</v>
      </c>
      <c r="O59" s="200">
        <v>0.047976011994003</v>
      </c>
      <c r="P59" s="200">
        <v>0.5294117647058824</v>
      </c>
      <c r="Q59" s="198">
        <v>121.0</v>
      </c>
      <c r="R59" s="198">
        <v>16.0</v>
      </c>
      <c r="S59" s="200">
        <v>0.1322314049586777</v>
      </c>
      <c r="T59" s="201">
        <v>0.71</v>
      </c>
      <c r="U59" s="198"/>
      <c r="V59" s="198"/>
      <c r="W59" s="198"/>
      <c r="X59" s="198"/>
      <c r="Y59" s="198"/>
      <c r="Z59" s="198"/>
    </row>
    <row r="60">
      <c r="A60" s="189" t="str">
        <f>IFERROR(__xludf.DUMMYFUNCTION("""COMPUTED_VALUE"""),"děti ulice")</f>
        <v>děti ulice</v>
      </c>
      <c r="B60" s="198" t="str">
        <f>IFERROR(__xludf.DUMMYFUNCTION("""COMPUTED_VALUE"""),"kya")</f>
        <v>kya</v>
      </c>
      <c r="C60" s="198">
        <v>167.0</v>
      </c>
      <c r="D60" s="198">
        <v>170.0</v>
      </c>
      <c r="E60" s="198">
        <v>667.0</v>
      </c>
      <c r="F60" s="198">
        <v>389.0</v>
      </c>
      <c r="G60" s="198">
        <v>484.0</v>
      </c>
      <c r="H60" s="198">
        <v>240.0</v>
      </c>
      <c r="I60" s="198">
        <v>33.0</v>
      </c>
      <c r="J60" s="198">
        <v>61.0</v>
      </c>
      <c r="K60" s="199">
        <v>0.8037190082644629</v>
      </c>
      <c r="L60" s="199">
        <v>1.2995867768595042</v>
      </c>
      <c r="M60" s="200">
        <v>0.1409295352323838</v>
      </c>
      <c r="N60" s="200">
        <v>0.049475262368815595</v>
      </c>
      <c r="O60" s="200">
        <v>0.09145427286356822</v>
      </c>
      <c r="P60" s="200">
        <v>0.35106382978723405</v>
      </c>
      <c r="Q60" s="198">
        <v>64.0</v>
      </c>
      <c r="R60" s="198">
        <v>8.0</v>
      </c>
      <c r="S60" s="200">
        <v>0.125</v>
      </c>
      <c r="T60" s="201">
        <v>0.69</v>
      </c>
      <c r="U60" s="198"/>
      <c r="V60" s="198"/>
      <c r="W60" s="198"/>
      <c r="X60" s="198"/>
      <c r="Y60" s="198"/>
      <c r="Z60" s="198"/>
    </row>
    <row r="61">
      <c r="A61" s="189" t="str">
        <f>IFERROR(__xludf.DUMMYFUNCTION("""COMPUTED_VALUE"""),"DNSTY")</f>
        <v>DNSTY</v>
      </c>
      <c r="B61" s="189" t="str">
        <f>IFERROR(__xludf.DUMMYFUNCTION("""COMPUTED_VALUE"""),"Famsii")</f>
        <v>Famsii</v>
      </c>
      <c r="C61" s="189">
        <v>243.0</v>
      </c>
      <c r="D61" s="189">
        <v>243.0</v>
      </c>
      <c r="E61" s="189">
        <v>405.0</v>
      </c>
      <c r="F61" s="189">
        <v>352.0</v>
      </c>
      <c r="G61" s="189">
        <v>279.0</v>
      </c>
      <c r="H61" s="189">
        <v>78.0</v>
      </c>
      <c r="I61" s="182">
        <v>81.0</v>
      </c>
      <c r="J61" s="182">
        <v>53.0</v>
      </c>
      <c r="K61" s="202">
        <v>1.2616487455197132</v>
      </c>
      <c r="L61" s="202">
        <v>1.5412186379928314</v>
      </c>
      <c r="M61" s="203">
        <v>0.3308641975308642</v>
      </c>
      <c r="N61" s="203">
        <v>0.2</v>
      </c>
      <c r="O61" s="203">
        <v>0.1308641975308642</v>
      </c>
      <c r="P61" s="203">
        <v>0.6044776119402985</v>
      </c>
      <c r="Q61" s="182">
        <v>25.0</v>
      </c>
      <c r="R61" s="182">
        <v>3.0</v>
      </c>
      <c r="S61" s="203">
        <v>0.12</v>
      </c>
      <c r="T61" s="200">
        <v>0.7617</v>
      </c>
    </row>
    <row r="62">
      <c r="A62" s="189" t="str">
        <f>IFERROR(__xludf.DUMMYFUNCTION("""COMPUTED_VALUE"""),"DNSTY")</f>
        <v>DNSTY</v>
      </c>
      <c r="B62" s="189" t="str">
        <f>IFERROR(__xludf.DUMMYFUNCTION("""COMPUTED_VALUE"""),"Ticey")</f>
        <v>Ticey</v>
      </c>
      <c r="C62" s="189">
        <v>213.0</v>
      </c>
      <c r="D62" s="189">
        <v>213.0</v>
      </c>
      <c r="E62" s="189">
        <v>405.0</v>
      </c>
      <c r="F62" s="189">
        <v>297.0</v>
      </c>
      <c r="G62" s="189">
        <v>268.0</v>
      </c>
      <c r="H62" s="189">
        <v>181.0</v>
      </c>
      <c r="I62" s="182">
        <v>45.0</v>
      </c>
      <c r="J62" s="182">
        <v>50.0</v>
      </c>
      <c r="K62" s="202">
        <v>1.1082089552238805</v>
      </c>
      <c r="L62" s="202">
        <v>1.7835820895522387</v>
      </c>
      <c r="M62" s="203">
        <v>0.2345679012345679</v>
      </c>
      <c r="N62" s="203">
        <v>0.1111111111111111</v>
      </c>
      <c r="O62" s="203">
        <v>0.12345679012345678</v>
      </c>
      <c r="P62" s="203">
        <v>0.47368421052631576</v>
      </c>
      <c r="Q62" s="182">
        <v>31.0</v>
      </c>
      <c r="R62" s="182">
        <v>5.0</v>
      </c>
      <c r="S62" s="203">
        <v>0.16129032258064516</v>
      </c>
      <c r="T62" s="200">
        <v>0.7687</v>
      </c>
    </row>
    <row r="63">
      <c r="A63" s="189" t="str">
        <f>IFERROR(__xludf.DUMMYFUNCTION("""COMPUTED_VALUE"""),"DNSTY")</f>
        <v>DNSTY</v>
      </c>
      <c r="B63" s="189" t="str">
        <f>IFERROR(__xludf.DUMMYFUNCTION("""COMPUTED_VALUE"""),"WADDLE")</f>
        <v>WADDLE</v>
      </c>
      <c r="C63" s="189">
        <v>200.0</v>
      </c>
      <c r="D63" s="189">
        <v>195.0</v>
      </c>
      <c r="E63" s="189">
        <v>405.0</v>
      </c>
      <c r="F63" s="189">
        <v>296.0</v>
      </c>
      <c r="G63" s="189">
        <v>250.0</v>
      </c>
      <c r="H63" s="189">
        <v>133.0</v>
      </c>
      <c r="I63" s="182">
        <v>28.0</v>
      </c>
      <c r="J63" s="182">
        <v>30.0</v>
      </c>
      <c r="K63" s="202">
        <v>1.184</v>
      </c>
      <c r="L63" s="202">
        <v>1.716</v>
      </c>
      <c r="M63" s="203">
        <v>0.14320987654320988</v>
      </c>
      <c r="N63" s="203">
        <v>0.0691358024691358</v>
      </c>
      <c r="O63" s="203">
        <v>0.07407407407407407</v>
      </c>
      <c r="P63" s="203">
        <v>0.4827586206896552</v>
      </c>
      <c r="Q63" s="182">
        <v>57.0</v>
      </c>
      <c r="R63" s="182">
        <v>8.0</v>
      </c>
      <c r="S63" s="203">
        <v>0.14035087719298245</v>
      </c>
      <c r="T63" s="200">
        <v>0.753</v>
      </c>
    </row>
    <row r="64">
      <c r="A64" s="189" t="str">
        <f>IFERROR(__xludf.DUMMYFUNCTION("""COMPUTED_VALUE"""),"DNSTY")</f>
        <v>DNSTY</v>
      </c>
      <c r="B64" s="189" t="str">
        <f>IFERROR(__xludf.DUMMYFUNCTION("""COMPUTED_VALUE"""),"Tag")</f>
        <v>Tag</v>
      </c>
      <c r="C64" s="189">
        <v>186.0</v>
      </c>
      <c r="D64" s="189">
        <v>184.0</v>
      </c>
      <c r="E64" s="189">
        <v>405.0</v>
      </c>
      <c r="F64" s="189">
        <v>268.0</v>
      </c>
      <c r="G64" s="189">
        <v>258.0</v>
      </c>
      <c r="H64" s="189">
        <v>75.0</v>
      </c>
      <c r="I64" s="182">
        <v>31.0</v>
      </c>
      <c r="J64" s="182">
        <v>34.0</v>
      </c>
      <c r="K64" s="202">
        <v>1.0387596899224807</v>
      </c>
      <c r="L64" s="202">
        <v>1.3294573643410852</v>
      </c>
      <c r="M64" s="203">
        <v>0.16049382716049382</v>
      </c>
      <c r="N64" s="203">
        <v>0.07654320987654321</v>
      </c>
      <c r="O64" s="203">
        <v>0.08395061728395062</v>
      </c>
      <c r="P64" s="203">
        <v>0.47692307692307695</v>
      </c>
      <c r="Q64" s="182">
        <v>47.0</v>
      </c>
      <c r="R64" s="182">
        <v>9.0</v>
      </c>
      <c r="S64" s="203">
        <v>0.19148936170212766</v>
      </c>
      <c r="T64" s="200">
        <v>0.7113</v>
      </c>
    </row>
    <row r="65">
      <c r="A65" s="189" t="str">
        <f>IFERROR(__xludf.DUMMYFUNCTION("""COMPUTED_VALUE"""),"DNSTY")</f>
        <v>DNSTY</v>
      </c>
      <c r="B65" s="189" t="str">
        <f>IFERROR(__xludf.DUMMYFUNCTION("""COMPUTED_VALUE"""),"Creamydreamy")</f>
        <v>Creamydreamy</v>
      </c>
      <c r="C65" s="189">
        <v>176.0</v>
      </c>
      <c r="D65" s="189">
        <v>176.0</v>
      </c>
      <c r="E65" s="189">
        <v>405.0</v>
      </c>
      <c r="F65" s="189">
        <v>245.0</v>
      </c>
      <c r="G65" s="189">
        <v>260.0</v>
      </c>
      <c r="H65" s="189">
        <v>191.0</v>
      </c>
      <c r="I65" s="182">
        <v>21.0</v>
      </c>
      <c r="J65" s="182">
        <v>33.0</v>
      </c>
      <c r="K65" s="202">
        <v>0.9423076923076923</v>
      </c>
      <c r="L65" s="202">
        <v>1.676923076923077</v>
      </c>
      <c r="M65" s="203">
        <v>0.13333333333333333</v>
      </c>
      <c r="N65" s="203">
        <v>0.05185185185185185</v>
      </c>
      <c r="O65" s="203">
        <v>0.08148148148148149</v>
      </c>
      <c r="P65" s="203">
        <v>0.3888888888888889</v>
      </c>
      <c r="Q65" s="182">
        <v>40.0</v>
      </c>
      <c r="R65" s="182">
        <v>8.0</v>
      </c>
      <c r="S65" s="203">
        <v>0.2</v>
      </c>
      <c r="T65" s="200">
        <v>0.7426</v>
      </c>
    </row>
    <row r="66">
      <c r="A66" s="189" t="str">
        <f>IFERROR(__xludf.DUMMYFUNCTION("""COMPUTED_VALUE"""),"Boars Gaming")</f>
        <v>Boars Gaming</v>
      </c>
      <c r="B66" s="189" t="str">
        <f>IFERROR(__xludf.DUMMYFUNCTION("""COMPUTED_VALUE"""),"Kolosha")</f>
        <v>Kolosha</v>
      </c>
      <c r="C66" s="189">
        <v>245.0</v>
      </c>
      <c r="D66" s="189">
        <v>252.0</v>
      </c>
      <c r="E66" s="189">
        <v>708.0</v>
      </c>
      <c r="F66" s="189">
        <v>615.0</v>
      </c>
      <c r="G66" s="189">
        <v>532.0</v>
      </c>
      <c r="H66" s="189">
        <v>177.0</v>
      </c>
      <c r="I66" s="182">
        <v>137.0</v>
      </c>
      <c r="J66" s="182">
        <v>125.0</v>
      </c>
      <c r="K66" s="202">
        <v>1.156015037593985</v>
      </c>
      <c r="L66" s="202">
        <v>1.4887218045112782</v>
      </c>
      <c r="M66" s="203">
        <v>0.3700564971751412</v>
      </c>
      <c r="N66" s="203">
        <v>0.19350282485875706</v>
      </c>
      <c r="O66" s="203">
        <v>0.1765536723163842</v>
      </c>
      <c r="P66" s="203">
        <v>0.5229007633587787</v>
      </c>
      <c r="Q66" s="182">
        <v>33.0</v>
      </c>
      <c r="R66" s="182">
        <v>6.0</v>
      </c>
      <c r="S66" s="203">
        <v>0.18181818181818182</v>
      </c>
      <c r="T66" s="201">
        <v>0.72</v>
      </c>
      <c r="U66" s="182"/>
      <c r="V66" s="182"/>
      <c r="W66" s="182"/>
      <c r="X66" s="182"/>
      <c r="Y66" s="182"/>
      <c r="Z66" s="182"/>
    </row>
    <row r="67">
      <c r="A67" s="189" t="str">
        <f>IFERROR(__xludf.DUMMYFUNCTION("""COMPUTED_VALUE"""),"Boars Gaming")</f>
        <v>Boars Gaming</v>
      </c>
      <c r="B67" s="189" t="str">
        <f>IFERROR(__xludf.DUMMYFUNCTION("""COMPUTED_VALUE"""),"troizyyy")</f>
        <v>troizyyy</v>
      </c>
      <c r="C67" s="189">
        <v>218.0</v>
      </c>
      <c r="D67" s="189">
        <v>220.0</v>
      </c>
      <c r="E67" s="189">
        <v>708.0</v>
      </c>
      <c r="F67" s="189">
        <v>541.0</v>
      </c>
      <c r="G67" s="189">
        <v>448.0</v>
      </c>
      <c r="H67" s="189">
        <v>315.0</v>
      </c>
      <c r="I67" s="182">
        <v>79.0</v>
      </c>
      <c r="J67" s="182">
        <v>64.0</v>
      </c>
      <c r="K67" s="202">
        <v>1.2075892857142858</v>
      </c>
      <c r="L67" s="202">
        <v>1.9107142857142858</v>
      </c>
      <c r="M67" s="203">
        <v>0.2019774011299435</v>
      </c>
      <c r="N67" s="203">
        <v>0.1115819209039548</v>
      </c>
      <c r="O67" s="203">
        <v>0.0903954802259887</v>
      </c>
      <c r="P67" s="203">
        <v>0.5524475524475524</v>
      </c>
      <c r="Q67" s="182">
        <v>109.0</v>
      </c>
      <c r="R67" s="182">
        <v>14.0</v>
      </c>
      <c r="S67" s="203">
        <v>0.12844036697247707</v>
      </c>
      <c r="T67" s="201">
        <v>0.76</v>
      </c>
      <c r="U67" s="182"/>
      <c r="V67" s="182"/>
      <c r="W67" s="182"/>
      <c r="X67" s="182"/>
      <c r="Y67" s="182"/>
      <c r="Z67" s="182"/>
    </row>
    <row r="68">
      <c r="A68" s="189" t="str">
        <f>IFERROR(__xludf.DUMMYFUNCTION("""COMPUTED_VALUE"""),"Boars Gaming")</f>
        <v>Boars Gaming</v>
      </c>
      <c r="B68" s="189" t="str">
        <f>IFERROR(__xludf.DUMMYFUNCTION("""COMPUTED_VALUE"""),"nvrfear")</f>
        <v>nvrfear</v>
      </c>
      <c r="C68" s="189">
        <v>209.0</v>
      </c>
      <c r="D68" s="189">
        <v>209.0</v>
      </c>
      <c r="E68" s="189">
        <v>708.0</v>
      </c>
      <c r="F68" s="189">
        <v>529.0</v>
      </c>
      <c r="G68" s="189">
        <v>446.0</v>
      </c>
      <c r="H68" s="189">
        <v>224.0</v>
      </c>
      <c r="I68" s="182">
        <v>48.0</v>
      </c>
      <c r="J68" s="182">
        <v>46.0</v>
      </c>
      <c r="K68" s="202">
        <v>1.1860986547085202</v>
      </c>
      <c r="L68" s="202">
        <v>1.688340807174888</v>
      </c>
      <c r="M68" s="203">
        <v>0.1327683615819209</v>
      </c>
      <c r="N68" s="203">
        <v>0.06779661016949153</v>
      </c>
      <c r="O68" s="203">
        <v>0.06497175141242938</v>
      </c>
      <c r="P68" s="203">
        <v>0.5106382978723404</v>
      </c>
      <c r="Q68" s="182">
        <v>81.0</v>
      </c>
      <c r="R68" s="182">
        <v>17.0</v>
      </c>
      <c r="S68" s="203">
        <v>0.20987654320987653</v>
      </c>
      <c r="T68" s="201">
        <v>0.76</v>
      </c>
      <c r="U68" s="182"/>
      <c r="V68" s="182"/>
      <c r="W68" s="182"/>
      <c r="X68" s="182"/>
      <c r="Y68" s="182"/>
      <c r="Z68" s="182"/>
    </row>
    <row r="69">
      <c r="A69" s="189" t="str">
        <f>IFERROR(__xludf.DUMMYFUNCTION("""COMPUTED_VALUE"""),"Boars Gaming")</f>
        <v>Boars Gaming</v>
      </c>
      <c r="B69" s="189" t="str">
        <f>IFERROR(__xludf.DUMMYFUNCTION("""COMPUTED_VALUE"""),"RARE")</f>
        <v>RARE</v>
      </c>
      <c r="C69" s="189">
        <v>202.0</v>
      </c>
      <c r="D69" s="189">
        <v>202.0</v>
      </c>
      <c r="E69" s="189">
        <v>708.0</v>
      </c>
      <c r="F69" s="189">
        <v>481.0</v>
      </c>
      <c r="G69" s="189">
        <v>477.0</v>
      </c>
      <c r="H69" s="189">
        <v>171.0</v>
      </c>
      <c r="I69" s="182">
        <v>53.0</v>
      </c>
      <c r="J69" s="182">
        <v>67.0</v>
      </c>
      <c r="K69" s="202">
        <v>1.0083857442348008</v>
      </c>
      <c r="L69" s="202">
        <v>1.3668763102725368</v>
      </c>
      <c r="M69" s="203">
        <v>0.1694915254237288</v>
      </c>
      <c r="N69" s="203">
        <v>0.0748587570621469</v>
      </c>
      <c r="O69" s="203">
        <v>0.09463276836158192</v>
      </c>
      <c r="P69" s="203">
        <v>0.44166666666666665</v>
      </c>
      <c r="Q69" s="182">
        <v>87.0</v>
      </c>
      <c r="R69" s="182">
        <v>13.0</v>
      </c>
      <c r="S69" s="203">
        <v>0.14942528735632185</v>
      </c>
      <c r="T69" s="201">
        <v>0.72</v>
      </c>
      <c r="U69" s="182"/>
      <c r="V69" s="182"/>
      <c r="W69" s="182"/>
      <c r="X69" s="182"/>
      <c r="Y69" s="182"/>
      <c r="Z69" s="182"/>
    </row>
    <row r="70">
      <c r="A70" s="189" t="str">
        <f>IFERROR(__xludf.DUMMYFUNCTION("""COMPUTED_VALUE"""),"Boars Gaming")</f>
        <v>Boars Gaming</v>
      </c>
      <c r="B70" s="189" t="str">
        <f>IFERROR(__xludf.DUMMYFUNCTION("""COMPUTED_VALUE"""),"Javelin")</f>
        <v>Javelin</v>
      </c>
      <c r="C70" s="189">
        <v>180.0</v>
      </c>
      <c r="D70" s="189">
        <v>178.0</v>
      </c>
      <c r="E70" s="189">
        <v>708.0</v>
      </c>
      <c r="F70" s="189">
        <v>429.0</v>
      </c>
      <c r="G70" s="189">
        <v>461.0</v>
      </c>
      <c r="H70" s="189">
        <v>359.0</v>
      </c>
      <c r="I70" s="182">
        <v>56.0</v>
      </c>
      <c r="J70" s="182">
        <v>34.0</v>
      </c>
      <c r="K70" s="202">
        <v>0.93058568329718</v>
      </c>
      <c r="L70" s="202">
        <v>1.7093275488069415</v>
      </c>
      <c r="M70" s="203">
        <v>0.1271186440677966</v>
      </c>
      <c r="N70" s="203">
        <v>0.07909604519774012</v>
      </c>
      <c r="O70" s="203">
        <v>0.0480225988700565</v>
      </c>
      <c r="P70" s="203">
        <v>0.6222222222222222</v>
      </c>
      <c r="Q70" s="182">
        <v>62.0</v>
      </c>
      <c r="R70" s="182">
        <v>6.0</v>
      </c>
      <c r="S70" s="203">
        <v>0.0967741935483871</v>
      </c>
      <c r="T70" s="201">
        <v>0.78</v>
      </c>
      <c r="U70" s="182"/>
      <c r="V70" s="182"/>
      <c r="W70" s="182"/>
      <c r="X70" s="182"/>
      <c r="Y70" s="182"/>
      <c r="Z70" s="182"/>
    </row>
    <row r="71">
      <c r="A71" s="189" t="str">
        <f>IFERROR(__xludf.DUMMYFUNCTION("""COMPUTED_VALUE"""),"BBL PCIFIC")</f>
        <v>BBL PCIFIC</v>
      </c>
      <c r="B71" s="189" t="str">
        <f>IFERROR(__xludf.DUMMYFUNCTION("""COMPUTED_VALUE"""),"umu7")</f>
        <v>umu7</v>
      </c>
      <c r="C71" s="189">
        <v>221.0</v>
      </c>
      <c r="D71" s="189">
        <v>221.0</v>
      </c>
      <c r="E71" s="189">
        <v>630.0</v>
      </c>
      <c r="F71" s="189">
        <v>504.0</v>
      </c>
      <c r="G71" s="189">
        <v>426.0</v>
      </c>
      <c r="H71" s="189">
        <v>113.0</v>
      </c>
      <c r="I71" s="182">
        <v>114.0</v>
      </c>
      <c r="J71" s="182">
        <v>101.0</v>
      </c>
      <c r="K71" s="202">
        <v>1.1830985915492958</v>
      </c>
      <c r="L71" s="202">
        <v>1.448356807511737</v>
      </c>
      <c r="M71" s="203">
        <v>0.3412698412698413</v>
      </c>
      <c r="N71" s="203">
        <v>0.18095238095238095</v>
      </c>
      <c r="O71" s="203">
        <v>0.16031746031746033</v>
      </c>
      <c r="P71" s="203">
        <v>0.5302325581395348</v>
      </c>
      <c r="Q71" s="182">
        <v>60.0</v>
      </c>
      <c r="R71" s="182">
        <v>6.0</v>
      </c>
      <c r="S71" s="203">
        <v>0.1</v>
      </c>
      <c r="T71" s="201">
        <v>0.71</v>
      </c>
      <c r="U71" s="182"/>
      <c r="V71" s="182"/>
      <c r="W71" s="182"/>
      <c r="X71" s="182"/>
      <c r="Y71" s="182"/>
      <c r="Z71" s="182"/>
    </row>
    <row r="72">
      <c r="A72" s="189" t="str">
        <f>IFERROR(__xludf.DUMMYFUNCTION("""COMPUTED_VALUE"""),"BBL PCIFIC")</f>
        <v>BBL PCIFIC</v>
      </c>
      <c r="B72" s="189" t="str">
        <f>IFERROR(__xludf.DUMMYFUNCTION("""COMPUTED_VALUE"""),"Lar0k")</f>
        <v>Lar0k</v>
      </c>
      <c r="C72" s="189">
        <v>212.0</v>
      </c>
      <c r="D72" s="189">
        <v>211.0</v>
      </c>
      <c r="E72" s="189">
        <v>630.0</v>
      </c>
      <c r="F72" s="189">
        <v>476.0</v>
      </c>
      <c r="G72" s="189">
        <v>413.0</v>
      </c>
      <c r="H72" s="189">
        <v>201.0</v>
      </c>
      <c r="I72" s="182">
        <v>57.0</v>
      </c>
      <c r="J72" s="182">
        <v>56.0</v>
      </c>
      <c r="K72" s="202">
        <v>1.152542372881356</v>
      </c>
      <c r="L72" s="202">
        <v>1.639225181598063</v>
      </c>
      <c r="M72" s="203">
        <v>0.17936507936507937</v>
      </c>
      <c r="N72" s="203">
        <v>0.09047619047619047</v>
      </c>
      <c r="O72" s="203">
        <v>0.08888888888888889</v>
      </c>
      <c r="P72" s="203">
        <v>0.504424778761062</v>
      </c>
      <c r="Q72" s="182">
        <v>68.0</v>
      </c>
      <c r="R72" s="182">
        <v>12.0</v>
      </c>
      <c r="S72" s="203">
        <v>0.17647058823529413</v>
      </c>
      <c r="T72" s="201">
        <v>0.76</v>
      </c>
      <c r="U72" s="182"/>
      <c r="V72" s="182"/>
      <c r="W72" s="182"/>
      <c r="X72" s="182"/>
      <c r="Y72" s="182"/>
      <c r="Z72" s="182"/>
    </row>
    <row r="73">
      <c r="A73" s="189" t="str">
        <f>IFERROR(__xludf.DUMMYFUNCTION("""COMPUTED_VALUE"""),"BBL PCIFIC")</f>
        <v>BBL PCIFIC</v>
      </c>
      <c r="B73" s="189" t="str">
        <f>IFERROR(__xludf.DUMMYFUNCTION("""COMPUTED_VALUE"""),"Loita")</f>
        <v>Loita</v>
      </c>
      <c r="C73" s="189">
        <v>202.0</v>
      </c>
      <c r="D73" s="189">
        <v>200.0</v>
      </c>
      <c r="E73" s="189">
        <v>630.0</v>
      </c>
      <c r="F73" s="189">
        <v>449.0</v>
      </c>
      <c r="G73" s="189">
        <v>424.0</v>
      </c>
      <c r="H73" s="189">
        <v>279.0</v>
      </c>
      <c r="I73" s="182">
        <v>70.0</v>
      </c>
      <c r="J73" s="182">
        <v>60.0</v>
      </c>
      <c r="K73" s="202">
        <v>1.0589622641509433</v>
      </c>
      <c r="L73" s="202">
        <v>1.7169811320754718</v>
      </c>
      <c r="M73" s="203">
        <v>0.20634920634920634</v>
      </c>
      <c r="N73" s="203">
        <v>0.1111111111111111</v>
      </c>
      <c r="O73" s="203">
        <v>0.09523809523809523</v>
      </c>
      <c r="P73" s="203">
        <v>0.5384615384615384</v>
      </c>
      <c r="Q73" s="182">
        <v>72.0</v>
      </c>
      <c r="R73" s="182">
        <v>8.0</v>
      </c>
      <c r="S73" s="203">
        <v>0.1111111111111111</v>
      </c>
      <c r="T73" s="201">
        <v>0.75</v>
      </c>
      <c r="U73" s="182"/>
      <c r="V73" s="182"/>
      <c r="W73" s="182"/>
      <c r="X73" s="182"/>
      <c r="Y73" s="182"/>
      <c r="Z73" s="182"/>
    </row>
    <row r="74">
      <c r="A74" s="189" t="str">
        <f>IFERROR(__xludf.DUMMYFUNCTION("""COMPUTED_VALUE"""),"BBL PCIFIC")</f>
        <v>BBL PCIFIC</v>
      </c>
      <c r="B74" s="189" t="str">
        <f>IFERROR(__xludf.DUMMYFUNCTION("""COMPUTED_VALUE"""),"Crewen")</f>
        <v>Crewen</v>
      </c>
      <c r="C74" s="189">
        <v>199.0</v>
      </c>
      <c r="D74" s="189">
        <v>197.0</v>
      </c>
      <c r="E74" s="189">
        <v>630.0</v>
      </c>
      <c r="F74" s="189">
        <v>447.0</v>
      </c>
      <c r="G74" s="189">
        <v>426.0</v>
      </c>
      <c r="H74" s="189">
        <v>128.0</v>
      </c>
      <c r="I74" s="182">
        <v>39.0</v>
      </c>
      <c r="J74" s="182">
        <v>44.0</v>
      </c>
      <c r="K74" s="202">
        <v>1.0492957746478873</v>
      </c>
      <c r="L74" s="202">
        <v>1.3497652582159625</v>
      </c>
      <c r="M74" s="203">
        <v>0.13174603174603175</v>
      </c>
      <c r="N74" s="203">
        <v>0.06190476190476191</v>
      </c>
      <c r="O74" s="203">
        <v>0.06984126984126984</v>
      </c>
      <c r="P74" s="203">
        <v>0.46987951807228917</v>
      </c>
      <c r="Q74" s="182">
        <v>64.0</v>
      </c>
      <c r="R74" s="182">
        <v>7.0</v>
      </c>
      <c r="S74" s="203">
        <v>0.109375</v>
      </c>
      <c r="T74" s="201">
        <v>0.71</v>
      </c>
      <c r="U74" s="182"/>
      <c r="V74" s="182"/>
      <c r="W74" s="182"/>
      <c r="X74" s="182"/>
      <c r="Y74" s="182"/>
      <c r="Z74" s="182"/>
    </row>
    <row r="75">
      <c r="A75" s="189" t="str">
        <f>IFERROR(__xludf.DUMMYFUNCTION("""COMPUTED_VALUE"""),"BBL PCIFIC")</f>
        <v>BBL PCIFIC</v>
      </c>
      <c r="B75" s="189" t="str">
        <f>IFERROR(__xludf.DUMMYFUNCTION("""COMPUTED_VALUE"""),"Rosé")</f>
        <v>Rosé</v>
      </c>
      <c r="C75" s="189">
        <v>167.0</v>
      </c>
      <c r="D75" s="189">
        <v>168.0</v>
      </c>
      <c r="E75" s="189">
        <v>630.0</v>
      </c>
      <c r="F75" s="189">
        <v>355.0</v>
      </c>
      <c r="G75" s="189">
        <v>434.0</v>
      </c>
      <c r="H75" s="189">
        <v>179.0</v>
      </c>
      <c r="I75" s="182">
        <v>41.0</v>
      </c>
      <c r="J75" s="182">
        <v>51.0</v>
      </c>
      <c r="K75" s="202">
        <v>0.8179723502304147</v>
      </c>
      <c r="L75" s="202">
        <v>1.2304147465437787</v>
      </c>
      <c r="M75" s="203">
        <v>0.14603174603174604</v>
      </c>
      <c r="N75" s="203">
        <v>0.06507936507936508</v>
      </c>
      <c r="O75" s="203">
        <v>0.08095238095238096</v>
      </c>
      <c r="P75" s="203">
        <v>0.44565217391304346</v>
      </c>
      <c r="Q75" s="182">
        <v>73.0</v>
      </c>
      <c r="R75" s="182">
        <v>14.0</v>
      </c>
      <c r="S75" s="203">
        <v>0.1917808219178082</v>
      </c>
      <c r="T75" s="201">
        <v>0.71</v>
      </c>
      <c r="U75" s="182"/>
      <c r="V75" s="182"/>
      <c r="W75" s="182"/>
      <c r="X75" s="182"/>
      <c r="Y75" s="182"/>
      <c r="Z75" s="182"/>
    </row>
    <row r="76">
      <c r="A76" s="182" t="s">
        <v>186</v>
      </c>
      <c r="B76" s="182" t="s">
        <v>212</v>
      </c>
      <c r="C76" s="189" t="e">
        <v>#N/A</v>
      </c>
      <c r="D76" s="189">
        <v>261.0</v>
      </c>
      <c r="E76" s="189" t="e">
        <v>#N/A</v>
      </c>
      <c r="F76" s="189" t="e">
        <v>#N/A</v>
      </c>
      <c r="G76" s="189" t="e">
        <v>#N/A</v>
      </c>
      <c r="H76" s="189" t="e">
        <v>#N/A</v>
      </c>
      <c r="I76" s="189" t="e">
        <v>#N/A</v>
      </c>
      <c r="J76" s="189" t="e">
        <v>#N/A</v>
      </c>
      <c r="K76" s="204" t="e">
        <v>#N/A</v>
      </c>
      <c r="L76" s="204" t="e">
        <v>#N/A</v>
      </c>
      <c r="M76" s="205" t="e">
        <v>#N/A</v>
      </c>
      <c r="N76" s="205" t="e">
        <v>#N/A</v>
      </c>
      <c r="O76" s="205" t="e">
        <v>#N/A</v>
      </c>
      <c r="P76" s="205" t="e">
        <v>#N/A</v>
      </c>
      <c r="Q76" s="189" t="e">
        <v>#N/A</v>
      </c>
      <c r="R76" s="189" t="e">
        <v>#N/A</v>
      </c>
      <c r="S76" s="205" t="e">
        <v>#N/A</v>
      </c>
      <c r="T76" s="206"/>
    </row>
    <row r="77">
      <c r="C77" s="189" t="e">
        <v>#N/A</v>
      </c>
      <c r="D77" s="189" t="e">
        <v>#N/A</v>
      </c>
      <c r="E77" s="189" t="e">
        <v>#N/A</v>
      </c>
      <c r="F77" s="189" t="e">
        <v>#N/A</v>
      </c>
      <c r="G77" s="189" t="e">
        <v>#N/A</v>
      </c>
      <c r="H77" s="189" t="e">
        <v>#N/A</v>
      </c>
      <c r="I77" s="189" t="e">
        <v>#N/A</v>
      </c>
      <c r="J77" s="189" t="e">
        <v>#N/A</v>
      </c>
      <c r="K77" s="204" t="e">
        <v>#N/A</v>
      </c>
      <c r="L77" s="204" t="e">
        <v>#N/A</v>
      </c>
      <c r="M77" s="205" t="e">
        <v>#N/A</v>
      </c>
      <c r="N77" s="205" t="e">
        <v>#N/A</v>
      </c>
      <c r="O77" s="205" t="e">
        <v>#N/A</v>
      </c>
      <c r="P77" s="205" t="e">
        <v>#N/A</v>
      </c>
      <c r="Q77" s="189" t="e">
        <v>#N/A</v>
      </c>
      <c r="R77" s="189" t="e">
        <v>#N/A</v>
      </c>
      <c r="S77" s="205" t="e">
        <v>#N/A</v>
      </c>
      <c r="T77" s="206"/>
    </row>
    <row r="78">
      <c r="C78" s="189" t="e">
        <v>#N/A</v>
      </c>
      <c r="D78" s="189" t="e">
        <v>#N/A</v>
      </c>
      <c r="E78" s="189" t="e">
        <v>#N/A</v>
      </c>
      <c r="F78" s="189" t="e">
        <v>#N/A</v>
      </c>
      <c r="G78" s="189" t="e">
        <v>#N/A</v>
      </c>
      <c r="H78" s="189" t="e">
        <v>#N/A</v>
      </c>
      <c r="I78" s="189" t="e">
        <v>#N/A</v>
      </c>
      <c r="J78" s="189" t="e">
        <v>#N/A</v>
      </c>
      <c r="K78" s="204" t="e">
        <v>#N/A</v>
      </c>
      <c r="L78" s="204" t="e">
        <v>#N/A</v>
      </c>
      <c r="M78" s="205" t="e">
        <v>#N/A</v>
      </c>
      <c r="N78" s="205" t="e">
        <v>#N/A</v>
      </c>
      <c r="O78" s="205" t="e">
        <v>#N/A</v>
      </c>
      <c r="P78" s="205" t="e">
        <v>#N/A</v>
      </c>
      <c r="Q78" s="189" t="e">
        <v>#N/A</v>
      </c>
      <c r="R78" s="189" t="e">
        <v>#N/A</v>
      </c>
      <c r="S78" s="205" t="e">
        <v>#N/A</v>
      </c>
      <c r="T78" s="206"/>
    </row>
    <row r="79">
      <c r="C79" s="189" t="e">
        <v>#N/A</v>
      </c>
      <c r="D79" s="189" t="e">
        <v>#N/A</v>
      </c>
      <c r="E79" s="189" t="e">
        <v>#N/A</v>
      </c>
      <c r="F79" s="189" t="e">
        <v>#N/A</v>
      </c>
      <c r="G79" s="189" t="e">
        <v>#N/A</v>
      </c>
      <c r="H79" s="189" t="e">
        <v>#N/A</v>
      </c>
      <c r="I79" s="189" t="e">
        <v>#N/A</v>
      </c>
      <c r="J79" s="189" t="e">
        <v>#N/A</v>
      </c>
      <c r="K79" s="204" t="e">
        <v>#N/A</v>
      </c>
      <c r="L79" s="204" t="e">
        <v>#N/A</v>
      </c>
      <c r="M79" s="205" t="e">
        <v>#N/A</v>
      </c>
      <c r="N79" s="205" t="e">
        <v>#N/A</v>
      </c>
      <c r="O79" s="205" t="e">
        <v>#N/A</v>
      </c>
      <c r="P79" s="205" t="e">
        <v>#N/A</v>
      </c>
      <c r="Q79" s="189" t="e">
        <v>#N/A</v>
      </c>
      <c r="R79" s="189" t="e">
        <v>#N/A</v>
      </c>
      <c r="S79" s="205" t="e">
        <v>#N/A</v>
      </c>
      <c r="T79" s="206"/>
    </row>
    <row r="80">
      <c r="C80" s="189" t="e">
        <v>#N/A</v>
      </c>
      <c r="D80" s="189" t="e">
        <v>#N/A</v>
      </c>
      <c r="E80" s="189" t="e">
        <v>#N/A</v>
      </c>
      <c r="F80" s="189" t="e">
        <v>#N/A</v>
      </c>
      <c r="G80" s="189" t="e">
        <v>#N/A</v>
      </c>
      <c r="H80" s="189" t="e">
        <v>#N/A</v>
      </c>
      <c r="I80" s="189" t="e">
        <v>#N/A</v>
      </c>
      <c r="J80" s="189" t="e">
        <v>#N/A</v>
      </c>
      <c r="K80" s="204" t="e">
        <v>#N/A</v>
      </c>
      <c r="L80" s="204" t="e">
        <v>#N/A</v>
      </c>
      <c r="M80" s="205" t="e">
        <v>#N/A</v>
      </c>
      <c r="N80" s="205" t="e">
        <v>#N/A</v>
      </c>
      <c r="O80" s="205" t="e">
        <v>#N/A</v>
      </c>
      <c r="P80" s="205" t="e">
        <v>#N/A</v>
      </c>
      <c r="Q80" s="189" t="e">
        <v>#N/A</v>
      </c>
      <c r="R80" s="189" t="e">
        <v>#N/A</v>
      </c>
      <c r="S80" s="205" t="e">
        <v>#N/A</v>
      </c>
      <c r="T80" s="206"/>
    </row>
    <row r="81">
      <c r="C81" s="189" t="e">
        <v>#N/A</v>
      </c>
      <c r="D81" s="189" t="e">
        <v>#N/A</v>
      </c>
      <c r="E81" s="189" t="e">
        <v>#N/A</v>
      </c>
      <c r="F81" s="189" t="e">
        <v>#N/A</v>
      </c>
      <c r="G81" s="189" t="e">
        <v>#N/A</v>
      </c>
      <c r="H81" s="189" t="e">
        <v>#N/A</v>
      </c>
      <c r="I81" s="189" t="e">
        <v>#N/A</v>
      </c>
      <c r="J81" s="189" t="e">
        <v>#N/A</v>
      </c>
      <c r="K81" s="204" t="e">
        <v>#N/A</v>
      </c>
      <c r="L81" s="204" t="e">
        <v>#N/A</v>
      </c>
      <c r="M81" s="205" t="e">
        <v>#N/A</v>
      </c>
      <c r="N81" s="205" t="e">
        <v>#N/A</v>
      </c>
      <c r="O81" s="205" t="e">
        <v>#N/A</v>
      </c>
      <c r="P81" s="205" t="e">
        <v>#N/A</v>
      </c>
      <c r="Q81" s="189" t="e">
        <v>#N/A</v>
      </c>
      <c r="R81" s="189" t="e">
        <v>#N/A</v>
      </c>
      <c r="S81" s="205" t="e">
        <v>#N/A</v>
      </c>
      <c r="T81" s="206"/>
    </row>
    <row r="82">
      <c r="C82" s="189" t="e">
        <v>#N/A</v>
      </c>
      <c r="D82" s="189" t="e">
        <v>#N/A</v>
      </c>
      <c r="E82" s="189" t="e">
        <v>#N/A</v>
      </c>
      <c r="F82" s="189" t="e">
        <v>#N/A</v>
      </c>
      <c r="G82" s="189" t="e">
        <v>#N/A</v>
      </c>
      <c r="H82" s="189" t="e">
        <v>#N/A</v>
      </c>
      <c r="I82" s="189" t="e">
        <v>#N/A</v>
      </c>
      <c r="J82" s="189" t="e">
        <v>#N/A</v>
      </c>
      <c r="K82" s="204" t="e">
        <v>#N/A</v>
      </c>
      <c r="L82" s="204" t="e">
        <v>#N/A</v>
      </c>
      <c r="M82" s="205" t="e">
        <v>#N/A</v>
      </c>
      <c r="N82" s="205" t="e">
        <v>#N/A</v>
      </c>
      <c r="O82" s="205" t="e">
        <v>#N/A</v>
      </c>
      <c r="P82" s="205" t="e">
        <v>#N/A</v>
      </c>
      <c r="Q82" s="189" t="e">
        <v>#N/A</v>
      </c>
      <c r="R82" s="189" t="e">
        <v>#N/A</v>
      </c>
      <c r="S82" s="205" t="e">
        <v>#N/A</v>
      </c>
      <c r="T82" s="206"/>
    </row>
    <row r="83">
      <c r="C83" s="189" t="e">
        <v>#N/A</v>
      </c>
      <c r="D83" s="189" t="e">
        <v>#N/A</v>
      </c>
      <c r="E83" s="189" t="e">
        <v>#N/A</v>
      </c>
      <c r="F83" s="189" t="e">
        <v>#N/A</v>
      </c>
      <c r="G83" s="189" t="e">
        <v>#N/A</v>
      </c>
      <c r="H83" s="189" t="e">
        <v>#N/A</v>
      </c>
      <c r="I83" s="189" t="e">
        <v>#N/A</v>
      </c>
      <c r="J83" s="189" t="e">
        <v>#N/A</v>
      </c>
      <c r="K83" s="204" t="e">
        <v>#N/A</v>
      </c>
      <c r="L83" s="204" t="e">
        <v>#N/A</v>
      </c>
      <c r="M83" s="205" t="e">
        <v>#N/A</v>
      </c>
      <c r="N83" s="205" t="e">
        <v>#N/A</v>
      </c>
      <c r="O83" s="205" t="e">
        <v>#N/A</v>
      </c>
      <c r="P83" s="205" t="e">
        <v>#N/A</v>
      </c>
      <c r="Q83" s="189" t="e">
        <v>#N/A</v>
      </c>
      <c r="R83" s="189" t="e">
        <v>#N/A</v>
      </c>
      <c r="S83" s="205" t="e">
        <v>#N/A</v>
      </c>
      <c r="T83" s="206"/>
    </row>
    <row r="84">
      <c r="C84" s="189" t="e">
        <v>#N/A</v>
      </c>
      <c r="D84" s="189" t="e">
        <v>#N/A</v>
      </c>
      <c r="E84" s="189" t="e">
        <v>#N/A</v>
      </c>
      <c r="F84" s="189" t="e">
        <v>#N/A</v>
      </c>
      <c r="G84" s="189" t="e">
        <v>#N/A</v>
      </c>
      <c r="H84" s="189" t="e">
        <v>#N/A</v>
      </c>
      <c r="I84" s="189" t="e">
        <v>#N/A</v>
      </c>
      <c r="J84" s="189" t="e">
        <v>#N/A</v>
      </c>
      <c r="K84" s="204" t="e">
        <v>#N/A</v>
      </c>
      <c r="L84" s="204" t="e">
        <v>#N/A</v>
      </c>
      <c r="M84" s="205" t="e">
        <v>#N/A</v>
      </c>
      <c r="N84" s="205" t="e">
        <v>#N/A</v>
      </c>
      <c r="O84" s="205" t="e">
        <v>#N/A</v>
      </c>
      <c r="P84" s="205" t="e">
        <v>#N/A</v>
      </c>
      <c r="Q84" s="189" t="e">
        <v>#N/A</v>
      </c>
      <c r="R84" s="189" t="e">
        <v>#N/A</v>
      </c>
      <c r="S84" s="205" t="e">
        <v>#N/A</v>
      </c>
      <c r="T84" s="206"/>
    </row>
    <row r="85">
      <c r="C85" s="189" t="e">
        <v>#N/A</v>
      </c>
      <c r="D85" s="189" t="e">
        <v>#N/A</v>
      </c>
      <c r="E85" s="189" t="e">
        <v>#N/A</v>
      </c>
      <c r="F85" s="189" t="e">
        <v>#N/A</v>
      </c>
      <c r="G85" s="189" t="e">
        <v>#N/A</v>
      </c>
      <c r="H85" s="189" t="e">
        <v>#N/A</v>
      </c>
      <c r="I85" s="189" t="e">
        <v>#N/A</v>
      </c>
      <c r="J85" s="189" t="e">
        <v>#N/A</v>
      </c>
      <c r="K85" s="204" t="e">
        <v>#N/A</v>
      </c>
      <c r="L85" s="204" t="e">
        <v>#N/A</v>
      </c>
      <c r="M85" s="205" t="e">
        <v>#N/A</v>
      </c>
      <c r="N85" s="205" t="e">
        <v>#N/A</v>
      </c>
      <c r="O85" s="205" t="e">
        <v>#N/A</v>
      </c>
      <c r="P85" s="205" t="e">
        <v>#N/A</v>
      </c>
      <c r="Q85" s="189" t="e">
        <v>#N/A</v>
      </c>
      <c r="R85" s="189" t="e">
        <v>#N/A</v>
      </c>
      <c r="S85" s="205" t="e">
        <v>#N/A</v>
      </c>
      <c r="T85" s="206"/>
    </row>
    <row r="86">
      <c r="C86" s="189" t="e">
        <v>#N/A</v>
      </c>
      <c r="D86" s="189" t="e">
        <v>#N/A</v>
      </c>
      <c r="E86" s="189" t="e">
        <v>#N/A</v>
      </c>
      <c r="F86" s="189" t="e">
        <v>#N/A</v>
      </c>
      <c r="G86" s="189" t="e">
        <v>#N/A</v>
      </c>
      <c r="H86" s="189" t="e">
        <v>#N/A</v>
      </c>
      <c r="I86" s="189" t="e">
        <v>#N/A</v>
      </c>
      <c r="J86" s="189" t="e">
        <v>#N/A</v>
      </c>
      <c r="K86" s="204" t="e">
        <v>#N/A</v>
      </c>
      <c r="L86" s="204" t="e">
        <v>#N/A</v>
      </c>
      <c r="M86" s="205" t="e">
        <v>#N/A</v>
      </c>
      <c r="N86" s="205" t="e">
        <v>#N/A</v>
      </c>
      <c r="O86" s="205" t="e">
        <v>#N/A</v>
      </c>
      <c r="P86" s="205" t="e">
        <v>#N/A</v>
      </c>
      <c r="Q86" s="189" t="e">
        <v>#N/A</v>
      </c>
      <c r="R86" s="189" t="e">
        <v>#N/A</v>
      </c>
      <c r="S86" s="205" t="e">
        <v>#N/A</v>
      </c>
      <c r="T86" s="206"/>
    </row>
    <row r="87">
      <c r="C87" s="189" t="e">
        <v>#N/A</v>
      </c>
      <c r="D87" s="189" t="e">
        <v>#N/A</v>
      </c>
      <c r="E87" s="189" t="e">
        <v>#N/A</v>
      </c>
      <c r="F87" s="189" t="e">
        <v>#N/A</v>
      </c>
      <c r="G87" s="189" t="e">
        <v>#N/A</v>
      </c>
      <c r="H87" s="189" t="e">
        <v>#N/A</v>
      </c>
      <c r="I87" s="189" t="e">
        <v>#N/A</v>
      </c>
      <c r="J87" s="189" t="e">
        <v>#N/A</v>
      </c>
      <c r="K87" s="204" t="e">
        <v>#N/A</v>
      </c>
      <c r="L87" s="204" t="e">
        <v>#N/A</v>
      </c>
      <c r="M87" s="205" t="e">
        <v>#N/A</v>
      </c>
      <c r="N87" s="205" t="e">
        <v>#N/A</v>
      </c>
      <c r="O87" s="205" t="e">
        <v>#N/A</v>
      </c>
      <c r="P87" s="205" t="e">
        <v>#N/A</v>
      </c>
      <c r="Q87" s="189" t="e">
        <v>#N/A</v>
      </c>
      <c r="R87" s="189" t="e">
        <v>#N/A</v>
      </c>
      <c r="S87" s="205" t="e">
        <v>#N/A</v>
      </c>
      <c r="T87" s="206"/>
    </row>
    <row r="88">
      <c r="C88" s="189" t="e">
        <v>#N/A</v>
      </c>
      <c r="D88" s="189" t="e">
        <v>#N/A</v>
      </c>
      <c r="E88" s="189" t="e">
        <v>#N/A</v>
      </c>
      <c r="F88" s="189" t="e">
        <v>#N/A</v>
      </c>
      <c r="G88" s="189" t="e">
        <v>#N/A</v>
      </c>
      <c r="H88" s="189" t="e">
        <v>#N/A</v>
      </c>
      <c r="I88" s="189" t="e">
        <v>#N/A</v>
      </c>
      <c r="J88" s="189" t="e">
        <v>#N/A</v>
      </c>
      <c r="K88" s="204" t="e">
        <v>#N/A</v>
      </c>
      <c r="L88" s="204" t="e">
        <v>#N/A</v>
      </c>
      <c r="M88" s="205" t="e">
        <v>#N/A</v>
      </c>
      <c r="N88" s="205" t="e">
        <v>#N/A</v>
      </c>
      <c r="O88" s="205" t="e">
        <v>#N/A</v>
      </c>
      <c r="P88" s="205" t="e">
        <v>#N/A</v>
      </c>
      <c r="Q88" s="189" t="e">
        <v>#N/A</v>
      </c>
      <c r="R88" s="189" t="e">
        <v>#N/A</v>
      </c>
      <c r="S88" s="205" t="e">
        <v>#N/A</v>
      </c>
      <c r="T88" s="206"/>
    </row>
    <row r="89">
      <c r="C89" s="189" t="e">
        <v>#N/A</v>
      </c>
      <c r="D89" s="189" t="e">
        <v>#N/A</v>
      </c>
      <c r="E89" s="189" t="e">
        <v>#N/A</v>
      </c>
      <c r="F89" s="189" t="e">
        <v>#N/A</v>
      </c>
      <c r="G89" s="189" t="e">
        <v>#N/A</v>
      </c>
      <c r="H89" s="189" t="e">
        <v>#N/A</v>
      </c>
      <c r="I89" s="189" t="e">
        <v>#N/A</v>
      </c>
      <c r="J89" s="189" t="e">
        <v>#N/A</v>
      </c>
      <c r="K89" s="204" t="e">
        <v>#N/A</v>
      </c>
      <c r="L89" s="204" t="e">
        <v>#N/A</v>
      </c>
      <c r="M89" s="205" t="e">
        <v>#N/A</v>
      </c>
      <c r="N89" s="205" t="e">
        <v>#N/A</v>
      </c>
      <c r="O89" s="205" t="e">
        <v>#N/A</v>
      </c>
      <c r="P89" s="205" t="e">
        <v>#N/A</v>
      </c>
      <c r="Q89" s="189" t="e">
        <v>#N/A</v>
      </c>
      <c r="R89" s="189" t="e">
        <v>#N/A</v>
      </c>
      <c r="S89" s="205" t="e">
        <v>#N/A</v>
      </c>
      <c r="T89" s="206"/>
    </row>
    <row r="90">
      <c r="C90" s="189" t="e">
        <v>#N/A</v>
      </c>
      <c r="D90" s="189" t="e">
        <v>#N/A</v>
      </c>
      <c r="E90" s="189" t="e">
        <v>#N/A</v>
      </c>
      <c r="F90" s="189" t="e">
        <v>#N/A</v>
      </c>
      <c r="G90" s="189" t="e">
        <v>#N/A</v>
      </c>
      <c r="H90" s="189" t="e">
        <v>#N/A</v>
      </c>
      <c r="I90" s="189" t="e">
        <v>#N/A</v>
      </c>
      <c r="J90" s="189" t="e">
        <v>#N/A</v>
      </c>
      <c r="K90" s="204" t="e">
        <v>#N/A</v>
      </c>
      <c r="L90" s="204" t="e">
        <v>#N/A</v>
      </c>
      <c r="M90" s="205" t="e">
        <v>#N/A</v>
      </c>
      <c r="N90" s="205" t="e">
        <v>#N/A</v>
      </c>
      <c r="O90" s="205" t="e">
        <v>#N/A</v>
      </c>
      <c r="P90" s="205" t="e">
        <v>#N/A</v>
      </c>
      <c r="Q90" s="189" t="e">
        <v>#N/A</v>
      </c>
      <c r="R90" s="189" t="e">
        <v>#N/A</v>
      </c>
      <c r="S90" s="205" t="e">
        <v>#N/A</v>
      </c>
      <c r="T90" s="206"/>
    </row>
    <row r="91">
      <c r="C91" s="189" t="e">
        <v>#N/A</v>
      </c>
      <c r="D91" s="189" t="e">
        <v>#N/A</v>
      </c>
      <c r="E91" s="189" t="e">
        <v>#N/A</v>
      </c>
      <c r="F91" s="189" t="e">
        <v>#N/A</v>
      </c>
      <c r="G91" s="189" t="e">
        <v>#N/A</v>
      </c>
      <c r="H91" s="189" t="e">
        <v>#N/A</v>
      </c>
      <c r="I91" s="189" t="e">
        <v>#N/A</v>
      </c>
      <c r="J91" s="189" t="e">
        <v>#N/A</v>
      </c>
      <c r="K91" s="204" t="e">
        <v>#N/A</v>
      </c>
      <c r="L91" s="204" t="e">
        <v>#N/A</v>
      </c>
      <c r="M91" s="205" t="e">
        <v>#N/A</v>
      </c>
      <c r="N91" s="205" t="e">
        <v>#N/A</v>
      </c>
      <c r="O91" s="205" t="e">
        <v>#N/A</v>
      </c>
      <c r="P91" s="205" t="e">
        <v>#N/A</v>
      </c>
      <c r="Q91" s="189" t="e">
        <v>#N/A</v>
      </c>
      <c r="R91" s="189" t="e">
        <v>#N/A</v>
      </c>
      <c r="S91" s="205" t="e">
        <v>#N/A</v>
      </c>
      <c r="T91" s="206"/>
    </row>
    <row r="92">
      <c r="C92" s="189" t="e">
        <v>#N/A</v>
      </c>
      <c r="D92" s="189" t="e">
        <v>#N/A</v>
      </c>
      <c r="E92" s="189" t="e">
        <v>#N/A</v>
      </c>
      <c r="F92" s="189" t="e">
        <v>#N/A</v>
      </c>
      <c r="G92" s="189" t="e">
        <v>#N/A</v>
      </c>
      <c r="H92" s="189" t="e">
        <v>#N/A</v>
      </c>
      <c r="I92" s="189" t="e">
        <v>#N/A</v>
      </c>
      <c r="J92" s="189" t="e">
        <v>#N/A</v>
      </c>
      <c r="K92" s="204" t="e">
        <v>#N/A</v>
      </c>
      <c r="L92" s="204" t="e">
        <v>#N/A</v>
      </c>
      <c r="M92" s="205" t="e">
        <v>#N/A</v>
      </c>
      <c r="N92" s="205" t="e">
        <v>#N/A</v>
      </c>
      <c r="O92" s="205" t="e">
        <v>#N/A</v>
      </c>
      <c r="P92" s="205" t="e">
        <v>#N/A</v>
      </c>
      <c r="Q92" s="189" t="e">
        <v>#N/A</v>
      </c>
      <c r="R92" s="189" t="e">
        <v>#N/A</v>
      </c>
      <c r="S92" s="205" t="e">
        <v>#N/A</v>
      </c>
      <c r="T92" s="206"/>
    </row>
    <row r="93">
      <c r="C93" s="189" t="e">
        <v>#N/A</v>
      </c>
      <c r="D93" s="189" t="e">
        <v>#N/A</v>
      </c>
      <c r="E93" s="189" t="e">
        <v>#N/A</v>
      </c>
      <c r="F93" s="189" t="e">
        <v>#N/A</v>
      </c>
      <c r="G93" s="189" t="e">
        <v>#N/A</v>
      </c>
      <c r="H93" s="189" t="e">
        <v>#N/A</v>
      </c>
      <c r="I93" s="189" t="e">
        <v>#N/A</v>
      </c>
      <c r="J93" s="189" t="e">
        <v>#N/A</v>
      </c>
      <c r="K93" s="204" t="e">
        <v>#N/A</v>
      </c>
      <c r="L93" s="204" t="e">
        <v>#N/A</v>
      </c>
      <c r="M93" s="205" t="e">
        <v>#N/A</v>
      </c>
      <c r="N93" s="205" t="e">
        <v>#N/A</v>
      </c>
      <c r="O93" s="205" t="e">
        <v>#N/A</v>
      </c>
      <c r="P93" s="205" t="e">
        <v>#N/A</v>
      </c>
      <c r="Q93" s="189" t="e">
        <v>#N/A</v>
      </c>
      <c r="R93" s="189" t="e">
        <v>#N/A</v>
      </c>
      <c r="S93" s="205" t="e">
        <v>#N/A</v>
      </c>
      <c r="T93" s="206"/>
    </row>
    <row r="94">
      <c r="C94" s="189" t="e">
        <v>#N/A</v>
      </c>
      <c r="D94" s="189" t="e">
        <v>#N/A</v>
      </c>
      <c r="E94" s="189" t="e">
        <v>#N/A</v>
      </c>
      <c r="F94" s="189" t="e">
        <v>#N/A</v>
      </c>
      <c r="G94" s="189" t="e">
        <v>#N/A</v>
      </c>
      <c r="H94" s="189" t="e">
        <v>#N/A</v>
      </c>
      <c r="I94" s="189" t="e">
        <v>#N/A</v>
      </c>
      <c r="J94" s="189" t="e">
        <v>#N/A</v>
      </c>
      <c r="K94" s="204" t="e">
        <v>#N/A</v>
      </c>
      <c r="L94" s="204" t="e">
        <v>#N/A</v>
      </c>
      <c r="M94" s="205" t="e">
        <v>#N/A</v>
      </c>
      <c r="N94" s="205" t="e">
        <v>#N/A</v>
      </c>
      <c r="O94" s="205" t="e">
        <v>#N/A</v>
      </c>
      <c r="P94" s="205" t="e">
        <v>#N/A</v>
      </c>
      <c r="Q94" s="189" t="e">
        <v>#N/A</v>
      </c>
      <c r="R94" s="189" t="e">
        <v>#N/A</v>
      </c>
      <c r="S94" s="205" t="e">
        <v>#N/A</v>
      </c>
      <c r="T94" s="206"/>
    </row>
    <row r="95">
      <c r="C95" s="189" t="e">
        <v>#N/A</v>
      </c>
      <c r="D95" s="189" t="e">
        <v>#N/A</v>
      </c>
      <c r="E95" s="189" t="e">
        <v>#N/A</v>
      </c>
      <c r="F95" s="189" t="e">
        <v>#N/A</v>
      </c>
      <c r="G95" s="189" t="e">
        <v>#N/A</v>
      </c>
      <c r="H95" s="189" t="e">
        <v>#N/A</v>
      </c>
      <c r="I95" s="189" t="e">
        <v>#N/A</v>
      </c>
      <c r="J95" s="189" t="e">
        <v>#N/A</v>
      </c>
      <c r="K95" s="204" t="e">
        <v>#N/A</v>
      </c>
      <c r="L95" s="204" t="e">
        <v>#N/A</v>
      </c>
      <c r="M95" s="205" t="e">
        <v>#N/A</v>
      </c>
      <c r="N95" s="205" t="e">
        <v>#N/A</v>
      </c>
      <c r="O95" s="205" t="e">
        <v>#N/A</v>
      </c>
      <c r="P95" s="205" t="e">
        <v>#N/A</v>
      </c>
      <c r="Q95" s="189" t="e">
        <v>#N/A</v>
      </c>
      <c r="R95" s="189" t="e">
        <v>#N/A</v>
      </c>
      <c r="S95" s="205" t="e">
        <v>#N/A</v>
      </c>
      <c r="T95" s="206"/>
    </row>
    <row r="96">
      <c r="C96" s="189" t="e">
        <v>#N/A</v>
      </c>
      <c r="D96" s="189" t="e">
        <v>#N/A</v>
      </c>
      <c r="E96" s="189" t="e">
        <v>#N/A</v>
      </c>
      <c r="F96" s="189" t="e">
        <v>#N/A</v>
      </c>
      <c r="G96" s="189" t="e">
        <v>#N/A</v>
      </c>
      <c r="H96" s="189" t="e">
        <v>#N/A</v>
      </c>
      <c r="I96" s="189" t="e">
        <v>#N/A</v>
      </c>
      <c r="J96" s="189" t="e">
        <v>#N/A</v>
      </c>
      <c r="K96" s="204" t="e">
        <v>#N/A</v>
      </c>
      <c r="L96" s="204" t="e">
        <v>#N/A</v>
      </c>
      <c r="M96" s="205" t="e">
        <v>#N/A</v>
      </c>
      <c r="N96" s="205" t="e">
        <v>#N/A</v>
      </c>
      <c r="O96" s="205" t="e">
        <v>#N/A</v>
      </c>
      <c r="P96" s="205" t="e">
        <v>#N/A</v>
      </c>
      <c r="Q96" s="189" t="e">
        <v>#N/A</v>
      </c>
      <c r="R96" s="189" t="e">
        <v>#N/A</v>
      </c>
      <c r="S96" s="205" t="e">
        <v>#N/A</v>
      </c>
      <c r="T96" s="206"/>
    </row>
    <row r="97">
      <c r="C97" s="189" t="e">
        <v>#N/A</v>
      </c>
      <c r="D97" s="189" t="e">
        <v>#N/A</v>
      </c>
      <c r="E97" s="189" t="e">
        <v>#N/A</v>
      </c>
      <c r="F97" s="189" t="e">
        <v>#N/A</v>
      </c>
      <c r="G97" s="189" t="e">
        <v>#N/A</v>
      </c>
      <c r="H97" s="189" t="e">
        <v>#N/A</v>
      </c>
      <c r="I97" s="189" t="e">
        <v>#N/A</v>
      </c>
      <c r="J97" s="189" t="e">
        <v>#N/A</v>
      </c>
      <c r="K97" s="204" t="e">
        <v>#N/A</v>
      </c>
      <c r="L97" s="204" t="e">
        <v>#N/A</v>
      </c>
      <c r="M97" s="205" t="e">
        <v>#N/A</v>
      </c>
      <c r="N97" s="205" t="e">
        <v>#N/A</v>
      </c>
      <c r="O97" s="205" t="e">
        <v>#N/A</v>
      </c>
      <c r="P97" s="205" t="e">
        <v>#N/A</v>
      </c>
      <c r="Q97" s="189" t="e">
        <v>#N/A</v>
      </c>
      <c r="R97" s="189" t="e">
        <v>#N/A</v>
      </c>
      <c r="S97" s="205" t="e">
        <v>#N/A</v>
      </c>
      <c r="T97" s="206"/>
    </row>
    <row r="98">
      <c r="C98" s="189" t="e">
        <v>#N/A</v>
      </c>
      <c r="D98" s="189" t="e">
        <v>#N/A</v>
      </c>
      <c r="E98" s="189" t="e">
        <v>#N/A</v>
      </c>
      <c r="F98" s="189" t="e">
        <v>#N/A</v>
      </c>
      <c r="G98" s="189" t="e">
        <v>#N/A</v>
      </c>
      <c r="H98" s="189" t="e">
        <v>#N/A</v>
      </c>
      <c r="I98" s="189" t="e">
        <v>#N/A</v>
      </c>
      <c r="J98" s="189" t="e">
        <v>#N/A</v>
      </c>
      <c r="K98" s="204" t="e">
        <v>#N/A</v>
      </c>
      <c r="L98" s="204" t="e">
        <v>#N/A</v>
      </c>
      <c r="M98" s="205" t="e">
        <v>#N/A</v>
      </c>
      <c r="N98" s="205" t="e">
        <v>#N/A</v>
      </c>
      <c r="O98" s="205" t="e">
        <v>#N/A</v>
      </c>
      <c r="P98" s="205" t="e">
        <v>#N/A</v>
      </c>
      <c r="Q98" s="189" t="e">
        <v>#N/A</v>
      </c>
      <c r="R98" s="189" t="e">
        <v>#N/A</v>
      </c>
      <c r="S98" s="205" t="e">
        <v>#N/A</v>
      </c>
      <c r="T98" s="206"/>
    </row>
    <row r="99">
      <c r="C99" s="189" t="e">
        <v>#N/A</v>
      </c>
      <c r="D99" s="189" t="e">
        <v>#N/A</v>
      </c>
      <c r="E99" s="189" t="e">
        <v>#N/A</v>
      </c>
      <c r="F99" s="189" t="e">
        <v>#N/A</v>
      </c>
      <c r="G99" s="189" t="e">
        <v>#N/A</v>
      </c>
      <c r="H99" s="189" t="e">
        <v>#N/A</v>
      </c>
      <c r="I99" s="189" t="e">
        <v>#N/A</v>
      </c>
      <c r="J99" s="189" t="e">
        <v>#N/A</v>
      </c>
      <c r="K99" s="204" t="e">
        <v>#N/A</v>
      </c>
      <c r="L99" s="204" t="e">
        <v>#N/A</v>
      </c>
      <c r="M99" s="205" t="e">
        <v>#N/A</v>
      </c>
      <c r="N99" s="205" t="e">
        <v>#N/A</v>
      </c>
      <c r="O99" s="205" t="e">
        <v>#N/A</v>
      </c>
      <c r="P99" s="205" t="e">
        <v>#N/A</v>
      </c>
      <c r="Q99" s="189" t="e">
        <v>#N/A</v>
      </c>
      <c r="R99" s="189" t="e">
        <v>#N/A</v>
      </c>
      <c r="S99" s="205" t="e">
        <v>#N/A</v>
      </c>
      <c r="T99" s="206"/>
    </row>
    <row r="100">
      <c r="C100" s="189" t="e">
        <v>#N/A</v>
      </c>
      <c r="D100" s="189" t="e">
        <v>#N/A</v>
      </c>
      <c r="E100" s="189" t="e">
        <v>#N/A</v>
      </c>
      <c r="F100" s="189" t="e">
        <v>#N/A</v>
      </c>
      <c r="G100" s="189" t="e">
        <v>#N/A</v>
      </c>
      <c r="H100" s="189" t="e">
        <v>#N/A</v>
      </c>
      <c r="I100" s="189" t="e">
        <v>#N/A</v>
      </c>
      <c r="J100" s="189" t="e">
        <v>#N/A</v>
      </c>
      <c r="K100" s="204" t="e">
        <v>#N/A</v>
      </c>
      <c r="L100" s="204" t="e">
        <v>#N/A</v>
      </c>
      <c r="M100" s="205" t="e">
        <v>#N/A</v>
      </c>
      <c r="N100" s="205" t="e">
        <v>#N/A</v>
      </c>
      <c r="O100" s="205" t="e">
        <v>#N/A</v>
      </c>
      <c r="P100" s="205" t="e">
        <v>#N/A</v>
      </c>
      <c r="Q100" s="189" t="e">
        <v>#N/A</v>
      </c>
      <c r="R100" s="189" t="e">
        <v>#N/A</v>
      </c>
      <c r="S100" s="205" t="e">
        <v>#N/A</v>
      </c>
      <c r="T100" s="206"/>
    </row>
    <row r="101">
      <c r="C101" s="189" t="e">
        <v>#N/A</v>
      </c>
      <c r="D101" s="189" t="e">
        <v>#N/A</v>
      </c>
      <c r="E101" s="189" t="e">
        <v>#N/A</v>
      </c>
      <c r="F101" s="189" t="e">
        <v>#N/A</v>
      </c>
      <c r="G101" s="189" t="e">
        <v>#N/A</v>
      </c>
      <c r="H101" s="189" t="e">
        <v>#N/A</v>
      </c>
      <c r="I101" s="189" t="e">
        <v>#N/A</v>
      </c>
      <c r="J101" s="189" t="e">
        <v>#N/A</v>
      </c>
      <c r="K101" s="204" t="e">
        <v>#N/A</v>
      </c>
      <c r="L101" s="204" t="e">
        <v>#N/A</v>
      </c>
      <c r="M101" s="205" t="e">
        <v>#N/A</v>
      </c>
      <c r="N101" s="205" t="e">
        <v>#N/A</v>
      </c>
      <c r="O101" s="205" t="e">
        <v>#N/A</v>
      </c>
      <c r="P101" s="205" t="e">
        <v>#N/A</v>
      </c>
      <c r="Q101" s="189" t="e">
        <v>#N/A</v>
      </c>
      <c r="R101" s="189" t="e">
        <v>#N/A</v>
      </c>
      <c r="S101" s="205" t="e">
        <v>#N/A</v>
      </c>
      <c r="T101" s="206"/>
    </row>
    <row r="102">
      <c r="C102" s="189" t="e">
        <v>#N/A</v>
      </c>
      <c r="D102" s="189" t="e">
        <v>#N/A</v>
      </c>
      <c r="E102" s="189" t="e">
        <v>#N/A</v>
      </c>
      <c r="F102" s="189" t="e">
        <v>#N/A</v>
      </c>
      <c r="G102" s="189" t="e">
        <v>#N/A</v>
      </c>
      <c r="H102" s="189" t="e">
        <v>#N/A</v>
      </c>
      <c r="I102" s="189" t="e">
        <v>#N/A</v>
      </c>
      <c r="J102" s="189" t="e">
        <v>#N/A</v>
      </c>
      <c r="K102" s="204" t="e">
        <v>#N/A</v>
      </c>
      <c r="L102" s="204" t="e">
        <v>#N/A</v>
      </c>
      <c r="M102" s="205" t="e">
        <v>#N/A</v>
      </c>
      <c r="N102" s="205" t="e">
        <v>#N/A</v>
      </c>
      <c r="O102" s="205" t="e">
        <v>#N/A</v>
      </c>
      <c r="P102" s="205" t="e">
        <v>#N/A</v>
      </c>
      <c r="Q102" s="189" t="e">
        <v>#N/A</v>
      </c>
      <c r="R102" s="189" t="e">
        <v>#N/A</v>
      </c>
      <c r="S102" s="205" t="e">
        <v>#N/A</v>
      </c>
      <c r="T102" s="206"/>
    </row>
    <row r="103">
      <c r="C103" s="189" t="e">
        <v>#N/A</v>
      </c>
      <c r="D103" s="189" t="e">
        <v>#N/A</v>
      </c>
      <c r="E103" s="189" t="e">
        <v>#N/A</v>
      </c>
      <c r="F103" s="189" t="e">
        <v>#N/A</v>
      </c>
      <c r="G103" s="189" t="e">
        <v>#N/A</v>
      </c>
      <c r="H103" s="189" t="e">
        <v>#N/A</v>
      </c>
      <c r="I103" s="189" t="e">
        <v>#N/A</v>
      </c>
      <c r="J103" s="189" t="e">
        <v>#N/A</v>
      </c>
      <c r="K103" s="204" t="e">
        <v>#N/A</v>
      </c>
      <c r="L103" s="204" t="e">
        <v>#N/A</v>
      </c>
      <c r="M103" s="205" t="e">
        <v>#N/A</v>
      </c>
      <c r="N103" s="205" t="e">
        <v>#N/A</v>
      </c>
      <c r="O103" s="205" t="e">
        <v>#N/A</v>
      </c>
      <c r="P103" s="205" t="e">
        <v>#N/A</v>
      </c>
      <c r="Q103" s="189" t="e">
        <v>#N/A</v>
      </c>
      <c r="R103" s="189" t="e">
        <v>#N/A</v>
      </c>
      <c r="S103" s="205" t="e">
        <v>#N/A</v>
      </c>
      <c r="T103" s="206"/>
    </row>
    <row r="104">
      <c r="C104" s="189" t="e">
        <v>#N/A</v>
      </c>
      <c r="D104" s="189" t="e">
        <v>#N/A</v>
      </c>
      <c r="E104" s="189" t="e">
        <v>#N/A</v>
      </c>
      <c r="F104" s="189" t="e">
        <v>#N/A</v>
      </c>
      <c r="G104" s="189" t="e">
        <v>#N/A</v>
      </c>
      <c r="H104" s="189" t="e">
        <v>#N/A</v>
      </c>
      <c r="I104" s="189" t="e">
        <v>#N/A</v>
      </c>
      <c r="J104" s="189" t="e">
        <v>#N/A</v>
      </c>
      <c r="K104" s="204" t="e">
        <v>#N/A</v>
      </c>
      <c r="L104" s="204" t="e">
        <v>#N/A</v>
      </c>
      <c r="M104" s="205" t="e">
        <v>#N/A</v>
      </c>
      <c r="N104" s="205" t="e">
        <v>#N/A</v>
      </c>
      <c r="O104" s="205" t="e">
        <v>#N/A</v>
      </c>
      <c r="P104" s="205" t="e">
        <v>#N/A</v>
      </c>
      <c r="Q104" s="189" t="e">
        <v>#N/A</v>
      </c>
      <c r="R104" s="189" t="e">
        <v>#N/A</v>
      </c>
      <c r="S104" s="205" t="e">
        <v>#N/A</v>
      </c>
      <c r="T104" s="206"/>
    </row>
    <row r="105">
      <c r="C105" s="189" t="e">
        <v>#N/A</v>
      </c>
      <c r="D105" s="189" t="e">
        <v>#N/A</v>
      </c>
      <c r="E105" s="189" t="e">
        <v>#N/A</v>
      </c>
      <c r="F105" s="189" t="e">
        <v>#N/A</v>
      </c>
      <c r="G105" s="189" t="e">
        <v>#N/A</v>
      </c>
      <c r="H105" s="189" t="e">
        <v>#N/A</v>
      </c>
      <c r="I105" s="189" t="e">
        <v>#N/A</v>
      </c>
      <c r="J105" s="189" t="e">
        <v>#N/A</v>
      </c>
      <c r="K105" s="204" t="e">
        <v>#N/A</v>
      </c>
      <c r="L105" s="204" t="e">
        <v>#N/A</v>
      </c>
      <c r="M105" s="205" t="e">
        <v>#N/A</v>
      </c>
      <c r="N105" s="205" t="e">
        <v>#N/A</v>
      </c>
      <c r="O105" s="205" t="e">
        <v>#N/A</v>
      </c>
      <c r="P105" s="205" t="e">
        <v>#N/A</v>
      </c>
      <c r="Q105" s="189" t="e">
        <v>#N/A</v>
      </c>
      <c r="R105" s="189" t="e">
        <v>#N/A</v>
      </c>
      <c r="S105" s="205" t="e">
        <v>#N/A</v>
      </c>
      <c r="T105" s="206"/>
    </row>
    <row r="106">
      <c r="C106" s="189" t="e">
        <v>#N/A</v>
      </c>
      <c r="D106" s="189" t="e">
        <v>#N/A</v>
      </c>
      <c r="E106" s="189" t="e">
        <v>#N/A</v>
      </c>
      <c r="F106" s="189" t="e">
        <v>#N/A</v>
      </c>
      <c r="G106" s="189" t="e">
        <v>#N/A</v>
      </c>
      <c r="H106" s="189" t="e">
        <v>#N/A</v>
      </c>
      <c r="I106" s="189" t="e">
        <v>#N/A</v>
      </c>
      <c r="J106" s="189" t="e">
        <v>#N/A</v>
      </c>
      <c r="K106" s="204" t="e">
        <v>#N/A</v>
      </c>
      <c r="L106" s="204" t="e">
        <v>#N/A</v>
      </c>
      <c r="M106" s="205" t="e">
        <v>#N/A</v>
      </c>
      <c r="N106" s="205" t="e">
        <v>#N/A</v>
      </c>
      <c r="O106" s="205" t="e">
        <v>#N/A</v>
      </c>
      <c r="P106" s="205" t="e">
        <v>#N/A</v>
      </c>
      <c r="Q106" s="189" t="e">
        <v>#N/A</v>
      </c>
      <c r="R106" s="189" t="e">
        <v>#N/A</v>
      </c>
      <c r="S106" s="205" t="e">
        <v>#N/A</v>
      </c>
      <c r="T106" s="206"/>
    </row>
    <row r="107">
      <c r="C107" s="189" t="e">
        <v>#N/A</v>
      </c>
      <c r="D107" s="189" t="e">
        <v>#N/A</v>
      </c>
      <c r="E107" s="189" t="e">
        <v>#N/A</v>
      </c>
      <c r="F107" s="189" t="e">
        <v>#N/A</v>
      </c>
      <c r="G107" s="189" t="e">
        <v>#N/A</v>
      </c>
      <c r="H107" s="189" t="e">
        <v>#N/A</v>
      </c>
      <c r="I107" s="189" t="e">
        <v>#N/A</v>
      </c>
      <c r="J107" s="189" t="e">
        <v>#N/A</v>
      </c>
      <c r="K107" s="204" t="e">
        <v>#N/A</v>
      </c>
      <c r="L107" s="204" t="e">
        <v>#N/A</v>
      </c>
      <c r="M107" s="205" t="e">
        <v>#N/A</v>
      </c>
      <c r="N107" s="205" t="e">
        <v>#N/A</v>
      </c>
      <c r="O107" s="205" t="e">
        <v>#N/A</v>
      </c>
      <c r="P107" s="205" t="e">
        <v>#N/A</v>
      </c>
      <c r="Q107" s="189" t="e">
        <v>#N/A</v>
      </c>
      <c r="R107" s="189" t="e">
        <v>#N/A</v>
      </c>
      <c r="S107" s="205" t="e">
        <v>#N/A</v>
      </c>
      <c r="T107" s="206"/>
    </row>
    <row r="108">
      <c r="C108" s="189" t="e">
        <v>#N/A</v>
      </c>
      <c r="D108" s="189" t="e">
        <v>#N/A</v>
      </c>
      <c r="E108" s="189" t="e">
        <v>#N/A</v>
      </c>
      <c r="F108" s="189" t="e">
        <v>#N/A</v>
      </c>
      <c r="G108" s="189" t="e">
        <v>#N/A</v>
      </c>
      <c r="H108" s="189" t="e">
        <v>#N/A</v>
      </c>
      <c r="I108" s="189" t="e">
        <v>#N/A</v>
      </c>
      <c r="J108" s="189" t="e">
        <v>#N/A</v>
      </c>
      <c r="K108" s="204" t="e">
        <v>#N/A</v>
      </c>
      <c r="L108" s="204" t="e">
        <v>#N/A</v>
      </c>
      <c r="M108" s="205" t="e">
        <v>#N/A</v>
      </c>
      <c r="N108" s="205" t="e">
        <v>#N/A</v>
      </c>
      <c r="O108" s="205" t="e">
        <v>#N/A</v>
      </c>
      <c r="P108" s="205" t="e">
        <v>#N/A</v>
      </c>
      <c r="Q108" s="189" t="e">
        <v>#N/A</v>
      </c>
      <c r="R108" s="189" t="e">
        <v>#N/A</v>
      </c>
      <c r="S108" s="205" t="e">
        <v>#N/A</v>
      </c>
      <c r="T108" s="206"/>
    </row>
    <row r="109">
      <c r="C109" s="189" t="e">
        <v>#N/A</v>
      </c>
      <c r="D109" s="189" t="e">
        <v>#N/A</v>
      </c>
      <c r="E109" s="189" t="e">
        <v>#N/A</v>
      </c>
      <c r="F109" s="189" t="e">
        <v>#N/A</v>
      </c>
      <c r="G109" s="189" t="e">
        <v>#N/A</v>
      </c>
      <c r="H109" s="189" t="e">
        <v>#N/A</v>
      </c>
      <c r="I109" s="189" t="e">
        <v>#N/A</v>
      </c>
      <c r="J109" s="189" t="e">
        <v>#N/A</v>
      </c>
      <c r="K109" s="204" t="e">
        <v>#N/A</v>
      </c>
      <c r="L109" s="204" t="e">
        <v>#N/A</v>
      </c>
      <c r="M109" s="205" t="e">
        <v>#N/A</v>
      </c>
      <c r="N109" s="205" t="e">
        <v>#N/A</v>
      </c>
      <c r="O109" s="205" t="e">
        <v>#N/A</v>
      </c>
      <c r="P109" s="205" t="e">
        <v>#N/A</v>
      </c>
      <c r="Q109" s="189" t="e">
        <v>#N/A</v>
      </c>
      <c r="R109" s="189" t="e">
        <v>#N/A</v>
      </c>
      <c r="S109" s="205" t="e">
        <v>#N/A</v>
      </c>
      <c r="T109" s="206"/>
    </row>
    <row r="110">
      <c r="C110" s="189" t="e">
        <v>#N/A</v>
      </c>
      <c r="D110" s="189" t="e">
        <v>#N/A</v>
      </c>
      <c r="E110" s="189" t="e">
        <v>#N/A</v>
      </c>
      <c r="F110" s="189" t="e">
        <v>#N/A</v>
      </c>
      <c r="G110" s="189" t="e">
        <v>#N/A</v>
      </c>
      <c r="H110" s="189" t="e">
        <v>#N/A</v>
      </c>
      <c r="I110" s="189" t="e">
        <v>#N/A</v>
      </c>
      <c r="J110" s="189" t="e">
        <v>#N/A</v>
      </c>
      <c r="K110" s="204" t="e">
        <v>#N/A</v>
      </c>
      <c r="L110" s="204" t="e">
        <v>#N/A</v>
      </c>
      <c r="M110" s="205" t="e">
        <v>#N/A</v>
      </c>
      <c r="N110" s="205" t="e">
        <v>#N/A</v>
      </c>
      <c r="O110" s="205" t="e">
        <v>#N/A</v>
      </c>
      <c r="P110" s="205" t="e">
        <v>#N/A</v>
      </c>
      <c r="Q110" s="189" t="e">
        <v>#N/A</v>
      </c>
      <c r="R110" s="189" t="e">
        <v>#N/A</v>
      </c>
      <c r="S110" s="205" t="e">
        <v>#N/A</v>
      </c>
      <c r="T110" s="206"/>
    </row>
    <row r="111">
      <c r="C111" s="189" t="e">
        <v>#N/A</v>
      </c>
      <c r="D111" s="189" t="e">
        <v>#N/A</v>
      </c>
      <c r="E111" s="189" t="e">
        <v>#N/A</v>
      </c>
      <c r="F111" s="189" t="e">
        <v>#N/A</v>
      </c>
      <c r="G111" s="189" t="e">
        <v>#N/A</v>
      </c>
      <c r="H111" s="189" t="e">
        <v>#N/A</v>
      </c>
      <c r="I111" s="189" t="e">
        <v>#N/A</v>
      </c>
      <c r="J111" s="189" t="e">
        <v>#N/A</v>
      </c>
      <c r="K111" s="204" t="e">
        <v>#N/A</v>
      </c>
      <c r="L111" s="204" t="e">
        <v>#N/A</v>
      </c>
      <c r="M111" s="205" t="e">
        <v>#N/A</v>
      </c>
      <c r="N111" s="205" t="e">
        <v>#N/A</v>
      </c>
      <c r="O111" s="205" t="e">
        <v>#N/A</v>
      </c>
      <c r="P111" s="205" t="e">
        <v>#N/A</v>
      </c>
      <c r="Q111" s="189" t="e">
        <v>#N/A</v>
      </c>
      <c r="R111" s="189" t="e">
        <v>#N/A</v>
      </c>
      <c r="S111" s="205" t="e">
        <v>#N/A</v>
      </c>
      <c r="T111" s="206"/>
    </row>
    <row r="112">
      <c r="C112" s="189" t="e">
        <v>#N/A</v>
      </c>
      <c r="D112" s="189" t="e">
        <v>#N/A</v>
      </c>
      <c r="E112" s="189" t="e">
        <v>#N/A</v>
      </c>
      <c r="F112" s="189" t="e">
        <v>#N/A</v>
      </c>
      <c r="G112" s="189" t="e">
        <v>#N/A</v>
      </c>
      <c r="H112" s="189" t="e">
        <v>#N/A</v>
      </c>
      <c r="I112" s="189" t="e">
        <v>#N/A</v>
      </c>
      <c r="J112" s="189" t="e">
        <v>#N/A</v>
      </c>
      <c r="K112" s="204" t="e">
        <v>#N/A</v>
      </c>
      <c r="L112" s="204" t="e">
        <v>#N/A</v>
      </c>
      <c r="M112" s="205" t="e">
        <v>#N/A</v>
      </c>
      <c r="N112" s="205" t="e">
        <v>#N/A</v>
      </c>
      <c r="O112" s="205" t="e">
        <v>#N/A</v>
      </c>
      <c r="P112" s="205" t="e">
        <v>#N/A</v>
      </c>
      <c r="Q112" s="189" t="e">
        <v>#N/A</v>
      </c>
      <c r="R112" s="189" t="e">
        <v>#N/A</v>
      </c>
      <c r="S112" s="205" t="e">
        <v>#N/A</v>
      </c>
      <c r="T112" s="206"/>
    </row>
    <row r="113">
      <c r="C113" s="189" t="e">
        <v>#N/A</v>
      </c>
      <c r="D113" s="189" t="e">
        <v>#N/A</v>
      </c>
      <c r="E113" s="189" t="e">
        <v>#N/A</v>
      </c>
      <c r="F113" s="189" t="e">
        <v>#N/A</v>
      </c>
      <c r="G113" s="189" t="e">
        <v>#N/A</v>
      </c>
      <c r="H113" s="189" t="e">
        <v>#N/A</v>
      </c>
      <c r="I113" s="189" t="e">
        <v>#N/A</v>
      </c>
      <c r="J113" s="189" t="e">
        <v>#N/A</v>
      </c>
      <c r="K113" s="204" t="e">
        <v>#N/A</v>
      </c>
      <c r="L113" s="204" t="e">
        <v>#N/A</v>
      </c>
      <c r="M113" s="205" t="e">
        <v>#N/A</v>
      </c>
      <c r="N113" s="205" t="e">
        <v>#N/A</v>
      </c>
      <c r="O113" s="205" t="e">
        <v>#N/A</v>
      </c>
      <c r="P113" s="205" t="e">
        <v>#N/A</v>
      </c>
      <c r="Q113" s="189" t="e">
        <v>#N/A</v>
      </c>
      <c r="R113" s="189" t="e">
        <v>#N/A</v>
      </c>
      <c r="S113" s="205" t="e">
        <v>#N/A</v>
      </c>
      <c r="T113" s="206"/>
    </row>
    <row r="114">
      <c r="C114" s="189" t="e">
        <v>#N/A</v>
      </c>
      <c r="D114" s="189" t="e">
        <v>#N/A</v>
      </c>
      <c r="E114" s="189" t="e">
        <v>#N/A</v>
      </c>
      <c r="F114" s="189" t="e">
        <v>#N/A</v>
      </c>
      <c r="G114" s="189" t="e">
        <v>#N/A</v>
      </c>
      <c r="H114" s="189" t="e">
        <v>#N/A</v>
      </c>
      <c r="I114" s="189" t="e">
        <v>#N/A</v>
      </c>
      <c r="J114" s="189" t="e">
        <v>#N/A</v>
      </c>
      <c r="K114" s="204" t="e">
        <v>#N/A</v>
      </c>
      <c r="L114" s="204" t="e">
        <v>#N/A</v>
      </c>
      <c r="M114" s="205" t="e">
        <v>#N/A</v>
      </c>
      <c r="N114" s="205" t="e">
        <v>#N/A</v>
      </c>
      <c r="O114" s="205" t="e">
        <v>#N/A</v>
      </c>
      <c r="P114" s="205" t="e">
        <v>#N/A</v>
      </c>
      <c r="Q114" s="189" t="e">
        <v>#N/A</v>
      </c>
      <c r="R114" s="189" t="e">
        <v>#N/A</v>
      </c>
      <c r="S114" s="205" t="e">
        <v>#N/A</v>
      </c>
      <c r="T114" s="206"/>
    </row>
    <row r="115">
      <c r="C115" s="189" t="e">
        <v>#N/A</v>
      </c>
      <c r="D115" s="189" t="e">
        <v>#N/A</v>
      </c>
      <c r="E115" s="189" t="e">
        <v>#N/A</v>
      </c>
      <c r="F115" s="189" t="e">
        <v>#N/A</v>
      </c>
      <c r="G115" s="189" t="e">
        <v>#N/A</v>
      </c>
      <c r="H115" s="189" t="e">
        <v>#N/A</v>
      </c>
      <c r="I115" s="189" t="e">
        <v>#N/A</v>
      </c>
      <c r="J115" s="189" t="e">
        <v>#N/A</v>
      </c>
      <c r="K115" s="204" t="e">
        <v>#N/A</v>
      </c>
      <c r="L115" s="204" t="e">
        <v>#N/A</v>
      </c>
      <c r="M115" s="205" t="e">
        <v>#N/A</v>
      </c>
      <c r="N115" s="205" t="e">
        <v>#N/A</v>
      </c>
      <c r="O115" s="205" t="e">
        <v>#N/A</v>
      </c>
      <c r="P115" s="205" t="e">
        <v>#N/A</v>
      </c>
      <c r="Q115" s="189" t="e">
        <v>#N/A</v>
      </c>
      <c r="R115" s="189" t="e">
        <v>#N/A</v>
      </c>
      <c r="S115" s="205" t="e">
        <v>#N/A</v>
      </c>
      <c r="T115" s="206"/>
    </row>
    <row r="116">
      <c r="C116" s="189" t="e">
        <v>#N/A</v>
      </c>
      <c r="D116" s="189" t="e">
        <v>#N/A</v>
      </c>
      <c r="E116" s="189" t="e">
        <v>#N/A</v>
      </c>
      <c r="F116" s="189" t="e">
        <v>#N/A</v>
      </c>
      <c r="G116" s="189" t="e">
        <v>#N/A</v>
      </c>
      <c r="H116" s="189" t="e">
        <v>#N/A</v>
      </c>
      <c r="I116" s="189" t="e">
        <v>#N/A</v>
      </c>
      <c r="J116" s="189" t="e">
        <v>#N/A</v>
      </c>
      <c r="K116" s="204" t="e">
        <v>#N/A</v>
      </c>
      <c r="L116" s="204" t="e">
        <v>#N/A</v>
      </c>
      <c r="M116" s="205" t="e">
        <v>#N/A</v>
      </c>
      <c r="N116" s="205" t="e">
        <v>#N/A</v>
      </c>
      <c r="O116" s="205" t="e">
        <v>#N/A</v>
      </c>
      <c r="P116" s="205" t="e">
        <v>#N/A</v>
      </c>
      <c r="Q116" s="189" t="e">
        <v>#N/A</v>
      </c>
      <c r="R116" s="189" t="e">
        <v>#N/A</v>
      </c>
      <c r="S116" s="205" t="e">
        <v>#N/A</v>
      </c>
      <c r="T116" s="206"/>
    </row>
    <row r="117">
      <c r="C117" s="189" t="e">
        <v>#N/A</v>
      </c>
      <c r="D117" s="189" t="e">
        <v>#N/A</v>
      </c>
      <c r="E117" s="189" t="e">
        <v>#N/A</v>
      </c>
      <c r="F117" s="189" t="e">
        <v>#N/A</v>
      </c>
      <c r="G117" s="189" t="e">
        <v>#N/A</v>
      </c>
      <c r="H117" s="189" t="e">
        <v>#N/A</v>
      </c>
      <c r="I117" s="189" t="e">
        <v>#N/A</v>
      </c>
      <c r="J117" s="189" t="e">
        <v>#N/A</v>
      </c>
      <c r="K117" s="204" t="e">
        <v>#N/A</v>
      </c>
      <c r="L117" s="204" t="e">
        <v>#N/A</v>
      </c>
      <c r="M117" s="205" t="e">
        <v>#N/A</v>
      </c>
      <c r="N117" s="205" t="e">
        <v>#N/A</v>
      </c>
      <c r="O117" s="205" t="e">
        <v>#N/A</v>
      </c>
      <c r="P117" s="205" t="e">
        <v>#N/A</v>
      </c>
      <c r="Q117" s="189" t="e">
        <v>#N/A</v>
      </c>
      <c r="R117" s="189" t="e">
        <v>#N/A</v>
      </c>
      <c r="S117" s="205" t="e">
        <v>#N/A</v>
      </c>
      <c r="T117" s="206"/>
    </row>
    <row r="118">
      <c r="C118" s="189" t="e">
        <v>#N/A</v>
      </c>
      <c r="D118" s="189" t="e">
        <v>#N/A</v>
      </c>
      <c r="E118" s="189" t="e">
        <v>#N/A</v>
      </c>
      <c r="F118" s="189" t="e">
        <v>#N/A</v>
      </c>
      <c r="G118" s="189" t="e">
        <v>#N/A</v>
      </c>
      <c r="H118" s="189" t="e">
        <v>#N/A</v>
      </c>
      <c r="I118" s="189" t="e">
        <v>#N/A</v>
      </c>
      <c r="J118" s="189" t="e">
        <v>#N/A</v>
      </c>
      <c r="K118" s="204" t="e">
        <v>#N/A</v>
      </c>
      <c r="L118" s="204" t="e">
        <v>#N/A</v>
      </c>
      <c r="M118" s="205" t="e">
        <v>#N/A</v>
      </c>
      <c r="N118" s="205" t="e">
        <v>#N/A</v>
      </c>
      <c r="O118" s="205" t="e">
        <v>#N/A</v>
      </c>
      <c r="P118" s="205" t="e">
        <v>#N/A</v>
      </c>
      <c r="Q118" s="189" t="e">
        <v>#N/A</v>
      </c>
      <c r="R118" s="189" t="e">
        <v>#N/A</v>
      </c>
      <c r="S118" s="205" t="e">
        <v>#N/A</v>
      </c>
      <c r="T118" s="206"/>
    </row>
    <row r="119">
      <c r="C119" s="189" t="e">
        <v>#N/A</v>
      </c>
      <c r="D119" s="189" t="e">
        <v>#N/A</v>
      </c>
      <c r="E119" s="189" t="e">
        <v>#N/A</v>
      </c>
      <c r="F119" s="189" t="e">
        <v>#N/A</v>
      </c>
      <c r="G119" s="189" t="e">
        <v>#N/A</v>
      </c>
      <c r="H119" s="189" t="e">
        <v>#N/A</v>
      </c>
      <c r="I119" s="189" t="e">
        <v>#N/A</v>
      </c>
      <c r="J119" s="189" t="e">
        <v>#N/A</v>
      </c>
      <c r="K119" s="204" t="e">
        <v>#N/A</v>
      </c>
      <c r="L119" s="204" t="e">
        <v>#N/A</v>
      </c>
      <c r="M119" s="205" t="e">
        <v>#N/A</v>
      </c>
      <c r="N119" s="205" t="e">
        <v>#N/A</v>
      </c>
      <c r="O119" s="205" t="e">
        <v>#N/A</v>
      </c>
      <c r="P119" s="205" t="e">
        <v>#N/A</v>
      </c>
      <c r="Q119" s="189" t="e">
        <v>#N/A</v>
      </c>
      <c r="R119" s="189" t="e">
        <v>#N/A</v>
      </c>
      <c r="S119" s="205" t="e">
        <v>#N/A</v>
      </c>
      <c r="T119" s="206"/>
    </row>
    <row r="120">
      <c r="C120" s="189" t="e">
        <v>#N/A</v>
      </c>
      <c r="D120" s="189" t="e">
        <v>#N/A</v>
      </c>
      <c r="E120" s="189" t="e">
        <v>#N/A</v>
      </c>
      <c r="F120" s="189" t="e">
        <v>#N/A</v>
      </c>
      <c r="G120" s="189" t="e">
        <v>#N/A</v>
      </c>
      <c r="H120" s="189" t="e">
        <v>#N/A</v>
      </c>
      <c r="I120" s="189" t="e">
        <v>#N/A</v>
      </c>
      <c r="J120" s="189" t="e">
        <v>#N/A</v>
      </c>
      <c r="K120" s="204" t="e">
        <v>#N/A</v>
      </c>
      <c r="L120" s="204" t="e">
        <v>#N/A</v>
      </c>
      <c r="M120" s="205" t="e">
        <v>#N/A</v>
      </c>
      <c r="N120" s="205" t="e">
        <v>#N/A</v>
      </c>
      <c r="O120" s="205" t="e">
        <v>#N/A</v>
      </c>
      <c r="P120" s="205" t="e">
        <v>#N/A</v>
      </c>
      <c r="Q120" s="189" t="e">
        <v>#N/A</v>
      </c>
      <c r="R120" s="189" t="e">
        <v>#N/A</v>
      </c>
      <c r="S120" s="205" t="e">
        <v>#N/A</v>
      </c>
      <c r="T120" s="206"/>
    </row>
    <row r="121">
      <c r="C121" s="189" t="e">
        <v>#N/A</v>
      </c>
      <c r="D121" s="189" t="e">
        <v>#N/A</v>
      </c>
      <c r="E121" s="189" t="e">
        <v>#N/A</v>
      </c>
      <c r="F121" s="189" t="e">
        <v>#N/A</v>
      </c>
      <c r="G121" s="189" t="e">
        <v>#N/A</v>
      </c>
      <c r="H121" s="189" t="e">
        <v>#N/A</v>
      </c>
      <c r="I121" s="189" t="e">
        <v>#N/A</v>
      </c>
      <c r="J121" s="189" t="e">
        <v>#N/A</v>
      </c>
      <c r="K121" s="204" t="e">
        <v>#N/A</v>
      </c>
      <c r="L121" s="204" t="e">
        <v>#N/A</v>
      </c>
      <c r="M121" s="205" t="e">
        <v>#N/A</v>
      </c>
      <c r="N121" s="205" t="e">
        <v>#N/A</v>
      </c>
      <c r="O121" s="205" t="e">
        <v>#N/A</v>
      </c>
      <c r="P121" s="205" t="e">
        <v>#N/A</v>
      </c>
      <c r="Q121" s="189" t="e">
        <v>#N/A</v>
      </c>
      <c r="R121" s="189" t="e">
        <v>#N/A</v>
      </c>
      <c r="S121" s="205" t="e">
        <v>#N/A</v>
      </c>
      <c r="T121" s="206"/>
    </row>
    <row r="122">
      <c r="C122" s="189" t="e">
        <v>#N/A</v>
      </c>
      <c r="D122" s="189" t="e">
        <v>#N/A</v>
      </c>
      <c r="E122" s="189" t="e">
        <v>#N/A</v>
      </c>
      <c r="F122" s="189" t="e">
        <v>#N/A</v>
      </c>
      <c r="G122" s="189" t="e">
        <v>#N/A</v>
      </c>
      <c r="H122" s="189" t="e">
        <v>#N/A</v>
      </c>
      <c r="I122" s="189" t="e">
        <v>#N/A</v>
      </c>
      <c r="J122" s="189" t="e">
        <v>#N/A</v>
      </c>
      <c r="K122" s="204" t="e">
        <v>#N/A</v>
      </c>
      <c r="L122" s="204" t="e">
        <v>#N/A</v>
      </c>
      <c r="M122" s="205" t="e">
        <v>#N/A</v>
      </c>
      <c r="N122" s="205" t="e">
        <v>#N/A</v>
      </c>
      <c r="O122" s="205" t="e">
        <v>#N/A</v>
      </c>
      <c r="P122" s="205" t="e">
        <v>#N/A</v>
      </c>
      <c r="Q122" s="189" t="e">
        <v>#N/A</v>
      </c>
      <c r="R122" s="189" t="e">
        <v>#N/A</v>
      </c>
      <c r="S122" s="205" t="e">
        <v>#N/A</v>
      </c>
      <c r="T122" s="206"/>
    </row>
    <row r="123">
      <c r="C123" s="189" t="e">
        <v>#N/A</v>
      </c>
      <c r="D123" s="189" t="e">
        <v>#N/A</v>
      </c>
      <c r="E123" s="189" t="e">
        <v>#N/A</v>
      </c>
      <c r="F123" s="189" t="e">
        <v>#N/A</v>
      </c>
      <c r="G123" s="189" t="e">
        <v>#N/A</v>
      </c>
      <c r="H123" s="189" t="e">
        <v>#N/A</v>
      </c>
      <c r="I123" s="189" t="e">
        <v>#N/A</v>
      </c>
      <c r="J123" s="189" t="e">
        <v>#N/A</v>
      </c>
      <c r="K123" s="204" t="e">
        <v>#N/A</v>
      </c>
      <c r="L123" s="204" t="e">
        <v>#N/A</v>
      </c>
      <c r="M123" s="205" t="e">
        <v>#N/A</v>
      </c>
      <c r="N123" s="205" t="e">
        <v>#N/A</v>
      </c>
      <c r="O123" s="205" t="e">
        <v>#N/A</v>
      </c>
      <c r="P123" s="205" t="e">
        <v>#N/A</v>
      </c>
      <c r="Q123" s="189" t="e">
        <v>#N/A</v>
      </c>
      <c r="R123" s="189" t="e">
        <v>#N/A</v>
      </c>
      <c r="S123" s="205" t="e">
        <v>#N/A</v>
      </c>
      <c r="T123" s="206"/>
    </row>
    <row r="124">
      <c r="C124" s="189" t="e">
        <v>#N/A</v>
      </c>
      <c r="D124" s="189" t="e">
        <v>#N/A</v>
      </c>
      <c r="E124" s="189" t="e">
        <v>#N/A</v>
      </c>
      <c r="F124" s="189" t="e">
        <v>#N/A</v>
      </c>
      <c r="G124" s="189" t="e">
        <v>#N/A</v>
      </c>
      <c r="H124" s="189" t="e">
        <v>#N/A</v>
      </c>
      <c r="I124" s="189" t="e">
        <v>#N/A</v>
      </c>
      <c r="J124" s="189" t="e">
        <v>#N/A</v>
      </c>
      <c r="K124" s="204" t="e">
        <v>#N/A</v>
      </c>
      <c r="L124" s="204" t="e">
        <v>#N/A</v>
      </c>
      <c r="M124" s="205" t="e">
        <v>#N/A</v>
      </c>
      <c r="N124" s="205" t="e">
        <v>#N/A</v>
      </c>
      <c r="O124" s="205" t="e">
        <v>#N/A</v>
      </c>
      <c r="P124" s="205" t="e">
        <v>#N/A</v>
      </c>
      <c r="Q124" s="189" t="e">
        <v>#N/A</v>
      </c>
      <c r="R124" s="189" t="e">
        <v>#N/A</v>
      </c>
      <c r="S124" s="205" t="e">
        <v>#N/A</v>
      </c>
      <c r="T124" s="206"/>
    </row>
    <row r="125">
      <c r="C125" s="189" t="e">
        <v>#N/A</v>
      </c>
      <c r="D125" s="189" t="e">
        <v>#N/A</v>
      </c>
      <c r="E125" s="189" t="e">
        <v>#N/A</v>
      </c>
      <c r="F125" s="189" t="e">
        <v>#N/A</v>
      </c>
      <c r="G125" s="189" t="e">
        <v>#N/A</v>
      </c>
      <c r="H125" s="189" t="e">
        <v>#N/A</v>
      </c>
      <c r="I125" s="189" t="e">
        <v>#N/A</v>
      </c>
      <c r="J125" s="189" t="e">
        <v>#N/A</v>
      </c>
      <c r="K125" s="204" t="e">
        <v>#N/A</v>
      </c>
      <c r="L125" s="204" t="e">
        <v>#N/A</v>
      </c>
      <c r="M125" s="205" t="e">
        <v>#N/A</v>
      </c>
      <c r="N125" s="205" t="e">
        <v>#N/A</v>
      </c>
      <c r="O125" s="205" t="e">
        <v>#N/A</v>
      </c>
      <c r="P125" s="205" t="e">
        <v>#N/A</v>
      </c>
      <c r="Q125" s="189" t="e">
        <v>#N/A</v>
      </c>
      <c r="R125" s="189" t="e">
        <v>#N/A</v>
      </c>
      <c r="S125" s="205" t="e">
        <v>#N/A</v>
      </c>
      <c r="T125" s="206"/>
    </row>
    <row r="126">
      <c r="C126" s="189" t="e">
        <v>#N/A</v>
      </c>
      <c r="D126" s="189" t="e">
        <v>#N/A</v>
      </c>
      <c r="E126" s="189" t="e">
        <v>#N/A</v>
      </c>
      <c r="F126" s="189" t="e">
        <v>#N/A</v>
      </c>
      <c r="G126" s="189" t="e">
        <v>#N/A</v>
      </c>
      <c r="H126" s="189" t="e">
        <v>#N/A</v>
      </c>
      <c r="I126" s="189" t="e">
        <v>#N/A</v>
      </c>
      <c r="J126" s="189" t="e">
        <v>#N/A</v>
      </c>
      <c r="K126" s="204" t="e">
        <v>#N/A</v>
      </c>
      <c r="L126" s="204" t="e">
        <v>#N/A</v>
      </c>
      <c r="M126" s="205" t="e">
        <v>#N/A</v>
      </c>
      <c r="N126" s="205" t="e">
        <v>#N/A</v>
      </c>
      <c r="O126" s="205" t="e">
        <v>#N/A</v>
      </c>
      <c r="P126" s="205" t="e">
        <v>#N/A</v>
      </c>
      <c r="Q126" s="189" t="e">
        <v>#N/A</v>
      </c>
      <c r="R126" s="189" t="e">
        <v>#N/A</v>
      </c>
      <c r="S126" s="205" t="e">
        <v>#N/A</v>
      </c>
      <c r="T126" s="206"/>
    </row>
    <row r="127">
      <c r="C127" s="189" t="e">
        <v>#N/A</v>
      </c>
      <c r="D127" s="189" t="e">
        <v>#N/A</v>
      </c>
      <c r="E127" s="189" t="e">
        <v>#N/A</v>
      </c>
      <c r="F127" s="189" t="e">
        <v>#N/A</v>
      </c>
      <c r="G127" s="189" t="e">
        <v>#N/A</v>
      </c>
      <c r="H127" s="189" t="e">
        <v>#N/A</v>
      </c>
      <c r="I127" s="189" t="e">
        <v>#N/A</v>
      </c>
      <c r="J127" s="189" t="e">
        <v>#N/A</v>
      </c>
      <c r="K127" s="204" t="e">
        <v>#N/A</v>
      </c>
      <c r="L127" s="204" t="e">
        <v>#N/A</v>
      </c>
      <c r="M127" s="205" t="e">
        <v>#N/A</v>
      </c>
      <c r="N127" s="205" t="e">
        <v>#N/A</v>
      </c>
      <c r="O127" s="205" t="e">
        <v>#N/A</v>
      </c>
      <c r="P127" s="205" t="e">
        <v>#N/A</v>
      </c>
      <c r="Q127" s="189" t="e">
        <v>#N/A</v>
      </c>
      <c r="R127" s="189" t="e">
        <v>#N/A</v>
      </c>
      <c r="S127" s="205" t="e">
        <v>#N/A</v>
      </c>
      <c r="T127" s="206"/>
    </row>
    <row r="128">
      <c r="C128" s="189" t="e">
        <v>#N/A</v>
      </c>
      <c r="D128" s="189" t="e">
        <v>#N/A</v>
      </c>
      <c r="E128" s="189" t="e">
        <v>#N/A</v>
      </c>
      <c r="F128" s="189" t="e">
        <v>#N/A</v>
      </c>
      <c r="G128" s="189" t="e">
        <v>#N/A</v>
      </c>
      <c r="H128" s="189" t="e">
        <v>#N/A</v>
      </c>
      <c r="I128" s="189" t="e">
        <v>#N/A</v>
      </c>
      <c r="J128" s="189" t="e">
        <v>#N/A</v>
      </c>
      <c r="K128" s="204" t="e">
        <v>#N/A</v>
      </c>
      <c r="L128" s="204" t="e">
        <v>#N/A</v>
      </c>
      <c r="M128" s="205" t="e">
        <v>#N/A</v>
      </c>
      <c r="N128" s="205" t="e">
        <v>#N/A</v>
      </c>
      <c r="O128" s="205" t="e">
        <v>#N/A</v>
      </c>
      <c r="P128" s="205" t="e">
        <v>#N/A</v>
      </c>
      <c r="Q128" s="189" t="e">
        <v>#N/A</v>
      </c>
      <c r="R128" s="189" t="e">
        <v>#N/A</v>
      </c>
      <c r="S128" s="205" t="e">
        <v>#N/A</v>
      </c>
      <c r="T128" s="206"/>
    </row>
    <row r="129">
      <c r="C129" s="189" t="e">
        <v>#N/A</v>
      </c>
      <c r="D129" s="189" t="e">
        <v>#N/A</v>
      </c>
      <c r="E129" s="189" t="e">
        <v>#N/A</v>
      </c>
      <c r="F129" s="189" t="e">
        <v>#N/A</v>
      </c>
      <c r="G129" s="189" t="e">
        <v>#N/A</v>
      </c>
      <c r="H129" s="189" t="e">
        <v>#N/A</v>
      </c>
      <c r="I129" s="189" t="e">
        <v>#N/A</v>
      </c>
      <c r="J129" s="189" t="e">
        <v>#N/A</v>
      </c>
      <c r="K129" s="204" t="e">
        <v>#N/A</v>
      </c>
      <c r="L129" s="204" t="e">
        <v>#N/A</v>
      </c>
      <c r="M129" s="205" t="e">
        <v>#N/A</v>
      </c>
      <c r="N129" s="205" t="e">
        <v>#N/A</v>
      </c>
      <c r="O129" s="205" t="e">
        <v>#N/A</v>
      </c>
      <c r="P129" s="205" t="e">
        <v>#N/A</v>
      </c>
      <c r="Q129" s="189" t="e">
        <v>#N/A</v>
      </c>
      <c r="R129" s="189" t="e">
        <v>#N/A</v>
      </c>
      <c r="S129" s="205" t="e">
        <v>#N/A</v>
      </c>
      <c r="T129" s="206"/>
    </row>
    <row r="130">
      <c r="C130" s="189" t="e">
        <v>#N/A</v>
      </c>
      <c r="D130" s="189" t="e">
        <v>#N/A</v>
      </c>
      <c r="E130" s="189" t="e">
        <v>#N/A</v>
      </c>
      <c r="F130" s="189" t="e">
        <v>#N/A</v>
      </c>
      <c r="G130" s="189" t="e">
        <v>#N/A</v>
      </c>
      <c r="H130" s="189" t="e">
        <v>#N/A</v>
      </c>
      <c r="I130" s="189" t="e">
        <v>#N/A</v>
      </c>
      <c r="J130" s="189" t="e">
        <v>#N/A</v>
      </c>
      <c r="K130" s="204" t="e">
        <v>#N/A</v>
      </c>
      <c r="L130" s="204" t="e">
        <v>#N/A</v>
      </c>
      <c r="M130" s="205" t="e">
        <v>#N/A</v>
      </c>
      <c r="N130" s="205" t="e">
        <v>#N/A</v>
      </c>
      <c r="O130" s="205" t="e">
        <v>#N/A</v>
      </c>
      <c r="P130" s="205" t="e">
        <v>#N/A</v>
      </c>
      <c r="Q130" s="189" t="e">
        <v>#N/A</v>
      </c>
      <c r="R130" s="189" t="e">
        <v>#N/A</v>
      </c>
      <c r="S130" s="205" t="e">
        <v>#N/A</v>
      </c>
      <c r="T130" s="206"/>
    </row>
    <row r="131">
      <c r="C131" s="189" t="e">
        <v>#N/A</v>
      </c>
      <c r="D131" s="189" t="e">
        <v>#N/A</v>
      </c>
      <c r="E131" s="189" t="e">
        <v>#N/A</v>
      </c>
      <c r="F131" s="189" t="e">
        <v>#N/A</v>
      </c>
      <c r="G131" s="189" t="e">
        <v>#N/A</v>
      </c>
      <c r="H131" s="189" t="e">
        <v>#N/A</v>
      </c>
      <c r="I131" s="189" t="e">
        <v>#N/A</v>
      </c>
      <c r="J131" s="189" t="e">
        <v>#N/A</v>
      </c>
      <c r="K131" s="204" t="e">
        <v>#N/A</v>
      </c>
      <c r="L131" s="204" t="e">
        <v>#N/A</v>
      </c>
      <c r="M131" s="205" t="e">
        <v>#N/A</v>
      </c>
      <c r="N131" s="205" t="e">
        <v>#N/A</v>
      </c>
      <c r="O131" s="205" t="e">
        <v>#N/A</v>
      </c>
      <c r="P131" s="205" t="e">
        <v>#N/A</v>
      </c>
      <c r="Q131" s="189" t="e">
        <v>#N/A</v>
      </c>
      <c r="R131" s="189" t="e">
        <v>#N/A</v>
      </c>
      <c r="S131" s="205" t="e">
        <v>#N/A</v>
      </c>
      <c r="T131" s="206"/>
    </row>
    <row r="132">
      <c r="C132" s="189" t="e">
        <v>#N/A</v>
      </c>
      <c r="D132" s="189" t="e">
        <v>#N/A</v>
      </c>
      <c r="E132" s="189" t="e">
        <v>#N/A</v>
      </c>
      <c r="F132" s="189" t="e">
        <v>#N/A</v>
      </c>
      <c r="G132" s="189" t="e">
        <v>#N/A</v>
      </c>
      <c r="H132" s="189" t="e">
        <v>#N/A</v>
      </c>
      <c r="I132" s="189" t="e">
        <v>#N/A</v>
      </c>
      <c r="J132" s="189" t="e">
        <v>#N/A</v>
      </c>
      <c r="K132" s="204" t="e">
        <v>#N/A</v>
      </c>
      <c r="L132" s="204" t="e">
        <v>#N/A</v>
      </c>
      <c r="M132" s="205" t="e">
        <v>#N/A</v>
      </c>
      <c r="N132" s="205" t="e">
        <v>#N/A</v>
      </c>
      <c r="O132" s="205" t="e">
        <v>#N/A</v>
      </c>
      <c r="P132" s="205" t="e">
        <v>#N/A</v>
      </c>
      <c r="Q132" s="189" t="e">
        <v>#N/A</v>
      </c>
      <c r="R132" s="189" t="e">
        <v>#N/A</v>
      </c>
      <c r="S132" s="205" t="e">
        <v>#N/A</v>
      </c>
      <c r="T132" s="206"/>
    </row>
    <row r="133">
      <c r="C133" s="189" t="e">
        <v>#N/A</v>
      </c>
      <c r="D133" s="189" t="e">
        <v>#N/A</v>
      </c>
      <c r="E133" s="189" t="e">
        <v>#N/A</v>
      </c>
      <c r="F133" s="189" t="e">
        <v>#N/A</v>
      </c>
      <c r="G133" s="189" t="e">
        <v>#N/A</v>
      </c>
      <c r="H133" s="189" t="e">
        <v>#N/A</v>
      </c>
      <c r="I133" s="189" t="e">
        <v>#N/A</v>
      </c>
      <c r="J133" s="189" t="e">
        <v>#N/A</v>
      </c>
      <c r="K133" s="204" t="e">
        <v>#N/A</v>
      </c>
      <c r="L133" s="204" t="e">
        <v>#N/A</v>
      </c>
      <c r="M133" s="205" t="e">
        <v>#N/A</v>
      </c>
      <c r="N133" s="205" t="e">
        <v>#N/A</v>
      </c>
      <c r="O133" s="205" t="e">
        <v>#N/A</v>
      </c>
      <c r="P133" s="205" t="e">
        <v>#N/A</v>
      </c>
      <c r="Q133" s="189" t="e">
        <v>#N/A</v>
      </c>
      <c r="R133" s="189" t="e">
        <v>#N/A</v>
      </c>
      <c r="S133" s="205" t="e">
        <v>#N/A</v>
      </c>
      <c r="T133" s="206"/>
    </row>
    <row r="134">
      <c r="C134" s="189" t="e">
        <v>#N/A</v>
      </c>
      <c r="D134" s="189" t="e">
        <v>#N/A</v>
      </c>
      <c r="E134" s="189" t="e">
        <v>#N/A</v>
      </c>
      <c r="F134" s="189" t="e">
        <v>#N/A</v>
      </c>
      <c r="G134" s="189" t="e">
        <v>#N/A</v>
      </c>
      <c r="H134" s="189" t="e">
        <v>#N/A</v>
      </c>
      <c r="I134" s="189" t="e">
        <v>#N/A</v>
      </c>
      <c r="J134" s="189" t="e">
        <v>#N/A</v>
      </c>
      <c r="K134" s="204" t="e">
        <v>#N/A</v>
      </c>
      <c r="L134" s="204" t="e">
        <v>#N/A</v>
      </c>
      <c r="M134" s="205" t="e">
        <v>#N/A</v>
      </c>
      <c r="N134" s="205" t="e">
        <v>#N/A</v>
      </c>
      <c r="O134" s="205" t="e">
        <v>#N/A</v>
      </c>
      <c r="P134" s="205" t="e">
        <v>#N/A</v>
      </c>
      <c r="Q134" s="189" t="e">
        <v>#N/A</v>
      </c>
      <c r="R134" s="189" t="e">
        <v>#N/A</v>
      </c>
      <c r="S134" s="205" t="e">
        <v>#N/A</v>
      </c>
      <c r="T134" s="206"/>
    </row>
    <row r="135">
      <c r="C135" s="189" t="e">
        <v>#N/A</v>
      </c>
      <c r="D135" s="189" t="e">
        <v>#N/A</v>
      </c>
      <c r="E135" s="189" t="e">
        <v>#N/A</v>
      </c>
      <c r="F135" s="189" t="e">
        <v>#N/A</v>
      </c>
      <c r="G135" s="189" t="e">
        <v>#N/A</v>
      </c>
      <c r="H135" s="189" t="e">
        <v>#N/A</v>
      </c>
      <c r="I135" s="189" t="e">
        <v>#N/A</v>
      </c>
      <c r="J135" s="189" t="e">
        <v>#N/A</v>
      </c>
      <c r="K135" s="204" t="e">
        <v>#N/A</v>
      </c>
      <c r="L135" s="204" t="e">
        <v>#N/A</v>
      </c>
      <c r="M135" s="205" t="e">
        <v>#N/A</v>
      </c>
      <c r="N135" s="205" t="e">
        <v>#N/A</v>
      </c>
      <c r="O135" s="205" t="e">
        <v>#N/A</v>
      </c>
      <c r="P135" s="205" t="e">
        <v>#N/A</v>
      </c>
      <c r="Q135" s="189" t="e">
        <v>#N/A</v>
      </c>
      <c r="R135" s="189" t="e">
        <v>#N/A</v>
      </c>
      <c r="S135" s="205" t="e">
        <v>#N/A</v>
      </c>
      <c r="T135" s="206"/>
    </row>
    <row r="136">
      <c r="C136" s="189" t="e">
        <v>#N/A</v>
      </c>
      <c r="D136" s="189" t="e">
        <v>#N/A</v>
      </c>
      <c r="E136" s="189" t="e">
        <v>#N/A</v>
      </c>
      <c r="F136" s="189" t="e">
        <v>#N/A</v>
      </c>
      <c r="G136" s="189" t="e">
        <v>#N/A</v>
      </c>
      <c r="H136" s="189" t="e">
        <v>#N/A</v>
      </c>
      <c r="I136" s="189" t="e">
        <v>#N/A</v>
      </c>
      <c r="J136" s="189" t="e">
        <v>#N/A</v>
      </c>
      <c r="K136" s="204" t="e">
        <v>#N/A</v>
      </c>
      <c r="L136" s="204" t="e">
        <v>#N/A</v>
      </c>
      <c r="M136" s="205" t="e">
        <v>#N/A</v>
      </c>
      <c r="N136" s="205" t="e">
        <v>#N/A</v>
      </c>
      <c r="O136" s="205" t="e">
        <v>#N/A</v>
      </c>
      <c r="P136" s="205" t="e">
        <v>#N/A</v>
      </c>
      <c r="Q136" s="189" t="e">
        <v>#N/A</v>
      </c>
      <c r="R136" s="189" t="e">
        <v>#N/A</v>
      </c>
      <c r="S136" s="205" t="e">
        <v>#N/A</v>
      </c>
      <c r="T136" s="206"/>
    </row>
    <row r="137">
      <c r="C137" s="189" t="e">
        <v>#N/A</v>
      </c>
      <c r="D137" s="189" t="e">
        <v>#N/A</v>
      </c>
      <c r="E137" s="189" t="e">
        <v>#N/A</v>
      </c>
      <c r="F137" s="189" t="e">
        <v>#N/A</v>
      </c>
      <c r="G137" s="189" t="e">
        <v>#N/A</v>
      </c>
      <c r="H137" s="189" t="e">
        <v>#N/A</v>
      </c>
      <c r="I137" s="189" t="e">
        <v>#N/A</v>
      </c>
      <c r="J137" s="189" t="e">
        <v>#N/A</v>
      </c>
      <c r="K137" s="204" t="e">
        <v>#N/A</v>
      </c>
      <c r="L137" s="204" t="e">
        <v>#N/A</v>
      </c>
      <c r="M137" s="205" t="e">
        <v>#N/A</v>
      </c>
      <c r="N137" s="205" t="e">
        <v>#N/A</v>
      </c>
      <c r="O137" s="205" t="e">
        <v>#N/A</v>
      </c>
      <c r="P137" s="205" t="e">
        <v>#N/A</v>
      </c>
      <c r="Q137" s="189" t="e">
        <v>#N/A</v>
      </c>
      <c r="R137" s="189" t="e">
        <v>#N/A</v>
      </c>
      <c r="S137" s="205" t="e">
        <v>#N/A</v>
      </c>
      <c r="T137" s="206"/>
    </row>
    <row r="138">
      <c r="C138" s="189" t="e">
        <v>#N/A</v>
      </c>
      <c r="D138" s="189" t="e">
        <v>#N/A</v>
      </c>
      <c r="E138" s="189" t="e">
        <v>#N/A</v>
      </c>
      <c r="F138" s="189" t="e">
        <v>#N/A</v>
      </c>
      <c r="G138" s="189" t="e">
        <v>#N/A</v>
      </c>
      <c r="H138" s="189" t="e">
        <v>#N/A</v>
      </c>
      <c r="I138" s="189" t="e">
        <v>#N/A</v>
      </c>
      <c r="J138" s="189" t="e">
        <v>#N/A</v>
      </c>
      <c r="K138" s="204" t="e">
        <v>#N/A</v>
      </c>
      <c r="L138" s="204" t="e">
        <v>#N/A</v>
      </c>
      <c r="M138" s="205" t="e">
        <v>#N/A</v>
      </c>
      <c r="N138" s="205" t="e">
        <v>#N/A</v>
      </c>
      <c r="O138" s="205" t="e">
        <v>#N/A</v>
      </c>
      <c r="P138" s="205" t="e">
        <v>#N/A</v>
      </c>
      <c r="Q138" s="189" t="e">
        <v>#N/A</v>
      </c>
      <c r="R138" s="189" t="e">
        <v>#N/A</v>
      </c>
      <c r="S138" s="205" t="e">
        <v>#N/A</v>
      </c>
      <c r="T138" s="206"/>
    </row>
    <row r="139">
      <c r="C139" s="189" t="e">
        <v>#N/A</v>
      </c>
      <c r="D139" s="189" t="e">
        <v>#N/A</v>
      </c>
      <c r="E139" s="189" t="e">
        <v>#N/A</v>
      </c>
      <c r="F139" s="189" t="e">
        <v>#N/A</v>
      </c>
      <c r="G139" s="189" t="e">
        <v>#N/A</v>
      </c>
      <c r="H139" s="189" t="e">
        <v>#N/A</v>
      </c>
      <c r="I139" s="189" t="e">
        <v>#N/A</v>
      </c>
      <c r="J139" s="189" t="e">
        <v>#N/A</v>
      </c>
      <c r="K139" s="204" t="e">
        <v>#N/A</v>
      </c>
      <c r="L139" s="204" t="e">
        <v>#N/A</v>
      </c>
      <c r="M139" s="205" t="e">
        <v>#N/A</v>
      </c>
      <c r="N139" s="205" t="e">
        <v>#N/A</v>
      </c>
      <c r="O139" s="205" t="e">
        <v>#N/A</v>
      </c>
      <c r="P139" s="205" t="e">
        <v>#N/A</v>
      </c>
      <c r="Q139" s="189" t="e">
        <v>#N/A</v>
      </c>
      <c r="R139" s="189" t="e">
        <v>#N/A</v>
      </c>
      <c r="S139" s="205" t="e">
        <v>#N/A</v>
      </c>
      <c r="T139" s="206"/>
    </row>
    <row r="140">
      <c r="C140" s="189" t="e">
        <v>#N/A</v>
      </c>
      <c r="D140" s="189" t="e">
        <v>#N/A</v>
      </c>
      <c r="E140" s="189" t="e">
        <v>#N/A</v>
      </c>
      <c r="F140" s="189" t="e">
        <v>#N/A</v>
      </c>
      <c r="G140" s="189" t="e">
        <v>#N/A</v>
      </c>
      <c r="H140" s="189" t="e">
        <v>#N/A</v>
      </c>
      <c r="I140" s="189" t="e">
        <v>#N/A</v>
      </c>
      <c r="J140" s="189" t="e">
        <v>#N/A</v>
      </c>
      <c r="K140" s="204" t="e">
        <v>#N/A</v>
      </c>
      <c r="L140" s="204" t="e">
        <v>#N/A</v>
      </c>
      <c r="M140" s="205" t="e">
        <v>#N/A</v>
      </c>
      <c r="N140" s="205" t="e">
        <v>#N/A</v>
      </c>
      <c r="O140" s="205" t="e">
        <v>#N/A</v>
      </c>
      <c r="P140" s="205" t="e">
        <v>#N/A</v>
      </c>
      <c r="Q140" s="189" t="e">
        <v>#N/A</v>
      </c>
      <c r="R140" s="189" t="e">
        <v>#N/A</v>
      </c>
      <c r="S140" s="205" t="e">
        <v>#N/A</v>
      </c>
      <c r="T140" s="206"/>
    </row>
    <row r="141">
      <c r="C141" s="189" t="e">
        <v>#N/A</v>
      </c>
      <c r="D141" s="189" t="e">
        <v>#N/A</v>
      </c>
      <c r="E141" s="189" t="e">
        <v>#N/A</v>
      </c>
      <c r="F141" s="189" t="e">
        <v>#N/A</v>
      </c>
      <c r="G141" s="189" t="e">
        <v>#N/A</v>
      </c>
      <c r="H141" s="189" t="e">
        <v>#N/A</v>
      </c>
      <c r="I141" s="189" t="e">
        <v>#N/A</v>
      </c>
      <c r="J141" s="189" t="e">
        <v>#N/A</v>
      </c>
      <c r="K141" s="204" t="e">
        <v>#N/A</v>
      </c>
      <c r="L141" s="204" t="e">
        <v>#N/A</v>
      </c>
      <c r="M141" s="205" t="e">
        <v>#N/A</v>
      </c>
      <c r="N141" s="205" t="e">
        <v>#N/A</v>
      </c>
      <c r="O141" s="205" t="e">
        <v>#N/A</v>
      </c>
      <c r="P141" s="205" t="e">
        <v>#N/A</v>
      </c>
      <c r="Q141" s="189" t="e">
        <v>#N/A</v>
      </c>
      <c r="R141" s="189" t="e">
        <v>#N/A</v>
      </c>
      <c r="S141" s="205" t="e">
        <v>#N/A</v>
      </c>
      <c r="T141" s="206"/>
    </row>
    <row r="142">
      <c r="C142" s="189" t="e">
        <v>#N/A</v>
      </c>
      <c r="D142" s="189" t="e">
        <v>#N/A</v>
      </c>
      <c r="E142" s="189" t="e">
        <v>#N/A</v>
      </c>
      <c r="F142" s="189" t="e">
        <v>#N/A</v>
      </c>
      <c r="G142" s="189" t="e">
        <v>#N/A</v>
      </c>
      <c r="H142" s="189" t="e">
        <v>#N/A</v>
      </c>
      <c r="I142" s="189" t="e">
        <v>#N/A</v>
      </c>
      <c r="J142" s="189" t="e">
        <v>#N/A</v>
      </c>
      <c r="K142" s="204" t="e">
        <v>#N/A</v>
      </c>
      <c r="L142" s="204" t="e">
        <v>#N/A</v>
      </c>
      <c r="M142" s="205" t="e">
        <v>#N/A</v>
      </c>
      <c r="N142" s="205" t="e">
        <v>#N/A</v>
      </c>
      <c r="O142" s="205" t="e">
        <v>#N/A</v>
      </c>
      <c r="P142" s="205" t="e">
        <v>#N/A</v>
      </c>
      <c r="Q142" s="189" t="e">
        <v>#N/A</v>
      </c>
      <c r="R142" s="189" t="e">
        <v>#N/A</v>
      </c>
      <c r="S142" s="205" t="e">
        <v>#N/A</v>
      </c>
      <c r="T142" s="206"/>
    </row>
    <row r="143">
      <c r="C143" s="189" t="e">
        <v>#N/A</v>
      </c>
      <c r="D143" s="189" t="e">
        <v>#N/A</v>
      </c>
      <c r="E143" s="189" t="e">
        <v>#N/A</v>
      </c>
      <c r="F143" s="189" t="e">
        <v>#N/A</v>
      </c>
      <c r="G143" s="189" t="e">
        <v>#N/A</v>
      </c>
      <c r="H143" s="189" t="e">
        <v>#N/A</v>
      </c>
      <c r="I143" s="189" t="e">
        <v>#N/A</v>
      </c>
      <c r="J143" s="189" t="e">
        <v>#N/A</v>
      </c>
      <c r="K143" s="204" t="e">
        <v>#N/A</v>
      </c>
      <c r="L143" s="204" t="e">
        <v>#N/A</v>
      </c>
      <c r="M143" s="205" t="e">
        <v>#N/A</v>
      </c>
      <c r="N143" s="205" t="e">
        <v>#N/A</v>
      </c>
      <c r="O143" s="205" t="e">
        <v>#N/A</v>
      </c>
      <c r="P143" s="205" t="e">
        <v>#N/A</v>
      </c>
      <c r="Q143" s="189" t="e">
        <v>#N/A</v>
      </c>
      <c r="R143" s="189" t="e">
        <v>#N/A</v>
      </c>
      <c r="S143" s="205" t="e">
        <v>#N/A</v>
      </c>
      <c r="T143" s="206"/>
    </row>
    <row r="144">
      <c r="C144" s="189" t="e">
        <v>#N/A</v>
      </c>
      <c r="D144" s="189" t="e">
        <v>#N/A</v>
      </c>
      <c r="E144" s="189" t="e">
        <v>#N/A</v>
      </c>
      <c r="F144" s="189" t="e">
        <v>#N/A</v>
      </c>
      <c r="G144" s="189" t="e">
        <v>#N/A</v>
      </c>
      <c r="H144" s="189" t="e">
        <v>#N/A</v>
      </c>
      <c r="I144" s="189" t="e">
        <v>#N/A</v>
      </c>
      <c r="J144" s="189" t="e">
        <v>#N/A</v>
      </c>
      <c r="K144" s="204" t="e">
        <v>#N/A</v>
      </c>
      <c r="L144" s="204" t="e">
        <v>#N/A</v>
      </c>
      <c r="M144" s="205" t="e">
        <v>#N/A</v>
      </c>
      <c r="N144" s="205" t="e">
        <v>#N/A</v>
      </c>
      <c r="O144" s="205" t="e">
        <v>#N/A</v>
      </c>
      <c r="P144" s="205" t="e">
        <v>#N/A</v>
      </c>
      <c r="Q144" s="189" t="e">
        <v>#N/A</v>
      </c>
      <c r="R144" s="189" t="e">
        <v>#N/A</v>
      </c>
      <c r="S144" s="205" t="e">
        <v>#N/A</v>
      </c>
      <c r="T144" s="206"/>
    </row>
    <row r="145">
      <c r="C145" s="189" t="e">
        <v>#N/A</v>
      </c>
      <c r="D145" s="189" t="e">
        <v>#N/A</v>
      </c>
      <c r="E145" s="189" t="e">
        <v>#N/A</v>
      </c>
      <c r="F145" s="189" t="e">
        <v>#N/A</v>
      </c>
      <c r="G145" s="189" t="e">
        <v>#N/A</v>
      </c>
      <c r="H145" s="189" t="e">
        <v>#N/A</v>
      </c>
      <c r="I145" s="189" t="e">
        <v>#N/A</v>
      </c>
      <c r="J145" s="189" t="e">
        <v>#N/A</v>
      </c>
      <c r="K145" s="204" t="e">
        <v>#N/A</v>
      </c>
      <c r="L145" s="204" t="e">
        <v>#N/A</v>
      </c>
      <c r="M145" s="205" t="e">
        <v>#N/A</v>
      </c>
      <c r="N145" s="205" t="e">
        <v>#N/A</v>
      </c>
      <c r="O145" s="205" t="e">
        <v>#N/A</v>
      </c>
      <c r="P145" s="205" t="e">
        <v>#N/A</v>
      </c>
      <c r="Q145" s="189" t="e">
        <v>#N/A</v>
      </c>
      <c r="R145" s="189" t="e">
        <v>#N/A</v>
      </c>
      <c r="S145" s="205" t="e">
        <v>#N/A</v>
      </c>
      <c r="T145" s="206"/>
    </row>
    <row r="146">
      <c r="C146" s="189" t="e">
        <v>#N/A</v>
      </c>
      <c r="D146" s="189" t="e">
        <v>#N/A</v>
      </c>
      <c r="E146" s="189" t="e">
        <v>#N/A</v>
      </c>
      <c r="F146" s="189" t="e">
        <v>#N/A</v>
      </c>
      <c r="G146" s="189" t="e">
        <v>#N/A</v>
      </c>
      <c r="H146" s="189" t="e">
        <v>#N/A</v>
      </c>
      <c r="I146" s="189" t="e">
        <v>#N/A</v>
      </c>
      <c r="J146" s="189" t="e">
        <v>#N/A</v>
      </c>
      <c r="K146" s="204" t="e">
        <v>#N/A</v>
      </c>
      <c r="L146" s="204" t="e">
        <v>#N/A</v>
      </c>
      <c r="M146" s="205" t="e">
        <v>#N/A</v>
      </c>
      <c r="N146" s="205" t="e">
        <v>#N/A</v>
      </c>
      <c r="O146" s="205" t="e">
        <v>#N/A</v>
      </c>
      <c r="P146" s="205" t="e">
        <v>#N/A</v>
      </c>
      <c r="Q146" s="189" t="e">
        <v>#N/A</v>
      </c>
      <c r="R146" s="189" t="e">
        <v>#N/A</v>
      </c>
      <c r="S146" s="205" t="e">
        <v>#N/A</v>
      </c>
      <c r="T146" s="206"/>
    </row>
    <row r="147">
      <c r="C147" s="189" t="e">
        <v>#N/A</v>
      </c>
      <c r="D147" s="189" t="e">
        <v>#N/A</v>
      </c>
      <c r="E147" s="189" t="e">
        <v>#N/A</v>
      </c>
      <c r="F147" s="189" t="e">
        <v>#N/A</v>
      </c>
      <c r="G147" s="189" t="e">
        <v>#N/A</v>
      </c>
      <c r="H147" s="189" t="e">
        <v>#N/A</v>
      </c>
      <c r="I147" s="189" t="e">
        <v>#N/A</v>
      </c>
      <c r="J147" s="189" t="e">
        <v>#N/A</v>
      </c>
      <c r="K147" s="204" t="e">
        <v>#N/A</v>
      </c>
      <c r="L147" s="204" t="e">
        <v>#N/A</v>
      </c>
      <c r="M147" s="205" t="e">
        <v>#N/A</v>
      </c>
      <c r="N147" s="205" t="e">
        <v>#N/A</v>
      </c>
      <c r="O147" s="205" t="e">
        <v>#N/A</v>
      </c>
      <c r="P147" s="205" t="e">
        <v>#N/A</v>
      </c>
      <c r="Q147" s="189" t="e">
        <v>#N/A</v>
      </c>
      <c r="R147" s="189" t="e">
        <v>#N/A</v>
      </c>
      <c r="S147" s="205" t="e">
        <v>#N/A</v>
      </c>
      <c r="T147" s="206"/>
    </row>
    <row r="148">
      <c r="C148" s="189" t="e">
        <v>#N/A</v>
      </c>
      <c r="D148" s="189" t="e">
        <v>#N/A</v>
      </c>
      <c r="E148" s="189" t="e">
        <v>#N/A</v>
      </c>
      <c r="F148" s="189" t="e">
        <v>#N/A</v>
      </c>
      <c r="G148" s="189" t="e">
        <v>#N/A</v>
      </c>
      <c r="H148" s="189" t="e">
        <v>#N/A</v>
      </c>
      <c r="I148" s="189" t="e">
        <v>#N/A</v>
      </c>
      <c r="J148" s="189" t="e">
        <v>#N/A</v>
      </c>
      <c r="K148" s="204" t="e">
        <v>#N/A</v>
      </c>
      <c r="L148" s="204" t="e">
        <v>#N/A</v>
      </c>
      <c r="M148" s="205" t="e">
        <v>#N/A</v>
      </c>
      <c r="N148" s="205" t="e">
        <v>#N/A</v>
      </c>
      <c r="O148" s="205" t="e">
        <v>#N/A</v>
      </c>
      <c r="P148" s="205" t="e">
        <v>#N/A</v>
      </c>
      <c r="Q148" s="189" t="e">
        <v>#N/A</v>
      </c>
      <c r="R148" s="189" t="e">
        <v>#N/A</v>
      </c>
      <c r="S148" s="205" t="e">
        <v>#N/A</v>
      </c>
      <c r="T148" s="206"/>
    </row>
    <row r="149">
      <c r="C149" s="189" t="e">
        <v>#N/A</v>
      </c>
      <c r="D149" s="189" t="e">
        <v>#N/A</v>
      </c>
      <c r="E149" s="189" t="e">
        <v>#N/A</v>
      </c>
      <c r="F149" s="189" t="e">
        <v>#N/A</v>
      </c>
      <c r="G149" s="189" t="e">
        <v>#N/A</v>
      </c>
      <c r="H149" s="189" t="e">
        <v>#N/A</v>
      </c>
      <c r="I149" s="189" t="e">
        <v>#N/A</v>
      </c>
      <c r="J149" s="189" t="e">
        <v>#N/A</v>
      </c>
      <c r="K149" s="204" t="e">
        <v>#N/A</v>
      </c>
      <c r="L149" s="204" t="e">
        <v>#N/A</v>
      </c>
      <c r="M149" s="205" t="e">
        <v>#N/A</v>
      </c>
      <c r="N149" s="205" t="e">
        <v>#N/A</v>
      </c>
      <c r="O149" s="205" t="e">
        <v>#N/A</v>
      </c>
      <c r="P149" s="205" t="e">
        <v>#N/A</v>
      </c>
      <c r="Q149" s="189" t="e">
        <v>#N/A</v>
      </c>
      <c r="R149" s="189" t="e">
        <v>#N/A</v>
      </c>
      <c r="S149" s="205" t="e">
        <v>#N/A</v>
      </c>
      <c r="T149" s="206"/>
    </row>
    <row r="150">
      <c r="C150" s="189" t="e">
        <v>#N/A</v>
      </c>
      <c r="D150" s="189" t="e">
        <v>#N/A</v>
      </c>
      <c r="E150" s="189" t="e">
        <v>#N/A</v>
      </c>
      <c r="F150" s="189" t="e">
        <v>#N/A</v>
      </c>
      <c r="G150" s="189" t="e">
        <v>#N/A</v>
      </c>
      <c r="H150" s="189" t="e">
        <v>#N/A</v>
      </c>
      <c r="I150" s="189" t="e">
        <v>#N/A</v>
      </c>
      <c r="J150" s="189" t="e">
        <v>#N/A</v>
      </c>
      <c r="K150" s="204" t="e">
        <v>#N/A</v>
      </c>
      <c r="L150" s="204" t="e">
        <v>#N/A</v>
      </c>
      <c r="M150" s="205" t="e">
        <v>#N/A</v>
      </c>
      <c r="N150" s="205" t="e">
        <v>#N/A</v>
      </c>
      <c r="O150" s="205" t="e">
        <v>#N/A</v>
      </c>
      <c r="P150" s="205" t="e">
        <v>#N/A</v>
      </c>
      <c r="Q150" s="189" t="e">
        <v>#N/A</v>
      </c>
      <c r="R150" s="189" t="e">
        <v>#N/A</v>
      </c>
      <c r="S150" s="205" t="e">
        <v>#N/A</v>
      </c>
      <c r="T150" s="206"/>
    </row>
    <row r="151">
      <c r="C151" s="189" t="e">
        <v>#N/A</v>
      </c>
      <c r="D151" s="189" t="e">
        <v>#N/A</v>
      </c>
      <c r="E151" s="189" t="e">
        <v>#N/A</v>
      </c>
      <c r="F151" s="189" t="e">
        <v>#N/A</v>
      </c>
      <c r="G151" s="189" t="e">
        <v>#N/A</v>
      </c>
      <c r="H151" s="189" t="e">
        <v>#N/A</v>
      </c>
      <c r="I151" s="189" t="e">
        <v>#N/A</v>
      </c>
      <c r="J151" s="189" t="e">
        <v>#N/A</v>
      </c>
      <c r="K151" s="204" t="e">
        <v>#N/A</v>
      </c>
      <c r="L151" s="204" t="e">
        <v>#N/A</v>
      </c>
      <c r="M151" s="205" t="e">
        <v>#N/A</v>
      </c>
      <c r="N151" s="205" t="e">
        <v>#N/A</v>
      </c>
      <c r="O151" s="205" t="e">
        <v>#N/A</v>
      </c>
      <c r="P151" s="205" t="e">
        <v>#N/A</v>
      </c>
      <c r="Q151" s="189" t="e">
        <v>#N/A</v>
      </c>
      <c r="R151" s="189" t="e">
        <v>#N/A</v>
      </c>
      <c r="S151" s="205" t="e">
        <v>#N/A</v>
      </c>
      <c r="T151" s="206"/>
    </row>
    <row r="152">
      <c r="C152" s="189" t="e">
        <v>#N/A</v>
      </c>
      <c r="D152" s="189" t="e">
        <v>#N/A</v>
      </c>
      <c r="E152" s="189" t="e">
        <v>#N/A</v>
      </c>
      <c r="F152" s="189" t="e">
        <v>#N/A</v>
      </c>
      <c r="G152" s="189" t="e">
        <v>#N/A</v>
      </c>
      <c r="H152" s="189" t="e">
        <v>#N/A</v>
      </c>
      <c r="I152" s="189" t="e">
        <v>#N/A</v>
      </c>
      <c r="J152" s="189" t="e">
        <v>#N/A</v>
      </c>
      <c r="K152" s="204" t="e">
        <v>#N/A</v>
      </c>
      <c r="L152" s="204" t="e">
        <v>#N/A</v>
      </c>
      <c r="M152" s="205" t="e">
        <v>#N/A</v>
      </c>
      <c r="N152" s="205" t="e">
        <v>#N/A</v>
      </c>
      <c r="O152" s="205" t="e">
        <v>#N/A</v>
      </c>
      <c r="P152" s="205" t="e">
        <v>#N/A</v>
      </c>
      <c r="Q152" s="189" t="e">
        <v>#N/A</v>
      </c>
      <c r="R152" s="189" t="e">
        <v>#N/A</v>
      </c>
      <c r="S152" s="205" t="e">
        <v>#N/A</v>
      </c>
      <c r="T152" s="206"/>
    </row>
    <row r="153">
      <c r="C153" s="189" t="e">
        <v>#N/A</v>
      </c>
      <c r="D153" s="189" t="e">
        <v>#N/A</v>
      </c>
      <c r="E153" s="189" t="e">
        <v>#N/A</v>
      </c>
      <c r="F153" s="189" t="e">
        <v>#N/A</v>
      </c>
      <c r="G153" s="189" t="e">
        <v>#N/A</v>
      </c>
      <c r="H153" s="189" t="e">
        <v>#N/A</v>
      </c>
      <c r="I153" s="189" t="e">
        <v>#N/A</v>
      </c>
      <c r="J153" s="189" t="e">
        <v>#N/A</v>
      </c>
      <c r="K153" s="204" t="e">
        <v>#N/A</v>
      </c>
      <c r="L153" s="204" t="e">
        <v>#N/A</v>
      </c>
      <c r="M153" s="205" t="e">
        <v>#N/A</v>
      </c>
      <c r="N153" s="205" t="e">
        <v>#N/A</v>
      </c>
      <c r="O153" s="205" t="e">
        <v>#N/A</v>
      </c>
      <c r="P153" s="205" t="e">
        <v>#N/A</v>
      </c>
      <c r="Q153" s="189" t="e">
        <v>#N/A</v>
      </c>
      <c r="R153" s="189" t="e">
        <v>#N/A</v>
      </c>
      <c r="S153" s="205" t="e">
        <v>#N/A</v>
      </c>
      <c r="T153" s="206"/>
    </row>
    <row r="154">
      <c r="C154" s="189" t="e">
        <v>#N/A</v>
      </c>
      <c r="D154" s="189" t="e">
        <v>#N/A</v>
      </c>
      <c r="E154" s="189" t="e">
        <v>#N/A</v>
      </c>
      <c r="F154" s="189" t="e">
        <v>#N/A</v>
      </c>
      <c r="G154" s="189" t="e">
        <v>#N/A</v>
      </c>
      <c r="H154" s="189" t="e">
        <v>#N/A</v>
      </c>
      <c r="I154" s="189" t="e">
        <v>#N/A</v>
      </c>
      <c r="J154" s="189" t="e">
        <v>#N/A</v>
      </c>
      <c r="K154" s="204" t="e">
        <v>#N/A</v>
      </c>
      <c r="L154" s="204" t="e">
        <v>#N/A</v>
      </c>
      <c r="M154" s="205" t="e">
        <v>#N/A</v>
      </c>
      <c r="N154" s="205" t="e">
        <v>#N/A</v>
      </c>
      <c r="O154" s="205" t="e">
        <v>#N/A</v>
      </c>
      <c r="P154" s="205" t="e">
        <v>#N/A</v>
      </c>
      <c r="Q154" s="189" t="e">
        <v>#N/A</v>
      </c>
      <c r="R154" s="189" t="e">
        <v>#N/A</v>
      </c>
      <c r="S154" s="205" t="e">
        <v>#N/A</v>
      </c>
      <c r="T154" s="206"/>
    </row>
    <row r="155">
      <c r="C155" s="189" t="e">
        <v>#N/A</v>
      </c>
      <c r="D155" s="189" t="e">
        <v>#N/A</v>
      </c>
      <c r="E155" s="189" t="e">
        <v>#N/A</v>
      </c>
      <c r="F155" s="189" t="e">
        <v>#N/A</v>
      </c>
      <c r="G155" s="189" t="e">
        <v>#N/A</v>
      </c>
      <c r="H155" s="189" t="e">
        <v>#N/A</v>
      </c>
      <c r="I155" s="189" t="e">
        <v>#N/A</v>
      </c>
      <c r="J155" s="189" t="e">
        <v>#N/A</v>
      </c>
      <c r="K155" s="204" t="e">
        <v>#N/A</v>
      </c>
      <c r="L155" s="204" t="e">
        <v>#N/A</v>
      </c>
      <c r="M155" s="205" t="e">
        <v>#N/A</v>
      </c>
      <c r="N155" s="205" t="e">
        <v>#N/A</v>
      </c>
      <c r="O155" s="205" t="e">
        <v>#N/A</v>
      </c>
      <c r="P155" s="205" t="e">
        <v>#N/A</v>
      </c>
      <c r="Q155" s="189" t="e">
        <v>#N/A</v>
      </c>
      <c r="R155" s="189" t="e">
        <v>#N/A</v>
      </c>
      <c r="S155" s="205" t="e">
        <v>#N/A</v>
      </c>
      <c r="T155" s="206"/>
    </row>
    <row r="156">
      <c r="C156" s="189" t="e">
        <v>#N/A</v>
      </c>
      <c r="D156" s="189" t="e">
        <v>#N/A</v>
      </c>
      <c r="E156" s="189" t="e">
        <v>#N/A</v>
      </c>
      <c r="F156" s="189" t="e">
        <v>#N/A</v>
      </c>
      <c r="G156" s="189" t="e">
        <v>#N/A</v>
      </c>
      <c r="H156" s="189" t="e">
        <v>#N/A</v>
      </c>
      <c r="I156" s="189" t="e">
        <v>#N/A</v>
      </c>
      <c r="J156" s="189" t="e">
        <v>#N/A</v>
      </c>
      <c r="K156" s="204" t="e">
        <v>#N/A</v>
      </c>
      <c r="L156" s="204" t="e">
        <v>#N/A</v>
      </c>
      <c r="M156" s="205" t="e">
        <v>#N/A</v>
      </c>
      <c r="N156" s="205" t="e">
        <v>#N/A</v>
      </c>
      <c r="O156" s="205" t="e">
        <v>#N/A</v>
      </c>
      <c r="P156" s="205" t="e">
        <v>#N/A</v>
      </c>
      <c r="Q156" s="189" t="e">
        <v>#N/A</v>
      </c>
      <c r="R156" s="189" t="e">
        <v>#N/A</v>
      </c>
      <c r="S156" s="205" t="e">
        <v>#N/A</v>
      </c>
      <c r="T156" s="206"/>
    </row>
    <row r="157">
      <c r="C157" s="189" t="e">
        <v>#N/A</v>
      </c>
      <c r="D157" s="189" t="e">
        <v>#N/A</v>
      </c>
      <c r="E157" s="189" t="e">
        <v>#N/A</v>
      </c>
      <c r="F157" s="189" t="e">
        <v>#N/A</v>
      </c>
      <c r="G157" s="189" t="e">
        <v>#N/A</v>
      </c>
      <c r="H157" s="189" t="e">
        <v>#N/A</v>
      </c>
      <c r="I157" s="189" t="e">
        <v>#N/A</v>
      </c>
      <c r="J157" s="189" t="e">
        <v>#N/A</v>
      </c>
      <c r="K157" s="204" t="e">
        <v>#N/A</v>
      </c>
      <c r="L157" s="204" t="e">
        <v>#N/A</v>
      </c>
      <c r="M157" s="205" t="e">
        <v>#N/A</v>
      </c>
      <c r="N157" s="205" t="e">
        <v>#N/A</v>
      </c>
      <c r="O157" s="205" t="e">
        <v>#N/A</v>
      </c>
      <c r="P157" s="205" t="e">
        <v>#N/A</v>
      </c>
      <c r="Q157" s="189" t="e">
        <v>#N/A</v>
      </c>
      <c r="R157" s="189" t="e">
        <v>#N/A</v>
      </c>
      <c r="S157" s="205" t="e">
        <v>#N/A</v>
      </c>
      <c r="T157" s="206"/>
    </row>
    <row r="158">
      <c r="C158" s="189" t="e">
        <v>#N/A</v>
      </c>
      <c r="D158" s="189" t="e">
        <v>#N/A</v>
      </c>
      <c r="E158" s="189" t="e">
        <v>#N/A</v>
      </c>
      <c r="F158" s="189" t="e">
        <v>#N/A</v>
      </c>
      <c r="G158" s="189" t="e">
        <v>#N/A</v>
      </c>
      <c r="H158" s="189" t="e">
        <v>#N/A</v>
      </c>
      <c r="I158" s="189" t="e">
        <v>#N/A</v>
      </c>
      <c r="J158" s="189" t="e">
        <v>#N/A</v>
      </c>
      <c r="K158" s="204" t="e">
        <v>#N/A</v>
      </c>
      <c r="L158" s="204" t="e">
        <v>#N/A</v>
      </c>
      <c r="M158" s="205" t="e">
        <v>#N/A</v>
      </c>
      <c r="N158" s="205" t="e">
        <v>#N/A</v>
      </c>
      <c r="O158" s="205" t="e">
        <v>#N/A</v>
      </c>
      <c r="P158" s="205" t="e">
        <v>#N/A</v>
      </c>
      <c r="Q158" s="189" t="e">
        <v>#N/A</v>
      </c>
      <c r="R158" s="189" t="e">
        <v>#N/A</v>
      </c>
      <c r="S158" s="205" t="e">
        <v>#N/A</v>
      </c>
      <c r="T158" s="206"/>
    </row>
    <row r="159">
      <c r="C159" s="189" t="e">
        <v>#N/A</v>
      </c>
      <c r="D159" s="189" t="e">
        <v>#N/A</v>
      </c>
      <c r="E159" s="189" t="e">
        <v>#N/A</v>
      </c>
      <c r="F159" s="189" t="e">
        <v>#N/A</v>
      </c>
      <c r="G159" s="189" t="e">
        <v>#N/A</v>
      </c>
      <c r="H159" s="189" t="e">
        <v>#N/A</v>
      </c>
      <c r="I159" s="189" t="e">
        <v>#N/A</v>
      </c>
      <c r="J159" s="189" t="e">
        <v>#N/A</v>
      </c>
      <c r="K159" s="204" t="e">
        <v>#N/A</v>
      </c>
      <c r="L159" s="204" t="e">
        <v>#N/A</v>
      </c>
      <c r="M159" s="205" t="e">
        <v>#N/A</v>
      </c>
      <c r="N159" s="205" t="e">
        <v>#N/A</v>
      </c>
      <c r="O159" s="205" t="e">
        <v>#N/A</v>
      </c>
      <c r="P159" s="205" t="e">
        <v>#N/A</v>
      </c>
      <c r="Q159" s="189" t="e">
        <v>#N/A</v>
      </c>
      <c r="R159" s="189" t="e">
        <v>#N/A</v>
      </c>
      <c r="S159" s="205" t="e">
        <v>#N/A</v>
      </c>
      <c r="T159" s="206"/>
    </row>
    <row r="160">
      <c r="C160" s="189" t="e">
        <v>#N/A</v>
      </c>
      <c r="D160" s="189" t="e">
        <v>#N/A</v>
      </c>
      <c r="E160" s="189" t="e">
        <v>#N/A</v>
      </c>
      <c r="F160" s="189" t="e">
        <v>#N/A</v>
      </c>
      <c r="G160" s="189" t="e">
        <v>#N/A</v>
      </c>
      <c r="H160" s="189" t="e">
        <v>#N/A</v>
      </c>
      <c r="I160" s="189" t="e">
        <v>#N/A</v>
      </c>
      <c r="J160" s="189" t="e">
        <v>#N/A</v>
      </c>
      <c r="K160" s="204" t="e">
        <v>#N/A</v>
      </c>
      <c r="L160" s="204" t="e">
        <v>#N/A</v>
      </c>
      <c r="M160" s="205" t="e">
        <v>#N/A</v>
      </c>
      <c r="N160" s="205" t="e">
        <v>#N/A</v>
      </c>
      <c r="O160" s="205" t="e">
        <v>#N/A</v>
      </c>
      <c r="P160" s="205" t="e">
        <v>#N/A</v>
      </c>
      <c r="Q160" s="189" t="e">
        <v>#N/A</v>
      </c>
      <c r="R160" s="189" t="e">
        <v>#N/A</v>
      </c>
      <c r="S160" s="205" t="e">
        <v>#N/A</v>
      </c>
      <c r="T160" s="206"/>
    </row>
    <row r="161">
      <c r="C161" s="189" t="e">
        <v>#N/A</v>
      </c>
      <c r="D161" s="189" t="e">
        <v>#N/A</v>
      </c>
      <c r="E161" s="189" t="e">
        <v>#N/A</v>
      </c>
      <c r="F161" s="189" t="e">
        <v>#N/A</v>
      </c>
      <c r="G161" s="189" t="e">
        <v>#N/A</v>
      </c>
      <c r="H161" s="189" t="e">
        <v>#N/A</v>
      </c>
      <c r="I161" s="189" t="e">
        <v>#N/A</v>
      </c>
      <c r="J161" s="189" t="e">
        <v>#N/A</v>
      </c>
      <c r="K161" s="204" t="e">
        <v>#N/A</v>
      </c>
      <c r="L161" s="204" t="e">
        <v>#N/A</v>
      </c>
      <c r="M161" s="205" t="e">
        <v>#N/A</v>
      </c>
      <c r="N161" s="205" t="e">
        <v>#N/A</v>
      </c>
      <c r="O161" s="205" t="e">
        <v>#N/A</v>
      </c>
      <c r="P161" s="205" t="e">
        <v>#N/A</v>
      </c>
      <c r="Q161" s="189" t="e">
        <v>#N/A</v>
      </c>
      <c r="R161" s="189" t="e">
        <v>#N/A</v>
      </c>
      <c r="S161" s="205" t="e">
        <v>#N/A</v>
      </c>
      <c r="T161" s="206"/>
    </row>
    <row r="162">
      <c r="C162" s="189" t="e">
        <v>#N/A</v>
      </c>
      <c r="D162" s="189" t="e">
        <v>#N/A</v>
      </c>
      <c r="E162" s="189" t="e">
        <v>#N/A</v>
      </c>
      <c r="F162" s="189" t="e">
        <v>#N/A</v>
      </c>
      <c r="G162" s="189" t="e">
        <v>#N/A</v>
      </c>
      <c r="H162" s="189" t="e">
        <v>#N/A</v>
      </c>
      <c r="I162" s="189" t="e">
        <v>#N/A</v>
      </c>
      <c r="J162" s="189" t="e">
        <v>#N/A</v>
      </c>
      <c r="K162" s="204" t="e">
        <v>#N/A</v>
      </c>
      <c r="L162" s="204" t="e">
        <v>#N/A</v>
      </c>
      <c r="M162" s="205" t="e">
        <v>#N/A</v>
      </c>
      <c r="N162" s="205" t="e">
        <v>#N/A</v>
      </c>
      <c r="O162" s="205" t="e">
        <v>#N/A</v>
      </c>
      <c r="P162" s="205" t="e">
        <v>#N/A</v>
      </c>
      <c r="Q162" s="189" t="e">
        <v>#N/A</v>
      </c>
      <c r="R162" s="189" t="e">
        <v>#N/A</v>
      </c>
      <c r="S162" s="205" t="e">
        <v>#N/A</v>
      </c>
      <c r="T162" s="206"/>
    </row>
    <row r="163">
      <c r="C163" s="189" t="e">
        <v>#N/A</v>
      </c>
      <c r="D163" s="189" t="e">
        <v>#N/A</v>
      </c>
      <c r="E163" s="189" t="e">
        <v>#N/A</v>
      </c>
      <c r="F163" s="189" t="e">
        <v>#N/A</v>
      </c>
      <c r="G163" s="189" t="e">
        <v>#N/A</v>
      </c>
      <c r="H163" s="189" t="e">
        <v>#N/A</v>
      </c>
      <c r="I163" s="189" t="e">
        <v>#N/A</v>
      </c>
      <c r="J163" s="189" t="e">
        <v>#N/A</v>
      </c>
      <c r="K163" s="204" t="e">
        <v>#N/A</v>
      </c>
      <c r="L163" s="204" t="e">
        <v>#N/A</v>
      </c>
      <c r="M163" s="205" t="e">
        <v>#N/A</v>
      </c>
      <c r="N163" s="205" t="e">
        <v>#N/A</v>
      </c>
      <c r="O163" s="205" t="e">
        <v>#N/A</v>
      </c>
      <c r="P163" s="205" t="e">
        <v>#N/A</v>
      </c>
      <c r="Q163" s="189" t="e">
        <v>#N/A</v>
      </c>
      <c r="R163" s="189" t="e">
        <v>#N/A</v>
      </c>
      <c r="S163" s="205" t="e">
        <v>#N/A</v>
      </c>
      <c r="T163" s="206"/>
    </row>
    <row r="164">
      <c r="C164" s="189" t="e">
        <v>#N/A</v>
      </c>
      <c r="D164" s="189" t="e">
        <v>#N/A</v>
      </c>
      <c r="E164" s="189" t="e">
        <v>#N/A</v>
      </c>
      <c r="F164" s="189" t="e">
        <v>#N/A</v>
      </c>
      <c r="G164" s="189" t="e">
        <v>#N/A</v>
      </c>
      <c r="H164" s="189" t="e">
        <v>#N/A</v>
      </c>
      <c r="I164" s="189" t="e">
        <v>#N/A</v>
      </c>
      <c r="J164" s="189" t="e">
        <v>#N/A</v>
      </c>
      <c r="K164" s="204" t="e">
        <v>#N/A</v>
      </c>
      <c r="L164" s="204" t="e">
        <v>#N/A</v>
      </c>
      <c r="M164" s="205" t="e">
        <v>#N/A</v>
      </c>
      <c r="N164" s="205" t="e">
        <v>#N/A</v>
      </c>
      <c r="O164" s="205" t="e">
        <v>#N/A</v>
      </c>
      <c r="P164" s="205" t="e">
        <v>#N/A</v>
      </c>
      <c r="Q164" s="189" t="e">
        <v>#N/A</v>
      </c>
      <c r="R164" s="189" t="e">
        <v>#N/A</v>
      </c>
      <c r="S164" s="205" t="e">
        <v>#N/A</v>
      </c>
      <c r="T164" s="206"/>
    </row>
    <row r="165">
      <c r="C165" s="189" t="e">
        <v>#N/A</v>
      </c>
      <c r="D165" s="189" t="e">
        <v>#N/A</v>
      </c>
      <c r="E165" s="189" t="e">
        <v>#N/A</v>
      </c>
      <c r="F165" s="189" t="e">
        <v>#N/A</v>
      </c>
      <c r="G165" s="189" t="e">
        <v>#N/A</v>
      </c>
      <c r="H165" s="189" t="e">
        <v>#N/A</v>
      </c>
      <c r="I165" s="189" t="e">
        <v>#N/A</v>
      </c>
      <c r="J165" s="189" t="e">
        <v>#N/A</v>
      </c>
      <c r="K165" s="204" t="e">
        <v>#N/A</v>
      </c>
      <c r="L165" s="204" t="e">
        <v>#N/A</v>
      </c>
      <c r="M165" s="205" t="e">
        <v>#N/A</v>
      </c>
      <c r="N165" s="205" t="e">
        <v>#N/A</v>
      </c>
      <c r="O165" s="205" t="e">
        <v>#N/A</v>
      </c>
      <c r="P165" s="205" t="e">
        <v>#N/A</v>
      </c>
      <c r="Q165" s="189" t="e">
        <v>#N/A</v>
      </c>
      <c r="R165" s="189" t="e">
        <v>#N/A</v>
      </c>
      <c r="S165" s="205" t="e">
        <v>#N/A</v>
      </c>
      <c r="T165" s="206"/>
    </row>
    <row r="166">
      <c r="C166" s="189" t="e">
        <v>#N/A</v>
      </c>
      <c r="D166" s="189" t="e">
        <v>#N/A</v>
      </c>
      <c r="E166" s="189" t="e">
        <v>#N/A</v>
      </c>
      <c r="F166" s="189" t="e">
        <v>#N/A</v>
      </c>
      <c r="G166" s="189" t="e">
        <v>#N/A</v>
      </c>
      <c r="H166" s="189" t="e">
        <v>#N/A</v>
      </c>
      <c r="I166" s="189" t="e">
        <v>#N/A</v>
      </c>
      <c r="J166" s="189" t="e">
        <v>#N/A</v>
      </c>
      <c r="K166" s="204" t="e">
        <v>#N/A</v>
      </c>
      <c r="L166" s="204" t="e">
        <v>#N/A</v>
      </c>
      <c r="M166" s="205" t="e">
        <v>#N/A</v>
      </c>
      <c r="N166" s="205" t="e">
        <v>#N/A</v>
      </c>
      <c r="O166" s="205" t="e">
        <v>#N/A</v>
      </c>
      <c r="P166" s="205" t="e">
        <v>#N/A</v>
      </c>
      <c r="Q166" s="189" t="e">
        <v>#N/A</v>
      </c>
      <c r="R166" s="189" t="e">
        <v>#N/A</v>
      </c>
      <c r="S166" s="205" t="e">
        <v>#N/A</v>
      </c>
      <c r="T166" s="206"/>
    </row>
    <row r="167">
      <c r="C167" s="189" t="e">
        <v>#N/A</v>
      </c>
      <c r="D167" s="189" t="e">
        <v>#N/A</v>
      </c>
      <c r="E167" s="189" t="e">
        <v>#N/A</v>
      </c>
      <c r="F167" s="189" t="e">
        <v>#N/A</v>
      </c>
      <c r="G167" s="189" t="e">
        <v>#N/A</v>
      </c>
      <c r="H167" s="189" t="e">
        <v>#N/A</v>
      </c>
      <c r="I167" s="189" t="e">
        <v>#N/A</v>
      </c>
      <c r="J167" s="189" t="e">
        <v>#N/A</v>
      </c>
      <c r="K167" s="204" t="e">
        <v>#N/A</v>
      </c>
      <c r="L167" s="204" t="e">
        <v>#N/A</v>
      </c>
      <c r="M167" s="205" t="e">
        <v>#N/A</v>
      </c>
      <c r="N167" s="205" t="e">
        <v>#N/A</v>
      </c>
      <c r="O167" s="205" t="e">
        <v>#N/A</v>
      </c>
      <c r="P167" s="205" t="e">
        <v>#N/A</v>
      </c>
      <c r="Q167" s="189" t="e">
        <v>#N/A</v>
      </c>
      <c r="R167" s="189" t="e">
        <v>#N/A</v>
      </c>
      <c r="S167" s="205" t="e">
        <v>#N/A</v>
      </c>
      <c r="T167" s="206"/>
    </row>
    <row r="168">
      <c r="C168" s="189" t="e">
        <v>#N/A</v>
      </c>
      <c r="D168" s="189" t="e">
        <v>#N/A</v>
      </c>
      <c r="E168" s="189" t="e">
        <v>#N/A</v>
      </c>
      <c r="F168" s="189" t="e">
        <v>#N/A</v>
      </c>
      <c r="G168" s="189" t="e">
        <v>#N/A</v>
      </c>
      <c r="H168" s="189" t="e">
        <v>#N/A</v>
      </c>
      <c r="I168" s="189" t="e">
        <v>#N/A</v>
      </c>
      <c r="J168" s="189" t="e">
        <v>#N/A</v>
      </c>
      <c r="K168" s="204" t="e">
        <v>#N/A</v>
      </c>
      <c r="L168" s="204" t="e">
        <v>#N/A</v>
      </c>
      <c r="M168" s="205" t="e">
        <v>#N/A</v>
      </c>
      <c r="N168" s="205" t="e">
        <v>#N/A</v>
      </c>
      <c r="O168" s="205" t="e">
        <v>#N/A</v>
      </c>
      <c r="P168" s="205" t="e">
        <v>#N/A</v>
      </c>
      <c r="Q168" s="189" t="e">
        <v>#N/A</v>
      </c>
      <c r="R168" s="189" t="e">
        <v>#N/A</v>
      </c>
      <c r="S168" s="205" t="e">
        <v>#N/A</v>
      </c>
      <c r="T168" s="206"/>
    </row>
    <row r="169">
      <c r="C169" s="189" t="e">
        <v>#N/A</v>
      </c>
      <c r="D169" s="189" t="e">
        <v>#N/A</v>
      </c>
      <c r="E169" s="189" t="e">
        <v>#N/A</v>
      </c>
      <c r="F169" s="189" t="e">
        <v>#N/A</v>
      </c>
      <c r="G169" s="189" t="e">
        <v>#N/A</v>
      </c>
      <c r="H169" s="189" t="e">
        <v>#N/A</v>
      </c>
      <c r="I169" s="189" t="e">
        <v>#N/A</v>
      </c>
      <c r="J169" s="189" t="e">
        <v>#N/A</v>
      </c>
      <c r="K169" s="204" t="e">
        <v>#N/A</v>
      </c>
      <c r="L169" s="204" t="e">
        <v>#N/A</v>
      </c>
      <c r="M169" s="205" t="e">
        <v>#N/A</v>
      </c>
      <c r="N169" s="205" t="e">
        <v>#N/A</v>
      </c>
      <c r="O169" s="205" t="e">
        <v>#N/A</v>
      </c>
      <c r="P169" s="205" t="e">
        <v>#N/A</v>
      </c>
      <c r="Q169" s="189" t="e">
        <v>#N/A</v>
      </c>
      <c r="R169" s="189" t="e">
        <v>#N/A</v>
      </c>
      <c r="S169" s="205" t="e">
        <v>#N/A</v>
      </c>
      <c r="T169" s="206"/>
    </row>
    <row r="170">
      <c r="C170" s="189" t="e">
        <v>#N/A</v>
      </c>
      <c r="D170" s="189" t="e">
        <v>#N/A</v>
      </c>
      <c r="E170" s="189" t="e">
        <v>#N/A</v>
      </c>
      <c r="F170" s="189" t="e">
        <v>#N/A</v>
      </c>
      <c r="G170" s="189" t="e">
        <v>#N/A</v>
      </c>
      <c r="H170" s="189" t="e">
        <v>#N/A</v>
      </c>
      <c r="I170" s="189" t="e">
        <v>#N/A</v>
      </c>
      <c r="J170" s="189" t="e">
        <v>#N/A</v>
      </c>
      <c r="K170" s="204" t="e">
        <v>#N/A</v>
      </c>
      <c r="L170" s="204" t="e">
        <v>#N/A</v>
      </c>
      <c r="M170" s="205" t="e">
        <v>#N/A</v>
      </c>
      <c r="N170" s="205" t="e">
        <v>#N/A</v>
      </c>
      <c r="O170" s="205" t="e">
        <v>#N/A</v>
      </c>
      <c r="P170" s="205" t="e">
        <v>#N/A</v>
      </c>
      <c r="Q170" s="189" t="e">
        <v>#N/A</v>
      </c>
      <c r="R170" s="189" t="e">
        <v>#N/A</v>
      </c>
      <c r="S170" s="205" t="e">
        <v>#N/A</v>
      </c>
      <c r="T170" s="206"/>
    </row>
    <row r="171">
      <c r="C171" s="189" t="e">
        <v>#N/A</v>
      </c>
      <c r="D171" s="189" t="e">
        <v>#N/A</v>
      </c>
      <c r="E171" s="189" t="e">
        <v>#N/A</v>
      </c>
      <c r="F171" s="189" t="e">
        <v>#N/A</v>
      </c>
      <c r="G171" s="189" t="e">
        <v>#N/A</v>
      </c>
      <c r="H171" s="189" t="e">
        <v>#N/A</v>
      </c>
      <c r="I171" s="189" t="e">
        <v>#N/A</v>
      </c>
      <c r="J171" s="189" t="e">
        <v>#N/A</v>
      </c>
      <c r="K171" s="204" t="e">
        <v>#N/A</v>
      </c>
      <c r="L171" s="204" t="e">
        <v>#N/A</v>
      </c>
      <c r="M171" s="205" t="e">
        <v>#N/A</v>
      </c>
      <c r="N171" s="205" t="e">
        <v>#N/A</v>
      </c>
      <c r="O171" s="205" t="e">
        <v>#N/A</v>
      </c>
      <c r="P171" s="205" t="e">
        <v>#N/A</v>
      </c>
      <c r="Q171" s="189" t="e">
        <v>#N/A</v>
      </c>
      <c r="R171" s="189" t="e">
        <v>#N/A</v>
      </c>
      <c r="S171" s="205" t="e">
        <v>#N/A</v>
      </c>
      <c r="T171" s="206"/>
    </row>
    <row r="172">
      <c r="C172" s="189" t="e">
        <v>#N/A</v>
      </c>
      <c r="D172" s="189" t="e">
        <v>#N/A</v>
      </c>
      <c r="E172" s="189" t="e">
        <v>#N/A</v>
      </c>
      <c r="F172" s="189" t="e">
        <v>#N/A</v>
      </c>
      <c r="G172" s="189" t="e">
        <v>#N/A</v>
      </c>
      <c r="H172" s="189" t="e">
        <v>#N/A</v>
      </c>
      <c r="I172" s="189" t="e">
        <v>#N/A</v>
      </c>
      <c r="J172" s="189" t="e">
        <v>#N/A</v>
      </c>
      <c r="K172" s="204" t="e">
        <v>#N/A</v>
      </c>
      <c r="L172" s="204" t="e">
        <v>#N/A</v>
      </c>
      <c r="M172" s="205" t="e">
        <v>#N/A</v>
      </c>
      <c r="N172" s="205" t="e">
        <v>#N/A</v>
      </c>
      <c r="O172" s="205" t="e">
        <v>#N/A</v>
      </c>
      <c r="P172" s="205" t="e">
        <v>#N/A</v>
      </c>
      <c r="Q172" s="189" t="e">
        <v>#N/A</v>
      </c>
      <c r="R172" s="189" t="e">
        <v>#N/A</v>
      </c>
      <c r="S172" s="205" t="e">
        <v>#N/A</v>
      </c>
      <c r="T172" s="206"/>
    </row>
    <row r="173">
      <c r="C173" s="189" t="e">
        <v>#N/A</v>
      </c>
      <c r="D173" s="189" t="e">
        <v>#N/A</v>
      </c>
      <c r="E173" s="189" t="e">
        <v>#N/A</v>
      </c>
      <c r="F173" s="189" t="e">
        <v>#N/A</v>
      </c>
      <c r="G173" s="189" t="e">
        <v>#N/A</v>
      </c>
      <c r="H173" s="189" t="e">
        <v>#N/A</v>
      </c>
      <c r="I173" s="189" t="e">
        <v>#N/A</v>
      </c>
      <c r="J173" s="189" t="e">
        <v>#N/A</v>
      </c>
      <c r="K173" s="204" t="e">
        <v>#N/A</v>
      </c>
      <c r="L173" s="204" t="e">
        <v>#N/A</v>
      </c>
      <c r="M173" s="205" t="e">
        <v>#N/A</v>
      </c>
      <c r="N173" s="205" t="e">
        <v>#N/A</v>
      </c>
      <c r="O173" s="205" t="e">
        <v>#N/A</v>
      </c>
      <c r="P173" s="205" t="e">
        <v>#N/A</v>
      </c>
      <c r="Q173" s="189" t="e">
        <v>#N/A</v>
      </c>
      <c r="R173" s="189" t="e">
        <v>#N/A</v>
      </c>
      <c r="S173" s="205" t="e">
        <v>#N/A</v>
      </c>
      <c r="T173" s="206"/>
    </row>
    <row r="174">
      <c r="C174" s="189" t="e">
        <v>#N/A</v>
      </c>
      <c r="D174" s="189" t="e">
        <v>#N/A</v>
      </c>
      <c r="E174" s="189" t="e">
        <v>#N/A</v>
      </c>
      <c r="F174" s="189" t="e">
        <v>#N/A</v>
      </c>
      <c r="G174" s="189" t="e">
        <v>#N/A</v>
      </c>
      <c r="H174" s="189" t="e">
        <v>#N/A</v>
      </c>
      <c r="I174" s="189" t="e">
        <v>#N/A</v>
      </c>
      <c r="J174" s="189" t="e">
        <v>#N/A</v>
      </c>
      <c r="K174" s="204" t="e">
        <v>#N/A</v>
      </c>
      <c r="L174" s="204" t="e">
        <v>#N/A</v>
      </c>
      <c r="M174" s="205" t="e">
        <v>#N/A</v>
      </c>
      <c r="N174" s="205" t="e">
        <v>#N/A</v>
      </c>
      <c r="O174" s="205" t="e">
        <v>#N/A</v>
      </c>
      <c r="P174" s="205" t="e">
        <v>#N/A</v>
      </c>
      <c r="Q174" s="189" t="e">
        <v>#N/A</v>
      </c>
      <c r="R174" s="189" t="e">
        <v>#N/A</v>
      </c>
      <c r="S174" s="205" t="e">
        <v>#N/A</v>
      </c>
      <c r="T174" s="206"/>
    </row>
    <row r="175">
      <c r="C175" s="189" t="e">
        <v>#N/A</v>
      </c>
      <c r="D175" s="189" t="e">
        <v>#N/A</v>
      </c>
      <c r="E175" s="189" t="e">
        <v>#N/A</v>
      </c>
      <c r="F175" s="189" t="e">
        <v>#N/A</v>
      </c>
      <c r="G175" s="189" t="e">
        <v>#N/A</v>
      </c>
      <c r="H175" s="189" t="e">
        <v>#N/A</v>
      </c>
      <c r="I175" s="189" t="e">
        <v>#N/A</v>
      </c>
      <c r="J175" s="189" t="e">
        <v>#N/A</v>
      </c>
      <c r="K175" s="204" t="e">
        <v>#N/A</v>
      </c>
      <c r="L175" s="204" t="e">
        <v>#N/A</v>
      </c>
      <c r="M175" s="205" t="e">
        <v>#N/A</v>
      </c>
      <c r="N175" s="205" t="e">
        <v>#N/A</v>
      </c>
      <c r="O175" s="205" t="e">
        <v>#N/A</v>
      </c>
      <c r="P175" s="205" t="e">
        <v>#N/A</v>
      </c>
      <c r="Q175" s="189" t="e">
        <v>#N/A</v>
      </c>
      <c r="R175" s="189" t="e">
        <v>#N/A</v>
      </c>
      <c r="S175" s="205" t="e">
        <v>#N/A</v>
      </c>
      <c r="T175" s="206"/>
    </row>
    <row r="176">
      <c r="C176" s="189" t="e">
        <v>#N/A</v>
      </c>
      <c r="D176" s="189" t="e">
        <v>#N/A</v>
      </c>
      <c r="E176" s="189" t="e">
        <v>#N/A</v>
      </c>
      <c r="F176" s="189" t="e">
        <v>#N/A</v>
      </c>
      <c r="G176" s="189" t="e">
        <v>#N/A</v>
      </c>
      <c r="H176" s="189" t="e">
        <v>#N/A</v>
      </c>
      <c r="I176" s="189" t="e">
        <v>#N/A</v>
      </c>
      <c r="J176" s="189" t="e">
        <v>#N/A</v>
      </c>
      <c r="K176" s="204" t="e">
        <v>#N/A</v>
      </c>
      <c r="L176" s="204" t="e">
        <v>#N/A</v>
      </c>
      <c r="M176" s="205" t="e">
        <v>#N/A</v>
      </c>
      <c r="N176" s="205" t="e">
        <v>#N/A</v>
      </c>
      <c r="O176" s="205" t="e">
        <v>#N/A</v>
      </c>
      <c r="P176" s="205" t="e">
        <v>#N/A</v>
      </c>
      <c r="Q176" s="189" t="e">
        <v>#N/A</v>
      </c>
      <c r="R176" s="189" t="e">
        <v>#N/A</v>
      </c>
      <c r="S176" s="205" t="e">
        <v>#N/A</v>
      </c>
      <c r="T176" s="206"/>
    </row>
    <row r="177">
      <c r="C177" s="189" t="e">
        <v>#N/A</v>
      </c>
      <c r="D177" s="189" t="e">
        <v>#N/A</v>
      </c>
      <c r="E177" s="189" t="e">
        <v>#N/A</v>
      </c>
      <c r="F177" s="189" t="e">
        <v>#N/A</v>
      </c>
      <c r="G177" s="189" t="e">
        <v>#N/A</v>
      </c>
      <c r="H177" s="189" t="e">
        <v>#N/A</v>
      </c>
      <c r="I177" s="189" t="e">
        <v>#N/A</v>
      </c>
      <c r="J177" s="189" t="e">
        <v>#N/A</v>
      </c>
      <c r="K177" s="204" t="e">
        <v>#N/A</v>
      </c>
      <c r="L177" s="204" t="e">
        <v>#N/A</v>
      </c>
      <c r="M177" s="205" t="e">
        <v>#N/A</v>
      </c>
      <c r="N177" s="205" t="e">
        <v>#N/A</v>
      </c>
      <c r="O177" s="205" t="e">
        <v>#N/A</v>
      </c>
      <c r="P177" s="205" t="e">
        <v>#N/A</v>
      </c>
      <c r="Q177" s="189" t="e">
        <v>#N/A</v>
      </c>
      <c r="R177" s="189" t="e">
        <v>#N/A</v>
      </c>
      <c r="S177" s="205" t="e">
        <v>#N/A</v>
      </c>
      <c r="T177" s="206"/>
    </row>
    <row r="178">
      <c r="C178" s="189" t="e">
        <v>#N/A</v>
      </c>
      <c r="D178" s="189" t="e">
        <v>#N/A</v>
      </c>
      <c r="E178" s="189" t="e">
        <v>#N/A</v>
      </c>
      <c r="F178" s="189" t="e">
        <v>#N/A</v>
      </c>
      <c r="G178" s="189" t="e">
        <v>#N/A</v>
      </c>
      <c r="H178" s="189" t="e">
        <v>#N/A</v>
      </c>
      <c r="I178" s="189" t="e">
        <v>#N/A</v>
      </c>
      <c r="J178" s="189" t="e">
        <v>#N/A</v>
      </c>
      <c r="K178" s="204" t="e">
        <v>#N/A</v>
      </c>
      <c r="L178" s="204" t="e">
        <v>#N/A</v>
      </c>
      <c r="M178" s="205" t="e">
        <v>#N/A</v>
      </c>
      <c r="N178" s="205" t="e">
        <v>#N/A</v>
      </c>
      <c r="O178" s="205" t="e">
        <v>#N/A</v>
      </c>
      <c r="P178" s="205" t="e">
        <v>#N/A</v>
      </c>
      <c r="Q178" s="189" t="e">
        <v>#N/A</v>
      </c>
      <c r="R178" s="189" t="e">
        <v>#N/A</v>
      </c>
      <c r="S178" s="205" t="e">
        <v>#N/A</v>
      </c>
      <c r="T178" s="206"/>
    </row>
    <row r="179">
      <c r="C179" s="189" t="e">
        <v>#N/A</v>
      </c>
      <c r="D179" s="189" t="e">
        <v>#N/A</v>
      </c>
      <c r="E179" s="189" t="e">
        <v>#N/A</v>
      </c>
      <c r="F179" s="189" t="e">
        <v>#N/A</v>
      </c>
      <c r="G179" s="189" t="e">
        <v>#N/A</v>
      </c>
      <c r="H179" s="189" t="e">
        <v>#N/A</v>
      </c>
      <c r="I179" s="189" t="e">
        <v>#N/A</v>
      </c>
      <c r="J179" s="189" t="e">
        <v>#N/A</v>
      </c>
      <c r="K179" s="204" t="e">
        <v>#N/A</v>
      </c>
      <c r="L179" s="204" t="e">
        <v>#N/A</v>
      </c>
      <c r="M179" s="205" t="e">
        <v>#N/A</v>
      </c>
      <c r="N179" s="205" t="e">
        <v>#N/A</v>
      </c>
      <c r="O179" s="205" t="e">
        <v>#N/A</v>
      </c>
      <c r="P179" s="205" t="e">
        <v>#N/A</v>
      </c>
      <c r="Q179" s="189" t="e">
        <v>#N/A</v>
      </c>
      <c r="R179" s="189" t="e">
        <v>#N/A</v>
      </c>
      <c r="S179" s="205" t="e">
        <v>#N/A</v>
      </c>
      <c r="T179" s="206"/>
    </row>
    <row r="180">
      <c r="C180" s="189" t="e">
        <v>#N/A</v>
      </c>
      <c r="D180" s="189" t="e">
        <v>#N/A</v>
      </c>
      <c r="E180" s="189" t="e">
        <v>#N/A</v>
      </c>
      <c r="F180" s="189" t="e">
        <v>#N/A</v>
      </c>
      <c r="G180" s="189" t="e">
        <v>#N/A</v>
      </c>
      <c r="H180" s="189" t="e">
        <v>#N/A</v>
      </c>
      <c r="I180" s="189" t="e">
        <v>#N/A</v>
      </c>
      <c r="J180" s="189" t="e">
        <v>#N/A</v>
      </c>
      <c r="K180" s="204" t="e">
        <v>#N/A</v>
      </c>
      <c r="L180" s="204" t="e">
        <v>#N/A</v>
      </c>
      <c r="M180" s="205" t="e">
        <v>#N/A</v>
      </c>
      <c r="N180" s="205" t="e">
        <v>#N/A</v>
      </c>
      <c r="O180" s="205" t="e">
        <v>#N/A</v>
      </c>
      <c r="P180" s="205" t="e">
        <v>#N/A</v>
      </c>
      <c r="Q180" s="189" t="e">
        <v>#N/A</v>
      </c>
      <c r="R180" s="189" t="e">
        <v>#N/A</v>
      </c>
      <c r="S180" s="205" t="e">
        <v>#N/A</v>
      </c>
      <c r="T180" s="206"/>
    </row>
    <row r="181">
      <c r="C181" s="189" t="e">
        <v>#N/A</v>
      </c>
      <c r="D181" s="189" t="e">
        <v>#N/A</v>
      </c>
      <c r="E181" s="189" t="e">
        <v>#N/A</v>
      </c>
      <c r="F181" s="189" t="e">
        <v>#N/A</v>
      </c>
      <c r="G181" s="189" t="e">
        <v>#N/A</v>
      </c>
      <c r="H181" s="189" t="e">
        <v>#N/A</v>
      </c>
      <c r="I181" s="189" t="e">
        <v>#N/A</v>
      </c>
      <c r="J181" s="189" t="e">
        <v>#N/A</v>
      </c>
      <c r="K181" s="204" t="e">
        <v>#N/A</v>
      </c>
      <c r="L181" s="204" t="e">
        <v>#N/A</v>
      </c>
      <c r="M181" s="205" t="e">
        <v>#N/A</v>
      </c>
      <c r="N181" s="205" t="e">
        <v>#N/A</v>
      </c>
      <c r="O181" s="205" t="e">
        <v>#N/A</v>
      </c>
      <c r="P181" s="205" t="e">
        <v>#N/A</v>
      </c>
      <c r="Q181" s="189" t="e">
        <v>#N/A</v>
      </c>
      <c r="R181" s="189" t="e">
        <v>#N/A</v>
      </c>
      <c r="S181" s="205" t="e">
        <v>#N/A</v>
      </c>
      <c r="T181" s="206"/>
    </row>
    <row r="182">
      <c r="C182" s="189" t="e">
        <v>#N/A</v>
      </c>
      <c r="D182" s="189" t="e">
        <v>#N/A</v>
      </c>
      <c r="E182" s="189" t="e">
        <v>#N/A</v>
      </c>
      <c r="F182" s="189" t="e">
        <v>#N/A</v>
      </c>
      <c r="G182" s="189" t="e">
        <v>#N/A</v>
      </c>
      <c r="H182" s="189" t="e">
        <v>#N/A</v>
      </c>
      <c r="I182" s="189" t="e">
        <v>#N/A</v>
      </c>
      <c r="J182" s="189" t="e">
        <v>#N/A</v>
      </c>
      <c r="K182" s="204" t="e">
        <v>#N/A</v>
      </c>
      <c r="L182" s="204" t="e">
        <v>#N/A</v>
      </c>
      <c r="M182" s="205" t="e">
        <v>#N/A</v>
      </c>
      <c r="N182" s="205" t="e">
        <v>#N/A</v>
      </c>
      <c r="O182" s="205" t="e">
        <v>#N/A</v>
      </c>
      <c r="P182" s="205" t="e">
        <v>#N/A</v>
      </c>
      <c r="Q182" s="189" t="e">
        <v>#N/A</v>
      </c>
      <c r="R182" s="189" t="e">
        <v>#N/A</v>
      </c>
      <c r="S182" s="205" t="e">
        <v>#N/A</v>
      </c>
      <c r="T182" s="206"/>
    </row>
    <row r="183">
      <c r="C183" s="189" t="e">
        <v>#N/A</v>
      </c>
      <c r="D183" s="189" t="e">
        <v>#N/A</v>
      </c>
      <c r="E183" s="189" t="e">
        <v>#N/A</v>
      </c>
      <c r="F183" s="189" t="e">
        <v>#N/A</v>
      </c>
      <c r="G183" s="189" t="e">
        <v>#N/A</v>
      </c>
      <c r="H183" s="189" t="e">
        <v>#N/A</v>
      </c>
      <c r="I183" s="189" t="e">
        <v>#N/A</v>
      </c>
      <c r="J183" s="189" t="e">
        <v>#N/A</v>
      </c>
      <c r="K183" s="204" t="e">
        <v>#N/A</v>
      </c>
      <c r="L183" s="204" t="e">
        <v>#N/A</v>
      </c>
      <c r="M183" s="205" t="e">
        <v>#N/A</v>
      </c>
      <c r="N183" s="205" t="e">
        <v>#N/A</v>
      </c>
      <c r="O183" s="205" t="e">
        <v>#N/A</v>
      </c>
      <c r="P183" s="205" t="e">
        <v>#N/A</v>
      </c>
      <c r="Q183" s="189" t="e">
        <v>#N/A</v>
      </c>
      <c r="R183" s="189" t="e">
        <v>#N/A</v>
      </c>
      <c r="S183" s="205" t="e">
        <v>#N/A</v>
      </c>
      <c r="T183" s="206"/>
    </row>
    <row r="184">
      <c r="C184" s="189" t="e">
        <v>#N/A</v>
      </c>
      <c r="D184" s="189" t="e">
        <v>#N/A</v>
      </c>
      <c r="E184" s="189" t="e">
        <v>#N/A</v>
      </c>
      <c r="F184" s="189" t="e">
        <v>#N/A</v>
      </c>
      <c r="G184" s="189" t="e">
        <v>#N/A</v>
      </c>
      <c r="H184" s="189" t="e">
        <v>#N/A</v>
      </c>
      <c r="I184" s="189" t="e">
        <v>#N/A</v>
      </c>
      <c r="J184" s="189" t="e">
        <v>#N/A</v>
      </c>
      <c r="K184" s="204" t="e">
        <v>#N/A</v>
      </c>
      <c r="L184" s="204" t="e">
        <v>#N/A</v>
      </c>
      <c r="M184" s="205" t="e">
        <v>#N/A</v>
      </c>
      <c r="N184" s="205" t="e">
        <v>#N/A</v>
      </c>
      <c r="O184" s="205" t="e">
        <v>#N/A</v>
      </c>
      <c r="P184" s="205" t="e">
        <v>#N/A</v>
      </c>
      <c r="Q184" s="189" t="e">
        <v>#N/A</v>
      </c>
      <c r="R184" s="189" t="e">
        <v>#N/A</v>
      </c>
      <c r="S184" s="205" t="e">
        <v>#N/A</v>
      </c>
      <c r="T184" s="206"/>
    </row>
    <row r="185">
      <c r="C185" s="189" t="e">
        <v>#N/A</v>
      </c>
      <c r="D185" s="189" t="e">
        <v>#N/A</v>
      </c>
      <c r="E185" s="189" t="e">
        <v>#N/A</v>
      </c>
      <c r="F185" s="189" t="e">
        <v>#N/A</v>
      </c>
      <c r="G185" s="189" t="e">
        <v>#N/A</v>
      </c>
      <c r="H185" s="189" t="e">
        <v>#N/A</v>
      </c>
      <c r="I185" s="189" t="e">
        <v>#N/A</v>
      </c>
      <c r="J185" s="189" t="e">
        <v>#N/A</v>
      </c>
      <c r="K185" s="204" t="e">
        <v>#N/A</v>
      </c>
      <c r="L185" s="204" t="e">
        <v>#N/A</v>
      </c>
      <c r="M185" s="205" t="e">
        <v>#N/A</v>
      </c>
      <c r="N185" s="205" t="e">
        <v>#N/A</v>
      </c>
      <c r="O185" s="205" t="e">
        <v>#N/A</v>
      </c>
      <c r="P185" s="205" t="e">
        <v>#N/A</v>
      </c>
      <c r="Q185" s="189" t="e">
        <v>#N/A</v>
      </c>
      <c r="R185" s="189" t="e">
        <v>#N/A</v>
      </c>
      <c r="S185" s="205" t="e">
        <v>#N/A</v>
      </c>
      <c r="T185" s="206"/>
    </row>
    <row r="186">
      <c r="C186" s="189" t="e">
        <v>#N/A</v>
      </c>
      <c r="D186" s="189" t="e">
        <v>#N/A</v>
      </c>
      <c r="E186" s="189" t="e">
        <v>#N/A</v>
      </c>
      <c r="F186" s="189" t="e">
        <v>#N/A</v>
      </c>
      <c r="G186" s="189" t="e">
        <v>#N/A</v>
      </c>
      <c r="H186" s="189" t="e">
        <v>#N/A</v>
      </c>
      <c r="I186" s="189" t="e">
        <v>#N/A</v>
      </c>
      <c r="J186" s="189" t="e">
        <v>#N/A</v>
      </c>
      <c r="K186" s="204" t="e">
        <v>#N/A</v>
      </c>
      <c r="L186" s="204" t="e">
        <v>#N/A</v>
      </c>
      <c r="M186" s="205" t="e">
        <v>#N/A</v>
      </c>
      <c r="N186" s="205" t="e">
        <v>#N/A</v>
      </c>
      <c r="O186" s="205" t="e">
        <v>#N/A</v>
      </c>
      <c r="P186" s="205" t="e">
        <v>#N/A</v>
      </c>
      <c r="Q186" s="189" t="e">
        <v>#N/A</v>
      </c>
      <c r="R186" s="189" t="e">
        <v>#N/A</v>
      </c>
      <c r="S186" s="205" t="e">
        <v>#N/A</v>
      </c>
      <c r="T186" s="206"/>
    </row>
    <row r="187">
      <c r="C187" s="189" t="e">
        <v>#N/A</v>
      </c>
      <c r="D187" s="189" t="e">
        <v>#N/A</v>
      </c>
      <c r="E187" s="189" t="e">
        <v>#N/A</v>
      </c>
      <c r="F187" s="189" t="e">
        <v>#N/A</v>
      </c>
      <c r="G187" s="189" t="e">
        <v>#N/A</v>
      </c>
      <c r="H187" s="189" t="e">
        <v>#N/A</v>
      </c>
      <c r="I187" s="189" t="e">
        <v>#N/A</v>
      </c>
      <c r="J187" s="189" t="e">
        <v>#N/A</v>
      </c>
      <c r="K187" s="204" t="e">
        <v>#N/A</v>
      </c>
      <c r="L187" s="204" t="e">
        <v>#N/A</v>
      </c>
      <c r="M187" s="205" t="e">
        <v>#N/A</v>
      </c>
      <c r="N187" s="205" t="e">
        <v>#N/A</v>
      </c>
      <c r="O187" s="205" t="e">
        <v>#N/A</v>
      </c>
      <c r="P187" s="205" t="e">
        <v>#N/A</v>
      </c>
      <c r="Q187" s="189" t="e">
        <v>#N/A</v>
      </c>
      <c r="R187" s="189" t="e">
        <v>#N/A</v>
      </c>
      <c r="S187" s="205" t="e">
        <v>#N/A</v>
      </c>
      <c r="T187" s="206"/>
    </row>
    <row r="188">
      <c r="C188" s="189" t="e">
        <v>#N/A</v>
      </c>
      <c r="D188" s="189" t="e">
        <v>#N/A</v>
      </c>
      <c r="E188" s="189" t="e">
        <v>#N/A</v>
      </c>
      <c r="F188" s="189" t="e">
        <v>#N/A</v>
      </c>
      <c r="G188" s="189" t="e">
        <v>#N/A</v>
      </c>
      <c r="H188" s="189" t="e">
        <v>#N/A</v>
      </c>
      <c r="I188" s="189" t="e">
        <v>#N/A</v>
      </c>
      <c r="J188" s="189" t="e">
        <v>#N/A</v>
      </c>
      <c r="K188" s="204" t="e">
        <v>#N/A</v>
      </c>
      <c r="L188" s="204" t="e">
        <v>#N/A</v>
      </c>
      <c r="M188" s="205" t="e">
        <v>#N/A</v>
      </c>
      <c r="N188" s="205" t="e">
        <v>#N/A</v>
      </c>
      <c r="O188" s="205" t="e">
        <v>#N/A</v>
      </c>
      <c r="P188" s="205" t="e">
        <v>#N/A</v>
      </c>
      <c r="Q188" s="189" t="e">
        <v>#N/A</v>
      </c>
      <c r="R188" s="189" t="e">
        <v>#N/A</v>
      </c>
      <c r="S188" s="205" t="e">
        <v>#N/A</v>
      </c>
      <c r="T188" s="206"/>
    </row>
    <row r="189">
      <c r="C189" s="189" t="e">
        <v>#N/A</v>
      </c>
      <c r="D189" s="189" t="e">
        <v>#N/A</v>
      </c>
      <c r="E189" s="189" t="e">
        <v>#N/A</v>
      </c>
      <c r="F189" s="189" t="e">
        <v>#N/A</v>
      </c>
      <c r="G189" s="189" t="e">
        <v>#N/A</v>
      </c>
      <c r="H189" s="189" t="e">
        <v>#N/A</v>
      </c>
      <c r="I189" s="189" t="e">
        <v>#N/A</v>
      </c>
      <c r="J189" s="189" t="e">
        <v>#N/A</v>
      </c>
      <c r="K189" s="204" t="e">
        <v>#N/A</v>
      </c>
      <c r="L189" s="204" t="e">
        <v>#N/A</v>
      </c>
      <c r="M189" s="205" t="e">
        <v>#N/A</v>
      </c>
      <c r="N189" s="205" t="e">
        <v>#N/A</v>
      </c>
      <c r="O189" s="205" t="e">
        <v>#N/A</v>
      </c>
      <c r="P189" s="205" t="e">
        <v>#N/A</v>
      </c>
      <c r="Q189" s="189" t="e">
        <v>#N/A</v>
      </c>
      <c r="R189" s="189" t="e">
        <v>#N/A</v>
      </c>
      <c r="S189" s="205" t="e">
        <v>#N/A</v>
      </c>
      <c r="T189" s="206"/>
    </row>
    <row r="190">
      <c r="C190" s="189" t="e">
        <v>#N/A</v>
      </c>
      <c r="D190" s="189" t="e">
        <v>#N/A</v>
      </c>
      <c r="E190" s="189" t="e">
        <v>#N/A</v>
      </c>
      <c r="F190" s="189" t="e">
        <v>#N/A</v>
      </c>
      <c r="G190" s="189" t="e">
        <v>#N/A</v>
      </c>
      <c r="H190" s="189" t="e">
        <v>#N/A</v>
      </c>
      <c r="I190" s="189" t="e">
        <v>#N/A</v>
      </c>
      <c r="J190" s="189" t="e">
        <v>#N/A</v>
      </c>
      <c r="K190" s="204" t="e">
        <v>#N/A</v>
      </c>
      <c r="L190" s="204" t="e">
        <v>#N/A</v>
      </c>
      <c r="M190" s="205" t="e">
        <v>#N/A</v>
      </c>
      <c r="N190" s="205" t="e">
        <v>#N/A</v>
      </c>
      <c r="O190" s="205" t="e">
        <v>#N/A</v>
      </c>
      <c r="P190" s="205" t="e">
        <v>#N/A</v>
      </c>
      <c r="Q190" s="189" t="e">
        <v>#N/A</v>
      </c>
      <c r="R190" s="189" t="e">
        <v>#N/A</v>
      </c>
      <c r="S190" s="205" t="e">
        <v>#N/A</v>
      </c>
      <c r="T190" s="206"/>
    </row>
    <row r="191">
      <c r="C191" s="189" t="e">
        <v>#N/A</v>
      </c>
      <c r="D191" s="189" t="e">
        <v>#N/A</v>
      </c>
      <c r="E191" s="189" t="e">
        <v>#N/A</v>
      </c>
      <c r="F191" s="189" t="e">
        <v>#N/A</v>
      </c>
      <c r="G191" s="189" t="e">
        <v>#N/A</v>
      </c>
      <c r="H191" s="189" t="e">
        <v>#N/A</v>
      </c>
      <c r="I191" s="189" t="e">
        <v>#N/A</v>
      </c>
      <c r="J191" s="189" t="e">
        <v>#N/A</v>
      </c>
      <c r="K191" s="204" t="e">
        <v>#N/A</v>
      </c>
      <c r="L191" s="204" t="e">
        <v>#N/A</v>
      </c>
      <c r="M191" s="205" t="e">
        <v>#N/A</v>
      </c>
      <c r="N191" s="205" t="e">
        <v>#N/A</v>
      </c>
      <c r="O191" s="205" t="e">
        <v>#N/A</v>
      </c>
      <c r="P191" s="205" t="e">
        <v>#N/A</v>
      </c>
      <c r="Q191" s="189" t="e">
        <v>#N/A</v>
      </c>
      <c r="R191" s="189" t="e">
        <v>#N/A</v>
      </c>
      <c r="S191" s="205" t="e">
        <v>#N/A</v>
      </c>
      <c r="T191" s="206"/>
    </row>
    <row r="192">
      <c r="C192" s="189" t="e">
        <v>#N/A</v>
      </c>
      <c r="D192" s="189" t="e">
        <v>#N/A</v>
      </c>
      <c r="E192" s="189" t="e">
        <v>#N/A</v>
      </c>
      <c r="F192" s="189" t="e">
        <v>#N/A</v>
      </c>
      <c r="G192" s="189" t="e">
        <v>#N/A</v>
      </c>
      <c r="H192" s="189" t="e">
        <v>#N/A</v>
      </c>
      <c r="I192" s="189" t="e">
        <v>#N/A</v>
      </c>
      <c r="J192" s="189" t="e">
        <v>#N/A</v>
      </c>
      <c r="K192" s="204" t="e">
        <v>#N/A</v>
      </c>
      <c r="L192" s="204" t="e">
        <v>#N/A</v>
      </c>
      <c r="M192" s="205" t="e">
        <v>#N/A</v>
      </c>
      <c r="N192" s="205" t="e">
        <v>#N/A</v>
      </c>
      <c r="O192" s="205" t="e">
        <v>#N/A</v>
      </c>
      <c r="P192" s="205" t="e">
        <v>#N/A</v>
      </c>
      <c r="Q192" s="189" t="e">
        <v>#N/A</v>
      </c>
      <c r="R192" s="189" t="e">
        <v>#N/A</v>
      </c>
      <c r="S192" s="205" t="e">
        <v>#N/A</v>
      </c>
      <c r="T192" s="206"/>
    </row>
    <row r="193">
      <c r="C193" s="189" t="e">
        <v>#N/A</v>
      </c>
      <c r="D193" s="189" t="e">
        <v>#N/A</v>
      </c>
      <c r="E193" s="189" t="e">
        <v>#N/A</v>
      </c>
      <c r="F193" s="189" t="e">
        <v>#N/A</v>
      </c>
      <c r="G193" s="189" t="e">
        <v>#N/A</v>
      </c>
      <c r="H193" s="189" t="e">
        <v>#N/A</v>
      </c>
      <c r="I193" s="189" t="e">
        <v>#N/A</v>
      </c>
      <c r="J193" s="189" t="e">
        <v>#N/A</v>
      </c>
      <c r="K193" s="204" t="e">
        <v>#N/A</v>
      </c>
      <c r="L193" s="204" t="e">
        <v>#N/A</v>
      </c>
      <c r="M193" s="205" t="e">
        <v>#N/A</v>
      </c>
      <c r="N193" s="205" t="e">
        <v>#N/A</v>
      </c>
      <c r="O193" s="205" t="e">
        <v>#N/A</v>
      </c>
      <c r="P193" s="205" t="e">
        <v>#N/A</v>
      </c>
      <c r="Q193" s="189" t="e">
        <v>#N/A</v>
      </c>
      <c r="R193" s="189" t="e">
        <v>#N/A</v>
      </c>
      <c r="S193" s="205" t="e">
        <v>#N/A</v>
      </c>
      <c r="T193" s="206"/>
    </row>
    <row r="194">
      <c r="C194" s="189" t="e">
        <v>#N/A</v>
      </c>
      <c r="D194" s="189" t="e">
        <v>#N/A</v>
      </c>
      <c r="E194" s="189" t="e">
        <v>#N/A</v>
      </c>
      <c r="F194" s="189" t="e">
        <v>#N/A</v>
      </c>
      <c r="G194" s="189" t="e">
        <v>#N/A</v>
      </c>
      <c r="H194" s="189" t="e">
        <v>#N/A</v>
      </c>
      <c r="I194" s="189" t="e">
        <v>#N/A</v>
      </c>
      <c r="J194" s="189" t="e">
        <v>#N/A</v>
      </c>
      <c r="K194" s="204" t="e">
        <v>#N/A</v>
      </c>
      <c r="L194" s="204" t="e">
        <v>#N/A</v>
      </c>
      <c r="M194" s="205" t="e">
        <v>#N/A</v>
      </c>
      <c r="N194" s="205" t="e">
        <v>#N/A</v>
      </c>
      <c r="O194" s="205" t="e">
        <v>#N/A</v>
      </c>
      <c r="P194" s="205" t="e">
        <v>#N/A</v>
      </c>
      <c r="Q194" s="189" t="e">
        <v>#N/A</v>
      </c>
      <c r="R194" s="189" t="e">
        <v>#N/A</v>
      </c>
      <c r="S194" s="205" t="e">
        <v>#N/A</v>
      </c>
      <c r="T194" s="206"/>
    </row>
    <row r="195">
      <c r="C195" s="189" t="e">
        <v>#N/A</v>
      </c>
      <c r="D195" s="189" t="e">
        <v>#N/A</v>
      </c>
      <c r="E195" s="189" t="e">
        <v>#N/A</v>
      </c>
      <c r="F195" s="189" t="e">
        <v>#N/A</v>
      </c>
      <c r="G195" s="189" t="e">
        <v>#N/A</v>
      </c>
      <c r="H195" s="189" t="e">
        <v>#N/A</v>
      </c>
      <c r="I195" s="189" t="e">
        <v>#N/A</v>
      </c>
      <c r="J195" s="189" t="e">
        <v>#N/A</v>
      </c>
      <c r="K195" s="204" t="e">
        <v>#N/A</v>
      </c>
      <c r="L195" s="204" t="e">
        <v>#N/A</v>
      </c>
      <c r="M195" s="205" t="e">
        <v>#N/A</v>
      </c>
      <c r="N195" s="205" t="e">
        <v>#N/A</v>
      </c>
      <c r="O195" s="205" t="e">
        <v>#N/A</v>
      </c>
      <c r="P195" s="205" t="e">
        <v>#N/A</v>
      </c>
      <c r="Q195" s="189" t="e">
        <v>#N/A</v>
      </c>
      <c r="R195" s="189" t="e">
        <v>#N/A</v>
      </c>
      <c r="S195" s="205" t="e">
        <v>#N/A</v>
      </c>
      <c r="T195" s="206"/>
    </row>
    <row r="196">
      <c r="C196" s="189" t="e">
        <v>#N/A</v>
      </c>
      <c r="D196" s="189" t="e">
        <v>#N/A</v>
      </c>
      <c r="E196" s="189" t="e">
        <v>#N/A</v>
      </c>
      <c r="F196" s="189" t="e">
        <v>#N/A</v>
      </c>
      <c r="G196" s="189" t="e">
        <v>#N/A</v>
      </c>
      <c r="H196" s="189" t="e">
        <v>#N/A</v>
      </c>
      <c r="I196" s="189" t="e">
        <v>#N/A</v>
      </c>
      <c r="J196" s="189" t="e">
        <v>#N/A</v>
      </c>
      <c r="K196" s="204" t="e">
        <v>#N/A</v>
      </c>
      <c r="L196" s="204" t="e">
        <v>#N/A</v>
      </c>
      <c r="M196" s="205" t="e">
        <v>#N/A</v>
      </c>
      <c r="N196" s="205" t="e">
        <v>#N/A</v>
      </c>
      <c r="O196" s="205" t="e">
        <v>#N/A</v>
      </c>
      <c r="P196" s="205" t="e">
        <v>#N/A</v>
      </c>
      <c r="Q196" s="189" t="e">
        <v>#N/A</v>
      </c>
      <c r="R196" s="189" t="e">
        <v>#N/A</v>
      </c>
      <c r="S196" s="205" t="e">
        <v>#N/A</v>
      </c>
      <c r="T196" s="206"/>
    </row>
    <row r="197">
      <c r="C197" s="189" t="e">
        <v>#N/A</v>
      </c>
      <c r="D197" s="189" t="e">
        <v>#N/A</v>
      </c>
      <c r="E197" s="189" t="e">
        <v>#N/A</v>
      </c>
      <c r="F197" s="189" t="e">
        <v>#N/A</v>
      </c>
      <c r="G197" s="189" t="e">
        <v>#N/A</v>
      </c>
      <c r="H197" s="189" t="e">
        <v>#N/A</v>
      </c>
      <c r="I197" s="189" t="e">
        <v>#N/A</v>
      </c>
      <c r="J197" s="189" t="e">
        <v>#N/A</v>
      </c>
      <c r="K197" s="204" t="e">
        <v>#N/A</v>
      </c>
      <c r="L197" s="204" t="e">
        <v>#N/A</v>
      </c>
      <c r="M197" s="205" t="e">
        <v>#N/A</v>
      </c>
      <c r="N197" s="205" t="e">
        <v>#N/A</v>
      </c>
      <c r="O197" s="205" t="e">
        <v>#N/A</v>
      </c>
      <c r="P197" s="205" t="e">
        <v>#N/A</v>
      </c>
      <c r="Q197" s="189" t="e">
        <v>#N/A</v>
      </c>
      <c r="R197" s="189" t="e">
        <v>#N/A</v>
      </c>
      <c r="S197" s="205" t="e">
        <v>#N/A</v>
      </c>
      <c r="T197" s="206"/>
    </row>
    <row r="198">
      <c r="C198" s="189" t="e">
        <v>#N/A</v>
      </c>
      <c r="D198" s="189" t="e">
        <v>#N/A</v>
      </c>
      <c r="E198" s="189" t="e">
        <v>#N/A</v>
      </c>
      <c r="F198" s="189" t="e">
        <v>#N/A</v>
      </c>
      <c r="G198" s="189" t="e">
        <v>#N/A</v>
      </c>
      <c r="H198" s="189" t="e">
        <v>#N/A</v>
      </c>
      <c r="I198" s="189" t="e">
        <v>#N/A</v>
      </c>
      <c r="J198" s="189" t="e">
        <v>#N/A</v>
      </c>
      <c r="K198" s="204" t="e">
        <v>#N/A</v>
      </c>
      <c r="L198" s="204" t="e">
        <v>#N/A</v>
      </c>
      <c r="M198" s="205" t="e">
        <v>#N/A</v>
      </c>
      <c r="N198" s="205" t="e">
        <v>#N/A</v>
      </c>
      <c r="O198" s="205" t="e">
        <v>#N/A</v>
      </c>
      <c r="P198" s="205" t="e">
        <v>#N/A</v>
      </c>
      <c r="Q198" s="189" t="e">
        <v>#N/A</v>
      </c>
      <c r="R198" s="189" t="e">
        <v>#N/A</v>
      </c>
      <c r="S198" s="205" t="e">
        <v>#N/A</v>
      </c>
      <c r="T198" s="206"/>
    </row>
    <row r="199">
      <c r="C199" s="189" t="e">
        <v>#N/A</v>
      </c>
      <c r="D199" s="189" t="e">
        <v>#N/A</v>
      </c>
      <c r="E199" s="189" t="e">
        <v>#N/A</v>
      </c>
      <c r="F199" s="189" t="e">
        <v>#N/A</v>
      </c>
      <c r="G199" s="189" t="e">
        <v>#N/A</v>
      </c>
      <c r="H199" s="189" t="e">
        <v>#N/A</v>
      </c>
      <c r="I199" s="189" t="e">
        <v>#N/A</v>
      </c>
      <c r="J199" s="189" t="e">
        <v>#N/A</v>
      </c>
      <c r="K199" s="204" t="e">
        <v>#N/A</v>
      </c>
      <c r="L199" s="204" t="e">
        <v>#N/A</v>
      </c>
      <c r="M199" s="205" t="e">
        <v>#N/A</v>
      </c>
      <c r="N199" s="205" t="e">
        <v>#N/A</v>
      </c>
      <c r="O199" s="205" t="e">
        <v>#N/A</v>
      </c>
      <c r="P199" s="205" t="e">
        <v>#N/A</v>
      </c>
      <c r="Q199" s="189" t="e">
        <v>#N/A</v>
      </c>
      <c r="R199" s="189" t="e">
        <v>#N/A</v>
      </c>
      <c r="S199" s="205" t="e">
        <v>#N/A</v>
      </c>
      <c r="T199" s="206"/>
    </row>
    <row r="200">
      <c r="C200" s="189" t="e">
        <v>#N/A</v>
      </c>
      <c r="D200" s="189" t="e">
        <v>#N/A</v>
      </c>
      <c r="E200" s="189" t="e">
        <v>#N/A</v>
      </c>
      <c r="F200" s="189" t="e">
        <v>#N/A</v>
      </c>
      <c r="G200" s="189" t="e">
        <v>#N/A</v>
      </c>
      <c r="H200" s="189" t="e">
        <v>#N/A</v>
      </c>
      <c r="I200" s="189" t="e">
        <v>#N/A</v>
      </c>
      <c r="J200" s="189" t="e">
        <v>#N/A</v>
      </c>
      <c r="K200" s="204" t="e">
        <v>#N/A</v>
      </c>
      <c r="L200" s="204" t="e">
        <v>#N/A</v>
      </c>
      <c r="M200" s="205" t="e">
        <v>#N/A</v>
      </c>
      <c r="N200" s="205" t="e">
        <v>#N/A</v>
      </c>
      <c r="O200" s="205" t="e">
        <v>#N/A</v>
      </c>
      <c r="P200" s="205" t="e">
        <v>#N/A</v>
      </c>
      <c r="Q200" s="189" t="e">
        <v>#N/A</v>
      </c>
      <c r="R200" s="189" t="e">
        <v>#N/A</v>
      </c>
      <c r="S200" s="205" t="e">
        <v>#N/A</v>
      </c>
      <c r="T200" s="206"/>
    </row>
    <row r="201">
      <c r="C201" s="189" t="e">
        <v>#N/A</v>
      </c>
      <c r="D201" s="189" t="e">
        <v>#N/A</v>
      </c>
      <c r="E201" s="189" t="e">
        <v>#N/A</v>
      </c>
      <c r="F201" s="189" t="e">
        <v>#N/A</v>
      </c>
      <c r="G201" s="189" t="e">
        <v>#N/A</v>
      </c>
      <c r="H201" s="189" t="e">
        <v>#N/A</v>
      </c>
      <c r="I201" s="189" t="e">
        <v>#N/A</v>
      </c>
      <c r="J201" s="189" t="e">
        <v>#N/A</v>
      </c>
      <c r="K201" s="204" t="e">
        <v>#N/A</v>
      </c>
      <c r="L201" s="204" t="e">
        <v>#N/A</v>
      </c>
      <c r="M201" s="205" t="e">
        <v>#N/A</v>
      </c>
      <c r="N201" s="205" t="e">
        <v>#N/A</v>
      </c>
      <c r="O201" s="205" t="e">
        <v>#N/A</v>
      </c>
      <c r="P201" s="205" t="e">
        <v>#N/A</v>
      </c>
      <c r="Q201" s="189" t="e">
        <v>#N/A</v>
      </c>
      <c r="R201" s="189" t="e">
        <v>#N/A</v>
      </c>
      <c r="S201" s="205" t="e">
        <v>#N/A</v>
      </c>
      <c r="T201" s="206"/>
    </row>
    <row r="202">
      <c r="C202" s="189" t="e">
        <v>#N/A</v>
      </c>
      <c r="D202" s="189" t="e">
        <v>#N/A</v>
      </c>
      <c r="E202" s="189" t="e">
        <v>#N/A</v>
      </c>
      <c r="F202" s="189" t="e">
        <v>#N/A</v>
      </c>
      <c r="G202" s="189" t="e">
        <v>#N/A</v>
      </c>
      <c r="H202" s="189" t="e">
        <v>#N/A</v>
      </c>
      <c r="I202" s="189" t="e">
        <v>#N/A</v>
      </c>
      <c r="J202" s="189" t="e">
        <v>#N/A</v>
      </c>
      <c r="K202" s="204" t="e">
        <v>#N/A</v>
      </c>
      <c r="L202" s="204" t="e">
        <v>#N/A</v>
      </c>
      <c r="M202" s="205" t="e">
        <v>#N/A</v>
      </c>
      <c r="N202" s="205" t="e">
        <v>#N/A</v>
      </c>
      <c r="O202" s="205" t="e">
        <v>#N/A</v>
      </c>
      <c r="P202" s="205" t="e">
        <v>#N/A</v>
      </c>
      <c r="Q202" s="189" t="e">
        <v>#N/A</v>
      </c>
      <c r="R202" s="189" t="e">
        <v>#N/A</v>
      </c>
      <c r="S202" s="205" t="e">
        <v>#N/A</v>
      </c>
      <c r="T202" s="206"/>
    </row>
    <row r="203">
      <c r="C203" s="189" t="e">
        <v>#N/A</v>
      </c>
      <c r="D203" s="189" t="e">
        <v>#N/A</v>
      </c>
      <c r="E203" s="189" t="e">
        <v>#N/A</v>
      </c>
      <c r="F203" s="189" t="e">
        <v>#N/A</v>
      </c>
      <c r="G203" s="189" t="e">
        <v>#N/A</v>
      </c>
      <c r="H203" s="189" t="e">
        <v>#N/A</v>
      </c>
      <c r="I203" s="189" t="e">
        <v>#N/A</v>
      </c>
      <c r="J203" s="189" t="e">
        <v>#N/A</v>
      </c>
      <c r="K203" s="204" t="e">
        <v>#N/A</v>
      </c>
      <c r="L203" s="204" t="e">
        <v>#N/A</v>
      </c>
      <c r="M203" s="205" t="e">
        <v>#N/A</v>
      </c>
      <c r="N203" s="205" t="e">
        <v>#N/A</v>
      </c>
      <c r="O203" s="205" t="e">
        <v>#N/A</v>
      </c>
      <c r="P203" s="205" t="e">
        <v>#N/A</v>
      </c>
      <c r="Q203" s="189" t="e">
        <v>#N/A</v>
      </c>
      <c r="R203" s="189" t="e">
        <v>#N/A</v>
      </c>
      <c r="S203" s="205" t="e">
        <v>#N/A</v>
      </c>
      <c r="T203" s="206"/>
    </row>
    <row r="204">
      <c r="C204" s="189" t="e">
        <v>#N/A</v>
      </c>
      <c r="D204" s="189" t="e">
        <v>#N/A</v>
      </c>
      <c r="E204" s="189" t="e">
        <v>#N/A</v>
      </c>
      <c r="F204" s="189" t="e">
        <v>#N/A</v>
      </c>
      <c r="G204" s="189" t="e">
        <v>#N/A</v>
      </c>
      <c r="H204" s="189" t="e">
        <v>#N/A</v>
      </c>
      <c r="I204" s="189" t="e">
        <v>#N/A</v>
      </c>
      <c r="J204" s="189" t="e">
        <v>#N/A</v>
      </c>
      <c r="K204" s="204" t="e">
        <v>#N/A</v>
      </c>
      <c r="L204" s="204" t="e">
        <v>#N/A</v>
      </c>
      <c r="M204" s="205" t="e">
        <v>#N/A</v>
      </c>
      <c r="N204" s="205" t="e">
        <v>#N/A</v>
      </c>
      <c r="O204" s="205" t="e">
        <v>#N/A</v>
      </c>
      <c r="P204" s="205" t="e">
        <v>#N/A</v>
      </c>
      <c r="Q204" s="189" t="e">
        <v>#N/A</v>
      </c>
      <c r="R204" s="189" t="e">
        <v>#N/A</v>
      </c>
      <c r="S204" s="205" t="e">
        <v>#N/A</v>
      </c>
      <c r="T204" s="206"/>
    </row>
    <row r="205">
      <c r="C205" s="189" t="e">
        <v>#N/A</v>
      </c>
      <c r="D205" s="189" t="e">
        <v>#N/A</v>
      </c>
      <c r="E205" s="189" t="e">
        <v>#N/A</v>
      </c>
      <c r="F205" s="189" t="e">
        <v>#N/A</v>
      </c>
      <c r="G205" s="189" t="e">
        <v>#N/A</v>
      </c>
      <c r="H205" s="189" t="e">
        <v>#N/A</v>
      </c>
      <c r="I205" s="189" t="e">
        <v>#N/A</v>
      </c>
      <c r="J205" s="189" t="e">
        <v>#N/A</v>
      </c>
      <c r="K205" s="204" t="e">
        <v>#N/A</v>
      </c>
      <c r="L205" s="204" t="e">
        <v>#N/A</v>
      </c>
      <c r="M205" s="205" t="e">
        <v>#N/A</v>
      </c>
      <c r="N205" s="205" t="e">
        <v>#N/A</v>
      </c>
      <c r="O205" s="205" t="e">
        <v>#N/A</v>
      </c>
      <c r="P205" s="205" t="e">
        <v>#N/A</v>
      </c>
      <c r="Q205" s="189" t="e">
        <v>#N/A</v>
      </c>
      <c r="R205" s="189" t="e">
        <v>#N/A</v>
      </c>
      <c r="S205" s="205" t="e">
        <v>#N/A</v>
      </c>
      <c r="T205" s="206"/>
    </row>
    <row r="206">
      <c r="C206" s="189" t="e">
        <v>#N/A</v>
      </c>
      <c r="D206" s="189" t="e">
        <v>#N/A</v>
      </c>
      <c r="E206" s="189" t="e">
        <v>#N/A</v>
      </c>
      <c r="F206" s="189" t="e">
        <v>#N/A</v>
      </c>
      <c r="G206" s="189" t="e">
        <v>#N/A</v>
      </c>
      <c r="H206" s="189" t="e">
        <v>#N/A</v>
      </c>
      <c r="I206" s="189" t="e">
        <v>#N/A</v>
      </c>
      <c r="J206" s="189" t="e">
        <v>#N/A</v>
      </c>
      <c r="K206" s="204" t="e">
        <v>#N/A</v>
      </c>
      <c r="L206" s="204" t="e">
        <v>#N/A</v>
      </c>
      <c r="M206" s="205" t="e">
        <v>#N/A</v>
      </c>
      <c r="N206" s="205" t="e">
        <v>#N/A</v>
      </c>
      <c r="O206" s="205" t="e">
        <v>#N/A</v>
      </c>
      <c r="P206" s="205" t="e">
        <v>#N/A</v>
      </c>
      <c r="Q206" s="189" t="e">
        <v>#N/A</v>
      </c>
      <c r="R206" s="189" t="e">
        <v>#N/A</v>
      </c>
      <c r="S206" s="205" t="e">
        <v>#N/A</v>
      </c>
      <c r="T206" s="206"/>
    </row>
    <row r="207">
      <c r="C207" s="189" t="e">
        <v>#N/A</v>
      </c>
      <c r="D207" s="189" t="e">
        <v>#N/A</v>
      </c>
      <c r="E207" s="189" t="e">
        <v>#N/A</v>
      </c>
      <c r="F207" s="189" t="e">
        <v>#N/A</v>
      </c>
      <c r="G207" s="189" t="e">
        <v>#N/A</v>
      </c>
      <c r="H207" s="189" t="e">
        <v>#N/A</v>
      </c>
      <c r="I207" s="189" t="e">
        <v>#N/A</v>
      </c>
      <c r="J207" s="189" t="e">
        <v>#N/A</v>
      </c>
      <c r="K207" s="204" t="e">
        <v>#N/A</v>
      </c>
      <c r="L207" s="204" t="e">
        <v>#N/A</v>
      </c>
      <c r="M207" s="205" t="e">
        <v>#N/A</v>
      </c>
      <c r="N207" s="205" t="e">
        <v>#N/A</v>
      </c>
      <c r="O207" s="205" t="e">
        <v>#N/A</v>
      </c>
      <c r="P207" s="205" t="e">
        <v>#N/A</v>
      </c>
      <c r="Q207" s="189" t="e">
        <v>#N/A</v>
      </c>
      <c r="R207" s="189" t="e">
        <v>#N/A</v>
      </c>
      <c r="S207" s="205" t="e">
        <v>#N/A</v>
      </c>
      <c r="T207" s="206"/>
    </row>
    <row r="208">
      <c r="C208" s="189" t="e">
        <v>#N/A</v>
      </c>
      <c r="D208" s="189" t="e">
        <v>#N/A</v>
      </c>
      <c r="E208" s="189" t="e">
        <v>#N/A</v>
      </c>
      <c r="F208" s="189" t="e">
        <v>#N/A</v>
      </c>
      <c r="G208" s="189" t="e">
        <v>#N/A</v>
      </c>
      <c r="H208" s="189" t="e">
        <v>#N/A</v>
      </c>
      <c r="I208" s="189" t="e">
        <v>#N/A</v>
      </c>
      <c r="J208" s="189" t="e">
        <v>#N/A</v>
      </c>
      <c r="K208" s="204" t="e">
        <v>#N/A</v>
      </c>
      <c r="L208" s="204" t="e">
        <v>#N/A</v>
      </c>
      <c r="M208" s="205" t="e">
        <v>#N/A</v>
      </c>
      <c r="N208" s="205" t="e">
        <v>#N/A</v>
      </c>
      <c r="O208" s="205" t="e">
        <v>#N/A</v>
      </c>
      <c r="P208" s="205" t="e">
        <v>#N/A</v>
      </c>
      <c r="Q208" s="189" t="e">
        <v>#N/A</v>
      </c>
      <c r="R208" s="189" t="e">
        <v>#N/A</v>
      </c>
      <c r="S208" s="205" t="e">
        <v>#N/A</v>
      </c>
      <c r="T208" s="206"/>
    </row>
    <row r="209">
      <c r="C209" s="189" t="e">
        <v>#N/A</v>
      </c>
      <c r="D209" s="189" t="e">
        <v>#N/A</v>
      </c>
      <c r="E209" s="189" t="e">
        <v>#N/A</v>
      </c>
      <c r="F209" s="189" t="e">
        <v>#N/A</v>
      </c>
      <c r="G209" s="189" t="e">
        <v>#N/A</v>
      </c>
      <c r="H209" s="189" t="e">
        <v>#N/A</v>
      </c>
      <c r="I209" s="189" t="e">
        <v>#N/A</v>
      </c>
      <c r="J209" s="189" t="e">
        <v>#N/A</v>
      </c>
      <c r="K209" s="204" t="e">
        <v>#N/A</v>
      </c>
      <c r="L209" s="204" t="e">
        <v>#N/A</v>
      </c>
      <c r="M209" s="205" t="e">
        <v>#N/A</v>
      </c>
      <c r="N209" s="205" t="e">
        <v>#N/A</v>
      </c>
      <c r="O209" s="205" t="e">
        <v>#N/A</v>
      </c>
      <c r="P209" s="205" t="e">
        <v>#N/A</v>
      </c>
      <c r="Q209" s="189" t="e">
        <v>#N/A</v>
      </c>
      <c r="R209" s="189" t="e">
        <v>#N/A</v>
      </c>
      <c r="S209" s="205" t="e">
        <v>#N/A</v>
      </c>
      <c r="T209" s="206"/>
    </row>
    <row r="210">
      <c r="C210" s="189" t="e">
        <v>#N/A</v>
      </c>
      <c r="D210" s="189" t="e">
        <v>#N/A</v>
      </c>
      <c r="E210" s="189" t="e">
        <v>#N/A</v>
      </c>
      <c r="F210" s="189" t="e">
        <v>#N/A</v>
      </c>
      <c r="G210" s="189" t="e">
        <v>#N/A</v>
      </c>
      <c r="H210" s="189" t="e">
        <v>#N/A</v>
      </c>
      <c r="I210" s="189" t="e">
        <v>#N/A</v>
      </c>
      <c r="J210" s="189" t="e">
        <v>#N/A</v>
      </c>
      <c r="K210" s="204" t="e">
        <v>#N/A</v>
      </c>
      <c r="L210" s="204" t="e">
        <v>#N/A</v>
      </c>
      <c r="M210" s="205" t="e">
        <v>#N/A</v>
      </c>
      <c r="N210" s="205" t="e">
        <v>#N/A</v>
      </c>
      <c r="O210" s="205" t="e">
        <v>#N/A</v>
      </c>
      <c r="P210" s="205" t="e">
        <v>#N/A</v>
      </c>
      <c r="Q210" s="189" t="e">
        <v>#N/A</v>
      </c>
      <c r="R210" s="189" t="e">
        <v>#N/A</v>
      </c>
      <c r="S210" s="205" t="e">
        <v>#N/A</v>
      </c>
      <c r="T210" s="206"/>
    </row>
    <row r="211">
      <c r="C211" s="189" t="e">
        <v>#N/A</v>
      </c>
      <c r="D211" s="189" t="e">
        <v>#N/A</v>
      </c>
      <c r="E211" s="189" t="e">
        <v>#N/A</v>
      </c>
      <c r="F211" s="189" t="e">
        <v>#N/A</v>
      </c>
      <c r="G211" s="189" t="e">
        <v>#N/A</v>
      </c>
      <c r="H211" s="189" t="e">
        <v>#N/A</v>
      </c>
      <c r="I211" s="189" t="e">
        <v>#N/A</v>
      </c>
      <c r="J211" s="189" t="e">
        <v>#N/A</v>
      </c>
      <c r="K211" s="204" t="e">
        <v>#N/A</v>
      </c>
      <c r="L211" s="204" t="e">
        <v>#N/A</v>
      </c>
      <c r="M211" s="205" t="e">
        <v>#N/A</v>
      </c>
      <c r="N211" s="205" t="e">
        <v>#N/A</v>
      </c>
      <c r="O211" s="205" t="e">
        <v>#N/A</v>
      </c>
      <c r="P211" s="205" t="e">
        <v>#N/A</v>
      </c>
      <c r="Q211" s="189" t="e">
        <v>#N/A</v>
      </c>
      <c r="R211" s="189" t="e">
        <v>#N/A</v>
      </c>
      <c r="S211" s="205" t="e">
        <v>#N/A</v>
      </c>
      <c r="T211" s="206"/>
    </row>
    <row r="212">
      <c r="C212" s="189" t="e">
        <v>#N/A</v>
      </c>
      <c r="D212" s="189" t="e">
        <v>#N/A</v>
      </c>
      <c r="E212" s="189" t="e">
        <v>#N/A</v>
      </c>
      <c r="F212" s="189" t="e">
        <v>#N/A</v>
      </c>
      <c r="G212" s="189" t="e">
        <v>#N/A</v>
      </c>
      <c r="H212" s="189" t="e">
        <v>#N/A</v>
      </c>
      <c r="I212" s="189" t="e">
        <v>#N/A</v>
      </c>
      <c r="J212" s="189" t="e">
        <v>#N/A</v>
      </c>
      <c r="K212" s="204" t="e">
        <v>#N/A</v>
      </c>
      <c r="L212" s="204" t="e">
        <v>#N/A</v>
      </c>
      <c r="M212" s="205" t="e">
        <v>#N/A</v>
      </c>
      <c r="N212" s="205" t="e">
        <v>#N/A</v>
      </c>
      <c r="O212" s="205" t="e">
        <v>#N/A</v>
      </c>
      <c r="P212" s="205" t="e">
        <v>#N/A</v>
      </c>
      <c r="Q212" s="189" t="e">
        <v>#N/A</v>
      </c>
      <c r="R212" s="189" t="e">
        <v>#N/A</v>
      </c>
      <c r="S212" s="205" t="e">
        <v>#N/A</v>
      </c>
      <c r="T212" s="206"/>
    </row>
    <row r="213">
      <c r="C213" s="189" t="e">
        <v>#N/A</v>
      </c>
      <c r="D213" s="189" t="e">
        <v>#N/A</v>
      </c>
      <c r="E213" s="189" t="e">
        <v>#N/A</v>
      </c>
      <c r="F213" s="189" t="e">
        <v>#N/A</v>
      </c>
      <c r="G213" s="189" t="e">
        <v>#N/A</v>
      </c>
      <c r="H213" s="189" t="e">
        <v>#N/A</v>
      </c>
      <c r="I213" s="189" t="e">
        <v>#N/A</v>
      </c>
      <c r="J213" s="189" t="e">
        <v>#N/A</v>
      </c>
      <c r="K213" s="204" t="e">
        <v>#N/A</v>
      </c>
      <c r="L213" s="204" t="e">
        <v>#N/A</v>
      </c>
      <c r="M213" s="205" t="e">
        <v>#N/A</v>
      </c>
      <c r="N213" s="205" t="e">
        <v>#N/A</v>
      </c>
      <c r="O213" s="205" t="e">
        <v>#N/A</v>
      </c>
      <c r="P213" s="205" t="e">
        <v>#N/A</v>
      </c>
      <c r="Q213" s="189" t="e">
        <v>#N/A</v>
      </c>
      <c r="R213" s="189" t="e">
        <v>#N/A</v>
      </c>
      <c r="S213" s="205" t="e">
        <v>#N/A</v>
      </c>
      <c r="T213" s="206"/>
    </row>
    <row r="214">
      <c r="C214" s="189" t="e">
        <v>#N/A</v>
      </c>
      <c r="D214" s="189" t="e">
        <v>#N/A</v>
      </c>
      <c r="E214" s="189" t="e">
        <v>#N/A</v>
      </c>
      <c r="F214" s="189" t="e">
        <v>#N/A</v>
      </c>
      <c r="G214" s="189" t="e">
        <v>#N/A</v>
      </c>
      <c r="H214" s="189" t="e">
        <v>#N/A</v>
      </c>
      <c r="I214" s="189" t="e">
        <v>#N/A</v>
      </c>
      <c r="J214" s="189" t="e">
        <v>#N/A</v>
      </c>
      <c r="K214" s="204" t="e">
        <v>#N/A</v>
      </c>
      <c r="L214" s="204" t="e">
        <v>#N/A</v>
      </c>
      <c r="M214" s="205" t="e">
        <v>#N/A</v>
      </c>
      <c r="N214" s="205" t="e">
        <v>#N/A</v>
      </c>
      <c r="O214" s="205" t="e">
        <v>#N/A</v>
      </c>
      <c r="P214" s="205" t="e">
        <v>#N/A</v>
      </c>
      <c r="Q214" s="189" t="e">
        <v>#N/A</v>
      </c>
      <c r="R214" s="189" t="e">
        <v>#N/A</v>
      </c>
      <c r="S214" s="205" t="e">
        <v>#N/A</v>
      </c>
      <c r="T214" s="206"/>
    </row>
    <row r="215">
      <c r="C215" s="189" t="e">
        <v>#N/A</v>
      </c>
      <c r="D215" s="189" t="e">
        <v>#N/A</v>
      </c>
      <c r="E215" s="189" t="e">
        <v>#N/A</v>
      </c>
      <c r="F215" s="189" t="e">
        <v>#N/A</v>
      </c>
      <c r="G215" s="189" t="e">
        <v>#N/A</v>
      </c>
      <c r="H215" s="189" t="e">
        <v>#N/A</v>
      </c>
      <c r="I215" s="189" t="e">
        <v>#N/A</v>
      </c>
      <c r="J215" s="189" t="e">
        <v>#N/A</v>
      </c>
      <c r="K215" s="204" t="e">
        <v>#N/A</v>
      </c>
      <c r="L215" s="204" t="e">
        <v>#N/A</v>
      </c>
      <c r="M215" s="205" t="e">
        <v>#N/A</v>
      </c>
      <c r="N215" s="205" t="e">
        <v>#N/A</v>
      </c>
      <c r="O215" s="205" t="e">
        <v>#N/A</v>
      </c>
      <c r="P215" s="205" t="e">
        <v>#N/A</v>
      </c>
      <c r="Q215" s="189" t="e">
        <v>#N/A</v>
      </c>
      <c r="R215" s="189" t="e">
        <v>#N/A</v>
      </c>
      <c r="S215" s="205" t="e">
        <v>#N/A</v>
      </c>
      <c r="T215" s="206"/>
    </row>
    <row r="216">
      <c r="C216" s="189" t="e">
        <v>#N/A</v>
      </c>
      <c r="D216" s="189" t="e">
        <v>#N/A</v>
      </c>
      <c r="E216" s="189" t="e">
        <v>#N/A</v>
      </c>
      <c r="F216" s="189" t="e">
        <v>#N/A</v>
      </c>
      <c r="G216" s="189" t="e">
        <v>#N/A</v>
      </c>
      <c r="H216" s="189" t="e">
        <v>#N/A</v>
      </c>
      <c r="I216" s="189" t="e">
        <v>#N/A</v>
      </c>
      <c r="J216" s="189" t="e">
        <v>#N/A</v>
      </c>
      <c r="K216" s="204" t="e">
        <v>#N/A</v>
      </c>
      <c r="L216" s="204" t="e">
        <v>#N/A</v>
      </c>
      <c r="M216" s="205" t="e">
        <v>#N/A</v>
      </c>
      <c r="N216" s="205" t="e">
        <v>#N/A</v>
      </c>
      <c r="O216" s="205" t="e">
        <v>#N/A</v>
      </c>
      <c r="P216" s="205" t="e">
        <v>#N/A</v>
      </c>
      <c r="Q216" s="189" t="e">
        <v>#N/A</v>
      </c>
      <c r="R216" s="189" t="e">
        <v>#N/A</v>
      </c>
      <c r="S216" s="205" t="e">
        <v>#N/A</v>
      </c>
      <c r="T216" s="206"/>
    </row>
    <row r="217">
      <c r="C217" s="189" t="e">
        <v>#N/A</v>
      </c>
      <c r="D217" s="189" t="e">
        <v>#N/A</v>
      </c>
      <c r="E217" s="189" t="e">
        <v>#N/A</v>
      </c>
      <c r="F217" s="189" t="e">
        <v>#N/A</v>
      </c>
      <c r="G217" s="189" t="e">
        <v>#N/A</v>
      </c>
      <c r="H217" s="189" t="e">
        <v>#N/A</v>
      </c>
      <c r="I217" s="189" t="e">
        <v>#N/A</v>
      </c>
      <c r="J217" s="189" t="e">
        <v>#N/A</v>
      </c>
      <c r="K217" s="204" t="e">
        <v>#N/A</v>
      </c>
      <c r="L217" s="204" t="e">
        <v>#N/A</v>
      </c>
      <c r="M217" s="205" t="e">
        <v>#N/A</v>
      </c>
      <c r="N217" s="205" t="e">
        <v>#N/A</v>
      </c>
      <c r="O217" s="205" t="e">
        <v>#N/A</v>
      </c>
      <c r="P217" s="205" t="e">
        <v>#N/A</v>
      </c>
      <c r="Q217" s="189" t="e">
        <v>#N/A</v>
      </c>
      <c r="R217" s="189" t="e">
        <v>#N/A</v>
      </c>
      <c r="S217" s="205" t="e">
        <v>#N/A</v>
      </c>
      <c r="T217" s="206"/>
    </row>
    <row r="218">
      <c r="C218" s="189" t="e">
        <v>#N/A</v>
      </c>
      <c r="D218" s="189" t="e">
        <v>#N/A</v>
      </c>
      <c r="E218" s="189" t="e">
        <v>#N/A</v>
      </c>
      <c r="F218" s="189" t="e">
        <v>#N/A</v>
      </c>
      <c r="G218" s="189" t="e">
        <v>#N/A</v>
      </c>
      <c r="H218" s="189" t="e">
        <v>#N/A</v>
      </c>
      <c r="I218" s="189" t="e">
        <v>#N/A</v>
      </c>
      <c r="J218" s="189" t="e">
        <v>#N/A</v>
      </c>
      <c r="K218" s="204" t="e">
        <v>#N/A</v>
      </c>
      <c r="L218" s="204" t="e">
        <v>#N/A</v>
      </c>
      <c r="M218" s="205" t="e">
        <v>#N/A</v>
      </c>
      <c r="N218" s="205" t="e">
        <v>#N/A</v>
      </c>
      <c r="O218" s="205" t="e">
        <v>#N/A</v>
      </c>
      <c r="P218" s="205" t="e">
        <v>#N/A</v>
      </c>
      <c r="Q218" s="189" t="e">
        <v>#N/A</v>
      </c>
      <c r="R218" s="189" t="e">
        <v>#N/A</v>
      </c>
      <c r="S218" s="205" t="e">
        <v>#N/A</v>
      </c>
      <c r="T218" s="206"/>
    </row>
    <row r="219">
      <c r="C219" s="189" t="e">
        <v>#N/A</v>
      </c>
      <c r="D219" s="189" t="e">
        <v>#N/A</v>
      </c>
      <c r="E219" s="189" t="e">
        <v>#N/A</v>
      </c>
      <c r="F219" s="189" t="e">
        <v>#N/A</v>
      </c>
      <c r="G219" s="189" t="e">
        <v>#N/A</v>
      </c>
      <c r="H219" s="189" t="e">
        <v>#N/A</v>
      </c>
      <c r="I219" s="189" t="e">
        <v>#N/A</v>
      </c>
      <c r="J219" s="189" t="e">
        <v>#N/A</v>
      </c>
      <c r="K219" s="204" t="e">
        <v>#N/A</v>
      </c>
      <c r="L219" s="204" t="e">
        <v>#N/A</v>
      </c>
      <c r="M219" s="205" t="e">
        <v>#N/A</v>
      </c>
      <c r="N219" s="205" t="e">
        <v>#N/A</v>
      </c>
      <c r="O219" s="205" t="e">
        <v>#N/A</v>
      </c>
      <c r="P219" s="205" t="e">
        <v>#N/A</v>
      </c>
      <c r="Q219" s="189" t="e">
        <v>#N/A</v>
      </c>
      <c r="R219" s="189" t="e">
        <v>#N/A</v>
      </c>
      <c r="S219" s="205" t="e">
        <v>#N/A</v>
      </c>
      <c r="T219" s="206"/>
    </row>
    <row r="220">
      <c r="C220" s="189" t="e">
        <v>#N/A</v>
      </c>
      <c r="D220" s="189" t="e">
        <v>#N/A</v>
      </c>
      <c r="E220" s="189" t="e">
        <v>#N/A</v>
      </c>
      <c r="F220" s="189" t="e">
        <v>#N/A</v>
      </c>
      <c r="G220" s="189" t="e">
        <v>#N/A</v>
      </c>
      <c r="H220" s="189" t="e">
        <v>#N/A</v>
      </c>
      <c r="I220" s="189" t="e">
        <v>#N/A</v>
      </c>
      <c r="J220" s="189" t="e">
        <v>#N/A</v>
      </c>
      <c r="K220" s="204" t="e">
        <v>#N/A</v>
      </c>
      <c r="L220" s="204" t="e">
        <v>#N/A</v>
      </c>
      <c r="M220" s="205" t="e">
        <v>#N/A</v>
      </c>
      <c r="N220" s="205" t="e">
        <v>#N/A</v>
      </c>
      <c r="O220" s="205" t="e">
        <v>#N/A</v>
      </c>
      <c r="P220" s="205" t="e">
        <v>#N/A</v>
      </c>
      <c r="Q220" s="189" t="e">
        <v>#N/A</v>
      </c>
      <c r="R220" s="189" t="e">
        <v>#N/A</v>
      </c>
      <c r="S220" s="205" t="e">
        <v>#N/A</v>
      </c>
      <c r="T220" s="206"/>
    </row>
    <row r="221">
      <c r="C221" s="189" t="e">
        <v>#N/A</v>
      </c>
      <c r="D221" s="189" t="e">
        <v>#N/A</v>
      </c>
      <c r="E221" s="189" t="e">
        <v>#N/A</v>
      </c>
      <c r="F221" s="189" t="e">
        <v>#N/A</v>
      </c>
      <c r="G221" s="189" t="e">
        <v>#N/A</v>
      </c>
      <c r="H221" s="189" t="e">
        <v>#N/A</v>
      </c>
      <c r="I221" s="189" t="e">
        <v>#N/A</v>
      </c>
      <c r="J221" s="189" t="e">
        <v>#N/A</v>
      </c>
      <c r="K221" s="204" t="e">
        <v>#N/A</v>
      </c>
      <c r="L221" s="204" t="e">
        <v>#N/A</v>
      </c>
      <c r="M221" s="205" t="e">
        <v>#N/A</v>
      </c>
      <c r="N221" s="205" t="e">
        <v>#N/A</v>
      </c>
      <c r="O221" s="205" t="e">
        <v>#N/A</v>
      </c>
      <c r="P221" s="205" t="e">
        <v>#N/A</v>
      </c>
      <c r="Q221" s="189" t="e">
        <v>#N/A</v>
      </c>
      <c r="R221" s="189" t="e">
        <v>#N/A</v>
      </c>
      <c r="S221" s="205" t="e">
        <v>#N/A</v>
      </c>
      <c r="T221" s="206"/>
    </row>
    <row r="222">
      <c r="C222" s="189" t="e">
        <v>#N/A</v>
      </c>
      <c r="D222" s="189" t="e">
        <v>#N/A</v>
      </c>
      <c r="E222" s="189" t="e">
        <v>#N/A</v>
      </c>
      <c r="F222" s="189" t="e">
        <v>#N/A</v>
      </c>
      <c r="G222" s="189" t="e">
        <v>#N/A</v>
      </c>
      <c r="H222" s="189" t="e">
        <v>#N/A</v>
      </c>
      <c r="I222" s="189" t="e">
        <v>#N/A</v>
      </c>
      <c r="J222" s="189" t="e">
        <v>#N/A</v>
      </c>
      <c r="K222" s="204" t="e">
        <v>#N/A</v>
      </c>
      <c r="L222" s="204" t="e">
        <v>#N/A</v>
      </c>
      <c r="M222" s="205" t="e">
        <v>#N/A</v>
      </c>
      <c r="N222" s="205" t="e">
        <v>#N/A</v>
      </c>
      <c r="O222" s="205" t="e">
        <v>#N/A</v>
      </c>
      <c r="P222" s="205" t="e">
        <v>#N/A</v>
      </c>
      <c r="Q222" s="189" t="e">
        <v>#N/A</v>
      </c>
      <c r="R222" s="189" t="e">
        <v>#N/A</v>
      </c>
      <c r="S222" s="205" t="e">
        <v>#N/A</v>
      </c>
      <c r="T222" s="206"/>
    </row>
    <row r="223">
      <c r="C223" s="189" t="e">
        <v>#N/A</v>
      </c>
      <c r="D223" s="189" t="e">
        <v>#N/A</v>
      </c>
      <c r="E223" s="189" t="e">
        <v>#N/A</v>
      </c>
      <c r="F223" s="189" t="e">
        <v>#N/A</v>
      </c>
      <c r="G223" s="189" t="e">
        <v>#N/A</v>
      </c>
      <c r="H223" s="189" t="e">
        <v>#N/A</v>
      </c>
      <c r="I223" s="189" t="e">
        <v>#N/A</v>
      </c>
      <c r="J223" s="189" t="e">
        <v>#N/A</v>
      </c>
      <c r="K223" s="204" t="e">
        <v>#N/A</v>
      </c>
      <c r="L223" s="204" t="e">
        <v>#N/A</v>
      </c>
      <c r="M223" s="205" t="e">
        <v>#N/A</v>
      </c>
      <c r="N223" s="205" t="e">
        <v>#N/A</v>
      </c>
      <c r="O223" s="205" t="e">
        <v>#N/A</v>
      </c>
      <c r="P223" s="205" t="e">
        <v>#N/A</v>
      </c>
      <c r="Q223" s="189" t="e">
        <v>#N/A</v>
      </c>
      <c r="R223" s="189" t="e">
        <v>#N/A</v>
      </c>
      <c r="S223" s="205" t="e">
        <v>#N/A</v>
      </c>
      <c r="T223" s="206"/>
    </row>
    <row r="224">
      <c r="C224" s="189" t="e">
        <v>#N/A</v>
      </c>
      <c r="D224" s="189" t="e">
        <v>#N/A</v>
      </c>
      <c r="E224" s="189" t="e">
        <v>#N/A</v>
      </c>
      <c r="F224" s="189" t="e">
        <v>#N/A</v>
      </c>
      <c r="G224" s="189" t="e">
        <v>#N/A</v>
      </c>
      <c r="H224" s="189" t="e">
        <v>#N/A</v>
      </c>
      <c r="I224" s="189" t="e">
        <v>#N/A</v>
      </c>
      <c r="J224" s="189" t="e">
        <v>#N/A</v>
      </c>
      <c r="K224" s="204" t="e">
        <v>#N/A</v>
      </c>
      <c r="L224" s="204" t="e">
        <v>#N/A</v>
      </c>
      <c r="M224" s="205" t="e">
        <v>#N/A</v>
      </c>
      <c r="N224" s="205" t="e">
        <v>#N/A</v>
      </c>
      <c r="O224" s="205" t="e">
        <v>#N/A</v>
      </c>
      <c r="P224" s="205" t="e">
        <v>#N/A</v>
      </c>
      <c r="Q224" s="189" t="e">
        <v>#N/A</v>
      </c>
      <c r="R224" s="189" t="e">
        <v>#N/A</v>
      </c>
      <c r="S224" s="205" t="e">
        <v>#N/A</v>
      </c>
      <c r="T224" s="206"/>
    </row>
    <row r="225">
      <c r="C225" s="189" t="e">
        <v>#N/A</v>
      </c>
      <c r="D225" s="189" t="e">
        <v>#N/A</v>
      </c>
      <c r="E225" s="189" t="e">
        <v>#N/A</v>
      </c>
      <c r="F225" s="189" t="e">
        <v>#N/A</v>
      </c>
      <c r="G225" s="189" t="e">
        <v>#N/A</v>
      </c>
      <c r="H225" s="189" t="e">
        <v>#N/A</v>
      </c>
      <c r="I225" s="189" t="e">
        <v>#N/A</v>
      </c>
      <c r="J225" s="189" t="e">
        <v>#N/A</v>
      </c>
      <c r="K225" s="204" t="e">
        <v>#N/A</v>
      </c>
      <c r="L225" s="204" t="e">
        <v>#N/A</v>
      </c>
      <c r="M225" s="205" t="e">
        <v>#N/A</v>
      </c>
      <c r="N225" s="205" t="e">
        <v>#N/A</v>
      </c>
      <c r="O225" s="205" t="e">
        <v>#N/A</v>
      </c>
      <c r="P225" s="205" t="e">
        <v>#N/A</v>
      </c>
      <c r="Q225" s="189" t="e">
        <v>#N/A</v>
      </c>
      <c r="R225" s="189" t="e">
        <v>#N/A</v>
      </c>
      <c r="S225" s="205" t="e">
        <v>#N/A</v>
      </c>
      <c r="T225" s="206"/>
    </row>
    <row r="226">
      <c r="C226" s="189" t="e">
        <v>#N/A</v>
      </c>
      <c r="D226" s="189" t="e">
        <v>#N/A</v>
      </c>
      <c r="E226" s="189" t="e">
        <v>#N/A</v>
      </c>
      <c r="F226" s="189" t="e">
        <v>#N/A</v>
      </c>
      <c r="G226" s="189" t="e">
        <v>#N/A</v>
      </c>
      <c r="H226" s="189" t="e">
        <v>#N/A</v>
      </c>
      <c r="I226" s="189" t="e">
        <v>#N/A</v>
      </c>
      <c r="J226" s="189" t="e">
        <v>#N/A</v>
      </c>
      <c r="K226" s="204" t="e">
        <v>#N/A</v>
      </c>
      <c r="L226" s="204" t="e">
        <v>#N/A</v>
      </c>
      <c r="M226" s="205" t="e">
        <v>#N/A</v>
      </c>
      <c r="N226" s="205" t="e">
        <v>#N/A</v>
      </c>
      <c r="O226" s="205" t="e">
        <v>#N/A</v>
      </c>
      <c r="P226" s="205" t="e">
        <v>#N/A</v>
      </c>
      <c r="Q226" s="189" t="e">
        <v>#N/A</v>
      </c>
      <c r="R226" s="189" t="e">
        <v>#N/A</v>
      </c>
      <c r="S226" s="205" t="e">
        <v>#N/A</v>
      </c>
      <c r="T226" s="206"/>
    </row>
    <row r="227">
      <c r="C227" s="189" t="e">
        <v>#N/A</v>
      </c>
      <c r="D227" s="189" t="e">
        <v>#N/A</v>
      </c>
      <c r="E227" s="189" t="e">
        <v>#N/A</v>
      </c>
      <c r="F227" s="189" t="e">
        <v>#N/A</v>
      </c>
      <c r="G227" s="189" t="e">
        <v>#N/A</v>
      </c>
      <c r="H227" s="189" t="e">
        <v>#N/A</v>
      </c>
      <c r="I227" s="189" t="e">
        <v>#N/A</v>
      </c>
      <c r="J227" s="189" t="e">
        <v>#N/A</v>
      </c>
      <c r="K227" s="204" t="e">
        <v>#N/A</v>
      </c>
      <c r="L227" s="204" t="e">
        <v>#N/A</v>
      </c>
      <c r="M227" s="205" t="e">
        <v>#N/A</v>
      </c>
      <c r="N227" s="205" t="e">
        <v>#N/A</v>
      </c>
      <c r="O227" s="205" t="e">
        <v>#N/A</v>
      </c>
      <c r="P227" s="205" t="e">
        <v>#N/A</v>
      </c>
      <c r="Q227" s="189" t="e">
        <v>#N/A</v>
      </c>
      <c r="R227" s="189" t="e">
        <v>#N/A</v>
      </c>
      <c r="S227" s="205" t="e">
        <v>#N/A</v>
      </c>
      <c r="T227" s="206"/>
    </row>
    <row r="228">
      <c r="C228" s="189" t="e">
        <v>#N/A</v>
      </c>
      <c r="D228" s="189" t="e">
        <v>#N/A</v>
      </c>
      <c r="E228" s="189" t="e">
        <v>#N/A</v>
      </c>
      <c r="F228" s="189" t="e">
        <v>#N/A</v>
      </c>
      <c r="G228" s="189" t="e">
        <v>#N/A</v>
      </c>
      <c r="H228" s="189" t="e">
        <v>#N/A</v>
      </c>
      <c r="I228" s="189" t="e">
        <v>#N/A</v>
      </c>
      <c r="J228" s="189" t="e">
        <v>#N/A</v>
      </c>
      <c r="K228" s="204" t="e">
        <v>#N/A</v>
      </c>
      <c r="L228" s="204" t="e">
        <v>#N/A</v>
      </c>
      <c r="M228" s="205" t="e">
        <v>#N/A</v>
      </c>
      <c r="N228" s="205" t="e">
        <v>#N/A</v>
      </c>
      <c r="O228" s="205" t="e">
        <v>#N/A</v>
      </c>
      <c r="P228" s="205" t="e">
        <v>#N/A</v>
      </c>
      <c r="Q228" s="189" t="e">
        <v>#N/A</v>
      </c>
      <c r="R228" s="189" t="e">
        <v>#N/A</v>
      </c>
      <c r="S228" s="205" t="e">
        <v>#N/A</v>
      </c>
      <c r="T228" s="206"/>
    </row>
    <row r="229">
      <c r="C229" s="189" t="e">
        <v>#N/A</v>
      </c>
      <c r="D229" s="189" t="e">
        <v>#N/A</v>
      </c>
      <c r="E229" s="189" t="e">
        <v>#N/A</v>
      </c>
      <c r="F229" s="189" t="e">
        <v>#N/A</v>
      </c>
      <c r="G229" s="189" t="e">
        <v>#N/A</v>
      </c>
      <c r="H229" s="189" t="e">
        <v>#N/A</v>
      </c>
      <c r="I229" s="189" t="e">
        <v>#N/A</v>
      </c>
      <c r="J229" s="189" t="e">
        <v>#N/A</v>
      </c>
      <c r="K229" s="204" t="e">
        <v>#N/A</v>
      </c>
      <c r="L229" s="204" t="e">
        <v>#N/A</v>
      </c>
      <c r="M229" s="205" t="e">
        <v>#N/A</v>
      </c>
      <c r="N229" s="205" t="e">
        <v>#N/A</v>
      </c>
      <c r="O229" s="205" t="e">
        <v>#N/A</v>
      </c>
      <c r="P229" s="205" t="e">
        <v>#N/A</v>
      </c>
      <c r="Q229" s="189" t="e">
        <v>#N/A</v>
      </c>
      <c r="R229" s="189" t="e">
        <v>#N/A</v>
      </c>
      <c r="S229" s="205" t="e">
        <v>#N/A</v>
      </c>
      <c r="T229" s="206"/>
    </row>
    <row r="230">
      <c r="C230" s="189" t="e">
        <v>#N/A</v>
      </c>
      <c r="D230" s="189" t="e">
        <v>#N/A</v>
      </c>
      <c r="E230" s="189" t="e">
        <v>#N/A</v>
      </c>
      <c r="F230" s="189" t="e">
        <v>#N/A</v>
      </c>
      <c r="G230" s="189" t="e">
        <v>#N/A</v>
      </c>
      <c r="H230" s="189" t="e">
        <v>#N/A</v>
      </c>
      <c r="I230" s="189" t="e">
        <v>#N/A</v>
      </c>
      <c r="J230" s="189" t="e">
        <v>#N/A</v>
      </c>
      <c r="K230" s="204" t="e">
        <v>#N/A</v>
      </c>
      <c r="L230" s="204" t="e">
        <v>#N/A</v>
      </c>
      <c r="M230" s="205" t="e">
        <v>#N/A</v>
      </c>
      <c r="N230" s="205" t="e">
        <v>#N/A</v>
      </c>
      <c r="O230" s="205" t="e">
        <v>#N/A</v>
      </c>
      <c r="P230" s="205" t="e">
        <v>#N/A</v>
      </c>
      <c r="Q230" s="189" t="e">
        <v>#N/A</v>
      </c>
      <c r="R230" s="189" t="e">
        <v>#N/A</v>
      </c>
      <c r="S230" s="205" t="e">
        <v>#N/A</v>
      </c>
      <c r="T230" s="206"/>
    </row>
    <row r="231">
      <c r="C231" s="189" t="e">
        <v>#N/A</v>
      </c>
      <c r="D231" s="189" t="e">
        <v>#N/A</v>
      </c>
      <c r="E231" s="189" t="e">
        <v>#N/A</v>
      </c>
      <c r="F231" s="189" t="e">
        <v>#N/A</v>
      </c>
      <c r="G231" s="189" t="e">
        <v>#N/A</v>
      </c>
      <c r="H231" s="189" t="e">
        <v>#N/A</v>
      </c>
      <c r="I231" s="189" t="e">
        <v>#N/A</v>
      </c>
      <c r="J231" s="189" t="e">
        <v>#N/A</v>
      </c>
      <c r="K231" s="204" t="e">
        <v>#N/A</v>
      </c>
      <c r="L231" s="204" t="e">
        <v>#N/A</v>
      </c>
      <c r="M231" s="205" t="e">
        <v>#N/A</v>
      </c>
      <c r="N231" s="205" t="e">
        <v>#N/A</v>
      </c>
      <c r="O231" s="205" t="e">
        <v>#N/A</v>
      </c>
      <c r="P231" s="205" t="e">
        <v>#N/A</v>
      </c>
      <c r="Q231" s="189" t="e">
        <v>#N/A</v>
      </c>
      <c r="R231" s="189" t="e">
        <v>#N/A</v>
      </c>
      <c r="S231" s="205" t="e">
        <v>#N/A</v>
      </c>
      <c r="T231" s="206"/>
    </row>
    <row r="232">
      <c r="C232" s="189" t="e">
        <v>#N/A</v>
      </c>
      <c r="D232" s="189" t="e">
        <v>#N/A</v>
      </c>
      <c r="E232" s="189" t="e">
        <v>#N/A</v>
      </c>
      <c r="F232" s="189" t="e">
        <v>#N/A</v>
      </c>
      <c r="G232" s="189" t="e">
        <v>#N/A</v>
      </c>
      <c r="H232" s="189" t="e">
        <v>#N/A</v>
      </c>
      <c r="I232" s="189" t="e">
        <v>#N/A</v>
      </c>
      <c r="J232" s="189" t="e">
        <v>#N/A</v>
      </c>
      <c r="K232" s="204" t="e">
        <v>#N/A</v>
      </c>
      <c r="L232" s="204" t="e">
        <v>#N/A</v>
      </c>
      <c r="M232" s="205" t="e">
        <v>#N/A</v>
      </c>
      <c r="N232" s="205" t="e">
        <v>#N/A</v>
      </c>
      <c r="O232" s="205" t="e">
        <v>#N/A</v>
      </c>
      <c r="P232" s="205" t="e">
        <v>#N/A</v>
      </c>
      <c r="Q232" s="189" t="e">
        <v>#N/A</v>
      </c>
      <c r="R232" s="189" t="e">
        <v>#N/A</v>
      </c>
      <c r="S232" s="205" t="e">
        <v>#N/A</v>
      </c>
      <c r="T232" s="206"/>
    </row>
    <row r="233">
      <c r="C233" s="189" t="e">
        <v>#N/A</v>
      </c>
      <c r="D233" s="189" t="e">
        <v>#N/A</v>
      </c>
      <c r="E233" s="189" t="e">
        <v>#N/A</v>
      </c>
      <c r="F233" s="189" t="e">
        <v>#N/A</v>
      </c>
      <c r="G233" s="189" t="e">
        <v>#N/A</v>
      </c>
      <c r="H233" s="189" t="e">
        <v>#N/A</v>
      </c>
      <c r="I233" s="189" t="e">
        <v>#N/A</v>
      </c>
      <c r="J233" s="189" t="e">
        <v>#N/A</v>
      </c>
      <c r="K233" s="204" t="e">
        <v>#N/A</v>
      </c>
      <c r="L233" s="204" t="e">
        <v>#N/A</v>
      </c>
      <c r="M233" s="205" t="e">
        <v>#N/A</v>
      </c>
      <c r="N233" s="205" t="e">
        <v>#N/A</v>
      </c>
      <c r="O233" s="205" t="e">
        <v>#N/A</v>
      </c>
      <c r="P233" s="205" t="e">
        <v>#N/A</v>
      </c>
      <c r="Q233" s="189" t="e">
        <v>#N/A</v>
      </c>
      <c r="R233" s="189" t="e">
        <v>#N/A</v>
      </c>
      <c r="S233" s="205" t="e">
        <v>#N/A</v>
      </c>
      <c r="T233" s="206"/>
    </row>
    <row r="234">
      <c r="C234" s="189" t="e">
        <v>#N/A</v>
      </c>
      <c r="D234" s="189" t="e">
        <v>#N/A</v>
      </c>
      <c r="E234" s="189" t="e">
        <v>#N/A</v>
      </c>
      <c r="F234" s="189" t="e">
        <v>#N/A</v>
      </c>
      <c r="G234" s="189" t="e">
        <v>#N/A</v>
      </c>
      <c r="H234" s="189" t="e">
        <v>#N/A</v>
      </c>
      <c r="I234" s="189" t="e">
        <v>#N/A</v>
      </c>
      <c r="J234" s="189" t="e">
        <v>#N/A</v>
      </c>
      <c r="K234" s="204" t="e">
        <v>#N/A</v>
      </c>
      <c r="L234" s="204" t="e">
        <v>#N/A</v>
      </c>
      <c r="M234" s="205" t="e">
        <v>#N/A</v>
      </c>
      <c r="N234" s="205" t="e">
        <v>#N/A</v>
      </c>
      <c r="O234" s="205" t="e">
        <v>#N/A</v>
      </c>
      <c r="P234" s="205" t="e">
        <v>#N/A</v>
      </c>
      <c r="Q234" s="189" t="e">
        <v>#N/A</v>
      </c>
      <c r="R234" s="189" t="e">
        <v>#N/A</v>
      </c>
      <c r="S234" s="205" t="e">
        <v>#N/A</v>
      </c>
      <c r="T234" s="206"/>
    </row>
    <row r="235">
      <c r="C235" s="189" t="e">
        <v>#N/A</v>
      </c>
      <c r="D235" s="189" t="e">
        <v>#N/A</v>
      </c>
      <c r="E235" s="189" t="e">
        <v>#N/A</v>
      </c>
      <c r="F235" s="189" t="e">
        <v>#N/A</v>
      </c>
      <c r="G235" s="189" t="e">
        <v>#N/A</v>
      </c>
      <c r="H235" s="189" t="e">
        <v>#N/A</v>
      </c>
      <c r="I235" s="189" t="e">
        <v>#N/A</v>
      </c>
      <c r="J235" s="189" t="e">
        <v>#N/A</v>
      </c>
      <c r="K235" s="204" t="e">
        <v>#N/A</v>
      </c>
      <c r="L235" s="204" t="e">
        <v>#N/A</v>
      </c>
      <c r="M235" s="205" t="e">
        <v>#N/A</v>
      </c>
      <c r="N235" s="205" t="e">
        <v>#N/A</v>
      </c>
      <c r="O235" s="205" t="e">
        <v>#N/A</v>
      </c>
      <c r="P235" s="205" t="e">
        <v>#N/A</v>
      </c>
      <c r="Q235" s="189" t="e">
        <v>#N/A</v>
      </c>
      <c r="R235" s="189" t="e">
        <v>#N/A</v>
      </c>
      <c r="S235" s="205" t="e">
        <v>#N/A</v>
      </c>
      <c r="T235" s="206"/>
    </row>
    <row r="236">
      <c r="C236" s="189" t="e">
        <v>#N/A</v>
      </c>
      <c r="D236" s="189" t="e">
        <v>#N/A</v>
      </c>
      <c r="E236" s="189" t="e">
        <v>#N/A</v>
      </c>
      <c r="F236" s="189" t="e">
        <v>#N/A</v>
      </c>
      <c r="G236" s="189" t="e">
        <v>#N/A</v>
      </c>
      <c r="H236" s="189" t="e">
        <v>#N/A</v>
      </c>
      <c r="I236" s="189" t="e">
        <v>#N/A</v>
      </c>
      <c r="J236" s="189" t="e">
        <v>#N/A</v>
      </c>
      <c r="K236" s="204" t="e">
        <v>#N/A</v>
      </c>
      <c r="L236" s="204" t="e">
        <v>#N/A</v>
      </c>
      <c r="M236" s="205" t="e">
        <v>#N/A</v>
      </c>
      <c r="N236" s="205" t="e">
        <v>#N/A</v>
      </c>
      <c r="O236" s="205" t="e">
        <v>#N/A</v>
      </c>
      <c r="P236" s="205" t="e">
        <v>#N/A</v>
      </c>
      <c r="Q236" s="189" t="e">
        <v>#N/A</v>
      </c>
      <c r="R236" s="189" t="e">
        <v>#N/A</v>
      </c>
      <c r="S236" s="205" t="e">
        <v>#N/A</v>
      </c>
      <c r="T236" s="206"/>
    </row>
    <row r="237">
      <c r="C237" s="189" t="e">
        <v>#N/A</v>
      </c>
      <c r="D237" s="189" t="e">
        <v>#N/A</v>
      </c>
      <c r="E237" s="189" t="e">
        <v>#N/A</v>
      </c>
      <c r="F237" s="189" t="e">
        <v>#N/A</v>
      </c>
      <c r="G237" s="189" t="e">
        <v>#N/A</v>
      </c>
      <c r="H237" s="189" t="e">
        <v>#N/A</v>
      </c>
      <c r="I237" s="189" t="e">
        <v>#N/A</v>
      </c>
      <c r="J237" s="189" t="e">
        <v>#N/A</v>
      </c>
      <c r="K237" s="204" t="e">
        <v>#N/A</v>
      </c>
      <c r="L237" s="204" t="e">
        <v>#N/A</v>
      </c>
      <c r="M237" s="205" t="e">
        <v>#N/A</v>
      </c>
      <c r="N237" s="205" t="e">
        <v>#N/A</v>
      </c>
      <c r="O237" s="205" t="e">
        <v>#N/A</v>
      </c>
      <c r="P237" s="205" t="e">
        <v>#N/A</v>
      </c>
      <c r="Q237" s="189" t="e">
        <v>#N/A</v>
      </c>
      <c r="R237" s="189" t="e">
        <v>#N/A</v>
      </c>
      <c r="S237" s="205" t="e">
        <v>#N/A</v>
      </c>
      <c r="T237" s="206"/>
    </row>
    <row r="238">
      <c r="C238" s="189" t="e">
        <v>#N/A</v>
      </c>
      <c r="D238" s="189" t="e">
        <v>#N/A</v>
      </c>
      <c r="E238" s="189" t="e">
        <v>#N/A</v>
      </c>
      <c r="F238" s="189" t="e">
        <v>#N/A</v>
      </c>
      <c r="G238" s="189" t="e">
        <v>#N/A</v>
      </c>
      <c r="H238" s="189" t="e">
        <v>#N/A</v>
      </c>
      <c r="I238" s="189" t="e">
        <v>#N/A</v>
      </c>
      <c r="J238" s="189" t="e">
        <v>#N/A</v>
      </c>
      <c r="K238" s="204" t="e">
        <v>#N/A</v>
      </c>
      <c r="L238" s="204" t="e">
        <v>#N/A</v>
      </c>
      <c r="M238" s="205" t="e">
        <v>#N/A</v>
      </c>
      <c r="N238" s="205" t="e">
        <v>#N/A</v>
      </c>
      <c r="O238" s="205" t="e">
        <v>#N/A</v>
      </c>
      <c r="P238" s="205" t="e">
        <v>#N/A</v>
      </c>
      <c r="Q238" s="189" t="e">
        <v>#N/A</v>
      </c>
      <c r="R238" s="189" t="e">
        <v>#N/A</v>
      </c>
      <c r="S238" s="205" t="e">
        <v>#N/A</v>
      </c>
      <c r="T238" s="206"/>
    </row>
    <row r="239">
      <c r="C239" s="189" t="e">
        <v>#N/A</v>
      </c>
      <c r="D239" s="189" t="e">
        <v>#N/A</v>
      </c>
      <c r="E239" s="189" t="e">
        <v>#N/A</v>
      </c>
      <c r="F239" s="189" t="e">
        <v>#N/A</v>
      </c>
      <c r="G239" s="189" t="e">
        <v>#N/A</v>
      </c>
      <c r="H239" s="189" t="e">
        <v>#N/A</v>
      </c>
      <c r="I239" s="189" t="e">
        <v>#N/A</v>
      </c>
      <c r="J239" s="189" t="e">
        <v>#N/A</v>
      </c>
      <c r="K239" s="204" t="e">
        <v>#N/A</v>
      </c>
      <c r="L239" s="204" t="e">
        <v>#N/A</v>
      </c>
      <c r="M239" s="205" t="e">
        <v>#N/A</v>
      </c>
      <c r="N239" s="205" t="e">
        <v>#N/A</v>
      </c>
      <c r="O239" s="205" t="e">
        <v>#N/A</v>
      </c>
      <c r="P239" s="205" t="e">
        <v>#N/A</v>
      </c>
      <c r="Q239" s="189" t="e">
        <v>#N/A</v>
      </c>
      <c r="R239" s="189" t="e">
        <v>#N/A</v>
      </c>
      <c r="S239" s="205" t="e">
        <v>#N/A</v>
      </c>
      <c r="T239" s="206"/>
    </row>
    <row r="240">
      <c r="C240" s="189" t="e">
        <v>#N/A</v>
      </c>
      <c r="D240" s="189" t="e">
        <v>#N/A</v>
      </c>
      <c r="E240" s="189" t="e">
        <v>#N/A</v>
      </c>
      <c r="F240" s="189" t="e">
        <v>#N/A</v>
      </c>
      <c r="G240" s="189" t="e">
        <v>#N/A</v>
      </c>
      <c r="H240" s="189" t="e">
        <v>#N/A</v>
      </c>
      <c r="I240" s="189" t="e">
        <v>#N/A</v>
      </c>
      <c r="J240" s="189" t="e">
        <v>#N/A</v>
      </c>
      <c r="K240" s="204" t="e">
        <v>#N/A</v>
      </c>
      <c r="L240" s="204" t="e">
        <v>#N/A</v>
      </c>
      <c r="M240" s="205" t="e">
        <v>#N/A</v>
      </c>
      <c r="N240" s="205" t="e">
        <v>#N/A</v>
      </c>
      <c r="O240" s="205" t="e">
        <v>#N/A</v>
      </c>
      <c r="P240" s="205" t="e">
        <v>#N/A</v>
      </c>
      <c r="Q240" s="189" t="e">
        <v>#N/A</v>
      </c>
      <c r="R240" s="189" t="e">
        <v>#N/A</v>
      </c>
      <c r="S240" s="205" t="e">
        <v>#N/A</v>
      </c>
      <c r="T240" s="206"/>
    </row>
    <row r="241">
      <c r="C241" s="189" t="e">
        <v>#N/A</v>
      </c>
      <c r="D241" s="189" t="e">
        <v>#N/A</v>
      </c>
      <c r="E241" s="189" t="e">
        <v>#N/A</v>
      </c>
      <c r="F241" s="189" t="e">
        <v>#N/A</v>
      </c>
      <c r="G241" s="189" t="e">
        <v>#N/A</v>
      </c>
      <c r="H241" s="189" t="e">
        <v>#N/A</v>
      </c>
      <c r="I241" s="189" t="e">
        <v>#N/A</v>
      </c>
      <c r="J241" s="189" t="e">
        <v>#N/A</v>
      </c>
      <c r="K241" s="204" t="e">
        <v>#N/A</v>
      </c>
      <c r="L241" s="204" t="e">
        <v>#N/A</v>
      </c>
      <c r="M241" s="205" t="e">
        <v>#N/A</v>
      </c>
      <c r="N241" s="205" t="e">
        <v>#N/A</v>
      </c>
      <c r="O241" s="205" t="e">
        <v>#N/A</v>
      </c>
      <c r="P241" s="205" t="e">
        <v>#N/A</v>
      </c>
      <c r="Q241" s="189" t="e">
        <v>#N/A</v>
      </c>
      <c r="R241" s="189" t="e">
        <v>#N/A</v>
      </c>
      <c r="S241" s="205" t="e">
        <v>#N/A</v>
      </c>
      <c r="T241" s="206"/>
    </row>
    <row r="242">
      <c r="C242" s="189" t="e">
        <v>#N/A</v>
      </c>
      <c r="D242" s="189" t="e">
        <v>#N/A</v>
      </c>
      <c r="E242" s="189" t="e">
        <v>#N/A</v>
      </c>
      <c r="F242" s="189" t="e">
        <v>#N/A</v>
      </c>
      <c r="G242" s="189" t="e">
        <v>#N/A</v>
      </c>
      <c r="H242" s="189" t="e">
        <v>#N/A</v>
      </c>
      <c r="I242" s="189" t="e">
        <v>#N/A</v>
      </c>
      <c r="J242" s="189" t="e">
        <v>#N/A</v>
      </c>
      <c r="K242" s="204" t="e">
        <v>#N/A</v>
      </c>
      <c r="L242" s="204" t="e">
        <v>#N/A</v>
      </c>
      <c r="M242" s="205" t="e">
        <v>#N/A</v>
      </c>
      <c r="N242" s="205" t="e">
        <v>#N/A</v>
      </c>
      <c r="O242" s="205" t="e">
        <v>#N/A</v>
      </c>
      <c r="P242" s="205" t="e">
        <v>#N/A</v>
      </c>
      <c r="Q242" s="189" t="e">
        <v>#N/A</v>
      </c>
      <c r="R242" s="189" t="e">
        <v>#N/A</v>
      </c>
      <c r="S242" s="205" t="e">
        <v>#N/A</v>
      </c>
      <c r="T242" s="206"/>
    </row>
    <row r="243">
      <c r="C243" s="189" t="e">
        <v>#N/A</v>
      </c>
      <c r="D243" s="189" t="e">
        <v>#N/A</v>
      </c>
      <c r="E243" s="189" t="e">
        <v>#N/A</v>
      </c>
      <c r="F243" s="189" t="e">
        <v>#N/A</v>
      </c>
      <c r="G243" s="189" t="e">
        <v>#N/A</v>
      </c>
      <c r="H243" s="189" t="e">
        <v>#N/A</v>
      </c>
      <c r="I243" s="189" t="e">
        <v>#N/A</v>
      </c>
      <c r="J243" s="189" t="e">
        <v>#N/A</v>
      </c>
      <c r="K243" s="204" t="e">
        <v>#N/A</v>
      </c>
      <c r="L243" s="204" t="e">
        <v>#N/A</v>
      </c>
      <c r="M243" s="205" t="e">
        <v>#N/A</v>
      </c>
      <c r="N243" s="205" t="e">
        <v>#N/A</v>
      </c>
      <c r="O243" s="205" t="e">
        <v>#N/A</v>
      </c>
      <c r="P243" s="205" t="e">
        <v>#N/A</v>
      </c>
      <c r="Q243" s="189" t="e">
        <v>#N/A</v>
      </c>
      <c r="R243" s="189" t="e">
        <v>#N/A</v>
      </c>
      <c r="S243" s="205" t="e">
        <v>#N/A</v>
      </c>
      <c r="T243" s="206"/>
    </row>
    <row r="244">
      <c r="C244" s="189" t="e">
        <v>#N/A</v>
      </c>
      <c r="D244" s="189" t="e">
        <v>#N/A</v>
      </c>
      <c r="E244" s="189" t="e">
        <v>#N/A</v>
      </c>
      <c r="F244" s="189" t="e">
        <v>#N/A</v>
      </c>
      <c r="G244" s="189" t="e">
        <v>#N/A</v>
      </c>
      <c r="H244" s="189" t="e">
        <v>#N/A</v>
      </c>
      <c r="I244" s="189" t="e">
        <v>#N/A</v>
      </c>
      <c r="J244" s="189" t="e">
        <v>#N/A</v>
      </c>
      <c r="K244" s="204" t="e">
        <v>#N/A</v>
      </c>
      <c r="L244" s="204" t="e">
        <v>#N/A</v>
      </c>
      <c r="M244" s="205" t="e">
        <v>#N/A</v>
      </c>
      <c r="N244" s="205" t="e">
        <v>#N/A</v>
      </c>
      <c r="O244" s="205" t="e">
        <v>#N/A</v>
      </c>
      <c r="P244" s="205" t="e">
        <v>#N/A</v>
      </c>
      <c r="Q244" s="189" t="e">
        <v>#N/A</v>
      </c>
      <c r="R244" s="189" t="e">
        <v>#N/A</v>
      </c>
      <c r="S244" s="205" t="e">
        <v>#N/A</v>
      </c>
      <c r="T244" s="206"/>
    </row>
    <row r="245">
      <c r="C245" s="189" t="e">
        <v>#N/A</v>
      </c>
      <c r="D245" s="189" t="e">
        <v>#N/A</v>
      </c>
      <c r="E245" s="189" t="e">
        <v>#N/A</v>
      </c>
      <c r="F245" s="189" t="e">
        <v>#N/A</v>
      </c>
      <c r="G245" s="189" t="e">
        <v>#N/A</v>
      </c>
      <c r="H245" s="189" t="e">
        <v>#N/A</v>
      </c>
      <c r="I245" s="189" t="e">
        <v>#N/A</v>
      </c>
      <c r="J245" s="189" t="e">
        <v>#N/A</v>
      </c>
      <c r="K245" s="204" t="e">
        <v>#N/A</v>
      </c>
      <c r="L245" s="204" t="e">
        <v>#N/A</v>
      </c>
      <c r="M245" s="205" t="e">
        <v>#N/A</v>
      </c>
      <c r="N245" s="205" t="e">
        <v>#N/A</v>
      </c>
      <c r="O245" s="205" t="e">
        <v>#N/A</v>
      </c>
      <c r="P245" s="205" t="e">
        <v>#N/A</v>
      </c>
      <c r="Q245" s="189" t="e">
        <v>#N/A</v>
      </c>
      <c r="R245" s="189" t="e">
        <v>#N/A</v>
      </c>
      <c r="S245" s="205" t="e">
        <v>#N/A</v>
      </c>
      <c r="T245" s="206"/>
    </row>
    <row r="246">
      <c r="C246" s="189" t="e">
        <v>#N/A</v>
      </c>
      <c r="D246" s="189" t="e">
        <v>#N/A</v>
      </c>
      <c r="E246" s="189" t="e">
        <v>#N/A</v>
      </c>
      <c r="F246" s="189" t="e">
        <v>#N/A</v>
      </c>
      <c r="G246" s="189" t="e">
        <v>#N/A</v>
      </c>
      <c r="H246" s="189" t="e">
        <v>#N/A</v>
      </c>
      <c r="I246" s="189" t="e">
        <v>#N/A</v>
      </c>
      <c r="J246" s="189" t="e">
        <v>#N/A</v>
      </c>
      <c r="K246" s="204" t="e">
        <v>#N/A</v>
      </c>
      <c r="L246" s="204" t="e">
        <v>#N/A</v>
      </c>
      <c r="M246" s="205" t="e">
        <v>#N/A</v>
      </c>
      <c r="N246" s="205" t="e">
        <v>#N/A</v>
      </c>
      <c r="O246" s="205" t="e">
        <v>#N/A</v>
      </c>
      <c r="P246" s="205" t="e">
        <v>#N/A</v>
      </c>
      <c r="Q246" s="189" t="e">
        <v>#N/A</v>
      </c>
      <c r="R246" s="189" t="e">
        <v>#N/A</v>
      </c>
      <c r="S246" s="205" t="e">
        <v>#N/A</v>
      </c>
      <c r="T246" s="206"/>
    </row>
    <row r="247">
      <c r="C247" s="189" t="e">
        <v>#N/A</v>
      </c>
      <c r="D247" s="189" t="e">
        <v>#N/A</v>
      </c>
      <c r="E247" s="189" t="e">
        <v>#N/A</v>
      </c>
      <c r="F247" s="189" t="e">
        <v>#N/A</v>
      </c>
      <c r="G247" s="189" t="e">
        <v>#N/A</v>
      </c>
      <c r="H247" s="189" t="e">
        <v>#N/A</v>
      </c>
      <c r="I247" s="189" t="e">
        <v>#N/A</v>
      </c>
      <c r="J247" s="189" t="e">
        <v>#N/A</v>
      </c>
      <c r="K247" s="204" t="e">
        <v>#N/A</v>
      </c>
      <c r="L247" s="204" t="e">
        <v>#N/A</v>
      </c>
      <c r="M247" s="205" t="e">
        <v>#N/A</v>
      </c>
      <c r="N247" s="205" t="e">
        <v>#N/A</v>
      </c>
      <c r="O247" s="205" t="e">
        <v>#N/A</v>
      </c>
      <c r="P247" s="205" t="e">
        <v>#N/A</v>
      </c>
      <c r="Q247" s="189" t="e">
        <v>#N/A</v>
      </c>
      <c r="R247" s="189" t="e">
        <v>#N/A</v>
      </c>
      <c r="S247" s="205" t="e">
        <v>#N/A</v>
      </c>
      <c r="T247" s="206"/>
    </row>
    <row r="248">
      <c r="C248" s="189" t="e">
        <v>#N/A</v>
      </c>
      <c r="D248" s="189" t="e">
        <v>#N/A</v>
      </c>
      <c r="E248" s="189" t="e">
        <v>#N/A</v>
      </c>
      <c r="F248" s="189" t="e">
        <v>#N/A</v>
      </c>
      <c r="G248" s="189" t="e">
        <v>#N/A</v>
      </c>
      <c r="H248" s="189" t="e">
        <v>#N/A</v>
      </c>
      <c r="I248" s="189" t="e">
        <v>#N/A</v>
      </c>
      <c r="J248" s="189" t="e">
        <v>#N/A</v>
      </c>
      <c r="K248" s="204" t="e">
        <v>#N/A</v>
      </c>
      <c r="L248" s="204" t="e">
        <v>#N/A</v>
      </c>
      <c r="M248" s="205" t="e">
        <v>#N/A</v>
      </c>
      <c r="N248" s="205" t="e">
        <v>#N/A</v>
      </c>
      <c r="O248" s="205" t="e">
        <v>#N/A</v>
      </c>
      <c r="P248" s="205" t="e">
        <v>#N/A</v>
      </c>
      <c r="Q248" s="189" t="e">
        <v>#N/A</v>
      </c>
      <c r="R248" s="189" t="e">
        <v>#N/A</v>
      </c>
      <c r="S248" s="205" t="e">
        <v>#N/A</v>
      </c>
      <c r="T248" s="206"/>
    </row>
    <row r="249">
      <c r="C249" s="189" t="e">
        <v>#N/A</v>
      </c>
      <c r="D249" s="189" t="e">
        <v>#N/A</v>
      </c>
      <c r="E249" s="189" t="e">
        <v>#N/A</v>
      </c>
      <c r="F249" s="189" t="e">
        <v>#N/A</v>
      </c>
      <c r="G249" s="189" t="e">
        <v>#N/A</v>
      </c>
      <c r="H249" s="189" t="e">
        <v>#N/A</v>
      </c>
      <c r="I249" s="189" t="e">
        <v>#N/A</v>
      </c>
      <c r="J249" s="189" t="e">
        <v>#N/A</v>
      </c>
      <c r="K249" s="204" t="e">
        <v>#N/A</v>
      </c>
      <c r="L249" s="204" t="e">
        <v>#N/A</v>
      </c>
      <c r="M249" s="205" t="e">
        <v>#N/A</v>
      </c>
      <c r="N249" s="205" t="e">
        <v>#N/A</v>
      </c>
      <c r="O249" s="205" t="e">
        <v>#N/A</v>
      </c>
      <c r="P249" s="205" t="e">
        <v>#N/A</v>
      </c>
      <c r="Q249" s="189" t="e">
        <v>#N/A</v>
      </c>
      <c r="R249" s="189" t="e">
        <v>#N/A</v>
      </c>
      <c r="S249" s="205" t="e">
        <v>#N/A</v>
      </c>
      <c r="T249" s="206"/>
    </row>
    <row r="250">
      <c r="C250" s="189" t="e">
        <v>#N/A</v>
      </c>
      <c r="D250" s="189" t="e">
        <v>#N/A</v>
      </c>
      <c r="E250" s="189" t="e">
        <v>#N/A</v>
      </c>
      <c r="F250" s="189" t="e">
        <v>#N/A</v>
      </c>
      <c r="G250" s="189" t="e">
        <v>#N/A</v>
      </c>
      <c r="H250" s="189" t="e">
        <v>#N/A</v>
      </c>
      <c r="I250" s="189" t="e">
        <v>#N/A</v>
      </c>
      <c r="J250" s="189" t="e">
        <v>#N/A</v>
      </c>
      <c r="K250" s="204" t="e">
        <v>#N/A</v>
      </c>
      <c r="L250" s="204" t="e">
        <v>#N/A</v>
      </c>
      <c r="M250" s="205" t="e">
        <v>#N/A</v>
      </c>
      <c r="N250" s="205" t="e">
        <v>#N/A</v>
      </c>
      <c r="O250" s="205" t="e">
        <v>#N/A</v>
      </c>
      <c r="P250" s="205" t="e">
        <v>#N/A</v>
      </c>
      <c r="Q250" s="189" t="e">
        <v>#N/A</v>
      </c>
      <c r="R250" s="189" t="e">
        <v>#N/A</v>
      </c>
      <c r="S250" s="205" t="e">
        <v>#N/A</v>
      </c>
      <c r="T250" s="206"/>
    </row>
    <row r="251">
      <c r="C251" s="189" t="e">
        <v>#N/A</v>
      </c>
      <c r="D251" s="189" t="e">
        <v>#N/A</v>
      </c>
      <c r="E251" s="189" t="e">
        <v>#N/A</v>
      </c>
      <c r="F251" s="189" t="e">
        <v>#N/A</v>
      </c>
      <c r="G251" s="189" t="e">
        <v>#N/A</v>
      </c>
      <c r="H251" s="189" t="e">
        <v>#N/A</v>
      </c>
      <c r="I251" s="189" t="e">
        <v>#N/A</v>
      </c>
      <c r="J251" s="189" t="e">
        <v>#N/A</v>
      </c>
      <c r="K251" s="204" t="e">
        <v>#N/A</v>
      </c>
      <c r="L251" s="204" t="e">
        <v>#N/A</v>
      </c>
      <c r="M251" s="205" t="e">
        <v>#N/A</v>
      </c>
      <c r="N251" s="205" t="e">
        <v>#N/A</v>
      </c>
      <c r="O251" s="205" t="e">
        <v>#N/A</v>
      </c>
      <c r="P251" s="205" t="e">
        <v>#N/A</v>
      </c>
      <c r="Q251" s="189" t="e">
        <v>#N/A</v>
      </c>
      <c r="R251" s="189" t="e">
        <v>#N/A</v>
      </c>
      <c r="S251" s="205" t="e">
        <v>#N/A</v>
      </c>
      <c r="T251" s="206"/>
    </row>
    <row r="252">
      <c r="C252" s="189" t="e">
        <v>#N/A</v>
      </c>
      <c r="D252" s="189" t="e">
        <v>#N/A</v>
      </c>
      <c r="E252" s="189" t="e">
        <v>#N/A</v>
      </c>
      <c r="F252" s="189" t="e">
        <v>#N/A</v>
      </c>
      <c r="G252" s="189" t="e">
        <v>#N/A</v>
      </c>
      <c r="H252" s="189" t="e">
        <v>#N/A</v>
      </c>
      <c r="I252" s="189" t="e">
        <v>#N/A</v>
      </c>
      <c r="J252" s="189" t="e">
        <v>#N/A</v>
      </c>
      <c r="K252" s="204" t="e">
        <v>#N/A</v>
      </c>
      <c r="L252" s="204" t="e">
        <v>#N/A</v>
      </c>
      <c r="M252" s="205" t="e">
        <v>#N/A</v>
      </c>
      <c r="N252" s="205" t="e">
        <v>#N/A</v>
      </c>
      <c r="O252" s="205" t="e">
        <v>#N/A</v>
      </c>
      <c r="P252" s="205" t="e">
        <v>#N/A</v>
      </c>
      <c r="Q252" s="189" t="e">
        <v>#N/A</v>
      </c>
      <c r="R252" s="189" t="e">
        <v>#N/A</v>
      </c>
      <c r="S252" s="205" t="e">
        <v>#N/A</v>
      </c>
      <c r="T252" s="206"/>
    </row>
    <row r="253">
      <c r="C253" s="189" t="e">
        <v>#N/A</v>
      </c>
      <c r="D253" s="189" t="e">
        <v>#N/A</v>
      </c>
      <c r="E253" s="189" t="e">
        <v>#N/A</v>
      </c>
      <c r="F253" s="189" t="e">
        <v>#N/A</v>
      </c>
      <c r="G253" s="189" t="e">
        <v>#N/A</v>
      </c>
      <c r="H253" s="189" t="e">
        <v>#N/A</v>
      </c>
      <c r="I253" s="189" t="e">
        <v>#N/A</v>
      </c>
      <c r="J253" s="189" t="e">
        <v>#N/A</v>
      </c>
      <c r="K253" s="204" t="e">
        <v>#N/A</v>
      </c>
      <c r="L253" s="204" t="e">
        <v>#N/A</v>
      </c>
      <c r="M253" s="205" t="e">
        <v>#N/A</v>
      </c>
      <c r="N253" s="205" t="e">
        <v>#N/A</v>
      </c>
      <c r="O253" s="205" t="e">
        <v>#N/A</v>
      </c>
      <c r="P253" s="205" t="e">
        <v>#N/A</v>
      </c>
      <c r="Q253" s="189" t="e">
        <v>#N/A</v>
      </c>
      <c r="R253" s="189" t="e">
        <v>#N/A</v>
      </c>
      <c r="S253" s="205" t="e">
        <v>#N/A</v>
      </c>
      <c r="T253" s="206"/>
    </row>
    <row r="254">
      <c r="C254" s="189" t="e">
        <v>#N/A</v>
      </c>
      <c r="D254" s="189" t="e">
        <v>#N/A</v>
      </c>
      <c r="E254" s="189" t="e">
        <v>#N/A</v>
      </c>
      <c r="F254" s="189" t="e">
        <v>#N/A</v>
      </c>
      <c r="G254" s="189" t="e">
        <v>#N/A</v>
      </c>
      <c r="H254" s="189" t="e">
        <v>#N/A</v>
      </c>
      <c r="I254" s="189" t="e">
        <v>#N/A</v>
      </c>
      <c r="J254" s="189" t="e">
        <v>#N/A</v>
      </c>
      <c r="K254" s="204" t="e">
        <v>#N/A</v>
      </c>
      <c r="L254" s="204" t="e">
        <v>#N/A</v>
      </c>
      <c r="M254" s="205" t="e">
        <v>#N/A</v>
      </c>
      <c r="N254" s="205" t="e">
        <v>#N/A</v>
      </c>
      <c r="O254" s="205" t="e">
        <v>#N/A</v>
      </c>
      <c r="P254" s="205" t="e">
        <v>#N/A</v>
      </c>
      <c r="Q254" s="189" t="e">
        <v>#N/A</v>
      </c>
      <c r="R254" s="189" t="e">
        <v>#N/A</v>
      </c>
      <c r="S254" s="205" t="e">
        <v>#N/A</v>
      </c>
      <c r="T254" s="206"/>
    </row>
    <row r="255">
      <c r="C255" s="189" t="e">
        <v>#N/A</v>
      </c>
      <c r="D255" s="189" t="e">
        <v>#N/A</v>
      </c>
      <c r="E255" s="189" t="e">
        <v>#N/A</v>
      </c>
      <c r="F255" s="189" t="e">
        <v>#N/A</v>
      </c>
      <c r="G255" s="189" t="e">
        <v>#N/A</v>
      </c>
      <c r="H255" s="189" t="e">
        <v>#N/A</v>
      </c>
      <c r="I255" s="189" t="e">
        <v>#N/A</v>
      </c>
      <c r="J255" s="189" t="e">
        <v>#N/A</v>
      </c>
      <c r="K255" s="204" t="e">
        <v>#N/A</v>
      </c>
      <c r="L255" s="204" t="e">
        <v>#N/A</v>
      </c>
      <c r="M255" s="205" t="e">
        <v>#N/A</v>
      </c>
      <c r="N255" s="205" t="e">
        <v>#N/A</v>
      </c>
      <c r="O255" s="205" t="e">
        <v>#N/A</v>
      </c>
      <c r="P255" s="205" t="e">
        <v>#N/A</v>
      </c>
      <c r="Q255" s="189" t="e">
        <v>#N/A</v>
      </c>
      <c r="R255" s="189" t="e">
        <v>#N/A</v>
      </c>
      <c r="S255" s="205" t="e">
        <v>#N/A</v>
      </c>
      <c r="T255" s="206"/>
    </row>
    <row r="256">
      <c r="C256" s="189" t="e">
        <v>#N/A</v>
      </c>
      <c r="D256" s="189" t="e">
        <v>#N/A</v>
      </c>
      <c r="E256" s="189" t="e">
        <v>#N/A</v>
      </c>
      <c r="F256" s="189" t="e">
        <v>#N/A</v>
      </c>
      <c r="G256" s="189" t="e">
        <v>#N/A</v>
      </c>
      <c r="H256" s="189" t="e">
        <v>#N/A</v>
      </c>
      <c r="I256" s="189" t="e">
        <v>#N/A</v>
      </c>
      <c r="J256" s="189" t="e">
        <v>#N/A</v>
      </c>
      <c r="K256" s="204" t="e">
        <v>#N/A</v>
      </c>
      <c r="L256" s="204" t="e">
        <v>#N/A</v>
      </c>
      <c r="M256" s="205" t="e">
        <v>#N/A</v>
      </c>
      <c r="N256" s="205" t="e">
        <v>#N/A</v>
      </c>
      <c r="O256" s="205" t="e">
        <v>#N/A</v>
      </c>
      <c r="P256" s="205" t="e">
        <v>#N/A</v>
      </c>
      <c r="Q256" s="189" t="e">
        <v>#N/A</v>
      </c>
      <c r="R256" s="189" t="e">
        <v>#N/A</v>
      </c>
      <c r="S256" s="205" t="e">
        <v>#N/A</v>
      </c>
      <c r="T256" s="206"/>
    </row>
    <row r="257">
      <c r="C257" s="189" t="e">
        <v>#N/A</v>
      </c>
      <c r="D257" s="189" t="e">
        <v>#N/A</v>
      </c>
      <c r="E257" s="189" t="e">
        <v>#N/A</v>
      </c>
      <c r="F257" s="189" t="e">
        <v>#N/A</v>
      </c>
      <c r="G257" s="189" t="e">
        <v>#N/A</v>
      </c>
      <c r="H257" s="189" t="e">
        <v>#N/A</v>
      </c>
      <c r="I257" s="189" t="e">
        <v>#N/A</v>
      </c>
      <c r="J257" s="189" t="e">
        <v>#N/A</v>
      </c>
      <c r="K257" s="204" t="e">
        <v>#N/A</v>
      </c>
      <c r="L257" s="204" t="e">
        <v>#N/A</v>
      </c>
      <c r="M257" s="205" t="e">
        <v>#N/A</v>
      </c>
      <c r="N257" s="205" t="e">
        <v>#N/A</v>
      </c>
      <c r="O257" s="205" t="e">
        <v>#N/A</v>
      </c>
      <c r="P257" s="205" t="e">
        <v>#N/A</v>
      </c>
      <c r="Q257" s="189" t="e">
        <v>#N/A</v>
      </c>
      <c r="R257" s="189" t="e">
        <v>#N/A</v>
      </c>
      <c r="S257" s="205" t="e">
        <v>#N/A</v>
      </c>
      <c r="T257" s="206"/>
    </row>
    <row r="258">
      <c r="C258" s="189" t="e">
        <v>#N/A</v>
      </c>
      <c r="D258" s="189" t="e">
        <v>#N/A</v>
      </c>
      <c r="E258" s="189" t="e">
        <v>#N/A</v>
      </c>
      <c r="F258" s="189" t="e">
        <v>#N/A</v>
      </c>
      <c r="G258" s="189" t="e">
        <v>#N/A</v>
      </c>
      <c r="H258" s="189" t="e">
        <v>#N/A</v>
      </c>
      <c r="I258" s="189" t="e">
        <v>#N/A</v>
      </c>
      <c r="J258" s="189" t="e">
        <v>#N/A</v>
      </c>
      <c r="K258" s="204" t="e">
        <v>#N/A</v>
      </c>
      <c r="L258" s="204" t="e">
        <v>#N/A</v>
      </c>
      <c r="M258" s="205" t="e">
        <v>#N/A</v>
      </c>
      <c r="N258" s="205" t="e">
        <v>#N/A</v>
      </c>
      <c r="O258" s="205" t="e">
        <v>#N/A</v>
      </c>
      <c r="P258" s="205" t="e">
        <v>#N/A</v>
      </c>
      <c r="Q258" s="189" t="e">
        <v>#N/A</v>
      </c>
      <c r="R258" s="189" t="e">
        <v>#N/A</v>
      </c>
      <c r="S258" s="205" t="e">
        <v>#N/A</v>
      </c>
      <c r="T258" s="206"/>
    </row>
    <row r="259">
      <c r="C259" s="189" t="e">
        <v>#N/A</v>
      </c>
      <c r="D259" s="189" t="e">
        <v>#N/A</v>
      </c>
      <c r="E259" s="189" t="e">
        <v>#N/A</v>
      </c>
      <c r="F259" s="189" t="e">
        <v>#N/A</v>
      </c>
      <c r="G259" s="189" t="e">
        <v>#N/A</v>
      </c>
      <c r="H259" s="189" t="e">
        <v>#N/A</v>
      </c>
      <c r="I259" s="189" t="e">
        <v>#N/A</v>
      </c>
      <c r="J259" s="189" t="e">
        <v>#N/A</v>
      </c>
      <c r="K259" s="204" t="e">
        <v>#N/A</v>
      </c>
      <c r="L259" s="204" t="e">
        <v>#N/A</v>
      </c>
      <c r="M259" s="205" t="e">
        <v>#N/A</v>
      </c>
      <c r="N259" s="205" t="e">
        <v>#N/A</v>
      </c>
      <c r="O259" s="205" t="e">
        <v>#N/A</v>
      </c>
      <c r="P259" s="205" t="e">
        <v>#N/A</v>
      </c>
      <c r="Q259" s="189" t="e">
        <v>#N/A</v>
      </c>
      <c r="R259" s="189" t="e">
        <v>#N/A</v>
      </c>
      <c r="S259" s="205" t="e">
        <v>#N/A</v>
      </c>
      <c r="T259" s="206"/>
    </row>
    <row r="260">
      <c r="C260" s="189" t="e">
        <v>#N/A</v>
      </c>
      <c r="D260" s="189" t="e">
        <v>#N/A</v>
      </c>
      <c r="E260" s="189" t="e">
        <v>#N/A</v>
      </c>
      <c r="F260" s="189" t="e">
        <v>#N/A</v>
      </c>
      <c r="G260" s="189" t="e">
        <v>#N/A</v>
      </c>
      <c r="H260" s="189" t="e">
        <v>#N/A</v>
      </c>
      <c r="I260" s="189" t="e">
        <v>#N/A</v>
      </c>
      <c r="J260" s="189" t="e">
        <v>#N/A</v>
      </c>
      <c r="K260" s="204" t="e">
        <v>#N/A</v>
      </c>
      <c r="L260" s="204" t="e">
        <v>#N/A</v>
      </c>
      <c r="M260" s="205" t="e">
        <v>#N/A</v>
      </c>
      <c r="N260" s="205" t="e">
        <v>#N/A</v>
      </c>
      <c r="O260" s="205" t="e">
        <v>#N/A</v>
      </c>
      <c r="P260" s="205" t="e">
        <v>#N/A</v>
      </c>
      <c r="Q260" s="189" t="e">
        <v>#N/A</v>
      </c>
      <c r="R260" s="189" t="e">
        <v>#N/A</v>
      </c>
      <c r="S260" s="205" t="e">
        <v>#N/A</v>
      </c>
      <c r="T260" s="206"/>
    </row>
    <row r="261">
      <c r="C261" s="189" t="e">
        <v>#N/A</v>
      </c>
      <c r="D261" s="189" t="e">
        <v>#N/A</v>
      </c>
      <c r="E261" s="189" t="e">
        <v>#N/A</v>
      </c>
      <c r="F261" s="189" t="e">
        <v>#N/A</v>
      </c>
      <c r="G261" s="189" t="e">
        <v>#N/A</v>
      </c>
      <c r="H261" s="189" t="e">
        <v>#N/A</v>
      </c>
      <c r="I261" s="189" t="e">
        <v>#N/A</v>
      </c>
      <c r="J261" s="189" t="e">
        <v>#N/A</v>
      </c>
      <c r="K261" s="204" t="e">
        <v>#N/A</v>
      </c>
      <c r="L261" s="204" t="e">
        <v>#N/A</v>
      </c>
      <c r="M261" s="205" t="e">
        <v>#N/A</v>
      </c>
      <c r="N261" s="205" t="e">
        <v>#N/A</v>
      </c>
      <c r="O261" s="205" t="e">
        <v>#N/A</v>
      </c>
      <c r="P261" s="205" t="e">
        <v>#N/A</v>
      </c>
      <c r="Q261" s="189" t="e">
        <v>#N/A</v>
      </c>
      <c r="R261" s="189" t="e">
        <v>#N/A</v>
      </c>
      <c r="S261" s="205" t="e">
        <v>#N/A</v>
      </c>
      <c r="T261" s="206"/>
    </row>
    <row r="262">
      <c r="C262" s="189" t="e">
        <v>#N/A</v>
      </c>
      <c r="D262" s="189" t="e">
        <v>#N/A</v>
      </c>
      <c r="E262" s="189" t="e">
        <v>#N/A</v>
      </c>
      <c r="F262" s="189" t="e">
        <v>#N/A</v>
      </c>
      <c r="G262" s="189" t="e">
        <v>#N/A</v>
      </c>
      <c r="H262" s="189" t="e">
        <v>#N/A</v>
      </c>
      <c r="I262" s="189" t="e">
        <v>#N/A</v>
      </c>
      <c r="J262" s="189" t="e">
        <v>#N/A</v>
      </c>
      <c r="K262" s="204" t="e">
        <v>#N/A</v>
      </c>
      <c r="L262" s="204" t="e">
        <v>#N/A</v>
      </c>
      <c r="M262" s="205" t="e">
        <v>#N/A</v>
      </c>
      <c r="N262" s="205" t="e">
        <v>#N/A</v>
      </c>
      <c r="O262" s="205" t="e">
        <v>#N/A</v>
      </c>
      <c r="P262" s="205" t="e">
        <v>#N/A</v>
      </c>
      <c r="Q262" s="189" t="e">
        <v>#N/A</v>
      </c>
      <c r="R262" s="189" t="e">
        <v>#N/A</v>
      </c>
      <c r="S262" s="205" t="e">
        <v>#N/A</v>
      </c>
      <c r="T262" s="206"/>
    </row>
    <row r="263">
      <c r="C263" s="189" t="e">
        <v>#N/A</v>
      </c>
      <c r="D263" s="189" t="e">
        <v>#N/A</v>
      </c>
      <c r="E263" s="189" t="e">
        <v>#N/A</v>
      </c>
      <c r="F263" s="189" t="e">
        <v>#N/A</v>
      </c>
      <c r="G263" s="189" t="e">
        <v>#N/A</v>
      </c>
      <c r="H263" s="189" t="e">
        <v>#N/A</v>
      </c>
      <c r="I263" s="189" t="e">
        <v>#N/A</v>
      </c>
      <c r="J263" s="189" t="e">
        <v>#N/A</v>
      </c>
      <c r="K263" s="204" t="e">
        <v>#N/A</v>
      </c>
      <c r="L263" s="204" t="e">
        <v>#N/A</v>
      </c>
      <c r="M263" s="205" t="e">
        <v>#N/A</v>
      </c>
      <c r="N263" s="205" t="e">
        <v>#N/A</v>
      </c>
      <c r="O263" s="205" t="e">
        <v>#N/A</v>
      </c>
      <c r="P263" s="205" t="e">
        <v>#N/A</v>
      </c>
      <c r="Q263" s="189" t="e">
        <v>#N/A</v>
      </c>
      <c r="R263" s="189" t="e">
        <v>#N/A</v>
      </c>
      <c r="S263" s="205" t="e">
        <v>#N/A</v>
      </c>
      <c r="T263" s="206"/>
    </row>
    <row r="264">
      <c r="C264" s="189" t="e">
        <v>#N/A</v>
      </c>
      <c r="D264" s="189" t="e">
        <v>#N/A</v>
      </c>
      <c r="E264" s="189" t="e">
        <v>#N/A</v>
      </c>
      <c r="F264" s="189" t="e">
        <v>#N/A</v>
      </c>
      <c r="G264" s="189" t="e">
        <v>#N/A</v>
      </c>
      <c r="H264" s="189" t="e">
        <v>#N/A</v>
      </c>
      <c r="I264" s="189" t="e">
        <v>#N/A</v>
      </c>
      <c r="J264" s="189" t="e">
        <v>#N/A</v>
      </c>
      <c r="K264" s="204" t="e">
        <v>#N/A</v>
      </c>
      <c r="L264" s="204" t="e">
        <v>#N/A</v>
      </c>
      <c r="M264" s="205" t="e">
        <v>#N/A</v>
      </c>
      <c r="N264" s="205" t="e">
        <v>#N/A</v>
      </c>
      <c r="O264" s="205" t="e">
        <v>#N/A</v>
      </c>
      <c r="P264" s="205" t="e">
        <v>#N/A</v>
      </c>
      <c r="Q264" s="189" t="e">
        <v>#N/A</v>
      </c>
      <c r="R264" s="189" t="e">
        <v>#N/A</v>
      </c>
      <c r="S264" s="205" t="e">
        <v>#N/A</v>
      </c>
      <c r="T264" s="206"/>
    </row>
    <row r="265">
      <c r="C265" s="189" t="e">
        <v>#N/A</v>
      </c>
      <c r="D265" s="189" t="e">
        <v>#N/A</v>
      </c>
      <c r="E265" s="189" t="e">
        <v>#N/A</v>
      </c>
      <c r="F265" s="189" t="e">
        <v>#N/A</v>
      </c>
      <c r="G265" s="189" t="e">
        <v>#N/A</v>
      </c>
      <c r="H265" s="189" t="e">
        <v>#N/A</v>
      </c>
      <c r="I265" s="189" t="e">
        <v>#N/A</v>
      </c>
      <c r="J265" s="189" t="e">
        <v>#N/A</v>
      </c>
      <c r="K265" s="204" t="e">
        <v>#N/A</v>
      </c>
      <c r="L265" s="204" t="e">
        <v>#N/A</v>
      </c>
      <c r="M265" s="205" t="e">
        <v>#N/A</v>
      </c>
      <c r="N265" s="205" t="e">
        <v>#N/A</v>
      </c>
      <c r="O265" s="205" t="e">
        <v>#N/A</v>
      </c>
      <c r="P265" s="205" t="e">
        <v>#N/A</v>
      </c>
      <c r="Q265" s="189" t="e">
        <v>#N/A</v>
      </c>
      <c r="R265" s="189" t="e">
        <v>#N/A</v>
      </c>
      <c r="S265" s="205" t="e">
        <v>#N/A</v>
      </c>
      <c r="T265" s="206"/>
    </row>
    <row r="266">
      <c r="C266" s="189" t="e">
        <v>#N/A</v>
      </c>
      <c r="D266" s="189" t="e">
        <v>#N/A</v>
      </c>
      <c r="E266" s="189" t="e">
        <v>#N/A</v>
      </c>
      <c r="F266" s="189" t="e">
        <v>#N/A</v>
      </c>
      <c r="G266" s="189" t="e">
        <v>#N/A</v>
      </c>
      <c r="H266" s="189" t="e">
        <v>#N/A</v>
      </c>
      <c r="I266" s="189" t="e">
        <v>#N/A</v>
      </c>
      <c r="J266" s="189" t="e">
        <v>#N/A</v>
      </c>
      <c r="K266" s="204" t="e">
        <v>#N/A</v>
      </c>
      <c r="L266" s="204" t="e">
        <v>#N/A</v>
      </c>
      <c r="M266" s="205" t="e">
        <v>#N/A</v>
      </c>
      <c r="N266" s="205" t="e">
        <v>#N/A</v>
      </c>
      <c r="O266" s="205" t="e">
        <v>#N/A</v>
      </c>
      <c r="P266" s="205" t="e">
        <v>#N/A</v>
      </c>
      <c r="Q266" s="189" t="e">
        <v>#N/A</v>
      </c>
      <c r="R266" s="189" t="e">
        <v>#N/A</v>
      </c>
      <c r="S266" s="205" t="e">
        <v>#N/A</v>
      </c>
      <c r="T266" s="206"/>
    </row>
    <row r="267">
      <c r="C267" s="189" t="e">
        <v>#N/A</v>
      </c>
      <c r="D267" s="189" t="e">
        <v>#N/A</v>
      </c>
      <c r="E267" s="189" t="e">
        <v>#N/A</v>
      </c>
      <c r="F267" s="189" t="e">
        <v>#N/A</v>
      </c>
      <c r="G267" s="189" t="e">
        <v>#N/A</v>
      </c>
      <c r="H267" s="189" t="e">
        <v>#N/A</v>
      </c>
      <c r="I267" s="189" t="e">
        <v>#N/A</v>
      </c>
      <c r="J267" s="189" t="e">
        <v>#N/A</v>
      </c>
      <c r="K267" s="204" t="e">
        <v>#N/A</v>
      </c>
      <c r="L267" s="204" t="e">
        <v>#N/A</v>
      </c>
      <c r="M267" s="205" t="e">
        <v>#N/A</v>
      </c>
      <c r="N267" s="205" t="e">
        <v>#N/A</v>
      </c>
      <c r="O267" s="205" t="e">
        <v>#N/A</v>
      </c>
      <c r="P267" s="205" t="e">
        <v>#N/A</v>
      </c>
      <c r="Q267" s="189" t="e">
        <v>#N/A</v>
      </c>
      <c r="R267" s="189" t="e">
        <v>#N/A</v>
      </c>
      <c r="S267" s="205" t="e">
        <v>#N/A</v>
      </c>
      <c r="T267" s="206"/>
    </row>
    <row r="268">
      <c r="C268" s="189" t="e">
        <v>#N/A</v>
      </c>
      <c r="D268" s="189" t="e">
        <v>#N/A</v>
      </c>
      <c r="E268" s="189" t="e">
        <v>#N/A</v>
      </c>
      <c r="F268" s="189" t="e">
        <v>#N/A</v>
      </c>
      <c r="G268" s="189" t="e">
        <v>#N/A</v>
      </c>
      <c r="H268" s="189" t="e">
        <v>#N/A</v>
      </c>
      <c r="I268" s="189" t="e">
        <v>#N/A</v>
      </c>
      <c r="J268" s="189" t="e">
        <v>#N/A</v>
      </c>
      <c r="K268" s="204" t="e">
        <v>#N/A</v>
      </c>
      <c r="L268" s="204" t="e">
        <v>#N/A</v>
      </c>
      <c r="M268" s="205" t="e">
        <v>#N/A</v>
      </c>
      <c r="N268" s="205" t="e">
        <v>#N/A</v>
      </c>
      <c r="O268" s="205" t="e">
        <v>#N/A</v>
      </c>
      <c r="P268" s="205" t="e">
        <v>#N/A</v>
      </c>
      <c r="Q268" s="189" t="e">
        <v>#N/A</v>
      </c>
      <c r="R268" s="189" t="e">
        <v>#N/A</v>
      </c>
      <c r="S268" s="205" t="e">
        <v>#N/A</v>
      </c>
      <c r="T268" s="206"/>
    </row>
    <row r="269">
      <c r="C269" s="189" t="e">
        <v>#N/A</v>
      </c>
      <c r="D269" s="189" t="e">
        <v>#N/A</v>
      </c>
      <c r="E269" s="189" t="e">
        <v>#N/A</v>
      </c>
      <c r="F269" s="189" t="e">
        <v>#N/A</v>
      </c>
      <c r="G269" s="189" t="e">
        <v>#N/A</v>
      </c>
      <c r="H269" s="189" t="e">
        <v>#N/A</v>
      </c>
      <c r="I269" s="189" t="e">
        <v>#N/A</v>
      </c>
      <c r="J269" s="189" t="e">
        <v>#N/A</v>
      </c>
      <c r="K269" s="204" t="e">
        <v>#N/A</v>
      </c>
      <c r="L269" s="204" t="e">
        <v>#N/A</v>
      </c>
      <c r="M269" s="205" t="e">
        <v>#N/A</v>
      </c>
      <c r="N269" s="205" t="e">
        <v>#N/A</v>
      </c>
      <c r="O269" s="205" t="e">
        <v>#N/A</v>
      </c>
      <c r="P269" s="205" t="e">
        <v>#N/A</v>
      </c>
      <c r="Q269" s="189" t="e">
        <v>#N/A</v>
      </c>
      <c r="R269" s="189" t="e">
        <v>#N/A</v>
      </c>
      <c r="S269" s="205" t="e">
        <v>#N/A</v>
      </c>
      <c r="T269" s="206"/>
    </row>
    <row r="270">
      <c r="C270" s="189" t="e">
        <v>#N/A</v>
      </c>
      <c r="D270" s="189" t="e">
        <v>#N/A</v>
      </c>
      <c r="E270" s="189" t="e">
        <v>#N/A</v>
      </c>
      <c r="F270" s="189" t="e">
        <v>#N/A</v>
      </c>
      <c r="G270" s="189" t="e">
        <v>#N/A</v>
      </c>
      <c r="H270" s="189" t="e">
        <v>#N/A</v>
      </c>
      <c r="I270" s="189" t="e">
        <v>#N/A</v>
      </c>
      <c r="J270" s="189" t="e">
        <v>#N/A</v>
      </c>
      <c r="K270" s="204" t="e">
        <v>#N/A</v>
      </c>
      <c r="L270" s="204" t="e">
        <v>#N/A</v>
      </c>
      <c r="M270" s="205" t="e">
        <v>#N/A</v>
      </c>
      <c r="N270" s="205" t="e">
        <v>#N/A</v>
      </c>
      <c r="O270" s="205" t="e">
        <v>#N/A</v>
      </c>
      <c r="P270" s="205" t="e">
        <v>#N/A</v>
      </c>
      <c r="Q270" s="189" t="e">
        <v>#N/A</v>
      </c>
      <c r="R270" s="189" t="e">
        <v>#N/A</v>
      </c>
      <c r="S270" s="205" t="e">
        <v>#N/A</v>
      </c>
      <c r="T270" s="206"/>
    </row>
    <row r="271">
      <c r="C271" s="189" t="e">
        <v>#N/A</v>
      </c>
      <c r="D271" s="189" t="e">
        <v>#N/A</v>
      </c>
      <c r="E271" s="189" t="e">
        <v>#N/A</v>
      </c>
      <c r="F271" s="189" t="e">
        <v>#N/A</v>
      </c>
      <c r="G271" s="189" t="e">
        <v>#N/A</v>
      </c>
      <c r="H271" s="189" t="e">
        <v>#N/A</v>
      </c>
      <c r="I271" s="189" t="e">
        <v>#N/A</v>
      </c>
      <c r="J271" s="189" t="e">
        <v>#N/A</v>
      </c>
      <c r="K271" s="204" t="e">
        <v>#N/A</v>
      </c>
      <c r="L271" s="204" t="e">
        <v>#N/A</v>
      </c>
      <c r="M271" s="205" t="e">
        <v>#N/A</v>
      </c>
      <c r="N271" s="205" t="e">
        <v>#N/A</v>
      </c>
      <c r="O271" s="205" t="e">
        <v>#N/A</v>
      </c>
      <c r="P271" s="205" t="e">
        <v>#N/A</v>
      </c>
      <c r="Q271" s="189" t="e">
        <v>#N/A</v>
      </c>
      <c r="R271" s="189" t="e">
        <v>#N/A</v>
      </c>
      <c r="S271" s="205" t="e">
        <v>#N/A</v>
      </c>
      <c r="T271" s="206"/>
    </row>
    <row r="272">
      <c r="C272" s="189" t="e">
        <v>#N/A</v>
      </c>
      <c r="D272" s="189" t="e">
        <v>#N/A</v>
      </c>
      <c r="E272" s="189" t="e">
        <v>#N/A</v>
      </c>
      <c r="F272" s="189" t="e">
        <v>#N/A</v>
      </c>
      <c r="G272" s="189" t="e">
        <v>#N/A</v>
      </c>
      <c r="H272" s="189" t="e">
        <v>#N/A</v>
      </c>
      <c r="I272" s="189" t="e">
        <v>#N/A</v>
      </c>
      <c r="J272" s="189" t="e">
        <v>#N/A</v>
      </c>
      <c r="K272" s="204" t="e">
        <v>#N/A</v>
      </c>
      <c r="L272" s="204" t="e">
        <v>#N/A</v>
      </c>
      <c r="M272" s="205" t="e">
        <v>#N/A</v>
      </c>
      <c r="N272" s="205" t="e">
        <v>#N/A</v>
      </c>
      <c r="O272" s="205" t="e">
        <v>#N/A</v>
      </c>
      <c r="P272" s="205" t="e">
        <v>#N/A</v>
      </c>
      <c r="Q272" s="189" t="e">
        <v>#N/A</v>
      </c>
      <c r="R272" s="189" t="e">
        <v>#N/A</v>
      </c>
      <c r="S272" s="205" t="e">
        <v>#N/A</v>
      </c>
      <c r="T272" s="206"/>
    </row>
    <row r="273">
      <c r="C273" s="189" t="e">
        <v>#N/A</v>
      </c>
      <c r="D273" s="189" t="e">
        <v>#N/A</v>
      </c>
      <c r="E273" s="189" t="e">
        <v>#N/A</v>
      </c>
      <c r="F273" s="189" t="e">
        <v>#N/A</v>
      </c>
      <c r="G273" s="189" t="e">
        <v>#N/A</v>
      </c>
      <c r="H273" s="189" t="e">
        <v>#N/A</v>
      </c>
      <c r="I273" s="189" t="e">
        <v>#N/A</v>
      </c>
      <c r="J273" s="189" t="e">
        <v>#N/A</v>
      </c>
      <c r="K273" s="204" t="e">
        <v>#N/A</v>
      </c>
      <c r="L273" s="204" t="e">
        <v>#N/A</v>
      </c>
      <c r="M273" s="205" t="e">
        <v>#N/A</v>
      </c>
      <c r="N273" s="205" t="e">
        <v>#N/A</v>
      </c>
      <c r="O273" s="205" t="e">
        <v>#N/A</v>
      </c>
      <c r="P273" s="205" t="e">
        <v>#N/A</v>
      </c>
      <c r="Q273" s="189" t="e">
        <v>#N/A</v>
      </c>
      <c r="R273" s="189" t="e">
        <v>#N/A</v>
      </c>
      <c r="S273" s="205" t="e">
        <v>#N/A</v>
      </c>
      <c r="T273" s="206"/>
    </row>
    <row r="274">
      <c r="C274" s="189" t="e">
        <v>#N/A</v>
      </c>
      <c r="D274" s="189" t="e">
        <v>#N/A</v>
      </c>
      <c r="E274" s="189" t="e">
        <v>#N/A</v>
      </c>
      <c r="F274" s="189" t="e">
        <v>#N/A</v>
      </c>
      <c r="G274" s="189" t="e">
        <v>#N/A</v>
      </c>
      <c r="H274" s="189" t="e">
        <v>#N/A</v>
      </c>
      <c r="I274" s="189" t="e">
        <v>#N/A</v>
      </c>
      <c r="J274" s="189" t="e">
        <v>#N/A</v>
      </c>
      <c r="K274" s="204" t="e">
        <v>#N/A</v>
      </c>
      <c r="L274" s="204" t="e">
        <v>#N/A</v>
      </c>
      <c r="M274" s="205" t="e">
        <v>#N/A</v>
      </c>
      <c r="N274" s="205" t="e">
        <v>#N/A</v>
      </c>
      <c r="O274" s="205" t="e">
        <v>#N/A</v>
      </c>
      <c r="P274" s="205" t="e">
        <v>#N/A</v>
      </c>
      <c r="Q274" s="189" t="e">
        <v>#N/A</v>
      </c>
      <c r="R274" s="189" t="e">
        <v>#N/A</v>
      </c>
      <c r="S274" s="205" t="e">
        <v>#N/A</v>
      </c>
      <c r="T274" s="206"/>
    </row>
    <row r="275">
      <c r="C275" s="189" t="e">
        <v>#N/A</v>
      </c>
      <c r="D275" s="189" t="e">
        <v>#N/A</v>
      </c>
      <c r="E275" s="189" t="e">
        <v>#N/A</v>
      </c>
      <c r="F275" s="189" t="e">
        <v>#N/A</v>
      </c>
      <c r="G275" s="189" t="e">
        <v>#N/A</v>
      </c>
      <c r="H275" s="189" t="e">
        <v>#N/A</v>
      </c>
      <c r="I275" s="189" t="e">
        <v>#N/A</v>
      </c>
      <c r="J275" s="189" t="e">
        <v>#N/A</v>
      </c>
      <c r="K275" s="204" t="e">
        <v>#N/A</v>
      </c>
      <c r="L275" s="204" t="e">
        <v>#N/A</v>
      </c>
      <c r="M275" s="205" t="e">
        <v>#N/A</v>
      </c>
      <c r="N275" s="205" t="e">
        <v>#N/A</v>
      </c>
      <c r="O275" s="205" t="e">
        <v>#N/A</v>
      </c>
      <c r="P275" s="205" t="e">
        <v>#N/A</v>
      </c>
      <c r="Q275" s="189" t="e">
        <v>#N/A</v>
      </c>
      <c r="R275" s="189" t="e">
        <v>#N/A</v>
      </c>
      <c r="S275" s="205" t="e">
        <v>#N/A</v>
      </c>
      <c r="T275" s="206"/>
    </row>
    <row r="276">
      <c r="C276" s="189" t="e">
        <v>#N/A</v>
      </c>
      <c r="D276" s="189" t="e">
        <v>#N/A</v>
      </c>
      <c r="E276" s="189" t="e">
        <v>#N/A</v>
      </c>
      <c r="F276" s="189" t="e">
        <v>#N/A</v>
      </c>
      <c r="G276" s="189" t="e">
        <v>#N/A</v>
      </c>
      <c r="H276" s="189" t="e">
        <v>#N/A</v>
      </c>
      <c r="I276" s="189" t="e">
        <v>#N/A</v>
      </c>
      <c r="J276" s="189" t="e">
        <v>#N/A</v>
      </c>
      <c r="K276" s="204" t="e">
        <v>#N/A</v>
      </c>
      <c r="L276" s="204" t="e">
        <v>#N/A</v>
      </c>
      <c r="M276" s="205" t="e">
        <v>#N/A</v>
      </c>
      <c r="N276" s="205" t="e">
        <v>#N/A</v>
      </c>
      <c r="O276" s="205" t="e">
        <v>#N/A</v>
      </c>
      <c r="P276" s="205" t="e">
        <v>#N/A</v>
      </c>
      <c r="Q276" s="189" t="e">
        <v>#N/A</v>
      </c>
      <c r="R276" s="189" t="e">
        <v>#N/A</v>
      </c>
      <c r="S276" s="205" t="e">
        <v>#N/A</v>
      </c>
      <c r="T276" s="206"/>
    </row>
    <row r="277">
      <c r="C277" s="189" t="e">
        <v>#N/A</v>
      </c>
      <c r="D277" s="189" t="e">
        <v>#N/A</v>
      </c>
      <c r="E277" s="189" t="e">
        <v>#N/A</v>
      </c>
      <c r="F277" s="189" t="e">
        <v>#N/A</v>
      </c>
      <c r="G277" s="189" t="e">
        <v>#N/A</v>
      </c>
      <c r="H277" s="189" t="e">
        <v>#N/A</v>
      </c>
      <c r="I277" s="189" t="e">
        <v>#N/A</v>
      </c>
      <c r="J277" s="189" t="e">
        <v>#N/A</v>
      </c>
      <c r="K277" s="204" t="e">
        <v>#N/A</v>
      </c>
      <c r="L277" s="204" t="e">
        <v>#N/A</v>
      </c>
      <c r="M277" s="205" t="e">
        <v>#N/A</v>
      </c>
      <c r="N277" s="205" t="e">
        <v>#N/A</v>
      </c>
      <c r="O277" s="205" t="e">
        <v>#N/A</v>
      </c>
      <c r="P277" s="205" t="e">
        <v>#N/A</v>
      </c>
      <c r="Q277" s="189" t="e">
        <v>#N/A</v>
      </c>
      <c r="R277" s="189" t="e">
        <v>#N/A</v>
      </c>
      <c r="S277" s="205" t="e">
        <v>#N/A</v>
      </c>
      <c r="T277" s="206"/>
    </row>
    <row r="278">
      <c r="C278" s="189" t="e">
        <v>#N/A</v>
      </c>
      <c r="D278" s="189" t="e">
        <v>#N/A</v>
      </c>
      <c r="E278" s="189" t="e">
        <v>#N/A</v>
      </c>
      <c r="F278" s="189" t="e">
        <v>#N/A</v>
      </c>
      <c r="G278" s="189" t="e">
        <v>#N/A</v>
      </c>
      <c r="H278" s="189" t="e">
        <v>#N/A</v>
      </c>
      <c r="I278" s="189" t="e">
        <v>#N/A</v>
      </c>
      <c r="J278" s="189" t="e">
        <v>#N/A</v>
      </c>
      <c r="K278" s="204" t="e">
        <v>#N/A</v>
      </c>
      <c r="L278" s="204" t="e">
        <v>#N/A</v>
      </c>
      <c r="M278" s="205" t="e">
        <v>#N/A</v>
      </c>
      <c r="N278" s="205" t="e">
        <v>#N/A</v>
      </c>
      <c r="O278" s="205" t="e">
        <v>#N/A</v>
      </c>
      <c r="P278" s="205" t="e">
        <v>#N/A</v>
      </c>
      <c r="Q278" s="189" t="e">
        <v>#N/A</v>
      </c>
      <c r="R278" s="189" t="e">
        <v>#N/A</v>
      </c>
      <c r="S278" s="205" t="e">
        <v>#N/A</v>
      </c>
      <c r="T278" s="206"/>
    </row>
    <row r="279">
      <c r="C279" s="189" t="e">
        <v>#N/A</v>
      </c>
      <c r="D279" s="189" t="e">
        <v>#N/A</v>
      </c>
      <c r="E279" s="189" t="e">
        <v>#N/A</v>
      </c>
      <c r="F279" s="189" t="e">
        <v>#N/A</v>
      </c>
      <c r="G279" s="189" t="e">
        <v>#N/A</v>
      </c>
      <c r="H279" s="189" t="e">
        <v>#N/A</v>
      </c>
      <c r="I279" s="189" t="e">
        <v>#N/A</v>
      </c>
      <c r="J279" s="189" t="e">
        <v>#N/A</v>
      </c>
      <c r="K279" s="204" t="e">
        <v>#N/A</v>
      </c>
      <c r="L279" s="204" t="e">
        <v>#N/A</v>
      </c>
      <c r="M279" s="205" t="e">
        <v>#N/A</v>
      </c>
      <c r="N279" s="205" t="e">
        <v>#N/A</v>
      </c>
      <c r="O279" s="205" t="e">
        <v>#N/A</v>
      </c>
      <c r="P279" s="205" t="e">
        <v>#N/A</v>
      </c>
      <c r="Q279" s="189" t="e">
        <v>#N/A</v>
      </c>
      <c r="R279" s="189" t="e">
        <v>#N/A</v>
      </c>
      <c r="S279" s="205" t="e">
        <v>#N/A</v>
      </c>
      <c r="T279" s="206"/>
    </row>
    <row r="280">
      <c r="C280" s="189" t="e">
        <v>#N/A</v>
      </c>
      <c r="D280" s="189" t="e">
        <v>#N/A</v>
      </c>
      <c r="E280" s="189" t="e">
        <v>#N/A</v>
      </c>
      <c r="F280" s="189" t="e">
        <v>#N/A</v>
      </c>
      <c r="G280" s="189" t="e">
        <v>#N/A</v>
      </c>
      <c r="H280" s="189" t="e">
        <v>#N/A</v>
      </c>
      <c r="I280" s="189" t="e">
        <v>#N/A</v>
      </c>
      <c r="J280" s="189" t="e">
        <v>#N/A</v>
      </c>
      <c r="K280" s="204" t="e">
        <v>#N/A</v>
      </c>
      <c r="L280" s="204" t="e">
        <v>#N/A</v>
      </c>
      <c r="M280" s="205" t="e">
        <v>#N/A</v>
      </c>
      <c r="N280" s="205" t="e">
        <v>#N/A</v>
      </c>
      <c r="O280" s="205" t="e">
        <v>#N/A</v>
      </c>
      <c r="P280" s="205" t="e">
        <v>#N/A</v>
      </c>
      <c r="Q280" s="189" t="e">
        <v>#N/A</v>
      </c>
      <c r="R280" s="189" t="e">
        <v>#N/A</v>
      </c>
      <c r="S280" s="205" t="e">
        <v>#N/A</v>
      </c>
      <c r="T280" s="206"/>
    </row>
    <row r="281">
      <c r="C281" s="189" t="e">
        <v>#N/A</v>
      </c>
      <c r="D281" s="189" t="e">
        <v>#N/A</v>
      </c>
      <c r="E281" s="189" t="e">
        <v>#N/A</v>
      </c>
      <c r="F281" s="189" t="e">
        <v>#N/A</v>
      </c>
      <c r="G281" s="189" t="e">
        <v>#N/A</v>
      </c>
      <c r="H281" s="189" t="e">
        <v>#N/A</v>
      </c>
      <c r="I281" s="189" t="e">
        <v>#N/A</v>
      </c>
      <c r="J281" s="189" t="e">
        <v>#N/A</v>
      </c>
      <c r="K281" s="204" t="e">
        <v>#N/A</v>
      </c>
      <c r="L281" s="204" t="e">
        <v>#N/A</v>
      </c>
      <c r="M281" s="205" t="e">
        <v>#N/A</v>
      </c>
      <c r="N281" s="205" t="e">
        <v>#N/A</v>
      </c>
      <c r="O281" s="205" t="e">
        <v>#N/A</v>
      </c>
      <c r="P281" s="205" t="e">
        <v>#N/A</v>
      </c>
      <c r="Q281" s="189" t="e">
        <v>#N/A</v>
      </c>
      <c r="R281" s="189" t="e">
        <v>#N/A</v>
      </c>
      <c r="S281" s="205" t="e">
        <v>#N/A</v>
      </c>
      <c r="T281" s="206"/>
    </row>
    <row r="282">
      <c r="C282" s="189" t="e">
        <v>#N/A</v>
      </c>
      <c r="D282" s="189" t="e">
        <v>#N/A</v>
      </c>
      <c r="E282" s="189" t="e">
        <v>#N/A</v>
      </c>
      <c r="F282" s="189" t="e">
        <v>#N/A</v>
      </c>
      <c r="G282" s="189" t="e">
        <v>#N/A</v>
      </c>
      <c r="H282" s="189" t="e">
        <v>#N/A</v>
      </c>
      <c r="I282" s="189" t="e">
        <v>#N/A</v>
      </c>
      <c r="J282" s="189" t="e">
        <v>#N/A</v>
      </c>
      <c r="K282" s="204" t="e">
        <v>#N/A</v>
      </c>
      <c r="L282" s="204" t="e">
        <v>#N/A</v>
      </c>
      <c r="M282" s="205" t="e">
        <v>#N/A</v>
      </c>
      <c r="N282" s="205" t="e">
        <v>#N/A</v>
      </c>
      <c r="O282" s="205" t="e">
        <v>#N/A</v>
      </c>
      <c r="P282" s="205" t="e">
        <v>#N/A</v>
      </c>
      <c r="Q282" s="189" t="e">
        <v>#N/A</v>
      </c>
      <c r="R282" s="189" t="e">
        <v>#N/A</v>
      </c>
      <c r="S282" s="205" t="e">
        <v>#N/A</v>
      </c>
      <c r="T282" s="206"/>
    </row>
    <row r="283">
      <c r="C283" s="189" t="e">
        <v>#N/A</v>
      </c>
      <c r="D283" s="189" t="e">
        <v>#N/A</v>
      </c>
      <c r="E283" s="189" t="e">
        <v>#N/A</v>
      </c>
      <c r="F283" s="189" t="e">
        <v>#N/A</v>
      </c>
      <c r="G283" s="189" t="e">
        <v>#N/A</v>
      </c>
      <c r="H283" s="189" t="e">
        <v>#N/A</v>
      </c>
      <c r="I283" s="189" t="e">
        <v>#N/A</v>
      </c>
      <c r="J283" s="189" t="e">
        <v>#N/A</v>
      </c>
      <c r="K283" s="204" t="e">
        <v>#N/A</v>
      </c>
      <c r="L283" s="204" t="e">
        <v>#N/A</v>
      </c>
      <c r="M283" s="205" t="e">
        <v>#N/A</v>
      </c>
      <c r="N283" s="205" t="e">
        <v>#N/A</v>
      </c>
      <c r="O283" s="205" t="e">
        <v>#N/A</v>
      </c>
      <c r="P283" s="205" t="e">
        <v>#N/A</v>
      </c>
      <c r="Q283" s="189" t="e">
        <v>#N/A</v>
      </c>
      <c r="R283" s="189" t="e">
        <v>#N/A</v>
      </c>
      <c r="S283" s="205" t="e">
        <v>#N/A</v>
      </c>
      <c r="T283" s="206"/>
    </row>
    <row r="284">
      <c r="C284" s="189" t="e">
        <v>#N/A</v>
      </c>
      <c r="D284" s="189" t="e">
        <v>#N/A</v>
      </c>
      <c r="E284" s="189" t="e">
        <v>#N/A</v>
      </c>
      <c r="F284" s="189" t="e">
        <v>#N/A</v>
      </c>
      <c r="G284" s="189" t="e">
        <v>#N/A</v>
      </c>
      <c r="H284" s="189" t="e">
        <v>#N/A</v>
      </c>
      <c r="I284" s="189" t="e">
        <v>#N/A</v>
      </c>
      <c r="J284" s="189" t="e">
        <v>#N/A</v>
      </c>
      <c r="K284" s="204" t="e">
        <v>#N/A</v>
      </c>
      <c r="L284" s="204" t="e">
        <v>#N/A</v>
      </c>
      <c r="M284" s="205" t="e">
        <v>#N/A</v>
      </c>
      <c r="N284" s="205" t="e">
        <v>#N/A</v>
      </c>
      <c r="O284" s="205" t="e">
        <v>#N/A</v>
      </c>
      <c r="P284" s="205" t="e">
        <v>#N/A</v>
      </c>
      <c r="Q284" s="189" t="e">
        <v>#N/A</v>
      </c>
      <c r="R284" s="189" t="e">
        <v>#N/A</v>
      </c>
      <c r="S284" s="205" t="e">
        <v>#N/A</v>
      </c>
      <c r="T284" s="206"/>
    </row>
    <row r="285">
      <c r="C285" s="189" t="e">
        <v>#N/A</v>
      </c>
      <c r="D285" s="189" t="e">
        <v>#N/A</v>
      </c>
      <c r="E285" s="189" t="e">
        <v>#N/A</v>
      </c>
      <c r="F285" s="189" t="e">
        <v>#N/A</v>
      </c>
      <c r="G285" s="189" t="e">
        <v>#N/A</v>
      </c>
      <c r="H285" s="189" t="e">
        <v>#N/A</v>
      </c>
      <c r="I285" s="189" t="e">
        <v>#N/A</v>
      </c>
      <c r="J285" s="189" t="e">
        <v>#N/A</v>
      </c>
      <c r="K285" s="204" t="e">
        <v>#N/A</v>
      </c>
      <c r="L285" s="204" t="e">
        <v>#N/A</v>
      </c>
      <c r="M285" s="205" t="e">
        <v>#N/A</v>
      </c>
      <c r="N285" s="205" t="e">
        <v>#N/A</v>
      </c>
      <c r="O285" s="205" t="e">
        <v>#N/A</v>
      </c>
      <c r="P285" s="205" t="e">
        <v>#N/A</v>
      </c>
      <c r="Q285" s="189" t="e">
        <v>#N/A</v>
      </c>
      <c r="R285" s="189" t="e">
        <v>#N/A</v>
      </c>
      <c r="S285" s="205" t="e">
        <v>#N/A</v>
      </c>
      <c r="T285" s="206"/>
    </row>
    <row r="286">
      <c r="C286" s="189" t="e">
        <v>#N/A</v>
      </c>
      <c r="D286" s="189" t="e">
        <v>#N/A</v>
      </c>
      <c r="E286" s="189" t="e">
        <v>#N/A</v>
      </c>
      <c r="F286" s="189" t="e">
        <v>#N/A</v>
      </c>
      <c r="G286" s="189" t="e">
        <v>#N/A</v>
      </c>
      <c r="H286" s="189" t="e">
        <v>#N/A</v>
      </c>
      <c r="I286" s="189" t="e">
        <v>#N/A</v>
      </c>
      <c r="J286" s="189" t="e">
        <v>#N/A</v>
      </c>
      <c r="K286" s="204" t="e">
        <v>#N/A</v>
      </c>
      <c r="L286" s="204" t="e">
        <v>#N/A</v>
      </c>
      <c r="M286" s="205" t="e">
        <v>#N/A</v>
      </c>
      <c r="N286" s="205" t="e">
        <v>#N/A</v>
      </c>
      <c r="O286" s="205" t="e">
        <v>#N/A</v>
      </c>
      <c r="P286" s="205" t="e">
        <v>#N/A</v>
      </c>
      <c r="Q286" s="189" t="e">
        <v>#N/A</v>
      </c>
      <c r="R286" s="189" t="e">
        <v>#N/A</v>
      </c>
      <c r="S286" s="205" t="e">
        <v>#N/A</v>
      </c>
      <c r="T286" s="206"/>
    </row>
    <row r="287">
      <c r="C287" s="189" t="e">
        <v>#N/A</v>
      </c>
      <c r="D287" s="189" t="e">
        <v>#N/A</v>
      </c>
      <c r="E287" s="189" t="e">
        <v>#N/A</v>
      </c>
      <c r="F287" s="189" t="e">
        <v>#N/A</v>
      </c>
      <c r="G287" s="189" t="e">
        <v>#N/A</v>
      </c>
      <c r="H287" s="189" t="e">
        <v>#N/A</v>
      </c>
      <c r="I287" s="189" t="e">
        <v>#N/A</v>
      </c>
      <c r="J287" s="189" t="e">
        <v>#N/A</v>
      </c>
      <c r="K287" s="204" t="e">
        <v>#N/A</v>
      </c>
      <c r="L287" s="204" t="e">
        <v>#N/A</v>
      </c>
      <c r="M287" s="205" t="e">
        <v>#N/A</v>
      </c>
      <c r="N287" s="205" t="e">
        <v>#N/A</v>
      </c>
      <c r="O287" s="205" t="e">
        <v>#N/A</v>
      </c>
      <c r="P287" s="205" t="e">
        <v>#N/A</v>
      </c>
      <c r="Q287" s="189" t="e">
        <v>#N/A</v>
      </c>
      <c r="R287" s="189" t="e">
        <v>#N/A</v>
      </c>
      <c r="S287" s="205" t="e">
        <v>#N/A</v>
      </c>
      <c r="T287" s="206"/>
    </row>
    <row r="288">
      <c r="C288" s="189" t="e">
        <v>#N/A</v>
      </c>
      <c r="D288" s="189" t="e">
        <v>#N/A</v>
      </c>
      <c r="E288" s="189" t="e">
        <v>#N/A</v>
      </c>
      <c r="F288" s="189" t="e">
        <v>#N/A</v>
      </c>
      <c r="G288" s="189" t="e">
        <v>#N/A</v>
      </c>
      <c r="H288" s="189" t="e">
        <v>#N/A</v>
      </c>
      <c r="I288" s="189" t="e">
        <v>#N/A</v>
      </c>
      <c r="J288" s="189" t="e">
        <v>#N/A</v>
      </c>
      <c r="K288" s="204" t="e">
        <v>#N/A</v>
      </c>
      <c r="L288" s="204" t="e">
        <v>#N/A</v>
      </c>
      <c r="M288" s="205" t="e">
        <v>#N/A</v>
      </c>
      <c r="N288" s="205" t="e">
        <v>#N/A</v>
      </c>
      <c r="O288" s="205" t="e">
        <v>#N/A</v>
      </c>
      <c r="P288" s="205" t="e">
        <v>#N/A</v>
      </c>
      <c r="Q288" s="189" t="e">
        <v>#N/A</v>
      </c>
      <c r="R288" s="189" t="e">
        <v>#N/A</v>
      </c>
      <c r="S288" s="205" t="e">
        <v>#N/A</v>
      </c>
      <c r="T288" s="206"/>
    </row>
    <row r="289">
      <c r="C289" s="189" t="e">
        <v>#N/A</v>
      </c>
      <c r="D289" s="189" t="e">
        <v>#N/A</v>
      </c>
      <c r="E289" s="189" t="e">
        <v>#N/A</v>
      </c>
      <c r="F289" s="189" t="e">
        <v>#N/A</v>
      </c>
      <c r="G289" s="189" t="e">
        <v>#N/A</v>
      </c>
      <c r="H289" s="189" t="e">
        <v>#N/A</v>
      </c>
      <c r="I289" s="189" t="e">
        <v>#N/A</v>
      </c>
      <c r="J289" s="189" t="e">
        <v>#N/A</v>
      </c>
      <c r="K289" s="204" t="e">
        <v>#N/A</v>
      </c>
      <c r="L289" s="204" t="e">
        <v>#N/A</v>
      </c>
      <c r="M289" s="205" t="e">
        <v>#N/A</v>
      </c>
      <c r="N289" s="205" t="e">
        <v>#N/A</v>
      </c>
      <c r="O289" s="205" t="e">
        <v>#N/A</v>
      </c>
      <c r="P289" s="205" t="e">
        <v>#N/A</v>
      </c>
      <c r="Q289" s="189" t="e">
        <v>#N/A</v>
      </c>
      <c r="R289" s="189" t="e">
        <v>#N/A</v>
      </c>
      <c r="S289" s="205" t="e">
        <v>#N/A</v>
      </c>
      <c r="T289" s="206"/>
    </row>
    <row r="290">
      <c r="C290" s="189" t="e">
        <v>#N/A</v>
      </c>
      <c r="D290" s="189" t="e">
        <v>#N/A</v>
      </c>
      <c r="E290" s="189" t="e">
        <v>#N/A</v>
      </c>
      <c r="F290" s="189" t="e">
        <v>#N/A</v>
      </c>
      <c r="G290" s="189" t="e">
        <v>#N/A</v>
      </c>
      <c r="H290" s="189" t="e">
        <v>#N/A</v>
      </c>
      <c r="I290" s="189" t="e">
        <v>#N/A</v>
      </c>
      <c r="J290" s="189" t="e">
        <v>#N/A</v>
      </c>
      <c r="K290" s="204" t="e">
        <v>#N/A</v>
      </c>
      <c r="L290" s="204" t="e">
        <v>#N/A</v>
      </c>
      <c r="M290" s="205" t="e">
        <v>#N/A</v>
      </c>
      <c r="N290" s="205" t="e">
        <v>#N/A</v>
      </c>
      <c r="O290" s="205" t="e">
        <v>#N/A</v>
      </c>
      <c r="P290" s="205" t="e">
        <v>#N/A</v>
      </c>
      <c r="Q290" s="189" t="e">
        <v>#N/A</v>
      </c>
      <c r="R290" s="189" t="e">
        <v>#N/A</v>
      </c>
      <c r="S290" s="205" t="e">
        <v>#N/A</v>
      </c>
      <c r="T290" s="206"/>
    </row>
    <row r="291">
      <c r="C291" s="189" t="e">
        <v>#N/A</v>
      </c>
      <c r="D291" s="189" t="e">
        <v>#N/A</v>
      </c>
      <c r="E291" s="189" t="e">
        <v>#N/A</v>
      </c>
      <c r="F291" s="189" t="e">
        <v>#N/A</v>
      </c>
      <c r="G291" s="189" t="e">
        <v>#N/A</v>
      </c>
      <c r="H291" s="189" t="e">
        <v>#N/A</v>
      </c>
      <c r="I291" s="189" t="e">
        <v>#N/A</v>
      </c>
      <c r="J291" s="189" t="e">
        <v>#N/A</v>
      </c>
      <c r="K291" s="204" t="e">
        <v>#N/A</v>
      </c>
      <c r="L291" s="204" t="e">
        <v>#N/A</v>
      </c>
      <c r="M291" s="205" t="e">
        <v>#N/A</v>
      </c>
      <c r="N291" s="205" t="e">
        <v>#N/A</v>
      </c>
      <c r="O291" s="205" t="e">
        <v>#N/A</v>
      </c>
      <c r="P291" s="205" t="e">
        <v>#N/A</v>
      </c>
      <c r="Q291" s="189" t="e">
        <v>#N/A</v>
      </c>
      <c r="R291" s="189" t="e">
        <v>#N/A</v>
      </c>
      <c r="S291" s="205" t="e">
        <v>#N/A</v>
      </c>
      <c r="T291" s="206"/>
    </row>
    <row r="292">
      <c r="C292" s="189" t="e">
        <v>#N/A</v>
      </c>
      <c r="D292" s="189" t="e">
        <v>#N/A</v>
      </c>
      <c r="E292" s="189" t="e">
        <v>#N/A</v>
      </c>
      <c r="F292" s="189" t="e">
        <v>#N/A</v>
      </c>
      <c r="G292" s="189" t="e">
        <v>#N/A</v>
      </c>
      <c r="H292" s="189" t="e">
        <v>#N/A</v>
      </c>
      <c r="I292" s="189" t="e">
        <v>#N/A</v>
      </c>
      <c r="J292" s="189" t="e">
        <v>#N/A</v>
      </c>
      <c r="K292" s="204" t="e">
        <v>#N/A</v>
      </c>
      <c r="L292" s="204" t="e">
        <v>#N/A</v>
      </c>
      <c r="M292" s="205" t="e">
        <v>#N/A</v>
      </c>
      <c r="N292" s="205" t="e">
        <v>#N/A</v>
      </c>
      <c r="O292" s="205" t="e">
        <v>#N/A</v>
      </c>
      <c r="P292" s="205" t="e">
        <v>#N/A</v>
      </c>
      <c r="Q292" s="189" t="e">
        <v>#N/A</v>
      </c>
      <c r="R292" s="189" t="e">
        <v>#N/A</v>
      </c>
      <c r="S292" s="205" t="e">
        <v>#N/A</v>
      </c>
      <c r="T292" s="206"/>
    </row>
    <row r="293">
      <c r="C293" s="189" t="e">
        <v>#N/A</v>
      </c>
      <c r="D293" s="189" t="e">
        <v>#N/A</v>
      </c>
      <c r="E293" s="189" t="e">
        <v>#N/A</v>
      </c>
      <c r="F293" s="189" t="e">
        <v>#N/A</v>
      </c>
      <c r="G293" s="189" t="e">
        <v>#N/A</v>
      </c>
      <c r="H293" s="189" t="e">
        <v>#N/A</v>
      </c>
      <c r="I293" s="189" t="e">
        <v>#N/A</v>
      </c>
      <c r="J293" s="189" t="e">
        <v>#N/A</v>
      </c>
      <c r="K293" s="204" t="e">
        <v>#N/A</v>
      </c>
      <c r="L293" s="204" t="e">
        <v>#N/A</v>
      </c>
      <c r="M293" s="205" t="e">
        <v>#N/A</v>
      </c>
      <c r="N293" s="205" t="e">
        <v>#N/A</v>
      </c>
      <c r="O293" s="205" t="e">
        <v>#N/A</v>
      </c>
      <c r="P293" s="205" t="e">
        <v>#N/A</v>
      </c>
      <c r="Q293" s="189" t="e">
        <v>#N/A</v>
      </c>
      <c r="R293" s="189" t="e">
        <v>#N/A</v>
      </c>
      <c r="S293" s="205" t="e">
        <v>#N/A</v>
      </c>
      <c r="T293" s="206"/>
    </row>
    <row r="294">
      <c r="C294" s="189" t="e">
        <v>#N/A</v>
      </c>
      <c r="D294" s="189" t="e">
        <v>#N/A</v>
      </c>
      <c r="E294" s="189" t="e">
        <v>#N/A</v>
      </c>
      <c r="F294" s="189" t="e">
        <v>#N/A</v>
      </c>
      <c r="G294" s="189" t="e">
        <v>#N/A</v>
      </c>
      <c r="H294" s="189" t="e">
        <v>#N/A</v>
      </c>
      <c r="I294" s="189" t="e">
        <v>#N/A</v>
      </c>
      <c r="J294" s="189" t="e">
        <v>#N/A</v>
      </c>
      <c r="K294" s="204" t="e">
        <v>#N/A</v>
      </c>
      <c r="L294" s="204" t="e">
        <v>#N/A</v>
      </c>
      <c r="M294" s="205" t="e">
        <v>#N/A</v>
      </c>
      <c r="N294" s="205" t="e">
        <v>#N/A</v>
      </c>
      <c r="O294" s="205" t="e">
        <v>#N/A</v>
      </c>
      <c r="P294" s="205" t="e">
        <v>#N/A</v>
      </c>
      <c r="Q294" s="189" t="e">
        <v>#N/A</v>
      </c>
      <c r="R294" s="189" t="e">
        <v>#N/A</v>
      </c>
      <c r="S294" s="205" t="e">
        <v>#N/A</v>
      </c>
      <c r="T294" s="206"/>
    </row>
    <row r="295">
      <c r="C295" s="189" t="e">
        <v>#N/A</v>
      </c>
      <c r="D295" s="189" t="e">
        <v>#N/A</v>
      </c>
      <c r="E295" s="189" t="e">
        <v>#N/A</v>
      </c>
      <c r="F295" s="189" t="e">
        <v>#N/A</v>
      </c>
      <c r="G295" s="189" t="e">
        <v>#N/A</v>
      </c>
      <c r="H295" s="189" t="e">
        <v>#N/A</v>
      </c>
      <c r="I295" s="189" t="e">
        <v>#N/A</v>
      </c>
      <c r="J295" s="189" t="e">
        <v>#N/A</v>
      </c>
      <c r="K295" s="204" t="e">
        <v>#N/A</v>
      </c>
      <c r="L295" s="204" t="e">
        <v>#N/A</v>
      </c>
      <c r="M295" s="205" t="e">
        <v>#N/A</v>
      </c>
      <c r="N295" s="205" t="e">
        <v>#N/A</v>
      </c>
      <c r="O295" s="205" t="e">
        <v>#N/A</v>
      </c>
      <c r="P295" s="205" t="e">
        <v>#N/A</v>
      </c>
      <c r="Q295" s="189" t="e">
        <v>#N/A</v>
      </c>
      <c r="R295" s="189" t="e">
        <v>#N/A</v>
      </c>
      <c r="S295" s="205" t="e">
        <v>#N/A</v>
      </c>
      <c r="T295" s="206"/>
    </row>
    <row r="296">
      <c r="C296" s="189" t="e">
        <v>#N/A</v>
      </c>
      <c r="D296" s="189" t="e">
        <v>#N/A</v>
      </c>
      <c r="E296" s="189" t="e">
        <v>#N/A</v>
      </c>
      <c r="F296" s="189" t="e">
        <v>#N/A</v>
      </c>
      <c r="G296" s="189" t="e">
        <v>#N/A</v>
      </c>
      <c r="H296" s="189" t="e">
        <v>#N/A</v>
      </c>
      <c r="I296" s="189" t="e">
        <v>#N/A</v>
      </c>
      <c r="J296" s="189" t="e">
        <v>#N/A</v>
      </c>
      <c r="K296" s="204" t="e">
        <v>#N/A</v>
      </c>
      <c r="L296" s="204" t="e">
        <v>#N/A</v>
      </c>
      <c r="M296" s="205" t="e">
        <v>#N/A</v>
      </c>
      <c r="N296" s="205" t="e">
        <v>#N/A</v>
      </c>
      <c r="O296" s="205" t="e">
        <v>#N/A</v>
      </c>
      <c r="P296" s="205" t="e">
        <v>#N/A</v>
      </c>
      <c r="Q296" s="189" t="e">
        <v>#N/A</v>
      </c>
      <c r="R296" s="189" t="e">
        <v>#N/A</v>
      </c>
      <c r="S296" s="205" t="e">
        <v>#N/A</v>
      </c>
      <c r="T296" s="206"/>
    </row>
    <row r="297">
      <c r="C297" s="189" t="e">
        <v>#N/A</v>
      </c>
      <c r="D297" s="189" t="e">
        <v>#N/A</v>
      </c>
      <c r="E297" s="189" t="e">
        <v>#N/A</v>
      </c>
      <c r="F297" s="189" t="e">
        <v>#N/A</v>
      </c>
      <c r="G297" s="189" t="e">
        <v>#N/A</v>
      </c>
      <c r="H297" s="189" t="e">
        <v>#N/A</v>
      </c>
      <c r="I297" s="189" t="e">
        <v>#N/A</v>
      </c>
      <c r="J297" s="189" t="e">
        <v>#N/A</v>
      </c>
      <c r="K297" s="204" t="e">
        <v>#N/A</v>
      </c>
      <c r="L297" s="204" t="e">
        <v>#N/A</v>
      </c>
      <c r="M297" s="205" t="e">
        <v>#N/A</v>
      </c>
      <c r="N297" s="205" t="e">
        <v>#N/A</v>
      </c>
      <c r="O297" s="205" t="e">
        <v>#N/A</v>
      </c>
      <c r="P297" s="205" t="e">
        <v>#N/A</v>
      </c>
      <c r="Q297" s="189" t="e">
        <v>#N/A</v>
      </c>
      <c r="R297" s="189" t="e">
        <v>#N/A</v>
      </c>
      <c r="S297" s="205" t="e">
        <v>#N/A</v>
      </c>
      <c r="T297" s="206"/>
    </row>
    <row r="298">
      <c r="C298" s="189" t="e">
        <v>#N/A</v>
      </c>
      <c r="D298" s="189" t="e">
        <v>#N/A</v>
      </c>
      <c r="E298" s="189" t="e">
        <v>#N/A</v>
      </c>
      <c r="F298" s="189" t="e">
        <v>#N/A</v>
      </c>
      <c r="G298" s="189" t="e">
        <v>#N/A</v>
      </c>
      <c r="H298" s="189" t="e">
        <v>#N/A</v>
      </c>
      <c r="I298" s="189" t="e">
        <v>#N/A</v>
      </c>
      <c r="J298" s="189" t="e">
        <v>#N/A</v>
      </c>
      <c r="K298" s="204" t="e">
        <v>#N/A</v>
      </c>
      <c r="L298" s="204" t="e">
        <v>#N/A</v>
      </c>
      <c r="M298" s="205" t="e">
        <v>#N/A</v>
      </c>
      <c r="N298" s="205" t="e">
        <v>#N/A</v>
      </c>
      <c r="O298" s="205" t="e">
        <v>#N/A</v>
      </c>
      <c r="P298" s="205" t="e">
        <v>#N/A</v>
      </c>
      <c r="Q298" s="189" t="e">
        <v>#N/A</v>
      </c>
      <c r="R298" s="189" t="e">
        <v>#N/A</v>
      </c>
      <c r="S298" s="205" t="e">
        <v>#N/A</v>
      </c>
      <c r="T298" s="206"/>
    </row>
    <row r="299">
      <c r="C299" s="189" t="e">
        <v>#N/A</v>
      </c>
      <c r="D299" s="189" t="e">
        <v>#N/A</v>
      </c>
      <c r="E299" s="189" t="e">
        <v>#N/A</v>
      </c>
      <c r="F299" s="189" t="e">
        <v>#N/A</v>
      </c>
      <c r="G299" s="189" t="e">
        <v>#N/A</v>
      </c>
      <c r="H299" s="189" t="e">
        <v>#N/A</v>
      </c>
      <c r="I299" s="189" t="e">
        <v>#N/A</v>
      </c>
      <c r="J299" s="189" t="e">
        <v>#N/A</v>
      </c>
      <c r="K299" s="204" t="e">
        <v>#N/A</v>
      </c>
      <c r="L299" s="204" t="e">
        <v>#N/A</v>
      </c>
      <c r="M299" s="205" t="e">
        <v>#N/A</v>
      </c>
      <c r="N299" s="205" t="e">
        <v>#N/A</v>
      </c>
      <c r="O299" s="205" t="e">
        <v>#N/A</v>
      </c>
      <c r="P299" s="205" t="e">
        <v>#N/A</v>
      </c>
      <c r="Q299" s="189" t="e">
        <v>#N/A</v>
      </c>
      <c r="R299" s="189" t="e">
        <v>#N/A</v>
      </c>
      <c r="S299" s="205" t="e">
        <v>#N/A</v>
      </c>
      <c r="T299" s="206"/>
    </row>
    <row r="300">
      <c r="C300" s="189" t="e">
        <v>#N/A</v>
      </c>
      <c r="D300" s="189" t="e">
        <v>#N/A</v>
      </c>
      <c r="E300" s="189" t="e">
        <v>#N/A</v>
      </c>
      <c r="F300" s="189" t="e">
        <v>#N/A</v>
      </c>
      <c r="G300" s="189" t="e">
        <v>#N/A</v>
      </c>
      <c r="H300" s="189" t="e">
        <v>#N/A</v>
      </c>
      <c r="I300" s="189" t="e">
        <v>#N/A</v>
      </c>
      <c r="J300" s="189" t="e">
        <v>#N/A</v>
      </c>
      <c r="K300" s="204" t="e">
        <v>#N/A</v>
      </c>
      <c r="L300" s="204" t="e">
        <v>#N/A</v>
      </c>
      <c r="M300" s="205" t="e">
        <v>#N/A</v>
      </c>
      <c r="N300" s="205" t="e">
        <v>#N/A</v>
      </c>
      <c r="O300" s="205" t="e">
        <v>#N/A</v>
      </c>
      <c r="P300" s="205" t="e">
        <v>#N/A</v>
      </c>
      <c r="Q300" s="189" t="e">
        <v>#N/A</v>
      </c>
      <c r="R300" s="189" t="e">
        <v>#N/A</v>
      </c>
      <c r="S300" s="205" t="e">
        <v>#N/A</v>
      </c>
      <c r="T300" s="206"/>
    </row>
    <row r="301">
      <c r="C301" s="189" t="e">
        <v>#N/A</v>
      </c>
      <c r="D301" s="189" t="e">
        <v>#N/A</v>
      </c>
      <c r="E301" s="189" t="e">
        <v>#N/A</v>
      </c>
      <c r="F301" s="189" t="e">
        <v>#N/A</v>
      </c>
      <c r="G301" s="189" t="e">
        <v>#N/A</v>
      </c>
      <c r="H301" s="189" t="e">
        <v>#N/A</v>
      </c>
      <c r="I301" s="189" t="e">
        <v>#N/A</v>
      </c>
      <c r="J301" s="189" t="e">
        <v>#N/A</v>
      </c>
      <c r="K301" s="204" t="e">
        <v>#N/A</v>
      </c>
      <c r="L301" s="204" t="e">
        <v>#N/A</v>
      </c>
      <c r="M301" s="205" t="e">
        <v>#N/A</v>
      </c>
      <c r="N301" s="205" t="e">
        <v>#N/A</v>
      </c>
      <c r="O301" s="205" t="e">
        <v>#N/A</v>
      </c>
      <c r="P301" s="205" t="e">
        <v>#N/A</v>
      </c>
      <c r="Q301" s="189" t="e">
        <v>#N/A</v>
      </c>
      <c r="R301" s="189" t="e">
        <v>#N/A</v>
      </c>
      <c r="S301" s="205" t="e">
        <v>#N/A</v>
      </c>
      <c r="T301" s="206"/>
    </row>
    <row r="302">
      <c r="C302" s="189" t="e">
        <v>#N/A</v>
      </c>
      <c r="D302" s="189" t="e">
        <v>#N/A</v>
      </c>
      <c r="E302" s="189" t="e">
        <v>#N/A</v>
      </c>
      <c r="F302" s="189" t="e">
        <v>#N/A</v>
      </c>
      <c r="G302" s="189" t="e">
        <v>#N/A</v>
      </c>
      <c r="H302" s="189" t="e">
        <v>#N/A</v>
      </c>
      <c r="I302" s="189" t="e">
        <v>#N/A</v>
      </c>
      <c r="J302" s="189" t="e">
        <v>#N/A</v>
      </c>
      <c r="K302" s="204" t="e">
        <v>#N/A</v>
      </c>
      <c r="L302" s="204" t="e">
        <v>#N/A</v>
      </c>
      <c r="M302" s="205" t="e">
        <v>#N/A</v>
      </c>
      <c r="N302" s="205" t="e">
        <v>#N/A</v>
      </c>
      <c r="O302" s="205" t="e">
        <v>#N/A</v>
      </c>
      <c r="P302" s="205" t="e">
        <v>#N/A</v>
      </c>
      <c r="Q302" s="189" t="e">
        <v>#N/A</v>
      </c>
      <c r="R302" s="189" t="e">
        <v>#N/A</v>
      </c>
      <c r="S302" s="205" t="e">
        <v>#N/A</v>
      </c>
      <c r="T302" s="206"/>
    </row>
    <row r="303">
      <c r="C303" s="189" t="e">
        <v>#N/A</v>
      </c>
      <c r="D303" s="189" t="e">
        <v>#N/A</v>
      </c>
      <c r="E303" s="189" t="e">
        <v>#N/A</v>
      </c>
      <c r="F303" s="189" t="e">
        <v>#N/A</v>
      </c>
      <c r="G303" s="189" t="e">
        <v>#N/A</v>
      </c>
      <c r="H303" s="189" t="e">
        <v>#N/A</v>
      </c>
      <c r="I303" s="189" t="e">
        <v>#N/A</v>
      </c>
      <c r="J303" s="189" t="e">
        <v>#N/A</v>
      </c>
      <c r="K303" s="204" t="e">
        <v>#N/A</v>
      </c>
      <c r="L303" s="204" t="e">
        <v>#N/A</v>
      </c>
      <c r="M303" s="205" t="e">
        <v>#N/A</v>
      </c>
      <c r="N303" s="205" t="e">
        <v>#N/A</v>
      </c>
      <c r="O303" s="205" t="e">
        <v>#N/A</v>
      </c>
      <c r="P303" s="205" t="e">
        <v>#N/A</v>
      </c>
      <c r="Q303" s="189" t="e">
        <v>#N/A</v>
      </c>
      <c r="R303" s="189" t="e">
        <v>#N/A</v>
      </c>
      <c r="S303" s="205" t="e">
        <v>#N/A</v>
      </c>
      <c r="T303" s="206"/>
    </row>
    <row r="304">
      <c r="C304" s="189" t="e">
        <v>#N/A</v>
      </c>
      <c r="D304" s="189" t="e">
        <v>#N/A</v>
      </c>
      <c r="E304" s="189" t="e">
        <v>#N/A</v>
      </c>
      <c r="F304" s="189" t="e">
        <v>#N/A</v>
      </c>
      <c r="G304" s="189" t="e">
        <v>#N/A</v>
      </c>
      <c r="H304" s="189" t="e">
        <v>#N/A</v>
      </c>
      <c r="I304" s="189" t="e">
        <v>#N/A</v>
      </c>
      <c r="J304" s="189" t="e">
        <v>#N/A</v>
      </c>
      <c r="K304" s="204" t="e">
        <v>#N/A</v>
      </c>
      <c r="L304" s="204" t="e">
        <v>#N/A</v>
      </c>
      <c r="M304" s="205" t="e">
        <v>#N/A</v>
      </c>
      <c r="N304" s="205" t="e">
        <v>#N/A</v>
      </c>
      <c r="O304" s="205" t="e">
        <v>#N/A</v>
      </c>
      <c r="P304" s="205" t="e">
        <v>#N/A</v>
      </c>
      <c r="Q304" s="189" t="e">
        <v>#N/A</v>
      </c>
      <c r="R304" s="189" t="e">
        <v>#N/A</v>
      </c>
      <c r="S304" s="205" t="e">
        <v>#N/A</v>
      </c>
      <c r="T304" s="206"/>
    </row>
    <row r="305">
      <c r="C305" s="189" t="e">
        <v>#N/A</v>
      </c>
      <c r="D305" s="189" t="e">
        <v>#N/A</v>
      </c>
      <c r="E305" s="189" t="e">
        <v>#N/A</v>
      </c>
      <c r="F305" s="189" t="e">
        <v>#N/A</v>
      </c>
      <c r="G305" s="189" t="e">
        <v>#N/A</v>
      </c>
      <c r="H305" s="189" t="e">
        <v>#N/A</v>
      </c>
      <c r="I305" s="189" t="e">
        <v>#N/A</v>
      </c>
      <c r="J305" s="189" t="e">
        <v>#N/A</v>
      </c>
      <c r="K305" s="204" t="e">
        <v>#N/A</v>
      </c>
      <c r="L305" s="204" t="e">
        <v>#N/A</v>
      </c>
      <c r="M305" s="205" t="e">
        <v>#N/A</v>
      </c>
      <c r="N305" s="205" t="e">
        <v>#N/A</v>
      </c>
      <c r="O305" s="205" t="e">
        <v>#N/A</v>
      </c>
      <c r="P305" s="205" t="e">
        <v>#N/A</v>
      </c>
      <c r="Q305" s="189" t="e">
        <v>#N/A</v>
      </c>
      <c r="R305" s="189" t="e">
        <v>#N/A</v>
      </c>
      <c r="S305" s="205" t="e">
        <v>#N/A</v>
      </c>
      <c r="T305" s="206"/>
    </row>
    <row r="306">
      <c r="C306" s="189" t="e">
        <v>#N/A</v>
      </c>
      <c r="D306" s="189" t="e">
        <v>#N/A</v>
      </c>
      <c r="E306" s="189" t="e">
        <v>#N/A</v>
      </c>
      <c r="F306" s="189" t="e">
        <v>#N/A</v>
      </c>
      <c r="G306" s="189" t="e">
        <v>#N/A</v>
      </c>
      <c r="H306" s="189" t="e">
        <v>#N/A</v>
      </c>
      <c r="I306" s="189" t="e">
        <v>#N/A</v>
      </c>
      <c r="J306" s="189" t="e">
        <v>#N/A</v>
      </c>
      <c r="K306" s="204" t="e">
        <v>#N/A</v>
      </c>
      <c r="L306" s="204" t="e">
        <v>#N/A</v>
      </c>
      <c r="M306" s="205" t="e">
        <v>#N/A</v>
      </c>
      <c r="N306" s="205" t="e">
        <v>#N/A</v>
      </c>
      <c r="O306" s="205" t="e">
        <v>#N/A</v>
      </c>
      <c r="P306" s="205" t="e">
        <v>#N/A</v>
      </c>
      <c r="Q306" s="189" t="e">
        <v>#N/A</v>
      </c>
      <c r="R306" s="189" t="e">
        <v>#N/A</v>
      </c>
      <c r="S306" s="205" t="e">
        <v>#N/A</v>
      </c>
      <c r="T306" s="206"/>
    </row>
    <row r="307">
      <c r="C307" s="189" t="e">
        <v>#N/A</v>
      </c>
      <c r="D307" s="189" t="e">
        <v>#N/A</v>
      </c>
      <c r="E307" s="189" t="e">
        <v>#N/A</v>
      </c>
      <c r="F307" s="189" t="e">
        <v>#N/A</v>
      </c>
      <c r="G307" s="189" t="e">
        <v>#N/A</v>
      </c>
      <c r="H307" s="189" t="e">
        <v>#N/A</v>
      </c>
      <c r="I307" s="189" t="e">
        <v>#N/A</v>
      </c>
      <c r="J307" s="189" t="e">
        <v>#N/A</v>
      </c>
      <c r="K307" s="204" t="e">
        <v>#N/A</v>
      </c>
      <c r="L307" s="204" t="e">
        <v>#N/A</v>
      </c>
      <c r="M307" s="205" t="e">
        <v>#N/A</v>
      </c>
      <c r="N307" s="205" t="e">
        <v>#N/A</v>
      </c>
      <c r="O307" s="205" t="e">
        <v>#N/A</v>
      </c>
      <c r="P307" s="205" t="e">
        <v>#N/A</v>
      </c>
      <c r="Q307" s="189" t="e">
        <v>#N/A</v>
      </c>
      <c r="R307" s="189" t="e">
        <v>#N/A</v>
      </c>
      <c r="S307" s="205" t="e">
        <v>#N/A</v>
      </c>
      <c r="T307" s="206"/>
    </row>
    <row r="308">
      <c r="C308" s="189" t="e">
        <v>#N/A</v>
      </c>
      <c r="D308" s="189" t="e">
        <v>#N/A</v>
      </c>
      <c r="E308" s="189" t="e">
        <v>#N/A</v>
      </c>
      <c r="F308" s="189" t="e">
        <v>#N/A</v>
      </c>
      <c r="G308" s="189" t="e">
        <v>#N/A</v>
      </c>
      <c r="H308" s="189" t="e">
        <v>#N/A</v>
      </c>
      <c r="I308" s="189" t="e">
        <v>#N/A</v>
      </c>
      <c r="J308" s="189" t="e">
        <v>#N/A</v>
      </c>
      <c r="K308" s="204" t="e">
        <v>#N/A</v>
      </c>
      <c r="L308" s="204" t="e">
        <v>#N/A</v>
      </c>
      <c r="M308" s="205" t="e">
        <v>#N/A</v>
      </c>
      <c r="N308" s="205" t="e">
        <v>#N/A</v>
      </c>
      <c r="O308" s="205" t="e">
        <v>#N/A</v>
      </c>
      <c r="P308" s="205" t="e">
        <v>#N/A</v>
      </c>
      <c r="Q308" s="189" t="e">
        <v>#N/A</v>
      </c>
      <c r="R308" s="189" t="e">
        <v>#N/A</v>
      </c>
      <c r="S308" s="205" t="e">
        <v>#N/A</v>
      </c>
      <c r="T308" s="206"/>
    </row>
    <row r="309">
      <c r="C309" s="189" t="e">
        <v>#N/A</v>
      </c>
      <c r="D309" s="189" t="e">
        <v>#N/A</v>
      </c>
      <c r="E309" s="189" t="e">
        <v>#N/A</v>
      </c>
      <c r="F309" s="189" t="e">
        <v>#N/A</v>
      </c>
      <c r="G309" s="189" t="e">
        <v>#N/A</v>
      </c>
      <c r="H309" s="189" t="e">
        <v>#N/A</v>
      </c>
      <c r="I309" s="189" t="e">
        <v>#N/A</v>
      </c>
      <c r="J309" s="189" t="e">
        <v>#N/A</v>
      </c>
      <c r="K309" s="204" t="e">
        <v>#N/A</v>
      </c>
      <c r="L309" s="204" t="e">
        <v>#N/A</v>
      </c>
      <c r="M309" s="205" t="e">
        <v>#N/A</v>
      </c>
      <c r="N309" s="205" t="e">
        <v>#N/A</v>
      </c>
      <c r="O309" s="205" t="e">
        <v>#N/A</v>
      </c>
      <c r="P309" s="205" t="e">
        <v>#N/A</v>
      </c>
      <c r="Q309" s="189" t="e">
        <v>#N/A</v>
      </c>
      <c r="R309" s="189" t="e">
        <v>#N/A</v>
      </c>
      <c r="S309" s="205" t="e">
        <v>#N/A</v>
      </c>
      <c r="T309" s="206"/>
    </row>
    <row r="310">
      <c r="C310" s="189" t="e">
        <v>#N/A</v>
      </c>
      <c r="D310" s="189" t="e">
        <v>#N/A</v>
      </c>
      <c r="E310" s="189" t="e">
        <v>#N/A</v>
      </c>
      <c r="F310" s="189" t="e">
        <v>#N/A</v>
      </c>
      <c r="G310" s="189" t="e">
        <v>#N/A</v>
      </c>
      <c r="H310" s="189" t="e">
        <v>#N/A</v>
      </c>
      <c r="I310" s="189" t="e">
        <v>#N/A</v>
      </c>
      <c r="J310" s="189" t="e">
        <v>#N/A</v>
      </c>
      <c r="K310" s="204" t="e">
        <v>#N/A</v>
      </c>
      <c r="L310" s="204" t="e">
        <v>#N/A</v>
      </c>
      <c r="M310" s="205" t="e">
        <v>#N/A</v>
      </c>
      <c r="N310" s="205" t="e">
        <v>#N/A</v>
      </c>
      <c r="O310" s="205" t="e">
        <v>#N/A</v>
      </c>
      <c r="P310" s="205" t="e">
        <v>#N/A</v>
      </c>
      <c r="Q310" s="189" t="e">
        <v>#N/A</v>
      </c>
      <c r="R310" s="189" t="e">
        <v>#N/A</v>
      </c>
      <c r="S310" s="205" t="e">
        <v>#N/A</v>
      </c>
      <c r="T310" s="206"/>
    </row>
    <row r="311">
      <c r="C311" s="189" t="e">
        <v>#N/A</v>
      </c>
      <c r="D311" s="189" t="e">
        <v>#N/A</v>
      </c>
      <c r="E311" s="189" t="e">
        <v>#N/A</v>
      </c>
      <c r="F311" s="189" t="e">
        <v>#N/A</v>
      </c>
      <c r="G311" s="189" t="e">
        <v>#N/A</v>
      </c>
      <c r="H311" s="189" t="e">
        <v>#N/A</v>
      </c>
      <c r="I311" s="189" t="e">
        <v>#N/A</v>
      </c>
      <c r="J311" s="189" t="e">
        <v>#N/A</v>
      </c>
      <c r="K311" s="204" t="e">
        <v>#N/A</v>
      </c>
      <c r="L311" s="204" t="e">
        <v>#N/A</v>
      </c>
      <c r="M311" s="205" t="e">
        <v>#N/A</v>
      </c>
      <c r="N311" s="205" t="e">
        <v>#N/A</v>
      </c>
      <c r="O311" s="205" t="e">
        <v>#N/A</v>
      </c>
      <c r="P311" s="205" t="e">
        <v>#N/A</v>
      </c>
      <c r="Q311" s="189" t="e">
        <v>#N/A</v>
      </c>
      <c r="R311" s="189" t="e">
        <v>#N/A</v>
      </c>
      <c r="S311" s="205" t="e">
        <v>#N/A</v>
      </c>
      <c r="T311" s="206"/>
    </row>
    <row r="312">
      <c r="C312" s="189" t="e">
        <v>#N/A</v>
      </c>
      <c r="D312" s="189" t="e">
        <v>#N/A</v>
      </c>
      <c r="E312" s="189" t="e">
        <v>#N/A</v>
      </c>
      <c r="F312" s="189" t="e">
        <v>#N/A</v>
      </c>
      <c r="G312" s="189" t="e">
        <v>#N/A</v>
      </c>
      <c r="H312" s="189" t="e">
        <v>#N/A</v>
      </c>
      <c r="I312" s="189" t="e">
        <v>#N/A</v>
      </c>
      <c r="J312" s="189" t="e">
        <v>#N/A</v>
      </c>
      <c r="K312" s="204" t="e">
        <v>#N/A</v>
      </c>
      <c r="L312" s="204" t="e">
        <v>#N/A</v>
      </c>
      <c r="M312" s="205" t="e">
        <v>#N/A</v>
      </c>
      <c r="N312" s="205" t="e">
        <v>#N/A</v>
      </c>
      <c r="O312" s="205" t="e">
        <v>#N/A</v>
      </c>
      <c r="P312" s="205" t="e">
        <v>#N/A</v>
      </c>
      <c r="Q312" s="189" t="e">
        <v>#N/A</v>
      </c>
      <c r="R312" s="189" t="e">
        <v>#N/A</v>
      </c>
      <c r="S312" s="205" t="e">
        <v>#N/A</v>
      </c>
      <c r="T312" s="206"/>
    </row>
    <row r="313">
      <c r="C313" s="189" t="e">
        <v>#N/A</v>
      </c>
      <c r="D313" s="189" t="e">
        <v>#N/A</v>
      </c>
      <c r="E313" s="189" t="e">
        <v>#N/A</v>
      </c>
      <c r="F313" s="189" t="e">
        <v>#N/A</v>
      </c>
      <c r="G313" s="189" t="e">
        <v>#N/A</v>
      </c>
      <c r="H313" s="189" t="e">
        <v>#N/A</v>
      </c>
      <c r="I313" s="189" t="e">
        <v>#N/A</v>
      </c>
      <c r="J313" s="189" t="e">
        <v>#N/A</v>
      </c>
      <c r="K313" s="204" t="e">
        <v>#N/A</v>
      </c>
      <c r="L313" s="204" t="e">
        <v>#N/A</v>
      </c>
      <c r="M313" s="205" t="e">
        <v>#N/A</v>
      </c>
      <c r="N313" s="205" t="e">
        <v>#N/A</v>
      </c>
      <c r="O313" s="205" t="e">
        <v>#N/A</v>
      </c>
      <c r="P313" s="205" t="e">
        <v>#N/A</v>
      </c>
      <c r="Q313" s="189" t="e">
        <v>#N/A</v>
      </c>
      <c r="R313" s="189" t="e">
        <v>#N/A</v>
      </c>
      <c r="S313" s="205" t="e">
        <v>#N/A</v>
      </c>
      <c r="T313" s="206"/>
    </row>
    <row r="314">
      <c r="C314" s="189" t="e">
        <v>#N/A</v>
      </c>
      <c r="D314" s="189" t="e">
        <v>#N/A</v>
      </c>
      <c r="E314" s="189" t="e">
        <v>#N/A</v>
      </c>
      <c r="F314" s="189" t="e">
        <v>#N/A</v>
      </c>
      <c r="G314" s="189" t="e">
        <v>#N/A</v>
      </c>
      <c r="H314" s="189" t="e">
        <v>#N/A</v>
      </c>
      <c r="I314" s="189" t="e">
        <v>#N/A</v>
      </c>
      <c r="J314" s="189" t="e">
        <v>#N/A</v>
      </c>
      <c r="K314" s="204" t="e">
        <v>#N/A</v>
      </c>
      <c r="L314" s="204" t="e">
        <v>#N/A</v>
      </c>
      <c r="M314" s="205" t="e">
        <v>#N/A</v>
      </c>
      <c r="N314" s="205" t="e">
        <v>#N/A</v>
      </c>
      <c r="O314" s="205" t="e">
        <v>#N/A</v>
      </c>
      <c r="P314" s="205" t="e">
        <v>#N/A</v>
      </c>
      <c r="Q314" s="189" t="e">
        <v>#N/A</v>
      </c>
      <c r="R314" s="189" t="e">
        <v>#N/A</v>
      </c>
      <c r="S314" s="205" t="e">
        <v>#N/A</v>
      </c>
      <c r="T314" s="206"/>
    </row>
    <row r="315">
      <c r="C315" s="189" t="e">
        <v>#N/A</v>
      </c>
      <c r="D315" s="189" t="e">
        <v>#N/A</v>
      </c>
      <c r="E315" s="189" t="e">
        <v>#N/A</v>
      </c>
      <c r="F315" s="189" t="e">
        <v>#N/A</v>
      </c>
      <c r="G315" s="189" t="e">
        <v>#N/A</v>
      </c>
      <c r="H315" s="189" t="e">
        <v>#N/A</v>
      </c>
      <c r="I315" s="189" t="e">
        <v>#N/A</v>
      </c>
      <c r="J315" s="189" t="e">
        <v>#N/A</v>
      </c>
      <c r="K315" s="204" t="e">
        <v>#N/A</v>
      </c>
      <c r="L315" s="204" t="e">
        <v>#N/A</v>
      </c>
      <c r="M315" s="205" t="e">
        <v>#N/A</v>
      </c>
      <c r="N315" s="205" t="e">
        <v>#N/A</v>
      </c>
      <c r="O315" s="205" t="e">
        <v>#N/A</v>
      </c>
      <c r="P315" s="205" t="e">
        <v>#N/A</v>
      </c>
      <c r="Q315" s="189" t="e">
        <v>#N/A</v>
      </c>
      <c r="R315" s="189" t="e">
        <v>#N/A</v>
      </c>
      <c r="S315" s="205" t="e">
        <v>#N/A</v>
      </c>
      <c r="T315" s="206"/>
    </row>
    <row r="316">
      <c r="C316" s="189" t="e">
        <v>#N/A</v>
      </c>
      <c r="D316" s="189" t="e">
        <v>#N/A</v>
      </c>
      <c r="E316" s="189" t="e">
        <v>#N/A</v>
      </c>
      <c r="F316" s="189" t="e">
        <v>#N/A</v>
      </c>
      <c r="G316" s="189" t="e">
        <v>#N/A</v>
      </c>
      <c r="H316" s="189" t="e">
        <v>#N/A</v>
      </c>
      <c r="I316" s="189" t="e">
        <v>#N/A</v>
      </c>
      <c r="J316" s="189" t="e">
        <v>#N/A</v>
      </c>
      <c r="K316" s="204" t="e">
        <v>#N/A</v>
      </c>
      <c r="L316" s="204" t="e">
        <v>#N/A</v>
      </c>
      <c r="M316" s="205" t="e">
        <v>#N/A</v>
      </c>
      <c r="N316" s="205" t="e">
        <v>#N/A</v>
      </c>
      <c r="O316" s="205" t="e">
        <v>#N/A</v>
      </c>
      <c r="P316" s="205" t="e">
        <v>#N/A</v>
      </c>
      <c r="Q316" s="189" t="e">
        <v>#N/A</v>
      </c>
      <c r="R316" s="189" t="e">
        <v>#N/A</v>
      </c>
      <c r="S316" s="205" t="e">
        <v>#N/A</v>
      </c>
      <c r="T316" s="206"/>
    </row>
    <row r="317">
      <c r="C317" s="189" t="e">
        <v>#N/A</v>
      </c>
      <c r="D317" s="189" t="e">
        <v>#N/A</v>
      </c>
      <c r="E317" s="189" t="e">
        <v>#N/A</v>
      </c>
      <c r="F317" s="189" t="e">
        <v>#N/A</v>
      </c>
      <c r="G317" s="189" t="e">
        <v>#N/A</v>
      </c>
      <c r="H317" s="189" t="e">
        <v>#N/A</v>
      </c>
      <c r="I317" s="189" t="e">
        <v>#N/A</v>
      </c>
      <c r="J317" s="189" t="e">
        <v>#N/A</v>
      </c>
      <c r="K317" s="204" t="e">
        <v>#N/A</v>
      </c>
      <c r="L317" s="204" t="e">
        <v>#N/A</v>
      </c>
      <c r="M317" s="205" t="e">
        <v>#N/A</v>
      </c>
      <c r="N317" s="205" t="e">
        <v>#N/A</v>
      </c>
      <c r="O317" s="205" t="e">
        <v>#N/A</v>
      </c>
      <c r="P317" s="205" t="e">
        <v>#N/A</v>
      </c>
      <c r="Q317" s="189" t="e">
        <v>#N/A</v>
      </c>
      <c r="R317" s="189" t="e">
        <v>#N/A</v>
      </c>
      <c r="S317" s="205" t="e">
        <v>#N/A</v>
      </c>
      <c r="T317" s="206"/>
    </row>
    <row r="318">
      <c r="C318" s="189" t="e">
        <v>#N/A</v>
      </c>
      <c r="D318" s="189" t="e">
        <v>#N/A</v>
      </c>
      <c r="E318" s="189" t="e">
        <v>#N/A</v>
      </c>
      <c r="F318" s="189" t="e">
        <v>#N/A</v>
      </c>
      <c r="G318" s="189" t="e">
        <v>#N/A</v>
      </c>
      <c r="H318" s="189" t="e">
        <v>#N/A</v>
      </c>
      <c r="I318" s="189" t="e">
        <v>#N/A</v>
      </c>
      <c r="J318" s="189" t="e">
        <v>#N/A</v>
      </c>
      <c r="K318" s="204" t="e">
        <v>#N/A</v>
      </c>
      <c r="L318" s="204" t="e">
        <v>#N/A</v>
      </c>
      <c r="M318" s="205" t="e">
        <v>#N/A</v>
      </c>
      <c r="N318" s="205" t="e">
        <v>#N/A</v>
      </c>
      <c r="O318" s="205" t="e">
        <v>#N/A</v>
      </c>
      <c r="P318" s="205" t="e">
        <v>#N/A</v>
      </c>
      <c r="Q318" s="189" t="e">
        <v>#N/A</v>
      </c>
      <c r="R318" s="189" t="e">
        <v>#N/A</v>
      </c>
      <c r="S318" s="205" t="e">
        <v>#N/A</v>
      </c>
      <c r="T318" s="206"/>
    </row>
    <row r="319">
      <c r="C319" s="189" t="e">
        <v>#N/A</v>
      </c>
      <c r="D319" s="189" t="e">
        <v>#N/A</v>
      </c>
      <c r="E319" s="189" t="e">
        <v>#N/A</v>
      </c>
      <c r="F319" s="189" t="e">
        <v>#N/A</v>
      </c>
      <c r="G319" s="189" t="e">
        <v>#N/A</v>
      </c>
      <c r="H319" s="189" t="e">
        <v>#N/A</v>
      </c>
      <c r="I319" s="189" t="e">
        <v>#N/A</v>
      </c>
      <c r="J319" s="189" t="e">
        <v>#N/A</v>
      </c>
      <c r="K319" s="204" t="e">
        <v>#N/A</v>
      </c>
      <c r="L319" s="204" t="e">
        <v>#N/A</v>
      </c>
      <c r="M319" s="205" t="e">
        <v>#N/A</v>
      </c>
      <c r="N319" s="205" t="e">
        <v>#N/A</v>
      </c>
      <c r="O319" s="205" t="e">
        <v>#N/A</v>
      </c>
      <c r="P319" s="205" t="e">
        <v>#N/A</v>
      </c>
      <c r="Q319" s="189" t="e">
        <v>#N/A</v>
      </c>
      <c r="R319" s="189" t="e">
        <v>#N/A</v>
      </c>
      <c r="S319" s="205" t="e">
        <v>#N/A</v>
      </c>
      <c r="T319" s="206"/>
    </row>
    <row r="320">
      <c r="C320" s="189" t="e">
        <v>#N/A</v>
      </c>
      <c r="D320" s="189" t="e">
        <v>#N/A</v>
      </c>
      <c r="E320" s="189" t="e">
        <v>#N/A</v>
      </c>
      <c r="F320" s="189" t="e">
        <v>#N/A</v>
      </c>
      <c r="G320" s="189" t="e">
        <v>#N/A</v>
      </c>
      <c r="H320" s="189" t="e">
        <v>#N/A</v>
      </c>
      <c r="I320" s="189" t="e">
        <v>#N/A</v>
      </c>
      <c r="J320" s="189" t="e">
        <v>#N/A</v>
      </c>
      <c r="K320" s="204" t="e">
        <v>#N/A</v>
      </c>
      <c r="L320" s="204" t="e">
        <v>#N/A</v>
      </c>
      <c r="M320" s="205" t="e">
        <v>#N/A</v>
      </c>
      <c r="N320" s="205" t="e">
        <v>#N/A</v>
      </c>
      <c r="O320" s="205" t="e">
        <v>#N/A</v>
      </c>
      <c r="P320" s="205" t="e">
        <v>#N/A</v>
      </c>
      <c r="Q320" s="189" t="e">
        <v>#N/A</v>
      </c>
      <c r="R320" s="189" t="e">
        <v>#N/A</v>
      </c>
      <c r="S320" s="205" t="e">
        <v>#N/A</v>
      </c>
      <c r="T320" s="206"/>
    </row>
    <row r="321">
      <c r="C321" s="189" t="e">
        <v>#N/A</v>
      </c>
      <c r="D321" s="189" t="e">
        <v>#N/A</v>
      </c>
      <c r="E321" s="189" t="e">
        <v>#N/A</v>
      </c>
      <c r="F321" s="189" t="e">
        <v>#N/A</v>
      </c>
      <c r="G321" s="189" t="e">
        <v>#N/A</v>
      </c>
      <c r="H321" s="189" t="e">
        <v>#N/A</v>
      </c>
      <c r="I321" s="189" t="e">
        <v>#N/A</v>
      </c>
      <c r="J321" s="189" t="e">
        <v>#N/A</v>
      </c>
      <c r="K321" s="204" t="e">
        <v>#N/A</v>
      </c>
      <c r="L321" s="204" t="e">
        <v>#N/A</v>
      </c>
      <c r="M321" s="205" t="e">
        <v>#N/A</v>
      </c>
      <c r="N321" s="205" t="e">
        <v>#N/A</v>
      </c>
      <c r="O321" s="205" t="e">
        <v>#N/A</v>
      </c>
      <c r="P321" s="205" t="e">
        <v>#N/A</v>
      </c>
      <c r="Q321" s="189" t="e">
        <v>#N/A</v>
      </c>
      <c r="R321" s="189" t="e">
        <v>#N/A</v>
      </c>
      <c r="S321" s="205" t="e">
        <v>#N/A</v>
      </c>
      <c r="T321" s="206"/>
    </row>
    <row r="322">
      <c r="C322" s="189" t="e">
        <v>#N/A</v>
      </c>
      <c r="D322" s="189" t="e">
        <v>#N/A</v>
      </c>
      <c r="E322" s="189" t="e">
        <v>#N/A</v>
      </c>
      <c r="F322" s="189" t="e">
        <v>#N/A</v>
      </c>
      <c r="G322" s="189" t="e">
        <v>#N/A</v>
      </c>
      <c r="H322" s="189" t="e">
        <v>#N/A</v>
      </c>
      <c r="I322" s="189" t="e">
        <v>#N/A</v>
      </c>
      <c r="J322" s="189" t="e">
        <v>#N/A</v>
      </c>
      <c r="K322" s="204" t="e">
        <v>#N/A</v>
      </c>
      <c r="L322" s="204" t="e">
        <v>#N/A</v>
      </c>
      <c r="M322" s="205" t="e">
        <v>#N/A</v>
      </c>
      <c r="N322" s="205" t="e">
        <v>#N/A</v>
      </c>
      <c r="O322" s="205" t="e">
        <v>#N/A</v>
      </c>
      <c r="P322" s="205" t="e">
        <v>#N/A</v>
      </c>
      <c r="Q322" s="189" t="e">
        <v>#N/A</v>
      </c>
      <c r="R322" s="189" t="e">
        <v>#N/A</v>
      </c>
      <c r="S322" s="205" t="e">
        <v>#N/A</v>
      </c>
      <c r="T322" s="206"/>
    </row>
    <row r="323">
      <c r="C323" s="189" t="e">
        <v>#N/A</v>
      </c>
      <c r="D323" s="189" t="e">
        <v>#N/A</v>
      </c>
      <c r="E323" s="189" t="e">
        <v>#N/A</v>
      </c>
      <c r="F323" s="189" t="e">
        <v>#N/A</v>
      </c>
      <c r="G323" s="189" t="e">
        <v>#N/A</v>
      </c>
      <c r="H323" s="189" t="e">
        <v>#N/A</v>
      </c>
      <c r="I323" s="189" t="e">
        <v>#N/A</v>
      </c>
      <c r="J323" s="189" t="e">
        <v>#N/A</v>
      </c>
      <c r="K323" s="204" t="e">
        <v>#N/A</v>
      </c>
      <c r="L323" s="204" t="e">
        <v>#N/A</v>
      </c>
      <c r="M323" s="205" t="e">
        <v>#N/A</v>
      </c>
      <c r="N323" s="205" t="e">
        <v>#N/A</v>
      </c>
      <c r="O323" s="205" t="e">
        <v>#N/A</v>
      </c>
      <c r="P323" s="205" t="e">
        <v>#N/A</v>
      </c>
      <c r="Q323" s="189" t="e">
        <v>#N/A</v>
      </c>
      <c r="R323" s="189" t="e">
        <v>#N/A</v>
      </c>
      <c r="S323" s="205" t="e">
        <v>#N/A</v>
      </c>
      <c r="T323" s="206"/>
    </row>
    <row r="324">
      <c r="C324" s="189" t="e">
        <v>#N/A</v>
      </c>
      <c r="D324" s="189" t="e">
        <v>#N/A</v>
      </c>
      <c r="E324" s="189" t="e">
        <v>#N/A</v>
      </c>
      <c r="F324" s="189" t="e">
        <v>#N/A</v>
      </c>
      <c r="G324" s="189" t="e">
        <v>#N/A</v>
      </c>
      <c r="H324" s="189" t="e">
        <v>#N/A</v>
      </c>
      <c r="I324" s="189" t="e">
        <v>#N/A</v>
      </c>
      <c r="J324" s="189" t="e">
        <v>#N/A</v>
      </c>
      <c r="K324" s="204" t="e">
        <v>#N/A</v>
      </c>
      <c r="L324" s="204" t="e">
        <v>#N/A</v>
      </c>
      <c r="M324" s="205" t="e">
        <v>#N/A</v>
      </c>
      <c r="N324" s="205" t="e">
        <v>#N/A</v>
      </c>
      <c r="O324" s="205" t="e">
        <v>#N/A</v>
      </c>
      <c r="P324" s="205" t="e">
        <v>#N/A</v>
      </c>
      <c r="Q324" s="189" t="e">
        <v>#N/A</v>
      </c>
      <c r="R324" s="189" t="e">
        <v>#N/A</v>
      </c>
      <c r="S324" s="205" t="e">
        <v>#N/A</v>
      </c>
      <c r="T324" s="206"/>
    </row>
    <row r="325">
      <c r="C325" s="189" t="e">
        <v>#N/A</v>
      </c>
      <c r="D325" s="189" t="e">
        <v>#N/A</v>
      </c>
      <c r="E325" s="189" t="e">
        <v>#N/A</v>
      </c>
      <c r="F325" s="189" t="e">
        <v>#N/A</v>
      </c>
      <c r="G325" s="189" t="e">
        <v>#N/A</v>
      </c>
      <c r="H325" s="189" t="e">
        <v>#N/A</v>
      </c>
      <c r="I325" s="189" t="e">
        <v>#N/A</v>
      </c>
      <c r="J325" s="189" t="e">
        <v>#N/A</v>
      </c>
      <c r="K325" s="204" t="e">
        <v>#N/A</v>
      </c>
      <c r="L325" s="204" t="e">
        <v>#N/A</v>
      </c>
      <c r="M325" s="205" t="e">
        <v>#N/A</v>
      </c>
      <c r="N325" s="205" t="e">
        <v>#N/A</v>
      </c>
      <c r="O325" s="205" t="e">
        <v>#N/A</v>
      </c>
      <c r="P325" s="205" t="e">
        <v>#N/A</v>
      </c>
      <c r="Q325" s="189" t="e">
        <v>#N/A</v>
      </c>
      <c r="R325" s="189" t="e">
        <v>#N/A</v>
      </c>
      <c r="S325" s="205" t="e">
        <v>#N/A</v>
      </c>
      <c r="T325" s="206"/>
    </row>
    <row r="326">
      <c r="C326" s="189" t="e">
        <v>#N/A</v>
      </c>
      <c r="D326" s="189" t="e">
        <v>#N/A</v>
      </c>
      <c r="E326" s="189" t="e">
        <v>#N/A</v>
      </c>
      <c r="F326" s="189" t="e">
        <v>#N/A</v>
      </c>
      <c r="G326" s="189" t="e">
        <v>#N/A</v>
      </c>
      <c r="H326" s="189" t="e">
        <v>#N/A</v>
      </c>
      <c r="I326" s="189" t="e">
        <v>#N/A</v>
      </c>
      <c r="J326" s="189" t="e">
        <v>#N/A</v>
      </c>
      <c r="K326" s="204" t="e">
        <v>#N/A</v>
      </c>
      <c r="L326" s="204" t="e">
        <v>#N/A</v>
      </c>
      <c r="M326" s="205" t="e">
        <v>#N/A</v>
      </c>
      <c r="N326" s="205" t="e">
        <v>#N/A</v>
      </c>
      <c r="O326" s="205" t="e">
        <v>#N/A</v>
      </c>
      <c r="P326" s="205" t="e">
        <v>#N/A</v>
      </c>
      <c r="Q326" s="189" t="e">
        <v>#N/A</v>
      </c>
      <c r="R326" s="189" t="e">
        <v>#N/A</v>
      </c>
      <c r="S326" s="205" t="e">
        <v>#N/A</v>
      </c>
      <c r="T326" s="206"/>
    </row>
    <row r="327">
      <c r="C327" s="189" t="e">
        <v>#N/A</v>
      </c>
      <c r="D327" s="189" t="e">
        <v>#N/A</v>
      </c>
      <c r="E327" s="189" t="e">
        <v>#N/A</v>
      </c>
      <c r="F327" s="189" t="e">
        <v>#N/A</v>
      </c>
      <c r="G327" s="189" t="e">
        <v>#N/A</v>
      </c>
      <c r="H327" s="189" t="e">
        <v>#N/A</v>
      </c>
      <c r="I327" s="189" t="e">
        <v>#N/A</v>
      </c>
      <c r="J327" s="189" t="e">
        <v>#N/A</v>
      </c>
      <c r="K327" s="204" t="e">
        <v>#N/A</v>
      </c>
      <c r="L327" s="204" t="e">
        <v>#N/A</v>
      </c>
      <c r="M327" s="205" t="e">
        <v>#N/A</v>
      </c>
      <c r="N327" s="205" t="e">
        <v>#N/A</v>
      </c>
      <c r="O327" s="205" t="e">
        <v>#N/A</v>
      </c>
      <c r="P327" s="205" t="e">
        <v>#N/A</v>
      </c>
      <c r="Q327" s="189" t="e">
        <v>#N/A</v>
      </c>
      <c r="R327" s="189" t="e">
        <v>#N/A</v>
      </c>
      <c r="S327" s="205" t="e">
        <v>#N/A</v>
      </c>
      <c r="T327" s="206"/>
    </row>
    <row r="328">
      <c r="C328" s="189" t="e">
        <v>#N/A</v>
      </c>
      <c r="D328" s="189" t="e">
        <v>#N/A</v>
      </c>
      <c r="E328" s="189" t="e">
        <v>#N/A</v>
      </c>
      <c r="F328" s="189" t="e">
        <v>#N/A</v>
      </c>
      <c r="G328" s="189" t="e">
        <v>#N/A</v>
      </c>
      <c r="H328" s="189" t="e">
        <v>#N/A</v>
      </c>
      <c r="I328" s="189" t="e">
        <v>#N/A</v>
      </c>
      <c r="J328" s="189" t="e">
        <v>#N/A</v>
      </c>
      <c r="K328" s="204" t="e">
        <v>#N/A</v>
      </c>
      <c r="L328" s="204" t="e">
        <v>#N/A</v>
      </c>
      <c r="M328" s="205" t="e">
        <v>#N/A</v>
      </c>
      <c r="N328" s="205" t="e">
        <v>#N/A</v>
      </c>
      <c r="O328" s="205" t="e">
        <v>#N/A</v>
      </c>
      <c r="P328" s="205" t="e">
        <v>#N/A</v>
      </c>
      <c r="Q328" s="189" t="e">
        <v>#N/A</v>
      </c>
      <c r="R328" s="189" t="e">
        <v>#N/A</v>
      </c>
      <c r="S328" s="205" t="e">
        <v>#N/A</v>
      </c>
      <c r="T328" s="206"/>
    </row>
    <row r="329">
      <c r="C329" s="189" t="e">
        <v>#N/A</v>
      </c>
      <c r="D329" s="189" t="e">
        <v>#N/A</v>
      </c>
      <c r="E329" s="189" t="e">
        <v>#N/A</v>
      </c>
      <c r="F329" s="189" t="e">
        <v>#N/A</v>
      </c>
      <c r="G329" s="189" t="e">
        <v>#N/A</v>
      </c>
      <c r="H329" s="189" t="e">
        <v>#N/A</v>
      </c>
      <c r="I329" s="189" t="e">
        <v>#N/A</v>
      </c>
      <c r="J329" s="189" t="e">
        <v>#N/A</v>
      </c>
      <c r="K329" s="204" t="e">
        <v>#N/A</v>
      </c>
      <c r="L329" s="204" t="e">
        <v>#N/A</v>
      </c>
      <c r="M329" s="205" t="e">
        <v>#N/A</v>
      </c>
      <c r="N329" s="205" t="e">
        <v>#N/A</v>
      </c>
      <c r="O329" s="205" t="e">
        <v>#N/A</v>
      </c>
      <c r="P329" s="205" t="e">
        <v>#N/A</v>
      </c>
      <c r="Q329" s="189" t="e">
        <v>#N/A</v>
      </c>
      <c r="R329" s="189" t="e">
        <v>#N/A</v>
      </c>
      <c r="S329" s="205" t="e">
        <v>#N/A</v>
      </c>
      <c r="T329" s="206"/>
    </row>
    <row r="330">
      <c r="C330" s="189" t="e">
        <v>#N/A</v>
      </c>
      <c r="D330" s="189" t="e">
        <v>#N/A</v>
      </c>
      <c r="E330" s="189" t="e">
        <v>#N/A</v>
      </c>
      <c r="F330" s="189" t="e">
        <v>#N/A</v>
      </c>
      <c r="G330" s="189" t="e">
        <v>#N/A</v>
      </c>
      <c r="H330" s="189" t="e">
        <v>#N/A</v>
      </c>
      <c r="I330" s="189" t="e">
        <v>#N/A</v>
      </c>
      <c r="J330" s="189" t="e">
        <v>#N/A</v>
      </c>
      <c r="K330" s="204" t="e">
        <v>#N/A</v>
      </c>
      <c r="L330" s="204" t="e">
        <v>#N/A</v>
      </c>
      <c r="M330" s="205" t="e">
        <v>#N/A</v>
      </c>
      <c r="N330" s="205" t="e">
        <v>#N/A</v>
      </c>
      <c r="O330" s="205" t="e">
        <v>#N/A</v>
      </c>
      <c r="P330" s="205" t="e">
        <v>#N/A</v>
      </c>
      <c r="Q330" s="189" t="e">
        <v>#N/A</v>
      </c>
      <c r="R330" s="189" t="e">
        <v>#N/A</v>
      </c>
      <c r="S330" s="205" t="e">
        <v>#N/A</v>
      </c>
      <c r="T330" s="206"/>
    </row>
    <row r="331">
      <c r="C331" s="189" t="e">
        <v>#N/A</v>
      </c>
      <c r="D331" s="189" t="e">
        <v>#N/A</v>
      </c>
      <c r="E331" s="189" t="e">
        <v>#N/A</v>
      </c>
      <c r="F331" s="189" t="e">
        <v>#N/A</v>
      </c>
      <c r="G331" s="189" t="e">
        <v>#N/A</v>
      </c>
      <c r="H331" s="189" t="e">
        <v>#N/A</v>
      </c>
      <c r="I331" s="189" t="e">
        <v>#N/A</v>
      </c>
      <c r="J331" s="189" t="e">
        <v>#N/A</v>
      </c>
      <c r="K331" s="204" t="e">
        <v>#N/A</v>
      </c>
      <c r="L331" s="204" t="e">
        <v>#N/A</v>
      </c>
      <c r="M331" s="205" t="e">
        <v>#N/A</v>
      </c>
      <c r="N331" s="205" t="e">
        <v>#N/A</v>
      </c>
      <c r="O331" s="205" t="e">
        <v>#N/A</v>
      </c>
      <c r="P331" s="205" t="e">
        <v>#N/A</v>
      </c>
      <c r="Q331" s="189" t="e">
        <v>#N/A</v>
      </c>
      <c r="R331" s="189" t="e">
        <v>#N/A</v>
      </c>
      <c r="S331" s="205" t="e">
        <v>#N/A</v>
      </c>
      <c r="T331" s="206"/>
    </row>
    <row r="332">
      <c r="C332" s="189" t="e">
        <v>#N/A</v>
      </c>
      <c r="D332" s="189" t="e">
        <v>#N/A</v>
      </c>
      <c r="E332" s="189" t="e">
        <v>#N/A</v>
      </c>
      <c r="F332" s="189" t="e">
        <v>#N/A</v>
      </c>
      <c r="G332" s="189" t="e">
        <v>#N/A</v>
      </c>
      <c r="H332" s="189" t="e">
        <v>#N/A</v>
      </c>
      <c r="I332" s="189" t="e">
        <v>#N/A</v>
      </c>
      <c r="J332" s="189" t="e">
        <v>#N/A</v>
      </c>
      <c r="K332" s="204" t="e">
        <v>#N/A</v>
      </c>
      <c r="L332" s="204" t="e">
        <v>#N/A</v>
      </c>
      <c r="M332" s="205" t="e">
        <v>#N/A</v>
      </c>
      <c r="N332" s="205" t="e">
        <v>#N/A</v>
      </c>
      <c r="O332" s="205" t="e">
        <v>#N/A</v>
      </c>
      <c r="P332" s="205" t="e">
        <v>#N/A</v>
      </c>
      <c r="Q332" s="189" t="e">
        <v>#N/A</v>
      </c>
      <c r="R332" s="189" t="e">
        <v>#N/A</v>
      </c>
      <c r="S332" s="205" t="e">
        <v>#N/A</v>
      </c>
      <c r="T332" s="206"/>
    </row>
    <row r="333">
      <c r="C333" s="189" t="e">
        <v>#N/A</v>
      </c>
      <c r="D333" s="189" t="e">
        <v>#N/A</v>
      </c>
      <c r="E333" s="189" t="e">
        <v>#N/A</v>
      </c>
      <c r="F333" s="189" t="e">
        <v>#N/A</v>
      </c>
      <c r="G333" s="189" t="e">
        <v>#N/A</v>
      </c>
      <c r="H333" s="189" t="e">
        <v>#N/A</v>
      </c>
      <c r="I333" s="189" t="e">
        <v>#N/A</v>
      </c>
      <c r="J333" s="189" t="e">
        <v>#N/A</v>
      </c>
      <c r="K333" s="204" t="e">
        <v>#N/A</v>
      </c>
      <c r="L333" s="204" t="e">
        <v>#N/A</v>
      </c>
      <c r="M333" s="205" t="e">
        <v>#N/A</v>
      </c>
      <c r="N333" s="205" t="e">
        <v>#N/A</v>
      </c>
      <c r="O333" s="205" t="e">
        <v>#N/A</v>
      </c>
      <c r="P333" s="205" t="e">
        <v>#N/A</v>
      </c>
      <c r="Q333" s="189" t="e">
        <v>#N/A</v>
      </c>
      <c r="R333" s="189" t="e">
        <v>#N/A</v>
      </c>
      <c r="S333" s="205" t="e">
        <v>#N/A</v>
      </c>
      <c r="T333" s="206"/>
    </row>
    <row r="334">
      <c r="C334" s="189" t="e">
        <v>#N/A</v>
      </c>
      <c r="D334" s="189" t="e">
        <v>#N/A</v>
      </c>
      <c r="E334" s="189" t="e">
        <v>#N/A</v>
      </c>
      <c r="F334" s="189" t="e">
        <v>#N/A</v>
      </c>
      <c r="G334" s="189" t="e">
        <v>#N/A</v>
      </c>
      <c r="H334" s="189" t="e">
        <v>#N/A</v>
      </c>
      <c r="I334" s="189" t="e">
        <v>#N/A</v>
      </c>
      <c r="J334" s="189" t="e">
        <v>#N/A</v>
      </c>
      <c r="K334" s="204" t="e">
        <v>#N/A</v>
      </c>
      <c r="L334" s="204" t="e">
        <v>#N/A</v>
      </c>
      <c r="M334" s="205" t="e">
        <v>#N/A</v>
      </c>
      <c r="N334" s="205" t="e">
        <v>#N/A</v>
      </c>
      <c r="O334" s="205" t="e">
        <v>#N/A</v>
      </c>
      <c r="P334" s="205" t="e">
        <v>#N/A</v>
      </c>
      <c r="Q334" s="189" t="e">
        <v>#N/A</v>
      </c>
      <c r="R334" s="189" t="e">
        <v>#N/A</v>
      </c>
      <c r="S334" s="205" t="e">
        <v>#N/A</v>
      </c>
      <c r="T334" s="206"/>
    </row>
    <row r="335">
      <c r="C335" s="189" t="e">
        <v>#N/A</v>
      </c>
      <c r="D335" s="189" t="e">
        <v>#N/A</v>
      </c>
      <c r="E335" s="189" t="e">
        <v>#N/A</v>
      </c>
      <c r="F335" s="189" t="e">
        <v>#N/A</v>
      </c>
      <c r="G335" s="189" t="e">
        <v>#N/A</v>
      </c>
      <c r="H335" s="189" t="e">
        <v>#N/A</v>
      </c>
      <c r="I335" s="189" t="e">
        <v>#N/A</v>
      </c>
      <c r="J335" s="189" t="e">
        <v>#N/A</v>
      </c>
      <c r="K335" s="204" t="e">
        <v>#N/A</v>
      </c>
      <c r="L335" s="204" t="e">
        <v>#N/A</v>
      </c>
      <c r="M335" s="205" t="e">
        <v>#N/A</v>
      </c>
      <c r="N335" s="205" t="e">
        <v>#N/A</v>
      </c>
      <c r="O335" s="205" t="e">
        <v>#N/A</v>
      </c>
      <c r="P335" s="205" t="e">
        <v>#N/A</v>
      </c>
      <c r="Q335" s="189" t="e">
        <v>#N/A</v>
      </c>
      <c r="R335" s="189" t="e">
        <v>#N/A</v>
      </c>
      <c r="S335" s="205" t="e">
        <v>#N/A</v>
      </c>
      <c r="T335" s="206"/>
    </row>
    <row r="336">
      <c r="C336" s="189" t="e">
        <v>#N/A</v>
      </c>
      <c r="D336" s="189" t="e">
        <v>#N/A</v>
      </c>
      <c r="E336" s="189" t="e">
        <v>#N/A</v>
      </c>
      <c r="F336" s="189" t="e">
        <v>#N/A</v>
      </c>
      <c r="G336" s="189" t="e">
        <v>#N/A</v>
      </c>
      <c r="H336" s="189" t="e">
        <v>#N/A</v>
      </c>
      <c r="I336" s="189" t="e">
        <v>#N/A</v>
      </c>
      <c r="J336" s="189" t="e">
        <v>#N/A</v>
      </c>
      <c r="K336" s="204" t="e">
        <v>#N/A</v>
      </c>
      <c r="L336" s="204" t="e">
        <v>#N/A</v>
      </c>
      <c r="M336" s="205" t="e">
        <v>#N/A</v>
      </c>
      <c r="N336" s="205" t="e">
        <v>#N/A</v>
      </c>
      <c r="O336" s="205" t="e">
        <v>#N/A</v>
      </c>
      <c r="P336" s="205" t="e">
        <v>#N/A</v>
      </c>
      <c r="Q336" s="189" t="e">
        <v>#N/A</v>
      </c>
      <c r="R336" s="189" t="e">
        <v>#N/A</v>
      </c>
      <c r="S336" s="205" t="e">
        <v>#N/A</v>
      </c>
      <c r="T336" s="206"/>
    </row>
    <row r="337">
      <c r="C337" s="189" t="e">
        <v>#N/A</v>
      </c>
      <c r="D337" s="189" t="e">
        <v>#N/A</v>
      </c>
      <c r="E337" s="189" t="e">
        <v>#N/A</v>
      </c>
      <c r="F337" s="189" t="e">
        <v>#N/A</v>
      </c>
      <c r="G337" s="189" t="e">
        <v>#N/A</v>
      </c>
      <c r="H337" s="189" t="e">
        <v>#N/A</v>
      </c>
      <c r="I337" s="189" t="e">
        <v>#N/A</v>
      </c>
      <c r="J337" s="189" t="e">
        <v>#N/A</v>
      </c>
      <c r="K337" s="204" t="e">
        <v>#N/A</v>
      </c>
      <c r="L337" s="204" t="e">
        <v>#N/A</v>
      </c>
      <c r="M337" s="205" t="e">
        <v>#N/A</v>
      </c>
      <c r="N337" s="205" t="e">
        <v>#N/A</v>
      </c>
      <c r="O337" s="205" t="e">
        <v>#N/A</v>
      </c>
      <c r="P337" s="205" t="e">
        <v>#N/A</v>
      </c>
      <c r="Q337" s="189" t="e">
        <v>#N/A</v>
      </c>
      <c r="R337" s="189" t="e">
        <v>#N/A</v>
      </c>
      <c r="S337" s="205" t="e">
        <v>#N/A</v>
      </c>
      <c r="T337" s="206"/>
    </row>
    <row r="338">
      <c r="C338" s="189" t="e">
        <v>#N/A</v>
      </c>
      <c r="D338" s="189" t="e">
        <v>#N/A</v>
      </c>
      <c r="E338" s="189" t="e">
        <v>#N/A</v>
      </c>
      <c r="F338" s="189" t="e">
        <v>#N/A</v>
      </c>
      <c r="G338" s="189" t="e">
        <v>#N/A</v>
      </c>
      <c r="H338" s="189" t="e">
        <v>#N/A</v>
      </c>
      <c r="I338" s="189" t="e">
        <v>#N/A</v>
      </c>
      <c r="J338" s="189" t="e">
        <v>#N/A</v>
      </c>
      <c r="K338" s="204" t="e">
        <v>#N/A</v>
      </c>
      <c r="L338" s="204" t="e">
        <v>#N/A</v>
      </c>
      <c r="M338" s="205" t="e">
        <v>#N/A</v>
      </c>
      <c r="N338" s="205" t="e">
        <v>#N/A</v>
      </c>
      <c r="O338" s="205" t="e">
        <v>#N/A</v>
      </c>
      <c r="P338" s="205" t="e">
        <v>#N/A</v>
      </c>
      <c r="Q338" s="189" t="e">
        <v>#N/A</v>
      </c>
      <c r="R338" s="189" t="e">
        <v>#N/A</v>
      </c>
      <c r="S338" s="205" t="e">
        <v>#N/A</v>
      </c>
      <c r="T338" s="206"/>
    </row>
    <row r="339">
      <c r="C339" s="189" t="e">
        <v>#N/A</v>
      </c>
      <c r="D339" s="189" t="e">
        <v>#N/A</v>
      </c>
      <c r="E339" s="189" t="e">
        <v>#N/A</v>
      </c>
      <c r="F339" s="189" t="e">
        <v>#N/A</v>
      </c>
      <c r="G339" s="189" t="e">
        <v>#N/A</v>
      </c>
      <c r="H339" s="189" t="e">
        <v>#N/A</v>
      </c>
      <c r="I339" s="189" t="e">
        <v>#N/A</v>
      </c>
      <c r="J339" s="189" t="e">
        <v>#N/A</v>
      </c>
      <c r="K339" s="204" t="e">
        <v>#N/A</v>
      </c>
      <c r="L339" s="204" t="e">
        <v>#N/A</v>
      </c>
      <c r="M339" s="205" t="e">
        <v>#N/A</v>
      </c>
      <c r="N339" s="205" t="e">
        <v>#N/A</v>
      </c>
      <c r="O339" s="205" t="e">
        <v>#N/A</v>
      </c>
      <c r="P339" s="205" t="e">
        <v>#N/A</v>
      </c>
      <c r="Q339" s="189" t="e">
        <v>#N/A</v>
      </c>
      <c r="R339" s="189" t="e">
        <v>#N/A</v>
      </c>
      <c r="S339" s="205" t="e">
        <v>#N/A</v>
      </c>
      <c r="T339" s="206"/>
    </row>
    <row r="340">
      <c r="C340" s="189" t="e">
        <v>#N/A</v>
      </c>
      <c r="D340" s="189" t="e">
        <v>#N/A</v>
      </c>
      <c r="E340" s="189" t="e">
        <v>#N/A</v>
      </c>
      <c r="F340" s="189" t="e">
        <v>#N/A</v>
      </c>
      <c r="G340" s="189" t="e">
        <v>#N/A</v>
      </c>
      <c r="H340" s="189" t="e">
        <v>#N/A</v>
      </c>
      <c r="I340" s="189" t="e">
        <v>#N/A</v>
      </c>
      <c r="J340" s="189" t="e">
        <v>#N/A</v>
      </c>
      <c r="K340" s="204" t="e">
        <v>#N/A</v>
      </c>
      <c r="L340" s="204" t="e">
        <v>#N/A</v>
      </c>
      <c r="M340" s="205" t="e">
        <v>#N/A</v>
      </c>
      <c r="N340" s="205" t="e">
        <v>#N/A</v>
      </c>
      <c r="O340" s="205" t="e">
        <v>#N/A</v>
      </c>
      <c r="P340" s="205" t="e">
        <v>#N/A</v>
      </c>
      <c r="Q340" s="189" t="e">
        <v>#N/A</v>
      </c>
      <c r="R340" s="189" t="e">
        <v>#N/A</v>
      </c>
      <c r="S340" s="205" t="e">
        <v>#N/A</v>
      </c>
      <c r="T340" s="206"/>
    </row>
    <row r="341">
      <c r="C341" s="189" t="e">
        <v>#N/A</v>
      </c>
      <c r="D341" s="189" t="e">
        <v>#N/A</v>
      </c>
      <c r="E341" s="189" t="e">
        <v>#N/A</v>
      </c>
      <c r="F341" s="189" t="e">
        <v>#N/A</v>
      </c>
      <c r="G341" s="189" t="e">
        <v>#N/A</v>
      </c>
      <c r="H341" s="189" t="e">
        <v>#N/A</v>
      </c>
      <c r="I341" s="189" t="e">
        <v>#N/A</v>
      </c>
      <c r="J341" s="189" t="e">
        <v>#N/A</v>
      </c>
      <c r="K341" s="204" t="e">
        <v>#N/A</v>
      </c>
      <c r="L341" s="204" t="e">
        <v>#N/A</v>
      </c>
      <c r="M341" s="205" t="e">
        <v>#N/A</v>
      </c>
      <c r="N341" s="205" t="e">
        <v>#N/A</v>
      </c>
      <c r="O341" s="205" t="e">
        <v>#N/A</v>
      </c>
      <c r="P341" s="205" t="e">
        <v>#N/A</v>
      </c>
      <c r="Q341" s="189" t="e">
        <v>#N/A</v>
      </c>
      <c r="R341" s="189" t="e">
        <v>#N/A</v>
      </c>
      <c r="S341" s="205" t="e">
        <v>#N/A</v>
      </c>
      <c r="T341" s="206"/>
    </row>
    <row r="342">
      <c r="C342" s="189" t="e">
        <v>#N/A</v>
      </c>
      <c r="D342" s="189" t="e">
        <v>#N/A</v>
      </c>
      <c r="E342" s="189" t="e">
        <v>#N/A</v>
      </c>
      <c r="F342" s="189" t="e">
        <v>#N/A</v>
      </c>
      <c r="G342" s="189" t="e">
        <v>#N/A</v>
      </c>
      <c r="H342" s="189" t="e">
        <v>#N/A</v>
      </c>
      <c r="I342" s="189" t="e">
        <v>#N/A</v>
      </c>
      <c r="J342" s="189" t="e">
        <v>#N/A</v>
      </c>
      <c r="K342" s="204" t="e">
        <v>#N/A</v>
      </c>
      <c r="L342" s="204" t="e">
        <v>#N/A</v>
      </c>
      <c r="M342" s="205" t="e">
        <v>#N/A</v>
      </c>
      <c r="N342" s="205" t="e">
        <v>#N/A</v>
      </c>
      <c r="O342" s="205" t="e">
        <v>#N/A</v>
      </c>
      <c r="P342" s="205" t="e">
        <v>#N/A</v>
      </c>
      <c r="Q342" s="189" t="e">
        <v>#N/A</v>
      </c>
      <c r="R342" s="189" t="e">
        <v>#N/A</v>
      </c>
      <c r="S342" s="205" t="e">
        <v>#N/A</v>
      </c>
      <c r="T342" s="206"/>
    </row>
    <row r="343">
      <c r="C343" s="189" t="e">
        <v>#N/A</v>
      </c>
      <c r="D343" s="189" t="e">
        <v>#N/A</v>
      </c>
      <c r="E343" s="189" t="e">
        <v>#N/A</v>
      </c>
      <c r="F343" s="189" t="e">
        <v>#N/A</v>
      </c>
      <c r="G343" s="189" t="e">
        <v>#N/A</v>
      </c>
      <c r="H343" s="189" t="e">
        <v>#N/A</v>
      </c>
      <c r="I343" s="189" t="e">
        <v>#N/A</v>
      </c>
      <c r="J343" s="189" t="e">
        <v>#N/A</v>
      </c>
      <c r="K343" s="204" t="e">
        <v>#N/A</v>
      </c>
      <c r="L343" s="204" t="e">
        <v>#N/A</v>
      </c>
      <c r="M343" s="205" t="e">
        <v>#N/A</v>
      </c>
      <c r="N343" s="205" t="e">
        <v>#N/A</v>
      </c>
      <c r="O343" s="205" t="e">
        <v>#N/A</v>
      </c>
      <c r="P343" s="205" t="e">
        <v>#N/A</v>
      </c>
      <c r="Q343" s="189" t="e">
        <v>#N/A</v>
      </c>
      <c r="R343" s="189" t="e">
        <v>#N/A</v>
      </c>
      <c r="S343" s="205" t="e">
        <v>#N/A</v>
      </c>
      <c r="T343" s="206"/>
    </row>
    <row r="344">
      <c r="C344" s="189" t="e">
        <v>#N/A</v>
      </c>
      <c r="D344" s="189" t="e">
        <v>#N/A</v>
      </c>
      <c r="E344" s="189" t="e">
        <v>#N/A</v>
      </c>
      <c r="F344" s="189" t="e">
        <v>#N/A</v>
      </c>
      <c r="G344" s="189" t="e">
        <v>#N/A</v>
      </c>
      <c r="H344" s="189" t="e">
        <v>#N/A</v>
      </c>
      <c r="I344" s="189" t="e">
        <v>#N/A</v>
      </c>
      <c r="J344" s="189" t="e">
        <v>#N/A</v>
      </c>
      <c r="K344" s="204" t="e">
        <v>#N/A</v>
      </c>
      <c r="L344" s="204" t="e">
        <v>#N/A</v>
      </c>
      <c r="M344" s="205" t="e">
        <v>#N/A</v>
      </c>
      <c r="N344" s="205" t="e">
        <v>#N/A</v>
      </c>
      <c r="O344" s="205" t="e">
        <v>#N/A</v>
      </c>
      <c r="P344" s="205" t="e">
        <v>#N/A</v>
      </c>
      <c r="Q344" s="189" t="e">
        <v>#N/A</v>
      </c>
      <c r="R344" s="189" t="e">
        <v>#N/A</v>
      </c>
      <c r="S344" s="205" t="e">
        <v>#N/A</v>
      </c>
      <c r="T344" s="206"/>
    </row>
    <row r="345">
      <c r="C345" s="189" t="e">
        <v>#N/A</v>
      </c>
      <c r="D345" s="189" t="e">
        <v>#N/A</v>
      </c>
      <c r="E345" s="189" t="e">
        <v>#N/A</v>
      </c>
      <c r="F345" s="189" t="e">
        <v>#N/A</v>
      </c>
      <c r="G345" s="189" t="e">
        <v>#N/A</v>
      </c>
      <c r="H345" s="189" t="e">
        <v>#N/A</v>
      </c>
      <c r="I345" s="189" t="e">
        <v>#N/A</v>
      </c>
      <c r="J345" s="189" t="e">
        <v>#N/A</v>
      </c>
      <c r="K345" s="204" t="e">
        <v>#N/A</v>
      </c>
      <c r="L345" s="204" t="e">
        <v>#N/A</v>
      </c>
      <c r="M345" s="205" t="e">
        <v>#N/A</v>
      </c>
      <c r="N345" s="205" t="e">
        <v>#N/A</v>
      </c>
      <c r="O345" s="205" t="e">
        <v>#N/A</v>
      </c>
      <c r="P345" s="205" t="e">
        <v>#N/A</v>
      </c>
      <c r="Q345" s="189" t="e">
        <v>#N/A</v>
      </c>
      <c r="R345" s="189" t="e">
        <v>#N/A</v>
      </c>
      <c r="S345" s="205" t="e">
        <v>#N/A</v>
      </c>
      <c r="T345" s="206"/>
    </row>
    <row r="346">
      <c r="C346" s="189" t="e">
        <v>#N/A</v>
      </c>
      <c r="D346" s="189" t="e">
        <v>#N/A</v>
      </c>
      <c r="E346" s="189" t="e">
        <v>#N/A</v>
      </c>
      <c r="F346" s="189" t="e">
        <v>#N/A</v>
      </c>
      <c r="G346" s="189" t="e">
        <v>#N/A</v>
      </c>
      <c r="H346" s="189" t="e">
        <v>#N/A</v>
      </c>
      <c r="I346" s="189" t="e">
        <v>#N/A</v>
      </c>
      <c r="J346" s="189" t="e">
        <v>#N/A</v>
      </c>
      <c r="K346" s="204" t="e">
        <v>#N/A</v>
      </c>
      <c r="L346" s="204" t="e">
        <v>#N/A</v>
      </c>
      <c r="M346" s="205" t="e">
        <v>#N/A</v>
      </c>
      <c r="N346" s="205" t="e">
        <v>#N/A</v>
      </c>
      <c r="O346" s="205" t="e">
        <v>#N/A</v>
      </c>
      <c r="P346" s="205" t="e">
        <v>#N/A</v>
      </c>
      <c r="Q346" s="189" t="e">
        <v>#N/A</v>
      </c>
      <c r="R346" s="189" t="e">
        <v>#N/A</v>
      </c>
      <c r="S346" s="205" t="e">
        <v>#N/A</v>
      </c>
      <c r="T346" s="206"/>
    </row>
    <row r="347">
      <c r="C347" s="189" t="e">
        <v>#N/A</v>
      </c>
      <c r="D347" s="189" t="e">
        <v>#N/A</v>
      </c>
      <c r="E347" s="189" t="e">
        <v>#N/A</v>
      </c>
      <c r="F347" s="189" t="e">
        <v>#N/A</v>
      </c>
      <c r="G347" s="189" t="e">
        <v>#N/A</v>
      </c>
      <c r="H347" s="189" t="e">
        <v>#N/A</v>
      </c>
      <c r="I347" s="189" t="e">
        <v>#N/A</v>
      </c>
      <c r="J347" s="189" t="e">
        <v>#N/A</v>
      </c>
      <c r="K347" s="204" t="e">
        <v>#N/A</v>
      </c>
      <c r="L347" s="204" t="e">
        <v>#N/A</v>
      </c>
      <c r="M347" s="205" t="e">
        <v>#N/A</v>
      </c>
      <c r="N347" s="205" t="e">
        <v>#N/A</v>
      </c>
      <c r="O347" s="205" t="e">
        <v>#N/A</v>
      </c>
      <c r="P347" s="205" t="e">
        <v>#N/A</v>
      </c>
      <c r="Q347" s="189" t="e">
        <v>#N/A</v>
      </c>
      <c r="R347" s="189" t="e">
        <v>#N/A</v>
      </c>
      <c r="S347" s="205" t="e">
        <v>#N/A</v>
      </c>
      <c r="T347" s="206"/>
    </row>
    <row r="348">
      <c r="C348" s="189" t="e">
        <v>#N/A</v>
      </c>
      <c r="D348" s="189" t="e">
        <v>#N/A</v>
      </c>
      <c r="E348" s="189" t="e">
        <v>#N/A</v>
      </c>
      <c r="F348" s="189" t="e">
        <v>#N/A</v>
      </c>
      <c r="G348" s="189" t="e">
        <v>#N/A</v>
      </c>
      <c r="H348" s="189" t="e">
        <v>#N/A</v>
      </c>
      <c r="I348" s="189" t="e">
        <v>#N/A</v>
      </c>
      <c r="J348" s="189" t="e">
        <v>#N/A</v>
      </c>
      <c r="K348" s="204" t="e">
        <v>#N/A</v>
      </c>
      <c r="L348" s="204" t="e">
        <v>#N/A</v>
      </c>
      <c r="M348" s="205" t="e">
        <v>#N/A</v>
      </c>
      <c r="N348" s="205" t="e">
        <v>#N/A</v>
      </c>
      <c r="O348" s="205" t="e">
        <v>#N/A</v>
      </c>
      <c r="P348" s="205" t="e">
        <v>#N/A</v>
      </c>
      <c r="Q348" s="189" t="e">
        <v>#N/A</v>
      </c>
      <c r="R348" s="189" t="e">
        <v>#N/A</v>
      </c>
      <c r="S348" s="205" t="e">
        <v>#N/A</v>
      </c>
      <c r="T348" s="206"/>
    </row>
    <row r="349">
      <c r="C349" s="189" t="e">
        <v>#N/A</v>
      </c>
      <c r="D349" s="189" t="e">
        <v>#N/A</v>
      </c>
      <c r="E349" s="189" t="e">
        <v>#N/A</v>
      </c>
      <c r="F349" s="189" t="e">
        <v>#N/A</v>
      </c>
      <c r="G349" s="189" t="e">
        <v>#N/A</v>
      </c>
      <c r="H349" s="189" t="e">
        <v>#N/A</v>
      </c>
      <c r="I349" s="189" t="e">
        <v>#N/A</v>
      </c>
      <c r="J349" s="189" t="e">
        <v>#N/A</v>
      </c>
      <c r="K349" s="204" t="e">
        <v>#N/A</v>
      </c>
      <c r="L349" s="204" t="e">
        <v>#N/A</v>
      </c>
      <c r="M349" s="205" t="e">
        <v>#N/A</v>
      </c>
      <c r="N349" s="205" t="e">
        <v>#N/A</v>
      </c>
      <c r="O349" s="205" t="e">
        <v>#N/A</v>
      </c>
      <c r="P349" s="205" t="e">
        <v>#N/A</v>
      </c>
      <c r="Q349" s="189" t="e">
        <v>#N/A</v>
      </c>
      <c r="R349" s="189" t="e">
        <v>#N/A</v>
      </c>
      <c r="S349" s="205" t="e">
        <v>#N/A</v>
      </c>
      <c r="T349" s="206"/>
    </row>
    <row r="350">
      <c r="C350" s="189" t="e">
        <v>#N/A</v>
      </c>
      <c r="D350" s="189" t="e">
        <v>#N/A</v>
      </c>
      <c r="E350" s="189" t="e">
        <v>#N/A</v>
      </c>
      <c r="F350" s="189" t="e">
        <v>#N/A</v>
      </c>
      <c r="G350" s="189" t="e">
        <v>#N/A</v>
      </c>
      <c r="H350" s="189" t="e">
        <v>#N/A</v>
      </c>
      <c r="I350" s="189" t="e">
        <v>#N/A</v>
      </c>
      <c r="J350" s="189" t="e">
        <v>#N/A</v>
      </c>
      <c r="K350" s="204" t="e">
        <v>#N/A</v>
      </c>
      <c r="L350" s="204" t="e">
        <v>#N/A</v>
      </c>
      <c r="M350" s="205" t="e">
        <v>#N/A</v>
      </c>
      <c r="N350" s="205" t="e">
        <v>#N/A</v>
      </c>
      <c r="O350" s="205" t="e">
        <v>#N/A</v>
      </c>
      <c r="P350" s="205" t="e">
        <v>#N/A</v>
      </c>
      <c r="Q350" s="189" t="e">
        <v>#N/A</v>
      </c>
      <c r="R350" s="189" t="e">
        <v>#N/A</v>
      </c>
      <c r="S350" s="205" t="e">
        <v>#N/A</v>
      </c>
      <c r="T350" s="206"/>
    </row>
    <row r="351">
      <c r="C351" s="189" t="e">
        <v>#N/A</v>
      </c>
      <c r="D351" s="189" t="e">
        <v>#N/A</v>
      </c>
      <c r="E351" s="189" t="e">
        <v>#N/A</v>
      </c>
      <c r="F351" s="189" t="e">
        <v>#N/A</v>
      </c>
      <c r="G351" s="189" t="e">
        <v>#N/A</v>
      </c>
      <c r="H351" s="189" t="e">
        <v>#N/A</v>
      </c>
      <c r="I351" s="189" t="e">
        <v>#N/A</v>
      </c>
      <c r="J351" s="189" t="e">
        <v>#N/A</v>
      </c>
      <c r="K351" s="204" t="e">
        <v>#N/A</v>
      </c>
      <c r="L351" s="204" t="e">
        <v>#N/A</v>
      </c>
      <c r="M351" s="205" t="e">
        <v>#N/A</v>
      </c>
      <c r="N351" s="205" t="e">
        <v>#N/A</v>
      </c>
      <c r="O351" s="205" t="e">
        <v>#N/A</v>
      </c>
      <c r="P351" s="205" t="e">
        <v>#N/A</v>
      </c>
      <c r="Q351" s="189" t="e">
        <v>#N/A</v>
      </c>
      <c r="R351" s="189" t="e">
        <v>#N/A</v>
      </c>
      <c r="S351" s="205" t="e">
        <v>#N/A</v>
      </c>
      <c r="T351" s="206"/>
    </row>
    <row r="352">
      <c r="C352" s="189" t="e">
        <v>#N/A</v>
      </c>
      <c r="D352" s="189" t="e">
        <v>#N/A</v>
      </c>
      <c r="E352" s="189" t="e">
        <v>#N/A</v>
      </c>
      <c r="F352" s="189" t="e">
        <v>#N/A</v>
      </c>
      <c r="G352" s="189" t="e">
        <v>#N/A</v>
      </c>
      <c r="H352" s="189" t="e">
        <v>#N/A</v>
      </c>
      <c r="I352" s="189" t="e">
        <v>#N/A</v>
      </c>
      <c r="J352" s="189" t="e">
        <v>#N/A</v>
      </c>
      <c r="K352" s="204" t="e">
        <v>#N/A</v>
      </c>
      <c r="L352" s="204" t="e">
        <v>#N/A</v>
      </c>
      <c r="M352" s="205" t="e">
        <v>#N/A</v>
      </c>
      <c r="N352" s="205" t="e">
        <v>#N/A</v>
      </c>
      <c r="O352" s="205" t="e">
        <v>#N/A</v>
      </c>
      <c r="P352" s="205" t="e">
        <v>#N/A</v>
      </c>
      <c r="Q352" s="189" t="e">
        <v>#N/A</v>
      </c>
      <c r="R352" s="189" t="e">
        <v>#N/A</v>
      </c>
      <c r="S352" s="205" t="e">
        <v>#N/A</v>
      </c>
      <c r="T352" s="206"/>
    </row>
    <row r="353">
      <c r="C353" s="189" t="e">
        <v>#N/A</v>
      </c>
      <c r="D353" s="189" t="e">
        <v>#N/A</v>
      </c>
      <c r="E353" s="189" t="e">
        <v>#N/A</v>
      </c>
      <c r="F353" s="189" t="e">
        <v>#N/A</v>
      </c>
      <c r="G353" s="189" t="e">
        <v>#N/A</v>
      </c>
      <c r="H353" s="189" t="e">
        <v>#N/A</v>
      </c>
      <c r="I353" s="189" t="e">
        <v>#N/A</v>
      </c>
      <c r="J353" s="189" t="e">
        <v>#N/A</v>
      </c>
      <c r="K353" s="204" t="e">
        <v>#N/A</v>
      </c>
      <c r="L353" s="204" t="e">
        <v>#N/A</v>
      </c>
      <c r="M353" s="205" t="e">
        <v>#N/A</v>
      </c>
      <c r="N353" s="205" t="e">
        <v>#N/A</v>
      </c>
      <c r="O353" s="205" t="e">
        <v>#N/A</v>
      </c>
      <c r="P353" s="205" t="e">
        <v>#N/A</v>
      </c>
      <c r="Q353" s="189" t="e">
        <v>#N/A</v>
      </c>
      <c r="R353" s="189" t="e">
        <v>#N/A</v>
      </c>
      <c r="S353" s="205" t="e">
        <v>#N/A</v>
      </c>
      <c r="T353" s="206"/>
    </row>
    <row r="354">
      <c r="C354" s="189" t="e">
        <v>#N/A</v>
      </c>
      <c r="D354" s="189" t="e">
        <v>#N/A</v>
      </c>
      <c r="E354" s="189" t="e">
        <v>#N/A</v>
      </c>
      <c r="F354" s="189" t="e">
        <v>#N/A</v>
      </c>
      <c r="G354" s="189" t="e">
        <v>#N/A</v>
      </c>
      <c r="H354" s="189" t="e">
        <v>#N/A</v>
      </c>
      <c r="I354" s="189" t="e">
        <v>#N/A</v>
      </c>
      <c r="J354" s="189" t="e">
        <v>#N/A</v>
      </c>
      <c r="K354" s="204" t="e">
        <v>#N/A</v>
      </c>
      <c r="L354" s="204" t="e">
        <v>#N/A</v>
      </c>
      <c r="M354" s="205" t="e">
        <v>#N/A</v>
      </c>
      <c r="N354" s="205" t="e">
        <v>#N/A</v>
      </c>
      <c r="O354" s="205" t="e">
        <v>#N/A</v>
      </c>
      <c r="P354" s="205" t="e">
        <v>#N/A</v>
      </c>
      <c r="Q354" s="189" t="e">
        <v>#N/A</v>
      </c>
      <c r="R354" s="189" t="e">
        <v>#N/A</v>
      </c>
      <c r="S354" s="205" t="e">
        <v>#N/A</v>
      </c>
      <c r="T354" s="206"/>
    </row>
    <row r="355">
      <c r="C355" s="189" t="e">
        <v>#N/A</v>
      </c>
      <c r="D355" s="189" t="e">
        <v>#N/A</v>
      </c>
      <c r="E355" s="189" t="e">
        <v>#N/A</v>
      </c>
      <c r="F355" s="189" t="e">
        <v>#N/A</v>
      </c>
      <c r="G355" s="189" t="e">
        <v>#N/A</v>
      </c>
      <c r="H355" s="189" t="e">
        <v>#N/A</v>
      </c>
      <c r="I355" s="189" t="e">
        <v>#N/A</v>
      </c>
      <c r="J355" s="189" t="e">
        <v>#N/A</v>
      </c>
      <c r="K355" s="204" t="e">
        <v>#N/A</v>
      </c>
      <c r="L355" s="204" t="e">
        <v>#N/A</v>
      </c>
      <c r="M355" s="205" t="e">
        <v>#N/A</v>
      </c>
      <c r="N355" s="205" t="e">
        <v>#N/A</v>
      </c>
      <c r="O355" s="205" t="e">
        <v>#N/A</v>
      </c>
      <c r="P355" s="205" t="e">
        <v>#N/A</v>
      </c>
      <c r="Q355" s="189" t="e">
        <v>#N/A</v>
      </c>
      <c r="R355" s="189" t="e">
        <v>#N/A</v>
      </c>
      <c r="S355" s="205" t="e">
        <v>#N/A</v>
      </c>
      <c r="T355" s="206"/>
    </row>
    <row r="356">
      <c r="C356" s="189" t="e">
        <v>#N/A</v>
      </c>
      <c r="D356" s="189" t="e">
        <v>#N/A</v>
      </c>
      <c r="E356" s="189" t="e">
        <v>#N/A</v>
      </c>
      <c r="F356" s="189" t="e">
        <v>#N/A</v>
      </c>
      <c r="G356" s="189" t="e">
        <v>#N/A</v>
      </c>
      <c r="H356" s="189" t="e">
        <v>#N/A</v>
      </c>
      <c r="I356" s="189" t="e">
        <v>#N/A</v>
      </c>
      <c r="J356" s="189" t="e">
        <v>#N/A</v>
      </c>
      <c r="K356" s="204" t="e">
        <v>#N/A</v>
      </c>
      <c r="L356" s="204" t="e">
        <v>#N/A</v>
      </c>
      <c r="M356" s="205" t="e">
        <v>#N/A</v>
      </c>
      <c r="N356" s="205" t="e">
        <v>#N/A</v>
      </c>
      <c r="O356" s="205" t="e">
        <v>#N/A</v>
      </c>
      <c r="P356" s="205" t="e">
        <v>#N/A</v>
      </c>
      <c r="Q356" s="189" t="e">
        <v>#N/A</v>
      </c>
      <c r="R356" s="189" t="e">
        <v>#N/A</v>
      </c>
      <c r="S356" s="205" t="e">
        <v>#N/A</v>
      </c>
      <c r="T356" s="206"/>
    </row>
    <row r="357">
      <c r="C357" s="189" t="e">
        <v>#N/A</v>
      </c>
      <c r="D357" s="189" t="e">
        <v>#N/A</v>
      </c>
      <c r="E357" s="189" t="e">
        <v>#N/A</v>
      </c>
      <c r="F357" s="189" t="e">
        <v>#N/A</v>
      </c>
      <c r="G357" s="189" t="e">
        <v>#N/A</v>
      </c>
      <c r="H357" s="189" t="e">
        <v>#N/A</v>
      </c>
      <c r="I357" s="189" t="e">
        <v>#N/A</v>
      </c>
      <c r="J357" s="189" t="e">
        <v>#N/A</v>
      </c>
      <c r="K357" s="204" t="e">
        <v>#N/A</v>
      </c>
      <c r="L357" s="204" t="e">
        <v>#N/A</v>
      </c>
      <c r="M357" s="205" t="e">
        <v>#N/A</v>
      </c>
      <c r="N357" s="205" t="e">
        <v>#N/A</v>
      </c>
      <c r="O357" s="205" t="e">
        <v>#N/A</v>
      </c>
      <c r="P357" s="205" t="e">
        <v>#N/A</v>
      </c>
      <c r="Q357" s="189" t="e">
        <v>#N/A</v>
      </c>
      <c r="R357" s="189" t="e">
        <v>#N/A</v>
      </c>
      <c r="S357" s="205" t="e">
        <v>#N/A</v>
      </c>
      <c r="T357" s="206"/>
    </row>
    <row r="358">
      <c r="C358" s="189" t="e">
        <v>#N/A</v>
      </c>
      <c r="D358" s="189" t="e">
        <v>#N/A</v>
      </c>
      <c r="E358" s="189" t="e">
        <v>#N/A</v>
      </c>
      <c r="F358" s="189" t="e">
        <v>#N/A</v>
      </c>
      <c r="G358" s="189" t="e">
        <v>#N/A</v>
      </c>
      <c r="H358" s="189" t="e">
        <v>#N/A</v>
      </c>
      <c r="I358" s="189" t="e">
        <v>#N/A</v>
      </c>
      <c r="J358" s="189" t="e">
        <v>#N/A</v>
      </c>
      <c r="K358" s="204" t="e">
        <v>#N/A</v>
      </c>
      <c r="L358" s="204" t="e">
        <v>#N/A</v>
      </c>
      <c r="M358" s="205" t="e">
        <v>#N/A</v>
      </c>
      <c r="N358" s="205" t="e">
        <v>#N/A</v>
      </c>
      <c r="O358" s="205" t="e">
        <v>#N/A</v>
      </c>
      <c r="P358" s="205" t="e">
        <v>#N/A</v>
      </c>
      <c r="Q358" s="189" t="e">
        <v>#N/A</v>
      </c>
      <c r="R358" s="189" t="e">
        <v>#N/A</v>
      </c>
      <c r="S358" s="205" t="e">
        <v>#N/A</v>
      </c>
      <c r="T358" s="206"/>
    </row>
    <row r="359">
      <c r="C359" s="189" t="e">
        <v>#N/A</v>
      </c>
      <c r="D359" s="189" t="e">
        <v>#N/A</v>
      </c>
      <c r="E359" s="189" t="e">
        <v>#N/A</v>
      </c>
      <c r="F359" s="189" t="e">
        <v>#N/A</v>
      </c>
      <c r="G359" s="189" t="e">
        <v>#N/A</v>
      </c>
      <c r="H359" s="189" t="e">
        <v>#N/A</v>
      </c>
      <c r="I359" s="189" t="e">
        <v>#N/A</v>
      </c>
      <c r="J359" s="189" t="e">
        <v>#N/A</v>
      </c>
      <c r="K359" s="204" t="e">
        <v>#N/A</v>
      </c>
      <c r="L359" s="204" t="e">
        <v>#N/A</v>
      </c>
      <c r="M359" s="205" t="e">
        <v>#N/A</v>
      </c>
      <c r="N359" s="205" t="e">
        <v>#N/A</v>
      </c>
      <c r="O359" s="205" t="e">
        <v>#N/A</v>
      </c>
      <c r="P359" s="205" t="e">
        <v>#N/A</v>
      </c>
      <c r="Q359" s="189" t="e">
        <v>#N/A</v>
      </c>
      <c r="R359" s="189" t="e">
        <v>#N/A</v>
      </c>
      <c r="S359" s="205" t="e">
        <v>#N/A</v>
      </c>
      <c r="T359" s="206"/>
    </row>
    <row r="360">
      <c r="C360" s="189" t="e">
        <v>#N/A</v>
      </c>
      <c r="D360" s="189" t="e">
        <v>#N/A</v>
      </c>
      <c r="E360" s="189" t="e">
        <v>#N/A</v>
      </c>
      <c r="F360" s="189" t="e">
        <v>#N/A</v>
      </c>
      <c r="G360" s="189" t="e">
        <v>#N/A</v>
      </c>
      <c r="H360" s="189" t="e">
        <v>#N/A</v>
      </c>
      <c r="I360" s="189" t="e">
        <v>#N/A</v>
      </c>
      <c r="J360" s="189" t="e">
        <v>#N/A</v>
      </c>
      <c r="K360" s="204" t="e">
        <v>#N/A</v>
      </c>
      <c r="L360" s="204" t="e">
        <v>#N/A</v>
      </c>
      <c r="M360" s="205" t="e">
        <v>#N/A</v>
      </c>
      <c r="N360" s="205" t="e">
        <v>#N/A</v>
      </c>
      <c r="O360" s="205" t="e">
        <v>#N/A</v>
      </c>
      <c r="P360" s="205" t="e">
        <v>#N/A</v>
      </c>
      <c r="Q360" s="189" t="e">
        <v>#N/A</v>
      </c>
      <c r="R360" s="189" t="e">
        <v>#N/A</v>
      </c>
      <c r="S360" s="205" t="e">
        <v>#N/A</v>
      </c>
      <c r="T360" s="206"/>
    </row>
    <row r="361">
      <c r="C361" s="189" t="e">
        <v>#N/A</v>
      </c>
      <c r="D361" s="189" t="e">
        <v>#N/A</v>
      </c>
      <c r="E361" s="189" t="e">
        <v>#N/A</v>
      </c>
      <c r="F361" s="189" t="e">
        <v>#N/A</v>
      </c>
      <c r="G361" s="189" t="e">
        <v>#N/A</v>
      </c>
      <c r="H361" s="189" t="e">
        <v>#N/A</v>
      </c>
      <c r="I361" s="189" t="e">
        <v>#N/A</v>
      </c>
      <c r="J361" s="189" t="e">
        <v>#N/A</v>
      </c>
      <c r="K361" s="204" t="e">
        <v>#N/A</v>
      </c>
      <c r="L361" s="204" t="e">
        <v>#N/A</v>
      </c>
      <c r="M361" s="205" t="e">
        <v>#N/A</v>
      </c>
      <c r="N361" s="205" t="e">
        <v>#N/A</v>
      </c>
      <c r="O361" s="205" t="e">
        <v>#N/A</v>
      </c>
      <c r="P361" s="205" t="e">
        <v>#N/A</v>
      </c>
      <c r="Q361" s="189" t="e">
        <v>#N/A</v>
      </c>
      <c r="R361" s="189" t="e">
        <v>#N/A</v>
      </c>
      <c r="S361" s="205" t="e">
        <v>#N/A</v>
      </c>
      <c r="T361" s="206"/>
    </row>
    <row r="362">
      <c r="C362" s="189" t="e">
        <v>#N/A</v>
      </c>
      <c r="D362" s="189" t="e">
        <v>#N/A</v>
      </c>
      <c r="E362" s="189" t="e">
        <v>#N/A</v>
      </c>
      <c r="F362" s="189" t="e">
        <v>#N/A</v>
      </c>
      <c r="G362" s="189" t="e">
        <v>#N/A</v>
      </c>
      <c r="H362" s="189" t="e">
        <v>#N/A</v>
      </c>
      <c r="I362" s="189" t="e">
        <v>#N/A</v>
      </c>
      <c r="J362" s="189" t="e">
        <v>#N/A</v>
      </c>
      <c r="K362" s="204" t="e">
        <v>#N/A</v>
      </c>
      <c r="L362" s="204" t="e">
        <v>#N/A</v>
      </c>
      <c r="M362" s="205" t="e">
        <v>#N/A</v>
      </c>
      <c r="N362" s="205" t="e">
        <v>#N/A</v>
      </c>
      <c r="O362" s="205" t="e">
        <v>#N/A</v>
      </c>
      <c r="P362" s="205" t="e">
        <v>#N/A</v>
      </c>
      <c r="Q362" s="189" t="e">
        <v>#N/A</v>
      </c>
      <c r="R362" s="189" t="e">
        <v>#N/A</v>
      </c>
      <c r="S362" s="205" t="e">
        <v>#N/A</v>
      </c>
      <c r="T362" s="206"/>
    </row>
    <row r="363">
      <c r="C363" s="189" t="e">
        <v>#N/A</v>
      </c>
      <c r="D363" s="189" t="e">
        <v>#N/A</v>
      </c>
      <c r="E363" s="189" t="e">
        <v>#N/A</v>
      </c>
      <c r="F363" s="189" t="e">
        <v>#N/A</v>
      </c>
      <c r="G363" s="189" t="e">
        <v>#N/A</v>
      </c>
      <c r="H363" s="189" t="e">
        <v>#N/A</v>
      </c>
      <c r="I363" s="189" t="e">
        <v>#N/A</v>
      </c>
      <c r="J363" s="189" t="e">
        <v>#N/A</v>
      </c>
      <c r="K363" s="204" t="e">
        <v>#N/A</v>
      </c>
      <c r="L363" s="204" t="e">
        <v>#N/A</v>
      </c>
      <c r="M363" s="205" t="e">
        <v>#N/A</v>
      </c>
      <c r="N363" s="205" t="e">
        <v>#N/A</v>
      </c>
      <c r="O363" s="205" t="e">
        <v>#N/A</v>
      </c>
      <c r="P363" s="205" t="e">
        <v>#N/A</v>
      </c>
      <c r="Q363" s="189" t="e">
        <v>#N/A</v>
      </c>
      <c r="R363" s="189" t="e">
        <v>#N/A</v>
      </c>
      <c r="S363" s="205" t="e">
        <v>#N/A</v>
      </c>
      <c r="T363" s="206"/>
    </row>
    <row r="364">
      <c r="C364" s="189" t="e">
        <v>#N/A</v>
      </c>
      <c r="D364" s="189" t="e">
        <v>#N/A</v>
      </c>
      <c r="E364" s="189" t="e">
        <v>#N/A</v>
      </c>
      <c r="F364" s="189" t="e">
        <v>#N/A</v>
      </c>
      <c r="G364" s="189" t="e">
        <v>#N/A</v>
      </c>
      <c r="H364" s="189" t="e">
        <v>#N/A</v>
      </c>
      <c r="I364" s="189" t="e">
        <v>#N/A</v>
      </c>
      <c r="J364" s="189" t="e">
        <v>#N/A</v>
      </c>
      <c r="K364" s="204" t="e">
        <v>#N/A</v>
      </c>
      <c r="L364" s="204" t="e">
        <v>#N/A</v>
      </c>
      <c r="M364" s="205" t="e">
        <v>#N/A</v>
      </c>
      <c r="N364" s="205" t="e">
        <v>#N/A</v>
      </c>
      <c r="O364" s="205" t="e">
        <v>#N/A</v>
      </c>
      <c r="P364" s="205" t="e">
        <v>#N/A</v>
      </c>
      <c r="Q364" s="189" t="e">
        <v>#N/A</v>
      </c>
      <c r="R364" s="189" t="e">
        <v>#N/A</v>
      </c>
      <c r="S364" s="205" t="e">
        <v>#N/A</v>
      </c>
      <c r="T364" s="206"/>
    </row>
    <row r="365">
      <c r="C365" s="189" t="e">
        <v>#N/A</v>
      </c>
      <c r="D365" s="189" t="e">
        <v>#N/A</v>
      </c>
      <c r="E365" s="189" t="e">
        <v>#N/A</v>
      </c>
      <c r="F365" s="189" t="e">
        <v>#N/A</v>
      </c>
      <c r="G365" s="189" t="e">
        <v>#N/A</v>
      </c>
      <c r="H365" s="189" t="e">
        <v>#N/A</v>
      </c>
      <c r="I365" s="189" t="e">
        <v>#N/A</v>
      </c>
      <c r="J365" s="189" t="e">
        <v>#N/A</v>
      </c>
      <c r="K365" s="204" t="e">
        <v>#N/A</v>
      </c>
      <c r="L365" s="204" t="e">
        <v>#N/A</v>
      </c>
      <c r="M365" s="205" t="e">
        <v>#N/A</v>
      </c>
      <c r="N365" s="205" t="e">
        <v>#N/A</v>
      </c>
      <c r="O365" s="205" t="e">
        <v>#N/A</v>
      </c>
      <c r="P365" s="205" t="e">
        <v>#N/A</v>
      </c>
      <c r="Q365" s="189" t="e">
        <v>#N/A</v>
      </c>
      <c r="R365" s="189" t="e">
        <v>#N/A</v>
      </c>
      <c r="S365" s="205" t="e">
        <v>#N/A</v>
      </c>
      <c r="T365" s="206"/>
    </row>
    <row r="366">
      <c r="C366" s="189" t="e">
        <v>#N/A</v>
      </c>
      <c r="D366" s="189" t="e">
        <v>#N/A</v>
      </c>
      <c r="E366" s="189" t="e">
        <v>#N/A</v>
      </c>
      <c r="F366" s="189" t="e">
        <v>#N/A</v>
      </c>
      <c r="G366" s="189" t="e">
        <v>#N/A</v>
      </c>
      <c r="H366" s="189" t="e">
        <v>#N/A</v>
      </c>
      <c r="I366" s="189" t="e">
        <v>#N/A</v>
      </c>
      <c r="J366" s="189" t="e">
        <v>#N/A</v>
      </c>
      <c r="K366" s="204" t="e">
        <v>#N/A</v>
      </c>
      <c r="L366" s="204" t="e">
        <v>#N/A</v>
      </c>
      <c r="M366" s="205" t="e">
        <v>#N/A</v>
      </c>
      <c r="N366" s="205" t="e">
        <v>#N/A</v>
      </c>
      <c r="O366" s="205" t="e">
        <v>#N/A</v>
      </c>
      <c r="P366" s="205" t="e">
        <v>#N/A</v>
      </c>
      <c r="Q366" s="189" t="e">
        <v>#N/A</v>
      </c>
      <c r="R366" s="189" t="e">
        <v>#N/A</v>
      </c>
      <c r="S366" s="205" t="e">
        <v>#N/A</v>
      </c>
      <c r="T366" s="206"/>
    </row>
    <row r="367">
      <c r="C367" s="189" t="e">
        <v>#N/A</v>
      </c>
      <c r="D367" s="189" t="e">
        <v>#N/A</v>
      </c>
      <c r="E367" s="189" t="e">
        <v>#N/A</v>
      </c>
      <c r="F367" s="189" t="e">
        <v>#N/A</v>
      </c>
      <c r="G367" s="189" t="e">
        <v>#N/A</v>
      </c>
      <c r="H367" s="189" t="e">
        <v>#N/A</v>
      </c>
      <c r="I367" s="189" t="e">
        <v>#N/A</v>
      </c>
      <c r="J367" s="189" t="e">
        <v>#N/A</v>
      </c>
      <c r="K367" s="204" t="e">
        <v>#N/A</v>
      </c>
      <c r="L367" s="204" t="e">
        <v>#N/A</v>
      </c>
      <c r="M367" s="205" t="e">
        <v>#N/A</v>
      </c>
      <c r="N367" s="205" t="e">
        <v>#N/A</v>
      </c>
      <c r="O367" s="205" t="e">
        <v>#N/A</v>
      </c>
      <c r="P367" s="205" t="e">
        <v>#N/A</v>
      </c>
      <c r="Q367" s="189" t="e">
        <v>#N/A</v>
      </c>
      <c r="R367" s="189" t="e">
        <v>#N/A</v>
      </c>
      <c r="S367" s="205" t="e">
        <v>#N/A</v>
      </c>
      <c r="T367" s="206"/>
    </row>
    <row r="368">
      <c r="C368" s="189" t="e">
        <v>#N/A</v>
      </c>
      <c r="D368" s="189" t="e">
        <v>#N/A</v>
      </c>
      <c r="E368" s="189" t="e">
        <v>#N/A</v>
      </c>
      <c r="F368" s="189" t="e">
        <v>#N/A</v>
      </c>
      <c r="G368" s="189" t="e">
        <v>#N/A</v>
      </c>
      <c r="H368" s="189" t="e">
        <v>#N/A</v>
      </c>
      <c r="I368" s="189" t="e">
        <v>#N/A</v>
      </c>
      <c r="J368" s="189" t="e">
        <v>#N/A</v>
      </c>
      <c r="K368" s="204" t="e">
        <v>#N/A</v>
      </c>
      <c r="L368" s="204" t="e">
        <v>#N/A</v>
      </c>
      <c r="M368" s="205" t="e">
        <v>#N/A</v>
      </c>
      <c r="N368" s="205" t="e">
        <v>#N/A</v>
      </c>
      <c r="O368" s="205" t="e">
        <v>#N/A</v>
      </c>
      <c r="P368" s="205" t="e">
        <v>#N/A</v>
      </c>
      <c r="Q368" s="189" t="e">
        <v>#N/A</v>
      </c>
      <c r="R368" s="189" t="e">
        <v>#N/A</v>
      </c>
      <c r="S368" s="205" t="e">
        <v>#N/A</v>
      </c>
      <c r="T368" s="206"/>
    </row>
    <row r="369">
      <c r="C369" s="189" t="e">
        <v>#N/A</v>
      </c>
      <c r="D369" s="189" t="e">
        <v>#N/A</v>
      </c>
      <c r="E369" s="189" t="e">
        <v>#N/A</v>
      </c>
      <c r="F369" s="189" t="e">
        <v>#N/A</v>
      </c>
      <c r="G369" s="189" t="e">
        <v>#N/A</v>
      </c>
      <c r="H369" s="189" t="e">
        <v>#N/A</v>
      </c>
      <c r="I369" s="189" t="e">
        <v>#N/A</v>
      </c>
      <c r="J369" s="189" t="e">
        <v>#N/A</v>
      </c>
      <c r="K369" s="204" t="e">
        <v>#N/A</v>
      </c>
      <c r="L369" s="204" t="e">
        <v>#N/A</v>
      </c>
      <c r="M369" s="205" t="e">
        <v>#N/A</v>
      </c>
      <c r="N369" s="205" t="e">
        <v>#N/A</v>
      </c>
      <c r="O369" s="205" t="e">
        <v>#N/A</v>
      </c>
      <c r="P369" s="205" t="e">
        <v>#N/A</v>
      </c>
      <c r="Q369" s="189" t="e">
        <v>#N/A</v>
      </c>
      <c r="R369" s="189" t="e">
        <v>#N/A</v>
      </c>
      <c r="S369" s="205" t="e">
        <v>#N/A</v>
      </c>
      <c r="T369" s="206"/>
    </row>
    <row r="370">
      <c r="C370" s="189" t="e">
        <v>#N/A</v>
      </c>
      <c r="D370" s="189" t="e">
        <v>#N/A</v>
      </c>
      <c r="E370" s="189" t="e">
        <v>#N/A</v>
      </c>
      <c r="F370" s="189" t="e">
        <v>#N/A</v>
      </c>
      <c r="G370" s="189" t="e">
        <v>#N/A</v>
      </c>
      <c r="H370" s="189" t="e">
        <v>#N/A</v>
      </c>
      <c r="I370" s="189" t="e">
        <v>#N/A</v>
      </c>
      <c r="J370" s="189" t="e">
        <v>#N/A</v>
      </c>
      <c r="K370" s="204" t="e">
        <v>#N/A</v>
      </c>
      <c r="L370" s="204" t="e">
        <v>#N/A</v>
      </c>
      <c r="M370" s="205" t="e">
        <v>#N/A</v>
      </c>
      <c r="N370" s="205" t="e">
        <v>#N/A</v>
      </c>
      <c r="O370" s="205" t="e">
        <v>#N/A</v>
      </c>
      <c r="P370" s="205" t="e">
        <v>#N/A</v>
      </c>
      <c r="Q370" s="189" t="e">
        <v>#N/A</v>
      </c>
      <c r="R370" s="189" t="e">
        <v>#N/A</v>
      </c>
      <c r="S370" s="205" t="e">
        <v>#N/A</v>
      </c>
      <c r="T370" s="206"/>
    </row>
    <row r="371">
      <c r="C371" s="189" t="e">
        <v>#N/A</v>
      </c>
      <c r="D371" s="189" t="e">
        <v>#N/A</v>
      </c>
      <c r="E371" s="189" t="e">
        <v>#N/A</v>
      </c>
      <c r="F371" s="189" t="e">
        <v>#N/A</v>
      </c>
      <c r="G371" s="189" t="e">
        <v>#N/A</v>
      </c>
      <c r="H371" s="189" t="e">
        <v>#N/A</v>
      </c>
      <c r="I371" s="189" t="e">
        <v>#N/A</v>
      </c>
      <c r="J371" s="189" t="e">
        <v>#N/A</v>
      </c>
      <c r="K371" s="204" t="e">
        <v>#N/A</v>
      </c>
      <c r="L371" s="204" t="e">
        <v>#N/A</v>
      </c>
      <c r="M371" s="205" t="e">
        <v>#N/A</v>
      </c>
      <c r="N371" s="205" t="e">
        <v>#N/A</v>
      </c>
      <c r="O371" s="205" t="e">
        <v>#N/A</v>
      </c>
      <c r="P371" s="205" t="e">
        <v>#N/A</v>
      </c>
      <c r="Q371" s="189" t="e">
        <v>#N/A</v>
      </c>
      <c r="R371" s="189" t="e">
        <v>#N/A</v>
      </c>
      <c r="S371" s="205" t="e">
        <v>#N/A</v>
      </c>
      <c r="T371" s="206"/>
    </row>
    <row r="372">
      <c r="C372" s="189" t="e">
        <v>#N/A</v>
      </c>
      <c r="D372" s="189" t="e">
        <v>#N/A</v>
      </c>
      <c r="E372" s="189" t="e">
        <v>#N/A</v>
      </c>
      <c r="F372" s="189" t="e">
        <v>#N/A</v>
      </c>
      <c r="G372" s="189" t="e">
        <v>#N/A</v>
      </c>
      <c r="H372" s="189" t="e">
        <v>#N/A</v>
      </c>
      <c r="I372" s="189" t="e">
        <v>#N/A</v>
      </c>
      <c r="J372" s="189" t="e">
        <v>#N/A</v>
      </c>
      <c r="K372" s="204" t="e">
        <v>#N/A</v>
      </c>
      <c r="L372" s="204" t="e">
        <v>#N/A</v>
      </c>
      <c r="M372" s="205" t="e">
        <v>#N/A</v>
      </c>
      <c r="N372" s="205" t="e">
        <v>#N/A</v>
      </c>
      <c r="O372" s="205" t="e">
        <v>#N/A</v>
      </c>
      <c r="P372" s="205" t="e">
        <v>#N/A</v>
      </c>
      <c r="Q372" s="189" t="e">
        <v>#N/A</v>
      </c>
      <c r="R372" s="189" t="e">
        <v>#N/A</v>
      </c>
      <c r="S372" s="205" t="e">
        <v>#N/A</v>
      </c>
      <c r="T372" s="206"/>
    </row>
    <row r="373">
      <c r="C373" s="189" t="e">
        <v>#N/A</v>
      </c>
      <c r="D373" s="189" t="e">
        <v>#N/A</v>
      </c>
      <c r="E373" s="189" t="e">
        <v>#N/A</v>
      </c>
      <c r="F373" s="189" t="e">
        <v>#N/A</v>
      </c>
      <c r="G373" s="189" t="e">
        <v>#N/A</v>
      </c>
      <c r="H373" s="189" t="e">
        <v>#N/A</v>
      </c>
      <c r="I373" s="189" t="e">
        <v>#N/A</v>
      </c>
      <c r="J373" s="189" t="e">
        <v>#N/A</v>
      </c>
      <c r="K373" s="204" t="e">
        <v>#N/A</v>
      </c>
      <c r="L373" s="204" t="e">
        <v>#N/A</v>
      </c>
      <c r="M373" s="205" t="e">
        <v>#N/A</v>
      </c>
      <c r="N373" s="205" t="e">
        <v>#N/A</v>
      </c>
      <c r="O373" s="205" t="e">
        <v>#N/A</v>
      </c>
      <c r="P373" s="205" t="e">
        <v>#N/A</v>
      </c>
      <c r="Q373" s="189" t="e">
        <v>#N/A</v>
      </c>
      <c r="R373" s="189" t="e">
        <v>#N/A</v>
      </c>
      <c r="S373" s="205" t="e">
        <v>#N/A</v>
      </c>
      <c r="T373" s="206"/>
    </row>
    <row r="374">
      <c r="C374" s="189" t="e">
        <v>#N/A</v>
      </c>
      <c r="D374" s="189" t="e">
        <v>#N/A</v>
      </c>
      <c r="E374" s="189" t="e">
        <v>#N/A</v>
      </c>
      <c r="F374" s="189" t="e">
        <v>#N/A</v>
      </c>
      <c r="G374" s="189" t="e">
        <v>#N/A</v>
      </c>
      <c r="H374" s="189" t="e">
        <v>#N/A</v>
      </c>
      <c r="I374" s="189" t="e">
        <v>#N/A</v>
      </c>
      <c r="J374" s="189" t="e">
        <v>#N/A</v>
      </c>
      <c r="K374" s="204" t="e">
        <v>#N/A</v>
      </c>
      <c r="L374" s="204" t="e">
        <v>#N/A</v>
      </c>
      <c r="M374" s="205" t="e">
        <v>#N/A</v>
      </c>
      <c r="N374" s="205" t="e">
        <v>#N/A</v>
      </c>
      <c r="O374" s="205" t="e">
        <v>#N/A</v>
      </c>
      <c r="P374" s="205" t="e">
        <v>#N/A</v>
      </c>
      <c r="Q374" s="189" t="e">
        <v>#N/A</v>
      </c>
      <c r="R374" s="189" t="e">
        <v>#N/A</v>
      </c>
      <c r="S374" s="205" t="e">
        <v>#N/A</v>
      </c>
      <c r="T374" s="206"/>
    </row>
    <row r="375">
      <c r="C375" s="189" t="e">
        <v>#N/A</v>
      </c>
      <c r="D375" s="189" t="e">
        <v>#N/A</v>
      </c>
      <c r="E375" s="189" t="e">
        <v>#N/A</v>
      </c>
      <c r="F375" s="189" t="e">
        <v>#N/A</v>
      </c>
      <c r="G375" s="189" t="e">
        <v>#N/A</v>
      </c>
      <c r="H375" s="189" t="e">
        <v>#N/A</v>
      </c>
      <c r="I375" s="189" t="e">
        <v>#N/A</v>
      </c>
      <c r="J375" s="189" t="e">
        <v>#N/A</v>
      </c>
      <c r="K375" s="204" t="e">
        <v>#N/A</v>
      </c>
      <c r="L375" s="204" t="e">
        <v>#N/A</v>
      </c>
      <c r="M375" s="205" t="e">
        <v>#N/A</v>
      </c>
      <c r="N375" s="205" t="e">
        <v>#N/A</v>
      </c>
      <c r="O375" s="205" t="e">
        <v>#N/A</v>
      </c>
      <c r="P375" s="205" t="e">
        <v>#N/A</v>
      </c>
      <c r="Q375" s="189" t="e">
        <v>#N/A</v>
      </c>
      <c r="R375" s="189" t="e">
        <v>#N/A</v>
      </c>
      <c r="S375" s="205" t="e">
        <v>#N/A</v>
      </c>
      <c r="T375" s="206"/>
    </row>
    <row r="376">
      <c r="C376" s="189" t="e">
        <v>#N/A</v>
      </c>
      <c r="D376" s="189" t="e">
        <v>#N/A</v>
      </c>
      <c r="E376" s="189" t="e">
        <v>#N/A</v>
      </c>
      <c r="F376" s="189" t="e">
        <v>#N/A</v>
      </c>
      <c r="G376" s="189" t="e">
        <v>#N/A</v>
      </c>
      <c r="H376" s="189" t="e">
        <v>#N/A</v>
      </c>
      <c r="I376" s="189" t="e">
        <v>#N/A</v>
      </c>
      <c r="J376" s="189" t="e">
        <v>#N/A</v>
      </c>
      <c r="K376" s="204" t="e">
        <v>#N/A</v>
      </c>
      <c r="L376" s="204" t="e">
        <v>#N/A</v>
      </c>
      <c r="M376" s="205" t="e">
        <v>#N/A</v>
      </c>
      <c r="N376" s="205" t="e">
        <v>#N/A</v>
      </c>
      <c r="O376" s="205" t="e">
        <v>#N/A</v>
      </c>
      <c r="P376" s="205" t="e">
        <v>#N/A</v>
      </c>
      <c r="Q376" s="189" t="e">
        <v>#N/A</v>
      </c>
      <c r="R376" s="189" t="e">
        <v>#N/A</v>
      </c>
      <c r="S376" s="205" t="e">
        <v>#N/A</v>
      </c>
      <c r="T376" s="206"/>
    </row>
    <row r="377">
      <c r="C377" s="189" t="e">
        <v>#N/A</v>
      </c>
      <c r="D377" s="189" t="e">
        <v>#N/A</v>
      </c>
      <c r="E377" s="189" t="e">
        <v>#N/A</v>
      </c>
      <c r="F377" s="189" t="e">
        <v>#N/A</v>
      </c>
      <c r="G377" s="189" t="e">
        <v>#N/A</v>
      </c>
      <c r="H377" s="189" t="e">
        <v>#N/A</v>
      </c>
      <c r="I377" s="189" t="e">
        <v>#N/A</v>
      </c>
      <c r="J377" s="189" t="e">
        <v>#N/A</v>
      </c>
      <c r="K377" s="204" t="e">
        <v>#N/A</v>
      </c>
      <c r="L377" s="204" t="e">
        <v>#N/A</v>
      </c>
      <c r="M377" s="205" t="e">
        <v>#N/A</v>
      </c>
      <c r="N377" s="205" t="e">
        <v>#N/A</v>
      </c>
      <c r="O377" s="205" t="e">
        <v>#N/A</v>
      </c>
      <c r="P377" s="205" t="e">
        <v>#N/A</v>
      </c>
      <c r="Q377" s="189" t="e">
        <v>#N/A</v>
      </c>
      <c r="R377" s="189" t="e">
        <v>#N/A</v>
      </c>
      <c r="S377" s="205" t="e">
        <v>#N/A</v>
      </c>
      <c r="T377" s="206"/>
    </row>
    <row r="378">
      <c r="C378" s="189" t="e">
        <v>#N/A</v>
      </c>
      <c r="D378" s="189" t="e">
        <v>#N/A</v>
      </c>
      <c r="E378" s="189" t="e">
        <v>#N/A</v>
      </c>
      <c r="F378" s="189" t="e">
        <v>#N/A</v>
      </c>
      <c r="G378" s="189" t="e">
        <v>#N/A</v>
      </c>
      <c r="H378" s="189" t="e">
        <v>#N/A</v>
      </c>
      <c r="I378" s="189" t="e">
        <v>#N/A</v>
      </c>
      <c r="J378" s="189" t="e">
        <v>#N/A</v>
      </c>
      <c r="K378" s="204" t="e">
        <v>#N/A</v>
      </c>
      <c r="L378" s="204" t="e">
        <v>#N/A</v>
      </c>
      <c r="M378" s="205" t="e">
        <v>#N/A</v>
      </c>
      <c r="N378" s="205" t="e">
        <v>#N/A</v>
      </c>
      <c r="O378" s="205" t="e">
        <v>#N/A</v>
      </c>
      <c r="P378" s="205" t="e">
        <v>#N/A</v>
      </c>
      <c r="Q378" s="189" t="e">
        <v>#N/A</v>
      </c>
      <c r="R378" s="189" t="e">
        <v>#N/A</v>
      </c>
      <c r="S378" s="205" t="e">
        <v>#N/A</v>
      </c>
      <c r="T378" s="206"/>
    </row>
    <row r="379">
      <c r="C379" s="189" t="e">
        <v>#N/A</v>
      </c>
      <c r="D379" s="189" t="e">
        <v>#N/A</v>
      </c>
      <c r="E379" s="189" t="e">
        <v>#N/A</v>
      </c>
      <c r="F379" s="189" t="e">
        <v>#N/A</v>
      </c>
      <c r="G379" s="189" t="e">
        <v>#N/A</v>
      </c>
      <c r="H379" s="189" t="e">
        <v>#N/A</v>
      </c>
      <c r="I379" s="189" t="e">
        <v>#N/A</v>
      </c>
      <c r="J379" s="189" t="e">
        <v>#N/A</v>
      </c>
      <c r="K379" s="204" t="e">
        <v>#N/A</v>
      </c>
      <c r="L379" s="204" t="e">
        <v>#N/A</v>
      </c>
      <c r="M379" s="205" t="e">
        <v>#N/A</v>
      </c>
      <c r="N379" s="205" t="e">
        <v>#N/A</v>
      </c>
      <c r="O379" s="205" t="e">
        <v>#N/A</v>
      </c>
      <c r="P379" s="205" t="e">
        <v>#N/A</v>
      </c>
      <c r="Q379" s="189" t="e">
        <v>#N/A</v>
      </c>
      <c r="R379" s="189" t="e">
        <v>#N/A</v>
      </c>
      <c r="S379" s="205" t="e">
        <v>#N/A</v>
      </c>
      <c r="T379" s="206"/>
    </row>
    <row r="380">
      <c r="C380" s="189" t="e">
        <v>#N/A</v>
      </c>
      <c r="D380" s="189" t="e">
        <v>#N/A</v>
      </c>
      <c r="E380" s="189" t="e">
        <v>#N/A</v>
      </c>
      <c r="F380" s="189" t="e">
        <v>#N/A</v>
      </c>
      <c r="G380" s="189" t="e">
        <v>#N/A</v>
      </c>
      <c r="H380" s="189" t="e">
        <v>#N/A</v>
      </c>
      <c r="I380" s="189" t="e">
        <v>#N/A</v>
      </c>
      <c r="J380" s="189" t="e">
        <v>#N/A</v>
      </c>
      <c r="K380" s="204" t="e">
        <v>#N/A</v>
      </c>
      <c r="L380" s="204" t="e">
        <v>#N/A</v>
      </c>
      <c r="M380" s="205" t="e">
        <v>#N/A</v>
      </c>
      <c r="N380" s="205" t="e">
        <v>#N/A</v>
      </c>
      <c r="O380" s="205" t="e">
        <v>#N/A</v>
      </c>
      <c r="P380" s="205" t="e">
        <v>#N/A</v>
      </c>
      <c r="Q380" s="189" t="e">
        <v>#N/A</v>
      </c>
      <c r="R380" s="189" t="e">
        <v>#N/A</v>
      </c>
      <c r="S380" s="205" t="e">
        <v>#N/A</v>
      </c>
      <c r="T380" s="206"/>
    </row>
    <row r="381">
      <c r="C381" s="189" t="e">
        <v>#N/A</v>
      </c>
      <c r="D381" s="189" t="e">
        <v>#N/A</v>
      </c>
      <c r="E381" s="189" t="e">
        <v>#N/A</v>
      </c>
      <c r="F381" s="189" t="e">
        <v>#N/A</v>
      </c>
      <c r="G381" s="189" t="e">
        <v>#N/A</v>
      </c>
      <c r="H381" s="189" t="e">
        <v>#N/A</v>
      </c>
      <c r="I381" s="189" t="e">
        <v>#N/A</v>
      </c>
      <c r="J381" s="189" t="e">
        <v>#N/A</v>
      </c>
      <c r="K381" s="204" t="e">
        <v>#N/A</v>
      </c>
      <c r="L381" s="204" t="e">
        <v>#N/A</v>
      </c>
      <c r="M381" s="205" t="e">
        <v>#N/A</v>
      </c>
      <c r="N381" s="205" t="e">
        <v>#N/A</v>
      </c>
      <c r="O381" s="205" t="e">
        <v>#N/A</v>
      </c>
      <c r="P381" s="205" t="e">
        <v>#N/A</v>
      </c>
      <c r="Q381" s="189" t="e">
        <v>#N/A</v>
      </c>
      <c r="R381" s="189" t="e">
        <v>#N/A</v>
      </c>
      <c r="S381" s="205" t="e">
        <v>#N/A</v>
      </c>
      <c r="T381" s="206"/>
    </row>
    <row r="382">
      <c r="C382" s="189" t="e">
        <v>#N/A</v>
      </c>
      <c r="D382" s="189" t="e">
        <v>#N/A</v>
      </c>
      <c r="E382" s="189" t="e">
        <v>#N/A</v>
      </c>
      <c r="F382" s="189" t="e">
        <v>#N/A</v>
      </c>
      <c r="G382" s="189" t="e">
        <v>#N/A</v>
      </c>
      <c r="H382" s="189" t="e">
        <v>#N/A</v>
      </c>
      <c r="I382" s="189" t="e">
        <v>#N/A</v>
      </c>
      <c r="J382" s="189" t="e">
        <v>#N/A</v>
      </c>
      <c r="K382" s="204" t="e">
        <v>#N/A</v>
      </c>
      <c r="L382" s="204" t="e">
        <v>#N/A</v>
      </c>
      <c r="M382" s="205" t="e">
        <v>#N/A</v>
      </c>
      <c r="N382" s="205" t="e">
        <v>#N/A</v>
      </c>
      <c r="O382" s="205" t="e">
        <v>#N/A</v>
      </c>
      <c r="P382" s="205" t="e">
        <v>#N/A</v>
      </c>
      <c r="Q382" s="189" t="e">
        <v>#N/A</v>
      </c>
      <c r="R382" s="189" t="e">
        <v>#N/A</v>
      </c>
      <c r="S382" s="205" t="e">
        <v>#N/A</v>
      </c>
      <c r="T382" s="206"/>
    </row>
    <row r="383">
      <c r="C383" s="189" t="e">
        <v>#N/A</v>
      </c>
      <c r="D383" s="189" t="e">
        <v>#N/A</v>
      </c>
      <c r="E383" s="189" t="e">
        <v>#N/A</v>
      </c>
      <c r="F383" s="189" t="e">
        <v>#N/A</v>
      </c>
      <c r="G383" s="189" t="e">
        <v>#N/A</v>
      </c>
      <c r="H383" s="189" t="e">
        <v>#N/A</v>
      </c>
      <c r="I383" s="189" t="e">
        <v>#N/A</v>
      </c>
      <c r="J383" s="189" t="e">
        <v>#N/A</v>
      </c>
      <c r="K383" s="204" t="e">
        <v>#N/A</v>
      </c>
      <c r="L383" s="204" t="e">
        <v>#N/A</v>
      </c>
      <c r="M383" s="205" t="e">
        <v>#N/A</v>
      </c>
      <c r="N383" s="205" t="e">
        <v>#N/A</v>
      </c>
      <c r="O383" s="205" t="e">
        <v>#N/A</v>
      </c>
      <c r="P383" s="205" t="e">
        <v>#N/A</v>
      </c>
      <c r="Q383" s="189" t="e">
        <v>#N/A</v>
      </c>
      <c r="R383" s="189" t="e">
        <v>#N/A</v>
      </c>
      <c r="S383" s="205" t="e">
        <v>#N/A</v>
      </c>
      <c r="T383" s="206"/>
    </row>
    <row r="384">
      <c r="C384" s="189" t="e">
        <v>#N/A</v>
      </c>
      <c r="D384" s="189" t="e">
        <v>#N/A</v>
      </c>
      <c r="E384" s="189" t="e">
        <v>#N/A</v>
      </c>
      <c r="F384" s="189" t="e">
        <v>#N/A</v>
      </c>
      <c r="G384" s="189" t="e">
        <v>#N/A</v>
      </c>
      <c r="H384" s="189" t="e">
        <v>#N/A</v>
      </c>
      <c r="I384" s="189" t="e">
        <v>#N/A</v>
      </c>
      <c r="J384" s="189" t="e">
        <v>#N/A</v>
      </c>
      <c r="K384" s="204" t="e">
        <v>#N/A</v>
      </c>
      <c r="L384" s="204" t="e">
        <v>#N/A</v>
      </c>
      <c r="M384" s="205" t="e">
        <v>#N/A</v>
      </c>
      <c r="N384" s="205" t="e">
        <v>#N/A</v>
      </c>
      <c r="O384" s="205" t="e">
        <v>#N/A</v>
      </c>
      <c r="P384" s="205" t="e">
        <v>#N/A</v>
      </c>
      <c r="Q384" s="189" t="e">
        <v>#N/A</v>
      </c>
      <c r="R384" s="189" t="e">
        <v>#N/A</v>
      </c>
      <c r="S384" s="205" t="e">
        <v>#N/A</v>
      </c>
      <c r="T384" s="206"/>
    </row>
    <row r="385">
      <c r="C385" s="189" t="e">
        <v>#N/A</v>
      </c>
      <c r="D385" s="189" t="e">
        <v>#N/A</v>
      </c>
      <c r="E385" s="189" t="e">
        <v>#N/A</v>
      </c>
      <c r="F385" s="189" t="e">
        <v>#N/A</v>
      </c>
      <c r="G385" s="189" t="e">
        <v>#N/A</v>
      </c>
      <c r="H385" s="189" t="e">
        <v>#N/A</v>
      </c>
      <c r="I385" s="189" t="e">
        <v>#N/A</v>
      </c>
      <c r="J385" s="189" t="e">
        <v>#N/A</v>
      </c>
      <c r="K385" s="204" t="e">
        <v>#N/A</v>
      </c>
      <c r="L385" s="204" t="e">
        <v>#N/A</v>
      </c>
      <c r="M385" s="205" t="e">
        <v>#N/A</v>
      </c>
      <c r="N385" s="205" t="e">
        <v>#N/A</v>
      </c>
      <c r="O385" s="205" t="e">
        <v>#N/A</v>
      </c>
      <c r="P385" s="205" t="e">
        <v>#N/A</v>
      </c>
      <c r="Q385" s="189" t="e">
        <v>#N/A</v>
      </c>
      <c r="R385" s="189" t="e">
        <v>#N/A</v>
      </c>
      <c r="S385" s="205" t="e">
        <v>#N/A</v>
      </c>
      <c r="T385" s="206"/>
    </row>
    <row r="386">
      <c r="C386" s="189" t="e">
        <v>#N/A</v>
      </c>
      <c r="D386" s="189" t="e">
        <v>#N/A</v>
      </c>
      <c r="E386" s="189" t="e">
        <v>#N/A</v>
      </c>
      <c r="F386" s="189" t="e">
        <v>#N/A</v>
      </c>
      <c r="G386" s="189" t="e">
        <v>#N/A</v>
      </c>
      <c r="H386" s="189" t="e">
        <v>#N/A</v>
      </c>
      <c r="I386" s="189" t="e">
        <v>#N/A</v>
      </c>
      <c r="J386" s="189" t="e">
        <v>#N/A</v>
      </c>
      <c r="K386" s="204" t="e">
        <v>#N/A</v>
      </c>
      <c r="L386" s="204" t="e">
        <v>#N/A</v>
      </c>
      <c r="M386" s="205" t="e">
        <v>#N/A</v>
      </c>
      <c r="N386" s="205" t="e">
        <v>#N/A</v>
      </c>
      <c r="O386" s="205" t="e">
        <v>#N/A</v>
      </c>
      <c r="P386" s="205" t="e">
        <v>#N/A</v>
      </c>
      <c r="Q386" s="189" t="e">
        <v>#N/A</v>
      </c>
      <c r="R386" s="189" t="e">
        <v>#N/A</v>
      </c>
      <c r="S386" s="205" t="e">
        <v>#N/A</v>
      </c>
      <c r="T386" s="206"/>
    </row>
    <row r="387">
      <c r="C387" s="189" t="e">
        <v>#N/A</v>
      </c>
      <c r="D387" s="189" t="e">
        <v>#N/A</v>
      </c>
      <c r="E387" s="189" t="e">
        <v>#N/A</v>
      </c>
      <c r="F387" s="189" t="e">
        <v>#N/A</v>
      </c>
      <c r="G387" s="189" t="e">
        <v>#N/A</v>
      </c>
      <c r="H387" s="189" t="e">
        <v>#N/A</v>
      </c>
      <c r="I387" s="189" t="e">
        <v>#N/A</v>
      </c>
      <c r="J387" s="189" t="e">
        <v>#N/A</v>
      </c>
      <c r="K387" s="204" t="e">
        <v>#N/A</v>
      </c>
      <c r="L387" s="204" t="e">
        <v>#N/A</v>
      </c>
      <c r="M387" s="205" t="e">
        <v>#N/A</v>
      </c>
      <c r="N387" s="205" t="e">
        <v>#N/A</v>
      </c>
      <c r="O387" s="205" t="e">
        <v>#N/A</v>
      </c>
      <c r="P387" s="205" t="e">
        <v>#N/A</v>
      </c>
      <c r="Q387" s="189" t="e">
        <v>#N/A</v>
      </c>
      <c r="R387" s="189" t="e">
        <v>#N/A</v>
      </c>
      <c r="S387" s="205" t="e">
        <v>#N/A</v>
      </c>
      <c r="T387" s="206"/>
    </row>
    <row r="388">
      <c r="C388" s="189" t="e">
        <v>#N/A</v>
      </c>
      <c r="D388" s="189" t="e">
        <v>#N/A</v>
      </c>
      <c r="E388" s="189" t="e">
        <v>#N/A</v>
      </c>
      <c r="F388" s="189" t="e">
        <v>#N/A</v>
      </c>
      <c r="G388" s="189" t="e">
        <v>#N/A</v>
      </c>
      <c r="H388" s="189" t="e">
        <v>#N/A</v>
      </c>
      <c r="I388" s="189" t="e">
        <v>#N/A</v>
      </c>
      <c r="J388" s="189" t="e">
        <v>#N/A</v>
      </c>
      <c r="K388" s="204" t="e">
        <v>#N/A</v>
      </c>
      <c r="L388" s="204" t="e">
        <v>#N/A</v>
      </c>
      <c r="M388" s="205" t="e">
        <v>#N/A</v>
      </c>
      <c r="N388" s="205" t="e">
        <v>#N/A</v>
      </c>
      <c r="O388" s="205" t="e">
        <v>#N/A</v>
      </c>
      <c r="P388" s="205" t="e">
        <v>#N/A</v>
      </c>
      <c r="Q388" s="189" t="e">
        <v>#N/A</v>
      </c>
      <c r="R388" s="189" t="e">
        <v>#N/A</v>
      </c>
      <c r="S388" s="205" t="e">
        <v>#N/A</v>
      </c>
      <c r="T388" s="206"/>
    </row>
    <row r="389">
      <c r="C389" s="189" t="e">
        <v>#N/A</v>
      </c>
      <c r="D389" s="189" t="e">
        <v>#N/A</v>
      </c>
      <c r="E389" s="189" t="e">
        <v>#N/A</v>
      </c>
      <c r="F389" s="189" t="e">
        <v>#N/A</v>
      </c>
      <c r="G389" s="189" t="e">
        <v>#N/A</v>
      </c>
      <c r="H389" s="189" t="e">
        <v>#N/A</v>
      </c>
      <c r="I389" s="189" t="e">
        <v>#N/A</v>
      </c>
      <c r="J389" s="189" t="e">
        <v>#N/A</v>
      </c>
      <c r="K389" s="204" t="e">
        <v>#N/A</v>
      </c>
      <c r="L389" s="204" t="e">
        <v>#N/A</v>
      </c>
      <c r="M389" s="205" t="e">
        <v>#N/A</v>
      </c>
      <c r="N389" s="205" t="e">
        <v>#N/A</v>
      </c>
      <c r="O389" s="205" t="e">
        <v>#N/A</v>
      </c>
      <c r="P389" s="205" t="e">
        <v>#N/A</v>
      </c>
      <c r="Q389" s="189" t="e">
        <v>#N/A</v>
      </c>
      <c r="R389" s="189" t="e">
        <v>#N/A</v>
      </c>
      <c r="S389" s="205" t="e">
        <v>#N/A</v>
      </c>
      <c r="T389" s="206"/>
    </row>
    <row r="390">
      <c r="C390" s="189" t="e">
        <v>#N/A</v>
      </c>
      <c r="D390" s="189" t="e">
        <v>#N/A</v>
      </c>
      <c r="E390" s="189" t="e">
        <v>#N/A</v>
      </c>
      <c r="F390" s="189" t="e">
        <v>#N/A</v>
      </c>
      <c r="G390" s="189" t="e">
        <v>#N/A</v>
      </c>
      <c r="H390" s="189" t="e">
        <v>#N/A</v>
      </c>
      <c r="I390" s="189" t="e">
        <v>#N/A</v>
      </c>
      <c r="J390" s="189" t="e">
        <v>#N/A</v>
      </c>
      <c r="K390" s="204" t="e">
        <v>#N/A</v>
      </c>
      <c r="L390" s="204" t="e">
        <v>#N/A</v>
      </c>
      <c r="M390" s="205" t="e">
        <v>#N/A</v>
      </c>
      <c r="N390" s="205" t="e">
        <v>#N/A</v>
      </c>
      <c r="O390" s="205" t="e">
        <v>#N/A</v>
      </c>
      <c r="P390" s="205" t="e">
        <v>#N/A</v>
      </c>
      <c r="Q390" s="189" t="e">
        <v>#N/A</v>
      </c>
      <c r="R390" s="189" t="e">
        <v>#N/A</v>
      </c>
      <c r="S390" s="205" t="e">
        <v>#N/A</v>
      </c>
      <c r="T390" s="206"/>
    </row>
    <row r="391">
      <c r="C391" s="189" t="e">
        <v>#N/A</v>
      </c>
      <c r="D391" s="189" t="e">
        <v>#N/A</v>
      </c>
      <c r="E391" s="189" t="e">
        <v>#N/A</v>
      </c>
      <c r="F391" s="189" t="e">
        <v>#N/A</v>
      </c>
      <c r="G391" s="189" t="e">
        <v>#N/A</v>
      </c>
      <c r="H391" s="189" t="e">
        <v>#N/A</v>
      </c>
      <c r="I391" s="189" t="e">
        <v>#N/A</v>
      </c>
      <c r="J391" s="189" t="e">
        <v>#N/A</v>
      </c>
      <c r="K391" s="204" t="e">
        <v>#N/A</v>
      </c>
      <c r="L391" s="204" t="e">
        <v>#N/A</v>
      </c>
      <c r="M391" s="205" t="e">
        <v>#N/A</v>
      </c>
      <c r="N391" s="205" t="e">
        <v>#N/A</v>
      </c>
      <c r="O391" s="205" t="e">
        <v>#N/A</v>
      </c>
      <c r="P391" s="205" t="e">
        <v>#N/A</v>
      </c>
      <c r="Q391" s="189" t="e">
        <v>#N/A</v>
      </c>
      <c r="R391" s="189" t="e">
        <v>#N/A</v>
      </c>
      <c r="S391" s="205" t="e">
        <v>#N/A</v>
      </c>
      <c r="T391" s="206"/>
    </row>
    <row r="392">
      <c r="C392" s="189" t="e">
        <v>#N/A</v>
      </c>
      <c r="D392" s="189" t="e">
        <v>#N/A</v>
      </c>
      <c r="E392" s="189" t="e">
        <v>#N/A</v>
      </c>
      <c r="F392" s="189" t="e">
        <v>#N/A</v>
      </c>
      <c r="G392" s="189" t="e">
        <v>#N/A</v>
      </c>
      <c r="H392" s="189" t="e">
        <v>#N/A</v>
      </c>
      <c r="I392" s="189" t="e">
        <v>#N/A</v>
      </c>
      <c r="J392" s="189" t="e">
        <v>#N/A</v>
      </c>
      <c r="K392" s="204" t="e">
        <v>#N/A</v>
      </c>
      <c r="L392" s="204" t="e">
        <v>#N/A</v>
      </c>
      <c r="M392" s="205" t="e">
        <v>#N/A</v>
      </c>
      <c r="N392" s="205" t="e">
        <v>#N/A</v>
      </c>
      <c r="O392" s="205" t="e">
        <v>#N/A</v>
      </c>
      <c r="P392" s="205" t="e">
        <v>#N/A</v>
      </c>
      <c r="Q392" s="189" t="e">
        <v>#N/A</v>
      </c>
      <c r="R392" s="189" t="e">
        <v>#N/A</v>
      </c>
      <c r="S392" s="205" t="e">
        <v>#N/A</v>
      </c>
      <c r="T392" s="206"/>
    </row>
    <row r="393">
      <c r="C393" s="189" t="e">
        <v>#N/A</v>
      </c>
      <c r="D393" s="189" t="e">
        <v>#N/A</v>
      </c>
      <c r="E393" s="189" t="e">
        <v>#N/A</v>
      </c>
      <c r="F393" s="189" t="e">
        <v>#N/A</v>
      </c>
      <c r="G393" s="189" t="e">
        <v>#N/A</v>
      </c>
      <c r="H393" s="189" t="e">
        <v>#N/A</v>
      </c>
      <c r="I393" s="189" t="e">
        <v>#N/A</v>
      </c>
      <c r="J393" s="189" t="e">
        <v>#N/A</v>
      </c>
      <c r="K393" s="204" t="e">
        <v>#N/A</v>
      </c>
      <c r="L393" s="204" t="e">
        <v>#N/A</v>
      </c>
      <c r="M393" s="205" t="e">
        <v>#N/A</v>
      </c>
      <c r="N393" s="205" t="e">
        <v>#N/A</v>
      </c>
      <c r="O393" s="205" t="e">
        <v>#N/A</v>
      </c>
      <c r="P393" s="205" t="e">
        <v>#N/A</v>
      </c>
      <c r="Q393" s="189" t="e">
        <v>#N/A</v>
      </c>
      <c r="R393" s="189" t="e">
        <v>#N/A</v>
      </c>
      <c r="S393" s="205" t="e">
        <v>#N/A</v>
      </c>
      <c r="T393" s="206"/>
    </row>
    <row r="394">
      <c r="C394" s="189" t="e">
        <v>#N/A</v>
      </c>
      <c r="D394" s="189" t="e">
        <v>#N/A</v>
      </c>
      <c r="E394" s="189" t="e">
        <v>#N/A</v>
      </c>
      <c r="F394" s="189" t="e">
        <v>#N/A</v>
      </c>
      <c r="G394" s="189" t="e">
        <v>#N/A</v>
      </c>
      <c r="H394" s="189" t="e">
        <v>#N/A</v>
      </c>
      <c r="I394" s="189" t="e">
        <v>#N/A</v>
      </c>
      <c r="J394" s="189" t="e">
        <v>#N/A</v>
      </c>
      <c r="K394" s="204" t="e">
        <v>#N/A</v>
      </c>
      <c r="L394" s="204" t="e">
        <v>#N/A</v>
      </c>
      <c r="M394" s="205" t="e">
        <v>#N/A</v>
      </c>
      <c r="N394" s="205" t="e">
        <v>#N/A</v>
      </c>
      <c r="O394" s="205" t="e">
        <v>#N/A</v>
      </c>
      <c r="P394" s="205" t="e">
        <v>#N/A</v>
      </c>
      <c r="Q394" s="189" t="e">
        <v>#N/A</v>
      </c>
      <c r="R394" s="189" t="e">
        <v>#N/A</v>
      </c>
      <c r="S394" s="205" t="e">
        <v>#N/A</v>
      </c>
      <c r="T394" s="206"/>
    </row>
    <row r="395">
      <c r="C395" s="189" t="e">
        <v>#N/A</v>
      </c>
      <c r="D395" s="189" t="e">
        <v>#N/A</v>
      </c>
      <c r="E395" s="189" t="e">
        <v>#N/A</v>
      </c>
      <c r="F395" s="189" t="e">
        <v>#N/A</v>
      </c>
      <c r="G395" s="189" t="e">
        <v>#N/A</v>
      </c>
      <c r="H395" s="189" t="e">
        <v>#N/A</v>
      </c>
      <c r="I395" s="189" t="e">
        <v>#N/A</v>
      </c>
      <c r="J395" s="189" t="e">
        <v>#N/A</v>
      </c>
      <c r="K395" s="204" t="e">
        <v>#N/A</v>
      </c>
      <c r="L395" s="204" t="e">
        <v>#N/A</v>
      </c>
      <c r="M395" s="205" t="e">
        <v>#N/A</v>
      </c>
      <c r="N395" s="205" t="e">
        <v>#N/A</v>
      </c>
      <c r="O395" s="205" t="e">
        <v>#N/A</v>
      </c>
      <c r="P395" s="205" t="e">
        <v>#N/A</v>
      </c>
      <c r="Q395" s="189" t="e">
        <v>#N/A</v>
      </c>
      <c r="R395" s="189" t="e">
        <v>#N/A</v>
      </c>
      <c r="S395" s="205" t="e">
        <v>#N/A</v>
      </c>
      <c r="T395" s="206"/>
    </row>
    <row r="396">
      <c r="C396" s="189" t="e">
        <v>#N/A</v>
      </c>
      <c r="D396" s="189" t="e">
        <v>#N/A</v>
      </c>
      <c r="E396" s="189" t="e">
        <v>#N/A</v>
      </c>
      <c r="F396" s="189" t="e">
        <v>#N/A</v>
      </c>
      <c r="G396" s="189" t="e">
        <v>#N/A</v>
      </c>
      <c r="H396" s="189" t="e">
        <v>#N/A</v>
      </c>
      <c r="I396" s="189" t="e">
        <v>#N/A</v>
      </c>
      <c r="J396" s="189" t="e">
        <v>#N/A</v>
      </c>
      <c r="K396" s="204" t="e">
        <v>#N/A</v>
      </c>
      <c r="L396" s="204" t="e">
        <v>#N/A</v>
      </c>
      <c r="M396" s="205" t="e">
        <v>#N/A</v>
      </c>
      <c r="N396" s="205" t="e">
        <v>#N/A</v>
      </c>
      <c r="O396" s="205" t="e">
        <v>#N/A</v>
      </c>
      <c r="P396" s="205" t="e">
        <v>#N/A</v>
      </c>
      <c r="Q396" s="189" t="e">
        <v>#N/A</v>
      </c>
      <c r="R396" s="189" t="e">
        <v>#N/A</v>
      </c>
      <c r="S396" s="205" t="e">
        <v>#N/A</v>
      </c>
      <c r="T396" s="206"/>
    </row>
    <row r="397">
      <c r="C397" s="189" t="e">
        <v>#N/A</v>
      </c>
      <c r="D397" s="189" t="e">
        <v>#N/A</v>
      </c>
      <c r="E397" s="189" t="e">
        <v>#N/A</v>
      </c>
      <c r="F397" s="189" t="e">
        <v>#N/A</v>
      </c>
      <c r="G397" s="189" t="e">
        <v>#N/A</v>
      </c>
      <c r="H397" s="189" t="e">
        <v>#N/A</v>
      </c>
      <c r="I397" s="189" t="e">
        <v>#N/A</v>
      </c>
      <c r="J397" s="189" t="e">
        <v>#N/A</v>
      </c>
      <c r="K397" s="204" t="e">
        <v>#N/A</v>
      </c>
      <c r="L397" s="204" t="e">
        <v>#N/A</v>
      </c>
      <c r="M397" s="205" t="e">
        <v>#N/A</v>
      </c>
      <c r="N397" s="205" t="e">
        <v>#N/A</v>
      </c>
      <c r="O397" s="205" t="e">
        <v>#N/A</v>
      </c>
      <c r="P397" s="205" t="e">
        <v>#N/A</v>
      </c>
      <c r="Q397" s="189" t="e">
        <v>#N/A</v>
      </c>
      <c r="R397" s="189" t="e">
        <v>#N/A</v>
      </c>
      <c r="S397" s="205" t="e">
        <v>#N/A</v>
      </c>
      <c r="T397" s="206"/>
    </row>
    <row r="398">
      <c r="C398" s="189" t="e">
        <v>#N/A</v>
      </c>
      <c r="D398" s="189" t="e">
        <v>#N/A</v>
      </c>
      <c r="E398" s="189" t="e">
        <v>#N/A</v>
      </c>
      <c r="F398" s="189" t="e">
        <v>#N/A</v>
      </c>
      <c r="G398" s="189" t="e">
        <v>#N/A</v>
      </c>
      <c r="H398" s="189" t="e">
        <v>#N/A</v>
      </c>
      <c r="I398" s="189" t="e">
        <v>#N/A</v>
      </c>
      <c r="J398" s="189" t="e">
        <v>#N/A</v>
      </c>
      <c r="K398" s="204" t="e">
        <v>#N/A</v>
      </c>
      <c r="L398" s="204" t="e">
        <v>#N/A</v>
      </c>
      <c r="M398" s="205" t="e">
        <v>#N/A</v>
      </c>
      <c r="N398" s="205" t="e">
        <v>#N/A</v>
      </c>
      <c r="O398" s="205" t="e">
        <v>#N/A</v>
      </c>
      <c r="P398" s="205" t="e">
        <v>#N/A</v>
      </c>
      <c r="Q398" s="189" t="e">
        <v>#N/A</v>
      </c>
      <c r="R398" s="189" t="e">
        <v>#N/A</v>
      </c>
      <c r="S398" s="205" t="e">
        <v>#N/A</v>
      </c>
      <c r="T398" s="206"/>
    </row>
    <row r="399">
      <c r="C399" s="189" t="e">
        <v>#N/A</v>
      </c>
      <c r="D399" s="189" t="e">
        <v>#N/A</v>
      </c>
      <c r="E399" s="189" t="e">
        <v>#N/A</v>
      </c>
      <c r="F399" s="189" t="e">
        <v>#N/A</v>
      </c>
      <c r="G399" s="189" t="e">
        <v>#N/A</v>
      </c>
      <c r="H399" s="189" t="e">
        <v>#N/A</v>
      </c>
      <c r="I399" s="189" t="e">
        <v>#N/A</v>
      </c>
      <c r="J399" s="189" t="e">
        <v>#N/A</v>
      </c>
      <c r="K399" s="204" t="e">
        <v>#N/A</v>
      </c>
      <c r="L399" s="204" t="e">
        <v>#N/A</v>
      </c>
      <c r="M399" s="205" t="e">
        <v>#N/A</v>
      </c>
      <c r="N399" s="205" t="e">
        <v>#N/A</v>
      </c>
      <c r="O399" s="205" t="e">
        <v>#N/A</v>
      </c>
      <c r="P399" s="205" t="e">
        <v>#N/A</v>
      </c>
      <c r="Q399" s="189" t="e">
        <v>#N/A</v>
      </c>
      <c r="R399" s="189" t="e">
        <v>#N/A</v>
      </c>
      <c r="S399" s="205" t="e">
        <v>#N/A</v>
      </c>
      <c r="T399" s="206"/>
    </row>
    <row r="400">
      <c r="C400" s="189" t="e">
        <v>#N/A</v>
      </c>
      <c r="D400" s="189" t="e">
        <v>#N/A</v>
      </c>
      <c r="E400" s="189" t="e">
        <v>#N/A</v>
      </c>
      <c r="F400" s="189" t="e">
        <v>#N/A</v>
      </c>
      <c r="G400" s="189" t="e">
        <v>#N/A</v>
      </c>
      <c r="H400" s="189" t="e">
        <v>#N/A</v>
      </c>
      <c r="I400" s="189" t="e">
        <v>#N/A</v>
      </c>
      <c r="J400" s="189" t="e">
        <v>#N/A</v>
      </c>
      <c r="K400" s="204" t="e">
        <v>#N/A</v>
      </c>
      <c r="L400" s="204" t="e">
        <v>#N/A</v>
      </c>
      <c r="M400" s="205" t="e">
        <v>#N/A</v>
      </c>
      <c r="N400" s="205" t="e">
        <v>#N/A</v>
      </c>
      <c r="O400" s="205" t="e">
        <v>#N/A</v>
      </c>
      <c r="P400" s="205" t="e">
        <v>#N/A</v>
      </c>
      <c r="Q400" s="189" t="e">
        <v>#N/A</v>
      </c>
      <c r="R400" s="189" t="e">
        <v>#N/A</v>
      </c>
      <c r="S400" s="205" t="e">
        <v>#N/A</v>
      </c>
      <c r="T400" s="206"/>
    </row>
    <row r="401">
      <c r="C401" s="189" t="e">
        <v>#N/A</v>
      </c>
      <c r="D401" s="189" t="e">
        <v>#N/A</v>
      </c>
      <c r="E401" s="189" t="e">
        <v>#N/A</v>
      </c>
      <c r="F401" s="189" t="e">
        <v>#N/A</v>
      </c>
      <c r="G401" s="189" t="e">
        <v>#N/A</v>
      </c>
      <c r="H401" s="189" t="e">
        <v>#N/A</v>
      </c>
      <c r="I401" s="189" t="e">
        <v>#N/A</v>
      </c>
      <c r="J401" s="189" t="e">
        <v>#N/A</v>
      </c>
      <c r="K401" s="204" t="e">
        <v>#N/A</v>
      </c>
      <c r="L401" s="204" t="e">
        <v>#N/A</v>
      </c>
      <c r="M401" s="205" t="e">
        <v>#N/A</v>
      </c>
      <c r="N401" s="205" t="e">
        <v>#N/A</v>
      </c>
      <c r="O401" s="205" t="e">
        <v>#N/A</v>
      </c>
      <c r="P401" s="205" t="e">
        <v>#N/A</v>
      </c>
      <c r="Q401" s="189" t="e">
        <v>#N/A</v>
      </c>
      <c r="R401" s="189" t="e">
        <v>#N/A</v>
      </c>
      <c r="S401" s="205" t="e">
        <v>#N/A</v>
      </c>
      <c r="T401" s="206"/>
    </row>
    <row r="402">
      <c r="C402" s="189" t="e">
        <v>#N/A</v>
      </c>
      <c r="D402" s="189" t="e">
        <v>#N/A</v>
      </c>
      <c r="E402" s="189" t="e">
        <v>#N/A</v>
      </c>
      <c r="F402" s="189" t="e">
        <v>#N/A</v>
      </c>
      <c r="G402" s="189" t="e">
        <v>#N/A</v>
      </c>
      <c r="H402" s="189" t="e">
        <v>#N/A</v>
      </c>
      <c r="I402" s="189" t="e">
        <v>#N/A</v>
      </c>
      <c r="J402" s="189" t="e">
        <v>#N/A</v>
      </c>
      <c r="K402" s="204" t="e">
        <v>#N/A</v>
      </c>
      <c r="L402" s="204" t="e">
        <v>#N/A</v>
      </c>
      <c r="M402" s="205" t="e">
        <v>#N/A</v>
      </c>
      <c r="N402" s="205" t="e">
        <v>#N/A</v>
      </c>
      <c r="O402" s="205" t="e">
        <v>#N/A</v>
      </c>
      <c r="P402" s="205" t="e">
        <v>#N/A</v>
      </c>
      <c r="Q402" s="189" t="e">
        <v>#N/A</v>
      </c>
      <c r="R402" s="189" t="e">
        <v>#N/A</v>
      </c>
      <c r="S402" s="205" t="e">
        <v>#N/A</v>
      </c>
      <c r="T402" s="206"/>
    </row>
    <row r="403">
      <c r="C403" s="189" t="e">
        <v>#N/A</v>
      </c>
      <c r="D403" s="189" t="e">
        <v>#N/A</v>
      </c>
      <c r="E403" s="189" t="e">
        <v>#N/A</v>
      </c>
      <c r="F403" s="189" t="e">
        <v>#N/A</v>
      </c>
      <c r="G403" s="189" t="e">
        <v>#N/A</v>
      </c>
      <c r="H403" s="189" t="e">
        <v>#N/A</v>
      </c>
      <c r="I403" s="189" t="e">
        <v>#N/A</v>
      </c>
      <c r="J403" s="189" t="e">
        <v>#N/A</v>
      </c>
      <c r="K403" s="204" t="e">
        <v>#N/A</v>
      </c>
      <c r="L403" s="204" t="e">
        <v>#N/A</v>
      </c>
      <c r="M403" s="205" t="e">
        <v>#N/A</v>
      </c>
      <c r="N403" s="205" t="e">
        <v>#N/A</v>
      </c>
      <c r="O403" s="205" t="e">
        <v>#N/A</v>
      </c>
      <c r="P403" s="205" t="e">
        <v>#N/A</v>
      </c>
      <c r="Q403" s="189" t="e">
        <v>#N/A</v>
      </c>
      <c r="R403" s="189" t="e">
        <v>#N/A</v>
      </c>
      <c r="S403" s="205" t="e">
        <v>#N/A</v>
      </c>
      <c r="T403" s="206"/>
    </row>
    <row r="404">
      <c r="C404" s="189" t="e">
        <v>#N/A</v>
      </c>
      <c r="D404" s="189" t="e">
        <v>#N/A</v>
      </c>
      <c r="E404" s="189" t="e">
        <v>#N/A</v>
      </c>
      <c r="F404" s="189" t="e">
        <v>#N/A</v>
      </c>
      <c r="G404" s="189" t="e">
        <v>#N/A</v>
      </c>
      <c r="H404" s="189" t="e">
        <v>#N/A</v>
      </c>
      <c r="I404" s="189" t="e">
        <v>#N/A</v>
      </c>
      <c r="J404" s="189" t="e">
        <v>#N/A</v>
      </c>
      <c r="K404" s="204" t="e">
        <v>#N/A</v>
      </c>
      <c r="L404" s="204" t="e">
        <v>#N/A</v>
      </c>
      <c r="M404" s="205" t="e">
        <v>#N/A</v>
      </c>
      <c r="N404" s="205" t="e">
        <v>#N/A</v>
      </c>
      <c r="O404" s="205" t="e">
        <v>#N/A</v>
      </c>
      <c r="P404" s="205" t="e">
        <v>#N/A</v>
      </c>
      <c r="Q404" s="189" t="e">
        <v>#N/A</v>
      </c>
      <c r="R404" s="189" t="e">
        <v>#N/A</v>
      </c>
      <c r="S404" s="205" t="e">
        <v>#N/A</v>
      </c>
      <c r="T404" s="206"/>
    </row>
    <row r="405">
      <c r="C405" s="189" t="e">
        <v>#N/A</v>
      </c>
      <c r="D405" s="189" t="e">
        <v>#N/A</v>
      </c>
      <c r="E405" s="189" t="e">
        <v>#N/A</v>
      </c>
      <c r="F405" s="189" t="e">
        <v>#N/A</v>
      </c>
      <c r="G405" s="189" t="e">
        <v>#N/A</v>
      </c>
      <c r="H405" s="189" t="e">
        <v>#N/A</v>
      </c>
      <c r="I405" s="189" t="e">
        <v>#N/A</v>
      </c>
      <c r="J405" s="189" t="e">
        <v>#N/A</v>
      </c>
      <c r="K405" s="204" t="e">
        <v>#N/A</v>
      </c>
      <c r="L405" s="204" t="e">
        <v>#N/A</v>
      </c>
      <c r="M405" s="205" t="e">
        <v>#N/A</v>
      </c>
      <c r="N405" s="205" t="e">
        <v>#N/A</v>
      </c>
      <c r="O405" s="205" t="e">
        <v>#N/A</v>
      </c>
      <c r="P405" s="205" t="e">
        <v>#N/A</v>
      </c>
      <c r="Q405" s="189" t="e">
        <v>#N/A</v>
      </c>
      <c r="R405" s="189" t="e">
        <v>#N/A</v>
      </c>
      <c r="S405" s="205" t="e">
        <v>#N/A</v>
      </c>
      <c r="T405" s="206"/>
    </row>
    <row r="406">
      <c r="C406" s="189" t="e">
        <v>#N/A</v>
      </c>
      <c r="D406" s="189" t="e">
        <v>#N/A</v>
      </c>
      <c r="E406" s="189" t="e">
        <v>#N/A</v>
      </c>
      <c r="F406" s="189" t="e">
        <v>#N/A</v>
      </c>
      <c r="G406" s="189" t="e">
        <v>#N/A</v>
      </c>
      <c r="H406" s="189" t="e">
        <v>#N/A</v>
      </c>
      <c r="I406" s="189" t="e">
        <v>#N/A</v>
      </c>
      <c r="J406" s="189" t="e">
        <v>#N/A</v>
      </c>
      <c r="K406" s="204" t="e">
        <v>#N/A</v>
      </c>
      <c r="L406" s="204" t="e">
        <v>#N/A</v>
      </c>
      <c r="M406" s="205" t="e">
        <v>#N/A</v>
      </c>
      <c r="N406" s="205" t="e">
        <v>#N/A</v>
      </c>
      <c r="O406" s="205" t="e">
        <v>#N/A</v>
      </c>
      <c r="P406" s="205" t="e">
        <v>#N/A</v>
      </c>
      <c r="Q406" s="189" t="e">
        <v>#N/A</v>
      </c>
      <c r="R406" s="189" t="e">
        <v>#N/A</v>
      </c>
      <c r="S406" s="205" t="e">
        <v>#N/A</v>
      </c>
      <c r="T406" s="206"/>
    </row>
    <row r="407">
      <c r="C407" s="189" t="e">
        <v>#N/A</v>
      </c>
      <c r="D407" s="189" t="e">
        <v>#N/A</v>
      </c>
      <c r="E407" s="189" t="e">
        <v>#N/A</v>
      </c>
      <c r="F407" s="189" t="e">
        <v>#N/A</v>
      </c>
      <c r="G407" s="189" t="e">
        <v>#N/A</v>
      </c>
      <c r="H407" s="189" t="e">
        <v>#N/A</v>
      </c>
      <c r="I407" s="189" t="e">
        <v>#N/A</v>
      </c>
      <c r="J407" s="189" t="e">
        <v>#N/A</v>
      </c>
      <c r="K407" s="204" t="e">
        <v>#N/A</v>
      </c>
      <c r="L407" s="204" t="e">
        <v>#N/A</v>
      </c>
      <c r="M407" s="205" t="e">
        <v>#N/A</v>
      </c>
      <c r="N407" s="205" t="e">
        <v>#N/A</v>
      </c>
      <c r="O407" s="205" t="e">
        <v>#N/A</v>
      </c>
      <c r="P407" s="205" t="e">
        <v>#N/A</v>
      </c>
      <c r="Q407" s="189" t="e">
        <v>#N/A</v>
      </c>
      <c r="R407" s="189" t="e">
        <v>#N/A</v>
      </c>
      <c r="S407" s="205" t="e">
        <v>#N/A</v>
      </c>
      <c r="T407" s="206"/>
    </row>
    <row r="408">
      <c r="C408" s="189" t="e">
        <v>#N/A</v>
      </c>
      <c r="D408" s="189" t="e">
        <v>#N/A</v>
      </c>
      <c r="E408" s="189" t="e">
        <v>#N/A</v>
      </c>
      <c r="F408" s="189" t="e">
        <v>#N/A</v>
      </c>
      <c r="G408" s="189" t="e">
        <v>#N/A</v>
      </c>
      <c r="H408" s="189" t="e">
        <v>#N/A</v>
      </c>
      <c r="I408" s="189" t="e">
        <v>#N/A</v>
      </c>
      <c r="J408" s="189" t="e">
        <v>#N/A</v>
      </c>
      <c r="K408" s="204" t="e">
        <v>#N/A</v>
      </c>
      <c r="L408" s="204" t="e">
        <v>#N/A</v>
      </c>
      <c r="M408" s="205" t="e">
        <v>#N/A</v>
      </c>
      <c r="N408" s="205" t="e">
        <v>#N/A</v>
      </c>
      <c r="O408" s="205" t="e">
        <v>#N/A</v>
      </c>
      <c r="P408" s="205" t="e">
        <v>#N/A</v>
      </c>
      <c r="Q408" s="189" t="e">
        <v>#N/A</v>
      </c>
      <c r="R408" s="189" t="e">
        <v>#N/A</v>
      </c>
      <c r="S408" s="205" t="e">
        <v>#N/A</v>
      </c>
      <c r="T408" s="206"/>
    </row>
    <row r="409">
      <c r="C409" s="189" t="e">
        <v>#N/A</v>
      </c>
      <c r="D409" s="189" t="e">
        <v>#N/A</v>
      </c>
      <c r="E409" s="189" t="e">
        <v>#N/A</v>
      </c>
      <c r="F409" s="189" t="e">
        <v>#N/A</v>
      </c>
      <c r="G409" s="189" t="e">
        <v>#N/A</v>
      </c>
      <c r="H409" s="189" t="e">
        <v>#N/A</v>
      </c>
      <c r="I409" s="189" t="e">
        <v>#N/A</v>
      </c>
      <c r="J409" s="189" t="e">
        <v>#N/A</v>
      </c>
      <c r="K409" s="204" t="e">
        <v>#N/A</v>
      </c>
      <c r="L409" s="204" t="e">
        <v>#N/A</v>
      </c>
      <c r="M409" s="205" t="e">
        <v>#N/A</v>
      </c>
      <c r="N409" s="205" t="e">
        <v>#N/A</v>
      </c>
      <c r="O409" s="205" t="e">
        <v>#N/A</v>
      </c>
      <c r="P409" s="205" t="e">
        <v>#N/A</v>
      </c>
      <c r="Q409" s="189" t="e">
        <v>#N/A</v>
      </c>
      <c r="R409" s="189" t="e">
        <v>#N/A</v>
      </c>
      <c r="S409" s="205" t="e">
        <v>#N/A</v>
      </c>
      <c r="T409" s="206"/>
    </row>
    <row r="410">
      <c r="C410" s="189" t="e">
        <v>#N/A</v>
      </c>
      <c r="D410" s="189" t="e">
        <v>#N/A</v>
      </c>
      <c r="E410" s="189" t="e">
        <v>#N/A</v>
      </c>
      <c r="F410" s="189" t="e">
        <v>#N/A</v>
      </c>
      <c r="G410" s="189" t="e">
        <v>#N/A</v>
      </c>
      <c r="H410" s="189" t="e">
        <v>#N/A</v>
      </c>
      <c r="I410" s="189" t="e">
        <v>#N/A</v>
      </c>
      <c r="J410" s="189" t="e">
        <v>#N/A</v>
      </c>
      <c r="K410" s="204" t="e">
        <v>#N/A</v>
      </c>
      <c r="L410" s="204" t="e">
        <v>#N/A</v>
      </c>
      <c r="M410" s="205" t="e">
        <v>#N/A</v>
      </c>
      <c r="N410" s="205" t="e">
        <v>#N/A</v>
      </c>
      <c r="O410" s="205" t="e">
        <v>#N/A</v>
      </c>
      <c r="P410" s="205" t="e">
        <v>#N/A</v>
      </c>
      <c r="Q410" s="189" t="e">
        <v>#N/A</v>
      </c>
      <c r="R410" s="189" t="e">
        <v>#N/A</v>
      </c>
      <c r="S410" s="205" t="e">
        <v>#N/A</v>
      </c>
      <c r="T410" s="206"/>
    </row>
    <row r="411">
      <c r="C411" s="189" t="e">
        <v>#N/A</v>
      </c>
      <c r="D411" s="189" t="e">
        <v>#N/A</v>
      </c>
      <c r="E411" s="189" t="e">
        <v>#N/A</v>
      </c>
      <c r="F411" s="189" t="e">
        <v>#N/A</v>
      </c>
      <c r="G411" s="189" t="e">
        <v>#N/A</v>
      </c>
      <c r="H411" s="189" t="e">
        <v>#N/A</v>
      </c>
      <c r="I411" s="189" t="e">
        <v>#N/A</v>
      </c>
      <c r="J411" s="189" t="e">
        <v>#N/A</v>
      </c>
      <c r="K411" s="204" t="e">
        <v>#N/A</v>
      </c>
      <c r="L411" s="204" t="e">
        <v>#N/A</v>
      </c>
      <c r="M411" s="205" t="e">
        <v>#N/A</v>
      </c>
      <c r="N411" s="205" t="e">
        <v>#N/A</v>
      </c>
      <c r="O411" s="205" t="e">
        <v>#N/A</v>
      </c>
      <c r="P411" s="205" t="e">
        <v>#N/A</v>
      </c>
      <c r="Q411" s="189" t="e">
        <v>#N/A</v>
      </c>
      <c r="R411" s="189" t="e">
        <v>#N/A</v>
      </c>
      <c r="S411" s="205" t="e">
        <v>#N/A</v>
      </c>
      <c r="T411" s="206"/>
    </row>
    <row r="412">
      <c r="C412" s="189" t="e">
        <v>#N/A</v>
      </c>
      <c r="D412" s="189" t="e">
        <v>#N/A</v>
      </c>
      <c r="E412" s="189" t="e">
        <v>#N/A</v>
      </c>
      <c r="F412" s="189" t="e">
        <v>#N/A</v>
      </c>
      <c r="G412" s="189" t="e">
        <v>#N/A</v>
      </c>
      <c r="H412" s="189" t="e">
        <v>#N/A</v>
      </c>
      <c r="I412" s="189" t="e">
        <v>#N/A</v>
      </c>
      <c r="J412" s="189" t="e">
        <v>#N/A</v>
      </c>
      <c r="K412" s="204" t="e">
        <v>#N/A</v>
      </c>
      <c r="L412" s="204" t="e">
        <v>#N/A</v>
      </c>
      <c r="M412" s="205" t="e">
        <v>#N/A</v>
      </c>
      <c r="N412" s="205" t="e">
        <v>#N/A</v>
      </c>
      <c r="O412" s="205" t="e">
        <v>#N/A</v>
      </c>
      <c r="P412" s="205" t="e">
        <v>#N/A</v>
      </c>
      <c r="Q412" s="189" t="e">
        <v>#N/A</v>
      </c>
      <c r="R412" s="189" t="e">
        <v>#N/A</v>
      </c>
      <c r="S412" s="205" t="e">
        <v>#N/A</v>
      </c>
      <c r="T412" s="206"/>
    </row>
    <row r="413">
      <c r="C413" s="189" t="e">
        <v>#N/A</v>
      </c>
      <c r="D413" s="189" t="e">
        <v>#N/A</v>
      </c>
      <c r="E413" s="189" t="e">
        <v>#N/A</v>
      </c>
      <c r="F413" s="189" t="e">
        <v>#N/A</v>
      </c>
      <c r="G413" s="189" t="e">
        <v>#N/A</v>
      </c>
      <c r="H413" s="189" t="e">
        <v>#N/A</v>
      </c>
      <c r="I413" s="189" t="e">
        <v>#N/A</v>
      </c>
      <c r="J413" s="189" t="e">
        <v>#N/A</v>
      </c>
      <c r="K413" s="204" t="e">
        <v>#N/A</v>
      </c>
      <c r="L413" s="204" t="e">
        <v>#N/A</v>
      </c>
      <c r="M413" s="205" t="e">
        <v>#N/A</v>
      </c>
      <c r="N413" s="205" t="e">
        <v>#N/A</v>
      </c>
      <c r="O413" s="205" t="e">
        <v>#N/A</v>
      </c>
      <c r="P413" s="205" t="e">
        <v>#N/A</v>
      </c>
      <c r="Q413" s="189" t="e">
        <v>#N/A</v>
      </c>
      <c r="R413" s="189" t="e">
        <v>#N/A</v>
      </c>
      <c r="S413" s="205" t="e">
        <v>#N/A</v>
      </c>
      <c r="T413" s="206"/>
    </row>
    <row r="414">
      <c r="C414" s="189" t="e">
        <v>#N/A</v>
      </c>
      <c r="D414" s="189" t="e">
        <v>#N/A</v>
      </c>
      <c r="E414" s="189" t="e">
        <v>#N/A</v>
      </c>
      <c r="F414" s="189" t="e">
        <v>#N/A</v>
      </c>
      <c r="G414" s="189" t="e">
        <v>#N/A</v>
      </c>
      <c r="H414" s="189" t="e">
        <v>#N/A</v>
      </c>
      <c r="I414" s="189" t="e">
        <v>#N/A</v>
      </c>
      <c r="J414" s="189" t="e">
        <v>#N/A</v>
      </c>
      <c r="K414" s="204" t="e">
        <v>#N/A</v>
      </c>
      <c r="L414" s="204" t="e">
        <v>#N/A</v>
      </c>
      <c r="M414" s="205" t="e">
        <v>#N/A</v>
      </c>
      <c r="N414" s="205" t="e">
        <v>#N/A</v>
      </c>
      <c r="O414" s="205" t="e">
        <v>#N/A</v>
      </c>
      <c r="P414" s="205" t="e">
        <v>#N/A</v>
      </c>
      <c r="Q414" s="189" t="e">
        <v>#N/A</v>
      </c>
      <c r="R414" s="189" t="e">
        <v>#N/A</v>
      </c>
      <c r="S414" s="205" t="e">
        <v>#N/A</v>
      </c>
      <c r="T414" s="206"/>
    </row>
    <row r="415">
      <c r="C415" s="189" t="e">
        <v>#N/A</v>
      </c>
      <c r="D415" s="189" t="e">
        <v>#N/A</v>
      </c>
      <c r="E415" s="189" t="e">
        <v>#N/A</v>
      </c>
      <c r="F415" s="189" t="e">
        <v>#N/A</v>
      </c>
      <c r="G415" s="189" t="e">
        <v>#N/A</v>
      </c>
      <c r="H415" s="189" t="e">
        <v>#N/A</v>
      </c>
      <c r="I415" s="189" t="e">
        <v>#N/A</v>
      </c>
      <c r="J415" s="189" t="e">
        <v>#N/A</v>
      </c>
      <c r="K415" s="204" t="e">
        <v>#N/A</v>
      </c>
      <c r="L415" s="204" t="e">
        <v>#N/A</v>
      </c>
      <c r="M415" s="205" t="e">
        <v>#N/A</v>
      </c>
      <c r="N415" s="205" t="e">
        <v>#N/A</v>
      </c>
      <c r="O415" s="205" t="e">
        <v>#N/A</v>
      </c>
      <c r="P415" s="205" t="e">
        <v>#N/A</v>
      </c>
      <c r="Q415" s="189" t="e">
        <v>#N/A</v>
      </c>
      <c r="R415" s="189" t="e">
        <v>#N/A</v>
      </c>
      <c r="S415" s="205" t="e">
        <v>#N/A</v>
      </c>
      <c r="T415" s="206"/>
    </row>
    <row r="416">
      <c r="C416" s="189" t="e">
        <v>#N/A</v>
      </c>
      <c r="D416" s="189" t="e">
        <v>#N/A</v>
      </c>
      <c r="E416" s="189" t="e">
        <v>#N/A</v>
      </c>
      <c r="F416" s="189" t="e">
        <v>#N/A</v>
      </c>
      <c r="G416" s="189" t="e">
        <v>#N/A</v>
      </c>
      <c r="H416" s="189" t="e">
        <v>#N/A</v>
      </c>
      <c r="I416" s="189" t="e">
        <v>#N/A</v>
      </c>
      <c r="J416" s="189" t="e">
        <v>#N/A</v>
      </c>
      <c r="K416" s="204" t="e">
        <v>#N/A</v>
      </c>
      <c r="L416" s="204" t="e">
        <v>#N/A</v>
      </c>
      <c r="M416" s="205" t="e">
        <v>#N/A</v>
      </c>
      <c r="N416" s="205" t="e">
        <v>#N/A</v>
      </c>
      <c r="O416" s="205" t="e">
        <v>#N/A</v>
      </c>
      <c r="P416" s="205" t="e">
        <v>#N/A</v>
      </c>
      <c r="Q416" s="189" t="e">
        <v>#N/A</v>
      </c>
      <c r="R416" s="189" t="e">
        <v>#N/A</v>
      </c>
      <c r="S416" s="205" t="e">
        <v>#N/A</v>
      </c>
      <c r="T416" s="206"/>
    </row>
    <row r="417">
      <c r="C417" s="189" t="e">
        <v>#N/A</v>
      </c>
      <c r="D417" s="189" t="e">
        <v>#N/A</v>
      </c>
      <c r="E417" s="189" t="e">
        <v>#N/A</v>
      </c>
      <c r="F417" s="189" t="e">
        <v>#N/A</v>
      </c>
      <c r="G417" s="189" t="e">
        <v>#N/A</v>
      </c>
      <c r="H417" s="189" t="e">
        <v>#N/A</v>
      </c>
      <c r="I417" s="189" t="e">
        <v>#N/A</v>
      </c>
      <c r="J417" s="189" t="e">
        <v>#N/A</v>
      </c>
      <c r="K417" s="204" t="e">
        <v>#N/A</v>
      </c>
      <c r="L417" s="204" t="e">
        <v>#N/A</v>
      </c>
      <c r="M417" s="205" t="e">
        <v>#N/A</v>
      </c>
      <c r="N417" s="205" t="e">
        <v>#N/A</v>
      </c>
      <c r="O417" s="205" t="e">
        <v>#N/A</v>
      </c>
      <c r="P417" s="205" t="e">
        <v>#N/A</v>
      </c>
      <c r="Q417" s="189" t="e">
        <v>#N/A</v>
      </c>
      <c r="R417" s="189" t="e">
        <v>#N/A</v>
      </c>
      <c r="S417" s="205" t="e">
        <v>#N/A</v>
      </c>
      <c r="T417" s="206"/>
    </row>
    <row r="418">
      <c r="C418" s="189" t="e">
        <v>#N/A</v>
      </c>
      <c r="D418" s="189" t="e">
        <v>#N/A</v>
      </c>
      <c r="E418" s="189" t="e">
        <v>#N/A</v>
      </c>
      <c r="F418" s="189" t="e">
        <v>#N/A</v>
      </c>
      <c r="G418" s="189" t="e">
        <v>#N/A</v>
      </c>
      <c r="H418" s="189" t="e">
        <v>#N/A</v>
      </c>
      <c r="I418" s="189" t="e">
        <v>#N/A</v>
      </c>
      <c r="J418" s="189" t="e">
        <v>#N/A</v>
      </c>
      <c r="K418" s="204" t="e">
        <v>#N/A</v>
      </c>
      <c r="L418" s="204" t="e">
        <v>#N/A</v>
      </c>
      <c r="M418" s="205" t="e">
        <v>#N/A</v>
      </c>
      <c r="N418" s="205" t="e">
        <v>#N/A</v>
      </c>
      <c r="O418" s="205" t="e">
        <v>#N/A</v>
      </c>
      <c r="P418" s="205" t="e">
        <v>#N/A</v>
      </c>
      <c r="Q418" s="189" t="e">
        <v>#N/A</v>
      </c>
      <c r="R418" s="189" t="e">
        <v>#N/A</v>
      </c>
      <c r="S418" s="205" t="e">
        <v>#N/A</v>
      </c>
      <c r="T418" s="206"/>
    </row>
    <row r="419">
      <c r="C419" s="189" t="e">
        <v>#N/A</v>
      </c>
      <c r="D419" s="189" t="e">
        <v>#N/A</v>
      </c>
      <c r="E419" s="189" t="e">
        <v>#N/A</v>
      </c>
      <c r="F419" s="189" t="e">
        <v>#N/A</v>
      </c>
      <c r="G419" s="189" t="e">
        <v>#N/A</v>
      </c>
      <c r="H419" s="189" t="e">
        <v>#N/A</v>
      </c>
      <c r="I419" s="189" t="e">
        <v>#N/A</v>
      </c>
      <c r="J419" s="189" t="e">
        <v>#N/A</v>
      </c>
      <c r="K419" s="204" t="e">
        <v>#N/A</v>
      </c>
      <c r="L419" s="204" t="e">
        <v>#N/A</v>
      </c>
      <c r="M419" s="205" t="e">
        <v>#N/A</v>
      </c>
      <c r="N419" s="205" t="e">
        <v>#N/A</v>
      </c>
      <c r="O419" s="205" t="e">
        <v>#N/A</v>
      </c>
      <c r="P419" s="205" t="e">
        <v>#N/A</v>
      </c>
      <c r="Q419" s="189" t="e">
        <v>#N/A</v>
      </c>
      <c r="R419" s="189" t="e">
        <v>#N/A</v>
      </c>
      <c r="S419" s="205" t="e">
        <v>#N/A</v>
      </c>
      <c r="T419" s="206"/>
    </row>
    <row r="420">
      <c r="C420" s="189" t="e">
        <v>#N/A</v>
      </c>
      <c r="D420" s="189" t="e">
        <v>#N/A</v>
      </c>
      <c r="E420" s="189" t="e">
        <v>#N/A</v>
      </c>
      <c r="F420" s="189" t="e">
        <v>#N/A</v>
      </c>
      <c r="G420" s="189" t="e">
        <v>#N/A</v>
      </c>
      <c r="H420" s="189" t="e">
        <v>#N/A</v>
      </c>
      <c r="I420" s="189" t="e">
        <v>#N/A</v>
      </c>
      <c r="J420" s="189" t="e">
        <v>#N/A</v>
      </c>
      <c r="K420" s="204" t="e">
        <v>#N/A</v>
      </c>
      <c r="L420" s="204" t="e">
        <v>#N/A</v>
      </c>
      <c r="M420" s="205" t="e">
        <v>#N/A</v>
      </c>
      <c r="N420" s="205" t="e">
        <v>#N/A</v>
      </c>
      <c r="O420" s="205" t="e">
        <v>#N/A</v>
      </c>
      <c r="P420" s="205" t="e">
        <v>#N/A</v>
      </c>
      <c r="Q420" s="189" t="e">
        <v>#N/A</v>
      </c>
      <c r="R420" s="189" t="e">
        <v>#N/A</v>
      </c>
      <c r="S420" s="205" t="e">
        <v>#N/A</v>
      </c>
      <c r="T420" s="206"/>
    </row>
    <row r="421">
      <c r="C421" s="189" t="e">
        <v>#N/A</v>
      </c>
      <c r="D421" s="189" t="e">
        <v>#N/A</v>
      </c>
      <c r="E421" s="189" t="e">
        <v>#N/A</v>
      </c>
      <c r="F421" s="189" t="e">
        <v>#N/A</v>
      </c>
      <c r="G421" s="189" t="e">
        <v>#N/A</v>
      </c>
      <c r="H421" s="189" t="e">
        <v>#N/A</v>
      </c>
      <c r="I421" s="189" t="e">
        <v>#N/A</v>
      </c>
      <c r="J421" s="189" t="e">
        <v>#N/A</v>
      </c>
      <c r="K421" s="204" t="e">
        <v>#N/A</v>
      </c>
      <c r="L421" s="204" t="e">
        <v>#N/A</v>
      </c>
      <c r="M421" s="205" t="e">
        <v>#N/A</v>
      </c>
      <c r="N421" s="205" t="e">
        <v>#N/A</v>
      </c>
      <c r="O421" s="205" t="e">
        <v>#N/A</v>
      </c>
      <c r="P421" s="205" t="e">
        <v>#N/A</v>
      </c>
      <c r="Q421" s="189" t="e">
        <v>#N/A</v>
      </c>
      <c r="R421" s="189" t="e">
        <v>#N/A</v>
      </c>
      <c r="S421" s="205" t="e">
        <v>#N/A</v>
      </c>
      <c r="T421" s="206"/>
    </row>
    <row r="422">
      <c r="C422" s="189" t="e">
        <v>#N/A</v>
      </c>
      <c r="D422" s="189" t="e">
        <v>#N/A</v>
      </c>
      <c r="E422" s="189" t="e">
        <v>#N/A</v>
      </c>
      <c r="F422" s="189" t="e">
        <v>#N/A</v>
      </c>
      <c r="G422" s="189" t="e">
        <v>#N/A</v>
      </c>
      <c r="H422" s="189" t="e">
        <v>#N/A</v>
      </c>
      <c r="I422" s="189" t="e">
        <v>#N/A</v>
      </c>
      <c r="J422" s="189" t="e">
        <v>#N/A</v>
      </c>
      <c r="K422" s="204" t="e">
        <v>#N/A</v>
      </c>
      <c r="L422" s="204" t="e">
        <v>#N/A</v>
      </c>
      <c r="M422" s="205" t="e">
        <v>#N/A</v>
      </c>
      <c r="N422" s="205" t="e">
        <v>#N/A</v>
      </c>
      <c r="O422" s="205" t="e">
        <v>#N/A</v>
      </c>
      <c r="P422" s="205" t="e">
        <v>#N/A</v>
      </c>
      <c r="Q422" s="189" t="e">
        <v>#N/A</v>
      </c>
      <c r="R422" s="189" t="e">
        <v>#N/A</v>
      </c>
      <c r="S422" s="205" t="e">
        <v>#N/A</v>
      </c>
      <c r="T422" s="206"/>
    </row>
    <row r="423">
      <c r="C423" s="189" t="e">
        <v>#N/A</v>
      </c>
      <c r="D423" s="189" t="e">
        <v>#N/A</v>
      </c>
      <c r="E423" s="189" t="e">
        <v>#N/A</v>
      </c>
      <c r="F423" s="189" t="e">
        <v>#N/A</v>
      </c>
      <c r="G423" s="189" t="e">
        <v>#N/A</v>
      </c>
      <c r="H423" s="189" t="e">
        <v>#N/A</v>
      </c>
      <c r="I423" s="189" t="e">
        <v>#N/A</v>
      </c>
      <c r="J423" s="189" t="e">
        <v>#N/A</v>
      </c>
      <c r="K423" s="204" t="e">
        <v>#N/A</v>
      </c>
      <c r="L423" s="204" t="e">
        <v>#N/A</v>
      </c>
      <c r="M423" s="205" t="e">
        <v>#N/A</v>
      </c>
      <c r="N423" s="205" t="e">
        <v>#N/A</v>
      </c>
      <c r="O423" s="205" t="e">
        <v>#N/A</v>
      </c>
      <c r="P423" s="205" t="e">
        <v>#N/A</v>
      </c>
      <c r="Q423" s="189" t="e">
        <v>#N/A</v>
      </c>
      <c r="R423" s="189" t="e">
        <v>#N/A</v>
      </c>
      <c r="S423" s="205" t="e">
        <v>#N/A</v>
      </c>
      <c r="T423" s="206"/>
    </row>
    <row r="424">
      <c r="C424" s="189" t="e">
        <v>#N/A</v>
      </c>
      <c r="D424" s="189" t="e">
        <v>#N/A</v>
      </c>
      <c r="E424" s="189" t="e">
        <v>#N/A</v>
      </c>
      <c r="F424" s="189" t="e">
        <v>#N/A</v>
      </c>
      <c r="G424" s="189" t="e">
        <v>#N/A</v>
      </c>
      <c r="H424" s="189" t="e">
        <v>#N/A</v>
      </c>
      <c r="I424" s="189" t="e">
        <v>#N/A</v>
      </c>
      <c r="J424" s="189" t="e">
        <v>#N/A</v>
      </c>
      <c r="K424" s="204" t="e">
        <v>#N/A</v>
      </c>
      <c r="L424" s="204" t="e">
        <v>#N/A</v>
      </c>
      <c r="M424" s="205" t="e">
        <v>#N/A</v>
      </c>
      <c r="N424" s="205" t="e">
        <v>#N/A</v>
      </c>
      <c r="O424" s="205" t="e">
        <v>#N/A</v>
      </c>
      <c r="P424" s="205" t="e">
        <v>#N/A</v>
      </c>
      <c r="Q424" s="189" t="e">
        <v>#N/A</v>
      </c>
      <c r="R424" s="189" t="e">
        <v>#N/A</v>
      </c>
      <c r="S424" s="205" t="e">
        <v>#N/A</v>
      </c>
      <c r="T424" s="206"/>
    </row>
    <row r="425">
      <c r="C425" s="189" t="e">
        <v>#N/A</v>
      </c>
      <c r="D425" s="189" t="e">
        <v>#N/A</v>
      </c>
      <c r="E425" s="189" t="e">
        <v>#N/A</v>
      </c>
      <c r="F425" s="189" t="e">
        <v>#N/A</v>
      </c>
      <c r="G425" s="189" t="e">
        <v>#N/A</v>
      </c>
      <c r="H425" s="189" t="e">
        <v>#N/A</v>
      </c>
      <c r="I425" s="189" t="e">
        <v>#N/A</v>
      </c>
      <c r="J425" s="189" t="e">
        <v>#N/A</v>
      </c>
      <c r="K425" s="204" t="e">
        <v>#N/A</v>
      </c>
      <c r="L425" s="204" t="e">
        <v>#N/A</v>
      </c>
      <c r="M425" s="205" t="e">
        <v>#N/A</v>
      </c>
      <c r="N425" s="205" t="e">
        <v>#N/A</v>
      </c>
      <c r="O425" s="205" t="e">
        <v>#N/A</v>
      </c>
      <c r="P425" s="205" t="e">
        <v>#N/A</v>
      </c>
      <c r="Q425" s="189" t="e">
        <v>#N/A</v>
      </c>
      <c r="R425" s="189" t="e">
        <v>#N/A</v>
      </c>
      <c r="S425" s="205" t="e">
        <v>#N/A</v>
      </c>
      <c r="T425" s="206"/>
    </row>
    <row r="426">
      <c r="C426" s="189" t="e">
        <v>#N/A</v>
      </c>
      <c r="D426" s="189" t="e">
        <v>#N/A</v>
      </c>
      <c r="E426" s="189" t="e">
        <v>#N/A</v>
      </c>
      <c r="F426" s="189" t="e">
        <v>#N/A</v>
      </c>
      <c r="G426" s="189" t="e">
        <v>#N/A</v>
      </c>
      <c r="H426" s="189" t="e">
        <v>#N/A</v>
      </c>
      <c r="I426" s="189" t="e">
        <v>#N/A</v>
      </c>
      <c r="J426" s="189" t="e">
        <v>#N/A</v>
      </c>
      <c r="K426" s="204" t="e">
        <v>#N/A</v>
      </c>
      <c r="L426" s="204" t="e">
        <v>#N/A</v>
      </c>
      <c r="M426" s="205" t="e">
        <v>#N/A</v>
      </c>
      <c r="N426" s="205" t="e">
        <v>#N/A</v>
      </c>
      <c r="O426" s="205" t="e">
        <v>#N/A</v>
      </c>
      <c r="P426" s="205" t="e">
        <v>#N/A</v>
      </c>
      <c r="Q426" s="189" t="e">
        <v>#N/A</v>
      </c>
      <c r="R426" s="189" t="e">
        <v>#N/A</v>
      </c>
      <c r="S426" s="205" t="e">
        <v>#N/A</v>
      </c>
      <c r="T426" s="206"/>
    </row>
    <row r="427">
      <c r="C427" s="189" t="e">
        <v>#N/A</v>
      </c>
      <c r="D427" s="189" t="e">
        <v>#N/A</v>
      </c>
      <c r="E427" s="189" t="e">
        <v>#N/A</v>
      </c>
      <c r="F427" s="189" t="e">
        <v>#N/A</v>
      </c>
      <c r="G427" s="189" t="e">
        <v>#N/A</v>
      </c>
      <c r="H427" s="189" t="e">
        <v>#N/A</v>
      </c>
      <c r="I427" s="189" t="e">
        <v>#N/A</v>
      </c>
      <c r="J427" s="189" t="e">
        <v>#N/A</v>
      </c>
      <c r="K427" s="204" t="e">
        <v>#N/A</v>
      </c>
      <c r="L427" s="204" t="e">
        <v>#N/A</v>
      </c>
      <c r="M427" s="205" t="e">
        <v>#N/A</v>
      </c>
      <c r="N427" s="205" t="e">
        <v>#N/A</v>
      </c>
      <c r="O427" s="205" t="e">
        <v>#N/A</v>
      </c>
      <c r="P427" s="205" t="e">
        <v>#N/A</v>
      </c>
      <c r="Q427" s="189" t="e">
        <v>#N/A</v>
      </c>
      <c r="R427" s="189" t="e">
        <v>#N/A</v>
      </c>
      <c r="S427" s="205" t="e">
        <v>#N/A</v>
      </c>
      <c r="T427" s="206"/>
    </row>
    <row r="428">
      <c r="C428" s="189" t="e">
        <v>#N/A</v>
      </c>
      <c r="D428" s="189" t="e">
        <v>#N/A</v>
      </c>
      <c r="E428" s="189" t="e">
        <v>#N/A</v>
      </c>
      <c r="F428" s="189" t="e">
        <v>#N/A</v>
      </c>
      <c r="G428" s="189" t="e">
        <v>#N/A</v>
      </c>
      <c r="H428" s="189" t="e">
        <v>#N/A</v>
      </c>
      <c r="I428" s="189" t="e">
        <v>#N/A</v>
      </c>
      <c r="J428" s="189" t="e">
        <v>#N/A</v>
      </c>
      <c r="K428" s="204" t="e">
        <v>#N/A</v>
      </c>
      <c r="L428" s="204" t="e">
        <v>#N/A</v>
      </c>
      <c r="M428" s="205" t="e">
        <v>#N/A</v>
      </c>
      <c r="N428" s="205" t="e">
        <v>#N/A</v>
      </c>
      <c r="O428" s="205" t="e">
        <v>#N/A</v>
      </c>
      <c r="P428" s="205" t="e">
        <v>#N/A</v>
      </c>
      <c r="Q428" s="189" t="e">
        <v>#N/A</v>
      </c>
      <c r="R428" s="189" t="e">
        <v>#N/A</v>
      </c>
      <c r="S428" s="205" t="e">
        <v>#N/A</v>
      </c>
      <c r="T428" s="206"/>
    </row>
    <row r="429">
      <c r="C429" s="189" t="e">
        <v>#N/A</v>
      </c>
      <c r="D429" s="189" t="e">
        <v>#N/A</v>
      </c>
      <c r="E429" s="189" t="e">
        <v>#N/A</v>
      </c>
      <c r="F429" s="189" t="e">
        <v>#N/A</v>
      </c>
      <c r="G429" s="189" t="e">
        <v>#N/A</v>
      </c>
      <c r="H429" s="189" t="e">
        <v>#N/A</v>
      </c>
      <c r="I429" s="189" t="e">
        <v>#N/A</v>
      </c>
      <c r="J429" s="189" t="e">
        <v>#N/A</v>
      </c>
      <c r="K429" s="204" t="e">
        <v>#N/A</v>
      </c>
      <c r="L429" s="204" t="e">
        <v>#N/A</v>
      </c>
      <c r="M429" s="205" t="e">
        <v>#N/A</v>
      </c>
      <c r="N429" s="205" t="e">
        <v>#N/A</v>
      </c>
      <c r="O429" s="205" t="e">
        <v>#N/A</v>
      </c>
      <c r="P429" s="205" t="e">
        <v>#N/A</v>
      </c>
      <c r="Q429" s="189" t="e">
        <v>#N/A</v>
      </c>
      <c r="R429" s="189" t="e">
        <v>#N/A</v>
      </c>
      <c r="S429" s="205" t="e">
        <v>#N/A</v>
      </c>
      <c r="T429" s="206"/>
    </row>
    <row r="430">
      <c r="C430" s="189" t="e">
        <v>#N/A</v>
      </c>
      <c r="D430" s="189" t="e">
        <v>#N/A</v>
      </c>
      <c r="E430" s="189" t="e">
        <v>#N/A</v>
      </c>
      <c r="F430" s="189" t="e">
        <v>#N/A</v>
      </c>
      <c r="G430" s="189" t="e">
        <v>#N/A</v>
      </c>
      <c r="H430" s="189" t="e">
        <v>#N/A</v>
      </c>
      <c r="I430" s="189" t="e">
        <v>#N/A</v>
      </c>
      <c r="J430" s="189" t="e">
        <v>#N/A</v>
      </c>
      <c r="K430" s="204" t="e">
        <v>#N/A</v>
      </c>
      <c r="L430" s="204" t="e">
        <v>#N/A</v>
      </c>
      <c r="M430" s="205" t="e">
        <v>#N/A</v>
      </c>
      <c r="N430" s="205" t="e">
        <v>#N/A</v>
      </c>
      <c r="O430" s="205" t="e">
        <v>#N/A</v>
      </c>
      <c r="P430" s="205" t="e">
        <v>#N/A</v>
      </c>
      <c r="Q430" s="189" t="e">
        <v>#N/A</v>
      </c>
      <c r="R430" s="189" t="e">
        <v>#N/A</v>
      </c>
      <c r="S430" s="205" t="e">
        <v>#N/A</v>
      </c>
      <c r="T430" s="206"/>
    </row>
    <row r="431">
      <c r="C431" s="189" t="e">
        <v>#N/A</v>
      </c>
      <c r="D431" s="189" t="e">
        <v>#N/A</v>
      </c>
      <c r="E431" s="189" t="e">
        <v>#N/A</v>
      </c>
      <c r="F431" s="189" t="e">
        <v>#N/A</v>
      </c>
      <c r="G431" s="189" t="e">
        <v>#N/A</v>
      </c>
      <c r="H431" s="189" t="e">
        <v>#N/A</v>
      </c>
      <c r="I431" s="189" t="e">
        <v>#N/A</v>
      </c>
      <c r="J431" s="189" t="e">
        <v>#N/A</v>
      </c>
      <c r="K431" s="204" t="e">
        <v>#N/A</v>
      </c>
      <c r="L431" s="204" t="e">
        <v>#N/A</v>
      </c>
      <c r="M431" s="205" t="e">
        <v>#N/A</v>
      </c>
      <c r="N431" s="205" t="e">
        <v>#N/A</v>
      </c>
      <c r="O431" s="205" t="e">
        <v>#N/A</v>
      </c>
      <c r="P431" s="205" t="e">
        <v>#N/A</v>
      </c>
      <c r="Q431" s="189" t="e">
        <v>#N/A</v>
      </c>
      <c r="R431" s="189" t="e">
        <v>#N/A</v>
      </c>
      <c r="S431" s="205" t="e">
        <v>#N/A</v>
      </c>
      <c r="T431" s="206"/>
    </row>
    <row r="432">
      <c r="C432" s="189" t="e">
        <v>#N/A</v>
      </c>
      <c r="D432" s="189" t="e">
        <v>#N/A</v>
      </c>
      <c r="E432" s="189" t="e">
        <v>#N/A</v>
      </c>
      <c r="F432" s="189" t="e">
        <v>#N/A</v>
      </c>
      <c r="G432" s="189" t="e">
        <v>#N/A</v>
      </c>
      <c r="H432" s="189" t="e">
        <v>#N/A</v>
      </c>
      <c r="I432" s="189" t="e">
        <v>#N/A</v>
      </c>
      <c r="J432" s="189" t="e">
        <v>#N/A</v>
      </c>
      <c r="K432" s="204" t="e">
        <v>#N/A</v>
      </c>
      <c r="L432" s="204" t="e">
        <v>#N/A</v>
      </c>
      <c r="M432" s="205" t="e">
        <v>#N/A</v>
      </c>
      <c r="N432" s="205" t="e">
        <v>#N/A</v>
      </c>
      <c r="O432" s="205" t="e">
        <v>#N/A</v>
      </c>
      <c r="P432" s="205" t="e">
        <v>#N/A</v>
      </c>
      <c r="Q432" s="189" t="e">
        <v>#N/A</v>
      </c>
      <c r="R432" s="189" t="e">
        <v>#N/A</v>
      </c>
      <c r="S432" s="205" t="e">
        <v>#N/A</v>
      </c>
      <c r="T432" s="206"/>
    </row>
    <row r="433">
      <c r="C433" s="189" t="e">
        <v>#N/A</v>
      </c>
      <c r="D433" s="189" t="e">
        <v>#N/A</v>
      </c>
      <c r="E433" s="189" t="e">
        <v>#N/A</v>
      </c>
      <c r="F433" s="189" t="e">
        <v>#N/A</v>
      </c>
      <c r="G433" s="189" t="e">
        <v>#N/A</v>
      </c>
      <c r="H433" s="189" t="e">
        <v>#N/A</v>
      </c>
      <c r="I433" s="189" t="e">
        <v>#N/A</v>
      </c>
      <c r="J433" s="189" t="e">
        <v>#N/A</v>
      </c>
      <c r="K433" s="204" t="e">
        <v>#N/A</v>
      </c>
      <c r="L433" s="204" t="e">
        <v>#N/A</v>
      </c>
      <c r="M433" s="205" t="e">
        <v>#N/A</v>
      </c>
      <c r="N433" s="205" t="e">
        <v>#N/A</v>
      </c>
      <c r="O433" s="205" t="e">
        <v>#N/A</v>
      </c>
      <c r="P433" s="205" t="e">
        <v>#N/A</v>
      </c>
      <c r="Q433" s="189" t="e">
        <v>#N/A</v>
      </c>
      <c r="R433" s="189" t="e">
        <v>#N/A</v>
      </c>
      <c r="S433" s="205" t="e">
        <v>#N/A</v>
      </c>
      <c r="T433" s="206"/>
    </row>
    <row r="434">
      <c r="C434" s="189" t="e">
        <v>#N/A</v>
      </c>
      <c r="D434" s="189" t="e">
        <v>#N/A</v>
      </c>
      <c r="E434" s="189" t="e">
        <v>#N/A</v>
      </c>
      <c r="F434" s="189" t="e">
        <v>#N/A</v>
      </c>
      <c r="G434" s="189" t="e">
        <v>#N/A</v>
      </c>
      <c r="H434" s="189" t="e">
        <v>#N/A</v>
      </c>
      <c r="I434" s="189" t="e">
        <v>#N/A</v>
      </c>
      <c r="J434" s="189" t="e">
        <v>#N/A</v>
      </c>
      <c r="K434" s="204" t="e">
        <v>#N/A</v>
      </c>
      <c r="L434" s="204" t="e">
        <v>#N/A</v>
      </c>
      <c r="M434" s="205" t="e">
        <v>#N/A</v>
      </c>
      <c r="N434" s="205" t="e">
        <v>#N/A</v>
      </c>
      <c r="O434" s="205" t="e">
        <v>#N/A</v>
      </c>
      <c r="P434" s="205" t="e">
        <v>#N/A</v>
      </c>
      <c r="Q434" s="189" t="e">
        <v>#N/A</v>
      </c>
      <c r="R434" s="189" t="e">
        <v>#N/A</v>
      </c>
      <c r="S434" s="205" t="e">
        <v>#N/A</v>
      </c>
      <c r="T434" s="206"/>
    </row>
    <row r="435">
      <c r="C435" s="189" t="e">
        <v>#N/A</v>
      </c>
      <c r="D435" s="189" t="e">
        <v>#N/A</v>
      </c>
      <c r="E435" s="189" t="e">
        <v>#N/A</v>
      </c>
      <c r="F435" s="189" t="e">
        <v>#N/A</v>
      </c>
      <c r="G435" s="189" t="e">
        <v>#N/A</v>
      </c>
      <c r="H435" s="189" t="e">
        <v>#N/A</v>
      </c>
      <c r="I435" s="189" t="e">
        <v>#N/A</v>
      </c>
      <c r="J435" s="189" t="e">
        <v>#N/A</v>
      </c>
      <c r="K435" s="204" t="e">
        <v>#N/A</v>
      </c>
      <c r="L435" s="204" t="e">
        <v>#N/A</v>
      </c>
      <c r="M435" s="205" t="e">
        <v>#N/A</v>
      </c>
      <c r="N435" s="205" t="e">
        <v>#N/A</v>
      </c>
      <c r="O435" s="205" t="e">
        <v>#N/A</v>
      </c>
      <c r="P435" s="205" t="e">
        <v>#N/A</v>
      </c>
      <c r="Q435" s="189" t="e">
        <v>#N/A</v>
      </c>
      <c r="R435" s="189" t="e">
        <v>#N/A</v>
      </c>
      <c r="S435" s="205" t="e">
        <v>#N/A</v>
      </c>
      <c r="T435" s="206"/>
    </row>
    <row r="436">
      <c r="C436" s="189" t="e">
        <v>#N/A</v>
      </c>
      <c r="D436" s="189" t="e">
        <v>#N/A</v>
      </c>
      <c r="E436" s="189" t="e">
        <v>#N/A</v>
      </c>
      <c r="F436" s="189" t="e">
        <v>#N/A</v>
      </c>
      <c r="G436" s="189" t="e">
        <v>#N/A</v>
      </c>
      <c r="H436" s="189" t="e">
        <v>#N/A</v>
      </c>
      <c r="I436" s="189" t="e">
        <v>#N/A</v>
      </c>
      <c r="J436" s="189" t="e">
        <v>#N/A</v>
      </c>
      <c r="K436" s="204" t="e">
        <v>#N/A</v>
      </c>
      <c r="L436" s="204" t="e">
        <v>#N/A</v>
      </c>
      <c r="M436" s="205" t="e">
        <v>#N/A</v>
      </c>
      <c r="N436" s="205" t="e">
        <v>#N/A</v>
      </c>
      <c r="O436" s="205" t="e">
        <v>#N/A</v>
      </c>
      <c r="P436" s="205" t="e">
        <v>#N/A</v>
      </c>
      <c r="Q436" s="189" t="e">
        <v>#N/A</v>
      </c>
      <c r="R436" s="189" t="e">
        <v>#N/A</v>
      </c>
      <c r="S436" s="205" t="e">
        <v>#N/A</v>
      </c>
      <c r="T436" s="206"/>
    </row>
    <row r="437">
      <c r="C437" s="189" t="e">
        <v>#N/A</v>
      </c>
      <c r="D437" s="189" t="e">
        <v>#N/A</v>
      </c>
      <c r="E437" s="189" t="e">
        <v>#N/A</v>
      </c>
      <c r="F437" s="189" t="e">
        <v>#N/A</v>
      </c>
      <c r="G437" s="189" t="e">
        <v>#N/A</v>
      </c>
      <c r="H437" s="189" t="e">
        <v>#N/A</v>
      </c>
      <c r="I437" s="189" t="e">
        <v>#N/A</v>
      </c>
      <c r="J437" s="189" t="e">
        <v>#N/A</v>
      </c>
      <c r="K437" s="204" t="e">
        <v>#N/A</v>
      </c>
      <c r="L437" s="204" t="e">
        <v>#N/A</v>
      </c>
      <c r="M437" s="205" t="e">
        <v>#N/A</v>
      </c>
      <c r="N437" s="205" t="e">
        <v>#N/A</v>
      </c>
      <c r="O437" s="205" t="e">
        <v>#N/A</v>
      </c>
      <c r="P437" s="205" t="e">
        <v>#N/A</v>
      </c>
      <c r="Q437" s="189" t="e">
        <v>#N/A</v>
      </c>
      <c r="R437" s="189" t="e">
        <v>#N/A</v>
      </c>
      <c r="S437" s="205" t="e">
        <v>#N/A</v>
      </c>
      <c r="T437" s="206"/>
    </row>
    <row r="438">
      <c r="C438" s="189" t="e">
        <v>#N/A</v>
      </c>
      <c r="D438" s="189" t="e">
        <v>#N/A</v>
      </c>
      <c r="E438" s="189" t="e">
        <v>#N/A</v>
      </c>
      <c r="F438" s="189" t="e">
        <v>#N/A</v>
      </c>
      <c r="G438" s="189" t="e">
        <v>#N/A</v>
      </c>
      <c r="H438" s="189" t="e">
        <v>#N/A</v>
      </c>
      <c r="I438" s="189" t="e">
        <v>#N/A</v>
      </c>
      <c r="J438" s="189" t="e">
        <v>#N/A</v>
      </c>
      <c r="K438" s="204" t="e">
        <v>#N/A</v>
      </c>
      <c r="L438" s="204" t="e">
        <v>#N/A</v>
      </c>
      <c r="M438" s="205" t="e">
        <v>#N/A</v>
      </c>
      <c r="N438" s="205" t="e">
        <v>#N/A</v>
      </c>
      <c r="O438" s="205" t="e">
        <v>#N/A</v>
      </c>
      <c r="P438" s="205" t="e">
        <v>#N/A</v>
      </c>
      <c r="Q438" s="189" t="e">
        <v>#N/A</v>
      </c>
      <c r="R438" s="189" t="e">
        <v>#N/A</v>
      </c>
      <c r="S438" s="205" t="e">
        <v>#N/A</v>
      </c>
      <c r="T438" s="206"/>
    </row>
    <row r="439">
      <c r="C439" s="189" t="e">
        <v>#N/A</v>
      </c>
      <c r="D439" s="189" t="e">
        <v>#N/A</v>
      </c>
      <c r="E439" s="189" t="e">
        <v>#N/A</v>
      </c>
      <c r="F439" s="189" t="e">
        <v>#N/A</v>
      </c>
      <c r="G439" s="189" t="e">
        <v>#N/A</v>
      </c>
      <c r="H439" s="189" t="e">
        <v>#N/A</v>
      </c>
      <c r="I439" s="189" t="e">
        <v>#N/A</v>
      </c>
      <c r="J439" s="189" t="e">
        <v>#N/A</v>
      </c>
      <c r="K439" s="204" t="e">
        <v>#N/A</v>
      </c>
      <c r="L439" s="204" t="e">
        <v>#N/A</v>
      </c>
      <c r="M439" s="205" t="e">
        <v>#N/A</v>
      </c>
      <c r="N439" s="205" t="e">
        <v>#N/A</v>
      </c>
      <c r="O439" s="205" t="e">
        <v>#N/A</v>
      </c>
      <c r="P439" s="205" t="e">
        <v>#N/A</v>
      </c>
      <c r="Q439" s="189" t="e">
        <v>#N/A</v>
      </c>
      <c r="R439" s="189" t="e">
        <v>#N/A</v>
      </c>
      <c r="S439" s="205" t="e">
        <v>#N/A</v>
      </c>
      <c r="T439" s="206"/>
    </row>
    <row r="440">
      <c r="C440" s="189" t="e">
        <v>#N/A</v>
      </c>
      <c r="D440" s="189" t="e">
        <v>#N/A</v>
      </c>
      <c r="E440" s="189" t="e">
        <v>#N/A</v>
      </c>
      <c r="F440" s="189" t="e">
        <v>#N/A</v>
      </c>
      <c r="G440" s="189" t="e">
        <v>#N/A</v>
      </c>
      <c r="H440" s="189" t="e">
        <v>#N/A</v>
      </c>
      <c r="I440" s="189" t="e">
        <v>#N/A</v>
      </c>
      <c r="J440" s="189" t="e">
        <v>#N/A</v>
      </c>
      <c r="K440" s="204" t="e">
        <v>#N/A</v>
      </c>
      <c r="L440" s="204" t="e">
        <v>#N/A</v>
      </c>
      <c r="M440" s="205" t="e">
        <v>#N/A</v>
      </c>
      <c r="N440" s="205" t="e">
        <v>#N/A</v>
      </c>
      <c r="O440" s="205" t="e">
        <v>#N/A</v>
      </c>
      <c r="P440" s="205" t="e">
        <v>#N/A</v>
      </c>
      <c r="Q440" s="189" t="e">
        <v>#N/A</v>
      </c>
      <c r="R440" s="189" t="e">
        <v>#N/A</v>
      </c>
      <c r="S440" s="205" t="e">
        <v>#N/A</v>
      </c>
      <c r="T440" s="206"/>
    </row>
    <row r="441">
      <c r="C441" s="189" t="e">
        <v>#N/A</v>
      </c>
      <c r="D441" s="189" t="e">
        <v>#N/A</v>
      </c>
      <c r="E441" s="189" t="e">
        <v>#N/A</v>
      </c>
      <c r="F441" s="189" t="e">
        <v>#N/A</v>
      </c>
      <c r="G441" s="189" t="e">
        <v>#N/A</v>
      </c>
      <c r="H441" s="189" t="e">
        <v>#N/A</v>
      </c>
      <c r="I441" s="189" t="e">
        <v>#N/A</v>
      </c>
      <c r="J441" s="189" t="e">
        <v>#N/A</v>
      </c>
      <c r="K441" s="204" t="e">
        <v>#N/A</v>
      </c>
      <c r="L441" s="204" t="e">
        <v>#N/A</v>
      </c>
      <c r="M441" s="205" t="e">
        <v>#N/A</v>
      </c>
      <c r="N441" s="205" t="e">
        <v>#N/A</v>
      </c>
      <c r="O441" s="205" t="e">
        <v>#N/A</v>
      </c>
      <c r="P441" s="205" t="e">
        <v>#N/A</v>
      </c>
      <c r="Q441" s="189" t="e">
        <v>#N/A</v>
      </c>
      <c r="R441" s="189" t="e">
        <v>#N/A</v>
      </c>
      <c r="S441" s="205" t="e">
        <v>#N/A</v>
      </c>
      <c r="T441" s="206"/>
    </row>
    <row r="442">
      <c r="C442" s="189" t="e">
        <v>#N/A</v>
      </c>
      <c r="D442" s="189" t="e">
        <v>#N/A</v>
      </c>
      <c r="E442" s="189" t="e">
        <v>#N/A</v>
      </c>
      <c r="F442" s="189" t="e">
        <v>#N/A</v>
      </c>
      <c r="G442" s="189" t="e">
        <v>#N/A</v>
      </c>
      <c r="H442" s="189" t="e">
        <v>#N/A</v>
      </c>
      <c r="I442" s="189" t="e">
        <v>#N/A</v>
      </c>
      <c r="J442" s="189" t="e">
        <v>#N/A</v>
      </c>
      <c r="K442" s="204" t="e">
        <v>#N/A</v>
      </c>
      <c r="L442" s="204" t="e">
        <v>#N/A</v>
      </c>
      <c r="M442" s="205" t="e">
        <v>#N/A</v>
      </c>
      <c r="N442" s="205" t="e">
        <v>#N/A</v>
      </c>
      <c r="O442" s="205" t="e">
        <v>#N/A</v>
      </c>
      <c r="P442" s="205" t="e">
        <v>#N/A</v>
      </c>
      <c r="Q442" s="189" t="e">
        <v>#N/A</v>
      </c>
      <c r="R442" s="189" t="e">
        <v>#N/A</v>
      </c>
      <c r="S442" s="205" t="e">
        <v>#N/A</v>
      </c>
      <c r="T442" s="206"/>
    </row>
    <row r="443">
      <c r="C443" s="189" t="e">
        <v>#N/A</v>
      </c>
      <c r="D443" s="189" t="e">
        <v>#N/A</v>
      </c>
      <c r="E443" s="189" t="e">
        <v>#N/A</v>
      </c>
      <c r="F443" s="189" t="e">
        <v>#N/A</v>
      </c>
      <c r="G443" s="189" t="e">
        <v>#N/A</v>
      </c>
      <c r="H443" s="189" t="e">
        <v>#N/A</v>
      </c>
      <c r="I443" s="189" t="e">
        <v>#N/A</v>
      </c>
      <c r="J443" s="189" t="e">
        <v>#N/A</v>
      </c>
      <c r="K443" s="204" t="e">
        <v>#N/A</v>
      </c>
      <c r="L443" s="204" t="e">
        <v>#N/A</v>
      </c>
      <c r="M443" s="205" t="e">
        <v>#N/A</v>
      </c>
      <c r="N443" s="205" t="e">
        <v>#N/A</v>
      </c>
      <c r="O443" s="205" t="e">
        <v>#N/A</v>
      </c>
      <c r="P443" s="205" t="e">
        <v>#N/A</v>
      </c>
      <c r="Q443" s="189" t="e">
        <v>#N/A</v>
      </c>
      <c r="R443" s="189" t="e">
        <v>#N/A</v>
      </c>
      <c r="S443" s="205" t="e">
        <v>#N/A</v>
      </c>
      <c r="T443" s="206"/>
    </row>
    <row r="444">
      <c r="C444" s="189" t="e">
        <v>#N/A</v>
      </c>
      <c r="D444" s="189" t="e">
        <v>#N/A</v>
      </c>
      <c r="E444" s="189" t="e">
        <v>#N/A</v>
      </c>
      <c r="F444" s="189" t="e">
        <v>#N/A</v>
      </c>
      <c r="G444" s="189" t="e">
        <v>#N/A</v>
      </c>
      <c r="H444" s="189" t="e">
        <v>#N/A</v>
      </c>
      <c r="I444" s="189" t="e">
        <v>#N/A</v>
      </c>
      <c r="J444" s="189" t="e">
        <v>#N/A</v>
      </c>
      <c r="K444" s="204" t="e">
        <v>#N/A</v>
      </c>
      <c r="L444" s="204" t="e">
        <v>#N/A</v>
      </c>
      <c r="M444" s="205" t="e">
        <v>#N/A</v>
      </c>
      <c r="N444" s="205" t="e">
        <v>#N/A</v>
      </c>
      <c r="O444" s="205" t="e">
        <v>#N/A</v>
      </c>
      <c r="P444" s="205" t="e">
        <v>#N/A</v>
      </c>
      <c r="Q444" s="189" t="e">
        <v>#N/A</v>
      </c>
      <c r="R444" s="189" t="e">
        <v>#N/A</v>
      </c>
      <c r="S444" s="205" t="e">
        <v>#N/A</v>
      </c>
      <c r="T444" s="206"/>
    </row>
    <row r="445">
      <c r="C445" s="189" t="e">
        <v>#N/A</v>
      </c>
      <c r="D445" s="189" t="e">
        <v>#N/A</v>
      </c>
      <c r="E445" s="189" t="e">
        <v>#N/A</v>
      </c>
      <c r="F445" s="189" t="e">
        <v>#N/A</v>
      </c>
      <c r="G445" s="189" t="e">
        <v>#N/A</v>
      </c>
      <c r="H445" s="189" t="e">
        <v>#N/A</v>
      </c>
      <c r="I445" s="189" t="e">
        <v>#N/A</v>
      </c>
      <c r="J445" s="189" t="e">
        <v>#N/A</v>
      </c>
      <c r="K445" s="204" t="e">
        <v>#N/A</v>
      </c>
      <c r="L445" s="204" t="e">
        <v>#N/A</v>
      </c>
      <c r="M445" s="205" t="e">
        <v>#N/A</v>
      </c>
      <c r="N445" s="205" t="e">
        <v>#N/A</v>
      </c>
      <c r="O445" s="205" t="e">
        <v>#N/A</v>
      </c>
      <c r="P445" s="205" t="e">
        <v>#N/A</v>
      </c>
      <c r="Q445" s="189" t="e">
        <v>#N/A</v>
      </c>
      <c r="R445" s="189" t="e">
        <v>#N/A</v>
      </c>
      <c r="S445" s="205" t="e">
        <v>#N/A</v>
      </c>
      <c r="T445" s="206"/>
    </row>
    <row r="446">
      <c r="C446" s="189" t="e">
        <v>#N/A</v>
      </c>
      <c r="D446" s="189" t="e">
        <v>#N/A</v>
      </c>
      <c r="E446" s="189" t="e">
        <v>#N/A</v>
      </c>
      <c r="F446" s="189" t="e">
        <v>#N/A</v>
      </c>
      <c r="G446" s="189" t="e">
        <v>#N/A</v>
      </c>
      <c r="H446" s="189" t="e">
        <v>#N/A</v>
      </c>
      <c r="I446" s="189" t="e">
        <v>#N/A</v>
      </c>
      <c r="J446" s="189" t="e">
        <v>#N/A</v>
      </c>
      <c r="K446" s="204" t="e">
        <v>#N/A</v>
      </c>
      <c r="L446" s="204" t="e">
        <v>#N/A</v>
      </c>
      <c r="M446" s="205" t="e">
        <v>#N/A</v>
      </c>
      <c r="N446" s="205" t="e">
        <v>#N/A</v>
      </c>
      <c r="O446" s="205" t="e">
        <v>#N/A</v>
      </c>
      <c r="P446" s="205" t="e">
        <v>#N/A</v>
      </c>
      <c r="Q446" s="189" t="e">
        <v>#N/A</v>
      </c>
      <c r="R446" s="189" t="e">
        <v>#N/A</v>
      </c>
      <c r="S446" s="205" t="e">
        <v>#N/A</v>
      </c>
      <c r="T446" s="206"/>
    </row>
    <row r="447">
      <c r="C447" s="189" t="e">
        <v>#N/A</v>
      </c>
      <c r="D447" s="189" t="e">
        <v>#N/A</v>
      </c>
      <c r="E447" s="189" t="e">
        <v>#N/A</v>
      </c>
      <c r="F447" s="189" t="e">
        <v>#N/A</v>
      </c>
      <c r="G447" s="189" t="e">
        <v>#N/A</v>
      </c>
      <c r="H447" s="189" t="e">
        <v>#N/A</v>
      </c>
      <c r="I447" s="189" t="e">
        <v>#N/A</v>
      </c>
      <c r="J447" s="189" t="e">
        <v>#N/A</v>
      </c>
      <c r="K447" s="204" t="e">
        <v>#N/A</v>
      </c>
      <c r="L447" s="204" t="e">
        <v>#N/A</v>
      </c>
      <c r="M447" s="205" t="e">
        <v>#N/A</v>
      </c>
      <c r="N447" s="205" t="e">
        <v>#N/A</v>
      </c>
      <c r="O447" s="205" t="e">
        <v>#N/A</v>
      </c>
      <c r="P447" s="205" t="e">
        <v>#N/A</v>
      </c>
      <c r="Q447" s="189" t="e">
        <v>#N/A</v>
      </c>
      <c r="R447" s="189" t="e">
        <v>#N/A</v>
      </c>
      <c r="S447" s="205" t="e">
        <v>#N/A</v>
      </c>
      <c r="T447" s="206"/>
    </row>
    <row r="448">
      <c r="C448" s="189" t="e">
        <v>#N/A</v>
      </c>
      <c r="D448" s="189" t="e">
        <v>#N/A</v>
      </c>
      <c r="E448" s="189" t="e">
        <v>#N/A</v>
      </c>
      <c r="F448" s="189" t="e">
        <v>#N/A</v>
      </c>
      <c r="G448" s="189" t="e">
        <v>#N/A</v>
      </c>
      <c r="H448" s="189" t="e">
        <v>#N/A</v>
      </c>
      <c r="I448" s="189" t="e">
        <v>#N/A</v>
      </c>
      <c r="J448" s="189" t="e">
        <v>#N/A</v>
      </c>
      <c r="K448" s="204" t="e">
        <v>#N/A</v>
      </c>
      <c r="L448" s="204" t="e">
        <v>#N/A</v>
      </c>
      <c r="M448" s="205" t="e">
        <v>#N/A</v>
      </c>
      <c r="N448" s="205" t="e">
        <v>#N/A</v>
      </c>
      <c r="O448" s="205" t="e">
        <v>#N/A</v>
      </c>
      <c r="P448" s="205" t="e">
        <v>#N/A</v>
      </c>
      <c r="Q448" s="189" t="e">
        <v>#N/A</v>
      </c>
      <c r="R448" s="189" t="e">
        <v>#N/A</v>
      </c>
      <c r="S448" s="205" t="e">
        <v>#N/A</v>
      </c>
      <c r="T448" s="206"/>
    </row>
    <row r="449">
      <c r="C449" s="189" t="e">
        <v>#N/A</v>
      </c>
      <c r="D449" s="189" t="e">
        <v>#N/A</v>
      </c>
      <c r="E449" s="189" t="e">
        <v>#N/A</v>
      </c>
      <c r="F449" s="189" t="e">
        <v>#N/A</v>
      </c>
      <c r="G449" s="189" t="e">
        <v>#N/A</v>
      </c>
      <c r="H449" s="189" t="e">
        <v>#N/A</v>
      </c>
      <c r="I449" s="189" t="e">
        <v>#N/A</v>
      </c>
      <c r="J449" s="189" t="e">
        <v>#N/A</v>
      </c>
      <c r="K449" s="204" t="e">
        <v>#N/A</v>
      </c>
      <c r="L449" s="204" t="e">
        <v>#N/A</v>
      </c>
      <c r="M449" s="205" t="e">
        <v>#N/A</v>
      </c>
      <c r="N449" s="205" t="e">
        <v>#N/A</v>
      </c>
      <c r="O449" s="205" t="e">
        <v>#N/A</v>
      </c>
      <c r="P449" s="205" t="e">
        <v>#N/A</v>
      </c>
      <c r="Q449" s="189" t="e">
        <v>#N/A</v>
      </c>
      <c r="R449" s="189" t="e">
        <v>#N/A</v>
      </c>
      <c r="S449" s="205" t="e">
        <v>#N/A</v>
      </c>
      <c r="T449" s="206"/>
    </row>
    <row r="450">
      <c r="C450" s="189" t="e">
        <v>#N/A</v>
      </c>
      <c r="D450" s="189" t="e">
        <v>#N/A</v>
      </c>
      <c r="E450" s="189" t="e">
        <v>#N/A</v>
      </c>
      <c r="F450" s="189" t="e">
        <v>#N/A</v>
      </c>
      <c r="G450" s="189" t="e">
        <v>#N/A</v>
      </c>
      <c r="H450" s="189" t="e">
        <v>#N/A</v>
      </c>
      <c r="I450" s="189" t="e">
        <v>#N/A</v>
      </c>
      <c r="J450" s="189" t="e">
        <v>#N/A</v>
      </c>
      <c r="K450" s="204" t="e">
        <v>#N/A</v>
      </c>
      <c r="L450" s="204" t="e">
        <v>#N/A</v>
      </c>
      <c r="M450" s="205" t="e">
        <v>#N/A</v>
      </c>
      <c r="N450" s="205" t="e">
        <v>#N/A</v>
      </c>
      <c r="O450" s="205" t="e">
        <v>#N/A</v>
      </c>
      <c r="P450" s="205" t="e">
        <v>#N/A</v>
      </c>
      <c r="Q450" s="189" t="e">
        <v>#N/A</v>
      </c>
      <c r="R450" s="189" t="e">
        <v>#N/A</v>
      </c>
      <c r="S450" s="205" t="e">
        <v>#N/A</v>
      </c>
      <c r="T450" s="206"/>
    </row>
    <row r="451">
      <c r="C451" s="189" t="e">
        <v>#N/A</v>
      </c>
      <c r="D451" s="189" t="e">
        <v>#N/A</v>
      </c>
      <c r="E451" s="189" t="e">
        <v>#N/A</v>
      </c>
      <c r="F451" s="189" t="e">
        <v>#N/A</v>
      </c>
      <c r="G451" s="189" t="e">
        <v>#N/A</v>
      </c>
      <c r="H451" s="189" t="e">
        <v>#N/A</v>
      </c>
      <c r="I451" s="189" t="e">
        <v>#N/A</v>
      </c>
      <c r="J451" s="189" t="e">
        <v>#N/A</v>
      </c>
      <c r="K451" s="204" t="e">
        <v>#N/A</v>
      </c>
      <c r="L451" s="204" t="e">
        <v>#N/A</v>
      </c>
      <c r="M451" s="205" t="e">
        <v>#N/A</v>
      </c>
      <c r="N451" s="205" t="e">
        <v>#N/A</v>
      </c>
      <c r="O451" s="205" t="e">
        <v>#N/A</v>
      </c>
      <c r="P451" s="205" t="e">
        <v>#N/A</v>
      </c>
      <c r="Q451" s="189" t="e">
        <v>#N/A</v>
      </c>
      <c r="R451" s="189" t="e">
        <v>#N/A</v>
      </c>
      <c r="S451" s="205" t="e">
        <v>#N/A</v>
      </c>
      <c r="T451" s="206"/>
    </row>
    <row r="452">
      <c r="C452" s="189" t="e">
        <v>#N/A</v>
      </c>
      <c r="D452" s="189" t="e">
        <v>#N/A</v>
      </c>
      <c r="E452" s="189" t="e">
        <v>#N/A</v>
      </c>
      <c r="F452" s="189" t="e">
        <v>#N/A</v>
      </c>
      <c r="G452" s="189" t="e">
        <v>#N/A</v>
      </c>
      <c r="H452" s="189" t="e">
        <v>#N/A</v>
      </c>
      <c r="I452" s="189" t="e">
        <v>#N/A</v>
      </c>
      <c r="J452" s="189" t="e">
        <v>#N/A</v>
      </c>
      <c r="K452" s="204" t="e">
        <v>#N/A</v>
      </c>
      <c r="L452" s="204" t="e">
        <v>#N/A</v>
      </c>
      <c r="M452" s="205" t="e">
        <v>#N/A</v>
      </c>
      <c r="N452" s="205" t="e">
        <v>#N/A</v>
      </c>
      <c r="O452" s="205" t="e">
        <v>#N/A</v>
      </c>
      <c r="P452" s="205" t="e">
        <v>#N/A</v>
      </c>
      <c r="Q452" s="189" t="e">
        <v>#N/A</v>
      </c>
      <c r="R452" s="189" t="e">
        <v>#N/A</v>
      </c>
      <c r="S452" s="205" t="e">
        <v>#N/A</v>
      </c>
      <c r="T452" s="206"/>
    </row>
    <row r="453">
      <c r="C453" s="189" t="e">
        <v>#N/A</v>
      </c>
      <c r="D453" s="189" t="e">
        <v>#N/A</v>
      </c>
      <c r="E453" s="189" t="e">
        <v>#N/A</v>
      </c>
      <c r="F453" s="189" t="e">
        <v>#N/A</v>
      </c>
      <c r="G453" s="189" t="e">
        <v>#N/A</v>
      </c>
      <c r="H453" s="189" t="e">
        <v>#N/A</v>
      </c>
      <c r="I453" s="189" t="e">
        <v>#N/A</v>
      </c>
      <c r="J453" s="189" t="e">
        <v>#N/A</v>
      </c>
      <c r="K453" s="204" t="e">
        <v>#N/A</v>
      </c>
      <c r="L453" s="204" t="e">
        <v>#N/A</v>
      </c>
      <c r="M453" s="205" t="e">
        <v>#N/A</v>
      </c>
      <c r="N453" s="205" t="e">
        <v>#N/A</v>
      </c>
      <c r="O453" s="205" t="e">
        <v>#N/A</v>
      </c>
      <c r="P453" s="205" t="e">
        <v>#N/A</v>
      </c>
      <c r="Q453" s="189" t="e">
        <v>#N/A</v>
      </c>
      <c r="R453" s="189" t="e">
        <v>#N/A</v>
      </c>
      <c r="S453" s="205" t="e">
        <v>#N/A</v>
      </c>
      <c r="T453" s="206"/>
    </row>
    <row r="454">
      <c r="C454" s="189" t="e">
        <v>#N/A</v>
      </c>
      <c r="D454" s="189" t="e">
        <v>#N/A</v>
      </c>
      <c r="E454" s="189" t="e">
        <v>#N/A</v>
      </c>
      <c r="F454" s="189" t="e">
        <v>#N/A</v>
      </c>
      <c r="G454" s="189" t="e">
        <v>#N/A</v>
      </c>
      <c r="H454" s="189" t="e">
        <v>#N/A</v>
      </c>
      <c r="I454" s="189" t="e">
        <v>#N/A</v>
      </c>
      <c r="J454" s="189" t="e">
        <v>#N/A</v>
      </c>
      <c r="K454" s="204" t="e">
        <v>#N/A</v>
      </c>
      <c r="L454" s="204" t="e">
        <v>#N/A</v>
      </c>
      <c r="M454" s="205" t="e">
        <v>#N/A</v>
      </c>
      <c r="N454" s="205" t="e">
        <v>#N/A</v>
      </c>
      <c r="O454" s="205" t="e">
        <v>#N/A</v>
      </c>
      <c r="P454" s="205" t="e">
        <v>#N/A</v>
      </c>
      <c r="Q454" s="189" t="e">
        <v>#N/A</v>
      </c>
      <c r="R454" s="189" t="e">
        <v>#N/A</v>
      </c>
      <c r="S454" s="205" t="e">
        <v>#N/A</v>
      </c>
      <c r="T454" s="206"/>
    </row>
    <row r="455">
      <c r="C455" s="189" t="e">
        <v>#N/A</v>
      </c>
      <c r="D455" s="189" t="e">
        <v>#N/A</v>
      </c>
      <c r="E455" s="189" t="e">
        <v>#N/A</v>
      </c>
      <c r="F455" s="189" t="e">
        <v>#N/A</v>
      </c>
      <c r="G455" s="189" t="e">
        <v>#N/A</v>
      </c>
      <c r="H455" s="189" t="e">
        <v>#N/A</v>
      </c>
      <c r="I455" s="189" t="e">
        <v>#N/A</v>
      </c>
      <c r="J455" s="189" t="e">
        <v>#N/A</v>
      </c>
      <c r="K455" s="204" t="e">
        <v>#N/A</v>
      </c>
      <c r="L455" s="204" t="e">
        <v>#N/A</v>
      </c>
      <c r="M455" s="205" t="e">
        <v>#N/A</v>
      </c>
      <c r="N455" s="205" t="e">
        <v>#N/A</v>
      </c>
      <c r="O455" s="205" t="e">
        <v>#N/A</v>
      </c>
      <c r="P455" s="205" t="e">
        <v>#N/A</v>
      </c>
      <c r="Q455" s="189" t="e">
        <v>#N/A</v>
      </c>
      <c r="R455" s="189" t="e">
        <v>#N/A</v>
      </c>
      <c r="S455" s="205" t="e">
        <v>#N/A</v>
      </c>
      <c r="T455" s="206"/>
    </row>
    <row r="456">
      <c r="C456" s="189" t="e">
        <v>#N/A</v>
      </c>
      <c r="D456" s="189" t="e">
        <v>#N/A</v>
      </c>
      <c r="E456" s="189" t="e">
        <v>#N/A</v>
      </c>
      <c r="F456" s="189" t="e">
        <v>#N/A</v>
      </c>
      <c r="G456" s="189" t="e">
        <v>#N/A</v>
      </c>
      <c r="H456" s="189" t="e">
        <v>#N/A</v>
      </c>
      <c r="I456" s="189" t="e">
        <v>#N/A</v>
      </c>
      <c r="J456" s="189" t="e">
        <v>#N/A</v>
      </c>
      <c r="K456" s="204" t="e">
        <v>#N/A</v>
      </c>
      <c r="L456" s="204" t="e">
        <v>#N/A</v>
      </c>
      <c r="M456" s="205" t="e">
        <v>#N/A</v>
      </c>
      <c r="N456" s="205" t="e">
        <v>#N/A</v>
      </c>
      <c r="O456" s="205" t="e">
        <v>#N/A</v>
      </c>
      <c r="P456" s="205" t="e">
        <v>#N/A</v>
      </c>
      <c r="Q456" s="189" t="e">
        <v>#N/A</v>
      </c>
      <c r="R456" s="189" t="e">
        <v>#N/A</v>
      </c>
      <c r="S456" s="205" t="e">
        <v>#N/A</v>
      </c>
      <c r="T456" s="206"/>
    </row>
    <row r="457">
      <c r="C457" s="189" t="e">
        <v>#N/A</v>
      </c>
      <c r="D457" s="189" t="e">
        <v>#N/A</v>
      </c>
      <c r="E457" s="189" t="e">
        <v>#N/A</v>
      </c>
      <c r="F457" s="189" t="e">
        <v>#N/A</v>
      </c>
      <c r="G457" s="189" t="e">
        <v>#N/A</v>
      </c>
      <c r="H457" s="189" t="e">
        <v>#N/A</v>
      </c>
      <c r="I457" s="189" t="e">
        <v>#N/A</v>
      </c>
      <c r="J457" s="189" t="e">
        <v>#N/A</v>
      </c>
      <c r="K457" s="204" t="e">
        <v>#N/A</v>
      </c>
      <c r="L457" s="204" t="e">
        <v>#N/A</v>
      </c>
      <c r="M457" s="205" t="e">
        <v>#N/A</v>
      </c>
      <c r="N457" s="205" t="e">
        <v>#N/A</v>
      </c>
      <c r="O457" s="205" t="e">
        <v>#N/A</v>
      </c>
      <c r="P457" s="205" t="e">
        <v>#N/A</v>
      </c>
      <c r="Q457" s="189" t="e">
        <v>#N/A</v>
      </c>
      <c r="R457" s="189" t="e">
        <v>#N/A</v>
      </c>
      <c r="S457" s="205" t="e">
        <v>#N/A</v>
      </c>
      <c r="T457" s="206"/>
    </row>
    <row r="458">
      <c r="C458" s="189" t="e">
        <v>#N/A</v>
      </c>
      <c r="D458" s="189" t="e">
        <v>#N/A</v>
      </c>
      <c r="E458" s="189" t="e">
        <v>#N/A</v>
      </c>
      <c r="F458" s="189" t="e">
        <v>#N/A</v>
      </c>
      <c r="G458" s="189" t="e">
        <v>#N/A</v>
      </c>
      <c r="H458" s="189" t="e">
        <v>#N/A</v>
      </c>
      <c r="I458" s="189" t="e">
        <v>#N/A</v>
      </c>
      <c r="J458" s="189" t="e">
        <v>#N/A</v>
      </c>
      <c r="K458" s="204" t="e">
        <v>#N/A</v>
      </c>
      <c r="L458" s="204" t="e">
        <v>#N/A</v>
      </c>
      <c r="M458" s="205" t="e">
        <v>#N/A</v>
      </c>
      <c r="N458" s="205" t="e">
        <v>#N/A</v>
      </c>
      <c r="O458" s="205" t="e">
        <v>#N/A</v>
      </c>
      <c r="P458" s="205" t="e">
        <v>#N/A</v>
      </c>
      <c r="Q458" s="189" t="e">
        <v>#N/A</v>
      </c>
      <c r="R458" s="189" t="e">
        <v>#N/A</v>
      </c>
      <c r="S458" s="205" t="e">
        <v>#N/A</v>
      </c>
      <c r="T458" s="206"/>
    </row>
    <row r="459">
      <c r="C459" s="189" t="e">
        <v>#N/A</v>
      </c>
      <c r="D459" s="189" t="e">
        <v>#N/A</v>
      </c>
      <c r="E459" s="189" t="e">
        <v>#N/A</v>
      </c>
      <c r="F459" s="189" t="e">
        <v>#N/A</v>
      </c>
      <c r="G459" s="189" t="e">
        <v>#N/A</v>
      </c>
      <c r="H459" s="189" t="e">
        <v>#N/A</v>
      </c>
      <c r="I459" s="189" t="e">
        <v>#N/A</v>
      </c>
      <c r="J459" s="189" t="e">
        <v>#N/A</v>
      </c>
      <c r="K459" s="204" t="e">
        <v>#N/A</v>
      </c>
      <c r="L459" s="204" t="e">
        <v>#N/A</v>
      </c>
      <c r="M459" s="205" t="e">
        <v>#N/A</v>
      </c>
      <c r="N459" s="205" t="e">
        <v>#N/A</v>
      </c>
      <c r="O459" s="205" t="e">
        <v>#N/A</v>
      </c>
      <c r="P459" s="205" t="e">
        <v>#N/A</v>
      </c>
      <c r="Q459" s="189" t="e">
        <v>#N/A</v>
      </c>
      <c r="R459" s="189" t="e">
        <v>#N/A</v>
      </c>
      <c r="S459" s="205" t="e">
        <v>#N/A</v>
      </c>
      <c r="T459" s="206"/>
    </row>
    <row r="460">
      <c r="C460" s="189" t="e">
        <v>#N/A</v>
      </c>
      <c r="D460" s="189" t="e">
        <v>#N/A</v>
      </c>
      <c r="E460" s="189" t="e">
        <v>#N/A</v>
      </c>
      <c r="F460" s="189" t="e">
        <v>#N/A</v>
      </c>
      <c r="G460" s="189" t="e">
        <v>#N/A</v>
      </c>
      <c r="H460" s="189" t="e">
        <v>#N/A</v>
      </c>
      <c r="I460" s="189" t="e">
        <v>#N/A</v>
      </c>
      <c r="J460" s="189" t="e">
        <v>#N/A</v>
      </c>
      <c r="K460" s="204" t="e">
        <v>#N/A</v>
      </c>
      <c r="L460" s="204" t="e">
        <v>#N/A</v>
      </c>
      <c r="M460" s="205" t="e">
        <v>#N/A</v>
      </c>
      <c r="N460" s="205" t="e">
        <v>#N/A</v>
      </c>
      <c r="O460" s="205" t="e">
        <v>#N/A</v>
      </c>
      <c r="P460" s="205" t="e">
        <v>#N/A</v>
      </c>
      <c r="Q460" s="189" t="e">
        <v>#N/A</v>
      </c>
      <c r="R460" s="189" t="e">
        <v>#N/A</v>
      </c>
      <c r="S460" s="205" t="e">
        <v>#N/A</v>
      </c>
      <c r="T460" s="206"/>
    </row>
    <row r="461">
      <c r="C461" s="189" t="e">
        <v>#N/A</v>
      </c>
      <c r="D461" s="189" t="e">
        <v>#N/A</v>
      </c>
      <c r="E461" s="189" t="e">
        <v>#N/A</v>
      </c>
      <c r="F461" s="189" t="e">
        <v>#N/A</v>
      </c>
      <c r="G461" s="189" t="e">
        <v>#N/A</v>
      </c>
      <c r="H461" s="189" t="e">
        <v>#N/A</v>
      </c>
      <c r="I461" s="189" t="e">
        <v>#N/A</v>
      </c>
      <c r="J461" s="189" t="e">
        <v>#N/A</v>
      </c>
      <c r="K461" s="204" t="e">
        <v>#N/A</v>
      </c>
      <c r="L461" s="204" t="e">
        <v>#N/A</v>
      </c>
      <c r="M461" s="205" t="e">
        <v>#N/A</v>
      </c>
      <c r="N461" s="205" t="e">
        <v>#N/A</v>
      </c>
      <c r="O461" s="205" t="e">
        <v>#N/A</v>
      </c>
      <c r="P461" s="205" t="e">
        <v>#N/A</v>
      </c>
      <c r="Q461" s="189" t="e">
        <v>#N/A</v>
      </c>
      <c r="R461" s="189" t="e">
        <v>#N/A</v>
      </c>
      <c r="S461" s="205" t="e">
        <v>#N/A</v>
      </c>
      <c r="T461" s="206"/>
    </row>
    <row r="462">
      <c r="C462" s="189" t="e">
        <v>#N/A</v>
      </c>
      <c r="D462" s="189" t="e">
        <v>#N/A</v>
      </c>
      <c r="E462" s="189" t="e">
        <v>#N/A</v>
      </c>
      <c r="F462" s="189" t="e">
        <v>#N/A</v>
      </c>
      <c r="G462" s="189" t="e">
        <v>#N/A</v>
      </c>
      <c r="H462" s="189" t="e">
        <v>#N/A</v>
      </c>
      <c r="I462" s="189" t="e">
        <v>#N/A</v>
      </c>
      <c r="J462" s="189" t="e">
        <v>#N/A</v>
      </c>
      <c r="K462" s="204" t="e">
        <v>#N/A</v>
      </c>
      <c r="L462" s="204" t="e">
        <v>#N/A</v>
      </c>
      <c r="M462" s="205" t="e">
        <v>#N/A</v>
      </c>
      <c r="N462" s="205" t="e">
        <v>#N/A</v>
      </c>
      <c r="O462" s="205" t="e">
        <v>#N/A</v>
      </c>
      <c r="P462" s="205" t="e">
        <v>#N/A</v>
      </c>
      <c r="Q462" s="189" t="e">
        <v>#N/A</v>
      </c>
      <c r="R462" s="189" t="e">
        <v>#N/A</v>
      </c>
      <c r="S462" s="205" t="e">
        <v>#N/A</v>
      </c>
      <c r="T462" s="206"/>
    </row>
    <row r="463">
      <c r="C463" s="189" t="e">
        <v>#N/A</v>
      </c>
      <c r="D463" s="189" t="e">
        <v>#N/A</v>
      </c>
      <c r="E463" s="189" t="e">
        <v>#N/A</v>
      </c>
      <c r="F463" s="189" t="e">
        <v>#N/A</v>
      </c>
      <c r="G463" s="189" t="e">
        <v>#N/A</v>
      </c>
      <c r="H463" s="189" t="e">
        <v>#N/A</v>
      </c>
      <c r="I463" s="189" t="e">
        <v>#N/A</v>
      </c>
      <c r="J463" s="189" t="e">
        <v>#N/A</v>
      </c>
      <c r="K463" s="204" t="e">
        <v>#N/A</v>
      </c>
      <c r="L463" s="204" t="e">
        <v>#N/A</v>
      </c>
      <c r="M463" s="205" t="e">
        <v>#N/A</v>
      </c>
      <c r="N463" s="205" t="e">
        <v>#N/A</v>
      </c>
      <c r="O463" s="205" t="e">
        <v>#N/A</v>
      </c>
      <c r="P463" s="205" t="e">
        <v>#N/A</v>
      </c>
      <c r="Q463" s="189" t="e">
        <v>#N/A</v>
      </c>
      <c r="R463" s="189" t="e">
        <v>#N/A</v>
      </c>
      <c r="S463" s="205" t="e">
        <v>#N/A</v>
      </c>
      <c r="T463" s="206"/>
    </row>
    <row r="464">
      <c r="C464" s="189" t="e">
        <v>#N/A</v>
      </c>
      <c r="D464" s="189" t="e">
        <v>#N/A</v>
      </c>
      <c r="E464" s="189" t="e">
        <v>#N/A</v>
      </c>
      <c r="F464" s="189" t="e">
        <v>#N/A</v>
      </c>
      <c r="G464" s="189" t="e">
        <v>#N/A</v>
      </c>
      <c r="H464" s="189" t="e">
        <v>#N/A</v>
      </c>
      <c r="I464" s="189" t="e">
        <v>#N/A</v>
      </c>
      <c r="J464" s="189" t="e">
        <v>#N/A</v>
      </c>
      <c r="K464" s="204" t="e">
        <v>#N/A</v>
      </c>
      <c r="L464" s="204" t="e">
        <v>#N/A</v>
      </c>
      <c r="M464" s="205" t="e">
        <v>#N/A</v>
      </c>
      <c r="N464" s="205" t="e">
        <v>#N/A</v>
      </c>
      <c r="O464" s="205" t="e">
        <v>#N/A</v>
      </c>
      <c r="P464" s="205" t="e">
        <v>#N/A</v>
      </c>
      <c r="Q464" s="189" t="e">
        <v>#N/A</v>
      </c>
      <c r="R464" s="189" t="e">
        <v>#N/A</v>
      </c>
      <c r="S464" s="205" t="e">
        <v>#N/A</v>
      </c>
      <c r="T464" s="206"/>
    </row>
    <row r="465">
      <c r="C465" s="189" t="e">
        <v>#N/A</v>
      </c>
      <c r="D465" s="189" t="e">
        <v>#N/A</v>
      </c>
      <c r="E465" s="189" t="e">
        <v>#N/A</v>
      </c>
      <c r="F465" s="189" t="e">
        <v>#N/A</v>
      </c>
      <c r="G465" s="189" t="e">
        <v>#N/A</v>
      </c>
      <c r="H465" s="189" t="e">
        <v>#N/A</v>
      </c>
      <c r="I465" s="189" t="e">
        <v>#N/A</v>
      </c>
      <c r="J465" s="189" t="e">
        <v>#N/A</v>
      </c>
      <c r="K465" s="204" t="e">
        <v>#N/A</v>
      </c>
      <c r="L465" s="204" t="e">
        <v>#N/A</v>
      </c>
      <c r="M465" s="205" t="e">
        <v>#N/A</v>
      </c>
      <c r="N465" s="205" t="e">
        <v>#N/A</v>
      </c>
      <c r="O465" s="205" t="e">
        <v>#N/A</v>
      </c>
      <c r="P465" s="205" t="e">
        <v>#N/A</v>
      </c>
      <c r="Q465" s="189" t="e">
        <v>#N/A</v>
      </c>
      <c r="R465" s="189" t="e">
        <v>#N/A</v>
      </c>
      <c r="S465" s="205" t="e">
        <v>#N/A</v>
      </c>
      <c r="T465" s="206"/>
    </row>
    <row r="466">
      <c r="C466" s="189" t="e">
        <v>#N/A</v>
      </c>
      <c r="D466" s="189" t="e">
        <v>#N/A</v>
      </c>
      <c r="E466" s="189" t="e">
        <v>#N/A</v>
      </c>
      <c r="F466" s="189" t="e">
        <v>#N/A</v>
      </c>
      <c r="G466" s="189" t="e">
        <v>#N/A</v>
      </c>
      <c r="H466" s="189" t="e">
        <v>#N/A</v>
      </c>
      <c r="I466" s="189" t="e">
        <v>#N/A</v>
      </c>
      <c r="J466" s="189" t="e">
        <v>#N/A</v>
      </c>
      <c r="K466" s="204" t="e">
        <v>#N/A</v>
      </c>
      <c r="L466" s="204" t="e">
        <v>#N/A</v>
      </c>
      <c r="M466" s="205" t="e">
        <v>#N/A</v>
      </c>
      <c r="N466" s="205" t="e">
        <v>#N/A</v>
      </c>
      <c r="O466" s="205" t="e">
        <v>#N/A</v>
      </c>
      <c r="P466" s="205" t="e">
        <v>#N/A</v>
      </c>
      <c r="Q466" s="189" t="e">
        <v>#N/A</v>
      </c>
      <c r="R466" s="189" t="e">
        <v>#N/A</v>
      </c>
      <c r="S466" s="205" t="e">
        <v>#N/A</v>
      </c>
      <c r="T466" s="206"/>
    </row>
    <row r="467">
      <c r="C467" s="189" t="e">
        <v>#N/A</v>
      </c>
      <c r="D467" s="189" t="e">
        <v>#N/A</v>
      </c>
      <c r="E467" s="189" t="e">
        <v>#N/A</v>
      </c>
      <c r="F467" s="189" t="e">
        <v>#N/A</v>
      </c>
      <c r="G467" s="189" t="e">
        <v>#N/A</v>
      </c>
      <c r="H467" s="189" t="e">
        <v>#N/A</v>
      </c>
      <c r="I467" s="189" t="e">
        <v>#N/A</v>
      </c>
      <c r="J467" s="189" t="e">
        <v>#N/A</v>
      </c>
      <c r="K467" s="204" t="e">
        <v>#N/A</v>
      </c>
      <c r="L467" s="204" t="e">
        <v>#N/A</v>
      </c>
      <c r="M467" s="205" t="e">
        <v>#N/A</v>
      </c>
      <c r="N467" s="205" t="e">
        <v>#N/A</v>
      </c>
      <c r="O467" s="205" t="e">
        <v>#N/A</v>
      </c>
      <c r="P467" s="205" t="e">
        <v>#N/A</v>
      </c>
      <c r="Q467" s="189" t="e">
        <v>#N/A</v>
      </c>
      <c r="R467" s="189" t="e">
        <v>#N/A</v>
      </c>
      <c r="S467" s="205" t="e">
        <v>#N/A</v>
      </c>
      <c r="T467" s="206"/>
    </row>
    <row r="468">
      <c r="C468" s="189" t="e">
        <v>#N/A</v>
      </c>
      <c r="D468" s="189" t="e">
        <v>#N/A</v>
      </c>
      <c r="E468" s="189" t="e">
        <v>#N/A</v>
      </c>
      <c r="F468" s="189" t="e">
        <v>#N/A</v>
      </c>
      <c r="G468" s="189" t="e">
        <v>#N/A</v>
      </c>
      <c r="H468" s="189" t="e">
        <v>#N/A</v>
      </c>
      <c r="I468" s="189" t="e">
        <v>#N/A</v>
      </c>
      <c r="J468" s="189" t="e">
        <v>#N/A</v>
      </c>
      <c r="K468" s="204" t="e">
        <v>#N/A</v>
      </c>
      <c r="L468" s="204" t="e">
        <v>#N/A</v>
      </c>
      <c r="M468" s="205" t="e">
        <v>#N/A</v>
      </c>
      <c r="N468" s="205" t="e">
        <v>#N/A</v>
      </c>
      <c r="O468" s="205" t="e">
        <v>#N/A</v>
      </c>
      <c r="P468" s="205" t="e">
        <v>#N/A</v>
      </c>
      <c r="Q468" s="189" t="e">
        <v>#N/A</v>
      </c>
      <c r="R468" s="189" t="e">
        <v>#N/A</v>
      </c>
      <c r="S468" s="205" t="e">
        <v>#N/A</v>
      </c>
      <c r="T468" s="206"/>
    </row>
    <row r="469">
      <c r="C469" s="189" t="e">
        <v>#N/A</v>
      </c>
      <c r="D469" s="189" t="e">
        <v>#N/A</v>
      </c>
      <c r="E469" s="189" t="e">
        <v>#N/A</v>
      </c>
      <c r="F469" s="189" t="e">
        <v>#N/A</v>
      </c>
      <c r="G469" s="189" t="e">
        <v>#N/A</v>
      </c>
      <c r="H469" s="189" t="e">
        <v>#N/A</v>
      </c>
      <c r="I469" s="189" t="e">
        <v>#N/A</v>
      </c>
      <c r="J469" s="189" t="e">
        <v>#N/A</v>
      </c>
      <c r="K469" s="204" t="e">
        <v>#N/A</v>
      </c>
      <c r="L469" s="204" t="e">
        <v>#N/A</v>
      </c>
      <c r="M469" s="205" t="e">
        <v>#N/A</v>
      </c>
      <c r="N469" s="205" t="e">
        <v>#N/A</v>
      </c>
      <c r="O469" s="205" t="e">
        <v>#N/A</v>
      </c>
      <c r="P469" s="205" t="e">
        <v>#N/A</v>
      </c>
      <c r="Q469" s="189" t="e">
        <v>#N/A</v>
      </c>
      <c r="R469" s="189" t="e">
        <v>#N/A</v>
      </c>
      <c r="S469" s="205" t="e">
        <v>#N/A</v>
      </c>
      <c r="T469" s="206"/>
    </row>
    <row r="470">
      <c r="C470" s="189" t="e">
        <v>#N/A</v>
      </c>
      <c r="D470" s="189" t="e">
        <v>#N/A</v>
      </c>
      <c r="E470" s="189" t="e">
        <v>#N/A</v>
      </c>
      <c r="F470" s="189" t="e">
        <v>#N/A</v>
      </c>
      <c r="G470" s="189" t="e">
        <v>#N/A</v>
      </c>
      <c r="H470" s="189" t="e">
        <v>#N/A</v>
      </c>
      <c r="I470" s="189" t="e">
        <v>#N/A</v>
      </c>
      <c r="J470" s="189" t="e">
        <v>#N/A</v>
      </c>
      <c r="K470" s="204" t="e">
        <v>#N/A</v>
      </c>
      <c r="L470" s="204" t="e">
        <v>#N/A</v>
      </c>
      <c r="M470" s="205" t="e">
        <v>#N/A</v>
      </c>
      <c r="N470" s="205" t="e">
        <v>#N/A</v>
      </c>
      <c r="O470" s="205" t="e">
        <v>#N/A</v>
      </c>
      <c r="P470" s="205" t="e">
        <v>#N/A</v>
      </c>
      <c r="Q470" s="189" t="e">
        <v>#N/A</v>
      </c>
      <c r="R470" s="189" t="e">
        <v>#N/A</v>
      </c>
      <c r="S470" s="205" t="e">
        <v>#N/A</v>
      </c>
      <c r="T470" s="206"/>
    </row>
    <row r="471">
      <c r="C471" s="189" t="e">
        <v>#N/A</v>
      </c>
      <c r="D471" s="189" t="e">
        <v>#N/A</v>
      </c>
      <c r="E471" s="189" t="e">
        <v>#N/A</v>
      </c>
      <c r="F471" s="189" t="e">
        <v>#N/A</v>
      </c>
      <c r="G471" s="189" t="e">
        <v>#N/A</v>
      </c>
      <c r="H471" s="189" t="e">
        <v>#N/A</v>
      </c>
      <c r="I471" s="189" t="e">
        <v>#N/A</v>
      </c>
      <c r="J471" s="189" t="e">
        <v>#N/A</v>
      </c>
      <c r="K471" s="204" t="e">
        <v>#N/A</v>
      </c>
      <c r="L471" s="204" t="e">
        <v>#N/A</v>
      </c>
      <c r="M471" s="205" t="e">
        <v>#N/A</v>
      </c>
      <c r="N471" s="205" t="e">
        <v>#N/A</v>
      </c>
      <c r="O471" s="205" t="e">
        <v>#N/A</v>
      </c>
      <c r="P471" s="205" t="e">
        <v>#N/A</v>
      </c>
      <c r="Q471" s="189" t="e">
        <v>#N/A</v>
      </c>
      <c r="R471" s="189" t="e">
        <v>#N/A</v>
      </c>
      <c r="S471" s="205" t="e">
        <v>#N/A</v>
      </c>
      <c r="T471" s="206"/>
    </row>
    <row r="472">
      <c r="C472" s="189" t="e">
        <v>#N/A</v>
      </c>
      <c r="D472" s="189" t="e">
        <v>#N/A</v>
      </c>
      <c r="E472" s="189" t="e">
        <v>#N/A</v>
      </c>
      <c r="F472" s="189" t="e">
        <v>#N/A</v>
      </c>
      <c r="G472" s="189" t="e">
        <v>#N/A</v>
      </c>
      <c r="H472" s="189" t="e">
        <v>#N/A</v>
      </c>
      <c r="I472" s="189" t="e">
        <v>#N/A</v>
      </c>
      <c r="J472" s="189" t="e">
        <v>#N/A</v>
      </c>
      <c r="K472" s="204" t="e">
        <v>#N/A</v>
      </c>
      <c r="L472" s="204" t="e">
        <v>#N/A</v>
      </c>
      <c r="M472" s="205" t="e">
        <v>#N/A</v>
      </c>
      <c r="N472" s="205" t="e">
        <v>#N/A</v>
      </c>
      <c r="O472" s="205" t="e">
        <v>#N/A</v>
      </c>
      <c r="P472" s="205" t="e">
        <v>#N/A</v>
      </c>
      <c r="Q472" s="189" t="e">
        <v>#N/A</v>
      </c>
      <c r="R472" s="189" t="e">
        <v>#N/A</v>
      </c>
      <c r="S472" s="205" t="e">
        <v>#N/A</v>
      </c>
      <c r="T472" s="206"/>
    </row>
    <row r="473">
      <c r="C473" s="189" t="e">
        <v>#N/A</v>
      </c>
      <c r="D473" s="189" t="e">
        <v>#N/A</v>
      </c>
      <c r="E473" s="189" t="e">
        <v>#N/A</v>
      </c>
      <c r="F473" s="189" t="e">
        <v>#N/A</v>
      </c>
      <c r="G473" s="189" t="e">
        <v>#N/A</v>
      </c>
      <c r="H473" s="189" t="e">
        <v>#N/A</v>
      </c>
      <c r="I473" s="189" t="e">
        <v>#N/A</v>
      </c>
      <c r="J473" s="189" t="e">
        <v>#N/A</v>
      </c>
      <c r="K473" s="204" t="e">
        <v>#N/A</v>
      </c>
      <c r="L473" s="204" t="e">
        <v>#N/A</v>
      </c>
      <c r="M473" s="205" t="e">
        <v>#N/A</v>
      </c>
      <c r="N473" s="205" t="e">
        <v>#N/A</v>
      </c>
      <c r="O473" s="205" t="e">
        <v>#N/A</v>
      </c>
      <c r="P473" s="205" t="e">
        <v>#N/A</v>
      </c>
      <c r="Q473" s="189" t="e">
        <v>#N/A</v>
      </c>
      <c r="R473" s="189" t="e">
        <v>#N/A</v>
      </c>
      <c r="S473" s="205" t="e">
        <v>#N/A</v>
      </c>
      <c r="T473" s="206"/>
    </row>
    <row r="474">
      <c r="C474" s="189" t="e">
        <v>#N/A</v>
      </c>
      <c r="D474" s="189" t="e">
        <v>#N/A</v>
      </c>
      <c r="E474" s="189" t="e">
        <v>#N/A</v>
      </c>
      <c r="F474" s="189" t="e">
        <v>#N/A</v>
      </c>
      <c r="G474" s="189" t="e">
        <v>#N/A</v>
      </c>
      <c r="H474" s="189" t="e">
        <v>#N/A</v>
      </c>
      <c r="I474" s="189" t="e">
        <v>#N/A</v>
      </c>
      <c r="J474" s="189" t="e">
        <v>#N/A</v>
      </c>
      <c r="K474" s="204" t="e">
        <v>#N/A</v>
      </c>
      <c r="L474" s="204" t="e">
        <v>#N/A</v>
      </c>
      <c r="M474" s="205" t="e">
        <v>#N/A</v>
      </c>
      <c r="N474" s="205" t="e">
        <v>#N/A</v>
      </c>
      <c r="O474" s="205" t="e">
        <v>#N/A</v>
      </c>
      <c r="P474" s="205" t="e">
        <v>#N/A</v>
      </c>
      <c r="Q474" s="189" t="e">
        <v>#N/A</v>
      </c>
      <c r="R474" s="189" t="e">
        <v>#N/A</v>
      </c>
      <c r="S474" s="205" t="e">
        <v>#N/A</v>
      </c>
      <c r="T474" s="206"/>
    </row>
    <row r="475">
      <c r="C475" s="189" t="e">
        <v>#N/A</v>
      </c>
      <c r="D475" s="189" t="e">
        <v>#N/A</v>
      </c>
      <c r="E475" s="189" t="e">
        <v>#N/A</v>
      </c>
      <c r="F475" s="189" t="e">
        <v>#N/A</v>
      </c>
      <c r="G475" s="189" t="e">
        <v>#N/A</v>
      </c>
      <c r="H475" s="189" t="e">
        <v>#N/A</v>
      </c>
      <c r="I475" s="189" t="e">
        <v>#N/A</v>
      </c>
      <c r="J475" s="189" t="e">
        <v>#N/A</v>
      </c>
      <c r="K475" s="204" t="e">
        <v>#N/A</v>
      </c>
      <c r="L475" s="204" t="e">
        <v>#N/A</v>
      </c>
      <c r="M475" s="205" t="e">
        <v>#N/A</v>
      </c>
      <c r="N475" s="205" t="e">
        <v>#N/A</v>
      </c>
      <c r="O475" s="205" t="e">
        <v>#N/A</v>
      </c>
      <c r="P475" s="205" t="e">
        <v>#N/A</v>
      </c>
      <c r="Q475" s="189" t="e">
        <v>#N/A</v>
      </c>
      <c r="R475" s="189" t="e">
        <v>#N/A</v>
      </c>
      <c r="S475" s="205" t="e">
        <v>#N/A</v>
      </c>
      <c r="T475" s="206"/>
    </row>
    <row r="476">
      <c r="C476" s="189" t="e">
        <v>#N/A</v>
      </c>
      <c r="D476" s="189" t="e">
        <v>#N/A</v>
      </c>
      <c r="E476" s="189" t="e">
        <v>#N/A</v>
      </c>
      <c r="F476" s="189" t="e">
        <v>#N/A</v>
      </c>
      <c r="G476" s="189" t="e">
        <v>#N/A</v>
      </c>
      <c r="H476" s="189" t="e">
        <v>#N/A</v>
      </c>
      <c r="I476" s="189" t="e">
        <v>#N/A</v>
      </c>
      <c r="J476" s="189" t="e">
        <v>#N/A</v>
      </c>
      <c r="K476" s="204" t="e">
        <v>#N/A</v>
      </c>
      <c r="L476" s="204" t="e">
        <v>#N/A</v>
      </c>
      <c r="M476" s="205" t="e">
        <v>#N/A</v>
      </c>
      <c r="N476" s="205" t="e">
        <v>#N/A</v>
      </c>
      <c r="O476" s="205" t="e">
        <v>#N/A</v>
      </c>
      <c r="P476" s="205" t="e">
        <v>#N/A</v>
      </c>
      <c r="Q476" s="189" t="e">
        <v>#N/A</v>
      </c>
      <c r="R476" s="189" t="e">
        <v>#N/A</v>
      </c>
      <c r="S476" s="205" t="e">
        <v>#N/A</v>
      </c>
      <c r="T476" s="206"/>
    </row>
    <row r="477">
      <c r="C477" s="189" t="e">
        <v>#N/A</v>
      </c>
      <c r="D477" s="189" t="e">
        <v>#N/A</v>
      </c>
      <c r="E477" s="189" t="e">
        <v>#N/A</v>
      </c>
      <c r="F477" s="189" t="e">
        <v>#N/A</v>
      </c>
      <c r="G477" s="189" t="e">
        <v>#N/A</v>
      </c>
      <c r="H477" s="189" t="e">
        <v>#N/A</v>
      </c>
      <c r="I477" s="189" t="e">
        <v>#N/A</v>
      </c>
      <c r="J477" s="189" t="e">
        <v>#N/A</v>
      </c>
      <c r="K477" s="204" t="e">
        <v>#N/A</v>
      </c>
      <c r="L477" s="204" t="e">
        <v>#N/A</v>
      </c>
      <c r="M477" s="205" t="e">
        <v>#N/A</v>
      </c>
      <c r="N477" s="205" t="e">
        <v>#N/A</v>
      </c>
      <c r="O477" s="205" t="e">
        <v>#N/A</v>
      </c>
      <c r="P477" s="205" t="e">
        <v>#N/A</v>
      </c>
      <c r="Q477" s="189" t="e">
        <v>#N/A</v>
      </c>
      <c r="R477" s="189" t="e">
        <v>#N/A</v>
      </c>
      <c r="S477" s="205" t="e">
        <v>#N/A</v>
      </c>
      <c r="T477" s="206"/>
    </row>
    <row r="478">
      <c r="C478" s="189" t="e">
        <v>#N/A</v>
      </c>
      <c r="D478" s="189" t="e">
        <v>#N/A</v>
      </c>
      <c r="E478" s="189" t="e">
        <v>#N/A</v>
      </c>
      <c r="F478" s="189" t="e">
        <v>#N/A</v>
      </c>
      <c r="G478" s="189" t="e">
        <v>#N/A</v>
      </c>
      <c r="H478" s="189" t="e">
        <v>#N/A</v>
      </c>
      <c r="I478" s="189" t="e">
        <v>#N/A</v>
      </c>
      <c r="J478" s="189" t="e">
        <v>#N/A</v>
      </c>
      <c r="K478" s="204" t="e">
        <v>#N/A</v>
      </c>
      <c r="L478" s="204" t="e">
        <v>#N/A</v>
      </c>
      <c r="M478" s="205" t="e">
        <v>#N/A</v>
      </c>
      <c r="N478" s="205" t="e">
        <v>#N/A</v>
      </c>
      <c r="O478" s="205" t="e">
        <v>#N/A</v>
      </c>
      <c r="P478" s="205" t="e">
        <v>#N/A</v>
      </c>
      <c r="Q478" s="189" t="e">
        <v>#N/A</v>
      </c>
      <c r="R478" s="189" t="e">
        <v>#N/A</v>
      </c>
      <c r="S478" s="205" t="e">
        <v>#N/A</v>
      </c>
      <c r="T478" s="206"/>
    </row>
    <row r="479">
      <c r="C479" s="189" t="e">
        <v>#N/A</v>
      </c>
      <c r="D479" s="189" t="e">
        <v>#N/A</v>
      </c>
      <c r="E479" s="189" t="e">
        <v>#N/A</v>
      </c>
      <c r="F479" s="189" t="e">
        <v>#N/A</v>
      </c>
      <c r="G479" s="189" t="e">
        <v>#N/A</v>
      </c>
      <c r="H479" s="189" t="e">
        <v>#N/A</v>
      </c>
      <c r="I479" s="189" t="e">
        <v>#N/A</v>
      </c>
      <c r="J479" s="189" t="e">
        <v>#N/A</v>
      </c>
      <c r="K479" s="204" t="e">
        <v>#N/A</v>
      </c>
      <c r="L479" s="204" t="e">
        <v>#N/A</v>
      </c>
      <c r="M479" s="205" t="e">
        <v>#N/A</v>
      </c>
      <c r="N479" s="205" t="e">
        <v>#N/A</v>
      </c>
      <c r="O479" s="205" t="e">
        <v>#N/A</v>
      </c>
      <c r="P479" s="205" t="e">
        <v>#N/A</v>
      </c>
      <c r="Q479" s="189" t="e">
        <v>#N/A</v>
      </c>
      <c r="R479" s="189" t="e">
        <v>#N/A</v>
      </c>
      <c r="S479" s="205" t="e">
        <v>#N/A</v>
      </c>
      <c r="T479" s="206"/>
    </row>
    <row r="480">
      <c r="C480" s="189" t="e">
        <v>#N/A</v>
      </c>
      <c r="D480" s="189" t="e">
        <v>#N/A</v>
      </c>
      <c r="E480" s="189" t="e">
        <v>#N/A</v>
      </c>
      <c r="F480" s="189" t="e">
        <v>#N/A</v>
      </c>
      <c r="G480" s="189" t="e">
        <v>#N/A</v>
      </c>
      <c r="H480" s="189" t="e">
        <v>#N/A</v>
      </c>
      <c r="I480" s="189" t="e">
        <v>#N/A</v>
      </c>
      <c r="J480" s="189" t="e">
        <v>#N/A</v>
      </c>
      <c r="K480" s="204" t="e">
        <v>#N/A</v>
      </c>
      <c r="L480" s="204" t="e">
        <v>#N/A</v>
      </c>
      <c r="M480" s="205" t="e">
        <v>#N/A</v>
      </c>
      <c r="N480" s="205" t="e">
        <v>#N/A</v>
      </c>
      <c r="O480" s="205" t="e">
        <v>#N/A</v>
      </c>
      <c r="P480" s="205" t="e">
        <v>#N/A</v>
      </c>
      <c r="Q480" s="189" t="e">
        <v>#N/A</v>
      </c>
      <c r="R480" s="189" t="e">
        <v>#N/A</v>
      </c>
      <c r="S480" s="205" t="e">
        <v>#N/A</v>
      </c>
      <c r="T480" s="206"/>
    </row>
    <row r="481">
      <c r="C481" s="189" t="e">
        <v>#N/A</v>
      </c>
      <c r="D481" s="189" t="e">
        <v>#N/A</v>
      </c>
      <c r="E481" s="189" t="e">
        <v>#N/A</v>
      </c>
      <c r="F481" s="189" t="e">
        <v>#N/A</v>
      </c>
      <c r="G481" s="189" t="e">
        <v>#N/A</v>
      </c>
      <c r="H481" s="189" t="e">
        <v>#N/A</v>
      </c>
      <c r="I481" s="189" t="e">
        <v>#N/A</v>
      </c>
      <c r="J481" s="189" t="e">
        <v>#N/A</v>
      </c>
      <c r="K481" s="204" t="e">
        <v>#N/A</v>
      </c>
      <c r="L481" s="204" t="e">
        <v>#N/A</v>
      </c>
      <c r="M481" s="205" t="e">
        <v>#N/A</v>
      </c>
      <c r="N481" s="205" t="e">
        <v>#N/A</v>
      </c>
      <c r="O481" s="205" t="e">
        <v>#N/A</v>
      </c>
      <c r="P481" s="205" t="e">
        <v>#N/A</v>
      </c>
      <c r="Q481" s="189" t="e">
        <v>#N/A</v>
      </c>
      <c r="R481" s="189" t="e">
        <v>#N/A</v>
      </c>
      <c r="S481" s="205" t="e">
        <v>#N/A</v>
      </c>
      <c r="T481" s="206"/>
    </row>
    <row r="482">
      <c r="C482" s="189" t="e">
        <v>#N/A</v>
      </c>
      <c r="D482" s="189" t="e">
        <v>#N/A</v>
      </c>
      <c r="E482" s="189" t="e">
        <v>#N/A</v>
      </c>
      <c r="F482" s="189" t="e">
        <v>#N/A</v>
      </c>
      <c r="G482" s="189" t="e">
        <v>#N/A</v>
      </c>
      <c r="H482" s="189" t="e">
        <v>#N/A</v>
      </c>
      <c r="I482" s="189" t="e">
        <v>#N/A</v>
      </c>
      <c r="J482" s="189" t="e">
        <v>#N/A</v>
      </c>
      <c r="K482" s="204" t="e">
        <v>#N/A</v>
      </c>
      <c r="L482" s="204" t="e">
        <v>#N/A</v>
      </c>
      <c r="M482" s="205" t="e">
        <v>#N/A</v>
      </c>
      <c r="N482" s="205" t="e">
        <v>#N/A</v>
      </c>
      <c r="O482" s="205" t="e">
        <v>#N/A</v>
      </c>
      <c r="P482" s="205" t="e">
        <v>#N/A</v>
      </c>
      <c r="Q482" s="189" t="e">
        <v>#N/A</v>
      </c>
      <c r="R482" s="189" t="e">
        <v>#N/A</v>
      </c>
      <c r="S482" s="205" t="e">
        <v>#N/A</v>
      </c>
      <c r="T482" s="206"/>
    </row>
    <row r="483">
      <c r="C483" s="189" t="e">
        <v>#N/A</v>
      </c>
      <c r="D483" s="189" t="e">
        <v>#N/A</v>
      </c>
      <c r="E483" s="189" t="e">
        <v>#N/A</v>
      </c>
      <c r="F483" s="189" t="e">
        <v>#N/A</v>
      </c>
      <c r="G483" s="189" t="e">
        <v>#N/A</v>
      </c>
      <c r="H483" s="189" t="e">
        <v>#N/A</v>
      </c>
      <c r="I483" s="189" t="e">
        <v>#N/A</v>
      </c>
      <c r="J483" s="189" t="e">
        <v>#N/A</v>
      </c>
      <c r="K483" s="204" t="e">
        <v>#N/A</v>
      </c>
      <c r="L483" s="204" t="e">
        <v>#N/A</v>
      </c>
      <c r="M483" s="205" t="e">
        <v>#N/A</v>
      </c>
      <c r="N483" s="205" t="e">
        <v>#N/A</v>
      </c>
      <c r="O483" s="205" t="e">
        <v>#N/A</v>
      </c>
      <c r="P483" s="205" t="e">
        <v>#N/A</v>
      </c>
      <c r="Q483" s="189" t="e">
        <v>#N/A</v>
      </c>
      <c r="R483" s="189" t="e">
        <v>#N/A</v>
      </c>
      <c r="S483" s="205" t="e">
        <v>#N/A</v>
      </c>
      <c r="T483" s="206"/>
    </row>
    <row r="484">
      <c r="C484" s="189" t="e">
        <v>#N/A</v>
      </c>
      <c r="D484" s="189" t="e">
        <v>#N/A</v>
      </c>
      <c r="E484" s="189" t="e">
        <v>#N/A</v>
      </c>
      <c r="F484" s="189" t="e">
        <v>#N/A</v>
      </c>
      <c r="G484" s="189" t="e">
        <v>#N/A</v>
      </c>
      <c r="H484" s="189" t="e">
        <v>#N/A</v>
      </c>
      <c r="I484" s="189" t="e">
        <v>#N/A</v>
      </c>
      <c r="J484" s="189" t="e">
        <v>#N/A</v>
      </c>
      <c r="K484" s="204" t="e">
        <v>#N/A</v>
      </c>
      <c r="L484" s="204" t="e">
        <v>#N/A</v>
      </c>
      <c r="M484" s="205" t="e">
        <v>#N/A</v>
      </c>
      <c r="N484" s="205" t="e">
        <v>#N/A</v>
      </c>
      <c r="O484" s="205" t="e">
        <v>#N/A</v>
      </c>
      <c r="P484" s="205" t="e">
        <v>#N/A</v>
      </c>
      <c r="Q484" s="189" t="e">
        <v>#N/A</v>
      </c>
      <c r="R484" s="189" t="e">
        <v>#N/A</v>
      </c>
      <c r="S484" s="205" t="e">
        <v>#N/A</v>
      </c>
      <c r="T484" s="206"/>
    </row>
    <row r="485">
      <c r="C485" s="189" t="e">
        <v>#N/A</v>
      </c>
      <c r="D485" s="189" t="e">
        <v>#N/A</v>
      </c>
      <c r="E485" s="189" t="e">
        <v>#N/A</v>
      </c>
      <c r="F485" s="189" t="e">
        <v>#N/A</v>
      </c>
      <c r="G485" s="189" t="e">
        <v>#N/A</v>
      </c>
      <c r="H485" s="189" t="e">
        <v>#N/A</v>
      </c>
      <c r="I485" s="189" t="e">
        <v>#N/A</v>
      </c>
      <c r="J485" s="189" t="e">
        <v>#N/A</v>
      </c>
      <c r="K485" s="204" t="e">
        <v>#N/A</v>
      </c>
      <c r="L485" s="204" t="e">
        <v>#N/A</v>
      </c>
      <c r="M485" s="205" t="e">
        <v>#N/A</v>
      </c>
      <c r="N485" s="205" t="e">
        <v>#N/A</v>
      </c>
      <c r="O485" s="205" t="e">
        <v>#N/A</v>
      </c>
      <c r="P485" s="205" t="e">
        <v>#N/A</v>
      </c>
      <c r="Q485" s="189" t="e">
        <v>#N/A</v>
      </c>
      <c r="R485" s="189" t="e">
        <v>#N/A</v>
      </c>
      <c r="S485" s="205" t="e">
        <v>#N/A</v>
      </c>
      <c r="T485" s="206"/>
    </row>
    <row r="486">
      <c r="C486" s="189" t="e">
        <v>#N/A</v>
      </c>
      <c r="D486" s="189" t="e">
        <v>#N/A</v>
      </c>
      <c r="E486" s="189" t="e">
        <v>#N/A</v>
      </c>
      <c r="F486" s="189" t="e">
        <v>#N/A</v>
      </c>
      <c r="G486" s="189" t="e">
        <v>#N/A</v>
      </c>
      <c r="H486" s="189" t="e">
        <v>#N/A</v>
      </c>
      <c r="I486" s="189" t="e">
        <v>#N/A</v>
      </c>
      <c r="J486" s="189" t="e">
        <v>#N/A</v>
      </c>
      <c r="K486" s="204" t="e">
        <v>#N/A</v>
      </c>
      <c r="L486" s="204" t="e">
        <v>#N/A</v>
      </c>
      <c r="M486" s="205" t="e">
        <v>#N/A</v>
      </c>
      <c r="N486" s="205" t="e">
        <v>#N/A</v>
      </c>
      <c r="O486" s="205" t="e">
        <v>#N/A</v>
      </c>
      <c r="P486" s="205" t="e">
        <v>#N/A</v>
      </c>
      <c r="Q486" s="189" t="e">
        <v>#N/A</v>
      </c>
      <c r="R486" s="189" t="e">
        <v>#N/A</v>
      </c>
      <c r="S486" s="205" t="e">
        <v>#N/A</v>
      </c>
      <c r="T486" s="206"/>
    </row>
    <row r="487">
      <c r="C487" s="189" t="e">
        <v>#N/A</v>
      </c>
      <c r="D487" s="189" t="e">
        <v>#N/A</v>
      </c>
      <c r="E487" s="189" t="e">
        <v>#N/A</v>
      </c>
      <c r="F487" s="189" t="e">
        <v>#N/A</v>
      </c>
      <c r="G487" s="189" t="e">
        <v>#N/A</v>
      </c>
      <c r="H487" s="189" t="e">
        <v>#N/A</v>
      </c>
      <c r="I487" s="189" t="e">
        <v>#N/A</v>
      </c>
      <c r="J487" s="189" t="e">
        <v>#N/A</v>
      </c>
      <c r="K487" s="204" t="e">
        <v>#N/A</v>
      </c>
      <c r="L487" s="204" t="e">
        <v>#N/A</v>
      </c>
      <c r="M487" s="205" t="e">
        <v>#N/A</v>
      </c>
      <c r="N487" s="205" t="e">
        <v>#N/A</v>
      </c>
      <c r="O487" s="205" t="e">
        <v>#N/A</v>
      </c>
      <c r="P487" s="205" t="e">
        <v>#N/A</v>
      </c>
      <c r="Q487" s="189" t="e">
        <v>#N/A</v>
      </c>
      <c r="R487" s="189" t="e">
        <v>#N/A</v>
      </c>
      <c r="S487" s="205" t="e">
        <v>#N/A</v>
      </c>
      <c r="T487" s="206"/>
    </row>
    <row r="488">
      <c r="C488" s="189" t="e">
        <v>#N/A</v>
      </c>
      <c r="D488" s="189" t="e">
        <v>#N/A</v>
      </c>
      <c r="E488" s="189" t="e">
        <v>#N/A</v>
      </c>
      <c r="F488" s="189" t="e">
        <v>#N/A</v>
      </c>
      <c r="G488" s="189" t="e">
        <v>#N/A</v>
      </c>
      <c r="H488" s="189" t="e">
        <v>#N/A</v>
      </c>
      <c r="I488" s="189" t="e">
        <v>#N/A</v>
      </c>
      <c r="J488" s="189" t="e">
        <v>#N/A</v>
      </c>
      <c r="K488" s="204" t="e">
        <v>#N/A</v>
      </c>
      <c r="L488" s="204" t="e">
        <v>#N/A</v>
      </c>
      <c r="M488" s="205" t="e">
        <v>#N/A</v>
      </c>
      <c r="N488" s="205" t="e">
        <v>#N/A</v>
      </c>
      <c r="O488" s="205" t="e">
        <v>#N/A</v>
      </c>
      <c r="P488" s="205" t="e">
        <v>#N/A</v>
      </c>
      <c r="Q488" s="189" t="e">
        <v>#N/A</v>
      </c>
      <c r="R488" s="189" t="e">
        <v>#N/A</v>
      </c>
      <c r="S488" s="205" t="e">
        <v>#N/A</v>
      </c>
      <c r="T488" s="206"/>
    </row>
    <row r="489">
      <c r="C489" s="189" t="e">
        <v>#N/A</v>
      </c>
      <c r="D489" s="189" t="e">
        <v>#N/A</v>
      </c>
      <c r="E489" s="189" t="e">
        <v>#N/A</v>
      </c>
      <c r="F489" s="189" t="e">
        <v>#N/A</v>
      </c>
      <c r="G489" s="189" t="e">
        <v>#N/A</v>
      </c>
      <c r="H489" s="189" t="e">
        <v>#N/A</v>
      </c>
      <c r="I489" s="189" t="e">
        <v>#N/A</v>
      </c>
      <c r="J489" s="189" t="e">
        <v>#N/A</v>
      </c>
      <c r="K489" s="204" t="e">
        <v>#N/A</v>
      </c>
      <c r="L489" s="204" t="e">
        <v>#N/A</v>
      </c>
      <c r="M489" s="205" t="e">
        <v>#N/A</v>
      </c>
      <c r="N489" s="205" t="e">
        <v>#N/A</v>
      </c>
      <c r="O489" s="205" t="e">
        <v>#N/A</v>
      </c>
      <c r="P489" s="205" t="e">
        <v>#N/A</v>
      </c>
      <c r="Q489" s="189" t="e">
        <v>#N/A</v>
      </c>
      <c r="R489" s="189" t="e">
        <v>#N/A</v>
      </c>
      <c r="S489" s="205" t="e">
        <v>#N/A</v>
      </c>
      <c r="T489" s="206"/>
    </row>
    <row r="490">
      <c r="C490" s="189" t="e">
        <v>#N/A</v>
      </c>
      <c r="D490" s="189" t="e">
        <v>#N/A</v>
      </c>
      <c r="E490" s="189" t="e">
        <v>#N/A</v>
      </c>
      <c r="F490" s="189" t="e">
        <v>#N/A</v>
      </c>
      <c r="G490" s="189" t="e">
        <v>#N/A</v>
      </c>
      <c r="H490" s="189" t="e">
        <v>#N/A</v>
      </c>
      <c r="I490" s="189" t="e">
        <v>#N/A</v>
      </c>
      <c r="J490" s="189" t="e">
        <v>#N/A</v>
      </c>
      <c r="K490" s="204" t="e">
        <v>#N/A</v>
      </c>
      <c r="L490" s="204" t="e">
        <v>#N/A</v>
      </c>
      <c r="M490" s="205" t="e">
        <v>#N/A</v>
      </c>
      <c r="N490" s="205" t="e">
        <v>#N/A</v>
      </c>
      <c r="O490" s="205" t="e">
        <v>#N/A</v>
      </c>
      <c r="P490" s="205" t="e">
        <v>#N/A</v>
      </c>
      <c r="Q490" s="189" t="e">
        <v>#N/A</v>
      </c>
      <c r="R490" s="189" t="e">
        <v>#N/A</v>
      </c>
      <c r="S490" s="205" t="e">
        <v>#N/A</v>
      </c>
      <c r="T490" s="206"/>
    </row>
    <row r="491">
      <c r="C491" s="189" t="e">
        <v>#N/A</v>
      </c>
      <c r="D491" s="189" t="e">
        <v>#N/A</v>
      </c>
      <c r="E491" s="189" t="e">
        <v>#N/A</v>
      </c>
      <c r="F491" s="189" t="e">
        <v>#N/A</v>
      </c>
      <c r="G491" s="189" t="e">
        <v>#N/A</v>
      </c>
      <c r="H491" s="189" t="e">
        <v>#N/A</v>
      </c>
      <c r="I491" s="189" t="e">
        <v>#N/A</v>
      </c>
      <c r="J491" s="189" t="e">
        <v>#N/A</v>
      </c>
      <c r="K491" s="204" t="e">
        <v>#N/A</v>
      </c>
      <c r="L491" s="204" t="e">
        <v>#N/A</v>
      </c>
      <c r="M491" s="205" t="e">
        <v>#N/A</v>
      </c>
      <c r="N491" s="205" t="e">
        <v>#N/A</v>
      </c>
      <c r="O491" s="205" t="e">
        <v>#N/A</v>
      </c>
      <c r="P491" s="205" t="e">
        <v>#N/A</v>
      </c>
      <c r="Q491" s="189" t="e">
        <v>#N/A</v>
      </c>
      <c r="R491" s="189" t="e">
        <v>#N/A</v>
      </c>
      <c r="S491" s="205" t="e">
        <v>#N/A</v>
      </c>
      <c r="T491" s="206"/>
    </row>
    <row r="492">
      <c r="C492" s="189" t="e">
        <v>#N/A</v>
      </c>
      <c r="D492" s="189" t="e">
        <v>#N/A</v>
      </c>
      <c r="E492" s="189" t="e">
        <v>#N/A</v>
      </c>
      <c r="F492" s="189" t="e">
        <v>#N/A</v>
      </c>
      <c r="G492" s="189" t="e">
        <v>#N/A</v>
      </c>
      <c r="H492" s="189" t="e">
        <v>#N/A</v>
      </c>
      <c r="I492" s="189" t="e">
        <v>#N/A</v>
      </c>
      <c r="J492" s="189" t="e">
        <v>#N/A</v>
      </c>
      <c r="K492" s="204" t="e">
        <v>#N/A</v>
      </c>
      <c r="L492" s="204" t="e">
        <v>#N/A</v>
      </c>
      <c r="M492" s="205" t="e">
        <v>#N/A</v>
      </c>
      <c r="N492" s="205" t="e">
        <v>#N/A</v>
      </c>
      <c r="O492" s="205" t="e">
        <v>#N/A</v>
      </c>
      <c r="P492" s="205" t="e">
        <v>#N/A</v>
      </c>
      <c r="Q492" s="189" t="e">
        <v>#N/A</v>
      </c>
      <c r="R492" s="189" t="e">
        <v>#N/A</v>
      </c>
      <c r="S492" s="205" t="e">
        <v>#N/A</v>
      </c>
      <c r="T492" s="206"/>
    </row>
    <row r="493">
      <c r="C493" s="189" t="e">
        <v>#N/A</v>
      </c>
      <c r="D493" s="189" t="e">
        <v>#N/A</v>
      </c>
      <c r="E493" s="189" t="e">
        <v>#N/A</v>
      </c>
      <c r="F493" s="189" t="e">
        <v>#N/A</v>
      </c>
      <c r="G493" s="189" t="e">
        <v>#N/A</v>
      </c>
      <c r="H493" s="189" t="e">
        <v>#N/A</v>
      </c>
      <c r="I493" s="189" t="e">
        <v>#N/A</v>
      </c>
      <c r="J493" s="189" t="e">
        <v>#N/A</v>
      </c>
      <c r="K493" s="204" t="e">
        <v>#N/A</v>
      </c>
      <c r="L493" s="204" t="e">
        <v>#N/A</v>
      </c>
      <c r="M493" s="205" t="e">
        <v>#N/A</v>
      </c>
      <c r="N493" s="205" t="e">
        <v>#N/A</v>
      </c>
      <c r="O493" s="205" t="e">
        <v>#N/A</v>
      </c>
      <c r="P493" s="205" t="e">
        <v>#N/A</v>
      </c>
      <c r="Q493" s="189" t="e">
        <v>#N/A</v>
      </c>
      <c r="R493" s="189" t="e">
        <v>#N/A</v>
      </c>
      <c r="S493" s="205" t="e">
        <v>#N/A</v>
      </c>
      <c r="T493" s="206"/>
    </row>
    <row r="494">
      <c r="C494" s="189" t="e">
        <v>#N/A</v>
      </c>
      <c r="D494" s="189" t="e">
        <v>#N/A</v>
      </c>
      <c r="E494" s="189" t="e">
        <v>#N/A</v>
      </c>
      <c r="F494" s="189" t="e">
        <v>#N/A</v>
      </c>
      <c r="G494" s="189" t="e">
        <v>#N/A</v>
      </c>
      <c r="H494" s="189" t="e">
        <v>#N/A</v>
      </c>
      <c r="I494" s="189" t="e">
        <v>#N/A</v>
      </c>
      <c r="J494" s="189" t="e">
        <v>#N/A</v>
      </c>
      <c r="K494" s="204" t="e">
        <v>#N/A</v>
      </c>
      <c r="L494" s="204" t="e">
        <v>#N/A</v>
      </c>
      <c r="M494" s="205" t="e">
        <v>#N/A</v>
      </c>
      <c r="N494" s="205" t="e">
        <v>#N/A</v>
      </c>
      <c r="O494" s="205" t="e">
        <v>#N/A</v>
      </c>
      <c r="P494" s="205" t="e">
        <v>#N/A</v>
      </c>
      <c r="Q494" s="189" t="e">
        <v>#N/A</v>
      </c>
      <c r="R494" s="189" t="e">
        <v>#N/A</v>
      </c>
      <c r="S494" s="205" t="e">
        <v>#N/A</v>
      </c>
      <c r="T494" s="206"/>
    </row>
    <row r="495">
      <c r="C495" s="189" t="e">
        <v>#N/A</v>
      </c>
      <c r="D495" s="189" t="e">
        <v>#N/A</v>
      </c>
      <c r="E495" s="189" t="e">
        <v>#N/A</v>
      </c>
      <c r="F495" s="189" t="e">
        <v>#N/A</v>
      </c>
      <c r="G495" s="189" t="e">
        <v>#N/A</v>
      </c>
      <c r="H495" s="189" t="e">
        <v>#N/A</v>
      </c>
      <c r="I495" s="189" t="e">
        <v>#N/A</v>
      </c>
      <c r="J495" s="189" t="e">
        <v>#N/A</v>
      </c>
      <c r="K495" s="204" t="e">
        <v>#N/A</v>
      </c>
      <c r="L495" s="204" t="e">
        <v>#N/A</v>
      </c>
      <c r="M495" s="205" t="e">
        <v>#N/A</v>
      </c>
      <c r="N495" s="205" t="e">
        <v>#N/A</v>
      </c>
      <c r="O495" s="205" t="e">
        <v>#N/A</v>
      </c>
      <c r="P495" s="205" t="e">
        <v>#N/A</v>
      </c>
      <c r="Q495" s="189" t="e">
        <v>#N/A</v>
      </c>
      <c r="R495" s="189" t="e">
        <v>#N/A</v>
      </c>
      <c r="S495" s="205" t="e">
        <v>#N/A</v>
      </c>
      <c r="T495" s="206"/>
    </row>
    <row r="496">
      <c r="C496" s="189" t="e">
        <v>#N/A</v>
      </c>
      <c r="D496" s="189" t="e">
        <v>#N/A</v>
      </c>
      <c r="E496" s="189" t="e">
        <v>#N/A</v>
      </c>
      <c r="F496" s="189" t="e">
        <v>#N/A</v>
      </c>
      <c r="G496" s="189" t="e">
        <v>#N/A</v>
      </c>
      <c r="H496" s="189" t="e">
        <v>#N/A</v>
      </c>
      <c r="I496" s="189" t="e">
        <v>#N/A</v>
      </c>
      <c r="J496" s="189" t="e">
        <v>#N/A</v>
      </c>
      <c r="K496" s="204" t="e">
        <v>#N/A</v>
      </c>
      <c r="L496" s="204" t="e">
        <v>#N/A</v>
      </c>
      <c r="M496" s="205" t="e">
        <v>#N/A</v>
      </c>
      <c r="N496" s="205" t="e">
        <v>#N/A</v>
      </c>
      <c r="O496" s="205" t="e">
        <v>#N/A</v>
      </c>
      <c r="P496" s="205" t="e">
        <v>#N/A</v>
      </c>
      <c r="Q496" s="189" t="e">
        <v>#N/A</v>
      </c>
      <c r="R496" s="189" t="e">
        <v>#N/A</v>
      </c>
      <c r="S496" s="205" t="e">
        <v>#N/A</v>
      </c>
      <c r="T496" s="206"/>
    </row>
    <row r="497">
      <c r="C497" s="189" t="e">
        <v>#N/A</v>
      </c>
      <c r="D497" s="189" t="e">
        <v>#N/A</v>
      </c>
      <c r="E497" s="189" t="e">
        <v>#N/A</v>
      </c>
      <c r="F497" s="189" t="e">
        <v>#N/A</v>
      </c>
      <c r="G497" s="189" t="e">
        <v>#N/A</v>
      </c>
      <c r="H497" s="189" t="e">
        <v>#N/A</v>
      </c>
      <c r="I497" s="189" t="e">
        <v>#N/A</v>
      </c>
      <c r="J497" s="189" t="e">
        <v>#N/A</v>
      </c>
      <c r="K497" s="204" t="e">
        <v>#N/A</v>
      </c>
      <c r="L497" s="204" t="e">
        <v>#N/A</v>
      </c>
      <c r="M497" s="205" t="e">
        <v>#N/A</v>
      </c>
      <c r="N497" s="205" t="e">
        <v>#N/A</v>
      </c>
      <c r="O497" s="205" t="e">
        <v>#N/A</v>
      </c>
      <c r="P497" s="205" t="e">
        <v>#N/A</v>
      </c>
      <c r="Q497" s="189" t="e">
        <v>#N/A</v>
      </c>
      <c r="R497" s="189" t="e">
        <v>#N/A</v>
      </c>
      <c r="S497" s="205" t="e">
        <v>#N/A</v>
      </c>
      <c r="T497" s="206"/>
    </row>
    <row r="498">
      <c r="C498" s="189" t="e">
        <v>#N/A</v>
      </c>
      <c r="D498" s="189" t="e">
        <v>#N/A</v>
      </c>
      <c r="E498" s="189" t="e">
        <v>#N/A</v>
      </c>
      <c r="F498" s="189" t="e">
        <v>#N/A</v>
      </c>
      <c r="G498" s="189" t="e">
        <v>#N/A</v>
      </c>
      <c r="H498" s="189" t="e">
        <v>#N/A</v>
      </c>
      <c r="I498" s="189" t="e">
        <v>#N/A</v>
      </c>
      <c r="J498" s="189" t="e">
        <v>#N/A</v>
      </c>
      <c r="K498" s="204" t="e">
        <v>#N/A</v>
      </c>
      <c r="L498" s="204" t="e">
        <v>#N/A</v>
      </c>
      <c r="M498" s="205" t="e">
        <v>#N/A</v>
      </c>
      <c r="N498" s="205" t="e">
        <v>#N/A</v>
      </c>
      <c r="O498" s="205" t="e">
        <v>#N/A</v>
      </c>
      <c r="P498" s="205" t="e">
        <v>#N/A</v>
      </c>
      <c r="Q498" s="189" t="e">
        <v>#N/A</v>
      </c>
      <c r="R498" s="189" t="e">
        <v>#N/A</v>
      </c>
      <c r="S498" s="205" t="e">
        <v>#N/A</v>
      </c>
      <c r="T498" s="206"/>
    </row>
    <row r="499">
      <c r="C499" s="189" t="e">
        <v>#N/A</v>
      </c>
      <c r="D499" s="189" t="e">
        <v>#N/A</v>
      </c>
      <c r="E499" s="189" t="e">
        <v>#N/A</v>
      </c>
      <c r="F499" s="189" t="e">
        <v>#N/A</v>
      </c>
      <c r="G499" s="189" t="e">
        <v>#N/A</v>
      </c>
      <c r="H499" s="189" t="e">
        <v>#N/A</v>
      </c>
      <c r="I499" s="189" t="e">
        <v>#N/A</v>
      </c>
      <c r="J499" s="189" t="e">
        <v>#N/A</v>
      </c>
      <c r="K499" s="204" t="e">
        <v>#N/A</v>
      </c>
      <c r="L499" s="204" t="e">
        <v>#N/A</v>
      </c>
      <c r="M499" s="205" t="e">
        <v>#N/A</v>
      </c>
      <c r="N499" s="205" t="e">
        <v>#N/A</v>
      </c>
      <c r="O499" s="205" t="e">
        <v>#N/A</v>
      </c>
      <c r="P499" s="205" t="e">
        <v>#N/A</v>
      </c>
      <c r="Q499" s="189" t="e">
        <v>#N/A</v>
      </c>
      <c r="R499" s="189" t="e">
        <v>#N/A</v>
      </c>
      <c r="S499" s="205" t="e">
        <v>#N/A</v>
      </c>
      <c r="T499" s="206"/>
    </row>
    <row r="500">
      <c r="C500" s="189" t="e">
        <v>#N/A</v>
      </c>
      <c r="D500" s="189" t="e">
        <v>#N/A</v>
      </c>
      <c r="E500" s="189" t="e">
        <v>#N/A</v>
      </c>
      <c r="F500" s="189" t="e">
        <v>#N/A</v>
      </c>
      <c r="G500" s="189" t="e">
        <v>#N/A</v>
      </c>
      <c r="H500" s="189" t="e">
        <v>#N/A</v>
      </c>
      <c r="I500" s="189" t="e">
        <v>#N/A</v>
      </c>
      <c r="J500" s="189" t="e">
        <v>#N/A</v>
      </c>
      <c r="K500" s="204" t="e">
        <v>#N/A</v>
      </c>
      <c r="L500" s="204" t="e">
        <v>#N/A</v>
      </c>
      <c r="M500" s="205" t="e">
        <v>#N/A</v>
      </c>
      <c r="N500" s="205" t="e">
        <v>#N/A</v>
      </c>
      <c r="O500" s="205" t="e">
        <v>#N/A</v>
      </c>
      <c r="P500" s="205" t="e">
        <v>#N/A</v>
      </c>
      <c r="Q500" s="189" t="e">
        <v>#N/A</v>
      </c>
      <c r="R500" s="189" t="e">
        <v>#N/A</v>
      </c>
      <c r="S500" s="205" t="e">
        <v>#N/A</v>
      </c>
      <c r="T500" s="206"/>
    </row>
    <row r="501">
      <c r="C501" s="189" t="e">
        <v>#N/A</v>
      </c>
      <c r="D501" s="189" t="e">
        <v>#N/A</v>
      </c>
      <c r="E501" s="189" t="e">
        <v>#N/A</v>
      </c>
      <c r="F501" s="189" t="e">
        <v>#N/A</v>
      </c>
      <c r="G501" s="189" t="e">
        <v>#N/A</v>
      </c>
      <c r="H501" s="189" t="e">
        <v>#N/A</v>
      </c>
      <c r="I501" s="189" t="e">
        <v>#N/A</v>
      </c>
      <c r="J501" s="189" t="e">
        <v>#N/A</v>
      </c>
      <c r="K501" s="204" t="e">
        <v>#N/A</v>
      </c>
      <c r="L501" s="204" t="e">
        <v>#N/A</v>
      </c>
      <c r="M501" s="205" t="e">
        <v>#N/A</v>
      </c>
      <c r="N501" s="205" t="e">
        <v>#N/A</v>
      </c>
      <c r="O501" s="205" t="e">
        <v>#N/A</v>
      </c>
      <c r="P501" s="205" t="e">
        <v>#N/A</v>
      </c>
      <c r="Q501" s="189" t="e">
        <v>#N/A</v>
      </c>
      <c r="R501" s="189" t="e">
        <v>#N/A</v>
      </c>
      <c r="S501" s="205" t="e">
        <v>#N/A</v>
      </c>
      <c r="T501" s="206"/>
    </row>
    <row r="502">
      <c r="C502" s="189" t="e">
        <v>#N/A</v>
      </c>
      <c r="D502" s="189" t="e">
        <v>#N/A</v>
      </c>
      <c r="E502" s="189" t="e">
        <v>#N/A</v>
      </c>
      <c r="F502" s="189" t="e">
        <v>#N/A</v>
      </c>
      <c r="G502" s="189" t="e">
        <v>#N/A</v>
      </c>
      <c r="H502" s="189" t="e">
        <v>#N/A</v>
      </c>
      <c r="I502" s="189" t="e">
        <v>#N/A</v>
      </c>
      <c r="J502" s="189" t="e">
        <v>#N/A</v>
      </c>
      <c r="K502" s="204" t="e">
        <v>#N/A</v>
      </c>
      <c r="L502" s="204" t="e">
        <v>#N/A</v>
      </c>
      <c r="M502" s="205" t="e">
        <v>#N/A</v>
      </c>
      <c r="N502" s="205" t="e">
        <v>#N/A</v>
      </c>
      <c r="O502" s="205" t="e">
        <v>#N/A</v>
      </c>
      <c r="P502" s="205" t="e">
        <v>#N/A</v>
      </c>
      <c r="Q502" s="189" t="e">
        <v>#N/A</v>
      </c>
      <c r="R502" s="189" t="e">
        <v>#N/A</v>
      </c>
      <c r="S502" s="205" t="e">
        <v>#N/A</v>
      </c>
      <c r="T502" s="206"/>
    </row>
    <row r="503">
      <c r="C503" s="189" t="e">
        <v>#N/A</v>
      </c>
      <c r="D503" s="189" t="e">
        <v>#N/A</v>
      </c>
      <c r="E503" s="189" t="e">
        <v>#N/A</v>
      </c>
      <c r="F503" s="189" t="e">
        <v>#N/A</v>
      </c>
      <c r="G503" s="189" t="e">
        <v>#N/A</v>
      </c>
      <c r="H503" s="189" t="e">
        <v>#N/A</v>
      </c>
      <c r="I503" s="189" t="e">
        <v>#N/A</v>
      </c>
      <c r="J503" s="189" t="e">
        <v>#N/A</v>
      </c>
      <c r="K503" s="204" t="e">
        <v>#N/A</v>
      </c>
      <c r="L503" s="204" t="e">
        <v>#N/A</v>
      </c>
      <c r="M503" s="205" t="e">
        <v>#N/A</v>
      </c>
      <c r="N503" s="205" t="e">
        <v>#N/A</v>
      </c>
      <c r="O503" s="205" t="e">
        <v>#N/A</v>
      </c>
      <c r="P503" s="205" t="e">
        <v>#N/A</v>
      </c>
      <c r="Q503" s="189" t="e">
        <v>#N/A</v>
      </c>
      <c r="R503" s="189" t="e">
        <v>#N/A</v>
      </c>
      <c r="S503" s="205" t="e">
        <v>#N/A</v>
      </c>
      <c r="T503" s="206"/>
    </row>
    <row r="504">
      <c r="C504" s="189" t="e">
        <v>#N/A</v>
      </c>
      <c r="D504" s="189" t="e">
        <v>#N/A</v>
      </c>
      <c r="E504" s="189" t="e">
        <v>#N/A</v>
      </c>
      <c r="F504" s="189" t="e">
        <v>#N/A</v>
      </c>
      <c r="G504" s="189" t="e">
        <v>#N/A</v>
      </c>
      <c r="H504" s="189" t="e">
        <v>#N/A</v>
      </c>
      <c r="I504" s="189" t="e">
        <v>#N/A</v>
      </c>
      <c r="J504" s="189" t="e">
        <v>#N/A</v>
      </c>
      <c r="K504" s="204" t="e">
        <v>#N/A</v>
      </c>
      <c r="L504" s="204" t="e">
        <v>#N/A</v>
      </c>
      <c r="M504" s="205" t="e">
        <v>#N/A</v>
      </c>
      <c r="N504" s="205" t="e">
        <v>#N/A</v>
      </c>
      <c r="O504" s="205" t="e">
        <v>#N/A</v>
      </c>
      <c r="P504" s="205" t="e">
        <v>#N/A</v>
      </c>
      <c r="Q504" s="189" t="e">
        <v>#N/A</v>
      </c>
      <c r="R504" s="189" t="e">
        <v>#N/A</v>
      </c>
      <c r="S504" s="205" t="e">
        <v>#N/A</v>
      </c>
      <c r="T504" s="206"/>
    </row>
    <row r="505">
      <c r="C505" s="189" t="e">
        <v>#N/A</v>
      </c>
      <c r="D505" s="189" t="e">
        <v>#N/A</v>
      </c>
      <c r="E505" s="189" t="e">
        <v>#N/A</v>
      </c>
      <c r="F505" s="189" t="e">
        <v>#N/A</v>
      </c>
      <c r="G505" s="189" t="e">
        <v>#N/A</v>
      </c>
      <c r="H505" s="189" t="e">
        <v>#N/A</v>
      </c>
      <c r="I505" s="189" t="e">
        <v>#N/A</v>
      </c>
      <c r="J505" s="189" t="e">
        <v>#N/A</v>
      </c>
      <c r="K505" s="204" t="e">
        <v>#N/A</v>
      </c>
      <c r="L505" s="204" t="e">
        <v>#N/A</v>
      </c>
      <c r="M505" s="205" t="e">
        <v>#N/A</v>
      </c>
      <c r="N505" s="205" t="e">
        <v>#N/A</v>
      </c>
      <c r="O505" s="205" t="e">
        <v>#N/A</v>
      </c>
      <c r="P505" s="205" t="e">
        <v>#N/A</v>
      </c>
      <c r="Q505" s="189" t="e">
        <v>#N/A</v>
      </c>
      <c r="R505" s="189" t="e">
        <v>#N/A</v>
      </c>
      <c r="S505" s="205" t="e">
        <v>#N/A</v>
      </c>
      <c r="T505" s="206"/>
    </row>
    <row r="506">
      <c r="C506" s="189" t="e">
        <v>#N/A</v>
      </c>
      <c r="D506" s="189" t="e">
        <v>#N/A</v>
      </c>
      <c r="E506" s="189" t="e">
        <v>#N/A</v>
      </c>
      <c r="F506" s="189" t="e">
        <v>#N/A</v>
      </c>
      <c r="G506" s="189" t="e">
        <v>#N/A</v>
      </c>
      <c r="H506" s="189" t="e">
        <v>#N/A</v>
      </c>
      <c r="I506" s="189" t="e">
        <v>#N/A</v>
      </c>
      <c r="J506" s="189" t="e">
        <v>#N/A</v>
      </c>
      <c r="K506" s="204" t="e">
        <v>#N/A</v>
      </c>
      <c r="L506" s="204" t="e">
        <v>#N/A</v>
      </c>
      <c r="M506" s="205" t="e">
        <v>#N/A</v>
      </c>
      <c r="N506" s="205" t="e">
        <v>#N/A</v>
      </c>
      <c r="O506" s="205" t="e">
        <v>#N/A</v>
      </c>
      <c r="P506" s="205" t="e">
        <v>#N/A</v>
      </c>
      <c r="Q506" s="189" t="e">
        <v>#N/A</v>
      </c>
      <c r="R506" s="189" t="e">
        <v>#N/A</v>
      </c>
      <c r="S506" s="205" t="e">
        <v>#N/A</v>
      </c>
      <c r="T506" s="206"/>
    </row>
    <row r="507">
      <c r="C507" s="189" t="e">
        <v>#N/A</v>
      </c>
      <c r="D507" s="189" t="e">
        <v>#N/A</v>
      </c>
      <c r="E507" s="189" t="e">
        <v>#N/A</v>
      </c>
      <c r="F507" s="189" t="e">
        <v>#N/A</v>
      </c>
      <c r="G507" s="189" t="e">
        <v>#N/A</v>
      </c>
      <c r="H507" s="189" t="e">
        <v>#N/A</v>
      </c>
      <c r="I507" s="189" t="e">
        <v>#N/A</v>
      </c>
      <c r="J507" s="189" t="e">
        <v>#N/A</v>
      </c>
      <c r="K507" s="204" t="e">
        <v>#N/A</v>
      </c>
      <c r="L507" s="204" t="e">
        <v>#N/A</v>
      </c>
      <c r="M507" s="205" t="e">
        <v>#N/A</v>
      </c>
      <c r="N507" s="205" t="e">
        <v>#N/A</v>
      </c>
      <c r="O507" s="205" t="e">
        <v>#N/A</v>
      </c>
      <c r="P507" s="205" t="e">
        <v>#N/A</v>
      </c>
      <c r="Q507" s="189" t="e">
        <v>#N/A</v>
      </c>
      <c r="R507" s="189" t="e">
        <v>#N/A</v>
      </c>
      <c r="S507" s="205" t="e">
        <v>#N/A</v>
      </c>
      <c r="T507" s="206"/>
    </row>
    <row r="508">
      <c r="C508" s="189" t="e">
        <v>#N/A</v>
      </c>
      <c r="D508" s="189" t="e">
        <v>#N/A</v>
      </c>
      <c r="E508" s="189" t="e">
        <v>#N/A</v>
      </c>
      <c r="F508" s="189" t="e">
        <v>#N/A</v>
      </c>
      <c r="G508" s="189" t="e">
        <v>#N/A</v>
      </c>
      <c r="H508" s="189" t="e">
        <v>#N/A</v>
      </c>
      <c r="I508" s="189" t="e">
        <v>#N/A</v>
      </c>
      <c r="J508" s="189" t="e">
        <v>#N/A</v>
      </c>
      <c r="K508" s="204" t="e">
        <v>#N/A</v>
      </c>
      <c r="L508" s="204" t="e">
        <v>#N/A</v>
      </c>
      <c r="M508" s="205" t="e">
        <v>#N/A</v>
      </c>
      <c r="N508" s="205" t="e">
        <v>#N/A</v>
      </c>
      <c r="O508" s="205" t="e">
        <v>#N/A</v>
      </c>
      <c r="P508" s="205" t="e">
        <v>#N/A</v>
      </c>
      <c r="Q508" s="189" t="e">
        <v>#N/A</v>
      </c>
      <c r="R508" s="189" t="e">
        <v>#N/A</v>
      </c>
      <c r="S508" s="205" t="e">
        <v>#N/A</v>
      </c>
      <c r="T508" s="206"/>
    </row>
    <row r="509">
      <c r="C509" s="189" t="e">
        <v>#N/A</v>
      </c>
      <c r="D509" s="189" t="e">
        <v>#N/A</v>
      </c>
      <c r="E509" s="189" t="e">
        <v>#N/A</v>
      </c>
      <c r="F509" s="189" t="e">
        <v>#N/A</v>
      </c>
      <c r="G509" s="189" t="e">
        <v>#N/A</v>
      </c>
      <c r="H509" s="189" t="e">
        <v>#N/A</v>
      </c>
      <c r="I509" s="189" t="e">
        <v>#N/A</v>
      </c>
      <c r="J509" s="189" t="e">
        <v>#N/A</v>
      </c>
      <c r="K509" s="204" t="e">
        <v>#N/A</v>
      </c>
      <c r="L509" s="204" t="e">
        <v>#N/A</v>
      </c>
      <c r="M509" s="205" t="e">
        <v>#N/A</v>
      </c>
      <c r="N509" s="205" t="e">
        <v>#N/A</v>
      </c>
      <c r="O509" s="205" t="e">
        <v>#N/A</v>
      </c>
      <c r="P509" s="205" t="e">
        <v>#N/A</v>
      </c>
      <c r="Q509" s="189" t="e">
        <v>#N/A</v>
      </c>
      <c r="R509" s="189" t="e">
        <v>#N/A</v>
      </c>
      <c r="S509" s="205" t="e">
        <v>#N/A</v>
      </c>
      <c r="T509" s="206"/>
    </row>
    <row r="510">
      <c r="C510" s="189" t="e">
        <v>#N/A</v>
      </c>
      <c r="D510" s="189" t="e">
        <v>#N/A</v>
      </c>
      <c r="E510" s="189" t="e">
        <v>#N/A</v>
      </c>
      <c r="F510" s="189" t="e">
        <v>#N/A</v>
      </c>
      <c r="G510" s="189" t="e">
        <v>#N/A</v>
      </c>
      <c r="H510" s="189" t="e">
        <v>#N/A</v>
      </c>
      <c r="I510" s="189" t="e">
        <v>#N/A</v>
      </c>
      <c r="J510" s="189" t="e">
        <v>#N/A</v>
      </c>
      <c r="K510" s="204" t="e">
        <v>#N/A</v>
      </c>
      <c r="L510" s="204" t="e">
        <v>#N/A</v>
      </c>
      <c r="M510" s="205" t="e">
        <v>#N/A</v>
      </c>
      <c r="N510" s="205" t="e">
        <v>#N/A</v>
      </c>
      <c r="O510" s="205" t="e">
        <v>#N/A</v>
      </c>
      <c r="P510" s="205" t="e">
        <v>#N/A</v>
      </c>
      <c r="Q510" s="189" t="e">
        <v>#N/A</v>
      </c>
      <c r="R510" s="189" t="e">
        <v>#N/A</v>
      </c>
      <c r="S510" s="205" t="e">
        <v>#N/A</v>
      </c>
      <c r="T510" s="206"/>
    </row>
    <row r="511">
      <c r="C511" s="189" t="e">
        <v>#N/A</v>
      </c>
      <c r="D511" s="189" t="e">
        <v>#N/A</v>
      </c>
      <c r="E511" s="189" t="e">
        <v>#N/A</v>
      </c>
      <c r="F511" s="189" t="e">
        <v>#N/A</v>
      </c>
      <c r="G511" s="189" t="e">
        <v>#N/A</v>
      </c>
      <c r="H511" s="189" t="e">
        <v>#N/A</v>
      </c>
      <c r="I511" s="189" t="e">
        <v>#N/A</v>
      </c>
      <c r="J511" s="189" t="e">
        <v>#N/A</v>
      </c>
      <c r="K511" s="204" t="e">
        <v>#N/A</v>
      </c>
      <c r="L511" s="204" t="e">
        <v>#N/A</v>
      </c>
      <c r="M511" s="205" t="e">
        <v>#N/A</v>
      </c>
      <c r="N511" s="205" t="e">
        <v>#N/A</v>
      </c>
      <c r="O511" s="205" t="e">
        <v>#N/A</v>
      </c>
      <c r="P511" s="205" t="e">
        <v>#N/A</v>
      </c>
      <c r="Q511" s="189" t="e">
        <v>#N/A</v>
      </c>
      <c r="R511" s="189" t="e">
        <v>#N/A</v>
      </c>
      <c r="S511" s="205" t="e">
        <v>#N/A</v>
      </c>
      <c r="T511" s="206"/>
    </row>
    <row r="512">
      <c r="C512" s="189" t="e">
        <v>#N/A</v>
      </c>
      <c r="D512" s="189" t="e">
        <v>#N/A</v>
      </c>
      <c r="E512" s="189" t="e">
        <v>#N/A</v>
      </c>
      <c r="F512" s="189" t="e">
        <v>#N/A</v>
      </c>
      <c r="G512" s="189" t="e">
        <v>#N/A</v>
      </c>
      <c r="H512" s="189" t="e">
        <v>#N/A</v>
      </c>
      <c r="I512" s="189" t="e">
        <v>#N/A</v>
      </c>
      <c r="J512" s="189" t="e">
        <v>#N/A</v>
      </c>
      <c r="K512" s="204" t="e">
        <v>#N/A</v>
      </c>
      <c r="L512" s="204" t="e">
        <v>#N/A</v>
      </c>
      <c r="M512" s="205" t="e">
        <v>#N/A</v>
      </c>
      <c r="N512" s="205" t="e">
        <v>#N/A</v>
      </c>
      <c r="O512" s="205" t="e">
        <v>#N/A</v>
      </c>
      <c r="P512" s="205" t="e">
        <v>#N/A</v>
      </c>
      <c r="Q512" s="189" t="e">
        <v>#N/A</v>
      </c>
      <c r="R512" s="189" t="e">
        <v>#N/A</v>
      </c>
      <c r="S512" s="205" t="e">
        <v>#N/A</v>
      </c>
      <c r="T512" s="206"/>
    </row>
    <row r="513">
      <c r="C513" s="189" t="e">
        <v>#N/A</v>
      </c>
      <c r="D513" s="189" t="e">
        <v>#N/A</v>
      </c>
      <c r="E513" s="189" t="e">
        <v>#N/A</v>
      </c>
      <c r="F513" s="189" t="e">
        <v>#N/A</v>
      </c>
      <c r="G513" s="189" t="e">
        <v>#N/A</v>
      </c>
      <c r="H513" s="189" t="e">
        <v>#N/A</v>
      </c>
      <c r="I513" s="189" t="e">
        <v>#N/A</v>
      </c>
      <c r="J513" s="189" t="e">
        <v>#N/A</v>
      </c>
      <c r="K513" s="204" t="e">
        <v>#N/A</v>
      </c>
      <c r="L513" s="204" t="e">
        <v>#N/A</v>
      </c>
      <c r="M513" s="205" t="e">
        <v>#N/A</v>
      </c>
      <c r="N513" s="205" t="e">
        <v>#N/A</v>
      </c>
      <c r="O513" s="205" t="e">
        <v>#N/A</v>
      </c>
      <c r="P513" s="205" t="e">
        <v>#N/A</v>
      </c>
      <c r="Q513" s="189" t="e">
        <v>#N/A</v>
      </c>
      <c r="R513" s="189" t="e">
        <v>#N/A</v>
      </c>
      <c r="S513" s="205" t="e">
        <v>#N/A</v>
      </c>
      <c r="T513" s="206"/>
    </row>
    <row r="514">
      <c r="C514" s="189" t="e">
        <v>#N/A</v>
      </c>
      <c r="D514" s="189" t="e">
        <v>#N/A</v>
      </c>
      <c r="E514" s="189" t="e">
        <v>#N/A</v>
      </c>
      <c r="F514" s="189" t="e">
        <v>#N/A</v>
      </c>
      <c r="G514" s="189" t="e">
        <v>#N/A</v>
      </c>
      <c r="H514" s="189" t="e">
        <v>#N/A</v>
      </c>
      <c r="I514" s="189" t="e">
        <v>#N/A</v>
      </c>
      <c r="J514" s="189" t="e">
        <v>#N/A</v>
      </c>
      <c r="K514" s="204" t="e">
        <v>#N/A</v>
      </c>
      <c r="L514" s="204" t="e">
        <v>#N/A</v>
      </c>
      <c r="M514" s="205" t="e">
        <v>#N/A</v>
      </c>
      <c r="N514" s="205" t="e">
        <v>#N/A</v>
      </c>
      <c r="O514" s="205" t="e">
        <v>#N/A</v>
      </c>
      <c r="P514" s="205" t="e">
        <v>#N/A</v>
      </c>
      <c r="Q514" s="189" t="e">
        <v>#N/A</v>
      </c>
      <c r="R514" s="189" t="e">
        <v>#N/A</v>
      </c>
      <c r="S514" s="205" t="e">
        <v>#N/A</v>
      </c>
      <c r="T514" s="206"/>
    </row>
    <row r="515">
      <c r="C515" s="189" t="e">
        <v>#N/A</v>
      </c>
      <c r="D515" s="189" t="e">
        <v>#N/A</v>
      </c>
      <c r="E515" s="189" t="e">
        <v>#N/A</v>
      </c>
      <c r="F515" s="189" t="e">
        <v>#N/A</v>
      </c>
      <c r="G515" s="189" t="e">
        <v>#N/A</v>
      </c>
      <c r="H515" s="189" t="e">
        <v>#N/A</v>
      </c>
      <c r="I515" s="189" t="e">
        <v>#N/A</v>
      </c>
      <c r="J515" s="189" t="e">
        <v>#N/A</v>
      </c>
      <c r="K515" s="204" t="e">
        <v>#N/A</v>
      </c>
      <c r="L515" s="204" t="e">
        <v>#N/A</v>
      </c>
      <c r="M515" s="205" t="e">
        <v>#N/A</v>
      </c>
      <c r="N515" s="205" t="e">
        <v>#N/A</v>
      </c>
      <c r="O515" s="205" t="e">
        <v>#N/A</v>
      </c>
      <c r="P515" s="205" t="e">
        <v>#N/A</v>
      </c>
      <c r="Q515" s="189" t="e">
        <v>#N/A</v>
      </c>
      <c r="R515" s="189" t="e">
        <v>#N/A</v>
      </c>
      <c r="S515" s="205" t="e">
        <v>#N/A</v>
      </c>
      <c r="T515" s="206"/>
    </row>
    <row r="516">
      <c r="C516" s="189" t="e">
        <v>#N/A</v>
      </c>
      <c r="D516" s="189" t="e">
        <v>#N/A</v>
      </c>
      <c r="E516" s="189" t="e">
        <v>#N/A</v>
      </c>
      <c r="F516" s="189" t="e">
        <v>#N/A</v>
      </c>
      <c r="G516" s="189" t="e">
        <v>#N/A</v>
      </c>
      <c r="H516" s="189" t="e">
        <v>#N/A</v>
      </c>
      <c r="I516" s="189" t="e">
        <v>#N/A</v>
      </c>
      <c r="J516" s="189" t="e">
        <v>#N/A</v>
      </c>
      <c r="K516" s="204" t="e">
        <v>#N/A</v>
      </c>
      <c r="L516" s="204" t="e">
        <v>#N/A</v>
      </c>
      <c r="M516" s="205" t="e">
        <v>#N/A</v>
      </c>
      <c r="N516" s="205" t="e">
        <v>#N/A</v>
      </c>
      <c r="O516" s="205" t="e">
        <v>#N/A</v>
      </c>
      <c r="P516" s="205" t="e">
        <v>#N/A</v>
      </c>
      <c r="Q516" s="189" t="e">
        <v>#N/A</v>
      </c>
      <c r="R516" s="189" t="e">
        <v>#N/A</v>
      </c>
      <c r="S516" s="205" t="e">
        <v>#N/A</v>
      </c>
      <c r="T516" s="206"/>
    </row>
    <row r="517">
      <c r="C517" s="189" t="e">
        <v>#N/A</v>
      </c>
      <c r="D517" s="189" t="e">
        <v>#N/A</v>
      </c>
      <c r="E517" s="189" t="e">
        <v>#N/A</v>
      </c>
      <c r="F517" s="189" t="e">
        <v>#N/A</v>
      </c>
      <c r="G517" s="189" t="e">
        <v>#N/A</v>
      </c>
      <c r="H517" s="189" t="e">
        <v>#N/A</v>
      </c>
      <c r="I517" s="189" t="e">
        <v>#N/A</v>
      </c>
      <c r="J517" s="189" t="e">
        <v>#N/A</v>
      </c>
      <c r="K517" s="204" t="e">
        <v>#N/A</v>
      </c>
      <c r="L517" s="204" t="e">
        <v>#N/A</v>
      </c>
      <c r="M517" s="205" t="e">
        <v>#N/A</v>
      </c>
      <c r="N517" s="205" t="e">
        <v>#N/A</v>
      </c>
      <c r="O517" s="205" t="e">
        <v>#N/A</v>
      </c>
      <c r="P517" s="205" t="e">
        <v>#N/A</v>
      </c>
      <c r="Q517" s="189" t="e">
        <v>#N/A</v>
      </c>
      <c r="R517" s="189" t="e">
        <v>#N/A</v>
      </c>
      <c r="S517" s="205" t="e">
        <v>#N/A</v>
      </c>
      <c r="T517" s="206"/>
    </row>
    <row r="518">
      <c r="C518" s="189" t="e">
        <v>#N/A</v>
      </c>
      <c r="D518" s="189" t="e">
        <v>#N/A</v>
      </c>
      <c r="E518" s="189" t="e">
        <v>#N/A</v>
      </c>
      <c r="F518" s="189" t="e">
        <v>#N/A</v>
      </c>
      <c r="G518" s="189" t="e">
        <v>#N/A</v>
      </c>
      <c r="H518" s="189" t="e">
        <v>#N/A</v>
      </c>
      <c r="I518" s="189" t="e">
        <v>#N/A</v>
      </c>
      <c r="J518" s="189" t="e">
        <v>#N/A</v>
      </c>
      <c r="K518" s="204" t="e">
        <v>#N/A</v>
      </c>
      <c r="L518" s="204" t="e">
        <v>#N/A</v>
      </c>
      <c r="M518" s="205" t="e">
        <v>#N/A</v>
      </c>
      <c r="N518" s="205" t="e">
        <v>#N/A</v>
      </c>
      <c r="O518" s="205" t="e">
        <v>#N/A</v>
      </c>
      <c r="P518" s="205" t="e">
        <v>#N/A</v>
      </c>
      <c r="Q518" s="189" t="e">
        <v>#N/A</v>
      </c>
      <c r="R518" s="189" t="e">
        <v>#N/A</v>
      </c>
      <c r="S518" s="205" t="e">
        <v>#N/A</v>
      </c>
      <c r="T518" s="206"/>
    </row>
    <row r="519">
      <c r="C519" s="189" t="e">
        <v>#N/A</v>
      </c>
      <c r="D519" s="189" t="e">
        <v>#N/A</v>
      </c>
      <c r="E519" s="189" t="e">
        <v>#N/A</v>
      </c>
      <c r="F519" s="189" t="e">
        <v>#N/A</v>
      </c>
      <c r="G519" s="189" t="e">
        <v>#N/A</v>
      </c>
      <c r="H519" s="189" t="e">
        <v>#N/A</v>
      </c>
      <c r="I519" s="189" t="e">
        <v>#N/A</v>
      </c>
      <c r="J519" s="189" t="e">
        <v>#N/A</v>
      </c>
      <c r="K519" s="204" t="e">
        <v>#N/A</v>
      </c>
      <c r="L519" s="204" t="e">
        <v>#N/A</v>
      </c>
      <c r="M519" s="205" t="e">
        <v>#N/A</v>
      </c>
      <c r="N519" s="205" t="e">
        <v>#N/A</v>
      </c>
      <c r="O519" s="205" t="e">
        <v>#N/A</v>
      </c>
      <c r="P519" s="205" t="e">
        <v>#N/A</v>
      </c>
      <c r="Q519" s="189" t="e">
        <v>#N/A</v>
      </c>
      <c r="R519" s="189" t="e">
        <v>#N/A</v>
      </c>
      <c r="S519" s="205" t="e">
        <v>#N/A</v>
      </c>
      <c r="T519" s="206"/>
    </row>
    <row r="520">
      <c r="C520" s="189" t="e">
        <v>#N/A</v>
      </c>
      <c r="D520" s="189" t="e">
        <v>#N/A</v>
      </c>
      <c r="E520" s="189" t="e">
        <v>#N/A</v>
      </c>
      <c r="F520" s="189" t="e">
        <v>#N/A</v>
      </c>
      <c r="G520" s="189" t="e">
        <v>#N/A</v>
      </c>
      <c r="H520" s="189" t="e">
        <v>#N/A</v>
      </c>
      <c r="I520" s="189" t="e">
        <v>#N/A</v>
      </c>
      <c r="J520" s="189" t="e">
        <v>#N/A</v>
      </c>
      <c r="K520" s="204" t="e">
        <v>#N/A</v>
      </c>
      <c r="L520" s="204" t="e">
        <v>#N/A</v>
      </c>
      <c r="M520" s="205" t="e">
        <v>#N/A</v>
      </c>
      <c r="N520" s="205" t="e">
        <v>#N/A</v>
      </c>
      <c r="O520" s="205" t="e">
        <v>#N/A</v>
      </c>
      <c r="P520" s="205" t="e">
        <v>#N/A</v>
      </c>
      <c r="Q520" s="189" t="e">
        <v>#N/A</v>
      </c>
      <c r="R520" s="189" t="e">
        <v>#N/A</v>
      </c>
      <c r="S520" s="205" t="e">
        <v>#N/A</v>
      </c>
      <c r="T520" s="206"/>
    </row>
    <row r="521">
      <c r="C521" s="189" t="e">
        <v>#N/A</v>
      </c>
      <c r="D521" s="189" t="e">
        <v>#N/A</v>
      </c>
      <c r="E521" s="189" t="e">
        <v>#N/A</v>
      </c>
      <c r="F521" s="189" t="e">
        <v>#N/A</v>
      </c>
      <c r="G521" s="189" t="e">
        <v>#N/A</v>
      </c>
      <c r="H521" s="189" t="e">
        <v>#N/A</v>
      </c>
      <c r="I521" s="189" t="e">
        <v>#N/A</v>
      </c>
      <c r="J521" s="189" t="e">
        <v>#N/A</v>
      </c>
      <c r="K521" s="204" t="e">
        <v>#N/A</v>
      </c>
      <c r="L521" s="204" t="e">
        <v>#N/A</v>
      </c>
      <c r="M521" s="205" t="e">
        <v>#N/A</v>
      </c>
      <c r="N521" s="205" t="e">
        <v>#N/A</v>
      </c>
      <c r="O521" s="205" t="e">
        <v>#N/A</v>
      </c>
      <c r="P521" s="205" t="e">
        <v>#N/A</v>
      </c>
      <c r="Q521" s="189" t="e">
        <v>#N/A</v>
      </c>
      <c r="R521" s="189" t="e">
        <v>#N/A</v>
      </c>
      <c r="S521" s="205" t="e">
        <v>#N/A</v>
      </c>
      <c r="T521" s="206"/>
    </row>
    <row r="522">
      <c r="C522" s="189" t="e">
        <v>#N/A</v>
      </c>
      <c r="D522" s="189" t="e">
        <v>#N/A</v>
      </c>
      <c r="E522" s="189" t="e">
        <v>#N/A</v>
      </c>
      <c r="F522" s="189" t="e">
        <v>#N/A</v>
      </c>
      <c r="G522" s="189" t="e">
        <v>#N/A</v>
      </c>
      <c r="H522" s="189" t="e">
        <v>#N/A</v>
      </c>
      <c r="I522" s="189" t="e">
        <v>#N/A</v>
      </c>
      <c r="J522" s="189" t="e">
        <v>#N/A</v>
      </c>
      <c r="K522" s="204" t="e">
        <v>#N/A</v>
      </c>
      <c r="L522" s="204" t="e">
        <v>#N/A</v>
      </c>
      <c r="M522" s="205" t="e">
        <v>#N/A</v>
      </c>
      <c r="N522" s="205" t="e">
        <v>#N/A</v>
      </c>
      <c r="O522" s="205" t="e">
        <v>#N/A</v>
      </c>
      <c r="P522" s="205" t="e">
        <v>#N/A</v>
      </c>
      <c r="Q522" s="189" t="e">
        <v>#N/A</v>
      </c>
      <c r="R522" s="189" t="e">
        <v>#N/A</v>
      </c>
      <c r="S522" s="205" t="e">
        <v>#N/A</v>
      </c>
      <c r="T522" s="206"/>
    </row>
    <row r="523">
      <c r="C523" s="189" t="e">
        <v>#N/A</v>
      </c>
      <c r="D523" s="189" t="e">
        <v>#N/A</v>
      </c>
      <c r="E523" s="189" t="e">
        <v>#N/A</v>
      </c>
      <c r="F523" s="189" t="e">
        <v>#N/A</v>
      </c>
      <c r="G523" s="189" t="e">
        <v>#N/A</v>
      </c>
      <c r="H523" s="189" t="e">
        <v>#N/A</v>
      </c>
      <c r="I523" s="189" t="e">
        <v>#N/A</v>
      </c>
      <c r="J523" s="189" t="e">
        <v>#N/A</v>
      </c>
      <c r="K523" s="204" t="e">
        <v>#N/A</v>
      </c>
      <c r="L523" s="204" t="e">
        <v>#N/A</v>
      </c>
      <c r="M523" s="205" t="e">
        <v>#N/A</v>
      </c>
      <c r="N523" s="205" t="e">
        <v>#N/A</v>
      </c>
      <c r="O523" s="205" t="e">
        <v>#N/A</v>
      </c>
      <c r="P523" s="205" t="e">
        <v>#N/A</v>
      </c>
      <c r="Q523" s="189" t="e">
        <v>#N/A</v>
      </c>
      <c r="R523" s="189" t="e">
        <v>#N/A</v>
      </c>
      <c r="S523" s="205" t="e">
        <v>#N/A</v>
      </c>
      <c r="T523" s="206"/>
    </row>
    <row r="524">
      <c r="C524" s="189" t="e">
        <v>#N/A</v>
      </c>
      <c r="D524" s="189" t="e">
        <v>#N/A</v>
      </c>
      <c r="E524" s="189" t="e">
        <v>#N/A</v>
      </c>
      <c r="F524" s="189" t="e">
        <v>#N/A</v>
      </c>
      <c r="G524" s="189" t="e">
        <v>#N/A</v>
      </c>
      <c r="H524" s="189" t="e">
        <v>#N/A</v>
      </c>
      <c r="I524" s="189" t="e">
        <v>#N/A</v>
      </c>
      <c r="J524" s="189" t="e">
        <v>#N/A</v>
      </c>
      <c r="K524" s="204" t="e">
        <v>#N/A</v>
      </c>
      <c r="L524" s="204" t="e">
        <v>#N/A</v>
      </c>
      <c r="M524" s="205" t="e">
        <v>#N/A</v>
      </c>
      <c r="N524" s="205" t="e">
        <v>#N/A</v>
      </c>
      <c r="O524" s="205" t="e">
        <v>#N/A</v>
      </c>
      <c r="P524" s="205" t="e">
        <v>#N/A</v>
      </c>
      <c r="Q524" s="189" t="e">
        <v>#N/A</v>
      </c>
      <c r="R524" s="189" t="e">
        <v>#N/A</v>
      </c>
      <c r="S524" s="205" t="e">
        <v>#N/A</v>
      </c>
      <c r="T524" s="206"/>
    </row>
    <row r="525">
      <c r="C525" s="189" t="e">
        <v>#N/A</v>
      </c>
      <c r="D525" s="189" t="e">
        <v>#N/A</v>
      </c>
      <c r="E525" s="189" t="e">
        <v>#N/A</v>
      </c>
      <c r="F525" s="189" t="e">
        <v>#N/A</v>
      </c>
      <c r="G525" s="189" t="e">
        <v>#N/A</v>
      </c>
      <c r="H525" s="189" t="e">
        <v>#N/A</v>
      </c>
      <c r="I525" s="189" t="e">
        <v>#N/A</v>
      </c>
      <c r="J525" s="189" t="e">
        <v>#N/A</v>
      </c>
      <c r="K525" s="204" t="e">
        <v>#N/A</v>
      </c>
      <c r="L525" s="204" t="e">
        <v>#N/A</v>
      </c>
      <c r="M525" s="205" t="e">
        <v>#N/A</v>
      </c>
      <c r="N525" s="205" t="e">
        <v>#N/A</v>
      </c>
      <c r="O525" s="205" t="e">
        <v>#N/A</v>
      </c>
      <c r="P525" s="205" t="e">
        <v>#N/A</v>
      </c>
      <c r="Q525" s="189" t="e">
        <v>#N/A</v>
      </c>
      <c r="R525" s="189" t="e">
        <v>#N/A</v>
      </c>
      <c r="S525" s="205" t="e">
        <v>#N/A</v>
      </c>
      <c r="T525" s="206"/>
    </row>
    <row r="526">
      <c r="C526" s="189" t="e">
        <v>#N/A</v>
      </c>
      <c r="D526" s="189" t="e">
        <v>#N/A</v>
      </c>
      <c r="E526" s="189" t="e">
        <v>#N/A</v>
      </c>
      <c r="F526" s="189" t="e">
        <v>#N/A</v>
      </c>
      <c r="G526" s="189" t="e">
        <v>#N/A</v>
      </c>
      <c r="H526" s="189" t="e">
        <v>#N/A</v>
      </c>
      <c r="I526" s="189" t="e">
        <v>#N/A</v>
      </c>
      <c r="J526" s="189" t="e">
        <v>#N/A</v>
      </c>
      <c r="K526" s="204" t="e">
        <v>#N/A</v>
      </c>
      <c r="L526" s="204" t="e">
        <v>#N/A</v>
      </c>
      <c r="M526" s="205" t="e">
        <v>#N/A</v>
      </c>
      <c r="N526" s="205" t="e">
        <v>#N/A</v>
      </c>
      <c r="O526" s="205" t="e">
        <v>#N/A</v>
      </c>
      <c r="P526" s="205" t="e">
        <v>#N/A</v>
      </c>
      <c r="Q526" s="189" t="e">
        <v>#N/A</v>
      </c>
      <c r="R526" s="189" t="e">
        <v>#N/A</v>
      </c>
      <c r="S526" s="205" t="e">
        <v>#N/A</v>
      </c>
      <c r="T526" s="206"/>
    </row>
    <row r="527">
      <c r="C527" s="189" t="e">
        <v>#N/A</v>
      </c>
      <c r="D527" s="189" t="e">
        <v>#N/A</v>
      </c>
      <c r="E527" s="189" t="e">
        <v>#N/A</v>
      </c>
      <c r="F527" s="189" t="e">
        <v>#N/A</v>
      </c>
      <c r="G527" s="189" t="e">
        <v>#N/A</v>
      </c>
      <c r="H527" s="189" t="e">
        <v>#N/A</v>
      </c>
      <c r="I527" s="189" t="e">
        <v>#N/A</v>
      </c>
      <c r="J527" s="189" t="e">
        <v>#N/A</v>
      </c>
      <c r="K527" s="204" t="e">
        <v>#N/A</v>
      </c>
      <c r="L527" s="204" t="e">
        <v>#N/A</v>
      </c>
      <c r="M527" s="205" t="e">
        <v>#N/A</v>
      </c>
      <c r="N527" s="205" t="e">
        <v>#N/A</v>
      </c>
      <c r="O527" s="205" t="e">
        <v>#N/A</v>
      </c>
      <c r="P527" s="205" t="e">
        <v>#N/A</v>
      </c>
      <c r="Q527" s="189" t="e">
        <v>#N/A</v>
      </c>
      <c r="R527" s="189" t="e">
        <v>#N/A</v>
      </c>
      <c r="S527" s="205" t="e">
        <v>#N/A</v>
      </c>
      <c r="T527" s="206"/>
    </row>
    <row r="528">
      <c r="C528" s="189" t="e">
        <v>#N/A</v>
      </c>
      <c r="D528" s="189" t="e">
        <v>#N/A</v>
      </c>
      <c r="E528" s="189" t="e">
        <v>#N/A</v>
      </c>
      <c r="F528" s="189" t="e">
        <v>#N/A</v>
      </c>
      <c r="G528" s="189" t="e">
        <v>#N/A</v>
      </c>
      <c r="H528" s="189" t="e">
        <v>#N/A</v>
      </c>
      <c r="I528" s="189" t="e">
        <v>#N/A</v>
      </c>
      <c r="J528" s="189" t="e">
        <v>#N/A</v>
      </c>
      <c r="K528" s="204" t="e">
        <v>#N/A</v>
      </c>
      <c r="L528" s="204" t="e">
        <v>#N/A</v>
      </c>
      <c r="M528" s="205" t="e">
        <v>#N/A</v>
      </c>
      <c r="N528" s="205" t="e">
        <v>#N/A</v>
      </c>
      <c r="O528" s="205" t="e">
        <v>#N/A</v>
      </c>
      <c r="P528" s="205" t="e">
        <v>#N/A</v>
      </c>
      <c r="Q528" s="189" t="e">
        <v>#N/A</v>
      </c>
      <c r="R528" s="189" t="e">
        <v>#N/A</v>
      </c>
      <c r="S528" s="205" t="e">
        <v>#N/A</v>
      </c>
      <c r="T528" s="206"/>
    </row>
    <row r="529">
      <c r="C529" s="189" t="e">
        <v>#N/A</v>
      </c>
      <c r="D529" s="189" t="e">
        <v>#N/A</v>
      </c>
      <c r="E529" s="189" t="e">
        <v>#N/A</v>
      </c>
      <c r="F529" s="189" t="e">
        <v>#N/A</v>
      </c>
      <c r="G529" s="189" t="e">
        <v>#N/A</v>
      </c>
      <c r="H529" s="189" t="e">
        <v>#N/A</v>
      </c>
      <c r="I529" s="189" t="e">
        <v>#N/A</v>
      </c>
      <c r="J529" s="189" t="e">
        <v>#N/A</v>
      </c>
      <c r="K529" s="204" t="e">
        <v>#N/A</v>
      </c>
      <c r="L529" s="204" t="e">
        <v>#N/A</v>
      </c>
      <c r="M529" s="205" t="e">
        <v>#N/A</v>
      </c>
      <c r="N529" s="205" t="e">
        <v>#N/A</v>
      </c>
      <c r="O529" s="205" t="e">
        <v>#N/A</v>
      </c>
      <c r="P529" s="205" t="e">
        <v>#N/A</v>
      </c>
      <c r="Q529" s="189" t="e">
        <v>#N/A</v>
      </c>
      <c r="R529" s="189" t="e">
        <v>#N/A</v>
      </c>
      <c r="S529" s="205" t="e">
        <v>#N/A</v>
      </c>
      <c r="T529" s="206"/>
    </row>
    <row r="530">
      <c r="C530" s="189" t="e">
        <v>#N/A</v>
      </c>
      <c r="D530" s="189" t="e">
        <v>#N/A</v>
      </c>
      <c r="E530" s="189" t="e">
        <v>#N/A</v>
      </c>
      <c r="F530" s="189" t="e">
        <v>#N/A</v>
      </c>
      <c r="G530" s="189" t="e">
        <v>#N/A</v>
      </c>
      <c r="H530" s="189" t="e">
        <v>#N/A</v>
      </c>
      <c r="I530" s="189" t="e">
        <v>#N/A</v>
      </c>
      <c r="J530" s="189" t="e">
        <v>#N/A</v>
      </c>
      <c r="K530" s="204" t="e">
        <v>#N/A</v>
      </c>
      <c r="L530" s="204" t="e">
        <v>#N/A</v>
      </c>
      <c r="M530" s="205" t="e">
        <v>#N/A</v>
      </c>
      <c r="N530" s="205" t="e">
        <v>#N/A</v>
      </c>
      <c r="O530" s="205" t="e">
        <v>#N/A</v>
      </c>
      <c r="P530" s="205" t="e">
        <v>#N/A</v>
      </c>
      <c r="Q530" s="189" t="e">
        <v>#N/A</v>
      </c>
      <c r="R530" s="189" t="e">
        <v>#N/A</v>
      </c>
      <c r="S530" s="205" t="e">
        <v>#N/A</v>
      </c>
      <c r="T530" s="206"/>
    </row>
    <row r="531">
      <c r="C531" s="189" t="e">
        <v>#N/A</v>
      </c>
      <c r="D531" s="189" t="e">
        <v>#N/A</v>
      </c>
      <c r="E531" s="189" t="e">
        <v>#N/A</v>
      </c>
      <c r="F531" s="189" t="e">
        <v>#N/A</v>
      </c>
      <c r="G531" s="189" t="e">
        <v>#N/A</v>
      </c>
      <c r="H531" s="189" t="e">
        <v>#N/A</v>
      </c>
      <c r="I531" s="189" t="e">
        <v>#N/A</v>
      </c>
      <c r="J531" s="189" t="e">
        <v>#N/A</v>
      </c>
      <c r="K531" s="204" t="e">
        <v>#N/A</v>
      </c>
      <c r="L531" s="204" t="e">
        <v>#N/A</v>
      </c>
      <c r="M531" s="205" t="e">
        <v>#N/A</v>
      </c>
      <c r="N531" s="205" t="e">
        <v>#N/A</v>
      </c>
      <c r="O531" s="205" t="e">
        <v>#N/A</v>
      </c>
      <c r="P531" s="205" t="e">
        <v>#N/A</v>
      </c>
      <c r="Q531" s="189" t="e">
        <v>#N/A</v>
      </c>
      <c r="R531" s="189" t="e">
        <v>#N/A</v>
      </c>
      <c r="S531" s="205" t="e">
        <v>#N/A</v>
      </c>
      <c r="T531" s="206"/>
    </row>
    <row r="532">
      <c r="C532" s="189" t="e">
        <v>#N/A</v>
      </c>
      <c r="D532" s="189" t="e">
        <v>#N/A</v>
      </c>
      <c r="E532" s="189" t="e">
        <v>#N/A</v>
      </c>
      <c r="F532" s="189" t="e">
        <v>#N/A</v>
      </c>
      <c r="G532" s="189" t="e">
        <v>#N/A</v>
      </c>
      <c r="H532" s="189" t="e">
        <v>#N/A</v>
      </c>
      <c r="I532" s="189" t="e">
        <v>#N/A</v>
      </c>
      <c r="J532" s="189" t="e">
        <v>#N/A</v>
      </c>
      <c r="K532" s="204" t="e">
        <v>#N/A</v>
      </c>
      <c r="L532" s="204" t="e">
        <v>#N/A</v>
      </c>
      <c r="M532" s="205" t="e">
        <v>#N/A</v>
      </c>
      <c r="N532" s="205" t="e">
        <v>#N/A</v>
      </c>
      <c r="O532" s="205" t="e">
        <v>#N/A</v>
      </c>
      <c r="P532" s="205" t="e">
        <v>#N/A</v>
      </c>
      <c r="Q532" s="189" t="e">
        <v>#N/A</v>
      </c>
      <c r="R532" s="189" t="e">
        <v>#N/A</v>
      </c>
      <c r="S532" s="205" t="e">
        <v>#N/A</v>
      </c>
      <c r="T532" s="206"/>
    </row>
    <row r="533">
      <c r="C533" s="189" t="e">
        <v>#N/A</v>
      </c>
      <c r="D533" s="189" t="e">
        <v>#N/A</v>
      </c>
      <c r="E533" s="189" t="e">
        <v>#N/A</v>
      </c>
      <c r="F533" s="189" t="e">
        <v>#N/A</v>
      </c>
      <c r="G533" s="189" t="e">
        <v>#N/A</v>
      </c>
      <c r="H533" s="189" t="e">
        <v>#N/A</v>
      </c>
      <c r="I533" s="189" t="e">
        <v>#N/A</v>
      </c>
      <c r="J533" s="189" t="e">
        <v>#N/A</v>
      </c>
      <c r="K533" s="204" t="e">
        <v>#N/A</v>
      </c>
      <c r="L533" s="204" t="e">
        <v>#N/A</v>
      </c>
      <c r="M533" s="205" t="e">
        <v>#N/A</v>
      </c>
      <c r="N533" s="205" t="e">
        <v>#N/A</v>
      </c>
      <c r="O533" s="205" t="e">
        <v>#N/A</v>
      </c>
      <c r="P533" s="205" t="e">
        <v>#N/A</v>
      </c>
      <c r="Q533" s="189" t="e">
        <v>#N/A</v>
      </c>
      <c r="R533" s="189" t="e">
        <v>#N/A</v>
      </c>
      <c r="S533" s="205" t="e">
        <v>#N/A</v>
      </c>
      <c r="T533" s="206"/>
    </row>
    <row r="534">
      <c r="C534" s="189" t="e">
        <v>#N/A</v>
      </c>
      <c r="D534" s="189" t="e">
        <v>#N/A</v>
      </c>
      <c r="E534" s="189" t="e">
        <v>#N/A</v>
      </c>
      <c r="F534" s="189" t="e">
        <v>#N/A</v>
      </c>
      <c r="G534" s="189" t="e">
        <v>#N/A</v>
      </c>
      <c r="H534" s="189" t="e">
        <v>#N/A</v>
      </c>
      <c r="I534" s="189" t="e">
        <v>#N/A</v>
      </c>
      <c r="J534" s="189" t="e">
        <v>#N/A</v>
      </c>
      <c r="K534" s="204" t="e">
        <v>#N/A</v>
      </c>
      <c r="L534" s="204" t="e">
        <v>#N/A</v>
      </c>
      <c r="M534" s="205" t="e">
        <v>#N/A</v>
      </c>
      <c r="N534" s="205" t="e">
        <v>#N/A</v>
      </c>
      <c r="O534" s="205" t="e">
        <v>#N/A</v>
      </c>
      <c r="P534" s="205" t="e">
        <v>#N/A</v>
      </c>
      <c r="Q534" s="189" t="e">
        <v>#N/A</v>
      </c>
      <c r="R534" s="189" t="e">
        <v>#N/A</v>
      </c>
      <c r="S534" s="205" t="e">
        <v>#N/A</v>
      </c>
      <c r="T534" s="206"/>
    </row>
    <row r="535">
      <c r="C535" s="189" t="e">
        <v>#N/A</v>
      </c>
      <c r="D535" s="189" t="e">
        <v>#N/A</v>
      </c>
      <c r="E535" s="189" t="e">
        <v>#N/A</v>
      </c>
      <c r="F535" s="189" t="e">
        <v>#N/A</v>
      </c>
      <c r="G535" s="189" t="e">
        <v>#N/A</v>
      </c>
      <c r="H535" s="189" t="e">
        <v>#N/A</v>
      </c>
      <c r="I535" s="189" t="e">
        <v>#N/A</v>
      </c>
      <c r="J535" s="189" t="e">
        <v>#N/A</v>
      </c>
      <c r="K535" s="204" t="e">
        <v>#N/A</v>
      </c>
      <c r="L535" s="204" t="e">
        <v>#N/A</v>
      </c>
      <c r="M535" s="205" t="e">
        <v>#N/A</v>
      </c>
      <c r="N535" s="205" t="e">
        <v>#N/A</v>
      </c>
      <c r="O535" s="205" t="e">
        <v>#N/A</v>
      </c>
      <c r="P535" s="205" t="e">
        <v>#N/A</v>
      </c>
      <c r="Q535" s="189" t="e">
        <v>#N/A</v>
      </c>
      <c r="R535" s="189" t="e">
        <v>#N/A</v>
      </c>
      <c r="S535" s="205" t="e">
        <v>#N/A</v>
      </c>
      <c r="T535" s="206"/>
    </row>
    <row r="536">
      <c r="C536" s="189" t="e">
        <v>#N/A</v>
      </c>
      <c r="D536" s="189" t="e">
        <v>#N/A</v>
      </c>
      <c r="E536" s="189" t="e">
        <v>#N/A</v>
      </c>
      <c r="F536" s="189" t="e">
        <v>#N/A</v>
      </c>
      <c r="G536" s="189" t="e">
        <v>#N/A</v>
      </c>
      <c r="H536" s="189" t="e">
        <v>#N/A</v>
      </c>
      <c r="I536" s="189" t="e">
        <v>#N/A</v>
      </c>
      <c r="J536" s="189" t="e">
        <v>#N/A</v>
      </c>
      <c r="K536" s="204" t="e">
        <v>#N/A</v>
      </c>
      <c r="L536" s="204" t="e">
        <v>#N/A</v>
      </c>
      <c r="M536" s="205" t="e">
        <v>#N/A</v>
      </c>
      <c r="N536" s="205" t="e">
        <v>#N/A</v>
      </c>
      <c r="O536" s="205" t="e">
        <v>#N/A</v>
      </c>
      <c r="P536" s="205" t="e">
        <v>#N/A</v>
      </c>
      <c r="Q536" s="189" t="e">
        <v>#N/A</v>
      </c>
      <c r="R536" s="189" t="e">
        <v>#N/A</v>
      </c>
      <c r="S536" s="205" t="e">
        <v>#N/A</v>
      </c>
      <c r="T536" s="206"/>
    </row>
    <row r="537">
      <c r="C537" s="189" t="e">
        <v>#N/A</v>
      </c>
      <c r="D537" s="189" t="e">
        <v>#N/A</v>
      </c>
      <c r="E537" s="189" t="e">
        <v>#N/A</v>
      </c>
      <c r="F537" s="189" t="e">
        <v>#N/A</v>
      </c>
      <c r="G537" s="189" t="e">
        <v>#N/A</v>
      </c>
      <c r="H537" s="189" t="e">
        <v>#N/A</v>
      </c>
      <c r="I537" s="189" t="e">
        <v>#N/A</v>
      </c>
      <c r="J537" s="189" t="e">
        <v>#N/A</v>
      </c>
      <c r="K537" s="204" t="e">
        <v>#N/A</v>
      </c>
      <c r="L537" s="204" t="e">
        <v>#N/A</v>
      </c>
      <c r="M537" s="205" t="e">
        <v>#N/A</v>
      </c>
      <c r="N537" s="205" t="e">
        <v>#N/A</v>
      </c>
      <c r="O537" s="205" t="e">
        <v>#N/A</v>
      </c>
      <c r="P537" s="205" t="e">
        <v>#N/A</v>
      </c>
      <c r="Q537" s="189" t="e">
        <v>#N/A</v>
      </c>
      <c r="R537" s="189" t="e">
        <v>#N/A</v>
      </c>
      <c r="S537" s="205" t="e">
        <v>#N/A</v>
      </c>
      <c r="T537" s="206"/>
    </row>
    <row r="538">
      <c r="C538" s="189" t="e">
        <v>#N/A</v>
      </c>
      <c r="D538" s="189" t="e">
        <v>#N/A</v>
      </c>
      <c r="E538" s="189" t="e">
        <v>#N/A</v>
      </c>
      <c r="F538" s="189" t="e">
        <v>#N/A</v>
      </c>
      <c r="G538" s="189" t="e">
        <v>#N/A</v>
      </c>
      <c r="H538" s="189" t="e">
        <v>#N/A</v>
      </c>
      <c r="I538" s="189" t="e">
        <v>#N/A</v>
      </c>
      <c r="J538" s="189" t="e">
        <v>#N/A</v>
      </c>
      <c r="K538" s="204" t="e">
        <v>#N/A</v>
      </c>
      <c r="L538" s="204" t="e">
        <v>#N/A</v>
      </c>
      <c r="M538" s="205" t="e">
        <v>#N/A</v>
      </c>
      <c r="N538" s="205" t="e">
        <v>#N/A</v>
      </c>
      <c r="O538" s="205" t="e">
        <v>#N/A</v>
      </c>
      <c r="P538" s="205" t="e">
        <v>#N/A</v>
      </c>
      <c r="Q538" s="189" t="e">
        <v>#N/A</v>
      </c>
      <c r="R538" s="189" t="e">
        <v>#N/A</v>
      </c>
      <c r="S538" s="205" t="e">
        <v>#N/A</v>
      </c>
      <c r="T538" s="206"/>
    </row>
    <row r="539">
      <c r="C539" s="189" t="e">
        <v>#N/A</v>
      </c>
      <c r="D539" s="189" t="e">
        <v>#N/A</v>
      </c>
      <c r="E539" s="189" t="e">
        <v>#N/A</v>
      </c>
      <c r="F539" s="189" t="e">
        <v>#N/A</v>
      </c>
      <c r="G539" s="189" t="e">
        <v>#N/A</v>
      </c>
      <c r="H539" s="189" t="e">
        <v>#N/A</v>
      </c>
      <c r="I539" s="189" t="e">
        <v>#N/A</v>
      </c>
      <c r="J539" s="189" t="e">
        <v>#N/A</v>
      </c>
      <c r="K539" s="204" t="e">
        <v>#N/A</v>
      </c>
      <c r="L539" s="204" t="e">
        <v>#N/A</v>
      </c>
      <c r="M539" s="205" t="e">
        <v>#N/A</v>
      </c>
      <c r="N539" s="205" t="e">
        <v>#N/A</v>
      </c>
      <c r="O539" s="205" t="e">
        <v>#N/A</v>
      </c>
      <c r="P539" s="205" t="e">
        <v>#N/A</v>
      </c>
      <c r="Q539" s="189" t="e">
        <v>#N/A</v>
      </c>
      <c r="R539" s="189" t="e">
        <v>#N/A</v>
      </c>
      <c r="S539" s="205" t="e">
        <v>#N/A</v>
      </c>
      <c r="T539" s="206"/>
    </row>
    <row r="540">
      <c r="C540" s="189" t="e">
        <v>#N/A</v>
      </c>
      <c r="D540" s="189" t="e">
        <v>#N/A</v>
      </c>
      <c r="E540" s="189" t="e">
        <v>#N/A</v>
      </c>
      <c r="F540" s="189" t="e">
        <v>#N/A</v>
      </c>
      <c r="G540" s="189" t="e">
        <v>#N/A</v>
      </c>
      <c r="H540" s="189" t="e">
        <v>#N/A</v>
      </c>
      <c r="I540" s="189" t="e">
        <v>#N/A</v>
      </c>
      <c r="J540" s="189" t="e">
        <v>#N/A</v>
      </c>
      <c r="K540" s="204" t="e">
        <v>#N/A</v>
      </c>
      <c r="L540" s="204" t="e">
        <v>#N/A</v>
      </c>
      <c r="M540" s="205" t="e">
        <v>#N/A</v>
      </c>
      <c r="N540" s="205" t="e">
        <v>#N/A</v>
      </c>
      <c r="O540" s="205" t="e">
        <v>#N/A</v>
      </c>
      <c r="P540" s="205" t="e">
        <v>#N/A</v>
      </c>
      <c r="Q540" s="189" t="e">
        <v>#N/A</v>
      </c>
      <c r="R540" s="189" t="e">
        <v>#N/A</v>
      </c>
      <c r="S540" s="205" t="e">
        <v>#N/A</v>
      </c>
      <c r="T540" s="206"/>
    </row>
    <row r="541">
      <c r="C541" s="189" t="e">
        <v>#N/A</v>
      </c>
      <c r="D541" s="189" t="e">
        <v>#N/A</v>
      </c>
      <c r="E541" s="189" t="e">
        <v>#N/A</v>
      </c>
      <c r="F541" s="189" t="e">
        <v>#N/A</v>
      </c>
      <c r="G541" s="189" t="e">
        <v>#N/A</v>
      </c>
      <c r="H541" s="189" t="e">
        <v>#N/A</v>
      </c>
      <c r="I541" s="189" t="e">
        <v>#N/A</v>
      </c>
      <c r="J541" s="189" t="e">
        <v>#N/A</v>
      </c>
      <c r="K541" s="204" t="e">
        <v>#N/A</v>
      </c>
      <c r="L541" s="204" t="e">
        <v>#N/A</v>
      </c>
      <c r="M541" s="205" t="e">
        <v>#N/A</v>
      </c>
      <c r="N541" s="205" t="e">
        <v>#N/A</v>
      </c>
      <c r="O541" s="205" t="e">
        <v>#N/A</v>
      </c>
      <c r="P541" s="205" t="e">
        <v>#N/A</v>
      </c>
      <c r="Q541" s="189" t="e">
        <v>#N/A</v>
      </c>
      <c r="R541" s="189" t="e">
        <v>#N/A</v>
      </c>
      <c r="S541" s="205" t="e">
        <v>#N/A</v>
      </c>
      <c r="T541" s="206"/>
    </row>
    <row r="542">
      <c r="C542" s="189" t="e">
        <v>#N/A</v>
      </c>
      <c r="D542" s="189" t="e">
        <v>#N/A</v>
      </c>
      <c r="E542" s="189" t="e">
        <v>#N/A</v>
      </c>
      <c r="F542" s="189" t="e">
        <v>#N/A</v>
      </c>
      <c r="G542" s="189" t="e">
        <v>#N/A</v>
      </c>
      <c r="H542" s="189" t="e">
        <v>#N/A</v>
      </c>
      <c r="I542" s="189" t="e">
        <v>#N/A</v>
      </c>
      <c r="J542" s="189" t="e">
        <v>#N/A</v>
      </c>
      <c r="K542" s="204" t="e">
        <v>#N/A</v>
      </c>
      <c r="L542" s="204" t="e">
        <v>#N/A</v>
      </c>
      <c r="M542" s="205" t="e">
        <v>#N/A</v>
      </c>
      <c r="N542" s="205" t="e">
        <v>#N/A</v>
      </c>
      <c r="O542" s="205" t="e">
        <v>#N/A</v>
      </c>
      <c r="P542" s="205" t="e">
        <v>#N/A</v>
      </c>
      <c r="Q542" s="189" t="e">
        <v>#N/A</v>
      </c>
      <c r="R542" s="189" t="e">
        <v>#N/A</v>
      </c>
      <c r="S542" s="205" t="e">
        <v>#N/A</v>
      </c>
      <c r="T542" s="206"/>
    </row>
    <row r="543">
      <c r="C543" s="189" t="e">
        <v>#N/A</v>
      </c>
      <c r="D543" s="189" t="e">
        <v>#N/A</v>
      </c>
      <c r="E543" s="189" t="e">
        <v>#N/A</v>
      </c>
      <c r="F543" s="189" t="e">
        <v>#N/A</v>
      </c>
      <c r="G543" s="189" t="e">
        <v>#N/A</v>
      </c>
      <c r="H543" s="189" t="e">
        <v>#N/A</v>
      </c>
      <c r="I543" s="189" t="e">
        <v>#N/A</v>
      </c>
      <c r="J543" s="189" t="e">
        <v>#N/A</v>
      </c>
      <c r="K543" s="204" t="e">
        <v>#N/A</v>
      </c>
      <c r="L543" s="204" t="e">
        <v>#N/A</v>
      </c>
      <c r="M543" s="205" t="e">
        <v>#N/A</v>
      </c>
      <c r="N543" s="205" t="e">
        <v>#N/A</v>
      </c>
      <c r="O543" s="205" t="e">
        <v>#N/A</v>
      </c>
      <c r="P543" s="205" t="e">
        <v>#N/A</v>
      </c>
      <c r="Q543" s="189" t="e">
        <v>#N/A</v>
      </c>
      <c r="R543" s="189" t="e">
        <v>#N/A</v>
      </c>
      <c r="S543" s="205" t="e">
        <v>#N/A</v>
      </c>
      <c r="T543" s="206"/>
    </row>
    <row r="544">
      <c r="C544" s="189" t="e">
        <v>#N/A</v>
      </c>
      <c r="D544" s="189" t="e">
        <v>#N/A</v>
      </c>
      <c r="E544" s="189" t="e">
        <v>#N/A</v>
      </c>
      <c r="F544" s="189" t="e">
        <v>#N/A</v>
      </c>
      <c r="G544" s="189" t="e">
        <v>#N/A</v>
      </c>
      <c r="H544" s="189" t="e">
        <v>#N/A</v>
      </c>
      <c r="I544" s="189" t="e">
        <v>#N/A</v>
      </c>
      <c r="J544" s="189" t="e">
        <v>#N/A</v>
      </c>
      <c r="K544" s="204" t="e">
        <v>#N/A</v>
      </c>
      <c r="L544" s="204" t="e">
        <v>#N/A</v>
      </c>
      <c r="M544" s="205" t="e">
        <v>#N/A</v>
      </c>
      <c r="N544" s="205" t="e">
        <v>#N/A</v>
      </c>
      <c r="O544" s="205" t="e">
        <v>#N/A</v>
      </c>
      <c r="P544" s="205" t="e">
        <v>#N/A</v>
      </c>
      <c r="Q544" s="189" t="e">
        <v>#N/A</v>
      </c>
      <c r="R544" s="189" t="e">
        <v>#N/A</v>
      </c>
      <c r="S544" s="205" t="e">
        <v>#N/A</v>
      </c>
      <c r="T544" s="206"/>
    </row>
    <row r="545">
      <c r="C545" s="189" t="e">
        <v>#N/A</v>
      </c>
      <c r="D545" s="189" t="e">
        <v>#N/A</v>
      </c>
      <c r="E545" s="189" t="e">
        <v>#N/A</v>
      </c>
      <c r="F545" s="189" t="e">
        <v>#N/A</v>
      </c>
      <c r="G545" s="189" t="e">
        <v>#N/A</v>
      </c>
      <c r="H545" s="189" t="e">
        <v>#N/A</v>
      </c>
      <c r="I545" s="189" t="e">
        <v>#N/A</v>
      </c>
      <c r="J545" s="189" t="e">
        <v>#N/A</v>
      </c>
      <c r="K545" s="204" t="e">
        <v>#N/A</v>
      </c>
      <c r="L545" s="204" t="e">
        <v>#N/A</v>
      </c>
      <c r="M545" s="205" t="e">
        <v>#N/A</v>
      </c>
      <c r="N545" s="205" t="e">
        <v>#N/A</v>
      </c>
      <c r="O545" s="205" t="e">
        <v>#N/A</v>
      </c>
      <c r="P545" s="205" t="e">
        <v>#N/A</v>
      </c>
      <c r="Q545" s="189" t="e">
        <v>#N/A</v>
      </c>
      <c r="R545" s="189" t="e">
        <v>#N/A</v>
      </c>
      <c r="S545" s="205" t="e">
        <v>#N/A</v>
      </c>
      <c r="T545" s="206"/>
    </row>
    <row r="546">
      <c r="C546" s="189" t="e">
        <v>#N/A</v>
      </c>
      <c r="D546" s="189" t="e">
        <v>#N/A</v>
      </c>
      <c r="E546" s="189" t="e">
        <v>#N/A</v>
      </c>
      <c r="F546" s="189" t="e">
        <v>#N/A</v>
      </c>
      <c r="G546" s="189" t="e">
        <v>#N/A</v>
      </c>
      <c r="H546" s="189" t="e">
        <v>#N/A</v>
      </c>
      <c r="I546" s="189" t="e">
        <v>#N/A</v>
      </c>
      <c r="J546" s="189" t="e">
        <v>#N/A</v>
      </c>
      <c r="K546" s="204" t="e">
        <v>#N/A</v>
      </c>
      <c r="L546" s="204" t="e">
        <v>#N/A</v>
      </c>
      <c r="M546" s="205" t="e">
        <v>#N/A</v>
      </c>
      <c r="N546" s="205" t="e">
        <v>#N/A</v>
      </c>
      <c r="O546" s="205" t="e">
        <v>#N/A</v>
      </c>
      <c r="P546" s="205" t="e">
        <v>#N/A</v>
      </c>
      <c r="Q546" s="189" t="e">
        <v>#N/A</v>
      </c>
      <c r="R546" s="189" t="e">
        <v>#N/A</v>
      </c>
      <c r="S546" s="205" t="e">
        <v>#N/A</v>
      </c>
      <c r="T546" s="206"/>
    </row>
    <row r="547">
      <c r="C547" s="189" t="e">
        <v>#N/A</v>
      </c>
      <c r="D547" s="189" t="e">
        <v>#N/A</v>
      </c>
      <c r="E547" s="189" t="e">
        <v>#N/A</v>
      </c>
      <c r="F547" s="189" t="e">
        <v>#N/A</v>
      </c>
      <c r="G547" s="189" t="e">
        <v>#N/A</v>
      </c>
      <c r="H547" s="189" t="e">
        <v>#N/A</v>
      </c>
      <c r="I547" s="189" t="e">
        <v>#N/A</v>
      </c>
      <c r="J547" s="189" t="e">
        <v>#N/A</v>
      </c>
      <c r="K547" s="204" t="e">
        <v>#N/A</v>
      </c>
      <c r="L547" s="204" t="e">
        <v>#N/A</v>
      </c>
      <c r="M547" s="205" t="e">
        <v>#N/A</v>
      </c>
      <c r="N547" s="205" t="e">
        <v>#N/A</v>
      </c>
      <c r="O547" s="205" t="e">
        <v>#N/A</v>
      </c>
      <c r="P547" s="205" t="e">
        <v>#N/A</v>
      </c>
      <c r="Q547" s="189" t="e">
        <v>#N/A</v>
      </c>
      <c r="R547" s="189" t="e">
        <v>#N/A</v>
      </c>
      <c r="S547" s="205" t="e">
        <v>#N/A</v>
      </c>
      <c r="T547" s="206"/>
    </row>
    <row r="548">
      <c r="C548" s="189" t="e">
        <v>#N/A</v>
      </c>
      <c r="D548" s="189" t="e">
        <v>#N/A</v>
      </c>
      <c r="E548" s="189" t="e">
        <v>#N/A</v>
      </c>
      <c r="F548" s="189" t="e">
        <v>#N/A</v>
      </c>
      <c r="G548" s="189" t="e">
        <v>#N/A</v>
      </c>
      <c r="H548" s="189" t="e">
        <v>#N/A</v>
      </c>
      <c r="I548" s="189" t="e">
        <v>#N/A</v>
      </c>
      <c r="J548" s="189" t="e">
        <v>#N/A</v>
      </c>
      <c r="K548" s="204" t="e">
        <v>#N/A</v>
      </c>
      <c r="L548" s="204" t="e">
        <v>#N/A</v>
      </c>
      <c r="M548" s="205" t="e">
        <v>#N/A</v>
      </c>
      <c r="N548" s="205" t="e">
        <v>#N/A</v>
      </c>
      <c r="O548" s="205" t="e">
        <v>#N/A</v>
      </c>
      <c r="P548" s="205" t="e">
        <v>#N/A</v>
      </c>
      <c r="Q548" s="189" t="e">
        <v>#N/A</v>
      </c>
      <c r="R548" s="189" t="e">
        <v>#N/A</v>
      </c>
      <c r="S548" s="205" t="e">
        <v>#N/A</v>
      </c>
      <c r="T548" s="206"/>
    </row>
    <row r="549">
      <c r="C549" s="189" t="e">
        <v>#N/A</v>
      </c>
      <c r="D549" s="189" t="e">
        <v>#N/A</v>
      </c>
      <c r="E549" s="189" t="e">
        <v>#N/A</v>
      </c>
      <c r="F549" s="189" t="e">
        <v>#N/A</v>
      </c>
      <c r="G549" s="189" t="e">
        <v>#N/A</v>
      </c>
      <c r="H549" s="189" t="e">
        <v>#N/A</v>
      </c>
      <c r="I549" s="189" t="e">
        <v>#N/A</v>
      </c>
      <c r="J549" s="189" t="e">
        <v>#N/A</v>
      </c>
      <c r="K549" s="204" t="e">
        <v>#N/A</v>
      </c>
      <c r="L549" s="204" t="e">
        <v>#N/A</v>
      </c>
      <c r="M549" s="205" t="e">
        <v>#N/A</v>
      </c>
      <c r="N549" s="205" t="e">
        <v>#N/A</v>
      </c>
      <c r="O549" s="205" t="e">
        <v>#N/A</v>
      </c>
      <c r="P549" s="205" t="e">
        <v>#N/A</v>
      </c>
      <c r="Q549" s="189" t="e">
        <v>#N/A</v>
      </c>
      <c r="R549" s="189" t="e">
        <v>#N/A</v>
      </c>
      <c r="S549" s="205" t="e">
        <v>#N/A</v>
      </c>
      <c r="T549" s="206"/>
    </row>
    <row r="550">
      <c r="C550" s="189" t="e">
        <v>#N/A</v>
      </c>
      <c r="D550" s="189" t="e">
        <v>#N/A</v>
      </c>
      <c r="E550" s="189" t="e">
        <v>#N/A</v>
      </c>
      <c r="F550" s="189" t="e">
        <v>#N/A</v>
      </c>
      <c r="G550" s="189" t="e">
        <v>#N/A</v>
      </c>
      <c r="H550" s="189" t="e">
        <v>#N/A</v>
      </c>
      <c r="I550" s="189" t="e">
        <v>#N/A</v>
      </c>
      <c r="J550" s="189" t="e">
        <v>#N/A</v>
      </c>
      <c r="K550" s="204" t="e">
        <v>#N/A</v>
      </c>
      <c r="L550" s="204" t="e">
        <v>#N/A</v>
      </c>
      <c r="M550" s="205" t="e">
        <v>#N/A</v>
      </c>
      <c r="N550" s="205" t="e">
        <v>#N/A</v>
      </c>
      <c r="O550" s="205" t="e">
        <v>#N/A</v>
      </c>
      <c r="P550" s="205" t="e">
        <v>#N/A</v>
      </c>
      <c r="Q550" s="189" t="e">
        <v>#N/A</v>
      </c>
      <c r="R550" s="189" t="e">
        <v>#N/A</v>
      </c>
      <c r="S550" s="205" t="e">
        <v>#N/A</v>
      </c>
      <c r="T550" s="206"/>
    </row>
    <row r="551">
      <c r="C551" s="189" t="e">
        <v>#N/A</v>
      </c>
      <c r="D551" s="189" t="e">
        <v>#N/A</v>
      </c>
      <c r="E551" s="189" t="e">
        <v>#N/A</v>
      </c>
      <c r="F551" s="189" t="e">
        <v>#N/A</v>
      </c>
      <c r="G551" s="189" t="e">
        <v>#N/A</v>
      </c>
      <c r="H551" s="189" t="e">
        <v>#N/A</v>
      </c>
      <c r="I551" s="189" t="e">
        <v>#N/A</v>
      </c>
      <c r="J551" s="189" t="e">
        <v>#N/A</v>
      </c>
      <c r="K551" s="204" t="e">
        <v>#N/A</v>
      </c>
      <c r="L551" s="204" t="e">
        <v>#N/A</v>
      </c>
      <c r="M551" s="205" t="e">
        <v>#N/A</v>
      </c>
      <c r="N551" s="205" t="e">
        <v>#N/A</v>
      </c>
      <c r="O551" s="205" t="e">
        <v>#N/A</v>
      </c>
      <c r="P551" s="205" t="e">
        <v>#N/A</v>
      </c>
      <c r="Q551" s="189" t="e">
        <v>#N/A</v>
      </c>
      <c r="R551" s="189" t="e">
        <v>#N/A</v>
      </c>
      <c r="S551" s="205" t="e">
        <v>#N/A</v>
      </c>
      <c r="T551" s="206"/>
    </row>
    <row r="552">
      <c r="C552" s="189" t="e">
        <v>#N/A</v>
      </c>
      <c r="D552" s="189" t="e">
        <v>#N/A</v>
      </c>
      <c r="E552" s="189" t="e">
        <v>#N/A</v>
      </c>
      <c r="F552" s="189" t="e">
        <v>#N/A</v>
      </c>
      <c r="G552" s="189" t="e">
        <v>#N/A</v>
      </c>
      <c r="H552" s="189" t="e">
        <v>#N/A</v>
      </c>
      <c r="I552" s="189" t="e">
        <v>#N/A</v>
      </c>
      <c r="J552" s="189" t="e">
        <v>#N/A</v>
      </c>
      <c r="K552" s="204" t="e">
        <v>#N/A</v>
      </c>
      <c r="L552" s="204" t="e">
        <v>#N/A</v>
      </c>
      <c r="M552" s="205" t="e">
        <v>#N/A</v>
      </c>
      <c r="N552" s="205" t="e">
        <v>#N/A</v>
      </c>
      <c r="O552" s="205" t="e">
        <v>#N/A</v>
      </c>
      <c r="P552" s="205" t="e">
        <v>#N/A</v>
      </c>
      <c r="Q552" s="189" t="e">
        <v>#N/A</v>
      </c>
      <c r="R552" s="189" t="e">
        <v>#N/A</v>
      </c>
      <c r="S552" s="205" t="e">
        <v>#N/A</v>
      </c>
      <c r="T552" s="206"/>
    </row>
    <row r="553">
      <c r="C553" s="189" t="e">
        <v>#N/A</v>
      </c>
      <c r="D553" s="189" t="e">
        <v>#N/A</v>
      </c>
      <c r="E553" s="189" t="e">
        <v>#N/A</v>
      </c>
      <c r="F553" s="189" t="e">
        <v>#N/A</v>
      </c>
      <c r="G553" s="189" t="e">
        <v>#N/A</v>
      </c>
      <c r="H553" s="189" t="e">
        <v>#N/A</v>
      </c>
      <c r="I553" s="189" t="e">
        <v>#N/A</v>
      </c>
      <c r="J553" s="189" t="e">
        <v>#N/A</v>
      </c>
      <c r="K553" s="204" t="e">
        <v>#N/A</v>
      </c>
      <c r="L553" s="204" t="e">
        <v>#N/A</v>
      </c>
      <c r="M553" s="205" t="e">
        <v>#N/A</v>
      </c>
      <c r="N553" s="205" t="e">
        <v>#N/A</v>
      </c>
      <c r="O553" s="205" t="e">
        <v>#N/A</v>
      </c>
      <c r="P553" s="205" t="e">
        <v>#N/A</v>
      </c>
      <c r="Q553" s="189" t="e">
        <v>#N/A</v>
      </c>
      <c r="R553" s="189" t="e">
        <v>#N/A</v>
      </c>
      <c r="S553" s="205" t="e">
        <v>#N/A</v>
      </c>
      <c r="T553" s="206"/>
    </row>
    <row r="554">
      <c r="C554" s="189" t="e">
        <v>#N/A</v>
      </c>
      <c r="D554" s="189" t="e">
        <v>#N/A</v>
      </c>
      <c r="E554" s="189" t="e">
        <v>#N/A</v>
      </c>
      <c r="F554" s="189" t="e">
        <v>#N/A</v>
      </c>
      <c r="G554" s="189" t="e">
        <v>#N/A</v>
      </c>
      <c r="H554" s="189" t="e">
        <v>#N/A</v>
      </c>
      <c r="I554" s="189" t="e">
        <v>#N/A</v>
      </c>
      <c r="J554" s="189" t="e">
        <v>#N/A</v>
      </c>
      <c r="K554" s="204" t="e">
        <v>#N/A</v>
      </c>
      <c r="L554" s="204" t="e">
        <v>#N/A</v>
      </c>
      <c r="M554" s="205" t="e">
        <v>#N/A</v>
      </c>
      <c r="N554" s="205" t="e">
        <v>#N/A</v>
      </c>
      <c r="O554" s="205" t="e">
        <v>#N/A</v>
      </c>
      <c r="P554" s="205" t="e">
        <v>#N/A</v>
      </c>
      <c r="Q554" s="189" t="e">
        <v>#N/A</v>
      </c>
      <c r="R554" s="189" t="e">
        <v>#N/A</v>
      </c>
      <c r="S554" s="205" t="e">
        <v>#N/A</v>
      </c>
      <c r="T554" s="206"/>
    </row>
    <row r="555">
      <c r="C555" s="189" t="e">
        <v>#N/A</v>
      </c>
      <c r="D555" s="189" t="e">
        <v>#N/A</v>
      </c>
      <c r="E555" s="189" t="e">
        <v>#N/A</v>
      </c>
      <c r="F555" s="189" t="e">
        <v>#N/A</v>
      </c>
      <c r="G555" s="189" t="e">
        <v>#N/A</v>
      </c>
      <c r="H555" s="189" t="e">
        <v>#N/A</v>
      </c>
      <c r="I555" s="189" t="e">
        <v>#N/A</v>
      </c>
      <c r="J555" s="189" t="e">
        <v>#N/A</v>
      </c>
      <c r="K555" s="204" t="e">
        <v>#N/A</v>
      </c>
      <c r="L555" s="204" t="e">
        <v>#N/A</v>
      </c>
      <c r="M555" s="205" t="e">
        <v>#N/A</v>
      </c>
      <c r="N555" s="205" t="e">
        <v>#N/A</v>
      </c>
      <c r="O555" s="205" t="e">
        <v>#N/A</v>
      </c>
      <c r="P555" s="205" t="e">
        <v>#N/A</v>
      </c>
      <c r="Q555" s="189" t="e">
        <v>#N/A</v>
      </c>
      <c r="R555" s="189" t="e">
        <v>#N/A</v>
      </c>
      <c r="S555" s="205" t="e">
        <v>#N/A</v>
      </c>
      <c r="T555" s="206"/>
    </row>
    <row r="556">
      <c r="C556" s="189" t="e">
        <v>#N/A</v>
      </c>
      <c r="D556" s="189" t="e">
        <v>#N/A</v>
      </c>
      <c r="E556" s="189" t="e">
        <v>#N/A</v>
      </c>
      <c r="F556" s="189" t="e">
        <v>#N/A</v>
      </c>
      <c r="G556" s="189" t="e">
        <v>#N/A</v>
      </c>
      <c r="H556" s="189" t="e">
        <v>#N/A</v>
      </c>
      <c r="I556" s="189" t="e">
        <v>#N/A</v>
      </c>
      <c r="J556" s="189" t="e">
        <v>#N/A</v>
      </c>
      <c r="K556" s="204" t="e">
        <v>#N/A</v>
      </c>
      <c r="L556" s="204" t="e">
        <v>#N/A</v>
      </c>
      <c r="M556" s="205" t="e">
        <v>#N/A</v>
      </c>
      <c r="N556" s="205" t="e">
        <v>#N/A</v>
      </c>
      <c r="O556" s="205" t="e">
        <v>#N/A</v>
      </c>
      <c r="P556" s="205" t="e">
        <v>#N/A</v>
      </c>
      <c r="Q556" s="189" t="e">
        <v>#N/A</v>
      </c>
      <c r="R556" s="189" t="e">
        <v>#N/A</v>
      </c>
      <c r="S556" s="205" t="e">
        <v>#N/A</v>
      </c>
      <c r="T556" s="206"/>
    </row>
    <row r="557">
      <c r="C557" s="189" t="e">
        <v>#N/A</v>
      </c>
      <c r="D557" s="189" t="e">
        <v>#N/A</v>
      </c>
      <c r="E557" s="189" t="e">
        <v>#N/A</v>
      </c>
      <c r="F557" s="189" t="e">
        <v>#N/A</v>
      </c>
      <c r="G557" s="189" t="e">
        <v>#N/A</v>
      </c>
      <c r="H557" s="189" t="e">
        <v>#N/A</v>
      </c>
      <c r="I557" s="189" t="e">
        <v>#N/A</v>
      </c>
      <c r="J557" s="189" t="e">
        <v>#N/A</v>
      </c>
      <c r="K557" s="204" t="e">
        <v>#N/A</v>
      </c>
      <c r="L557" s="204" t="e">
        <v>#N/A</v>
      </c>
      <c r="M557" s="205" t="e">
        <v>#N/A</v>
      </c>
      <c r="N557" s="205" t="e">
        <v>#N/A</v>
      </c>
      <c r="O557" s="205" t="e">
        <v>#N/A</v>
      </c>
      <c r="P557" s="205" t="e">
        <v>#N/A</v>
      </c>
      <c r="Q557" s="189" t="e">
        <v>#N/A</v>
      </c>
      <c r="R557" s="189" t="e">
        <v>#N/A</v>
      </c>
      <c r="S557" s="205" t="e">
        <v>#N/A</v>
      </c>
      <c r="T557" s="206"/>
    </row>
    <row r="558">
      <c r="C558" s="189" t="e">
        <v>#N/A</v>
      </c>
      <c r="D558" s="189" t="e">
        <v>#N/A</v>
      </c>
      <c r="E558" s="189" t="e">
        <v>#N/A</v>
      </c>
      <c r="F558" s="189" t="e">
        <v>#N/A</v>
      </c>
      <c r="G558" s="189" t="e">
        <v>#N/A</v>
      </c>
      <c r="H558" s="189" t="e">
        <v>#N/A</v>
      </c>
      <c r="I558" s="189" t="e">
        <v>#N/A</v>
      </c>
      <c r="J558" s="189" t="e">
        <v>#N/A</v>
      </c>
      <c r="K558" s="204" t="e">
        <v>#N/A</v>
      </c>
      <c r="L558" s="204" t="e">
        <v>#N/A</v>
      </c>
      <c r="M558" s="205" t="e">
        <v>#N/A</v>
      </c>
      <c r="N558" s="205" t="e">
        <v>#N/A</v>
      </c>
      <c r="O558" s="205" t="e">
        <v>#N/A</v>
      </c>
      <c r="P558" s="205" t="e">
        <v>#N/A</v>
      </c>
      <c r="Q558" s="189" t="e">
        <v>#N/A</v>
      </c>
      <c r="R558" s="189" t="e">
        <v>#N/A</v>
      </c>
      <c r="S558" s="205" t="e">
        <v>#N/A</v>
      </c>
      <c r="T558" s="206"/>
    </row>
    <row r="559">
      <c r="C559" s="189" t="e">
        <v>#N/A</v>
      </c>
      <c r="D559" s="189" t="e">
        <v>#N/A</v>
      </c>
      <c r="E559" s="189" t="e">
        <v>#N/A</v>
      </c>
      <c r="F559" s="189" t="e">
        <v>#N/A</v>
      </c>
      <c r="G559" s="189" t="e">
        <v>#N/A</v>
      </c>
      <c r="H559" s="189" t="e">
        <v>#N/A</v>
      </c>
      <c r="I559" s="189" t="e">
        <v>#N/A</v>
      </c>
      <c r="J559" s="189" t="e">
        <v>#N/A</v>
      </c>
      <c r="K559" s="204" t="e">
        <v>#N/A</v>
      </c>
      <c r="L559" s="204" t="e">
        <v>#N/A</v>
      </c>
      <c r="M559" s="205" t="e">
        <v>#N/A</v>
      </c>
      <c r="N559" s="205" t="e">
        <v>#N/A</v>
      </c>
      <c r="O559" s="205" t="e">
        <v>#N/A</v>
      </c>
      <c r="P559" s="205" t="e">
        <v>#N/A</v>
      </c>
      <c r="Q559" s="189" t="e">
        <v>#N/A</v>
      </c>
      <c r="R559" s="189" t="e">
        <v>#N/A</v>
      </c>
      <c r="S559" s="205" t="e">
        <v>#N/A</v>
      </c>
      <c r="T559" s="206"/>
    </row>
    <row r="560">
      <c r="C560" s="189" t="e">
        <v>#N/A</v>
      </c>
      <c r="D560" s="189" t="e">
        <v>#N/A</v>
      </c>
      <c r="E560" s="189" t="e">
        <v>#N/A</v>
      </c>
      <c r="F560" s="189" t="e">
        <v>#N/A</v>
      </c>
      <c r="G560" s="189" t="e">
        <v>#N/A</v>
      </c>
      <c r="H560" s="189" t="e">
        <v>#N/A</v>
      </c>
      <c r="I560" s="189" t="e">
        <v>#N/A</v>
      </c>
      <c r="J560" s="189" t="e">
        <v>#N/A</v>
      </c>
      <c r="K560" s="204" t="e">
        <v>#N/A</v>
      </c>
      <c r="L560" s="204" t="e">
        <v>#N/A</v>
      </c>
      <c r="M560" s="205" t="e">
        <v>#N/A</v>
      </c>
      <c r="N560" s="205" t="e">
        <v>#N/A</v>
      </c>
      <c r="O560" s="205" t="e">
        <v>#N/A</v>
      </c>
      <c r="P560" s="205" t="e">
        <v>#N/A</v>
      </c>
      <c r="Q560" s="189" t="e">
        <v>#N/A</v>
      </c>
      <c r="R560" s="189" t="e">
        <v>#N/A</v>
      </c>
      <c r="S560" s="205" t="e">
        <v>#N/A</v>
      </c>
      <c r="T560" s="206"/>
    </row>
    <row r="561">
      <c r="C561" s="189" t="e">
        <v>#N/A</v>
      </c>
      <c r="D561" s="189" t="e">
        <v>#N/A</v>
      </c>
      <c r="E561" s="189" t="e">
        <v>#N/A</v>
      </c>
      <c r="F561" s="189" t="e">
        <v>#N/A</v>
      </c>
      <c r="G561" s="189" t="e">
        <v>#N/A</v>
      </c>
      <c r="H561" s="189" t="e">
        <v>#N/A</v>
      </c>
      <c r="I561" s="189" t="e">
        <v>#N/A</v>
      </c>
      <c r="J561" s="189" t="e">
        <v>#N/A</v>
      </c>
      <c r="K561" s="204" t="e">
        <v>#N/A</v>
      </c>
      <c r="L561" s="204" t="e">
        <v>#N/A</v>
      </c>
      <c r="M561" s="205" t="e">
        <v>#N/A</v>
      </c>
      <c r="N561" s="205" t="e">
        <v>#N/A</v>
      </c>
      <c r="O561" s="205" t="e">
        <v>#N/A</v>
      </c>
      <c r="P561" s="205" t="e">
        <v>#N/A</v>
      </c>
      <c r="Q561" s="189" t="e">
        <v>#N/A</v>
      </c>
      <c r="R561" s="189" t="e">
        <v>#N/A</v>
      </c>
      <c r="S561" s="205" t="e">
        <v>#N/A</v>
      </c>
      <c r="T561" s="206"/>
    </row>
    <row r="562">
      <c r="C562" s="189" t="e">
        <v>#N/A</v>
      </c>
      <c r="D562" s="189" t="e">
        <v>#N/A</v>
      </c>
      <c r="E562" s="189" t="e">
        <v>#N/A</v>
      </c>
      <c r="F562" s="189" t="e">
        <v>#N/A</v>
      </c>
      <c r="G562" s="189" t="e">
        <v>#N/A</v>
      </c>
      <c r="H562" s="189" t="e">
        <v>#N/A</v>
      </c>
      <c r="I562" s="189" t="e">
        <v>#N/A</v>
      </c>
      <c r="J562" s="189" t="e">
        <v>#N/A</v>
      </c>
      <c r="K562" s="204" t="e">
        <v>#N/A</v>
      </c>
      <c r="L562" s="204" t="e">
        <v>#N/A</v>
      </c>
      <c r="M562" s="205" t="e">
        <v>#N/A</v>
      </c>
      <c r="N562" s="205" t="e">
        <v>#N/A</v>
      </c>
      <c r="O562" s="205" t="e">
        <v>#N/A</v>
      </c>
      <c r="P562" s="205" t="e">
        <v>#N/A</v>
      </c>
      <c r="Q562" s="189" t="e">
        <v>#N/A</v>
      </c>
      <c r="R562" s="189" t="e">
        <v>#N/A</v>
      </c>
      <c r="S562" s="205" t="e">
        <v>#N/A</v>
      </c>
      <c r="T562" s="206"/>
    </row>
    <row r="563">
      <c r="C563" s="189" t="e">
        <v>#N/A</v>
      </c>
      <c r="D563" s="189" t="e">
        <v>#N/A</v>
      </c>
      <c r="E563" s="189" t="e">
        <v>#N/A</v>
      </c>
      <c r="F563" s="189" t="e">
        <v>#N/A</v>
      </c>
      <c r="G563" s="189" t="e">
        <v>#N/A</v>
      </c>
      <c r="H563" s="189" t="e">
        <v>#N/A</v>
      </c>
      <c r="I563" s="189" t="e">
        <v>#N/A</v>
      </c>
      <c r="J563" s="189" t="e">
        <v>#N/A</v>
      </c>
      <c r="K563" s="204" t="e">
        <v>#N/A</v>
      </c>
      <c r="L563" s="204" t="e">
        <v>#N/A</v>
      </c>
      <c r="M563" s="205" t="e">
        <v>#N/A</v>
      </c>
      <c r="N563" s="205" t="e">
        <v>#N/A</v>
      </c>
      <c r="O563" s="205" t="e">
        <v>#N/A</v>
      </c>
      <c r="P563" s="205" t="e">
        <v>#N/A</v>
      </c>
      <c r="Q563" s="189" t="e">
        <v>#N/A</v>
      </c>
      <c r="R563" s="189" t="e">
        <v>#N/A</v>
      </c>
      <c r="S563" s="205" t="e">
        <v>#N/A</v>
      </c>
      <c r="T563" s="206"/>
    </row>
    <row r="564">
      <c r="C564" s="189" t="e">
        <v>#N/A</v>
      </c>
      <c r="D564" s="189" t="e">
        <v>#N/A</v>
      </c>
      <c r="E564" s="189" t="e">
        <v>#N/A</v>
      </c>
      <c r="F564" s="189" t="e">
        <v>#N/A</v>
      </c>
      <c r="G564" s="189" t="e">
        <v>#N/A</v>
      </c>
      <c r="H564" s="189" t="e">
        <v>#N/A</v>
      </c>
      <c r="I564" s="189" t="e">
        <v>#N/A</v>
      </c>
      <c r="J564" s="189" t="e">
        <v>#N/A</v>
      </c>
      <c r="K564" s="204" t="e">
        <v>#N/A</v>
      </c>
      <c r="L564" s="204" t="e">
        <v>#N/A</v>
      </c>
      <c r="M564" s="205" t="e">
        <v>#N/A</v>
      </c>
      <c r="N564" s="205" t="e">
        <v>#N/A</v>
      </c>
      <c r="O564" s="205" t="e">
        <v>#N/A</v>
      </c>
      <c r="P564" s="205" t="e">
        <v>#N/A</v>
      </c>
      <c r="Q564" s="189" t="e">
        <v>#N/A</v>
      </c>
      <c r="R564" s="189" t="e">
        <v>#N/A</v>
      </c>
      <c r="S564" s="205" t="e">
        <v>#N/A</v>
      </c>
      <c r="T564" s="206"/>
    </row>
    <row r="565">
      <c r="C565" s="189" t="e">
        <v>#N/A</v>
      </c>
      <c r="D565" s="189" t="e">
        <v>#N/A</v>
      </c>
      <c r="E565" s="189" t="e">
        <v>#N/A</v>
      </c>
      <c r="F565" s="189" t="e">
        <v>#N/A</v>
      </c>
      <c r="G565" s="189" t="e">
        <v>#N/A</v>
      </c>
      <c r="H565" s="189" t="e">
        <v>#N/A</v>
      </c>
      <c r="I565" s="189" t="e">
        <v>#N/A</v>
      </c>
      <c r="J565" s="189" t="e">
        <v>#N/A</v>
      </c>
      <c r="K565" s="204" t="e">
        <v>#N/A</v>
      </c>
      <c r="L565" s="204" t="e">
        <v>#N/A</v>
      </c>
      <c r="M565" s="205" t="e">
        <v>#N/A</v>
      </c>
      <c r="N565" s="205" t="e">
        <v>#N/A</v>
      </c>
      <c r="O565" s="205" t="e">
        <v>#N/A</v>
      </c>
      <c r="P565" s="205" t="e">
        <v>#N/A</v>
      </c>
      <c r="Q565" s="189" t="e">
        <v>#N/A</v>
      </c>
      <c r="R565" s="189" t="e">
        <v>#N/A</v>
      </c>
      <c r="S565" s="205" t="e">
        <v>#N/A</v>
      </c>
      <c r="T565" s="206"/>
    </row>
    <row r="566">
      <c r="C566" s="189" t="e">
        <v>#N/A</v>
      </c>
      <c r="D566" s="189" t="e">
        <v>#N/A</v>
      </c>
      <c r="E566" s="189" t="e">
        <v>#N/A</v>
      </c>
      <c r="F566" s="189" t="e">
        <v>#N/A</v>
      </c>
      <c r="G566" s="189" t="e">
        <v>#N/A</v>
      </c>
      <c r="H566" s="189" t="e">
        <v>#N/A</v>
      </c>
      <c r="I566" s="189" t="e">
        <v>#N/A</v>
      </c>
      <c r="J566" s="189" t="e">
        <v>#N/A</v>
      </c>
      <c r="K566" s="204" t="e">
        <v>#N/A</v>
      </c>
      <c r="L566" s="204" t="e">
        <v>#N/A</v>
      </c>
      <c r="M566" s="205" t="e">
        <v>#N/A</v>
      </c>
      <c r="N566" s="205" t="e">
        <v>#N/A</v>
      </c>
      <c r="O566" s="205" t="e">
        <v>#N/A</v>
      </c>
      <c r="P566" s="205" t="e">
        <v>#N/A</v>
      </c>
      <c r="Q566" s="189" t="e">
        <v>#N/A</v>
      </c>
      <c r="R566" s="189" t="e">
        <v>#N/A</v>
      </c>
      <c r="S566" s="205" t="e">
        <v>#N/A</v>
      </c>
      <c r="T566" s="206"/>
    </row>
    <row r="567">
      <c r="C567" s="189" t="e">
        <v>#N/A</v>
      </c>
      <c r="D567" s="189" t="e">
        <v>#N/A</v>
      </c>
      <c r="E567" s="189" t="e">
        <v>#N/A</v>
      </c>
      <c r="F567" s="189" t="e">
        <v>#N/A</v>
      </c>
      <c r="G567" s="189" t="e">
        <v>#N/A</v>
      </c>
      <c r="H567" s="189" t="e">
        <v>#N/A</v>
      </c>
      <c r="I567" s="189" t="e">
        <v>#N/A</v>
      </c>
      <c r="J567" s="189" t="e">
        <v>#N/A</v>
      </c>
      <c r="K567" s="204" t="e">
        <v>#N/A</v>
      </c>
      <c r="L567" s="204" t="e">
        <v>#N/A</v>
      </c>
      <c r="M567" s="205" t="e">
        <v>#N/A</v>
      </c>
      <c r="N567" s="205" t="e">
        <v>#N/A</v>
      </c>
      <c r="O567" s="205" t="e">
        <v>#N/A</v>
      </c>
      <c r="P567" s="205" t="e">
        <v>#N/A</v>
      </c>
      <c r="Q567" s="189" t="e">
        <v>#N/A</v>
      </c>
      <c r="R567" s="189" t="e">
        <v>#N/A</v>
      </c>
      <c r="S567" s="205" t="e">
        <v>#N/A</v>
      </c>
      <c r="T567" s="206"/>
    </row>
    <row r="568">
      <c r="C568" s="189" t="e">
        <v>#N/A</v>
      </c>
      <c r="D568" s="189" t="e">
        <v>#N/A</v>
      </c>
      <c r="E568" s="189" t="e">
        <v>#N/A</v>
      </c>
      <c r="F568" s="189" t="e">
        <v>#N/A</v>
      </c>
      <c r="G568" s="189" t="e">
        <v>#N/A</v>
      </c>
      <c r="H568" s="189" t="e">
        <v>#N/A</v>
      </c>
      <c r="I568" s="189" t="e">
        <v>#N/A</v>
      </c>
      <c r="J568" s="189" t="e">
        <v>#N/A</v>
      </c>
      <c r="K568" s="204" t="e">
        <v>#N/A</v>
      </c>
      <c r="L568" s="204" t="e">
        <v>#N/A</v>
      </c>
      <c r="M568" s="205" t="e">
        <v>#N/A</v>
      </c>
      <c r="N568" s="205" t="e">
        <v>#N/A</v>
      </c>
      <c r="O568" s="205" t="e">
        <v>#N/A</v>
      </c>
      <c r="P568" s="205" t="e">
        <v>#N/A</v>
      </c>
      <c r="Q568" s="189" t="e">
        <v>#N/A</v>
      </c>
      <c r="R568" s="189" t="e">
        <v>#N/A</v>
      </c>
      <c r="S568" s="205" t="e">
        <v>#N/A</v>
      </c>
      <c r="T568" s="206"/>
    </row>
    <row r="569">
      <c r="C569" s="189" t="e">
        <v>#N/A</v>
      </c>
      <c r="D569" s="189" t="e">
        <v>#N/A</v>
      </c>
      <c r="E569" s="189" t="e">
        <v>#N/A</v>
      </c>
      <c r="F569" s="189" t="e">
        <v>#N/A</v>
      </c>
      <c r="G569" s="189" t="e">
        <v>#N/A</v>
      </c>
      <c r="H569" s="189" t="e">
        <v>#N/A</v>
      </c>
      <c r="I569" s="189" t="e">
        <v>#N/A</v>
      </c>
      <c r="J569" s="189" t="e">
        <v>#N/A</v>
      </c>
      <c r="K569" s="204" t="e">
        <v>#N/A</v>
      </c>
      <c r="L569" s="204" t="e">
        <v>#N/A</v>
      </c>
      <c r="M569" s="205" t="e">
        <v>#N/A</v>
      </c>
      <c r="N569" s="205" t="e">
        <v>#N/A</v>
      </c>
      <c r="O569" s="205" t="e">
        <v>#N/A</v>
      </c>
      <c r="P569" s="205" t="e">
        <v>#N/A</v>
      </c>
      <c r="Q569" s="189" t="e">
        <v>#N/A</v>
      </c>
      <c r="R569" s="189" t="e">
        <v>#N/A</v>
      </c>
      <c r="S569" s="205" t="e">
        <v>#N/A</v>
      </c>
      <c r="T569" s="206"/>
    </row>
    <row r="570">
      <c r="C570" s="189" t="e">
        <v>#N/A</v>
      </c>
      <c r="D570" s="189" t="e">
        <v>#N/A</v>
      </c>
      <c r="E570" s="189" t="e">
        <v>#N/A</v>
      </c>
      <c r="F570" s="189" t="e">
        <v>#N/A</v>
      </c>
      <c r="G570" s="189" t="e">
        <v>#N/A</v>
      </c>
      <c r="H570" s="189" t="e">
        <v>#N/A</v>
      </c>
      <c r="I570" s="189" t="e">
        <v>#N/A</v>
      </c>
      <c r="J570" s="189" t="e">
        <v>#N/A</v>
      </c>
      <c r="K570" s="204" t="e">
        <v>#N/A</v>
      </c>
      <c r="L570" s="204" t="e">
        <v>#N/A</v>
      </c>
      <c r="M570" s="205" t="e">
        <v>#N/A</v>
      </c>
      <c r="N570" s="205" t="e">
        <v>#N/A</v>
      </c>
      <c r="O570" s="205" t="e">
        <v>#N/A</v>
      </c>
      <c r="P570" s="205" t="e">
        <v>#N/A</v>
      </c>
      <c r="Q570" s="189" t="e">
        <v>#N/A</v>
      </c>
      <c r="R570" s="189" t="e">
        <v>#N/A</v>
      </c>
      <c r="S570" s="205" t="e">
        <v>#N/A</v>
      </c>
      <c r="T570" s="206"/>
    </row>
    <row r="571">
      <c r="C571" s="189" t="e">
        <v>#N/A</v>
      </c>
      <c r="D571" s="189" t="e">
        <v>#N/A</v>
      </c>
      <c r="E571" s="189" t="e">
        <v>#N/A</v>
      </c>
      <c r="F571" s="189" t="e">
        <v>#N/A</v>
      </c>
      <c r="G571" s="189" t="e">
        <v>#N/A</v>
      </c>
      <c r="H571" s="189" t="e">
        <v>#N/A</v>
      </c>
      <c r="I571" s="189" t="e">
        <v>#N/A</v>
      </c>
      <c r="J571" s="189" t="e">
        <v>#N/A</v>
      </c>
      <c r="K571" s="204" t="e">
        <v>#N/A</v>
      </c>
      <c r="L571" s="204" t="e">
        <v>#N/A</v>
      </c>
      <c r="M571" s="205" t="e">
        <v>#N/A</v>
      </c>
      <c r="N571" s="205" t="e">
        <v>#N/A</v>
      </c>
      <c r="O571" s="205" t="e">
        <v>#N/A</v>
      </c>
      <c r="P571" s="205" t="e">
        <v>#N/A</v>
      </c>
      <c r="Q571" s="189" t="e">
        <v>#N/A</v>
      </c>
      <c r="R571" s="189" t="e">
        <v>#N/A</v>
      </c>
      <c r="S571" s="205" t="e">
        <v>#N/A</v>
      </c>
      <c r="T571" s="206"/>
    </row>
    <row r="572">
      <c r="C572" s="189" t="e">
        <v>#N/A</v>
      </c>
      <c r="D572" s="189" t="e">
        <v>#N/A</v>
      </c>
      <c r="E572" s="189" t="e">
        <v>#N/A</v>
      </c>
      <c r="F572" s="189" t="e">
        <v>#N/A</v>
      </c>
      <c r="G572" s="189" t="e">
        <v>#N/A</v>
      </c>
      <c r="H572" s="189" t="e">
        <v>#N/A</v>
      </c>
      <c r="I572" s="189" t="e">
        <v>#N/A</v>
      </c>
      <c r="J572" s="189" t="e">
        <v>#N/A</v>
      </c>
      <c r="K572" s="204" t="e">
        <v>#N/A</v>
      </c>
      <c r="L572" s="204" t="e">
        <v>#N/A</v>
      </c>
      <c r="M572" s="205" t="e">
        <v>#N/A</v>
      </c>
      <c r="N572" s="205" t="e">
        <v>#N/A</v>
      </c>
      <c r="O572" s="205" t="e">
        <v>#N/A</v>
      </c>
      <c r="P572" s="205" t="e">
        <v>#N/A</v>
      </c>
      <c r="Q572" s="189" t="e">
        <v>#N/A</v>
      </c>
      <c r="R572" s="189" t="e">
        <v>#N/A</v>
      </c>
      <c r="S572" s="205" t="e">
        <v>#N/A</v>
      </c>
      <c r="T572" s="206"/>
    </row>
    <row r="573">
      <c r="C573" s="189" t="e">
        <v>#N/A</v>
      </c>
      <c r="D573" s="189" t="e">
        <v>#N/A</v>
      </c>
      <c r="E573" s="189" t="e">
        <v>#N/A</v>
      </c>
      <c r="F573" s="189" t="e">
        <v>#N/A</v>
      </c>
      <c r="G573" s="189" t="e">
        <v>#N/A</v>
      </c>
      <c r="H573" s="189" t="e">
        <v>#N/A</v>
      </c>
      <c r="I573" s="189" t="e">
        <v>#N/A</v>
      </c>
      <c r="J573" s="189" t="e">
        <v>#N/A</v>
      </c>
      <c r="K573" s="204" t="e">
        <v>#N/A</v>
      </c>
      <c r="L573" s="204" t="e">
        <v>#N/A</v>
      </c>
      <c r="M573" s="205" t="e">
        <v>#N/A</v>
      </c>
      <c r="N573" s="205" t="e">
        <v>#N/A</v>
      </c>
      <c r="O573" s="205" t="e">
        <v>#N/A</v>
      </c>
      <c r="P573" s="205" t="e">
        <v>#N/A</v>
      </c>
      <c r="Q573" s="189" t="e">
        <v>#N/A</v>
      </c>
      <c r="R573" s="189" t="e">
        <v>#N/A</v>
      </c>
      <c r="S573" s="205" t="e">
        <v>#N/A</v>
      </c>
      <c r="T573" s="206"/>
    </row>
    <row r="574">
      <c r="C574" s="189" t="e">
        <v>#N/A</v>
      </c>
      <c r="D574" s="189" t="e">
        <v>#N/A</v>
      </c>
      <c r="E574" s="189" t="e">
        <v>#N/A</v>
      </c>
      <c r="F574" s="189" t="e">
        <v>#N/A</v>
      </c>
      <c r="G574" s="189" t="e">
        <v>#N/A</v>
      </c>
      <c r="H574" s="189" t="e">
        <v>#N/A</v>
      </c>
      <c r="I574" s="189" t="e">
        <v>#N/A</v>
      </c>
      <c r="J574" s="189" t="e">
        <v>#N/A</v>
      </c>
      <c r="K574" s="204" t="e">
        <v>#N/A</v>
      </c>
      <c r="L574" s="204" t="e">
        <v>#N/A</v>
      </c>
      <c r="M574" s="205" t="e">
        <v>#N/A</v>
      </c>
      <c r="N574" s="205" t="e">
        <v>#N/A</v>
      </c>
      <c r="O574" s="205" t="e">
        <v>#N/A</v>
      </c>
      <c r="P574" s="205" t="e">
        <v>#N/A</v>
      </c>
      <c r="Q574" s="189" t="e">
        <v>#N/A</v>
      </c>
      <c r="R574" s="189" t="e">
        <v>#N/A</v>
      </c>
      <c r="S574" s="205" t="e">
        <v>#N/A</v>
      </c>
      <c r="T574" s="206"/>
    </row>
    <row r="575">
      <c r="C575" s="189" t="e">
        <v>#N/A</v>
      </c>
      <c r="D575" s="189" t="e">
        <v>#N/A</v>
      </c>
      <c r="E575" s="189" t="e">
        <v>#N/A</v>
      </c>
      <c r="F575" s="189" t="e">
        <v>#N/A</v>
      </c>
      <c r="G575" s="189" t="e">
        <v>#N/A</v>
      </c>
      <c r="H575" s="189" t="e">
        <v>#N/A</v>
      </c>
      <c r="I575" s="189" t="e">
        <v>#N/A</v>
      </c>
      <c r="J575" s="189" t="e">
        <v>#N/A</v>
      </c>
      <c r="K575" s="204" t="e">
        <v>#N/A</v>
      </c>
      <c r="L575" s="204" t="e">
        <v>#N/A</v>
      </c>
      <c r="M575" s="205" t="e">
        <v>#N/A</v>
      </c>
      <c r="N575" s="205" t="e">
        <v>#N/A</v>
      </c>
      <c r="O575" s="205" t="e">
        <v>#N/A</v>
      </c>
      <c r="P575" s="205" t="e">
        <v>#N/A</v>
      </c>
      <c r="Q575" s="189" t="e">
        <v>#N/A</v>
      </c>
      <c r="R575" s="189" t="e">
        <v>#N/A</v>
      </c>
      <c r="S575" s="205" t="e">
        <v>#N/A</v>
      </c>
      <c r="T575" s="206"/>
    </row>
    <row r="576">
      <c r="C576" s="189" t="e">
        <v>#N/A</v>
      </c>
      <c r="D576" s="189" t="e">
        <v>#N/A</v>
      </c>
      <c r="E576" s="189" t="e">
        <v>#N/A</v>
      </c>
      <c r="F576" s="189" t="e">
        <v>#N/A</v>
      </c>
      <c r="G576" s="189" t="e">
        <v>#N/A</v>
      </c>
      <c r="H576" s="189" t="e">
        <v>#N/A</v>
      </c>
      <c r="I576" s="189" t="e">
        <v>#N/A</v>
      </c>
      <c r="J576" s="189" t="e">
        <v>#N/A</v>
      </c>
      <c r="K576" s="204" t="e">
        <v>#N/A</v>
      </c>
      <c r="L576" s="204" t="e">
        <v>#N/A</v>
      </c>
      <c r="M576" s="205" t="e">
        <v>#N/A</v>
      </c>
      <c r="N576" s="205" t="e">
        <v>#N/A</v>
      </c>
      <c r="O576" s="205" t="e">
        <v>#N/A</v>
      </c>
      <c r="P576" s="205" t="e">
        <v>#N/A</v>
      </c>
      <c r="Q576" s="189" t="e">
        <v>#N/A</v>
      </c>
      <c r="R576" s="189" t="e">
        <v>#N/A</v>
      </c>
      <c r="S576" s="205" t="e">
        <v>#N/A</v>
      </c>
      <c r="T576" s="206"/>
    </row>
    <row r="577">
      <c r="C577" s="189" t="e">
        <v>#N/A</v>
      </c>
      <c r="D577" s="189" t="e">
        <v>#N/A</v>
      </c>
      <c r="E577" s="189" t="e">
        <v>#N/A</v>
      </c>
      <c r="F577" s="189" t="e">
        <v>#N/A</v>
      </c>
      <c r="G577" s="189" t="e">
        <v>#N/A</v>
      </c>
      <c r="H577" s="189" t="e">
        <v>#N/A</v>
      </c>
      <c r="I577" s="189" t="e">
        <v>#N/A</v>
      </c>
      <c r="J577" s="189" t="e">
        <v>#N/A</v>
      </c>
      <c r="K577" s="204" t="e">
        <v>#N/A</v>
      </c>
      <c r="L577" s="204" t="e">
        <v>#N/A</v>
      </c>
      <c r="M577" s="205" t="e">
        <v>#N/A</v>
      </c>
      <c r="N577" s="205" t="e">
        <v>#N/A</v>
      </c>
      <c r="O577" s="205" t="e">
        <v>#N/A</v>
      </c>
      <c r="P577" s="205" t="e">
        <v>#N/A</v>
      </c>
      <c r="Q577" s="189" t="e">
        <v>#N/A</v>
      </c>
      <c r="R577" s="189" t="e">
        <v>#N/A</v>
      </c>
      <c r="S577" s="205" t="e">
        <v>#N/A</v>
      </c>
      <c r="T577" s="206"/>
    </row>
    <row r="578">
      <c r="C578" s="189" t="e">
        <v>#N/A</v>
      </c>
      <c r="D578" s="189" t="e">
        <v>#N/A</v>
      </c>
      <c r="E578" s="189" t="e">
        <v>#N/A</v>
      </c>
      <c r="F578" s="189" t="e">
        <v>#N/A</v>
      </c>
      <c r="G578" s="189" t="e">
        <v>#N/A</v>
      </c>
      <c r="H578" s="189" t="e">
        <v>#N/A</v>
      </c>
      <c r="I578" s="189" t="e">
        <v>#N/A</v>
      </c>
      <c r="J578" s="189" t="e">
        <v>#N/A</v>
      </c>
      <c r="K578" s="204" t="e">
        <v>#N/A</v>
      </c>
      <c r="L578" s="204" t="e">
        <v>#N/A</v>
      </c>
      <c r="M578" s="205" t="e">
        <v>#N/A</v>
      </c>
      <c r="N578" s="205" t="e">
        <v>#N/A</v>
      </c>
      <c r="O578" s="205" t="e">
        <v>#N/A</v>
      </c>
      <c r="P578" s="205" t="e">
        <v>#N/A</v>
      </c>
      <c r="Q578" s="189" t="e">
        <v>#N/A</v>
      </c>
      <c r="R578" s="189" t="e">
        <v>#N/A</v>
      </c>
      <c r="S578" s="205" t="e">
        <v>#N/A</v>
      </c>
      <c r="T578" s="206"/>
    </row>
    <row r="579">
      <c r="C579" s="189" t="e">
        <v>#N/A</v>
      </c>
      <c r="D579" s="189" t="e">
        <v>#N/A</v>
      </c>
      <c r="E579" s="189" t="e">
        <v>#N/A</v>
      </c>
      <c r="F579" s="189" t="e">
        <v>#N/A</v>
      </c>
      <c r="G579" s="189" t="e">
        <v>#N/A</v>
      </c>
      <c r="H579" s="189" t="e">
        <v>#N/A</v>
      </c>
      <c r="I579" s="189" t="e">
        <v>#N/A</v>
      </c>
      <c r="J579" s="189" t="e">
        <v>#N/A</v>
      </c>
      <c r="K579" s="204" t="e">
        <v>#N/A</v>
      </c>
      <c r="L579" s="204" t="e">
        <v>#N/A</v>
      </c>
      <c r="M579" s="205" t="e">
        <v>#N/A</v>
      </c>
      <c r="N579" s="205" t="e">
        <v>#N/A</v>
      </c>
      <c r="O579" s="205" t="e">
        <v>#N/A</v>
      </c>
      <c r="P579" s="205" t="e">
        <v>#N/A</v>
      </c>
      <c r="Q579" s="189" t="e">
        <v>#N/A</v>
      </c>
      <c r="R579" s="189" t="e">
        <v>#N/A</v>
      </c>
      <c r="S579" s="205" t="e">
        <v>#N/A</v>
      </c>
      <c r="T579" s="206"/>
    </row>
    <row r="580">
      <c r="C580" s="189" t="e">
        <v>#N/A</v>
      </c>
      <c r="D580" s="189" t="e">
        <v>#N/A</v>
      </c>
      <c r="E580" s="189" t="e">
        <v>#N/A</v>
      </c>
      <c r="F580" s="189" t="e">
        <v>#N/A</v>
      </c>
      <c r="G580" s="189" t="e">
        <v>#N/A</v>
      </c>
      <c r="H580" s="189" t="e">
        <v>#N/A</v>
      </c>
      <c r="I580" s="189" t="e">
        <v>#N/A</v>
      </c>
      <c r="J580" s="189" t="e">
        <v>#N/A</v>
      </c>
      <c r="K580" s="204" t="e">
        <v>#N/A</v>
      </c>
      <c r="L580" s="204" t="e">
        <v>#N/A</v>
      </c>
      <c r="M580" s="205" t="e">
        <v>#N/A</v>
      </c>
      <c r="N580" s="205" t="e">
        <v>#N/A</v>
      </c>
      <c r="O580" s="205" t="e">
        <v>#N/A</v>
      </c>
      <c r="P580" s="205" t="e">
        <v>#N/A</v>
      </c>
      <c r="Q580" s="189" t="e">
        <v>#N/A</v>
      </c>
      <c r="R580" s="189" t="e">
        <v>#N/A</v>
      </c>
      <c r="S580" s="205" t="e">
        <v>#N/A</v>
      </c>
      <c r="T580" s="206"/>
    </row>
    <row r="581">
      <c r="C581" s="189" t="e">
        <v>#N/A</v>
      </c>
      <c r="D581" s="189" t="e">
        <v>#N/A</v>
      </c>
      <c r="E581" s="189" t="e">
        <v>#N/A</v>
      </c>
      <c r="F581" s="189" t="e">
        <v>#N/A</v>
      </c>
      <c r="G581" s="189" t="e">
        <v>#N/A</v>
      </c>
      <c r="H581" s="189" t="e">
        <v>#N/A</v>
      </c>
      <c r="I581" s="189" t="e">
        <v>#N/A</v>
      </c>
      <c r="J581" s="189" t="e">
        <v>#N/A</v>
      </c>
      <c r="K581" s="204" t="e">
        <v>#N/A</v>
      </c>
      <c r="L581" s="204" t="e">
        <v>#N/A</v>
      </c>
      <c r="M581" s="205" t="e">
        <v>#N/A</v>
      </c>
      <c r="N581" s="205" t="e">
        <v>#N/A</v>
      </c>
      <c r="O581" s="205" t="e">
        <v>#N/A</v>
      </c>
      <c r="P581" s="205" t="e">
        <v>#N/A</v>
      </c>
      <c r="Q581" s="189" t="e">
        <v>#N/A</v>
      </c>
      <c r="R581" s="189" t="e">
        <v>#N/A</v>
      </c>
      <c r="S581" s="205" t="e">
        <v>#N/A</v>
      </c>
      <c r="T581" s="206"/>
    </row>
    <row r="582">
      <c r="C582" s="189" t="e">
        <v>#N/A</v>
      </c>
      <c r="D582" s="189" t="e">
        <v>#N/A</v>
      </c>
      <c r="E582" s="189" t="e">
        <v>#N/A</v>
      </c>
      <c r="F582" s="189" t="e">
        <v>#N/A</v>
      </c>
      <c r="G582" s="189" t="e">
        <v>#N/A</v>
      </c>
      <c r="H582" s="189" t="e">
        <v>#N/A</v>
      </c>
      <c r="I582" s="189" t="e">
        <v>#N/A</v>
      </c>
      <c r="J582" s="189" t="e">
        <v>#N/A</v>
      </c>
      <c r="K582" s="204" t="e">
        <v>#N/A</v>
      </c>
      <c r="L582" s="204" t="e">
        <v>#N/A</v>
      </c>
      <c r="M582" s="205" t="e">
        <v>#N/A</v>
      </c>
      <c r="N582" s="205" t="e">
        <v>#N/A</v>
      </c>
      <c r="O582" s="205" t="e">
        <v>#N/A</v>
      </c>
      <c r="P582" s="205" t="e">
        <v>#N/A</v>
      </c>
      <c r="Q582" s="189" t="e">
        <v>#N/A</v>
      </c>
      <c r="R582" s="189" t="e">
        <v>#N/A</v>
      </c>
      <c r="S582" s="205" t="e">
        <v>#N/A</v>
      </c>
      <c r="T582" s="206"/>
    </row>
    <row r="583">
      <c r="C583" s="189" t="e">
        <v>#N/A</v>
      </c>
      <c r="D583" s="189" t="e">
        <v>#N/A</v>
      </c>
      <c r="E583" s="189" t="e">
        <v>#N/A</v>
      </c>
      <c r="F583" s="189" t="e">
        <v>#N/A</v>
      </c>
      <c r="G583" s="189" t="e">
        <v>#N/A</v>
      </c>
      <c r="H583" s="189" t="e">
        <v>#N/A</v>
      </c>
      <c r="I583" s="189" t="e">
        <v>#N/A</v>
      </c>
      <c r="J583" s="189" t="e">
        <v>#N/A</v>
      </c>
      <c r="K583" s="204" t="e">
        <v>#N/A</v>
      </c>
      <c r="L583" s="204" t="e">
        <v>#N/A</v>
      </c>
      <c r="M583" s="205" t="e">
        <v>#N/A</v>
      </c>
      <c r="N583" s="205" t="e">
        <v>#N/A</v>
      </c>
      <c r="O583" s="205" t="e">
        <v>#N/A</v>
      </c>
      <c r="P583" s="205" t="e">
        <v>#N/A</v>
      </c>
      <c r="Q583" s="189" t="e">
        <v>#N/A</v>
      </c>
      <c r="R583" s="189" t="e">
        <v>#N/A</v>
      </c>
      <c r="S583" s="205" t="e">
        <v>#N/A</v>
      </c>
      <c r="T583" s="206"/>
    </row>
    <row r="584">
      <c r="C584" s="189" t="e">
        <v>#N/A</v>
      </c>
      <c r="D584" s="189" t="e">
        <v>#N/A</v>
      </c>
      <c r="E584" s="189" t="e">
        <v>#N/A</v>
      </c>
      <c r="F584" s="189" t="e">
        <v>#N/A</v>
      </c>
      <c r="G584" s="189" t="e">
        <v>#N/A</v>
      </c>
      <c r="H584" s="189" t="e">
        <v>#N/A</v>
      </c>
      <c r="I584" s="189" t="e">
        <v>#N/A</v>
      </c>
      <c r="J584" s="189" t="e">
        <v>#N/A</v>
      </c>
      <c r="K584" s="204" t="e">
        <v>#N/A</v>
      </c>
      <c r="L584" s="204" t="e">
        <v>#N/A</v>
      </c>
      <c r="M584" s="205" t="e">
        <v>#N/A</v>
      </c>
      <c r="N584" s="205" t="e">
        <v>#N/A</v>
      </c>
      <c r="O584" s="205" t="e">
        <v>#N/A</v>
      </c>
      <c r="P584" s="205" t="e">
        <v>#N/A</v>
      </c>
      <c r="Q584" s="189" t="e">
        <v>#N/A</v>
      </c>
      <c r="R584" s="189" t="e">
        <v>#N/A</v>
      </c>
      <c r="S584" s="205" t="e">
        <v>#N/A</v>
      </c>
      <c r="T584" s="206"/>
    </row>
    <row r="585">
      <c r="C585" s="189" t="e">
        <v>#N/A</v>
      </c>
      <c r="D585" s="189" t="e">
        <v>#N/A</v>
      </c>
      <c r="E585" s="189" t="e">
        <v>#N/A</v>
      </c>
      <c r="F585" s="189" t="e">
        <v>#N/A</v>
      </c>
      <c r="G585" s="189" t="e">
        <v>#N/A</v>
      </c>
      <c r="H585" s="189" t="e">
        <v>#N/A</v>
      </c>
      <c r="I585" s="189" t="e">
        <v>#N/A</v>
      </c>
      <c r="J585" s="189" t="e">
        <v>#N/A</v>
      </c>
      <c r="K585" s="204" t="e">
        <v>#N/A</v>
      </c>
      <c r="L585" s="204" t="e">
        <v>#N/A</v>
      </c>
      <c r="M585" s="205" t="e">
        <v>#N/A</v>
      </c>
      <c r="N585" s="205" t="e">
        <v>#N/A</v>
      </c>
      <c r="O585" s="205" t="e">
        <v>#N/A</v>
      </c>
      <c r="P585" s="205" t="e">
        <v>#N/A</v>
      </c>
      <c r="Q585" s="189" t="e">
        <v>#N/A</v>
      </c>
      <c r="R585" s="189" t="e">
        <v>#N/A</v>
      </c>
      <c r="S585" s="205" t="e">
        <v>#N/A</v>
      </c>
      <c r="T585" s="206"/>
    </row>
    <row r="586">
      <c r="C586" s="189" t="e">
        <v>#N/A</v>
      </c>
      <c r="D586" s="189" t="e">
        <v>#N/A</v>
      </c>
      <c r="E586" s="189" t="e">
        <v>#N/A</v>
      </c>
      <c r="F586" s="189" t="e">
        <v>#N/A</v>
      </c>
      <c r="G586" s="189" t="e">
        <v>#N/A</v>
      </c>
      <c r="H586" s="189" t="e">
        <v>#N/A</v>
      </c>
      <c r="I586" s="189" t="e">
        <v>#N/A</v>
      </c>
      <c r="J586" s="189" t="e">
        <v>#N/A</v>
      </c>
      <c r="K586" s="204" t="e">
        <v>#N/A</v>
      </c>
      <c r="L586" s="204" t="e">
        <v>#N/A</v>
      </c>
      <c r="M586" s="205" t="e">
        <v>#N/A</v>
      </c>
      <c r="N586" s="205" t="e">
        <v>#N/A</v>
      </c>
      <c r="O586" s="205" t="e">
        <v>#N/A</v>
      </c>
      <c r="P586" s="205" t="e">
        <v>#N/A</v>
      </c>
      <c r="Q586" s="189" t="e">
        <v>#N/A</v>
      </c>
      <c r="R586" s="189" t="e">
        <v>#N/A</v>
      </c>
      <c r="S586" s="205" t="e">
        <v>#N/A</v>
      </c>
      <c r="T586" s="206"/>
    </row>
    <row r="587">
      <c r="C587" s="189" t="e">
        <v>#N/A</v>
      </c>
      <c r="D587" s="189" t="e">
        <v>#N/A</v>
      </c>
      <c r="E587" s="189" t="e">
        <v>#N/A</v>
      </c>
      <c r="F587" s="189" t="e">
        <v>#N/A</v>
      </c>
      <c r="G587" s="189" t="e">
        <v>#N/A</v>
      </c>
      <c r="H587" s="189" t="e">
        <v>#N/A</v>
      </c>
      <c r="I587" s="189" t="e">
        <v>#N/A</v>
      </c>
      <c r="J587" s="189" t="e">
        <v>#N/A</v>
      </c>
      <c r="K587" s="204" t="e">
        <v>#N/A</v>
      </c>
      <c r="L587" s="204" t="e">
        <v>#N/A</v>
      </c>
      <c r="M587" s="205" t="e">
        <v>#N/A</v>
      </c>
      <c r="N587" s="205" t="e">
        <v>#N/A</v>
      </c>
      <c r="O587" s="205" t="e">
        <v>#N/A</v>
      </c>
      <c r="P587" s="205" t="e">
        <v>#N/A</v>
      </c>
      <c r="Q587" s="189" t="e">
        <v>#N/A</v>
      </c>
      <c r="R587" s="189" t="e">
        <v>#N/A</v>
      </c>
      <c r="S587" s="205" t="e">
        <v>#N/A</v>
      </c>
      <c r="T587" s="206"/>
    </row>
    <row r="588">
      <c r="C588" s="189" t="e">
        <v>#N/A</v>
      </c>
      <c r="D588" s="189" t="e">
        <v>#N/A</v>
      </c>
      <c r="E588" s="189" t="e">
        <v>#N/A</v>
      </c>
      <c r="F588" s="189" t="e">
        <v>#N/A</v>
      </c>
      <c r="G588" s="189" t="e">
        <v>#N/A</v>
      </c>
      <c r="H588" s="189" t="e">
        <v>#N/A</v>
      </c>
      <c r="I588" s="189" t="e">
        <v>#N/A</v>
      </c>
      <c r="J588" s="189" t="e">
        <v>#N/A</v>
      </c>
      <c r="K588" s="204" t="e">
        <v>#N/A</v>
      </c>
      <c r="L588" s="204" t="e">
        <v>#N/A</v>
      </c>
      <c r="M588" s="205" t="e">
        <v>#N/A</v>
      </c>
      <c r="N588" s="205" t="e">
        <v>#N/A</v>
      </c>
      <c r="O588" s="205" t="e">
        <v>#N/A</v>
      </c>
      <c r="P588" s="205" t="e">
        <v>#N/A</v>
      </c>
      <c r="Q588" s="189" t="e">
        <v>#N/A</v>
      </c>
      <c r="R588" s="189" t="e">
        <v>#N/A</v>
      </c>
      <c r="S588" s="205" t="e">
        <v>#N/A</v>
      </c>
      <c r="T588" s="206"/>
    </row>
    <row r="589">
      <c r="C589" s="189" t="e">
        <v>#N/A</v>
      </c>
      <c r="D589" s="189" t="e">
        <v>#N/A</v>
      </c>
      <c r="E589" s="189" t="e">
        <v>#N/A</v>
      </c>
      <c r="F589" s="189" t="e">
        <v>#N/A</v>
      </c>
      <c r="G589" s="189" t="e">
        <v>#N/A</v>
      </c>
      <c r="H589" s="189" t="e">
        <v>#N/A</v>
      </c>
      <c r="I589" s="189" t="e">
        <v>#N/A</v>
      </c>
      <c r="J589" s="189" t="e">
        <v>#N/A</v>
      </c>
      <c r="K589" s="204" t="e">
        <v>#N/A</v>
      </c>
      <c r="L589" s="204" t="e">
        <v>#N/A</v>
      </c>
      <c r="M589" s="205" t="e">
        <v>#N/A</v>
      </c>
      <c r="N589" s="205" t="e">
        <v>#N/A</v>
      </c>
      <c r="O589" s="205" t="e">
        <v>#N/A</v>
      </c>
      <c r="P589" s="205" t="e">
        <v>#N/A</v>
      </c>
      <c r="Q589" s="189" t="e">
        <v>#N/A</v>
      </c>
      <c r="R589" s="189" t="e">
        <v>#N/A</v>
      </c>
      <c r="S589" s="205" t="e">
        <v>#N/A</v>
      </c>
      <c r="T589" s="206"/>
    </row>
    <row r="590">
      <c r="C590" s="189" t="e">
        <v>#N/A</v>
      </c>
      <c r="D590" s="189" t="e">
        <v>#N/A</v>
      </c>
      <c r="E590" s="189" t="e">
        <v>#N/A</v>
      </c>
      <c r="F590" s="189" t="e">
        <v>#N/A</v>
      </c>
      <c r="G590" s="189" t="e">
        <v>#N/A</v>
      </c>
      <c r="H590" s="189" t="e">
        <v>#N/A</v>
      </c>
      <c r="I590" s="189" t="e">
        <v>#N/A</v>
      </c>
      <c r="J590" s="189" t="e">
        <v>#N/A</v>
      </c>
      <c r="K590" s="204" t="e">
        <v>#N/A</v>
      </c>
      <c r="L590" s="204" t="e">
        <v>#N/A</v>
      </c>
      <c r="M590" s="205" t="e">
        <v>#N/A</v>
      </c>
      <c r="N590" s="205" t="e">
        <v>#N/A</v>
      </c>
      <c r="O590" s="205" t="e">
        <v>#N/A</v>
      </c>
      <c r="P590" s="205" t="e">
        <v>#N/A</v>
      </c>
      <c r="Q590" s="189" t="e">
        <v>#N/A</v>
      </c>
      <c r="R590" s="189" t="e">
        <v>#N/A</v>
      </c>
      <c r="S590" s="205" t="e">
        <v>#N/A</v>
      </c>
      <c r="T590" s="206"/>
    </row>
    <row r="591">
      <c r="C591" s="189" t="e">
        <v>#N/A</v>
      </c>
      <c r="D591" s="189" t="e">
        <v>#N/A</v>
      </c>
      <c r="E591" s="189" t="e">
        <v>#N/A</v>
      </c>
      <c r="F591" s="189" t="e">
        <v>#N/A</v>
      </c>
      <c r="G591" s="189" t="e">
        <v>#N/A</v>
      </c>
      <c r="H591" s="189" t="e">
        <v>#N/A</v>
      </c>
      <c r="I591" s="189" t="e">
        <v>#N/A</v>
      </c>
      <c r="J591" s="189" t="e">
        <v>#N/A</v>
      </c>
      <c r="K591" s="204" t="e">
        <v>#N/A</v>
      </c>
      <c r="L591" s="204" t="e">
        <v>#N/A</v>
      </c>
      <c r="M591" s="205" t="e">
        <v>#N/A</v>
      </c>
      <c r="N591" s="205" t="e">
        <v>#N/A</v>
      </c>
      <c r="O591" s="205" t="e">
        <v>#N/A</v>
      </c>
      <c r="P591" s="205" t="e">
        <v>#N/A</v>
      </c>
      <c r="Q591" s="189" t="e">
        <v>#N/A</v>
      </c>
      <c r="R591" s="189" t="e">
        <v>#N/A</v>
      </c>
      <c r="S591" s="205" t="e">
        <v>#N/A</v>
      </c>
      <c r="T591" s="206"/>
    </row>
    <row r="592">
      <c r="C592" s="189" t="e">
        <v>#N/A</v>
      </c>
      <c r="D592" s="189" t="e">
        <v>#N/A</v>
      </c>
      <c r="E592" s="189" t="e">
        <v>#N/A</v>
      </c>
      <c r="F592" s="189" t="e">
        <v>#N/A</v>
      </c>
      <c r="G592" s="189" t="e">
        <v>#N/A</v>
      </c>
      <c r="H592" s="189" t="e">
        <v>#N/A</v>
      </c>
      <c r="I592" s="189" t="e">
        <v>#N/A</v>
      </c>
      <c r="J592" s="189" t="e">
        <v>#N/A</v>
      </c>
      <c r="K592" s="204" t="e">
        <v>#N/A</v>
      </c>
      <c r="L592" s="204" t="e">
        <v>#N/A</v>
      </c>
      <c r="M592" s="205" t="e">
        <v>#N/A</v>
      </c>
      <c r="N592" s="205" t="e">
        <v>#N/A</v>
      </c>
      <c r="O592" s="205" t="e">
        <v>#N/A</v>
      </c>
      <c r="P592" s="205" t="e">
        <v>#N/A</v>
      </c>
      <c r="Q592" s="189" t="e">
        <v>#N/A</v>
      </c>
      <c r="R592" s="189" t="e">
        <v>#N/A</v>
      </c>
      <c r="S592" s="205" t="e">
        <v>#N/A</v>
      </c>
      <c r="T592" s="206"/>
    </row>
    <row r="593">
      <c r="C593" s="189" t="e">
        <v>#N/A</v>
      </c>
      <c r="D593" s="189" t="e">
        <v>#N/A</v>
      </c>
      <c r="E593" s="189" t="e">
        <v>#N/A</v>
      </c>
      <c r="F593" s="189" t="e">
        <v>#N/A</v>
      </c>
      <c r="G593" s="189" t="e">
        <v>#N/A</v>
      </c>
      <c r="H593" s="189" t="e">
        <v>#N/A</v>
      </c>
      <c r="I593" s="189" t="e">
        <v>#N/A</v>
      </c>
      <c r="J593" s="189" t="e">
        <v>#N/A</v>
      </c>
      <c r="K593" s="204" t="e">
        <v>#N/A</v>
      </c>
      <c r="L593" s="204" t="e">
        <v>#N/A</v>
      </c>
      <c r="M593" s="205" t="e">
        <v>#N/A</v>
      </c>
      <c r="N593" s="205" t="e">
        <v>#N/A</v>
      </c>
      <c r="O593" s="205" t="e">
        <v>#N/A</v>
      </c>
      <c r="P593" s="205" t="e">
        <v>#N/A</v>
      </c>
      <c r="Q593" s="189" t="e">
        <v>#N/A</v>
      </c>
      <c r="R593" s="189" t="e">
        <v>#N/A</v>
      </c>
      <c r="S593" s="205" t="e">
        <v>#N/A</v>
      </c>
      <c r="T593" s="206"/>
    </row>
    <row r="594">
      <c r="C594" s="189" t="e">
        <v>#N/A</v>
      </c>
      <c r="D594" s="189" t="e">
        <v>#N/A</v>
      </c>
      <c r="E594" s="189" t="e">
        <v>#N/A</v>
      </c>
      <c r="F594" s="189" t="e">
        <v>#N/A</v>
      </c>
      <c r="G594" s="189" t="e">
        <v>#N/A</v>
      </c>
      <c r="H594" s="189" t="e">
        <v>#N/A</v>
      </c>
      <c r="I594" s="189" t="e">
        <v>#N/A</v>
      </c>
      <c r="J594" s="189" t="e">
        <v>#N/A</v>
      </c>
      <c r="K594" s="204" t="e">
        <v>#N/A</v>
      </c>
      <c r="L594" s="204" t="e">
        <v>#N/A</v>
      </c>
      <c r="M594" s="205" t="e">
        <v>#N/A</v>
      </c>
      <c r="N594" s="205" t="e">
        <v>#N/A</v>
      </c>
      <c r="O594" s="205" t="e">
        <v>#N/A</v>
      </c>
      <c r="P594" s="205" t="e">
        <v>#N/A</v>
      </c>
      <c r="Q594" s="189" t="e">
        <v>#N/A</v>
      </c>
      <c r="R594" s="189" t="e">
        <v>#N/A</v>
      </c>
      <c r="S594" s="205" t="e">
        <v>#N/A</v>
      </c>
      <c r="T594" s="206"/>
    </row>
    <row r="595">
      <c r="C595" s="189" t="e">
        <v>#N/A</v>
      </c>
      <c r="D595" s="189" t="e">
        <v>#N/A</v>
      </c>
      <c r="E595" s="189" t="e">
        <v>#N/A</v>
      </c>
      <c r="F595" s="189" t="e">
        <v>#N/A</v>
      </c>
      <c r="G595" s="189" t="e">
        <v>#N/A</v>
      </c>
      <c r="H595" s="189" t="e">
        <v>#N/A</v>
      </c>
      <c r="I595" s="189" t="e">
        <v>#N/A</v>
      </c>
      <c r="J595" s="189" t="e">
        <v>#N/A</v>
      </c>
      <c r="K595" s="204" t="e">
        <v>#N/A</v>
      </c>
      <c r="L595" s="204" t="e">
        <v>#N/A</v>
      </c>
      <c r="M595" s="205" t="e">
        <v>#N/A</v>
      </c>
      <c r="N595" s="205" t="e">
        <v>#N/A</v>
      </c>
      <c r="O595" s="205" t="e">
        <v>#N/A</v>
      </c>
      <c r="P595" s="205" t="e">
        <v>#N/A</v>
      </c>
      <c r="Q595" s="189" t="e">
        <v>#N/A</v>
      </c>
      <c r="R595" s="189" t="e">
        <v>#N/A</v>
      </c>
      <c r="S595" s="205" t="e">
        <v>#N/A</v>
      </c>
      <c r="T595" s="206"/>
    </row>
    <row r="596">
      <c r="C596" s="189" t="e">
        <v>#N/A</v>
      </c>
      <c r="D596" s="189" t="e">
        <v>#N/A</v>
      </c>
      <c r="E596" s="189" t="e">
        <v>#N/A</v>
      </c>
      <c r="F596" s="189" t="e">
        <v>#N/A</v>
      </c>
      <c r="G596" s="189" t="e">
        <v>#N/A</v>
      </c>
      <c r="H596" s="189" t="e">
        <v>#N/A</v>
      </c>
      <c r="I596" s="189" t="e">
        <v>#N/A</v>
      </c>
      <c r="J596" s="189" t="e">
        <v>#N/A</v>
      </c>
      <c r="K596" s="204" t="e">
        <v>#N/A</v>
      </c>
      <c r="L596" s="204" t="e">
        <v>#N/A</v>
      </c>
      <c r="M596" s="205" t="e">
        <v>#N/A</v>
      </c>
      <c r="N596" s="205" t="e">
        <v>#N/A</v>
      </c>
      <c r="O596" s="205" t="e">
        <v>#N/A</v>
      </c>
      <c r="P596" s="205" t="e">
        <v>#N/A</v>
      </c>
      <c r="Q596" s="189" t="e">
        <v>#N/A</v>
      </c>
      <c r="R596" s="189" t="e">
        <v>#N/A</v>
      </c>
      <c r="S596" s="205" t="e">
        <v>#N/A</v>
      </c>
      <c r="T596" s="206"/>
    </row>
    <row r="597">
      <c r="C597" s="189" t="e">
        <v>#N/A</v>
      </c>
      <c r="D597" s="189" t="e">
        <v>#N/A</v>
      </c>
      <c r="E597" s="189" t="e">
        <v>#N/A</v>
      </c>
      <c r="F597" s="189" t="e">
        <v>#N/A</v>
      </c>
      <c r="G597" s="189" t="e">
        <v>#N/A</v>
      </c>
      <c r="H597" s="189" t="e">
        <v>#N/A</v>
      </c>
      <c r="I597" s="189" t="e">
        <v>#N/A</v>
      </c>
      <c r="J597" s="189" t="e">
        <v>#N/A</v>
      </c>
      <c r="K597" s="204" t="e">
        <v>#N/A</v>
      </c>
      <c r="L597" s="204" t="e">
        <v>#N/A</v>
      </c>
      <c r="M597" s="205" t="e">
        <v>#N/A</v>
      </c>
      <c r="N597" s="205" t="e">
        <v>#N/A</v>
      </c>
      <c r="O597" s="205" t="e">
        <v>#N/A</v>
      </c>
      <c r="P597" s="205" t="e">
        <v>#N/A</v>
      </c>
      <c r="Q597" s="189" t="e">
        <v>#N/A</v>
      </c>
      <c r="R597" s="189" t="e">
        <v>#N/A</v>
      </c>
      <c r="S597" s="205" t="e">
        <v>#N/A</v>
      </c>
      <c r="T597" s="206"/>
    </row>
    <row r="598">
      <c r="C598" s="189" t="e">
        <v>#N/A</v>
      </c>
      <c r="D598" s="189" t="e">
        <v>#N/A</v>
      </c>
      <c r="E598" s="189" t="e">
        <v>#N/A</v>
      </c>
      <c r="F598" s="189" t="e">
        <v>#N/A</v>
      </c>
      <c r="G598" s="189" t="e">
        <v>#N/A</v>
      </c>
      <c r="H598" s="189" t="e">
        <v>#N/A</v>
      </c>
      <c r="I598" s="189" t="e">
        <v>#N/A</v>
      </c>
      <c r="J598" s="189" t="e">
        <v>#N/A</v>
      </c>
      <c r="K598" s="204" t="e">
        <v>#N/A</v>
      </c>
      <c r="L598" s="204" t="e">
        <v>#N/A</v>
      </c>
      <c r="M598" s="205" t="e">
        <v>#N/A</v>
      </c>
      <c r="N598" s="205" t="e">
        <v>#N/A</v>
      </c>
      <c r="O598" s="205" t="e">
        <v>#N/A</v>
      </c>
      <c r="P598" s="205" t="e">
        <v>#N/A</v>
      </c>
      <c r="Q598" s="189" t="e">
        <v>#N/A</v>
      </c>
      <c r="R598" s="189" t="e">
        <v>#N/A</v>
      </c>
      <c r="S598" s="205" t="e">
        <v>#N/A</v>
      </c>
      <c r="T598" s="206"/>
    </row>
    <row r="599">
      <c r="C599" s="189" t="e">
        <v>#N/A</v>
      </c>
      <c r="D599" s="189" t="e">
        <v>#N/A</v>
      </c>
      <c r="E599" s="189" t="e">
        <v>#N/A</v>
      </c>
      <c r="F599" s="189" t="e">
        <v>#N/A</v>
      </c>
      <c r="G599" s="189" t="e">
        <v>#N/A</v>
      </c>
      <c r="H599" s="189" t="e">
        <v>#N/A</v>
      </c>
      <c r="I599" s="189" t="e">
        <v>#N/A</v>
      </c>
      <c r="J599" s="189" t="e">
        <v>#N/A</v>
      </c>
      <c r="K599" s="204" t="e">
        <v>#N/A</v>
      </c>
      <c r="L599" s="204" t="e">
        <v>#N/A</v>
      </c>
      <c r="M599" s="205" t="e">
        <v>#N/A</v>
      </c>
      <c r="N599" s="205" t="e">
        <v>#N/A</v>
      </c>
      <c r="O599" s="205" t="e">
        <v>#N/A</v>
      </c>
      <c r="P599" s="205" t="e">
        <v>#N/A</v>
      </c>
      <c r="Q599" s="189" t="e">
        <v>#N/A</v>
      </c>
      <c r="R599" s="189" t="e">
        <v>#N/A</v>
      </c>
      <c r="S599" s="205" t="e">
        <v>#N/A</v>
      </c>
      <c r="T599" s="206"/>
    </row>
    <row r="600">
      <c r="C600" s="189" t="e">
        <v>#N/A</v>
      </c>
      <c r="D600" s="189" t="e">
        <v>#N/A</v>
      </c>
      <c r="E600" s="189" t="e">
        <v>#N/A</v>
      </c>
      <c r="F600" s="189" t="e">
        <v>#N/A</v>
      </c>
      <c r="G600" s="189" t="e">
        <v>#N/A</v>
      </c>
      <c r="H600" s="189" t="e">
        <v>#N/A</v>
      </c>
      <c r="I600" s="189" t="e">
        <v>#N/A</v>
      </c>
      <c r="J600" s="189" t="e">
        <v>#N/A</v>
      </c>
      <c r="K600" s="204" t="e">
        <v>#N/A</v>
      </c>
      <c r="L600" s="204" t="e">
        <v>#N/A</v>
      </c>
      <c r="M600" s="205" t="e">
        <v>#N/A</v>
      </c>
      <c r="N600" s="205" t="e">
        <v>#N/A</v>
      </c>
      <c r="O600" s="205" t="e">
        <v>#N/A</v>
      </c>
      <c r="P600" s="205" t="e">
        <v>#N/A</v>
      </c>
      <c r="Q600" s="189" t="e">
        <v>#N/A</v>
      </c>
      <c r="R600" s="189" t="e">
        <v>#N/A</v>
      </c>
      <c r="S600" s="205" t="e">
        <v>#N/A</v>
      </c>
      <c r="T600" s="206"/>
    </row>
    <row r="601">
      <c r="C601" s="189" t="e">
        <v>#N/A</v>
      </c>
      <c r="D601" s="189" t="e">
        <v>#N/A</v>
      </c>
      <c r="E601" s="189" t="e">
        <v>#N/A</v>
      </c>
      <c r="F601" s="189" t="e">
        <v>#N/A</v>
      </c>
      <c r="G601" s="189" t="e">
        <v>#N/A</v>
      </c>
      <c r="H601" s="189" t="e">
        <v>#N/A</v>
      </c>
      <c r="I601" s="189" t="e">
        <v>#N/A</v>
      </c>
      <c r="J601" s="189" t="e">
        <v>#N/A</v>
      </c>
      <c r="K601" s="204" t="e">
        <v>#N/A</v>
      </c>
      <c r="L601" s="204" t="e">
        <v>#N/A</v>
      </c>
      <c r="M601" s="205" t="e">
        <v>#N/A</v>
      </c>
      <c r="N601" s="205" t="e">
        <v>#N/A</v>
      </c>
      <c r="O601" s="205" t="e">
        <v>#N/A</v>
      </c>
      <c r="P601" s="205" t="e">
        <v>#N/A</v>
      </c>
      <c r="Q601" s="189" t="e">
        <v>#N/A</v>
      </c>
      <c r="R601" s="189" t="e">
        <v>#N/A</v>
      </c>
      <c r="S601" s="205" t="e">
        <v>#N/A</v>
      </c>
      <c r="T601" s="206"/>
    </row>
    <row r="602">
      <c r="C602" s="189" t="e">
        <v>#N/A</v>
      </c>
      <c r="D602" s="189" t="e">
        <v>#N/A</v>
      </c>
      <c r="E602" s="189" t="e">
        <v>#N/A</v>
      </c>
      <c r="F602" s="189" t="e">
        <v>#N/A</v>
      </c>
      <c r="G602" s="189" t="e">
        <v>#N/A</v>
      </c>
      <c r="H602" s="189" t="e">
        <v>#N/A</v>
      </c>
      <c r="I602" s="189" t="e">
        <v>#N/A</v>
      </c>
      <c r="J602" s="189" t="e">
        <v>#N/A</v>
      </c>
      <c r="K602" s="204" t="e">
        <v>#N/A</v>
      </c>
      <c r="L602" s="204" t="e">
        <v>#N/A</v>
      </c>
      <c r="M602" s="205" t="e">
        <v>#N/A</v>
      </c>
      <c r="N602" s="205" t="e">
        <v>#N/A</v>
      </c>
      <c r="O602" s="205" t="e">
        <v>#N/A</v>
      </c>
      <c r="P602" s="205" t="e">
        <v>#N/A</v>
      </c>
      <c r="Q602" s="189" t="e">
        <v>#N/A</v>
      </c>
      <c r="R602" s="189" t="e">
        <v>#N/A</v>
      </c>
      <c r="S602" s="205" t="e">
        <v>#N/A</v>
      </c>
      <c r="T602" s="206"/>
    </row>
    <row r="603">
      <c r="C603" s="189" t="e">
        <v>#N/A</v>
      </c>
      <c r="D603" s="189" t="e">
        <v>#N/A</v>
      </c>
      <c r="E603" s="189" t="e">
        <v>#N/A</v>
      </c>
      <c r="F603" s="189" t="e">
        <v>#N/A</v>
      </c>
      <c r="G603" s="189" t="e">
        <v>#N/A</v>
      </c>
      <c r="H603" s="189" t="e">
        <v>#N/A</v>
      </c>
      <c r="I603" s="189" t="e">
        <v>#N/A</v>
      </c>
      <c r="J603" s="189" t="e">
        <v>#N/A</v>
      </c>
      <c r="K603" s="204" t="e">
        <v>#N/A</v>
      </c>
      <c r="L603" s="204" t="e">
        <v>#N/A</v>
      </c>
      <c r="M603" s="205" t="e">
        <v>#N/A</v>
      </c>
      <c r="N603" s="205" t="e">
        <v>#N/A</v>
      </c>
      <c r="O603" s="205" t="e">
        <v>#N/A</v>
      </c>
      <c r="P603" s="205" t="e">
        <v>#N/A</v>
      </c>
      <c r="Q603" s="189" t="e">
        <v>#N/A</v>
      </c>
      <c r="R603" s="189" t="e">
        <v>#N/A</v>
      </c>
      <c r="S603" s="205" t="e">
        <v>#N/A</v>
      </c>
      <c r="T603" s="206"/>
    </row>
    <row r="604">
      <c r="C604" s="189" t="e">
        <v>#N/A</v>
      </c>
      <c r="D604" s="189" t="e">
        <v>#N/A</v>
      </c>
      <c r="E604" s="189" t="e">
        <v>#N/A</v>
      </c>
      <c r="F604" s="189" t="e">
        <v>#N/A</v>
      </c>
      <c r="G604" s="189" t="e">
        <v>#N/A</v>
      </c>
      <c r="H604" s="189" t="e">
        <v>#N/A</v>
      </c>
      <c r="I604" s="189" t="e">
        <v>#N/A</v>
      </c>
      <c r="J604" s="189" t="e">
        <v>#N/A</v>
      </c>
      <c r="K604" s="204" t="e">
        <v>#N/A</v>
      </c>
      <c r="L604" s="204" t="e">
        <v>#N/A</v>
      </c>
      <c r="M604" s="205" t="e">
        <v>#N/A</v>
      </c>
      <c r="N604" s="205" t="e">
        <v>#N/A</v>
      </c>
      <c r="O604" s="205" t="e">
        <v>#N/A</v>
      </c>
      <c r="P604" s="205" t="e">
        <v>#N/A</v>
      </c>
      <c r="Q604" s="189" t="e">
        <v>#N/A</v>
      </c>
      <c r="R604" s="189" t="e">
        <v>#N/A</v>
      </c>
      <c r="S604" s="205" t="e">
        <v>#N/A</v>
      </c>
      <c r="T604" s="206"/>
    </row>
    <row r="605">
      <c r="C605" s="189" t="e">
        <v>#N/A</v>
      </c>
      <c r="D605" s="189" t="e">
        <v>#N/A</v>
      </c>
      <c r="E605" s="189" t="e">
        <v>#N/A</v>
      </c>
      <c r="F605" s="189" t="e">
        <v>#N/A</v>
      </c>
      <c r="G605" s="189" t="e">
        <v>#N/A</v>
      </c>
      <c r="H605" s="189" t="e">
        <v>#N/A</v>
      </c>
      <c r="I605" s="189" t="e">
        <v>#N/A</v>
      </c>
      <c r="J605" s="189" t="e">
        <v>#N/A</v>
      </c>
      <c r="K605" s="204" t="e">
        <v>#N/A</v>
      </c>
      <c r="L605" s="204" t="e">
        <v>#N/A</v>
      </c>
      <c r="M605" s="205" t="e">
        <v>#N/A</v>
      </c>
      <c r="N605" s="205" t="e">
        <v>#N/A</v>
      </c>
      <c r="O605" s="205" t="e">
        <v>#N/A</v>
      </c>
      <c r="P605" s="205" t="e">
        <v>#N/A</v>
      </c>
      <c r="Q605" s="189" t="e">
        <v>#N/A</v>
      </c>
      <c r="R605" s="189" t="e">
        <v>#N/A</v>
      </c>
      <c r="S605" s="205" t="e">
        <v>#N/A</v>
      </c>
      <c r="T605" s="206"/>
    </row>
    <row r="606">
      <c r="C606" s="189" t="e">
        <v>#N/A</v>
      </c>
      <c r="D606" s="189" t="e">
        <v>#N/A</v>
      </c>
      <c r="E606" s="189" t="e">
        <v>#N/A</v>
      </c>
      <c r="F606" s="189" t="e">
        <v>#N/A</v>
      </c>
      <c r="G606" s="189" t="e">
        <v>#N/A</v>
      </c>
      <c r="H606" s="189" t="e">
        <v>#N/A</v>
      </c>
      <c r="I606" s="189" t="e">
        <v>#N/A</v>
      </c>
      <c r="J606" s="189" t="e">
        <v>#N/A</v>
      </c>
      <c r="K606" s="204" t="e">
        <v>#N/A</v>
      </c>
      <c r="L606" s="204" t="e">
        <v>#N/A</v>
      </c>
      <c r="M606" s="205" t="e">
        <v>#N/A</v>
      </c>
      <c r="N606" s="205" t="e">
        <v>#N/A</v>
      </c>
      <c r="O606" s="205" t="e">
        <v>#N/A</v>
      </c>
      <c r="P606" s="205" t="e">
        <v>#N/A</v>
      </c>
      <c r="Q606" s="189" t="e">
        <v>#N/A</v>
      </c>
      <c r="R606" s="189" t="e">
        <v>#N/A</v>
      </c>
      <c r="S606" s="205" t="e">
        <v>#N/A</v>
      </c>
      <c r="T606" s="206"/>
    </row>
    <row r="607">
      <c r="C607" s="189" t="e">
        <v>#N/A</v>
      </c>
      <c r="D607" s="189" t="e">
        <v>#N/A</v>
      </c>
      <c r="E607" s="189" t="e">
        <v>#N/A</v>
      </c>
      <c r="F607" s="189" t="e">
        <v>#N/A</v>
      </c>
      <c r="G607" s="189" t="e">
        <v>#N/A</v>
      </c>
      <c r="H607" s="189" t="e">
        <v>#N/A</v>
      </c>
      <c r="I607" s="189" t="e">
        <v>#N/A</v>
      </c>
      <c r="J607" s="189" t="e">
        <v>#N/A</v>
      </c>
      <c r="K607" s="204" t="e">
        <v>#N/A</v>
      </c>
      <c r="L607" s="204" t="e">
        <v>#N/A</v>
      </c>
      <c r="M607" s="205" t="e">
        <v>#N/A</v>
      </c>
      <c r="N607" s="205" t="e">
        <v>#N/A</v>
      </c>
      <c r="O607" s="205" t="e">
        <v>#N/A</v>
      </c>
      <c r="P607" s="205" t="e">
        <v>#N/A</v>
      </c>
      <c r="Q607" s="189" t="e">
        <v>#N/A</v>
      </c>
      <c r="R607" s="189" t="e">
        <v>#N/A</v>
      </c>
      <c r="S607" s="205" t="e">
        <v>#N/A</v>
      </c>
      <c r="T607" s="206"/>
    </row>
    <row r="608">
      <c r="C608" s="189" t="e">
        <v>#N/A</v>
      </c>
      <c r="D608" s="189" t="e">
        <v>#N/A</v>
      </c>
      <c r="E608" s="189" t="e">
        <v>#N/A</v>
      </c>
      <c r="F608" s="189" t="e">
        <v>#N/A</v>
      </c>
      <c r="G608" s="189" t="e">
        <v>#N/A</v>
      </c>
      <c r="H608" s="189" t="e">
        <v>#N/A</v>
      </c>
      <c r="I608" s="189" t="e">
        <v>#N/A</v>
      </c>
      <c r="J608" s="189" t="e">
        <v>#N/A</v>
      </c>
      <c r="K608" s="204" t="e">
        <v>#N/A</v>
      </c>
      <c r="L608" s="204" t="e">
        <v>#N/A</v>
      </c>
      <c r="M608" s="205" t="e">
        <v>#N/A</v>
      </c>
      <c r="N608" s="205" t="e">
        <v>#N/A</v>
      </c>
      <c r="O608" s="205" t="e">
        <v>#N/A</v>
      </c>
      <c r="P608" s="205" t="e">
        <v>#N/A</v>
      </c>
      <c r="Q608" s="189" t="e">
        <v>#N/A</v>
      </c>
      <c r="R608" s="189" t="e">
        <v>#N/A</v>
      </c>
      <c r="S608" s="205" t="e">
        <v>#N/A</v>
      </c>
      <c r="T608" s="206"/>
    </row>
    <row r="609">
      <c r="C609" s="189" t="e">
        <v>#N/A</v>
      </c>
      <c r="D609" s="189" t="e">
        <v>#N/A</v>
      </c>
      <c r="E609" s="189" t="e">
        <v>#N/A</v>
      </c>
      <c r="F609" s="189" t="e">
        <v>#N/A</v>
      </c>
      <c r="G609" s="189" t="e">
        <v>#N/A</v>
      </c>
      <c r="H609" s="189" t="e">
        <v>#N/A</v>
      </c>
      <c r="I609" s="189" t="e">
        <v>#N/A</v>
      </c>
      <c r="J609" s="189" t="e">
        <v>#N/A</v>
      </c>
      <c r="K609" s="204" t="e">
        <v>#N/A</v>
      </c>
      <c r="L609" s="204" t="e">
        <v>#N/A</v>
      </c>
      <c r="M609" s="205" t="e">
        <v>#N/A</v>
      </c>
      <c r="N609" s="205" t="e">
        <v>#N/A</v>
      </c>
      <c r="O609" s="205" t="e">
        <v>#N/A</v>
      </c>
      <c r="P609" s="205" t="e">
        <v>#N/A</v>
      </c>
      <c r="Q609" s="189" t="e">
        <v>#N/A</v>
      </c>
      <c r="R609" s="189" t="e">
        <v>#N/A</v>
      </c>
      <c r="S609" s="205" t="e">
        <v>#N/A</v>
      </c>
      <c r="T609" s="206"/>
    </row>
    <row r="610">
      <c r="C610" s="189" t="e">
        <v>#N/A</v>
      </c>
      <c r="D610" s="189" t="e">
        <v>#N/A</v>
      </c>
      <c r="E610" s="189" t="e">
        <v>#N/A</v>
      </c>
      <c r="F610" s="189" t="e">
        <v>#N/A</v>
      </c>
      <c r="G610" s="189" t="e">
        <v>#N/A</v>
      </c>
      <c r="H610" s="189" t="e">
        <v>#N/A</v>
      </c>
      <c r="I610" s="189" t="e">
        <v>#N/A</v>
      </c>
      <c r="J610" s="189" t="e">
        <v>#N/A</v>
      </c>
      <c r="K610" s="204" t="e">
        <v>#N/A</v>
      </c>
      <c r="L610" s="204" t="e">
        <v>#N/A</v>
      </c>
      <c r="M610" s="205" t="e">
        <v>#N/A</v>
      </c>
      <c r="N610" s="205" t="e">
        <v>#N/A</v>
      </c>
      <c r="O610" s="205" t="e">
        <v>#N/A</v>
      </c>
      <c r="P610" s="205" t="e">
        <v>#N/A</v>
      </c>
      <c r="Q610" s="189" t="e">
        <v>#N/A</v>
      </c>
      <c r="R610" s="189" t="e">
        <v>#N/A</v>
      </c>
      <c r="S610" s="205" t="e">
        <v>#N/A</v>
      </c>
      <c r="T610" s="206"/>
    </row>
    <row r="611">
      <c r="C611" s="189" t="e">
        <v>#N/A</v>
      </c>
      <c r="D611" s="189" t="e">
        <v>#N/A</v>
      </c>
      <c r="E611" s="189" t="e">
        <v>#N/A</v>
      </c>
      <c r="F611" s="189" t="e">
        <v>#N/A</v>
      </c>
      <c r="G611" s="189" t="e">
        <v>#N/A</v>
      </c>
      <c r="H611" s="189" t="e">
        <v>#N/A</v>
      </c>
      <c r="I611" s="189" t="e">
        <v>#N/A</v>
      </c>
      <c r="J611" s="189" t="e">
        <v>#N/A</v>
      </c>
      <c r="K611" s="204" t="e">
        <v>#N/A</v>
      </c>
      <c r="L611" s="204" t="e">
        <v>#N/A</v>
      </c>
      <c r="M611" s="205" t="e">
        <v>#N/A</v>
      </c>
      <c r="N611" s="205" t="e">
        <v>#N/A</v>
      </c>
      <c r="O611" s="205" t="e">
        <v>#N/A</v>
      </c>
      <c r="P611" s="205" t="e">
        <v>#N/A</v>
      </c>
      <c r="Q611" s="189" t="e">
        <v>#N/A</v>
      </c>
      <c r="R611" s="189" t="e">
        <v>#N/A</v>
      </c>
      <c r="S611" s="205" t="e">
        <v>#N/A</v>
      </c>
      <c r="T611" s="206"/>
    </row>
    <row r="612">
      <c r="C612" s="189" t="e">
        <v>#N/A</v>
      </c>
      <c r="D612" s="189" t="e">
        <v>#N/A</v>
      </c>
      <c r="E612" s="189" t="e">
        <v>#N/A</v>
      </c>
      <c r="F612" s="189" t="e">
        <v>#N/A</v>
      </c>
      <c r="G612" s="189" t="e">
        <v>#N/A</v>
      </c>
      <c r="H612" s="189" t="e">
        <v>#N/A</v>
      </c>
      <c r="I612" s="189" t="e">
        <v>#N/A</v>
      </c>
      <c r="J612" s="189" t="e">
        <v>#N/A</v>
      </c>
      <c r="K612" s="204" t="e">
        <v>#N/A</v>
      </c>
      <c r="L612" s="204" t="e">
        <v>#N/A</v>
      </c>
      <c r="M612" s="205" t="e">
        <v>#N/A</v>
      </c>
      <c r="N612" s="205" t="e">
        <v>#N/A</v>
      </c>
      <c r="O612" s="205" t="e">
        <v>#N/A</v>
      </c>
      <c r="P612" s="205" t="e">
        <v>#N/A</v>
      </c>
      <c r="Q612" s="189" t="e">
        <v>#N/A</v>
      </c>
      <c r="R612" s="189" t="e">
        <v>#N/A</v>
      </c>
      <c r="S612" s="205" t="e">
        <v>#N/A</v>
      </c>
      <c r="T612" s="206"/>
    </row>
    <row r="613">
      <c r="C613" s="189" t="e">
        <v>#N/A</v>
      </c>
      <c r="D613" s="189" t="e">
        <v>#N/A</v>
      </c>
      <c r="E613" s="189" t="e">
        <v>#N/A</v>
      </c>
      <c r="F613" s="189" t="e">
        <v>#N/A</v>
      </c>
      <c r="G613" s="189" t="e">
        <v>#N/A</v>
      </c>
      <c r="H613" s="189" t="e">
        <v>#N/A</v>
      </c>
      <c r="I613" s="189" t="e">
        <v>#N/A</v>
      </c>
      <c r="J613" s="189" t="e">
        <v>#N/A</v>
      </c>
      <c r="K613" s="204" t="e">
        <v>#N/A</v>
      </c>
      <c r="L613" s="204" t="e">
        <v>#N/A</v>
      </c>
      <c r="M613" s="205" t="e">
        <v>#N/A</v>
      </c>
      <c r="N613" s="205" t="e">
        <v>#N/A</v>
      </c>
      <c r="O613" s="205" t="e">
        <v>#N/A</v>
      </c>
      <c r="P613" s="205" t="e">
        <v>#N/A</v>
      </c>
      <c r="Q613" s="189" t="e">
        <v>#N/A</v>
      </c>
      <c r="R613" s="189" t="e">
        <v>#N/A</v>
      </c>
      <c r="S613" s="205" t="e">
        <v>#N/A</v>
      </c>
      <c r="T613" s="206"/>
    </row>
    <row r="614">
      <c r="C614" s="189" t="e">
        <v>#N/A</v>
      </c>
      <c r="D614" s="189" t="e">
        <v>#N/A</v>
      </c>
      <c r="E614" s="189" t="e">
        <v>#N/A</v>
      </c>
      <c r="F614" s="189" t="e">
        <v>#N/A</v>
      </c>
      <c r="G614" s="189" t="e">
        <v>#N/A</v>
      </c>
      <c r="H614" s="189" t="e">
        <v>#N/A</v>
      </c>
      <c r="I614" s="189" t="e">
        <v>#N/A</v>
      </c>
      <c r="J614" s="189" t="e">
        <v>#N/A</v>
      </c>
      <c r="K614" s="204" t="e">
        <v>#N/A</v>
      </c>
      <c r="L614" s="204" t="e">
        <v>#N/A</v>
      </c>
      <c r="M614" s="205" t="e">
        <v>#N/A</v>
      </c>
      <c r="N614" s="205" t="e">
        <v>#N/A</v>
      </c>
      <c r="O614" s="205" t="e">
        <v>#N/A</v>
      </c>
      <c r="P614" s="205" t="e">
        <v>#N/A</v>
      </c>
      <c r="Q614" s="189" t="e">
        <v>#N/A</v>
      </c>
      <c r="R614" s="189" t="e">
        <v>#N/A</v>
      </c>
      <c r="S614" s="205" t="e">
        <v>#N/A</v>
      </c>
      <c r="T614" s="206"/>
    </row>
    <row r="615">
      <c r="C615" s="189" t="e">
        <v>#N/A</v>
      </c>
      <c r="D615" s="189" t="e">
        <v>#N/A</v>
      </c>
      <c r="E615" s="189" t="e">
        <v>#N/A</v>
      </c>
      <c r="F615" s="189" t="e">
        <v>#N/A</v>
      </c>
      <c r="G615" s="189" t="e">
        <v>#N/A</v>
      </c>
      <c r="H615" s="189" t="e">
        <v>#N/A</v>
      </c>
      <c r="I615" s="189" t="e">
        <v>#N/A</v>
      </c>
      <c r="J615" s="189" t="e">
        <v>#N/A</v>
      </c>
      <c r="K615" s="204" t="e">
        <v>#N/A</v>
      </c>
      <c r="L615" s="204" t="e">
        <v>#N/A</v>
      </c>
      <c r="M615" s="205" t="e">
        <v>#N/A</v>
      </c>
      <c r="N615" s="205" t="e">
        <v>#N/A</v>
      </c>
      <c r="O615" s="205" t="e">
        <v>#N/A</v>
      </c>
      <c r="P615" s="205" t="e">
        <v>#N/A</v>
      </c>
      <c r="Q615" s="189" t="e">
        <v>#N/A</v>
      </c>
      <c r="R615" s="189" t="e">
        <v>#N/A</v>
      </c>
      <c r="S615" s="205" t="e">
        <v>#N/A</v>
      </c>
      <c r="T615" s="206"/>
    </row>
    <row r="616">
      <c r="C616" s="189" t="e">
        <v>#N/A</v>
      </c>
      <c r="D616" s="189" t="e">
        <v>#N/A</v>
      </c>
      <c r="E616" s="189" t="e">
        <v>#N/A</v>
      </c>
      <c r="F616" s="189" t="e">
        <v>#N/A</v>
      </c>
      <c r="G616" s="189" t="e">
        <v>#N/A</v>
      </c>
      <c r="H616" s="189" t="e">
        <v>#N/A</v>
      </c>
      <c r="I616" s="189" t="e">
        <v>#N/A</v>
      </c>
      <c r="J616" s="189" t="e">
        <v>#N/A</v>
      </c>
      <c r="K616" s="204" t="e">
        <v>#N/A</v>
      </c>
      <c r="L616" s="204" t="e">
        <v>#N/A</v>
      </c>
      <c r="M616" s="205" t="e">
        <v>#N/A</v>
      </c>
      <c r="N616" s="205" t="e">
        <v>#N/A</v>
      </c>
      <c r="O616" s="205" t="e">
        <v>#N/A</v>
      </c>
      <c r="P616" s="205" t="e">
        <v>#N/A</v>
      </c>
      <c r="Q616" s="189" t="e">
        <v>#N/A</v>
      </c>
      <c r="R616" s="189" t="e">
        <v>#N/A</v>
      </c>
      <c r="S616" s="205" t="e">
        <v>#N/A</v>
      </c>
      <c r="T616" s="206"/>
    </row>
    <row r="617">
      <c r="C617" s="189" t="e">
        <v>#N/A</v>
      </c>
      <c r="D617" s="189" t="e">
        <v>#N/A</v>
      </c>
      <c r="E617" s="189" t="e">
        <v>#N/A</v>
      </c>
      <c r="F617" s="189" t="e">
        <v>#N/A</v>
      </c>
      <c r="G617" s="189" t="e">
        <v>#N/A</v>
      </c>
      <c r="H617" s="189" t="e">
        <v>#N/A</v>
      </c>
      <c r="I617" s="189" t="e">
        <v>#N/A</v>
      </c>
      <c r="J617" s="189" t="e">
        <v>#N/A</v>
      </c>
      <c r="K617" s="204" t="e">
        <v>#N/A</v>
      </c>
      <c r="L617" s="204" t="e">
        <v>#N/A</v>
      </c>
      <c r="M617" s="205" t="e">
        <v>#N/A</v>
      </c>
      <c r="N617" s="205" t="e">
        <v>#N/A</v>
      </c>
      <c r="O617" s="205" t="e">
        <v>#N/A</v>
      </c>
      <c r="P617" s="205" t="e">
        <v>#N/A</v>
      </c>
      <c r="Q617" s="189" t="e">
        <v>#N/A</v>
      </c>
      <c r="R617" s="189" t="e">
        <v>#N/A</v>
      </c>
      <c r="S617" s="205" t="e">
        <v>#N/A</v>
      </c>
      <c r="T617" s="206"/>
    </row>
    <row r="618">
      <c r="C618" s="189" t="e">
        <v>#N/A</v>
      </c>
      <c r="D618" s="189" t="e">
        <v>#N/A</v>
      </c>
      <c r="E618" s="189" t="e">
        <v>#N/A</v>
      </c>
      <c r="F618" s="189" t="e">
        <v>#N/A</v>
      </c>
      <c r="G618" s="189" t="e">
        <v>#N/A</v>
      </c>
      <c r="H618" s="189" t="e">
        <v>#N/A</v>
      </c>
      <c r="I618" s="189" t="e">
        <v>#N/A</v>
      </c>
      <c r="J618" s="189" t="e">
        <v>#N/A</v>
      </c>
      <c r="K618" s="204" t="e">
        <v>#N/A</v>
      </c>
      <c r="L618" s="204" t="e">
        <v>#N/A</v>
      </c>
      <c r="M618" s="205" t="e">
        <v>#N/A</v>
      </c>
      <c r="N618" s="205" t="e">
        <v>#N/A</v>
      </c>
      <c r="O618" s="205" t="e">
        <v>#N/A</v>
      </c>
      <c r="P618" s="205" t="e">
        <v>#N/A</v>
      </c>
      <c r="Q618" s="189" t="e">
        <v>#N/A</v>
      </c>
      <c r="R618" s="189" t="e">
        <v>#N/A</v>
      </c>
      <c r="S618" s="205" t="e">
        <v>#N/A</v>
      </c>
      <c r="T618" s="206"/>
    </row>
    <row r="619">
      <c r="C619" s="189" t="e">
        <v>#N/A</v>
      </c>
      <c r="D619" s="189" t="e">
        <v>#N/A</v>
      </c>
      <c r="E619" s="189" t="e">
        <v>#N/A</v>
      </c>
      <c r="F619" s="189" t="e">
        <v>#N/A</v>
      </c>
      <c r="G619" s="189" t="e">
        <v>#N/A</v>
      </c>
      <c r="H619" s="189" t="e">
        <v>#N/A</v>
      </c>
      <c r="I619" s="189" t="e">
        <v>#N/A</v>
      </c>
      <c r="J619" s="189" t="e">
        <v>#N/A</v>
      </c>
      <c r="K619" s="204" t="e">
        <v>#N/A</v>
      </c>
      <c r="L619" s="204" t="e">
        <v>#N/A</v>
      </c>
      <c r="M619" s="205" t="e">
        <v>#N/A</v>
      </c>
      <c r="N619" s="205" t="e">
        <v>#N/A</v>
      </c>
      <c r="O619" s="205" t="e">
        <v>#N/A</v>
      </c>
      <c r="P619" s="205" t="e">
        <v>#N/A</v>
      </c>
      <c r="Q619" s="189" t="e">
        <v>#N/A</v>
      </c>
      <c r="R619" s="189" t="e">
        <v>#N/A</v>
      </c>
      <c r="S619" s="205" t="e">
        <v>#N/A</v>
      </c>
      <c r="T619" s="206"/>
    </row>
    <row r="620">
      <c r="C620" s="189" t="e">
        <v>#N/A</v>
      </c>
      <c r="D620" s="189" t="e">
        <v>#N/A</v>
      </c>
      <c r="E620" s="189" t="e">
        <v>#N/A</v>
      </c>
      <c r="F620" s="189" t="e">
        <v>#N/A</v>
      </c>
      <c r="G620" s="189" t="e">
        <v>#N/A</v>
      </c>
      <c r="H620" s="189" t="e">
        <v>#N/A</v>
      </c>
      <c r="I620" s="189" t="e">
        <v>#N/A</v>
      </c>
      <c r="J620" s="189" t="e">
        <v>#N/A</v>
      </c>
      <c r="K620" s="204" t="e">
        <v>#N/A</v>
      </c>
      <c r="L620" s="204" t="e">
        <v>#N/A</v>
      </c>
      <c r="M620" s="205" t="e">
        <v>#N/A</v>
      </c>
      <c r="N620" s="205" t="e">
        <v>#N/A</v>
      </c>
      <c r="O620" s="205" t="e">
        <v>#N/A</v>
      </c>
      <c r="P620" s="205" t="e">
        <v>#N/A</v>
      </c>
      <c r="Q620" s="189" t="e">
        <v>#N/A</v>
      </c>
      <c r="R620" s="189" t="e">
        <v>#N/A</v>
      </c>
      <c r="S620" s="205" t="e">
        <v>#N/A</v>
      </c>
      <c r="T620" s="206"/>
    </row>
    <row r="621">
      <c r="C621" s="189" t="e">
        <v>#N/A</v>
      </c>
      <c r="D621" s="189" t="e">
        <v>#N/A</v>
      </c>
      <c r="E621" s="189" t="e">
        <v>#N/A</v>
      </c>
      <c r="F621" s="189" t="e">
        <v>#N/A</v>
      </c>
      <c r="G621" s="189" t="e">
        <v>#N/A</v>
      </c>
      <c r="H621" s="189" t="e">
        <v>#N/A</v>
      </c>
      <c r="I621" s="189" t="e">
        <v>#N/A</v>
      </c>
      <c r="J621" s="189" t="e">
        <v>#N/A</v>
      </c>
      <c r="K621" s="204" t="e">
        <v>#N/A</v>
      </c>
      <c r="L621" s="204" t="e">
        <v>#N/A</v>
      </c>
      <c r="M621" s="205" t="e">
        <v>#N/A</v>
      </c>
      <c r="N621" s="205" t="e">
        <v>#N/A</v>
      </c>
      <c r="O621" s="205" t="e">
        <v>#N/A</v>
      </c>
      <c r="P621" s="205" t="e">
        <v>#N/A</v>
      </c>
      <c r="Q621" s="189" t="e">
        <v>#N/A</v>
      </c>
      <c r="R621" s="189" t="e">
        <v>#N/A</v>
      </c>
      <c r="S621" s="205" t="e">
        <v>#N/A</v>
      </c>
      <c r="T621" s="206"/>
    </row>
    <row r="622">
      <c r="C622" s="189" t="e">
        <v>#N/A</v>
      </c>
      <c r="D622" s="189" t="e">
        <v>#N/A</v>
      </c>
      <c r="E622" s="189" t="e">
        <v>#N/A</v>
      </c>
      <c r="F622" s="189" t="e">
        <v>#N/A</v>
      </c>
      <c r="G622" s="189" t="e">
        <v>#N/A</v>
      </c>
      <c r="H622" s="189" t="e">
        <v>#N/A</v>
      </c>
      <c r="I622" s="189" t="e">
        <v>#N/A</v>
      </c>
      <c r="J622" s="189" t="e">
        <v>#N/A</v>
      </c>
      <c r="K622" s="204" t="e">
        <v>#N/A</v>
      </c>
      <c r="L622" s="204" t="e">
        <v>#N/A</v>
      </c>
      <c r="M622" s="205" t="e">
        <v>#N/A</v>
      </c>
      <c r="N622" s="205" t="e">
        <v>#N/A</v>
      </c>
      <c r="O622" s="205" t="e">
        <v>#N/A</v>
      </c>
      <c r="P622" s="205" t="e">
        <v>#N/A</v>
      </c>
      <c r="Q622" s="189" t="e">
        <v>#N/A</v>
      </c>
      <c r="R622" s="189" t="e">
        <v>#N/A</v>
      </c>
      <c r="S622" s="205" t="e">
        <v>#N/A</v>
      </c>
      <c r="T622" s="206"/>
    </row>
    <row r="623">
      <c r="C623" s="189" t="e">
        <v>#N/A</v>
      </c>
      <c r="D623" s="189" t="e">
        <v>#N/A</v>
      </c>
      <c r="E623" s="189" t="e">
        <v>#N/A</v>
      </c>
      <c r="F623" s="189" t="e">
        <v>#N/A</v>
      </c>
      <c r="G623" s="189" t="e">
        <v>#N/A</v>
      </c>
      <c r="H623" s="189" t="e">
        <v>#N/A</v>
      </c>
      <c r="I623" s="189" t="e">
        <v>#N/A</v>
      </c>
      <c r="J623" s="189" t="e">
        <v>#N/A</v>
      </c>
      <c r="K623" s="204" t="e">
        <v>#N/A</v>
      </c>
      <c r="L623" s="204" t="e">
        <v>#N/A</v>
      </c>
      <c r="M623" s="205" t="e">
        <v>#N/A</v>
      </c>
      <c r="N623" s="205" t="e">
        <v>#N/A</v>
      </c>
      <c r="O623" s="205" t="e">
        <v>#N/A</v>
      </c>
      <c r="P623" s="205" t="e">
        <v>#N/A</v>
      </c>
      <c r="Q623" s="189" t="e">
        <v>#N/A</v>
      </c>
      <c r="R623" s="189" t="e">
        <v>#N/A</v>
      </c>
      <c r="S623" s="205" t="e">
        <v>#N/A</v>
      </c>
      <c r="T623" s="206"/>
    </row>
    <row r="624">
      <c r="C624" s="189" t="e">
        <v>#N/A</v>
      </c>
      <c r="D624" s="189" t="e">
        <v>#N/A</v>
      </c>
      <c r="E624" s="189" t="e">
        <v>#N/A</v>
      </c>
      <c r="F624" s="189" t="e">
        <v>#N/A</v>
      </c>
      <c r="G624" s="189" t="e">
        <v>#N/A</v>
      </c>
      <c r="H624" s="189" t="e">
        <v>#N/A</v>
      </c>
      <c r="I624" s="189" t="e">
        <v>#N/A</v>
      </c>
      <c r="J624" s="189" t="e">
        <v>#N/A</v>
      </c>
      <c r="K624" s="204" t="e">
        <v>#N/A</v>
      </c>
      <c r="L624" s="204" t="e">
        <v>#N/A</v>
      </c>
      <c r="M624" s="205" t="e">
        <v>#N/A</v>
      </c>
      <c r="N624" s="205" t="e">
        <v>#N/A</v>
      </c>
      <c r="O624" s="205" t="e">
        <v>#N/A</v>
      </c>
      <c r="P624" s="205" t="e">
        <v>#N/A</v>
      </c>
      <c r="Q624" s="189" t="e">
        <v>#N/A</v>
      </c>
      <c r="R624" s="189" t="e">
        <v>#N/A</v>
      </c>
      <c r="S624" s="205" t="e">
        <v>#N/A</v>
      </c>
      <c r="T624" s="206"/>
    </row>
    <row r="625">
      <c r="C625" s="189" t="e">
        <v>#N/A</v>
      </c>
      <c r="D625" s="189" t="e">
        <v>#N/A</v>
      </c>
      <c r="E625" s="189" t="e">
        <v>#N/A</v>
      </c>
      <c r="F625" s="189" t="e">
        <v>#N/A</v>
      </c>
      <c r="G625" s="189" t="e">
        <v>#N/A</v>
      </c>
      <c r="H625" s="189" t="e">
        <v>#N/A</v>
      </c>
      <c r="I625" s="189" t="e">
        <v>#N/A</v>
      </c>
      <c r="J625" s="189" t="e">
        <v>#N/A</v>
      </c>
      <c r="K625" s="204" t="e">
        <v>#N/A</v>
      </c>
      <c r="L625" s="204" t="e">
        <v>#N/A</v>
      </c>
      <c r="M625" s="205" t="e">
        <v>#N/A</v>
      </c>
      <c r="N625" s="205" t="e">
        <v>#N/A</v>
      </c>
      <c r="O625" s="205" t="e">
        <v>#N/A</v>
      </c>
      <c r="P625" s="205" t="e">
        <v>#N/A</v>
      </c>
      <c r="Q625" s="189" t="e">
        <v>#N/A</v>
      </c>
      <c r="R625" s="189" t="e">
        <v>#N/A</v>
      </c>
      <c r="S625" s="205" t="e">
        <v>#N/A</v>
      </c>
      <c r="T625" s="206"/>
    </row>
    <row r="626">
      <c r="C626" s="189" t="e">
        <v>#N/A</v>
      </c>
      <c r="D626" s="189" t="e">
        <v>#N/A</v>
      </c>
      <c r="E626" s="189" t="e">
        <v>#N/A</v>
      </c>
      <c r="F626" s="189" t="e">
        <v>#N/A</v>
      </c>
      <c r="G626" s="189" t="e">
        <v>#N/A</v>
      </c>
      <c r="H626" s="189" t="e">
        <v>#N/A</v>
      </c>
      <c r="I626" s="189" t="e">
        <v>#N/A</v>
      </c>
      <c r="J626" s="189" t="e">
        <v>#N/A</v>
      </c>
      <c r="K626" s="204" t="e">
        <v>#N/A</v>
      </c>
      <c r="L626" s="204" t="e">
        <v>#N/A</v>
      </c>
      <c r="M626" s="205" t="e">
        <v>#N/A</v>
      </c>
      <c r="N626" s="205" t="e">
        <v>#N/A</v>
      </c>
      <c r="O626" s="205" t="e">
        <v>#N/A</v>
      </c>
      <c r="P626" s="205" t="e">
        <v>#N/A</v>
      </c>
      <c r="Q626" s="189" t="e">
        <v>#N/A</v>
      </c>
      <c r="R626" s="189" t="e">
        <v>#N/A</v>
      </c>
      <c r="S626" s="205" t="e">
        <v>#N/A</v>
      </c>
      <c r="T626" s="206"/>
    </row>
    <row r="627">
      <c r="C627" s="189" t="e">
        <v>#N/A</v>
      </c>
      <c r="D627" s="189" t="e">
        <v>#N/A</v>
      </c>
      <c r="E627" s="189" t="e">
        <v>#N/A</v>
      </c>
      <c r="F627" s="189" t="e">
        <v>#N/A</v>
      </c>
      <c r="G627" s="189" t="e">
        <v>#N/A</v>
      </c>
      <c r="H627" s="189" t="e">
        <v>#N/A</v>
      </c>
      <c r="I627" s="189" t="e">
        <v>#N/A</v>
      </c>
      <c r="J627" s="189" t="e">
        <v>#N/A</v>
      </c>
      <c r="K627" s="204" t="e">
        <v>#N/A</v>
      </c>
      <c r="L627" s="204" t="e">
        <v>#N/A</v>
      </c>
      <c r="M627" s="205" t="e">
        <v>#N/A</v>
      </c>
      <c r="N627" s="205" t="e">
        <v>#N/A</v>
      </c>
      <c r="O627" s="205" t="e">
        <v>#N/A</v>
      </c>
      <c r="P627" s="205" t="e">
        <v>#N/A</v>
      </c>
      <c r="Q627" s="189" t="e">
        <v>#N/A</v>
      </c>
      <c r="R627" s="189" t="e">
        <v>#N/A</v>
      </c>
      <c r="S627" s="205" t="e">
        <v>#N/A</v>
      </c>
      <c r="T627" s="206"/>
    </row>
    <row r="628">
      <c r="C628" s="189" t="e">
        <v>#N/A</v>
      </c>
      <c r="D628" s="189" t="e">
        <v>#N/A</v>
      </c>
      <c r="E628" s="189" t="e">
        <v>#N/A</v>
      </c>
      <c r="F628" s="189" t="e">
        <v>#N/A</v>
      </c>
      <c r="G628" s="189" t="e">
        <v>#N/A</v>
      </c>
      <c r="H628" s="189" t="e">
        <v>#N/A</v>
      </c>
      <c r="I628" s="189" t="e">
        <v>#N/A</v>
      </c>
      <c r="J628" s="189" t="e">
        <v>#N/A</v>
      </c>
      <c r="K628" s="204" t="e">
        <v>#N/A</v>
      </c>
      <c r="L628" s="204" t="e">
        <v>#N/A</v>
      </c>
      <c r="M628" s="205" t="e">
        <v>#N/A</v>
      </c>
      <c r="N628" s="205" t="e">
        <v>#N/A</v>
      </c>
      <c r="O628" s="205" t="e">
        <v>#N/A</v>
      </c>
      <c r="P628" s="205" t="e">
        <v>#N/A</v>
      </c>
      <c r="Q628" s="189" t="e">
        <v>#N/A</v>
      </c>
      <c r="R628" s="189" t="e">
        <v>#N/A</v>
      </c>
      <c r="S628" s="205" t="e">
        <v>#N/A</v>
      </c>
      <c r="T628" s="206"/>
    </row>
    <row r="629">
      <c r="C629" s="189" t="e">
        <v>#N/A</v>
      </c>
      <c r="D629" s="189" t="e">
        <v>#N/A</v>
      </c>
      <c r="E629" s="189" t="e">
        <v>#N/A</v>
      </c>
      <c r="F629" s="189" t="e">
        <v>#N/A</v>
      </c>
      <c r="G629" s="189" t="e">
        <v>#N/A</v>
      </c>
      <c r="H629" s="189" t="e">
        <v>#N/A</v>
      </c>
      <c r="I629" s="189" t="e">
        <v>#N/A</v>
      </c>
      <c r="J629" s="189" t="e">
        <v>#N/A</v>
      </c>
      <c r="K629" s="204" t="e">
        <v>#N/A</v>
      </c>
      <c r="L629" s="204" t="e">
        <v>#N/A</v>
      </c>
      <c r="M629" s="205" t="e">
        <v>#N/A</v>
      </c>
      <c r="N629" s="205" t="e">
        <v>#N/A</v>
      </c>
      <c r="O629" s="205" t="e">
        <v>#N/A</v>
      </c>
      <c r="P629" s="205" t="e">
        <v>#N/A</v>
      </c>
      <c r="Q629" s="189" t="e">
        <v>#N/A</v>
      </c>
      <c r="R629" s="189" t="e">
        <v>#N/A</v>
      </c>
      <c r="S629" s="205" t="e">
        <v>#N/A</v>
      </c>
      <c r="T629" s="206"/>
    </row>
    <row r="630">
      <c r="C630" s="189" t="e">
        <v>#N/A</v>
      </c>
      <c r="D630" s="189" t="e">
        <v>#N/A</v>
      </c>
      <c r="E630" s="189" t="e">
        <v>#N/A</v>
      </c>
      <c r="F630" s="189" t="e">
        <v>#N/A</v>
      </c>
      <c r="G630" s="189" t="e">
        <v>#N/A</v>
      </c>
      <c r="H630" s="189" t="e">
        <v>#N/A</v>
      </c>
      <c r="I630" s="189" t="e">
        <v>#N/A</v>
      </c>
      <c r="J630" s="189" t="e">
        <v>#N/A</v>
      </c>
      <c r="K630" s="204" t="e">
        <v>#N/A</v>
      </c>
      <c r="L630" s="204" t="e">
        <v>#N/A</v>
      </c>
      <c r="M630" s="205" t="e">
        <v>#N/A</v>
      </c>
      <c r="N630" s="205" t="e">
        <v>#N/A</v>
      </c>
      <c r="O630" s="205" t="e">
        <v>#N/A</v>
      </c>
      <c r="P630" s="205" t="e">
        <v>#N/A</v>
      </c>
      <c r="Q630" s="189" t="e">
        <v>#N/A</v>
      </c>
      <c r="R630" s="189" t="e">
        <v>#N/A</v>
      </c>
      <c r="S630" s="205" t="e">
        <v>#N/A</v>
      </c>
      <c r="T630" s="206"/>
    </row>
    <row r="631">
      <c r="C631" s="189" t="e">
        <v>#N/A</v>
      </c>
      <c r="D631" s="189" t="e">
        <v>#N/A</v>
      </c>
      <c r="E631" s="189" t="e">
        <v>#N/A</v>
      </c>
      <c r="F631" s="189" t="e">
        <v>#N/A</v>
      </c>
      <c r="G631" s="189" t="e">
        <v>#N/A</v>
      </c>
      <c r="H631" s="189" t="e">
        <v>#N/A</v>
      </c>
      <c r="I631" s="189" t="e">
        <v>#N/A</v>
      </c>
      <c r="J631" s="189" t="e">
        <v>#N/A</v>
      </c>
      <c r="K631" s="204" t="e">
        <v>#N/A</v>
      </c>
      <c r="L631" s="204" t="e">
        <v>#N/A</v>
      </c>
      <c r="M631" s="205" t="e">
        <v>#N/A</v>
      </c>
      <c r="N631" s="205" t="e">
        <v>#N/A</v>
      </c>
      <c r="O631" s="205" t="e">
        <v>#N/A</v>
      </c>
      <c r="P631" s="205" t="e">
        <v>#N/A</v>
      </c>
      <c r="Q631" s="189" t="e">
        <v>#N/A</v>
      </c>
      <c r="R631" s="189" t="e">
        <v>#N/A</v>
      </c>
      <c r="S631" s="205" t="e">
        <v>#N/A</v>
      </c>
      <c r="T631" s="206"/>
    </row>
    <row r="632">
      <c r="C632" s="189" t="e">
        <v>#N/A</v>
      </c>
      <c r="D632" s="189" t="e">
        <v>#N/A</v>
      </c>
      <c r="E632" s="189" t="e">
        <v>#N/A</v>
      </c>
      <c r="F632" s="189" t="e">
        <v>#N/A</v>
      </c>
      <c r="G632" s="189" t="e">
        <v>#N/A</v>
      </c>
      <c r="H632" s="189" t="e">
        <v>#N/A</v>
      </c>
      <c r="I632" s="189" t="e">
        <v>#N/A</v>
      </c>
      <c r="J632" s="189" t="e">
        <v>#N/A</v>
      </c>
      <c r="K632" s="204" t="e">
        <v>#N/A</v>
      </c>
      <c r="L632" s="204" t="e">
        <v>#N/A</v>
      </c>
      <c r="M632" s="205" t="e">
        <v>#N/A</v>
      </c>
      <c r="N632" s="205" t="e">
        <v>#N/A</v>
      </c>
      <c r="O632" s="205" t="e">
        <v>#N/A</v>
      </c>
      <c r="P632" s="205" t="e">
        <v>#N/A</v>
      </c>
      <c r="Q632" s="189" t="e">
        <v>#N/A</v>
      </c>
      <c r="R632" s="189" t="e">
        <v>#N/A</v>
      </c>
      <c r="S632" s="205" t="e">
        <v>#N/A</v>
      </c>
      <c r="T632" s="206"/>
    </row>
    <row r="633">
      <c r="C633" s="189" t="e">
        <v>#N/A</v>
      </c>
      <c r="D633" s="189" t="e">
        <v>#N/A</v>
      </c>
      <c r="E633" s="189" t="e">
        <v>#N/A</v>
      </c>
      <c r="F633" s="189" t="e">
        <v>#N/A</v>
      </c>
      <c r="G633" s="189" t="e">
        <v>#N/A</v>
      </c>
      <c r="H633" s="189" t="e">
        <v>#N/A</v>
      </c>
      <c r="I633" s="189" t="e">
        <v>#N/A</v>
      </c>
      <c r="J633" s="189" t="e">
        <v>#N/A</v>
      </c>
      <c r="K633" s="204" t="e">
        <v>#N/A</v>
      </c>
      <c r="L633" s="204" t="e">
        <v>#N/A</v>
      </c>
      <c r="M633" s="205" t="e">
        <v>#N/A</v>
      </c>
      <c r="N633" s="205" t="e">
        <v>#N/A</v>
      </c>
      <c r="O633" s="205" t="e">
        <v>#N/A</v>
      </c>
      <c r="P633" s="205" t="e">
        <v>#N/A</v>
      </c>
      <c r="Q633" s="189" t="e">
        <v>#N/A</v>
      </c>
      <c r="R633" s="189" t="e">
        <v>#N/A</v>
      </c>
      <c r="S633" s="205" t="e">
        <v>#N/A</v>
      </c>
      <c r="T633" s="206"/>
    </row>
    <row r="634">
      <c r="C634" s="189" t="e">
        <v>#N/A</v>
      </c>
      <c r="D634" s="189" t="e">
        <v>#N/A</v>
      </c>
      <c r="E634" s="189" t="e">
        <v>#N/A</v>
      </c>
      <c r="F634" s="189" t="e">
        <v>#N/A</v>
      </c>
      <c r="G634" s="189" t="e">
        <v>#N/A</v>
      </c>
      <c r="H634" s="189" t="e">
        <v>#N/A</v>
      </c>
      <c r="I634" s="189" t="e">
        <v>#N/A</v>
      </c>
      <c r="J634" s="189" t="e">
        <v>#N/A</v>
      </c>
      <c r="K634" s="204" t="e">
        <v>#N/A</v>
      </c>
      <c r="L634" s="204" t="e">
        <v>#N/A</v>
      </c>
      <c r="M634" s="205" t="e">
        <v>#N/A</v>
      </c>
      <c r="N634" s="205" t="e">
        <v>#N/A</v>
      </c>
      <c r="O634" s="205" t="e">
        <v>#N/A</v>
      </c>
      <c r="P634" s="205" t="e">
        <v>#N/A</v>
      </c>
      <c r="Q634" s="189" t="e">
        <v>#N/A</v>
      </c>
      <c r="R634" s="189" t="e">
        <v>#N/A</v>
      </c>
      <c r="S634" s="205" t="e">
        <v>#N/A</v>
      </c>
      <c r="T634" s="206"/>
    </row>
    <row r="635">
      <c r="C635" s="189" t="e">
        <v>#N/A</v>
      </c>
      <c r="D635" s="189" t="e">
        <v>#N/A</v>
      </c>
      <c r="E635" s="189" t="e">
        <v>#N/A</v>
      </c>
      <c r="F635" s="189" t="e">
        <v>#N/A</v>
      </c>
      <c r="G635" s="189" t="e">
        <v>#N/A</v>
      </c>
      <c r="H635" s="189" t="e">
        <v>#N/A</v>
      </c>
      <c r="I635" s="189" t="e">
        <v>#N/A</v>
      </c>
      <c r="J635" s="189" t="e">
        <v>#N/A</v>
      </c>
      <c r="K635" s="204" t="e">
        <v>#N/A</v>
      </c>
      <c r="L635" s="204" t="e">
        <v>#N/A</v>
      </c>
      <c r="M635" s="205" t="e">
        <v>#N/A</v>
      </c>
      <c r="N635" s="205" t="e">
        <v>#N/A</v>
      </c>
      <c r="O635" s="205" t="e">
        <v>#N/A</v>
      </c>
      <c r="P635" s="205" t="e">
        <v>#N/A</v>
      </c>
      <c r="Q635" s="189" t="e">
        <v>#N/A</v>
      </c>
      <c r="R635" s="189" t="e">
        <v>#N/A</v>
      </c>
      <c r="S635" s="205" t="e">
        <v>#N/A</v>
      </c>
      <c r="T635" s="206"/>
    </row>
    <row r="636">
      <c r="C636" s="189" t="e">
        <v>#N/A</v>
      </c>
      <c r="D636" s="189" t="e">
        <v>#N/A</v>
      </c>
      <c r="E636" s="189" t="e">
        <v>#N/A</v>
      </c>
      <c r="F636" s="189" t="e">
        <v>#N/A</v>
      </c>
      <c r="G636" s="189" t="e">
        <v>#N/A</v>
      </c>
      <c r="H636" s="189" t="e">
        <v>#N/A</v>
      </c>
      <c r="I636" s="189" t="e">
        <v>#N/A</v>
      </c>
      <c r="J636" s="189" t="e">
        <v>#N/A</v>
      </c>
      <c r="K636" s="204" t="e">
        <v>#N/A</v>
      </c>
      <c r="L636" s="204" t="e">
        <v>#N/A</v>
      </c>
      <c r="M636" s="205" t="e">
        <v>#N/A</v>
      </c>
      <c r="N636" s="205" t="e">
        <v>#N/A</v>
      </c>
      <c r="O636" s="205" t="e">
        <v>#N/A</v>
      </c>
      <c r="P636" s="205" t="e">
        <v>#N/A</v>
      </c>
      <c r="Q636" s="189" t="e">
        <v>#N/A</v>
      </c>
      <c r="R636" s="189" t="e">
        <v>#N/A</v>
      </c>
      <c r="S636" s="205" t="e">
        <v>#N/A</v>
      </c>
      <c r="T636" s="206"/>
    </row>
    <row r="637">
      <c r="C637" s="189" t="e">
        <v>#N/A</v>
      </c>
      <c r="D637" s="189" t="e">
        <v>#N/A</v>
      </c>
      <c r="E637" s="189" t="e">
        <v>#N/A</v>
      </c>
      <c r="F637" s="189" t="e">
        <v>#N/A</v>
      </c>
      <c r="G637" s="189" t="e">
        <v>#N/A</v>
      </c>
      <c r="H637" s="189" t="e">
        <v>#N/A</v>
      </c>
      <c r="I637" s="189" t="e">
        <v>#N/A</v>
      </c>
      <c r="J637" s="189" t="e">
        <v>#N/A</v>
      </c>
      <c r="K637" s="204" t="e">
        <v>#N/A</v>
      </c>
      <c r="L637" s="204" t="e">
        <v>#N/A</v>
      </c>
      <c r="M637" s="205" t="e">
        <v>#N/A</v>
      </c>
      <c r="N637" s="205" t="e">
        <v>#N/A</v>
      </c>
      <c r="O637" s="205" t="e">
        <v>#N/A</v>
      </c>
      <c r="P637" s="205" t="e">
        <v>#N/A</v>
      </c>
      <c r="Q637" s="189" t="e">
        <v>#N/A</v>
      </c>
      <c r="R637" s="189" t="e">
        <v>#N/A</v>
      </c>
      <c r="S637" s="205" t="e">
        <v>#N/A</v>
      </c>
      <c r="T637" s="206"/>
    </row>
    <row r="638">
      <c r="C638" s="189" t="e">
        <v>#N/A</v>
      </c>
      <c r="D638" s="189" t="e">
        <v>#N/A</v>
      </c>
      <c r="E638" s="189" t="e">
        <v>#N/A</v>
      </c>
      <c r="F638" s="189" t="e">
        <v>#N/A</v>
      </c>
      <c r="G638" s="189" t="e">
        <v>#N/A</v>
      </c>
      <c r="H638" s="189" t="e">
        <v>#N/A</v>
      </c>
      <c r="I638" s="189" t="e">
        <v>#N/A</v>
      </c>
      <c r="J638" s="189" t="e">
        <v>#N/A</v>
      </c>
      <c r="K638" s="204" t="e">
        <v>#N/A</v>
      </c>
      <c r="L638" s="204" t="e">
        <v>#N/A</v>
      </c>
      <c r="M638" s="205" t="e">
        <v>#N/A</v>
      </c>
      <c r="N638" s="205" t="e">
        <v>#N/A</v>
      </c>
      <c r="O638" s="205" t="e">
        <v>#N/A</v>
      </c>
      <c r="P638" s="205" t="e">
        <v>#N/A</v>
      </c>
      <c r="Q638" s="189" t="e">
        <v>#N/A</v>
      </c>
      <c r="R638" s="189" t="e">
        <v>#N/A</v>
      </c>
      <c r="S638" s="205" t="e">
        <v>#N/A</v>
      </c>
      <c r="T638" s="206"/>
    </row>
    <row r="639">
      <c r="C639" s="189" t="e">
        <v>#N/A</v>
      </c>
      <c r="D639" s="189" t="e">
        <v>#N/A</v>
      </c>
      <c r="E639" s="189" t="e">
        <v>#N/A</v>
      </c>
      <c r="F639" s="189" t="e">
        <v>#N/A</v>
      </c>
      <c r="G639" s="189" t="e">
        <v>#N/A</v>
      </c>
      <c r="H639" s="189" t="e">
        <v>#N/A</v>
      </c>
      <c r="I639" s="189" t="e">
        <v>#N/A</v>
      </c>
      <c r="J639" s="189" t="e">
        <v>#N/A</v>
      </c>
      <c r="K639" s="204" t="e">
        <v>#N/A</v>
      </c>
      <c r="L639" s="204" t="e">
        <v>#N/A</v>
      </c>
      <c r="M639" s="205" t="e">
        <v>#N/A</v>
      </c>
      <c r="N639" s="205" t="e">
        <v>#N/A</v>
      </c>
      <c r="O639" s="205" t="e">
        <v>#N/A</v>
      </c>
      <c r="P639" s="205" t="e">
        <v>#N/A</v>
      </c>
      <c r="Q639" s="189" t="e">
        <v>#N/A</v>
      </c>
      <c r="R639" s="189" t="e">
        <v>#N/A</v>
      </c>
      <c r="S639" s="205" t="e">
        <v>#N/A</v>
      </c>
      <c r="T639" s="206"/>
    </row>
    <row r="640">
      <c r="C640" s="189" t="e">
        <v>#N/A</v>
      </c>
      <c r="D640" s="189" t="e">
        <v>#N/A</v>
      </c>
      <c r="E640" s="189" t="e">
        <v>#N/A</v>
      </c>
      <c r="F640" s="189" t="e">
        <v>#N/A</v>
      </c>
      <c r="G640" s="189" t="e">
        <v>#N/A</v>
      </c>
      <c r="H640" s="189" t="e">
        <v>#N/A</v>
      </c>
      <c r="I640" s="189" t="e">
        <v>#N/A</v>
      </c>
      <c r="J640" s="189" t="e">
        <v>#N/A</v>
      </c>
      <c r="K640" s="204" t="e">
        <v>#N/A</v>
      </c>
      <c r="L640" s="204" t="e">
        <v>#N/A</v>
      </c>
      <c r="M640" s="205" t="e">
        <v>#N/A</v>
      </c>
      <c r="N640" s="205" t="e">
        <v>#N/A</v>
      </c>
      <c r="O640" s="205" t="e">
        <v>#N/A</v>
      </c>
      <c r="P640" s="205" t="e">
        <v>#N/A</v>
      </c>
      <c r="Q640" s="189" t="e">
        <v>#N/A</v>
      </c>
      <c r="R640" s="189" t="e">
        <v>#N/A</v>
      </c>
      <c r="S640" s="205" t="e">
        <v>#N/A</v>
      </c>
      <c r="T640" s="206"/>
    </row>
    <row r="641">
      <c r="C641" s="189" t="e">
        <v>#N/A</v>
      </c>
      <c r="D641" s="189" t="e">
        <v>#N/A</v>
      </c>
      <c r="E641" s="189" t="e">
        <v>#N/A</v>
      </c>
      <c r="F641" s="189" t="e">
        <v>#N/A</v>
      </c>
      <c r="G641" s="189" t="e">
        <v>#N/A</v>
      </c>
      <c r="H641" s="189" t="e">
        <v>#N/A</v>
      </c>
      <c r="I641" s="189" t="e">
        <v>#N/A</v>
      </c>
      <c r="J641" s="189" t="e">
        <v>#N/A</v>
      </c>
      <c r="K641" s="204" t="e">
        <v>#N/A</v>
      </c>
      <c r="L641" s="204" t="e">
        <v>#N/A</v>
      </c>
      <c r="M641" s="205" t="e">
        <v>#N/A</v>
      </c>
      <c r="N641" s="205" t="e">
        <v>#N/A</v>
      </c>
      <c r="O641" s="205" t="e">
        <v>#N/A</v>
      </c>
      <c r="P641" s="205" t="e">
        <v>#N/A</v>
      </c>
      <c r="Q641" s="189" t="e">
        <v>#N/A</v>
      </c>
      <c r="R641" s="189" t="e">
        <v>#N/A</v>
      </c>
      <c r="S641" s="205" t="e">
        <v>#N/A</v>
      </c>
      <c r="T641" s="206"/>
    </row>
    <row r="642">
      <c r="C642" s="189" t="e">
        <v>#N/A</v>
      </c>
      <c r="D642" s="189" t="e">
        <v>#N/A</v>
      </c>
      <c r="E642" s="189" t="e">
        <v>#N/A</v>
      </c>
      <c r="F642" s="189" t="e">
        <v>#N/A</v>
      </c>
      <c r="G642" s="189" t="e">
        <v>#N/A</v>
      </c>
      <c r="H642" s="189" t="e">
        <v>#N/A</v>
      </c>
      <c r="I642" s="189" t="e">
        <v>#N/A</v>
      </c>
      <c r="J642" s="189" t="e">
        <v>#N/A</v>
      </c>
      <c r="K642" s="204" t="e">
        <v>#N/A</v>
      </c>
      <c r="L642" s="204" t="e">
        <v>#N/A</v>
      </c>
      <c r="M642" s="205" t="e">
        <v>#N/A</v>
      </c>
      <c r="N642" s="205" t="e">
        <v>#N/A</v>
      </c>
      <c r="O642" s="205" t="e">
        <v>#N/A</v>
      </c>
      <c r="P642" s="205" t="e">
        <v>#N/A</v>
      </c>
      <c r="Q642" s="189" t="e">
        <v>#N/A</v>
      </c>
      <c r="R642" s="189" t="e">
        <v>#N/A</v>
      </c>
      <c r="S642" s="205" t="e">
        <v>#N/A</v>
      </c>
      <c r="T642" s="206"/>
    </row>
    <row r="643">
      <c r="C643" s="189" t="e">
        <v>#N/A</v>
      </c>
      <c r="D643" s="189" t="e">
        <v>#N/A</v>
      </c>
      <c r="E643" s="189" t="e">
        <v>#N/A</v>
      </c>
      <c r="F643" s="189" t="e">
        <v>#N/A</v>
      </c>
      <c r="G643" s="189" t="e">
        <v>#N/A</v>
      </c>
      <c r="H643" s="189" t="e">
        <v>#N/A</v>
      </c>
      <c r="I643" s="189" t="e">
        <v>#N/A</v>
      </c>
      <c r="J643" s="189" t="e">
        <v>#N/A</v>
      </c>
      <c r="K643" s="204" t="e">
        <v>#N/A</v>
      </c>
      <c r="L643" s="204" t="e">
        <v>#N/A</v>
      </c>
      <c r="M643" s="205" t="e">
        <v>#N/A</v>
      </c>
      <c r="N643" s="205" t="e">
        <v>#N/A</v>
      </c>
      <c r="O643" s="205" t="e">
        <v>#N/A</v>
      </c>
      <c r="P643" s="205" t="e">
        <v>#N/A</v>
      </c>
      <c r="Q643" s="189" t="e">
        <v>#N/A</v>
      </c>
      <c r="R643" s="189" t="e">
        <v>#N/A</v>
      </c>
      <c r="S643" s="205" t="e">
        <v>#N/A</v>
      </c>
      <c r="T643" s="206"/>
    </row>
    <row r="644">
      <c r="C644" s="189" t="e">
        <v>#N/A</v>
      </c>
      <c r="D644" s="189" t="e">
        <v>#N/A</v>
      </c>
      <c r="E644" s="189" t="e">
        <v>#N/A</v>
      </c>
      <c r="F644" s="189" t="e">
        <v>#N/A</v>
      </c>
      <c r="G644" s="189" t="e">
        <v>#N/A</v>
      </c>
      <c r="H644" s="189" t="e">
        <v>#N/A</v>
      </c>
      <c r="I644" s="189" t="e">
        <v>#N/A</v>
      </c>
      <c r="J644" s="189" t="e">
        <v>#N/A</v>
      </c>
      <c r="K644" s="204" t="e">
        <v>#N/A</v>
      </c>
      <c r="L644" s="204" t="e">
        <v>#N/A</v>
      </c>
      <c r="M644" s="205" t="e">
        <v>#N/A</v>
      </c>
      <c r="N644" s="205" t="e">
        <v>#N/A</v>
      </c>
      <c r="O644" s="205" t="e">
        <v>#N/A</v>
      </c>
      <c r="P644" s="205" t="e">
        <v>#N/A</v>
      </c>
      <c r="Q644" s="189" t="e">
        <v>#N/A</v>
      </c>
      <c r="R644" s="189" t="e">
        <v>#N/A</v>
      </c>
      <c r="S644" s="205" t="e">
        <v>#N/A</v>
      </c>
      <c r="T644" s="206"/>
    </row>
    <row r="645">
      <c r="C645" s="189" t="e">
        <v>#N/A</v>
      </c>
      <c r="D645" s="189" t="e">
        <v>#N/A</v>
      </c>
      <c r="E645" s="189" t="e">
        <v>#N/A</v>
      </c>
      <c r="F645" s="189" t="e">
        <v>#N/A</v>
      </c>
      <c r="G645" s="189" t="e">
        <v>#N/A</v>
      </c>
      <c r="H645" s="189" t="e">
        <v>#N/A</v>
      </c>
      <c r="I645" s="189" t="e">
        <v>#N/A</v>
      </c>
      <c r="J645" s="189" t="e">
        <v>#N/A</v>
      </c>
      <c r="K645" s="204" t="e">
        <v>#N/A</v>
      </c>
      <c r="L645" s="204" t="e">
        <v>#N/A</v>
      </c>
      <c r="M645" s="205" t="e">
        <v>#N/A</v>
      </c>
      <c r="N645" s="205" t="e">
        <v>#N/A</v>
      </c>
      <c r="O645" s="205" t="e">
        <v>#N/A</v>
      </c>
      <c r="P645" s="205" t="e">
        <v>#N/A</v>
      </c>
      <c r="Q645" s="189" t="e">
        <v>#N/A</v>
      </c>
      <c r="R645" s="189" t="e">
        <v>#N/A</v>
      </c>
      <c r="S645" s="205" t="e">
        <v>#N/A</v>
      </c>
      <c r="T645" s="206"/>
    </row>
    <row r="646">
      <c r="C646" s="189" t="e">
        <v>#N/A</v>
      </c>
      <c r="D646" s="189" t="e">
        <v>#N/A</v>
      </c>
      <c r="E646" s="189" t="e">
        <v>#N/A</v>
      </c>
      <c r="F646" s="189" t="e">
        <v>#N/A</v>
      </c>
      <c r="G646" s="189" t="e">
        <v>#N/A</v>
      </c>
      <c r="H646" s="189" t="e">
        <v>#N/A</v>
      </c>
      <c r="I646" s="189" t="e">
        <v>#N/A</v>
      </c>
      <c r="J646" s="189" t="e">
        <v>#N/A</v>
      </c>
      <c r="K646" s="204" t="e">
        <v>#N/A</v>
      </c>
      <c r="L646" s="204" t="e">
        <v>#N/A</v>
      </c>
      <c r="M646" s="205" t="e">
        <v>#N/A</v>
      </c>
      <c r="N646" s="205" t="e">
        <v>#N/A</v>
      </c>
      <c r="O646" s="205" t="e">
        <v>#N/A</v>
      </c>
      <c r="P646" s="205" t="e">
        <v>#N/A</v>
      </c>
      <c r="Q646" s="189" t="e">
        <v>#N/A</v>
      </c>
      <c r="R646" s="189" t="e">
        <v>#N/A</v>
      </c>
      <c r="S646" s="205" t="e">
        <v>#N/A</v>
      </c>
      <c r="T646" s="206"/>
    </row>
    <row r="647">
      <c r="C647" s="189" t="e">
        <v>#N/A</v>
      </c>
      <c r="D647" s="189" t="e">
        <v>#N/A</v>
      </c>
      <c r="E647" s="189" t="e">
        <v>#N/A</v>
      </c>
      <c r="F647" s="189" t="e">
        <v>#N/A</v>
      </c>
      <c r="G647" s="189" t="e">
        <v>#N/A</v>
      </c>
      <c r="H647" s="189" t="e">
        <v>#N/A</v>
      </c>
      <c r="I647" s="189" t="e">
        <v>#N/A</v>
      </c>
      <c r="J647" s="189" t="e">
        <v>#N/A</v>
      </c>
      <c r="K647" s="204" t="e">
        <v>#N/A</v>
      </c>
      <c r="L647" s="204" t="e">
        <v>#N/A</v>
      </c>
      <c r="M647" s="205" t="e">
        <v>#N/A</v>
      </c>
      <c r="N647" s="205" t="e">
        <v>#N/A</v>
      </c>
      <c r="O647" s="205" t="e">
        <v>#N/A</v>
      </c>
      <c r="P647" s="205" t="e">
        <v>#N/A</v>
      </c>
      <c r="Q647" s="189" t="e">
        <v>#N/A</v>
      </c>
      <c r="R647" s="189" t="e">
        <v>#N/A</v>
      </c>
      <c r="S647" s="205" t="e">
        <v>#N/A</v>
      </c>
      <c r="T647" s="206"/>
    </row>
    <row r="648">
      <c r="C648" s="189" t="e">
        <v>#N/A</v>
      </c>
      <c r="D648" s="189" t="e">
        <v>#N/A</v>
      </c>
      <c r="E648" s="189" t="e">
        <v>#N/A</v>
      </c>
      <c r="F648" s="189" t="e">
        <v>#N/A</v>
      </c>
      <c r="G648" s="189" t="e">
        <v>#N/A</v>
      </c>
      <c r="H648" s="189" t="e">
        <v>#N/A</v>
      </c>
      <c r="I648" s="189" t="e">
        <v>#N/A</v>
      </c>
      <c r="J648" s="189" t="e">
        <v>#N/A</v>
      </c>
      <c r="K648" s="204" t="e">
        <v>#N/A</v>
      </c>
      <c r="L648" s="204" t="e">
        <v>#N/A</v>
      </c>
      <c r="M648" s="205" t="e">
        <v>#N/A</v>
      </c>
      <c r="N648" s="205" t="e">
        <v>#N/A</v>
      </c>
      <c r="O648" s="205" t="e">
        <v>#N/A</v>
      </c>
      <c r="P648" s="205" t="e">
        <v>#N/A</v>
      </c>
      <c r="Q648" s="189" t="e">
        <v>#N/A</v>
      </c>
      <c r="R648" s="189" t="e">
        <v>#N/A</v>
      </c>
      <c r="S648" s="205" t="e">
        <v>#N/A</v>
      </c>
      <c r="T648" s="206"/>
    </row>
    <row r="649">
      <c r="C649" s="189" t="e">
        <v>#N/A</v>
      </c>
      <c r="D649" s="189" t="e">
        <v>#N/A</v>
      </c>
      <c r="E649" s="189" t="e">
        <v>#N/A</v>
      </c>
      <c r="F649" s="189" t="e">
        <v>#N/A</v>
      </c>
      <c r="G649" s="189" t="e">
        <v>#N/A</v>
      </c>
      <c r="H649" s="189" t="e">
        <v>#N/A</v>
      </c>
      <c r="I649" s="189" t="e">
        <v>#N/A</v>
      </c>
      <c r="J649" s="189" t="e">
        <v>#N/A</v>
      </c>
      <c r="K649" s="204" t="e">
        <v>#N/A</v>
      </c>
      <c r="L649" s="204" t="e">
        <v>#N/A</v>
      </c>
      <c r="M649" s="205" t="e">
        <v>#N/A</v>
      </c>
      <c r="N649" s="205" t="e">
        <v>#N/A</v>
      </c>
      <c r="O649" s="205" t="e">
        <v>#N/A</v>
      </c>
      <c r="P649" s="205" t="e">
        <v>#N/A</v>
      </c>
      <c r="Q649" s="189" t="e">
        <v>#N/A</v>
      </c>
      <c r="R649" s="189" t="e">
        <v>#N/A</v>
      </c>
      <c r="S649" s="205" t="e">
        <v>#N/A</v>
      </c>
      <c r="T649" s="206"/>
    </row>
    <row r="650">
      <c r="C650" s="189" t="e">
        <v>#N/A</v>
      </c>
      <c r="D650" s="189" t="e">
        <v>#N/A</v>
      </c>
      <c r="E650" s="189" t="e">
        <v>#N/A</v>
      </c>
      <c r="F650" s="189" t="e">
        <v>#N/A</v>
      </c>
      <c r="G650" s="189" t="e">
        <v>#N/A</v>
      </c>
      <c r="H650" s="189" t="e">
        <v>#N/A</v>
      </c>
      <c r="I650" s="189" t="e">
        <v>#N/A</v>
      </c>
      <c r="J650" s="189" t="e">
        <v>#N/A</v>
      </c>
      <c r="K650" s="204" t="e">
        <v>#N/A</v>
      </c>
      <c r="L650" s="204" t="e">
        <v>#N/A</v>
      </c>
      <c r="M650" s="205" t="e">
        <v>#N/A</v>
      </c>
      <c r="N650" s="205" t="e">
        <v>#N/A</v>
      </c>
      <c r="O650" s="205" t="e">
        <v>#N/A</v>
      </c>
      <c r="P650" s="205" t="e">
        <v>#N/A</v>
      </c>
      <c r="Q650" s="189" t="e">
        <v>#N/A</v>
      </c>
      <c r="R650" s="189" t="e">
        <v>#N/A</v>
      </c>
      <c r="S650" s="205" t="e">
        <v>#N/A</v>
      </c>
      <c r="T650" s="206"/>
    </row>
    <row r="651">
      <c r="C651" s="189" t="e">
        <v>#N/A</v>
      </c>
      <c r="D651" s="189" t="e">
        <v>#N/A</v>
      </c>
      <c r="E651" s="189" t="e">
        <v>#N/A</v>
      </c>
      <c r="F651" s="189" t="e">
        <v>#N/A</v>
      </c>
      <c r="G651" s="189" t="e">
        <v>#N/A</v>
      </c>
      <c r="H651" s="189" t="e">
        <v>#N/A</v>
      </c>
      <c r="I651" s="189" t="e">
        <v>#N/A</v>
      </c>
      <c r="J651" s="189" t="e">
        <v>#N/A</v>
      </c>
      <c r="K651" s="204" t="e">
        <v>#N/A</v>
      </c>
      <c r="L651" s="204" t="e">
        <v>#N/A</v>
      </c>
      <c r="M651" s="205" t="e">
        <v>#N/A</v>
      </c>
      <c r="N651" s="205" t="e">
        <v>#N/A</v>
      </c>
      <c r="O651" s="205" t="e">
        <v>#N/A</v>
      </c>
      <c r="P651" s="205" t="e">
        <v>#N/A</v>
      </c>
      <c r="Q651" s="189" t="e">
        <v>#N/A</v>
      </c>
      <c r="R651" s="189" t="e">
        <v>#N/A</v>
      </c>
      <c r="S651" s="205" t="e">
        <v>#N/A</v>
      </c>
      <c r="T651" s="206"/>
    </row>
    <row r="652">
      <c r="C652" s="189" t="e">
        <v>#N/A</v>
      </c>
      <c r="D652" s="189" t="e">
        <v>#N/A</v>
      </c>
      <c r="E652" s="189" t="e">
        <v>#N/A</v>
      </c>
      <c r="F652" s="189" t="e">
        <v>#N/A</v>
      </c>
      <c r="G652" s="189" t="e">
        <v>#N/A</v>
      </c>
      <c r="H652" s="189" t="e">
        <v>#N/A</v>
      </c>
      <c r="I652" s="189" t="e">
        <v>#N/A</v>
      </c>
      <c r="J652" s="189" t="e">
        <v>#N/A</v>
      </c>
      <c r="K652" s="204" t="e">
        <v>#N/A</v>
      </c>
      <c r="L652" s="204" t="e">
        <v>#N/A</v>
      </c>
      <c r="M652" s="205" t="e">
        <v>#N/A</v>
      </c>
      <c r="N652" s="205" t="e">
        <v>#N/A</v>
      </c>
      <c r="O652" s="205" t="e">
        <v>#N/A</v>
      </c>
      <c r="P652" s="205" t="e">
        <v>#N/A</v>
      </c>
      <c r="Q652" s="189" t="e">
        <v>#N/A</v>
      </c>
      <c r="R652" s="189" t="e">
        <v>#N/A</v>
      </c>
      <c r="S652" s="205" t="e">
        <v>#N/A</v>
      </c>
      <c r="T652" s="206"/>
    </row>
    <row r="653">
      <c r="C653" s="189" t="e">
        <v>#N/A</v>
      </c>
      <c r="D653" s="189" t="e">
        <v>#N/A</v>
      </c>
      <c r="E653" s="189" t="e">
        <v>#N/A</v>
      </c>
      <c r="F653" s="189" t="e">
        <v>#N/A</v>
      </c>
      <c r="G653" s="189" t="e">
        <v>#N/A</v>
      </c>
      <c r="H653" s="189" t="e">
        <v>#N/A</v>
      </c>
      <c r="I653" s="189" t="e">
        <v>#N/A</v>
      </c>
      <c r="J653" s="189" t="e">
        <v>#N/A</v>
      </c>
      <c r="K653" s="204" t="e">
        <v>#N/A</v>
      </c>
      <c r="L653" s="204" t="e">
        <v>#N/A</v>
      </c>
      <c r="M653" s="205" t="e">
        <v>#N/A</v>
      </c>
      <c r="N653" s="205" t="e">
        <v>#N/A</v>
      </c>
      <c r="O653" s="205" t="e">
        <v>#N/A</v>
      </c>
      <c r="P653" s="205" t="e">
        <v>#N/A</v>
      </c>
      <c r="Q653" s="189" t="e">
        <v>#N/A</v>
      </c>
      <c r="R653" s="189" t="e">
        <v>#N/A</v>
      </c>
      <c r="S653" s="205" t="e">
        <v>#N/A</v>
      </c>
      <c r="T653" s="206"/>
    </row>
    <row r="654">
      <c r="C654" s="189" t="e">
        <v>#N/A</v>
      </c>
      <c r="D654" s="189" t="e">
        <v>#N/A</v>
      </c>
      <c r="E654" s="189" t="e">
        <v>#N/A</v>
      </c>
      <c r="F654" s="189" t="e">
        <v>#N/A</v>
      </c>
      <c r="G654" s="189" t="e">
        <v>#N/A</v>
      </c>
      <c r="H654" s="189" t="e">
        <v>#N/A</v>
      </c>
      <c r="I654" s="189" t="e">
        <v>#N/A</v>
      </c>
      <c r="J654" s="189" t="e">
        <v>#N/A</v>
      </c>
      <c r="K654" s="204" t="e">
        <v>#N/A</v>
      </c>
      <c r="L654" s="204" t="e">
        <v>#N/A</v>
      </c>
      <c r="M654" s="205" t="e">
        <v>#N/A</v>
      </c>
      <c r="N654" s="205" t="e">
        <v>#N/A</v>
      </c>
      <c r="O654" s="205" t="e">
        <v>#N/A</v>
      </c>
      <c r="P654" s="205" t="e">
        <v>#N/A</v>
      </c>
      <c r="Q654" s="189" t="e">
        <v>#N/A</v>
      </c>
      <c r="R654" s="189" t="e">
        <v>#N/A</v>
      </c>
      <c r="S654" s="205" t="e">
        <v>#N/A</v>
      </c>
      <c r="T654" s="206"/>
    </row>
    <row r="655">
      <c r="C655" s="189" t="e">
        <v>#N/A</v>
      </c>
      <c r="D655" s="189" t="e">
        <v>#N/A</v>
      </c>
      <c r="E655" s="189" t="e">
        <v>#N/A</v>
      </c>
      <c r="F655" s="189" t="e">
        <v>#N/A</v>
      </c>
      <c r="G655" s="189" t="e">
        <v>#N/A</v>
      </c>
      <c r="H655" s="189" t="e">
        <v>#N/A</v>
      </c>
      <c r="I655" s="189" t="e">
        <v>#N/A</v>
      </c>
      <c r="J655" s="189" t="e">
        <v>#N/A</v>
      </c>
      <c r="K655" s="204" t="e">
        <v>#N/A</v>
      </c>
      <c r="L655" s="204" t="e">
        <v>#N/A</v>
      </c>
      <c r="M655" s="205" t="e">
        <v>#N/A</v>
      </c>
      <c r="N655" s="205" t="e">
        <v>#N/A</v>
      </c>
      <c r="O655" s="205" t="e">
        <v>#N/A</v>
      </c>
      <c r="P655" s="205" t="e">
        <v>#N/A</v>
      </c>
      <c r="Q655" s="189" t="e">
        <v>#N/A</v>
      </c>
      <c r="R655" s="189" t="e">
        <v>#N/A</v>
      </c>
      <c r="S655" s="205" t="e">
        <v>#N/A</v>
      </c>
      <c r="T655" s="206"/>
    </row>
    <row r="656">
      <c r="C656" s="189" t="e">
        <v>#N/A</v>
      </c>
      <c r="D656" s="189" t="e">
        <v>#N/A</v>
      </c>
      <c r="E656" s="189" t="e">
        <v>#N/A</v>
      </c>
      <c r="F656" s="189" t="e">
        <v>#N/A</v>
      </c>
      <c r="G656" s="189" t="e">
        <v>#N/A</v>
      </c>
      <c r="H656" s="189" t="e">
        <v>#N/A</v>
      </c>
      <c r="I656" s="189" t="e">
        <v>#N/A</v>
      </c>
      <c r="J656" s="189" t="e">
        <v>#N/A</v>
      </c>
      <c r="K656" s="204" t="e">
        <v>#N/A</v>
      </c>
      <c r="L656" s="204" t="e">
        <v>#N/A</v>
      </c>
      <c r="M656" s="205" t="e">
        <v>#N/A</v>
      </c>
      <c r="N656" s="205" t="e">
        <v>#N/A</v>
      </c>
      <c r="O656" s="205" t="e">
        <v>#N/A</v>
      </c>
      <c r="P656" s="205" t="e">
        <v>#N/A</v>
      </c>
      <c r="Q656" s="189" t="e">
        <v>#N/A</v>
      </c>
      <c r="R656" s="189" t="e">
        <v>#N/A</v>
      </c>
      <c r="S656" s="205" t="e">
        <v>#N/A</v>
      </c>
      <c r="T656" s="206"/>
    </row>
    <row r="657">
      <c r="C657" s="189" t="e">
        <v>#N/A</v>
      </c>
      <c r="D657" s="189" t="e">
        <v>#N/A</v>
      </c>
      <c r="E657" s="189" t="e">
        <v>#N/A</v>
      </c>
      <c r="F657" s="189" t="e">
        <v>#N/A</v>
      </c>
      <c r="G657" s="189" t="e">
        <v>#N/A</v>
      </c>
      <c r="H657" s="189" t="e">
        <v>#N/A</v>
      </c>
      <c r="I657" s="189" t="e">
        <v>#N/A</v>
      </c>
      <c r="J657" s="189" t="e">
        <v>#N/A</v>
      </c>
      <c r="K657" s="204" t="e">
        <v>#N/A</v>
      </c>
      <c r="L657" s="204" t="e">
        <v>#N/A</v>
      </c>
      <c r="M657" s="205" t="e">
        <v>#N/A</v>
      </c>
      <c r="N657" s="205" t="e">
        <v>#N/A</v>
      </c>
      <c r="O657" s="205" t="e">
        <v>#N/A</v>
      </c>
      <c r="P657" s="205" t="e">
        <v>#N/A</v>
      </c>
      <c r="Q657" s="189" t="e">
        <v>#N/A</v>
      </c>
      <c r="R657" s="189" t="e">
        <v>#N/A</v>
      </c>
      <c r="S657" s="205" t="e">
        <v>#N/A</v>
      </c>
      <c r="T657" s="206"/>
    </row>
    <row r="658">
      <c r="C658" s="189" t="e">
        <v>#N/A</v>
      </c>
      <c r="D658" s="189" t="e">
        <v>#N/A</v>
      </c>
      <c r="E658" s="189" t="e">
        <v>#N/A</v>
      </c>
      <c r="F658" s="189" t="e">
        <v>#N/A</v>
      </c>
      <c r="G658" s="189" t="e">
        <v>#N/A</v>
      </c>
      <c r="H658" s="189" t="e">
        <v>#N/A</v>
      </c>
      <c r="I658" s="189" t="e">
        <v>#N/A</v>
      </c>
      <c r="J658" s="189" t="e">
        <v>#N/A</v>
      </c>
      <c r="K658" s="204" t="e">
        <v>#N/A</v>
      </c>
      <c r="L658" s="204" t="e">
        <v>#N/A</v>
      </c>
      <c r="M658" s="205" t="e">
        <v>#N/A</v>
      </c>
      <c r="N658" s="205" t="e">
        <v>#N/A</v>
      </c>
      <c r="O658" s="205" t="e">
        <v>#N/A</v>
      </c>
      <c r="P658" s="205" t="e">
        <v>#N/A</v>
      </c>
      <c r="Q658" s="189" t="e">
        <v>#N/A</v>
      </c>
      <c r="R658" s="189" t="e">
        <v>#N/A</v>
      </c>
      <c r="S658" s="205" t="e">
        <v>#N/A</v>
      </c>
      <c r="T658" s="206"/>
    </row>
    <row r="659">
      <c r="C659" s="189" t="e">
        <v>#N/A</v>
      </c>
      <c r="D659" s="189" t="e">
        <v>#N/A</v>
      </c>
      <c r="E659" s="189" t="e">
        <v>#N/A</v>
      </c>
      <c r="F659" s="189" t="e">
        <v>#N/A</v>
      </c>
      <c r="G659" s="189" t="e">
        <v>#N/A</v>
      </c>
      <c r="H659" s="189" t="e">
        <v>#N/A</v>
      </c>
      <c r="I659" s="189" t="e">
        <v>#N/A</v>
      </c>
      <c r="J659" s="189" t="e">
        <v>#N/A</v>
      </c>
      <c r="K659" s="204" t="e">
        <v>#N/A</v>
      </c>
      <c r="L659" s="204" t="e">
        <v>#N/A</v>
      </c>
      <c r="M659" s="205" t="e">
        <v>#N/A</v>
      </c>
      <c r="N659" s="205" t="e">
        <v>#N/A</v>
      </c>
      <c r="O659" s="205" t="e">
        <v>#N/A</v>
      </c>
      <c r="P659" s="205" t="e">
        <v>#N/A</v>
      </c>
      <c r="Q659" s="189" t="e">
        <v>#N/A</v>
      </c>
      <c r="R659" s="189" t="e">
        <v>#N/A</v>
      </c>
      <c r="S659" s="205" t="e">
        <v>#N/A</v>
      </c>
      <c r="T659" s="206"/>
    </row>
    <row r="660">
      <c r="C660" s="189" t="e">
        <v>#N/A</v>
      </c>
      <c r="D660" s="189" t="e">
        <v>#N/A</v>
      </c>
      <c r="E660" s="189" t="e">
        <v>#N/A</v>
      </c>
      <c r="F660" s="189" t="e">
        <v>#N/A</v>
      </c>
      <c r="G660" s="189" t="e">
        <v>#N/A</v>
      </c>
      <c r="H660" s="189" t="e">
        <v>#N/A</v>
      </c>
      <c r="I660" s="189" t="e">
        <v>#N/A</v>
      </c>
      <c r="J660" s="189" t="e">
        <v>#N/A</v>
      </c>
      <c r="K660" s="204" t="e">
        <v>#N/A</v>
      </c>
      <c r="L660" s="204" t="e">
        <v>#N/A</v>
      </c>
      <c r="M660" s="205" t="e">
        <v>#N/A</v>
      </c>
      <c r="N660" s="205" t="e">
        <v>#N/A</v>
      </c>
      <c r="O660" s="205" t="e">
        <v>#N/A</v>
      </c>
      <c r="P660" s="205" t="e">
        <v>#N/A</v>
      </c>
      <c r="Q660" s="189" t="e">
        <v>#N/A</v>
      </c>
      <c r="R660" s="189" t="e">
        <v>#N/A</v>
      </c>
      <c r="S660" s="205" t="e">
        <v>#N/A</v>
      </c>
      <c r="T660" s="206"/>
    </row>
    <row r="661">
      <c r="C661" s="189" t="e">
        <v>#N/A</v>
      </c>
      <c r="D661" s="189" t="e">
        <v>#N/A</v>
      </c>
      <c r="E661" s="189" t="e">
        <v>#N/A</v>
      </c>
      <c r="F661" s="189" t="e">
        <v>#N/A</v>
      </c>
      <c r="G661" s="189" t="e">
        <v>#N/A</v>
      </c>
      <c r="H661" s="189" t="e">
        <v>#N/A</v>
      </c>
      <c r="I661" s="189" t="e">
        <v>#N/A</v>
      </c>
      <c r="J661" s="189" t="e">
        <v>#N/A</v>
      </c>
      <c r="K661" s="204" t="e">
        <v>#N/A</v>
      </c>
      <c r="L661" s="204" t="e">
        <v>#N/A</v>
      </c>
      <c r="M661" s="205" t="e">
        <v>#N/A</v>
      </c>
      <c r="N661" s="205" t="e">
        <v>#N/A</v>
      </c>
      <c r="O661" s="205" t="e">
        <v>#N/A</v>
      </c>
      <c r="P661" s="205" t="e">
        <v>#N/A</v>
      </c>
      <c r="Q661" s="189" t="e">
        <v>#N/A</v>
      </c>
      <c r="R661" s="189" t="e">
        <v>#N/A</v>
      </c>
      <c r="S661" s="205" t="e">
        <v>#N/A</v>
      </c>
      <c r="T661" s="206"/>
    </row>
    <row r="662">
      <c r="C662" s="189" t="e">
        <v>#N/A</v>
      </c>
      <c r="D662" s="189" t="e">
        <v>#N/A</v>
      </c>
      <c r="E662" s="189" t="e">
        <v>#N/A</v>
      </c>
      <c r="F662" s="189" t="e">
        <v>#N/A</v>
      </c>
      <c r="G662" s="189" t="e">
        <v>#N/A</v>
      </c>
      <c r="H662" s="189" t="e">
        <v>#N/A</v>
      </c>
      <c r="I662" s="189" t="e">
        <v>#N/A</v>
      </c>
      <c r="J662" s="189" t="e">
        <v>#N/A</v>
      </c>
      <c r="K662" s="204" t="e">
        <v>#N/A</v>
      </c>
      <c r="L662" s="204" t="e">
        <v>#N/A</v>
      </c>
      <c r="M662" s="205" t="e">
        <v>#N/A</v>
      </c>
      <c r="N662" s="205" t="e">
        <v>#N/A</v>
      </c>
      <c r="O662" s="205" t="e">
        <v>#N/A</v>
      </c>
      <c r="P662" s="205" t="e">
        <v>#N/A</v>
      </c>
      <c r="Q662" s="189" t="e">
        <v>#N/A</v>
      </c>
      <c r="R662" s="189" t="e">
        <v>#N/A</v>
      </c>
      <c r="S662" s="205" t="e">
        <v>#N/A</v>
      </c>
      <c r="T662" s="206"/>
    </row>
    <row r="663">
      <c r="C663" s="189" t="e">
        <v>#N/A</v>
      </c>
      <c r="D663" s="189" t="e">
        <v>#N/A</v>
      </c>
      <c r="E663" s="189" t="e">
        <v>#N/A</v>
      </c>
      <c r="F663" s="189" t="e">
        <v>#N/A</v>
      </c>
      <c r="G663" s="189" t="e">
        <v>#N/A</v>
      </c>
      <c r="H663" s="189" t="e">
        <v>#N/A</v>
      </c>
      <c r="I663" s="189" t="e">
        <v>#N/A</v>
      </c>
      <c r="J663" s="189" t="e">
        <v>#N/A</v>
      </c>
      <c r="K663" s="204" t="e">
        <v>#N/A</v>
      </c>
      <c r="L663" s="204" t="e">
        <v>#N/A</v>
      </c>
      <c r="M663" s="205" t="e">
        <v>#N/A</v>
      </c>
      <c r="N663" s="205" t="e">
        <v>#N/A</v>
      </c>
      <c r="O663" s="205" t="e">
        <v>#N/A</v>
      </c>
      <c r="P663" s="205" t="e">
        <v>#N/A</v>
      </c>
      <c r="Q663" s="189" t="e">
        <v>#N/A</v>
      </c>
      <c r="R663" s="189" t="e">
        <v>#N/A</v>
      </c>
      <c r="S663" s="205" t="e">
        <v>#N/A</v>
      </c>
      <c r="T663" s="206"/>
    </row>
    <row r="664">
      <c r="C664" s="189" t="e">
        <v>#N/A</v>
      </c>
      <c r="D664" s="189" t="e">
        <v>#N/A</v>
      </c>
      <c r="E664" s="189" t="e">
        <v>#N/A</v>
      </c>
      <c r="F664" s="189" t="e">
        <v>#N/A</v>
      </c>
      <c r="G664" s="189" t="e">
        <v>#N/A</v>
      </c>
      <c r="H664" s="189" t="e">
        <v>#N/A</v>
      </c>
      <c r="I664" s="189" t="e">
        <v>#N/A</v>
      </c>
      <c r="J664" s="189" t="e">
        <v>#N/A</v>
      </c>
      <c r="K664" s="204" t="e">
        <v>#N/A</v>
      </c>
      <c r="L664" s="204" t="e">
        <v>#N/A</v>
      </c>
      <c r="M664" s="205" t="e">
        <v>#N/A</v>
      </c>
      <c r="N664" s="205" t="e">
        <v>#N/A</v>
      </c>
      <c r="O664" s="205" t="e">
        <v>#N/A</v>
      </c>
      <c r="P664" s="205" t="e">
        <v>#N/A</v>
      </c>
      <c r="Q664" s="189" t="e">
        <v>#N/A</v>
      </c>
      <c r="R664" s="189" t="e">
        <v>#N/A</v>
      </c>
      <c r="S664" s="205" t="e">
        <v>#N/A</v>
      </c>
      <c r="T664" s="206"/>
    </row>
    <row r="665">
      <c r="C665" s="189" t="e">
        <v>#N/A</v>
      </c>
      <c r="D665" s="189" t="e">
        <v>#N/A</v>
      </c>
      <c r="E665" s="189" t="e">
        <v>#N/A</v>
      </c>
      <c r="F665" s="189" t="e">
        <v>#N/A</v>
      </c>
      <c r="G665" s="189" t="e">
        <v>#N/A</v>
      </c>
      <c r="H665" s="189" t="e">
        <v>#N/A</v>
      </c>
      <c r="I665" s="189" t="e">
        <v>#N/A</v>
      </c>
      <c r="J665" s="189" t="e">
        <v>#N/A</v>
      </c>
      <c r="K665" s="204" t="e">
        <v>#N/A</v>
      </c>
      <c r="L665" s="204" t="e">
        <v>#N/A</v>
      </c>
      <c r="M665" s="205" t="e">
        <v>#N/A</v>
      </c>
      <c r="N665" s="205" t="e">
        <v>#N/A</v>
      </c>
      <c r="O665" s="205" t="e">
        <v>#N/A</v>
      </c>
      <c r="P665" s="205" t="e">
        <v>#N/A</v>
      </c>
      <c r="Q665" s="189" t="e">
        <v>#N/A</v>
      </c>
      <c r="R665" s="189" t="e">
        <v>#N/A</v>
      </c>
      <c r="S665" s="205" t="e">
        <v>#N/A</v>
      </c>
      <c r="T665" s="206"/>
    </row>
    <row r="666">
      <c r="C666" s="189" t="e">
        <v>#N/A</v>
      </c>
      <c r="D666" s="189" t="e">
        <v>#N/A</v>
      </c>
      <c r="E666" s="189" t="e">
        <v>#N/A</v>
      </c>
      <c r="F666" s="189" t="e">
        <v>#N/A</v>
      </c>
      <c r="G666" s="189" t="e">
        <v>#N/A</v>
      </c>
      <c r="H666" s="189" t="e">
        <v>#N/A</v>
      </c>
      <c r="I666" s="189" t="e">
        <v>#N/A</v>
      </c>
      <c r="J666" s="189" t="e">
        <v>#N/A</v>
      </c>
      <c r="K666" s="204" t="e">
        <v>#N/A</v>
      </c>
      <c r="L666" s="204" t="e">
        <v>#N/A</v>
      </c>
      <c r="M666" s="205" t="e">
        <v>#N/A</v>
      </c>
      <c r="N666" s="205" t="e">
        <v>#N/A</v>
      </c>
      <c r="O666" s="205" t="e">
        <v>#N/A</v>
      </c>
      <c r="P666" s="205" t="e">
        <v>#N/A</v>
      </c>
      <c r="Q666" s="189" t="e">
        <v>#N/A</v>
      </c>
      <c r="R666" s="189" t="e">
        <v>#N/A</v>
      </c>
      <c r="S666" s="205" t="e">
        <v>#N/A</v>
      </c>
      <c r="T666" s="206"/>
    </row>
    <row r="667">
      <c r="C667" s="189" t="e">
        <v>#N/A</v>
      </c>
      <c r="D667" s="189" t="e">
        <v>#N/A</v>
      </c>
      <c r="E667" s="189" t="e">
        <v>#N/A</v>
      </c>
      <c r="F667" s="189" t="e">
        <v>#N/A</v>
      </c>
      <c r="G667" s="189" t="e">
        <v>#N/A</v>
      </c>
      <c r="H667" s="189" t="e">
        <v>#N/A</v>
      </c>
      <c r="I667" s="189" t="e">
        <v>#N/A</v>
      </c>
      <c r="J667" s="189" t="e">
        <v>#N/A</v>
      </c>
      <c r="K667" s="204" t="e">
        <v>#N/A</v>
      </c>
      <c r="L667" s="204" t="e">
        <v>#N/A</v>
      </c>
      <c r="M667" s="205" t="e">
        <v>#N/A</v>
      </c>
      <c r="N667" s="205" t="e">
        <v>#N/A</v>
      </c>
      <c r="O667" s="205" t="e">
        <v>#N/A</v>
      </c>
      <c r="P667" s="205" t="e">
        <v>#N/A</v>
      </c>
      <c r="Q667" s="189" t="e">
        <v>#N/A</v>
      </c>
      <c r="R667" s="189" t="e">
        <v>#N/A</v>
      </c>
      <c r="S667" s="205" t="e">
        <v>#N/A</v>
      </c>
      <c r="T667" s="206"/>
    </row>
    <row r="668">
      <c r="C668" s="189" t="e">
        <v>#N/A</v>
      </c>
      <c r="D668" s="189" t="e">
        <v>#N/A</v>
      </c>
      <c r="E668" s="189" t="e">
        <v>#N/A</v>
      </c>
      <c r="F668" s="189" t="e">
        <v>#N/A</v>
      </c>
      <c r="G668" s="189" t="e">
        <v>#N/A</v>
      </c>
      <c r="H668" s="189" t="e">
        <v>#N/A</v>
      </c>
      <c r="I668" s="189" t="e">
        <v>#N/A</v>
      </c>
      <c r="J668" s="189" t="e">
        <v>#N/A</v>
      </c>
      <c r="K668" s="204" t="e">
        <v>#N/A</v>
      </c>
      <c r="L668" s="204" t="e">
        <v>#N/A</v>
      </c>
      <c r="M668" s="205" t="e">
        <v>#N/A</v>
      </c>
      <c r="N668" s="205" t="e">
        <v>#N/A</v>
      </c>
      <c r="O668" s="205" t="e">
        <v>#N/A</v>
      </c>
      <c r="P668" s="205" t="e">
        <v>#N/A</v>
      </c>
      <c r="Q668" s="189" t="e">
        <v>#N/A</v>
      </c>
      <c r="R668" s="189" t="e">
        <v>#N/A</v>
      </c>
      <c r="S668" s="205" t="e">
        <v>#N/A</v>
      </c>
      <c r="T668" s="206"/>
    </row>
    <row r="669">
      <c r="C669" s="189" t="e">
        <v>#N/A</v>
      </c>
      <c r="D669" s="189" t="e">
        <v>#N/A</v>
      </c>
      <c r="E669" s="189" t="e">
        <v>#N/A</v>
      </c>
      <c r="F669" s="189" t="e">
        <v>#N/A</v>
      </c>
      <c r="G669" s="189" t="e">
        <v>#N/A</v>
      </c>
      <c r="H669" s="189" t="e">
        <v>#N/A</v>
      </c>
      <c r="I669" s="189" t="e">
        <v>#N/A</v>
      </c>
      <c r="J669" s="189" t="e">
        <v>#N/A</v>
      </c>
      <c r="K669" s="204" t="e">
        <v>#N/A</v>
      </c>
      <c r="L669" s="204" t="e">
        <v>#N/A</v>
      </c>
      <c r="M669" s="205" t="e">
        <v>#N/A</v>
      </c>
      <c r="N669" s="205" t="e">
        <v>#N/A</v>
      </c>
      <c r="O669" s="205" t="e">
        <v>#N/A</v>
      </c>
      <c r="P669" s="205" t="e">
        <v>#N/A</v>
      </c>
      <c r="Q669" s="189" t="e">
        <v>#N/A</v>
      </c>
      <c r="R669" s="189" t="e">
        <v>#N/A</v>
      </c>
      <c r="S669" s="205" t="e">
        <v>#N/A</v>
      </c>
      <c r="T669" s="206"/>
    </row>
    <row r="670">
      <c r="C670" s="189" t="e">
        <v>#N/A</v>
      </c>
      <c r="D670" s="189" t="e">
        <v>#N/A</v>
      </c>
      <c r="E670" s="189" t="e">
        <v>#N/A</v>
      </c>
      <c r="F670" s="189" t="e">
        <v>#N/A</v>
      </c>
      <c r="G670" s="189" t="e">
        <v>#N/A</v>
      </c>
      <c r="H670" s="189" t="e">
        <v>#N/A</v>
      </c>
      <c r="I670" s="189" t="e">
        <v>#N/A</v>
      </c>
      <c r="J670" s="189" t="e">
        <v>#N/A</v>
      </c>
      <c r="K670" s="204" t="e">
        <v>#N/A</v>
      </c>
      <c r="L670" s="204" t="e">
        <v>#N/A</v>
      </c>
      <c r="M670" s="205" t="e">
        <v>#N/A</v>
      </c>
      <c r="N670" s="205" t="e">
        <v>#N/A</v>
      </c>
      <c r="O670" s="205" t="e">
        <v>#N/A</v>
      </c>
      <c r="P670" s="205" t="e">
        <v>#N/A</v>
      </c>
      <c r="Q670" s="189" t="e">
        <v>#N/A</v>
      </c>
      <c r="R670" s="189" t="e">
        <v>#N/A</v>
      </c>
      <c r="S670" s="205" t="e">
        <v>#N/A</v>
      </c>
      <c r="T670" s="206"/>
    </row>
    <row r="671">
      <c r="C671" s="189" t="e">
        <v>#N/A</v>
      </c>
      <c r="D671" s="189" t="e">
        <v>#N/A</v>
      </c>
      <c r="E671" s="189" t="e">
        <v>#N/A</v>
      </c>
      <c r="F671" s="189" t="e">
        <v>#N/A</v>
      </c>
      <c r="G671" s="189" t="e">
        <v>#N/A</v>
      </c>
      <c r="H671" s="189" t="e">
        <v>#N/A</v>
      </c>
      <c r="I671" s="189" t="e">
        <v>#N/A</v>
      </c>
      <c r="J671" s="189" t="e">
        <v>#N/A</v>
      </c>
      <c r="K671" s="204" t="e">
        <v>#N/A</v>
      </c>
      <c r="L671" s="204" t="e">
        <v>#N/A</v>
      </c>
      <c r="M671" s="205" t="e">
        <v>#N/A</v>
      </c>
      <c r="N671" s="205" t="e">
        <v>#N/A</v>
      </c>
      <c r="O671" s="205" t="e">
        <v>#N/A</v>
      </c>
      <c r="P671" s="205" t="e">
        <v>#N/A</v>
      </c>
      <c r="Q671" s="189" t="e">
        <v>#N/A</v>
      </c>
      <c r="R671" s="189" t="e">
        <v>#N/A</v>
      </c>
      <c r="S671" s="205" t="e">
        <v>#N/A</v>
      </c>
      <c r="T671" s="206"/>
    </row>
    <row r="672">
      <c r="C672" s="189" t="e">
        <v>#N/A</v>
      </c>
      <c r="D672" s="189" t="e">
        <v>#N/A</v>
      </c>
      <c r="E672" s="189" t="e">
        <v>#N/A</v>
      </c>
      <c r="F672" s="189" t="e">
        <v>#N/A</v>
      </c>
      <c r="G672" s="189" t="e">
        <v>#N/A</v>
      </c>
      <c r="H672" s="189" t="e">
        <v>#N/A</v>
      </c>
      <c r="I672" s="189" t="e">
        <v>#N/A</v>
      </c>
      <c r="J672" s="189" t="e">
        <v>#N/A</v>
      </c>
      <c r="K672" s="204" t="e">
        <v>#N/A</v>
      </c>
      <c r="L672" s="204" t="e">
        <v>#N/A</v>
      </c>
      <c r="M672" s="205" t="e">
        <v>#N/A</v>
      </c>
      <c r="N672" s="205" t="e">
        <v>#N/A</v>
      </c>
      <c r="O672" s="205" t="e">
        <v>#N/A</v>
      </c>
      <c r="P672" s="205" t="e">
        <v>#N/A</v>
      </c>
      <c r="Q672" s="189" t="e">
        <v>#N/A</v>
      </c>
      <c r="R672" s="189" t="e">
        <v>#N/A</v>
      </c>
      <c r="S672" s="205" t="e">
        <v>#N/A</v>
      </c>
      <c r="T672" s="206"/>
    </row>
    <row r="673">
      <c r="C673" s="189" t="e">
        <v>#N/A</v>
      </c>
      <c r="D673" s="189" t="e">
        <v>#N/A</v>
      </c>
      <c r="E673" s="189" t="e">
        <v>#N/A</v>
      </c>
      <c r="F673" s="189" t="e">
        <v>#N/A</v>
      </c>
      <c r="G673" s="189" t="e">
        <v>#N/A</v>
      </c>
      <c r="H673" s="189" t="e">
        <v>#N/A</v>
      </c>
      <c r="I673" s="189" t="e">
        <v>#N/A</v>
      </c>
      <c r="J673" s="189" t="e">
        <v>#N/A</v>
      </c>
      <c r="K673" s="204" t="e">
        <v>#N/A</v>
      </c>
      <c r="L673" s="204" t="e">
        <v>#N/A</v>
      </c>
      <c r="M673" s="205" t="e">
        <v>#N/A</v>
      </c>
      <c r="N673" s="205" t="e">
        <v>#N/A</v>
      </c>
      <c r="O673" s="205" t="e">
        <v>#N/A</v>
      </c>
      <c r="P673" s="205" t="e">
        <v>#N/A</v>
      </c>
      <c r="Q673" s="189" t="e">
        <v>#N/A</v>
      </c>
      <c r="R673" s="189" t="e">
        <v>#N/A</v>
      </c>
      <c r="S673" s="205" t="e">
        <v>#N/A</v>
      </c>
      <c r="T673" s="206"/>
    </row>
    <row r="674">
      <c r="C674" s="189" t="e">
        <v>#N/A</v>
      </c>
      <c r="D674" s="189" t="e">
        <v>#N/A</v>
      </c>
      <c r="E674" s="189" t="e">
        <v>#N/A</v>
      </c>
      <c r="F674" s="189" t="e">
        <v>#N/A</v>
      </c>
      <c r="G674" s="189" t="e">
        <v>#N/A</v>
      </c>
      <c r="H674" s="189" t="e">
        <v>#N/A</v>
      </c>
      <c r="I674" s="189" t="e">
        <v>#N/A</v>
      </c>
      <c r="J674" s="189" t="e">
        <v>#N/A</v>
      </c>
      <c r="K674" s="204" t="e">
        <v>#N/A</v>
      </c>
      <c r="L674" s="204" t="e">
        <v>#N/A</v>
      </c>
      <c r="M674" s="205" t="e">
        <v>#N/A</v>
      </c>
      <c r="N674" s="205" t="e">
        <v>#N/A</v>
      </c>
      <c r="O674" s="205" t="e">
        <v>#N/A</v>
      </c>
      <c r="P674" s="205" t="e">
        <v>#N/A</v>
      </c>
      <c r="Q674" s="189" t="e">
        <v>#N/A</v>
      </c>
      <c r="R674" s="189" t="e">
        <v>#N/A</v>
      </c>
      <c r="S674" s="205" t="e">
        <v>#N/A</v>
      </c>
      <c r="T674" s="206"/>
    </row>
    <row r="675">
      <c r="C675" s="189" t="e">
        <v>#N/A</v>
      </c>
      <c r="D675" s="189" t="e">
        <v>#N/A</v>
      </c>
      <c r="E675" s="189" t="e">
        <v>#N/A</v>
      </c>
      <c r="F675" s="189" t="e">
        <v>#N/A</v>
      </c>
      <c r="G675" s="189" t="e">
        <v>#N/A</v>
      </c>
      <c r="H675" s="189" t="e">
        <v>#N/A</v>
      </c>
      <c r="I675" s="189" t="e">
        <v>#N/A</v>
      </c>
      <c r="J675" s="189" t="e">
        <v>#N/A</v>
      </c>
      <c r="K675" s="204" t="e">
        <v>#N/A</v>
      </c>
      <c r="L675" s="204" t="e">
        <v>#N/A</v>
      </c>
      <c r="M675" s="205" t="e">
        <v>#N/A</v>
      </c>
      <c r="N675" s="205" t="e">
        <v>#N/A</v>
      </c>
      <c r="O675" s="205" t="e">
        <v>#N/A</v>
      </c>
      <c r="P675" s="205" t="e">
        <v>#N/A</v>
      </c>
      <c r="Q675" s="189" t="e">
        <v>#N/A</v>
      </c>
      <c r="R675" s="189" t="e">
        <v>#N/A</v>
      </c>
      <c r="S675" s="205" t="e">
        <v>#N/A</v>
      </c>
      <c r="T675" s="206"/>
    </row>
    <row r="676">
      <c r="C676" s="189" t="e">
        <v>#N/A</v>
      </c>
      <c r="D676" s="189" t="e">
        <v>#N/A</v>
      </c>
      <c r="E676" s="189" t="e">
        <v>#N/A</v>
      </c>
      <c r="F676" s="189" t="e">
        <v>#N/A</v>
      </c>
      <c r="G676" s="189" t="e">
        <v>#N/A</v>
      </c>
      <c r="H676" s="189" t="e">
        <v>#N/A</v>
      </c>
      <c r="I676" s="189" t="e">
        <v>#N/A</v>
      </c>
      <c r="J676" s="189" t="e">
        <v>#N/A</v>
      </c>
      <c r="K676" s="204" t="e">
        <v>#N/A</v>
      </c>
      <c r="L676" s="204" t="e">
        <v>#N/A</v>
      </c>
      <c r="M676" s="205" t="e">
        <v>#N/A</v>
      </c>
      <c r="N676" s="205" t="e">
        <v>#N/A</v>
      </c>
      <c r="O676" s="205" t="e">
        <v>#N/A</v>
      </c>
      <c r="P676" s="205" t="e">
        <v>#N/A</v>
      </c>
      <c r="Q676" s="189" t="e">
        <v>#N/A</v>
      </c>
      <c r="R676" s="189" t="e">
        <v>#N/A</v>
      </c>
      <c r="S676" s="205" t="e">
        <v>#N/A</v>
      </c>
      <c r="T676" s="206"/>
    </row>
    <row r="677">
      <c r="C677" s="189" t="e">
        <v>#N/A</v>
      </c>
      <c r="D677" s="189" t="e">
        <v>#N/A</v>
      </c>
      <c r="E677" s="189" t="e">
        <v>#N/A</v>
      </c>
      <c r="F677" s="189" t="e">
        <v>#N/A</v>
      </c>
      <c r="G677" s="189" t="e">
        <v>#N/A</v>
      </c>
      <c r="H677" s="189" t="e">
        <v>#N/A</v>
      </c>
      <c r="I677" s="189" t="e">
        <v>#N/A</v>
      </c>
      <c r="J677" s="189" t="e">
        <v>#N/A</v>
      </c>
      <c r="K677" s="204" t="e">
        <v>#N/A</v>
      </c>
      <c r="L677" s="204" t="e">
        <v>#N/A</v>
      </c>
      <c r="M677" s="205" t="e">
        <v>#N/A</v>
      </c>
      <c r="N677" s="205" t="e">
        <v>#N/A</v>
      </c>
      <c r="O677" s="205" t="e">
        <v>#N/A</v>
      </c>
      <c r="P677" s="205" t="e">
        <v>#N/A</v>
      </c>
      <c r="Q677" s="189" t="e">
        <v>#N/A</v>
      </c>
      <c r="R677" s="189" t="e">
        <v>#N/A</v>
      </c>
      <c r="S677" s="205" t="e">
        <v>#N/A</v>
      </c>
      <c r="T677" s="206"/>
    </row>
    <row r="678">
      <c r="C678" s="189" t="e">
        <v>#N/A</v>
      </c>
      <c r="D678" s="189" t="e">
        <v>#N/A</v>
      </c>
      <c r="E678" s="189" t="e">
        <v>#N/A</v>
      </c>
      <c r="F678" s="189" t="e">
        <v>#N/A</v>
      </c>
      <c r="G678" s="189" t="e">
        <v>#N/A</v>
      </c>
      <c r="H678" s="189" t="e">
        <v>#N/A</v>
      </c>
      <c r="I678" s="189" t="e">
        <v>#N/A</v>
      </c>
      <c r="J678" s="189" t="e">
        <v>#N/A</v>
      </c>
      <c r="K678" s="204" t="e">
        <v>#N/A</v>
      </c>
      <c r="L678" s="204" t="e">
        <v>#N/A</v>
      </c>
      <c r="M678" s="205" t="e">
        <v>#N/A</v>
      </c>
      <c r="N678" s="205" t="e">
        <v>#N/A</v>
      </c>
      <c r="O678" s="205" t="e">
        <v>#N/A</v>
      </c>
      <c r="P678" s="205" t="e">
        <v>#N/A</v>
      </c>
      <c r="Q678" s="189" t="e">
        <v>#N/A</v>
      </c>
      <c r="R678" s="189" t="e">
        <v>#N/A</v>
      </c>
      <c r="S678" s="205" t="e">
        <v>#N/A</v>
      </c>
      <c r="T678" s="206"/>
    </row>
    <row r="679">
      <c r="C679" s="189" t="e">
        <v>#N/A</v>
      </c>
      <c r="D679" s="189" t="e">
        <v>#N/A</v>
      </c>
      <c r="E679" s="189" t="e">
        <v>#N/A</v>
      </c>
      <c r="F679" s="189" t="e">
        <v>#N/A</v>
      </c>
      <c r="G679" s="189" t="e">
        <v>#N/A</v>
      </c>
      <c r="H679" s="189" t="e">
        <v>#N/A</v>
      </c>
      <c r="I679" s="189" t="e">
        <v>#N/A</v>
      </c>
      <c r="J679" s="189" t="e">
        <v>#N/A</v>
      </c>
      <c r="K679" s="204" t="e">
        <v>#N/A</v>
      </c>
      <c r="L679" s="204" t="e">
        <v>#N/A</v>
      </c>
      <c r="M679" s="205" t="e">
        <v>#N/A</v>
      </c>
      <c r="N679" s="205" t="e">
        <v>#N/A</v>
      </c>
      <c r="O679" s="205" t="e">
        <v>#N/A</v>
      </c>
      <c r="P679" s="205" t="e">
        <v>#N/A</v>
      </c>
      <c r="Q679" s="189" t="e">
        <v>#N/A</v>
      </c>
      <c r="R679" s="189" t="e">
        <v>#N/A</v>
      </c>
      <c r="S679" s="205" t="e">
        <v>#N/A</v>
      </c>
      <c r="T679" s="206"/>
    </row>
    <row r="680">
      <c r="C680" s="189" t="e">
        <v>#N/A</v>
      </c>
      <c r="D680" s="189" t="e">
        <v>#N/A</v>
      </c>
      <c r="E680" s="189" t="e">
        <v>#N/A</v>
      </c>
      <c r="F680" s="189" t="e">
        <v>#N/A</v>
      </c>
      <c r="G680" s="189" t="e">
        <v>#N/A</v>
      </c>
      <c r="H680" s="189" t="e">
        <v>#N/A</v>
      </c>
      <c r="I680" s="189" t="e">
        <v>#N/A</v>
      </c>
      <c r="J680" s="189" t="e">
        <v>#N/A</v>
      </c>
      <c r="K680" s="204" t="e">
        <v>#N/A</v>
      </c>
      <c r="L680" s="204" t="e">
        <v>#N/A</v>
      </c>
      <c r="M680" s="205" t="e">
        <v>#N/A</v>
      </c>
      <c r="N680" s="205" t="e">
        <v>#N/A</v>
      </c>
      <c r="O680" s="205" t="e">
        <v>#N/A</v>
      </c>
      <c r="P680" s="205" t="e">
        <v>#N/A</v>
      </c>
      <c r="Q680" s="189" t="e">
        <v>#N/A</v>
      </c>
      <c r="R680" s="189" t="e">
        <v>#N/A</v>
      </c>
      <c r="S680" s="205" t="e">
        <v>#N/A</v>
      </c>
      <c r="T680" s="206"/>
    </row>
    <row r="681">
      <c r="C681" s="189" t="e">
        <v>#N/A</v>
      </c>
      <c r="D681" s="189" t="e">
        <v>#N/A</v>
      </c>
      <c r="E681" s="189" t="e">
        <v>#N/A</v>
      </c>
      <c r="F681" s="189" t="e">
        <v>#N/A</v>
      </c>
      <c r="G681" s="189" t="e">
        <v>#N/A</v>
      </c>
      <c r="H681" s="189" t="e">
        <v>#N/A</v>
      </c>
      <c r="I681" s="189" t="e">
        <v>#N/A</v>
      </c>
      <c r="J681" s="189" t="e">
        <v>#N/A</v>
      </c>
      <c r="K681" s="204" t="e">
        <v>#N/A</v>
      </c>
      <c r="L681" s="204" t="e">
        <v>#N/A</v>
      </c>
      <c r="M681" s="205" t="e">
        <v>#N/A</v>
      </c>
      <c r="N681" s="205" t="e">
        <v>#N/A</v>
      </c>
      <c r="O681" s="205" t="e">
        <v>#N/A</v>
      </c>
      <c r="P681" s="205" t="e">
        <v>#N/A</v>
      </c>
      <c r="Q681" s="189" t="e">
        <v>#N/A</v>
      </c>
      <c r="R681" s="189" t="e">
        <v>#N/A</v>
      </c>
      <c r="S681" s="205" t="e">
        <v>#N/A</v>
      </c>
      <c r="T681" s="206"/>
    </row>
    <row r="682">
      <c r="C682" s="189" t="e">
        <v>#N/A</v>
      </c>
      <c r="D682" s="189" t="e">
        <v>#N/A</v>
      </c>
      <c r="E682" s="189" t="e">
        <v>#N/A</v>
      </c>
      <c r="F682" s="189" t="e">
        <v>#N/A</v>
      </c>
      <c r="G682" s="189" t="e">
        <v>#N/A</v>
      </c>
      <c r="H682" s="189" t="e">
        <v>#N/A</v>
      </c>
      <c r="I682" s="189" t="e">
        <v>#N/A</v>
      </c>
      <c r="J682" s="189" t="e">
        <v>#N/A</v>
      </c>
      <c r="K682" s="204" t="e">
        <v>#N/A</v>
      </c>
      <c r="L682" s="204" t="e">
        <v>#N/A</v>
      </c>
      <c r="M682" s="205" t="e">
        <v>#N/A</v>
      </c>
      <c r="N682" s="205" t="e">
        <v>#N/A</v>
      </c>
      <c r="O682" s="205" t="e">
        <v>#N/A</v>
      </c>
      <c r="P682" s="205" t="e">
        <v>#N/A</v>
      </c>
      <c r="Q682" s="189" t="e">
        <v>#N/A</v>
      </c>
      <c r="R682" s="189" t="e">
        <v>#N/A</v>
      </c>
      <c r="S682" s="205" t="e">
        <v>#N/A</v>
      </c>
      <c r="T682" s="206"/>
    </row>
    <row r="683">
      <c r="C683" s="189" t="e">
        <v>#N/A</v>
      </c>
      <c r="D683" s="189" t="e">
        <v>#N/A</v>
      </c>
      <c r="E683" s="189" t="e">
        <v>#N/A</v>
      </c>
      <c r="F683" s="189" t="e">
        <v>#N/A</v>
      </c>
      <c r="G683" s="189" t="e">
        <v>#N/A</v>
      </c>
      <c r="H683" s="189" t="e">
        <v>#N/A</v>
      </c>
      <c r="I683" s="189" t="e">
        <v>#N/A</v>
      </c>
      <c r="J683" s="189" t="e">
        <v>#N/A</v>
      </c>
      <c r="K683" s="204" t="e">
        <v>#N/A</v>
      </c>
      <c r="L683" s="204" t="e">
        <v>#N/A</v>
      </c>
      <c r="M683" s="205" t="e">
        <v>#N/A</v>
      </c>
      <c r="N683" s="205" t="e">
        <v>#N/A</v>
      </c>
      <c r="O683" s="205" t="e">
        <v>#N/A</v>
      </c>
      <c r="P683" s="205" t="e">
        <v>#N/A</v>
      </c>
      <c r="Q683" s="189" t="e">
        <v>#N/A</v>
      </c>
      <c r="R683" s="189" t="e">
        <v>#N/A</v>
      </c>
      <c r="S683" s="205" t="e">
        <v>#N/A</v>
      </c>
      <c r="T683" s="206"/>
    </row>
    <row r="684">
      <c r="C684" s="189" t="e">
        <v>#N/A</v>
      </c>
      <c r="D684" s="189" t="e">
        <v>#N/A</v>
      </c>
      <c r="E684" s="189" t="e">
        <v>#N/A</v>
      </c>
      <c r="F684" s="189" t="e">
        <v>#N/A</v>
      </c>
      <c r="G684" s="189" t="e">
        <v>#N/A</v>
      </c>
      <c r="H684" s="189" t="e">
        <v>#N/A</v>
      </c>
      <c r="I684" s="189" t="e">
        <v>#N/A</v>
      </c>
      <c r="J684" s="189" t="e">
        <v>#N/A</v>
      </c>
      <c r="K684" s="204" t="e">
        <v>#N/A</v>
      </c>
      <c r="L684" s="204" t="e">
        <v>#N/A</v>
      </c>
      <c r="M684" s="205" t="e">
        <v>#N/A</v>
      </c>
      <c r="N684" s="205" t="e">
        <v>#N/A</v>
      </c>
      <c r="O684" s="205" t="e">
        <v>#N/A</v>
      </c>
      <c r="P684" s="205" t="e">
        <v>#N/A</v>
      </c>
      <c r="Q684" s="189" t="e">
        <v>#N/A</v>
      </c>
      <c r="R684" s="189" t="e">
        <v>#N/A</v>
      </c>
      <c r="S684" s="205" t="e">
        <v>#N/A</v>
      </c>
      <c r="T684" s="206"/>
    </row>
    <row r="685">
      <c r="C685" s="189" t="e">
        <v>#N/A</v>
      </c>
      <c r="D685" s="189" t="e">
        <v>#N/A</v>
      </c>
      <c r="E685" s="189" t="e">
        <v>#N/A</v>
      </c>
      <c r="F685" s="189" t="e">
        <v>#N/A</v>
      </c>
      <c r="G685" s="189" t="e">
        <v>#N/A</v>
      </c>
      <c r="H685" s="189" t="e">
        <v>#N/A</v>
      </c>
      <c r="I685" s="189" t="e">
        <v>#N/A</v>
      </c>
      <c r="J685" s="189" t="e">
        <v>#N/A</v>
      </c>
      <c r="K685" s="204" t="e">
        <v>#N/A</v>
      </c>
      <c r="L685" s="204" t="e">
        <v>#N/A</v>
      </c>
      <c r="M685" s="205" t="e">
        <v>#N/A</v>
      </c>
      <c r="N685" s="205" t="e">
        <v>#N/A</v>
      </c>
      <c r="O685" s="205" t="e">
        <v>#N/A</v>
      </c>
      <c r="P685" s="205" t="e">
        <v>#N/A</v>
      </c>
      <c r="Q685" s="189" t="e">
        <v>#N/A</v>
      </c>
      <c r="R685" s="189" t="e">
        <v>#N/A</v>
      </c>
      <c r="S685" s="205" t="e">
        <v>#N/A</v>
      </c>
      <c r="T685" s="206"/>
    </row>
    <row r="686">
      <c r="C686" s="189" t="e">
        <v>#N/A</v>
      </c>
      <c r="D686" s="189" t="e">
        <v>#N/A</v>
      </c>
      <c r="E686" s="189" t="e">
        <v>#N/A</v>
      </c>
      <c r="F686" s="189" t="e">
        <v>#N/A</v>
      </c>
      <c r="G686" s="189" t="e">
        <v>#N/A</v>
      </c>
      <c r="H686" s="189" t="e">
        <v>#N/A</v>
      </c>
      <c r="I686" s="189" t="e">
        <v>#N/A</v>
      </c>
      <c r="J686" s="189" t="e">
        <v>#N/A</v>
      </c>
      <c r="K686" s="204" t="e">
        <v>#N/A</v>
      </c>
      <c r="L686" s="204" t="e">
        <v>#N/A</v>
      </c>
      <c r="M686" s="205" t="e">
        <v>#N/A</v>
      </c>
      <c r="N686" s="205" t="e">
        <v>#N/A</v>
      </c>
      <c r="O686" s="205" t="e">
        <v>#N/A</v>
      </c>
      <c r="P686" s="205" t="e">
        <v>#N/A</v>
      </c>
      <c r="Q686" s="189" t="e">
        <v>#N/A</v>
      </c>
      <c r="R686" s="189" t="e">
        <v>#N/A</v>
      </c>
      <c r="S686" s="205" t="e">
        <v>#N/A</v>
      </c>
      <c r="T686" s="206"/>
    </row>
    <row r="687">
      <c r="C687" s="189" t="e">
        <v>#N/A</v>
      </c>
      <c r="D687" s="189" t="e">
        <v>#N/A</v>
      </c>
      <c r="E687" s="189" t="e">
        <v>#N/A</v>
      </c>
      <c r="F687" s="189" t="e">
        <v>#N/A</v>
      </c>
      <c r="G687" s="189" t="e">
        <v>#N/A</v>
      </c>
      <c r="H687" s="189" t="e">
        <v>#N/A</v>
      </c>
      <c r="I687" s="189" t="e">
        <v>#N/A</v>
      </c>
      <c r="J687" s="189" t="e">
        <v>#N/A</v>
      </c>
      <c r="K687" s="204" t="e">
        <v>#N/A</v>
      </c>
      <c r="L687" s="204" t="e">
        <v>#N/A</v>
      </c>
      <c r="M687" s="205" t="e">
        <v>#N/A</v>
      </c>
      <c r="N687" s="205" t="e">
        <v>#N/A</v>
      </c>
      <c r="O687" s="205" t="e">
        <v>#N/A</v>
      </c>
      <c r="P687" s="205" t="e">
        <v>#N/A</v>
      </c>
      <c r="Q687" s="189" t="e">
        <v>#N/A</v>
      </c>
      <c r="R687" s="189" t="e">
        <v>#N/A</v>
      </c>
      <c r="S687" s="205" t="e">
        <v>#N/A</v>
      </c>
      <c r="T687" s="206"/>
    </row>
    <row r="688">
      <c r="C688" s="189" t="e">
        <v>#N/A</v>
      </c>
      <c r="D688" s="189" t="e">
        <v>#N/A</v>
      </c>
      <c r="E688" s="189" t="e">
        <v>#N/A</v>
      </c>
      <c r="F688" s="189" t="e">
        <v>#N/A</v>
      </c>
      <c r="G688" s="189" t="e">
        <v>#N/A</v>
      </c>
      <c r="H688" s="189" t="e">
        <v>#N/A</v>
      </c>
      <c r="I688" s="189" t="e">
        <v>#N/A</v>
      </c>
      <c r="J688" s="189" t="e">
        <v>#N/A</v>
      </c>
      <c r="K688" s="204" t="e">
        <v>#N/A</v>
      </c>
      <c r="L688" s="204" t="e">
        <v>#N/A</v>
      </c>
      <c r="M688" s="205" t="e">
        <v>#N/A</v>
      </c>
      <c r="N688" s="205" t="e">
        <v>#N/A</v>
      </c>
      <c r="O688" s="205" t="e">
        <v>#N/A</v>
      </c>
      <c r="P688" s="205" t="e">
        <v>#N/A</v>
      </c>
      <c r="Q688" s="189" t="e">
        <v>#N/A</v>
      </c>
      <c r="R688" s="189" t="e">
        <v>#N/A</v>
      </c>
      <c r="S688" s="205" t="e">
        <v>#N/A</v>
      </c>
      <c r="T688" s="206"/>
    </row>
    <row r="689">
      <c r="C689" s="189" t="e">
        <v>#N/A</v>
      </c>
      <c r="D689" s="189" t="e">
        <v>#N/A</v>
      </c>
      <c r="E689" s="189" t="e">
        <v>#N/A</v>
      </c>
      <c r="F689" s="189" t="e">
        <v>#N/A</v>
      </c>
      <c r="G689" s="189" t="e">
        <v>#N/A</v>
      </c>
      <c r="H689" s="189" t="e">
        <v>#N/A</v>
      </c>
      <c r="I689" s="189" t="e">
        <v>#N/A</v>
      </c>
      <c r="J689" s="189" t="e">
        <v>#N/A</v>
      </c>
      <c r="K689" s="204" t="e">
        <v>#N/A</v>
      </c>
      <c r="L689" s="204" t="e">
        <v>#N/A</v>
      </c>
      <c r="M689" s="205" t="e">
        <v>#N/A</v>
      </c>
      <c r="N689" s="205" t="e">
        <v>#N/A</v>
      </c>
      <c r="O689" s="205" t="e">
        <v>#N/A</v>
      </c>
      <c r="P689" s="205" t="e">
        <v>#N/A</v>
      </c>
      <c r="Q689" s="189" t="e">
        <v>#N/A</v>
      </c>
      <c r="R689" s="189" t="e">
        <v>#N/A</v>
      </c>
      <c r="S689" s="205" t="e">
        <v>#N/A</v>
      </c>
      <c r="T689" s="206"/>
    </row>
    <row r="690">
      <c r="C690" s="189" t="e">
        <v>#N/A</v>
      </c>
      <c r="D690" s="189" t="e">
        <v>#N/A</v>
      </c>
      <c r="E690" s="189" t="e">
        <v>#N/A</v>
      </c>
      <c r="F690" s="189" t="e">
        <v>#N/A</v>
      </c>
      <c r="G690" s="189" t="e">
        <v>#N/A</v>
      </c>
      <c r="H690" s="189" t="e">
        <v>#N/A</v>
      </c>
      <c r="I690" s="189" t="e">
        <v>#N/A</v>
      </c>
      <c r="J690" s="189" t="e">
        <v>#N/A</v>
      </c>
      <c r="K690" s="204" t="e">
        <v>#N/A</v>
      </c>
      <c r="L690" s="204" t="e">
        <v>#N/A</v>
      </c>
      <c r="M690" s="205" t="e">
        <v>#N/A</v>
      </c>
      <c r="N690" s="205" t="e">
        <v>#N/A</v>
      </c>
      <c r="O690" s="205" t="e">
        <v>#N/A</v>
      </c>
      <c r="P690" s="205" t="e">
        <v>#N/A</v>
      </c>
      <c r="Q690" s="189" t="e">
        <v>#N/A</v>
      </c>
      <c r="R690" s="189" t="e">
        <v>#N/A</v>
      </c>
      <c r="S690" s="205" t="e">
        <v>#N/A</v>
      </c>
      <c r="T690" s="206"/>
    </row>
    <row r="691">
      <c r="C691" s="189" t="e">
        <v>#N/A</v>
      </c>
      <c r="D691" s="189" t="e">
        <v>#N/A</v>
      </c>
      <c r="E691" s="189" t="e">
        <v>#N/A</v>
      </c>
      <c r="F691" s="189" t="e">
        <v>#N/A</v>
      </c>
      <c r="G691" s="189" t="e">
        <v>#N/A</v>
      </c>
      <c r="H691" s="189" t="e">
        <v>#N/A</v>
      </c>
      <c r="I691" s="189" t="e">
        <v>#N/A</v>
      </c>
      <c r="J691" s="189" t="e">
        <v>#N/A</v>
      </c>
      <c r="K691" s="204" t="e">
        <v>#N/A</v>
      </c>
      <c r="L691" s="204" t="e">
        <v>#N/A</v>
      </c>
      <c r="M691" s="205" t="e">
        <v>#N/A</v>
      </c>
      <c r="N691" s="205" t="e">
        <v>#N/A</v>
      </c>
      <c r="O691" s="205" t="e">
        <v>#N/A</v>
      </c>
      <c r="P691" s="205" t="e">
        <v>#N/A</v>
      </c>
      <c r="Q691" s="189" t="e">
        <v>#N/A</v>
      </c>
      <c r="R691" s="189" t="e">
        <v>#N/A</v>
      </c>
      <c r="S691" s="205" t="e">
        <v>#N/A</v>
      </c>
      <c r="T691" s="206"/>
    </row>
    <row r="692">
      <c r="C692" s="189" t="e">
        <v>#N/A</v>
      </c>
      <c r="D692" s="189" t="e">
        <v>#N/A</v>
      </c>
      <c r="E692" s="189" t="e">
        <v>#N/A</v>
      </c>
      <c r="F692" s="189" t="e">
        <v>#N/A</v>
      </c>
      <c r="G692" s="189" t="e">
        <v>#N/A</v>
      </c>
      <c r="H692" s="189" t="e">
        <v>#N/A</v>
      </c>
      <c r="I692" s="189" t="e">
        <v>#N/A</v>
      </c>
      <c r="J692" s="189" t="e">
        <v>#N/A</v>
      </c>
      <c r="K692" s="204" t="e">
        <v>#N/A</v>
      </c>
      <c r="L692" s="204" t="e">
        <v>#N/A</v>
      </c>
      <c r="M692" s="205" t="e">
        <v>#N/A</v>
      </c>
      <c r="N692" s="205" t="e">
        <v>#N/A</v>
      </c>
      <c r="O692" s="205" t="e">
        <v>#N/A</v>
      </c>
      <c r="P692" s="205" t="e">
        <v>#N/A</v>
      </c>
      <c r="Q692" s="189" t="e">
        <v>#N/A</v>
      </c>
      <c r="R692" s="189" t="e">
        <v>#N/A</v>
      </c>
      <c r="S692" s="205" t="e">
        <v>#N/A</v>
      </c>
      <c r="T692" s="206"/>
    </row>
    <row r="693">
      <c r="C693" s="189" t="e">
        <v>#N/A</v>
      </c>
      <c r="D693" s="189" t="e">
        <v>#N/A</v>
      </c>
      <c r="E693" s="189" t="e">
        <v>#N/A</v>
      </c>
      <c r="F693" s="189" t="e">
        <v>#N/A</v>
      </c>
      <c r="G693" s="189" t="e">
        <v>#N/A</v>
      </c>
      <c r="H693" s="189" t="e">
        <v>#N/A</v>
      </c>
      <c r="I693" s="189" t="e">
        <v>#N/A</v>
      </c>
      <c r="J693" s="189" t="e">
        <v>#N/A</v>
      </c>
      <c r="K693" s="204" t="e">
        <v>#N/A</v>
      </c>
      <c r="L693" s="204" t="e">
        <v>#N/A</v>
      </c>
      <c r="M693" s="205" t="e">
        <v>#N/A</v>
      </c>
      <c r="N693" s="205" t="e">
        <v>#N/A</v>
      </c>
      <c r="O693" s="205" t="e">
        <v>#N/A</v>
      </c>
      <c r="P693" s="205" t="e">
        <v>#N/A</v>
      </c>
      <c r="Q693" s="189" t="e">
        <v>#N/A</v>
      </c>
      <c r="R693" s="189" t="e">
        <v>#N/A</v>
      </c>
      <c r="S693" s="205" t="e">
        <v>#N/A</v>
      </c>
      <c r="T693" s="206"/>
    </row>
    <row r="694">
      <c r="C694" s="189" t="e">
        <v>#N/A</v>
      </c>
      <c r="D694" s="189" t="e">
        <v>#N/A</v>
      </c>
      <c r="E694" s="189" t="e">
        <v>#N/A</v>
      </c>
      <c r="F694" s="189" t="e">
        <v>#N/A</v>
      </c>
      <c r="G694" s="189" t="e">
        <v>#N/A</v>
      </c>
      <c r="H694" s="189" t="e">
        <v>#N/A</v>
      </c>
      <c r="I694" s="189" t="e">
        <v>#N/A</v>
      </c>
      <c r="J694" s="189" t="e">
        <v>#N/A</v>
      </c>
      <c r="K694" s="204" t="e">
        <v>#N/A</v>
      </c>
      <c r="L694" s="204" t="e">
        <v>#N/A</v>
      </c>
      <c r="M694" s="205" t="e">
        <v>#N/A</v>
      </c>
      <c r="N694" s="205" t="e">
        <v>#N/A</v>
      </c>
      <c r="O694" s="205" t="e">
        <v>#N/A</v>
      </c>
      <c r="P694" s="205" t="e">
        <v>#N/A</v>
      </c>
      <c r="Q694" s="189" t="e">
        <v>#N/A</v>
      </c>
      <c r="R694" s="189" t="e">
        <v>#N/A</v>
      </c>
      <c r="S694" s="205" t="e">
        <v>#N/A</v>
      </c>
      <c r="T694" s="206"/>
    </row>
    <row r="695">
      <c r="C695" s="189" t="e">
        <v>#N/A</v>
      </c>
      <c r="D695" s="189" t="e">
        <v>#N/A</v>
      </c>
      <c r="E695" s="189" t="e">
        <v>#N/A</v>
      </c>
      <c r="F695" s="189" t="e">
        <v>#N/A</v>
      </c>
      <c r="G695" s="189" t="e">
        <v>#N/A</v>
      </c>
      <c r="H695" s="189" t="e">
        <v>#N/A</v>
      </c>
      <c r="I695" s="189" t="e">
        <v>#N/A</v>
      </c>
      <c r="J695" s="189" t="e">
        <v>#N/A</v>
      </c>
      <c r="K695" s="204" t="e">
        <v>#N/A</v>
      </c>
      <c r="L695" s="204" t="e">
        <v>#N/A</v>
      </c>
      <c r="M695" s="205" t="e">
        <v>#N/A</v>
      </c>
      <c r="N695" s="205" t="e">
        <v>#N/A</v>
      </c>
      <c r="O695" s="205" t="e">
        <v>#N/A</v>
      </c>
      <c r="P695" s="205" t="e">
        <v>#N/A</v>
      </c>
      <c r="Q695" s="189" t="e">
        <v>#N/A</v>
      </c>
      <c r="R695" s="189" t="e">
        <v>#N/A</v>
      </c>
      <c r="S695" s="205" t="e">
        <v>#N/A</v>
      </c>
      <c r="T695" s="206"/>
    </row>
    <row r="696">
      <c r="C696" s="189" t="e">
        <v>#N/A</v>
      </c>
      <c r="D696" s="189" t="e">
        <v>#N/A</v>
      </c>
      <c r="E696" s="189" t="e">
        <v>#N/A</v>
      </c>
      <c r="F696" s="189" t="e">
        <v>#N/A</v>
      </c>
      <c r="G696" s="189" t="e">
        <v>#N/A</v>
      </c>
      <c r="H696" s="189" t="e">
        <v>#N/A</v>
      </c>
      <c r="I696" s="189" t="e">
        <v>#N/A</v>
      </c>
      <c r="J696" s="189" t="e">
        <v>#N/A</v>
      </c>
      <c r="K696" s="204" t="e">
        <v>#N/A</v>
      </c>
      <c r="L696" s="204" t="e">
        <v>#N/A</v>
      </c>
      <c r="M696" s="205" t="e">
        <v>#N/A</v>
      </c>
      <c r="N696" s="205" t="e">
        <v>#N/A</v>
      </c>
      <c r="O696" s="205" t="e">
        <v>#N/A</v>
      </c>
      <c r="P696" s="205" t="e">
        <v>#N/A</v>
      </c>
      <c r="Q696" s="189" t="e">
        <v>#N/A</v>
      </c>
      <c r="R696" s="189" t="e">
        <v>#N/A</v>
      </c>
      <c r="S696" s="205" t="e">
        <v>#N/A</v>
      </c>
      <c r="T696" s="206"/>
    </row>
    <row r="697">
      <c r="C697" s="189" t="e">
        <v>#N/A</v>
      </c>
      <c r="D697" s="189" t="e">
        <v>#N/A</v>
      </c>
      <c r="E697" s="189" t="e">
        <v>#N/A</v>
      </c>
      <c r="F697" s="189" t="e">
        <v>#N/A</v>
      </c>
      <c r="G697" s="189" t="e">
        <v>#N/A</v>
      </c>
      <c r="H697" s="189" t="e">
        <v>#N/A</v>
      </c>
      <c r="I697" s="189" t="e">
        <v>#N/A</v>
      </c>
      <c r="J697" s="189" t="e">
        <v>#N/A</v>
      </c>
      <c r="K697" s="204" t="e">
        <v>#N/A</v>
      </c>
      <c r="L697" s="204" t="e">
        <v>#N/A</v>
      </c>
      <c r="M697" s="205" t="e">
        <v>#N/A</v>
      </c>
      <c r="N697" s="205" t="e">
        <v>#N/A</v>
      </c>
      <c r="O697" s="205" t="e">
        <v>#N/A</v>
      </c>
      <c r="P697" s="205" t="e">
        <v>#N/A</v>
      </c>
      <c r="Q697" s="189" t="e">
        <v>#N/A</v>
      </c>
      <c r="R697" s="189" t="e">
        <v>#N/A</v>
      </c>
      <c r="S697" s="205" t="e">
        <v>#N/A</v>
      </c>
      <c r="T697" s="206"/>
    </row>
    <row r="698">
      <c r="C698" s="189" t="e">
        <v>#N/A</v>
      </c>
      <c r="D698" s="189" t="e">
        <v>#N/A</v>
      </c>
      <c r="E698" s="189" t="e">
        <v>#N/A</v>
      </c>
      <c r="F698" s="189" t="e">
        <v>#N/A</v>
      </c>
      <c r="G698" s="189" t="e">
        <v>#N/A</v>
      </c>
      <c r="H698" s="189" t="e">
        <v>#N/A</v>
      </c>
      <c r="I698" s="189" t="e">
        <v>#N/A</v>
      </c>
      <c r="J698" s="189" t="e">
        <v>#N/A</v>
      </c>
      <c r="K698" s="204" t="e">
        <v>#N/A</v>
      </c>
      <c r="L698" s="204" t="e">
        <v>#N/A</v>
      </c>
      <c r="M698" s="205" t="e">
        <v>#N/A</v>
      </c>
      <c r="N698" s="205" t="e">
        <v>#N/A</v>
      </c>
      <c r="O698" s="205" t="e">
        <v>#N/A</v>
      </c>
      <c r="P698" s="205" t="e">
        <v>#N/A</v>
      </c>
      <c r="Q698" s="189" t="e">
        <v>#N/A</v>
      </c>
      <c r="R698" s="189" t="e">
        <v>#N/A</v>
      </c>
      <c r="S698" s="205" t="e">
        <v>#N/A</v>
      </c>
      <c r="T698" s="206"/>
    </row>
    <row r="699">
      <c r="C699" s="189" t="e">
        <v>#N/A</v>
      </c>
      <c r="D699" s="189" t="e">
        <v>#N/A</v>
      </c>
      <c r="E699" s="189" t="e">
        <v>#N/A</v>
      </c>
      <c r="F699" s="189" t="e">
        <v>#N/A</v>
      </c>
      <c r="G699" s="189" t="e">
        <v>#N/A</v>
      </c>
      <c r="H699" s="189" t="e">
        <v>#N/A</v>
      </c>
      <c r="I699" s="189" t="e">
        <v>#N/A</v>
      </c>
      <c r="J699" s="189" t="e">
        <v>#N/A</v>
      </c>
      <c r="K699" s="204" t="e">
        <v>#N/A</v>
      </c>
      <c r="L699" s="204" t="e">
        <v>#N/A</v>
      </c>
      <c r="M699" s="205" t="e">
        <v>#N/A</v>
      </c>
      <c r="N699" s="205" t="e">
        <v>#N/A</v>
      </c>
      <c r="O699" s="205" t="e">
        <v>#N/A</v>
      </c>
      <c r="P699" s="205" t="e">
        <v>#N/A</v>
      </c>
      <c r="Q699" s="189" t="e">
        <v>#N/A</v>
      </c>
      <c r="R699" s="189" t="e">
        <v>#N/A</v>
      </c>
      <c r="S699" s="205" t="e">
        <v>#N/A</v>
      </c>
      <c r="T699" s="206"/>
    </row>
    <row r="700">
      <c r="C700" s="189" t="e">
        <v>#N/A</v>
      </c>
      <c r="D700" s="189" t="e">
        <v>#N/A</v>
      </c>
      <c r="E700" s="189" t="e">
        <v>#N/A</v>
      </c>
      <c r="F700" s="189" t="e">
        <v>#N/A</v>
      </c>
      <c r="G700" s="189" t="e">
        <v>#N/A</v>
      </c>
      <c r="H700" s="189" t="e">
        <v>#N/A</v>
      </c>
      <c r="I700" s="189" t="e">
        <v>#N/A</v>
      </c>
      <c r="J700" s="189" t="e">
        <v>#N/A</v>
      </c>
      <c r="K700" s="204" t="e">
        <v>#N/A</v>
      </c>
      <c r="L700" s="204" t="e">
        <v>#N/A</v>
      </c>
      <c r="M700" s="205" t="e">
        <v>#N/A</v>
      </c>
      <c r="N700" s="205" t="e">
        <v>#N/A</v>
      </c>
      <c r="O700" s="205" t="e">
        <v>#N/A</v>
      </c>
      <c r="P700" s="205" t="e">
        <v>#N/A</v>
      </c>
      <c r="Q700" s="189" t="e">
        <v>#N/A</v>
      </c>
      <c r="R700" s="189" t="e">
        <v>#N/A</v>
      </c>
      <c r="S700" s="205" t="e">
        <v>#N/A</v>
      </c>
      <c r="T700" s="206"/>
    </row>
    <row r="701">
      <c r="C701" s="189" t="e">
        <v>#N/A</v>
      </c>
      <c r="D701" s="189" t="e">
        <v>#N/A</v>
      </c>
      <c r="E701" s="189" t="e">
        <v>#N/A</v>
      </c>
      <c r="F701" s="189" t="e">
        <v>#N/A</v>
      </c>
      <c r="G701" s="189" t="e">
        <v>#N/A</v>
      </c>
      <c r="H701" s="189" t="e">
        <v>#N/A</v>
      </c>
      <c r="I701" s="189" t="e">
        <v>#N/A</v>
      </c>
      <c r="J701" s="189" t="e">
        <v>#N/A</v>
      </c>
      <c r="K701" s="204" t="e">
        <v>#N/A</v>
      </c>
      <c r="L701" s="204" t="e">
        <v>#N/A</v>
      </c>
      <c r="M701" s="205" t="e">
        <v>#N/A</v>
      </c>
      <c r="N701" s="205" t="e">
        <v>#N/A</v>
      </c>
      <c r="O701" s="205" t="e">
        <v>#N/A</v>
      </c>
      <c r="P701" s="205" t="e">
        <v>#N/A</v>
      </c>
      <c r="Q701" s="189" t="e">
        <v>#N/A</v>
      </c>
      <c r="R701" s="189" t="e">
        <v>#N/A</v>
      </c>
      <c r="S701" s="205" t="e">
        <v>#N/A</v>
      </c>
      <c r="T701" s="206"/>
    </row>
    <row r="702">
      <c r="C702" s="189" t="e">
        <v>#N/A</v>
      </c>
      <c r="D702" s="189" t="e">
        <v>#N/A</v>
      </c>
      <c r="E702" s="189" t="e">
        <v>#N/A</v>
      </c>
      <c r="F702" s="189" t="e">
        <v>#N/A</v>
      </c>
      <c r="G702" s="189" t="e">
        <v>#N/A</v>
      </c>
      <c r="H702" s="189" t="e">
        <v>#N/A</v>
      </c>
      <c r="I702" s="189" t="e">
        <v>#N/A</v>
      </c>
      <c r="J702" s="189" t="e">
        <v>#N/A</v>
      </c>
      <c r="K702" s="204" t="e">
        <v>#N/A</v>
      </c>
      <c r="L702" s="204" t="e">
        <v>#N/A</v>
      </c>
      <c r="M702" s="205" t="e">
        <v>#N/A</v>
      </c>
      <c r="N702" s="205" t="e">
        <v>#N/A</v>
      </c>
      <c r="O702" s="205" t="e">
        <v>#N/A</v>
      </c>
      <c r="P702" s="205" t="e">
        <v>#N/A</v>
      </c>
      <c r="Q702" s="189" t="e">
        <v>#N/A</v>
      </c>
      <c r="R702" s="189" t="e">
        <v>#N/A</v>
      </c>
      <c r="S702" s="205" t="e">
        <v>#N/A</v>
      </c>
      <c r="T702" s="206"/>
    </row>
    <row r="703">
      <c r="C703" s="189" t="e">
        <v>#N/A</v>
      </c>
      <c r="D703" s="189" t="e">
        <v>#N/A</v>
      </c>
      <c r="E703" s="189" t="e">
        <v>#N/A</v>
      </c>
      <c r="F703" s="189" t="e">
        <v>#N/A</v>
      </c>
      <c r="G703" s="189" t="e">
        <v>#N/A</v>
      </c>
      <c r="H703" s="189" t="e">
        <v>#N/A</v>
      </c>
      <c r="I703" s="189" t="e">
        <v>#N/A</v>
      </c>
      <c r="J703" s="189" t="e">
        <v>#N/A</v>
      </c>
      <c r="K703" s="204" t="e">
        <v>#N/A</v>
      </c>
      <c r="L703" s="204" t="e">
        <v>#N/A</v>
      </c>
      <c r="M703" s="205" t="e">
        <v>#N/A</v>
      </c>
      <c r="N703" s="205" t="e">
        <v>#N/A</v>
      </c>
      <c r="O703" s="205" t="e">
        <v>#N/A</v>
      </c>
      <c r="P703" s="205" t="e">
        <v>#N/A</v>
      </c>
      <c r="Q703" s="189" t="e">
        <v>#N/A</v>
      </c>
      <c r="R703" s="189" t="e">
        <v>#N/A</v>
      </c>
      <c r="S703" s="205" t="e">
        <v>#N/A</v>
      </c>
      <c r="T703" s="206"/>
    </row>
    <row r="704">
      <c r="C704" s="189" t="e">
        <v>#N/A</v>
      </c>
      <c r="D704" s="189" t="e">
        <v>#N/A</v>
      </c>
      <c r="E704" s="189" t="e">
        <v>#N/A</v>
      </c>
      <c r="F704" s="189" t="e">
        <v>#N/A</v>
      </c>
      <c r="G704" s="189" t="e">
        <v>#N/A</v>
      </c>
      <c r="H704" s="189" t="e">
        <v>#N/A</v>
      </c>
      <c r="I704" s="189" t="e">
        <v>#N/A</v>
      </c>
      <c r="J704" s="189" t="e">
        <v>#N/A</v>
      </c>
      <c r="K704" s="204" t="e">
        <v>#N/A</v>
      </c>
      <c r="L704" s="204" t="e">
        <v>#N/A</v>
      </c>
      <c r="M704" s="205" t="e">
        <v>#N/A</v>
      </c>
      <c r="N704" s="205" t="e">
        <v>#N/A</v>
      </c>
      <c r="O704" s="205" t="e">
        <v>#N/A</v>
      </c>
      <c r="P704" s="205" t="e">
        <v>#N/A</v>
      </c>
      <c r="Q704" s="189" t="e">
        <v>#N/A</v>
      </c>
      <c r="R704" s="189" t="e">
        <v>#N/A</v>
      </c>
      <c r="S704" s="205" t="e">
        <v>#N/A</v>
      </c>
      <c r="T704" s="206"/>
    </row>
    <row r="705">
      <c r="C705" s="189" t="e">
        <v>#N/A</v>
      </c>
      <c r="D705" s="189" t="e">
        <v>#N/A</v>
      </c>
      <c r="E705" s="189" t="e">
        <v>#N/A</v>
      </c>
      <c r="F705" s="189" t="e">
        <v>#N/A</v>
      </c>
      <c r="G705" s="189" t="e">
        <v>#N/A</v>
      </c>
      <c r="H705" s="189" t="e">
        <v>#N/A</v>
      </c>
      <c r="I705" s="189" t="e">
        <v>#N/A</v>
      </c>
      <c r="J705" s="189" t="e">
        <v>#N/A</v>
      </c>
      <c r="K705" s="204" t="e">
        <v>#N/A</v>
      </c>
      <c r="L705" s="204" t="e">
        <v>#N/A</v>
      </c>
      <c r="M705" s="205" t="e">
        <v>#N/A</v>
      </c>
      <c r="N705" s="205" t="e">
        <v>#N/A</v>
      </c>
      <c r="O705" s="205" t="e">
        <v>#N/A</v>
      </c>
      <c r="P705" s="205" t="e">
        <v>#N/A</v>
      </c>
      <c r="Q705" s="189" t="e">
        <v>#N/A</v>
      </c>
      <c r="R705" s="189" t="e">
        <v>#N/A</v>
      </c>
      <c r="S705" s="205" t="e">
        <v>#N/A</v>
      </c>
      <c r="T705" s="206"/>
    </row>
    <row r="706">
      <c r="C706" s="189" t="e">
        <v>#N/A</v>
      </c>
      <c r="D706" s="189" t="e">
        <v>#N/A</v>
      </c>
      <c r="E706" s="189" t="e">
        <v>#N/A</v>
      </c>
      <c r="F706" s="189" t="e">
        <v>#N/A</v>
      </c>
      <c r="G706" s="189" t="e">
        <v>#N/A</v>
      </c>
      <c r="H706" s="189" t="e">
        <v>#N/A</v>
      </c>
      <c r="I706" s="189" t="e">
        <v>#N/A</v>
      </c>
      <c r="J706" s="189" t="e">
        <v>#N/A</v>
      </c>
      <c r="K706" s="204" t="e">
        <v>#N/A</v>
      </c>
      <c r="L706" s="204" t="e">
        <v>#N/A</v>
      </c>
      <c r="M706" s="205" t="e">
        <v>#N/A</v>
      </c>
      <c r="N706" s="205" t="e">
        <v>#N/A</v>
      </c>
      <c r="O706" s="205" t="e">
        <v>#N/A</v>
      </c>
      <c r="P706" s="205" t="e">
        <v>#N/A</v>
      </c>
      <c r="Q706" s="189" t="e">
        <v>#N/A</v>
      </c>
      <c r="R706" s="189" t="e">
        <v>#N/A</v>
      </c>
      <c r="S706" s="205" t="e">
        <v>#N/A</v>
      </c>
      <c r="T706" s="206"/>
    </row>
    <row r="707">
      <c r="C707" s="189" t="e">
        <v>#N/A</v>
      </c>
      <c r="D707" s="189" t="e">
        <v>#N/A</v>
      </c>
      <c r="E707" s="189" t="e">
        <v>#N/A</v>
      </c>
      <c r="F707" s="189" t="e">
        <v>#N/A</v>
      </c>
      <c r="G707" s="189" t="e">
        <v>#N/A</v>
      </c>
      <c r="H707" s="189" t="e">
        <v>#N/A</v>
      </c>
      <c r="I707" s="189" t="e">
        <v>#N/A</v>
      </c>
      <c r="J707" s="189" t="e">
        <v>#N/A</v>
      </c>
      <c r="K707" s="204" t="e">
        <v>#N/A</v>
      </c>
      <c r="L707" s="204" t="e">
        <v>#N/A</v>
      </c>
      <c r="M707" s="205" t="e">
        <v>#N/A</v>
      </c>
      <c r="N707" s="205" t="e">
        <v>#N/A</v>
      </c>
      <c r="O707" s="205" t="e">
        <v>#N/A</v>
      </c>
      <c r="P707" s="205" t="e">
        <v>#N/A</v>
      </c>
      <c r="Q707" s="189" t="e">
        <v>#N/A</v>
      </c>
      <c r="R707" s="189" t="e">
        <v>#N/A</v>
      </c>
      <c r="S707" s="205" t="e">
        <v>#N/A</v>
      </c>
      <c r="T707" s="206"/>
    </row>
    <row r="708">
      <c r="C708" s="189" t="e">
        <v>#N/A</v>
      </c>
      <c r="D708" s="189" t="e">
        <v>#N/A</v>
      </c>
      <c r="E708" s="189" t="e">
        <v>#N/A</v>
      </c>
      <c r="F708" s="189" t="e">
        <v>#N/A</v>
      </c>
      <c r="G708" s="189" t="e">
        <v>#N/A</v>
      </c>
      <c r="H708" s="189" t="e">
        <v>#N/A</v>
      </c>
      <c r="I708" s="189" t="e">
        <v>#N/A</v>
      </c>
      <c r="J708" s="189" t="e">
        <v>#N/A</v>
      </c>
      <c r="K708" s="204" t="e">
        <v>#N/A</v>
      </c>
      <c r="L708" s="204" t="e">
        <v>#N/A</v>
      </c>
      <c r="M708" s="205" t="e">
        <v>#N/A</v>
      </c>
      <c r="N708" s="205" t="e">
        <v>#N/A</v>
      </c>
      <c r="O708" s="205" t="e">
        <v>#N/A</v>
      </c>
      <c r="P708" s="205" t="e">
        <v>#N/A</v>
      </c>
      <c r="Q708" s="189" t="e">
        <v>#N/A</v>
      </c>
      <c r="R708" s="189" t="e">
        <v>#N/A</v>
      </c>
      <c r="S708" s="205" t="e">
        <v>#N/A</v>
      </c>
      <c r="T708" s="206"/>
    </row>
    <row r="709">
      <c r="C709" s="189" t="e">
        <v>#N/A</v>
      </c>
      <c r="D709" s="189" t="e">
        <v>#N/A</v>
      </c>
      <c r="E709" s="189" t="e">
        <v>#N/A</v>
      </c>
      <c r="F709" s="189" t="e">
        <v>#N/A</v>
      </c>
      <c r="G709" s="189" t="e">
        <v>#N/A</v>
      </c>
      <c r="H709" s="189" t="e">
        <v>#N/A</v>
      </c>
      <c r="I709" s="189" t="e">
        <v>#N/A</v>
      </c>
      <c r="J709" s="189" t="e">
        <v>#N/A</v>
      </c>
      <c r="K709" s="204" t="e">
        <v>#N/A</v>
      </c>
      <c r="L709" s="204" t="e">
        <v>#N/A</v>
      </c>
      <c r="M709" s="205" t="e">
        <v>#N/A</v>
      </c>
      <c r="N709" s="205" t="e">
        <v>#N/A</v>
      </c>
      <c r="O709" s="205" t="e">
        <v>#N/A</v>
      </c>
      <c r="P709" s="205" t="e">
        <v>#N/A</v>
      </c>
      <c r="Q709" s="189" t="e">
        <v>#N/A</v>
      </c>
      <c r="R709" s="189" t="e">
        <v>#N/A</v>
      </c>
      <c r="S709" s="205" t="e">
        <v>#N/A</v>
      </c>
      <c r="T709" s="206"/>
    </row>
    <row r="710">
      <c r="C710" s="189" t="e">
        <v>#N/A</v>
      </c>
      <c r="D710" s="189" t="e">
        <v>#N/A</v>
      </c>
      <c r="E710" s="189" t="e">
        <v>#N/A</v>
      </c>
      <c r="F710" s="189" t="e">
        <v>#N/A</v>
      </c>
      <c r="G710" s="189" t="e">
        <v>#N/A</v>
      </c>
      <c r="H710" s="189" t="e">
        <v>#N/A</v>
      </c>
      <c r="I710" s="189" t="e">
        <v>#N/A</v>
      </c>
      <c r="J710" s="189" t="e">
        <v>#N/A</v>
      </c>
      <c r="K710" s="204" t="e">
        <v>#N/A</v>
      </c>
      <c r="L710" s="204" t="e">
        <v>#N/A</v>
      </c>
      <c r="M710" s="205" t="e">
        <v>#N/A</v>
      </c>
      <c r="N710" s="205" t="e">
        <v>#N/A</v>
      </c>
      <c r="O710" s="205" t="e">
        <v>#N/A</v>
      </c>
      <c r="P710" s="205" t="e">
        <v>#N/A</v>
      </c>
      <c r="Q710" s="189" t="e">
        <v>#N/A</v>
      </c>
      <c r="R710" s="189" t="e">
        <v>#N/A</v>
      </c>
      <c r="S710" s="205" t="e">
        <v>#N/A</v>
      </c>
      <c r="T710" s="206"/>
    </row>
    <row r="711">
      <c r="C711" s="189" t="e">
        <v>#N/A</v>
      </c>
      <c r="D711" s="189" t="e">
        <v>#N/A</v>
      </c>
      <c r="E711" s="189" t="e">
        <v>#N/A</v>
      </c>
      <c r="F711" s="189" t="e">
        <v>#N/A</v>
      </c>
      <c r="G711" s="189" t="e">
        <v>#N/A</v>
      </c>
      <c r="H711" s="189" t="e">
        <v>#N/A</v>
      </c>
      <c r="I711" s="189" t="e">
        <v>#N/A</v>
      </c>
      <c r="J711" s="189" t="e">
        <v>#N/A</v>
      </c>
      <c r="K711" s="204" t="e">
        <v>#N/A</v>
      </c>
      <c r="L711" s="204" t="e">
        <v>#N/A</v>
      </c>
      <c r="M711" s="205" t="e">
        <v>#N/A</v>
      </c>
      <c r="N711" s="205" t="e">
        <v>#N/A</v>
      </c>
      <c r="O711" s="205" t="e">
        <v>#N/A</v>
      </c>
      <c r="P711" s="205" t="e">
        <v>#N/A</v>
      </c>
      <c r="Q711" s="189" t="e">
        <v>#N/A</v>
      </c>
      <c r="R711" s="189" t="e">
        <v>#N/A</v>
      </c>
      <c r="S711" s="205" t="e">
        <v>#N/A</v>
      </c>
      <c r="T711" s="206"/>
    </row>
    <row r="712">
      <c r="C712" s="189" t="e">
        <v>#N/A</v>
      </c>
      <c r="D712" s="189" t="e">
        <v>#N/A</v>
      </c>
      <c r="E712" s="189" t="e">
        <v>#N/A</v>
      </c>
      <c r="F712" s="189" t="e">
        <v>#N/A</v>
      </c>
      <c r="G712" s="189" t="e">
        <v>#N/A</v>
      </c>
      <c r="H712" s="189" t="e">
        <v>#N/A</v>
      </c>
      <c r="I712" s="189" t="e">
        <v>#N/A</v>
      </c>
      <c r="J712" s="189" t="e">
        <v>#N/A</v>
      </c>
      <c r="K712" s="204" t="e">
        <v>#N/A</v>
      </c>
      <c r="L712" s="204" t="e">
        <v>#N/A</v>
      </c>
      <c r="M712" s="205" t="e">
        <v>#N/A</v>
      </c>
      <c r="N712" s="205" t="e">
        <v>#N/A</v>
      </c>
      <c r="O712" s="205" t="e">
        <v>#N/A</v>
      </c>
      <c r="P712" s="205" t="e">
        <v>#N/A</v>
      </c>
      <c r="Q712" s="189" t="e">
        <v>#N/A</v>
      </c>
      <c r="R712" s="189" t="e">
        <v>#N/A</v>
      </c>
      <c r="S712" s="205" t="e">
        <v>#N/A</v>
      </c>
      <c r="T712" s="206"/>
    </row>
    <row r="713">
      <c r="C713" s="189" t="e">
        <v>#N/A</v>
      </c>
      <c r="D713" s="189" t="e">
        <v>#N/A</v>
      </c>
      <c r="E713" s="189" t="e">
        <v>#N/A</v>
      </c>
      <c r="F713" s="189" t="e">
        <v>#N/A</v>
      </c>
      <c r="G713" s="189" t="e">
        <v>#N/A</v>
      </c>
      <c r="H713" s="189" t="e">
        <v>#N/A</v>
      </c>
      <c r="I713" s="189" t="e">
        <v>#N/A</v>
      </c>
      <c r="J713" s="189" t="e">
        <v>#N/A</v>
      </c>
      <c r="K713" s="204" t="e">
        <v>#N/A</v>
      </c>
      <c r="L713" s="204" t="e">
        <v>#N/A</v>
      </c>
      <c r="M713" s="205" t="e">
        <v>#N/A</v>
      </c>
      <c r="N713" s="205" t="e">
        <v>#N/A</v>
      </c>
      <c r="O713" s="205" t="e">
        <v>#N/A</v>
      </c>
      <c r="P713" s="205" t="e">
        <v>#N/A</v>
      </c>
      <c r="Q713" s="189" t="e">
        <v>#N/A</v>
      </c>
      <c r="R713" s="189" t="e">
        <v>#N/A</v>
      </c>
      <c r="S713" s="205" t="e">
        <v>#N/A</v>
      </c>
      <c r="T713" s="206"/>
    </row>
    <row r="714">
      <c r="C714" s="189" t="e">
        <v>#N/A</v>
      </c>
      <c r="D714" s="189" t="e">
        <v>#N/A</v>
      </c>
      <c r="E714" s="189" t="e">
        <v>#N/A</v>
      </c>
      <c r="F714" s="189" t="e">
        <v>#N/A</v>
      </c>
      <c r="G714" s="189" t="e">
        <v>#N/A</v>
      </c>
      <c r="H714" s="189" t="e">
        <v>#N/A</v>
      </c>
      <c r="I714" s="189" t="e">
        <v>#N/A</v>
      </c>
      <c r="J714" s="189" t="e">
        <v>#N/A</v>
      </c>
      <c r="K714" s="204" t="e">
        <v>#N/A</v>
      </c>
      <c r="L714" s="204" t="e">
        <v>#N/A</v>
      </c>
      <c r="M714" s="205" t="e">
        <v>#N/A</v>
      </c>
      <c r="N714" s="205" t="e">
        <v>#N/A</v>
      </c>
      <c r="O714" s="205" t="e">
        <v>#N/A</v>
      </c>
      <c r="P714" s="205" t="e">
        <v>#N/A</v>
      </c>
      <c r="Q714" s="189" t="e">
        <v>#N/A</v>
      </c>
      <c r="R714" s="189" t="e">
        <v>#N/A</v>
      </c>
      <c r="S714" s="205" t="e">
        <v>#N/A</v>
      </c>
      <c r="T714" s="206"/>
    </row>
    <row r="715">
      <c r="C715" s="189" t="e">
        <v>#N/A</v>
      </c>
      <c r="D715" s="189" t="e">
        <v>#N/A</v>
      </c>
      <c r="E715" s="189" t="e">
        <v>#N/A</v>
      </c>
      <c r="F715" s="189" t="e">
        <v>#N/A</v>
      </c>
      <c r="G715" s="189" t="e">
        <v>#N/A</v>
      </c>
      <c r="H715" s="189" t="e">
        <v>#N/A</v>
      </c>
      <c r="I715" s="189" t="e">
        <v>#N/A</v>
      </c>
      <c r="J715" s="189" t="e">
        <v>#N/A</v>
      </c>
      <c r="K715" s="204" t="e">
        <v>#N/A</v>
      </c>
      <c r="L715" s="204" t="e">
        <v>#N/A</v>
      </c>
      <c r="M715" s="205" t="e">
        <v>#N/A</v>
      </c>
      <c r="N715" s="205" t="e">
        <v>#N/A</v>
      </c>
      <c r="O715" s="205" t="e">
        <v>#N/A</v>
      </c>
      <c r="P715" s="205" t="e">
        <v>#N/A</v>
      </c>
      <c r="Q715" s="189" t="e">
        <v>#N/A</v>
      </c>
      <c r="R715" s="189" t="e">
        <v>#N/A</v>
      </c>
      <c r="S715" s="205" t="e">
        <v>#N/A</v>
      </c>
      <c r="T715" s="206"/>
    </row>
    <row r="716">
      <c r="C716" s="189" t="e">
        <v>#N/A</v>
      </c>
      <c r="D716" s="189" t="e">
        <v>#N/A</v>
      </c>
      <c r="E716" s="189" t="e">
        <v>#N/A</v>
      </c>
      <c r="F716" s="189" t="e">
        <v>#N/A</v>
      </c>
      <c r="G716" s="189" t="e">
        <v>#N/A</v>
      </c>
      <c r="H716" s="189" t="e">
        <v>#N/A</v>
      </c>
      <c r="I716" s="189" t="e">
        <v>#N/A</v>
      </c>
      <c r="J716" s="189" t="e">
        <v>#N/A</v>
      </c>
      <c r="K716" s="204" t="e">
        <v>#N/A</v>
      </c>
      <c r="L716" s="204" t="e">
        <v>#N/A</v>
      </c>
      <c r="M716" s="205" t="e">
        <v>#N/A</v>
      </c>
      <c r="N716" s="205" t="e">
        <v>#N/A</v>
      </c>
      <c r="O716" s="205" t="e">
        <v>#N/A</v>
      </c>
      <c r="P716" s="205" t="e">
        <v>#N/A</v>
      </c>
      <c r="Q716" s="189" t="e">
        <v>#N/A</v>
      </c>
      <c r="R716" s="189" t="e">
        <v>#N/A</v>
      </c>
      <c r="S716" s="205" t="e">
        <v>#N/A</v>
      </c>
      <c r="T716" s="206"/>
    </row>
    <row r="717">
      <c r="C717" s="189" t="e">
        <v>#N/A</v>
      </c>
      <c r="D717" s="189" t="e">
        <v>#N/A</v>
      </c>
      <c r="E717" s="189" t="e">
        <v>#N/A</v>
      </c>
      <c r="F717" s="189" t="e">
        <v>#N/A</v>
      </c>
      <c r="G717" s="189" t="e">
        <v>#N/A</v>
      </c>
      <c r="H717" s="189" t="e">
        <v>#N/A</v>
      </c>
      <c r="I717" s="189" t="e">
        <v>#N/A</v>
      </c>
      <c r="J717" s="189" t="e">
        <v>#N/A</v>
      </c>
      <c r="K717" s="204" t="e">
        <v>#N/A</v>
      </c>
      <c r="L717" s="204" t="e">
        <v>#N/A</v>
      </c>
      <c r="M717" s="205" t="e">
        <v>#N/A</v>
      </c>
      <c r="N717" s="205" t="e">
        <v>#N/A</v>
      </c>
      <c r="O717" s="205" t="e">
        <v>#N/A</v>
      </c>
      <c r="P717" s="205" t="e">
        <v>#N/A</v>
      </c>
      <c r="Q717" s="189" t="e">
        <v>#N/A</v>
      </c>
      <c r="R717" s="189" t="e">
        <v>#N/A</v>
      </c>
      <c r="S717" s="205" t="e">
        <v>#N/A</v>
      </c>
      <c r="T717" s="206"/>
    </row>
    <row r="718">
      <c r="C718" s="189" t="e">
        <v>#N/A</v>
      </c>
      <c r="D718" s="189" t="e">
        <v>#N/A</v>
      </c>
      <c r="E718" s="189" t="e">
        <v>#N/A</v>
      </c>
      <c r="F718" s="189" t="e">
        <v>#N/A</v>
      </c>
      <c r="G718" s="189" t="e">
        <v>#N/A</v>
      </c>
      <c r="H718" s="189" t="e">
        <v>#N/A</v>
      </c>
      <c r="I718" s="189" t="e">
        <v>#N/A</v>
      </c>
      <c r="J718" s="189" t="e">
        <v>#N/A</v>
      </c>
      <c r="K718" s="204" t="e">
        <v>#N/A</v>
      </c>
      <c r="L718" s="204" t="e">
        <v>#N/A</v>
      </c>
      <c r="M718" s="205" t="e">
        <v>#N/A</v>
      </c>
      <c r="N718" s="205" t="e">
        <v>#N/A</v>
      </c>
      <c r="O718" s="205" t="e">
        <v>#N/A</v>
      </c>
      <c r="P718" s="205" t="e">
        <v>#N/A</v>
      </c>
      <c r="Q718" s="189" t="e">
        <v>#N/A</v>
      </c>
      <c r="R718" s="189" t="e">
        <v>#N/A</v>
      </c>
      <c r="S718" s="205" t="e">
        <v>#N/A</v>
      </c>
      <c r="T718" s="206"/>
    </row>
    <row r="719">
      <c r="C719" s="189" t="e">
        <v>#N/A</v>
      </c>
      <c r="D719" s="189" t="e">
        <v>#N/A</v>
      </c>
      <c r="E719" s="189" t="e">
        <v>#N/A</v>
      </c>
      <c r="F719" s="189" t="e">
        <v>#N/A</v>
      </c>
      <c r="G719" s="189" t="e">
        <v>#N/A</v>
      </c>
      <c r="H719" s="189" t="e">
        <v>#N/A</v>
      </c>
      <c r="I719" s="189" t="e">
        <v>#N/A</v>
      </c>
      <c r="J719" s="189" t="e">
        <v>#N/A</v>
      </c>
      <c r="K719" s="204" t="e">
        <v>#N/A</v>
      </c>
      <c r="L719" s="204" t="e">
        <v>#N/A</v>
      </c>
      <c r="M719" s="205" t="e">
        <v>#N/A</v>
      </c>
      <c r="N719" s="205" t="e">
        <v>#N/A</v>
      </c>
      <c r="O719" s="205" t="e">
        <v>#N/A</v>
      </c>
      <c r="P719" s="205" t="e">
        <v>#N/A</v>
      </c>
      <c r="Q719" s="189" t="e">
        <v>#N/A</v>
      </c>
      <c r="R719" s="189" t="e">
        <v>#N/A</v>
      </c>
      <c r="S719" s="205" t="e">
        <v>#N/A</v>
      </c>
      <c r="T719" s="206"/>
    </row>
    <row r="720">
      <c r="C720" s="189" t="e">
        <v>#N/A</v>
      </c>
      <c r="D720" s="189" t="e">
        <v>#N/A</v>
      </c>
      <c r="E720" s="189" t="e">
        <v>#N/A</v>
      </c>
      <c r="F720" s="189" t="e">
        <v>#N/A</v>
      </c>
      <c r="G720" s="189" t="e">
        <v>#N/A</v>
      </c>
      <c r="H720" s="189" t="e">
        <v>#N/A</v>
      </c>
      <c r="I720" s="189" t="e">
        <v>#N/A</v>
      </c>
      <c r="J720" s="189" t="e">
        <v>#N/A</v>
      </c>
      <c r="K720" s="204" t="e">
        <v>#N/A</v>
      </c>
      <c r="L720" s="204" t="e">
        <v>#N/A</v>
      </c>
      <c r="M720" s="205" t="e">
        <v>#N/A</v>
      </c>
      <c r="N720" s="205" t="e">
        <v>#N/A</v>
      </c>
      <c r="O720" s="205" t="e">
        <v>#N/A</v>
      </c>
      <c r="P720" s="205" t="e">
        <v>#N/A</v>
      </c>
      <c r="Q720" s="189" t="e">
        <v>#N/A</v>
      </c>
      <c r="R720" s="189" t="e">
        <v>#N/A</v>
      </c>
      <c r="S720" s="205" t="e">
        <v>#N/A</v>
      </c>
      <c r="T720" s="206"/>
    </row>
    <row r="721">
      <c r="C721" s="189" t="e">
        <v>#N/A</v>
      </c>
      <c r="D721" s="189" t="e">
        <v>#N/A</v>
      </c>
      <c r="E721" s="189" t="e">
        <v>#N/A</v>
      </c>
      <c r="F721" s="189" t="e">
        <v>#N/A</v>
      </c>
      <c r="G721" s="189" t="e">
        <v>#N/A</v>
      </c>
      <c r="H721" s="189" t="e">
        <v>#N/A</v>
      </c>
      <c r="I721" s="189" t="e">
        <v>#N/A</v>
      </c>
      <c r="J721" s="189" t="e">
        <v>#N/A</v>
      </c>
      <c r="K721" s="204" t="e">
        <v>#N/A</v>
      </c>
      <c r="L721" s="204" t="e">
        <v>#N/A</v>
      </c>
      <c r="M721" s="205" t="e">
        <v>#N/A</v>
      </c>
      <c r="N721" s="205" t="e">
        <v>#N/A</v>
      </c>
      <c r="O721" s="205" t="e">
        <v>#N/A</v>
      </c>
      <c r="P721" s="205" t="e">
        <v>#N/A</v>
      </c>
      <c r="Q721" s="189" t="e">
        <v>#N/A</v>
      </c>
      <c r="R721" s="189" t="e">
        <v>#N/A</v>
      </c>
      <c r="S721" s="205" t="e">
        <v>#N/A</v>
      </c>
      <c r="T721" s="206"/>
    </row>
    <row r="722">
      <c r="C722" s="189" t="e">
        <v>#N/A</v>
      </c>
      <c r="D722" s="189" t="e">
        <v>#N/A</v>
      </c>
      <c r="E722" s="189" t="e">
        <v>#N/A</v>
      </c>
      <c r="F722" s="189" t="e">
        <v>#N/A</v>
      </c>
      <c r="G722" s="189" t="e">
        <v>#N/A</v>
      </c>
      <c r="H722" s="189" t="e">
        <v>#N/A</v>
      </c>
      <c r="I722" s="189" t="e">
        <v>#N/A</v>
      </c>
      <c r="J722" s="189" t="e">
        <v>#N/A</v>
      </c>
      <c r="K722" s="204" t="e">
        <v>#N/A</v>
      </c>
      <c r="L722" s="204" t="e">
        <v>#N/A</v>
      </c>
      <c r="M722" s="205" t="e">
        <v>#N/A</v>
      </c>
      <c r="N722" s="205" t="e">
        <v>#N/A</v>
      </c>
      <c r="O722" s="205" t="e">
        <v>#N/A</v>
      </c>
      <c r="P722" s="205" t="e">
        <v>#N/A</v>
      </c>
      <c r="Q722" s="189" t="e">
        <v>#N/A</v>
      </c>
      <c r="R722" s="189" t="e">
        <v>#N/A</v>
      </c>
      <c r="S722" s="205" t="e">
        <v>#N/A</v>
      </c>
      <c r="T722" s="206"/>
    </row>
    <row r="723">
      <c r="C723" s="189" t="e">
        <v>#N/A</v>
      </c>
      <c r="D723" s="189" t="e">
        <v>#N/A</v>
      </c>
      <c r="E723" s="189" t="e">
        <v>#N/A</v>
      </c>
      <c r="F723" s="189" t="e">
        <v>#N/A</v>
      </c>
      <c r="G723" s="189" t="e">
        <v>#N/A</v>
      </c>
      <c r="H723" s="189" t="e">
        <v>#N/A</v>
      </c>
      <c r="I723" s="189" t="e">
        <v>#N/A</v>
      </c>
      <c r="J723" s="189" t="e">
        <v>#N/A</v>
      </c>
      <c r="K723" s="204" t="e">
        <v>#N/A</v>
      </c>
      <c r="L723" s="204" t="e">
        <v>#N/A</v>
      </c>
      <c r="M723" s="205" t="e">
        <v>#N/A</v>
      </c>
      <c r="N723" s="205" t="e">
        <v>#N/A</v>
      </c>
      <c r="O723" s="205" t="e">
        <v>#N/A</v>
      </c>
      <c r="P723" s="205" t="e">
        <v>#N/A</v>
      </c>
      <c r="Q723" s="189" t="e">
        <v>#N/A</v>
      </c>
      <c r="R723" s="189" t="e">
        <v>#N/A</v>
      </c>
      <c r="S723" s="205" t="e">
        <v>#N/A</v>
      </c>
      <c r="T723" s="206"/>
    </row>
    <row r="724">
      <c r="C724" s="189" t="e">
        <v>#N/A</v>
      </c>
      <c r="D724" s="189" t="e">
        <v>#N/A</v>
      </c>
      <c r="E724" s="189" t="e">
        <v>#N/A</v>
      </c>
      <c r="F724" s="189" t="e">
        <v>#N/A</v>
      </c>
      <c r="G724" s="189" t="e">
        <v>#N/A</v>
      </c>
      <c r="H724" s="189" t="e">
        <v>#N/A</v>
      </c>
      <c r="I724" s="189" t="e">
        <v>#N/A</v>
      </c>
      <c r="J724" s="189" t="e">
        <v>#N/A</v>
      </c>
      <c r="K724" s="204" t="e">
        <v>#N/A</v>
      </c>
      <c r="L724" s="204" t="e">
        <v>#N/A</v>
      </c>
      <c r="M724" s="205" t="e">
        <v>#N/A</v>
      </c>
      <c r="N724" s="205" t="e">
        <v>#N/A</v>
      </c>
      <c r="O724" s="205" t="e">
        <v>#N/A</v>
      </c>
      <c r="P724" s="205" t="e">
        <v>#N/A</v>
      </c>
      <c r="Q724" s="189" t="e">
        <v>#N/A</v>
      </c>
      <c r="R724" s="189" t="e">
        <v>#N/A</v>
      </c>
      <c r="S724" s="205" t="e">
        <v>#N/A</v>
      </c>
      <c r="T724" s="206"/>
    </row>
    <row r="725">
      <c r="C725" s="189" t="e">
        <v>#N/A</v>
      </c>
      <c r="D725" s="189" t="e">
        <v>#N/A</v>
      </c>
      <c r="E725" s="189" t="e">
        <v>#N/A</v>
      </c>
      <c r="F725" s="189" t="e">
        <v>#N/A</v>
      </c>
      <c r="G725" s="189" t="e">
        <v>#N/A</v>
      </c>
      <c r="H725" s="189" t="e">
        <v>#N/A</v>
      </c>
      <c r="I725" s="189" t="e">
        <v>#N/A</v>
      </c>
      <c r="J725" s="189" t="e">
        <v>#N/A</v>
      </c>
      <c r="K725" s="204" t="e">
        <v>#N/A</v>
      </c>
      <c r="L725" s="204" t="e">
        <v>#N/A</v>
      </c>
      <c r="M725" s="205" t="e">
        <v>#N/A</v>
      </c>
      <c r="N725" s="205" t="e">
        <v>#N/A</v>
      </c>
      <c r="O725" s="205" t="e">
        <v>#N/A</v>
      </c>
      <c r="P725" s="205" t="e">
        <v>#N/A</v>
      </c>
      <c r="Q725" s="189" t="e">
        <v>#N/A</v>
      </c>
      <c r="R725" s="189" t="e">
        <v>#N/A</v>
      </c>
      <c r="S725" s="205" t="e">
        <v>#N/A</v>
      </c>
      <c r="T725" s="206"/>
    </row>
    <row r="726">
      <c r="C726" s="189" t="e">
        <v>#N/A</v>
      </c>
      <c r="D726" s="189" t="e">
        <v>#N/A</v>
      </c>
      <c r="E726" s="189" t="e">
        <v>#N/A</v>
      </c>
      <c r="F726" s="189" t="e">
        <v>#N/A</v>
      </c>
      <c r="G726" s="189" t="e">
        <v>#N/A</v>
      </c>
      <c r="H726" s="189" t="e">
        <v>#N/A</v>
      </c>
      <c r="I726" s="189" t="e">
        <v>#N/A</v>
      </c>
      <c r="J726" s="189" t="e">
        <v>#N/A</v>
      </c>
      <c r="K726" s="204" t="e">
        <v>#N/A</v>
      </c>
      <c r="L726" s="204" t="e">
        <v>#N/A</v>
      </c>
      <c r="M726" s="205" t="e">
        <v>#N/A</v>
      </c>
      <c r="N726" s="205" t="e">
        <v>#N/A</v>
      </c>
      <c r="O726" s="205" t="e">
        <v>#N/A</v>
      </c>
      <c r="P726" s="205" t="e">
        <v>#N/A</v>
      </c>
      <c r="Q726" s="189" t="e">
        <v>#N/A</v>
      </c>
      <c r="R726" s="189" t="e">
        <v>#N/A</v>
      </c>
      <c r="S726" s="205" t="e">
        <v>#N/A</v>
      </c>
      <c r="T726" s="206"/>
    </row>
    <row r="727">
      <c r="C727" s="189" t="e">
        <v>#N/A</v>
      </c>
      <c r="D727" s="189" t="e">
        <v>#N/A</v>
      </c>
      <c r="E727" s="189" t="e">
        <v>#N/A</v>
      </c>
      <c r="F727" s="189" t="e">
        <v>#N/A</v>
      </c>
      <c r="G727" s="189" t="e">
        <v>#N/A</v>
      </c>
      <c r="H727" s="189" t="e">
        <v>#N/A</v>
      </c>
      <c r="I727" s="189" t="e">
        <v>#N/A</v>
      </c>
      <c r="J727" s="189" t="e">
        <v>#N/A</v>
      </c>
      <c r="K727" s="204" t="e">
        <v>#N/A</v>
      </c>
      <c r="L727" s="204" t="e">
        <v>#N/A</v>
      </c>
      <c r="M727" s="205" t="e">
        <v>#N/A</v>
      </c>
      <c r="N727" s="205" t="e">
        <v>#N/A</v>
      </c>
      <c r="O727" s="205" t="e">
        <v>#N/A</v>
      </c>
      <c r="P727" s="205" t="e">
        <v>#N/A</v>
      </c>
      <c r="Q727" s="189" t="e">
        <v>#N/A</v>
      </c>
      <c r="R727" s="189" t="e">
        <v>#N/A</v>
      </c>
      <c r="S727" s="205" t="e">
        <v>#N/A</v>
      </c>
      <c r="T727" s="206"/>
    </row>
    <row r="728">
      <c r="C728" s="189" t="e">
        <v>#N/A</v>
      </c>
      <c r="D728" s="189" t="e">
        <v>#N/A</v>
      </c>
      <c r="E728" s="189" t="e">
        <v>#N/A</v>
      </c>
      <c r="F728" s="189" t="e">
        <v>#N/A</v>
      </c>
      <c r="G728" s="189" t="e">
        <v>#N/A</v>
      </c>
      <c r="H728" s="189" t="e">
        <v>#N/A</v>
      </c>
      <c r="I728" s="189" t="e">
        <v>#N/A</v>
      </c>
      <c r="J728" s="189" t="e">
        <v>#N/A</v>
      </c>
      <c r="K728" s="204" t="e">
        <v>#N/A</v>
      </c>
      <c r="L728" s="204" t="e">
        <v>#N/A</v>
      </c>
      <c r="M728" s="205" t="e">
        <v>#N/A</v>
      </c>
      <c r="N728" s="205" t="e">
        <v>#N/A</v>
      </c>
      <c r="O728" s="205" t="e">
        <v>#N/A</v>
      </c>
      <c r="P728" s="205" t="e">
        <v>#N/A</v>
      </c>
      <c r="Q728" s="189" t="e">
        <v>#N/A</v>
      </c>
      <c r="R728" s="189" t="e">
        <v>#N/A</v>
      </c>
      <c r="S728" s="205" t="e">
        <v>#N/A</v>
      </c>
      <c r="T728" s="206"/>
    </row>
    <row r="729">
      <c r="C729" s="189" t="e">
        <v>#N/A</v>
      </c>
      <c r="D729" s="189" t="e">
        <v>#N/A</v>
      </c>
      <c r="E729" s="189" t="e">
        <v>#N/A</v>
      </c>
      <c r="F729" s="189" t="e">
        <v>#N/A</v>
      </c>
      <c r="G729" s="189" t="e">
        <v>#N/A</v>
      </c>
      <c r="H729" s="189" t="e">
        <v>#N/A</v>
      </c>
      <c r="I729" s="189" t="e">
        <v>#N/A</v>
      </c>
      <c r="J729" s="189" t="e">
        <v>#N/A</v>
      </c>
      <c r="K729" s="204" t="e">
        <v>#N/A</v>
      </c>
      <c r="L729" s="204" t="e">
        <v>#N/A</v>
      </c>
      <c r="M729" s="205" t="e">
        <v>#N/A</v>
      </c>
      <c r="N729" s="205" t="e">
        <v>#N/A</v>
      </c>
      <c r="O729" s="205" t="e">
        <v>#N/A</v>
      </c>
      <c r="P729" s="205" t="e">
        <v>#N/A</v>
      </c>
      <c r="Q729" s="189" t="e">
        <v>#N/A</v>
      </c>
      <c r="R729" s="189" t="e">
        <v>#N/A</v>
      </c>
      <c r="S729" s="205" t="e">
        <v>#N/A</v>
      </c>
      <c r="T729" s="206"/>
    </row>
    <row r="730">
      <c r="C730" s="189" t="e">
        <v>#N/A</v>
      </c>
      <c r="D730" s="189" t="e">
        <v>#N/A</v>
      </c>
      <c r="E730" s="189" t="e">
        <v>#N/A</v>
      </c>
      <c r="F730" s="189" t="e">
        <v>#N/A</v>
      </c>
      <c r="G730" s="189" t="e">
        <v>#N/A</v>
      </c>
      <c r="H730" s="189" t="e">
        <v>#N/A</v>
      </c>
      <c r="I730" s="189" t="e">
        <v>#N/A</v>
      </c>
      <c r="J730" s="189" t="e">
        <v>#N/A</v>
      </c>
      <c r="K730" s="204" t="e">
        <v>#N/A</v>
      </c>
      <c r="L730" s="204" t="e">
        <v>#N/A</v>
      </c>
      <c r="M730" s="205" t="e">
        <v>#N/A</v>
      </c>
      <c r="N730" s="205" t="e">
        <v>#N/A</v>
      </c>
      <c r="O730" s="205" t="e">
        <v>#N/A</v>
      </c>
      <c r="P730" s="205" t="e">
        <v>#N/A</v>
      </c>
      <c r="Q730" s="189" t="e">
        <v>#N/A</v>
      </c>
      <c r="R730" s="189" t="e">
        <v>#N/A</v>
      </c>
      <c r="S730" s="205" t="e">
        <v>#N/A</v>
      </c>
      <c r="T730" s="206"/>
    </row>
    <row r="731">
      <c r="C731" s="189" t="e">
        <v>#N/A</v>
      </c>
      <c r="D731" s="189" t="e">
        <v>#N/A</v>
      </c>
      <c r="E731" s="189" t="e">
        <v>#N/A</v>
      </c>
      <c r="F731" s="189" t="e">
        <v>#N/A</v>
      </c>
      <c r="G731" s="189" t="e">
        <v>#N/A</v>
      </c>
      <c r="H731" s="189" t="e">
        <v>#N/A</v>
      </c>
      <c r="I731" s="189" t="e">
        <v>#N/A</v>
      </c>
      <c r="J731" s="189" t="e">
        <v>#N/A</v>
      </c>
      <c r="K731" s="204" t="e">
        <v>#N/A</v>
      </c>
      <c r="L731" s="204" t="e">
        <v>#N/A</v>
      </c>
      <c r="M731" s="205" t="e">
        <v>#N/A</v>
      </c>
      <c r="N731" s="205" t="e">
        <v>#N/A</v>
      </c>
      <c r="O731" s="205" t="e">
        <v>#N/A</v>
      </c>
      <c r="P731" s="205" t="e">
        <v>#N/A</v>
      </c>
      <c r="Q731" s="189" t="e">
        <v>#N/A</v>
      </c>
      <c r="R731" s="189" t="e">
        <v>#N/A</v>
      </c>
      <c r="S731" s="205" t="e">
        <v>#N/A</v>
      </c>
      <c r="T731" s="206"/>
    </row>
    <row r="732">
      <c r="C732" s="189" t="e">
        <v>#N/A</v>
      </c>
      <c r="D732" s="189" t="e">
        <v>#N/A</v>
      </c>
      <c r="E732" s="189" t="e">
        <v>#N/A</v>
      </c>
      <c r="F732" s="189" t="e">
        <v>#N/A</v>
      </c>
      <c r="G732" s="189" t="e">
        <v>#N/A</v>
      </c>
      <c r="H732" s="189" t="e">
        <v>#N/A</v>
      </c>
      <c r="I732" s="189" t="e">
        <v>#N/A</v>
      </c>
      <c r="J732" s="189" t="e">
        <v>#N/A</v>
      </c>
      <c r="K732" s="204" t="e">
        <v>#N/A</v>
      </c>
      <c r="L732" s="204" t="e">
        <v>#N/A</v>
      </c>
      <c r="M732" s="205" t="e">
        <v>#N/A</v>
      </c>
      <c r="N732" s="205" t="e">
        <v>#N/A</v>
      </c>
      <c r="O732" s="205" t="e">
        <v>#N/A</v>
      </c>
      <c r="P732" s="205" t="e">
        <v>#N/A</v>
      </c>
      <c r="Q732" s="189" t="e">
        <v>#N/A</v>
      </c>
      <c r="R732" s="189" t="e">
        <v>#N/A</v>
      </c>
      <c r="S732" s="205" t="e">
        <v>#N/A</v>
      </c>
      <c r="T732" s="206"/>
    </row>
    <row r="733">
      <c r="C733" s="189" t="e">
        <v>#N/A</v>
      </c>
      <c r="D733" s="189" t="e">
        <v>#N/A</v>
      </c>
      <c r="E733" s="189" t="e">
        <v>#N/A</v>
      </c>
      <c r="F733" s="189" t="e">
        <v>#N/A</v>
      </c>
      <c r="G733" s="189" t="e">
        <v>#N/A</v>
      </c>
      <c r="H733" s="189" t="e">
        <v>#N/A</v>
      </c>
      <c r="I733" s="189" t="e">
        <v>#N/A</v>
      </c>
      <c r="J733" s="189" t="e">
        <v>#N/A</v>
      </c>
      <c r="K733" s="204" t="e">
        <v>#N/A</v>
      </c>
      <c r="L733" s="204" t="e">
        <v>#N/A</v>
      </c>
      <c r="M733" s="205" t="e">
        <v>#N/A</v>
      </c>
      <c r="N733" s="205" t="e">
        <v>#N/A</v>
      </c>
      <c r="O733" s="205" t="e">
        <v>#N/A</v>
      </c>
      <c r="P733" s="205" t="e">
        <v>#N/A</v>
      </c>
      <c r="Q733" s="189" t="e">
        <v>#N/A</v>
      </c>
      <c r="R733" s="189" t="e">
        <v>#N/A</v>
      </c>
      <c r="S733" s="205" t="e">
        <v>#N/A</v>
      </c>
      <c r="T733" s="206"/>
    </row>
    <row r="734">
      <c r="C734" s="189" t="e">
        <v>#N/A</v>
      </c>
      <c r="D734" s="189" t="e">
        <v>#N/A</v>
      </c>
      <c r="E734" s="189" t="e">
        <v>#N/A</v>
      </c>
      <c r="F734" s="189" t="e">
        <v>#N/A</v>
      </c>
      <c r="G734" s="189" t="e">
        <v>#N/A</v>
      </c>
      <c r="H734" s="189" t="e">
        <v>#N/A</v>
      </c>
      <c r="I734" s="189" t="e">
        <v>#N/A</v>
      </c>
      <c r="J734" s="189" t="e">
        <v>#N/A</v>
      </c>
      <c r="K734" s="204" t="e">
        <v>#N/A</v>
      </c>
      <c r="L734" s="204" t="e">
        <v>#N/A</v>
      </c>
      <c r="M734" s="205" t="e">
        <v>#N/A</v>
      </c>
      <c r="N734" s="205" t="e">
        <v>#N/A</v>
      </c>
      <c r="O734" s="205" t="e">
        <v>#N/A</v>
      </c>
      <c r="P734" s="205" t="e">
        <v>#N/A</v>
      </c>
      <c r="Q734" s="189" t="e">
        <v>#N/A</v>
      </c>
      <c r="R734" s="189" t="e">
        <v>#N/A</v>
      </c>
      <c r="S734" s="205" t="e">
        <v>#N/A</v>
      </c>
      <c r="T734" s="206"/>
    </row>
    <row r="735">
      <c r="C735" s="189" t="e">
        <v>#N/A</v>
      </c>
      <c r="D735" s="189" t="e">
        <v>#N/A</v>
      </c>
      <c r="E735" s="189" t="e">
        <v>#N/A</v>
      </c>
      <c r="F735" s="189" t="e">
        <v>#N/A</v>
      </c>
      <c r="G735" s="189" t="e">
        <v>#N/A</v>
      </c>
      <c r="H735" s="189" t="e">
        <v>#N/A</v>
      </c>
      <c r="I735" s="189" t="e">
        <v>#N/A</v>
      </c>
      <c r="J735" s="189" t="e">
        <v>#N/A</v>
      </c>
      <c r="K735" s="204" t="e">
        <v>#N/A</v>
      </c>
      <c r="L735" s="204" t="e">
        <v>#N/A</v>
      </c>
      <c r="M735" s="205" t="e">
        <v>#N/A</v>
      </c>
      <c r="N735" s="205" t="e">
        <v>#N/A</v>
      </c>
      <c r="O735" s="205" t="e">
        <v>#N/A</v>
      </c>
      <c r="P735" s="205" t="e">
        <v>#N/A</v>
      </c>
      <c r="Q735" s="189" t="e">
        <v>#N/A</v>
      </c>
      <c r="R735" s="189" t="e">
        <v>#N/A</v>
      </c>
      <c r="S735" s="205" t="e">
        <v>#N/A</v>
      </c>
      <c r="T735" s="206"/>
    </row>
    <row r="736">
      <c r="C736" s="189" t="e">
        <v>#N/A</v>
      </c>
      <c r="D736" s="189" t="e">
        <v>#N/A</v>
      </c>
      <c r="E736" s="189" t="e">
        <v>#N/A</v>
      </c>
      <c r="F736" s="189" t="e">
        <v>#N/A</v>
      </c>
      <c r="G736" s="189" t="e">
        <v>#N/A</v>
      </c>
      <c r="H736" s="189" t="e">
        <v>#N/A</v>
      </c>
      <c r="I736" s="189" t="e">
        <v>#N/A</v>
      </c>
      <c r="J736" s="189" t="e">
        <v>#N/A</v>
      </c>
      <c r="K736" s="204" t="e">
        <v>#N/A</v>
      </c>
      <c r="L736" s="204" t="e">
        <v>#N/A</v>
      </c>
      <c r="M736" s="205" t="e">
        <v>#N/A</v>
      </c>
      <c r="N736" s="205" t="e">
        <v>#N/A</v>
      </c>
      <c r="O736" s="205" t="e">
        <v>#N/A</v>
      </c>
      <c r="P736" s="205" t="e">
        <v>#N/A</v>
      </c>
      <c r="Q736" s="189" t="e">
        <v>#N/A</v>
      </c>
      <c r="R736" s="189" t="e">
        <v>#N/A</v>
      </c>
      <c r="S736" s="205" t="e">
        <v>#N/A</v>
      </c>
      <c r="T736" s="206"/>
    </row>
    <row r="737">
      <c r="C737" s="189" t="e">
        <v>#N/A</v>
      </c>
      <c r="D737" s="189" t="e">
        <v>#N/A</v>
      </c>
      <c r="E737" s="189" t="e">
        <v>#N/A</v>
      </c>
      <c r="F737" s="189" t="e">
        <v>#N/A</v>
      </c>
      <c r="G737" s="189" t="e">
        <v>#N/A</v>
      </c>
      <c r="H737" s="189" t="e">
        <v>#N/A</v>
      </c>
      <c r="I737" s="189" t="e">
        <v>#N/A</v>
      </c>
      <c r="J737" s="189" t="e">
        <v>#N/A</v>
      </c>
      <c r="K737" s="204" t="e">
        <v>#N/A</v>
      </c>
      <c r="L737" s="204" t="e">
        <v>#N/A</v>
      </c>
      <c r="M737" s="205" t="e">
        <v>#N/A</v>
      </c>
      <c r="N737" s="205" t="e">
        <v>#N/A</v>
      </c>
      <c r="O737" s="205" t="e">
        <v>#N/A</v>
      </c>
      <c r="P737" s="205" t="e">
        <v>#N/A</v>
      </c>
      <c r="Q737" s="189" t="e">
        <v>#N/A</v>
      </c>
      <c r="R737" s="189" t="e">
        <v>#N/A</v>
      </c>
      <c r="S737" s="205" t="e">
        <v>#N/A</v>
      </c>
      <c r="T737" s="206"/>
    </row>
    <row r="738">
      <c r="C738" s="189" t="e">
        <v>#N/A</v>
      </c>
      <c r="D738" s="189" t="e">
        <v>#N/A</v>
      </c>
      <c r="E738" s="189" t="e">
        <v>#N/A</v>
      </c>
      <c r="F738" s="189" t="e">
        <v>#N/A</v>
      </c>
      <c r="G738" s="189" t="e">
        <v>#N/A</v>
      </c>
      <c r="H738" s="189" t="e">
        <v>#N/A</v>
      </c>
      <c r="I738" s="189" t="e">
        <v>#N/A</v>
      </c>
      <c r="J738" s="189" t="e">
        <v>#N/A</v>
      </c>
      <c r="K738" s="204" t="e">
        <v>#N/A</v>
      </c>
      <c r="L738" s="204" t="e">
        <v>#N/A</v>
      </c>
      <c r="M738" s="205" t="e">
        <v>#N/A</v>
      </c>
      <c r="N738" s="205" t="e">
        <v>#N/A</v>
      </c>
      <c r="O738" s="205" t="e">
        <v>#N/A</v>
      </c>
      <c r="P738" s="205" t="e">
        <v>#N/A</v>
      </c>
      <c r="Q738" s="189" t="e">
        <v>#N/A</v>
      </c>
      <c r="R738" s="189" t="e">
        <v>#N/A</v>
      </c>
      <c r="S738" s="205" t="e">
        <v>#N/A</v>
      </c>
      <c r="T738" s="206"/>
    </row>
    <row r="739">
      <c r="C739" s="189" t="e">
        <v>#N/A</v>
      </c>
      <c r="D739" s="189" t="e">
        <v>#N/A</v>
      </c>
      <c r="E739" s="189" t="e">
        <v>#N/A</v>
      </c>
      <c r="F739" s="189" t="e">
        <v>#N/A</v>
      </c>
      <c r="G739" s="189" t="e">
        <v>#N/A</v>
      </c>
      <c r="H739" s="189" t="e">
        <v>#N/A</v>
      </c>
      <c r="I739" s="189" t="e">
        <v>#N/A</v>
      </c>
      <c r="J739" s="189" t="e">
        <v>#N/A</v>
      </c>
      <c r="K739" s="204" t="e">
        <v>#N/A</v>
      </c>
      <c r="L739" s="204" t="e">
        <v>#N/A</v>
      </c>
      <c r="M739" s="205" t="e">
        <v>#N/A</v>
      </c>
      <c r="N739" s="205" t="e">
        <v>#N/A</v>
      </c>
      <c r="O739" s="205" t="e">
        <v>#N/A</v>
      </c>
      <c r="P739" s="205" t="e">
        <v>#N/A</v>
      </c>
      <c r="Q739" s="189" t="e">
        <v>#N/A</v>
      </c>
      <c r="R739" s="189" t="e">
        <v>#N/A</v>
      </c>
      <c r="S739" s="205" t="e">
        <v>#N/A</v>
      </c>
      <c r="T739" s="206"/>
    </row>
    <row r="740">
      <c r="C740" s="189" t="e">
        <v>#N/A</v>
      </c>
      <c r="D740" s="189" t="e">
        <v>#N/A</v>
      </c>
      <c r="E740" s="189" t="e">
        <v>#N/A</v>
      </c>
      <c r="F740" s="189" t="e">
        <v>#N/A</v>
      </c>
      <c r="G740" s="189" t="e">
        <v>#N/A</v>
      </c>
      <c r="H740" s="189" t="e">
        <v>#N/A</v>
      </c>
      <c r="I740" s="189" t="e">
        <v>#N/A</v>
      </c>
      <c r="J740" s="189" t="e">
        <v>#N/A</v>
      </c>
      <c r="K740" s="204" t="e">
        <v>#N/A</v>
      </c>
      <c r="L740" s="204" t="e">
        <v>#N/A</v>
      </c>
      <c r="M740" s="205" t="e">
        <v>#N/A</v>
      </c>
      <c r="N740" s="205" t="e">
        <v>#N/A</v>
      </c>
      <c r="O740" s="205" t="e">
        <v>#N/A</v>
      </c>
      <c r="P740" s="205" t="e">
        <v>#N/A</v>
      </c>
      <c r="Q740" s="189" t="e">
        <v>#N/A</v>
      </c>
      <c r="R740" s="189" t="e">
        <v>#N/A</v>
      </c>
      <c r="S740" s="205" t="e">
        <v>#N/A</v>
      </c>
      <c r="T740" s="206"/>
    </row>
    <row r="741">
      <c r="C741" s="189" t="e">
        <v>#N/A</v>
      </c>
      <c r="D741" s="189" t="e">
        <v>#N/A</v>
      </c>
      <c r="E741" s="189" t="e">
        <v>#N/A</v>
      </c>
      <c r="F741" s="189" t="e">
        <v>#N/A</v>
      </c>
      <c r="G741" s="189" t="e">
        <v>#N/A</v>
      </c>
      <c r="H741" s="189" t="e">
        <v>#N/A</v>
      </c>
      <c r="I741" s="189" t="e">
        <v>#N/A</v>
      </c>
      <c r="J741" s="189" t="e">
        <v>#N/A</v>
      </c>
      <c r="K741" s="204" t="e">
        <v>#N/A</v>
      </c>
      <c r="L741" s="204" t="e">
        <v>#N/A</v>
      </c>
      <c r="M741" s="205" t="e">
        <v>#N/A</v>
      </c>
      <c r="N741" s="205" t="e">
        <v>#N/A</v>
      </c>
      <c r="O741" s="205" t="e">
        <v>#N/A</v>
      </c>
      <c r="P741" s="205" t="e">
        <v>#N/A</v>
      </c>
      <c r="Q741" s="189" t="e">
        <v>#N/A</v>
      </c>
      <c r="R741" s="189" t="e">
        <v>#N/A</v>
      </c>
      <c r="S741" s="205" t="e">
        <v>#N/A</v>
      </c>
      <c r="T741" s="206"/>
    </row>
    <row r="742">
      <c r="C742" s="189" t="e">
        <v>#N/A</v>
      </c>
      <c r="D742" s="189" t="e">
        <v>#N/A</v>
      </c>
      <c r="E742" s="189" t="e">
        <v>#N/A</v>
      </c>
      <c r="F742" s="189" t="e">
        <v>#N/A</v>
      </c>
      <c r="G742" s="189" t="e">
        <v>#N/A</v>
      </c>
      <c r="H742" s="189" t="e">
        <v>#N/A</v>
      </c>
      <c r="I742" s="189" t="e">
        <v>#N/A</v>
      </c>
      <c r="J742" s="189" t="e">
        <v>#N/A</v>
      </c>
      <c r="K742" s="204" t="e">
        <v>#N/A</v>
      </c>
      <c r="L742" s="204" t="e">
        <v>#N/A</v>
      </c>
      <c r="M742" s="205" t="e">
        <v>#N/A</v>
      </c>
      <c r="N742" s="205" t="e">
        <v>#N/A</v>
      </c>
      <c r="O742" s="205" t="e">
        <v>#N/A</v>
      </c>
      <c r="P742" s="205" t="e">
        <v>#N/A</v>
      </c>
      <c r="Q742" s="189" t="e">
        <v>#N/A</v>
      </c>
      <c r="R742" s="189" t="e">
        <v>#N/A</v>
      </c>
      <c r="S742" s="205" t="e">
        <v>#N/A</v>
      </c>
      <c r="T742" s="206"/>
    </row>
    <row r="743">
      <c r="C743" s="189" t="e">
        <v>#N/A</v>
      </c>
      <c r="D743" s="189" t="e">
        <v>#N/A</v>
      </c>
      <c r="E743" s="189" t="e">
        <v>#N/A</v>
      </c>
      <c r="F743" s="189" t="e">
        <v>#N/A</v>
      </c>
      <c r="G743" s="189" t="e">
        <v>#N/A</v>
      </c>
      <c r="H743" s="189" t="e">
        <v>#N/A</v>
      </c>
      <c r="I743" s="189" t="e">
        <v>#N/A</v>
      </c>
      <c r="J743" s="189" t="e">
        <v>#N/A</v>
      </c>
      <c r="K743" s="204" t="e">
        <v>#N/A</v>
      </c>
      <c r="L743" s="204" t="e">
        <v>#N/A</v>
      </c>
      <c r="M743" s="205" t="e">
        <v>#N/A</v>
      </c>
      <c r="N743" s="205" t="e">
        <v>#N/A</v>
      </c>
      <c r="O743" s="205" t="e">
        <v>#N/A</v>
      </c>
      <c r="P743" s="205" t="e">
        <v>#N/A</v>
      </c>
      <c r="Q743" s="189" t="e">
        <v>#N/A</v>
      </c>
      <c r="R743" s="189" t="e">
        <v>#N/A</v>
      </c>
      <c r="S743" s="205" t="e">
        <v>#N/A</v>
      </c>
      <c r="T743" s="206"/>
    </row>
    <row r="744">
      <c r="C744" s="189" t="e">
        <v>#N/A</v>
      </c>
      <c r="D744" s="189" t="e">
        <v>#N/A</v>
      </c>
      <c r="E744" s="189" t="e">
        <v>#N/A</v>
      </c>
      <c r="F744" s="189" t="e">
        <v>#N/A</v>
      </c>
      <c r="G744" s="189" t="e">
        <v>#N/A</v>
      </c>
      <c r="H744" s="189" t="e">
        <v>#N/A</v>
      </c>
      <c r="I744" s="189" t="e">
        <v>#N/A</v>
      </c>
      <c r="J744" s="189" t="e">
        <v>#N/A</v>
      </c>
      <c r="K744" s="204" t="e">
        <v>#N/A</v>
      </c>
      <c r="L744" s="204" t="e">
        <v>#N/A</v>
      </c>
      <c r="M744" s="205" t="e">
        <v>#N/A</v>
      </c>
      <c r="N744" s="205" t="e">
        <v>#N/A</v>
      </c>
      <c r="O744" s="205" t="e">
        <v>#N/A</v>
      </c>
      <c r="P744" s="205" t="e">
        <v>#N/A</v>
      </c>
      <c r="Q744" s="189" t="e">
        <v>#N/A</v>
      </c>
      <c r="R744" s="189" t="e">
        <v>#N/A</v>
      </c>
      <c r="S744" s="205" t="e">
        <v>#N/A</v>
      </c>
      <c r="T744" s="206"/>
    </row>
    <row r="745">
      <c r="C745" s="189" t="e">
        <v>#N/A</v>
      </c>
      <c r="D745" s="189" t="e">
        <v>#N/A</v>
      </c>
      <c r="E745" s="189" t="e">
        <v>#N/A</v>
      </c>
      <c r="F745" s="189" t="e">
        <v>#N/A</v>
      </c>
      <c r="G745" s="189" t="e">
        <v>#N/A</v>
      </c>
      <c r="H745" s="189" t="e">
        <v>#N/A</v>
      </c>
      <c r="I745" s="189" t="e">
        <v>#N/A</v>
      </c>
      <c r="J745" s="189" t="e">
        <v>#N/A</v>
      </c>
      <c r="K745" s="204" t="e">
        <v>#N/A</v>
      </c>
      <c r="L745" s="204" t="e">
        <v>#N/A</v>
      </c>
      <c r="M745" s="205" t="e">
        <v>#N/A</v>
      </c>
      <c r="N745" s="205" t="e">
        <v>#N/A</v>
      </c>
      <c r="O745" s="205" t="e">
        <v>#N/A</v>
      </c>
      <c r="P745" s="205" t="e">
        <v>#N/A</v>
      </c>
      <c r="Q745" s="189" t="e">
        <v>#N/A</v>
      </c>
      <c r="R745" s="189" t="e">
        <v>#N/A</v>
      </c>
      <c r="S745" s="205" t="e">
        <v>#N/A</v>
      </c>
      <c r="T745" s="206"/>
    </row>
    <row r="746">
      <c r="C746" s="189" t="e">
        <v>#N/A</v>
      </c>
      <c r="D746" s="189" t="e">
        <v>#N/A</v>
      </c>
      <c r="E746" s="189" t="e">
        <v>#N/A</v>
      </c>
      <c r="F746" s="189" t="e">
        <v>#N/A</v>
      </c>
      <c r="G746" s="189" t="e">
        <v>#N/A</v>
      </c>
      <c r="H746" s="189" t="e">
        <v>#N/A</v>
      </c>
      <c r="I746" s="189" t="e">
        <v>#N/A</v>
      </c>
      <c r="J746" s="189" t="e">
        <v>#N/A</v>
      </c>
      <c r="K746" s="204" t="e">
        <v>#N/A</v>
      </c>
      <c r="L746" s="204" t="e">
        <v>#N/A</v>
      </c>
      <c r="M746" s="205" t="e">
        <v>#N/A</v>
      </c>
      <c r="N746" s="205" t="e">
        <v>#N/A</v>
      </c>
      <c r="O746" s="205" t="e">
        <v>#N/A</v>
      </c>
      <c r="P746" s="205" t="e">
        <v>#N/A</v>
      </c>
      <c r="Q746" s="189" t="e">
        <v>#N/A</v>
      </c>
      <c r="R746" s="189" t="e">
        <v>#N/A</v>
      </c>
      <c r="S746" s="205" t="e">
        <v>#N/A</v>
      </c>
      <c r="T746" s="206"/>
    </row>
    <row r="747">
      <c r="C747" s="189" t="e">
        <v>#N/A</v>
      </c>
      <c r="D747" s="189" t="e">
        <v>#N/A</v>
      </c>
      <c r="E747" s="189" t="e">
        <v>#N/A</v>
      </c>
      <c r="F747" s="189" t="e">
        <v>#N/A</v>
      </c>
      <c r="G747" s="189" t="e">
        <v>#N/A</v>
      </c>
      <c r="H747" s="189" t="e">
        <v>#N/A</v>
      </c>
      <c r="I747" s="189" t="e">
        <v>#N/A</v>
      </c>
      <c r="J747" s="189" t="e">
        <v>#N/A</v>
      </c>
      <c r="K747" s="204" t="e">
        <v>#N/A</v>
      </c>
      <c r="L747" s="204" t="e">
        <v>#N/A</v>
      </c>
      <c r="M747" s="205" t="e">
        <v>#N/A</v>
      </c>
      <c r="N747" s="205" t="e">
        <v>#N/A</v>
      </c>
      <c r="O747" s="205" t="e">
        <v>#N/A</v>
      </c>
      <c r="P747" s="205" t="e">
        <v>#N/A</v>
      </c>
      <c r="Q747" s="189" t="e">
        <v>#N/A</v>
      </c>
      <c r="R747" s="189" t="e">
        <v>#N/A</v>
      </c>
      <c r="S747" s="205" t="e">
        <v>#N/A</v>
      </c>
      <c r="T747" s="206"/>
    </row>
    <row r="748">
      <c r="C748" s="189" t="e">
        <v>#N/A</v>
      </c>
      <c r="D748" s="189" t="e">
        <v>#N/A</v>
      </c>
      <c r="E748" s="189" t="e">
        <v>#N/A</v>
      </c>
      <c r="F748" s="189" t="e">
        <v>#N/A</v>
      </c>
      <c r="G748" s="189" t="e">
        <v>#N/A</v>
      </c>
      <c r="H748" s="189" t="e">
        <v>#N/A</v>
      </c>
      <c r="I748" s="189" t="e">
        <v>#N/A</v>
      </c>
      <c r="J748" s="189" t="e">
        <v>#N/A</v>
      </c>
      <c r="K748" s="204" t="e">
        <v>#N/A</v>
      </c>
      <c r="L748" s="204" t="e">
        <v>#N/A</v>
      </c>
      <c r="M748" s="205" t="e">
        <v>#N/A</v>
      </c>
      <c r="N748" s="205" t="e">
        <v>#N/A</v>
      </c>
      <c r="O748" s="205" t="e">
        <v>#N/A</v>
      </c>
      <c r="P748" s="205" t="e">
        <v>#N/A</v>
      </c>
      <c r="Q748" s="189" t="e">
        <v>#N/A</v>
      </c>
      <c r="R748" s="189" t="e">
        <v>#N/A</v>
      </c>
      <c r="S748" s="205" t="e">
        <v>#N/A</v>
      </c>
      <c r="T748" s="206"/>
    </row>
    <row r="749">
      <c r="C749" s="189" t="e">
        <v>#N/A</v>
      </c>
      <c r="D749" s="189" t="e">
        <v>#N/A</v>
      </c>
      <c r="E749" s="189" t="e">
        <v>#N/A</v>
      </c>
      <c r="F749" s="189" t="e">
        <v>#N/A</v>
      </c>
      <c r="G749" s="189" t="e">
        <v>#N/A</v>
      </c>
      <c r="H749" s="189" t="e">
        <v>#N/A</v>
      </c>
      <c r="I749" s="189" t="e">
        <v>#N/A</v>
      </c>
      <c r="J749" s="189" t="e">
        <v>#N/A</v>
      </c>
      <c r="K749" s="204" t="e">
        <v>#N/A</v>
      </c>
      <c r="L749" s="204" t="e">
        <v>#N/A</v>
      </c>
      <c r="M749" s="205" t="e">
        <v>#N/A</v>
      </c>
      <c r="N749" s="205" t="e">
        <v>#N/A</v>
      </c>
      <c r="O749" s="205" t="e">
        <v>#N/A</v>
      </c>
      <c r="P749" s="205" t="e">
        <v>#N/A</v>
      </c>
      <c r="Q749" s="189" t="e">
        <v>#N/A</v>
      </c>
      <c r="R749" s="189" t="e">
        <v>#N/A</v>
      </c>
      <c r="S749" s="205" t="e">
        <v>#N/A</v>
      </c>
      <c r="T749" s="206"/>
    </row>
    <row r="750">
      <c r="C750" s="189" t="e">
        <v>#N/A</v>
      </c>
      <c r="D750" s="189" t="e">
        <v>#N/A</v>
      </c>
      <c r="E750" s="189" t="e">
        <v>#N/A</v>
      </c>
      <c r="F750" s="189" t="e">
        <v>#N/A</v>
      </c>
      <c r="G750" s="189" t="e">
        <v>#N/A</v>
      </c>
      <c r="H750" s="189" t="e">
        <v>#N/A</v>
      </c>
      <c r="I750" s="189" t="e">
        <v>#N/A</v>
      </c>
      <c r="J750" s="189" t="e">
        <v>#N/A</v>
      </c>
      <c r="K750" s="204" t="e">
        <v>#N/A</v>
      </c>
      <c r="L750" s="204" t="e">
        <v>#N/A</v>
      </c>
      <c r="M750" s="205" t="e">
        <v>#N/A</v>
      </c>
      <c r="N750" s="205" t="e">
        <v>#N/A</v>
      </c>
      <c r="O750" s="205" t="e">
        <v>#N/A</v>
      </c>
      <c r="P750" s="205" t="e">
        <v>#N/A</v>
      </c>
      <c r="Q750" s="189" t="e">
        <v>#N/A</v>
      </c>
      <c r="R750" s="189" t="e">
        <v>#N/A</v>
      </c>
      <c r="S750" s="205" t="e">
        <v>#N/A</v>
      </c>
      <c r="T750" s="206"/>
    </row>
    <row r="751">
      <c r="C751" s="189" t="e">
        <v>#N/A</v>
      </c>
      <c r="D751" s="189" t="e">
        <v>#N/A</v>
      </c>
      <c r="E751" s="189" t="e">
        <v>#N/A</v>
      </c>
      <c r="F751" s="189" t="e">
        <v>#N/A</v>
      </c>
      <c r="G751" s="189" t="e">
        <v>#N/A</v>
      </c>
      <c r="H751" s="189" t="e">
        <v>#N/A</v>
      </c>
      <c r="I751" s="189" t="e">
        <v>#N/A</v>
      </c>
      <c r="J751" s="189" t="e">
        <v>#N/A</v>
      </c>
      <c r="K751" s="204" t="e">
        <v>#N/A</v>
      </c>
      <c r="L751" s="204" t="e">
        <v>#N/A</v>
      </c>
      <c r="M751" s="205" t="e">
        <v>#N/A</v>
      </c>
      <c r="N751" s="205" t="e">
        <v>#N/A</v>
      </c>
      <c r="O751" s="205" t="e">
        <v>#N/A</v>
      </c>
      <c r="P751" s="205" t="e">
        <v>#N/A</v>
      </c>
      <c r="Q751" s="189" t="e">
        <v>#N/A</v>
      </c>
      <c r="R751" s="189" t="e">
        <v>#N/A</v>
      </c>
      <c r="S751" s="205" t="e">
        <v>#N/A</v>
      </c>
      <c r="T751" s="206"/>
    </row>
    <row r="752">
      <c r="C752" s="189" t="e">
        <v>#N/A</v>
      </c>
      <c r="D752" s="189" t="e">
        <v>#N/A</v>
      </c>
      <c r="E752" s="189" t="e">
        <v>#N/A</v>
      </c>
      <c r="F752" s="189" t="e">
        <v>#N/A</v>
      </c>
      <c r="G752" s="189" t="e">
        <v>#N/A</v>
      </c>
      <c r="H752" s="189" t="e">
        <v>#N/A</v>
      </c>
      <c r="I752" s="189" t="e">
        <v>#N/A</v>
      </c>
      <c r="J752" s="189" t="e">
        <v>#N/A</v>
      </c>
      <c r="K752" s="204" t="e">
        <v>#N/A</v>
      </c>
      <c r="L752" s="204" t="e">
        <v>#N/A</v>
      </c>
      <c r="M752" s="205" t="e">
        <v>#N/A</v>
      </c>
      <c r="N752" s="205" t="e">
        <v>#N/A</v>
      </c>
      <c r="O752" s="205" t="e">
        <v>#N/A</v>
      </c>
      <c r="P752" s="205" t="e">
        <v>#N/A</v>
      </c>
      <c r="Q752" s="189" t="e">
        <v>#N/A</v>
      </c>
      <c r="R752" s="189" t="e">
        <v>#N/A</v>
      </c>
      <c r="S752" s="205" t="e">
        <v>#N/A</v>
      </c>
      <c r="T752" s="206"/>
    </row>
    <row r="753">
      <c r="C753" s="189" t="e">
        <v>#N/A</v>
      </c>
      <c r="D753" s="189" t="e">
        <v>#N/A</v>
      </c>
      <c r="E753" s="189" t="e">
        <v>#N/A</v>
      </c>
      <c r="F753" s="189" t="e">
        <v>#N/A</v>
      </c>
      <c r="G753" s="189" t="e">
        <v>#N/A</v>
      </c>
      <c r="H753" s="189" t="e">
        <v>#N/A</v>
      </c>
      <c r="I753" s="189" t="e">
        <v>#N/A</v>
      </c>
      <c r="J753" s="189" t="e">
        <v>#N/A</v>
      </c>
      <c r="K753" s="204" t="e">
        <v>#N/A</v>
      </c>
      <c r="L753" s="204" t="e">
        <v>#N/A</v>
      </c>
      <c r="M753" s="205" t="e">
        <v>#N/A</v>
      </c>
      <c r="N753" s="205" t="e">
        <v>#N/A</v>
      </c>
      <c r="O753" s="205" t="e">
        <v>#N/A</v>
      </c>
      <c r="P753" s="205" t="e">
        <v>#N/A</v>
      </c>
      <c r="Q753" s="189" t="e">
        <v>#N/A</v>
      </c>
      <c r="R753" s="189" t="e">
        <v>#N/A</v>
      </c>
      <c r="S753" s="205" t="e">
        <v>#N/A</v>
      </c>
      <c r="T753" s="206"/>
    </row>
    <row r="754">
      <c r="C754" s="189" t="e">
        <v>#N/A</v>
      </c>
      <c r="D754" s="189" t="e">
        <v>#N/A</v>
      </c>
      <c r="E754" s="189" t="e">
        <v>#N/A</v>
      </c>
      <c r="F754" s="189" t="e">
        <v>#N/A</v>
      </c>
      <c r="G754" s="189" t="e">
        <v>#N/A</v>
      </c>
      <c r="H754" s="189" t="e">
        <v>#N/A</v>
      </c>
      <c r="I754" s="189" t="e">
        <v>#N/A</v>
      </c>
      <c r="J754" s="189" t="e">
        <v>#N/A</v>
      </c>
      <c r="K754" s="204" t="e">
        <v>#N/A</v>
      </c>
      <c r="L754" s="204" t="e">
        <v>#N/A</v>
      </c>
      <c r="M754" s="205" t="e">
        <v>#N/A</v>
      </c>
      <c r="N754" s="205" t="e">
        <v>#N/A</v>
      </c>
      <c r="O754" s="205" t="e">
        <v>#N/A</v>
      </c>
      <c r="P754" s="205" t="e">
        <v>#N/A</v>
      </c>
      <c r="Q754" s="189" t="e">
        <v>#N/A</v>
      </c>
      <c r="R754" s="189" t="e">
        <v>#N/A</v>
      </c>
      <c r="S754" s="205" t="e">
        <v>#N/A</v>
      </c>
      <c r="T754" s="206"/>
    </row>
    <row r="755">
      <c r="C755" s="189" t="e">
        <v>#N/A</v>
      </c>
      <c r="D755" s="189" t="e">
        <v>#N/A</v>
      </c>
      <c r="E755" s="189" t="e">
        <v>#N/A</v>
      </c>
      <c r="F755" s="189" t="e">
        <v>#N/A</v>
      </c>
      <c r="G755" s="189" t="e">
        <v>#N/A</v>
      </c>
      <c r="H755" s="189" t="e">
        <v>#N/A</v>
      </c>
      <c r="I755" s="189" t="e">
        <v>#N/A</v>
      </c>
      <c r="J755" s="189" t="e">
        <v>#N/A</v>
      </c>
      <c r="K755" s="204" t="e">
        <v>#N/A</v>
      </c>
      <c r="L755" s="204" t="e">
        <v>#N/A</v>
      </c>
      <c r="M755" s="205" t="e">
        <v>#N/A</v>
      </c>
      <c r="N755" s="205" t="e">
        <v>#N/A</v>
      </c>
      <c r="O755" s="205" t="e">
        <v>#N/A</v>
      </c>
      <c r="P755" s="205" t="e">
        <v>#N/A</v>
      </c>
      <c r="Q755" s="189" t="e">
        <v>#N/A</v>
      </c>
      <c r="R755" s="189" t="e">
        <v>#N/A</v>
      </c>
      <c r="S755" s="205" t="e">
        <v>#N/A</v>
      </c>
      <c r="T755" s="206"/>
    </row>
    <row r="756">
      <c r="C756" s="189" t="e">
        <v>#N/A</v>
      </c>
      <c r="D756" s="189" t="e">
        <v>#N/A</v>
      </c>
      <c r="E756" s="189" t="e">
        <v>#N/A</v>
      </c>
      <c r="F756" s="189" t="e">
        <v>#N/A</v>
      </c>
      <c r="G756" s="189" t="e">
        <v>#N/A</v>
      </c>
      <c r="H756" s="189" t="e">
        <v>#N/A</v>
      </c>
      <c r="I756" s="189" t="e">
        <v>#N/A</v>
      </c>
      <c r="J756" s="189" t="e">
        <v>#N/A</v>
      </c>
      <c r="K756" s="204" t="e">
        <v>#N/A</v>
      </c>
      <c r="L756" s="204" t="e">
        <v>#N/A</v>
      </c>
      <c r="M756" s="205" t="e">
        <v>#N/A</v>
      </c>
      <c r="N756" s="205" t="e">
        <v>#N/A</v>
      </c>
      <c r="O756" s="205" t="e">
        <v>#N/A</v>
      </c>
      <c r="P756" s="205" t="e">
        <v>#N/A</v>
      </c>
      <c r="Q756" s="189" t="e">
        <v>#N/A</v>
      </c>
      <c r="R756" s="189" t="e">
        <v>#N/A</v>
      </c>
      <c r="S756" s="205" t="e">
        <v>#N/A</v>
      </c>
      <c r="T756" s="206"/>
    </row>
    <row r="757">
      <c r="C757" s="189" t="e">
        <v>#N/A</v>
      </c>
      <c r="D757" s="189" t="e">
        <v>#N/A</v>
      </c>
      <c r="E757" s="189" t="e">
        <v>#N/A</v>
      </c>
      <c r="F757" s="189" t="e">
        <v>#N/A</v>
      </c>
      <c r="G757" s="189" t="e">
        <v>#N/A</v>
      </c>
      <c r="H757" s="189" t="e">
        <v>#N/A</v>
      </c>
      <c r="I757" s="189" t="e">
        <v>#N/A</v>
      </c>
      <c r="J757" s="189" t="e">
        <v>#N/A</v>
      </c>
      <c r="K757" s="204" t="e">
        <v>#N/A</v>
      </c>
      <c r="L757" s="204" t="e">
        <v>#N/A</v>
      </c>
      <c r="M757" s="205" t="e">
        <v>#N/A</v>
      </c>
      <c r="N757" s="205" t="e">
        <v>#N/A</v>
      </c>
      <c r="O757" s="205" t="e">
        <v>#N/A</v>
      </c>
      <c r="P757" s="205" t="e">
        <v>#N/A</v>
      </c>
      <c r="Q757" s="189" t="e">
        <v>#N/A</v>
      </c>
      <c r="R757" s="189" t="e">
        <v>#N/A</v>
      </c>
      <c r="S757" s="205" t="e">
        <v>#N/A</v>
      </c>
      <c r="T757" s="206"/>
    </row>
    <row r="758">
      <c r="C758" s="189" t="e">
        <v>#N/A</v>
      </c>
      <c r="D758" s="189" t="e">
        <v>#N/A</v>
      </c>
      <c r="E758" s="189" t="e">
        <v>#N/A</v>
      </c>
      <c r="F758" s="189" t="e">
        <v>#N/A</v>
      </c>
      <c r="G758" s="189" t="e">
        <v>#N/A</v>
      </c>
      <c r="H758" s="189" t="e">
        <v>#N/A</v>
      </c>
      <c r="I758" s="189" t="e">
        <v>#N/A</v>
      </c>
      <c r="J758" s="189" t="e">
        <v>#N/A</v>
      </c>
      <c r="K758" s="204" t="e">
        <v>#N/A</v>
      </c>
      <c r="L758" s="204" t="e">
        <v>#N/A</v>
      </c>
      <c r="M758" s="205" t="e">
        <v>#N/A</v>
      </c>
      <c r="N758" s="205" t="e">
        <v>#N/A</v>
      </c>
      <c r="O758" s="205" t="e">
        <v>#N/A</v>
      </c>
      <c r="P758" s="205" t="e">
        <v>#N/A</v>
      </c>
      <c r="Q758" s="189" t="e">
        <v>#N/A</v>
      </c>
      <c r="R758" s="189" t="e">
        <v>#N/A</v>
      </c>
      <c r="S758" s="205" t="e">
        <v>#N/A</v>
      </c>
      <c r="T758" s="206"/>
    </row>
    <row r="759">
      <c r="C759" s="189" t="e">
        <v>#N/A</v>
      </c>
      <c r="D759" s="189" t="e">
        <v>#N/A</v>
      </c>
      <c r="E759" s="189" t="e">
        <v>#N/A</v>
      </c>
      <c r="F759" s="189" t="e">
        <v>#N/A</v>
      </c>
      <c r="G759" s="189" t="e">
        <v>#N/A</v>
      </c>
      <c r="H759" s="189" t="e">
        <v>#N/A</v>
      </c>
      <c r="I759" s="189" t="e">
        <v>#N/A</v>
      </c>
      <c r="J759" s="189" t="e">
        <v>#N/A</v>
      </c>
      <c r="K759" s="204" t="e">
        <v>#N/A</v>
      </c>
      <c r="L759" s="204" t="e">
        <v>#N/A</v>
      </c>
      <c r="M759" s="205" t="e">
        <v>#N/A</v>
      </c>
      <c r="N759" s="205" t="e">
        <v>#N/A</v>
      </c>
      <c r="O759" s="205" t="e">
        <v>#N/A</v>
      </c>
      <c r="P759" s="205" t="e">
        <v>#N/A</v>
      </c>
      <c r="Q759" s="189" t="e">
        <v>#N/A</v>
      </c>
      <c r="R759" s="189" t="e">
        <v>#N/A</v>
      </c>
      <c r="S759" s="205" t="e">
        <v>#N/A</v>
      </c>
      <c r="T759" s="206"/>
    </row>
    <row r="760">
      <c r="C760" s="189" t="e">
        <v>#N/A</v>
      </c>
      <c r="D760" s="189" t="e">
        <v>#N/A</v>
      </c>
      <c r="E760" s="189" t="e">
        <v>#N/A</v>
      </c>
      <c r="F760" s="189" t="e">
        <v>#N/A</v>
      </c>
      <c r="G760" s="189" t="e">
        <v>#N/A</v>
      </c>
      <c r="H760" s="189" t="e">
        <v>#N/A</v>
      </c>
      <c r="I760" s="189" t="e">
        <v>#N/A</v>
      </c>
      <c r="J760" s="189" t="e">
        <v>#N/A</v>
      </c>
      <c r="K760" s="204" t="e">
        <v>#N/A</v>
      </c>
      <c r="L760" s="204" t="e">
        <v>#N/A</v>
      </c>
      <c r="M760" s="205" t="e">
        <v>#N/A</v>
      </c>
      <c r="N760" s="205" t="e">
        <v>#N/A</v>
      </c>
      <c r="O760" s="205" t="e">
        <v>#N/A</v>
      </c>
      <c r="P760" s="205" t="e">
        <v>#N/A</v>
      </c>
      <c r="Q760" s="189" t="e">
        <v>#N/A</v>
      </c>
      <c r="R760" s="189" t="e">
        <v>#N/A</v>
      </c>
      <c r="S760" s="205" t="e">
        <v>#N/A</v>
      </c>
      <c r="T760" s="206"/>
    </row>
    <row r="761">
      <c r="C761" s="189" t="e">
        <v>#N/A</v>
      </c>
      <c r="D761" s="189" t="e">
        <v>#N/A</v>
      </c>
      <c r="E761" s="189" t="e">
        <v>#N/A</v>
      </c>
      <c r="F761" s="189" t="e">
        <v>#N/A</v>
      </c>
      <c r="G761" s="189" t="e">
        <v>#N/A</v>
      </c>
      <c r="H761" s="189" t="e">
        <v>#N/A</v>
      </c>
      <c r="I761" s="189" t="e">
        <v>#N/A</v>
      </c>
      <c r="J761" s="189" t="e">
        <v>#N/A</v>
      </c>
      <c r="K761" s="204" t="e">
        <v>#N/A</v>
      </c>
      <c r="L761" s="204" t="e">
        <v>#N/A</v>
      </c>
      <c r="M761" s="205" t="e">
        <v>#N/A</v>
      </c>
      <c r="N761" s="205" t="e">
        <v>#N/A</v>
      </c>
      <c r="O761" s="205" t="e">
        <v>#N/A</v>
      </c>
      <c r="P761" s="205" t="e">
        <v>#N/A</v>
      </c>
      <c r="Q761" s="189" t="e">
        <v>#N/A</v>
      </c>
      <c r="R761" s="189" t="e">
        <v>#N/A</v>
      </c>
      <c r="S761" s="205" t="e">
        <v>#N/A</v>
      </c>
      <c r="T761" s="206"/>
    </row>
    <row r="762">
      <c r="C762" s="189" t="e">
        <v>#N/A</v>
      </c>
      <c r="D762" s="189" t="e">
        <v>#N/A</v>
      </c>
      <c r="E762" s="189" t="e">
        <v>#N/A</v>
      </c>
      <c r="F762" s="189" t="e">
        <v>#N/A</v>
      </c>
      <c r="G762" s="189" t="e">
        <v>#N/A</v>
      </c>
      <c r="H762" s="189" t="e">
        <v>#N/A</v>
      </c>
      <c r="I762" s="189" t="e">
        <v>#N/A</v>
      </c>
      <c r="J762" s="189" t="e">
        <v>#N/A</v>
      </c>
      <c r="K762" s="204" t="e">
        <v>#N/A</v>
      </c>
      <c r="L762" s="204" t="e">
        <v>#N/A</v>
      </c>
      <c r="M762" s="205" t="e">
        <v>#N/A</v>
      </c>
      <c r="N762" s="205" t="e">
        <v>#N/A</v>
      </c>
      <c r="O762" s="205" t="e">
        <v>#N/A</v>
      </c>
      <c r="P762" s="205" t="e">
        <v>#N/A</v>
      </c>
      <c r="Q762" s="189" t="e">
        <v>#N/A</v>
      </c>
      <c r="R762" s="189" t="e">
        <v>#N/A</v>
      </c>
      <c r="S762" s="205" t="e">
        <v>#N/A</v>
      </c>
      <c r="T762" s="206"/>
    </row>
    <row r="763">
      <c r="C763" s="189" t="e">
        <v>#N/A</v>
      </c>
      <c r="D763" s="189" t="e">
        <v>#N/A</v>
      </c>
      <c r="E763" s="189" t="e">
        <v>#N/A</v>
      </c>
      <c r="F763" s="189" t="e">
        <v>#N/A</v>
      </c>
      <c r="G763" s="189" t="e">
        <v>#N/A</v>
      </c>
      <c r="H763" s="189" t="e">
        <v>#N/A</v>
      </c>
      <c r="I763" s="189" t="e">
        <v>#N/A</v>
      </c>
      <c r="J763" s="189" t="e">
        <v>#N/A</v>
      </c>
      <c r="K763" s="204" t="e">
        <v>#N/A</v>
      </c>
      <c r="L763" s="204" t="e">
        <v>#N/A</v>
      </c>
      <c r="M763" s="205" t="e">
        <v>#N/A</v>
      </c>
      <c r="N763" s="205" t="e">
        <v>#N/A</v>
      </c>
      <c r="O763" s="205" t="e">
        <v>#N/A</v>
      </c>
      <c r="P763" s="205" t="e">
        <v>#N/A</v>
      </c>
      <c r="Q763" s="189" t="e">
        <v>#N/A</v>
      </c>
      <c r="R763" s="189" t="e">
        <v>#N/A</v>
      </c>
      <c r="S763" s="205" t="e">
        <v>#N/A</v>
      </c>
      <c r="T763" s="206"/>
    </row>
    <row r="764">
      <c r="C764" s="189" t="e">
        <v>#N/A</v>
      </c>
      <c r="D764" s="189" t="e">
        <v>#N/A</v>
      </c>
      <c r="E764" s="189" t="e">
        <v>#N/A</v>
      </c>
      <c r="F764" s="189" t="e">
        <v>#N/A</v>
      </c>
      <c r="G764" s="189" t="e">
        <v>#N/A</v>
      </c>
      <c r="H764" s="189" t="e">
        <v>#N/A</v>
      </c>
      <c r="I764" s="189" t="e">
        <v>#N/A</v>
      </c>
      <c r="J764" s="189" t="e">
        <v>#N/A</v>
      </c>
      <c r="K764" s="204" t="e">
        <v>#N/A</v>
      </c>
      <c r="L764" s="204" t="e">
        <v>#N/A</v>
      </c>
      <c r="M764" s="205" t="e">
        <v>#N/A</v>
      </c>
      <c r="N764" s="205" t="e">
        <v>#N/A</v>
      </c>
      <c r="O764" s="205" t="e">
        <v>#N/A</v>
      </c>
      <c r="P764" s="205" t="e">
        <v>#N/A</v>
      </c>
      <c r="Q764" s="189" t="e">
        <v>#N/A</v>
      </c>
      <c r="R764" s="189" t="e">
        <v>#N/A</v>
      </c>
      <c r="S764" s="205" t="e">
        <v>#N/A</v>
      </c>
      <c r="T764" s="206"/>
    </row>
    <row r="765">
      <c r="C765" s="189" t="e">
        <v>#N/A</v>
      </c>
      <c r="D765" s="189" t="e">
        <v>#N/A</v>
      </c>
      <c r="E765" s="189" t="e">
        <v>#N/A</v>
      </c>
      <c r="F765" s="189" t="e">
        <v>#N/A</v>
      </c>
      <c r="G765" s="189" t="e">
        <v>#N/A</v>
      </c>
      <c r="H765" s="189" t="e">
        <v>#N/A</v>
      </c>
      <c r="I765" s="189" t="e">
        <v>#N/A</v>
      </c>
      <c r="J765" s="189" t="e">
        <v>#N/A</v>
      </c>
      <c r="K765" s="204" t="e">
        <v>#N/A</v>
      </c>
      <c r="L765" s="204" t="e">
        <v>#N/A</v>
      </c>
      <c r="M765" s="205" t="e">
        <v>#N/A</v>
      </c>
      <c r="N765" s="205" t="e">
        <v>#N/A</v>
      </c>
      <c r="O765" s="205" t="e">
        <v>#N/A</v>
      </c>
      <c r="P765" s="205" t="e">
        <v>#N/A</v>
      </c>
      <c r="Q765" s="189" t="e">
        <v>#N/A</v>
      </c>
      <c r="R765" s="189" t="e">
        <v>#N/A</v>
      </c>
      <c r="S765" s="205" t="e">
        <v>#N/A</v>
      </c>
      <c r="T765" s="206"/>
    </row>
    <row r="766">
      <c r="C766" s="189" t="e">
        <v>#N/A</v>
      </c>
      <c r="D766" s="189" t="e">
        <v>#N/A</v>
      </c>
      <c r="E766" s="189" t="e">
        <v>#N/A</v>
      </c>
      <c r="F766" s="189" t="e">
        <v>#N/A</v>
      </c>
      <c r="G766" s="189" t="e">
        <v>#N/A</v>
      </c>
      <c r="H766" s="189" t="e">
        <v>#N/A</v>
      </c>
      <c r="I766" s="189" t="e">
        <v>#N/A</v>
      </c>
      <c r="J766" s="189" t="e">
        <v>#N/A</v>
      </c>
      <c r="K766" s="204" t="e">
        <v>#N/A</v>
      </c>
      <c r="L766" s="204" t="e">
        <v>#N/A</v>
      </c>
      <c r="M766" s="205" t="e">
        <v>#N/A</v>
      </c>
      <c r="N766" s="205" t="e">
        <v>#N/A</v>
      </c>
      <c r="O766" s="205" t="e">
        <v>#N/A</v>
      </c>
      <c r="P766" s="205" t="e">
        <v>#N/A</v>
      </c>
      <c r="Q766" s="189" t="e">
        <v>#N/A</v>
      </c>
      <c r="R766" s="189" t="e">
        <v>#N/A</v>
      </c>
      <c r="S766" s="205" t="e">
        <v>#N/A</v>
      </c>
      <c r="T766" s="206"/>
    </row>
    <row r="767">
      <c r="C767" s="189" t="e">
        <v>#N/A</v>
      </c>
      <c r="D767" s="189" t="e">
        <v>#N/A</v>
      </c>
      <c r="E767" s="189" t="e">
        <v>#N/A</v>
      </c>
      <c r="F767" s="189" t="e">
        <v>#N/A</v>
      </c>
      <c r="G767" s="189" t="e">
        <v>#N/A</v>
      </c>
      <c r="H767" s="189" t="e">
        <v>#N/A</v>
      </c>
      <c r="I767" s="189" t="e">
        <v>#N/A</v>
      </c>
      <c r="J767" s="189" t="e">
        <v>#N/A</v>
      </c>
      <c r="K767" s="204" t="e">
        <v>#N/A</v>
      </c>
      <c r="L767" s="204" t="e">
        <v>#N/A</v>
      </c>
      <c r="M767" s="205" t="e">
        <v>#N/A</v>
      </c>
      <c r="N767" s="205" t="e">
        <v>#N/A</v>
      </c>
      <c r="O767" s="205" t="e">
        <v>#N/A</v>
      </c>
      <c r="P767" s="205" t="e">
        <v>#N/A</v>
      </c>
      <c r="Q767" s="189" t="e">
        <v>#N/A</v>
      </c>
      <c r="R767" s="189" t="e">
        <v>#N/A</v>
      </c>
      <c r="S767" s="205" t="e">
        <v>#N/A</v>
      </c>
      <c r="T767" s="206"/>
    </row>
    <row r="768">
      <c r="C768" s="189" t="e">
        <v>#N/A</v>
      </c>
      <c r="D768" s="189" t="e">
        <v>#N/A</v>
      </c>
      <c r="E768" s="189" t="e">
        <v>#N/A</v>
      </c>
      <c r="F768" s="189" t="e">
        <v>#N/A</v>
      </c>
      <c r="G768" s="189" t="e">
        <v>#N/A</v>
      </c>
      <c r="H768" s="189" t="e">
        <v>#N/A</v>
      </c>
      <c r="I768" s="189" t="e">
        <v>#N/A</v>
      </c>
      <c r="J768" s="189" t="e">
        <v>#N/A</v>
      </c>
      <c r="K768" s="204" t="e">
        <v>#N/A</v>
      </c>
      <c r="L768" s="204" t="e">
        <v>#N/A</v>
      </c>
      <c r="M768" s="205" t="e">
        <v>#N/A</v>
      </c>
      <c r="N768" s="205" t="e">
        <v>#N/A</v>
      </c>
      <c r="O768" s="205" t="e">
        <v>#N/A</v>
      </c>
      <c r="P768" s="205" t="e">
        <v>#N/A</v>
      </c>
      <c r="Q768" s="189" t="e">
        <v>#N/A</v>
      </c>
      <c r="R768" s="189" t="e">
        <v>#N/A</v>
      </c>
      <c r="S768" s="205" t="e">
        <v>#N/A</v>
      </c>
      <c r="T768" s="206"/>
    </row>
    <row r="769">
      <c r="C769" s="189" t="e">
        <v>#N/A</v>
      </c>
      <c r="D769" s="189" t="e">
        <v>#N/A</v>
      </c>
      <c r="E769" s="189" t="e">
        <v>#N/A</v>
      </c>
      <c r="F769" s="189" t="e">
        <v>#N/A</v>
      </c>
      <c r="G769" s="189" t="e">
        <v>#N/A</v>
      </c>
      <c r="H769" s="189" t="e">
        <v>#N/A</v>
      </c>
      <c r="I769" s="189" t="e">
        <v>#N/A</v>
      </c>
      <c r="J769" s="189" t="e">
        <v>#N/A</v>
      </c>
      <c r="K769" s="204" t="e">
        <v>#N/A</v>
      </c>
      <c r="L769" s="204" t="e">
        <v>#N/A</v>
      </c>
      <c r="M769" s="205" t="e">
        <v>#N/A</v>
      </c>
      <c r="N769" s="205" t="e">
        <v>#N/A</v>
      </c>
      <c r="O769" s="205" t="e">
        <v>#N/A</v>
      </c>
      <c r="P769" s="205" t="e">
        <v>#N/A</v>
      </c>
      <c r="Q769" s="189" t="e">
        <v>#N/A</v>
      </c>
      <c r="R769" s="189" t="e">
        <v>#N/A</v>
      </c>
      <c r="S769" s="205" t="e">
        <v>#N/A</v>
      </c>
      <c r="T769" s="206"/>
    </row>
    <row r="770">
      <c r="C770" s="189" t="e">
        <v>#N/A</v>
      </c>
      <c r="D770" s="189" t="e">
        <v>#N/A</v>
      </c>
      <c r="E770" s="189" t="e">
        <v>#N/A</v>
      </c>
      <c r="F770" s="189" t="e">
        <v>#N/A</v>
      </c>
      <c r="G770" s="189" t="e">
        <v>#N/A</v>
      </c>
      <c r="H770" s="189" t="e">
        <v>#N/A</v>
      </c>
      <c r="I770" s="189" t="e">
        <v>#N/A</v>
      </c>
      <c r="J770" s="189" t="e">
        <v>#N/A</v>
      </c>
      <c r="K770" s="204" t="e">
        <v>#N/A</v>
      </c>
      <c r="L770" s="204" t="e">
        <v>#N/A</v>
      </c>
      <c r="M770" s="205" t="e">
        <v>#N/A</v>
      </c>
      <c r="N770" s="205" t="e">
        <v>#N/A</v>
      </c>
      <c r="O770" s="205" t="e">
        <v>#N/A</v>
      </c>
      <c r="P770" s="205" t="e">
        <v>#N/A</v>
      </c>
      <c r="Q770" s="189" t="e">
        <v>#N/A</v>
      </c>
      <c r="R770" s="189" t="e">
        <v>#N/A</v>
      </c>
      <c r="S770" s="205" t="e">
        <v>#N/A</v>
      </c>
      <c r="T770" s="206"/>
    </row>
    <row r="771">
      <c r="C771" s="189" t="e">
        <v>#N/A</v>
      </c>
      <c r="D771" s="189" t="e">
        <v>#N/A</v>
      </c>
      <c r="E771" s="189" t="e">
        <v>#N/A</v>
      </c>
      <c r="F771" s="189" t="e">
        <v>#N/A</v>
      </c>
      <c r="G771" s="189" t="e">
        <v>#N/A</v>
      </c>
      <c r="H771" s="189" t="e">
        <v>#N/A</v>
      </c>
      <c r="I771" s="189" t="e">
        <v>#N/A</v>
      </c>
      <c r="J771" s="189" t="e">
        <v>#N/A</v>
      </c>
      <c r="K771" s="204" t="e">
        <v>#N/A</v>
      </c>
      <c r="L771" s="204" t="e">
        <v>#N/A</v>
      </c>
      <c r="M771" s="205" t="e">
        <v>#N/A</v>
      </c>
      <c r="N771" s="205" t="e">
        <v>#N/A</v>
      </c>
      <c r="O771" s="205" t="e">
        <v>#N/A</v>
      </c>
      <c r="P771" s="205" t="e">
        <v>#N/A</v>
      </c>
      <c r="Q771" s="189" t="e">
        <v>#N/A</v>
      </c>
      <c r="R771" s="189" t="e">
        <v>#N/A</v>
      </c>
      <c r="S771" s="205" t="e">
        <v>#N/A</v>
      </c>
      <c r="T771" s="206"/>
    </row>
    <row r="772">
      <c r="C772" s="189" t="e">
        <v>#N/A</v>
      </c>
      <c r="D772" s="189" t="e">
        <v>#N/A</v>
      </c>
      <c r="E772" s="189" t="e">
        <v>#N/A</v>
      </c>
      <c r="F772" s="189" t="e">
        <v>#N/A</v>
      </c>
      <c r="G772" s="189" t="e">
        <v>#N/A</v>
      </c>
      <c r="H772" s="189" t="e">
        <v>#N/A</v>
      </c>
      <c r="I772" s="189" t="e">
        <v>#N/A</v>
      </c>
      <c r="J772" s="189" t="e">
        <v>#N/A</v>
      </c>
      <c r="K772" s="204" t="e">
        <v>#N/A</v>
      </c>
      <c r="L772" s="204" t="e">
        <v>#N/A</v>
      </c>
      <c r="M772" s="205" t="e">
        <v>#N/A</v>
      </c>
      <c r="N772" s="205" t="e">
        <v>#N/A</v>
      </c>
      <c r="O772" s="205" t="e">
        <v>#N/A</v>
      </c>
      <c r="P772" s="205" t="e">
        <v>#N/A</v>
      </c>
      <c r="Q772" s="189" t="e">
        <v>#N/A</v>
      </c>
      <c r="R772" s="189" t="e">
        <v>#N/A</v>
      </c>
      <c r="S772" s="205" t="e">
        <v>#N/A</v>
      </c>
      <c r="T772" s="206"/>
    </row>
    <row r="773">
      <c r="C773" s="189" t="e">
        <v>#N/A</v>
      </c>
      <c r="D773" s="189" t="e">
        <v>#N/A</v>
      </c>
      <c r="E773" s="189" t="e">
        <v>#N/A</v>
      </c>
      <c r="F773" s="189" t="e">
        <v>#N/A</v>
      </c>
      <c r="G773" s="189" t="e">
        <v>#N/A</v>
      </c>
      <c r="H773" s="189" t="e">
        <v>#N/A</v>
      </c>
      <c r="I773" s="189" t="e">
        <v>#N/A</v>
      </c>
      <c r="J773" s="189" t="e">
        <v>#N/A</v>
      </c>
      <c r="K773" s="204" t="e">
        <v>#N/A</v>
      </c>
      <c r="L773" s="204" t="e">
        <v>#N/A</v>
      </c>
      <c r="M773" s="205" t="e">
        <v>#N/A</v>
      </c>
      <c r="N773" s="205" t="e">
        <v>#N/A</v>
      </c>
      <c r="O773" s="205" t="e">
        <v>#N/A</v>
      </c>
      <c r="P773" s="205" t="e">
        <v>#N/A</v>
      </c>
      <c r="Q773" s="189" t="e">
        <v>#N/A</v>
      </c>
      <c r="R773" s="189" t="e">
        <v>#N/A</v>
      </c>
      <c r="S773" s="205" t="e">
        <v>#N/A</v>
      </c>
      <c r="T773" s="206"/>
    </row>
    <row r="774">
      <c r="C774" s="189" t="e">
        <v>#N/A</v>
      </c>
      <c r="D774" s="189" t="e">
        <v>#N/A</v>
      </c>
      <c r="E774" s="189" t="e">
        <v>#N/A</v>
      </c>
      <c r="F774" s="189" t="e">
        <v>#N/A</v>
      </c>
      <c r="G774" s="189" t="e">
        <v>#N/A</v>
      </c>
      <c r="H774" s="189" t="e">
        <v>#N/A</v>
      </c>
      <c r="I774" s="189" t="e">
        <v>#N/A</v>
      </c>
      <c r="J774" s="189" t="e">
        <v>#N/A</v>
      </c>
      <c r="K774" s="204" t="e">
        <v>#N/A</v>
      </c>
      <c r="L774" s="204" t="e">
        <v>#N/A</v>
      </c>
      <c r="M774" s="205" t="e">
        <v>#N/A</v>
      </c>
      <c r="N774" s="205" t="e">
        <v>#N/A</v>
      </c>
      <c r="O774" s="205" t="e">
        <v>#N/A</v>
      </c>
      <c r="P774" s="205" t="e">
        <v>#N/A</v>
      </c>
      <c r="Q774" s="189" t="e">
        <v>#N/A</v>
      </c>
      <c r="R774" s="189" t="e">
        <v>#N/A</v>
      </c>
      <c r="S774" s="205" t="e">
        <v>#N/A</v>
      </c>
      <c r="T774" s="206"/>
    </row>
    <row r="775">
      <c r="C775" s="189" t="e">
        <v>#N/A</v>
      </c>
      <c r="D775" s="189" t="e">
        <v>#N/A</v>
      </c>
      <c r="E775" s="189" t="e">
        <v>#N/A</v>
      </c>
      <c r="F775" s="189" t="e">
        <v>#N/A</v>
      </c>
      <c r="G775" s="189" t="e">
        <v>#N/A</v>
      </c>
      <c r="H775" s="189" t="e">
        <v>#N/A</v>
      </c>
      <c r="I775" s="189" t="e">
        <v>#N/A</v>
      </c>
      <c r="J775" s="189" t="e">
        <v>#N/A</v>
      </c>
      <c r="K775" s="204" t="e">
        <v>#N/A</v>
      </c>
      <c r="L775" s="204" t="e">
        <v>#N/A</v>
      </c>
      <c r="M775" s="205" t="e">
        <v>#N/A</v>
      </c>
      <c r="N775" s="205" t="e">
        <v>#N/A</v>
      </c>
      <c r="O775" s="205" t="e">
        <v>#N/A</v>
      </c>
      <c r="P775" s="205" t="e">
        <v>#N/A</v>
      </c>
      <c r="Q775" s="189" t="e">
        <v>#N/A</v>
      </c>
      <c r="R775" s="189" t="e">
        <v>#N/A</v>
      </c>
      <c r="S775" s="205" t="e">
        <v>#N/A</v>
      </c>
      <c r="T775" s="206"/>
    </row>
    <row r="776">
      <c r="C776" s="189" t="e">
        <v>#N/A</v>
      </c>
      <c r="D776" s="189" t="e">
        <v>#N/A</v>
      </c>
      <c r="E776" s="189" t="e">
        <v>#N/A</v>
      </c>
      <c r="F776" s="189" t="e">
        <v>#N/A</v>
      </c>
      <c r="G776" s="189" t="e">
        <v>#N/A</v>
      </c>
      <c r="H776" s="189" t="e">
        <v>#N/A</v>
      </c>
      <c r="I776" s="189" t="e">
        <v>#N/A</v>
      </c>
      <c r="J776" s="189" t="e">
        <v>#N/A</v>
      </c>
      <c r="K776" s="204" t="e">
        <v>#N/A</v>
      </c>
      <c r="L776" s="204" t="e">
        <v>#N/A</v>
      </c>
      <c r="M776" s="205" t="e">
        <v>#N/A</v>
      </c>
      <c r="N776" s="205" t="e">
        <v>#N/A</v>
      </c>
      <c r="O776" s="205" t="e">
        <v>#N/A</v>
      </c>
      <c r="P776" s="205" t="e">
        <v>#N/A</v>
      </c>
      <c r="Q776" s="189" t="e">
        <v>#N/A</v>
      </c>
      <c r="R776" s="189" t="e">
        <v>#N/A</v>
      </c>
      <c r="S776" s="205" t="e">
        <v>#N/A</v>
      </c>
      <c r="T776" s="206"/>
    </row>
    <row r="777">
      <c r="C777" s="189" t="e">
        <v>#N/A</v>
      </c>
      <c r="D777" s="189" t="e">
        <v>#N/A</v>
      </c>
      <c r="E777" s="189" t="e">
        <v>#N/A</v>
      </c>
      <c r="F777" s="189" t="e">
        <v>#N/A</v>
      </c>
      <c r="G777" s="189" t="e">
        <v>#N/A</v>
      </c>
      <c r="H777" s="189" t="e">
        <v>#N/A</v>
      </c>
      <c r="I777" s="189" t="e">
        <v>#N/A</v>
      </c>
      <c r="J777" s="189" t="e">
        <v>#N/A</v>
      </c>
      <c r="K777" s="204" t="e">
        <v>#N/A</v>
      </c>
      <c r="L777" s="204" t="e">
        <v>#N/A</v>
      </c>
      <c r="M777" s="205" t="e">
        <v>#N/A</v>
      </c>
      <c r="N777" s="205" t="e">
        <v>#N/A</v>
      </c>
      <c r="O777" s="205" t="e">
        <v>#N/A</v>
      </c>
      <c r="P777" s="205" t="e">
        <v>#N/A</v>
      </c>
      <c r="Q777" s="189" t="e">
        <v>#N/A</v>
      </c>
      <c r="R777" s="189" t="e">
        <v>#N/A</v>
      </c>
      <c r="S777" s="205" t="e">
        <v>#N/A</v>
      </c>
      <c r="T777" s="206"/>
    </row>
    <row r="778">
      <c r="C778" s="189" t="e">
        <v>#N/A</v>
      </c>
      <c r="D778" s="189" t="e">
        <v>#N/A</v>
      </c>
      <c r="E778" s="189" t="e">
        <v>#N/A</v>
      </c>
      <c r="F778" s="189" t="e">
        <v>#N/A</v>
      </c>
      <c r="G778" s="189" t="e">
        <v>#N/A</v>
      </c>
      <c r="H778" s="189" t="e">
        <v>#N/A</v>
      </c>
      <c r="I778" s="189" t="e">
        <v>#N/A</v>
      </c>
      <c r="J778" s="189" t="e">
        <v>#N/A</v>
      </c>
      <c r="K778" s="204" t="e">
        <v>#N/A</v>
      </c>
      <c r="L778" s="204" t="e">
        <v>#N/A</v>
      </c>
      <c r="M778" s="205" t="e">
        <v>#N/A</v>
      </c>
      <c r="N778" s="205" t="e">
        <v>#N/A</v>
      </c>
      <c r="O778" s="205" t="e">
        <v>#N/A</v>
      </c>
      <c r="P778" s="205" t="e">
        <v>#N/A</v>
      </c>
      <c r="Q778" s="189" t="e">
        <v>#N/A</v>
      </c>
      <c r="R778" s="189" t="e">
        <v>#N/A</v>
      </c>
      <c r="S778" s="205" t="e">
        <v>#N/A</v>
      </c>
      <c r="T778" s="206"/>
    </row>
    <row r="779">
      <c r="C779" s="189" t="e">
        <v>#N/A</v>
      </c>
      <c r="D779" s="189" t="e">
        <v>#N/A</v>
      </c>
      <c r="E779" s="189" t="e">
        <v>#N/A</v>
      </c>
      <c r="F779" s="189" t="e">
        <v>#N/A</v>
      </c>
      <c r="G779" s="189" t="e">
        <v>#N/A</v>
      </c>
      <c r="H779" s="189" t="e">
        <v>#N/A</v>
      </c>
      <c r="I779" s="189" t="e">
        <v>#N/A</v>
      </c>
      <c r="J779" s="189" t="e">
        <v>#N/A</v>
      </c>
      <c r="K779" s="204" t="e">
        <v>#N/A</v>
      </c>
      <c r="L779" s="204" t="e">
        <v>#N/A</v>
      </c>
      <c r="M779" s="205" t="e">
        <v>#N/A</v>
      </c>
      <c r="N779" s="205" t="e">
        <v>#N/A</v>
      </c>
      <c r="O779" s="205" t="e">
        <v>#N/A</v>
      </c>
      <c r="P779" s="205" t="e">
        <v>#N/A</v>
      </c>
      <c r="Q779" s="189" t="e">
        <v>#N/A</v>
      </c>
      <c r="R779" s="189" t="e">
        <v>#N/A</v>
      </c>
      <c r="S779" s="205" t="e">
        <v>#N/A</v>
      </c>
      <c r="T779" s="206"/>
    </row>
    <row r="780">
      <c r="C780" s="189" t="e">
        <v>#N/A</v>
      </c>
      <c r="D780" s="189" t="e">
        <v>#N/A</v>
      </c>
      <c r="E780" s="189" t="e">
        <v>#N/A</v>
      </c>
      <c r="F780" s="189" t="e">
        <v>#N/A</v>
      </c>
      <c r="G780" s="189" t="e">
        <v>#N/A</v>
      </c>
      <c r="H780" s="189" t="e">
        <v>#N/A</v>
      </c>
      <c r="I780" s="189" t="e">
        <v>#N/A</v>
      </c>
      <c r="J780" s="189" t="e">
        <v>#N/A</v>
      </c>
      <c r="K780" s="204" t="e">
        <v>#N/A</v>
      </c>
      <c r="L780" s="204" t="e">
        <v>#N/A</v>
      </c>
      <c r="M780" s="205" t="e">
        <v>#N/A</v>
      </c>
      <c r="N780" s="205" t="e">
        <v>#N/A</v>
      </c>
      <c r="O780" s="205" t="e">
        <v>#N/A</v>
      </c>
      <c r="P780" s="205" t="e">
        <v>#N/A</v>
      </c>
      <c r="Q780" s="189" t="e">
        <v>#N/A</v>
      </c>
      <c r="R780" s="189" t="e">
        <v>#N/A</v>
      </c>
      <c r="S780" s="205" t="e">
        <v>#N/A</v>
      </c>
      <c r="T780" s="206"/>
    </row>
    <row r="781">
      <c r="C781" s="189" t="e">
        <v>#N/A</v>
      </c>
      <c r="D781" s="189" t="e">
        <v>#N/A</v>
      </c>
      <c r="E781" s="189" t="e">
        <v>#N/A</v>
      </c>
      <c r="F781" s="189" t="e">
        <v>#N/A</v>
      </c>
      <c r="G781" s="189" t="e">
        <v>#N/A</v>
      </c>
      <c r="H781" s="189" t="e">
        <v>#N/A</v>
      </c>
      <c r="I781" s="189" t="e">
        <v>#N/A</v>
      </c>
      <c r="J781" s="189" t="e">
        <v>#N/A</v>
      </c>
      <c r="K781" s="204" t="e">
        <v>#N/A</v>
      </c>
      <c r="L781" s="204" t="e">
        <v>#N/A</v>
      </c>
      <c r="M781" s="205" t="e">
        <v>#N/A</v>
      </c>
      <c r="N781" s="205" t="e">
        <v>#N/A</v>
      </c>
      <c r="O781" s="205" t="e">
        <v>#N/A</v>
      </c>
      <c r="P781" s="205" t="e">
        <v>#N/A</v>
      </c>
      <c r="Q781" s="189" t="e">
        <v>#N/A</v>
      </c>
      <c r="R781" s="189" t="e">
        <v>#N/A</v>
      </c>
      <c r="S781" s="205" t="e">
        <v>#N/A</v>
      </c>
      <c r="T781" s="206"/>
    </row>
    <row r="782">
      <c r="C782" s="189" t="e">
        <v>#N/A</v>
      </c>
      <c r="D782" s="189" t="e">
        <v>#N/A</v>
      </c>
      <c r="E782" s="189" t="e">
        <v>#N/A</v>
      </c>
      <c r="F782" s="189" t="e">
        <v>#N/A</v>
      </c>
      <c r="G782" s="189" t="e">
        <v>#N/A</v>
      </c>
      <c r="H782" s="189" t="e">
        <v>#N/A</v>
      </c>
      <c r="I782" s="189" t="e">
        <v>#N/A</v>
      </c>
      <c r="J782" s="189" t="e">
        <v>#N/A</v>
      </c>
      <c r="K782" s="204" t="e">
        <v>#N/A</v>
      </c>
      <c r="L782" s="204" t="e">
        <v>#N/A</v>
      </c>
      <c r="M782" s="205" t="e">
        <v>#N/A</v>
      </c>
      <c r="N782" s="205" t="e">
        <v>#N/A</v>
      </c>
      <c r="O782" s="205" t="e">
        <v>#N/A</v>
      </c>
      <c r="P782" s="205" t="e">
        <v>#N/A</v>
      </c>
      <c r="Q782" s="189" t="e">
        <v>#N/A</v>
      </c>
      <c r="R782" s="189" t="e">
        <v>#N/A</v>
      </c>
      <c r="S782" s="205" t="e">
        <v>#N/A</v>
      </c>
      <c r="T782" s="206"/>
    </row>
    <row r="783">
      <c r="C783" s="189" t="e">
        <v>#N/A</v>
      </c>
      <c r="D783" s="189" t="e">
        <v>#N/A</v>
      </c>
      <c r="E783" s="189" t="e">
        <v>#N/A</v>
      </c>
      <c r="F783" s="189" t="e">
        <v>#N/A</v>
      </c>
      <c r="G783" s="189" t="e">
        <v>#N/A</v>
      </c>
      <c r="H783" s="189" t="e">
        <v>#N/A</v>
      </c>
      <c r="I783" s="189" t="e">
        <v>#N/A</v>
      </c>
      <c r="J783" s="189" t="e">
        <v>#N/A</v>
      </c>
      <c r="K783" s="204" t="e">
        <v>#N/A</v>
      </c>
      <c r="L783" s="204" t="e">
        <v>#N/A</v>
      </c>
      <c r="M783" s="205" t="e">
        <v>#N/A</v>
      </c>
      <c r="N783" s="205" t="e">
        <v>#N/A</v>
      </c>
      <c r="O783" s="205" t="e">
        <v>#N/A</v>
      </c>
      <c r="P783" s="205" t="e">
        <v>#N/A</v>
      </c>
      <c r="Q783" s="189" t="e">
        <v>#N/A</v>
      </c>
      <c r="R783" s="189" t="e">
        <v>#N/A</v>
      </c>
      <c r="S783" s="205" t="e">
        <v>#N/A</v>
      </c>
      <c r="T783" s="206"/>
    </row>
    <row r="784">
      <c r="C784" s="189" t="e">
        <v>#N/A</v>
      </c>
      <c r="D784" s="189" t="e">
        <v>#N/A</v>
      </c>
      <c r="E784" s="189" t="e">
        <v>#N/A</v>
      </c>
      <c r="F784" s="189" t="e">
        <v>#N/A</v>
      </c>
      <c r="G784" s="189" t="e">
        <v>#N/A</v>
      </c>
      <c r="H784" s="189" t="e">
        <v>#N/A</v>
      </c>
      <c r="I784" s="189" t="e">
        <v>#N/A</v>
      </c>
      <c r="J784" s="189" t="e">
        <v>#N/A</v>
      </c>
      <c r="K784" s="204" t="e">
        <v>#N/A</v>
      </c>
      <c r="L784" s="204" t="e">
        <v>#N/A</v>
      </c>
      <c r="M784" s="205" t="e">
        <v>#N/A</v>
      </c>
      <c r="N784" s="205" t="e">
        <v>#N/A</v>
      </c>
      <c r="O784" s="205" t="e">
        <v>#N/A</v>
      </c>
      <c r="P784" s="205" t="e">
        <v>#N/A</v>
      </c>
      <c r="Q784" s="189" t="e">
        <v>#N/A</v>
      </c>
      <c r="R784" s="189" t="e">
        <v>#N/A</v>
      </c>
      <c r="S784" s="205" t="e">
        <v>#N/A</v>
      </c>
      <c r="T784" s="206"/>
    </row>
    <row r="785">
      <c r="C785" s="189" t="e">
        <v>#N/A</v>
      </c>
      <c r="D785" s="189" t="e">
        <v>#N/A</v>
      </c>
      <c r="E785" s="189" t="e">
        <v>#N/A</v>
      </c>
      <c r="F785" s="189" t="e">
        <v>#N/A</v>
      </c>
      <c r="G785" s="189" t="e">
        <v>#N/A</v>
      </c>
      <c r="H785" s="189" t="e">
        <v>#N/A</v>
      </c>
      <c r="I785" s="189" t="e">
        <v>#N/A</v>
      </c>
      <c r="J785" s="189" t="e">
        <v>#N/A</v>
      </c>
      <c r="K785" s="204" t="e">
        <v>#N/A</v>
      </c>
      <c r="L785" s="204" t="e">
        <v>#N/A</v>
      </c>
      <c r="M785" s="205" t="e">
        <v>#N/A</v>
      </c>
      <c r="N785" s="205" t="e">
        <v>#N/A</v>
      </c>
      <c r="O785" s="205" t="e">
        <v>#N/A</v>
      </c>
      <c r="P785" s="205" t="e">
        <v>#N/A</v>
      </c>
      <c r="Q785" s="189" t="e">
        <v>#N/A</v>
      </c>
      <c r="R785" s="189" t="e">
        <v>#N/A</v>
      </c>
      <c r="S785" s="205" t="e">
        <v>#N/A</v>
      </c>
      <c r="T785" s="206"/>
    </row>
    <row r="786">
      <c r="C786" s="189" t="e">
        <v>#N/A</v>
      </c>
      <c r="D786" s="189" t="e">
        <v>#N/A</v>
      </c>
      <c r="E786" s="189" t="e">
        <v>#N/A</v>
      </c>
      <c r="F786" s="189" t="e">
        <v>#N/A</v>
      </c>
      <c r="G786" s="189" t="e">
        <v>#N/A</v>
      </c>
      <c r="H786" s="189" t="e">
        <v>#N/A</v>
      </c>
      <c r="I786" s="189" t="e">
        <v>#N/A</v>
      </c>
      <c r="J786" s="189" t="e">
        <v>#N/A</v>
      </c>
      <c r="K786" s="204" t="e">
        <v>#N/A</v>
      </c>
      <c r="L786" s="204" t="e">
        <v>#N/A</v>
      </c>
      <c r="M786" s="205" t="e">
        <v>#N/A</v>
      </c>
      <c r="N786" s="205" t="e">
        <v>#N/A</v>
      </c>
      <c r="O786" s="205" t="e">
        <v>#N/A</v>
      </c>
      <c r="P786" s="205" t="e">
        <v>#N/A</v>
      </c>
      <c r="Q786" s="189" t="e">
        <v>#N/A</v>
      </c>
      <c r="R786" s="189" t="e">
        <v>#N/A</v>
      </c>
      <c r="S786" s="205" t="e">
        <v>#N/A</v>
      </c>
      <c r="T786" s="206"/>
    </row>
    <row r="787">
      <c r="C787" s="189" t="e">
        <v>#N/A</v>
      </c>
      <c r="D787" s="189" t="e">
        <v>#N/A</v>
      </c>
      <c r="E787" s="189" t="e">
        <v>#N/A</v>
      </c>
      <c r="F787" s="189" t="e">
        <v>#N/A</v>
      </c>
      <c r="G787" s="189" t="e">
        <v>#N/A</v>
      </c>
      <c r="H787" s="189" t="e">
        <v>#N/A</v>
      </c>
      <c r="I787" s="189" t="e">
        <v>#N/A</v>
      </c>
      <c r="J787" s="189" t="e">
        <v>#N/A</v>
      </c>
      <c r="K787" s="204" t="e">
        <v>#N/A</v>
      </c>
      <c r="L787" s="204" t="e">
        <v>#N/A</v>
      </c>
      <c r="M787" s="205" t="e">
        <v>#N/A</v>
      </c>
      <c r="N787" s="205" t="e">
        <v>#N/A</v>
      </c>
      <c r="O787" s="205" t="e">
        <v>#N/A</v>
      </c>
      <c r="P787" s="205" t="e">
        <v>#N/A</v>
      </c>
      <c r="Q787" s="189" t="e">
        <v>#N/A</v>
      </c>
      <c r="R787" s="189" t="e">
        <v>#N/A</v>
      </c>
      <c r="S787" s="205" t="e">
        <v>#N/A</v>
      </c>
      <c r="T787" s="206"/>
    </row>
    <row r="788">
      <c r="C788" s="189" t="e">
        <v>#N/A</v>
      </c>
      <c r="D788" s="189" t="e">
        <v>#N/A</v>
      </c>
      <c r="E788" s="189" t="e">
        <v>#N/A</v>
      </c>
      <c r="F788" s="189" t="e">
        <v>#N/A</v>
      </c>
      <c r="G788" s="189" t="e">
        <v>#N/A</v>
      </c>
      <c r="H788" s="189" t="e">
        <v>#N/A</v>
      </c>
      <c r="I788" s="189" t="e">
        <v>#N/A</v>
      </c>
      <c r="J788" s="189" t="e">
        <v>#N/A</v>
      </c>
      <c r="K788" s="204" t="e">
        <v>#N/A</v>
      </c>
      <c r="L788" s="204" t="e">
        <v>#N/A</v>
      </c>
      <c r="M788" s="205" t="e">
        <v>#N/A</v>
      </c>
      <c r="N788" s="205" t="e">
        <v>#N/A</v>
      </c>
      <c r="O788" s="205" t="e">
        <v>#N/A</v>
      </c>
      <c r="P788" s="205" t="e">
        <v>#N/A</v>
      </c>
      <c r="Q788" s="189" t="e">
        <v>#N/A</v>
      </c>
      <c r="R788" s="189" t="e">
        <v>#N/A</v>
      </c>
      <c r="S788" s="205" t="e">
        <v>#N/A</v>
      </c>
      <c r="T788" s="206"/>
    </row>
    <row r="789">
      <c r="C789" s="189" t="e">
        <v>#N/A</v>
      </c>
      <c r="D789" s="189" t="e">
        <v>#N/A</v>
      </c>
      <c r="E789" s="189" t="e">
        <v>#N/A</v>
      </c>
      <c r="F789" s="189" t="e">
        <v>#N/A</v>
      </c>
      <c r="G789" s="189" t="e">
        <v>#N/A</v>
      </c>
      <c r="H789" s="189" t="e">
        <v>#N/A</v>
      </c>
      <c r="I789" s="189" t="e">
        <v>#N/A</v>
      </c>
      <c r="J789" s="189" t="e">
        <v>#N/A</v>
      </c>
      <c r="K789" s="204" t="e">
        <v>#N/A</v>
      </c>
      <c r="L789" s="204" t="e">
        <v>#N/A</v>
      </c>
      <c r="M789" s="205" t="e">
        <v>#N/A</v>
      </c>
      <c r="N789" s="205" t="e">
        <v>#N/A</v>
      </c>
      <c r="O789" s="205" t="e">
        <v>#N/A</v>
      </c>
      <c r="P789" s="205" t="e">
        <v>#N/A</v>
      </c>
      <c r="Q789" s="189" t="e">
        <v>#N/A</v>
      </c>
      <c r="R789" s="189" t="e">
        <v>#N/A</v>
      </c>
      <c r="S789" s="205" t="e">
        <v>#N/A</v>
      </c>
      <c r="T789" s="206"/>
    </row>
    <row r="790">
      <c r="C790" s="189" t="e">
        <v>#N/A</v>
      </c>
      <c r="D790" s="189" t="e">
        <v>#N/A</v>
      </c>
      <c r="E790" s="189" t="e">
        <v>#N/A</v>
      </c>
      <c r="F790" s="189" t="e">
        <v>#N/A</v>
      </c>
      <c r="G790" s="189" t="e">
        <v>#N/A</v>
      </c>
      <c r="H790" s="189" t="e">
        <v>#N/A</v>
      </c>
      <c r="I790" s="189" t="e">
        <v>#N/A</v>
      </c>
      <c r="J790" s="189" t="e">
        <v>#N/A</v>
      </c>
      <c r="K790" s="204" t="e">
        <v>#N/A</v>
      </c>
      <c r="L790" s="204" t="e">
        <v>#N/A</v>
      </c>
      <c r="M790" s="205" t="e">
        <v>#N/A</v>
      </c>
      <c r="N790" s="205" t="e">
        <v>#N/A</v>
      </c>
      <c r="O790" s="205" t="e">
        <v>#N/A</v>
      </c>
      <c r="P790" s="205" t="e">
        <v>#N/A</v>
      </c>
      <c r="Q790" s="189" t="e">
        <v>#N/A</v>
      </c>
      <c r="R790" s="189" t="e">
        <v>#N/A</v>
      </c>
      <c r="S790" s="205" t="e">
        <v>#N/A</v>
      </c>
      <c r="T790" s="206"/>
    </row>
    <row r="791">
      <c r="C791" s="189" t="e">
        <v>#N/A</v>
      </c>
      <c r="D791" s="189" t="e">
        <v>#N/A</v>
      </c>
      <c r="E791" s="189" t="e">
        <v>#N/A</v>
      </c>
      <c r="F791" s="189" t="e">
        <v>#N/A</v>
      </c>
      <c r="G791" s="189" t="e">
        <v>#N/A</v>
      </c>
      <c r="H791" s="189" t="e">
        <v>#N/A</v>
      </c>
      <c r="I791" s="189" t="e">
        <v>#N/A</v>
      </c>
      <c r="J791" s="189" t="e">
        <v>#N/A</v>
      </c>
      <c r="K791" s="204" t="e">
        <v>#N/A</v>
      </c>
      <c r="L791" s="204" t="e">
        <v>#N/A</v>
      </c>
      <c r="M791" s="205" t="e">
        <v>#N/A</v>
      </c>
      <c r="N791" s="205" t="e">
        <v>#N/A</v>
      </c>
      <c r="O791" s="205" t="e">
        <v>#N/A</v>
      </c>
      <c r="P791" s="205" t="e">
        <v>#N/A</v>
      </c>
      <c r="Q791" s="189" t="e">
        <v>#N/A</v>
      </c>
      <c r="R791" s="189" t="e">
        <v>#N/A</v>
      </c>
      <c r="S791" s="205" t="e">
        <v>#N/A</v>
      </c>
      <c r="T791" s="206"/>
    </row>
    <row r="792">
      <c r="C792" s="189" t="e">
        <v>#N/A</v>
      </c>
      <c r="D792" s="189" t="e">
        <v>#N/A</v>
      </c>
      <c r="E792" s="189" t="e">
        <v>#N/A</v>
      </c>
      <c r="F792" s="189" t="e">
        <v>#N/A</v>
      </c>
      <c r="G792" s="189" t="e">
        <v>#N/A</v>
      </c>
      <c r="H792" s="189" t="e">
        <v>#N/A</v>
      </c>
      <c r="I792" s="189" t="e">
        <v>#N/A</v>
      </c>
      <c r="J792" s="189" t="e">
        <v>#N/A</v>
      </c>
      <c r="K792" s="204" t="e">
        <v>#N/A</v>
      </c>
      <c r="L792" s="204" t="e">
        <v>#N/A</v>
      </c>
      <c r="M792" s="205" t="e">
        <v>#N/A</v>
      </c>
      <c r="N792" s="205" t="e">
        <v>#N/A</v>
      </c>
      <c r="O792" s="205" t="e">
        <v>#N/A</v>
      </c>
      <c r="P792" s="205" t="e">
        <v>#N/A</v>
      </c>
      <c r="Q792" s="189" t="e">
        <v>#N/A</v>
      </c>
      <c r="R792" s="189" t="e">
        <v>#N/A</v>
      </c>
      <c r="S792" s="205" t="e">
        <v>#N/A</v>
      </c>
      <c r="T792" s="206"/>
    </row>
    <row r="793">
      <c r="C793" s="189" t="e">
        <v>#N/A</v>
      </c>
      <c r="D793" s="189" t="e">
        <v>#N/A</v>
      </c>
      <c r="E793" s="189" t="e">
        <v>#N/A</v>
      </c>
      <c r="F793" s="189" t="e">
        <v>#N/A</v>
      </c>
      <c r="G793" s="189" t="e">
        <v>#N/A</v>
      </c>
      <c r="H793" s="189" t="e">
        <v>#N/A</v>
      </c>
      <c r="I793" s="189" t="e">
        <v>#N/A</v>
      </c>
      <c r="J793" s="189" t="e">
        <v>#N/A</v>
      </c>
      <c r="K793" s="204" t="e">
        <v>#N/A</v>
      </c>
      <c r="L793" s="204" t="e">
        <v>#N/A</v>
      </c>
      <c r="M793" s="205" t="e">
        <v>#N/A</v>
      </c>
      <c r="N793" s="205" t="e">
        <v>#N/A</v>
      </c>
      <c r="O793" s="205" t="e">
        <v>#N/A</v>
      </c>
      <c r="P793" s="205" t="e">
        <v>#N/A</v>
      </c>
      <c r="Q793" s="189" t="e">
        <v>#N/A</v>
      </c>
      <c r="R793" s="189" t="e">
        <v>#N/A</v>
      </c>
      <c r="S793" s="205" t="e">
        <v>#N/A</v>
      </c>
      <c r="T793" s="206"/>
    </row>
    <row r="794">
      <c r="C794" s="189" t="e">
        <v>#N/A</v>
      </c>
      <c r="D794" s="189" t="e">
        <v>#N/A</v>
      </c>
      <c r="E794" s="189" t="e">
        <v>#N/A</v>
      </c>
      <c r="F794" s="189" t="e">
        <v>#N/A</v>
      </c>
      <c r="G794" s="189" t="e">
        <v>#N/A</v>
      </c>
      <c r="H794" s="189" t="e">
        <v>#N/A</v>
      </c>
      <c r="I794" s="189" t="e">
        <v>#N/A</v>
      </c>
      <c r="J794" s="189" t="e">
        <v>#N/A</v>
      </c>
      <c r="K794" s="204" t="e">
        <v>#N/A</v>
      </c>
      <c r="L794" s="204" t="e">
        <v>#N/A</v>
      </c>
      <c r="M794" s="205" t="e">
        <v>#N/A</v>
      </c>
      <c r="N794" s="205" t="e">
        <v>#N/A</v>
      </c>
      <c r="O794" s="205" t="e">
        <v>#N/A</v>
      </c>
      <c r="P794" s="205" t="e">
        <v>#N/A</v>
      </c>
      <c r="Q794" s="189" t="e">
        <v>#N/A</v>
      </c>
      <c r="R794" s="189" t="e">
        <v>#N/A</v>
      </c>
      <c r="S794" s="205" t="e">
        <v>#N/A</v>
      </c>
      <c r="T794" s="206"/>
    </row>
    <row r="795">
      <c r="C795" s="189" t="e">
        <v>#N/A</v>
      </c>
      <c r="D795" s="189" t="e">
        <v>#N/A</v>
      </c>
      <c r="E795" s="189" t="e">
        <v>#N/A</v>
      </c>
      <c r="F795" s="189" t="e">
        <v>#N/A</v>
      </c>
      <c r="G795" s="189" t="e">
        <v>#N/A</v>
      </c>
      <c r="H795" s="189" t="e">
        <v>#N/A</v>
      </c>
      <c r="I795" s="189" t="e">
        <v>#N/A</v>
      </c>
      <c r="J795" s="189" t="e">
        <v>#N/A</v>
      </c>
      <c r="K795" s="204" t="e">
        <v>#N/A</v>
      </c>
      <c r="L795" s="204" t="e">
        <v>#N/A</v>
      </c>
      <c r="M795" s="205" t="e">
        <v>#N/A</v>
      </c>
      <c r="N795" s="205" t="e">
        <v>#N/A</v>
      </c>
      <c r="O795" s="205" t="e">
        <v>#N/A</v>
      </c>
      <c r="P795" s="205" t="e">
        <v>#N/A</v>
      </c>
      <c r="Q795" s="189" t="e">
        <v>#N/A</v>
      </c>
      <c r="R795" s="189" t="e">
        <v>#N/A</v>
      </c>
      <c r="S795" s="205" t="e">
        <v>#N/A</v>
      </c>
      <c r="T795" s="206"/>
    </row>
    <row r="796">
      <c r="C796" s="189" t="e">
        <v>#N/A</v>
      </c>
      <c r="D796" s="189" t="e">
        <v>#N/A</v>
      </c>
      <c r="E796" s="189" t="e">
        <v>#N/A</v>
      </c>
      <c r="F796" s="189" t="e">
        <v>#N/A</v>
      </c>
      <c r="G796" s="189" t="e">
        <v>#N/A</v>
      </c>
      <c r="H796" s="189" t="e">
        <v>#N/A</v>
      </c>
      <c r="I796" s="189" t="e">
        <v>#N/A</v>
      </c>
      <c r="J796" s="189" t="e">
        <v>#N/A</v>
      </c>
      <c r="K796" s="204" t="e">
        <v>#N/A</v>
      </c>
      <c r="L796" s="204" t="e">
        <v>#N/A</v>
      </c>
      <c r="M796" s="205" t="e">
        <v>#N/A</v>
      </c>
      <c r="N796" s="205" t="e">
        <v>#N/A</v>
      </c>
      <c r="O796" s="205" t="e">
        <v>#N/A</v>
      </c>
      <c r="P796" s="205" t="e">
        <v>#N/A</v>
      </c>
      <c r="Q796" s="189" t="e">
        <v>#N/A</v>
      </c>
      <c r="R796" s="189" t="e">
        <v>#N/A</v>
      </c>
      <c r="S796" s="205" t="e">
        <v>#N/A</v>
      </c>
      <c r="T796" s="206"/>
    </row>
    <row r="797">
      <c r="C797" s="189" t="e">
        <v>#N/A</v>
      </c>
      <c r="D797" s="189" t="e">
        <v>#N/A</v>
      </c>
      <c r="E797" s="189" t="e">
        <v>#N/A</v>
      </c>
      <c r="F797" s="189" t="e">
        <v>#N/A</v>
      </c>
      <c r="G797" s="189" t="e">
        <v>#N/A</v>
      </c>
      <c r="H797" s="189" t="e">
        <v>#N/A</v>
      </c>
      <c r="I797" s="189" t="e">
        <v>#N/A</v>
      </c>
      <c r="J797" s="189" t="e">
        <v>#N/A</v>
      </c>
      <c r="K797" s="204" t="e">
        <v>#N/A</v>
      </c>
      <c r="L797" s="204" t="e">
        <v>#N/A</v>
      </c>
      <c r="M797" s="205" t="e">
        <v>#N/A</v>
      </c>
      <c r="N797" s="205" t="e">
        <v>#N/A</v>
      </c>
      <c r="O797" s="205" t="e">
        <v>#N/A</v>
      </c>
      <c r="P797" s="205" t="e">
        <v>#N/A</v>
      </c>
      <c r="Q797" s="189" t="e">
        <v>#N/A</v>
      </c>
      <c r="R797" s="189" t="e">
        <v>#N/A</v>
      </c>
      <c r="S797" s="205" t="e">
        <v>#N/A</v>
      </c>
      <c r="T797" s="206"/>
    </row>
    <row r="798">
      <c r="C798" s="189" t="e">
        <v>#N/A</v>
      </c>
      <c r="D798" s="189" t="e">
        <v>#N/A</v>
      </c>
      <c r="E798" s="189" t="e">
        <v>#N/A</v>
      </c>
      <c r="F798" s="189" t="e">
        <v>#N/A</v>
      </c>
      <c r="G798" s="189" t="e">
        <v>#N/A</v>
      </c>
      <c r="H798" s="189" t="e">
        <v>#N/A</v>
      </c>
      <c r="I798" s="189" t="e">
        <v>#N/A</v>
      </c>
      <c r="J798" s="189" t="e">
        <v>#N/A</v>
      </c>
      <c r="K798" s="204" t="e">
        <v>#N/A</v>
      </c>
      <c r="L798" s="204" t="e">
        <v>#N/A</v>
      </c>
      <c r="M798" s="205" t="e">
        <v>#N/A</v>
      </c>
      <c r="N798" s="205" t="e">
        <v>#N/A</v>
      </c>
      <c r="O798" s="205" t="e">
        <v>#N/A</v>
      </c>
      <c r="P798" s="205" t="e">
        <v>#N/A</v>
      </c>
      <c r="Q798" s="189" t="e">
        <v>#N/A</v>
      </c>
      <c r="R798" s="189" t="e">
        <v>#N/A</v>
      </c>
      <c r="S798" s="205" t="e">
        <v>#N/A</v>
      </c>
      <c r="T798" s="206"/>
    </row>
    <row r="799">
      <c r="C799" s="189" t="e">
        <v>#N/A</v>
      </c>
      <c r="D799" s="189" t="e">
        <v>#N/A</v>
      </c>
      <c r="E799" s="189" t="e">
        <v>#N/A</v>
      </c>
      <c r="F799" s="189" t="e">
        <v>#N/A</v>
      </c>
      <c r="G799" s="189" t="e">
        <v>#N/A</v>
      </c>
      <c r="H799" s="189" t="e">
        <v>#N/A</v>
      </c>
      <c r="I799" s="189" t="e">
        <v>#N/A</v>
      </c>
      <c r="J799" s="189" t="e">
        <v>#N/A</v>
      </c>
      <c r="K799" s="204" t="e">
        <v>#N/A</v>
      </c>
      <c r="L799" s="204" t="e">
        <v>#N/A</v>
      </c>
      <c r="M799" s="205" t="e">
        <v>#N/A</v>
      </c>
      <c r="N799" s="205" t="e">
        <v>#N/A</v>
      </c>
      <c r="O799" s="205" t="e">
        <v>#N/A</v>
      </c>
      <c r="P799" s="205" t="e">
        <v>#N/A</v>
      </c>
      <c r="Q799" s="189" t="e">
        <v>#N/A</v>
      </c>
      <c r="R799" s="189" t="e">
        <v>#N/A</v>
      </c>
      <c r="S799" s="205" t="e">
        <v>#N/A</v>
      </c>
      <c r="T799" s="206"/>
    </row>
    <row r="800">
      <c r="C800" s="189" t="e">
        <v>#N/A</v>
      </c>
      <c r="D800" s="189" t="e">
        <v>#N/A</v>
      </c>
      <c r="E800" s="189" t="e">
        <v>#N/A</v>
      </c>
      <c r="F800" s="189" t="e">
        <v>#N/A</v>
      </c>
      <c r="G800" s="189" t="e">
        <v>#N/A</v>
      </c>
      <c r="H800" s="189" t="e">
        <v>#N/A</v>
      </c>
      <c r="I800" s="189" t="e">
        <v>#N/A</v>
      </c>
      <c r="J800" s="189" t="e">
        <v>#N/A</v>
      </c>
      <c r="K800" s="204" t="e">
        <v>#N/A</v>
      </c>
      <c r="L800" s="204" t="e">
        <v>#N/A</v>
      </c>
      <c r="M800" s="205" t="e">
        <v>#N/A</v>
      </c>
      <c r="N800" s="205" t="e">
        <v>#N/A</v>
      </c>
      <c r="O800" s="205" t="e">
        <v>#N/A</v>
      </c>
      <c r="P800" s="205" t="e">
        <v>#N/A</v>
      </c>
      <c r="Q800" s="189" t="e">
        <v>#N/A</v>
      </c>
      <c r="R800" s="189" t="e">
        <v>#N/A</v>
      </c>
      <c r="S800" s="205" t="e">
        <v>#N/A</v>
      </c>
      <c r="T800" s="206"/>
    </row>
    <row r="801">
      <c r="C801" s="189" t="e">
        <v>#N/A</v>
      </c>
      <c r="D801" s="189" t="e">
        <v>#N/A</v>
      </c>
      <c r="E801" s="189" t="e">
        <v>#N/A</v>
      </c>
      <c r="F801" s="189" t="e">
        <v>#N/A</v>
      </c>
      <c r="G801" s="189" t="e">
        <v>#N/A</v>
      </c>
      <c r="H801" s="189" t="e">
        <v>#N/A</v>
      </c>
      <c r="I801" s="189" t="e">
        <v>#N/A</v>
      </c>
      <c r="J801" s="189" t="e">
        <v>#N/A</v>
      </c>
      <c r="K801" s="204" t="e">
        <v>#N/A</v>
      </c>
      <c r="L801" s="204" t="e">
        <v>#N/A</v>
      </c>
      <c r="M801" s="205" t="e">
        <v>#N/A</v>
      </c>
      <c r="N801" s="205" t="e">
        <v>#N/A</v>
      </c>
      <c r="O801" s="205" t="e">
        <v>#N/A</v>
      </c>
      <c r="P801" s="205" t="e">
        <v>#N/A</v>
      </c>
      <c r="Q801" s="189" t="e">
        <v>#N/A</v>
      </c>
      <c r="R801" s="189" t="e">
        <v>#N/A</v>
      </c>
      <c r="S801" s="205" t="e">
        <v>#N/A</v>
      </c>
      <c r="T801" s="206"/>
    </row>
    <row r="802">
      <c r="C802" s="189" t="e">
        <v>#N/A</v>
      </c>
      <c r="D802" s="189" t="e">
        <v>#N/A</v>
      </c>
      <c r="E802" s="189" t="e">
        <v>#N/A</v>
      </c>
      <c r="F802" s="189" t="e">
        <v>#N/A</v>
      </c>
      <c r="G802" s="189" t="e">
        <v>#N/A</v>
      </c>
      <c r="H802" s="189" t="e">
        <v>#N/A</v>
      </c>
      <c r="I802" s="189" t="e">
        <v>#N/A</v>
      </c>
      <c r="J802" s="189" t="e">
        <v>#N/A</v>
      </c>
      <c r="K802" s="204" t="e">
        <v>#N/A</v>
      </c>
      <c r="L802" s="204" t="e">
        <v>#N/A</v>
      </c>
      <c r="M802" s="205" t="e">
        <v>#N/A</v>
      </c>
      <c r="N802" s="205" t="e">
        <v>#N/A</v>
      </c>
      <c r="O802" s="205" t="e">
        <v>#N/A</v>
      </c>
      <c r="P802" s="205" t="e">
        <v>#N/A</v>
      </c>
      <c r="Q802" s="189" t="e">
        <v>#N/A</v>
      </c>
      <c r="R802" s="189" t="e">
        <v>#N/A</v>
      </c>
      <c r="S802" s="205" t="e">
        <v>#N/A</v>
      </c>
      <c r="T802" s="206"/>
    </row>
    <row r="803">
      <c r="C803" s="189" t="e">
        <v>#N/A</v>
      </c>
      <c r="D803" s="189" t="e">
        <v>#N/A</v>
      </c>
      <c r="E803" s="189" t="e">
        <v>#N/A</v>
      </c>
      <c r="F803" s="189" t="e">
        <v>#N/A</v>
      </c>
      <c r="G803" s="189" t="e">
        <v>#N/A</v>
      </c>
      <c r="H803" s="189" t="e">
        <v>#N/A</v>
      </c>
      <c r="I803" s="189" t="e">
        <v>#N/A</v>
      </c>
      <c r="J803" s="189" t="e">
        <v>#N/A</v>
      </c>
      <c r="K803" s="204" t="e">
        <v>#N/A</v>
      </c>
      <c r="L803" s="204" t="e">
        <v>#N/A</v>
      </c>
      <c r="M803" s="205" t="e">
        <v>#N/A</v>
      </c>
      <c r="N803" s="205" t="e">
        <v>#N/A</v>
      </c>
      <c r="O803" s="205" t="e">
        <v>#N/A</v>
      </c>
      <c r="P803" s="205" t="e">
        <v>#N/A</v>
      </c>
      <c r="Q803" s="189" t="e">
        <v>#N/A</v>
      </c>
      <c r="R803" s="189" t="e">
        <v>#N/A</v>
      </c>
      <c r="S803" s="205" t="e">
        <v>#N/A</v>
      </c>
      <c r="T803" s="206"/>
    </row>
    <row r="804">
      <c r="C804" s="189" t="e">
        <v>#N/A</v>
      </c>
      <c r="D804" s="189" t="e">
        <v>#N/A</v>
      </c>
      <c r="E804" s="189" t="e">
        <v>#N/A</v>
      </c>
      <c r="F804" s="189" t="e">
        <v>#N/A</v>
      </c>
      <c r="G804" s="189" t="e">
        <v>#N/A</v>
      </c>
      <c r="H804" s="189" t="e">
        <v>#N/A</v>
      </c>
      <c r="I804" s="189" t="e">
        <v>#N/A</v>
      </c>
      <c r="J804" s="189" t="e">
        <v>#N/A</v>
      </c>
      <c r="K804" s="204" t="e">
        <v>#N/A</v>
      </c>
      <c r="L804" s="204" t="e">
        <v>#N/A</v>
      </c>
      <c r="M804" s="205" t="e">
        <v>#N/A</v>
      </c>
      <c r="N804" s="205" t="e">
        <v>#N/A</v>
      </c>
      <c r="O804" s="205" t="e">
        <v>#N/A</v>
      </c>
      <c r="P804" s="205" t="e">
        <v>#N/A</v>
      </c>
      <c r="Q804" s="189" t="e">
        <v>#N/A</v>
      </c>
      <c r="R804" s="189" t="e">
        <v>#N/A</v>
      </c>
      <c r="S804" s="205" t="e">
        <v>#N/A</v>
      </c>
      <c r="T804" s="206"/>
    </row>
    <row r="805">
      <c r="C805" s="189" t="e">
        <v>#N/A</v>
      </c>
      <c r="D805" s="189" t="e">
        <v>#N/A</v>
      </c>
      <c r="E805" s="189" t="e">
        <v>#N/A</v>
      </c>
      <c r="F805" s="189" t="e">
        <v>#N/A</v>
      </c>
      <c r="G805" s="189" t="e">
        <v>#N/A</v>
      </c>
      <c r="H805" s="189" t="e">
        <v>#N/A</v>
      </c>
      <c r="I805" s="189" t="e">
        <v>#N/A</v>
      </c>
      <c r="J805" s="189" t="e">
        <v>#N/A</v>
      </c>
      <c r="K805" s="204" t="e">
        <v>#N/A</v>
      </c>
      <c r="L805" s="204" t="e">
        <v>#N/A</v>
      </c>
      <c r="M805" s="205" t="e">
        <v>#N/A</v>
      </c>
      <c r="N805" s="205" t="e">
        <v>#N/A</v>
      </c>
      <c r="O805" s="205" t="e">
        <v>#N/A</v>
      </c>
      <c r="P805" s="205" t="e">
        <v>#N/A</v>
      </c>
      <c r="Q805" s="189" t="e">
        <v>#N/A</v>
      </c>
      <c r="R805" s="189" t="e">
        <v>#N/A</v>
      </c>
      <c r="S805" s="205" t="e">
        <v>#N/A</v>
      </c>
      <c r="T805" s="206"/>
    </row>
    <row r="806">
      <c r="C806" s="189" t="e">
        <v>#N/A</v>
      </c>
      <c r="D806" s="189" t="e">
        <v>#N/A</v>
      </c>
      <c r="E806" s="189" t="e">
        <v>#N/A</v>
      </c>
      <c r="F806" s="189" t="e">
        <v>#N/A</v>
      </c>
      <c r="G806" s="189" t="e">
        <v>#N/A</v>
      </c>
      <c r="H806" s="189" t="e">
        <v>#N/A</v>
      </c>
      <c r="I806" s="189" t="e">
        <v>#N/A</v>
      </c>
      <c r="J806" s="189" t="e">
        <v>#N/A</v>
      </c>
      <c r="K806" s="204" t="e">
        <v>#N/A</v>
      </c>
      <c r="L806" s="204" t="e">
        <v>#N/A</v>
      </c>
      <c r="M806" s="205" t="e">
        <v>#N/A</v>
      </c>
      <c r="N806" s="205" t="e">
        <v>#N/A</v>
      </c>
      <c r="O806" s="205" t="e">
        <v>#N/A</v>
      </c>
      <c r="P806" s="205" t="e">
        <v>#N/A</v>
      </c>
      <c r="Q806" s="189" t="e">
        <v>#N/A</v>
      </c>
      <c r="R806" s="189" t="e">
        <v>#N/A</v>
      </c>
      <c r="S806" s="205" t="e">
        <v>#N/A</v>
      </c>
      <c r="T806" s="206"/>
    </row>
    <row r="807">
      <c r="C807" s="189" t="e">
        <v>#N/A</v>
      </c>
      <c r="D807" s="189" t="e">
        <v>#N/A</v>
      </c>
      <c r="E807" s="189" t="e">
        <v>#N/A</v>
      </c>
      <c r="F807" s="189" t="e">
        <v>#N/A</v>
      </c>
      <c r="G807" s="189" t="e">
        <v>#N/A</v>
      </c>
      <c r="H807" s="189" t="e">
        <v>#N/A</v>
      </c>
      <c r="I807" s="189" t="e">
        <v>#N/A</v>
      </c>
      <c r="J807" s="189" t="e">
        <v>#N/A</v>
      </c>
      <c r="K807" s="204" t="e">
        <v>#N/A</v>
      </c>
      <c r="L807" s="204" t="e">
        <v>#N/A</v>
      </c>
      <c r="M807" s="205" t="e">
        <v>#N/A</v>
      </c>
      <c r="N807" s="205" t="e">
        <v>#N/A</v>
      </c>
      <c r="O807" s="205" t="e">
        <v>#N/A</v>
      </c>
      <c r="P807" s="205" t="e">
        <v>#N/A</v>
      </c>
      <c r="Q807" s="189" t="e">
        <v>#N/A</v>
      </c>
      <c r="R807" s="189" t="e">
        <v>#N/A</v>
      </c>
      <c r="S807" s="205" t="e">
        <v>#N/A</v>
      </c>
      <c r="T807" s="206"/>
    </row>
    <row r="808">
      <c r="C808" s="189" t="e">
        <v>#N/A</v>
      </c>
      <c r="D808" s="189" t="e">
        <v>#N/A</v>
      </c>
      <c r="E808" s="189" t="e">
        <v>#N/A</v>
      </c>
      <c r="F808" s="189" t="e">
        <v>#N/A</v>
      </c>
      <c r="G808" s="189" t="e">
        <v>#N/A</v>
      </c>
      <c r="H808" s="189" t="e">
        <v>#N/A</v>
      </c>
      <c r="I808" s="189" t="e">
        <v>#N/A</v>
      </c>
      <c r="J808" s="189" t="e">
        <v>#N/A</v>
      </c>
      <c r="K808" s="204" t="e">
        <v>#N/A</v>
      </c>
      <c r="L808" s="204" t="e">
        <v>#N/A</v>
      </c>
      <c r="M808" s="205" t="e">
        <v>#N/A</v>
      </c>
      <c r="N808" s="205" t="e">
        <v>#N/A</v>
      </c>
      <c r="O808" s="205" t="e">
        <v>#N/A</v>
      </c>
      <c r="P808" s="205" t="e">
        <v>#N/A</v>
      </c>
      <c r="Q808" s="189" t="e">
        <v>#N/A</v>
      </c>
      <c r="R808" s="189" t="e">
        <v>#N/A</v>
      </c>
      <c r="S808" s="205" t="e">
        <v>#N/A</v>
      </c>
      <c r="T808" s="206"/>
    </row>
    <row r="809">
      <c r="C809" s="189" t="e">
        <v>#N/A</v>
      </c>
      <c r="D809" s="189" t="e">
        <v>#N/A</v>
      </c>
      <c r="E809" s="189" t="e">
        <v>#N/A</v>
      </c>
      <c r="F809" s="189" t="e">
        <v>#N/A</v>
      </c>
      <c r="G809" s="189" t="e">
        <v>#N/A</v>
      </c>
      <c r="H809" s="189" t="e">
        <v>#N/A</v>
      </c>
      <c r="I809" s="189" t="e">
        <v>#N/A</v>
      </c>
      <c r="J809" s="189" t="e">
        <v>#N/A</v>
      </c>
      <c r="K809" s="204" t="e">
        <v>#N/A</v>
      </c>
      <c r="L809" s="204" t="e">
        <v>#N/A</v>
      </c>
      <c r="M809" s="205" t="e">
        <v>#N/A</v>
      </c>
      <c r="N809" s="205" t="e">
        <v>#N/A</v>
      </c>
      <c r="O809" s="205" t="e">
        <v>#N/A</v>
      </c>
      <c r="P809" s="205" t="e">
        <v>#N/A</v>
      </c>
      <c r="Q809" s="189" t="e">
        <v>#N/A</v>
      </c>
      <c r="R809" s="189" t="e">
        <v>#N/A</v>
      </c>
      <c r="S809" s="205" t="e">
        <v>#N/A</v>
      </c>
      <c r="T809" s="206"/>
    </row>
    <row r="810">
      <c r="C810" s="189" t="e">
        <v>#N/A</v>
      </c>
      <c r="D810" s="189" t="e">
        <v>#N/A</v>
      </c>
      <c r="E810" s="189" t="e">
        <v>#N/A</v>
      </c>
      <c r="F810" s="189" t="e">
        <v>#N/A</v>
      </c>
      <c r="G810" s="189" t="e">
        <v>#N/A</v>
      </c>
      <c r="H810" s="189" t="e">
        <v>#N/A</v>
      </c>
      <c r="I810" s="189" t="e">
        <v>#N/A</v>
      </c>
      <c r="J810" s="189" t="e">
        <v>#N/A</v>
      </c>
      <c r="K810" s="204" t="e">
        <v>#N/A</v>
      </c>
      <c r="L810" s="204" t="e">
        <v>#N/A</v>
      </c>
      <c r="M810" s="205" t="e">
        <v>#N/A</v>
      </c>
      <c r="N810" s="205" t="e">
        <v>#N/A</v>
      </c>
      <c r="O810" s="205" t="e">
        <v>#N/A</v>
      </c>
      <c r="P810" s="205" t="e">
        <v>#N/A</v>
      </c>
      <c r="Q810" s="189" t="e">
        <v>#N/A</v>
      </c>
      <c r="R810" s="189" t="e">
        <v>#N/A</v>
      </c>
      <c r="S810" s="205" t="e">
        <v>#N/A</v>
      </c>
      <c r="T810" s="206"/>
    </row>
    <row r="811">
      <c r="C811" s="189" t="e">
        <v>#N/A</v>
      </c>
      <c r="D811" s="189" t="e">
        <v>#N/A</v>
      </c>
      <c r="E811" s="189" t="e">
        <v>#N/A</v>
      </c>
      <c r="F811" s="189" t="e">
        <v>#N/A</v>
      </c>
      <c r="G811" s="189" t="e">
        <v>#N/A</v>
      </c>
      <c r="H811" s="189" t="e">
        <v>#N/A</v>
      </c>
      <c r="I811" s="189" t="e">
        <v>#N/A</v>
      </c>
      <c r="J811" s="189" t="e">
        <v>#N/A</v>
      </c>
      <c r="K811" s="204" t="e">
        <v>#N/A</v>
      </c>
      <c r="L811" s="204" t="e">
        <v>#N/A</v>
      </c>
      <c r="M811" s="205" t="e">
        <v>#N/A</v>
      </c>
      <c r="N811" s="205" t="e">
        <v>#N/A</v>
      </c>
      <c r="O811" s="205" t="e">
        <v>#N/A</v>
      </c>
      <c r="P811" s="205" t="e">
        <v>#N/A</v>
      </c>
      <c r="Q811" s="189" t="e">
        <v>#N/A</v>
      </c>
      <c r="R811" s="189" t="e">
        <v>#N/A</v>
      </c>
      <c r="S811" s="205" t="e">
        <v>#N/A</v>
      </c>
      <c r="T811" s="206"/>
    </row>
    <row r="812">
      <c r="C812" s="189" t="e">
        <v>#N/A</v>
      </c>
      <c r="D812" s="189" t="e">
        <v>#N/A</v>
      </c>
      <c r="E812" s="189" t="e">
        <v>#N/A</v>
      </c>
      <c r="F812" s="189" t="e">
        <v>#N/A</v>
      </c>
      <c r="G812" s="189" t="e">
        <v>#N/A</v>
      </c>
      <c r="H812" s="189" t="e">
        <v>#N/A</v>
      </c>
      <c r="I812" s="189" t="e">
        <v>#N/A</v>
      </c>
      <c r="J812" s="189" t="e">
        <v>#N/A</v>
      </c>
      <c r="K812" s="204" t="e">
        <v>#N/A</v>
      </c>
      <c r="L812" s="204" t="e">
        <v>#N/A</v>
      </c>
      <c r="M812" s="205" t="e">
        <v>#N/A</v>
      </c>
      <c r="N812" s="205" t="e">
        <v>#N/A</v>
      </c>
      <c r="O812" s="205" t="e">
        <v>#N/A</v>
      </c>
      <c r="P812" s="205" t="e">
        <v>#N/A</v>
      </c>
      <c r="Q812" s="189" t="e">
        <v>#N/A</v>
      </c>
      <c r="R812" s="189" t="e">
        <v>#N/A</v>
      </c>
      <c r="S812" s="205" t="e">
        <v>#N/A</v>
      </c>
      <c r="T812" s="206"/>
    </row>
    <row r="813">
      <c r="C813" s="189" t="e">
        <v>#N/A</v>
      </c>
      <c r="D813" s="189" t="e">
        <v>#N/A</v>
      </c>
      <c r="E813" s="189" t="e">
        <v>#N/A</v>
      </c>
      <c r="F813" s="189" t="e">
        <v>#N/A</v>
      </c>
      <c r="G813" s="189" t="e">
        <v>#N/A</v>
      </c>
      <c r="H813" s="189" t="e">
        <v>#N/A</v>
      </c>
      <c r="I813" s="189" t="e">
        <v>#N/A</v>
      </c>
      <c r="J813" s="189" t="e">
        <v>#N/A</v>
      </c>
      <c r="K813" s="204" t="e">
        <v>#N/A</v>
      </c>
      <c r="L813" s="204" t="e">
        <v>#N/A</v>
      </c>
      <c r="M813" s="205" t="e">
        <v>#N/A</v>
      </c>
      <c r="N813" s="205" t="e">
        <v>#N/A</v>
      </c>
      <c r="O813" s="205" t="e">
        <v>#N/A</v>
      </c>
      <c r="P813" s="205" t="e">
        <v>#N/A</v>
      </c>
      <c r="Q813" s="189" t="e">
        <v>#N/A</v>
      </c>
      <c r="R813" s="189" t="e">
        <v>#N/A</v>
      </c>
      <c r="S813" s="205" t="e">
        <v>#N/A</v>
      </c>
      <c r="T813" s="206"/>
    </row>
    <row r="814">
      <c r="C814" s="189" t="e">
        <v>#N/A</v>
      </c>
      <c r="D814" s="189" t="e">
        <v>#N/A</v>
      </c>
      <c r="E814" s="189" t="e">
        <v>#N/A</v>
      </c>
      <c r="F814" s="189" t="e">
        <v>#N/A</v>
      </c>
      <c r="G814" s="189" t="e">
        <v>#N/A</v>
      </c>
      <c r="H814" s="189" t="e">
        <v>#N/A</v>
      </c>
      <c r="I814" s="189" t="e">
        <v>#N/A</v>
      </c>
      <c r="J814" s="189" t="e">
        <v>#N/A</v>
      </c>
      <c r="K814" s="204" t="e">
        <v>#N/A</v>
      </c>
      <c r="L814" s="204" t="e">
        <v>#N/A</v>
      </c>
      <c r="M814" s="205" t="e">
        <v>#N/A</v>
      </c>
      <c r="N814" s="205" t="e">
        <v>#N/A</v>
      </c>
      <c r="O814" s="205" t="e">
        <v>#N/A</v>
      </c>
      <c r="P814" s="205" t="e">
        <v>#N/A</v>
      </c>
      <c r="Q814" s="189" t="e">
        <v>#N/A</v>
      </c>
      <c r="R814" s="189" t="e">
        <v>#N/A</v>
      </c>
      <c r="S814" s="205" t="e">
        <v>#N/A</v>
      </c>
      <c r="T814" s="206"/>
    </row>
    <row r="815">
      <c r="C815" s="189" t="e">
        <v>#N/A</v>
      </c>
      <c r="D815" s="189" t="e">
        <v>#N/A</v>
      </c>
      <c r="E815" s="189" t="e">
        <v>#N/A</v>
      </c>
      <c r="F815" s="189" t="e">
        <v>#N/A</v>
      </c>
      <c r="G815" s="189" t="e">
        <v>#N/A</v>
      </c>
      <c r="H815" s="189" t="e">
        <v>#N/A</v>
      </c>
      <c r="I815" s="189" t="e">
        <v>#N/A</v>
      </c>
      <c r="J815" s="189" t="e">
        <v>#N/A</v>
      </c>
      <c r="K815" s="204" t="e">
        <v>#N/A</v>
      </c>
      <c r="L815" s="204" t="e">
        <v>#N/A</v>
      </c>
      <c r="M815" s="205" t="e">
        <v>#N/A</v>
      </c>
      <c r="N815" s="205" t="e">
        <v>#N/A</v>
      </c>
      <c r="O815" s="205" t="e">
        <v>#N/A</v>
      </c>
      <c r="P815" s="205" t="e">
        <v>#N/A</v>
      </c>
      <c r="Q815" s="189" t="e">
        <v>#N/A</v>
      </c>
      <c r="R815" s="189" t="e">
        <v>#N/A</v>
      </c>
      <c r="S815" s="205" t="e">
        <v>#N/A</v>
      </c>
      <c r="T815" s="206"/>
    </row>
    <row r="816">
      <c r="C816" s="189" t="e">
        <v>#N/A</v>
      </c>
      <c r="D816" s="189" t="e">
        <v>#N/A</v>
      </c>
      <c r="E816" s="189" t="e">
        <v>#N/A</v>
      </c>
      <c r="F816" s="189" t="e">
        <v>#N/A</v>
      </c>
      <c r="G816" s="189" t="e">
        <v>#N/A</v>
      </c>
      <c r="H816" s="189" t="e">
        <v>#N/A</v>
      </c>
      <c r="I816" s="189" t="e">
        <v>#N/A</v>
      </c>
      <c r="J816" s="189" t="e">
        <v>#N/A</v>
      </c>
      <c r="K816" s="204" t="e">
        <v>#N/A</v>
      </c>
      <c r="L816" s="204" t="e">
        <v>#N/A</v>
      </c>
      <c r="M816" s="205" t="e">
        <v>#N/A</v>
      </c>
      <c r="N816" s="205" t="e">
        <v>#N/A</v>
      </c>
      <c r="O816" s="205" t="e">
        <v>#N/A</v>
      </c>
      <c r="P816" s="205" t="e">
        <v>#N/A</v>
      </c>
      <c r="Q816" s="189" t="e">
        <v>#N/A</v>
      </c>
      <c r="R816" s="189" t="e">
        <v>#N/A</v>
      </c>
      <c r="S816" s="205" t="e">
        <v>#N/A</v>
      </c>
      <c r="T816" s="206"/>
    </row>
    <row r="817">
      <c r="C817" s="189" t="e">
        <v>#N/A</v>
      </c>
      <c r="D817" s="189" t="e">
        <v>#N/A</v>
      </c>
      <c r="E817" s="189" t="e">
        <v>#N/A</v>
      </c>
      <c r="F817" s="189" t="e">
        <v>#N/A</v>
      </c>
      <c r="G817" s="189" t="e">
        <v>#N/A</v>
      </c>
      <c r="H817" s="189" t="e">
        <v>#N/A</v>
      </c>
      <c r="I817" s="189" t="e">
        <v>#N/A</v>
      </c>
      <c r="J817" s="189" t="e">
        <v>#N/A</v>
      </c>
      <c r="K817" s="204" t="e">
        <v>#N/A</v>
      </c>
      <c r="L817" s="204" t="e">
        <v>#N/A</v>
      </c>
      <c r="M817" s="205" t="e">
        <v>#N/A</v>
      </c>
      <c r="N817" s="205" t="e">
        <v>#N/A</v>
      </c>
      <c r="O817" s="205" t="e">
        <v>#N/A</v>
      </c>
      <c r="P817" s="205" t="e">
        <v>#N/A</v>
      </c>
      <c r="Q817" s="189" t="e">
        <v>#N/A</v>
      </c>
      <c r="R817" s="189" t="e">
        <v>#N/A</v>
      </c>
      <c r="S817" s="205" t="e">
        <v>#N/A</v>
      </c>
      <c r="T817" s="206"/>
    </row>
    <row r="818">
      <c r="C818" s="189" t="e">
        <v>#N/A</v>
      </c>
      <c r="D818" s="189" t="e">
        <v>#N/A</v>
      </c>
      <c r="E818" s="189" t="e">
        <v>#N/A</v>
      </c>
      <c r="F818" s="189" t="e">
        <v>#N/A</v>
      </c>
      <c r="G818" s="189" t="e">
        <v>#N/A</v>
      </c>
      <c r="H818" s="189" t="e">
        <v>#N/A</v>
      </c>
      <c r="I818" s="189" t="e">
        <v>#N/A</v>
      </c>
      <c r="J818" s="189" t="e">
        <v>#N/A</v>
      </c>
      <c r="K818" s="204" t="e">
        <v>#N/A</v>
      </c>
      <c r="L818" s="204" t="e">
        <v>#N/A</v>
      </c>
      <c r="M818" s="205" t="e">
        <v>#N/A</v>
      </c>
      <c r="N818" s="205" t="e">
        <v>#N/A</v>
      </c>
      <c r="O818" s="205" t="e">
        <v>#N/A</v>
      </c>
      <c r="P818" s="205" t="e">
        <v>#N/A</v>
      </c>
      <c r="Q818" s="189" t="e">
        <v>#N/A</v>
      </c>
      <c r="R818" s="189" t="e">
        <v>#N/A</v>
      </c>
      <c r="S818" s="205" t="e">
        <v>#N/A</v>
      </c>
      <c r="T818" s="206"/>
    </row>
    <row r="819">
      <c r="C819" s="189" t="e">
        <v>#N/A</v>
      </c>
      <c r="D819" s="189" t="e">
        <v>#N/A</v>
      </c>
      <c r="E819" s="189" t="e">
        <v>#N/A</v>
      </c>
      <c r="F819" s="189" t="e">
        <v>#N/A</v>
      </c>
      <c r="G819" s="189" t="e">
        <v>#N/A</v>
      </c>
      <c r="H819" s="189" t="e">
        <v>#N/A</v>
      </c>
      <c r="I819" s="189" t="e">
        <v>#N/A</v>
      </c>
      <c r="J819" s="189" t="e">
        <v>#N/A</v>
      </c>
      <c r="K819" s="204" t="e">
        <v>#N/A</v>
      </c>
      <c r="L819" s="204" t="e">
        <v>#N/A</v>
      </c>
      <c r="M819" s="205" t="e">
        <v>#N/A</v>
      </c>
      <c r="N819" s="205" t="e">
        <v>#N/A</v>
      </c>
      <c r="O819" s="205" t="e">
        <v>#N/A</v>
      </c>
      <c r="P819" s="205" t="e">
        <v>#N/A</v>
      </c>
      <c r="Q819" s="189" t="e">
        <v>#N/A</v>
      </c>
      <c r="R819" s="189" t="e">
        <v>#N/A</v>
      </c>
      <c r="S819" s="205" t="e">
        <v>#N/A</v>
      </c>
      <c r="T819" s="206"/>
    </row>
    <row r="820">
      <c r="C820" s="189" t="e">
        <v>#N/A</v>
      </c>
      <c r="D820" s="189" t="e">
        <v>#N/A</v>
      </c>
      <c r="E820" s="189" t="e">
        <v>#N/A</v>
      </c>
      <c r="F820" s="189" t="e">
        <v>#N/A</v>
      </c>
      <c r="G820" s="189" t="e">
        <v>#N/A</v>
      </c>
      <c r="H820" s="189" t="e">
        <v>#N/A</v>
      </c>
      <c r="I820" s="189" t="e">
        <v>#N/A</v>
      </c>
      <c r="J820" s="189" t="e">
        <v>#N/A</v>
      </c>
      <c r="K820" s="204" t="e">
        <v>#N/A</v>
      </c>
      <c r="L820" s="204" t="e">
        <v>#N/A</v>
      </c>
      <c r="M820" s="205" t="e">
        <v>#N/A</v>
      </c>
      <c r="N820" s="205" t="e">
        <v>#N/A</v>
      </c>
      <c r="O820" s="205" t="e">
        <v>#N/A</v>
      </c>
      <c r="P820" s="205" t="e">
        <v>#N/A</v>
      </c>
      <c r="Q820" s="189" t="e">
        <v>#N/A</v>
      </c>
      <c r="R820" s="189" t="e">
        <v>#N/A</v>
      </c>
      <c r="S820" s="205" t="e">
        <v>#N/A</v>
      </c>
      <c r="T820" s="206"/>
    </row>
    <row r="821">
      <c r="C821" s="189" t="e">
        <v>#N/A</v>
      </c>
      <c r="D821" s="189" t="e">
        <v>#N/A</v>
      </c>
      <c r="E821" s="189" t="e">
        <v>#N/A</v>
      </c>
      <c r="F821" s="189" t="e">
        <v>#N/A</v>
      </c>
      <c r="G821" s="189" t="e">
        <v>#N/A</v>
      </c>
      <c r="H821" s="189" t="e">
        <v>#N/A</v>
      </c>
      <c r="I821" s="189" t="e">
        <v>#N/A</v>
      </c>
      <c r="J821" s="189" t="e">
        <v>#N/A</v>
      </c>
      <c r="K821" s="204" t="e">
        <v>#N/A</v>
      </c>
      <c r="L821" s="204" t="e">
        <v>#N/A</v>
      </c>
      <c r="M821" s="205" t="e">
        <v>#N/A</v>
      </c>
      <c r="N821" s="205" t="e">
        <v>#N/A</v>
      </c>
      <c r="O821" s="205" t="e">
        <v>#N/A</v>
      </c>
      <c r="P821" s="205" t="e">
        <v>#N/A</v>
      </c>
      <c r="Q821" s="189" t="e">
        <v>#N/A</v>
      </c>
      <c r="R821" s="189" t="e">
        <v>#N/A</v>
      </c>
      <c r="S821" s="205" t="e">
        <v>#N/A</v>
      </c>
      <c r="T821" s="206"/>
    </row>
    <row r="822">
      <c r="C822" s="189" t="e">
        <v>#N/A</v>
      </c>
      <c r="D822" s="189" t="e">
        <v>#N/A</v>
      </c>
      <c r="E822" s="189" t="e">
        <v>#N/A</v>
      </c>
      <c r="F822" s="189" t="e">
        <v>#N/A</v>
      </c>
      <c r="G822" s="189" t="e">
        <v>#N/A</v>
      </c>
      <c r="H822" s="189" t="e">
        <v>#N/A</v>
      </c>
      <c r="I822" s="189" t="e">
        <v>#N/A</v>
      </c>
      <c r="J822" s="189" t="e">
        <v>#N/A</v>
      </c>
      <c r="K822" s="204" t="e">
        <v>#N/A</v>
      </c>
      <c r="L822" s="204" t="e">
        <v>#N/A</v>
      </c>
      <c r="M822" s="205" t="e">
        <v>#N/A</v>
      </c>
      <c r="N822" s="205" t="e">
        <v>#N/A</v>
      </c>
      <c r="O822" s="205" t="e">
        <v>#N/A</v>
      </c>
      <c r="P822" s="205" t="e">
        <v>#N/A</v>
      </c>
      <c r="Q822" s="189" t="e">
        <v>#N/A</v>
      </c>
      <c r="R822" s="189" t="e">
        <v>#N/A</v>
      </c>
      <c r="S822" s="205" t="e">
        <v>#N/A</v>
      </c>
      <c r="T822" s="206"/>
    </row>
    <row r="823">
      <c r="C823" s="189" t="e">
        <v>#N/A</v>
      </c>
      <c r="D823" s="189" t="e">
        <v>#N/A</v>
      </c>
      <c r="E823" s="189" t="e">
        <v>#N/A</v>
      </c>
      <c r="F823" s="189" t="e">
        <v>#N/A</v>
      </c>
      <c r="G823" s="189" t="e">
        <v>#N/A</v>
      </c>
      <c r="H823" s="189" t="e">
        <v>#N/A</v>
      </c>
      <c r="I823" s="189" t="e">
        <v>#N/A</v>
      </c>
      <c r="J823" s="189" t="e">
        <v>#N/A</v>
      </c>
      <c r="K823" s="204" t="e">
        <v>#N/A</v>
      </c>
      <c r="L823" s="204" t="e">
        <v>#N/A</v>
      </c>
      <c r="M823" s="205" t="e">
        <v>#N/A</v>
      </c>
      <c r="N823" s="205" t="e">
        <v>#N/A</v>
      </c>
      <c r="O823" s="205" t="e">
        <v>#N/A</v>
      </c>
      <c r="P823" s="205" t="e">
        <v>#N/A</v>
      </c>
      <c r="Q823" s="189" t="e">
        <v>#N/A</v>
      </c>
      <c r="R823" s="189" t="e">
        <v>#N/A</v>
      </c>
      <c r="S823" s="205" t="e">
        <v>#N/A</v>
      </c>
      <c r="T823" s="206"/>
    </row>
    <row r="824">
      <c r="C824" s="189" t="e">
        <v>#N/A</v>
      </c>
      <c r="D824" s="189" t="e">
        <v>#N/A</v>
      </c>
      <c r="E824" s="189" t="e">
        <v>#N/A</v>
      </c>
      <c r="F824" s="189" t="e">
        <v>#N/A</v>
      </c>
      <c r="G824" s="189" t="e">
        <v>#N/A</v>
      </c>
      <c r="H824" s="189" t="e">
        <v>#N/A</v>
      </c>
      <c r="I824" s="189" t="e">
        <v>#N/A</v>
      </c>
      <c r="J824" s="189" t="e">
        <v>#N/A</v>
      </c>
      <c r="K824" s="204" t="e">
        <v>#N/A</v>
      </c>
      <c r="L824" s="204" t="e">
        <v>#N/A</v>
      </c>
      <c r="M824" s="205" t="e">
        <v>#N/A</v>
      </c>
      <c r="N824" s="205" t="e">
        <v>#N/A</v>
      </c>
      <c r="O824" s="205" t="e">
        <v>#N/A</v>
      </c>
      <c r="P824" s="205" t="e">
        <v>#N/A</v>
      </c>
      <c r="Q824" s="189" t="e">
        <v>#N/A</v>
      </c>
      <c r="R824" s="189" t="e">
        <v>#N/A</v>
      </c>
      <c r="S824" s="205" t="e">
        <v>#N/A</v>
      </c>
      <c r="T824" s="206"/>
    </row>
    <row r="825">
      <c r="C825" s="189" t="e">
        <v>#N/A</v>
      </c>
      <c r="D825" s="189" t="e">
        <v>#N/A</v>
      </c>
      <c r="E825" s="189" t="e">
        <v>#N/A</v>
      </c>
      <c r="F825" s="189" t="e">
        <v>#N/A</v>
      </c>
      <c r="G825" s="189" t="e">
        <v>#N/A</v>
      </c>
      <c r="H825" s="189" t="e">
        <v>#N/A</v>
      </c>
      <c r="I825" s="189" t="e">
        <v>#N/A</v>
      </c>
      <c r="J825" s="189" t="e">
        <v>#N/A</v>
      </c>
      <c r="K825" s="204" t="e">
        <v>#N/A</v>
      </c>
      <c r="L825" s="204" t="e">
        <v>#N/A</v>
      </c>
      <c r="M825" s="205" t="e">
        <v>#N/A</v>
      </c>
      <c r="N825" s="205" t="e">
        <v>#N/A</v>
      </c>
      <c r="O825" s="205" t="e">
        <v>#N/A</v>
      </c>
      <c r="P825" s="205" t="e">
        <v>#N/A</v>
      </c>
      <c r="Q825" s="189" t="e">
        <v>#N/A</v>
      </c>
      <c r="R825" s="189" t="e">
        <v>#N/A</v>
      </c>
      <c r="S825" s="205" t="e">
        <v>#N/A</v>
      </c>
      <c r="T825" s="206"/>
    </row>
    <row r="826">
      <c r="C826" s="189" t="e">
        <v>#N/A</v>
      </c>
      <c r="D826" s="189" t="e">
        <v>#N/A</v>
      </c>
      <c r="E826" s="189" t="e">
        <v>#N/A</v>
      </c>
      <c r="F826" s="189" t="e">
        <v>#N/A</v>
      </c>
      <c r="G826" s="189" t="e">
        <v>#N/A</v>
      </c>
      <c r="H826" s="189" t="e">
        <v>#N/A</v>
      </c>
      <c r="I826" s="189" t="e">
        <v>#N/A</v>
      </c>
      <c r="J826" s="189" t="e">
        <v>#N/A</v>
      </c>
      <c r="K826" s="204" t="e">
        <v>#N/A</v>
      </c>
      <c r="L826" s="204" t="e">
        <v>#N/A</v>
      </c>
      <c r="M826" s="205" t="e">
        <v>#N/A</v>
      </c>
      <c r="N826" s="205" t="e">
        <v>#N/A</v>
      </c>
      <c r="O826" s="205" t="e">
        <v>#N/A</v>
      </c>
      <c r="P826" s="205" t="e">
        <v>#N/A</v>
      </c>
      <c r="Q826" s="189" t="e">
        <v>#N/A</v>
      </c>
      <c r="R826" s="189" t="e">
        <v>#N/A</v>
      </c>
      <c r="S826" s="205" t="e">
        <v>#N/A</v>
      </c>
      <c r="T826" s="206"/>
    </row>
    <row r="827">
      <c r="C827" s="189" t="e">
        <v>#N/A</v>
      </c>
      <c r="D827" s="189" t="e">
        <v>#N/A</v>
      </c>
      <c r="E827" s="189" t="e">
        <v>#N/A</v>
      </c>
      <c r="F827" s="189" t="e">
        <v>#N/A</v>
      </c>
      <c r="G827" s="189" t="e">
        <v>#N/A</v>
      </c>
      <c r="H827" s="189" t="e">
        <v>#N/A</v>
      </c>
      <c r="I827" s="189" t="e">
        <v>#N/A</v>
      </c>
      <c r="J827" s="189" t="e">
        <v>#N/A</v>
      </c>
      <c r="K827" s="204" t="e">
        <v>#N/A</v>
      </c>
      <c r="L827" s="204" t="e">
        <v>#N/A</v>
      </c>
      <c r="M827" s="205" t="e">
        <v>#N/A</v>
      </c>
      <c r="N827" s="205" t="e">
        <v>#N/A</v>
      </c>
      <c r="O827" s="205" t="e">
        <v>#N/A</v>
      </c>
      <c r="P827" s="205" t="e">
        <v>#N/A</v>
      </c>
      <c r="Q827" s="189" t="e">
        <v>#N/A</v>
      </c>
      <c r="R827" s="189" t="e">
        <v>#N/A</v>
      </c>
      <c r="S827" s="205" t="e">
        <v>#N/A</v>
      </c>
      <c r="T827" s="206"/>
    </row>
    <row r="828">
      <c r="C828" s="189" t="e">
        <v>#N/A</v>
      </c>
      <c r="D828" s="189" t="e">
        <v>#N/A</v>
      </c>
      <c r="E828" s="189" t="e">
        <v>#N/A</v>
      </c>
      <c r="F828" s="189" t="e">
        <v>#N/A</v>
      </c>
      <c r="G828" s="189" t="e">
        <v>#N/A</v>
      </c>
      <c r="H828" s="189" t="e">
        <v>#N/A</v>
      </c>
      <c r="I828" s="189" t="e">
        <v>#N/A</v>
      </c>
      <c r="J828" s="189" t="e">
        <v>#N/A</v>
      </c>
      <c r="K828" s="204" t="e">
        <v>#N/A</v>
      </c>
      <c r="L828" s="204" t="e">
        <v>#N/A</v>
      </c>
      <c r="M828" s="205" t="e">
        <v>#N/A</v>
      </c>
      <c r="N828" s="205" t="e">
        <v>#N/A</v>
      </c>
      <c r="O828" s="205" t="e">
        <v>#N/A</v>
      </c>
      <c r="P828" s="205" t="e">
        <v>#N/A</v>
      </c>
      <c r="Q828" s="189" t="e">
        <v>#N/A</v>
      </c>
      <c r="R828" s="189" t="e">
        <v>#N/A</v>
      </c>
      <c r="S828" s="205" t="e">
        <v>#N/A</v>
      </c>
      <c r="T828" s="206"/>
    </row>
    <row r="829">
      <c r="C829" s="189" t="e">
        <v>#N/A</v>
      </c>
      <c r="D829" s="189" t="e">
        <v>#N/A</v>
      </c>
      <c r="E829" s="189" t="e">
        <v>#N/A</v>
      </c>
      <c r="F829" s="189" t="e">
        <v>#N/A</v>
      </c>
      <c r="G829" s="189" t="e">
        <v>#N/A</v>
      </c>
      <c r="H829" s="189" t="e">
        <v>#N/A</v>
      </c>
      <c r="I829" s="189" t="e">
        <v>#N/A</v>
      </c>
      <c r="J829" s="189" t="e">
        <v>#N/A</v>
      </c>
      <c r="K829" s="204" t="e">
        <v>#N/A</v>
      </c>
      <c r="L829" s="204" t="e">
        <v>#N/A</v>
      </c>
      <c r="M829" s="205" t="e">
        <v>#N/A</v>
      </c>
      <c r="N829" s="205" t="e">
        <v>#N/A</v>
      </c>
      <c r="O829" s="205" t="e">
        <v>#N/A</v>
      </c>
      <c r="P829" s="205" t="e">
        <v>#N/A</v>
      </c>
      <c r="Q829" s="189" t="e">
        <v>#N/A</v>
      </c>
      <c r="R829" s="189" t="e">
        <v>#N/A</v>
      </c>
      <c r="S829" s="205" t="e">
        <v>#N/A</v>
      </c>
      <c r="T829" s="206"/>
    </row>
    <row r="830">
      <c r="C830" s="189" t="e">
        <v>#N/A</v>
      </c>
      <c r="D830" s="189" t="e">
        <v>#N/A</v>
      </c>
      <c r="E830" s="189" t="e">
        <v>#N/A</v>
      </c>
      <c r="F830" s="189" t="e">
        <v>#N/A</v>
      </c>
      <c r="G830" s="189" t="e">
        <v>#N/A</v>
      </c>
      <c r="H830" s="189" t="e">
        <v>#N/A</v>
      </c>
      <c r="I830" s="189" t="e">
        <v>#N/A</v>
      </c>
      <c r="J830" s="189" t="e">
        <v>#N/A</v>
      </c>
      <c r="K830" s="204" t="e">
        <v>#N/A</v>
      </c>
      <c r="L830" s="204" t="e">
        <v>#N/A</v>
      </c>
      <c r="M830" s="205" t="e">
        <v>#N/A</v>
      </c>
      <c r="N830" s="205" t="e">
        <v>#N/A</v>
      </c>
      <c r="O830" s="205" t="e">
        <v>#N/A</v>
      </c>
      <c r="P830" s="205" t="e">
        <v>#N/A</v>
      </c>
      <c r="Q830" s="189" t="e">
        <v>#N/A</v>
      </c>
      <c r="R830" s="189" t="e">
        <v>#N/A</v>
      </c>
      <c r="S830" s="205" t="e">
        <v>#N/A</v>
      </c>
      <c r="T830" s="206"/>
    </row>
    <row r="831">
      <c r="C831" s="189" t="e">
        <v>#N/A</v>
      </c>
      <c r="D831" s="189" t="e">
        <v>#N/A</v>
      </c>
      <c r="E831" s="189" t="e">
        <v>#N/A</v>
      </c>
      <c r="F831" s="189" t="e">
        <v>#N/A</v>
      </c>
      <c r="G831" s="189" t="e">
        <v>#N/A</v>
      </c>
      <c r="H831" s="189" t="e">
        <v>#N/A</v>
      </c>
      <c r="I831" s="189" t="e">
        <v>#N/A</v>
      </c>
      <c r="J831" s="189" t="e">
        <v>#N/A</v>
      </c>
      <c r="K831" s="204" t="e">
        <v>#N/A</v>
      </c>
      <c r="L831" s="204" t="e">
        <v>#N/A</v>
      </c>
      <c r="M831" s="205" t="e">
        <v>#N/A</v>
      </c>
      <c r="N831" s="205" t="e">
        <v>#N/A</v>
      </c>
      <c r="O831" s="205" t="e">
        <v>#N/A</v>
      </c>
      <c r="P831" s="205" t="e">
        <v>#N/A</v>
      </c>
      <c r="Q831" s="189" t="e">
        <v>#N/A</v>
      </c>
      <c r="R831" s="189" t="e">
        <v>#N/A</v>
      </c>
      <c r="S831" s="205" t="e">
        <v>#N/A</v>
      </c>
      <c r="T831" s="206"/>
    </row>
    <row r="832">
      <c r="C832" s="189" t="e">
        <v>#N/A</v>
      </c>
      <c r="D832" s="189" t="e">
        <v>#N/A</v>
      </c>
      <c r="E832" s="189" t="e">
        <v>#N/A</v>
      </c>
      <c r="F832" s="189" t="e">
        <v>#N/A</v>
      </c>
      <c r="G832" s="189" t="e">
        <v>#N/A</v>
      </c>
      <c r="H832" s="189" t="e">
        <v>#N/A</v>
      </c>
      <c r="I832" s="189" t="e">
        <v>#N/A</v>
      </c>
      <c r="J832" s="189" t="e">
        <v>#N/A</v>
      </c>
      <c r="K832" s="204" t="e">
        <v>#N/A</v>
      </c>
      <c r="L832" s="204" t="e">
        <v>#N/A</v>
      </c>
      <c r="M832" s="205" t="e">
        <v>#N/A</v>
      </c>
      <c r="N832" s="205" t="e">
        <v>#N/A</v>
      </c>
      <c r="O832" s="205" t="e">
        <v>#N/A</v>
      </c>
      <c r="P832" s="205" t="e">
        <v>#N/A</v>
      </c>
      <c r="Q832" s="189" t="e">
        <v>#N/A</v>
      </c>
      <c r="R832" s="189" t="e">
        <v>#N/A</v>
      </c>
      <c r="S832" s="205" t="e">
        <v>#N/A</v>
      </c>
      <c r="T832" s="206"/>
    </row>
    <row r="833">
      <c r="C833" s="189" t="e">
        <v>#N/A</v>
      </c>
      <c r="D833" s="189" t="e">
        <v>#N/A</v>
      </c>
      <c r="E833" s="189" t="e">
        <v>#N/A</v>
      </c>
      <c r="F833" s="189" t="e">
        <v>#N/A</v>
      </c>
      <c r="G833" s="189" t="e">
        <v>#N/A</v>
      </c>
      <c r="H833" s="189" t="e">
        <v>#N/A</v>
      </c>
      <c r="I833" s="189" t="e">
        <v>#N/A</v>
      </c>
      <c r="J833" s="189" t="e">
        <v>#N/A</v>
      </c>
      <c r="K833" s="204" t="e">
        <v>#N/A</v>
      </c>
      <c r="L833" s="204" t="e">
        <v>#N/A</v>
      </c>
      <c r="M833" s="205" t="e">
        <v>#N/A</v>
      </c>
      <c r="N833" s="205" t="e">
        <v>#N/A</v>
      </c>
      <c r="O833" s="205" t="e">
        <v>#N/A</v>
      </c>
      <c r="P833" s="205" t="e">
        <v>#N/A</v>
      </c>
      <c r="Q833" s="189" t="e">
        <v>#N/A</v>
      </c>
      <c r="R833" s="189" t="e">
        <v>#N/A</v>
      </c>
      <c r="S833" s="205" t="e">
        <v>#N/A</v>
      </c>
      <c r="T833" s="206"/>
    </row>
    <row r="834">
      <c r="C834" s="189" t="e">
        <v>#N/A</v>
      </c>
      <c r="D834" s="189" t="e">
        <v>#N/A</v>
      </c>
      <c r="E834" s="189" t="e">
        <v>#N/A</v>
      </c>
      <c r="F834" s="189" t="e">
        <v>#N/A</v>
      </c>
      <c r="G834" s="189" t="e">
        <v>#N/A</v>
      </c>
      <c r="H834" s="189" t="e">
        <v>#N/A</v>
      </c>
      <c r="I834" s="189" t="e">
        <v>#N/A</v>
      </c>
      <c r="J834" s="189" t="e">
        <v>#N/A</v>
      </c>
      <c r="K834" s="204" t="e">
        <v>#N/A</v>
      </c>
      <c r="L834" s="204" t="e">
        <v>#N/A</v>
      </c>
      <c r="M834" s="205" t="e">
        <v>#N/A</v>
      </c>
      <c r="N834" s="205" t="e">
        <v>#N/A</v>
      </c>
      <c r="O834" s="205" t="e">
        <v>#N/A</v>
      </c>
      <c r="P834" s="205" t="e">
        <v>#N/A</v>
      </c>
      <c r="Q834" s="189" t="e">
        <v>#N/A</v>
      </c>
      <c r="R834" s="189" t="e">
        <v>#N/A</v>
      </c>
      <c r="S834" s="205" t="e">
        <v>#N/A</v>
      </c>
      <c r="T834" s="206"/>
    </row>
    <row r="835">
      <c r="C835" s="189" t="e">
        <v>#N/A</v>
      </c>
      <c r="D835" s="189" t="e">
        <v>#N/A</v>
      </c>
      <c r="E835" s="189" t="e">
        <v>#N/A</v>
      </c>
      <c r="F835" s="189" t="e">
        <v>#N/A</v>
      </c>
      <c r="G835" s="189" t="e">
        <v>#N/A</v>
      </c>
      <c r="H835" s="189" t="e">
        <v>#N/A</v>
      </c>
      <c r="I835" s="189" t="e">
        <v>#N/A</v>
      </c>
      <c r="J835" s="189" t="e">
        <v>#N/A</v>
      </c>
      <c r="K835" s="204" t="e">
        <v>#N/A</v>
      </c>
      <c r="L835" s="204" t="e">
        <v>#N/A</v>
      </c>
      <c r="M835" s="205" t="e">
        <v>#N/A</v>
      </c>
      <c r="N835" s="205" t="e">
        <v>#N/A</v>
      </c>
      <c r="O835" s="205" t="e">
        <v>#N/A</v>
      </c>
      <c r="P835" s="205" t="e">
        <v>#N/A</v>
      </c>
      <c r="Q835" s="189" t="e">
        <v>#N/A</v>
      </c>
      <c r="R835" s="189" t="e">
        <v>#N/A</v>
      </c>
      <c r="S835" s="205" t="e">
        <v>#N/A</v>
      </c>
      <c r="T835" s="206"/>
    </row>
    <row r="836">
      <c r="C836" s="189" t="e">
        <v>#N/A</v>
      </c>
      <c r="D836" s="189" t="e">
        <v>#N/A</v>
      </c>
      <c r="E836" s="189" t="e">
        <v>#N/A</v>
      </c>
      <c r="F836" s="189" t="e">
        <v>#N/A</v>
      </c>
      <c r="G836" s="189" t="e">
        <v>#N/A</v>
      </c>
      <c r="H836" s="189" t="e">
        <v>#N/A</v>
      </c>
      <c r="I836" s="189" t="e">
        <v>#N/A</v>
      </c>
      <c r="J836" s="189" t="e">
        <v>#N/A</v>
      </c>
      <c r="K836" s="204" t="e">
        <v>#N/A</v>
      </c>
      <c r="L836" s="204" t="e">
        <v>#N/A</v>
      </c>
      <c r="M836" s="205" t="e">
        <v>#N/A</v>
      </c>
      <c r="N836" s="205" t="e">
        <v>#N/A</v>
      </c>
      <c r="O836" s="205" t="e">
        <v>#N/A</v>
      </c>
      <c r="P836" s="205" t="e">
        <v>#N/A</v>
      </c>
      <c r="Q836" s="189" t="e">
        <v>#N/A</v>
      </c>
      <c r="R836" s="189" t="e">
        <v>#N/A</v>
      </c>
      <c r="S836" s="205" t="e">
        <v>#N/A</v>
      </c>
      <c r="T836" s="206"/>
    </row>
    <row r="837">
      <c r="C837" s="189" t="e">
        <v>#N/A</v>
      </c>
      <c r="D837" s="189" t="e">
        <v>#N/A</v>
      </c>
      <c r="E837" s="189" t="e">
        <v>#N/A</v>
      </c>
      <c r="F837" s="189" t="e">
        <v>#N/A</v>
      </c>
      <c r="G837" s="189" t="e">
        <v>#N/A</v>
      </c>
      <c r="H837" s="189" t="e">
        <v>#N/A</v>
      </c>
      <c r="I837" s="189" t="e">
        <v>#N/A</v>
      </c>
      <c r="J837" s="189" t="e">
        <v>#N/A</v>
      </c>
      <c r="K837" s="204" t="e">
        <v>#N/A</v>
      </c>
      <c r="L837" s="204" t="e">
        <v>#N/A</v>
      </c>
      <c r="M837" s="205" t="e">
        <v>#N/A</v>
      </c>
      <c r="N837" s="205" t="e">
        <v>#N/A</v>
      </c>
      <c r="O837" s="205" t="e">
        <v>#N/A</v>
      </c>
      <c r="P837" s="205" t="e">
        <v>#N/A</v>
      </c>
      <c r="Q837" s="189" t="e">
        <v>#N/A</v>
      </c>
      <c r="R837" s="189" t="e">
        <v>#N/A</v>
      </c>
      <c r="S837" s="205" t="e">
        <v>#N/A</v>
      </c>
      <c r="T837" s="206"/>
    </row>
    <row r="838">
      <c r="C838" s="189" t="e">
        <v>#N/A</v>
      </c>
      <c r="D838" s="189" t="e">
        <v>#N/A</v>
      </c>
      <c r="E838" s="189" t="e">
        <v>#N/A</v>
      </c>
      <c r="F838" s="189" t="e">
        <v>#N/A</v>
      </c>
      <c r="G838" s="189" t="e">
        <v>#N/A</v>
      </c>
      <c r="H838" s="189" t="e">
        <v>#N/A</v>
      </c>
      <c r="I838" s="189" t="e">
        <v>#N/A</v>
      </c>
      <c r="J838" s="189" t="e">
        <v>#N/A</v>
      </c>
      <c r="K838" s="204" t="e">
        <v>#N/A</v>
      </c>
      <c r="L838" s="204" t="e">
        <v>#N/A</v>
      </c>
      <c r="M838" s="205" t="e">
        <v>#N/A</v>
      </c>
      <c r="N838" s="205" t="e">
        <v>#N/A</v>
      </c>
      <c r="O838" s="205" t="e">
        <v>#N/A</v>
      </c>
      <c r="P838" s="205" t="e">
        <v>#N/A</v>
      </c>
      <c r="Q838" s="189" t="e">
        <v>#N/A</v>
      </c>
      <c r="R838" s="189" t="e">
        <v>#N/A</v>
      </c>
      <c r="S838" s="205" t="e">
        <v>#N/A</v>
      </c>
      <c r="T838" s="206"/>
    </row>
    <row r="839">
      <c r="C839" s="189" t="e">
        <v>#N/A</v>
      </c>
      <c r="D839" s="189" t="e">
        <v>#N/A</v>
      </c>
      <c r="E839" s="189" t="e">
        <v>#N/A</v>
      </c>
      <c r="F839" s="189" t="e">
        <v>#N/A</v>
      </c>
      <c r="G839" s="189" t="e">
        <v>#N/A</v>
      </c>
      <c r="H839" s="189" t="e">
        <v>#N/A</v>
      </c>
      <c r="I839" s="189" t="e">
        <v>#N/A</v>
      </c>
      <c r="J839" s="189" t="e">
        <v>#N/A</v>
      </c>
      <c r="K839" s="204" t="e">
        <v>#N/A</v>
      </c>
      <c r="L839" s="204" t="e">
        <v>#N/A</v>
      </c>
      <c r="M839" s="205" t="e">
        <v>#N/A</v>
      </c>
      <c r="N839" s="205" t="e">
        <v>#N/A</v>
      </c>
      <c r="O839" s="205" t="e">
        <v>#N/A</v>
      </c>
      <c r="P839" s="205" t="e">
        <v>#N/A</v>
      </c>
      <c r="Q839" s="189" t="e">
        <v>#N/A</v>
      </c>
      <c r="R839" s="189" t="e">
        <v>#N/A</v>
      </c>
      <c r="S839" s="205" t="e">
        <v>#N/A</v>
      </c>
      <c r="T839" s="206"/>
    </row>
    <row r="840">
      <c r="C840" s="189" t="e">
        <v>#N/A</v>
      </c>
      <c r="D840" s="189" t="e">
        <v>#N/A</v>
      </c>
      <c r="E840" s="189" t="e">
        <v>#N/A</v>
      </c>
      <c r="F840" s="189" t="e">
        <v>#N/A</v>
      </c>
      <c r="G840" s="189" t="e">
        <v>#N/A</v>
      </c>
      <c r="H840" s="189" t="e">
        <v>#N/A</v>
      </c>
      <c r="I840" s="189" t="e">
        <v>#N/A</v>
      </c>
      <c r="J840" s="189" t="e">
        <v>#N/A</v>
      </c>
      <c r="K840" s="204" t="e">
        <v>#N/A</v>
      </c>
      <c r="L840" s="204" t="e">
        <v>#N/A</v>
      </c>
      <c r="M840" s="205" t="e">
        <v>#N/A</v>
      </c>
      <c r="N840" s="205" t="e">
        <v>#N/A</v>
      </c>
      <c r="O840" s="205" t="e">
        <v>#N/A</v>
      </c>
      <c r="P840" s="205" t="e">
        <v>#N/A</v>
      </c>
      <c r="Q840" s="189" t="e">
        <v>#N/A</v>
      </c>
      <c r="R840" s="189" t="e">
        <v>#N/A</v>
      </c>
      <c r="S840" s="205" t="e">
        <v>#N/A</v>
      </c>
      <c r="T840" s="206"/>
    </row>
    <row r="841">
      <c r="C841" s="189" t="e">
        <v>#N/A</v>
      </c>
      <c r="D841" s="189" t="e">
        <v>#N/A</v>
      </c>
      <c r="E841" s="189" t="e">
        <v>#N/A</v>
      </c>
      <c r="F841" s="189" t="e">
        <v>#N/A</v>
      </c>
      <c r="G841" s="189" t="e">
        <v>#N/A</v>
      </c>
      <c r="H841" s="189" t="e">
        <v>#N/A</v>
      </c>
      <c r="I841" s="189" t="e">
        <v>#N/A</v>
      </c>
      <c r="J841" s="189" t="e">
        <v>#N/A</v>
      </c>
      <c r="K841" s="204" t="e">
        <v>#N/A</v>
      </c>
      <c r="L841" s="204" t="e">
        <v>#N/A</v>
      </c>
      <c r="M841" s="205" t="e">
        <v>#N/A</v>
      </c>
      <c r="N841" s="205" t="e">
        <v>#N/A</v>
      </c>
      <c r="O841" s="205" t="e">
        <v>#N/A</v>
      </c>
      <c r="P841" s="205" t="e">
        <v>#N/A</v>
      </c>
      <c r="Q841" s="189" t="e">
        <v>#N/A</v>
      </c>
      <c r="R841" s="189" t="e">
        <v>#N/A</v>
      </c>
      <c r="S841" s="205" t="e">
        <v>#N/A</v>
      </c>
      <c r="T841" s="206"/>
    </row>
    <row r="842">
      <c r="C842" s="189" t="e">
        <v>#N/A</v>
      </c>
      <c r="D842" s="189" t="e">
        <v>#N/A</v>
      </c>
      <c r="E842" s="189" t="e">
        <v>#N/A</v>
      </c>
      <c r="F842" s="189" t="e">
        <v>#N/A</v>
      </c>
      <c r="G842" s="189" t="e">
        <v>#N/A</v>
      </c>
      <c r="H842" s="189" t="e">
        <v>#N/A</v>
      </c>
      <c r="I842" s="189" t="e">
        <v>#N/A</v>
      </c>
      <c r="J842" s="189" t="e">
        <v>#N/A</v>
      </c>
      <c r="K842" s="204" t="e">
        <v>#N/A</v>
      </c>
      <c r="L842" s="204" t="e">
        <v>#N/A</v>
      </c>
      <c r="M842" s="205" t="e">
        <v>#N/A</v>
      </c>
      <c r="N842" s="205" t="e">
        <v>#N/A</v>
      </c>
      <c r="O842" s="205" t="e">
        <v>#N/A</v>
      </c>
      <c r="P842" s="205" t="e">
        <v>#N/A</v>
      </c>
      <c r="Q842" s="189" t="e">
        <v>#N/A</v>
      </c>
      <c r="R842" s="189" t="e">
        <v>#N/A</v>
      </c>
      <c r="S842" s="205" t="e">
        <v>#N/A</v>
      </c>
      <c r="T842" s="206"/>
    </row>
    <row r="843">
      <c r="C843" s="189" t="e">
        <v>#N/A</v>
      </c>
      <c r="D843" s="189" t="e">
        <v>#N/A</v>
      </c>
      <c r="E843" s="189" t="e">
        <v>#N/A</v>
      </c>
      <c r="F843" s="189" t="e">
        <v>#N/A</v>
      </c>
      <c r="G843" s="189" t="e">
        <v>#N/A</v>
      </c>
      <c r="H843" s="189" t="e">
        <v>#N/A</v>
      </c>
      <c r="I843" s="189" t="e">
        <v>#N/A</v>
      </c>
      <c r="J843" s="189" t="e">
        <v>#N/A</v>
      </c>
      <c r="K843" s="204" t="e">
        <v>#N/A</v>
      </c>
      <c r="L843" s="204" t="e">
        <v>#N/A</v>
      </c>
      <c r="M843" s="205" t="e">
        <v>#N/A</v>
      </c>
      <c r="N843" s="205" t="e">
        <v>#N/A</v>
      </c>
      <c r="O843" s="205" t="e">
        <v>#N/A</v>
      </c>
      <c r="P843" s="205" t="e">
        <v>#N/A</v>
      </c>
      <c r="Q843" s="189" t="e">
        <v>#N/A</v>
      </c>
      <c r="R843" s="189" t="e">
        <v>#N/A</v>
      </c>
      <c r="S843" s="205" t="e">
        <v>#N/A</v>
      </c>
      <c r="T843" s="206"/>
    </row>
    <row r="844">
      <c r="C844" s="189" t="e">
        <v>#N/A</v>
      </c>
      <c r="D844" s="189" t="e">
        <v>#N/A</v>
      </c>
      <c r="E844" s="189" t="e">
        <v>#N/A</v>
      </c>
      <c r="F844" s="189" t="e">
        <v>#N/A</v>
      </c>
      <c r="G844" s="189" t="e">
        <v>#N/A</v>
      </c>
      <c r="H844" s="189" t="e">
        <v>#N/A</v>
      </c>
      <c r="I844" s="189" t="e">
        <v>#N/A</v>
      </c>
      <c r="J844" s="189" t="e">
        <v>#N/A</v>
      </c>
      <c r="K844" s="204" t="e">
        <v>#N/A</v>
      </c>
      <c r="L844" s="204" t="e">
        <v>#N/A</v>
      </c>
      <c r="M844" s="205" t="e">
        <v>#N/A</v>
      </c>
      <c r="N844" s="205" t="e">
        <v>#N/A</v>
      </c>
      <c r="O844" s="205" t="e">
        <v>#N/A</v>
      </c>
      <c r="P844" s="205" t="e">
        <v>#N/A</v>
      </c>
      <c r="Q844" s="189" t="e">
        <v>#N/A</v>
      </c>
      <c r="R844" s="189" t="e">
        <v>#N/A</v>
      </c>
      <c r="S844" s="205" t="e">
        <v>#N/A</v>
      </c>
      <c r="T844" s="206"/>
    </row>
    <row r="845">
      <c r="C845" s="189" t="e">
        <v>#N/A</v>
      </c>
      <c r="D845" s="189" t="e">
        <v>#N/A</v>
      </c>
      <c r="E845" s="189" t="e">
        <v>#N/A</v>
      </c>
      <c r="F845" s="189" t="e">
        <v>#N/A</v>
      </c>
      <c r="G845" s="189" t="e">
        <v>#N/A</v>
      </c>
      <c r="H845" s="189" t="e">
        <v>#N/A</v>
      </c>
      <c r="I845" s="189" t="e">
        <v>#N/A</v>
      </c>
      <c r="J845" s="189" t="e">
        <v>#N/A</v>
      </c>
      <c r="K845" s="204" t="e">
        <v>#N/A</v>
      </c>
      <c r="L845" s="204" t="e">
        <v>#N/A</v>
      </c>
      <c r="M845" s="205" t="e">
        <v>#N/A</v>
      </c>
      <c r="N845" s="205" t="e">
        <v>#N/A</v>
      </c>
      <c r="O845" s="205" t="e">
        <v>#N/A</v>
      </c>
      <c r="P845" s="205" t="e">
        <v>#N/A</v>
      </c>
      <c r="Q845" s="189" t="e">
        <v>#N/A</v>
      </c>
      <c r="R845" s="189" t="e">
        <v>#N/A</v>
      </c>
      <c r="S845" s="205" t="e">
        <v>#N/A</v>
      </c>
      <c r="T845" s="206"/>
    </row>
    <row r="846">
      <c r="C846" s="189" t="e">
        <v>#N/A</v>
      </c>
      <c r="D846" s="189" t="e">
        <v>#N/A</v>
      </c>
      <c r="E846" s="189" t="e">
        <v>#N/A</v>
      </c>
      <c r="F846" s="189" t="e">
        <v>#N/A</v>
      </c>
      <c r="G846" s="189" t="e">
        <v>#N/A</v>
      </c>
      <c r="H846" s="189" t="e">
        <v>#N/A</v>
      </c>
      <c r="I846" s="189" t="e">
        <v>#N/A</v>
      </c>
      <c r="J846" s="189" t="e">
        <v>#N/A</v>
      </c>
      <c r="K846" s="204" t="e">
        <v>#N/A</v>
      </c>
      <c r="L846" s="204" t="e">
        <v>#N/A</v>
      </c>
      <c r="M846" s="205" t="e">
        <v>#N/A</v>
      </c>
      <c r="N846" s="205" t="e">
        <v>#N/A</v>
      </c>
      <c r="O846" s="205" t="e">
        <v>#N/A</v>
      </c>
      <c r="P846" s="205" t="e">
        <v>#N/A</v>
      </c>
      <c r="Q846" s="189" t="e">
        <v>#N/A</v>
      </c>
      <c r="R846" s="189" t="e">
        <v>#N/A</v>
      </c>
      <c r="S846" s="205" t="e">
        <v>#N/A</v>
      </c>
      <c r="T846" s="206"/>
    </row>
    <row r="847">
      <c r="C847" s="189" t="e">
        <v>#N/A</v>
      </c>
      <c r="D847" s="189" t="e">
        <v>#N/A</v>
      </c>
      <c r="E847" s="189" t="e">
        <v>#N/A</v>
      </c>
      <c r="F847" s="189" t="e">
        <v>#N/A</v>
      </c>
      <c r="G847" s="189" t="e">
        <v>#N/A</v>
      </c>
      <c r="H847" s="189" t="e">
        <v>#N/A</v>
      </c>
      <c r="I847" s="189" t="e">
        <v>#N/A</v>
      </c>
      <c r="J847" s="189" t="e">
        <v>#N/A</v>
      </c>
      <c r="K847" s="204" t="e">
        <v>#N/A</v>
      </c>
      <c r="L847" s="204" t="e">
        <v>#N/A</v>
      </c>
      <c r="M847" s="205" t="e">
        <v>#N/A</v>
      </c>
      <c r="N847" s="205" t="e">
        <v>#N/A</v>
      </c>
      <c r="O847" s="205" t="e">
        <v>#N/A</v>
      </c>
      <c r="P847" s="205" t="e">
        <v>#N/A</v>
      </c>
      <c r="Q847" s="189" t="e">
        <v>#N/A</v>
      </c>
      <c r="R847" s="189" t="e">
        <v>#N/A</v>
      </c>
      <c r="S847" s="205" t="e">
        <v>#N/A</v>
      </c>
      <c r="T847" s="206"/>
    </row>
    <row r="848">
      <c r="C848" s="189" t="e">
        <v>#N/A</v>
      </c>
      <c r="D848" s="189" t="e">
        <v>#N/A</v>
      </c>
      <c r="E848" s="189" t="e">
        <v>#N/A</v>
      </c>
      <c r="F848" s="189" t="e">
        <v>#N/A</v>
      </c>
      <c r="G848" s="189" t="e">
        <v>#N/A</v>
      </c>
      <c r="H848" s="189" t="e">
        <v>#N/A</v>
      </c>
      <c r="I848" s="189" t="e">
        <v>#N/A</v>
      </c>
      <c r="J848" s="189" t="e">
        <v>#N/A</v>
      </c>
      <c r="K848" s="204" t="e">
        <v>#N/A</v>
      </c>
      <c r="L848" s="204" t="e">
        <v>#N/A</v>
      </c>
      <c r="M848" s="205" t="e">
        <v>#N/A</v>
      </c>
      <c r="N848" s="205" t="e">
        <v>#N/A</v>
      </c>
      <c r="O848" s="205" t="e">
        <v>#N/A</v>
      </c>
      <c r="P848" s="205" t="e">
        <v>#N/A</v>
      </c>
      <c r="Q848" s="189" t="e">
        <v>#N/A</v>
      </c>
      <c r="R848" s="189" t="e">
        <v>#N/A</v>
      </c>
      <c r="S848" s="205" t="e">
        <v>#N/A</v>
      </c>
      <c r="T848" s="206"/>
    </row>
    <row r="849">
      <c r="C849" s="189" t="e">
        <v>#N/A</v>
      </c>
      <c r="D849" s="189" t="e">
        <v>#N/A</v>
      </c>
      <c r="E849" s="189" t="e">
        <v>#N/A</v>
      </c>
      <c r="F849" s="189" t="e">
        <v>#N/A</v>
      </c>
      <c r="G849" s="189" t="e">
        <v>#N/A</v>
      </c>
      <c r="H849" s="189" t="e">
        <v>#N/A</v>
      </c>
      <c r="I849" s="189" t="e">
        <v>#N/A</v>
      </c>
      <c r="J849" s="189" t="e">
        <v>#N/A</v>
      </c>
      <c r="K849" s="204" t="e">
        <v>#N/A</v>
      </c>
      <c r="L849" s="204" t="e">
        <v>#N/A</v>
      </c>
      <c r="M849" s="205" t="e">
        <v>#N/A</v>
      </c>
      <c r="N849" s="205" t="e">
        <v>#N/A</v>
      </c>
      <c r="O849" s="205" t="e">
        <v>#N/A</v>
      </c>
      <c r="P849" s="205" t="e">
        <v>#N/A</v>
      </c>
      <c r="Q849" s="189" t="e">
        <v>#N/A</v>
      </c>
      <c r="R849" s="189" t="e">
        <v>#N/A</v>
      </c>
      <c r="S849" s="205" t="e">
        <v>#N/A</v>
      </c>
      <c r="T849" s="206"/>
    </row>
    <row r="850">
      <c r="C850" s="189" t="e">
        <v>#N/A</v>
      </c>
      <c r="D850" s="189" t="e">
        <v>#N/A</v>
      </c>
      <c r="E850" s="189" t="e">
        <v>#N/A</v>
      </c>
      <c r="F850" s="189" t="e">
        <v>#N/A</v>
      </c>
      <c r="G850" s="189" t="e">
        <v>#N/A</v>
      </c>
      <c r="H850" s="189" t="e">
        <v>#N/A</v>
      </c>
      <c r="I850" s="189" t="e">
        <v>#N/A</v>
      </c>
      <c r="J850" s="189" t="e">
        <v>#N/A</v>
      </c>
      <c r="K850" s="204" t="e">
        <v>#N/A</v>
      </c>
      <c r="L850" s="204" t="e">
        <v>#N/A</v>
      </c>
      <c r="M850" s="205" t="e">
        <v>#N/A</v>
      </c>
      <c r="N850" s="205" t="e">
        <v>#N/A</v>
      </c>
      <c r="O850" s="205" t="e">
        <v>#N/A</v>
      </c>
      <c r="P850" s="205" t="e">
        <v>#N/A</v>
      </c>
      <c r="Q850" s="189" t="e">
        <v>#N/A</v>
      </c>
      <c r="R850" s="189" t="e">
        <v>#N/A</v>
      </c>
      <c r="S850" s="205" t="e">
        <v>#N/A</v>
      </c>
      <c r="T850" s="206"/>
    </row>
    <row r="851">
      <c r="C851" s="189" t="e">
        <v>#N/A</v>
      </c>
      <c r="D851" s="189" t="e">
        <v>#N/A</v>
      </c>
      <c r="E851" s="189" t="e">
        <v>#N/A</v>
      </c>
      <c r="F851" s="189" t="e">
        <v>#N/A</v>
      </c>
      <c r="G851" s="189" t="e">
        <v>#N/A</v>
      </c>
      <c r="H851" s="189" t="e">
        <v>#N/A</v>
      </c>
      <c r="I851" s="189" t="e">
        <v>#N/A</v>
      </c>
      <c r="J851" s="189" t="e">
        <v>#N/A</v>
      </c>
      <c r="K851" s="204" t="e">
        <v>#N/A</v>
      </c>
      <c r="L851" s="204" t="e">
        <v>#N/A</v>
      </c>
      <c r="M851" s="205" t="e">
        <v>#N/A</v>
      </c>
      <c r="N851" s="205" t="e">
        <v>#N/A</v>
      </c>
      <c r="O851" s="205" t="e">
        <v>#N/A</v>
      </c>
      <c r="P851" s="205" t="e">
        <v>#N/A</v>
      </c>
      <c r="Q851" s="189" t="e">
        <v>#N/A</v>
      </c>
      <c r="R851" s="189" t="e">
        <v>#N/A</v>
      </c>
      <c r="S851" s="205" t="e">
        <v>#N/A</v>
      </c>
      <c r="T851" s="206"/>
    </row>
    <row r="852">
      <c r="C852" s="189" t="e">
        <v>#N/A</v>
      </c>
      <c r="D852" s="189" t="e">
        <v>#N/A</v>
      </c>
      <c r="E852" s="189" t="e">
        <v>#N/A</v>
      </c>
      <c r="F852" s="189" t="e">
        <v>#N/A</v>
      </c>
      <c r="G852" s="189" t="e">
        <v>#N/A</v>
      </c>
      <c r="H852" s="189" t="e">
        <v>#N/A</v>
      </c>
      <c r="I852" s="189" t="e">
        <v>#N/A</v>
      </c>
      <c r="J852" s="189" t="e">
        <v>#N/A</v>
      </c>
      <c r="K852" s="204" t="e">
        <v>#N/A</v>
      </c>
      <c r="L852" s="204" t="e">
        <v>#N/A</v>
      </c>
      <c r="M852" s="205" t="e">
        <v>#N/A</v>
      </c>
      <c r="N852" s="205" t="e">
        <v>#N/A</v>
      </c>
      <c r="O852" s="205" t="e">
        <v>#N/A</v>
      </c>
      <c r="P852" s="205" t="e">
        <v>#N/A</v>
      </c>
      <c r="Q852" s="189" t="e">
        <v>#N/A</v>
      </c>
      <c r="R852" s="189" t="e">
        <v>#N/A</v>
      </c>
      <c r="S852" s="205" t="e">
        <v>#N/A</v>
      </c>
      <c r="T852" s="206"/>
    </row>
    <row r="853">
      <c r="C853" s="189" t="e">
        <v>#N/A</v>
      </c>
      <c r="D853" s="189" t="e">
        <v>#N/A</v>
      </c>
      <c r="E853" s="189" t="e">
        <v>#N/A</v>
      </c>
      <c r="F853" s="189" t="e">
        <v>#N/A</v>
      </c>
      <c r="G853" s="189" t="e">
        <v>#N/A</v>
      </c>
      <c r="H853" s="189" t="e">
        <v>#N/A</v>
      </c>
      <c r="I853" s="189" t="e">
        <v>#N/A</v>
      </c>
      <c r="J853" s="189" t="e">
        <v>#N/A</v>
      </c>
      <c r="K853" s="204" t="e">
        <v>#N/A</v>
      </c>
      <c r="L853" s="204" t="e">
        <v>#N/A</v>
      </c>
      <c r="M853" s="205" t="e">
        <v>#N/A</v>
      </c>
      <c r="N853" s="205" t="e">
        <v>#N/A</v>
      </c>
      <c r="O853" s="205" t="e">
        <v>#N/A</v>
      </c>
      <c r="P853" s="205" t="e">
        <v>#N/A</v>
      </c>
      <c r="Q853" s="189" t="e">
        <v>#N/A</v>
      </c>
      <c r="R853" s="189" t="e">
        <v>#N/A</v>
      </c>
      <c r="S853" s="205" t="e">
        <v>#N/A</v>
      </c>
      <c r="T853" s="206"/>
    </row>
    <row r="854">
      <c r="C854" s="189" t="e">
        <v>#N/A</v>
      </c>
      <c r="D854" s="189" t="e">
        <v>#N/A</v>
      </c>
      <c r="E854" s="189" t="e">
        <v>#N/A</v>
      </c>
      <c r="F854" s="189" t="e">
        <v>#N/A</v>
      </c>
      <c r="G854" s="189" t="e">
        <v>#N/A</v>
      </c>
      <c r="H854" s="189" t="e">
        <v>#N/A</v>
      </c>
      <c r="I854" s="189" t="e">
        <v>#N/A</v>
      </c>
      <c r="J854" s="189" t="e">
        <v>#N/A</v>
      </c>
      <c r="K854" s="204" t="e">
        <v>#N/A</v>
      </c>
      <c r="L854" s="204" t="e">
        <v>#N/A</v>
      </c>
      <c r="M854" s="205" t="e">
        <v>#N/A</v>
      </c>
      <c r="N854" s="205" t="e">
        <v>#N/A</v>
      </c>
      <c r="O854" s="205" t="e">
        <v>#N/A</v>
      </c>
      <c r="P854" s="205" t="e">
        <v>#N/A</v>
      </c>
      <c r="Q854" s="189" t="e">
        <v>#N/A</v>
      </c>
      <c r="R854" s="189" t="e">
        <v>#N/A</v>
      </c>
      <c r="S854" s="205" t="e">
        <v>#N/A</v>
      </c>
      <c r="T854" s="206"/>
    </row>
    <row r="855">
      <c r="C855" s="189" t="e">
        <v>#N/A</v>
      </c>
      <c r="D855" s="189" t="e">
        <v>#N/A</v>
      </c>
      <c r="E855" s="189" t="e">
        <v>#N/A</v>
      </c>
      <c r="F855" s="189" t="e">
        <v>#N/A</v>
      </c>
      <c r="G855" s="189" t="e">
        <v>#N/A</v>
      </c>
      <c r="H855" s="189" t="e">
        <v>#N/A</v>
      </c>
      <c r="I855" s="189" t="e">
        <v>#N/A</v>
      </c>
      <c r="J855" s="189" t="e">
        <v>#N/A</v>
      </c>
      <c r="K855" s="204" t="e">
        <v>#N/A</v>
      </c>
      <c r="L855" s="204" t="e">
        <v>#N/A</v>
      </c>
      <c r="M855" s="205" t="e">
        <v>#N/A</v>
      </c>
      <c r="N855" s="205" t="e">
        <v>#N/A</v>
      </c>
      <c r="O855" s="205" t="e">
        <v>#N/A</v>
      </c>
      <c r="P855" s="205" t="e">
        <v>#N/A</v>
      </c>
      <c r="Q855" s="189" t="e">
        <v>#N/A</v>
      </c>
      <c r="R855" s="189" t="e">
        <v>#N/A</v>
      </c>
      <c r="S855" s="205" t="e">
        <v>#N/A</v>
      </c>
      <c r="T855" s="206"/>
    </row>
    <row r="856">
      <c r="C856" s="189" t="e">
        <v>#N/A</v>
      </c>
      <c r="D856" s="189" t="e">
        <v>#N/A</v>
      </c>
      <c r="E856" s="189" t="e">
        <v>#N/A</v>
      </c>
      <c r="F856" s="189" t="e">
        <v>#N/A</v>
      </c>
      <c r="G856" s="189" t="e">
        <v>#N/A</v>
      </c>
      <c r="H856" s="189" t="e">
        <v>#N/A</v>
      </c>
      <c r="I856" s="189" t="e">
        <v>#N/A</v>
      </c>
      <c r="J856" s="189" t="e">
        <v>#N/A</v>
      </c>
      <c r="K856" s="204" t="e">
        <v>#N/A</v>
      </c>
      <c r="L856" s="204" t="e">
        <v>#N/A</v>
      </c>
      <c r="M856" s="205" t="e">
        <v>#N/A</v>
      </c>
      <c r="N856" s="205" t="e">
        <v>#N/A</v>
      </c>
      <c r="O856" s="205" t="e">
        <v>#N/A</v>
      </c>
      <c r="P856" s="205" t="e">
        <v>#N/A</v>
      </c>
      <c r="Q856" s="189" t="e">
        <v>#N/A</v>
      </c>
      <c r="R856" s="189" t="e">
        <v>#N/A</v>
      </c>
      <c r="S856" s="205" t="e">
        <v>#N/A</v>
      </c>
      <c r="T856" s="206"/>
    </row>
    <row r="857">
      <c r="C857" s="189" t="e">
        <v>#N/A</v>
      </c>
      <c r="D857" s="189" t="e">
        <v>#N/A</v>
      </c>
      <c r="E857" s="189" t="e">
        <v>#N/A</v>
      </c>
      <c r="F857" s="189" t="e">
        <v>#N/A</v>
      </c>
      <c r="G857" s="189" t="e">
        <v>#N/A</v>
      </c>
      <c r="H857" s="189" t="e">
        <v>#N/A</v>
      </c>
      <c r="I857" s="189" t="e">
        <v>#N/A</v>
      </c>
      <c r="J857" s="189" t="e">
        <v>#N/A</v>
      </c>
      <c r="K857" s="204" t="e">
        <v>#N/A</v>
      </c>
      <c r="L857" s="204" t="e">
        <v>#N/A</v>
      </c>
      <c r="M857" s="205" t="e">
        <v>#N/A</v>
      </c>
      <c r="N857" s="205" t="e">
        <v>#N/A</v>
      </c>
      <c r="O857" s="205" t="e">
        <v>#N/A</v>
      </c>
      <c r="P857" s="205" t="e">
        <v>#N/A</v>
      </c>
      <c r="Q857" s="189" t="e">
        <v>#N/A</v>
      </c>
      <c r="R857" s="189" t="e">
        <v>#N/A</v>
      </c>
      <c r="S857" s="205" t="e">
        <v>#N/A</v>
      </c>
      <c r="T857" s="206"/>
    </row>
    <row r="858">
      <c r="C858" s="189" t="e">
        <v>#N/A</v>
      </c>
      <c r="D858" s="189" t="e">
        <v>#N/A</v>
      </c>
      <c r="E858" s="189" t="e">
        <v>#N/A</v>
      </c>
      <c r="F858" s="189" t="e">
        <v>#N/A</v>
      </c>
      <c r="G858" s="189" t="e">
        <v>#N/A</v>
      </c>
      <c r="H858" s="189" t="e">
        <v>#N/A</v>
      </c>
      <c r="I858" s="189" t="e">
        <v>#N/A</v>
      </c>
      <c r="J858" s="189" t="e">
        <v>#N/A</v>
      </c>
      <c r="K858" s="204" t="e">
        <v>#N/A</v>
      </c>
      <c r="L858" s="204" t="e">
        <v>#N/A</v>
      </c>
      <c r="M858" s="205" t="e">
        <v>#N/A</v>
      </c>
      <c r="N858" s="205" t="e">
        <v>#N/A</v>
      </c>
      <c r="O858" s="205" t="e">
        <v>#N/A</v>
      </c>
      <c r="P858" s="205" t="e">
        <v>#N/A</v>
      </c>
      <c r="Q858" s="189" t="e">
        <v>#N/A</v>
      </c>
      <c r="R858" s="189" t="e">
        <v>#N/A</v>
      </c>
      <c r="S858" s="205" t="e">
        <v>#N/A</v>
      </c>
      <c r="T858" s="206"/>
    </row>
    <row r="859">
      <c r="C859" s="189" t="e">
        <v>#N/A</v>
      </c>
      <c r="D859" s="189" t="e">
        <v>#N/A</v>
      </c>
      <c r="E859" s="189" t="e">
        <v>#N/A</v>
      </c>
      <c r="F859" s="189" t="e">
        <v>#N/A</v>
      </c>
      <c r="G859" s="189" t="e">
        <v>#N/A</v>
      </c>
      <c r="H859" s="189" t="e">
        <v>#N/A</v>
      </c>
      <c r="I859" s="189" t="e">
        <v>#N/A</v>
      </c>
      <c r="J859" s="189" t="e">
        <v>#N/A</v>
      </c>
      <c r="K859" s="204" t="e">
        <v>#N/A</v>
      </c>
      <c r="L859" s="204" t="e">
        <v>#N/A</v>
      </c>
      <c r="M859" s="205" t="e">
        <v>#N/A</v>
      </c>
      <c r="N859" s="205" t="e">
        <v>#N/A</v>
      </c>
      <c r="O859" s="205" t="e">
        <v>#N/A</v>
      </c>
      <c r="P859" s="205" t="e">
        <v>#N/A</v>
      </c>
      <c r="Q859" s="189" t="e">
        <v>#N/A</v>
      </c>
      <c r="R859" s="189" t="e">
        <v>#N/A</v>
      </c>
      <c r="S859" s="205" t="e">
        <v>#N/A</v>
      </c>
      <c r="T859" s="206"/>
    </row>
    <row r="860">
      <c r="C860" s="189" t="e">
        <v>#N/A</v>
      </c>
      <c r="D860" s="189" t="e">
        <v>#N/A</v>
      </c>
      <c r="E860" s="189" t="e">
        <v>#N/A</v>
      </c>
      <c r="F860" s="189" t="e">
        <v>#N/A</v>
      </c>
      <c r="G860" s="189" t="e">
        <v>#N/A</v>
      </c>
      <c r="H860" s="189" t="e">
        <v>#N/A</v>
      </c>
      <c r="I860" s="189" t="e">
        <v>#N/A</v>
      </c>
      <c r="J860" s="189" t="e">
        <v>#N/A</v>
      </c>
      <c r="K860" s="204" t="e">
        <v>#N/A</v>
      </c>
      <c r="L860" s="204" t="e">
        <v>#N/A</v>
      </c>
      <c r="M860" s="205" t="e">
        <v>#N/A</v>
      </c>
      <c r="N860" s="205" t="e">
        <v>#N/A</v>
      </c>
      <c r="O860" s="205" t="e">
        <v>#N/A</v>
      </c>
      <c r="P860" s="205" t="e">
        <v>#N/A</v>
      </c>
      <c r="Q860" s="189" t="e">
        <v>#N/A</v>
      </c>
      <c r="R860" s="189" t="e">
        <v>#N/A</v>
      </c>
      <c r="S860" s="205" t="e">
        <v>#N/A</v>
      </c>
      <c r="T860" s="206"/>
    </row>
    <row r="861">
      <c r="C861" s="189" t="e">
        <v>#N/A</v>
      </c>
      <c r="D861" s="189" t="e">
        <v>#N/A</v>
      </c>
      <c r="E861" s="189" t="e">
        <v>#N/A</v>
      </c>
      <c r="F861" s="189" t="e">
        <v>#N/A</v>
      </c>
      <c r="G861" s="189" t="e">
        <v>#N/A</v>
      </c>
      <c r="H861" s="189" t="e">
        <v>#N/A</v>
      </c>
      <c r="I861" s="189" t="e">
        <v>#N/A</v>
      </c>
      <c r="J861" s="189" t="e">
        <v>#N/A</v>
      </c>
      <c r="K861" s="204" t="e">
        <v>#N/A</v>
      </c>
      <c r="L861" s="204" t="e">
        <v>#N/A</v>
      </c>
      <c r="M861" s="205" t="e">
        <v>#N/A</v>
      </c>
      <c r="N861" s="205" t="e">
        <v>#N/A</v>
      </c>
      <c r="O861" s="205" t="e">
        <v>#N/A</v>
      </c>
      <c r="P861" s="205" t="e">
        <v>#N/A</v>
      </c>
      <c r="Q861" s="189" t="e">
        <v>#N/A</v>
      </c>
      <c r="R861" s="189" t="e">
        <v>#N/A</v>
      </c>
      <c r="S861" s="205" t="e">
        <v>#N/A</v>
      </c>
      <c r="T861" s="206"/>
    </row>
    <row r="862">
      <c r="C862" s="189" t="e">
        <v>#N/A</v>
      </c>
      <c r="D862" s="189" t="e">
        <v>#N/A</v>
      </c>
      <c r="E862" s="189" t="e">
        <v>#N/A</v>
      </c>
      <c r="F862" s="189" t="e">
        <v>#N/A</v>
      </c>
      <c r="G862" s="189" t="e">
        <v>#N/A</v>
      </c>
      <c r="H862" s="189" t="e">
        <v>#N/A</v>
      </c>
      <c r="I862" s="189" t="e">
        <v>#N/A</v>
      </c>
      <c r="J862" s="189" t="e">
        <v>#N/A</v>
      </c>
      <c r="K862" s="204" t="e">
        <v>#N/A</v>
      </c>
      <c r="L862" s="204" t="e">
        <v>#N/A</v>
      </c>
      <c r="M862" s="205" t="e">
        <v>#N/A</v>
      </c>
      <c r="N862" s="205" t="e">
        <v>#N/A</v>
      </c>
      <c r="O862" s="205" t="e">
        <v>#N/A</v>
      </c>
      <c r="P862" s="205" t="e">
        <v>#N/A</v>
      </c>
      <c r="Q862" s="189" t="e">
        <v>#N/A</v>
      </c>
      <c r="R862" s="189" t="e">
        <v>#N/A</v>
      </c>
      <c r="S862" s="205" t="e">
        <v>#N/A</v>
      </c>
      <c r="T862" s="206"/>
    </row>
    <row r="863">
      <c r="C863" s="189" t="e">
        <v>#N/A</v>
      </c>
      <c r="D863" s="189" t="e">
        <v>#N/A</v>
      </c>
      <c r="E863" s="189" t="e">
        <v>#N/A</v>
      </c>
      <c r="F863" s="189" t="e">
        <v>#N/A</v>
      </c>
      <c r="G863" s="189" t="e">
        <v>#N/A</v>
      </c>
      <c r="H863" s="189" t="e">
        <v>#N/A</v>
      </c>
      <c r="I863" s="189" t="e">
        <v>#N/A</v>
      </c>
      <c r="J863" s="189" t="e">
        <v>#N/A</v>
      </c>
      <c r="K863" s="204" t="e">
        <v>#N/A</v>
      </c>
      <c r="L863" s="204" t="e">
        <v>#N/A</v>
      </c>
      <c r="M863" s="205" t="e">
        <v>#N/A</v>
      </c>
      <c r="N863" s="205" t="e">
        <v>#N/A</v>
      </c>
      <c r="O863" s="205" t="e">
        <v>#N/A</v>
      </c>
      <c r="P863" s="205" t="e">
        <v>#N/A</v>
      </c>
      <c r="Q863" s="189" t="e">
        <v>#N/A</v>
      </c>
      <c r="R863" s="189" t="e">
        <v>#N/A</v>
      </c>
      <c r="S863" s="205" t="e">
        <v>#N/A</v>
      </c>
      <c r="T863" s="206"/>
    </row>
    <row r="864">
      <c r="C864" s="189" t="e">
        <v>#N/A</v>
      </c>
      <c r="D864" s="189" t="e">
        <v>#N/A</v>
      </c>
      <c r="E864" s="189" t="e">
        <v>#N/A</v>
      </c>
      <c r="F864" s="189" t="e">
        <v>#N/A</v>
      </c>
      <c r="G864" s="189" t="e">
        <v>#N/A</v>
      </c>
      <c r="H864" s="189" t="e">
        <v>#N/A</v>
      </c>
      <c r="I864" s="189" t="e">
        <v>#N/A</v>
      </c>
      <c r="J864" s="189" t="e">
        <v>#N/A</v>
      </c>
      <c r="K864" s="204" t="e">
        <v>#N/A</v>
      </c>
      <c r="L864" s="204" t="e">
        <v>#N/A</v>
      </c>
      <c r="M864" s="205" t="e">
        <v>#N/A</v>
      </c>
      <c r="N864" s="205" t="e">
        <v>#N/A</v>
      </c>
      <c r="O864" s="205" t="e">
        <v>#N/A</v>
      </c>
      <c r="P864" s="205" t="e">
        <v>#N/A</v>
      </c>
      <c r="Q864" s="189" t="e">
        <v>#N/A</v>
      </c>
      <c r="R864" s="189" t="e">
        <v>#N/A</v>
      </c>
      <c r="S864" s="205" t="e">
        <v>#N/A</v>
      </c>
      <c r="T864" s="206"/>
    </row>
    <row r="865">
      <c r="C865" s="189" t="e">
        <v>#N/A</v>
      </c>
      <c r="D865" s="189" t="e">
        <v>#N/A</v>
      </c>
      <c r="E865" s="189" t="e">
        <v>#N/A</v>
      </c>
      <c r="F865" s="189" t="e">
        <v>#N/A</v>
      </c>
      <c r="G865" s="189" t="e">
        <v>#N/A</v>
      </c>
      <c r="H865" s="189" t="e">
        <v>#N/A</v>
      </c>
      <c r="I865" s="189" t="e">
        <v>#N/A</v>
      </c>
      <c r="J865" s="189" t="e">
        <v>#N/A</v>
      </c>
      <c r="K865" s="204" t="e">
        <v>#N/A</v>
      </c>
      <c r="L865" s="204" t="e">
        <v>#N/A</v>
      </c>
      <c r="M865" s="205" t="e">
        <v>#N/A</v>
      </c>
      <c r="N865" s="205" t="e">
        <v>#N/A</v>
      </c>
      <c r="O865" s="205" t="e">
        <v>#N/A</v>
      </c>
      <c r="P865" s="205" t="e">
        <v>#N/A</v>
      </c>
      <c r="Q865" s="189" t="e">
        <v>#N/A</v>
      </c>
      <c r="R865" s="189" t="e">
        <v>#N/A</v>
      </c>
      <c r="S865" s="205" t="e">
        <v>#N/A</v>
      </c>
      <c r="T865" s="206"/>
    </row>
    <row r="866">
      <c r="C866" s="189" t="e">
        <v>#N/A</v>
      </c>
      <c r="D866" s="189" t="e">
        <v>#N/A</v>
      </c>
      <c r="E866" s="189" t="e">
        <v>#N/A</v>
      </c>
      <c r="F866" s="189" t="e">
        <v>#N/A</v>
      </c>
      <c r="G866" s="189" t="e">
        <v>#N/A</v>
      </c>
      <c r="H866" s="189" t="e">
        <v>#N/A</v>
      </c>
      <c r="I866" s="189" t="e">
        <v>#N/A</v>
      </c>
      <c r="J866" s="189" t="e">
        <v>#N/A</v>
      </c>
      <c r="K866" s="204" t="e">
        <v>#N/A</v>
      </c>
      <c r="L866" s="204" t="e">
        <v>#N/A</v>
      </c>
      <c r="M866" s="205" t="e">
        <v>#N/A</v>
      </c>
      <c r="N866" s="205" t="e">
        <v>#N/A</v>
      </c>
      <c r="O866" s="205" t="e">
        <v>#N/A</v>
      </c>
      <c r="P866" s="205" t="e">
        <v>#N/A</v>
      </c>
      <c r="Q866" s="189" t="e">
        <v>#N/A</v>
      </c>
      <c r="R866" s="189" t="e">
        <v>#N/A</v>
      </c>
      <c r="S866" s="205" t="e">
        <v>#N/A</v>
      </c>
      <c r="T866" s="206"/>
    </row>
    <row r="867">
      <c r="C867" s="189" t="e">
        <v>#N/A</v>
      </c>
      <c r="D867" s="189" t="e">
        <v>#N/A</v>
      </c>
      <c r="E867" s="189" t="e">
        <v>#N/A</v>
      </c>
      <c r="F867" s="189" t="e">
        <v>#N/A</v>
      </c>
      <c r="G867" s="189" t="e">
        <v>#N/A</v>
      </c>
      <c r="H867" s="189" t="e">
        <v>#N/A</v>
      </c>
      <c r="I867" s="189" t="e">
        <v>#N/A</v>
      </c>
      <c r="J867" s="189" t="e">
        <v>#N/A</v>
      </c>
      <c r="K867" s="204" t="e">
        <v>#N/A</v>
      </c>
      <c r="L867" s="204" t="e">
        <v>#N/A</v>
      </c>
      <c r="M867" s="205" t="e">
        <v>#N/A</v>
      </c>
      <c r="N867" s="205" t="e">
        <v>#N/A</v>
      </c>
      <c r="O867" s="205" t="e">
        <v>#N/A</v>
      </c>
      <c r="P867" s="205" t="e">
        <v>#N/A</v>
      </c>
      <c r="Q867" s="189" t="e">
        <v>#N/A</v>
      </c>
      <c r="R867" s="189" t="e">
        <v>#N/A</v>
      </c>
      <c r="S867" s="205" t="e">
        <v>#N/A</v>
      </c>
      <c r="T867" s="206"/>
    </row>
    <row r="868">
      <c r="C868" s="189" t="e">
        <v>#N/A</v>
      </c>
      <c r="D868" s="189" t="e">
        <v>#N/A</v>
      </c>
      <c r="E868" s="189" t="e">
        <v>#N/A</v>
      </c>
      <c r="F868" s="189" t="e">
        <v>#N/A</v>
      </c>
      <c r="G868" s="189" t="e">
        <v>#N/A</v>
      </c>
      <c r="H868" s="189" t="e">
        <v>#N/A</v>
      </c>
      <c r="I868" s="189" t="e">
        <v>#N/A</v>
      </c>
      <c r="J868" s="189" t="e">
        <v>#N/A</v>
      </c>
      <c r="K868" s="204" t="e">
        <v>#N/A</v>
      </c>
      <c r="L868" s="204" t="e">
        <v>#N/A</v>
      </c>
      <c r="M868" s="205" t="e">
        <v>#N/A</v>
      </c>
      <c r="N868" s="205" t="e">
        <v>#N/A</v>
      </c>
      <c r="O868" s="205" t="e">
        <v>#N/A</v>
      </c>
      <c r="P868" s="205" t="e">
        <v>#N/A</v>
      </c>
      <c r="Q868" s="189" t="e">
        <v>#N/A</v>
      </c>
      <c r="R868" s="189" t="e">
        <v>#N/A</v>
      </c>
      <c r="S868" s="205" t="e">
        <v>#N/A</v>
      </c>
      <c r="T868" s="206"/>
    </row>
    <row r="869">
      <c r="C869" s="189" t="e">
        <v>#N/A</v>
      </c>
      <c r="D869" s="189" t="e">
        <v>#N/A</v>
      </c>
      <c r="E869" s="189" t="e">
        <v>#N/A</v>
      </c>
      <c r="F869" s="189" t="e">
        <v>#N/A</v>
      </c>
      <c r="G869" s="189" t="e">
        <v>#N/A</v>
      </c>
      <c r="H869" s="189" t="e">
        <v>#N/A</v>
      </c>
      <c r="I869" s="189" t="e">
        <v>#N/A</v>
      </c>
      <c r="J869" s="189" t="e">
        <v>#N/A</v>
      </c>
      <c r="K869" s="204" t="e">
        <v>#N/A</v>
      </c>
      <c r="L869" s="204" t="e">
        <v>#N/A</v>
      </c>
      <c r="M869" s="205" t="e">
        <v>#N/A</v>
      </c>
      <c r="N869" s="205" t="e">
        <v>#N/A</v>
      </c>
      <c r="O869" s="205" t="e">
        <v>#N/A</v>
      </c>
      <c r="P869" s="205" t="e">
        <v>#N/A</v>
      </c>
      <c r="Q869" s="189" t="e">
        <v>#N/A</v>
      </c>
      <c r="R869" s="189" t="e">
        <v>#N/A</v>
      </c>
      <c r="S869" s="205" t="e">
        <v>#N/A</v>
      </c>
      <c r="T869" s="206"/>
    </row>
    <row r="870">
      <c r="C870" s="189" t="e">
        <v>#N/A</v>
      </c>
      <c r="D870" s="189" t="e">
        <v>#N/A</v>
      </c>
      <c r="E870" s="189" t="e">
        <v>#N/A</v>
      </c>
      <c r="F870" s="189" t="e">
        <v>#N/A</v>
      </c>
      <c r="G870" s="189" t="e">
        <v>#N/A</v>
      </c>
      <c r="H870" s="189" t="e">
        <v>#N/A</v>
      </c>
      <c r="I870" s="189" t="e">
        <v>#N/A</v>
      </c>
      <c r="J870" s="189" t="e">
        <v>#N/A</v>
      </c>
      <c r="K870" s="204" t="e">
        <v>#N/A</v>
      </c>
      <c r="L870" s="204" t="e">
        <v>#N/A</v>
      </c>
      <c r="M870" s="205" t="e">
        <v>#N/A</v>
      </c>
      <c r="N870" s="205" t="e">
        <v>#N/A</v>
      </c>
      <c r="O870" s="205" t="e">
        <v>#N/A</v>
      </c>
      <c r="P870" s="205" t="e">
        <v>#N/A</v>
      </c>
      <c r="Q870" s="189" t="e">
        <v>#N/A</v>
      </c>
      <c r="R870" s="189" t="e">
        <v>#N/A</v>
      </c>
      <c r="S870" s="205" t="e">
        <v>#N/A</v>
      </c>
      <c r="T870" s="206"/>
    </row>
    <row r="871">
      <c r="C871" s="189" t="e">
        <v>#N/A</v>
      </c>
      <c r="D871" s="189" t="e">
        <v>#N/A</v>
      </c>
      <c r="E871" s="189" t="e">
        <v>#N/A</v>
      </c>
      <c r="F871" s="189" t="e">
        <v>#N/A</v>
      </c>
      <c r="G871" s="189" t="e">
        <v>#N/A</v>
      </c>
      <c r="H871" s="189" t="e">
        <v>#N/A</v>
      </c>
      <c r="I871" s="189" t="e">
        <v>#N/A</v>
      </c>
      <c r="J871" s="189" t="e">
        <v>#N/A</v>
      </c>
      <c r="K871" s="204" t="e">
        <v>#N/A</v>
      </c>
      <c r="L871" s="204" t="e">
        <v>#N/A</v>
      </c>
      <c r="M871" s="205" t="e">
        <v>#N/A</v>
      </c>
      <c r="N871" s="205" t="e">
        <v>#N/A</v>
      </c>
      <c r="O871" s="205" t="e">
        <v>#N/A</v>
      </c>
      <c r="P871" s="205" t="e">
        <v>#N/A</v>
      </c>
      <c r="Q871" s="189" t="e">
        <v>#N/A</v>
      </c>
      <c r="R871" s="189" t="e">
        <v>#N/A</v>
      </c>
      <c r="S871" s="205" t="e">
        <v>#N/A</v>
      </c>
      <c r="T871" s="206"/>
    </row>
    <row r="872">
      <c r="C872" s="189" t="e">
        <v>#N/A</v>
      </c>
      <c r="D872" s="189" t="e">
        <v>#N/A</v>
      </c>
      <c r="E872" s="189" t="e">
        <v>#N/A</v>
      </c>
      <c r="F872" s="189" t="e">
        <v>#N/A</v>
      </c>
      <c r="G872" s="189" t="e">
        <v>#N/A</v>
      </c>
      <c r="H872" s="189" t="e">
        <v>#N/A</v>
      </c>
      <c r="I872" s="189" t="e">
        <v>#N/A</v>
      </c>
      <c r="J872" s="189" t="e">
        <v>#N/A</v>
      </c>
      <c r="K872" s="204" t="e">
        <v>#N/A</v>
      </c>
      <c r="L872" s="204" t="e">
        <v>#N/A</v>
      </c>
      <c r="M872" s="205" t="e">
        <v>#N/A</v>
      </c>
      <c r="N872" s="205" t="e">
        <v>#N/A</v>
      </c>
      <c r="O872" s="205" t="e">
        <v>#N/A</v>
      </c>
      <c r="P872" s="205" t="e">
        <v>#N/A</v>
      </c>
      <c r="Q872" s="189" t="e">
        <v>#N/A</v>
      </c>
      <c r="R872" s="189" t="e">
        <v>#N/A</v>
      </c>
      <c r="S872" s="205" t="e">
        <v>#N/A</v>
      </c>
      <c r="T872" s="206"/>
    </row>
    <row r="873">
      <c r="C873" s="189" t="e">
        <v>#N/A</v>
      </c>
      <c r="D873" s="189" t="e">
        <v>#N/A</v>
      </c>
      <c r="E873" s="189" t="e">
        <v>#N/A</v>
      </c>
      <c r="F873" s="189" t="e">
        <v>#N/A</v>
      </c>
      <c r="G873" s="189" t="e">
        <v>#N/A</v>
      </c>
      <c r="H873" s="189" t="e">
        <v>#N/A</v>
      </c>
      <c r="I873" s="189" t="e">
        <v>#N/A</v>
      </c>
      <c r="J873" s="189" t="e">
        <v>#N/A</v>
      </c>
      <c r="K873" s="204" t="e">
        <v>#N/A</v>
      </c>
      <c r="L873" s="204" t="e">
        <v>#N/A</v>
      </c>
      <c r="M873" s="205" t="e">
        <v>#N/A</v>
      </c>
      <c r="N873" s="205" t="e">
        <v>#N/A</v>
      </c>
      <c r="O873" s="205" t="e">
        <v>#N/A</v>
      </c>
      <c r="P873" s="205" t="e">
        <v>#N/A</v>
      </c>
      <c r="Q873" s="189" t="e">
        <v>#N/A</v>
      </c>
      <c r="R873" s="189" t="e">
        <v>#N/A</v>
      </c>
      <c r="S873" s="205" t="e">
        <v>#N/A</v>
      </c>
      <c r="T873" s="206"/>
    </row>
    <row r="874">
      <c r="C874" s="189" t="e">
        <v>#N/A</v>
      </c>
      <c r="D874" s="189" t="e">
        <v>#N/A</v>
      </c>
      <c r="E874" s="189" t="e">
        <v>#N/A</v>
      </c>
      <c r="F874" s="189" t="e">
        <v>#N/A</v>
      </c>
      <c r="G874" s="189" t="e">
        <v>#N/A</v>
      </c>
      <c r="H874" s="189" t="e">
        <v>#N/A</v>
      </c>
      <c r="I874" s="189" t="e">
        <v>#N/A</v>
      </c>
      <c r="J874" s="189" t="e">
        <v>#N/A</v>
      </c>
      <c r="K874" s="204" t="e">
        <v>#N/A</v>
      </c>
      <c r="L874" s="204" t="e">
        <v>#N/A</v>
      </c>
      <c r="M874" s="205" t="e">
        <v>#N/A</v>
      </c>
      <c r="N874" s="205" t="e">
        <v>#N/A</v>
      </c>
      <c r="O874" s="205" t="e">
        <v>#N/A</v>
      </c>
      <c r="P874" s="205" t="e">
        <v>#N/A</v>
      </c>
      <c r="Q874" s="189" t="e">
        <v>#N/A</v>
      </c>
      <c r="R874" s="189" t="e">
        <v>#N/A</v>
      </c>
      <c r="S874" s="205" t="e">
        <v>#N/A</v>
      </c>
      <c r="T874" s="206"/>
    </row>
    <row r="875">
      <c r="C875" s="189" t="e">
        <v>#N/A</v>
      </c>
      <c r="D875" s="189" t="e">
        <v>#N/A</v>
      </c>
      <c r="E875" s="189" t="e">
        <v>#N/A</v>
      </c>
      <c r="F875" s="189" t="e">
        <v>#N/A</v>
      </c>
      <c r="G875" s="189" t="e">
        <v>#N/A</v>
      </c>
      <c r="H875" s="189" t="e">
        <v>#N/A</v>
      </c>
      <c r="I875" s="189" t="e">
        <v>#N/A</v>
      </c>
      <c r="J875" s="189" t="e">
        <v>#N/A</v>
      </c>
      <c r="K875" s="204" t="e">
        <v>#N/A</v>
      </c>
      <c r="L875" s="204" t="e">
        <v>#N/A</v>
      </c>
      <c r="M875" s="205" t="e">
        <v>#N/A</v>
      </c>
      <c r="N875" s="205" t="e">
        <v>#N/A</v>
      </c>
      <c r="O875" s="205" t="e">
        <v>#N/A</v>
      </c>
      <c r="P875" s="205" t="e">
        <v>#N/A</v>
      </c>
      <c r="Q875" s="189" t="e">
        <v>#N/A</v>
      </c>
      <c r="R875" s="189" t="e">
        <v>#N/A</v>
      </c>
      <c r="S875" s="205" t="e">
        <v>#N/A</v>
      </c>
      <c r="T875" s="206"/>
    </row>
    <row r="876">
      <c r="C876" s="189" t="e">
        <v>#N/A</v>
      </c>
      <c r="D876" s="189" t="e">
        <v>#N/A</v>
      </c>
      <c r="E876" s="189" t="e">
        <v>#N/A</v>
      </c>
      <c r="F876" s="189" t="e">
        <v>#N/A</v>
      </c>
      <c r="G876" s="189" t="e">
        <v>#N/A</v>
      </c>
      <c r="H876" s="189" t="e">
        <v>#N/A</v>
      </c>
      <c r="I876" s="189" t="e">
        <v>#N/A</v>
      </c>
      <c r="J876" s="189" t="e">
        <v>#N/A</v>
      </c>
      <c r="K876" s="204" t="e">
        <v>#N/A</v>
      </c>
      <c r="L876" s="204" t="e">
        <v>#N/A</v>
      </c>
      <c r="M876" s="205" t="e">
        <v>#N/A</v>
      </c>
      <c r="N876" s="205" t="e">
        <v>#N/A</v>
      </c>
      <c r="O876" s="205" t="e">
        <v>#N/A</v>
      </c>
      <c r="P876" s="205" t="e">
        <v>#N/A</v>
      </c>
      <c r="Q876" s="189" t="e">
        <v>#N/A</v>
      </c>
      <c r="R876" s="189" t="e">
        <v>#N/A</v>
      </c>
      <c r="S876" s="205" t="e">
        <v>#N/A</v>
      </c>
      <c r="T876" s="206"/>
    </row>
    <row r="877">
      <c r="C877" s="189" t="e">
        <v>#N/A</v>
      </c>
      <c r="D877" s="189" t="e">
        <v>#N/A</v>
      </c>
      <c r="E877" s="189" t="e">
        <v>#N/A</v>
      </c>
      <c r="F877" s="189" t="e">
        <v>#N/A</v>
      </c>
      <c r="G877" s="189" t="e">
        <v>#N/A</v>
      </c>
      <c r="H877" s="189" t="e">
        <v>#N/A</v>
      </c>
      <c r="I877" s="189" t="e">
        <v>#N/A</v>
      </c>
      <c r="J877" s="189" t="e">
        <v>#N/A</v>
      </c>
      <c r="K877" s="204" t="e">
        <v>#N/A</v>
      </c>
      <c r="L877" s="204" t="e">
        <v>#N/A</v>
      </c>
      <c r="M877" s="205" t="e">
        <v>#N/A</v>
      </c>
      <c r="N877" s="205" t="e">
        <v>#N/A</v>
      </c>
      <c r="O877" s="205" t="e">
        <v>#N/A</v>
      </c>
      <c r="P877" s="205" t="e">
        <v>#N/A</v>
      </c>
      <c r="Q877" s="189" t="e">
        <v>#N/A</v>
      </c>
      <c r="R877" s="189" t="e">
        <v>#N/A</v>
      </c>
      <c r="S877" s="205" t="e">
        <v>#N/A</v>
      </c>
      <c r="T877" s="206"/>
    </row>
    <row r="878">
      <c r="C878" s="189" t="e">
        <v>#N/A</v>
      </c>
      <c r="D878" s="189" t="e">
        <v>#N/A</v>
      </c>
      <c r="E878" s="189" t="e">
        <v>#N/A</v>
      </c>
      <c r="F878" s="189" t="e">
        <v>#N/A</v>
      </c>
      <c r="G878" s="189" t="e">
        <v>#N/A</v>
      </c>
      <c r="H878" s="189" t="e">
        <v>#N/A</v>
      </c>
      <c r="I878" s="189" t="e">
        <v>#N/A</v>
      </c>
      <c r="J878" s="189" t="e">
        <v>#N/A</v>
      </c>
      <c r="K878" s="204" t="e">
        <v>#N/A</v>
      </c>
      <c r="L878" s="204" t="e">
        <v>#N/A</v>
      </c>
      <c r="M878" s="205" t="e">
        <v>#N/A</v>
      </c>
      <c r="N878" s="205" t="e">
        <v>#N/A</v>
      </c>
      <c r="O878" s="205" t="e">
        <v>#N/A</v>
      </c>
      <c r="P878" s="205" t="e">
        <v>#N/A</v>
      </c>
      <c r="Q878" s="189" t="e">
        <v>#N/A</v>
      </c>
      <c r="R878" s="189" t="e">
        <v>#N/A</v>
      </c>
      <c r="S878" s="205" t="e">
        <v>#N/A</v>
      </c>
      <c r="T878" s="206"/>
    </row>
    <row r="879">
      <c r="C879" s="189" t="e">
        <v>#N/A</v>
      </c>
      <c r="D879" s="189" t="e">
        <v>#N/A</v>
      </c>
      <c r="E879" s="189" t="e">
        <v>#N/A</v>
      </c>
      <c r="F879" s="189" t="e">
        <v>#N/A</v>
      </c>
      <c r="G879" s="189" t="e">
        <v>#N/A</v>
      </c>
      <c r="H879" s="189" t="e">
        <v>#N/A</v>
      </c>
      <c r="I879" s="189" t="e">
        <v>#N/A</v>
      </c>
      <c r="J879" s="189" t="e">
        <v>#N/A</v>
      </c>
      <c r="K879" s="204" t="e">
        <v>#N/A</v>
      </c>
      <c r="L879" s="204" t="e">
        <v>#N/A</v>
      </c>
      <c r="M879" s="205" t="e">
        <v>#N/A</v>
      </c>
      <c r="N879" s="205" t="e">
        <v>#N/A</v>
      </c>
      <c r="O879" s="205" t="e">
        <v>#N/A</v>
      </c>
      <c r="P879" s="205" t="e">
        <v>#N/A</v>
      </c>
      <c r="Q879" s="189" t="e">
        <v>#N/A</v>
      </c>
      <c r="R879" s="189" t="e">
        <v>#N/A</v>
      </c>
      <c r="S879" s="205" t="e">
        <v>#N/A</v>
      </c>
      <c r="T879" s="206"/>
    </row>
    <row r="880">
      <c r="C880" s="189" t="e">
        <v>#N/A</v>
      </c>
      <c r="D880" s="189" t="e">
        <v>#N/A</v>
      </c>
      <c r="E880" s="189" t="e">
        <v>#N/A</v>
      </c>
      <c r="F880" s="189" t="e">
        <v>#N/A</v>
      </c>
      <c r="G880" s="189" t="e">
        <v>#N/A</v>
      </c>
      <c r="H880" s="189" t="e">
        <v>#N/A</v>
      </c>
      <c r="I880" s="189" t="e">
        <v>#N/A</v>
      </c>
      <c r="J880" s="189" t="e">
        <v>#N/A</v>
      </c>
      <c r="K880" s="204" t="e">
        <v>#N/A</v>
      </c>
      <c r="L880" s="204" t="e">
        <v>#N/A</v>
      </c>
      <c r="M880" s="205" t="e">
        <v>#N/A</v>
      </c>
      <c r="N880" s="205" t="e">
        <v>#N/A</v>
      </c>
      <c r="O880" s="205" t="e">
        <v>#N/A</v>
      </c>
      <c r="P880" s="205" t="e">
        <v>#N/A</v>
      </c>
      <c r="Q880" s="189" t="e">
        <v>#N/A</v>
      </c>
      <c r="R880" s="189" t="e">
        <v>#N/A</v>
      </c>
      <c r="S880" s="205" t="e">
        <v>#N/A</v>
      </c>
      <c r="T880" s="206"/>
    </row>
    <row r="881">
      <c r="C881" s="189" t="e">
        <v>#N/A</v>
      </c>
      <c r="D881" s="189" t="e">
        <v>#N/A</v>
      </c>
      <c r="E881" s="189" t="e">
        <v>#N/A</v>
      </c>
      <c r="F881" s="189" t="e">
        <v>#N/A</v>
      </c>
      <c r="G881" s="189" t="e">
        <v>#N/A</v>
      </c>
      <c r="H881" s="189" t="e">
        <v>#N/A</v>
      </c>
      <c r="I881" s="189" t="e">
        <v>#N/A</v>
      </c>
      <c r="J881" s="189" t="e">
        <v>#N/A</v>
      </c>
      <c r="K881" s="204" t="e">
        <v>#N/A</v>
      </c>
      <c r="L881" s="204" t="e">
        <v>#N/A</v>
      </c>
      <c r="M881" s="205" t="e">
        <v>#N/A</v>
      </c>
      <c r="N881" s="205" t="e">
        <v>#N/A</v>
      </c>
      <c r="O881" s="205" t="e">
        <v>#N/A</v>
      </c>
      <c r="P881" s="205" t="e">
        <v>#N/A</v>
      </c>
      <c r="Q881" s="189" t="e">
        <v>#N/A</v>
      </c>
      <c r="R881" s="189" t="e">
        <v>#N/A</v>
      </c>
      <c r="S881" s="205" t="e">
        <v>#N/A</v>
      </c>
      <c r="T881" s="206"/>
    </row>
    <row r="882">
      <c r="C882" s="189" t="e">
        <v>#N/A</v>
      </c>
      <c r="D882" s="189" t="e">
        <v>#N/A</v>
      </c>
      <c r="E882" s="189" t="e">
        <v>#N/A</v>
      </c>
      <c r="F882" s="189" t="e">
        <v>#N/A</v>
      </c>
      <c r="G882" s="189" t="e">
        <v>#N/A</v>
      </c>
      <c r="H882" s="189" t="e">
        <v>#N/A</v>
      </c>
      <c r="I882" s="189" t="e">
        <v>#N/A</v>
      </c>
      <c r="J882" s="189" t="e">
        <v>#N/A</v>
      </c>
      <c r="K882" s="204" t="e">
        <v>#N/A</v>
      </c>
      <c r="L882" s="204" t="e">
        <v>#N/A</v>
      </c>
      <c r="M882" s="205" t="e">
        <v>#N/A</v>
      </c>
      <c r="N882" s="205" t="e">
        <v>#N/A</v>
      </c>
      <c r="O882" s="205" t="e">
        <v>#N/A</v>
      </c>
      <c r="P882" s="205" t="e">
        <v>#N/A</v>
      </c>
      <c r="Q882" s="189" t="e">
        <v>#N/A</v>
      </c>
      <c r="R882" s="189" t="e">
        <v>#N/A</v>
      </c>
      <c r="S882" s="205" t="e">
        <v>#N/A</v>
      </c>
      <c r="T882" s="206"/>
    </row>
    <row r="883">
      <c r="C883" s="189" t="e">
        <v>#N/A</v>
      </c>
      <c r="D883" s="189" t="e">
        <v>#N/A</v>
      </c>
      <c r="E883" s="189" t="e">
        <v>#N/A</v>
      </c>
      <c r="F883" s="189" t="e">
        <v>#N/A</v>
      </c>
      <c r="G883" s="189" t="e">
        <v>#N/A</v>
      </c>
      <c r="H883" s="189" t="e">
        <v>#N/A</v>
      </c>
      <c r="I883" s="189" t="e">
        <v>#N/A</v>
      </c>
      <c r="J883" s="189" t="e">
        <v>#N/A</v>
      </c>
      <c r="K883" s="204" t="e">
        <v>#N/A</v>
      </c>
      <c r="L883" s="204" t="e">
        <v>#N/A</v>
      </c>
      <c r="M883" s="205" t="e">
        <v>#N/A</v>
      </c>
      <c r="N883" s="205" t="e">
        <v>#N/A</v>
      </c>
      <c r="O883" s="205" t="e">
        <v>#N/A</v>
      </c>
      <c r="P883" s="205" t="e">
        <v>#N/A</v>
      </c>
      <c r="Q883" s="189" t="e">
        <v>#N/A</v>
      </c>
      <c r="R883" s="189" t="e">
        <v>#N/A</v>
      </c>
      <c r="S883" s="205" t="e">
        <v>#N/A</v>
      </c>
      <c r="T883" s="206"/>
    </row>
    <row r="884">
      <c r="C884" s="189" t="e">
        <v>#N/A</v>
      </c>
      <c r="D884" s="189" t="e">
        <v>#N/A</v>
      </c>
      <c r="E884" s="189" t="e">
        <v>#N/A</v>
      </c>
      <c r="F884" s="189" t="e">
        <v>#N/A</v>
      </c>
      <c r="G884" s="189" t="e">
        <v>#N/A</v>
      </c>
      <c r="H884" s="189" t="e">
        <v>#N/A</v>
      </c>
      <c r="I884" s="189" t="e">
        <v>#N/A</v>
      </c>
      <c r="J884" s="189" t="e">
        <v>#N/A</v>
      </c>
      <c r="K884" s="204" t="e">
        <v>#N/A</v>
      </c>
      <c r="L884" s="204" t="e">
        <v>#N/A</v>
      </c>
      <c r="M884" s="205" t="e">
        <v>#N/A</v>
      </c>
      <c r="N884" s="205" t="e">
        <v>#N/A</v>
      </c>
      <c r="O884" s="205" t="e">
        <v>#N/A</v>
      </c>
      <c r="P884" s="205" t="e">
        <v>#N/A</v>
      </c>
      <c r="Q884" s="189" t="e">
        <v>#N/A</v>
      </c>
      <c r="R884" s="189" t="e">
        <v>#N/A</v>
      </c>
      <c r="S884" s="205" t="e">
        <v>#N/A</v>
      </c>
      <c r="T884" s="206"/>
    </row>
    <row r="885">
      <c r="C885" s="189" t="e">
        <v>#N/A</v>
      </c>
      <c r="D885" s="189" t="e">
        <v>#N/A</v>
      </c>
      <c r="E885" s="189" t="e">
        <v>#N/A</v>
      </c>
      <c r="F885" s="189" t="e">
        <v>#N/A</v>
      </c>
      <c r="G885" s="189" t="e">
        <v>#N/A</v>
      </c>
      <c r="H885" s="189" t="e">
        <v>#N/A</v>
      </c>
      <c r="I885" s="189" t="e">
        <v>#N/A</v>
      </c>
      <c r="J885" s="189" t="e">
        <v>#N/A</v>
      </c>
      <c r="K885" s="204" t="e">
        <v>#N/A</v>
      </c>
      <c r="L885" s="204" t="e">
        <v>#N/A</v>
      </c>
      <c r="M885" s="205" t="e">
        <v>#N/A</v>
      </c>
      <c r="N885" s="205" t="e">
        <v>#N/A</v>
      </c>
      <c r="O885" s="205" t="e">
        <v>#N/A</v>
      </c>
      <c r="P885" s="205" t="e">
        <v>#N/A</v>
      </c>
      <c r="Q885" s="189" t="e">
        <v>#N/A</v>
      </c>
      <c r="R885" s="189" t="e">
        <v>#N/A</v>
      </c>
      <c r="S885" s="205" t="e">
        <v>#N/A</v>
      </c>
      <c r="T885" s="206"/>
    </row>
    <row r="886">
      <c r="C886" s="189" t="e">
        <v>#N/A</v>
      </c>
      <c r="D886" s="189" t="e">
        <v>#N/A</v>
      </c>
      <c r="E886" s="189" t="e">
        <v>#N/A</v>
      </c>
      <c r="F886" s="189" t="e">
        <v>#N/A</v>
      </c>
      <c r="G886" s="189" t="e">
        <v>#N/A</v>
      </c>
      <c r="H886" s="189" t="e">
        <v>#N/A</v>
      </c>
      <c r="I886" s="189" t="e">
        <v>#N/A</v>
      </c>
      <c r="J886" s="189" t="e">
        <v>#N/A</v>
      </c>
      <c r="K886" s="204" t="e">
        <v>#N/A</v>
      </c>
      <c r="L886" s="204" t="e">
        <v>#N/A</v>
      </c>
      <c r="M886" s="205" t="e">
        <v>#N/A</v>
      </c>
      <c r="N886" s="205" t="e">
        <v>#N/A</v>
      </c>
      <c r="O886" s="205" t="e">
        <v>#N/A</v>
      </c>
      <c r="P886" s="205" t="e">
        <v>#N/A</v>
      </c>
      <c r="Q886" s="189" t="e">
        <v>#N/A</v>
      </c>
      <c r="R886" s="189" t="e">
        <v>#N/A</v>
      </c>
      <c r="S886" s="205" t="e">
        <v>#N/A</v>
      </c>
      <c r="T886" s="206"/>
    </row>
    <row r="887">
      <c r="C887" s="189" t="e">
        <v>#N/A</v>
      </c>
      <c r="D887" s="189" t="e">
        <v>#N/A</v>
      </c>
      <c r="E887" s="189" t="e">
        <v>#N/A</v>
      </c>
      <c r="F887" s="189" t="e">
        <v>#N/A</v>
      </c>
      <c r="G887" s="189" t="e">
        <v>#N/A</v>
      </c>
      <c r="H887" s="189" t="e">
        <v>#N/A</v>
      </c>
      <c r="I887" s="189" t="e">
        <v>#N/A</v>
      </c>
      <c r="J887" s="189" t="e">
        <v>#N/A</v>
      </c>
      <c r="K887" s="204" t="e">
        <v>#N/A</v>
      </c>
      <c r="L887" s="204" t="e">
        <v>#N/A</v>
      </c>
      <c r="M887" s="205" t="e">
        <v>#N/A</v>
      </c>
      <c r="N887" s="205" t="e">
        <v>#N/A</v>
      </c>
      <c r="O887" s="205" t="e">
        <v>#N/A</v>
      </c>
      <c r="P887" s="205" t="e">
        <v>#N/A</v>
      </c>
      <c r="Q887" s="189" t="e">
        <v>#N/A</v>
      </c>
      <c r="R887" s="189" t="e">
        <v>#N/A</v>
      </c>
      <c r="S887" s="205" t="e">
        <v>#N/A</v>
      </c>
      <c r="T887" s="206"/>
    </row>
    <row r="888">
      <c r="C888" s="189" t="e">
        <v>#N/A</v>
      </c>
      <c r="D888" s="189" t="e">
        <v>#N/A</v>
      </c>
      <c r="E888" s="189" t="e">
        <v>#N/A</v>
      </c>
      <c r="F888" s="189" t="e">
        <v>#N/A</v>
      </c>
      <c r="G888" s="189" t="e">
        <v>#N/A</v>
      </c>
      <c r="H888" s="189" t="e">
        <v>#N/A</v>
      </c>
      <c r="I888" s="189" t="e">
        <v>#N/A</v>
      </c>
      <c r="J888" s="189" t="e">
        <v>#N/A</v>
      </c>
      <c r="K888" s="204" t="e">
        <v>#N/A</v>
      </c>
      <c r="L888" s="204" t="e">
        <v>#N/A</v>
      </c>
      <c r="M888" s="205" t="e">
        <v>#N/A</v>
      </c>
      <c r="N888" s="205" t="e">
        <v>#N/A</v>
      </c>
      <c r="O888" s="205" t="e">
        <v>#N/A</v>
      </c>
      <c r="P888" s="205" t="e">
        <v>#N/A</v>
      </c>
      <c r="Q888" s="189" t="e">
        <v>#N/A</v>
      </c>
      <c r="R888" s="189" t="e">
        <v>#N/A</v>
      </c>
      <c r="S888" s="205" t="e">
        <v>#N/A</v>
      </c>
      <c r="T888" s="206"/>
    </row>
    <row r="889">
      <c r="C889" s="189" t="e">
        <v>#N/A</v>
      </c>
      <c r="D889" s="189" t="e">
        <v>#N/A</v>
      </c>
      <c r="E889" s="189" t="e">
        <v>#N/A</v>
      </c>
      <c r="F889" s="189" t="e">
        <v>#N/A</v>
      </c>
      <c r="G889" s="189" t="e">
        <v>#N/A</v>
      </c>
      <c r="H889" s="189" t="e">
        <v>#N/A</v>
      </c>
      <c r="I889" s="189" t="e">
        <v>#N/A</v>
      </c>
      <c r="J889" s="189" t="e">
        <v>#N/A</v>
      </c>
      <c r="K889" s="204" t="e">
        <v>#N/A</v>
      </c>
      <c r="L889" s="204" t="e">
        <v>#N/A</v>
      </c>
      <c r="M889" s="205" t="e">
        <v>#N/A</v>
      </c>
      <c r="N889" s="205" t="e">
        <v>#N/A</v>
      </c>
      <c r="O889" s="205" t="e">
        <v>#N/A</v>
      </c>
      <c r="P889" s="205" t="e">
        <v>#N/A</v>
      </c>
      <c r="Q889" s="189" t="e">
        <v>#N/A</v>
      </c>
      <c r="R889" s="189" t="e">
        <v>#N/A</v>
      </c>
      <c r="S889" s="205" t="e">
        <v>#N/A</v>
      </c>
      <c r="T889" s="206"/>
    </row>
    <row r="890">
      <c r="C890" s="189" t="e">
        <v>#N/A</v>
      </c>
      <c r="D890" s="189" t="e">
        <v>#N/A</v>
      </c>
      <c r="E890" s="189" t="e">
        <v>#N/A</v>
      </c>
      <c r="F890" s="189" t="e">
        <v>#N/A</v>
      </c>
      <c r="G890" s="189" t="e">
        <v>#N/A</v>
      </c>
      <c r="H890" s="189" t="e">
        <v>#N/A</v>
      </c>
      <c r="I890" s="189" t="e">
        <v>#N/A</v>
      </c>
      <c r="J890" s="189" t="e">
        <v>#N/A</v>
      </c>
      <c r="K890" s="204" t="e">
        <v>#N/A</v>
      </c>
      <c r="L890" s="204" t="e">
        <v>#N/A</v>
      </c>
      <c r="M890" s="205" t="e">
        <v>#N/A</v>
      </c>
      <c r="N890" s="205" t="e">
        <v>#N/A</v>
      </c>
      <c r="O890" s="205" t="e">
        <v>#N/A</v>
      </c>
      <c r="P890" s="205" t="e">
        <v>#N/A</v>
      </c>
      <c r="Q890" s="189" t="e">
        <v>#N/A</v>
      </c>
      <c r="R890" s="189" t="e">
        <v>#N/A</v>
      </c>
      <c r="S890" s="205" t="e">
        <v>#N/A</v>
      </c>
      <c r="T890" s="206"/>
    </row>
    <row r="891">
      <c r="C891" s="189" t="e">
        <v>#N/A</v>
      </c>
      <c r="D891" s="189" t="e">
        <v>#N/A</v>
      </c>
      <c r="E891" s="189" t="e">
        <v>#N/A</v>
      </c>
      <c r="F891" s="189" t="e">
        <v>#N/A</v>
      </c>
      <c r="G891" s="189" t="e">
        <v>#N/A</v>
      </c>
      <c r="H891" s="189" t="e">
        <v>#N/A</v>
      </c>
      <c r="I891" s="189" t="e">
        <v>#N/A</v>
      </c>
      <c r="J891" s="189" t="e">
        <v>#N/A</v>
      </c>
      <c r="K891" s="204" t="e">
        <v>#N/A</v>
      </c>
      <c r="L891" s="204" t="e">
        <v>#N/A</v>
      </c>
      <c r="M891" s="205" t="e">
        <v>#N/A</v>
      </c>
      <c r="N891" s="205" t="e">
        <v>#N/A</v>
      </c>
      <c r="O891" s="205" t="e">
        <v>#N/A</v>
      </c>
      <c r="P891" s="205" t="e">
        <v>#N/A</v>
      </c>
      <c r="Q891" s="189" t="e">
        <v>#N/A</v>
      </c>
      <c r="R891" s="189" t="e">
        <v>#N/A</v>
      </c>
      <c r="S891" s="205" t="e">
        <v>#N/A</v>
      </c>
      <c r="T891" s="206"/>
    </row>
    <row r="892">
      <c r="C892" s="189" t="e">
        <v>#N/A</v>
      </c>
      <c r="D892" s="189" t="e">
        <v>#N/A</v>
      </c>
      <c r="E892" s="189" t="e">
        <v>#N/A</v>
      </c>
      <c r="F892" s="189" t="e">
        <v>#N/A</v>
      </c>
      <c r="G892" s="189" t="e">
        <v>#N/A</v>
      </c>
      <c r="H892" s="189" t="e">
        <v>#N/A</v>
      </c>
      <c r="I892" s="189" t="e">
        <v>#N/A</v>
      </c>
      <c r="J892" s="189" t="e">
        <v>#N/A</v>
      </c>
      <c r="K892" s="204" t="e">
        <v>#N/A</v>
      </c>
      <c r="L892" s="204" t="e">
        <v>#N/A</v>
      </c>
      <c r="M892" s="205" t="e">
        <v>#N/A</v>
      </c>
      <c r="N892" s="205" t="e">
        <v>#N/A</v>
      </c>
      <c r="O892" s="205" t="e">
        <v>#N/A</v>
      </c>
      <c r="P892" s="205" t="e">
        <v>#N/A</v>
      </c>
      <c r="Q892" s="189" t="e">
        <v>#N/A</v>
      </c>
      <c r="R892" s="189" t="e">
        <v>#N/A</v>
      </c>
      <c r="S892" s="205" t="e">
        <v>#N/A</v>
      </c>
      <c r="T892" s="206"/>
    </row>
    <row r="893">
      <c r="C893" s="189" t="e">
        <v>#N/A</v>
      </c>
      <c r="D893" s="189" t="e">
        <v>#N/A</v>
      </c>
      <c r="E893" s="189" t="e">
        <v>#N/A</v>
      </c>
      <c r="F893" s="189" t="e">
        <v>#N/A</v>
      </c>
      <c r="G893" s="189" t="e">
        <v>#N/A</v>
      </c>
      <c r="H893" s="189" t="e">
        <v>#N/A</v>
      </c>
      <c r="I893" s="189" t="e">
        <v>#N/A</v>
      </c>
      <c r="J893" s="189" t="e">
        <v>#N/A</v>
      </c>
      <c r="K893" s="204" t="e">
        <v>#N/A</v>
      </c>
      <c r="L893" s="204" t="e">
        <v>#N/A</v>
      </c>
      <c r="M893" s="205" t="e">
        <v>#N/A</v>
      </c>
      <c r="N893" s="205" t="e">
        <v>#N/A</v>
      </c>
      <c r="O893" s="205" t="e">
        <v>#N/A</v>
      </c>
      <c r="P893" s="205" t="e">
        <v>#N/A</v>
      </c>
      <c r="Q893" s="189" t="e">
        <v>#N/A</v>
      </c>
      <c r="R893" s="189" t="e">
        <v>#N/A</v>
      </c>
      <c r="S893" s="205" t="e">
        <v>#N/A</v>
      </c>
      <c r="T893" s="206"/>
    </row>
    <row r="894">
      <c r="C894" s="189" t="e">
        <v>#N/A</v>
      </c>
      <c r="D894" s="189" t="e">
        <v>#N/A</v>
      </c>
      <c r="E894" s="189" t="e">
        <v>#N/A</v>
      </c>
      <c r="F894" s="189" t="e">
        <v>#N/A</v>
      </c>
      <c r="G894" s="189" t="e">
        <v>#N/A</v>
      </c>
      <c r="H894" s="189" t="e">
        <v>#N/A</v>
      </c>
      <c r="I894" s="189" t="e">
        <v>#N/A</v>
      </c>
      <c r="J894" s="189" t="e">
        <v>#N/A</v>
      </c>
      <c r="K894" s="204" t="e">
        <v>#N/A</v>
      </c>
      <c r="L894" s="204" t="e">
        <v>#N/A</v>
      </c>
      <c r="M894" s="205" t="e">
        <v>#N/A</v>
      </c>
      <c r="N894" s="205" t="e">
        <v>#N/A</v>
      </c>
      <c r="O894" s="205" t="e">
        <v>#N/A</v>
      </c>
      <c r="P894" s="205" t="e">
        <v>#N/A</v>
      </c>
      <c r="Q894" s="189" t="e">
        <v>#N/A</v>
      </c>
      <c r="R894" s="189" t="e">
        <v>#N/A</v>
      </c>
      <c r="S894" s="205" t="e">
        <v>#N/A</v>
      </c>
      <c r="T894" s="206"/>
    </row>
    <row r="895">
      <c r="C895" s="189" t="e">
        <v>#N/A</v>
      </c>
      <c r="D895" s="189" t="e">
        <v>#N/A</v>
      </c>
      <c r="E895" s="189" t="e">
        <v>#N/A</v>
      </c>
      <c r="F895" s="189" t="e">
        <v>#N/A</v>
      </c>
      <c r="G895" s="189" t="e">
        <v>#N/A</v>
      </c>
      <c r="H895" s="189" t="e">
        <v>#N/A</v>
      </c>
      <c r="I895" s="189" t="e">
        <v>#N/A</v>
      </c>
      <c r="J895" s="189" t="e">
        <v>#N/A</v>
      </c>
      <c r="K895" s="204" t="e">
        <v>#N/A</v>
      </c>
      <c r="L895" s="204" t="e">
        <v>#N/A</v>
      </c>
      <c r="M895" s="205" t="e">
        <v>#N/A</v>
      </c>
      <c r="N895" s="205" t="e">
        <v>#N/A</v>
      </c>
      <c r="O895" s="205" t="e">
        <v>#N/A</v>
      </c>
      <c r="P895" s="205" t="e">
        <v>#N/A</v>
      </c>
      <c r="Q895" s="189" t="e">
        <v>#N/A</v>
      </c>
      <c r="R895" s="189" t="e">
        <v>#N/A</v>
      </c>
      <c r="S895" s="205" t="e">
        <v>#N/A</v>
      </c>
      <c r="T895" s="206"/>
    </row>
    <row r="896">
      <c r="C896" s="189" t="e">
        <v>#N/A</v>
      </c>
      <c r="D896" s="189" t="e">
        <v>#N/A</v>
      </c>
      <c r="E896" s="189" t="e">
        <v>#N/A</v>
      </c>
      <c r="F896" s="189" t="e">
        <v>#N/A</v>
      </c>
      <c r="G896" s="189" t="e">
        <v>#N/A</v>
      </c>
      <c r="H896" s="189" t="e">
        <v>#N/A</v>
      </c>
      <c r="I896" s="189" t="e">
        <v>#N/A</v>
      </c>
      <c r="J896" s="189" t="e">
        <v>#N/A</v>
      </c>
      <c r="K896" s="204" t="e">
        <v>#N/A</v>
      </c>
      <c r="L896" s="204" t="e">
        <v>#N/A</v>
      </c>
      <c r="M896" s="205" t="e">
        <v>#N/A</v>
      </c>
      <c r="N896" s="205" t="e">
        <v>#N/A</v>
      </c>
      <c r="O896" s="205" t="e">
        <v>#N/A</v>
      </c>
      <c r="P896" s="205" t="e">
        <v>#N/A</v>
      </c>
      <c r="Q896" s="189" t="e">
        <v>#N/A</v>
      </c>
      <c r="R896" s="189" t="e">
        <v>#N/A</v>
      </c>
      <c r="S896" s="205" t="e">
        <v>#N/A</v>
      </c>
      <c r="T896" s="206"/>
    </row>
    <row r="897">
      <c r="C897" s="189" t="e">
        <v>#N/A</v>
      </c>
      <c r="D897" s="189" t="e">
        <v>#N/A</v>
      </c>
      <c r="E897" s="189" t="e">
        <v>#N/A</v>
      </c>
      <c r="F897" s="189" t="e">
        <v>#N/A</v>
      </c>
      <c r="G897" s="189" t="e">
        <v>#N/A</v>
      </c>
      <c r="H897" s="189" t="e">
        <v>#N/A</v>
      </c>
      <c r="I897" s="189" t="e">
        <v>#N/A</v>
      </c>
      <c r="J897" s="189" t="e">
        <v>#N/A</v>
      </c>
      <c r="K897" s="204" t="e">
        <v>#N/A</v>
      </c>
      <c r="L897" s="204" t="e">
        <v>#N/A</v>
      </c>
      <c r="M897" s="205" t="e">
        <v>#N/A</v>
      </c>
      <c r="N897" s="205" t="e">
        <v>#N/A</v>
      </c>
      <c r="O897" s="205" t="e">
        <v>#N/A</v>
      </c>
      <c r="P897" s="205" t="e">
        <v>#N/A</v>
      </c>
      <c r="Q897" s="189" t="e">
        <v>#N/A</v>
      </c>
      <c r="R897" s="189" t="e">
        <v>#N/A</v>
      </c>
      <c r="S897" s="205" t="e">
        <v>#N/A</v>
      </c>
      <c r="T897" s="206"/>
    </row>
    <row r="898">
      <c r="C898" s="189" t="e">
        <v>#N/A</v>
      </c>
      <c r="D898" s="189" t="e">
        <v>#N/A</v>
      </c>
      <c r="E898" s="189" t="e">
        <v>#N/A</v>
      </c>
      <c r="F898" s="189" t="e">
        <v>#N/A</v>
      </c>
      <c r="G898" s="189" t="e">
        <v>#N/A</v>
      </c>
      <c r="H898" s="189" t="e">
        <v>#N/A</v>
      </c>
      <c r="I898" s="189" t="e">
        <v>#N/A</v>
      </c>
      <c r="J898" s="189" t="e">
        <v>#N/A</v>
      </c>
      <c r="K898" s="204" t="e">
        <v>#N/A</v>
      </c>
      <c r="L898" s="204" t="e">
        <v>#N/A</v>
      </c>
      <c r="M898" s="205" t="e">
        <v>#N/A</v>
      </c>
      <c r="N898" s="205" t="e">
        <v>#N/A</v>
      </c>
      <c r="O898" s="205" t="e">
        <v>#N/A</v>
      </c>
      <c r="P898" s="205" t="e">
        <v>#N/A</v>
      </c>
      <c r="Q898" s="189" t="e">
        <v>#N/A</v>
      </c>
      <c r="R898" s="189" t="e">
        <v>#N/A</v>
      </c>
      <c r="S898" s="205" t="e">
        <v>#N/A</v>
      </c>
      <c r="T898" s="206"/>
    </row>
    <row r="899">
      <c r="C899" s="189" t="e">
        <v>#N/A</v>
      </c>
      <c r="D899" s="189" t="e">
        <v>#N/A</v>
      </c>
      <c r="E899" s="189" t="e">
        <v>#N/A</v>
      </c>
      <c r="F899" s="189" t="e">
        <v>#N/A</v>
      </c>
      <c r="G899" s="189" t="e">
        <v>#N/A</v>
      </c>
      <c r="H899" s="189" t="e">
        <v>#N/A</v>
      </c>
      <c r="I899" s="189" t="e">
        <v>#N/A</v>
      </c>
      <c r="J899" s="189" t="e">
        <v>#N/A</v>
      </c>
      <c r="K899" s="204" t="e">
        <v>#N/A</v>
      </c>
      <c r="L899" s="204" t="e">
        <v>#N/A</v>
      </c>
      <c r="M899" s="205" t="e">
        <v>#N/A</v>
      </c>
      <c r="N899" s="205" t="e">
        <v>#N/A</v>
      </c>
      <c r="O899" s="205" t="e">
        <v>#N/A</v>
      </c>
      <c r="P899" s="205" t="e">
        <v>#N/A</v>
      </c>
      <c r="Q899" s="189" t="e">
        <v>#N/A</v>
      </c>
      <c r="R899" s="189" t="e">
        <v>#N/A</v>
      </c>
      <c r="S899" s="205" t="e">
        <v>#N/A</v>
      </c>
      <c r="T899" s="206"/>
    </row>
    <row r="900">
      <c r="C900" s="189" t="e">
        <v>#N/A</v>
      </c>
      <c r="D900" s="189" t="e">
        <v>#N/A</v>
      </c>
      <c r="E900" s="189" t="e">
        <v>#N/A</v>
      </c>
      <c r="F900" s="189" t="e">
        <v>#N/A</v>
      </c>
      <c r="G900" s="189" t="e">
        <v>#N/A</v>
      </c>
      <c r="H900" s="189" t="e">
        <v>#N/A</v>
      </c>
      <c r="I900" s="189" t="e">
        <v>#N/A</v>
      </c>
      <c r="J900" s="189" t="e">
        <v>#N/A</v>
      </c>
      <c r="K900" s="204" t="e">
        <v>#N/A</v>
      </c>
      <c r="L900" s="204" t="e">
        <v>#N/A</v>
      </c>
      <c r="M900" s="205" t="e">
        <v>#N/A</v>
      </c>
      <c r="N900" s="205" t="e">
        <v>#N/A</v>
      </c>
      <c r="O900" s="205" t="e">
        <v>#N/A</v>
      </c>
      <c r="P900" s="205" t="e">
        <v>#N/A</v>
      </c>
      <c r="Q900" s="189" t="e">
        <v>#N/A</v>
      </c>
      <c r="R900" s="189" t="e">
        <v>#N/A</v>
      </c>
      <c r="S900" s="205" t="e">
        <v>#N/A</v>
      </c>
      <c r="T900" s="206"/>
    </row>
    <row r="901">
      <c r="C901" s="189" t="e">
        <v>#N/A</v>
      </c>
      <c r="D901" s="189" t="e">
        <v>#N/A</v>
      </c>
      <c r="E901" s="189" t="e">
        <v>#N/A</v>
      </c>
      <c r="F901" s="189" t="e">
        <v>#N/A</v>
      </c>
      <c r="G901" s="189" t="e">
        <v>#N/A</v>
      </c>
      <c r="H901" s="189" t="e">
        <v>#N/A</v>
      </c>
      <c r="I901" s="189" t="e">
        <v>#N/A</v>
      </c>
      <c r="J901" s="189" t="e">
        <v>#N/A</v>
      </c>
      <c r="K901" s="204" t="e">
        <v>#N/A</v>
      </c>
      <c r="L901" s="204" t="e">
        <v>#N/A</v>
      </c>
      <c r="M901" s="205" t="e">
        <v>#N/A</v>
      </c>
      <c r="N901" s="205" t="e">
        <v>#N/A</v>
      </c>
      <c r="O901" s="205" t="e">
        <v>#N/A</v>
      </c>
      <c r="P901" s="205" t="e">
        <v>#N/A</v>
      </c>
      <c r="Q901" s="189" t="e">
        <v>#N/A</v>
      </c>
      <c r="R901" s="189" t="e">
        <v>#N/A</v>
      </c>
      <c r="S901" s="205" t="e">
        <v>#N/A</v>
      </c>
      <c r="T901" s="206"/>
    </row>
    <row r="902">
      <c r="C902" s="189" t="e">
        <v>#N/A</v>
      </c>
      <c r="D902" s="189" t="e">
        <v>#N/A</v>
      </c>
      <c r="E902" s="189" t="e">
        <v>#N/A</v>
      </c>
      <c r="F902" s="189" t="e">
        <v>#N/A</v>
      </c>
      <c r="G902" s="189" t="e">
        <v>#N/A</v>
      </c>
      <c r="H902" s="189" t="e">
        <v>#N/A</v>
      </c>
      <c r="I902" s="189" t="e">
        <v>#N/A</v>
      </c>
      <c r="J902" s="189" t="e">
        <v>#N/A</v>
      </c>
      <c r="K902" s="204" t="e">
        <v>#N/A</v>
      </c>
      <c r="L902" s="204" t="e">
        <v>#N/A</v>
      </c>
      <c r="M902" s="205" t="e">
        <v>#N/A</v>
      </c>
      <c r="N902" s="205" t="e">
        <v>#N/A</v>
      </c>
      <c r="O902" s="205" t="e">
        <v>#N/A</v>
      </c>
      <c r="P902" s="205" t="e">
        <v>#N/A</v>
      </c>
      <c r="Q902" s="189" t="e">
        <v>#N/A</v>
      </c>
      <c r="R902" s="189" t="e">
        <v>#N/A</v>
      </c>
      <c r="S902" s="205" t="e">
        <v>#N/A</v>
      </c>
      <c r="T902" s="206"/>
    </row>
    <row r="903">
      <c r="C903" s="189" t="e">
        <v>#N/A</v>
      </c>
      <c r="D903" s="189" t="e">
        <v>#N/A</v>
      </c>
      <c r="E903" s="189" t="e">
        <v>#N/A</v>
      </c>
      <c r="F903" s="189" t="e">
        <v>#N/A</v>
      </c>
      <c r="G903" s="189" t="e">
        <v>#N/A</v>
      </c>
      <c r="H903" s="189" t="e">
        <v>#N/A</v>
      </c>
      <c r="I903" s="189" t="e">
        <v>#N/A</v>
      </c>
      <c r="J903" s="189" t="e">
        <v>#N/A</v>
      </c>
      <c r="K903" s="204" t="e">
        <v>#N/A</v>
      </c>
      <c r="L903" s="204" t="e">
        <v>#N/A</v>
      </c>
      <c r="M903" s="205" t="e">
        <v>#N/A</v>
      </c>
      <c r="N903" s="205" t="e">
        <v>#N/A</v>
      </c>
      <c r="O903" s="205" t="e">
        <v>#N/A</v>
      </c>
      <c r="P903" s="205" t="e">
        <v>#N/A</v>
      </c>
      <c r="Q903" s="189" t="e">
        <v>#N/A</v>
      </c>
      <c r="R903" s="189" t="e">
        <v>#N/A</v>
      </c>
      <c r="S903" s="205" t="e">
        <v>#N/A</v>
      </c>
      <c r="T903" s="206"/>
    </row>
    <row r="904">
      <c r="C904" s="189" t="e">
        <v>#N/A</v>
      </c>
      <c r="D904" s="189" t="e">
        <v>#N/A</v>
      </c>
      <c r="E904" s="189" t="e">
        <v>#N/A</v>
      </c>
      <c r="F904" s="189" t="e">
        <v>#N/A</v>
      </c>
      <c r="G904" s="189" t="e">
        <v>#N/A</v>
      </c>
      <c r="H904" s="189" t="e">
        <v>#N/A</v>
      </c>
      <c r="I904" s="189" t="e">
        <v>#N/A</v>
      </c>
      <c r="J904" s="189" t="e">
        <v>#N/A</v>
      </c>
      <c r="K904" s="204" t="e">
        <v>#N/A</v>
      </c>
      <c r="L904" s="204" t="e">
        <v>#N/A</v>
      </c>
      <c r="M904" s="205" t="e">
        <v>#N/A</v>
      </c>
      <c r="N904" s="205" t="e">
        <v>#N/A</v>
      </c>
      <c r="O904" s="205" t="e">
        <v>#N/A</v>
      </c>
      <c r="P904" s="205" t="e">
        <v>#N/A</v>
      </c>
      <c r="Q904" s="189" t="e">
        <v>#N/A</v>
      </c>
      <c r="R904" s="189" t="e">
        <v>#N/A</v>
      </c>
      <c r="S904" s="205" t="e">
        <v>#N/A</v>
      </c>
      <c r="T904" s="206"/>
    </row>
    <row r="905">
      <c r="C905" s="189" t="e">
        <v>#N/A</v>
      </c>
      <c r="D905" s="189" t="e">
        <v>#N/A</v>
      </c>
      <c r="E905" s="189" t="e">
        <v>#N/A</v>
      </c>
      <c r="F905" s="189" t="e">
        <v>#N/A</v>
      </c>
      <c r="G905" s="189" t="e">
        <v>#N/A</v>
      </c>
      <c r="H905" s="189" t="e">
        <v>#N/A</v>
      </c>
      <c r="I905" s="189" t="e">
        <v>#N/A</v>
      </c>
      <c r="J905" s="189" t="e">
        <v>#N/A</v>
      </c>
      <c r="K905" s="204" t="e">
        <v>#N/A</v>
      </c>
      <c r="L905" s="204" t="e">
        <v>#N/A</v>
      </c>
      <c r="M905" s="205" t="e">
        <v>#N/A</v>
      </c>
      <c r="N905" s="205" t="e">
        <v>#N/A</v>
      </c>
      <c r="O905" s="205" t="e">
        <v>#N/A</v>
      </c>
      <c r="P905" s="205" t="e">
        <v>#N/A</v>
      </c>
      <c r="Q905" s="189" t="e">
        <v>#N/A</v>
      </c>
      <c r="R905" s="189" t="e">
        <v>#N/A</v>
      </c>
      <c r="S905" s="205" t="e">
        <v>#N/A</v>
      </c>
      <c r="T905" s="206"/>
    </row>
    <row r="906">
      <c r="C906" s="189" t="e">
        <v>#N/A</v>
      </c>
      <c r="D906" s="189" t="e">
        <v>#N/A</v>
      </c>
      <c r="E906" s="189" t="e">
        <v>#N/A</v>
      </c>
      <c r="F906" s="189" t="e">
        <v>#N/A</v>
      </c>
      <c r="G906" s="189" t="e">
        <v>#N/A</v>
      </c>
      <c r="H906" s="189" t="e">
        <v>#N/A</v>
      </c>
      <c r="I906" s="189" t="e">
        <v>#N/A</v>
      </c>
      <c r="J906" s="189" t="e">
        <v>#N/A</v>
      </c>
      <c r="K906" s="204" t="e">
        <v>#N/A</v>
      </c>
      <c r="L906" s="204" t="e">
        <v>#N/A</v>
      </c>
      <c r="M906" s="205" t="e">
        <v>#N/A</v>
      </c>
      <c r="N906" s="205" t="e">
        <v>#N/A</v>
      </c>
      <c r="O906" s="205" t="e">
        <v>#N/A</v>
      </c>
      <c r="P906" s="205" t="e">
        <v>#N/A</v>
      </c>
      <c r="Q906" s="189" t="e">
        <v>#N/A</v>
      </c>
      <c r="R906" s="189" t="e">
        <v>#N/A</v>
      </c>
      <c r="S906" s="205" t="e">
        <v>#N/A</v>
      </c>
      <c r="T906" s="206"/>
    </row>
    <row r="907">
      <c r="C907" s="189" t="e">
        <v>#N/A</v>
      </c>
      <c r="D907" s="189" t="e">
        <v>#N/A</v>
      </c>
      <c r="E907" s="189" t="e">
        <v>#N/A</v>
      </c>
      <c r="F907" s="189" t="e">
        <v>#N/A</v>
      </c>
      <c r="G907" s="189" t="e">
        <v>#N/A</v>
      </c>
      <c r="H907" s="189" t="e">
        <v>#N/A</v>
      </c>
      <c r="I907" s="189" t="e">
        <v>#N/A</v>
      </c>
      <c r="J907" s="189" t="e">
        <v>#N/A</v>
      </c>
      <c r="K907" s="204" t="e">
        <v>#N/A</v>
      </c>
      <c r="L907" s="204" t="e">
        <v>#N/A</v>
      </c>
      <c r="M907" s="205" t="e">
        <v>#N/A</v>
      </c>
      <c r="N907" s="205" t="e">
        <v>#N/A</v>
      </c>
      <c r="O907" s="205" t="e">
        <v>#N/A</v>
      </c>
      <c r="P907" s="205" t="e">
        <v>#N/A</v>
      </c>
      <c r="Q907" s="189" t="e">
        <v>#N/A</v>
      </c>
      <c r="R907" s="189" t="e">
        <v>#N/A</v>
      </c>
      <c r="S907" s="205" t="e">
        <v>#N/A</v>
      </c>
      <c r="T907" s="206"/>
    </row>
    <row r="908">
      <c r="C908" s="189" t="e">
        <v>#N/A</v>
      </c>
      <c r="D908" s="189" t="e">
        <v>#N/A</v>
      </c>
      <c r="E908" s="189" t="e">
        <v>#N/A</v>
      </c>
      <c r="F908" s="189" t="e">
        <v>#N/A</v>
      </c>
      <c r="G908" s="189" t="e">
        <v>#N/A</v>
      </c>
      <c r="H908" s="189" t="e">
        <v>#N/A</v>
      </c>
      <c r="I908" s="189" t="e">
        <v>#N/A</v>
      </c>
      <c r="J908" s="189" t="e">
        <v>#N/A</v>
      </c>
      <c r="K908" s="204" t="e">
        <v>#N/A</v>
      </c>
      <c r="L908" s="204" t="e">
        <v>#N/A</v>
      </c>
      <c r="M908" s="205" t="e">
        <v>#N/A</v>
      </c>
      <c r="N908" s="205" t="e">
        <v>#N/A</v>
      </c>
      <c r="O908" s="205" t="e">
        <v>#N/A</v>
      </c>
      <c r="P908" s="205" t="e">
        <v>#N/A</v>
      </c>
      <c r="Q908" s="189" t="e">
        <v>#N/A</v>
      </c>
      <c r="R908" s="189" t="e">
        <v>#N/A</v>
      </c>
      <c r="S908" s="205" t="e">
        <v>#N/A</v>
      </c>
      <c r="T908" s="206"/>
    </row>
    <row r="909">
      <c r="C909" s="189" t="e">
        <v>#N/A</v>
      </c>
      <c r="D909" s="189" t="e">
        <v>#N/A</v>
      </c>
      <c r="E909" s="189" t="e">
        <v>#N/A</v>
      </c>
      <c r="F909" s="189" t="e">
        <v>#N/A</v>
      </c>
      <c r="G909" s="189" t="e">
        <v>#N/A</v>
      </c>
      <c r="H909" s="189" t="e">
        <v>#N/A</v>
      </c>
      <c r="I909" s="189" t="e">
        <v>#N/A</v>
      </c>
      <c r="J909" s="189" t="e">
        <v>#N/A</v>
      </c>
      <c r="K909" s="204" t="e">
        <v>#N/A</v>
      </c>
      <c r="L909" s="204" t="e">
        <v>#N/A</v>
      </c>
      <c r="M909" s="205" t="e">
        <v>#N/A</v>
      </c>
      <c r="N909" s="205" t="e">
        <v>#N/A</v>
      </c>
      <c r="O909" s="205" t="e">
        <v>#N/A</v>
      </c>
      <c r="P909" s="205" t="e">
        <v>#N/A</v>
      </c>
      <c r="Q909" s="189" t="e">
        <v>#N/A</v>
      </c>
      <c r="R909" s="189" t="e">
        <v>#N/A</v>
      </c>
      <c r="S909" s="205" t="e">
        <v>#N/A</v>
      </c>
      <c r="T909" s="206"/>
    </row>
    <row r="910">
      <c r="C910" s="189" t="e">
        <v>#N/A</v>
      </c>
      <c r="D910" s="189" t="e">
        <v>#N/A</v>
      </c>
      <c r="E910" s="189" t="e">
        <v>#N/A</v>
      </c>
      <c r="F910" s="189" t="e">
        <v>#N/A</v>
      </c>
      <c r="G910" s="189" t="e">
        <v>#N/A</v>
      </c>
      <c r="H910" s="189" t="e">
        <v>#N/A</v>
      </c>
      <c r="I910" s="189" t="e">
        <v>#N/A</v>
      </c>
      <c r="J910" s="189" t="e">
        <v>#N/A</v>
      </c>
      <c r="K910" s="204" t="e">
        <v>#N/A</v>
      </c>
      <c r="L910" s="204" t="e">
        <v>#N/A</v>
      </c>
      <c r="M910" s="205" t="e">
        <v>#N/A</v>
      </c>
      <c r="N910" s="205" t="e">
        <v>#N/A</v>
      </c>
      <c r="O910" s="205" t="e">
        <v>#N/A</v>
      </c>
      <c r="P910" s="205" t="e">
        <v>#N/A</v>
      </c>
      <c r="Q910" s="189" t="e">
        <v>#N/A</v>
      </c>
      <c r="R910" s="189" t="e">
        <v>#N/A</v>
      </c>
      <c r="S910" s="205" t="e">
        <v>#N/A</v>
      </c>
      <c r="T910" s="206"/>
    </row>
    <row r="911">
      <c r="C911" s="189" t="e">
        <v>#N/A</v>
      </c>
      <c r="D911" s="189" t="e">
        <v>#N/A</v>
      </c>
      <c r="E911" s="189" t="e">
        <v>#N/A</v>
      </c>
      <c r="F911" s="189" t="e">
        <v>#N/A</v>
      </c>
      <c r="G911" s="189" t="e">
        <v>#N/A</v>
      </c>
      <c r="H911" s="189" t="e">
        <v>#N/A</v>
      </c>
      <c r="I911" s="189" t="e">
        <v>#N/A</v>
      </c>
      <c r="J911" s="189" t="e">
        <v>#N/A</v>
      </c>
      <c r="K911" s="204" t="e">
        <v>#N/A</v>
      </c>
      <c r="L911" s="204" t="e">
        <v>#N/A</v>
      </c>
      <c r="M911" s="205" t="e">
        <v>#N/A</v>
      </c>
      <c r="N911" s="205" t="e">
        <v>#N/A</v>
      </c>
      <c r="O911" s="205" t="e">
        <v>#N/A</v>
      </c>
      <c r="P911" s="205" t="e">
        <v>#N/A</v>
      </c>
      <c r="Q911" s="189" t="e">
        <v>#N/A</v>
      </c>
      <c r="R911" s="189" t="e">
        <v>#N/A</v>
      </c>
      <c r="S911" s="205" t="e">
        <v>#N/A</v>
      </c>
      <c r="T911" s="206"/>
    </row>
    <row r="912">
      <c r="C912" s="189" t="e">
        <v>#N/A</v>
      </c>
      <c r="D912" s="189" t="e">
        <v>#N/A</v>
      </c>
      <c r="E912" s="189" t="e">
        <v>#N/A</v>
      </c>
      <c r="F912" s="189" t="e">
        <v>#N/A</v>
      </c>
      <c r="G912" s="189" t="e">
        <v>#N/A</v>
      </c>
      <c r="H912" s="189" t="e">
        <v>#N/A</v>
      </c>
      <c r="I912" s="189" t="e">
        <v>#N/A</v>
      </c>
      <c r="J912" s="189" t="e">
        <v>#N/A</v>
      </c>
      <c r="K912" s="204" t="e">
        <v>#N/A</v>
      </c>
      <c r="L912" s="204" t="e">
        <v>#N/A</v>
      </c>
      <c r="M912" s="205" t="e">
        <v>#N/A</v>
      </c>
      <c r="N912" s="205" t="e">
        <v>#N/A</v>
      </c>
      <c r="O912" s="205" t="e">
        <v>#N/A</v>
      </c>
      <c r="P912" s="205" t="e">
        <v>#N/A</v>
      </c>
      <c r="Q912" s="189" t="e">
        <v>#N/A</v>
      </c>
      <c r="R912" s="189" t="e">
        <v>#N/A</v>
      </c>
      <c r="S912" s="205" t="e">
        <v>#N/A</v>
      </c>
      <c r="T912" s="206"/>
    </row>
    <row r="913">
      <c r="C913" s="189" t="e">
        <v>#N/A</v>
      </c>
      <c r="D913" s="189" t="e">
        <v>#N/A</v>
      </c>
      <c r="E913" s="189" t="e">
        <v>#N/A</v>
      </c>
      <c r="F913" s="189" t="e">
        <v>#N/A</v>
      </c>
      <c r="G913" s="189" t="e">
        <v>#N/A</v>
      </c>
      <c r="H913" s="189" t="e">
        <v>#N/A</v>
      </c>
      <c r="I913" s="189" t="e">
        <v>#N/A</v>
      </c>
      <c r="J913" s="189" t="e">
        <v>#N/A</v>
      </c>
      <c r="K913" s="204" t="e">
        <v>#N/A</v>
      </c>
      <c r="L913" s="204" t="e">
        <v>#N/A</v>
      </c>
      <c r="M913" s="205" t="e">
        <v>#N/A</v>
      </c>
      <c r="N913" s="205" t="e">
        <v>#N/A</v>
      </c>
      <c r="O913" s="205" t="e">
        <v>#N/A</v>
      </c>
      <c r="P913" s="205" t="e">
        <v>#N/A</v>
      </c>
      <c r="Q913" s="189" t="e">
        <v>#N/A</v>
      </c>
      <c r="R913" s="189" t="e">
        <v>#N/A</v>
      </c>
      <c r="S913" s="205" t="e">
        <v>#N/A</v>
      </c>
      <c r="T913" s="206"/>
    </row>
    <row r="914">
      <c r="C914" s="189" t="e">
        <v>#N/A</v>
      </c>
      <c r="D914" s="189" t="e">
        <v>#N/A</v>
      </c>
      <c r="E914" s="189" t="e">
        <v>#N/A</v>
      </c>
      <c r="F914" s="189" t="e">
        <v>#N/A</v>
      </c>
      <c r="G914" s="189" t="e">
        <v>#N/A</v>
      </c>
      <c r="H914" s="189" t="e">
        <v>#N/A</v>
      </c>
      <c r="I914" s="189" t="e">
        <v>#N/A</v>
      </c>
      <c r="J914" s="189" t="e">
        <v>#N/A</v>
      </c>
      <c r="K914" s="204" t="e">
        <v>#N/A</v>
      </c>
      <c r="L914" s="204" t="e">
        <v>#N/A</v>
      </c>
      <c r="M914" s="205" t="e">
        <v>#N/A</v>
      </c>
      <c r="N914" s="205" t="e">
        <v>#N/A</v>
      </c>
      <c r="O914" s="205" t="e">
        <v>#N/A</v>
      </c>
      <c r="P914" s="205" t="e">
        <v>#N/A</v>
      </c>
      <c r="Q914" s="189" t="e">
        <v>#N/A</v>
      </c>
      <c r="R914" s="189" t="e">
        <v>#N/A</v>
      </c>
      <c r="S914" s="205" t="e">
        <v>#N/A</v>
      </c>
      <c r="T914" s="206"/>
    </row>
    <row r="915">
      <c r="C915" s="189" t="e">
        <v>#N/A</v>
      </c>
      <c r="D915" s="189" t="e">
        <v>#N/A</v>
      </c>
      <c r="E915" s="189" t="e">
        <v>#N/A</v>
      </c>
      <c r="F915" s="189" t="e">
        <v>#N/A</v>
      </c>
      <c r="G915" s="189" t="e">
        <v>#N/A</v>
      </c>
      <c r="H915" s="189" t="e">
        <v>#N/A</v>
      </c>
      <c r="I915" s="189" t="e">
        <v>#N/A</v>
      </c>
      <c r="J915" s="189" t="e">
        <v>#N/A</v>
      </c>
      <c r="K915" s="204" t="e">
        <v>#N/A</v>
      </c>
      <c r="L915" s="204" t="e">
        <v>#N/A</v>
      </c>
      <c r="M915" s="205" t="e">
        <v>#N/A</v>
      </c>
      <c r="N915" s="205" t="e">
        <v>#N/A</v>
      </c>
      <c r="O915" s="205" t="e">
        <v>#N/A</v>
      </c>
      <c r="P915" s="205" t="e">
        <v>#N/A</v>
      </c>
      <c r="Q915" s="189" t="e">
        <v>#N/A</v>
      </c>
      <c r="R915" s="189" t="e">
        <v>#N/A</v>
      </c>
      <c r="S915" s="205" t="e">
        <v>#N/A</v>
      </c>
      <c r="T915" s="206"/>
    </row>
    <row r="916">
      <c r="C916" s="189" t="e">
        <v>#N/A</v>
      </c>
      <c r="D916" s="189" t="e">
        <v>#N/A</v>
      </c>
      <c r="E916" s="189" t="e">
        <v>#N/A</v>
      </c>
      <c r="F916" s="189" t="e">
        <v>#N/A</v>
      </c>
      <c r="G916" s="189" t="e">
        <v>#N/A</v>
      </c>
      <c r="H916" s="189" t="e">
        <v>#N/A</v>
      </c>
      <c r="I916" s="189" t="e">
        <v>#N/A</v>
      </c>
      <c r="J916" s="189" t="e">
        <v>#N/A</v>
      </c>
      <c r="K916" s="204" t="e">
        <v>#N/A</v>
      </c>
      <c r="L916" s="204" t="e">
        <v>#N/A</v>
      </c>
      <c r="M916" s="205" t="e">
        <v>#N/A</v>
      </c>
      <c r="N916" s="205" t="e">
        <v>#N/A</v>
      </c>
      <c r="O916" s="205" t="e">
        <v>#N/A</v>
      </c>
      <c r="P916" s="205" t="e">
        <v>#N/A</v>
      </c>
      <c r="Q916" s="189" t="e">
        <v>#N/A</v>
      </c>
      <c r="R916" s="189" t="e">
        <v>#N/A</v>
      </c>
      <c r="S916" s="205" t="e">
        <v>#N/A</v>
      </c>
      <c r="T916" s="206"/>
    </row>
    <row r="917">
      <c r="C917" s="189" t="e">
        <v>#N/A</v>
      </c>
      <c r="D917" s="189" t="e">
        <v>#N/A</v>
      </c>
      <c r="E917" s="189" t="e">
        <v>#N/A</v>
      </c>
      <c r="F917" s="189" t="e">
        <v>#N/A</v>
      </c>
      <c r="G917" s="189" t="e">
        <v>#N/A</v>
      </c>
      <c r="H917" s="189" t="e">
        <v>#N/A</v>
      </c>
      <c r="I917" s="189" t="e">
        <v>#N/A</v>
      </c>
      <c r="J917" s="189" t="e">
        <v>#N/A</v>
      </c>
      <c r="K917" s="204" t="e">
        <v>#N/A</v>
      </c>
      <c r="L917" s="204" t="e">
        <v>#N/A</v>
      </c>
      <c r="M917" s="205" t="e">
        <v>#N/A</v>
      </c>
      <c r="N917" s="205" t="e">
        <v>#N/A</v>
      </c>
      <c r="O917" s="205" t="e">
        <v>#N/A</v>
      </c>
      <c r="P917" s="205" t="e">
        <v>#N/A</v>
      </c>
      <c r="Q917" s="189" t="e">
        <v>#N/A</v>
      </c>
      <c r="R917" s="189" t="e">
        <v>#N/A</v>
      </c>
      <c r="S917" s="205" t="e">
        <v>#N/A</v>
      </c>
      <c r="T917" s="206"/>
    </row>
    <row r="918">
      <c r="C918" s="189" t="e">
        <v>#N/A</v>
      </c>
      <c r="D918" s="189" t="e">
        <v>#N/A</v>
      </c>
      <c r="E918" s="189" t="e">
        <v>#N/A</v>
      </c>
      <c r="F918" s="189" t="e">
        <v>#N/A</v>
      </c>
      <c r="G918" s="189" t="e">
        <v>#N/A</v>
      </c>
      <c r="H918" s="189" t="e">
        <v>#N/A</v>
      </c>
      <c r="I918" s="189" t="e">
        <v>#N/A</v>
      </c>
      <c r="J918" s="189" t="e">
        <v>#N/A</v>
      </c>
      <c r="K918" s="204" t="e">
        <v>#N/A</v>
      </c>
      <c r="L918" s="204" t="e">
        <v>#N/A</v>
      </c>
      <c r="M918" s="205" t="e">
        <v>#N/A</v>
      </c>
      <c r="N918" s="205" t="e">
        <v>#N/A</v>
      </c>
      <c r="O918" s="205" t="e">
        <v>#N/A</v>
      </c>
      <c r="P918" s="205" t="e">
        <v>#N/A</v>
      </c>
      <c r="Q918" s="189" t="e">
        <v>#N/A</v>
      </c>
      <c r="R918" s="189" t="e">
        <v>#N/A</v>
      </c>
      <c r="S918" s="205" t="e">
        <v>#N/A</v>
      </c>
      <c r="T918" s="206"/>
    </row>
    <row r="919">
      <c r="C919" s="189" t="e">
        <v>#N/A</v>
      </c>
      <c r="D919" s="189" t="e">
        <v>#N/A</v>
      </c>
      <c r="E919" s="189" t="e">
        <v>#N/A</v>
      </c>
      <c r="F919" s="189" t="e">
        <v>#N/A</v>
      </c>
      <c r="G919" s="189" t="e">
        <v>#N/A</v>
      </c>
      <c r="H919" s="189" t="e">
        <v>#N/A</v>
      </c>
      <c r="I919" s="189" t="e">
        <v>#N/A</v>
      </c>
      <c r="J919" s="189" t="e">
        <v>#N/A</v>
      </c>
      <c r="K919" s="204" t="e">
        <v>#N/A</v>
      </c>
      <c r="L919" s="204" t="e">
        <v>#N/A</v>
      </c>
      <c r="M919" s="205" t="e">
        <v>#N/A</v>
      </c>
      <c r="N919" s="205" t="e">
        <v>#N/A</v>
      </c>
      <c r="O919" s="205" t="e">
        <v>#N/A</v>
      </c>
      <c r="P919" s="205" t="e">
        <v>#N/A</v>
      </c>
      <c r="Q919" s="189" t="e">
        <v>#N/A</v>
      </c>
      <c r="R919" s="189" t="e">
        <v>#N/A</v>
      </c>
      <c r="S919" s="205" t="e">
        <v>#N/A</v>
      </c>
      <c r="T919" s="206"/>
    </row>
    <row r="920">
      <c r="C920" s="189" t="e">
        <v>#N/A</v>
      </c>
      <c r="D920" s="189" t="e">
        <v>#N/A</v>
      </c>
      <c r="E920" s="189" t="e">
        <v>#N/A</v>
      </c>
      <c r="F920" s="189" t="e">
        <v>#N/A</v>
      </c>
      <c r="G920" s="189" t="e">
        <v>#N/A</v>
      </c>
      <c r="H920" s="189" t="e">
        <v>#N/A</v>
      </c>
      <c r="I920" s="189" t="e">
        <v>#N/A</v>
      </c>
      <c r="J920" s="189" t="e">
        <v>#N/A</v>
      </c>
      <c r="K920" s="204" t="e">
        <v>#N/A</v>
      </c>
      <c r="L920" s="204" t="e">
        <v>#N/A</v>
      </c>
      <c r="M920" s="205" t="e">
        <v>#N/A</v>
      </c>
      <c r="N920" s="205" t="e">
        <v>#N/A</v>
      </c>
      <c r="O920" s="205" t="e">
        <v>#N/A</v>
      </c>
      <c r="P920" s="205" t="e">
        <v>#N/A</v>
      </c>
      <c r="Q920" s="189" t="e">
        <v>#N/A</v>
      </c>
      <c r="R920" s="189" t="e">
        <v>#N/A</v>
      </c>
      <c r="S920" s="205" t="e">
        <v>#N/A</v>
      </c>
      <c r="T920" s="206"/>
    </row>
    <row r="921">
      <c r="C921" s="189" t="e">
        <v>#N/A</v>
      </c>
      <c r="D921" s="189" t="e">
        <v>#N/A</v>
      </c>
      <c r="E921" s="189" t="e">
        <v>#N/A</v>
      </c>
      <c r="F921" s="189" t="e">
        <v>#N/A</v>
      </c>
      <c r="G921" s="189" t="e">
        <v>#N/A</v>
      </c>
      <c r="H921" s="189" t="e">
        <v>#N/A</v>
      </c>
      <c r="I921" s="189" t="e">
        <v>#N/A</v>
      </c>
      <c r="J921" s="189" t="e">
        <v>#N/A</v>
      </c>
      <c r="K921" s="204" t="e">
        <v>#N/A</v>
      </c>
      <c r="L921" s="204" t="e">
        <v>#N/A</v>
      </c>
      <c r="M921" s="205" t="e">
        <v>#N/A</v>
      </c>
      <c r="N921" s="205" t="e">
        <v>#N/A</v>
      </c>
      <c r="O921" s="205" t="e">
        <v>#N/A</v>
      </c>
      <c r="P921" s="205" t="e">
        <v>#N/A</v>
      </c>
      <c r="Q921" s="189" t="e">
        <v>#N/A</v>
      </c>
      <c r="R921" s="189" t="e">
        <v>#N/A</v>
      </c>
      <c r="S921" s="205" t="e">
        <v>#N/A</v>
      </c>
      <c r="T921" s="206"/>
    </row>
    <row r="922">
      <c r="C922" s="189" t="e">
        <v>#N/A</v>
      </c>
      <c r="D922" s="189" t="e">
        <v>#N/A</v>
      </c>
      <c r="E922" s="189" t="e">
        <v>#N/A</v>
      </c>
      <c r="F922" s="189" t="e">
        <v>#N/A</v>
      </c>
      <c r="G922" s="189" t="e">
        <v>#N/A</v>
      </c>
      <c r="H922" s="189" t="e">
        <v>#N/A</v>
      </c>
      <c r="I922" s="189" t="e">
        <v>#N/A</v>
      </c>
      <c r="J922" s="189" t="e">
        <v>#N/A</v>
      </c>
      <c r="K922" s="204" t="e">
        <v>#N/A</v>
      </c>
      <c r="L922" s="204" t="e">
        <v>#N/A</v>
      </c>
      <c r="M922" s="205" t="e">
        <v>#N/A</v>
      </c>
      <c r="N922" s="205" t="e">
        <v>#N/A</v>
      </c>
      <c r="O922" s="205" t="e">
        <v>#N/A</v>
      </c>
      <c r="P922" s="205" t="e">
        <v>#N/A</v>
      </c>
      <c r="Q922" s="189" t="e">
        <v>#N/A</v>
      </c>
      <c r="R922" s="189" t="e">
        <v>#N/A</v>
      </c>
      <c r="S922" s="205" t="e">
        <v>#N/A</v>
      </c>
      <c r="T922" s="206"/>
    </row>
    <row r="923">
      <c r="C923" s="189" t="e">
        <v>#N/A</v>
      </c>
      <c r="D923" s="189" t="e">
        <v>#N/A</v>
      </c>
      <c r="E923" s="189" t="e">
        <v>#N/A</v>
      </c>
      <c r="F923" s="189" t="e">
        <v>#N/A</v>
      </c>
      <c r="G923" s="189" t="e">
        <v>#N/A</v>
      </c>
      <c r="H923" s="189" t="e">
        <v>#N/A</v>
      </c>
      <c r="I923" s="189" t="e">
        <v>#N/A</v>
      </c>
      <c r="J923" s="189" t="e">
        <v>#N/A</v>
      </c>
      <c r="K923" s="204" t="e">
        <v>#N/A</v>
      </c>
      <c r="L923" s="204" t="e">
        <v>#N/A</v>
      </c>
      <c r="M923" s="205" t="e">
        <v>#N/A</v>
      </c>
      <c r="N923" s="205" t="e">
        <v>#N/A</v>
      </c>
      <c r="O923" s="205" t="e">
        <v>#N/A</v>
      </c>
      <c r="P923" s="205" t="e">
        <v>#N/A</v>
      </c>
      <c r="Q923" s="189" t="e">
        <v>#N/A</v>
      </c>
      <c r="R923" s="189" t="e">
        <v>#N/A</v>
      </c>
      <c r="S923" s="205" t="e">
        <v>#N/A</v>
      </c>
      <c r="T923" s="206"/>
    </row>
    <row r="924">
      <c r="C924" s="189" t="e">
        <v>#N/A</v>
      </c>
      <c r="D924" s="189" t="e">
        <v>#N/A</v>
      </c>
      <c r="E924" s="189" t="e">
        <v>#N/A</v>
      </c>
      <c r="F924" s="189" t="e">
        <v>#N/A</v>
      </c>
      <c r="G924" s="189" t="e">
        <v>#N/A</v>
      </c>
      <c r="H924" s="189" t="e">
        <v>#N/A</v>
      </c>
      <c r="I924" s="189" t="e">
        <v>#N/A</v>
      </c>
      <c r="J924" s="189" t="e">
        <v>#N/A</v>
      </c>
      <c r="K924" s="204" t="e">
        <v>#N/A</v>
      </c>
      <c r="L924" s="204" t="e">
        <v>#N/A</v>
      </c>
      <c r="M924" s="205" t="e">
        <v>#N/A</v>
      </c>
      <c r="N924" s="205" t="e">
        <v>#N/A</v>
      </c>
      <c r="O924" s="205" t="e">
        <v>#N/A</v>
      </c>
      <c r="P924" s="205" t="e">
        <v>#N/A</v>
      </c>
      <c r="Q924" s="189" t="e">
        <v>#N/A</v>
      </c>
      <c r="R924" s="189" t="e">
        <v>#N/A</v>
      </c>
      <c r="S924" s="205" t="e">
        <v>#N/A</v>
      </c>
      <c r="T924" s="206"/>
    </row>
    <row r="925">
      <c r="C925" s="189" t="e">
        <v>#N/A</v>
      </c>
      <c r="D925" s="189" t="e">
        <v>#N/A</v>
      </c>
      <c r="E925" s="189" t="e">
        <v>#N/A</v>
      </c>
      <c r="F925" s="189" t="e">
        <v>#N/A</v>
      </c>
      <c r="G925" s="189" t="e">
        <v>#N/A</v>
      </c>
      <c r="H925" s="189" t="e">
        <v>#N/A</v>
      </c>
      <c r="I925" s="189" t="e">
        <v>#N/A</v>
      </c>
      <c r="J925" s="189" t="e">
        <v>#N/A</v>
      </c>
      <c r="K925" s="204" t="e">
        <v>#N/A</v>
      </c>
      <c r="L925" s="204" t="e">
        <v>#N/A</v>
      </c>
      <c r="M925" s="205" t="e">
        <v>#N/A</v>
      </c>
      <c r="N925" s="205" t="e">
        <v>#N/A</v>
      </c>
      <c r="O925" s="205" t="e">
        <v>#N/A</v>
      </c>
      <c r="P925" s="205" t="e">
        <v>#N/A</v>
      </c>
      <c r="Q925" s="189" t="e">
        <v>#N/A</v>
      </c>
      <c r="R925" s="189" t="e">
        <v>#N/A</v>
      </c>
      <c r="S925" s="205" t="e">
        <v>#N/A</v>
      </c>
      <c r="T925" s="206"/>
    </row>
    <row r="926">
      <c r="C926" s="189" t="e">
        <v>#N/A</v>
      </c>
      <c r="D926" s="189" t="e">
        <v>#N/A</v>
      </c>
      <c r="E926" s="189" t="e">
        <v>#N/A</v>
      </c>
      <c r="F926" s="189" t="e">
        <v>#N/A</v>
      </c>
      <c r="G926" s="189" t="e">
        <v>#N/A</v>
      </c>
      <c r="H926" s="189" t="e">
        <v>#N/A</v>
      </c>
      <c r="I926" s="189" t="e">
        <v>#N/A</v>
      </c>
      <c r="J926" s="189" t="e">
        <v>#N/A</v>
      </c>
      <c r="K926" s="204" t="e">
        <v>#N/A</v>
      </c>
      <c r="L926" s="204" t="e">
        <v>#N/A</v>
      </c>
      <c r="M926" s="205" t="e">
        <v>#N/A</v>
      </c>
      <c r="N926" s="205" t="e">
        <v>#N/A</v>
      </c>
      <c r="O926" s="205" t="e">
        <v>#N/A</v>
      </c>
      <c r="P926" s="205" t="e">
        <v>#N/A</v>
      </c>
      <c r="Q926" s="189" t="e">
        <v>#N/A</v>
      </c>
      <c r="R926" s="189" t="e">
        <v>#N/A</v>
      </c>
      <c r="S926" s="205" t="e">
        <v>#N/A</v>
      </c>
      <c r="T926" s="206"/>
    </row>
    <row r="927">
      <c r="C927" s="189" t="e">
        <v>#N/A</v>
      </c>
      <c r="D927" s="189" t="e">
        <v>#N/A</v>
      </c>
      <c r="E927" s="189" t="e">
        <v>#N/A</v>
      </c>
      <c r="F927" s="189" t="e">
        <v>#N/A</v>
      </c>
      <c r="G927" s="189" t="e">
        <v>#N/A</v>
      </c>
      <c r="H927" s="189" t="e">
        <v>#N/A</v>
      </c>
      <c r="I927" s="189" t="e">
        <v>#N/A</v>
      </c>
      <c r="J927" s="189" t="e">
        <v>#N/A</v>
      </c>
      <c r="K927" s="204" t="e">
        <v>#N/A</v>
      </c>
      <c r="L927" s="204" t="e">
        <v>#N/A</v>
      </c>
      <c r="M927" s="205" t="e">
        <v>#N/A</v>
      </c>
      <c r="N927" s="205" t="e">
        <v>#N/A</v>
      </c>
      <c r="O927" s="205" t="e">
        <v>#N/A</v>
      </c>
      <c r="P927" s="205" t="e">
        <v>#N/A</v>
      </c>
      <c r="Q927" s="189" t="e">
        <v>#N/A</v>
      </c>
      <c r="R927" s="189" t="e">
        <v>#N/A</v>
      </c>
      <c r="S927" s="205" t="e">
        <v>#N/A</v>
      </c>
      <c r="T927" s="206"/>
    </row>
    <row r="928">
      <c r="C928" s="189" t="e">
        <v>#N/A</v>
      </c>
      <c r="D928" s="189" t="e">
        <v>#N/A</v>
      </c>
      <c r="E928" s="189" t="e">
        <v>#N/A</v>
      </c>
      <c r="F928" s="189" t="e">
        <v>#N/A</v>
      </c>
      <c r="G928" s="189" t="e">
        <v>#N/A</v>
      </c>
      <c r="H928" s="189" t="e">
        <v>#N/A</v>
      </c>
      <c r="I928" s="189" t="e">
        <v>#N/A</v>
      </c>
      <c r="J928" s="189" t="e">
        <v>#N/A</v>
      </c>
      <c r="K928" s="204" t="e">
        <v>#N/A</v>
      </c>
      <c r="L928" s="204" t="e">
        <v>#N/A</v>
      </c>
      <c r="M928" s="205" t="e">
        <v>#N/A</v>
      </c>
      <c r="N928" s="205" t="e">
        <v>#N/A</v>
      </c>
      <c r="O928" s="205" t="e">
        <v>#N/A</v>
      </c>
      <c r="P928" s="205" t="e">
        <v>#N/A</v>
      </c>
      <c r="Q928" s="189" t="e">
        <v>#N/A</v>
      </c>
      <c r="R928" s="189" t="e">
        <v>#N/A</v>
      </c>
      <c r="S928" s="205" t="e">
        <v>#N/A</v>
      </c>
      <c r="T928" s="206"/>
    </row>
    <row r="929">
      <c r="C929" s="189" t="e">
        <v>#N/A</v>
      </c>
      <c r="D929" s="189" t="e">
        <v>#N/A</v>
      </c>
      <c r="E929" s="189" t="e">
        <v>#N/A</v>
      </c>
      <c r="F929" s="189" t="e">
        <v>#N/A</v>
      </c>
      <c r="G929" s="189" t="e">
        <v>#N/A</v>
      </c>
      <c r="H929" s="189" t="e">
        <v>#N/A</v>
      </c>
      <c r="I929" s="189" t="e">
        <v>#N/A</v>
      </c>
      <c r="J929" s="189" t="e">
        <v>#N/A</v>
      </c>
      <c r="K929" s="204" t="e">
        <v>#N/A</v>
      </c>
      <c r="L929" s="204" t="e">
        <v>#N/A</v>
      </c>
      <c r="M929" s="205" t="e">
        <v>#N/A</v>
      </c>
      <c r="N929" s="205" t="e">
        <v>#N/A</v>
      </c>
      <c r="O929" s="205" t="e">
        <v>#N/A</v>
      </c>
      <c r="P929" s="205" t="e">
        <v>#N/A</v>
      </c>
      <c r="Q929" s="189" t="e">
        <v>#N/A</v>
      </c>
      <c r="R929" s="189" t="e">
        <v>#N/A</v>
      </c>
      <c r="S929" s="205" t="e">
        <v>#N/A</v>
      </c>
      <c r="T929" s="206"/>
    </row>
    <row r="930">
      <c r="C930" s="189" t="e">
        <v>#N/A</v>
      </c>
      <c r="D930" s="189" t="e">
        <v>#N/A</v>
      </c>
      <c r="E930" s="189" t="e">
        <v>#N/A</v>
      </c>
      <c r="F930" s="189" t="e">
        <v>#N/A</v>
      </c>
      <c r="G930" s="189" t="e">
        <v>#N/A</v>
      </c>
      <c r="H930" s="189" t="e">
        <v>#N/A</v>
      </c>
      <c r="I930" s="189" t="e">
        <v>#N/A</v>
      </c>
      <c r="J930" s="189" t="e">
        <v>#N/A</v>
      </c>
      <c r="K930" s="204" t="e">
        <v>#N/A</v>
      </c>
      <c r="L930" s="204" t="e">
        <v>#N/A</v>
      </c>
      <c r="M930" s="205" t="e">
        <v>#N/A</v>
      </c>
      <c r="N930" s="205" t="e">
        <v>#N/A</v>
      </c>
      <c r="O930" s="205" t="e">
        <v>#N/A</v>
      </c>
      <c r="P930" s="205" t="e">
        <v>#N/A</v>
      </c>
      <c r="Q930" s="189" t="e">
        <v>#N/A</v>
      </c>
      <c r="R930" s="189" t="e">
        <v>#N/A</v>
      </c>
      <c r="S930" s="205" t="e">
        <v>#N/A</v>
      </c>
      <c r="T930" s="206"/>
    </row>
    <row r="931">
      <c r="C931" s="189" t="e">
        <v>#N/A</v>
      </c>
      <c r="D931" s="189" t="e">
        <v>#N/A</v>
      </c>
      <c r="E931" s="189" t="e">
        <v>#N/A</v>
      </c>
      <c r="F931" s="189" t="e">
        <v>#N/A</v>
      </c>
      <c r="G931" s="189" t="e">
        <v>#N/A</v>
      </c>
      <c r="H931" s="189" t="e">
        <v>#N/A</v>
      </c>
      <c r="I931" s="189" t="e">
        <v>#N/A</v>
      </c>
      <c r="J931" s="189" t="e">
        <v>#N/A</v>
      </c>
      <c r="K931" s="204" t="e">
        <v>#N/A</v>
      </c>
      <c r="L931" s="204" t="e">
        <v>#N/A</v>
      </c>
      <c r="M931" s="205" t="e">
        <v>#N/A</v>
      </c>
      <c r="N931" s="205" t="e">
        <v>#N/A</v>
      </c>
      <c r="O931" s="205" t="e">
        <v>#N/A</v>
      </c>
      <c r="P931" s="205" t="e">
        <v>#N/A</v>
      </c>
      <c r="Q931" s="189" t="e">
        <v>#N/A</v>
      </c>
      <c r="R931" s="189" t="e">
        <v>#N/A</v>
      </c>
      <c r="S931" s="205" t="e">
        <v>#N/A</v>
      </c>
      <c r="T931" s="206"/>
    </row>
    <row r="932">
      <c r="C932" s="189" t="e">
        <v>#N/A</v>
      </c>
      <c r="D932" s="189" t="e">
        <v>#N/A</v>
      </c>
      <c r="E932" s="189" t="e">
        <v>#N/A</v>
      </c>
      <c r="F932" s="189" t="e">
        <v>#N/A</v>
      </c>
      <c r="G932" s="189" t="e">
        <v>#N/A</v>
      </c>
      <c r="H932" s="189" t="e">
        <v>#N/A</v>
      </c>
      <c r="I932" s="189" t="e">
        <v>#N/A</v>
      </c>
      <c r="J932" s="189" t="e">
        <v>#N/A</v>
      </c>
      <c r="K932" s="204" t="e">
        <v>#N/A</v>
      </c>
      <c r="L932" s="204" t="e">
        <v>#N/A</v>
      </c>
      <c r="M932" s="205" t="e">
        <v>#N/A</v>
      </c>
      <c r="N932" s="205" t="e">
        <v>#N/A</v>
      </c>
      <c r="O932" s="205" t="e">
        <v>#N/A</v>
      </c>
      <c r="P932" s="205" t="e">
        <v>#N/A</v>
      </c>
      <c r="Q932" s="189" t="e">
        <v>#N/A</v>
      </c>
      <c r="R932" s="189" t="e">
        <v>#N/A</v>
      </c>
      <c r="S932" s="205" t="e">
        <v>#N/A</v>
      </c>
      <c r="T932" s="206"/>
    </row>
    <row r="933">
      <c r="C933" s="189" t="e">
        <v>#N/A</v>
      </c>
      <c r="D933" s="189" t="e">
        <v>#N/A</v>
      </c>
      <c r="E933" s="189" t="e">
        <v>#N/A</v>
      </c>
      <c r="F933" s="189" t="e">
        <v>#N/A</v>
      </c>
      <c r="G933" s="189" t="e">
        <v>#N/A</v>
      </c>
      <c r="H933" s="189" t="e">
        <v>#N/A</v>
      </c>
      <c r="I933" s="189" t="e">
        <v>#N/A</v>
      </c>
      <c r="J933" s="189" t="e">
        <v>#N/A</v>
      </c>
      <c r="K933" s="204" t="e">
        <v>#N/A</v>
      </c>
      <c r="L933" s="204" t="e">
        <v>#N/A</v>
      </c>
      <c r="M933" s="205" t="e">
        <v>#N/A</v>
      </c>
      <c r="N933" s="205" t="e">
        <v>#N/A</v>
      </c>
      <c r="O933" s="205" t="e">
        <v>#N/A</v>
      </c>
      <c r="P933" s="205" t="e">
        <v>#N/A</v>
      </c>
      <c r="Q933" s="189" t="e">
        <v>#N/A</v>
      </c>
      <c r="R933" s="189" t="e">
        <v>#N/A</v>
      </c>
      <c r="S933" s="205" t="e">
        <v>#N/A</v>
      </c>
      <c r="T933" s="206"/>
    </row>
    <row r="934">
      <c r="C934" s="189" t="e">
        <v>#N/A</v>
      </c>
      <c r="D934" s="189" t="e">
        <v>#N/A</v>
      </c>
      <c r="E934" s="189" t="e">
        <v>#N/A</v>
      </c>
      <c r="F934" s="189" t="e">
        <v>#N/A</v>
      </c>
      <c r="G934" s="189" t="e">
        <v>#N/A</v>
      </c>
      <c r="H934" s="189" t="e">
        <v>#N/A</v>
      </c>
      <c r="I934" s="189" t="e">
        <v>#N/A</v>
      </c>
      <c r="J934" s="189" t="e">
        <v>#N/A</v>
      </c>
      <c r="K934" s="204" t="e">
        <v>#N/A</v>
      </c>
      <c r="L934" s="204" t="e">
        <v>#N/A</v>
      </c>
      <c r="M934" s="205" t="e">
        <v>#N/A</v>
      </c>
      <c r="N934" s="205" t="e">
        <v>#N/A</v>
      </c>
      <c r="O934" s="205" t="e">
        <v>#N/A</v>
      </c>
      <c r="P934" s="205" t="e">
        <v>#N/A</v>
      </c>
      <c r="Q934" s="189" t="e">
        <v>#N/A</v>
      </c>
      <c r="R934" s="189" t="e">
        <v>#N/A</v>
      </c>
      <c r="S934" s="205" t="e">
        <v>#N/A</v>
      </c>
      <c r="T934" s="206"/>
    </row>
    <row r="935">
      <c r="C935" s="189" t="e">
        <v>#N/A</v>
      </c>
      <c r="D935" s="189" t="e">
        <v>#N/A</v>
      </c>
      <c r="E935" s="189" t="e">
        <v>#N/A</v>
      </c>
      <c r="F935" s="189" t="e">
        <v>#N/A</v>
      </c>
      <c r="G935" s="189" t="e">
        <v>#N/A</v>
      </c>
      <c r="H935" s="189" t="e">
        <v>#N/A</v>
      </c>
      <c r="I935" s="189" t="e">
        <v>#N/A</v>
      </c>
      <c r="J935" s="189" t="e">
        <v>#N/A</v>
      </c>
      <c r="K935" s="204" t="e">
        <v>#N/A</v>
      </c>
      <c r="L935" s="204" t="e">
        <v>#N/A</v>
      </c>
      <c r="M935" s="205" t="e">
        <v>#N/A</v>
      </c>
      <c r="N935" s="205" t="e">
        <v>#N/A</v>
      </c>
      <c r="O935" s="205" t="e">
        <v>#N/A</v>
      </c>
      <c r="P935" s="205" t="e">
        <v>#N/A</v>
      </c>
      <c r="Q935" s="189" t="e">
        <v>#N/A</v>
      </c>
      <c r="R935" s="189" t="e">
        <v>#N/A</v>
      </c>
      <c r="S935" s="205" t="e">
        <v>#N/A</v>
      </c>
      <c r="T935" s="206"/>
    </row>
    <row r="936">
      <c r="C936" s="189" t="e">
        <v>#N/A</v>
      </c>
      <c r="D936" s="189" t="e">
        <v>#N/A</v>
      </c>
      <c r="E936" s="189" t="e">
        <v>#N/A</v>
      </c>
      <c r="F936" s="189" t="e">
        <v>#N/A</v>
      </c>
      <c r="G936" s="189" t="e">
        <v>#N/A</v>
      </c>
      <c r="H936" s="189" t="e">
        <v>#N/A</v>
      </c>
      <c r="I936" s="189" t="e">
        <v>#N/A</v>
      </c>
      <c r="J936" s="189" t="e">
        <v>#N/A</v>
      </c>
      <c r="K936" s="204" t="e">
        <v>#N/A</v>
      </c>
      <c r="L936" s="204" t="e">
        <v>#N/A</v>
      </c>
      <c r="M936" s="205" t="e">
        <v>#N/A</v>
      </c>
      <c r="N936" s="205" t="e">
        <v>#N/A</v>
      </c>
      <c r="O936" s="205" t="e">
        <v>#N/A</v>
      </c>
      <c r="P936" s="205" t="e">
        <v>#N/A</v>
      </c>
      <c r="Q936" s="189" t="e">
        <v>#N/A</v>
      </c>
      <c r="R936" s="189" t="e">
        <v>#N/A</v>
      </c>
      <c r="S936" s="205" t="e">
        <v>#N/A</v>
      </c>
      <c r="T936" s="206"/>
    </row>
    <row r="937">
      <c r="C937" s="189" t="e">
        <v>#N/A</v>
      </c>
      <c r="D937" s="189" t="e">
        <v>#N/A</v>
      </c>
      <c r="E937" s="189" t="e">
        <v>#N/A</v>
      </c>
      <c r="F937" s="189" t="e">
        <v>#N/A</v>
      </c>
      <c r="G937" s="189" t="e">
        <v>#N/A</v>
      </c>
      <c r="H937" s="189" t="e">
        <v>#N/A</v>
      </c>
      <c r="I937" s="189" t="e">
        <v>#N/A</v>
      </c>
      <c r="J937" s="189" t="e">
        <v>#N/A</v>
      </c>
      <c r="K937" s="204" t="e">
        <v>#N/A</v>
      </c>
      <c r="L937" s="204" t="e">
        <v>#N/A</v>
      </c>
      <c r="M937" s="205" t="e">
        <v>#N/A</v>
      </c>
      <c r="N937" s="205" t="e">
        <v>#N/A</v>
      </c>
      <c r="O937" s="205" t="e">
        <v>#N/A</v>
      </c>
      <c r="P937" s="205" t="e">
        <v>#N/A</v>
      </c>
      <c r="Q937" s="189" t="e">
        <v>#N/A</v>
      </c>
      <c r="R937" s="189" t="e">
        <v>#N/A</v>
      </c>
      <c r="S937" s="205" t="e">
        <v>#N/A</v>
      </c>
      <c r="T937" s="206"/>
    </row>
    <row r="938">
      <c r="C938" s="189" t="e">
        <v>#N/A</v>
      </c>
      <c r="D938" s="189" t="e">
        <v>#N/A</v>
      </c>
      <c r="E938" s="189" t="e">
        <v>#N/A</v>
      </c>
      <c r="F938" s="189" t="e">
        <v>#N/A</v>
      </c>
      <c r="G938" s="189" t="e">
        <v>#N/A</v>
      </c>
      <c r="H938" s="189" t="e">
        <v>#N/A</v>
      </c>
      <c r="I938" s="189" t="e">
        <v>#N/A</v>
      </c>
      <c r="J938" s="189" t="e">
        <v>#N/A</v>
      </c>
      <c r="K938" s="204" t="e">
        <v>#N/A</v>
      </c>
      <c r="L938" s="204" t="e">
        <v>#N/A</v>
      </c>
      <c r="M938" s="205" t="e">
        <v>#N/A</v>
      </c>
      <c r="N938" s="205" t="e">
        <v>#N/A</v>
      </c>
      <c r="O938" s="205" t="e">
        <v>#N/A</v>
      </c>
      <c r="P938" s="205" t="e">
        <v>#N/A</v>
      </c>
      <c r="Q938" s="189" t="e">
        <v>#N/A</v>
      </c>
      <c r="R938" s="189" t="e">
        <v>#N/A</v>
      </c>
      <c r="S938" s="205" t="e">
        <v>#N/A</v>
      </c>
      <c r="T938" s="206"/>
    </row>
    <row r="939">
      <c r="C939" s="189" t="e">
        <v>#N/A</v>
      </c>
      <c r="D939" s="189" t="e">
        <v>#N/A</v>
      </c>
      <c r="E939" s="189" t="e">
        <v>#N/A</v>
      </c>
      <c r="F939" s="189" t="e">
        <v>#N/A</v>
      </c>
      <c r="G939" s="189" t="e">
        <v>#N/A</v>
      </c>
      <c r="H939" s="189" t="e">
        <v>#N/A</v>
      </c>
      <c r="I939" s="189" t="e">
        <v>#N/A</v>
      </c>
      <c r="J939" s="189" t="e">
        <v>#N/A</v>
      </c>
      <c r="K939" s="204" t="e">
        <v>#N/A</v>
      </c>
      <c r="L939" s="204" t="e">
        <v>#N/A</v>
      </c>
      <c r="M939" s="205" t="e">
        <v>#N/A</v>
      </c>
      <c r="N939" s="205" t="e">
        <v>#N/A</v>
      </c>
      <c r="O939" s="205" t="e">
        <v>#N/A</v>
      </c>
      <c r="P939" s="205" t="e">
        <v>#N/A</v>
      </c>
      <c r="Q939" s="189" t="e">
        <v>#N/A</v>
      </c>
      <c r="R939" s="189" t="e">
        <v>#N/A</v>
      </c>
      <c r="S939" s="205" t="e">
        <v>#N/A</v>
      </c>
      <c r="T939" s="206"/>
    </row>
    <row r="940">
      <c r="C940" s="189" t="e">
        <v>#N/A</v>
      </c>
      <c r="D940" s="189" t="e">
        <v>#N/A</v>
      </c>
      <c r="E940" s="189" t="e">
        <v>#N/A</v>
      </c>
      <c r="F940" s="189" t="e">
        <v>#N/A</v>
      </c>
      <c r="G940" s="189" t="e">
        <v>#N/A</v>
      </c>
      <c r="H940" s="189" t="e">
        <v>#N/A</v>
      </c>
      <c r="I940" s="189" t="e">
        <v>#N/A</v>
      </c>
      <c r="J940" s="189" t="e">
        <v>#N/A</v>
      </c>
      <c r="K940" s="204" t="e">
        <v>#N/A</v>
      </c>
      <c r="L940" s="204" t="e">
        <v>#N/A</v>
      </c>
      <c r="M940" s="205" t="e">
        <v>#N/A</v>
      </c>
      <c r="N940" s="205" t="e">
        <v>#N/A</v>
      </c>
      <c r="O940" s="205" t="e">
        <v>#N/A</v>
      </c>
      <c r="P940" s="205" t="e">
        <v>#N/A</v>
      </c>
      <c r="Q940" s="189" t="e">
        <v>#N/A</v>
      </c>
      <c r="R940" s="189" t="e">
        <v>#N/A</v>
      </c>
      <c r="S940" s="205" t="e">
        <v>#N/A</v>
      </c>
      <c r="T940" s="206"/>
    </row>
    <row r="941">
      <c r="C941" s="189" t="e">
        <v>#N/A</v>
      </c>
      <c r="D941" s="189" t="e">
        <v>#N/A</v>
      </c>
      <c r="E941" s="189" t="e">
        <v>#N/A</v>
      </c>
      <c r="F941" s="189" t="e">
        <v>#N/A</v>
      </c>
      <c r="G941" s="189" t="e">
        <v>#N/A</v>
      </c>
      <c r="H941" s="189" t="e">
        <v>#N/A</v>
      </c>
      <c r="I941" s="189" t="e">
        <v>#N/A</v>
      </c>
      <c r="J941" s="189" t="e">
        <v>#N/A</v>
      </c>
      <c r="K941" s="204" t="e">
        <v>#N/A</v>
      </c>
      <c r="L941" s="204" t="e">
        <v>#N/A</v>
      </c>
      <c r="M941" s="205" t="e">
        <v>#N/A</v>
      </c>
      <c r="N941" s="205" t="e">
        <v>#N/A</v>
      </c>
      <c r="O941" s="205" t="e">
        <v>#N/A</v>
      </c>
      <c r="P941" s="205" t="e">
        <v>#N/A</v>
      </c>
      <c r="Q941" s="189" t="e">
        <v>#N/A</v>
      </c>
      <c r="R941" s="189" t="e">
        <v>#N/A</v>
      </c>
      <c r="S941" s="205" t="e">
        <v>#N/A</v>
      </c>
      <c r="T941" s="206"/>
    </row>
    <row r="942">
      <c r="C942" s="189" t="e">
        <v>#N/A</v>
      </c>
      <c r="D942" s="189" t="e">
        <v>#N/A</v>
      </c>
      <c r="E942" s="189" t="e">
        <v>#N/A</v>
      </c>
      <c r="F942" s="189" t="e">
        <v>#N/A</v>
      </c>
      <c r="G942" s="189" t="e">
        <v>#N/A</v>
      </c>
      <c r="H942" s="189" t="e">
        <v>#N/A</v>
      </c>
      <c r="I942" s="189" t="e">
        <v>#N/A</v>
      </c>
      <c r="J942" s="189" t="e">
        <v>#N/A</v>
      </c>
      <c r="K942" s="204" t="e">
        <v>#N/A</v>
      </c>
      <c r="L942" s="204" t="e">
        <v>#N/A</v>
      </c>
      <c r="M942" s="205" t="e">
        <v>#N/A</v>
      </c>
      <c r="N942" s="205" t="e">
        <v>#N/A</v>
      </c>
      <c r="O942" s="205" t="e">
        <v>#N/A</v>
      </c>
      <c r="P942" s="205" t="e">
        <v>#N/A</v>
      </c>
      <c r="Q942" s="189" t="e">
        <v>#N/A</v>
      </c>
      <c r="R942" s="189" t="e">
        <v>#N/A</v>
      </c>
      <c r="S942" s="205" t="e">
        <v>#N/A</v>
      </c>
      <c r="T942" s="206"/>
    </row>
    <row r="943">
      <c r="C943" s="189" t="e">
        <v>#N/A</v>
      </c>
      <c r="D943" s="189" t="e">
        <v>#N/A</v>
      </c>
      <c r="E943" s="189" t="e">
        <v>#N/A</v>
      </c>
      <c r="F943" s="189" t="e">
        <v>#N/A</v>
      </c>
      <c r="G943" s="189" t="e">
        <v>#N/A</v>
      </c>
      <c r="H943" s="189" t="e">
        <v>#N/A</v>
      </c>
      <c r="I943" s="189" t="e">
        <v>#N/A</v>
      </c>
      <c r="J943" s="189" t="e">
        <v>#N/A</v>
      </c>
      <c r="K943" s="204" t="e">
        <v>#N/A</v>
      </c>
      <c r="L943" s="204" t="e">
        <v>#N/A</v>
      </c>
      <c r="M943" s="205" t="e">
        <v>#N/A</v>
      </c>
      <c r="N943" s="205" t="e">
        <v>#N/A</v>
      </c>
      <c r="O943" s="205" t="e">
        <v>#N/A</v>
      </c>
      <c r="P943" s="205" t="e">
        <v>#N/A</v>
      </c>
      <c r="Q943" s="189" t="e">
        <v>#N/A</v>
      </c>
      <c r="R943" s="189" t="e">
        <v>#N/A</v>
      </c>
      <c r="S943" s="205" t="e">
        <v>#N/A</v>
      </c>
      <c r="T943" s="206"/>
    </row>
    <row r="944">
      <c r="C944" s="189" t="e">
        <v>#N/A</v>
      </c>
      <c r="D944" s="189" t="e">
        <v>#N/A</v>
      </c>
      <c r="E944" s="189" t="e">
        <v>#N/A</v>
      </c>
      <c r="F944" s="189" t="e">
        <v>#N/A</v>
      </c>
      <c r="G944" s="189" t="e">
        <v>#N/A</v>
      </c>
      <c r="H944" s="189" t="e">
        <v>#N/A</v>
      </c>
      <c r="I944" s="189" t="e">
        <v>#N/A</v>
      </c>
      <c r="J944" s="189" t="e">
        <v>#N/A</v>
      </c>
      <c r="K944" s="204" t="e">
        <v>#N/A</v>
      </c>
      <c r="L944" s="204" t="e">
        <v>#N/A</v>
      </c>
      <c r="M944" s="205" t="e">
        <v>#N/A</v>
      </c>
      <c r="N944" s="205" t="e">
        <v>#N/A</v>
      </c>
      <c r="O944" s="205" t="e">
        <v>#N/A</v>
      </c>
      <c r="P944" s="205" t="e">
        <v>#N/A</v>
      </c>
      <c r="Q944" s="189" t="e">
        <v>#N/A</v>
      </c>
      <c r="R944" s="189" t="e">
        <v>#N/A</v>
      </c>
      <c r="S944" s="205" t="e">
        <v>#N/A</v>
      </c>
      <c r="T944" s="206"/>
    </row>
    <row r="945">
      <c r="C945" s="189" t="e">
        <v>#N/A</v>
      </c>
      <c r="D945" s="189" t="e">
        <v>#N/A</v>
      </c>
      <c r="E945" s="189" t="e">
        <v>#N/A</v>
      </c>
      <c r="F945" s="189" t="e">
        <v>#N/A</v>
      </c>
      <c r="G945" s="189" t="e">
        <v>#N/A</v>
      </c>
      <c r="H945" s="189" t="e">
        <v>#N/A</v>
      </c>
      <c r="I945" s="189" t="e">
        <v>#N/A</v>
      </c>
      <c r="J945" s="189" t="e">
        <v>#N/A</v>
      </c>
      <c r="K945" s="204" t="e">
        <v>#N/A</v>
      </c>
      <c r="L945" s="204" t="e">
        <v>#N/A</v>
      </c>
      <c r="M945" s="205" t="e">
        <v>#N/A</v>
      </c>
      <c r="N945" s="205" t="e">
        <v>#N/A</v>
      </c>
      <c r="O945" s="205" t="e">
        <v>#N/A</v>
      </c>
      <c r="P945" s="205" t="e">
        <v>#N/A</v>
      </c>
      <c r="Q945" s="189" t="e">
        <v>#N/A</v>
      </c>
      <c r="R945" s="189" t="e">
        <v>#N/A</v>
      </c>
      <c r="S945" s="205" t="e">
        <v>#N/A</v>
      </c>
      <c r="T945" s="206"/>
    </row>
    <row r="946">
      <c r="C946" s="189" t="e">
        <v>#N/A</v>
      </c>
      <c r="D946" s="189" t="e">
        <v>#N/A</v>
      </c>
      <c r="E946" s="189" t="e">
        <v>#N/A</v>
      </c>
      <c r="F946" s="189" t="e">
        <v>#N/A</v>
      </c>
      <c r="G946" s="189" t="e">
        <v>#N/A</v>
      </c>
      <c r="H946" s="189" t="e">
        <v>#N/A</v>
      </c>
      <c r="I946" s="189" t="e">
        <v>#N/A</v>
      </c>
      <c r="J946" s="189" t="e">
        <v>#N/A</v>
      </c>
      <c r="K946" s="204" t="e">
        <v>#N/A</v>
      </c>
      <c r="L946" s="204" t="e">
        <v>#N/A</v>
      </c>
      <c r="M946" s="205" t="e">
        <v>#N/A</v>
      </c>
      <c r="N946" s="205" t="e">
        <v>#N/A</v>
      </c>
      <c r="O946" s="205" t="e">
        <v>#N/A</v>
      </c>
      <c r="P946" s="205" t="e">
        <v>#N/A</v>
      </c>
      <c r="Q946" s="189" t="e">
        <v>#N/A</v>
      </c>
      <c r="R946" s="189" t="e">
        <v>#N/A</v>
      </c>
      <c r="S946" s="205" t="e">
        <v>#N/A</v>
      </c>
      <c r="T946" s="206"/>
    </row>
    <row r="947">
      <c r="C947" s="189" t="e">
        <v>#N/A</v>
      </c>
      <c r="D947" s="189" t="e">
        <v>#N/A</v>
      </c>
      <c r="E947" s="189" t="e">
        <v>#N/A</v>
      </c>
      <c r="F947" s="189" t="e">
        <v>#N/A</v>
      </c>
      <c r="G947" s="189" t="e">
        <v>#N/A</v>
      </c>
      <c r="H947" s="189" t="e">
        <v>#N/A</v>
      </c>
      <c r="I947" s="189" t="e">
        <v>#N/A</v>
      </c>
      <c r="J947" s="189" t="e">
        <v>#N/A</v>
      </c>
      <c r="K947" s="204" t="e">
        <v>#N/A</v>
      </c>
      <c r="L947" s="204" t="e">
        <v>#N/A</v>
      </c>
      <c r="M947" s="205" t="e">
        <v>#N/A</v>
      </c>
      <c r="N947" s="205" t="e">
        <v>#N/A</v>
      </c>
      <c r="O947" s="205" t="e">
        <v>#N/A</v>
      </c>
      <c r="P947" s="205" t="e">
        <v>#N/A</v>
      </c>
      <c r="Q947" s="189" t="e">
        <v>#N/A</v>
      </c>
      <c r="R947" s="189" t="e">
        <v>#N/A</v>
      </c>
      <c r="S947" s="205" t="e">
        <v>#N/A</v>
      </c>
      <c r="T947" s="206"/>
    </row>
    <row r="948">
      <c r="C948" s="189" t="e">
        <v>#N/A</v>
      </c>
      <c r="D948" s="189" t="e">
        <v>#N/A</v>
      </c>
      <c r="E948" s="189" t="e">
        <v>#N/A</v>
      </c>
      <c r="F948" s="189" t="e">
        <v>#N/A</v>
      </c>
      <c r="G948" s="189" t="e">
        <v>#N/A</v>
      </c>
      <c r="H948" s="189" t="e">
        <v>#N/A</v>
      </c>
      <c r="I948" s="189" t="e">
        <v>#N/A</v>
      </c>
      <c r="J948" s="189" t="e">
        <v>#N/A</v>
      </c>
      <c r="K948" s="204" t="e">
        <v>#N/A</v>
      </c>
      <c r="L948" s="204" t="e">
        <v>#N/A</v>
      </c>
      <c r="M948" s="205" t="e">
        <v>#N/A</v>
      </c>
      <c r="N948" s="205" t="e">
        <v>#N/A</v>
      </c>
      <c r="O948" s="205" t="e">
        <v>#N/A</v>
      </c>
      <c r="P948" s="205" t="e">
        <v>#N/A</v>
      </c>
      <c r="Q948" s="189" t="e">
        <v>#N/A</v>
      </c>
      <c r="R948" s="189" t="e">
        <v>#N/A</v>
      </c>
      <c r="S948" s="205" t="e">
        <v>#N/A</v>
      </c>
      <c r="T948" s="206"/>
    </row>
    <row r="949">
      <c r="C949" s="189" t="e">
        <v>#N/A</v>
      </c>
      <c r="D949" s="189" t="e">
        <v>#N/A</v>
      </c>
      <c r="E949" s="189" t="e">
        <v>#N/A</v>
      </c>
      <c r="F949" s="189" t="e">
        <v>#N/A</v>
      </c>
      <c r="G949" s="189" t="e">
        <v>#N/A</v>
      </c>
      <c r="H949" s="189" t="e">
        <v>#N/A</v>
      </c>
      <c r="I949" s="189" t="e">
        <v>#N/A</v>
      </c>
      <c r="J949" s="189" t="e">
        <v>#N/A</v>
      </c>
      <c r="K949" s="204" t="e">
        <v>#N/A</v>
      </c>
      <c r="L949" s="204" t="e">
        <v>#N/A</v>
      </c>
      <c r="M949" s="205" t="e">
        <v>#N/A</v>
      </c>
      <c r="N949" s="205" t="e">
        <v>#N/A</v>
      </c>
      <c r="O949" s="205" t="e">
        <v>#N/A</v>
      </c>
      <c r="P949" s="205" t="e">
        <v>#N/A</v>
      </c>
      <c r="Q949" s="189" t="e">
        <v>#N/A</v>
      </c>
      <c r="R949" s="189" t="e">
        <v>#N/A</v>
      </c>
      <c r="S949" s="205" t="e">
        <v>#N/A</v>
      </c>
      <c r="T949" s="206"/>
    </row>
    <row r="950">
      <c r="C950" s="189" t="e">
        <v>#N/A</v>
      </c>
      <c r="D950" s="189" t="e">
        <v>#N/A</v>
      </c>
      <c r="E950" s="189" t="e">
        <v>#N/A</v>
      </c>
      <c r="F950" s="189" t="e">
        <v>#N/A</v>
      </c>
      <c r="G950" s="189" t="e">
        <v>#N/A</v>
      </c>
      <c r="H950" s="189" t="e">
        <v>#N/A</v>
      </c>
      <c r="I950" s="189" t="e">
        <v>#N/A</v>
      </c>
      <c r="J950" s="189" t="e">
        <v>#N/A</v>
      </c>
      <c r="K950" s="204" t="e">
        <v>#N/A</v>
      </c>
      <c r="L950" s="204" t="e">
        <v>#N/A</v>
      </c>
      <c r="M950" s="205" t="e">
        <v>#N/A</v>
      </c>
      <c r="N950" s="205" t="e">
        <v>#N/A</v>
      </c>
      <c r="O950" s="205" t="e">
        <v>#N/A</v>
      </c>
      <c r="P950" s="205" t="e">
        <v>#N/A</v>
      </c>
      <c r="Q950" s="189" t="e">
        <v>#N/A</v>
      </c>
      <c r="R950" s="189" t="e">
        <v>#N/A</v>
      </c>
      <c r="S950" s="205" t="e">
        <v>#N/A</v>
      </c>
      <c r="T950" s="206"/>
    </row>
    <row r="951">
      <c r="C951" s="189" t="e">
        <v>#N/A</v>
      </c>
      <c r="D951" s="189" t="e">
        <v>#N/A</v>
      </c>
      <c r="E951" s="189" t="e">
        <v>#N/A</v>
      </c>
      <c r="F951" s="189" t="e">
        <v>#N/A</v>
      </c>
      <c r="G951" s="189" t="e">
        <v>#N/A</v>
      </c>
      <c r="H951" s="189" t="e">
        <v>#N/A</v>
      </c>
      <c r="I951" s="189" t="e">
        <v>#N/A</v>
      </c>
      <c r="J951" s="189" t="e">
        <v>#N/A</v>
      </c>
      <c r="K951" s="204" t="e">
        <v>#N/A</v>
      </c>
      <c r="L951" s="204" t="e">
        <v>#N/A</v>
      </c>
      <c r="M951" s="205" t="e">
        <v>#N/A</v>
      </c>
      <c r="N951" s="205" t="e">
        <v>#N/A</v>
      </c>
      <c r="O951" s="205" t="e">
        <v>#N/A</v>
      </c>
      <c r="P951" s="205" t="e">
        <v>#N/A</v>
      </c>
      <c r="Q951" s="189" t="e">
        <v>#N/A</v>
      </c>
      <c r="R951" s="189" t="e">
        <v>#N/A</v>
      </c>
      <c r="S951" s="205" t="e">
        <v>#N/A</v>
      </c>
      <c r="T951" s="206"/>
    </row>
    <row r="952">
      <c r="C952" s="189" t="e">
        <v>#N/A</v>
      </c>
      <c r="D952" s="189" t="e">
        <v>#N/A</v>
      </c>
      <c r="E952" s="189" t="e">
        <v>#N/A</v>
      </c>
      <c r="F952" s="189" t="e">
        <v>#N/A</v>
      </c>
      <c r="G952" s="189" t="e">
        <v>#N/A</v>
      </c>
      <c r="H952" s="189" t="e">
        <v>#N/A</v>
      </c>
      <c r="I952" s="189" t="e">
        <v>#N/A</v>
      </c>
      <c r="J952" s="189" t="e">
        <v>#N/A</v>
      </c>
      <c r="K952" s="204" t="e">
        <v>#N/A</v>
      </c>
      <c r="L952" s="204" t="e">
        <v>#N/A</v>
      </c>
      <c r="M952" s="205" t="e">
        <v>#N/A</v>
      </c>
      <c r="N952" s="205" t="e">
        <v>#N/A</v>
      </c>
      <c r="O952" s="205" t="e">
        <v>#N/A</v>
      </c>
      <c r="P952" s="205" t="e">
        <v>#N/A</v>
      </c>
      <c r="Q952" s="189" t="e">
        <v>#N/A</v>
      </c>
      <c r="R952" s="189" t="e">
        <v>#N/A</v>
      </c>
      <c r="S952" s="205" t="e">
        <v>#N/A</v>
      </c>
      <c r="T952" s="206"/>
    </row>
    <row r="953">
      <c r="C953" s="189" t="e">
        <v>#N/A</v>
      </c>
      <c r="D953" s="189" t="e">
        <v>#N/A</v>
      </c>
      <c r="E953" s="189" t="e">
        <v>#N/A</v>
      </c>
      <c r="F953" s="189" t="e">
        <v>#N/A</v>
      </c>
      <c r="G953" s="189" t="e">
        <v>#N/A</v>
      </c>
      <c r="H953" s="189" t="e">
        <v>#N/A</v>
      </c>
      <c r="I953" s="189" t="e">
        <v>#N/A</v>
      </c>
      <c r="J953" s="189" t="e">
        <v>#N/A</v>
      </c>
      <c r="K953" s="204" t="e">
        <v>#N/A</v>
      </c>
      <c r="L953" s="204" t="e">
        <v>#N/A</v>
      </c>
      <c r="M953" s="205" t="e">
        <v>#N/A</v>
      </c>
      <c r="N953" s="205" t="e">
        <v>#N/A</v>
      </c>
      <c r="O953" s="205" t="e">
        <v>#N/A</v>
      </c>
      <c r="P953" s="205" t="e">
        <v>#N/A</v>
      </c>
      <c r="Q953" s="189" t="e">
        <v>#N/A</v>
      </c>
      <c r="R953" s="189" t="e">
        <v>#N/A</v>
      </c>
      <c r="S953" s="205" t="e">
        <v>#N/A</v>
      </c>
      <c r="T953" s="206"/>
    </row>
    <row r="954">
      <c r="C954" s="189" t="e">
        <v>#N/A</v>
      </c>
      <c r="D954" s="189" t="e">
        <v>#N/A</v>
      </c>
      <c r="E954" s="189" t="e">
        <v>#N/A</v>
      </c>
      <c r="F954" s="189" t="e">
        <v>#N/A</v>
      </c>
      <c r="G954" s="189" t="e">
        <v>#N/A</v>
      </c>
      <c r="H954" s="189" t="e">
        <v>#N/A</v>
      </c>
      <c r="I954" s="189" t="e">
        <v>#N/A</v>
      </c>
      <c r="J954" s="189" t="e">
        <v>#N/A</v>
      </c>
      <c r="K954" s="204" t="e">
        <v>#N/A</v>
      </c>
      <c r="L954" s="204" t="e">
        <v>#N/A</v>
      </c>
      <c r="M954" s="205" t="e">
        <v>#N/A</v>
      </c>
      <c r="N954" s="205" t="e">
        <v>#N/A</v>
      </c>
      <c r="O954" s="205" t="e">
        <v>#N/A</v>
      </c>
      <c r="P954" s="205" t="e">
        <v>#N/A</v>
      </c>
      <c r="Q954" s="189" t="e">
        <v>#N/A</v>
      </c>
      <c r="R954" s="189" t="e">
        <v>#N/A</v>
      </c>
      <c r="S954" s="205" t="e">
        <v>#N/A</v>
      </c>
      <c r="T954" s="206"/>
    </row>
    <row r="955">
      <c r="C955" s="189" t="e">
        <v>#N/A</v>
      </c>
      <c r="D955" s="189" t="e">
        <v>#N/A</v>
      </c>
      <c r="E955" s="189" t="e">
        <v>#N/A</v>
      </c>
      <c r="F955" s="189" t="e">
        <v>#N/A</v>
      </c>
      <c r="G955" s="189" t="e">
        <v>#N/A</v>
      </c>
      <c r="H955" s="189" t="e">
        <v>#N/A</v>
      </c>
      <c r="I955" s="189" t="e">
        <v>#N/A</v>
      </c>
      <c r="J955" s="189" t="e">
        <v>#N/A</v>
      </c>
      <c r="K955" s="204" t="e">
        <v>#N/A</v>
      </c>
      <c r="L955" s="204" t="e">
        <v>#N/A</v>
      </c>
      <c r="M955" s="205" t="e">
        <v>#N/A</v>
      </c>
      <c r="N955" s="205" t="e">
        <v>#N/A</v>
      </c>
      <c r="O955" s="205" t="e">
        <v>#N/A</v>
      </c>
      <c r="P955" s="205" t="e">
        <v>#N/A</v>
      </c>
      <c r="Q955" s="189" t="e">
        <v>#N/A</v>
      </c>
      <c r="R955" s="189" t="e">
        <v>#N/A</v>
      </c>
      <c r="S955" s="205" t="e">
        <v>#N/A</v>
      </c>
      <c r="T955" s="206"/>
    </row>
    <row r="956">
      <c r="C956" s="189" t="e">
        <v>#N/A</v>
      </c>
      <c r="D956" s="189" t="e">
        <v>#N/A</v>
      </c>
      <c r="E956" s="189" t="e">
        <v>#N/A</v>
      </c>
      <c r="F956" s="189" t="e">
        <v>#N/A</v>
      </c>
      <c r="G956" s="189" t="e">
        <v>#N/A</v>
      </c>
      <c r="H956" s="189" t="e">
        <v>#N/A</v>
      </c>
      <c r="I956" s="189" t="e">
        <v>#N/A</v>
      </c>
      <c r="J956" s="189" t="e">
        <v>#N/A</v>
      </c>
      <c r="K956" s="204" t="e">
        <v>#N/A</v>
      </c>
      <c r="L956" s="204" t="e">
        <v>#N/A</v>
      </c>
      <c r="M956" s="205" t="e">
        <v>#N/A</v>
      </c>
      <c r="N956" s="205" t="e">
        <v>#N/A</v>
      </c>
      <c r="O956" s="205" t="e">
        <v>#N/A</v>
      </c>
      <c r="P956" s="205" t="e">
        <v>#N/A</v>
      </c>
      <c r="Q956" s="189" t="e">
        <v>#N/A</v>
      </c>
      <c r="R956" s="189" t="e">
        <v>#N/A</v>
      </c>
      <c r="S956" s="205" t="e">
        <v>#N/A</v>
      </c>
      <c r="T956" s="206"/>
    </row>
    <row r="957">
      <c r="C957" s="189" t="e">
        <v>#N/A</v>
      </c>
      <c r="D957" s="189" t="e">
        <v>#N/A</v>
      </c>
      <c r="E957" s="189" t="e">
        <v>#N/A</v>
      </c>
      <c r="F957" s="189" t="e">
        <v>#N/A</v>
      </c>
      <c r="G957" s="189" t="e">
        <v>#N/A</v>
      </c>
      <c r="H957" s="189" t="e">
        <v>#N/A</v>
      </c>
      <c r="I957" s="189" t="e">
        <v>#N/A</v>
      </c>
      <c r="J957" s="189" t="e">
        <v>#N/A</v>
      </c>
      <c r="K957" s="204" t="e">
        <v>#N/A</v>
      </c>
      <c r="L957" s="204" t="e">
        <v>#N/A</v>
      </c>
      <c r="M957" s="205" t="e">
        <v>#N/A</v>
      </c>
      <c r="N957" s="205" t="e">
        <v>#N/A</v>
      </c>
      <c r="O957" s="205" t="e">
        <v>#N/A</v>
      </c>
      <c r="P957" s="205" t="e">
        <v>#N/A</v>
      </c>
      <c r="Q957" s="189" t="e">
        <v>#N/A</v>
      </c>
      <c r="R957" s="189" t="e">
        <v>#N/A</v>
      </c>
      <c r="S957" s="205" t="e">
        <v>#N/A</v>
      </c>
      <c r="T957" s="206"/>
    </row>
    <row r="958">
      <c r="C958" s="189" t="e">
        <v>#N/A</v>
      </c>
      <c r="D958" s="189" t="e">
        <v>#N/A</v>
      </c>
      <c r="E958" s="189" t="e">
        <v>#N/A</v>
      </c>
      <c r="F958" s="189" t="e">
        <v>#N/A</v>
      </c>
      <c r="G958" s="189" t="e">
        <v>#N/A</v>
      </c>
      <c r="H958" s="189" t="e">
        <v>#N/A</v>
      </c>
      <c r="I958" s="189" t="e">
        <v>#N/A</v>
      </c>
      <c r="J958" s="189" t="e">
        <v>#N/A</v>
      </c>
      <c r="K958" s="204" t="e">
        <v>#N/A</v>
      </c>
      <c r="L958" s="204" t="e">
        <v>#N/A</v>
      </c>
      <c r="M958" s="205" t="e">
        <v>#N/A</v>
      </c>
      <c r="N958" s="205" t="e">
        <v>#N/A</v>
      </c>
      <c r="O958" s="205" t="e">
        <v>#N/A</v>
      </c>
      <c r="P958" s="205" t="e">
        <v>#N/A</v>
      </c>
      <c r="Q958" s="189" t="e">
        <v>#N/A</v>
      </c>
      <c r="R958" s="189" t="e">
        <v>#N/A</v>
      </c>
      <c r="S958" s="205" t="e">
        <v>#N/A</v>
      </c>
      <c r="T958" s="206"/>
    </row>
    <row r="959">
      <c r="C959" s="189" t="e">
        <v>#N/A</v>
      </c>
      <c r="D959" s="189" t="e">
        <v>#N/A</v>
      </c>
      <c r="E959" s="189" t="e">
        <v>#N/A</v>
      </c>
      <c r="F959" s="189" t="e">
        <v>#N/A</v>
      </c>
      <c r="G959" s="189" t="e">
        <v>#N/A</v>
      </c>
      <c r="H959" s="189" t="e">
        <v>#N/A</v>
      </c>
      <c r="I959" s="189" t="e">
        <v>#N/A</v>
      </c>
      <c r="J959" s="189" t="e">
        <v>#N/A</v>
      </c>
      <c r="K959" s="204" t="e">
        <v>#N/A</v>
      </c>
      <c r="L959" s="204" t="e">
        <v>#N/A</v>
      </c>
      <c r="M959" s="205" t="e">
        <v>#N/A</v>
      </c>
      <c r="N959" s="205" t="e">
        <v>#N/A</v>
      </c>
      <c r="O959" s="205" t="e">
        <v>#N/A</v>
      </c>
      <c r="P959" s="205" t="e">
        <v>#N/A</v>
      </c>
      <c r="Q959" s="189" t="e">
        <v>#N/A</v>
      </c>
      <c r="R959" s="189" t="e">
        <v>#N/A</v>
      </c>
      <c r="S959" s="205" t="e">
        <v>#N/A</v>
      </c>
      <c r="T959" s="206"/>
    </row>
    <row r="960">
      <c r="C960" s="189" t="e">
        <v>#N/A</v>
      </c>
      <c r="D960" s="189" t="e">
        <v>#N/A</v>
      </c>
      <c r="E960" s="189" t="e">
        <v>#N/A</v>
      </c>
      <c r="F960" s="189" t="e">
        <v>#N/A</v>
      </c>
      <c r="G960" s="189" t="e">
        <v>#N/A</v>
      </c>
      <c r="H960" s="189" t="e">
        <v>#N/A</v>
      </c>
      <c r="I960" s="189" t="e">
        <v>#N/A</v>
      </c>
      <c r="J960" s="189" t="e">
        <v>#N/A</v>
      </c>
      <c r="K960" s="204" t="e">
        <v>#N/A</v>
      </c>
      <c r="L960" s="204" t="e">
        <v>#N/A</v>
      </c>
      <c r="M960" s="205" t="e">
        <v>#N/A</v>
      </c>
      <c r="N960" s="205" t="e">
        <v>#N/A</v>
      </c>
      <c r="O960" s="205" t="e">
        <v>#N/A</v>
      </c>
      <c r="P960" s="205" t="e">
        <v>#N/A</v>
      </c>
      <c r="Q960" s="189" t="e">
        <v>#N/A</v>
      </c>
      <c r="R960" s="189" t="e">
        <v>#N/A</v>
      </c>
      <c r="S960" s="205" t="e">
        <v>#N/A</v>
      </c>
      <c r="T960" s="206"/>
    </row>
    <row r="961">
      <c r="C961" s="189" t="e">
        <v>#N/A</v>
      </c>
      <c r="D961" s="189" t="e">
        <v>#N/A</v>
      </c>
      <c r="E961" s="189" t="e">
        <v>#N/A</v>
      </c>
      <c r="F961" s="189" t="e">
        <v>#N/A</v>
      </c>
      <c r="G961" s="189" t="e">
        <v>#N/A</v>
      </c>
      <c r="H961" s="189" t="e">
        <v>#N/A</v>
      </c>
      <c r="I961" s="189" t="e">
        <v>#N/A</v>
      </c>
      <c r="J961" s="189" t="e">
        <v>#N/A</v>
      </c>
      <c r="K961" s="204" t="e">
        <v>#N/A</v>
      </c>
      <c r="L961" s="204" t="e">
        <v>#N/A</v>
      </c>
      <c r="M961" s="205" t="e">
        <v>#N/A</v>
      </c>
      <c r="N961" s="205" t="e">
        <v>#N/A</v>
      </c>
      <c r="O961" s="205" t="e">
        <v>#N/A</v>
      </c>
      <c r="P961" s="205" t="e">
        <v>#N/A</v>
      </c>
      <c r="Q961" s="189" t="e">
        <v>#N/A</v>
      </c>
      <c r="R961" s="189" t="e">
        <v>#N/A</v>
      </c>
      <c r="S961" s="205" t="e">
        <v>#N/A</v>
      </c>
      <c r="T961" s="206"/>
    </row>
    <row r="962">
      <c r="C962" s="189" t="e">
        <v>#N/A</v>
      </c>
      <c r="D962" s="189" t="e">
        <v>#N/A</v>
      </c>
      <c r="E962" s="189" t="e">
        <v>#N/A</v>
      </c>
      <c r="F962" s="189" t="e">
        <v>#N/A</v>
      </c>
      <c r="G962" s="189" t="e">
        <v>#N/A</v>
      </c>
      <c r="H962" s="189" t="e">
        <v>#N/A</v>
      </c>
      <c r="I962" s="189" t="e">
        <v>#N/A</v>
      </c>
      <c r="J962" s="189" t="e">
        <v>#N/A</v>
      </c>
      <c r="K962" s="204" t="e">
        <v>#N/A</v>
      </c>
      <c r="L962" s="204" t="e">
        <v>#N/A</v>
      </c>
      <c r="M962" s="205" t="e">
        <v>#N/A</v>
      </c>
      <c r="N962" s="205" t="e">
        <v>#N/A</v>
      </c>
      <c r="O962" s="205" t="e">
        <v>#N/A</v>
      </c>
      <c r="P962" s="205" t="e">
        <v>#N/A</v>
      </c>
      <c r="Q962" s="189" t="e">
        <v>#N/A</v>
      </c>
      <c r="R962" s="189" t="e">
        <v>#N/A</v>
      </c>
      <c r="S962" s="205" t="e">
        <v>#N/A</v>
      </c>
      <c r="T962" s="206"/>
    </row>
    <row r="963">
      <c r="C963" s="189" t="e">
        <v>#N/A</v>
      </c>
      <c r="D963" s="189" t="e">
        <v>#N/A</v>
      </c>
      <c r="E963" s="189" t="e">
        <v>#N/A</v>
      </c>
      <c r="F963" s="189" t="e">
        <v>#N/A</v>
      </c>
      <c r="G963" s="189" t="e">
        <v>#N/A</v>
      </c>
      <c r="H963" s="189" t="e">
        <v>#N/A</v>
      </c>
      <c r="I963" s="189" t="e">
        <v>#N/A</v>
      </c>
      <c r="J963" s="189" t="e">
        <v>#N/A</v>
      </c>
      <c r="K963" s="204" t="e">
        <v>#N/A</v>
      </c>
      <c r="L963" s="204" t="e">
        <v>#N/A</v>
      </c>
      <c r="M963" s="205" t="e">
        <v>#N/A</v>
      </c>
      <c r="N963" s="205" t="e">
        <v>#N/A</v>
      </c>
      <c r="O963" s="205" t="e">
        <v>#N/A</v>
      </c>
      <c r="P963" s="205" t="e">
        <v>#N/A</v>
      </c>
      <c r="Q963" s="189" t="e">
        <v>#N/A</v>
      </c>
      <c r="R963" s="189" t="e">
        <v>#N/A</v>
      </c>
      <c r="S963" s="205" t="e">
        <v>#N/A</v>
      </c>
      <c r="T963" s="206"/>
    </row>
    <row r="964">
      <c r="C964" s="189" t="e">
        <v>#N/A</v>
      </c>
      <c r="D964" s="189" t="e">
        <v>#N/A</v>
      </c>
      <c r="E964" s="189" t="e">
        <v>#N/A</v>
      </c>
      <c r="F964" s="189" t="e">
        <v>#N/A</v>
      </c>
      <c r="G964" s="189" t="e">
        <v>#N/A</v>
      </c>
      <c r="H964" s="189" t="e">
        <v>#N/A</v>
      </c>
      <c r="I964" s="189" t="e">
        <v>#N/A</v>
      </c>
      <c r="J964" s="189" t="e">
        <v>#N/A</v>
      </c>
      <c r="K964" s="204" t="e">
        <v>#N/A</v>
      </c>
      <c r="L964" s="204" t="e">
        <v>#N/A</v>
      </c>
      <c r="M964" s="205" t="e">
        <v>#N/A</v>
      </c>
      <c r="N964" s="205" t="e">
        <v>#N/A</v>
      </c>
      <c r="O964" s="205" t="e">
        <v>#N/A</v>
      </c>
      <c r="P964" s="205" t="e">
        <v>#N/A</v>
      </c>
      <c r="Q964" s="189" t="e">
        <v>#N/A</v>
      </c>
      <c r="R964" s="189" t="e">
        <v>#N/A</v>
      </c>
      <c r="S964" s="205" t="e">
        <v>#N/A</v>
      </c>
      <c r="T964" s="206"/>
    </row>
    <row r="965">
      <c r="C965" s="189" t="e">
        <v>#N/A</v>
      </c>
      <c r="D965" s="189" t="e">
        <v>#N/A</v>
      </c>
      <c r="E965" s="189" t="e">
        <v>#N/A</v>
      </c>
      <c r="F965" s="189" t="e">
        <v>#N/A</v>
      </c>
      <c r="G965" s="189" t="e">
        <v>#N/A</v>
      </c>
      <c r="H965" s="189" t="e">
        <v>#N/A</v>
      </c>
      <c r="I965" s="189" t="e">
        <v>#N/A</v>
      </c>
      <c r="J965" s="189" t="e">
        <v>#N/A</v>
      </c>
      <c r="K965" s="204" t="e">
        <v>#N/A</v>
      </c>
      <c r="L965" s="204" t="e">
        <v>#N/A</v>
      </c>
      <c r="M965" s="205" t="e">
        <v>#N/A</v>
      </c>
      <c r="N965" s="205" t="e">
        <v>#N/A</v>
      </c>
      <c r="O965" s="205" t="e">
        <v>#N/A</v>
      </c>
      <c r="P965" s="205" t="e">
        <v>#N/A</v>
      </c>
      <c r="Q965" s="189" t="e">
        <v>#N/A</v>
      </c>
      <c r="R965" s="189" t="e">
        <v>#N/A</v>
      </c>
      <c r="S965" s="205" t="e">
        <v>#N/A</v>
      </c>
      <c r="T965" s="206"/>
    </row>
    <row r="966">
      <c r="C966" s="189" t="e">
        <v>#N/A</v>
      </c>
      <c r="D966" s="189" t="e">
        <v>#N/A</v>
      </c>
      <c r="E966" s="189" t="e">
        <v>#N/A</v>
      </c>
      <c r="F966" s="189" t="e">
        <v>#N/A</v>
      </c>
      <c r="G966" s="189" t="e">
        <v>#N/A</v>
      </c>
      <c r="H966" s="189" t="e">
        <v>#N/A</v>
      </c>
      <c r="I966" s="189" t="e">
        <v>#N/A</v>
      </c>
      <c r="J966" s="189" t="e">
        <v>#N/A</v>
      </c>
      <c r="K966" s="204" t="e">
        <v>#N/A</v>
      </c>
      <c r="L966" s="204" t="e">
        <v>#N/A</v>
      </c>
      <c r="M966" s="205" t="e">
        <v>#N/A</v>
      </c>
      <c r="N966" s="205" t="e">
        <v>#N/A</v>
      </c>
      <c r="O966" s="205" t="e">
        <v>#N/A</v>
      </c>
      <c r="P966" s="205" t="e">
        <v>#N/A</v>
      </c>
      <c r="Q966" s="189" t="e">
        <v>#N/A</v>
      </c>
      <c r="R966" s="189" t="e">
        <v>#N/A</v>
      </c>
      <c r="S966" s="205" t="e">
        <v>#N/A</v>
      </c>
      <c r="T966" s="206"/>
    </row>
    <row r="967">
      <c r="C967" s="189" t="e">
        <v>#N/A</v>
      </c>
      <c r="D967" s="189" t="e">
        <v>#N/A</v>
      </c>
      <c r="E967" s="189" t="e">
        <v>#N/A</v>
      </c>
      <c r="F967" s="189" t="e">
        <v>#N/A</v>
      </c>
      <c r="G967" s="189" t="e">
        <v>#N/A</v>
      </c>
      <c r="H967" s="189" t="e">
        <v>#N/A</v>
      </c>
      <c r="I967" s="189" t="e">
        <v>#N/A</v>
      </c>
      <c r="J967" s="189" t="e">
        <v>#N/A</v>
      </c>
      <c r="K967" s="204" t="e">
        <v>#N/A</v>
      </c>
      <c r="L967" s="204" t="e">
        <v>#N/A</v>
      </c>
      <c r="M967" s="205" t="e">
        <v>#N/A</v>
      </c>
      <c r="N967" s="205" t="e">
        <v>#N/A</v>
      </c>
      <c r="O967" s="205" t="e">
        <v>#N/A</v>
      </c>
      <c r="P967" s="205" t="e">
        <v>#N/A</v>
      </c>
      <c r="Q967" s="189" t="e">
        <v>#N/A</v>
      </c>
      <c r="R967" s="189" t="e">
        <v>#N/A</v>
      </c>
      <c r="S967" s="205" t="e">
        <v>#N/A</v>
      </c>
      <c r="T967" s="206"/>
    </row>
    <row r="968">
      <c r="C968" s="189" t="e">
        <v>#N/A</v>
      </c>
      <c r="D968" s="189" t="e">
        <v>#N/A</v>
      </c>
      <c r="E968" s="189" t="e">
        <v>#N/A</v>
      </c>
      <c r="F968" s="189" t="e">
        <v>#N/A</v>
      </c>
      <c r="G968" s="189" t="e">
        <v>#N/A</v>
      </c>
      <c r="H968" s="189" t="e">
        <v>#N/A</v>
      </c>
      <c r="I968" s="189" t="e">
        <v>#N/A</v>
      </c>
      <c r="J968" s="189" t="e">
        <v>#N/A</v>
      </c>
      <c r="K968" s="204" t="e">
        <v>#N/A</v>
      </c>
      <c r="L968" s="204" t="e">
        <v>#N/A</v>
      </c>
      <c r="M968" s="205" t="e">
        <v>#N/A</v>
      </c>
      <c r="N968" s="205" t="e">
        <v>#N/A</v>
      </c>
      <c r="O968" s="205" t="e">
        <v>#N/A</v>
      </c>
      <c r="P968" s="205" t="e">
        <v>#N/A</v>
      </c>
      <c r="Q968" s="189" t="e">
        <v>#N/A</v>
      </c>
      <c r="R968" s="189" t="e">
        <v>#N/A</v>
      </c>
      <c r="S968" s="205" t="e">
        <v>#N/A</v>
      </c>
      <c r="T968" s="206"/>
    </row>
    <row r="969">
      <c r="C969" s="189" t="e">
        <v>#N/A</v>
      </c>
      <c r="D969" s="189" t="e">
        <v>#N/A</v>
      </c>
      <c r="E969" s="189" t="e">
        <v>#N/A</v>
      </c>
      <c r="F969" s="189" t="e">
        <v>#N/A</v>
      </c>
      <c r="G969" s="189" t="e">
        <v>#N/A</v>
      </c>
      <c r="H969" s="189" t="e">
        <v>#N/A</v>
      </c>
      <c r="I969" s="189" t="e">
        <v>#N/A</v>
      </c>
      <c r="J969" s="189" t="e">
        <v>#N/A</v>
      </c>
      <c r="K969" s="204" t="e">
        <v>#N/A</v>
      </c>
      <c r="L969" s="204" t="e">
        <v>#N/A</v>
      </c>
      <c r="M969" s="205" t="e">
        <v>#N/A</v>
      </c>
      <c r="N969" s="205" t="e">
        <v>#N/A</v>
      </c>
      <c r="O969" s="205" t="e">
        <v>#N/A</v>
      </c>
      <c r="P969" s="205" t="e">
        <v>#N/A</v>
      </c>
      <c r="Q969" s="189" t="e">
        <v>#N/A</v>
      </c>
      <c r="R969" s="189" t="e">
        <v>#N/A</v>
      </c>
      <c r="S969" s="205" t="e">
        <v>#N/A</v>
      </c>
      <c r="T969" s="206"/>
    </row>
    <row r="970">
      <c r="C970" s="189" t="e">
        <v>#N/A</v>
      </c>
      <c r="D970" s="189" t="e">
        <v>#N/A</v>
      </c>
      <c r="E970" s="189" t="e">
        <v>#N/A</v>
      </c>
      <c r="F970" s="189" t="e">
        <v>#N/A</v>
      </c>
      <c r="G970" s="189" t="e">
        <v>#N/A</v>
      </c>
      <c r="H970" s="189" t="e">
        <v>#N/A</v>
      </c>
      <c r="I970" s="189" t="e">
        <v>#N/A</v>
      </c>
      <c r="J970" s="189" t="e">
        <v>#N/A</v>
      </c>
      <c r="K970" s="204" t="e">
        <v>#N/A</v>
      </c>
      <c r="L970" s="204" t="e">
        <v>#N/A</v>
      </c>
      <c r="M970" s="205" t="e">
        <v>#N/A</v>
      </c>
      <c r="N970" s="205" t="e">
        <v>#N/A</v>
      </c>
      <c r="O970" s="205" t="e">
        <v>#N/A</v>
      </c>
      <c r="P970" s="205" t="e">
        <v>#N/A</v>
      </c>
      <c r="Q970" s="189" t="e">
        <v>#N/A</v>
      </c>
      <c r="R970" s="189" t="e">
        <v>#N/A</v>
      </c>
      <c r="S970" s="205" t="e">
        <v>#N/A</v>
      </c>
      <c r="T970" s="206"/>
    </row>
    <row r="971">
      <c r="C971" s="189" t="e">
        <v>#N/A</v>
      </c>
      <c r="D971" s="189" t="e">
        <v>#N/A</v>
      </c>
      <c r="E971" s="189" t="e">
        <v>#N/A</v>
      </c>
      <c r="F971" s="189" t="e">
        <v>#N/A</v>
      </c>
      <c r="G971" s="189" t="e">
        <v>#N/A</v>
      </c>
      <c r="H971" s="189" t="e">
        <v>#N/A</v>
      </c>
      <c r="I971" s="189" t="e">
        <v>#N/A</v>
      </c>
      <c r="J971" s="189" t="e">
        <v>#N/A</v>
      </c>
      <c r="K971" s="204" t="e">
        <v>#N/A</v>
      </c>
      <c r="L971" s="204" t="e">
        <v>#N/A</v>
      </c>
      <c r="M971" s="205" t="e">
        <v>#N/A</v>
      </c>
      <c r="N971" s="205" t="e">
        <v>#N/A</v>
      </c>
      <c r="O971" s="205" t="e">
        <v>#N/A</v>
      </c>
      <c r="P971" s="205" t="e">
        <v>#N/A</v>
      </c>
      <c r="Q971" s="189" t="e">
        <v>#N/A</v>
      </c>
      <c r="R971" s="189" t="e">
        <v>#N/A</v>
      </c>
      <c r="S971" s="205" t="e">
        <v>#N/A</v>
      </c>
      <c r="T971" s="206"/>
    </row>
    <row r="972">
      <c r="C972" s="189" t="e">
        <v>#N/A</v>
      </c>
      <c r="D972" s="189" t="e">
        <v>#N/A</v>
      </c>
      <c r="E972" s="189" t="e">
        <v>#N/A</v>
      </c>
      <c r="F972" s="189" t="e">
        <v>#N/A</v>
      </c>
      <c r="G972" s="189" t="e">
        <v>#N/A</v>
      </c>
      <c r="H972" s="189" t="e">
        <v>#N/A</v>
      </c>
      <c r="I972" s="189" t="e">
        <v>#N/A</v>
      </c>
      <c r="J972" s="189" t="e">
        <v>#N/A</v>
      </c>
      <c r="K972" s="204" t="e">
        <v>#N/A</v>
      </c>
      <c r="L972" s="204" t="e">
        <v>#N/A</v>
      </c>
      <c r="M972" s="205" t="e">
        <v>#N/A</v>
      </c>
      <c r="N972" s="205" t="e">
        <v>#N/A</v>
      </c>
      <c r="O972" s="205" t="e">
        <v>#N/A</v>
      </c>
      <c r="P972" s="205" t="e">
        <v>#N/A</v>
      </c>
      <c r="Q972" s="189" t="e">
        <v>#N/A</v>
      </c>
      <c r="R972" s="189" t="e">
        <v>#N/A</v>
      </c>
      <c r="S972" s="205" t="e">
        <v>#N/A</v>
      </c>
      <c r="T972" s="206"/>
    </row>
    <row r="973">
      <c r="C973" s="189" t="e">
        <v>#N/A</v>
      </c>
      <c r="D973" s="189" t="e">
        <v>#N/A</v>
      </c>
      <c r="E973" s="189" t="e">
        <v>#N/A</v>
      </c>
      <c r="F973" s="189" t="e">
        <v>#N/A</v>
      </c>
      <c r="G973" s="189" t="e">
        <v>#N/A</v>
      </c>
      <c r="H973" s="189" t="e">
        <v>#N/A</v>
      </c>
      <c r="I973" s="189" t="e">
        <v>#N/A</v>
      </c>
      <c r="J973" s="189" t="e">
        <v>#N/A</v>
      </c>
      <c r="K973" s="204" t="e">
        <v>#N/A</v>
      </c>
      <c r="L973" s="204" t="e">
        <v>#N/A</v>
      </c>
      <c r="M973" s="205" t="e">
        <v>#N/A</v>
      </c>
      <c r="N973" s="205" t="e">
        <v>#N/A</v>
      </c>
      <c r="O973" s="205" t="e">
        <v>#N/A</v>
      </c>
      <c r="P973" s="205" t="e">
        <v>#N/A</v>
      </c>
      <c r="Q973" s="189" t="e">
        <v>#N/A</v>
      </c>
      <c r="R973" s="189" t="e">
        <v>#N/A</v>
      </c>
      <c r="S973" s="205" t="e">
        <v>#N/A</v>
      </c>
      <c r="T973" s="206"/>
    </row>
    <row r="974">
      <c r="C974" s="189" t="e">
        <v>#N/A</v>
      </c>
      <c r="D974" s="189" t="e">
        <v>#N/A</v>
      </c>
      <c r="E974" s="189" t="e">
        <v>#N/A</v>
      </c>
      <c r="F974" s="189" t="e">
        <v>#N/A</v>
      </c>
      <c r="G974" s="189" t="e">
        <v>#N/A</v>
      </c>
      <c r="H974" s="189" t="e">
        <v>#N/A</v>
      </c>
      <c r="I974" s="189" t="e">
        <v>#N/A</v>
      </c>
      <c r="J974" s="189" t="e">
        <v>#N/A</v>
      </c>
      <c r="K974" s="204" t="e">
        <v>#N/A</v>
      </c>
      <c r="L974" s="204" t="e">
        <v>#N/A</v>
      </c>
      <c r="M974" s="205" t="e">
        <v>#N/A</v>
      </c>
      <c r="N974" s="205" t="e">
        <v>#N/A</v>
      </c>
      <c r="O974" s="205" t="e">
        <v>#N/A</v>
      </c>
      <c r="P974" s="205" t="e">
        <v>#N/A</v>
      </c>
      <c r="Q974" s="189" t="e">
        <v>#N/A</v>
      </c>
      <c r="R974" s="189" t="e">
        <v>#N/A</v>
      </c>
      <c r="S974" s="205" t="e">
        <v>#N/A</v>
      </c>
      <c r="T974" s="206"/>
    </row>
    <row r="975">
      <c r="C975" s="189" t="e">
        <v>#N/A</v>
      </c>
      <c r="D975" s="189" t="e">
        <v>#N/A</v>
      </c>
      <c r="E975" s="189" t="e">
        <v>#N/A</v>
      </c>
      <c r="F975" s="189" t="e">
        <v>#N/A</v>
      </c>
      <c r="G975" s="189" t="e">
        <v>#N/A</v>
      </c>
      <c r="H975" s="189" t="e">
        <v>#N/A</v>
      </c>
      <c r="I975" s="189" t="e">
        <v>#N/A</v>
      </c>
      <c r="J975" s="189" t="e">
        <v>#N/A</v>
      </c>
      <c r="K975" s="204" t="e">
        <v>#N/A</v>
      </c>
      <c r="L975" s="204" t="e">
        <v>#N/A</v>
      </c>
      <c r="M975" s="205" t="e">
        <v>#N/A</v>
      </c>
      <c r="N975" s="205" t="e">
        <v>#N/A</v>
      </c>
      <c r="O975" s="205" t="e">
        <v>#N/A</v>
      </c>
      <c r="P975" s="205" t="e">
        <v>#N/A</v>
      </c>
      <c r="Q975" s="189" t="e">
        <v>#N/A</v>
      </c>
      <c r="R975" s="189" t="e">
        <v>#N/A</v>
      </c>
      <c r="S975" s="205" t="e">
        <v>#N/A</v>
      </c>
      <c r="T975" s="206"/>
    </row>
    <row r="976">
      <c r="C976" s="189" t="e">
        <v>#N/A</v>
      </c>
      <c r="D976" s="189" t="e">
        <v>#N/A</v>
      </c>
      <c r="E976" s="189" t="e">
        <v>#N/A</v>
      </c>
      <c r="F976" s="189" t="e">
        <v>#N/A</v>
      </c>
      <c r="G976" s="189" t="e">
        <v>#N/A</v>
      </c>
      <c r="H976" s="189" t="e">
        <v>#N/A</v>
      </c>
      <c r="I976" s="189" t="e">
        <v>#N/A</v>
      </c>
      <c r="J976" s="189" t="e">
        <v>#N/A</v>
      </c>
      <c r="K976" s="204" t="e">
        <v>#N/A</v>
      </c>
      <c r="L976" s="204" t="e">
        <v>#N/A</v>
      </c>
      <c r="M976" s="205" t="e">
        <v>#N/A</v>
      </c>
      <c r="N976" s="205" t="e">
        <v>#N/A</v>
      </c>
      <c r="O976" s="205" t="e">
        <v>#N/A</v>
      </c>
      <c r="P976" s="205" t="e">
        <v>#N/A</v>
      </c>
      <c r="Q976" s="189" t="e">
        <v>#N/A</v>
      </c>
      <c r="R976" s="189" t="e">
        <v>#N/A</v>
      </c>
      <c r="S976" s="205" t="e">
        <v>#N/A</v>
      </c>
      <c r="T976" s="206"/>
    </row>
    <row r="977">
      <c r="C977" s="189" t="e">
        <v>#N/A</v>
      </c>
      <c r="D977" s="189" t="e">
        <v>#N/A</v>
      </c>
      <c r="E977" s="189" t="e">
        <v>#N/A</v>
      </c>
      <c r="F977" s="189" t="e">
        <v>#N/A</v>
      </c>
      <c r="G977" s="189" t="e">
        <v>#N/A</v>
      </c>
      <c r="H977" s="189" t="e">
        <v>#N/A</v>
      </c>
      <c r="I977" s="189" t="e">
        <v>#N/A</v>
      </c>
      <c r="J977" s="189" t="e">
        <v>#N/A</v>
      </c>
      <c r="K977" s="204" t="e">
        <v>#N/A</v>
      </c>
      <c r="L977" s="204" t="e">
        <v>#N/A</v>
      </c>
      <c r="M977" s="205" t="e">
        <v>#N/A</v>
      </c>
      <c r="N977" s="205" t="e">
        <v>#N/A</v>
      </c>
      <c r="O977" s="205" t="e">
        <v>#N/A</v>
      </c>
      <c r="P977" s="205" t="e">
        <v>#N/A</v>
      </c>
      <c r="Q977" s="189" t="e">
        <v>#N/A</v>
      </c>
      <c r="R977" s="189" t="e">
        <v>#N/A</v>
      </c>
      <c r="S977" s="205" t="e">
        <v>#N/A</v>
      </c>
      <c r="T977" s="206"/>
    </row>
    <row r="978">
      <c r="C978" s="189" t="e">
        <v>#N/A</v>
      </c>
      <c r="D978" s="189" t="e">
        <v>#N/A</v>
      </c>
      <c r="E978" s="189" t="e">
        <v>#N/A</v>
      </c>
      <c r="F978" s="189" t="e">
        <v>#N/A</v>
      </c>
      <c r="G978" s="189" t="e">
        <v>#N/A</v>
      </c>
      <c r="H978" s="189" t="e">
        <v>#N/A</v>
      </c>
      <c r="I978" s="189" t="e">
        <v>#N/A</v>
      </c>
      <c r="J978" s="189" t="e">
        <v>#N/A</v>
      </c>
      <c r="K978" s="204" t="e">
        <v>#N/A</v>
      </c>
      <c r="L978" s="204" t="e">
        <v>#N/A</v>
      </c>
      <c r="M978" s="205" t="e">
        <v>#N/A</v>
      </c>
      <c r="N978" s="205" t="e">
        <v>#N/A</v>
      </c>
      <c r="O978" s="205" t="e">
        <v>#N/A</v>
      </c>
      <c r="P978" s="205" t="e">
        <v>#N/A</v>
      </c>
      <c r="Q978" s="189" t="e">
        <v>#N/A</v>
      </c>
      <c r="R978" s="189" t="e">
        <v>#N/A</v>
      </c>
      <c r="S978" s="205" t="e">
        <v>#N/A</v>
      </c>
      <c r="T978" s="206"/>
    </row>
    <row r="979">
      <c r="C979" s="189" t="e">
        <v>#N/A</v>
      </c>
      <c r="D979" s="189" t="e">
        <v>#N/A</v>
      </c>
      <c r="E979" s="189" t="e">
        <v>#N/A</v>
      </c>
      <c r="F979" s="189" t="e">
        <v>#N/A</v>
      </c>
      <c r="G979" s="189" t="e">
        <v>#N/A</v>
      </c>
      <c r="H979" s="189" t="e">
        <v>#N/A</v>
      </c>
      <c r="I979" s="189" t="e">
        <v>#N/A</v>
      </c>
      <c r="J979" s="189" t="e">
        <v>#N/A</v>
      </c>
      <c r="K979" s="204" t="e">
        <v>#N/A</v>
      </c>
      <c r="L979" s="204" t="e">
        <v>#N/A</v>
      </c>
      <c r="M979" s="205" t="e">
        <v>#N/A</v>
      </c>
      <c r="N979" s="205" t="e">
        <v>#N/A</v>
      </c>
      <c r="O979" s="205" t="e">
        <v>#N/A</v>
      </c>
      <c r="P979" s="205" t="e">
        <v>#N/A</v>
      </c>
      <c r="Q979" s="189" t="e">
        <v>#N/A</v>
      </c>
      <c r="R979" s="189" t="e">
        <v>#N/A</v>
      </c>
      <c r="S979" s="205" t="e">
        <v>#N/A</v>
      </c>
      <c r="T979" s="206"/>
    </row>
    <row r="980">
      <c r="C980" s="189" t="e">
        <v>#N/A</v>
      </c>
      <c r="D980" s="189" t="e">
        <v>#N/A</v>
      </c>
      <c r="E980" s="189" t="e">
        <v>#N/A</v>
      </c>
      <c r="F980" s="189" t="e">
        <v>#N/A</v>
      </c>
      <c r="G980" s="189" t="e">
        <v>#N/A</v>
      </c>
      <c r="H980" s="189" t="e">
        <v>#N/A</v>
      </c>
      <c r="I980" s="189" t="e">
        <v>#N/A</v>
      </c>
      <c r="J980" s="189" t="e">
        <v>#N/A</v>
      </c>
      <c r="K980" s="204" t="e">
        <v>#N/A</v>
      </c>
      <c r="L980" s="204" t="e">
        <v>#N/A</v>
      </c>
      <c r="M980" s="205" t="e">
        <v>#N/A</v>
      </c>
      <c r="N980" s="205" t="e">
        <v>#N/A</v>
      </c>
      <c r="O980" s="205" t="e">
        <v>#N/A</v>
      </c>
      <c r="P980" s="205" t="e">
        <v>#N/A</v>
      </c>
      <c r="Q980" s="189" t="e">
        <v>#N/A</v>
      </c>
      <c r="R980" s="189" t="e">
        <v>#N/A</v>
      </c>
      <c r="S980" s="205" t="e">
        <v>#N/A</v>
      </c>
      <c r="T980" s="206"/>
    </row>
    <row r="981">
      <c r="C981" s="189" t="e">
        <v>#N/A</v>
      </c>
      <c r="D981" s="189" t="e">
        <v>#N/A</v>
      </c>
      <c r="E981" s="189" t="e">
        <v>#N/A</v>
      </c>
      <c r="F981" s="189" t="e">
        <v>#N/A</v>
      </c>
      <c r="G981" s="189" t="e">
        <v>#N/A</v>
      </c>
      <c r="H981" s="189" t="e">
        <v>#N/A</v>
      </c>
      <c r="I981" s="189" t="e">
        <v>#N/A</v>
      </c>
      <c r="J981" s="189" t="e">
        <v>#N/A</v>
      </c>
      <c r="K981" s="204" t="e">
        <v>#N/A</v>
      </c>
      <c r="L981" s="204" t="e">
        <v>#N/A</v>
      </c>
      <c r="M981" s="205" t="e">
        <v>#N/A</v>
      </c>
      <c r="N981" s="205" t="e">
        <v>#N/A</v>
      </c>
      <c r="O981" s="205" t="e">
        <v>#N/A</v>
      </c>
      <c r="P981" s="205" t="e">
        <v>#N/A</v>
      </c>
      <c r="Q981" s="189" t="e">
        <v>#N/A</v>
      </c>
      <c r="R981" s="189" t="e">
        <v>#N/A</v>
      </c>
      <c r="S981" s="205" t="e">
        <v>#N/A</v>
      </c>
      <c r="T981" s="206"/>
    </row>
    <row r="982">
      <c r="C982" s="189" t="e">
        <v>#N/A</v>
      </c>
      <c r="D982" s="189" t="e">
        <v>#N/A</v>
      </c>
      <c r="E982" s="189" t="e">
        <v>#N/A</v>
      </c>
      <c r="F982" s="189" t="e">
        <v>#N/A</v>
      </c>
      <c r="G982" s="189" t="e">
        <v>#N/A</v>
      </c>
      <c r="H982" s="189" t="e">
        <v>#N/A</v>
      </c>
      <c r="I982" s="189" t="e">
        <v>#N/A</v>
      </c>
      <c r="J982" s="189" t="e">
        <v>#N/A</v>
      </c>
      <c r="K982" s="204" t="e">
        <v>#N/A</v>
      </c>
      <c r="L982" s="204" t="e">
        <v>#N/A</v>
      </c>
      <c r="M982" s="205" t="e">
        <v>#N/A</v>
      </c>
      <c r="N982" s="205" t="e">
        <v>#N/A</v>
      </c>
      <c r="O982" s="205" t="e">
        <v>#N/A</v>
      </c>
      <c r="P982" s="205" t="e">
        <v>#N/A</v>
      </c>
      <c r="Q982" s="189" t="e">
        <v>#N/A</v>
      </c>
      <c r="R982" s="189" t="e">
        <v>#N/A</v>
      </c>
      <c r="S982" s="205" t="e">
        <v>#N/A</v>
      </c>
      <c r="T982" s="206"/>
    </row>
    <row r="983">
      <c r="C983" s="189" t="e">
        <v>#N/A</v>
      </c>
      <c r="D983" s="189" t="e">
        <v>#N/A</v>
      </c>
      <c r="E983" s="189" t="e">
        <v>#N/A</v>
      </c>
      <c r="F983" s="189" t="e">
        <v>#N/A</v>
      </c>
      <c r="G983" s="189" t="e">
        <v>#N/A</v>
      </c>
      <c r="H983" s="189" t="e">
        <v>#N/A</v>
      </c>
      <c r="I983" s="189" t="e">
        <v>#N/A</v>
      </c>
      <c r="J983" s="189" t="e">
        <v>#N/A</v>
      </c>
      <c r="K983" s="204" t="e">
        <v>#N/A</v>
      </c>
      <c r="L983" s="204" t="e">
        <v>#N/A</v>
      </c>
      <c r="M983" s="205" t="e">
        <v>#N/A</v>
      </c>
      <c r="N983" s="205" t="e">
        <v>#N/A</v>
      </c>
      <c r="O983" s="205" t="e">
        <v>#N/A</v>
      </c>
      <c r="P983" s="205" t="e">
        <v>#N/A</v>
      </c>
      <c r="Q983" s="189" t="e">
        <v>#N/A</v>
      </c>
      <c r="R983" s="189" t="e">
        <v>#N/A</v>
      </c>
      <c r="S983" s="205" t="e">
        <v>#N/A</v>
      </c>
      <c r="T983" s="206"/>
    </row>
    <row r="984">
      <c r="C984" s="189" t="e">
        <v>#N/A</v>
      </c>
      <c r="D984" s="189" t="e">
        <v>#N/A</v>
      </c>
      <c r="E984" s="189" t="e">
        <v>#N/A</v>
      </c>
      <c r="F984" s="189" t="e">
        <v>#N/A</v>
      </c>
      <c r="G984" s="189" t="e">
        <v>#N/A</v>
      </c>
      <c r="H984" s="189" t="e">
        <v>#N/A</v>
      </c>
      <c r="I984" s="189" t="e">
        <v>#N/A</v>
      </c>
      <c r="J984" s="189" t="e">
        <v>#N/A</v>
      </c>
      <c r="K984" s="204" t="e">
        <v>#N/A</v>
      </c>
      <c r="L984" s="204" t="e">
        <v>#N/A</v>
      </c>
      <c r="M984" s="205" t="e">
        <v>#N/A</v>
      </c>
      <c r="N984" s="205" t="e">
        <v>#N/A</v>
      </c>
      <c r="O984" s="205" t="e">
        <v>#N/A</v>
      </c>
      <c r="P984" s="205" t="e">
        <v>#N/A</v>
      </c>
      <c r="Q984" s="189" t="e">
        <v>#N/A</v>
      </c>
      <c r="R984" s="189" t="e">
        <v>#N/A</v>
      </c>
      <c r="S984" s="205" t="e">
        <v>#N/A</v>
      </c>
      <c r="T984" s="206"/>
    </row>
    <row r="985">
      <c r="C985" s="189" t="e">
        <v>#N/A</v>
      </c>
      <c r="D985" s="189" t="e">
        <v>#N/A</v>
      </c>
      <c r="E985" s="189" t="e">
        <v>#N/A</v>
      </c>
      <c r="F985" s="189" t="e">
        <v>#N/A</v>
      </c>
      <c r="G985" s="189" t="e">
        <v>#N/A</v>
      </c>
      <c r="H985" s="189" t="e">
        <v>#N/A</v>
      </c>
      <c r="I985" s="189" t="e">
        <v>#N/A</v>
      </c>
      <c r="J985" s="189" t="e">
        <v>#N/A</v>
      </c>
      <c r="K985" s="204" t="e">
        <v>#N/A</v>
      </c>
      <c r="L985" s="204" t="e">
        <v>#N/A</v>
      </c>
      <c r="M985" s="205" t="e">
        <v>#N/A</v>
      </c>
      <c r="N985" s="205" t="e">
        <v>#N/A</v>
      </c>
      <c r="O985" s="205" t="e">
        <v>#N/A</v>
      </c>
      <c r="P985" s="205" t="e">
        <v>#N/A</v>
      </c>
      <c r="Q985" s="189" t="e">
        <v>#N/A</v>
      </c>
      <c r="R985" s="189" t="e">
        <v>#N/A</v>
      </c>
      <c r="S985" s="205" t="e">
        <v>#N/A</v>
      </c>
      <c r="T985" s="206"/>
    </row>
    <row r="986">
      <c r="C986" s="189" t="e">
        <v>#N/A</v>
      </c>
      <c r="D986" s="189" t="e">
        <v>#N/A</v>
      </c>
      <c r="E986" s="189" t="e">
        <v>#N/A</v>
      </c>
      <c r="F986" s="189" t="e">
        <v>#N/A</v>
      </c>
      <c r="G986" s="189" t="e">
        <v>#N/A</v>
      </c>
      <c r="H986" s="189" t="e">
        <v>#N/A</v>
      </c>
      <c r="I986" s="189" t="e">
        <v>#N/A</v>
      </c>
      <c r="J986" s="189" t="e">
        <v>#N/A</v>
      </c>
      <c r="K986" s="204" t="e">
        <v>#N/A</v>
      </c>
      <c r="L986" s="204" t="e">
        <v>#N/A</v>
      </c>
      <c r="M986" s="205" t="e">
        <v>#N/A</v>
      </c>
      <c r="N986" s="205" t="e">
        <v>#N/A</v>
      </c>
      <c r="O986" s="205" t="e">
        <v>#N/A</v>
      </c>
      <c r="P986" s="205" t="e">
        <v>#N/A</v>
      </c>
      <c r="Q986" s="189" t="e">
        <v>#N/A</v>
      </c>
      <c r="R986" s="189" t="e">
        <v>#N/A</v>
      </c>
      <c r="S986" s="205" t="e">
        <v>#N/A</v>
      </c>
      <c r="T986" s="206"/>
    </row>
    <row r="987">
      <c r="C987" s="189" t="e">
        <v>#N/A</v>
      </c>
      <c r="D987" s="189" t="e">
        <v>#N/A</v>
      </c>
      <c r="E987" s="189" t="e">
        <v>#N/A</v>
      </c>
      <c r="F987" s="189" t="e">
        <v>#N/A</v>
      </c>
      <c r="G987" s="189" t="e">
        <v>#N/A</v>
      </c>
      <c r="H987" s="189" t="e">
        <v>#N/A</v>
      </c>
      <c r="I987" s="189" t="e">
        <v>#N/A</v>
      </c>
      <c r="J987" s="189" t="e">
        <v>#N/A</v>
      </c>
      <c r="K987" s="204" t="e">
        <v>#N/A</v>
      </c>
      <c r="L987" s="204" t="e">
        <v>#N/A</v>
      </c>
      <c r="M987" s="205" t="e">
        <v>#N/A</v>
      </c>
      <c r="N987" s="205" t="e">
        <v>#N/A</v>
      </c>
      <c r="O987" s="205" t="e">
        <v>#N/A</v>
      </c>
      <c r="P987" s="205" t="e">
        <v>#N/A</v>
      </c>
      <c r="Q987" s="189" t="e">
        <v>#N/A</v>
      </c>
      <c r="R987" s="189" t="e">
        <v>#N/A</v>
      </c>
      <c r="S987" s="205" t="e">
        <v>#N/A</v>
      </c>
      <c r="T987" s="206"/>
    </row>
    <row r="988">
      <c r="C988" s="189" t="e">
        <v>#N/A</v>
      </c>
      <c r="D988" s="189" t="e">
        <v>#N/A</v>
      </c>
      <c r="E988" s="189" t="e">
        <v>#N/A</v>
      </c>
      <c r="F988" s="189" t="e">
        <v>#N/A</v>
      </c>
      <c r="G988" s="189" t="e">
        <v>#N/A</v>
      </c>
      <c r="H988" s="189" t="e">
        <v>#N/A</v>
      </c>
      <c r="I988" s="189" t="e">
        <v>#N/A</v>
      </c>
      <c r="J988" s="189" t="e">
        <v>#N/A</v>
      </c>
      <c r="K988" s="204" t="e">
        <v>#N/A</v>
      </c>
      <c r="L988" s="204" t="e">
        <v>#N/A</v>
      </c>
      <c r="M988" s="205" t="e">
        <v>#N/A</v>
      </c>
      <c r="N988" s="205" t="e">
        <v>#N/A</v>
      </c>
      <c r="O988" s="205" t="e">
        <v>#N/A</v>
      </c>
      <c r="P988" s="205" t="e">
        <v>#N/A</v>
      </c>
      <c r="Q988" s="189" t="e">
        <v>#N/A</v>
      </c>
      <c r="R988" s="189" t="e">
        <v>#N/A</v>
      </c>
      <c r="S988" s="205" t="e">
        <v>#N/A</v>
      </c>
      <c r="T988" s="206"/>
    </row>
    <row r="989">
      <c r="C989" s="189" t="e">
        <v>#N/A</v>
      </c>
      <c r="D989" s="189" t="e">
        <v>#N/A</v>
      </c>
      <c r="E989" s="189" t="e">
        <v>#N/A</v>
      </c>
      <c r="F989" s="189" t="e">
        <v>#N/A</v>
      </c>
      <c r="G989" s="189" t="e">
        <v>#N/A</v>
      </c>
      <c r="H989" s="189" t="e">
        <v>#N/A</v>
      </c>
      <c r="I989" s="189" t="e">
        <v>#N/A</v>
      </c>
      <c r="J989" s="189" t="e">
        <v>#N/A</v>
      </c>
      <c r="K989" s="204" t="e">
        <v>#N/A</v>
      </c>
      <c r="L989" s="204" t="e">
        <v>#N/A</v>
      </c>
      <c r="M989" s="205" t="e">
        <v>#N/A</v>
      </c>
      <c r="N989" s="205" t="e">
        <v>#N/A</v>
      </c>
      <c r="O989" s="205" t="e">
        <v>#N/A</v>
      </c>
      <c r="P989" s="205" t="e">
        <v>#N/A</v>
      </c>
      <c r="Q989" s="189" t="e">
        <v>#N/A</v>
      </c>
      <c r="R989" s="189" t="e">
        <v>#N/A</v>
      </c>
      <c r="S989" s="205" t="e">
        <v>#N/A</v>
      </c>
      <c r="T989" s="206"/>
    </row>
    <row r="990">
      <c r="C990" s="189" t="e">
        <v>#N/A</v>
      </c>
      <c r="D990" s="189" t="e">
        <v>#N/A</v>
      </c>
      <c r="E990" s="189" t="e">
        <v>#N/A</v>
      </c>
      <c r="F990" s="189" t="e">
        <v>#N/A</v>
      </c>
      <c r="G990" s="189" t="e">
        <v>#N/A</v>
      </c>
      <c r="H990" s="189" t="e">
        <v>#N/A</v>
      </c>
      <c r="I990" s="189" t="e">
        <v>#N/A</v>
      </c>
      <c r="J990" s="189" t="e">
        <v>#N/A</v>
      </c>
      <c r="K990" s="204" t="e">
        <v>#N/A</v>
      </c>
      <c r="L990" s="204" t="e">
        <v>#N/A</v>
      </c>
      <c r="M990" s="205" t="e">
        <v>#N/A</v>
      </c>
      <c r="N990" s="205" t="e">
        <v>#N/A</v>
      </c>
      <c r="O990" s="205" t="e">
        <v>#N/A</v>
      </c>
      <c r="P990" s="205" t="e">
        <v>#N/A</v>
      </c>
      <c r="Q990" s="189" t="e">
        <v>#N/A</v>
      </c>
      <c r="R990" s="189" t="e">
        <v>#N/A</v>
      </c>
      <c r="S990" s="205" t="e">
        <v>#N/A</v>
      </c>
      <c r="T990" s="206"/>
    </row>
    <row r="991">
      <c r="C991" s="189" t="e">
        <v>#N/A</v>
      </c>
      <c r="D991" s="189" t="e">
        <v>#N/A</v>
      </c>
      <c r="E991" s="189" t="e">
        <v>#N/A</v>
      </c>
      <c r="F991" s="189" t="e">
        <v>#N/A</v>
      </c>
      <c r="G991" s="189" t="e">
        <v>#N/A</v>
      </c>
      <c r="H991" s="189" t="e">
        <v>#N/A</v>
      </c>
      <c r="I991" s="189" t="e">
        <v>#N/A</v>
      </c>
      <c r="J991" s="189" t="e">
        <v>#N/A</v>
      </c>
      <c r="K991" s="204" t="e">
        <v>#N/A</v>
      </c>
      <c r="L991" s="204" t="e">
        <v>#N/A</v>
      </c>
      <c r="M991" s="205" t="e">
        <v>#N/A</v>
      </c>
      <c r="N991" s="205" t="e">
        <v>#N/A</v>
      </c>
      <c r="O991" s="205" t="e">
        <v>#N/A</v>
      </c>
      <c r="P991" s="205" t="e">
        <v>#N/A</v>
      </c>
      <c r="Q991" s="189" t="e">
        <v>#N/A</v>
      </c>
      <c r="R991" s="189" t="e">
        <v>#N/A</v>
      </c>
      <c r="S991" s="205" t="e">
        <v>#N/A</v>
      </c>
      <c r="T991" s="206"/>
    </row>
    <row r="992">
      <c r="C992" s="189" t="e">
        <v>#N/A</v>
      </c>
      <c r="D992" s="189" t="e">
        <v>#N/A</v>
      </c>
      <c r="E992" s="189" t="e">
        <v>#N/A</v>
      </c>
      <c r="F992" s="189" t="e">
        <v>#N/A</v>
      </c>
      <c r="G992" s="189" t="e">
        <v>#N/A</v>
      </c>
      <c r="H992" s="189" t="e">
        <v>#N/A</v>
      </c>
      <c r="I992" s="189" t="e">
        <v>#N/A</v>
      </c>
      <c r="J992" s="189" t="e">
        <v>#N/A</v>
      </c>
      <c r="K992" s="204" t="e">
        <v>#N/A</v>
      </c>
      <c r="L992" s="204" t="e">
        <v>#N/A</v>
      </c>
      <c r="M992" s="205" t="e">
        <v>#N/A</v>
      </c>
      <c r="N992" s="205" t="e">
        <v>#N/A</v>
      </c>
      <c r="O992" s="205" t="e">
        <v>#N/A</v>
      </c>
      <c r="P992" s="205" t="e">
        <v>#N/A</v>
      </c>
      <c r="Q992" s="189" t="e">
        <v>#N/A</v>
      </c>
      <c r="R992" s="189" t="e">
        <v>#N/A</v>
      </c>
      <c r="S992" s="205" t="e">
        <v>#N/A</v>
      </c>
      <c r="T992" s="206"/>
    </row>
    <row r="993">
      <c r="C993" s="189" t="e">
        <v>#N/A</v>
      </c>
      <c r="D993" s="189" t="e">
        <v>#N/A</v>
      </c>
      <c r="E993" s="189" t="e">
        <v>#N/A</v>
      </c>
      <c r="F993" s="189" t="e">
        <v>#N/A</v>
      </c>
      <c r="G993" s="189" t="e">
        <v>#N/A</v>
      </c>
      <c r="H993" s="189" t="e">
        <v>#N/A</v>
      </c>
      <c r="I993" s="189" t="e">
        <v>#N/A</v>
      </c>
      <c r="J993" s="189" t="e">
        <v>#N/A</v>
      </c>
      <c r="K993" s="204" t="e">
        <v>#N/A</v>
      </c>
      <c r="L993" s="204" t="e">
        <v>#N/A</v>
      </c>
      <c r="M993" s="205" t="e">
        <v>#N/A</v>
      </c>
      <c r="N993" s="205" t="e">
        <v>#N/A</v>
      </c>
      <c r="O993" s="205" t="e">
        <v>#N/A</v>
      </c>
      <c r="P993" s="205" t="e">
        <v>#N/A</v>
      </c>
      <c r="Q993" s="189" t="e">
        <v>#N/A</v>
      </c>
      <c r="R993" s="189" t="e">
        <v>#N/A</v>
      </c>
      <c r="S993" s="205" t="e">
        <v>#N/A</v>
      </c>
      <c r="T993" s="206"/>
    </row>
    <row r="994">
      <c r="C994" s="189" t="e">
        <v>#N/A</v>
      </c>
      <c r="D994" s="189" t="e">
        <v>#N/A</v>
      </c>
      <c r="E994" s="189" t="e">
        <v>#N/A</v>
      </c>
      <c r="F994" s="189" t="e">
        <v>#N/A</v>
      </c>
      <c r="G994" s="189" t="e">
        <v>#N/A</v>
      </c>
      <c r="H994" s="189" t="e">
        <v>#N/A</v>
      </c>
      <c r="I994" s="189" t="e">
        <v>#N/A</v>
      </c>
      <c r="J994" s="189" t="e">
        <v>#N/A</v>
      </c>
      <c r="K994" s="204" t="e">
        <v>#N/A</v>
      </c>
      <c r="L994" s="204" t="e">
        <v>#N/A</v>
      </c>
      <c r="M994" s="205" t="e">
        <v>#N/A</v>
      </c>
      <c r="N994" s="205" t="e">
        <v>#N/A</v>
      </c>
      <c r="O994" s="205" t="e">
        <v>#N/A</v>
      </c>
      <c r="P994" s="205" t="e">
        <v>#N/A</v>
      </c>
      <c r="Q994" s="189" t="e">
        <v>#N/A</v>
      </c>
      <c r="R994" s="189" t="e">
        <v>#N/A</v>
      </c>
      <c r="S994" s="205" t="e">
        <v>#N/A</v>
      </c>
      <c r="T994" s="206"/>
    </row>
    <row r="995">
      <c r="C995" s="189" t="e">
        <v>#N/A</v>
      </c>
      <c r="D995" s="189" t="e">
        <v>#N/A</v>
      </c>
      <c r="E995" s="189" t="e">
        <v>#N/A</v>
      </c>
      <c r="F995" s="189" t="e">
        <v>#N/A</v>
      </c>
      <c r="G995" s="189" t="e">
        <v>#N/A</v>
      </c>
      <c r="H995" s="189" t="e">
        <v>#N/A</v>
      </c>
      <c r="I995" s="189" t="e">
        <v>#N/A</v>
      </c>
      <c r="J995" s="189" t="e">
        <v>#N/A</v>
      </c>
      <c r="K995" s="204" t="e">
        <v>#N/A</v>
      </c>
      <c r="L995" s="204" t="e">
        <v>#N/A</v>
      </c>
      <c r="M995" s="205" t="e">
        <v>#N/A</v>
      </c>
      <c r="N995" s="205" t="e">
        <v>#N/A</v>
      </c>
      <c r="O995" s="205" t="e">
        <v>#N/A</v>
      </c>
      <c r="P995" s="205" t="e">
        <v>#N/A</v>
      </c>
      <c r="Q995" s="189" t="e">
        <v>#N/A</v>
      </c>
      <c r="R995" s="189" t="e">
        <v>#N/A</v>
      </c>
      <c r="S995" s="205" t="e">
        <v>#N/A</v>
      </c>
      <c r="T995" s="206"/>
    </row>
    <row r="996">
      <c r="C996" s="189" t="e">
        <v>#N/A</v>
      </c>
      <c r="D996" s="189" t="e">
        <v>#N/A</v>
      </c>
      <c r="E996" s="189" t="e">
        <v>#N/A</v>
      </c>
      <c r="F996" s="189" t="e">
        <v>#N/A</v>
      </c>
      <c r="G996" s="189" t="e">
        <v>#N/A</v>
      </c>
      <c r="H996" s="189" t="e">
        <v>#N/A</v>
      </c>
      <c r="I996" s="189" t="e">
        <v>#N/A</v>
      </c>
      <c r="J996" s="189" t="e">
        <v>#N/A</v>
      </c>
      <c r="K996" s="204" t="e">
        <v>#N/A</v>
      </c>
      <c r="L996" s="204" t="e">
        <v>#N/A</v>
      </c>
      <c r="M996" s="205" t="e">
        <v>#N/A</v>
      </c>
      <c r="N996" s="205" t="e">
        <v>#N/A</v>
      </c>
      <c r="O996" s="205" t="e">
        <v>#N/A</v>
      </c>
      <c r="P996" s="205" t="e">
        <v>#N/A</v>
      </c>
      <c r="Q996" s="189" t="e">
        <v>#N/A</v>
      </c>
      <c r="R996" s="189" t="e">
        <v>#N/A</v>
      </c>
      <c r="S996" s="205" t="e">
        <v>#N/A</v>
      </c>
      <c r="T996" s="206"/>
    </row>
    <row r="997">
      <c r="C997" s="189" t="e">
        <v>#N/A</v>
      </c>
      <c r="D997" s="189" t="e">
        <v>#N/A</v>
      </c>
      <c r="E997" s="189" t="e">
        <v>#N/A</v>
      </c>
      <c r="F997" s="189" t="e">
        <v>#N/A</v>
      </c>
      <c r="G997" s="189" t="e">
        <v>#N/A</v>
      </c>
      <c r="H997" s="189" t="e">
        <v>#N/A</v>
      </c>
      <c r="I997" s="189" t="e">
        <v>#N/A</v>
      </c>
      <c r="J997" s="189" t="e">
        <v>#N/A</v>
      </c>
      <c r="K997" s="204" t="e">
        <v>#N/A</v>
      </c>
      <c r="L997" s="204" t="e">
        <v>#N/A</v>
      </c>
      <c r="M997" s="205" t="e">
        <v>#N/A</v>
      </c>
      <c r="N997" s="205" t="e">
        <v>#N/A</v>
      </c>
      <c r="O997" s="205" t="e">
        <v>#N/A</v>
      </c>
      <c r="P997" s="205" t="e">
        <v>#N/A</v>
      </c>
      <c r="Q997" s="189" t="e">
        <v>#N/A</v>
      </c>
      <c r="R997" s="189" t="e">
        <v>#N/A</v>
      </c>
      <c r="S997" s="205" t="e">
        <v>#N/A</v>
      </c>
      <c r="T997" s="206"/>
    </row>
    <row r="998">
      <c r="C998" s="189" t="e">
        <v>#N/A</v>
      </c>
      <c r="D998" s="189" t="e">
        <v>#N/A</v>
      </c>
      <c r="E998" s="189" t="e">
        <v>#N/A</v>
      </c>
      <c r="F998" s="189" t="e">
        <v>#N/A</v>
      </c>
      <c r="G998" s="189" t="e">
        <v>#N/A</v>
      </c>
      <c r="H998" s="189" t="e">
        <v>#N/A</v>
      </c>
      <c r="I998" s="189" t="e">
        <v>#N/A</v>
      </c>
      <c r="J998" s="189" t="e">
        <v>#N/A</v>
      </c>
      <c r="K998" s="204" t="e">
        <v>#N/A</v>
      </c>
      <c r="L998" s="204" t="e">
        <v>#N/A</v>
      </c>
      <c r="M998" s="205" t="e">
        <v>#N/A</v>
      </c>
      <c r="N998" s="205" t="e">
        <v>#N/A</v>
      </c>
      <c r="O998" s="205" t="e">
        <v>#N/A</v>
      </c>
      <c r="P998" s="205" t="e">
        <v>#N/A</v>
      </c>
      <c r="Q998" s="189" t="e">
        <v>#N/A</v>
      </c>
      <c r="R998" s="189" t="e">
        <v>#N/A</v>
      </c>
      <c r="S998" s="205" t="e">
        <v>#N/A</v>
      </c>
      <c r="T998" s="206"/>
    </row>
    <row r="999">
      <c r="C999" s="189" t="e">
        <v>#N/A</v>
      </c>
      <c r="D999" s="189" t="e">
        <v>#N/A</v>
      </c>
      <c r="E999" s="189" t="e">
        <v>#N/A</v>
      </c>
      <c r="F999" s="189" t="e">
        <v>#N/A</v>
      </c>
      <c r="G999" s="189" t="e">
        <v>#N/A</v>
      </c>
      <c r="H999" s="189" t="e">
        <v>#N/A</v>
      </c>
      <c r="I999" s="189" t="e">
        <v>#N/A</v>
      </c>
      <c r="J999" s="189" t="e">
        <v>#N/A</v>
      </c>
      <c r="K999" s="204" t="e">
        <v>#N/A</v>
      </c>
      <c r="L999" s="204" t="e">
        <v>#N/A</v>
      </c>
      <c r="M999" s="205" t="e">
        <v>#N/A</v>
      </c>
      <c r="N999" s="205" t="e">
        <v>#N/A</v>
      </c>
      <c r="O999" s="205" t="e">
        <v>#N/A</v>
      </c>
      <c r="P999" s="205" t="e">
        <v>#N/A</v>
      </c>
      <c r="Q999" s="189" t="e">
        <v>#N/A</v>
      </c>
      <c r="R999" s="189" t="e">
        <v>#N/A</v>
      </c>
      <c r="S999" s="205" t="e">
        <v>#N/A</v>
      </c>
      <c r="T999" s="206"/>
    </row>
    <row r="1000">
      <c r="C1000" s="189" t="e">
        <v>#N/A</v>
      </c>
      <c r="D1000" s="189" t="e">
        <v>#N/A</v>
      </c>
      <c r="E1000" s="189" t="e">
        <v>#N/A</v>
      </c>
      <c r="F1000" s="189" t="e">
        <v>#N/A</v>
      </c>
      <c r="G1000" s="189" t="e">
        <v>#N/A</v>
      </c>
      <c r="H1000" s="189" t="e">
        <v>#N/A</v>
      </c>
      <c r="I1000" s="189" t="e">
        <v>#N/A</v>
      </c>
      <c r="J1000" s="189" t="e">
        <v>#N/A</v>
      </c>
      <c r="K1000" s="204" t="e">
        <v>#N/A</v>
      </c>
      <c r="L1000" s="204" t="e">
        <v>#N/A</v>
      </c>
      <c r="M1000" s="205" t="e">
        <v>#N/A</v>
      </c>
      <c r="N1000" s="205" t="e">
        <v>#N/A</v>
      </c>
      <c r="O1000" s="205" t="e">
        <v>#N/A</v>
      </c>
      <c r="P1000" s="205" t="e">
        <v>#N/A</v>
      </c>
      <c r="Q1000" s="189" t="e">
        <v>#N/A</v>
      </c>
      <c r="R1000" s="189" t="e">
        <v>#N/A</v>
      </c>
      <c r="S1000" s="205" t="e">
        <v>#N/A</v>
      </c>
      <c r="T1000" s="206"/>
    </row>
    <row r="1001">
      <c r="C1001" s="189" t="e">
        <v>#N/A</v>
      </c>
      <c r="D1001" s="189" t="e">
        <v>#N/A</v>
      </c>
      <c r="E1001" s="189" t="e">
        <v>#N/A</v>
      </c>
      <c r="F1001" s="189" t="e">
        <v>#N/A</v>
      </c>
      <c r="G1001" s="189" t="e">
        <v>#N/A</v>
      </c>
      <c r="H1001" s="189" t="e">
        <v>#N/A</v>
      </c>
      <c r="I1001" s="189" t="e">
        <v>#N/A</v>
      </c>
      <c r="J1001" s="189" t="e">
        <v>#N/A</v>
      </c>
      <c r="K1001" s="204" t="e">
        <v>#N/A</v>
      </c>
      <c r="L1001" s="204" t="e">
        <v>#N/A</v>
      </c>
      <c r="M1001" s="205" t="e">
        <v>#N/A</v>
      </c>
      <c r="N1001" s="205" t="e">
        <v>#N/A</v>
      </c>
      <c r="O1001" s="205" t="e">
        <v>#N/A</v>
      </c>
      <c r="P1001" s="205" t="e">
        <v>#N/A</v>
      </c>
      <c r="Q1001" s="189" t="e">
        <v>#N/A</v>
      </c>
      <c r="R1001" s="189" t="e">
        <v>#N/A</v>
      </c>
      <c r="S1001" s="205" t="e">
        <v>#N/A</v>
      </c>
      <c r="T1001" s="206"/>
    </row>
    <row r="1002">
      <c r="C1002" s="189" t="e">
        <v>#N/A</v>
      </c>
      <c r="D1002" s="189" t="e">
        <v>#N/A</v>
      </c>
      <c r="E1002" s="189" t="e">
        <v>#N/A</v>
      </c>
      <c r="F1002" s="189" t="e">
        <v>#N/A</v>
      </c>
      <c r="G1002" s="189" t="e">
        <v>#N/A</v>
      </c>
      <c r="H1002" s="189" t="e">
        <v>#N/A</v>
      </c>
      <c r="I1002" s="189" t="e">
        <v>#N/A</v>
      </c>
      <c r="J1002" s="189" t="e">
        <v>#N/A</v>
      </c>
      <c r="K1002" s="204" t="e">
        <v>#N/A</v>
      </c>
      <c r="L1002" s="204" t="e">
        <v>#N/A</v>
      </c>
      <c r="M1002" s="205" t="e">
        <v>#N/A</v>
      </c>
      <c r="N1002" s="205" t="e">
        <v>#N/A</v>
      </c>
      <c r="O1002" s="205" t="e">
        <v>#N/A</v>
      </c>
      <c r="P1002" s="205" t="e">
        <v>#N/A</v>
      </c>
      <c r="Q1002" s="189" t="e">
        <v>#N/A</v>
      </c>
      <c r="R1002" s="189" t="e">
        <v>#N/A</v>
      </c>
      <c r="S1002" s="205" t="e">
        <v>#N/A</v>
      </c>
      <c r="T1002" s="206"/>
    </row>
    <row r="1003">
      <c r="C1003" s="189" t="e">
        <v>#N/A</v>
      </c>
      <c r="D1003" s="189" t="e">
        <v>#N/A</v>
      </c>
      <c r="E1003" s="189" t="e">
        <v>#N/A</v>
      </c>
      <c r="F1003" s="189" t="e">
        <v>#N/A</v>
      </c>
      <c r="G1003" s="189" t="e">
        <v>#N/A</v>
      </c>
      <c r="H1003" s="189" t="e">
        <v>#N/A</v>
      </c>
      <c r="I1003" s="189" t="e">
        <v>#N/A</v>
      </c>
      <c r="J1003" s="189" t="e">
        <v>#N/A</v>
      </c>
      <c r="K1003" s="204" t="e">
        <v>#N/A</v>
      </c>
      <c r="L1003" s="204" t="e">
        <v>#N/A</v>
      </c>
      <c r="M1003" s="205" t="e">
        <v>#N/A</v>
      </c>
      <c r="N1003" s="205" t="e">
        <v>#N/A</v>
      </c>
      <c r="O1003" s="205" t="e">
        <v>#N/A</v>
      </c>
      <c r="P1003" s="205" t="e">
        <v>#N/A</v>
      </c>
      <c r="Q1003" s="189" t="e">
        <v>#N/A</v>
      </c>
      <c r="R1003" s="189" t="e">
        <v>#N/A</v>
      </c>
      <c r="S1003" s="205" t="e">
        <v>#N/A</v>
      </c>
      <c r="T1003" s="206"/>
    </row>
    <row r="1004">
      <c r="C1004" s="189" t="e">
        <v>#N/A</v>
      </c>
      <c r="D1004" s="189" t="e">
        <v>#N/A</v>
      </c>
      <c r="E1004" s="189" t="e">
        <v>#N/A</v>
      </c>
      <c r="F1004" s="189" t="e">
        <v>#N/A</v>
      </c>
      <c r="G1004" s="189" t="e">
        <v>#N/A</v>
      </c>
      <c r="H1004" s="189" t="e">
        <v>#N/A</v>
      </c>
      <c r="I1004" s="189" t="e">
        <v>#N/A</v>
      </c>
      <c r="J1004" s="189" t="e">
        <v>#N/A</v>
      </c>
      <c r="K1004" s="204" t="e">
        <v>#N/A</v>
      </c>
      <c r="L1004" s="204" t="e">
        <v>#N/A</v>
      </c>
      <c r="M1004" s="205" t="e">
        <v>#N/A</v>
      </c>
      <c r="N1004" s="205" t="e">
        <v>#N/A</v>
      </c>
      <c r="O1004" s="205" t="e">
        <v>#N/A</v>
      </c>
      <c r="P1004" s="205" t="e">
        <v>#N/A</v>
      </c>
      <c r="Q1004" s="189" t="e">
        <v>#N/A</v>
      </c>
      <c r="R1004" s="189" t="e">
        <v>#N/A</v>
      </c>
      <c r="S1004" s="205" t="e">
        <v>#N/A</v>
      </c>
      <c r="T1004" s="206"/>
    </row>
    <row r="1005">
      <c r="C1005" s="189" t="e">
        <v>#N/A</v>
      </c>
      <c r="D1005" s="189" t="e">
        <v>#N/A</v>
      </c>
      <c r="E1005" s="189" t="e">
        <v>#N/A</v>
      </c>
      <c r="F1005" s="189" t="e">
        <v>#N/A</v>
      </c>
      <c r="G1005" s="189" t="e">
        <v>#N/A</v>
      </c>
      <c r="H1005" s="189" t="e">
        <v>#N/A</v>
      </c>
      <c r="I1005" s="189" t="e">
        <v>#N/A</v>
      </c>
      <c r="J1005" s="189" t="e">
        <v>#N/A</v>
      </c>
      <c r="K1005" s="204" t="e">
        <v>#N/A</v>
      </c>
      <c r="L1005" s="204" t="e">
        <v>#N/A</v>
      </c>
      <c r="M1005" s="205" t="e">
        <v>#N/A</v>
      </c>
      <c r="N1005" s="205" t="e">
        <v>#N/A</v>
      </c>
      <c r="O1005" s="205" t="e">
        <v>#N/A</v>
      </c>
      <c r="P1005" s="205" t="e">
        <v>#N/A</v>
      </c>
      <c r="Q1005" s="189" t="e">
        <v>#N/A</v>
      </c>
      <c r="R1005" s="189" t="e">
        <v>#N/A</v>
      </c>
      <c r="S1005" s="205" t="e">
        <v>#N/A</v>
      </c>
      <c r="T1005" s="206"/>
    </row>
    <row r="1006">
      <c r="C1006" s="189" t="e">
        <v>#N/A</v>
      </c>
      <c r="D1006" s="189" t="e">
        <v>#N/A</v>
      </c>
      <c r="E1006" s="189" t="e">
        <v>#N/A</v>
      </c>
      <c r="F1006" s="189" t="e">
        <v>#N/A</v>
      </c>
      <c r="G1006" s="189" t="e">
        <v>#N/A</v>
      </c>
      <c r="H1006" s="189" t="e">
        <v>#N/A</v>
      </c>
      <c r="I1006" s="189" t="e">
        <v>#N/A</v>
      </c>
      <c r="J1006" s="189" t="e">
        <v>#N/A</v>
      </c>
      <c r="K1006" s="204" t="e">
        <v>#N/A</v>
      </c>
      <c r="L1006" s="204" t="e">
        <v>#N/A</v>
      </c>
      <c r="M1006" s="205" t="e">
        <v>#N/A</v>
      </c>
      <c r="N1006" s="205" t="e">
        <v>#N/A</v>
      </c>
      <c r="O1006" s="205" t="e">
        <v>#N/A</v>
      </c>
      <c r="P1006" s="205" t="e">
        <v>#N/A</v>
      </c>
      <c r="Q1006" s="189" t="e">
        <v>#N/A</v>
      </c>
      <c r="R1006" s="189" t="e">
        <v>#N/A</v>
      </c>
      <c r="S1006" s="205" t="e">
        <v>#N/A</v>
      </c>
      <c r="T1006" s="206"/>
    </row>
    <row r="1007">
      <c r="C1007" s="189" t="e">
        <v>#N/A</v>
      </c>
      <c r="D1007" s="189" t="e">
        <v>#N/A</v>
      </c>
      <c r="E1007" s="189" t="e">
        <v>#N/A</v>
      </c>
      <c r="F1007" s="189" t="e">
        <v>#N/A</v>
      </c>
      <c r="G1007" s="189" t="e">
        <v>#N/A</v>
      </c>
      <c r="H1007" s="189" t="e">
        <v>#N/A</v>
      </c>
      <c r="I1007" s="189" t="e">
        <v>#N/A</v>
      </c>
      <c r="J1007" s="189" t="e">
        <v>#N/A</v>
      </c>
      <c r="K1007" s="204" t="e">
        <v>#N/A</v>
      </c>
      <c r="L1007" s="204" t="e">
        <v>#N/A</v>
      </c>
      <c r="M1007" s="205" t="e">
        <v>#N/A</v>
      </c>
      <c r="N1007" s="205" t="e">
        <v>#N/A</v>
      </c>
      <c r="O1007" s="205" t="e">
        <v>#N/A</v>
      </c>
      <c r="P1007" s="205" t="e">
        <v>#N/A</v>
      </c>
      <c r="Q1007" s="189" t="e">
        <v>#N/A</v>
      </c>
      <c r="R1007" s="189" t="e">
        <v>#N/A</v>
      </c>
      <c r="S1007" s="205" t="e">
        <v>#N/A</v>
      </c>
      <c r="T1007" s="206"/>
    </row>
    <row r="1008">
      <c r="C1008" s="189" t="e">
        <v>#N/A</v>
      </c>
      <c r="D1008" s="189" t="e">
        <v>#N/A</v>
      </c>
      <c r="E1008" s="189" t="e">
        <v>#N/A</v>
      </c>
      <c r="F1008" s="189" t="e">
        <v>#N/A</v>
      </c>
      <c r="G1008" s="189" t="e">
        <v>#N/A</v>
      </c>
      <c r="H1008" s="189" t="e">
        <v>#N/A</v>
      </c>
      <c r="I1008" s="189" t="e">
        <v>#N/A</v>
      </c>
      <c r="J1008" s="189" t="e">
        <v>#N/A</v>
      </c>
      <c r="K1008" s="204" t="e">
        <v>#N/A</v>
      </c>
      <c r="L1008" s="204" t="e">
        <v>#N/A</v>
      </c>
      <c r="M1008" s="205" t="e">
        <v>#N/A</v>
      </c>
      <c r="N1008" s="205" t="e">
        <v>#N/A</v>
      </c>
      <c r="O1008" s="205" t="e">
        <v>#N/A</v>
      </c>
      <c r="P1008" s="205" t="e">
        <v>#N/A</v>
      </c>
      <c r="Q1008" s="189" t="e">
        <v>#N/A</v>
      </c>
      <c r="R1008" s="189" t="e">
        <v>#N/A</v>
      </c>
      <c r="S1008" s="205" t="e">
        <v>#N/A</v>
      </c>
      <c r="T1008" s="206"/>
    </row>
    <row r="1009">
      <c r="C1009" s="189" t="e">
        <v>#N/A</v>
      </c>
      <c r="D1009" s="189" t="e">
        <v>#N/A</v>
      </c>
      <c r="E1009" s="189" t="e">
        <v>#N/A</v>
      </c>
      <c r="F1009" s="189" t="e">
        <v>#N/A</v>
      </c>
      <c r="G1009" s="189" t="e">
        <v>#N/A</v>
      </c>
      <c r="H1009" s="189" t="e">
        <v>#N/A</v>
      </c>
      <c r="I1009" s="189" t="e">
        <v>#N/A</v>
      </c>
      <c r="J1009" s="189" t="e">
        <v>#N/A</v>
      </c>
      <c r="K1009" s="204" t="e">
        <v>#N/A</v>
      </c>
      <c r="L1009" s="204" t="e">
        <v>#N/A</v>
      </c>
      <c r="M1009" s="205" t="e">
        <v>#N/A</v>
      </c>
      <c r="N1009" s="205" t="e">
        <v>#N/A</v>
      </c>
      <c r="O1009" s="205" t="e">
        <v>#N/A</v>
      </c>
      <c r="P1009" s="205" t="e">
        <v>#N/A</v>
      </c>
      <c r="Q1009" s="189" t="e">
        <v>#N/A</v>
      </c>
      <c r="R1009" s="189" t="e">
        <v>#N/A</v>
      </c>
      <c r="S1009" s="205" t="e">
        <v>#N/A</v>
      </c>
      <c r="T1009" s="206"/>
    </row>
    <row r="1010">
      <c r="C1010" s="189" t="e">
        <v>#N/A</v>
      </c>
      <c r="D1010" s="189" t="e">
        <v>#N/A</v>
      </c>
      <c r="E1010" s="189" t="e">
        <v>#N/A</v>
      </c>
      <c r="F1010" s="189" t="e">
        <v>#N/A</v>
      </c>
      <c r="G1010" s="189" t="e">
        <v>#N/A</v>
      </c>
      <c r="H1010" s="189" t="e">
        <v>#N/A</v>
      </c>
      <c r="I1010" s="189" t="e">
        <v>#N/A</v>
      </c>
      <c r="J1010" s="189" t="e">
        <v>#N/A</v>
      </c>
      <c r="K1010" s="204" t="e">
        <v>#N/A</v>
      </c>
      <c r="L1010" s="204" t="e">
        <v>#N/A</v>
      </c>
      <c r="M1010" s="205" t="e">
        <v>#N/A</v>
      </c>
      <c r="N1010" s="205" t="e">
        <v>#N/A</v>
      </c>
      <c r="O1010" s="205" t="e">
        <v>#N/A</v>
      </c>
      <c r="P1010" s="205" t="e">
        <v>#N/A</v>
      </c>
      <c r="Q1010" s="189" t="e">
        <v>#N/A</v>
      </c>
      <c r="R1010" s="189" t="e">
        <v>#N/A</v>
      </c>
      <c r="S1010" s="205" t="e">
        <v>#N/A</v>
      </c>
      <c r="T1010" s="206"/>
    </row>
    <row r="1011">
      <c r="C1011" s="189" t="e">
        <v>#N/A</v>
      </c>
      <c r="D1011" s="189" t="e">
        <v>#N/A</v>
      </c>
      <c r="E1011" s="189" t="e">
        <v>#N/A</v>
      </c>
      <c r="F1011" s="189" t="e">
        <v>#N/A</v>
      </c>
      <c r="G1011" s="189" t="e">
        <v>#N/A</v>
      </c>
      <c r="H1011" s="189" t="e">
        <v>#N/A</v>
      </c>
      <c r="I1011" s="189" t="e">
        <v>#N/A</v>
      </c>
      <c r="J1011" s="189" t="e">
        <v>#N/A</v>
      </c>
      <c r="K1011" s="204" t="e">
        <v>#N/A</v>
      </c>
      <c r="L1011" s="204" t="e">
        <v>#N/A</v>
      </c>
      <c r="M1011" s="205" t="e">
        <v>#N/A</v>
      </c>
      <c r="N1011" s="205" t="e">
        <v>#N/A</v>
      </c>
      <c r="O1011" s="205" t="e">
        <v>#N/A</v>
      </c>
      <c r="P1011" s="205" t="e">
        <v>#N/A</v>
      </c>
      <c r="Q1011" s="189" t="e">
        <v>#N/A</v>
      </c>
      <c r="R1011" s="189" t="e">
        <v>#N/A</v>
      </c>
      <c r="S1011" s="205" t="e">
        <v>#N/A</v>
      </c>
      <c r="T1011" s="206"/>
    </row>
    <row r="1012">
      <c r="C1012" s="189" t="e">
        <v>#N/A</v>
      </c>
      <c r="D1012" s="189" t="e">
        <v>#N/A</v>
      </c>
      <c r="E1012" s="189" t="e">
        <v>#N/A</v>
      </c>
      <c r="F1012" s="189" t="e">
        <v>#N/A</v>
      </c>
      <c r="G1012" s="189" t="e">
        <v>#N/A</v>
      </c>
      <c r="H1012" s="189" t="e">
        <v>#N/A</v>
      </c>
      <c r="I1012" s="189" t="e">
        <v>#N/A</v>
      </c>
      <c r="J1012" s="189" t="e">
        <v>#N/A</v>
      </c>
      <c r="K1012" s="204" t="e">
        <v>#N/A</v>
      </c>
      <c r="L1012" s="204" t="e">
        <v>#N/A</v>
      </c>
      <c r="M1012" s="205" t="e">
        <v>#N/A</v>
      </c>
      <c r="N1012" s="205" t="e">
        <v>#N/A</v>
      </c>
      <c r="O1012" s="205" t="e">
        <v>#N/A</v>
      </c>
      <c r="P1012" s="205" t="e">
        <v>#N/A</v>
      </c>
      <c r="Q1012" s="189" t="e">
        <v>#N/A</v>
      </c>
      <c r="R1012" s="189" t="e">
        <v>#N/A</v>
      </c>
      <c r="S1012" s="205" t="e">
        <v>#N/A</v>
      </c>
      <c r="T1012" s="206"/>
    </row>
    <row r="1013">
      <c r="C1013" s="189" t="e">
        <v>#N/A</v>
      </c>
      <c r="D1013" s="189" t="e">
        <v>#N/A</v>
      </c>
      <c r="E1013" s="189" t="e">
        <v>#N/A</v>
      </c>
      <c r="F1013" s="189" t="e">
        <v>#N/A</v>
      </c>
      <c r="G1013" s="189" t="e">
        <v>#N/A</v>
      </c>
      <c r="H1013" s="189" t="e">
        <v>#N/A</v>
      </c>
      <c r="I1013" s="189" t="e">
        <v>#N/A</v>
      </c>
      <c r="J1013" s="189" t="e">
        <v>#N/A</v>
      </c>
      <c r="K1013" s="204" t="e">
        <v>#N/A</v>
      </c>
      <c r="L1013" s="204" t="e">
        <v>#N/A</v>
      </c>
      <c r="M1013" s="205" t="e">
        <v>#N/A</v>
      </c>
      <c r="N1013" s="205" t="e">
        <v>#N/A</v>
      </c>
      <c r="O1013" s="205" t="e">
        <v>#N/A</v>
      </c>
      <c r="P1013" s="205" t="e">
        <v>#N/A</v>
      </c>
      <c r="Q1013" s="189" t="e">
        <v>#N/A</v>
      </c>
      <c r="R1013" s="189" t="e">
        <v>#N/A</v>
      </c>
      <c r="S1013" s="205" t="e">
        <v>#N/A</v>
      </c>
      <c r="T1013" s="206"/>
    </row>
    <row r="1014">
      <c r="C1014" s="189" t="e">
        <v>#N/A</v>
      </c>
      <c r="D1014" s="189" t="e">
        <v>#N/A</v>
      </c>
      <c r="E1014" s="189" t="e">
        <v>#N/A</v>
      </c>
      <c r="F1014" s="189" t="e">
        <v>#N/A</v>
      </c>
      <c r="G1014" s="189" t="e">
        <v>#N/A</v>
      </c>
      <c r="H1014" s="189" t="e">
        <v>#N/A</v>
      </c>
      <c r="I1014" s="189" t="e">
        <v>#N/A</v>
      </c>
      <c r="J1014" s="189" t="e">
        <v>#N/A</v>
      </c>
      <c r="K1014" s="204" t="e">
        <v>#N/A</v>
      </c>
      <c r="L1014" s="204" t="e">
        <v>#N/A</v>
      </c>
      <c r="M1014" s="205" t="e">
        <v>#N/A</v>
      </c>
      <c r="N1014" s="205" t="e">
        <v>#N/A</v>
      </c>
      <c r="O1014" s="205" t="e">
        <v>#N/A</v>
      </c>
      <c r="P1014" s="205" t="e">
        <v>#N/A</v>
      </c>
      <c r="Q1014" s="189" t="e">
        <v>#N/A</v>
      </c>
      <c r="R1014" s="189" t="e">
        <v>#N/A</v>
      </c>
      <c r="S1014" s="205" t="e">
        <v>#N/A</v>
      </c>
      <c r="T1014" s="206"/>
    </row>
    <row r="1015">
      <c r="C1015" s="189" t="e">
        <v>#N/A</v>
      </c>
      <c r="D1015" s="189" t="e">
        <v>#N/A</v>
      </c>
      <c r="E1015" s="189" t="e">
        <v>#N/A</v>
      </c>
      <c r="F1015" s="189" t="e">
        <v>#N/A</v>
      </c>
      <c r="G1015" s="189" t="e">
        <v>#N/A</v>
      </c>
      <c r="H1015" s="189" t="e">
        <v>#N/A</v>
      </c>
      <c r="I1015" s="189" t="e">
        <v>#N/A</v>
      </c>
      <c r="J1015" s="189" t="e">
        <v>#N/A</v>
      </c>
      <c r="K1015" s="204" t="e">
        <v>#N/A</v>
      </c>
      <c r="L1015" s="204" t="e">
        <v>#N/A</v>
      </c>
      <c r="M1015" s="205" t="e">
        <v>#N/A</v>
      </c>
      <c r="N1015" s="205" t="e">
        <v>#N/A</v>
      </c>
      <c r="O1015" s="205" t="e">
        <v>#N/A</v>
      </c>
      <c r="P1015" s="205" t="e">
        <v>#N/A</v>
      </c>
      <c r="Q1015" s="189" t="e">
        <v>#N/A</v>
      </c>
      <c r="R1015" s="189" t="e">
        <v>#N/A</v>
      </c>
      <c r="S1015" s="205" t="e">
        <v>#N/A</v>
      </c>
      <c r="T1015" s="206"/>
    </row>
    <row r="1016">
      <c r="C1016" s="189" t="e">
        <v>#N/A</v>
      </c>
      <c r="D1016" s="189" t="e">
        <v>#N/A</v>
      </c>
      <c r="E1016" s="189" t="e">
        <v>#N/A</v>
      </c>
      <c r="F1016" s="189" t="e">
        <v>#N/A</v>
      </c>
      <c r="G1016" s="189" t="e">
        <v>#N/A</v>
      </c>
      <c r="H1016" s="189" t="e">
        <v>#N/A</v>
      </c>
      <c r="I1016" s="189" t="e">
        <v>#N/A</v>
      </c>
      <c r="J1016" s="189" t="e">
        <v>#N/A</v>
      </c>
      <c r="K1016" s="204" t="e">
        <v>#N/A</v>
      </c>
      <c r="L1016" s="204" t="e">
        <v>#N/A</v>
      </c>
      <c r="M1016" s="205" t="e">
        <v>#N/A</v>
      </c>
      <c r="N1016" s="205" t="e">
        <v>#N/A</v>
      </c>
      <c r="O1016" s="205" t="e">
        <v>#N/A</v>
      </c>
      <c r="P1016" s="205" t="e">
        <v>#N/A</v>
      </c>
      <c r="Q1016" s="189" t="e">
        <v>#N/A</v>
      </c>
      <c r="R1016" s="189" t="e">
        <v>#N/A</v>
      </c>
      <c r="S1016" s="205" t="e">
        <v>#N/A</v>
      </c>
      <c r="T1016" s="206"/>
    </row>
    <row r="1017">
      <c r="C1017" s="189" t="e">
        <v>#N/A</v>
      </c>
      <c r="D1017" s="189" t="e">
        <v>#N/A</v>
      </c>
      <c r="E1017" s="189" t="e">
        <v>#N/A</v>
      </c>
      <c r="F1017" s="189" t="e">
        <v>#N/A</v>
      </c>
      <c r="G1017" s="189" t="e">
        <v>#N/A</v>
      </c>
      <c r="H1017" s="189" t="e">
        <v>#N/A</v>
      </c>
      <c r="I1017" s="189" t="e">
        <v>#N/A</v>
      </c>
      <c r="J1017" s="189" t="e">
        <v>#N/A</v>
      </c>
      <c r="K1017" s="204" t="e">
        <v>#N/A</v>
      </c>
      <c r="L1017" s="204" t="e">
        <v>#N/A</v>
      </c>
      <c r="M1017" s="205" t="e">
        <v>#N/A</v>
      </c>
      <c r="N1017" s="205" t="e">
        <v>#N/A</v>
      </c>
      <c r="O1017" s="205" t="e">
        <v>#N/A</v>
      </c>
      <c r="P1017" s="205" t="e">
        <v>#N/A</v>
      </c>
      <c r="Q1017" s="189" t="e">
        <v>#N/A</v>
      </c>
      <c r="R1017" s="189" t="e">
        <v>#N/A</v>
      </c>
      <c r="S1017" s="205" t="e">
        <v>#N/A</v>
      </c>
      <c r="T1017" s="206"/>
    </row>
    <row r="1018">
      <c r="C1018" s="189" t="e">
        <v>#N/A</v>
      </c>
      <c r="D1018" s="189" t="e">
        <v>#N/A</v>
      </c>
      <c r="E1018" s="189" t="e">
        <v>#N/A</v>
      </c>
      <c r="F1018" s="189" t="e">
        <v>#N/A</v>
      </c>
      <c r="G1018" s="189" t="e">
        <v>#N/A</v>
      </c>
      <c r="H1018" s="189" t="e">
        <v>#N/A</v>
      </c>
      <c r="I1018" s="189" t="e">
        <v>#N/A</v>
      </c>
      <c r="J1018" s="189" t="e">
        <v>#N/A</v>
      </c>
      <c r="K1018" s="204" t="e">
        <v>#N/A</v>
      </c>
      <c r="L1018" s="204" t="e">
        <v>#N/A</v>
      </c>
      <c r="M1018" s="205" t="e">
        <v>#N/A</v>
      </c>
      <c r="N1018" s="205" t="e">
        <v>#N/A</v>
      </c>
      <c r="O1018" s="205" t="e">
        <v>#N/A</v>
      </c>
      <c r="P1018" s="205" t="e">
        <v>#N/A</v>
      </c>
      <c r="Q1018" s="189" t="e">
        <v>#N/A</v>
      </c>
      <c r="R1018" s="189" t="e">
        <v>#N/A</v>
      </c>
      <c r="S1018" s="205" t="e">
        <v>#N/A</v>
      </c>
      <c r="T1018" s="206"/>
    </row>
    <row r="1019">
      <c r="C1019" s="189" t="e">
        <v>#N/A</v>
      </c>
      <c r="D1019" s="189" t="e">
        <v>#N/A</v>
      </c>
      <c r="E1019" s="189" t="e">
        <v>#N/A</v>
      </c>
      <c r="F1019" s="189" t="e">
        <v>#N/A</v>
      </c>
      <c r="G1019" s="189" t="e">
        <v>#N/A</v>
      </c>
      <c r="H1019" s="189" t="e">
        <v>#N/A</v>
      </c>
      <c r="I1019" s="189" t="e">
        <v>#N/A</v>
      </c>
      <c r="J1019" s="189" t="e">
        <v>#N/A</v>
      </c>
      <c r="K1019" s="204" t="e">
        <v>#N/A</v>
      </c>
      <c r="L1019" s="204" t="e">
        <v>#N/A</v>
      </c>
      <c r="M1019" s="205" t="e">
        <v>#N/A</v>
      </c>
      <c r="N1019" s="205" t="e">
        <v>#N/A</v>
      </c>
      <c r="O1019" s="205" t="e">
        <v>#N/A</v>
      </c>
      <c r="P1019" s="205" t="e">
        <v>#N/A</v>
      </c>
      <c r="Q1019" s="189" t="e">
        <v>#N/A</v>
      </c>
      <c r="R1019" s="189" t="e">
        <v>#N/A</v>
      </c>
      <c r="S1019" s="205" t="e">
        <v>#N/A</v>
      </c>
      <c r="T1019" s="206"/>
    </row>
    <row r="1020">
      <c r="C1020" s="189" t="e">
        <v>#N/A</v>
      </c>
      <c r="D1020" s="189" t="e">
        <v>#N/A</v>
      </c>
      <c r="E1020" s="189" t="e">
        <v>#N/A</v>
      </c>
      <c r="F1020" s="189" t="e">
        <v>#N/A</v>
      </c>
      <c r="G1020" s="189" t="e">
        <v>#N/A</v>
      </c>
      <c r="H1020" s="189" t="e">
        <v>#N/A</v>
      </c>
      <c r="I1020" s="189" t="e">
        <v>#N/A</v>
      </c>
      <c r="J1020" s="189" t="e">
        <v>#N/A</v>
      </c>
      <c r="K1020" s="204" t="e">
        <v>#N/A</v>
      </c>
      <c r="L1020" s="204" t="e">
        <v>#N/A</v>
      </c>
      <c r="M1020" s="205" t="e">
        <v>#N/A</v>
      </c>
      <c r="N1020" s="205" t="e">
        <v>#N/A</v>
      </c>
      <c r="O1020" s="205" t="e">
        <v>#N/A</v>
      </c>
      <c r="P1020" s="205" t="e">
        <v>#N/A</v>
      </c>
      <c r="Q1020" s="189" t="e">
        <v>#N/A</v>
      </c>
      <c r="R1020" s="189" t="e">
        <v>#N/A</v>
      </c>
      <c r="S1020" s="205" t="e">
        <v>#N/A</v>
      </c>
      <c r="T1020" s="206"/>
    </row>
    <row r="1021">
      <c r="C1021" s="189" t="e">
        <v>#N/A</v>
      </c>
      <c r="D1021" s="189" t="e">
        <v>#N/A</v>
      </c>
      <c r="E1021" s="189" t="e">
        <v>#N/A</v>
      </c>
      <c r="F1021" s="189" t="e">
        <v>#N/A</v>
      </c>
      <c r="G1021" s="189" t="e">
        <v>#N/A</v>
      </c>
      <c r="H1021" s="189" t="e">
        <v>#N/A</v>
      </c>
      <c r="I1021" s="189" t="e">
        <v>#N/A</v>
      </c>
      <c r="J1021" s="189" t="e">
        <v>#N/A</v>
      </c>
      <c r="K1021" s="204" t="e">
        <v>#N/A</v>
      </c>
      <c r="L1021" s="204" t="e">
        <v>#N/A</v>
      </c>
      <c r="M1021" s="205" t="e">
        <v>#N/A</v>
      </c>
      <c r="N1021" s="205" t="e">
        <v>#N/A</v>
      </c>
      <c r="O1021" s="205" t="e">
        <v>#N/A</v>
      </c>
      <c r="P1021" s="205" t="e">
        <v>#N/A</v>
      </c>
      <c r="Q1021" s="189" t="e">
        <v>#N/A</v>
      </c>
      <c r="R1021" s="189" t="e">
        <v>#N/A</v>
      </c>
      <c r="S1021" s="205" t="e">
        <v>#N/A</v>
      </c>
      <c r="T1021" s="206"/>
    </row>
    <row r="1022">
      <c r="C1022" s="189" t="e">
        <v>#N/A</v>
      </c>
      <c r="D1022" s="189" t="e">
        <v>#N/A</v>
      </c>
      <c r="E1022" s="189" t="e">
        <v>#N/A</v>
      </c>
      <c r="F1022" s="189" t="e">
        <v>#N/A</v>
      </c>
      <c r="G1022" s="189" t="e">
        <v>#N/A</v>
      </c>
      <c r="H1022" s="189" t="e">
        <v>#N/A</v>
      </c>
      <c r="I1022" s="189" t="e">
        <v>#N/A</v>
      </c>
      <c r="J1022" s="189" t="e">
        <v>#N/A</v>
      </c>
      <c r="K1022" s="204" t="e">
        <v>#N/A</v>
      </c>
      <c r="L1022" s="204" t="e">
        <v>#N/A</v>
      </c>
      <c r="M1022" s="205" t="e">
        <v>#N/A</v>
      </c>
      <c r="N1022" s="205" t="e">
        <v>#N/A</v>
      </c>
      <c r="O1022" s="205" t="e">
        <v>#N/A</v>
      </c>
      <c r="P1022" s="205" t="e">
        <v>#N/A</v>
      </c>
      <c r="Q1022" s="189" t="e">
        <v>#N/A</v>
      </c>
      <c r="R1022" s="189" t="e">
        <v>#N/A</v>
      </c>
      <c r="S1022" s="205" t="e">
        <v>#N/A</v>
      </c>
      <c r="T1022" s="206"/>
    </row>
    <row r="1023">
      <c r="C1023" s="189" t="e">
        <v>#N/A</v>
      </c>
      <c r="D1023" s="189" t="e">
        <v>#N/A</v>
      </c>
      <c r="E1023" s="189" t="e">
        <v>#N/A</v>
      </c>
      <c r="F1023" s="189" t="e">
        <v>#N/A</v>
      </c>
      <c r="G1023" s="189" t="e">
        <v>#N/A</v>
      </c>
      <c r="H1023" s="189" t="e">
        <v>#N/A</v>
      </c>
      <c r="I1023" s="189" t="e">
        <v>#N/A</v>
      </c>
      <c r="J1023" s="189" t="e">
        <v>#N/A</v>
      </c>
      <c r="K1023" s="204" t="e">
        <v>#N/A</v>
      </c>
      <c r="L1023" s="204" t="e">
        <v>#N/A</v>
      </c>
      <c r="M1023" s="205" t="e">
        <v>#N/A</v>
      </c>
      <c r="N1023" s="205" t="e">
        <v>#N/A</v>
      </c>
      <c r="O1023" s="205" t="e">
        <v>#N/A</v>
      </c>
      <c r="P1023" s="205" t="e">
        <v>#N/A</v>
      </c>
      <c r="Q1023" s="189" t="e">
        <v>#N/A</v>
      </c>
      <c r="R1023" s="189" t="e">
        <v>#N/A</v>
      </c>
      <c r="S1023" s="205" t="e">
        <v>#N/A</v>
      </c>
      <c r="T1023" s="206"/>
    </row>
    <row r="1024">
      <c r="C1024" s="189" t="e">
        <v>#N/A</v>
      </c>
      <c r="D1024" s="189" t="e">
        <v>#N/A</v>
      </c>
      <c r="E1024" s="189" t="e">
        <v>#N/A</v>
      </c>
      <c r="F1024" s="189" t="e">
        <v>#N/A</v>
      </c>
      <c r="G1024" s="189" t="e">
        <v>#N/A</v>
      </c>
      <c r="H1024" s="189" t="e">
        <v>#N/A</v>
      </c>
      <c r="I1024" s="189" t="e">
        <v>#N/A</v>
      </c>
      <c r="J1024" s="189" t="e">
        <v>#N/A</v>
      </c>
      <c r="K1024" s="204" t="e">
        <v>#N/A</v>
      </c>
      <c r="L1024" s="204" t="e">
        <v>#N/A</v>
      </c>
      <c r="M1024" s="205" t="e">
        <v>#N/A</v>
      </c>
      <c r="N1024" s="205" t="e">
        <v>#N/A</v>
      </c>
      <c r="O1024" s="205" t="e">
        <v>#N/A</v>
      </c>
      <c r="P1024" s="205" t="e">
        <v>#N/A</v>
      </c>
      <c r="Q1024" s="189" t="e">
        <v>#N/A</v>
      </c>
      <c r="R1024" s="189" t="e">
        <v>#N/A</v>
      </c>
      <c r="S1024" s="205" t="e">
        <v>#N/A</v>
      </c>
      <c r="T1024" s="206"/>
    </row>
    <row r="1025">
      <c r="C1025" s="189" t="e">
        <v>#N/A</v>
      </c>
      <c r="D1025" s="189" t="e">
        <v>#N/A</v>
      </c>
      <c r="E1025" s="189" t="e">
        <v>#N/A</v>
      </c>
      <c r="F1025" s="189" t="e">
        <v>#N/A</v>
      </c>
      <c r="G1025" s="189" t="e">
        <v>#N/A</v>
      </c>
      <c r="H1025" s="189" t="e">
        <v>#N/A</v>
      </c>
      <c r="I1025" s="189" t="e">
        <v>#N/A</v>
      </c>
      <c r="J1025" s="189" t="e">
        <v>#N/A</v>
      </c>
      <c r="K1025" s="204" t="e">
        <v>#N/A</v>
      </c>
      <c r="L1025" s="204" t="e">
        <v>#N/A</v>
      </c>
      <c r="M1025" s="205" t="e">
        <v>#N/A</v>
      </c>
      <c r="N1025" s="205" t="e">
        <v>#N/A</v>
      </c>
      <c r="O1025" s="205" t="e">
        <v>#N/A</v>
      </c>
      <c r="P1025" s="205" t="e">
        <v>#N/A</v>
      </c>
      <c r="Q1025" s="189" t="e">
        <v>#N/A</v>
      </c>
      <c r="R1025" s="189" t="e">
        <v>#N/A</v>
      </c>
      <c r="S1025" s="205" t="e">
        <v>#N/A</v>
      </c>
      <c r="T1025" s="206"/>
    </row>
    <row r="1026">
      <c r="C1026" s="189" t="e">
        <v>#N/A</v>
      </c>
      <c r="D1026" s="189" t="e">
        <v>#N/A</v>
      </c>
      <c r="E1026" s="189" t="e">
        <v>#N/A</v>
      </c>
      <c r="F1026" s="189" t="e">
        <v>#N/A</v>
      </c>
      <c r="G1026" s="189" t="e">
        <v>#N/A</v>
      </c>
      <c r="H1026" s="189" t="e">
        <v>#N/A</v>
      </c>
      <c r="I1026" s="189" t="e">
        <v>#N/A</v>
      </c>
      <c r="J1026" s="189" t="e">
        <v>#N/A</v>
      </c>
      <c r="K1026" s="204" t="e">
        <v>#N/A</v>
      </c>
      <c r="L1026" s="204" t="e">
        <v>#N/A</v>
      </c>
      <c r="M1026" s="205" t="e">
        <v>#N/A</v>
      </c>
      <c r="N1026" s="205" t="e">
        <v>#N/A</v>
      </c>
      <c r="O1026" s="205" t="e">
        <v>#N/A</v>
      </c>
      <c r="P1026" s="205" t="e">
        <v>#N/A</v>
      </c>
      <c r="Q1026" s="189" t="e">
        <v>#N/A</v>
      </c>
      <c r="R1026" s="189" t="e">
        <v>#N/A</v>
      </c>
      <c r="S1026" s="205" t="e">
        <v>#N/A</v>
      </c>
      <c r="T1026" s="206"/>
    </row>
    <row r="1027">
      <c r="C1027" s="189" t="e">
        <v>#N/A</v>
      </c>
      <c r="D1027" s="189" t="e">
        <v>#N/A</v>
      </c>
      <c r="E1027" s="189" t="e">
        <v>#N/A</v>
      </c>
      <c r="F1027" s="189" t="e">
        <v>#N/A</v>
      </c>
      <c r="G1027" s="189" t="e">
        <v>#N/A</v>
      </c>
      <c r="H1027" s="189" t="e">
        <v>#N/A</v>
      </c>
      <c r="I1027" s="189" t="e">
        <v>#N/A</v>
      </c>
      <c r="J1027" s="189" t="e">
        <v>#N/A</v>
      </c>
      <c r="K1027" s="204" t="e">
        <v>#N/A</v>
      </c>
      <c r="L1027" s="204" t="e">
        <v>#N/A</v>
      </c>
      <c r="M1027" s="205" t="e">
        <v>#N/A</v>
      </c>
      <c r="N1027" s="205" t="e">
        <v>#N/A</v>
      </c>
      <c r="O1027" s="205" t="e">
        <v>#N/A</v>
      </c>
      <c r="P1027" s="205" t="e">
        <v>#N/A</v>
      </c>
      <c r="Q1027" s="189" t="e">
        <v>#N/A</v>
      </c>
      <c r="R1027" s="189" t="e">
        <v>#N/A</v>
      </c>
      <c r="S1027" s="205" t="e">
        <v>#N/A</v>
      </c>
      <c r="T1027" s="206"/>
    </row>
    <row r="1028">
      <c r="C1028" s="189" t="e">
        <v>#N/A</v>
      </c>
      <c r="D1028" s="189" t="e">
        <v>#N/A</v>
      </c>
      <c r="E1028" s="189" t="e">
        <v>#N/A</v>
      </c>
      <c r="F1028" s="189" t="e">
        <v>#N/A</v>
      </c>
      <c r="G1028" s="189" t="e">
        <v>#N/A</v>
      </c>
      <c r="H1028" s="189" t="e">
        <v>#N/A</v>
      </c>
      <c r="I1028" s="189" t="e">
        <v>#N/A</v>
      </c>
      <c r="J1028" s="189" t="e">
        <v>#N/A</v>
      </c>
      <c r="K1028" s="204" t="e">
        <v>#N/A</v>
      </c>
      <c r="L1028" s="204" t="e">
        <v>#N/A</v>
      </c>
      <c r="M1028" s="205" t="e">
        <v>#N/A</v>
      </c>
      <c r="N1028" s="205" t="e">
        <v>#N/A</v>
      </c>
      <c r="O1028" s="205" t="e">
        <v>#N/A</v>
      </c>
      <c r="P1028" s="205" t="e">
        <v>#N/A</v>
      </c>
      <c r="Q1028" s="189" t="e">
        <v>#N/A</v>
      </c>
      <c r="R1028" s="189" t="e">
        <v>#N/A</v>
      </c>
      <c r="S1028" s="205" t="e">
        <v>#N/A</v>
      </c>
      <c r="T1028" s="206"/>
    </row>
    <row r="1029">
      <c r="C1029" s="189" t="e">
        <v>#N/A</v>
      </c>
      <c r="D1029" s="189" t="e">
        <v>#N/A</v>
      </c>
      <c r="E1029" s="189" t="e">
        <v>#N/A</v>
      </c>
      <c r="F1029" s="189" t="e">
        <v>#N/A</v>
      </c>
      <c r="G1029" s="189" t="e">
        <v>#N/A</v>
      </c>
      <c r="H1029" s="189" t="e">
        <v>#N/A</v>
      </c>
      <c r="I1029" s="189" t="e">
        <v>#N/A</v>
      </c>
      <c r="J1029" s="189" t="e">
        <v>#N/A</v>
      </c>
      <c r="K1029" s="204" t="e">
        <v>#N/A</v>
      </c>
      <c r="L1029" s="204" t="e">
        <v>#N/A</v>
      </c>
      <c r="M1029" s="205" t="e">
        <v>#N/A</v>
      </c>
      <c r="N1029" s="205" t="e">
        <v>#N/A</v>
      </c>
      <c r="O1029" s="205" t="e">
        <v>#N/A</v>
      </c>
      <c r="P1029" s="205" t="e">
        <v>#N/A</v>
      </c>
      <c r="Q1029" s="189" t="e">
        <v>#N/A</v>
      </c>
      <c r="R1029" s="189" t="e">
        <v>#N/A</v>
      </c>
      <c r="S1029" s="205" t="e">
        <v>#N/A</v>
      </c>
      <c r="T1029" s="206"/>
    </row>
    <row r="1030">
      <c r="C1030" s="189" t="e">
        <v>#N/A</v>
      </c>
      <c r="D1030" s="189" t="e">
        <v>#N/A</v>
      </c>
      <c r="E1030" s="189" t="e">
        <v>#N/A</v>
      </c>
      <c r="F1030" s="189" t="e">
        <v>#N/A</v>
      </c>
      <c r="G1030" s="189" t="e">
        <v>#N/A</v>
      </c>
      <c r="H1030" s="189" t="e">
        <v>#N/A</v>
      </c>
      <c r="I1030" s="189" t="e">
        <v>#N/A</v>
      </c>
      <c r="J1030" s="189" t="e">
        <v>#N/A</v>
      </c>
      <c r="K1030" s="204" t="e">
        <v>#N/A</v>
      </c>
      <c r="L1030" s="204" t="e">
        <v>#N/A</v>
      </c>
      <c r="M1030" s="205" t="e">
        <v>#N/A</v>
      </c>
      <c r="N1030" s="205" t="e">
        <v>#N/A</v>
      </c>
      <c r="O1030" s="205" t="e">
        <v>#N/A</v>
      </c>
      <c r="P1030" s="205" t="e">
        <v>#N/A</v>
      </c>
      <c r="Q1030" s="189" t="e">
        <v>#N/A</v>
      </c>
      <c r="R1030" s="189" t="e">
        <v>#N/A</v>
      </c>
      <c r="S1030" s="205" t="e">
        <v>#N/A</v>
      </c>
      <c r="T1030" s="206"/>
    </row>
    <row r="1031">
      <c r="C1031" s="189" t="e">
        <v>#N/A</v>
      </c>
      <c r="D1031" s="189" t="e">
        <v>#N/A</v>
      </c>
      <c r="E1031" s="189" t="e">
        <v>#N/A</v>
      </c>
      <c r="F1031" s="189" t="e">
        <v>#N/A</v>
      </c>
      <c r="G1031" s="189" t="e">
        <v>#N/A</v>
      </c>
      <c r="H1031" s="189" t="e">
        <v>#N/A</v>
      </c>
      <c r="I1031" s="189" t="e">
        <v>#N/A</v>
      </c>
      <c r="J1031" s="189" t="e">
        <v>#N/A</v>
      </c>
      <c r="K1031" s="204" t="e">
        <v>#N/A</v>
      </c>
      <c r="L1031" s="204" t="e">
        <v>#N/A</v>
      </c>
      <c r="M1031" s="205" t="e">
        <v>#N/A</v>
      </c>
      <c r="N1031" s="205" t="e">
        <v>#N/A</v>
      </c>
      <c r="O1031" s="205" t="e">
        <v>#N/A</v>
      </c>
      <c r="P1031" s="205" t="e">
        <v>#N/A</v>
      </c>
      <c r="Q1031" s="189" t="e">
        <v>#N/A</v>
      </c>
      <c r="R1031" s="189" t="e">
        <v>#N/A</v>
      </c>
      <c r="S1031" s="205" t="e">
        <v>#N/A</v>
      </c>
      <c r="T1031" s="206"/>
    </row>
    <row r="1032">
      <c r="C1032" s="189" t="e">
        <v>#N/A</v>
      </c>
      <c r="D1032" s="189" t="e">
        <v>#N/A</v>
      </c>
      <c r="E1032" s="189" t="e">
        <v>#N/A</v>
      </c>
      <c r="F1032" s="189" t="e">
        <v>#N/A</v>
      </c>
      <c r="G1032" s="189" t="e">
        <v>#N/A</v>
      </c>
      <c r="H1032" s="189" t="e">
        <v>#N/A</v>
      </c>
      <c r="I1032" s="189" t="e">
        <v>#N/A</v>
      </c>
      <c r="J1032" s="189" t="e">
        <v>#N/A</v>
      </c>
      <c r="K1032" s="204" t="e">
        <v>#N/A</v>
      </c>
      <c r="L1032" s="204" t="e">
        <v>#N/A</v>
      </c>
      <c r="M1032" s="205" t="e">
        <v>#N/A</v>
      </c>
      <c r="N1032" s="205" t="e">
        <v>#N/A</v>
      </c>
      <c r="O1032" s="205" t="e">
        <v>#N/A</v>
      </c>
      <c r="P1032" s="205" t="e">
        <v>#N/A</v>
      </c>
      <c r="Q1032" s="189" t="e">
        <v>#N/A</v>
      </c>
      <c r="R1032" s="189" t="e">
        <v>#N/A</v>
      </c>
      <c r="S1032" s="205" t="e">
        <v>#N/A</v>
      </c>
      <c r="T1032" s="206"/>
    </row>
    <row r="1033">
      <c r="C1033" s="189" t="e">
        <v>#N/A</v>
      </c>
      <c r="D1033" s="189" t="e">
        <v>#N/A</v>
      </c>
      <c r="E1033" s="189" t="e">
        <v>#N/A</v>
      </c>
      <c r="F1033" s="189" t="e">
        <v>#N/A</v>
      </c>
      <c r="G1033" s="189" t="e">
        <v>#N/A</v>
      </c>
      <c r="H1033" s="189" t="e">
        <v>#N/A</v>
      </c>
      <c r="I1033" s="189" t="e">
        <v>#N/A</v>
      </c>
      <c r="J1033" s="189" t="e">
        <v>#N/A</v>
      </c>
      <c r="K1033" s="204" t="e">
        <v>#N/A</v>
      </c>
      <c r="L1033" s="204" t="e">
        <v>#N/A</v>
      </c>
      <c r="M1033" s="205" t="e">
        <v>#N/A</v>
      </c>
      <c r="N1033" s="205" t="e">
        <v>#N/A</v>
      </c>
      <c r="O1033" s="205" t="e">
        <v>#N/A</v>
      </c>
      <c r="P1033" s="205" t="e">
        <v>#N/A</v>
      </c>
      <c r="Q1033" s="189" t="e">
        <v>#N/A</v>
      </c>
      <c r="R1033" s="189" t="e">
        <v>#N/A</v>
      </c>
      <c r="S1033" s="205" t="e">
        <v>#N/A</v>
      </c>
      <c r="T1033" s="206"/>
    </row>
    <row r="1034">
      <c r="C1034" s="189" t="e">
        <v>#N/A</v>
      </c>
      <c r="D1034" s="189" t="e">
        <v>#N/A</v>
      </c>
      <c r="E1034" s="189" t="e">
        <v>#N/A</v>
      </c>
      <c r="F1034" s="189" t="e">
        <v>#N/A</v>
      </c>
      <c r="G1034" s="189" t="e">
        <v>#N/A</v>
      </c>
      <c r="H1034" s="189" t="e">
        <v>#N/A</v>
      </c>
      <c r="I1034" s="189" t="e">
        <v>#N/A</v>
      </c>
      <c r="J1034" s="189" t="e">
        <v>#N/A</v>
      </c>
      <c r="K1034" s="204" t="e">
        <v>#N/A</v>
      </c>
      <c r="L1034" s="204" t="e">
        <v>#N/A</v>
      </c>
      <c r="M1034" s="205" t="e">
        <v>#N/A</v>
      </c>
      <c r="N1034" s="205" t="e">
        <v>#N/A</v>
      </c>
      <c r="O1034" s="205" t="e">
        <v>#N/A</v>
      </c>
      <c r="P1034" s="205" t="e">
        <v>#N/A</v>
      </c>
      <c r="Q1034" s="189" t="e">
        <v>#N/A</v>
      </c>
      <c r="R1034" s="189" t="e">
        <v>#N/A</v>
      </c>
      <c r="S1034" s="205" t="e">
        <v>#N/A</v>
      </c>
      <c r="T1034" s="206"/>
    </row>
    <row r="1035">
      <c r="C1035" s="189" t="e">
        <v>#N/A</v>
      </c>
      <c r="D1035" s="189" t="e">
        <v>#N/A</v>
      </c>
      <c r="E1035" s="189" t="e">
        <v>#N/A</v>
      </c>
      <c r="F1035" s="189" t="e">
        <v>#N/A</v>
      </c>
      <c r="G1035" s="189" t="e">
        <v>#N/A</v>
      </c>
      <c r="H1035" s="189" t="e">
        <v>#N/A</v>
      </c>
      <c r="I1035" s="189" t="e">
        <v>#N/A</v>
      </c>
      <c r="J1035" s="189" t="e">
        <v>#N/A</v>
      </c>
      <c r="K1035" s="204" t="e">
        <v>#N/A</v>
      </c>
      <c r="L1035" s="204" t="e">
        <v>#N/A</v>
      </c>
      <c r="M1035" s="205" t="e">
        <v>#N/A</v>
      </c>
      <c r="N1035" s="205" t="e">
        <v>#N/A</v>
      </c>
      <c r="O1035" s="205" t="e">
        <v>#N/A</v>
      </c>
      <c r="P1035" s="205" t="e">
        <v>#N/A</v>
      </c>
      <c r="Q1035" s="189" t="e">
        <v>#N/A</v>
      </c>
      <c r="R1035" s="189" t="e">
        <v>#N/A</v>
      </c>
      <c r="S1035" s="205" t="e">
        <v>#N/A</v>
      </c>
      <c r="T1035" s="206"/>
    </row>
    <row r="1036">
      <c r="C1036" s="189" t="e">
        <v>#N/A</v>
      </c>
      <c r="D1036" s="189" t="e">
        <v>#N/A</v>
      </c>
      <c r="E1036" s="189" t="e">
        <v>#N/A</v>
      </c>
      <c r="F1036" s="189" t="e">
        <v>#N/A</v>
      </c>
      <c r="G1036" s="189" t="e">
        <v>#N/A</v>
      </c>
      <c r="H1036" s="189" t="e">
        <v>#N/A</v>
      </c>
      <c r="I1036" s="189" t="e">
        <v>#N/A</v>
      </c>
      <c r="J1036" s="189" t="e">
        <v>#N/A</v>
      </c>
      <c r="K1036" s="204" t="e">
        <v>#N/A</v>
      </c>
      <c r="L1036" s="204" t="e">
        <v>#N/A</v>
      </c>
      <c r="M1036" s="205" t="e">
        <v>#N/A</v>
      </c>
      <c r="N1036" s="205" t="e">
        <v>#N/A</v>
      </c>
      <c r="O1036" s="205" t="e">
        <v>#N/A</v>
      </c>
      <c r="P1036" s="205" t="e">
        <v>#N/A</v>
      </c>
      <c r="Q1036" s="189" t="e">
        <v>#N/A</v>
      </c>
      <c r="R1036" s="189" t="e">
        <v>#N/A</v>
      </c>
      <c r="S1036" s="205" t="e">
        <v>#N/A</v>
      </c>
      <c r="T1036" s="206"/>
    </row>
    <row r="1037">
      <c r="C1037" s="189" t="e">
        <v>#N/A</v>
      </c>
      <c r="D1037" s="189" t="e">
        <v>#N/A</v>
      </c>
      <c r="E1037" s="189" t="e">
        <v>#N/A</v>
      </c>
      <c r="F1037" s="189" t="e">
        <v>#N/A</v>
      </c>
      <c r="G1037" s="189" t="e">
        <v>#N/A</v>
      </c>
      <c r="H1037" s="189" t="e">
        <v>#N/A</v>
      </c>
      <c r="I1037" s="189" t="e">
        <v>#N/A</v>
      </c>
      <c r="J1037" s="189" t="e">
        <v>#N/A</v>
      </c>
      <c r="K1037" s="204" t="e">
        <v>#N/A</v>
      </c>
      <c r="L1037" s="204" t="e">
        <v>#N/A</v>
      </c>
      <c r="M1037" s="205" t="e">
        <v>#N/A</v>
      </c>
      <c r="N1037" s="205" t="e">
        <v>#N/A</v>
      </c>
      <c r="O1037" s="205" t="e">
        <v>#N/A</v>
      </c>
      <c r="P1037" s="205" t="e">
        <v>#N/A</v>
      </c>
      <c r="Q1037" s="189" t="e">
        <v>#N/A</v>
      </c>
      <c r="R1037" s="189" t="e">
        <v>#N/A</v>
      </c>
      <c r="S1037" s="205" t="e">
        <v>#N/A</v>
      </c>
      <c r="T1037" s="206"/>
    </row>
    <row r="1038">
      <c r="C1038" s="189" t="e">
        <v>#N/A</v>
      </c>
      <c r="D1038" s="189" t="e">
        <v>#N/A</v>
      </c>
      <c r="E1038" s="189" t="e">
        <v>#N/A</v>
      </c>
      <c r="F1038" s="189" t="e">
        <v>#N/A</v>
      </c>
      <c r="G1038" s="189" t="e">
        <v>#N/A</v>
      </c>
      <c r="H1038" s="189" t="e">
        <v>#N/A</v>
      </c>
      <c r="I1038" s="189" t="e">
        <v>#N/A</v>
      </c>
      <c r="J1038" s="189" t="e">
        <v>#N/A</v>
      </c>
      <c r="K1038" s="204" t="e">
        <v>#N/A</v>
      </c>
      <c r="L1038" s="204" t="e">
        <v>#N/A</v>
      </c>
      <c r="M1038" s="205" t="e">
        <v>#N/A</v>
      </c>
      <c r="N1038" s="205" t="e">
        <v>#N/A</v>
      </c>
      <c r="O1038" s="205" t="e">
        <v>#N/A</v>
      </c>
      <c r="P1038" s="205" t="e">
        <v>#N/A</v>
      </c>
      <c r="Q1038" s="189" t="e">
        <v>#N/A</v>
      </c>
      <c r="R1038" s="189" t="e">
        <v>#N/A</v>
      </c>
      <c r="S1038" s="205" t="e">
        <v>#N/A</v>
      </c>
      <c r="T1038" s="206"/>
    </row>
    <row r="1039">
      <c r="C1039" s="189" t="e">
        <v>#N/A</v>
      </c>
      <c r="D1039" s="189" t="e">
        <v>#N/A</v>
      </c>
      <c r="E1039" s="189" t="e">
        <v>#N/A</v>
      </c>
      <c r="F1039" s="189" t="e">
        <v>#N/A</v>
      </c>
      <c r="G1039" s="189" t="e">
        <v>#N/A</v>
      </c>
      <c r="H1039" s="189" t="e">
        <v>#N/A</v>
      </c>
      <c r="I1039" s="189" t="e">
        <v>#N/A</v>
      </c>
      <c r="J1039" s="189" t="e">
        <v>#N/A</v>
      </c>
      <c r="K1039" s="204" t="e">
        <v>#N/A</v>
      </c>
      <c r="L1039" s="204" t="e">
        <v>#N/A</v>
      </c>
      <c r="M1039" s="205" t="e">
        <v>#N/A</v>
      </c>
      <c r="N1039" s="205" t="e">
        <v>#N/A</v>
      </c>
      <c r="O1039" s="205" t="e">
        <v>#N/A</v>
      </c>
      <c r="P1039" s="205" t="e">
        <v>#N/A</v>
      </c>
      <c r="Q1039" s="189" t="e">
        <v>#N/A</v>
      </c>
      <c r="R1039" s="189" t="e">
        <v>#N/A</v>
      </c>
      <c r="S1039" s="205" t="e">
        <v>#N/A</v>
      </c>
      <c r="T1039" s="206"/>
    </row>
    <row r="1040">
      <c r="C1040" s="189" t="e">
        <v>#N/A</v>
      </c>
      <c r="D1040" s="189" t="e">
        <v>#N/A</v>
      </c>
      <c r="E1040" s="189" t="e">
        <v>#N/A</v>
      </c>
      <c r="F1040" s="189" t="e">
        <v>#N/A</v>
      </c>
      <c r="G1040" s="189" t="e">
        <v>#N/A</v>
      </c>
      <c r="H1040" s="189" t="e">
        <v>#N/A</v>
      </c>
      <c r="I1040" s="189" t="e">
        <v>#N/A</v>
      </c>
      <c r="J1040" s="189" t="e">
        <v>#N/A</v>
      </c>
      <c r="K1040" s="204" t="e">
        <v>#N/A</v>
      </c>
      <c r="L1040" s="204" t="e">
        <v>#N/A</v>
      </c>
      <c r="M1040" s="205" t="e">
        <v>#N/A</v>
      </c>
      <c r="N1040" s="205" t="e">
        <v>#N/A</v>
      </c>
      <c r="O1040" s="205" t="e">
        <v>#N/A</v>
      </c>
      <c r="P1040" s="205" t="e">
        <v>#N/A</v>
      </c>
      <c r="Q1040" s="189" t="e">
        <v>#N/A</v>
      </c>
      <c r="R1040" s="189" t="e">
        <v>#N/A</v>
      </c>
      <c r="S1040" s="205" t="e">
        <v>#N/A</v>
      </c>
      <c r="T1040" s="206"/>
    </row>
    <row r="1041">
      <c r="C1041" s="189" t="e">
        <v>#N/A</v>
      </c>
      <c r="D1041" s="189" t="e">
        <v>#N/A</v>
      </c>
      <c r="E1041" s="189" t="e">
        <v>#N/A</v>
      </c>
      <c r="F1041" s="189" t="e">
        <v>#N/A</v>
      </c>
      <c r="G1041" s="189" t="e">
        <v>#N/A</v>
      </c>
      <c r="H1041" s="189" t="e">
        <v>#N/A</v>
      </c>
      <c r="I1041" s="189" t="e">
        <v>#N/A</v>
      </c>
      <c r="J1041" s="189" t="e">
        <v>#N/A</v>
      </c>
      <c r="K1041" s="204" t="e">
        <v>#N/A</v>
      </c>
      <c r="L1041" s="204" t="e">
        <v>#N/A</v>
      </c>
      <c r="M1041" s="205" t="e">
        <v>#N/A</v>
      </c>
      <c r="N1041" s="205" t="e">
        <v>#N/A</v>
      </c>
      <c r="O1041" s="205" t="e">
        <v>#N/A</v>
      </c>
      <c r="P1041" s="205" t="e">
        <v>#N/A</v>
      </c>
      <c r="Q1041" s="189" t="e">
        <v>#N/A</v>
      </c>
      <c r="R1041" s="189" t="e">
        <v>#N/A</v>
      </c>
      <c r="S1041" s="205" t="e">
        <v>#N/A</v>
      </c>
      <c r="T1041" s="206"/>
    </row>
    <row r="1042">
      <c r="C1042" s="189" t="e">
        <v>#N/A</v>
      </c>
      <c r="D1042" s="189" t="e">
        <v>#N/A</v>
      </c>
      <c r="E1042" s="189" t="e">
        <v>#N/A</v>
      </c>
      <c r="F1042" s="189" t="e">
        <v>#N/A</v>
      </c>
      <c r="G1042" s="189" t="e">
        <v>#N/A</v>
      </c>
      <c r="H1042" s="189" t="e">
        <v>#N/A</v>
      </c>
      <c r="I1042" s="189" t="e">
        <v>#N/A</v>
      </c>
      <c r="J1042" s="189" t="e">
        <v>#N/A</v>
      </c>
      <c r="K1042" s="204" t="e">
        <v>#N/A</v>
      </c>
      <c r="L1042" s="204" t="e">
        <v>#N/A</v>
      </c>
      <c r="M1042" s="205" t="e">
        <v>#N/A</v>
      </c>
      <c r="N1042" s="205" t="e">
        <v>#N/A</v>
      </c>
      <c r="O1042" s="205" t="e">
        <v>#N/A</v>
      </c>
      <c r="P1042" s="205" t="e">
        <v>#N/A</v>
      </c>
      <c r="Q1042" s="189" t="e">
        <v>#N/A</v>
      </c>
      <c r="R1042" s="189" t="e">
        <v>#N/A</v>
      </c>
      <c r="S1042" s="205" t="e">
        <v>#N/A</v>
      </c>
      <c r="T1042" s="206"/>
    </row>
    <row r="1043">
      <c r="C1043" s="189" t="e">
        <v>#N/A</v>
      </c>
      <c r="D1043" s="189" t="e">
        <v>#N/A</v>
      </c>
      <c r="E1043" s="189" t="e">
        <v>#N/A</v>
      </c>
      <c r="F1043" s="189" t="e">
        <v>#N/A</v>
      </c>
      <c r="G1043" s="189" t="e">
        <v>#N/A</v>
      </c>
      <c r="H1043" s="189" t="e">
        <v>#N/A</v>
      </c>
      <c r="I1043" s="189" t="e">
        <v>#N/A</v>
      </c>
      <c r="J1043" s="189" t="e">
        <v>#N/A</v>
      </c>
      <c r="K1043" s="204" t="e">
        <v>#N/A</v>
      </c>
      <c r="L1043" s="204" t="e">
        <v>#N/A</v>
      </c>
      <c r="M1043" s="205" t="e">
        <v>#N/A</v>
      </c>
      <c r="N1043" s="205" t="e">
        <v>#N/A</v>
      </c>
      <c r="O1043" s="205" t="e">
        <v>#N/A</v>
      </c>
      <c r="P1043" s="205" t="e">
        <v>#N/A</v>
      </c>
      <c r="Q1043" s="189" t="e">
        <v>#N/A</v>
      </c>
      <c r="R1043" s="189" t="e">
        <v>#N/A</v>
      </c>
      <c r="S1043" s="205" t="e">
        <v>#N/A</v>
      </c>
      <c r="T1043" s="206"/>
    </row>
    <row r="1044">
      <c r="C1044" s="189" t="e">
        <v>#N/A</v>
      </c>
      <c r="D1044" s="189" t="e">
        <v>#N/A</v>
      </c>
      <c r="E1044" s="189" t="e">
        <v>#N/A</v>
      </c>
      <c r="F1044" s="189" t="e">
        <v>#N/A</v>
      </c>
      <c r="G1044" s="189" t="e">
        <v>#N/A</v>
      </c>
      <c r="H1044" s="189" t="e">
        <v>#N/A</v>
      </c>
      <c r="I1044" s="189" t="e">
        <v>#N/A</v>
      </c>
      <c r="J1044" s="189" t="e">
        <v>#N/A</v>
      </c>
      <c r="K1044" s="204" t="e">
        <v>#N/A</v>
      </c>
      <c r="L1044" s="204" t="e">
        <v>#N/A</v>
      </c>
      <c r="M1044" s="205" t="e">
        <v>#N/A</v>
      </c>
      <c r="N1044" s="205" t="e">
        <v>#N/A</v>
      </c>
      <c r="O1044" s="205" t="e">
        <v>#N/A</v>
      </c>
      <c r="P1044" s="205" t="e">
        <v>#N/A</v>
      </c>
      <c r="Q1044" s="189" t="e">
        <v>#N/A</v>
      </c>
      <c r="R1044" s="189" t="e">
        <v>#N/A</v>
      </c>
      <c r="S1044" s="205" t="e">
        <v>#N/A</v>
      </c>
      <c r="T1044" s="206"/>
    </row>
    <row r="1045">
      <c r="C1045" s="189" t="e">
        <v>#N/A</v>
      </c>
      <c r="D1045" s="189" t="e">
        <v>#N/A</v>
      </c>
      <c r="E1045" s="189" t="e">
        <v>#N/A</v>
      </c>
      <c r="F1045" s="189" t="e">
        <v>#N/A</v>
      </c>
      <c r="G1045" s="189" t="e">
        <v>#N/A</v>
      </c>
      <c r="H1045" s="189" t="e">
        <v>#N/A</v>
      </c>
      <c r="I1045" s="189" t="e">
        <v>#N/A</v>
      </c>
      <c r="J1045" s="189" t="e">
        <v>#N/A</v>
      </c>
      <c r="K1045" s="204" t="e">
        <v>#N/A</v>
      </c>
      <c r="L1045" s="204" t="e">
        <v>#N/A</v>
      </c>
      <c r="M1045" s="205" t="e">
        <v>#N/A</v>
      </c>
      <c r="N1045" s="205" t="e">
        <v>#N/A</v>
      </c>
      <c r="O1045" s="205" t="e">
        <v>#N/A</v>
      </c>
      <c r="P1045" s="205" t="e">
        <v>#N/A</v>
      </c>
      <c r="Q1045" s="189" t="e">
        <v>#N/A</v>
      </c>
      <c r="R1045" s="189" t="e">
        <v>#N/A</v>
      </c>
      <c r="S1045" s="205" t="e">
        <v>#N/A</v>
      </c>
      <c r="T1045" s="206"/>
    </row>
    <row r="1046">
      <c r="C1046" s="189" t="e">
        <v>#N/A</v>
      </c>
      <c r="D1046" s="189" t="e">
        <v>#N/A</v>
      </c>
      <c r="E1046" s="189" t="e">
        <v>#N/A</v>
      </c>
      <c r="F1046" s="189" t="e">
        <v>#N/A</v>
      </c>
      <c r="G1046" s="189" t="e">
        <v>#N/A</v>
      </c>
      <c r="H1046" s="189" t="e">
        <v>#N/A</v>
      </c>
      <c r="I1046" s="189" t="e">
        <v>#N/A</v>
      </c>
      <c r="J1046" s="189" t="e">
        <v>#N/A</v>
      </c>
      <c r="K1046" s="204" t="e">
        <v>#N/A</v>
      </c>
      <c r="L1046" s="204" t="e">
        <v>#N/A</v>
      </c>
      <c r="M1046" s="205" t="e">
        <v>#N/A</v>
      </c>
      <c r="N1046" s="205" t="e">
        <v>#N/A</v>
      </c>
      <c r="O1046" s="205" t="e">
        <v>#N/A</v>
      </c>
      <c r="P1046" s="205" t="e">
        <v>#N/A</v>
      </c>
      <c r="Q1046" s="189" t="e">
        <v>#N/A</v>
      </c>
      <c r="R1046" s="189" t="e">
        <v>#N/A</v>
      </c>
      <c r="S1046" s="205" t="e">
        <v>#N/A</v>
      </c>
      <c r="T1046" s="206"/>
    </row>
    <row r="1047">
      <c r="C1047" s="189" t="e">
        <v>#N/A</v>
      </c>
      <c r="D1047" s="189" t="e">
        <v>#N/A</v>
      </c>
      <c r="E1047" s="189" t="e">
        <v>#N/A</v>
      </c>
      <c r="F1047" s="189" t="e">
        <v>#N/A</v>
      </c>
      <c r="G1047" s="189" t="e">
        <v>#N/A</v>
      </c>
      <c r="H1047" s="189" t="e">
        <v>#N/A</v>
      </c>
      <c r="I1047" s="189" t="e">
        <v>#N/A</v>
      </c>
      <c r="J1047" s="189" t="e">
        <v>#N/A</v>
      </c>
      <c r="K1047" s="204" t="e">
        <v>#N/A</v>
      </c>
      <c r="L1047" s="204" t="e">
        <v>#N/A</v>
      </c>
      <c r="M1047" s="205" t="e">
        <v>#N/A</v>
      </c>
      <c r="N1047" s="205" t="e">
        <v>#N/A</v>
      </c>
      <c r="O1047" s="205" t="e">
        <v>#N/A</v>
      </c>
      <c r="P1047" s="205" t="e">
        <v>#N/A</v>
      </c>
      <c r="Q1047" s="189" t="e">
        <v>#N/A</v>
      </c>
      <c r="R1047" s="189" t="e">
        <v>#N/A</v>
      </c>
      <c r="S1047" s="205" t="e">
        <v>#N/A</v>
      </c>
      <c r="T1047" s="206"/>
    </row>
    <row r="1048">
      <c r="C1048" s="189" t="e">
        <v>#N/A</v>
      </c>
      <c r="D1048" s="189" t="e">
        <v>#N/A</v>
      </c>
      <c r="E1048" s="189" t="e">
        <v>#N/A</v>
      </c>
      <c r="F1048" s="189" t="e">
        <v>#N/A</v>
      </c>
      <c r="G1048" s="189" t="e">
        <v>#N/A</v>
      </c>
      <c r="H1048" s="189" t="e">
        <v>#N/A</v>
      </c>
      <c r="I1048" s="189" t="e">
        <v>#N/A</v>
      </c>
      <c r="J1048" s="189" t="e">
        <v>#N/A</v>
      </c>
      <c r="K1048" s="204" t="e">
        <v>#N/A</v>
      </c>
      <c r="L1048" s="204" t="e">
        <v>#N/A</v>
      </c>
      <c r="M1048" s="205" t="e">
        <v>#N/A</v>
      </c>
      <c r="N1048" s="205" t="e">
        <v>#N/A</v>
      </c>
      <c r="O1048" s="205" t="e">
        <v>#N/A</v>
      </c>
      <c r="P1048" s="205" t="e">
        <v>#N/A</v>
      </c>
      <c r="Q1048" s="189" t="e">
        <v>#N/A</v>
      </c>
      <c r="R1048" s="189" t="e">
        <v>#N/A</v>
      </c>
      <c r="S1048" s="205" t="e">
        <v>#N/A</v>
      </c>
      <c r="T1048" s="206"/>
    </row>
    <row r="1049">
      <c r="C1049" s="189" t="e">
        <v>#N/A</v>
      </c>
      <c r="D1049" s="189" t="e">
        <v>#N/A</v>
      </c>
      <c r="E1049" s="189" t="e">
        <v>#N/A</v>
      </c>
      <c r="F1049" s="189" t="e">
        <v>#N/A</v>
      </c>
      <c r="G1049" s="189" t="e">
        <v>#N/A</v>
      </c>
      <c r="H1049" s="189" t="e">
        <v>#N/A</v>
      </c>
      <c r="I1049" s="189" t="e">
        <v>#N/A</v>
      </c>
      <c r="J1049" s="189" t="e">
        <v>#N/A</v>
      </c>
      <c r="K1049" s="204" t="e">
        <v>#N/A</v>
      </c>
      <c r="L1049" s="204" t="e">
        <v>#N/A</v>
      </c>
      <c r="M1049" s="205" t="e">
        <v>#N/A</v>
      </c>
      <c r="N1049" s="205" t="e">
        <v>#N/A</v>
      </c>
      <c r="O1049" s="205" t="e">
        <v>#N/A</v>
      </c>
      <c r="P1049" s="205" t="e">
        <v>#N/A</v>
      </c>
      <c r="Q1049" s="189" t="e">
        <v>#N/A</v>
      </c>
      <c r="R1049" s="189" t="e">
        <v>#N/A</v>
      </c>
      <c r="S1049" s="205" t="e">
        <v>#N/A</v>
      </c>
      <c r="T1049" s="206"/>
    </row>
    <row r="1050">
      <c r="C1050" s="189" t="e">
        <v>#N/A</v>
      </c>
      <c r="D1050" s="189" t="e">
        <v>#N/A</v>
      </c>
      <c r="E1050" s="189" t="e">
        <v>#N/A</v>
      </c>
      <c r="F1050" s="189" t="e">
        <v>#N/A</v>
      </c>
      <c r="G1050" s="189" t="e">
        <v>#N/A</v>
      </c>
      <c r="H1050" s="189" t="e">
        <v>#N/A</v>
      </c>
      <c r="I1050" s="189" t="e">
        <v>#N/A</v>
      </c>
      <c r="J1050" s="189" t="e">
        <v>#N/A</v>
      </c>
      <c r="K1050" s="204" t="e">
        <v>#N/A</v>
      </c>
      <c r="L1050" s="204" t="e">
        <v>#N/A</v>
      </c>
      <c r="M1050" s="205" t="e">
        <v>#N/A</v>
      </c>
      <c r="N1050" s="205" t="e">
        <v>#N/A</v>
      </c>
      <c r="O1050" s="205" t="e">
        <v>#N/A</v>
      </c>
      <c r="P1050" s="205" t="e">
        <v>#N/A</v>
      </c>
      <c r="Q1050" s="189" t="e">
        <v>#N/A</v>
      </c>
      <c r="R1050" s="189" t="e">
        <v>#N/A</v>
      </c>
      <c r="S1050" s="205" t="e">
        <v>#N/A</v>
      </c>
      <c r="T1050" s="206"/>
    </row>
    <row r="1051">
      <c r="C1051" s="189" t="e">
        <v>#N/A</v>
      </c>
      <c r="D1051" s="189" t="e">
        <v>#N/A</v>
      </c>
      <c r="E1051" s="189" t="e">
        <v>#N/A</v>
      </c>
      <c r="F1051" s="189" t="e">
        <v>#N/A</v>
      </c>
      <c r="G1051" s="189" t="e">
        <v>#N/A</v>
      </c>
      <c r="H1051" s="189" t="e">
        <v>#N/A</v>
      </c>
      <c r="I1051" s="189" t="e">
        <v>#N/A</v>
      </c>
      <c r="J1051" s="189" t="e">
        <v>#N/A</v>
      </c>
      <c r="K1051" s="204" t="e">
        <v>#N/A</v>
      </c>
      <c r="L1051" s="204" t="e">
        <v>#N/A</v>
      </c>
      <c r="M1051" s="205" t="e">
        <v>#N/A</v>
      </c>
      <c r="N1051" s="205" t="e">
        <v>#N/A</v>
      </c>
      <c r="O1051" s="205" t="e">
        <v>#N/A</v>
      </c>
      <c r="P1051" s="205" t="e">
        <v>#N/A</v>
      </c>
      <c r="Q1051" s="189" t="e">
        <v>#N/A</v>
      </c>
      <c r="R1051" s="189" t="e">
        <v>#N/A</v>
      </c>
      <c r="S1051" s="205" t="e">
        <v>#N/A</v>
      </c>
      <c r="T1051" s="206"/>
    </row>
    <row r="1052">
      <c r="C1052" s="189" t="e">
        <v>#N/A</v>
      </c>
      <c r="D1052" s="189" t="e">
        <v>#N/A</v>
      </c>
      <c r="E1052" s="189" t="e">
        <v>#N/A</v>
      </c>
      <c r="F1052" s="189" t="e">
        <v>#N/A</v>
      </c>
      <c r="G1052" s="189" t="e">
        <v>#N/A</v>
      </c>
      <c r="H1052" s="189" t="e">
        <v>#N/A</v>
      </c>
      <c r="I1052" s="189" t="e">
        <v>#N/A</v>
      </c>
      <c r="J1052" s="189" t="e">
        <v>#N/A</v>
      </c>
      <c r="K1052" s="204" t="e">
        <v>#N/A</v>
      </c>
      <c r="L1052" s="204" t="e">
        <v>#N/A</v>
      </c>
      <c r="M1052" s="205" t="e">
        <v>#N/A</v>
      </c>
      <c r="N1052" s="205" t="e">
        <v>#N/A</v>
      </c>
      <c r="O1052" s="205" t="e">
        <v>#N/A</v>
      </c>
      <c r="P1052" s="205" t="e">
        <v>#N/A</v>
      </c>
      <c r="Q1052" s="189" t="e">
        <v>#N/A</v>
      </c>
      <c r="R1052" s="189" t="e">
        <v>#N/A</v>
      </c>
      <c r="S1052" s="205" t="e">
        <v>#N/A</v>
      </c>
      <c r="T1052" s="206"/>
    </row>
    <row r="1053">
      <c r="C1053" s="189" t="e">
        <v>#N/A</v>
      </c>
      <c r="D1053" s="189" t="e">
        <v>#N/A</v>
      </c>
      <c r="E1053" s="189" t="e">
        <v>#N/A</v>
      </c>
      <c r="F1053" s="189" t="e">
        <v>#N/A</v>
      </c>
      <c r="G1053" s="189" t="e">
        <v>#N/A</v>
      </c>
      <c r="H1053" s="189" t="e">
        <v>#N/A</v>
      </c>
      <c r="I1053" s="189" t="e">
        <v>#N/A</v>
      </c>
      <c r="J1053" s="189" t="e">
        <v>#N/A</v>
      </c>
      <c r="K1053" s="204" t="e">
        <v>#N/A</v>
      </c>
      <c r="L1053" s="204" t="e">
        <v>#N/A</v>
      </c>
      <c r="M1053" s="205" t="e">
        <v>#N/A</v>
      </c>
      <c r="N1053" s="205" t="e">
        <v>#N/A</v>
      </c>
      <c r="O1053" s="205" t="e">
        <v>#N/A</v>
      </c>
      <c r="P1053" s="205" t="e">
        <v>#N/A</v>
      </c>
      <c r="Q1053" s="189" t="e">
        <v>#N/A</v>
      </c>
      <c r="R1053" s="189" t="e">
        <v>#N/A</v>
      </c>
      <c r="S1053" s="205" t="e">
        <v>#N/A</v>
      </c>
      <c r="T1053" s="206"/>
    </row>
    <row r="1054">
      <c r="C1054" s="189" t="e">
        <v>#N/A</v>
      </c>
      <c r="D1054" s="189" t="e">
        <v>#N/A</v>
      </c>
      <c r="E1054" s="189" t="e">
        <v>#N/A</v>
      </c>
      <c r="F1054" s="189" t="e">
        <v>#N/A</v>
      </c>
      <c r="G1054" s="189" t="e">
        <v>#N/A</v>
      </c>
      <c r="H1054" s="189" t="e">
        <v>#N/A</v>
      </c>
      <c r="I1054" s="189" t="e">
        <v>#N/A</v>
      </c>
      <c r="J1054" s="189" t="e">
        <v>#N/A</v>
      </c>
      <c r="K1054" s="204" t="e">
        <v>#N/A</v>
      </c>
      <c r="L1054" s="204" t="e">
        <v>#N/A</v>
      </c>
      <c r="M1054" s="205" t="e">
        <v>#N/A</v>
      </c>
      <c r="N1054" s="205" t="e">
        <v>#N/A</v>
      </c>
      <c r="O1054" s="205" t="e">
        <v>#N/A</v>
      </c>
      <c r="P1054" s="205" t="e">
        <v>#N/A</v>
      </c>
      <c r="Q1054" s="189" t="e">
        <v>#N/A</v>
      </c>
      <c r="R1054" s="189" t="e">
        <v>#N/A</v>
      </c>
      <c r="S1054" s="205" t="e">
        <v>#N/A</v>
      </c>
      <c r="T1054" s="206"/>
    </row>
    <row r="1055">
      <c r="C1055" s="189" t="e">
        <v>#N/A</v>
      </c>
      <c r="D1055" s="189" t="e">
        <v>#N/A</v>
      </c>
      <c r="E1055" s="189" t="e">
        <v>#N/A</v>
      </c>
      <c r="F1055" s="189" t="e">
        <v>#N/A</v>
      </c>
      <c r="G1055" s="189" t="e">
        <v>#N/A</v>
      </c>
      <c r="H1055" s="189" t="e">
        <v>#N/A</v>
      </c>
      <c r="I1055" s="189" t="e">
        <v>#N/A</v>
      </c>
      <c r="J1055" s="189" t="e">
        <v>#N/A</v>
      </c>
      <c r="K1055" s="204" t="e">
        <v>#N/A</v>
      </c>
      <c r="L1055" s="204" t="e">
        <v>#N/A</v>
      </c>
      <c r="M1055" s="205" t="e">
        <v>#N/A</v>
      </c>
      <c r="N1055" s="205" t="e">
        <v>#N/A</v>
      </c>
      <c r="O1055" s="205" t="e">
        <v>#N/A</v>
      </c>
      <c r="P1055" s="205" t="e">
        <v>#N/A</v>
      </c>
      <c r="Q1055" s="189" t="e">
        <v>#N/A</v>
      </c>
      <c r="R1055" s="189" t="e">
        <v>#N/A</v>
      </c>
      <c r="S1055" s="205" t="e">
        <v>#N/A</v>
      </c>
      <c r="T1055" s="206"/>
    </row>
    <row r="1056">
      <c r="C1056" s="189" t="e">
        <v>#N/A</v>
      </c>
      <c r="D1056" s="189" t="e">
        <v>#N/A</v>
      </c>
      <c r="E1056" s="189" t="e">
        <v>#N/A</v>
      </c>
      <c r="F1056" s="189" t="e">
        <v>#N/A</v>
      </c>
      <c r="G1056" s="189" t="e">
        <v>#N/A</v>
      </c>
      <c r="H1056" s="189" t="e">
        <v>#N/A</v>
      </c>
      <c r="I1056" s="189" t="e">
        <v>#N/A</v>
      </c>
      <c r="J1056" s="189" t="e">
        <v>#N/A</v>
      </c>
      <c r="K1056" s="204" t="e">
        <v>#N/A</v>
      </c>
      <c r="L1056" s="204" t="e">
        <v>#N/A</v>
      </c>
      <c r="M1056" s="205" t="e">
        <v>#N/A</v>
      </c>
      <c r="N1056" s="205" t="e">
        <v>#N/A</v>
      </c>
      <c r="O1056" s="205" t="e">
        <v>#N/A</v>
      </c>
      <c r="P1056" s="205" t="e">
        <v>#N/A</v>
      </c>
      <c r="Q1056" s="189" t="e">
        <v>#N/A</v>
      </c>
      <c r="R1056" s="189" t="e">
        <v>#N/A</v>
      </c>
      <c r="S1056" s="205" t="e">
        <v>#N/A</v>
      </c>
      <c r="T1056" s="206"/>
    </row>
    <row r="1057">
      <c r="C1057" s="189" t="e">
        <v>#N/A</v>
      </c>
      <c r="D1057" s="189" t="e">
        <v>#N/A</v>
      </c>
      <c r="E1057" s="189" t="e">
        <v>#N/A</v>
      </c>
      <c r="F1057" s="189" t="e">
        <v>#N/A</v>
      </c>
      <c r="G1057" s="189" t="e">
        <v>#N/A</v>
      </c>
      <c r="H1057" s="189" t="e">
        <v>#N/A</v>
      </c>
      <c r="I1057" s="189" t="e">
        <v>#N/A</v>
      </c>
      <c r="J1057" s="189" t="e">
        <v>#N/A</v>
      </c>
      <c r="K1057" s="204" t="e">
        <v>#N/A</v>
      </c>
      <c r="L1057" s="204" t="e">
        <v>#N/A</v>
      </c>
      <c r="M1057" s="205" t="e">
        <v>#N/A</v>
      </c>
      <c r="N1057" s="205" t="e">
        <v>#N/A</v>
      </c>
      <c r="O1057" s="205" t="e">
        <v>#N/A</v>
      </c>
      <c r="P1057" s="205" t="e">
        <v>#N/A</v>
      </c>
      <c r="Q1057" s="189" t="e">
        <v>#N/A</v>
      </c>
      <c r="R1057" s="189" t="e">
        <v>#N/A</v>
      </c>
      <c r="S1057" s="205" t="e">
        <v>#N/A</v>
      </c>
      <c r="T1057" s="206"/>
    </row>
    <row r="1058">
      <c r="C1058" s="189" t="e">
        <v>#N/A</v>
      </c>
      <c r="D1058" s="189" t="e">
        <v>#N/A</v>
      </c>
      <c r="E1058" s="189" t="e">
        <v>#N/A</v>
      </c>
      <c r="F1058" s="189" t="e">
        <v>#N/A</v>
      </c>
      <c r="G1058" s="189" t="e">
        <v>#N/A</v>
      </c>
      <c r="H1058" s="189" t="e">
        <v>#N/A</v>
      </c>
      <c r="I1058" s="189" t="e">
        <v>#N/A</v>
      </c>
      <c r="J1058" s="189" t="e">
        <v>#N/A</v>
      </c>
      <c r="K1058" s="204" t="e">
        <v>#N/A</v>
      </c>
      <c r="L1058" s="204" t="e">
        <v>#N/A</v>
      </c>
      <c r="M1058" s="205" t="e">
        <v>#N/A</v>
      </c>
      <c r="N1058" s="205" t="e">
        <v>#N/A</v>
      </c>
      <c r="O1058" s="205" t="e">
        <v>#N/A</v>
      </c>
      <c r="P1058" s="205" t="e">
        <v>#N/A</v>
      </c>
      <c r="Q1058" s="189" t="e">
        <v>#N/A</v>
      </c>
      <c r="R1058" s="189" t="e">
        <v>#N/A</v>
      </c>
      <c r="S1058" s="205" t="e">
        <v>#N/A</v>
      </c>
      <c r="T1058" s="206"/>
    </row>
    <row r="1059">
      <c r="C1059" s="189" t="e">
        <v>#N/A</v>
      </c>
      <c r="D1059" s="189" t="e">
        <v>#N/A</v>
      </c>
      <c r="E1059" s="189" t="e">
        <v>#N/A</v>
      </c>
      <c r="F1059" s="189" t="e">
        <v>#N/A</v>
      </c>
      <c r="G1059" s="189" t="e">
        <v>#N/A</v>
      </c>
      <c r="H1059" s="189" t="e">
        <v>#N/A</v>
      </c>
      <c r="I1059" s="189" t="e">
        <v>#N/A</v>
      </c>
      <c r="J1059" s="189" t="e">
        <v>#N/A</v>
      </c>
      <c r="K1059" s="204" t="e">
        <v>#N/A</v>
      </c>
      <c r="L1059" s="204" t="e">
        <v>#N/A</v>
      </c>
      <c r="M1059" s="205" t="e">
        <v>#N/A</v>
      </c>
      <c r="N1059" s="205" t="e">
        <v>#N/A</v>
      </c>
      <c r="O1059" s="205" t="e">
        <v>#N/A</v>
      </c>
      <c r="P1059" s="205" t="e">
        <v>#N/A</v>
      </c>
      <c r="Q1059" s="189" t="e">
        <v>#N/A</v>
      </c>
      <c r="R1059" s="189" t="e">
        <v>#N/A</v>
      </c>
      <c r="S1059" s="205" t="e">
        <v>#N/A</v>
      </c>
      <c r="T1059" s="206"/>
    </row>
    <row r="1060">
      <c r="C1060" s="189" t="e">
        <v>#N/A</v>
      </c>
      <c r="D1060" s="189" t="e">
        <v>#N/A</v>
      </c>
      <c r="E1060" s="189" t="e">
        <v>#N/A</v>
      </c>
      <c r="F1060" s="189" t="e">
        <v>#N/A</v>
      </c>
      <c r="G1060" s="189" t="e">
        <v>#N/A</v>
      </c>
      <c r="H1060" s="189" t="e">
        <v>#N/A</v>
      </c>
      <c r="I1060" s="189" t="e">
        <v>#N/A</v>
      </c>
      <c r="J1060" s="189" t="e">
        <v>#N/A</v>
      </c>
      <c r="K1060" s="204" t="e">
        <v>#N/A</v>
      </c>
      <c r="L1060" s="204" t="e">
        <v>#N/A</v>
      </c>
      <c r="M1060" s="205" t="e">
        <v>#N/A</v>
      </c>
      <c r="N1060" s="205" t="e">
        <v>#N/A</v>
      </c>
      <c r="O1060" s="205" t="e">
        <v>#N/A</v>
      </c>
      <c r="P1060" s="205" t="e">
        <v>#N/A</v>
      </c>
      <c r="Q1060" s="189" t="e">
        <v>#N/A</v>
      </c>
      <c r="R1060" s="189" t="e">
        <v>#N/A</v>
      </c>
      <c r="S1060" s="205" t="e">
        <v>#N/A</v>
      </c>
      <c r="T1060" s="206"/>
    </row>
    <row r="1061">
      <c r="C1061" s="189" t="e">
        <v>#N/A</v>
      </c>
      <c r="D1061" s="189" t="e">
        <v>#N/A</v>
      </c>
      <c r="E1061" s="189" t="e">
        <v>#N/A</v>
      </c>
      <c r="F1061" s="189" t="e">
        <v>#N/A</v>
      </c>
      <c r="G1061" s="189" t="e">
        <v>#N/A</v>
      </c>
      <c r="H1061" s="189" t="e">
        <v>#N/A</v>
      </c>
      <c r="I1061" s="189" t="e">
        <v>#N/A</v>
      </c>
      <c r="J1061" s="189" t="e">
        <v>#N/A</v>
      </c>
      <c r="K1061" s="204" t="e">
        <v>#N/A</v>
      </c>
      <c r="L1061" s="204" t="e">
        <v>#N/A</v>
      </c>
      <c r="M1061" s="205" t="e">
        <v>#N/A</v>
      </c>
      <c r="N1061" s="205" t="e">
        <v>#N/A</v>
      </c>
      <c r="O1061" s="205" t="e">
        <v>#N/A</v>
      </c>
      <c r="P1061" s="205" t="e">
        <v>#N/A</v>
      </c>
      <c r="Q1061" s="189" t="e">
        <v>#N/A</v>
      </c>
      <c r="R1061" s="189" t="e">
        <v>#N/A</v>
      </c>
      <c r="S1061" s="205" t="e">
        <v>#N/A</v>
      </c>
      <c r="T1061" s="206"/>
    </row>
    <row r="1062">
      <c r="C1062" s="189" t="e">
        <v>#N/A</v>
      </c>
      <c r="D1062" s="189" t="e">
        <v>#N/A</v>
      </c>
      <c r="E1062" s="189" t="e">
        <v>#N/A</v>
      </c>
      <c r="F1062" s="189" t="e">
        <v>#N/A</v>
      </c>
      <c r="G1062" s="189" t="e">
        <v>#N/A</v>
      </c>
      <c r="H1062" s="189" t="e">
        <v>#N/A</v>
      </c>
      <c r="I1062" s="189" t="e">
        <v>#N/A</v>
      </c>
      <c r="J1062" s="189" t="e">
        <v>#N/A</v>
      </c>
      <c r="K1062" s="204" t="e">
        <v>#N/A</v>
      </c>
      <c r="L1062" s="204" t="e">
        <v>#N/A</v>
      </c>
      <c r="M1062" s="205" t="e">
        <v>#N/A</v>
      </c>
      <c r="N1062" s="205" t="e">
        <v>#N/A</v>
      </c>
      <c r="O1062" s="205" t="e">
        <v>#N/A</v>
      </c>
      <c r="P1062" s="205" t="e">
        <v>#N/A</v>
      </c>
      <c r="Q1062" s="189" t="e">
        <v>#N/A</v>
      </c>
      <c r="R1062" s="189" t="e">
        <v>#N/A</v>
      </c>
      <c r="S1062" s="205" t="e">
        <v>#N/A</v>
      </c>
      <c r="T1062" s="206"/>
    </row>
    <row r="1063">
      <c r="C1063" s="189" t="e">
        <v>#N/A</v>
      </c>
      <c r="D1063" s="189" t="e">
        <v>#N/A</v>
      </c>
      <c r="E1063" s="189" t="e">
        <v>#N/A</v>
      </c>
      <c r="F1063" s="189" t="e">
        <v>#N/A</v>
      </c>
      <c r="G1063" s="189" t="e">
        <v>#N/A</v>
      </c>
      <c r="H1063" s="189" t="e">
        <v>#N/A</v>
      </c>
      <c r="I1063" s="189" t="e">
        <v>#N/A</v>
      </c>
      <c r="J1063" s="189" t="e">
        <v>#N/A</v>
      </c>
      <c r="K1063" s="204" t="e">
        <v>#N/A</v>
      </c>
      <c r="L1063" s="204" t="e">
        <v>#N/A</v>
      </c>
      <c r="M1063" s="205" t="e">
        <v>#N/A</v>
      </c>
      <c r="N1063" s="205" t="e">
        <v>#N/A</v>
      </c>
      <c r="O1063" s="205" t="e">
        <v>#N/A</v>
      </c>
      <c r="P1063" s="205" t="e">
        <v>#N/A</v>
      </c>
      <c r="Q1063" s="189" t="e">
        <v>#N/A</v>
      </c>
      <c r="R1063" s="189" t="e">
        <v>#N/A</v>
      </c>
      <c r="S1063" s="205" t="e">
        <v>#N/A</v>
      </c>
      <c r="T1063" s="206"/>
    </row>
    <row r="1064">
      <c r="C1064" s="189" t="e">
        <v>#N/A</v>
      </c>
      <c r="D1064" s="189" t="e">
        <v>#N/A</v>
      </c>
      <c r="E1064" s="189" t="e">
        <v>#N/A</v>
      </c>
      <c r="F1064" s="189" t="e">
        <v>#N/A</v>
      </c>
      <c r="G1064" s="189" t="e">
        <v>#N/A</v>
      </c>
      <c r="H1064" s="189" t="e">
        <v>#N/A</v>
      </c>
      <c r="I1064" s="189" t="e">
        <v>#N/A</v>
      </c>
      <c r="J1064" s="189" t="e">
        <v>#N/A</v>
      </c>
      <c r="K1064" s="204" t="e">
        <v>#N/A</v>
      </c>
      <c r="L1064" s="204" t="e">
        <v>#N/A</v>
      </c>
      <c r="M1064" s="205" t="e">
        <v>#N/A</v>
      </c>
      <c r="N1064" s="205" t="e">
        <v>#N/A</v>
      </c>
      <c r="O1064" s="205" t="e">
        <v>#N/A</v>
      </c>
      <c r="P1064" s="205" t="e">
        <v>#N/A</v>
      </c>
      <c r="Q1064" s="189" t="e">
        <v>#N/A</v>
      </c>
      <c r="R1064" s="189" t="e">
        <v>#N/A</v>
      </c>
      <c r="S1064" s="205" t="e">
        <v>#N/A</v>
      </c>
      <c r="T1064" s="206"/>
    </row>
    <row r="1065">
      <c r="C1065" s="189" t="e">
        <v>#N/A</v>
      </c>
      <c r="D1065" s="189" t="e">
        <v>#N/A</v>
      </c>
      <c r="E1065" s="189" t="e">
        <v>#N/A</v>
      </c>
      <c r="F1065" s="189" t="e">
        <v>#N/A</v>
      </c>
      <c r="G1065" s="189" t="e">
        <v>#N/A</v>
      </c>
      <c r="H1065" s="189" t="e">
        <v>#N/A</v>
      </c>
      <c r="I1065" s="189" t="e">
        <v>#N/A</v>
      </c>
      <c r="J1065" s="189" t="e">
        <v>#N/A</v>
      </c>
      <c r="K1065" s="204" t="e">
        <v>#N/A</v>
      </c>
      <c r="L1065" s="204" t="e">
        <v>#N/A</v>
      </c>
      <c r="M1065" s="205" t="e">
        <v>#N/A</v>
      </c>
      <c r="N1065" s="205" t="e">
        <v>#N/A</v>
      </c>
      <c r="O1065" s="205" t="e">
        <v>#N/A</v>
      </c>
      <c r="P1065" s="205" t="e">
        <v>#N/A</v>
      </c>
      <c r="Q1065" s="189" t="e">
        <v>#N/A</v>
      </c>
      <c r="R1065" s="189" t="e">
        <v>#N/A</v>
      </c>
      <c r="S1065" s="205" t="e">
        <v>#N/A</v>
      </c>
      <c r="T1065" s="206"/>
    </row>
    <row r="1066">
      <c r="C1066" s="189" t="e">
        <v>#N/A</v>
      </c>
      <c r="D1066" s="189" t="e">
        <v>#N/A</v>
      </c>
      <c r="E1066" s="189" t="e">
        <v>#N/A</v>
      </c>
      <c r="F1066" s="189" t="e">
        <v>#N/A</v>
      </c>
      <c r="G1066" s="189" t="e">
        <v>#N/A</v>
      </c>
      <c r="H1066" s="189" t="e">
        <v>#N/A</v>
      </c>
      <c r="I1066" s="189" t="e">
        <v>#N/A</v>
      </c>
      <c r="J1066" s="189" t="e">
        <v>#N/A</v>
      </c>
      <c r="K1066" s="204" t="e">
        <v>#N/A</v>
      </c>
      <c r="L1066" s="204" t="e">
        <v>#N/A</v>
      </c>
      <c r="M1066" s="205" t="e">
        <v>#N/A</v>
      </c>
      <c r="N1066" s="205" t="e">
        <v>#N/A</v>
      </c>
      <c r="O1066" s="205" t="e">
        <v>#N/A</v>
      </c>
      <c r="P1066" s="205" t="e">
        <v>#N/A</v>
      </c>
      <c r="Q1066" s="189" t="e">
        <v>#N/A</v>
      </c>
      <c r="R1066" s="189" t="e">
        <v>#N/A</v>
      </c>
      <c r="S1066" s="205" t="e">
        <v>#N/A</v>
      </c>
      <c r="T1066" s="206"/>
    </row>
    <row r="1067">
      <c r="C1067" s="189" t="e">
        <v>#N/A</v>
      </c>
      <c r="D1067" s="189" t="e">
        <v>#N/A</v>
      </c>
      <c r="E1067" s="189" t="e">
        <v>#N/A</v>
      </c>
      <c r="F1067" s="189" t="e">
        <v>#N/A</v>
      </c>
      <c r="G1067" s="189" t="e">
        <v>#N/A</v>
      </c>
      <c r="H1067" s="189" t="e">
        <v>#N/A</v>
      </c>
      <c r="I1067" s="189" t="e">
        <v>#N/A</v>
      </c>
      <c r="J1067" s="189" t="e">
        <v>#N/A</v>
      </c>
      <c r="K1067" s="204" t="e">
        <v>#N/A</v>
      </c>
      <c r="L1067" s="204" t="e">
        <v>#N/A</v>
      </c>
      <c r="M1067" s="205" t="e">
        <v>#N/A</v>
      </c>
      <c r="N1067" s="205" t="e">
        <v>#N/A</v>
      </c>
      <c r="O1067" s="205" t="e">
        <v>#N/A</v>
      </c>
      <c r="P1067" s="205" t="e">
        <v>#N/A</v>
      </c>
      <c r="Q1067" s="189" t="e">
        <v>#N/A</v>
      </c>
      <c r="R1067" s="189" t="e">
        <v>#N/A</v>
      </c>
      <c r="S1067" s="205" t="e">
        <v>#N/A</v>
      </c>
      <c r="T1067" s="206"/>
    </row>
    <row r="1068">
      <c r="C1068" s="189" t="e">
        <v>#N/A</v>
      </c>
      <c r="D1068" s="189" t="e">
        <v>#N/A</v>
      </c>
      <c r="E1068" s="189" t="e">
        <v>#N/A</v>
      </c>
      <c r="F1068" s="189" t="e">
        <v>#N/A</v>
      </c>
      <c r="G1068" s="189" t="e">
        <v>#N/A</v>
      </c>
      <c r="H1068" s="189" t="e">
        <v>#N/A</v>
      </c>
      <c r="I1068" s="189" t="e">
        <v>#N/A</v>
      </c>
      <c r="J1068" s="189" t="e">
        <v>#N/A</v>
      </c>
      <c r="K1068" s="204" t="e">
        <v>#N/A</v>
      </c>
      <c r="L1068" s="204" t="e">
        <v>#N/A</v>
      </c>
      <c r="M1068" s="205" t="e">
        <v>#N/A</v>
      </c>
      <c r="N1068" s="205" t="e">
        <v>#N/A</v>
      </c>
      <c r="O1068" s="205" t="e">
        <v>#N/A</v>
      </c>
      <c r="P1068" s="205" t="e">
        <v>#N/A</v>
      </c>
      <c r="Q1068" s="189" t="e">
        <v>#N/A</v>
      </c>
      <c r="R1068" s="189" t="e">
        <v>#N/A</v>
      </c>
      <c r="S1068" s="205" t="e">
        <v>#N/A</v>
      </c>
      <c r="T1068" s="206"/>
    </row>
    <row r="1069">
      <c r="C1069" s="189" t="e">
        <v>#N/A</v>
      </c>
      <c r="D1069" s="189" t="e">
        <v>#N/A</v>
      </c>
      <c r="E1069" s="189" t="e">
        <v>#N/A</v>
      </c>
      <c r="F1069" s="189" t="e">
        <v>#N/A</v>
      </c>
      <c r="G1069" s="189" t="e">
        <v>#N/A</v>
      </c>
      <c r="H1069" s="189" t="e">
        <v>#N/A</v>
      </c>
      <c r="I1069" s="189" t="e">
        <v>#N/A</v>
      </c>
      <c r="J1069" s="189" t="e">
        <v>#N/A</v>
      </c>
      <c r="K1069" s="204" t="e">
        <v>#N/A</v>
      </c>
      <c r="L1069" s="204" t="e">
        <v>#N/A</v>
      </c>
      <c r="M1069" s="205" t="e">
        <v>#N/A</v>
      </c>
      <c r="N1069" s="205" t="e">
        <v>#N/A</v>
      </c>
      <c r="O1069" s="205" t="e">
        <v>#N/A</v>
      </c>
      <c r="P1069" s="205" t="e">
        <v>#N/A</v>
      </c>
      <c r="Q1069" s="189" t="e">
        <v>#N/A</v>
      </c>
      <c r="R1069" s="189" t="e">
        <v>#N/A</v>
      </c>
      <c r="S1069" s="205" t="e">
        <v>#N/A</v>
      </c>
      <c r="T1069" s="206"/>
    </row>
    <row r="1070">
      <c r="C1070" s="189" t="e">
        <v>#N/A</v>
      </c>
      <c r="D1070" s="189" t="e">
        <v>#N/A</v>
      </c>
      <c r="E1070" s="189" t="e">
        <v>#N/A</v>
      </c>
      <c r="F1070" s="189" t="e">
        <v>#N/A</v>
      </c>
      <c r="G1070" s="189" t="e">
        <v>#N/A</v>
      </c>
      <c r="H1070" s="189" t="e">
        <v>#N/A</v>
      </c>
      <c r="I1070" s="189" t="e">
        <v>#N/A</v>
      </c>
      <c r="J1070" s="189" t="e">
        <v>#N/A</v>
      </c>
      <c r="K1070" s="204" t="e">
        <v>#N/A</v>
      </c>
      <c r="L1070" s="204" t="e">
        <v>#N/A</v>
      </c>
      <c r="M1070" s="205" t="e">
        <v>#N/A</v>
      </c>
      <c r="N1070" s="205" t="e">
        <v>#N/A</v>
      </c>
      <c r="O1070" s="205" t="e">
        <v>#N/A</v>
      </c>
      <c r="P1070" s="205" t="e">
        <v>#N/A</v>
      </c>
      <c r="Q1070" s="189" t="e">
        <v>#N/A</v>
      </c>
      <c r="R1070" s="189" t="e">
        <v>#N/A</v>
      </c>
      <c r="S1070" s="205" t="e">
        <v>#N/A</v>
      </c>
      <c r="T1070" s="206"/>
    </row>
    <row r="1071">
      <c r="C1071" s="189" t="e">
        <v>#N/A</v>
      </c>
      <c r="D1071" s="189" t="e">
        <v>#N/A</v>
      </c>
      <c r="E1071" s="189" t="e">
        <v>#N/A</v>
      </c>
      <c r="F1071" s="189" t="e">
        <v>#N/A</v>
      </c>
      <c r="G1071" s="189" t="e">
        <v>#N/A</v>
      </c>
      <c r="H1071" s="189" t="e">
        <v>#N/A</v>
      </c>
      <c r="I1071" s="189" t="e">
        <v>#N/A</v>
      </c>
      <c r="J1071" s="189" t="e">
        <v>#N/A</v>
      </c>
      <c r="K1071" s="204" t="e">
        <v>#N/A</v>
      </c>
      <c r="L1071" s="204" t="e">
        <v>#N/A</v>
      </c>
      <c r="M1071" s="205" t="e">
        <v>#N/A</v>
      </c>
      <c r="N1071" s="205" t="e">
        <v>#N/A</v>
      </c>
      <c r="O1071" s="205" t="e">
        <v>#N/A</v>
      </c>
      <c r="P1071" s="205" t="e">
        <v>#N/A</v>
      </c>
      <c r="Q1071" s="189" t="e">
        <v>#N/A</v>
      </c>
      <c r="R1071" s="189" t="e">
        <v>#N/A</v>
      </c>
      <c r="S1071" s="205" t="e">
        <v>#N/A</v>
      </c>
      <c r="T1071" s="206"/>
    </row>
    <row r="1072">
      <c r="C1072" s="189" t="e">
        <v>#N/A</v>
      </c>
      <c r="D1072" s="189" t="e">
        <v>#N/A</v>
      </c>
      <c r="E1072" s="189" t="e">
        <v>#N/A</v>
      </c>
      <c r="F1072" s="189" t="e">
        <v>#N/A</v>
      </c>
      <c r="G1072" s="189" t="e">
        <v>#N/A</v>
      </c>
      <c r="H1072" s="189" t="e">
        <v>#N/A</v>
      </c>
      <c r="I1072" s="189" t="e">
        <v>#N/A</v>
      </c>
      <c r="J1072" s="189" t="e">
        <v>#N/A</v>
      </c>
      <c r="K1072" s="204" t="e">
        <v>#N/A</v>
      </c>
      <c r="L1072" s="204" t="e">
        <v>#N/A</v>
      </c>
      <c r="M1072" s="205" t="e">
        <v>#N/A</v>
      </c>
      <c r="N1072" s="205" t="e">
        <v>#N/A</v>
      </c>
      <c r="O1072" s="205" t="e">
        <v>#N/A</v>
      </c>
      <c r="P1072" s="205" t="e">
        <v>#N/A</v>
      </c>
      <c r="Q1072" s="189" t="e">
        <v>#N/A</v>
      </c>
      <c r="R1072" s="189" t="e">
        <v>#N/A</v>
      </c>
      <c r="S1072" s="205" t="e">
        <v>#N/A</v>
      </c>
      <c r="T1072" s="206"/>
    </row>
    <row r="1073">
      <c r="C1073" s="189" t="e">
        <v>#N/A</v>
      </c>
      <c r="D1073" s="189" t="e">
        <v>#N/A</v>
      </c>
      <c r="E1073" s="189" t="e">
        <v>#N/A</v>
      </c>
      <c r="F1073" s="189" t="e">
        <v>#N/A</v>
      </c>
      <c r="G1073" s="189" t="e">
        <v>#N/A</v>
      </c>
      <c r="H1073" s="189" t="e">
        <v>#N/A</v>
      </c>
      <c r="I1073" s="189" t="e">
        <v>#N/A</v>
      </c>
      <c r="J1073" s="189" t="e">
        <v>#N/A</v>
      </c>
      <c r="K1073" s="204" t="e">
        <v>#N/A</v>
      </c>
      <c r="L1073" s="204" t="e">
        <v>#N/A</v>
      </c>
      <c r="M1073" s="205" t="e">
        <v>#N/A</v>
      </c>
      <c r="N1073" s="205" t="e">
        <v>#N/A</v>
      </c>
      <c r="O1073" s="205" t="e">
        <v>#N/A</v>
      </c>
      <c r="P1073" s="205" t="e">
        <v>#N/A</v>
      </c>
      <c r="Q1073" s="189" t="e">
        <v>#N/A</v>
      </c>
      <c r="R1073" s="189" t="e">
        <v>#N/A</v>
      </c>
      <c r="S1073" s="205" t="e">
        <v>#N/A</v>
      </c>
      <c r="T1073" s="206"/>
    </row>
    <row r="1074">
      <c r="C1074" s="189" t="e">
        <v>#N/A</v>
      </c>
      <c r="D1074" s="189" t="e">
        <v>#N/A</v>
      </c>
      <c r="E1074" s="189" t="e">
        <v>#N/A</v>
      </c>
      <c r="F1074" s="189" t="e">
        <v>#N/A</v>
      </c>
      <c r="G1074" s="189" t="e">
        <v>#N/A</v>
      </c>
      <c r="H1074" s="189" t="e">
        <v>#N/A</v>
      </c>
      <c r="I1074" s="189" t="e">
        <v>#N/A</v>
      </c>
      <c r="J1074" s="189" t="e">
        <v>#N/A</v>
      </c>
      <c r="K1074" s="204" t="e">
        <v>#N/A</v>
      </c>
      <c r="L1074" s="204" t="e">
        <v>#N/A</v>
      </c>
      <c r="M1074" s="205" t="e">
        <v>#N/A</v>
      </c>
      <c r="N1074" s="205" t="e">
        <v>#N/A</v>
      </c>
      <c r="O1074" s="205" t="e">
        <v>#N/A</v>
      </c>
      <c r="P1074" s="205" t="e">
        <v>#N/A</v>
      </c>
      <c r="Q1074" s="189" t="e">
        <v>#N/A</v>
      </c>
      <c r="R1074" s="189" t="e">
        <v>#N/A</v>
      </c>
      <c r="S1074" s="205" t="e">
        <v>#N/A</v>
      </c>
      <c r="T1074" s="206"/>
    </row>
    <row r="1075">
      <c r="C1075" s="189" t="e">
        <v>#N/A</v>
      </c>
      <c r="D1075" s="189" t="e">
        <v>#N/A</v>
      </c>
      <c r="E1075" s="189" t="e">
        <v>#N/A</v>
      </c>
      <c r="F1075" s="189" t="e">
        <v>#N/A</v>
      </c>
      <c r="G1075" s="189" t="e">
        <v>#N/A</v>
      </c>
      <c r="H1075" s="189" t="e">
        <v>#N/A</v>
      </c>
      <c r="I1075" s="189" t="e">
        <v>#N/A</v>
      </c>
      <c r="J1075" s="189" t="e">
        <v>#N/A</v>
      </c>
      <c r="K1075" s="204" t="e">
        <v>#N/A</v>
      </c>
      <c r="L1075" s="204" t="e">
        <v>#N/A</v>
      </c>
      <c r="M1075" s="205" t="e">
        <v>#N/A</v>
      </c>
      <c r="N1075" s="205" t="e">
        <v>#N/A</v>
      </c>
      <c r="O1075" s="205" t="e">
        <v>#N/A</v>
      </c>
      <c r="P1075" s="205" t="e">
        <v>#N/A</v>
      </c>
      <c r="Q1075" s="189" t="e">
        <v>#N/A</v>
      </c>
      <c r="R1075" s="189" t="e">
        <v>#N/A</v>
      </c>
      <c r="S1075" s="205" t="e">
        <v>#N/A</v>
      </c>
      <c r="T1075" s="206"/>
    </row>
    <row r="1076">
      <c r="C1076" s="189" t="e">
        <v>#N/A</v>
      </c>
      <c r="D1076" s="189" t="e">
        <v>#N/A</v>
      </c>
      <c r="E1076" s="189" t="e">
        <v>#N/A</v>
      </c>
      <c r="F1076" s="189" t="e">
        <v>#N/A</v>
      </c>
      <c r="G1076" s="189" t="e">
        <v>#N/A</v>
      </c>
      <c r="H1076" s="189" t="e">
        <v>#N/A</v>
      </c>
      <c r="I1076" s="189" t="e">
        <v>#N/A</v>
      </c>
      <c r="J1076" s="189" t="e">
        <v>#N/A</v>
      </c>
      <c r="K1076" s="204" t="e">
        <v>#N/A</v>
      </c>
      <c r="L1076" s="204" t="e">
        <v>#N/A</v>
      </c>
      <c r="M1076" s="205" t="e">
        <v>#N/A</v>
      </c>
      <c r="N1076" s="205" t="e">
        <v>#N/A</v>
      </c>
      <c r="O1076" s="205" t="e">
        <v>#N/A</v>
      </c>
      <c r="P1076" s="205" t="e">
        <v>#N/A</v>
      </c>
      <c r="Q1076" s="189" t="e">
        <v>#N/A</v>
      </c>
      <c r="R1076" s="189" t="e">
        <v>#N/A</v>
      </c>
      <c r="S1076" s="205" t="e">
        <v>#N/A</v>
      </c>
      <c r="T1076" s="206"/>
    </row>
    <row r="1077">
      <c r="C1077" s="189" t="e">
        <v>#N/A</v>
      </c>
      <c r="D1077" s="189" t="e">
        <v>#N/A</v>
      </c>
      <c r="E1077" s="189" t="e">
        <v>#N/A</v>
      </c>
      <c r="F1077" s="189" t="e">
        <v>#N/A</v>
      </c>
      <c r="G1077" s="189" t="e">
        <v>#N/A</v>
      </c>
      <c r="H1077" s="189" t="e">
        <v>#N/A</v>
      </c>
      <c r="I1077" s="189" t="e">
        <v>#N/A</v>
      </c>
      <c r="J1077" s="189" t="e">
        <v>#N/A</v>
      </c>
      <c r="K1077" s="204" t="e">
        <v>#N/A</v>
      </c>
      <c r="L1077" s="204" t="e">
        <v>#N/A</v>
      </c>
      <c r="M1077" s="205" t="e">
        <v>#N/A</v>
      </c>
      <c r="N1077" s="205" t="e">
        <v>#N/A</v>
      </c>
      <c r="O1077" s="205" t="e">
        <v>#N/A</v>
      </c>
      <c r="P1077" s="205" t="e">
        <v>#N/A</v>
      </c>
      <c r="Q1077" s="189" t="e">
        <v>#N/A</v>
      </c>
      <c r="R1077" s="189" t="e">
        <v>#N/A</v>
      </c>
      <c r="S1077" s="205" t="e">
        <v>#N/A</v>
      </c>
      <c r="T1077" s="206"/>
    </row>
    <row r="1078">
      <c r="C1078" s="189" t="e">
        <v>#N/A</v>
      </c>
      <c r="D1078" s="189" t="e">
        <v>#N/A</v>
      </c>
      <c r="E1078" s="189" t="e">
        <v>#N/A</v>
      </c>
      <c r="F1078" s="189" t="e">
        <v>#N/A</v>
      </c>
      <c r="G1078" s="189" t="e">
        <v>#N/A</v>
      </c>
      <c r="H1078" s="189" t="e">
        <v>#N/A</v>
      </c>
      <c r="I1078" s="189" t="e">
        <v>#N/A</v>
      </c>
      <c r="J1078" s="189" t="e">
        <v>#N/A</v>
      </c>
      <c r="K1078" s="204" t="e">
        <v>#N/A</v>
      </c>
      <c r="L1078" s="204" t="e">
        <v>#N/A</v>
      </c>
      <c r="M1078" s="205" t="e">
        <v>#N/A</v>
      </c>
      <c r="N1078" s="205" t="e">
        <v>#N/A</v>
      </c>
      <c r="O1078" s="205" t="e">
        <v>#N/A</v>
      </c>
      <c r="P1078" s="205" t="e">
        <v>#N/A</v>
      </c>
      <c r="Q1078" s="189" t="e">
        <v>#N/A</v>
      </c>
      <c r="R1078" s="189" t="e">
        <v>#N/A</v>
      </c>
      <c r="S1078" s="205" t="e">
        <v>#N/A</v>
      </c>
      <c r="T1078" s="206"/>
    </row>
    <row r="1079">
      <c r="C1079" s="189" t="e">
        <v>#N/A</v>
      </c>
      <c r="D1079" s="189" t="e">
        <v>#N/A</v>
      </c>
      <c r="E1079" s="189" t="e">
        <v>#N/A</v>
      </c>
      <c r="F1079" s="189" t="e">
        <v>#N/A</v>
      </c>
      <c r="G1079" s="189" t="e">
        <v>#N/A</v>
      </c>
      <c r="H1079" s="189" t="e">
        <v>#N/A</v>
      </c>
      <c r="I1079" s="189" t="e">
        <v>#N/A</v>
      </c>
      <c r="J1079" s="189" t="e">
        <v>#N/A</v>
      </c>
      <c r="K1079" s="204" t="e">
        <v>#N/A</v>
      </c>
      <c r="L1079" s="204" t="e">
        <v>#N/A</v>
      </c>
      <c r="M1079" s="205" t="e">
        <v>#N/A</v>
      </c>
      <c r="N1079" s="205" t="e">
        <v>#N/A</v>
      </c>
      <c r="O1079" s="205" t="e">
        <v>#N/A</v>
      </c>
      <c r="P1079" s="205" t="e">
        <v>#N/A</v>
      </c>
      <c r="Q1079" s="189" t="e">
        <v>#N/A</v>
      </c>
      <c r="R1079" s="189" t="e">
        <v>#N/A</v>
      </c>
      <c r="S1079" s="205" t="e">
        <v>#N/A</v>
      </c>
      <c r="T1079" s="206"/>
    </row>
    <row r="1080">
      <c r="C1080" s="189" t="e">
        <v>#N/A</v>
      </c>
      <c r="D1080" s="189" t="e">
        <v>#N/A</v>
      </c>
      <c r="E1080" s="189" t="e">
        <v>#N/A</v>
      </c>
      <c r="F1080" s="189" t="e">
        <v>#N/A</v>
      </c>
      <c r="G1080" s="189" t="e">
        <v>#N/A</v>
      </c>
      <c r="H1080" s="189" t="e">
        <v>#N/A</v>
      </c>
      <c r="I1080" s="189" t="e">
        <v>#N/A</v>
      </c>
      <c r="J1080" s="189" t="e">
        <v>#N/A</v>
      </c>
      <c r="K1080" s="204" t="e">
        <v>#N/A</v>
      </c>
      <c r="L1080" s="204" t="e">
        <v>#N/A</v>
      </c>
      <c r="M1080" s="205" t="e">
        <v>#N/A</v>
      </c>
      <c r="N1080" s="205" t="e">
        <v>#N/A</v>
      </c>
      <c r="O1080" s="205" t="e">
        <v>#N/A</v>
      </c>
      <c r="P1080" s="205" t="e">
        <v>#N/A</v>
      </c>
      <c r="Q1080" s="189" t="e">
        <v>#N/A</v>
      </c>
      <c r="R1080" s="189" t="e">
        <v>#N/A</v>
      </c>
      <c r="S1080" s="205" t="e">
        <v>#N/A</v>
      </c>
      <c r="T1080" s="206"/>
    </row>
    <row r="1081">
      <c r="C1081" s="189" t="e">
        <v>#N/A</v>
      </c>
      <c r="D1081" s="189" t="e">
        <v>#N/A</v>
      </c>
      <c r="E1081" s="189" t="e">
        <v>#N/A</v>
      </c>
      <c r="F1081" s="189" t="e">
        <v>#N/A</v>
      </c>
      <c r="G1081" s="189" t="e">
        <v>#N/A</v>
      </c>
      <c r="H1081" s="189" t="e">
        <v>#N/A</v>
      </c>
      <c r="I1081" s="189" t="e">
        <v>#N/A</v>
      </c>
      <c r="J1081" s="189" t="e">
        <v>#N/A</v>
      </c>
      <c r="K1081" s="204" t="e">
        <v>#N/A</v>
      </c>
      <c r="L1081" s="204" t="e">
        <v>#N/A</v>
      </c>
      <c r="M1081" s="205" t="e">
        <v>#N/A</v>
      </c>
      <c r="N1081" s="205" t="e">
        <v>#N/A</v>
      </c>
      <c r="O1081" s="205" t="e">
        <v>#N/A</v>
      </c>
      <c r="P1081" s="205" t="e">
        <v>#N/A</v>
      </c>
      <c r="Q1081" s="189" t="e">
        <v>#N/A</v>
      </c>
      <c r="R1081" s="189" t="e">
        <v>#N/A</v>
      </c>
      <c r="S1081" s="205" t="e">
        <v>#N/A</v>
      </c>
      <c r="T1081" s="206"/>
    </row>
    <row r="1082">
      <c r="C1082" s="189" t="e">
        <v>#N/A</v>
      </c>
      <c r="D1082" s="189" t="e">
        <v>#N/A</v>
      </c>
      <c r="E1082" s="189" t="e">
        <v>#N/A</v>
      </c>
      <c r="F1082" s="189" t="e">
        <v>#N/A</v>
      </c>
      <c r="G1082" s="189" t="e">
        <v>#N/A</v>
      </c>
      <c r="H1082" s="189" t="e">
        <v>#N/A</v>
      </c>
      <c r="I1082" s="189" t="e">
        <v>#N/A</v>
      </c>
      <c r="J1082" s="189" t="e">
        <v>#N/A</v>
      </c>
      <c r="K1082" s="204" t="e">
        <v>#N/A</v>
      </c>
      <c r="L1082" s="204" t="e">
        <v>#N/A</v>
      </c>
      <c r="M1082" s="205" t="e">
        <v>#N/A</v>
      </c>
      <c r="N1082" s="205" t="e">
        <v>#N/A</v>
      </c>
      <c r="O1082" s="205" t="e">
        <v>#N/A</v>
      </c>
      <c r="P1082" s="205" t="e">
        <v>#N/A</v>
      </c>
      <c r="Q1082" s="189" t="e">
        <v>#N/A</v>
      </c>
      <c r="R1082" s="189" t="e">
        <v>#N/A</v>
      </c>
      <c r="S1082" s="205" t="e">
        <v>#N/A</v>
      </c>
      <c r="T1082" s="206"/>
    </row>
    <row r="1083">
      <c r="C1083" s="189" t="e">
        <v>#N/A</v>
      </c>
      <c r="D1083" s="189" t="e">
        <v>#N/A</v>
      </c>
      <c r="E1083" s="189" t="e">
        <v>#N/A</v>
      </c>
      <c r="F1083" s="189" t="e">
        <v>#N/A</v>
      </c>
      <c r="G1083" s="189" t="e">
        <v>#N/A</v>
      </c>
      <c r="H1083" s="189" t="e">
        <v>#N/A</v>
      </c>
      <c r="I1083" s="189" t="e">
        <v>#N/A</v>
      </c>
      <c r="J1083" s="189" t="e">
        <v>#N/A</v>
      </c>
      <c r="K1083" s="204" t="e">
        <v>#N/A</v>
      </c>
      <c r="L1083" s="204" t="e">
        <v>#N/A</v>
      </c>
      <c r="M1083" s="205" t="e">
        <v>#N/A</v>
      </c>
      <c r="N1083" s="205" t="e">
        <v>#N/A</v>
      </c>
      <c r="O1083" s="205" t="e">
        <v>#N/A</v>
      </c>
      <c r="P1083" s="205" t="e">
        <v>#N/A</v>
      </c>
      <c r="Q1083" s="189" t="e">
        <v>#N/A</v>
      </c>
      <c r="R1083" s="189" t="e">
        <v>#N/A</v>
      </c>
      <c r="S1083" s="205" t="e">
        <v>#N/A</v>
      </c>
      <c r="T1083" s="206"/>
    </row>
    <row r="1084">
      <c r="C1084" s="189" t="e">
        <v>#N/A</v>
      </c>
      <c r="D1084" s="189" t="e">
        <v>#N/A</v>
      </c>
      <c r="E1084" s="189" t="e">
        <v>#N/A</v>
      </c>
      <c r="F1084" s="189" t="e">
        <v>#N/A</v>
      </c>
      <c r="G1084" s="189" t="e">
        <v>#N/A</v>
      </c>
      <c r="H1084" s="189" t="e">
        <v>#N/A</v>
      </c>
      <c r="I1084" s="189" t="e">
        <v>#N/A</v>
      </c>
      <c r="J1084" s="189" t="e">
        <v>#N/A</v>
      </c>
      <c r="K1084" s="204" t="e">
        <v>#N/A</v>
      </c>
      <c r="L1084" s="204" t="e">
        <v>#N/A</v>
      </c>
      <c r="M1084" s="205" t="e">
        <v>#N/A</v>
      </c>
      <c r="N1084" s="205" t="e">
        <v>#N/A</v>
      </c>
      <c r="O1084" s="205" t="e">
        <v>#N/A</v>
      </c>
      <c r="P1084" s="205" t="e">
        <v>#N/A</v>
      </c>
      <c r="Q1084" s="189" t="e">
        <v>#N/A</v>
      </c>
      <c r="R1084" s="189" t="e">
        <v>#N/A</v>
      </c>
      <c r="S1084" s="205" t="e">
        <v>#N/A</v>
      </c>
      <c r="T1084" s="206"/>
    </row>
    <row r="1085">
      <c r="C1085" s="189" t="e">
        <v>#N/A</v>
      </c>
      <c r="D1085" s="189" t="e">
        <v>#N/A</v>
      </c>
      <c r="E1085" s="189" t="e">
        <v>#N/A</v>
      </c>
      <c r="F1085" s="189" t="e">
        <v>#N/A</v>
      </c>
      <c r="G1085" s="189" t="e">
        <v>#N/A</v>
      </c>
      <c r="H1085" s="189" t="e">
        <v>#N/A</v>
      </c>
      <c r="I1085" s="189" t="e">
        <v>#N/A</v>
      </c>
      <c r="J1085" s="189" t="e">
        <v>#N/A</v>
      </c>
      <c r="K1085" s="204" t="e">
        <v>#N/A</v>
      </c>
      <c r="L1085" s="204" t="e">
        <v>#N/A</v>
      </c>
      <c r="M1085" s="205" t="e">
        <v>#N/A</v>
      </c>
      <c r="N1085" s="205" t="e">
        <v>#N/A</v>
      </c>
      <c r="O1085" s="205" t="e">
        <v>#N/A</v>
      </c>
      <c r="P1085" s="205" t="e">
        <v>#N/A</v>
      </c>
      <c r="Q1085" s="189" t="e">
        <v>#N/A</v>
      </c>
      <c r="R1085" s="189" t="e">
        <v>#N/A</v>
      </c>
      <c r="S1085" s="205" t="e">
        <v>#N/A</v>
      </c>
      <c r="T1085" s="206"/>
    </row>
    <row r="1086">
      <c r="C1086" s="189" t="e">
        <v>#N/A</v>
      </c>
      <c r="D1086" s="189" t="e">
        <v>#N/A</v>
      </c>
      <c r="E1086" s="189" t="e">
        <v>#N/A</v>
      </c>
      <c r="F1086" s="189" t="e">
        <v>#N/A</v>
      </c>
      <c r="G1086" s="189" t="e">
        <v>#N/A</v>
      </c>
      <c r="H1086" s="189" t="e">
        <v>#N/A</v>
      </c>
      <c r="I1086" s="189" t="e">
        <v>#N/A</v>
      </c>
      <c r="J1086" s="189" t="e">
        <v>#N/A</v>
      </c>
      <c r="K1086" s="204" t="e">
        <v>#N/A</v>
      </c>
      <c r="L1086" s="204" t="e">
        <v>#N/A</v>
      </c>
      <c r="M1086" s="205" t="e">
        <v>#N/A</v>
      </c>
      <c r="N1086" s="205" t="e">
        <v>#N/A</v>
      </c>
      <c r="O1086" s="205" t="e">
        <v>#N/A</v>
      </c>
      <c r="P1086" s="205" t="e">
        <v>#N/A</v>
      </c>
      <c r="Q1086" s="189" t="e">
        <v>#N/A</v>
      </c>
      <c r="R1086" s="189" t="e">
        <v>#N/A</v>
      </c>
      <c r="S1086" s="205" t="e">
        <v>#N/A</v>
      </c>
      <c r="T1086" s="206"/>
    </row>
    <row r="1087">
      <c r="C1087" s="189" t="e">
        <v>#N/A</v>
      </c>
      <c r="D1087" s="189" t="e">
        <v>#N/A</v>
      </c>
      <c r="E1087" s="189" t="e">
        <v>#N/A</v>
      </c>
      <c r="F1087" s="189" t="e">
        <v>#N/A</v>
      </c>
      <c r="G1087" s="189" t="e">
        <v>#N/A</v>
      </c>
      <c r="H1087" s="189" t="e">
        <v>#N/A</v>
      </c>
      <c r="I1087" s="189" t="e">
        <v>#N/A</v>
      </c>
      <c r="J1087" s="189" t="e">
        <v>#N/A</v>
      </c>
      <c r="K1087" s="204" t="e">
        <v>#N/A</v>
      </c>
      <c r="L1087" s="204" t="e">
        <v>#N/A</v>
      </c>
      <c r="M1087" s="205" t="e">
        <v>#N/A</v>
      </c>
      <c r="N1087" s="205" t="e">
        <v>#N/A</v>
      </c>
      <c r="O1087" s="205" t="e">
        <v>#N/A</v>
      </c>
      <c r="P1087" s="205" t="e">
        <v>#N/A</v>
      </c>
      <c r="Q1087" s="189" t="e">
        <v>#N/A</v>
      </c>
      <c r="R1087" s="189" t="e">
        <v>#N/A</v>
      </c>
      <c r="S1087" s="205" t="e">
        <v>#N/A</v>
      </c>
      <c r="T1087" s="206"/>
    </row>
    <row r="1088">
      <c r="C1088" s="189" t="e">
        <v>#N/A</v>
      </c>
      <c r="D1088" s="189" t="e">
        <v>#N/A</v>
      </c>
      <c r="E1088" s="189" t="e">
        <v>#N/A</v>
      </c>
      <c r="F1088" s="189" t="e">
        <v>#N/A</v>
      </c>
      <c r="G1088" s="189" t="e">
        <v>#N/A</v>
      </c>
      <c r="H1088" s="189" t="e">
        <v>#N/A</v>
      </c>
      <c r="I1088" s="189" t="e">
        <v>#N/A</v>
      </c>
      <c r="J1088" s="189" t="e">
        <v>#N/A</v>
      </c>
      <c r="K1088" s="204" t="e">
        <v>#N/A</v>
      </c>
      <c r="L1088" s="204" t="e">
        <v>#N/A</v>
      </c>
      <c r="M1088" s="205" t="e">
        <v>#N/A</v>
      </c>
      <c r="N1088" s="205" t="e">
        <v>#N/A</v>
      </c>
      <c r="O1088" s="205" t="e">
        <v>#N/A</v>
      </c>
      <c r="P1088" s="205" t="e">
        <v>#N/A</v>
      </c>
      <c r="Q1088" s="189" t="e">
        <v>#N/A</v>
      </c>
      <c r="R1088" s="189" t="e">
        <v>#N/A</v>
      </c>
      <c r="S1088" s="205" t="e">
        <v>#N/A</v>
      </c>
      <c r="T1088" s="206"/>
    </row>
    <row r="1089">
      <c r="C1089" s="189" t="e">
        <v>#N/A</v>
      </c>
      <c r="D1089" s="189" t="e">
        <v>#N/A</v>
      </c>
      <c r="E1089" s="189" t="e">
        <v>#N/A</v>
      </c>
      <c r="F1089" s="189" t="e">
        <v>#N/A</v>
      </c>
      <c r="G1089" s="189" t="e">
        <v>#N/A</v>
      </c>
      <c r="H1089" s="189" t="e">
        <v>#N/A</v>
      </c>
      <c r="I1089" s="189" t="e">
        <v>#N/A</v>
      </c>
      <c r="J1089" s="189" t="e">
        <v>#N/A</v>
      </c>
      <c r="K1089" s="204" t="e">
        <v>#N/A</v>
      </c>
      <c r="L1089" s="204" t="e">
        <v>#N/A</v>
      </c>
      <c r="M1089" s="205" t="e">
        <v>#N/A</v>
      </c>
      <c r="N1089" s="205" t="e">
        <v>#N/A</v>
      </c>
      <c r="O1089" s="205" t="e">
        <v>#N/A</v>
      </c>
      <c r="P1089" s="205" t="e">
        <v>#N/A</v>
      </c>
      <c r="Q1089" s="189" t="e">
        <v>#N/A</v>
      </c>
      <c r="R1089" s="189" t="e">
        <v>#N/A</v>
      </c>
      <c r="S1089" s="205" t="e">
        <v>#N/A</v>
      </c>
      <c r="T1089" s="206"/>
    </row>
    <row r="1090">
      <c r="C1090" s="189" t="e">
        <v>#N/A</v>
      </c>
      <c r="D1090" s="189" t="e">
        <v>#N/A</v>
      </c>
      <c r="E1090" s="189" t="e">
        <v>#N/A</v>
      </c>
      <c r="F1090" s="189" t="e">
        <v>#N/A</v>
      </c>
      <c r="G1090" s="189" t="e">
        <v>#N/A</v>
      </c>
      <c r="H1090" s="189" t="e">
        <v>#N/A</v>
      </c>
      <c r="I1090" s="189" t="e">
        <v>#N/A</v>
      </c>
      <c r="J1090" s="189" t="e">
        <v>#N/A</v>
      </c>
      <c r="K1090" s="204" t="e">
        <v>#N/A</v>
      </c>
      <c r="L1090" s="204" t="e">
        <v>#N/A</v>
      </c>
      <c r="M1090" s="205" t="e">
        <v>#N/A</v>
      </c>
      <c r="N1090" s="205" t="e">
        <v>#N/A</v>
      </c>
      <c r="O1090" s="205" t="e">
        <v>#N/A</v>
      </c>
      <c r="P1090" s="205" t="e">
        <v>#N/A</v>
      </c>
      <c r="Q1090" s="189" t="e">
        <v>#N/A</v>
      </c>
      <c r="R1090" s="189" t="e">
        <v>#N/A</v>
      </c>
      <c r="S1090" s="205" t="e">
        <v>#N/A</v>
      </c>
      <c r="T1090" s="206"/>
    </row>
    <row r="1091">
      <c r="C1091" s="189" t="e">
        <v>#N/A</v>
      </c>
      <c r="D1091" s="189" t="e">
        <v>#N/A</v>
      </c>
      <c r="E1091" s="189" t="e">
        <v>#N/A</v>
      </c>
      <c r="F1091" s="189" t="e">
        <v>#N/A</v>
      </c>
      <c r="G1091" s="189" t="e">
        <v>#N/A</v>
      </c>
      <c r="H1091" s="189" t="e">
        <v>#N/A</v>
      </c>
      <c r="I1091" s="189" t="e">
        <v>#N/A</v>
      </c>
      <c r="J1091" s="189" t="e">
        <v>#N/A</v>
      </c>
      <c r="K1091" s="204" t="e">
        <v>#N/A</v>
      </c>
      <c r="L1091" s="204" t="e">
        <v>#N/A</v>
      </c>
      <c r="M1091" s="205" t="e">
        <v>#N/A</v>
      </c>
      <c r="N1091" s="205" t="e">
        <v>#N/A</v>
      </c>
      <c r="O1091" s="205" t="e">
        <v>#N/A</v>
      </c>
      <c r="P1091" s="205" t="e">
        <v>#N/A</v>
      </c>
      <c r="Q1091" s="189" t="e">
        <v>#N/A</v>
      </c>
      <c r="R1091" s="189" t="e">
        <v>#N/A</v>
      </c>
      <c r="S1091" s="205" t="e">
        <v>#N/A</v>
      </c>
      <c r="T1091" s="206"/>
    </row>
    <row r="1092">
      <c r="C1092" s="189" t="e">
        <v>#N/A</v>
      </c>
      <c r="D1092" s="189" t="e">
        <v>#N/A</v>
      </c>
      <c r="E1092" s="189" t="e">
        <v>#N/A</v>
      </c>
      <c r="F1092" s="189" t="e">
        <v>#N/A</v>
      </c>
      <c r="G1092" s="189" t="e">
        <v>#N/A</v>
      </c>
      <c r="H1092" s="189" t="e">
        <v>#N/A</v>
      </c>
      <c r="I1092" s="189" t="e">
        <v>#N/A</v>
      </c>
      <c r="J1092" s="189" t="e">
        <v>#N/A</v>
      </c>
      <c r="K1092" s="204" t="e">
        <v>#N/A</v>
      </c>
      <c r="L1092" s="204" t="e">
        <v>#N/A</v>
      </c>
      <c r="M1092" s="205" t="e">
        <v>#N/A</v>
      </c>
      <c r="N1092" s="205" t="e">
        <v>#N/A</v>
      </c>
      <c r="O1092" s="205" t="e">
        <v>#N/A</v>
      </c>
      <c r="P1092" s="205" t="e">
        <v>#N/A</v>
      </c>
      <c r="Q1092" s="189" t="e">
        <v>#N/A</v>
      </c>
      <c r="R1092" s="189" t="e">
        <v>#N/A</v>
      </c>
      <c r="S1092" s="205" t="e">
        <v>#N/A</v>
      </c>
      <c r="T1092" s="206"/>
    </row>
    <row r="1093">
      <c r="C1093" s="189" t="e">
        <v>#N/A</v>
      </c>
      <c r="D1093" s="189" t="e">
        <v>#N/A</v>
      </c>
      <c r="E1093" s="189" t="e">
        <v>#N/A</v>
      </c>
      <c r="F1093" s="189" t="e">
        <v>#N/A</v>
      </c>
      <c r="G1093" s="189" t="e">
        <v>#N/A</v>
      </c>
      <c r="H1093" s="189" t="e">
        <v>#N/A</v>
      </c>
      <c r="I1093" s="189" t="e">
        <v>#N/A</v>
      </c>
      <c r="J1093" s="189" t="e">
        <v>#N/A</v>
      </c>
      <c r="K1093" s="204" t="e">
        <v>#N/A</v>
      </c>
      <c r="L1093" s="204" t="e">
        <v>#N/A</v>
      </c>
      <c r="M1093" s="205" t="e">
        <v>#N/A</v>
      </c>
      <c r="N1093" s="205" t="e">
        <v>#N/A</v>
      </c>
      <c r="O1093" s="205" t="e">
        <v>#N/A</v>
      </c>
      <c r="P1093" s="205" t="e">
        <v>#N/A</v>
      </c>
      <c r="Q1093" s="189" t="e">
        <v>#N/A</v>
      </c>
      <c r="R1093" s="189" t="e">
        <v>#N/A</v>
      </c>
      <c r="S1093" s="205" t="e">
        <v>#N/A</v>
      </c>
      <c r="T1093" s="206"/>
    </row>
    <row r="1094">
      <c r="C1094" s="189" t="e">
        <v>#N/A</v>
      </c>
      <c r="D1094" s="189" t="e">
        <v>#N/A</v>
      </c>
      <c r="E1094" s="189" t="e">
        <v>#N/A</v>
      </c>
      <c r="F1094" s="189" t="e">
        <v>#N/A</v>
      </c>
      <c r="G1094" s="189" t="e">
        <v>#N/A</v>
      </c>
      <c r="H1094" s="189" t="e">
        <v>#N/A</v>
      </c>
      <c r="I1094" s="189" t="e">
        <v>#N/A</v>
      </c>
      <c r="J1094" s="189" t="e">
        <v>#N/A</v>
      </c>
      <c r="K1094" s="204" t="e">
        <v>#N/A</v>
      </c>
      <c r="L1094" s="204" t="e">
        <v>#N/A</v>
      </c>
      <c r="M1094" s="205" t="e">
        <v>#N/A</v>
      </c>
      <c r="N1094" s="205" t="e">
        <v>#N/A</v>
      </c>
      <c r="O1094" s="205" t="e">
        <v>#N/A</v>
      </c>
      <c r="P1094" s="205" t="e">
        <v>#N/A</v>
      </c>
      <c r="Q1094" s="189" t="e">
        <v>#N/A</v>
      </c>
      <c r="R1094" s="189" t="e">
        <v>#N/A</v>
      </c>
      <c r="S1094" s="205" t="e">
        <v>#N/A</v>
      </c>
      <c r="T1094" s="206"/>
    </row>
    <row r="1095">
      <c r="C1095" s="189" t="e">
        <v>#N/A</v>
      </c>
      <c r="D1095" s="189" t="e">
        <v>#N/A</v>
      </c>
      <c r="E1095" s="189" t="e">
        <v>#N/A</v>
      </c>
      <c r="F1095" s="189" t="e">
        <v>#N/A</v>
      </c>
      <c r="G1095" s="189" t="e">
        <v>#N/A</v>
      </c>
      <c r="H1095" s="189" t="e">
        <v>#N/A</v>
      </c>
      <c r="I1095" s="189" t="e">
        <v>#N/A</v>
      </c>
      <c r="J1095" s="189" t="e">
        <v>#N/A</v>
      </c>
      <c r="K1095" s="204" t="e">
        <v>#N/A</v>
      </c>
      <c r="L1095" s="204" t="e">
        <v>#N/A</v>
      </c>
      <c r="M1095" s="205" t="e">
        <v>#N/A</v>
      </c>
      <c r="N1095" s="205" t="e">
        <v>#N/A</v>
      </c>
      <c r="O1095" s="205" t="e">
        <v>#N/A</v>
      </c>
      <c r="P1095" s="205" t="e">
        <v>#N/A</v>
      </c>
      <c r="Q1095" s="189" t="e">
        <v>#N/A</v>
      </c>
      <c r="R1095" s="189" t="e">
        <v>#N/A</v>
      </c>
      <c r="S1095" s="205" t="e">
        <v>#N/A</v>
      </c>
      <c r="T1095" s="206"/>
    </row>
    <row r="1096">
      <c r="C1096" s="189" t="e">
        <v>#N/A</v>
      </c>
      <c r="D1096" s="189" t="e">
        <v>#N/A</v>
      </c>
      <c r="E1096" s="189" t="e">
        <v>#N/A</v>
      </c>
      <c r="F1096" s="189" t="e">
        <v>#N/A</v>
      </c>
      <c r="G1096" s="189" t="e">
        <v>#N/A</v>
      </c>
      <c r="H1096" s="189" t="e">
        <v>#N/A</v>
      </c>
      <c r="I1096" s="189" t="e">
        <v>#N/A</v>
      </c>
      <c r="J1096" s="189" t="e">
        <v>#N/A</v>
      </c>
      <c r="K1096" s="204" t="e">
        <v>#N/A</v>
      </c>
      <c r="L1096" s="204" t="e">
        <v>#N/A</v>
      </c>
      <c r="M1096" s="205" t="e">
        <v>#N/A</v>
      </c>
      <c r="N1096" s="205" t="e">
        <v>#N/A</v>
      </c>
      <c r="O1096" s="205" t="e">
        <v>#N/A</v>
      </c>
      <c r="P1096" s="205" t="e">
        <v>#N/A</v>
      </c>
      <c r="Q1096" s="189" t="e">
        <v>#N/A</v>
      </c>
      <c r="R1096" s="189" t="e">
        <v>#N/A</v>
      </c>
      <c r="S1096" s="205" t="e">
        <v>#N/A</v>
      </c>
      <c r="T1096" s="206"/>
    </row>
    <row r="1097">
      <c r="C1097" s="189" t="e">
        <v>#N/A</v>
      </c>
      <c r="D1097" s="189" t="e">
        <v>#N/A</v>
      </c>
      <c r="E1097" s="189" t="e">
        <v>#N/A</v>
      </c>
      <c r="F1097" s="189" t="e">
        <v>#N/A</v>
      </c>
      <c r="G1097" s="189" t="e">
        <v>#N/A</v>
      </c>
      <c r="H1097" s="189" t="e">
        <v>#N/A</v>
      </c>
      <c r="I1097" s="189" t="e">
        <v>#N/A</v>
      </c>
      <c r="J1097" s="189" t="e">
        <v>#N/A</v>
      </c>
      <c r="K1097" s="204" t="e">
        <v>#N/A</v>
      </c>
      <c r="L1097" s="204" t="e">
        <v>#N/A</v>
      </c>
      <c r="M1097" s="205" t="e">
        <v>#N/A</v>
      </c>
      <c r="N1097" s="205" t="e">
        <v>#N/A</v>
      </c>
      <c r="O1097" s="205" t="e">
        <v>#N/A</v>
      </c>
      <c r="P1097" s="205" t="e">
        <v>#N/A</v>
      </c>
      <c r="Q1097" s="189" t="e">
        <v>#N/A</v>
      </c>
      <c r="R1097" s="189" t="e">
        <v>#N/A</v>
      </c>
      <c r="S1097" s="205" t="e">
        <v>#N/A</v>
      </c>
      <c r="T1097" s="206"/>
    </row>
    <row r="1098">
      <c r="C1098" s="189" t="e">
        <v>#N/A</v>
      </c>
      <c r="D1098" s="189" t="e">
        <v>#N/A</v>
      </c>
      <c r="E1098" s="189" t="e">
        <v>#N/A</v>
      </c>
      <c r="F1098" s="189" t="e">
        <v>#N/A</v>
      </c>
      <c r="G1098" s="189" t="e">
        <v>#N/A</v>
      </c>
      <c r="H1098" s="189" t="e">
        <v>#N/A</v>
      </c>
      <c r="I1098" s="189" t="e">
        <v>#N/A</v>
      </c>
      <c r="J1098" s="189" t="e">
        <v>#N/A</v>
      </c>
      <c r="K1098" s="204" t="e">
        <v>#N/A</v>
      </c>
      <c r="L1098" s="204" t="e">
        <v>#N/A</v>
      </c>
      <c r="M1098" s="205" t="e">
        <v>#N/A</v>
      </c>
      <c r="N1098" s="205" t="e">
        <v>#N/A</v>
      </c>
      <c r="O1098" s="205" t="e">
        <v>#N/A</v>
      </c>
      <c r="P1098" s="205" t="e">
        <v>#N/A</v>
      </c>
      <c r="Q1098" s="189" t="e">
        <v>#N/A</v>
      </c>
      <c r="R1098" s="189" t="e">
        <v>#N/A</v>
      </c>
      <c r="S1098" s="205" t="e">
        <v>#N/A</v>
      </c>
      <c r="T1098" s="206"/>
    </row>
    <row r="1099">
      <c r="C1099" s="189" t="e">
        <v>#N/A</v>
      </c>
      <c r="D1099" s="189" t="e">
        <v>#N/A</v>
      </c>
      <c r="E1099" s="189" t="e">
        <v>#N/A</v>
      </c>
      <c r="F1099" s="189" t="e">
        <v>#N/A</v>
      </c>
      <c r="G1099" s="189" t="e">
        <v>#N/A</v>
      </c>
      <c r="H1099" s="189" t="e">
        <v>#N/A</v>
      </c>
      <c r="I1099" s="189" t="e">
        <v>#N/A</v>
      </c>
      <c r="J1099" s="189" t="e">
        <v>#N/A</v>
      </c>
      <c r="K1099" s="204" t="e">
        <v>#N/A</v>
      </c>
      <c r="L1099" s="204" t="e">
        <v>#N/A</v>
      </c>
      <c r="M1099" s="205" t="e">
        <v>#N/A</v>
      </c>
      <c r="N1099" s="205" t="e">
        <v>#N/A</v>
      </c>
      <c r="O1099" s="205" t="e">
        <v>#N/A</v>
      </c>
      <c r="P1099" s="205" t="e">
        <v>#N/A</v>
      </c>
      <c r="Q1099" s="189" t="e">
        <v>#N/A</v>
      </c>
      <c r="R1099" s="189" t="e">
        <v>#N/A</v>
      </c>
      <c r="S1099" s="205" t="e">
        <v>#N/A</v>
      </c>
      <c r="T1099" s="206"/>
    </row>
    <row r="1100">
      <c r="C1100" s="189" t="e">
        <v>#N/A</v>
      </c>
      <c r="D1100" s="189" t="e">
        <v>#N/A</v>
      </c>
      <c r="E1100" s="189" t="e">
        <v>#N/A</v>
      </c>
      <c r="F1100" s="189" t="e">
        <v>#N/A</v>
      </c>
      <c r="G1100" s="189" t="e">
        <v>#N/A</v>
      </c>
      <c r="H1100" s="189" t="e">
        <v>#N/A</v>
      </c>
      <c r="I1100" s="189" t="e">
        <v>#N/A</v>
      </c>
      <c r="J1100" s="189" t="e">
        <v>#N/A</v>
      </c>
      <c r="K1100" s="204" t="e">
        <v>#N/A</v>
      </c>
      <c r="L1100" s="204" t="e">
        <v>#N/A</v>
      </c>
      <c r="M1100" s="205" t="e">
        <v>#N/A</v>
      </c>
      <c r="N1100" s="205" t="e">
        <v>#N/A</v>
      </c>
      <c r="O1100" s="205" t="e">
        <v>#N/A</v>
      </c>
      <c r="P1100" s="205" t="e">
        <v>#N/A</v>
      </c>
      <c r="Q1100" s="189" t="e">
        <v>#N/A</v>
      </c>
      <c r="R1100" s="189" t="e">
        <v>#N/A</v>
      </c>
      <c r="S1100" s="205" t="e">
        <v>#N/A</v>
      </c>
      <c r="T1100" s="206"/>
    </row>
    <row r="1101">
      <c r="C1101" s="189" t="e">
        <v>#N/A</v>
      </c>
      <c r="D1101" s="189" t="e">
        <v>#N/A</v>
      </c>
      <c r="E1101" s="189" t="e">
        <v>#N/A</v>
      </c>
      <c r="F1101" s="189" t="e">
        <v>#N/A</v>
      </c>
      <c r="G1101" s="189" t="e">
        <v>#N/A</v>
      </c>
      <c r="H1101" s="189" t="e">
        <v>#N/A</v>
      </c>
      <c r="I1101" s="189" t="e">
        <v>#N/A</v>
      </c>
      <c r="J1101" s="189" t="e">
        <v>#N/A</v>
      </c>
      <c r="K1101" s="204" t="e">
        <v>#N/A</v>
      </c>
      <c r="L1101" s="204" t="e">
        <v>#N/A</v>
      </c>
      <c r="M1101" s="205" t="e">
        <v>#N/A</v>
      </c>
      <c r="N1101" s="205" t="e">
        <v>#N/A</v>
      </c>
      <c r="O1101" s="205" t="e">
        <v>#N/A</v>
      </c>
      <c r="P1101" s="205" t="e">
        <v>#N/A</v>
      </c>
      <c r="Q1101" s="189" t="e">
        <v>#N/A</v>
      </c>
      <c r="R1101" s="189" t="e">
        <v>#N/A</v>
      </c>
      <c r="S1101" s="205" t="e">
        <v>#N/A</v>
      </c>
      <c r="T1101" s="206"/>
    </row>
    <row r="1102">
      <c r="C1102" s="189" t="e">
        <v>#N/A</v>
      </c>
      <c r="D1102" s="189" t="e">
        <v>#N/A</v>
      </c>
      <c r="E1102" s="189" t="e">
        <v>#N/A</v>
      </c>
      <c r="F1102" s="189" t="e">
        <v>#N/A</v>
      </c>
      <c r="G1102" s="189" t="e">
        <v>#N/A</v>
      </c>
      <c r="H1102" s="189" t="e">
        <v>#N/A</v>
      </c>
      <c r="I1102" s="189" t="e">
        <v>#N/A</v>
      </c>
      <c r="J1102" s="189" t="e">
        <v>#N/A</v>
      </c>
      <c r="K1102" s="204" t="e">
        <v>#N/A</v>
      </c>
      <c r="L1102" s="204" t="e">
        <v>#N/A</v>
      </c>
      <c r="M1102" s="205" t="e">
        <v>#N/A</v>
      </c>
      <c r="N1102" s="205" t="e">
        <v>#N/A</v>
      </c>
      <c r="O1102" s="205" t="e">
        <v>#N/A</v>
      </c>
      <c r="P1102" s="205" t="e">
        <v>#N/A</v>
      </c>
      <c r="Q1102" s="189" t="e">
        <v>#N/A</v>
      </c>
      <c r="R1102" s="189" t="e">
        <v>#N/A</v>
      </c>
      <c r="S1102" s="205" t="e">
        <v>#N/A</v>
      </c>
      <c r="T1102" s="206"/>
    </row>
    <row r="1103">
      <c r="C1103" s="189" t="e">
        <v>#N/A</v>
      </c>
      <c r="D1103" s="189" t="e">
        <v>#N/A</v>
      </c>
      <c r="E1103" s="189" t="e">
        <v>#N/A</v>
      </c>
      <c r="F1103" s="189" t="e">
        <v>#N/A</v>
      </c>
      <c r="G1103" s="189" t="e">
        <v>#N/A</v>
      </c>
      <c r="H1103" s="189" t="e">
        <v>#N/A</v>
      </c>
      <c r="I1103" s="189" t="e">
        <v>#N/A</v>
      </c>
      <c r="J1103" s="189" t="e">
        <v>#N/A</v>
      </c>
      <c r="K1103" s="204" t="e">
        <v>#N/A</v>
      </c>
      <c r="L1103" s="204" t="e">
        <v>#N/A</v>
      </c>
      <c r="M1103" s="205" t="e">
        <v>#N/A</v>
      </c>
      <c r="N1103" s="205" t="e">
        <v>#N/A</v>
      </c>
      <c r="O1103" s="205" t="e">
        <v>#N/A</v>
      </c>
      <c r="P1103" s="205" t="e">
        <v>#N/A</v>
      </c>
      <c r="Q1103" s="189" t="e">
        <v>#N/A</v>
      </c>
      <c r="R1103" s="189" t="e">
        <v>#N/A</v>
      </c>
      <c r="S1103" s="205" t="e">
        <v>#N/A</v>
      </c>
      <c r="T1103" s="206"/>
    </row>
    <row r="1104">
      <c r="C1104" s="189" t="e">
        <v>#N/A</v>
      </c>
      <c r="D1104" s="189" t="e">
        <v>#N/A</v>
      </c>
      <c r="E1104" s="189" t="e">
        <v>#N/A</v>
      </c>
      <c r="F1104" s="189" t="e">
        <v>#N/A</v>
      </c>
      <c r="G1104" s="189" t="e">
        <v>#N/A</v>
      </c>
      <c r="H1104" s="189" t="e">
        <v>#N/A</v>
      </c>
      <c r="I1104" s="189" t="e">
        <v>#N/A</v>
      </c>
      <c r="J1104" s="189" t="e">
        <v>#N/A</v>
      </c>
      <c r="K1104" s="204" t="e">
        <v>#N/A</v>
      </c>
      <c r="L1104" s="204" t="e">
        <v>#N/A</v>
      </c>
      <c r="M1104" s="205" t="e">
        <v>#N/A</v>
      </c>
      <c r="N1104" s="205" t="e">
        <v>#N/A</v>
      </c>
      <c r="O1104" s="205" t="e">
        <v>#N/A</v>
      </c>
      <c r="P1104" s="205" t="e">
        <v>#N/A</v>
      </c>
      <c r="Q1104" s="189" t="e">
        <v>#N/A</v>
      </c>
      <c r="R1104" s="189" t="e">
        <v>#N/A</v>
      </c>
      <c r="S1104" s="205" t="e">
        <v>#N/A</v>
      </c>
      <c r="T1104" s="206"/>
    </row>
    <row r="1105">
      <c r="C1105" s="189" t="e">
        <v>#N/A</v>
      </c>
      <c r="D1105" s="189" t="e">
        <v>#N/A</v>
      </c>
      <c r="E1105" s="189" t="e">
        <v>#N/A</v>
      </c>
      <c r="F1105" s="189" t="e">
        <v>#N/A</v>
      </c>
      <c r="G1105" s="189" t="e">
        <v>#N/A</v>
      </c>
      <c r="H1105" s="189" t="e">
        <v>#N/A</v>
      </c>
      <c r="I1105" s="189" t="e">
        <v>#N/A</v>
      </c>
      <c r="J1105" s="189" t="e">
        <v>#N/A</v>
      </c>
      <c r="K1105" s="204" t="e">
        <v>#N/A</v>
      </c>
      <c r="L1105" s="204" t="e">
        <v>#N/A</v>
      </c>
      <c r="M1105" s="205" t="e">
        <v>#N/A</v>
      </c>
      <c r="N1105" s="205" t="e">
        <v>#N/A</v>
      </c>
      <c r="O1105" s="205" t="e">
        <v>#N/A</v>
      </c>
      <c r="P1105" s="205" t="e">
        <v>#N/A</v>
      </c>
      <c r="Q1105" s="189" t="e">
        <v>#N/A</v>
      </c>
      <c r="R1105" s="189" t="e">
        <v>#N/A</v>
      </c>
      <c r="S1105" s="205" t="e">
        <v>#N/A</v>
      </c>
      <c r="T1105" s="206"/>
    </row>
    <row r="1106">
      <c r="C1106" s="189" t="e">
        <v>#N/A</v>
      </c>
      <c r="D1106" s="189" t="e">
        <v>#N/A</v>
      </c>
      <c r="E1106" s="189" t="e">
        <v>#N/A</v>
      </c>
      <c r="F1106" s="189" t="e">
        <v>#N/A</v>
      </c>
      <c r="G1106" s="189" t="e">
        <v>#N/A</v>
      </c>
      <c r="H1106" s="189" t="e">
        <v>#N/A</v>
      </c>
      <c r="I1106" s="189" t="e">
        <v>#N/A</v>
      </c>
      <c r="J1106" s="189" t="e">
        <v>#N/A</v>
      </c>
      <c r="K1106" s="204" t="e">
        <v>#N/A</v>
      </c>
      <c r="L1106" s="204" t="e">
        <v>#N/A</v>
      </c>
      <c r="M1106" s="205" t="e">
        <v>#N/A</v>
      </c>
      <c r="N1106" s="205" t="e">
        <v>#N/A</v>
      </c>
      <c r="O1106" s="205" t="e">
        <v>#N/A</v>
      </c>
      <c r="P1106" s="205" t="e">
        <v>#N/A</v>
      </c>
      <c r="Q1106" s="189" t="e">
        <v>#N/A</v>
      </c>
      <c r="R1106" s="189" t="e">
        <v>#N/A</v>
      </c>
      <c r="S1106" s="205" t="e">
        <v>#N/A</v>
      </c>
      <c r="T1106" s="206"/>
    </row>
    <row r="1107">
      <c r="C1107" s="189" t="e">
        <v>#N/A</v>
      </c>
      <c r="D1107" s="189" t="e">
        <v>#N/A</v>
      </c>
      <c r="E1107" s="189" t="e">
        <v>#N/A</v>
      </c>
      <c r="F1107" s="189" t="e">
        <v>#N/A</v>
      </c>
      <c r="G1107" s="189" t="e">
        <v>#N/A</v>
      </c>
      <c r="H1107" s="189" t="e">
        <v>#N/A</v>
      </c>
      <c r="I1107" s="189" t="e">
        <v>#N/A</v>
      </c>
      <c r="J1107" s="189" t="e">
        <v>#N/A</v>
      </c>
      <c r="K1107" s="204" t="e">
        <v>#N/A</v>
      </c>
      <c r="L1107" s="204" t="e">
        <v>#N/A</v>
      </c>
      <c r="M1107" s="205" t="e">
        <v>#N/A</v>
      </c>
      <c r="N1107" s="205" t="e">
        <v>#N/A</v>
      </c>
      <c r="O1107" s="205" t="e">
        <v>#N/A</v>
      </c>
      <c r="P1107" s="205" t="e">
        <v>#N/A</v>
      </c>
      <c r="Q1107" s="189" t="e">
        <v>#N/A</v>
      </c>
      <c r="R1107" s="189" t="e">
        <v>#N/A</v>
      </c>
      <c r="S1107" s="205" t="e">
        <v>#N/A</v>
      </c>
      <c r="T1107" s="206"/>
    </row>
    <row r="1108">
      <c r="C1108" s="189" t="e">
        <v>#N/A</v>
      </c>
      <c r="D1108" s="189" t="e">
        <v>#N/A</v>
      </c>
      <c r="E1108" s="189" t="e">
        <v>#N/A</v>
      </c>
      <c r="F1108" s="189" t="e">
        <v>#N/A</v>
      </c>
      <c r="G1108" s="189" t="e">
        <v>#N/A</v>
      </c>
      <c r="H1108" s="189" t="e">
        <v>#N/A</v>
      </c>
      <c r="I1108" s="189" t="e">
        <v>#N/A</v>
      </c>
      <c r="J1108" s="189" t="e">
        <v>#N/A</v>
      </c>
      <c r="K1108" s="204" t="e">
        <v>#N/A</v>
      </c>
      <c r="L1108" s="204" t="e">
        <v>#N/A</v>
      </c>
      <c r="M1108" s="205" t="e">
        <v>#N/A</v>
      </c>
      <c r="N1108" s="205" t="e">
        <v>#N/A</v>
      </c>
      <c r="O1108" s="205" t="e">
        <v>#N/A</v>
      </c>
      <c r="P1108" s="205" t="e">
        <v>#N/A</v>
      </c>
      <c r="Q1108" s="189" t="e">
        <v>#N/A</v>
      </c>
      <c r="R1108" s="189" t="e">
        <v>#N/A</v>
      </c>
      <c r="S1108" s="205" t="e">
        <v>#N/A</v>
      </c>
      <c r="T1108" s="206"/>
    </row>
    <row r="1109">
      <c r="C1109" s="189" t="e">
        <v>#N/A</v>
      </c>
      <c r="D1109" s="189" t="e">
        <v>#N/A</v>
      </c>
      <c r="E1109" s="189" t="e">
        <v>#N/A</v>
      </c>
      <c r="F1109" s="189" t="e">
        <v>#N/A</v>
      </c>
      <c r="G1109" s="189" t="e">
        <v>#N/A</v>
      </c>
      <c r="H1109" s="189" t="e">
        <v>#N/A</v>
      </c>
      <c r="I1109" s="189" t="e">
        <v>#N/A</v>
      </c>
      <c r="J1109" s="189" t="e">
        <v>#N/A</v>
      </c>
      <c r="K1109" s="204" t="e">
        <v>#N/A</v>
      </c>
      <c r="L1109" s="204" t="e">
        <v>#N/A</v>
      </c>
      <c r="M1109" s="205" t="e">
        <v>#N/A</v>
      </c>
      <c r="N1109" s="205" t="e">
        <v>#N/A</v>
      </c>
      <c r="O1109" s="205" t="e">
        <v>#N/A</v>
      </c>
      <c r="P1109" s="205" t="e">
        <v>#N/A</v>
      </c>
      <c r="Q1109" s="189" t="e">
        <v>#N/A</v>
      </c>
      <c r="R1109" s="189" t="e">
        <v>#N/A</v>
      </c>
      <c r="S1109" s="205" t="e">
        <v>#N/A</v>
      </c>
      <c r="T1109" s="206"/>
    </row>
    <row r="1110">
      <c r="C1110" s="189" t="e">
        <v>#N/A</v>
      </c>
      <c r="D1110" s="189" t="e">
        <v>#N/A</v>
      </c>
      <c r="E1110" s="189" t="e">
        <v>#N/A</v>
      </c>
      <c r="F1110" s="189" t="e">
        <v>#N/A</v>
      </c>
      <c r="G1110" s="189" t="e">
        <v>#N/A</v>
      </c>
      <c r="H1110" s="189" t="e">
        <v>#N/A</v>
      </c>
      <c r="I1110" s="189" t="e">
        <v>#N/A</v>
      </c>
      <c r="J1110" s="189" t="e">
        <v>#N/A</v>
      </c>
      <c r="K1110" s="204" t="e">
        <v>#N/A</v>
      </c>
      <c r="L1110" s="204" t="e">
        <v>#N/A</v>
      </c>
      <c r="M1110" s="205" t="e">
        <v>#N/A</v>
      </c>
      <c r="N1110" s="205" t="e">
        <v>#N/A</v>
      </c>
      <c r="O1110" s="205" t="e">
        <v>#N/A</v>
      </c>
      <c r="P1110" s="205" t="e">
        <v>#N/A</v>
      </c>
      <c r="Q1110" s="189" t="e">
        <v>#N/A</v>
      </c>
      <c r="R1110" s="189" t="e">
        <v>#N/A</v>
      </c>
      <c r="S1110" s="205" t="e">
        <v>#N/A</v>
      </c>
      <c r="T1110" s="206"/>
    </row>
    <row r="1111">
      <c r="C1111" s="189" t="e">
        <v>#N/A</v>
      </c>
      <c r="D1111" s="189" t="e">
        <v>#N/A</v>
      </c>
      <c r="E1111" s="189" t="e">
        <v>#N/A</v>
      </c>
      <c r="F1111" s="189" t="e">
        <v>#N/A</v>
      </c>
      <c r="G1111" s="189" t="e">
        <v>#N/A</v>
      </c>
      <c r="H1111" s="189" t="e">
        <v>#N/A</v>
      </c>
      <c r="I1111" s="189" t="e">
        <v>#N/A</v>
      </c>
      <c r="J1111" s="189" t="e">
        <v>#N/A</v>
      </c>
      <c r="K1111" s="204" t="e">
        <v>#N/A</v>
      </c>
      <c r="L1111" s="204" t="e">
        <v>#N/A</v>
      </c>
      <c r="M1111" s="205" t="e">
        <v>#N/A</v>
      </c>
      <c r="N1111" s="205" t="e">
        <v>#N/A</v>
      </c>
      <c r="O1111" s="205" t="e">
        <v>#N/A</v>
      </c>
      <c r="P1111" s="205" t="e">
        <v>#N/A</v>
      </c>
      <c r="Q1111" s="189" t="e">
        <v>#N/A</v>
      </c>
      <c r="R1111" s="189" t="e">
        <v>#N/A</v>
      </c>
      <c r="S1111" s="205" t="e">
        <v>#N/A</v>
      </c>
      <c r="T1111" s="206"/>
    </row>
    <row r="1112">
      <c r="C1112" s="189" t="e">
        <v>#N/A</v>
      </c>
      <c r="D1112" s="189" t="e">
        <v>#N/A</v>
      </c>
      <c r="E1112" s="189" t="e">
        <v>#N/A</v>
      </c>
      <c r="F1112" s="189" t="e">
        <v>#N/A</v>
      </c>
      <c r="G1112" s="189" t="e">
        <v>#N/A</v>
      </c>
      <c r="H1112" s="189" t="e">
        <v>#N/A</v>
      </c>
      <c r="I1112" s="189" t="e">
        <v>#N/A</v>
      </c>
      <c r="J1112" s="189" t="e">
        <v>#N/A</v>
      </c>
      <c r="K1112" s="204" t="e">
        <v>#N/A</v>
      </c>
      <c r="L1112" s="204" t="e">
        <v>#N/A</v>
      </c>
      <c r="M1112" s="205" t="e">
        <v>#N/A</v>
      </c>
      <c r="N1112" s="205" t="e">
        <v>#N/A</v>
      </c>
      <c r="O1112" s="205" t="e">
        <v>#N/A</v>
      </c>
      <c r="P1112" s="205" t="e">
        <v>#N/A</v>
      </c>
      <c r="Q1112" s="189" t="e">
        <v>#N/A</v>
      </c>
      <c r="R1112" s="189" t="e">
        <v>#N/A</v>
      </c>
      <c r="S1112" s="205" t="e">
        <v>#N/A</v>
      </c>
      <c r="T1112" s="206"/>
    </row>
    <row r="1113">
      <c r="C1113" s="189" t="e">
        <v>#N/A</v>
      </c>
      <c r="D1113" s="189" t="e">
        <v>#N/A</v>
      </c>
      <c r="E1113" s="189" t="e">
        <v>#N/A</v>
      </c>
      <c r="F1113" s="189" t="e">
        <v>#N/A</v>
      </c>
      <c r="G1113" s="189" t="e">
        <v>#N/A</v>
      </c>
      <c r="H1113" s="189" t="e">
        <v>#N/A</v>
      </c>
      <c r="I1113" s="189" t="e">
        <v>#N/A</v>
      </c>
      <c r="J1113" s="189" t="e">
        <v>#N/A</v>
      </c>
      <c r="K1113" s="204" t="e">
        <v>#N/A</v>
      </c>
      <c r="L1113" s="204" t="e">
        <v>#N/A</v>
      </c>
      <c r="M1113" s="205" t="e">
        <v>#N/A</v>
      </c>
      <c r="N1113" s="205" t="e">
        <v>#N/A</v>
      </c>
      <c r="O1113" s="205" t="e">
        <v>#N/A</v>
      </c>
      <c r="P1113" s="205" t="e">
        <v>#N/A</v>
      </c>
      <c r="Q1113" s="189" t="e">
        <v>#N/A</v>
      </c>
      <c r="R1113" s="189" t="e">
        <v>#N/A</v>
      </c>
      <c r="S1113" s="205" t="e">
        <v>#N/A</v>
      </c>
      <c r="T1113" s="206"/>
    </row>
    <row r="1114">
      <c r="C1114" s="189" t="e">
        <v>#N/A</v>
      </c>
      <c r="D1114" s="189" t="e">
        <v>#N/A</v>
      </c>
      <c r="E1114" s="189" t="e">
        <v>#N/A</v>
      </c>
      <c r="F1114" s="189" t="e">
        <v>#N/A</v>
      </c>
      <c r="G1114" s="189" t="e">
        <v>#N/A</v>
      </c>
      <c r="H1114" s="189" t="e">
        <v>#N/A</v>
      </c>
      <c r="I1114" s="189" t="e">
        <v>#N/A</v>
      </c>
      <c r="J1114" s="189" t="e">
        <v>#N/A</v>
      </c>
      <c r="K1114" s="204" t="e">
        <v>#N/A</v>
      </c>
      <c r="L1114" s="204" t="e">
        <v>#N/A</v>
      </c>
      <c r="M1114" s="205" t="e">
        <v>#N/A</v>
      </c>
      <c r="N1114" s="205" t="e">
        <v>#N/A</v>
      </c>
      <c r="O1114" s="205" t="e">
        <v>#N/A</v>
      </c>
      <c r="P1114" s="205" t="e">
        <v>#N/A</v>
      </c>
      <c r="Q1114" s="189" t="e">
        <v>#N/A</v>
      </c>
      <c r="R1114" s="189" t="e">
        <v>#N/A</v>
      </c>
      <c r="S1114" s="205" t="e">
        <v>#N/A</v>
      </c>
      <c r="T1114" s="206"/>
    </row>
    <row r="1115">
      <c r="C1115" s="189" t="e">
        <v>#N/A</v>
      </c>
      <c r="D1115" s="189" t="e">
        <v>#N/A</v>
      </c>
      <c r="E1115" s="189" t="e">
        <v>#N/A</v>
      </c>
      <c r="F1115" s="189" t="e">
        <v>#N/A</v>
      </c>
      <c r="G1115" s="189" t="e">
        <v>#N/A</v>
      </c>
      <c r="H1115" s="189" t="e">
        <v>#N/A</v>
      </c>
      <c r="I1115" s="189" t="e">
        <v>#N/A</v>
      </c>
      <c r="J1115" s="189" t="e">
        <v>#N/A</v>
      </c>
      <c r="K1115" s="204" t="e">
        <v>#N/A</v>
      </c>
      <c r="L1115" s="204" t="e">
        <v>#N/A</v>
      </c>
      <c r="M1115" s="205" t="e">
        <v>#N/A</v>
      </c>
      <c r="N1115" s="205" t="e">
        <v>#N/A</v>
      </c>
      <c r="O1115" s="205" t="e">
        <v>#N/A</v>
      </c>
      <c r="P1115" s="205" t="e">
        <v>#N/A</v>
      </c>
      <c r="Q1115" s="189" t="e">
        <v>#N/A</v>
      </c>
      <c r="R1115" s="189" t="e">
        <v>#N/A</v>
      </c>
      <c r="S1115" s="205" t="e">
        <v>#N/A</v>
      </c>
      <c r="T1115" s="206"/>
    </row>
    <row r="1116">
      <c r="C1116" s="189" t="e">
        <v>#N/A</v>
      </c>
      <c r="D1116" s="189" t="e">
        <v>#N/A</v>
      </c>
      <c r="E1116" s="189" t="e">
        <v>#N/A</v>
      </c>
      <c r="F1116" s="189" t="e">
        <v>#N/A</v>
      </c>
      <c r="G1116" s="189" t="e">
        <v>#N/A</v>
      </c>
      <c r="H1116" s="189" t="e">
        <v>#N/A</v>
      </c>
      <c r="I1116" s="189" t="e">
        <v>#N/A</v>
      </c>
      <c r="J1116" s="189" t="e">
        <v>#N/A</v>
      </c>
      <c r="K1116" s="204" t="e">
        <v>#N/A</v>
      </c>
      <c r="L1116" s="204" t="e">
        <v>#N/A</v>
      </c>
      <c r="M1116" s="205" t="e">
        <v>#N/A</v>
      </c>
      <c r="N1116" s="205" t="e">
        <v>#N/A</v>
      </c>
      <c r="O1116" s="205" t="e">
        <v>#N/A</v>
      </c>
      <c r="P1116" s="205" t="e">
        <v>#N/A</v>
      </c>
      <c r="Q1116" s="189" t="e">
        <v>#N/A</v>
      </c>
      <c r="R1116" s="189" t="e">
        <v>#N/A</v>
      </c>
      <c r="S1116" s="205" t="e">
        <v>#N/A</v>
      </c>
      <c r="T1116" s="206"/>
    </row>
    <row r="1117">
      <c r="C1117" s="189" t="e">
        <v>#N/A</v>
      </c>
      <c r="D1117" s="189" t="e">
        <v>#N/A</v>
      </c>
      <c r="E1117" s="189" t="e">
        <v>#N/A</v>
      </c>
      <c r="F1117" s="189" t="e">
        <v>#N/A</v>
      </c>
      <c r="G1117" s="189" t="e">
        <v>#N/A</v>
      </c>
      <c r="H1117" s="189" t="e">
        <v>#N/A</v>
      </c>
      <c r="I1117" s="189" t="e">
        <v>#N/A</v>
      </c>
      <c r="J1117" s="189" t="e">
        <v>#N/A</v>
      </c>
      <c r="K1117" s="204" t="e">
        <v>#N/A</v>
      </c>
      <c r="L1117" s="204" t="e">
        <v>#N/A</v>
      </c>
      <c r="M1117" s="205" t="e">
        <v>#N/A</v>
      </c>
      <c r="N1117" s="205" t="e">
        <v>#N/A</v>
      </c>
      <c r="O1117" s="205" t="e">
        <v>#N/A</v>
      </c>
      <c r="P1117" s="205" t="e">
        <v>#N/A</v>
      </c>
      <c r="Q1117" s="189" t="e">
        <v>#N/A</v>
      </c>
      <c r="R1117" s="189" t="e">
        <v>#N/A</v>
      </c>
      <c r="S1117" s="205" t="e">
        <v>#N/A</v>
      </c>
      <c r="T1117" s="206"/>
    </row>
    <row r="1118">
      <c r="C1118" s="189" t="e">
        <v>#N/A</v>
      </c>
      <c r="D1118" s="189" t="e">
        <v>#N/A</v>
      </c>
      <c r="E1118" s="189" t="e">
        <v>#N/A</v>
      </c>
      <c r="F1118" s="189" t="e">
        <v>#N/A</v>
      </c>
      <c r="G1118" s="189" t="e">
        <v>#N/A</v>
      </c>
      <c r="H1118" s="189" t="e">
        <v>#N/A</v>
      </c>
      <c r="I1118" s="189" t="e">
        <v>#N/A</v>
      </c>
      <c r="J1118" s="189" t="e">
        <v>#N/A</v>
      </c>
      <c r="K1118" s="204" t="e">
        <v>#N/A</v>
      </c>
      <c r="L1118" s="204" t="e">
        <v>#N/A</v>
      </c>
      <c r="M1118" s="205" t="e">
        <v>#N/A</v>
      </c>
      <c r="N1118" s="205" t="e">
        <v>#N/A</v>
      </c>
      <c r="O1118" s="205" t="e">
        <v>#N/A</v>
      </c>
      <c r="P1118" s="205" t="e">
        <v>#N/A</v>
      </c>
      <c r="Q1118" s="189" t="e">
        <v>#N/A</v>
      </c>
      <c r="R1118" s="189" t="e">
        <v>#N/A</v>
      </c>
      <c r="S1118" s="205" t="e">
        <v>#N/A</v>
      </c>
      <c r="T1118" s="206"/>
    </row>
    <row r="1119">
      <c r="C1119" s="189" t="e">
        <v>#N/A</v>
      </c>
      <c r="D1119" s="189" t="e">
        <v>#N/A</v>
      </c>
      <c r="E1119" s="189" t="e">
        <v>#N/A</v>
      </c>
      <c r="F1119" s="189" t="e">
        <v>#N/A</v>
      </c>
      <c r="G1119" s="189" t="e">
        <v>#N/A</v>
      </c>
      <c r="H1119" s="189" t="e">
        <v>#N/A</v>
      </c>
      <c r="I1119" s="189" t="e">
        <v>#N/A</v>
      </c>
      <c r="J1119" s="189" t="e">
        <v>#N/A</v>
      </c>
      <c r="K1119" s="204" t="e">
        <v>#N/A</v>
      </c>
      <c r="L1119" s="204" t="e">
        <v>#N/A</v>
      </c>
      <c r="M1119" s="205" t="e">
        <v>#N/A</v>
      </c>
      <c r="N1119" s="205" t="e">
        <v>#N/A</v>
      </c>
      <c r="O1119" s="205" t="e">
        <v>#N/A</v>
      </c>
      <c r="P1119" s="205" t="e">
        <v>#N/A</v>
      </c>
      <c r="Q1119" s="189" t="e">
        <v>#N/A</v>
      </c>
      <c r="R1119" s="189" t="e">
        <v>#N/A</v>
      </c>
      <c r="S1119" s="205" t="e">
        <v>#N/A</v>
      </c>
      <c r="T1119" s="206"/>
    </row>
    <row r="1120">
      <c r="C1120" s="189" t="e">
        <v>#N/A</v>
      </c>
      <c r="D1120" s="189" t="e">
        <v>#N/A</v>
      </c>
      <c r="E1120" s="189" t="e">
        <v>#N/A</v>
      </c>
      <c r="F1120" s="189" t="e">
        <v>#N/A</v>
      </c>
      <c r="G1120" s="189" t="e">
        <v>#N/A</v>
      </c>
      <c r="H1120" s="189" t="e">
        <v>#N/A</v>
      </c>
      <c r="I1120" s="189" t="e">
        <v>#N/A</v>
      </c>
      <c r="J1120" s="189" t="e">
        <v>#N/A</v>
      </c>
      <c r="K1120" s="204" t="e">
        <v>#N/A</v>
      </c>
      <c r="L1120" s="204" t="e">
        <v>#N/A</v>
      </c>
      <c r="M1120" s="205" t="e">
        <v>#N/A</v>
      </c>
      <c r="N1120" s="205" t="e">
        <v>#N/A</v>
      </c>
      <c r="O1120" s="205" t="e">
        <v>#N/A</v>
      </c>
      <c r="P1120" s="205" t="e">
        <v>#N/A</v>
      </c>
      <c r="Q1120" s="189" t="e">
        <v>#N/A</v>
      </c>
      <c r="R1120" s="189" t="e">
        <v>#N/A</v>
      </c>
      <c r="S1120" s="205" t="e">
        <v>#N/A</v>
      </c>
      <c r="T1120" s="206"/>
    </row>
    <row r="1121">
      <c r="C1121" s="189" t="e">
        <v>#N/A</v>
      </c>
      <c r="D1121" s="189" t="e">
        <v>#N/A</v>
      </c>
      <c r="E1121" s="189" t="e">
        <v>#N/A</v>
      </c>
      <c r="F1121" s="189" t="e">
        <v>#N/A</v>
      </c>
      <c r="G1121" s="189" t="e">
        <v>#N/A</v>
      </c>
      <c r="H1121" s="189" t="e">
        <v>#N/A</v>
      </c>
      <c r="I1121" s="189" t="e">
        <v>#N/A</v>
      </c>
      <c r="J1121" s="189" t="e">
        <v>#N/A</v>
      </c>
      <c r="K1121" s="204" t="e">
        <v>#N/A</v>
      </c>
      <c r="L1121" s="204" t="e">
        <v>#N/A</v>
      </c>
      <c r="M1121" s="205" t="e">
        <v>#N/A</v>
      </c>
      <c r="N1121" s="205" t="e">
        <v>#N/A</v>
      </c>
      <c r="O1121" s="205" t="e">
        <v>#N/A</v>
      </c>
      <c r="P1121" s="205" t="e">
        <v>#N/A</v>
      </c>
      <c r="Q1121" s="189" t="e">
        <v>#N/A</v>
      </c>
      <c r="R1121" s="189" t="e">
        <v>#N/A</v>
      </c>
      <c r="S1121" s="205" t="e">
        <v>#N/A</v>
      </c>
      <c r="T1121" s="206"/>
    </row>
    <row r="1122">
      <c r="C1122" s="189" t="e">
        <v>#N/A</v>
      </c>
      <c r="D1122" s="189" t="e">
        <v>#N/A</v>
      </c>
      <c r="E1122" s="189" t="e">
        <v>#N/A</v>
      </c>
      <c r="F1122" s="189" t="e">
        <v>#N/A</v>
      </c>
      <c r="G1122" s="189" t="e">
        <v>#N/A</v>
      </c>
      <c r="H1122" s="189" t="e">
        <v>#N/A</v>
      </c>
      <c r="I1122" s="189" t="e">
        <v>#N/A</v>
      </c>
      <c r="J1122" s="189" t="e">
        <v>#N/A</v>
      </c>
      <c r="K1122" s="204" t="e">
        <v>#N/A</v>
      </c>
      <c r="L1122" s="204" t="e">
        <v>#N/A</v>
      </c>
      <c r="M1122" s="205" t="e">
        <v>#N/A</v>
      </c>
      <c r="N1122" s="205" t="e">
        <v>#N/A</v>
      </c>
      <c r="O1122" s="205" t="e">
        <v>#N/A</v>
      </c>
      <c r="P1122" s="205" t="e">
        <v>#N/A</v>
      </c>
      <c r="Q1122" s="189" t="e">
        <v>#N/A</v>
      </c>
      <c r="R1122" s="189" t="e">
        <v>#N/A</v>
      </c>
      <c r="S1122" s="205" t="e">
        <v>#N/A</v>
      </c>
      <c r="T1122" s="206"/>
    </row>
    <row r="1123">
      <c r="C1123" s="189" t="e">
        <v>#N/A</v>
      </c>
      <c r="D1123" s="189" t="e">
        <v>#N/A</v>
      </c>
      <c r="E1123" s="189" t="e">
        <v>#N/A</v>
      </c>
      <c r="F1123" s="189" t="e">
        <v>#N/A</v>
      </c>
      <c r="G1123" s="189" t="e">
        <v>#N/A</v>
      </c>
      <c r="H1123" s="189" t="e">
        <v>#N/A</v>
      </c>
      <c r="I1123" s="189" t="e">
        <v>#N/A</v>
      </c>
      <c r="J1123" s="189" t="e">
        <v>#N/A</v>
      </c>
      <c r="K1123" s="204" t="e">
        <v>#N/A</v>
      </c>
      <c r="L1123" s="204" t="e">
        <v>#N/A</v>
      </c>
      <c r="M1123" s="205" t="e">
        <v>#N/A</v>
      </c>
      <c r="N1123" s="205" t="e">
        <v>#N/A</v>
      </c>
      <c r="O1123" s="205" t="e">
        <v>#N/A</v>
      </c>
      <c r="P1123" s="205" t="e">
        <v>#N/A</v>
      </c>
      <c r="Q1123" s="189" t="e">
        <v>#N/A</v>
      </c>
      <c r="R1123" s="189" t="e">
        <v>#N/A</v>
      </c>
      <c r="S1123" s="205" t="e">
        <v>#N/A</v>
      </c>
      <c r="T1123" s="206"/>
    </row>
    <row r="1124">
      <c r="C1124" s="189" t="e">
        <v>#N/A</v>
      </c>
      <c r="D1124" s="189" t="e">
        <v>#N/A</v>
      </c>
      <c r="E1124" s="189" t="e">
        <v>#N/A</v>
      </c>
      <c r="F1124" s="189" t="e">
        <v>#N/A</v>
      </c>
      <c r="G1124" s="189" t="e">
        <v>#N/A</v>
      </c>
      <c r="H1124" s="189" t="e">
        <v>#N/A</v>
      </c>
      <c r="I1124" s="189" t="e">
        <v>#N/A</v>
      </c>
      <c r="J1124" s="189" t="e">
        <v>#N/A</v>
      </c>
      <c r="K1124" s="204" t="e">
        <v>#N/A</v>
      </c>
      <c r="L1124" s="204" t="e">
        <v>#N/A</v>
      </c>
      <c r="M1124" s="205" t="e">
        <v>#N/A</v>
      </c>
      <c r="N1124" s="205" t="e">
        <v>#N/A</v>
      </c>
      <c r="O1124" s="205" t="e">
        <v>#N/A</v>
      </c>
      <c r="P1124" s="205" t="e">
        <v>#N/A</v>
      </c>
      <c r="Q1124" s="189" t="e">
        <v>#N/A</v>
      </c>
      <c r="R1124" s="189" t="e">
        <v>#N/A</v>
      </c>
      <c r="S1124" s="205" t="e">
        <v>#N/A</v>
      </c>
      <c r="T1124" s="206"/>
    </row>
    <row r="1125">
      <c r="C1125" s="189" t="e">
        <v>#N/A</v>
      </c>
      <c r="D1125" s="189" t="e">
        <v>#N/A</v>
      </c>
      <c r="E1125" s="189" t="e">
        <v>#N/A</v>
      </c>
      <c r="F1125" s="189" t="e">
        <v>#N/A</v>
      </c>
      <c r="G1125" s="189" t="e">
        <v>#N/A</v>
      </c>
      <c r="H1125" s="189" t="e">
        <v>#N/A</v>
      </c>
      <c r="I1125" s="189" t="e">
        <v>#N/A</v>
      </c>
      <c r="J1125" s="189" t="e">
        <v>#N/A</v>
      </c>
      <c r="K1125" s="204" t="e">
        <v>#N/A</v>
      </c>
      <c r="L1125" s="204" t="e">
        <v>#N/A</v>
      </c>
      <c r="M1125" s="205" t="e">
        <v>#N/A</v>
      </c>
      <c r="N1125" s="205" t="e">
        <v>#N/A</v>
      </c>
      <c r="O1125" s="205" t="e">
        <v>#N/A</v>
      </c>
      <c r="P1125" s="205" t="e">
        <v>#N/A</v>
      </c>
      <c r="Q1125" s="189" t="e">
        <v>#N/A</v>
      </c>
      <c r="R1125" s="189" t="e">
        <v>#N/A</v>
      </c>
      <c r="S1125" s="205" t="e">
        <v>#N/A</v>
      </c>
      <c r="T1125" s="206"/>
    </row>
    <row r="1126">
      <c r="C1126" s="189" t="e">
        <v>#N/A</v>
      </c>
      <c r="D1126" s="189" t="e">
        <v>#N/A</v>
      </c>
      <c r="E1126" s="189" t="e">
        <v>#N/A</v>
      </c>
      <c r="F1126" s="189" t="e">
        <v>#N/A</v>
      </c>
      <c r="G1126" s="189" t="e">
        <v>#N/A</v>
      </c>
      <c r="H1126" s="189" t="e">
        <v>#N/A</v>
      </c>
      <c r="I1126" s="189" t="e">
        <v>#N/A</v>
      </c>
      <c r="J1126" s="189" t="e">
        <v>#N/A</v>
      </c>
      <c r="K1126" s="204" t="e">
        <v>#N/A</v>
      </c>
      <c r="L1126" s="204" t="e">
        <v>#N/A</v>
      </c>
      <c r="M1126" s="205" t="e">
        <v>#N/A</v>
      </c>
      <c r="N1126" s="205" t="e">
        <v>#N/A</v>
      </c>
      <c r="O1126" s="205" t="e">
        <v>#N/A</v>
      </c>
      <c r="P1126" s="205" t="e">
        <v>#N/A</v>
      </c>
      <c r="Q1126" s="189" t="e">
        <v>#N/A</v>
      </c>
      <c r="R1126" s="189" t="e">
        <v>#N/A</v>
      </c>
      <c r="S1126" s="205" t="e">
        <v>#N/A</v>
      </c>
      <c r="T1126" s="206"/>
    </row>
    <row r="1127">
      <c r="C1127" s="189" t="e">
        <v>#N/A</v>
      </c>
      <c r="D1127" s="189" t="e">
        <v>#N/A</v>
      </c>
      <c r="E1127" s="189" t="e">
        <v>#N/A</v>
      </c>
      <c r="F1127" s="189" t="e">
        <v>#N/A</v>
      </c>
      <c r="G1127" s="189" t="e">
        <v>#N/A</v>
      </c>
      <c r="H1127" s="189" t="e">
        <v>#N/A</v>
      </c>
      <c r="I1127" s="189" t="e">
        <v>#N/A</v>
      </c>
      <c r="J1127" s="189" t="e">
        <v>#N/A</v>
      </c>
      <c r="K1127" s="204" t="e">
        <v>#N/A</v>
      </c>
      <c r="L1127" s="204" t="e">
        <v>#N/A</v>
      </c>
      <c r="M1127" s="205" t="e">
        <v>#N/A</v>
      </c>
      <c r="N1127" s="205" t="e">
        <v>#N/A</v>
      </c>
      <c r="O1127" s="205" t="e">
        <v>#N/A</v>
      </c>
      <c r="P1127" s="205" t="e">
        <v>#N/A</v>
      </c>
      <c r="Q1127" s="189" t="e">
        <v>#N/A</v>
      </c>
      <c r="R1127" s="189" t="e">
        <v>#N/A</v>
      </c>
      <c r="S1127" s="205" t="e">
        <v>#N/A</v>
      </c>
      <c r="T1127" s="206"/>
    </row>
    <row r="1128">
      <c r="C1128" s="189" t="e">
        <v>#N/A</v>
      </c>
      <c r="D1128" s="189" t="e">
        <v>#N/A</v>
      </c>
      <c r="E1128" s="189" t="e">
        <v>#N/A</v>
      </c>
      <c r="F1128" s="189" t="e">
        <v>#N/A</v>
      </c>
      <c r="G1128" s="189" t="e">
        <v>#N/A</v>
      </c>
      <c r="H1128" s="189" t="e">
        <v>#N/A</v>
      </c>
      <c r="I1128" s="189" t="e">
        <v>#N/A</v>
      </c>
      <c r="J1128" s="189" t="e">
        <v>#N/A</v>
      </c>
      <c r="K1128" s="204" t="e">
        <v>#N/A</v>
      </c>
      <c r="L1128" s="204" t="e">
        <v>#N/A</v>
      </c>
      <c r="M1128" s="205" t="e">
        <v>#N/A</v>
      </c>
      <c r="N1128" s="205" t="e">
        <v>#N/A</v>
      </c>
      <c r="O1128" s="205" t="e">
        <v>#N/A</v>
      </c>
      <c r="P1128" s="205" t="e">
        <v>#N/A</v>
      </c>
      <c r="Q1128" s="189" t="e">
        <v>#N/A</v>
      </c>
      <c r="R1128" s="189" t="e">
        <v>#N/A</v>
      </c>
      <c r="S1128" s="205" t="e">
        <v>#N/A</v>
      </c>
      <c r="T1128" s="206"/>
    </row>
    <row r="1129">
      <c r="C1129" s="189" t="e">
        <v>#N/A</v>
      </c>
      <c r="D1129" s="189" t="e">
        <v>#N/A</v>
      </c>
      <c r="E1129" s="189" t="e">
        <v>#N/A</v>
      </c>
      <c r="F1129" s="189" t="e">
        <v>#N/A</v>
      </c>
      <c r="G1129" s="189" t="e">
        <v>#N/A</v>
      </c>
      <c r="H1129" s="189" t="e">
        <v>#N/A</v>
      </c>
      <c r="I1129" s="189" t="e">
        <v>#N/A</v>
      </c>
      <c r="J1129" s="189" t="e">
        <v>#N/A</v>
      </c>
      <c r="K1129" s="204" t="e">
        <v>#N/A</v>
      </c>
      <c r="L1129" s="204" t="e">
        <v>#N/A</v>
      </c>
      <c r="M1129" s="205" t="e">
        <v>#N/A</v>
      </c>
      <c r="N1129" s="205" t="e">
        <v>#N/A</v>
      </c>
      <c r="O1129" s="205" t="e">
        <v>#N/A</v>
      </c>
      <c r="P1129" s="205" t="e">
        <v>#N/A</v>
      </c>
      <c r="Q1129" s="189" t="e">
        <v>#N/A</v>
      </c>
      <c r="R1129" s="189" t="e">
        <v>#N/A</v>
      </c>
      <c r="S1129" s="205" t="e">
        <v>#N/A</v>
      </c>
      <c r="T1129" s="206"/>
    </row>
    <row r="1130">
      <c r="C1130" s="189" t="e">
        <v>#N/A</v>
      </c>
      <c r="D1130" s="189" t="e">
        <v>#N/A</v>
      </c>
      <c r="E1130" s="189" t="e">
        <v>#N/A</v>
      </c>
      <c r="F1130" s="189" t="e">
        <v>#N/A</v>
      </c>
      <c r="G1130" s="189" t="e">
        <v>#N/A</v>
      </c>
      <c r="H1130" s="189" t="e">
        <v>#N/A</v>
      </c>
      <c r="I1130" s="189" t="e">
        <v>#N/A</v>
      </c>
      <c r="J1130" s="189" t="e">
        <v>#N/A</v>
      </c>
      <c r="K1130" s="204" t="e">
        <v>#N/A</v>
      </c>
      <c r="L1130" s="204" t="e">
        <v>#N/A</v>
      </c>
      <c r="M1130" s="205" t="e">
        <v>#N/A</v>
      </c>
      <c r="N1130" s="205" t="e">
        <v>#N/A</v>
      </c>
      <c r="O1130" s="205" t="e">
        <v>#N/A</v>
      </c>
      <c r="P1130" s="205" t="e">
        <v>#N/A</v>
      </c>
      <c r="Q1130" s="189" t="e">
        <v>#N/A</v>
      </c>
      <c r="R1130" s="189" t="e">
        <v>#N/A</v>
      </c>
      <c r="S1130" s="205" t="e">
        <v>#N/A</v>
      </c>
      <c r="T1130" s="206"/>
    </row>
    <row r="1131">
      <c r="C1131" s="189" t="e">
        <v>#N/A</v>
      </c>
      <c r="D1131" s="189" t="e">
        <v>#N/A</v>
      </c>
      <c r="E1131" s="189" t="e">
        <v>#N/A</v>
      </c>
      <c r="F1131" s="189" t="e">
        <v>#N/A</v>
      </c>
      <c r="G1131" s="189" t="e">
        <v>#N/A</v>
      </c>
      <c r="H1131" s="189" t="e">
        <v>#N/A</v>
      </c>
      <c r="I1131" s="189" t="e">
        <v>#N/A</v>
      </c>
      <c r="J1131" s="189" t="e">
        <v>#N/A</v>
      </c>
      <c r="K1131" s="204" t="e">
        <v>#N/A</v>
      </c>
      <c r="L1131" s="204" t="e">
        <v>#N/A</v>
      </c>
      <c r="M1131" s="205" t="e">
        <v>#N/A</v>
      </c>
      <c r="N1131" s="205" t="e">
        <v>#N/A</v>
      </c>
      <c r="O1131" s="205" t="e">
        <v>#N/A</v>
      </c>
      <c r="P1131" s="205" t="e">
        <v>#N/A</v>
      </c>
      <c r="Q1131" s="189" t="e">
        <v>#N/A</v>
      </c>
      <c r="R1131" s="189" t="e">
        <v>#N/A</v>
      </c>
      <c r="S1131" s="205" t="e">
        <v>#N/A</v>
      </c>
      <c r="T1131" s="206"/>
    </row>
    <row r="1132">
      <c r="C1132" s="189" t="e">
        <v>#N/A</v>
      </c>
      <c r="D1132" s="189" t="e">
        <v>#N/A</v>
      </c>
      <c r="E1132" s="189" t="e">
        <v>#N/A</v>
      </c>
      <c r="F1132" s="189" t="e">
        <v>#N/A</v>
      </c>
      <c r="G1132" s="189" t="e">
        <v>#N/A</v>
      </c>
      <c r="H1132" s="189" t="e">
        <v>#N/A</v>
      </c>
      <c r="I1132" s="189" t="e">
        <v>#N/A</v>
      </c>
      <c r="J1132" s="189" t="e">
        <v>#N/A</v>
      </c>
      <c r="K1132" s="204" t="e">
        <v>#N/A</v>
      </c>
      <c r="L1132" s="204" t="e">
        <v>#N/A</v>
      </c>
      <c r="M1132" s="205" t="e">
        <v>#N/A</v>
      </c>
      <c r="N1132" s="205" t="e">
        <v>#N/A</v>
      </c>
      <c r="O1132" s="205" t="e">
        <v>#N/A</v>
      </c>
      <c r="P1132" s="205" t="e">
        <v>#N/A</v>
      </c>
      <c r="Q1132" s="189" t="e">
        <v>#N/A</v>
      </c>
      <c r="R1132" s="189" t="e">
        <v>#N/A</v>
      </c>
      <c r="S1132" s="205" t="e">
        <v>#N/A</v>
      </c>
      <c r="T1132" s="206"/>
    </row>
    <row r="1133">
      <c r="C1133" s="189" t="e">
        <v>#N/A</v>
      </c>
      <c r="D1133" s="189" t="e">
        <v>#N/A</v>
      </c>
      <c r="E1133" s="189" t="e">
        <v>#N/A</v>
      </c>
      <c r="F1133" s="189" t="e">
        <v>#N/A</v>
      </c>
      <c r="G1133" s="189" t="e">
        <v>#N/A</v>
      </c>
      <c r="H1133" s="189" t="e">
        <v>#N/A</v>
      </c>
      <c r="I1133" s="189" t="e">
        <v>#N/A</v>
      </c>
      <c r="J1133" s="189" t="e">
        <v>#N/A</v>
      </c>
      <c r="K1133" s="204" t="e">
        <v>#N/A</v>
      </c>
      <c r="L1133" s="204" t="e">
        <v>#N/A</v>
      </c>
      <c r="M1133" s="205" t="e">
        <v>#N/A</v>
      </c>
      <c r="N1133" s="205" t="e">
        <v>#N/A</v>
      </c>
      <c r="O1133" s="205" t="e">
        <v>#N/A</v>
      </c>
      <c r="P1133" s="205" t="e">
        <v>#N/A</v>
      </c>
      <c r="Q1133" s="189" t="e">
        <v>#N/A</v>
      </c>
      <c r="R1133" s="189" t="e">
        <v>#N/A</v>
      </c>
      <c r="S1133" s="205" t="e">
        <v>#N/A</v>
      </c>
      <c r="T1133" s="206"/>
    </row>
    <row r="1134">
      <c r="C1134" s="189" t="e">
        <v>#N/A</v>
      </c>
      <c r="D1134" s="189" t="e">
        <v>#N/A</v>
      </c>
      <c r="E1134" s="189" t="e">
        <v>#N/A</v>
      </c>
      <c r="F1134" s="189" t="e">
        <v>#N/A</v>
      </c>
      <c r="G1134" s="189" t="e">
        <v>#N/A</v>
      </c>
      <c r="H1134" s="189" t="e">
        <v>#N/A</v>
      </c>
      <c r="I1134" s="189" t="e">
        <v>#N/A</v>
      </c>
      <c r="J1134" s="189" t="e">
        <v>#N/A</v>
      </c>
      <c r="K1134" s="204" t="e">
        <v>#N/A</v>
      </c>
      <c r="L1134" s="204" t="e">
        <v>#N/A</v>
      </c>
      <c r="M1134" s="205" t="e">
        <v>#N/A</v>
      </c>
      <c r="N1134" s="205" t="e">
        <v>#N/A</v>
      </c>
      <c r="O1134" s="205" t="e">
        <v>#N/A</v>
      </c>
      <c r="P1134" s="205" t="e">
        <v>#N/A</v>
      </c>
      <c r="Q1134" s="189" t="e">
        <v>#N/A</v>
      </c>
      <c r="R1134" s="189" t="e">
        <v>#N/A</v>
      </c>
      <c r="S1134" s="205" t="e">
        <v>#N/A</v>
      </c>
      <c r="T1134" s="206"/>
    </row>
    <row r="1135">
      <c r="C1135" s="189" t="e">
        <v>#N/A</v>
      </c>
      <c r="D1135" s="189" t="e">
        <v>#N/A</v>
      </c>
      <c r="E1135" s="189" t="e">
        <v>#N/A</v>
      </c>
      <c r="F1135" s="189" t="e">
        <v>#N/A</v>
      </c>
      <c r="G1135" s="189" t="e">
        <v>#N/A</v>
      </c>
      <c r="H1135" s="189" t="e">
        <v>#N/A</v>
      </c>
      <c r="I1135" s="189" t="e">
        <v>#N/A</v>
      </c>
      <c r="J1135" s="189" t="e">
        <v>#N/A</v>
      </c>
      <c r="K1135" s="204" t="e">
        <v>#N/A</v>
      </c>
      <c r="L1135" s="204" t="e">
        <v>#N/A</v>
      </c>
      <c r="M1135" s="205" t="e">
        <v>#N/A</v>
      </c>
      <c r="N1135" s="205" t="e">
        <v>#N/A</v>
      </c>
      <c r="O1135" s="205" t="e">
        <v>#N/A</v>
      </c>
      <c r="P1135" s="205" t="e">
        <v>#N/A</v>
      </c>
      <c r="Q1135" s="189" t="e">
        <v>#N/A</v>
      </c>
      <c r="R1135" s="189" t="e">
        <v>#N/A</v>
      </c>
      <c r="S1135" s="205" t="e">
        <v>#N/A</v>
      </c>
      <c r="T1135" s="206"/>
    </row>
    <row r="1136">
      <c r="C1136" s="189" t="e">
        <v>#N/A</v>
      </c>
      <c r="D1136" s="189" t="e">
        <v>#N/A</v>
      </c>
      <c r="E1136" s="189" t="e">
        <v>#N/A</v>
      </c>
      <c r="F1136" s="189" t="e">
        <v>#N/A</v>
      </c>
      <c r="G1136" s="189" t="e">
        <v>#N/A</v>
      </c>
      <c r="H1136" s="189" t="e">
        <v>#N/A</v>
      </c>
      <c r="I1136" s="189" t="e">
        <v>#N/A</v>
      </c>
      <c r="J1136" s="189" t="e">
        <v>#N/A</v>
      </c>
      <c r="K1136" s="204" t="e">
        <v>#N/A</v>
      </c>
      <c r="L1136" s="204" t="e">
        <v>#N/A</v>
      </c>
      <c r="M1136" s="205" t="e">
        <v>#N/A</v>
      </c>
      <c r="N1136" s="205" t="e">
        <v>#N/A</v>
      </c>
      <c r="O1136" s="205" t="e">
        <v>#N/A</v>
      </c>
      <c r="P1136" s="205" t="e">
        <v>#N/A</v>
      </c>
      <c r="Q1136" s="189" t="e">
        <v>#N/A</v>
      </c>
      <c r="R1136" s="189" t="e">
        <v>#N/A</v>
      </c>
      <c r="S1136" s="205" t="e">
        <v>#N/A</v>
      </c>
      <c r="T1136" s="206"/>
    </row>
    <row r="1137">
      <c r="C1137" s="189" t="e">
        <v>#N/A</v>
      </c>
      <c r="D1137" s="189" t="e">
        <v>#N/A</v>
      </c>
      <c r="E1137" s="189" t="e">
        <v>#N/A</v>
      </c>
      <c r="F1137" s="189" t="e">
        <v>#N/A</v>
      </c>
      <c r="G1137" s="189" t="e">
        <v>#N/A</v>
      </c>
      <c r="H1137" s="189" t="e">
        <v>#N/A</v>
      </c>
      <c r="I1137" s="189" t="e">
        <v>#N/A</v>
      </c>
      <c r="J1137" s="189" t="e">
        <v>#N/A</v>
      </c>
      <c r="K1137" s="204" t="e">
        <v>#N/A</v>
      </c>
      <c r="L1137" s="204" t="e">
        <v>#N/A</v>
      </c>
      <c r="M1137" s="205" t="e">
        <v>#N/A</v>
      </c>
      <c r="N1137" s="205" t="e">
        <v>#N/A</v>
      </c>
      <c r="O1137" s="205" t="e">
        <v>#N/A</v>
      </c>
      <c r="P1137" s="205" t="e">
        <v>#N/A</v>
      </c>
      <c r="Q1137" s="189" t="e">
        <v>#N/A</v>
      </c>
      <c r="R1137" s="189" t="e">
        <v>#N/A</v>
      </c>
      <c r="S1137" s="205" t="e">
        <v>#N/A</v>
      </c>
      <c r="T1137" s="206"/>
    </row>
    <row r="1138">
      <c r="C1138" s="189" t="e">
        <v>#N/A</v>
      </c>
      <c r="D1138" s="189" t="e">
        <v>#N/A</v>
      </c>
      <c r="E1138" s="189" t="e">
        <v>#N/A</v>
      </c>
      <c r="F1138" s="189" t="e">
        <v>#N/A</v>
      </c>
      <c r="G1138" s="189" t="e">
        <v>#N/A</v>
      </c>
      <c r="H1138" s="189" t="e">
        <v>#N/A</v>
      </c>
      <c r="I1138" s="189" t="e">
        <v>#N/A</v>
      </c>
      <c r="J1138" s="189" t="e">
        <v>#N/A</v>
      </c>
      <c r="K1138" s="204" t="e">
        <v>#N/A</v>
      </c>
      <c r="L1138" s="204" t="e">
        <v>#N/A</v>
      </c>
      <c r="M1138" s="205" t="e">
        <v>#N/A</v>
      </c>
      <c r="N1138" s="205" t="e">
        <v>#N/A</v>
      </c>
      <c r="O1138" s="205" t="e">
        <v>#N/A</v>
      </c>
      <c r="P1138" s="205" t="e">
        <v>#N/A</v>
      </c>
      <c r="Q1138" s="189" t="e">
        <v>#N/A</v>
      </c>
      <c r="R1138" s="189" t="e">
        <v>#N/A</v>
      </c>
      <c r="S1138" s="205" t="e">
        <v>#N/A</v>
      </c>
      <c r="T1138" s="206"/>
    </row>
    <row r="1139">
      <c r="C1139" s="189" t="e">
        <v>#N/A</v>
      </c>
      <c r="D1139" s="189" t="e">
        <v>#N/A</v>
      </c>
      <c r="E1139" s="189" t="e">
        <v>#N/A</v>
      </c>
      <c r="F1139" s="189" t="e">
        <v>#N/A</v>
      </c>
      <c r="G1139" s="189" t="e">
        <v>#N/A</v>
      </c>
      <c r="H1139" s="189" t="e">
        <v>#N/A</v>
      </c>
      <c r="I1139" s="189" t="e">
        <v>#N/A</v>
      </c>
      <c r="J1139" s="189" t="e">
        <v>#N/A</v>
      </c>
      <c r="K1139" s="204" t="e">
        <v>#N/A</v>
      </c>
      <c r="L1139" s="204" t="e">
        <v>#N/A</v>
      </c>
      <c r="M1139" s="205" t="e">
        <v>#N/A</v>
      </c>
      <c r="N1139" s="205" t="e">
        <v>#N/A</v>
      </c>
      <c r="O1139" s="205" t="e">
        <v>#N/A</v>
      </c>
      <c r="P1139" s="205" t="e">
        <v>#N/A</v>
      </c>
      <c r="Q1139" s="189" t="e">
        <v>#N/A</v>
      </c>
      <c r="R1139" s="189" t="e">
        <v>#N/A</v>
      </c>
      <c r="S1139" s="205" t="e">
        <v>#N/A</v>
      </c>
      <c r="T1139" s="206"/>
    </row>
    <row r="1140">
      <c r="C1140" s="189" t="e">
        <v>#N/A</v>
      </c>
      <c r="D1140" s="189" t="e">
        <v>#N/A</v>
      </c>
      <c r="E1140" s="189" t="e">
        <v>#N/A</v>
      </c>
      <c r="F1140" s="189" t="e">
        <v>#N/A</v>
      </c>
      <c r="G1140" s="189" t="e">
        <v>#N/A</v>
      </c>
      <c r="H1140" s="189" t="e">
        <v>#N/A</v>
      </c>
      <c r="I1140" s="189" t="e">
        <v>#N/A</v>
      </c>
      <c r="J1140" s="189" t="e">
        <v>#N/A</v>
      </c>
      <c r="K1140" s="204" t="e">
        <v>#N/A</v>
      </c>
      <c r="L1140" s="204" t="e">
        <v>#N/A</v>
      </c>
      <c r="M1140" s="205" t="e">
        <v>#N/A</v>
      </c>
      <c r="N1140" s="205" t="e">
        <v>#N/A</v>
      </c>
      <c r="O1140" s="205" t="e">
        <v>#N/A</v>
      </c>
      <c r="P1140" s="205" t="e">
        <v>#N/A</v>
      </c>
      <c r="Q1140" s="189" t="e">
        <v>#N/A</v>
      </c>
      <c r="R1140" s="189" t="e">
        <v>#N/A</v>
      </c>
      <c r="S1140" s="205" t="e">
        <v>#N/A</v>
      </c>
      <c r="T1140" s="206"/>
    </row>
    <row r="1141">
      <c r="C1141" s="189" t="e">
        <v>#N/A</v>
      </c>
      <c r="D1141" s="189" t="e">
        <v>#N/A</v>
      </c>
      <c r="E1141" s="189" t="e">
        <v>#N/A</v>
      </c>
      <c r="F1141" s="189" t="e">
        <v>#N/A</v>
      </c>
      <c r="G1141" s="189" t="e">
        <v>#N/A</v>
      </c>
      <c r="H1141" s="189" t="e">
        <v>#N/A</v>
      </c>
      <c r="I1141" s="189" t="e">
        <v>#N/A</v>
      </c>
      <c r="J1141" s="189" t="e">
        <v>#N/A</v>
      </c>
      <c r="K1141" s="204" t="e">
        <v>#N/A</v>
      </c>
      <c r="L1141" s="204" t="e">
        <v>#N/A</v>
      </c>
      <c r="M1141" s="205" t="e">
        <v>#N/A</v>
      </c>
      <c r="N1141" s="205" t="e">
        <v>#N/A</v>
      </c>
      <c r="O1141" s="205" t="e">
        <v>#N/A</v>
      </c>
      <c r="P1141" s="205" t="e">
        <v>#N/A</v>
      </c>
      <c r="Q1141" s="189" t="e">
        <v>#N/A</v>
      </c>
      <c r="R1141" s="189" t="e">
        <v>#N/A</v>
      </c>
      <c r="S1141" s="205" t="e">
        <v>#N/A</v>
      </c>
      <c r="T1141" s="206"/>
    </row>
    <row r="1142">
      <c r="C1142" s="189" t="e">
        <v>#N/A</v>
      </c>
      <c r="D1142" s="189" t="e">
        <v>#N/A</v>
      </c>
      <c r="E1142" s="189" t="e">
        <v>#N/A</v>
      </c>
      <c r="F1142" s="189" t="e">
        <v>#N/A</v>
      </c>
      <c r="G1142" s="189" t="e">
        <v>#N/A</v>
      </c>
      <c r="H1142" s="189" t="e">
        <v>#N/A</v>
      </c>
      <c r="I1142" s="189" t="e">
        <v>#N/A</v>
      </c>
      <c r="J1142" s="189" t="e">
        <v>#N/A</v>
      </c>
      <c r="K1142" s="204" t="e">
        <v>#N/A</v>
      </c>
      <c r="L1142" s="204" t="e">
        <v>#N/A</v>
      </c>
      <c r="M1142" s="205" t="e">
        <v>#N/A</v>
      </c>
      <c r="N1142" s="205" t="e">
        <v>#N/A</v>
      </c>
      <c r="O1142" s="205" t="e">
        <v>#N/A</v>
      </c>
      <c r="P1142" s="205" t="e">
        <v>#N/A</v>
      </c>
      <c r="Q1142" s="189" t="e">
        <v>#N/A</v>
      </c>
      <c r="R1142" s="189" t="e">
        <v>#N/A</v>
      </c>
      <c r="S1142" s="205" t="e">
        <v>#N/A</v>
      </c>
      <c r="T1142" s="206"/>
    </row>
    <row r="1143">
      <c r="C1143" s="189" t="e">
        <v>#N/A</v>
      </c>
      <c r="D1143" s="189" t="e">
        <v>#N/A</v>
      </c>
      <c r="E1143" s="189" t="e">
        <v>#N/A</v>
      </c>
      <c r="F1143" s="189" t="e">
        <v>#N/A</v>
      </c>
      <c r="G1143" s="189" t="e">
        <v>#N/A</v>
      </c>
      <c r="H1143" s="189" t="e">
        <v>#N/A</v>
      </c>
      <c r="I1143" s="189" t="e">
        <v>#N/A</v>
      </c>
      <c r="J1143" s="189" t="e">
        <v>#N/A</v>
      </c>
      <c r="K1143" s="204" t="e">
        <v>#N/A</v>
      </c>
      <c r="L1143" s="204" t="e">
        <v>#N/A</v>
      </c>
      <c r="M1143" s="205" t="e">
        <v>#N/A</v>
      </c>
      <c r="N1143" s="205" t="e">
        <v>#N/A</v>
      </c>
      <c r="O1143" s="205" t="e">
        <v>#N/A</v>
      </c>
      <c r="P1143" s="205" t="e">
        <v>#N/A</v>
      </c>
      <c r="Q1143" s="189" t="e">
        <v>#N/A</v>
      </c>
      <c r="R1143" s="189" t="e">
        <v>#N/A</v>
      </c>
      <c r="S1143" s="205" t="e">
        <v>#N/A</v>
      </c>
      <c r="T1143" s="206"/>
    </row>
    <row r="1144">
      <c r="C1144" s="189" t="e">
        <v>#N/A</v>
      </c>
      <c r="D1144" s="189" t="e">
        <v>#N/A</v>
      </c>
      <c r="E1144" s="189" t="e">
        <v>#N/A</v>
      </c>
      <c r="F1144" s="189" t="e">
        <v>#N/A</v>
      </c>
      <c r="G1144" s="189" t="e">
        <v>#N/A</v>
      </c>
      <c r="H1144" s="189" t="e">
        <v>#N/A</v>
      </c>
      <c r="I1144" s="189" t="e">
        <v>#N/A</v>
      </c>
      <c r="J1144" s="189" t="e">
        <v>#N/A</v>
      </c>
      <c r="K1144" s="204" t="e">
        <v>#N/A</v>
      </c>
      <c r="L1144" s="204" t="e">
        <v>#N/A</v>
      </c>
      <c r="M1144" s="205" t="e">
        <v>#N/A</v>
      </c>
      <c r="N1144" s="205" t="e">
        <v>#N/A</v>
      </c>
      <c r="O1144" s="205" t="e">
        <v>#N/A</v>
      </c>
      <c r="P1144" s="205" t="e">
        <v>#N/A</v>
      </c>
      <c r="Q1144" s="189" t="e">
        <v>#N/A</v>
      </c>
      <c r="R1144" s="189" t="e">
        <v>#N/A</v>
      </c>
      <c r="S1144" s="205" t="e">
        <v>#N/A</v>
      </c>
      <c r="T1144" s="206"/>
    </row>
    <row r="1145">
      <c r="C1145" s="189" t="e">
        <v>#N/A</v>
      </c>
      <c r="D1145" s="189" t="e">
        <v>#N/A</v>
      </c>
      <c r="E1145" s="189" t="e">
        <v>#N/A</v>
      </c>
      <c r="F1145" s="189" t="e">
        <v>#N/A</v>
      </c>
      <c r="G1145" s="189" t="e">
        <v>#N/A</v>
      </c>
      <c r="H1145" s="189" t="e">
        <v>#N/A</v>
      </c>
      <c r="I1145" s="189" t="e">
        <v>#N/A</v>
      </c>
      <c r="J1145" s="189" t="e">
        <v>#N/A</v>
      </c>
      <c r="K1145" s="204" t="e">
        <v>#N/A</v>
      </c>
      <c r="L1145" s="204" t="e">
        <v>#N/A</v>
      </c>
      <c r="M1145" s="205" t="e">
        <v>#N/A</v>
      </c>
      <c r="N1145" s="205" t="e">
        <v>#N/A</v>
      </c>
      <c r="O1145" s="205" t="e">
        <v>#N/A</v>
      </c>
      <c r="P1145" s="205" t="e">
        <v>#N/A</v>
      </c>
      <c r="Q1145" s="189" t="e">
        <v>#N/A</v>
      </c>
      <c r="R1145" s="189" t="e">
        <v>#N/A</v>
      </c>
      <c r="S1145" s="205" t="e">
        <v>#N/A</v>
      </c>
      <c r="T1145" s="206"/>
    </row>
    <row r="1146">
      <c r="C1146" s="189" t="e">
        <v>#N/A</v>
      </c>
      <c r="D1146" s="189" t="e">
        <v>#N/A</v>
      </c>
      <c r="E1146" s="189" t="e">
        <v>#N/A</v>
      </c>
      <c r="F1146" s="189" t="e">
        <v>#N/A</v>
      </c>
      <c r="G1146" s="189" t="e">
        <v>#N/A</v>
      </c>
      <c r="H1146" s="189" t="e">
        <v>#N/A</v>
      </c>
      <c r="I1146" s="189" t="e">
        <v>#N/A</v>
      </c>
      <c r="J1146" s="189" t="e">
        <v>#N/A</v>
      </c>
      <c r="K1146" s="204" t="e">
        <v>#N/A</v>
      </c>
      <c r="L1146" s="204" t="e">
        <v>#N/A</v>
      </c>
      <c r="M1146" s="205" t="e">
        <v>#N/A</v>
      </c>
      <c r="N1146" s="205" t="e">
        <v>#N/A</v>
      </c>
      <c r="O1146" s="205" t="e">
        <v>#N/A</v>
      </c>
      <c r="P1146" s="205" t="e">
        <v>#N/A</v>
      </c>
      <c r="Q1146" s="189" t="e">
        <v>#N/A</v>
      </c>
      <c r="R1146" s="189" t="e">
        <v>#N/A</v>
      </c>
      <c r="S1146" s="205" t="e">
        <v>#N/A</v>
      </c>
      <c r="T1146" s="206"/>
    </row>
    <row r="1147">
      <c r="C1147" s="189" t="e">
        <v>#N/A</v>
      </c>
      <c r="D1147" s="189" t="e">
        <v>#N/A</v>
      </c>
      <c r="E1147" s="189" t="e">
        <v>#N/A</v>
      </c>
      <c r="F1147" s="189" t="e">
        <v>#N/A</v>
      </c>
      <c r="G1147" s="189" t="e">
        <v>#N/A</v>
      </c>
      <c r="H1147" s="189" t="e">
        <v>#N/A</v>
      </c>
      <c r="I1147" s="189" t="e">
        <v>#N/A</v>
      </c>
      <c r="J1147" s="189" t="e">
        <v>#N/A</v>
      </c>
      <c r="K1147" s="204" t="e">
        <v>#N/A</v>
      </c>
      <c r="L1147" s="204" t="e">
        <v>#N/A</v>
      </c>
      <c r="M1147" s="205" t="e">
        <v>#N/A</v>
      </c>
      <c r="N1147" s="205" t="e">
        <v>#N/A</v>
      </c>
      <c r="O1147" s="205" t="e">
        <v>#N/A</v>
      </c>
      <c r="P1147" s="205" t="e">
        <v>#N/A</v>
      </c>
      <c r="Q1147" s="189" t="e">
        <v>#N/A</v>
      </c>
      <c r="R1147" s="189" t="e">
        <v>#N/A</v>
      </c>
      <c r="S1147" s="205" t="e">
        <v>#N/A</v>
      </c>
      <c r="T1147" s="206"/>
    </row>
    <row r="1148">
      <c r="C1148" s="189" t="e">
        <v>#N/A</v>
      </c>
      <c r="D1148" s="189" t="e">
        <v>#N/A</v>
      </c>
      <c r="E1148" s="189" t="e">
        <v>#N/A</v>
      </c>
      <c r="F1148" s="189" t="e">
        <v>#N/A</v>
      </c>
      <c r="G1148" s="189" t="e">
        <v>#N/A</v>
      </c>
      <c r="H1148" s="189" t="e">
        <v>#N/A</v>
      </c>
      <c r="I1148" s="189" t="e">
        <v>#N/A</v>
      </c>
      <c r="J1148" s="189" t="e">
        <v>#N/A</v>
      </c>
      <c r="K1148" s="204" t="e">
        <v>#N/A</v>
      </c>
      <c r="L1148" s="204" t="e">
        <v>#N/A</v>
      </c>
      <c r="M1148" s="205" t="e">
        <v>#N/A</v>
      </c>
      <c r="N1148" s="205" t="e">
        <v>#N/A</v>
      </c>
      <c r="O1148" s="205" t="e">
        <v>#N/A</v>
      </c>
      <c r="P1148" s="205" t="e">
        <v>#N/A</v>
      </c>
      <c r="Q1148" s="189" t="e">
        <v>#N/A</v>
      </c>
      <c r="R1148" s="189" t="e">
        <v>#N/A</v>
      </c>
      <c r="S1148" s="205" t="e">
        <v>#N/A</v>
      </c>
      <c r="T1148" s="206"/>
    </row>
    <row r="1149">
      <c r="C1149" s="189" t="e">
        <v>#N/A</v>
      </c>
      <c r="D1149" s="189" t="e">
        <v>#N/A</v>
      </c>
      <c r="E1149" s="189" t="e">
        <v>#N/A</v>
      </c>
      <c r="F1149" s="189" t="e">
        <v>#N/A</v>
      </c>
      <c r="G1149" s="189" t="e">
        <v>#N/A</v>
      </c>
      <c r="H1149" s="189" t="e">
        <v>#N/A</v>
      </c>
      <c r="I1149" s="189" t="e">
        <v>#N/A</v>
      </c>
      <c r="J1149" s="189" t="e">
        <v>#N/A</v>
      </c>
      <c r="K1149" s="204" t="e">
        <v>#N/A</v>
      </c>
      <c r="L1149" s="204" t="e">
        <v>#N/A</v>
      </c>
      <c r="M1149" s="205" t="e">
        <v>#N/A</v>
      </c>
      <c r="N1149" s="205" t="e">
        <v>#N/A</v>
      </c>
      <c r="O1149" s="205" t="e">
        <v>#N/A</v>
      </c>
      <c r="P1149" s="205" t="e">
        <v>#N/A</v>
      </c>
      <c r="Q1149" s="189" t="e">
        <v>#N/A</v>
      </c>
      <c r="R1149" s="189" t="e">
        <v>#N/A</v>
      </c>
      <c r="S1149" s="205" t="e">
        <v>#N/A</v>
      </c>
      <c r="T1149" s="206"/>
    </row>
    <row r="1150">
      <c r="C1150" s="189" t="e">
        <v>#N/A</v>
      </c>
      <c r="D1150" s="189" t="e">
        <v>#N/A</v>
      </c>
      <c r="E1150" s="189" t="e">
        <v>#N/A</v>
      </c>
      <c r="F1150" s="189" t="e">
        <v>#N/A</v>
      </c>
      <c r="G1150" s="189" t="e">
        <v>#N/A</v>
      </c>
      <c r="H1150" s="189" t="e">
        <v>#N/A</v>
      </c>
      <c r="I1150" s="189" t="e">
        <v>#N/A</v>
      </c>
      <c r="J1150" s="189" t="e">
        <v>#N/A</v>
      </c>
      <c r="K1150" s="204" t="e">
        <v>#N/A</v>
      </c>
      <c r="L1150" s="204" t="e">
        <v>#N/A</v>
      </c>
      <c r="M1150" s="205" t="e">
        <v>#N/A</v>
      </c>
      <c r="N1150" s="205" t="e">
        <v>#N/A</v>
      </c>
      <c r="O1150" s="205" t="e">
        <v>#N/A</v>
      </c>
      <c r="P1150" s="205" t="e">
        <v>#N/A</v>
      </c>
      <c r="Q1150" s="189" t="e">
        <v>#N/A</v>
      </c>
      <c r="R1150" s="189" t="e">
        <v>#N/A</v>
      </c>
      <c r="S1150" s="205" t="e">
        <v>#N/A</v>
      </c>
      <c r="T1150" s="206"/>
    </row>
    <row r="1151">
      <c r="C1151" s="189" t="e">
        <v>#N/A</v>
      </c>
      <c r="D1151" s="189" t="e">
        <v>#N/A</v>
      </c>
      <c r="E1151" s="189" t="e">
        <v>#N/A</v>
      </c>
      <c r="F1151" s="189" t="e">
        <v>#N/A</v>
      </c>
      <c r="G1151" s="189" t="e">
        <v>#N/A</v>
      </c>
      <c r="H1151" s="189" t="e">
        <v>#N/A</v>
      </c>
      <c r="I1151" s="189" t="e">
        <v>#N/A</v>
      </c>
      <c r="J1151" s="189" t="e">
        <v>#N/A</v>
      </c>
      <c r="K1151" s="204" t="e">
        <v>#N/A</v>
      </c>
      <c r="L1151" s="204" t="e">
        <v>#N/A</v>
      </c>
      <c r="M1151" s="205" t="e">
        <v>#N/A</v>
      </c>
      <c r="N1151" s="205" t="e">
        <v>#N/A</v>
      </c>
      <c r="O1151" s="205" t="e">
        <v>#N/A</v>
      </c>
      <c r="P1151" s="205" t="e">
        <v>#N/A</v>
      </c>
      <c r="Q1151" s="189" t="e">
        <v>#N/A</v>
      </c>
      <c r="R1151" s="189" t="e">
        <v>#N/A</v>
      </c>
      <c r="S1151" s="205" t="e">
        <v>#N/A</v>
      </c>
      <c r="T1151" s="206"/>
    </row>
    <row r="1152">
      <c r="C1152" s="189" t="e">
        <v>#N/A</v>
      </c>
      <c r="D1152" s="189" t="e">
        <v>#N/A</v>
      </c>
      <c r="E1152" s="189" t="e">
        <v>#N/A</v>
      </c>
      <c r="F1152" s="189" t="e">
        <v>#N/A</v>
      </c>
      <c r="G1152" s="189" t="e">
        <v>#N/A</v>
      </c>
      <c r="H1152" s="189" t="e">
        <v>#N/A</v>
      </c>
      <c r="I1152" s="189" t="e">
        <v>#N/A</v>
      </c>
      <c r="J1152" s="189" t="e">
        <v>#N/A</v>
      </c>
      <c r="K1152" s="204" t="e">
        <v>#N/A</v>
      </c>
      <c r="L1152" s="204" t="e">
        <v>#N/A</v>
      </c>
      <c r="M1152" s="205" t="e">
        <v>#N/A</v>
      </c>
      <c r="N1152" s="205" t="e">
        <v>#N/A</v>
      </c>
      <c r="O1152" s="205" t="e">
        <v>#N/A</v>
      </c>
      <c r="P1152" s="205" t="e">
        <v>#N/A</v>
      </c>
      <c r="Q1152" s="189" t="e">
        <v>#N/A</v>
      </c>
      <c r="R1152" s="189" t="e">
        <v>#N/A</v>
      </c>
      <c r="S1152" s="205" t="e">
        <v>#N/A</v>
      </c>
      <c r="T1152" s="206"/>
    </row>
    <row r="1153">
      <c r="C1153" s="189" t="e">
        <v>#N/A</v>
      </c>
      <c r="D1153" s="189" t="e">
        <v>#N/A</v>
      </c>
      <c r="E1153" s="189" t="e">
        <v>#N/A</v>
      </c>
      <c r="F1153" s="189" t="e">
        <v>#N/A</v>
      </c>
      <c r="G1153" s="189" t="e">
        <v>#N/A</v>
      </c>
      <c r="H1153" s="189" t="e">
        <v>#N/A</v>
      </c>
      <c r="I1153" s="189" t="e">
        <v>#N/A</v>
      </c>
      <c r="J1153" s="189" t="e">
        <v>#N/A</v>
      </c>
      <c r="K1153" s="204" t="e">
        <v>#N/A</v>
      </c>
      <c r="L1153" s="204" t="e">
        <v>#N/A</v>
      </c>
      <c r="M1153" s="205" t="e">
        <v>#N/A</v>
      </c>
      <c r="N1153" s="205" t="e">
        <v>#N/A</v>
      </c>
      <c r="O1153" s="205" t="e">
        <v>#N/A</v>
      </c>
      <c r="P1153" s="205" t="e">
        <v>#N/A</v>
      </c>
      <c r="Q1153" s="189" t="e">
        <v>#N/A</v>
      </c>
      <c r="R1153" s="189" t="e">
        <v>#N/A</v>
      </c>
      <c r="S1153" s="205" t="e">
        <v>#N/A</v>
      </c>
      <c r="T1153" s="206"/>
    </row>
    <row r="1154">
      <c r="C1154" s="189" t="e">
        <v>#N/A</v>
      </c>
      <c r="D1154" s="189" t="e">
        <v>#N/A</v>
      </c>
      <c r="E1154" s="189" t="e">
        <v>#N/A</v>
      </c>
      <c r="F1154" s="189" t="e">
        <v>#N/A</v>
      </c>
      <c r="G1154" s="189" t="e">
        <v>#N/A</v>
      </c>
      <c r="H1154" s="189" t="e">
        <v>#N/A</v>
      </c>
      <c r="I1154" s="189" t="e">
        <v>#N/A</v>
      </c>
      <c r="J1154" s="189" t="e">
        <v>#N/A</v>
      </c>
      <c r="K1154" s="204" t="e">
        <v>#N/A</v>
      </c>
      <c r="L1154" s="204" t="e">
        <v>#N/A</v>
      </c>
      <c r="M1154" s="205" t="e">
        <v>#N/A</v>
      </c>
      <c r="N1154" s="205" t="e">
        <v>#N/A</v>
      </c>
      <c r="O1154" s="205" t="e">
        <v>#N/A</v>
      </c>
      <c r="P1154" s="205" t="e">
        <v>#N/A</v>
      </c>
      <c r="Q1154" s="189" t="e">
        <v>#N/A</v>
      </c>
      <c r="R1154" s="189" t="e">
        <v>#N/A</v>
      </c>
      <c r="S1154" s="205" t="e">
        <v>#N/A</v>
      </c>
      <c r="T1154" s="206"/>
    </row>
    <row r="1155">
      <c r="C1155" s="189" t="e">
        <v>#N/A</v>
      </c>
      <c r="D1155" s="189" t="e">
        <v>#N/A</v>
      </c>
      <c r="E1155" s="189" t="e">
        <v>#N/A</v>
      </c>
      <c r="F1155" s="189" t="e">
        <v>#N/A</v>
      </c>
      <c r="G1155" s="189" t="e">
        <v>#N/A</v>
      </c>
      <c r="H1155" s="189" t="e">
        <v>#N/A</v>
      </c>
      <c r="I1155" s="189" t="e">
        <v>#N/A</v>
      </c>
      <c r="J1155" s="189" t="e">
        <v>#N/A</v>
      </c>
      <c r="K1155" s="204" t="e">
        <v>#N/A</v>
      </c>
      <c r="L1155" s="204" t="e">
        <v>#N/A</v>
      </c>
      <c r="M1155" s="205" t="e">
        <v>#N/A</v>
      </c>
      <c r="N1155" s="205" t="e">
        <v>#N/A</v>
      </c>
      <c r="O1155" s="205" t="e">
        <v>#N/A</v>
      </c>
      <c r="P1155" s="205" t="e">
        <v>#N/A</v>
      </c>
      <c r="Q1155" s="189" t="e">
        <v>#N/A</v>
      </c>
      <c r="R1155" s="189" t="e">
        <v>#N/A</v>
      </c>
      <c r="S1155" s="205" t="e">
        <v>#N/A</v>
      </c>
      <c r="T1155" s="206"/>
    </row>
    <row r="1156">
      <c r="C1156" s="189" t="e">
        <v>#N/A</v>
      </c>
      <c r="D1156" s="189" t="e">
        <v>#N/A</v>
      </c>
      <c r="E1156" s="189" t="e">
        <v>#N/A</v>
      </c>
      <c r="F1156" s="189" t="e">
        <v>#N/A</v>
      </c>
      <c r="G1156" s="189" t="e">
        <v>#N/A</v>
      </c>
      <c r="H1156" s="189" t="e">
        <v>#N/A</v>
      </c>
      <c r="I1156" s="189" t="e">
        <v>#N/A</v>
      </c>
      <c r="J1156" s="189" t="e">
        <v>#N/A</v>
      </c>
      <c r="K1156" s="204" t="e">
        <v>#N/A</v>
      </c>
      <c r="L1156" s="204" t="e">
        <v>#N/A</v>
      </c>
      <c r="M1156" s="205" t="e">
        <v>#N/A</v>
      </c>
      <c r="N1156" s="205" t="e">
        <v>#N/A</v>
      </c>
      <c r="O1156" s="205" t="e">
        <v>#N/A</v>
      </c>
      <c r="P1156" s="205" t="e">
        <v>#N/A</v>
      </c>
      <c r="Q1156" s="189" t="e">
        <v>#N/A</v>
      </c>
      <c r="R1156" s="189" t="e">
        <v>#N/A</v>
      </c>
      <c r="S1156" s="205" t="e">
        <v>#N/A</v>
      </c>
      <c r="T1156" s="206"/>
    </row>
    <row r="1157">
      <c r="C1157" s="189" t="e">
        <v>#N/A</v>
      </c>
      <c r="D1157" s="189" t="e">
        <v>#N/A</v>
      </c>
      <c r="E1157" s="189" t="e">
        <v>#N/A</v>
      </c>
      <c r="F1157" s="189" t="e">
        <v>#N/A</v>
      </c>
      <c r="G1157" s="189" t="e">
        <v>#N/A</v>
      </c>
      <c r="H1157" s="189" t="e">
        <v>#N/A</v>
      </c>
      <c r="I1157" s="189" t="e">
        <v>#N/A</v>
      </c>
      <c r="J1157" s="189" t="e">
        <v>#N/A</v>
      </c>
      <c r="K1157" s="204" t="e">
        <v>#N/A</v>
      </c>
      <c r="L1157" s="204" t="e">
        <v>#N/A</v>
      </c>
      <c r="M1157" s="205" t="e">
        <v>#N/A</v>
      </c>
      <c r="N1157" s="205" t="e">
        <v>#N/A</v>
      </c>
      <c r="O1157" s="205" t="e">
        <v>#N/A</v>
      </c>
      <c r="P1157" s="205" t="e">
        <v>#N/A</v>
      </c>
      <c r="Q1157" s="189" t="e">
        <v>#N/A</v>
      </c>
      <c r="R1157" s="189" t="e">
        <v>#N/A</v>
      </c>
      <c r="S1157" s="205" t="e">
        <v>#N/A</v>
      </c>
      <c r="T1157" s="206"/>
    </row>
    <row r="1158">
      <c r="C1158" s="189" t="e">
        <v>#N/A</v>
      </c>
      <c r="D1158" s="189" t="e">
        <v>#N/A</v>
      </c>
      <c r="E1158" s="189" t="e">
        <v>#N/A</v>
      </c>
      <c r="F1158" s="189" t="e">
        <v>#N/A</v>
      </c>
      <c r="G1158" s="189" t="e">
        <v>#N/A</v>
      </c>
      <c r="H1158" s="189" t="e">
        <v>#N/A</v>
      </c>
      <c r="I1158" s="189" t="e">
        <v>#N/A</v>
      </c>
      <c r="J1158" s="189" t="e">
        <v>#N/A</v>
      </c>
      <c r="K1158" s="204" t="e">
        <v>#N/A</v>
      </c>
      <c r="L1158" s="204" t="e">
        <v>#N/A</v>
      </c>
      <c r="M1158" s="205" t="e">
        <v>#N/A</v>
      </c>
      <c r="N1158" s="205" t="e">
        <v>#N/A</v>
      </c>
      <c r="O1158" s="205" t="e">
        <v>#N/A</v>
      </c>
      <c r="P1158" s="205" t="e">
        <v>#N/A</v>
      </c>
      <c r="Q1158" s="189" t="e">
        <v>#N/A</v>
      </c>
      <c r="R1158" s="189" t="e">
        <v>#N/A</v>
      </c>
      <c r="S1158" s="205" t="e">
        <v>#N/A</v>
      </c>
      <c r="T1158" s="206"/>
    </row>
    <row r="1159">
      <c r="C1159" s="189" t="e">
        <v>#N/A</v>
      </c>
      <c r="D1159" s="189" t="e">
        <v>#N/A</v>
      </c>
      <c r="E1159" s="189" t="e">
        <v>#N/A</v>
      </c>
      <c r="F1159" s="189" t="e">
        <v>#N/A</v>
      </c>
      <c r="G1159" s="189" t="e">
        <v>#N/A</v>
      </c>
      <c r="H1159" s="189" t="e">
        <v>#N/A</v>
      </c>
      <c r="I1159" s="189" t="e">
        <v>#N/A</v>
      </c>
      <c r="J1159" s="189" t="e">
        <v>#N/A</v>
      </c>
      <c r="K1159" s="204" t="e">
        <v>#N/A</v>
      </c>
      <c r="L1159" s="204" t="e">
        <v>#N/A</v>
      </c>
      <c r="M1159" s="205" t="e">
        <v>#N/A</v>
      </c>
      <c r="N1159" s="205" t="e">
        <v>#N/A</v>
      </c>
      <c r="O1159" s="205" t="e">
        <v>#N/A</v>
      </c>
      <c r="P1159" s="205" t="e">
        <v>#N/A</v>
      </c>
      <c r="Q1159" s="189" t="e">
        <v>#N/A</v>
      </c>
      <c r="R1159" s="189" t="e">
        <v>#N/A</v>
      </c>
      <c r="S1159" s="205" t="e">
        <v>#N/A</v>
      </c>
      <c r="T1159" s="206"/>
    </row>
    <row r="1160">
      <c r="C1160" s="189" t="e">
        <v>#N/A</v>
      </c>
      <c r="D1160" s="189" t="e">
        <v>#N/A</v>
      </c>
      <c r="E1160" s="189" t="e">
        <v>#N/A</v>
      </c>
      <c r="F1160" s="189" t="e">
        <v>#N/A</v>
      </c>
      <c r="G1160" s="189" t="e">
        <v>#N/A</v>
      </c>
      <c r="H1160" s="189" t="e">
        <v>#N/A</v>
      </c>
      <c r="I1160" s="189" t="e">
        <v>#N/A</v>
      </c>
      <c r="J1160" s="189" t="e">
        <v>#N/A</v>
      </c>
      <c r="K1160" s="204" t="e">
        <v>#N/A</v>
      </c>
      <c r="L1160" s="204" t="e">
        <v>#N/A</v>
      </c>
      <c r="M1160" s="205" t="e">
        <v>#N/A</v>
      </c>
      <c r="N1160" s="205" t="e">
        <v>#N/A</v>
      </c>
      <c r="O1160" s="205" t="e">
        <v>#N/A</v>
      </c>
      <c r="P1160" s="205" t="e">
        <v>#N/A</v>
      </c>
      <c r="Q1160" s="189" t="e">
        <v>#N/A</v>
      </c>
      <c r="R1160" s="189" t="e">
        <v>#N/A</v>
      </c>
      <c r="S1160" s="205" t="e">
        <v>#N/A</v>
      </c>
      <c r="T1160" s="206"/>
    </row>
    <row r="1161">
      <c r="C1161" s="189" t="e">
        <v>#N/A</v>
      </c>
      <c r="D1161" s="189" t="e">
        <v>#N/A</v>
      </c>
      <c r="E1161" s="189" t="e">
        <v>#N/A</v>
      </c>
      <c r="F1161" s="189" t="e">
        <v>#N/A</v>
      </c>
      <c r="G1161" s="189" t="e">
        <v>#N/A</v>
      </c>
      <c r="H1161" s="189" t="e">
        <v>#N/A</v>
      </c>
      <c r="I1161" s="189" t="e">
        <v>#N/A</v>
      </c>
      <c r="J1161" s="189" t="e">
        <v>#N/A</v>
      </c>
      <c r="K1161" s="204" t="e">
        <v>#N/A</v>
      </c>
      <c r="L1161" s="204" t="e">
        <v>#N/A</v>
      </c>
      <c r="M1161" s="205" t="e">
        <v>#N/A</v>
      </c>
      <c r="N1161" s="205" t="e">
        <v>#N/A</v>
      </c>
      <c r="O1161" s="205" t="e">
        <v>#N/A</v>
      </c>
      <c r="P1161" s="205" t="e">
        <v>#N/A</v>
      </c>
      <c r="Q1161" s="189" t="e">
        <v>#N/A</v>
      </c>
      <c r="R1161" s="189" t="e">
        <v>#N/A</v>
      </c>
      <c r="S1161" s="205" t="e">
        <v>#N/A</v>
      </c>
      <c r="T1161" s="206"/>
    </row>
    <row r="1162">
      <c r="C1162" s="189" t="e">
        <v>#N/A</v>
      </c>
      <c r="D1162" s="189" t="e">
        <v>#N/A</v>
      </c>
      <c r="E1162" s="189" t="e">
        <v>#N/A</v>
      </c>
      <c r="F1162" s="189" t="e">
        <v>#N/A</v>
      </c>
      <c r="G1162" s="189" t="e">
        <v>#N/A</v>
      </c>
      <c r="H1162" s="189" t="e">
        <v>#N/A</v>
      </c>
      <c r="I1162" s="189" t="e">
        <v>#N/A</v>
      </c>
      <c r="J1162" s="189" t="e">
        <v>#N/A</v>
      </c>
      <c r="K1162" s="204" t="e">
        <v>#N/A</v>
      </c>
      <c r="L1162" s="204" t="e">
        <v>#N/A</v>
      </c>
      <c r="M1162" s="205" t="e">
        <v>#N/A</v>
      </c>
      <c r="N1162" s="205" t="e">
        <v>#N/A</v>
      </c>
      <c r="O1162" s="205" t="e">
        <v>#N/A</v>
      </c>
      <c r="P1162" s="205" t="e">
        <v>#N/A</v>
      </c>
      <c r="Q1162" s="189" t="e">
        <v>#N/A</v>
      </c>
      <c r="R1162" s="189" t="e">
        <v>#N/A</v>
      </c>
      <c r="S1162" s="205" t="e">
        <v>#N/A</v>
      </c>
      <c r="T1162" s="206"/>
    </row>
    <row r="1163">
      <c r="C1163" s="189" t="e">
        <v>#N/A</v>
      </c>
      <c r="D1163" s="189" t="e">
        <v>#N/A</v>
      </c>
      <c r="E1163" s="189" t="e">
        <v>#N/A</v>
      </c>
      <c r="F1163" s="189" t="e">
        <v>#N/A</v>
      </c>
      <c r="G1163" s="189" t="e">
        <v>#N/A</v>
      </c>
      <c r="H1163" s="189" t="e">
        <v>#N/A</v>
      </c>
      <c r="I1163" s="189" t="e">
        <v>#N/A</v>
      </c>
      <c r="J1163" s="189" t="e">
        <v>#N/A</v>
      </c>
      <c r="K1163" s="204" t="e">
        <v>#N/A</v>
      </c>
      <c r="L1163" s="204" t="e">
        <v>#N/A</v>
      </c>
      <c r="M1163" s="205" t="e">
        <v>#N/A</v>
      </c>
      <c r="N1163" s="205" t="e">
        <v>#N/A</v>
      </c>
      <c r="O1163" s="205" t="e">
        <v>#N/A</v>
      </c>
      <c r="P1163" s="205" t="e">
        <v>#N/A</v>
      </c>
      <c r="Q1163" s="189" t="e">
        <v>#N/A</v>
      </c>
      <c r="R1163" s="189" t="e">
        <v>#N/A</v>
      </c>
      <c r="S1163" s="205" t="e">
        <v>#N/A</v>
      </c>
      <c r="T1163" s="206"/>
    </row>
    <row r="1164">
      <c r="C1164" s="189" t="e">
        <v>#N/A</v>
      </c>
      <c r="D1164" s="189" t="e">
        <v>#N/A</v>
      </c>
      <c r="E1164" s="189" t="e">
        <v>#N/A</v>
      </c>
      <c r="F1164" s="189" t="e">
        <v>#N/A</v>
      </c>
      <c r="G1164" s="189" t="e">
        <v>#N/A</v>
      </c>
      <c r="H1164" s="189" t="e">
        <v>#N/A</v>
      </c>
      <c r="I1164" s="189" t="e">
        <v>#N/A</v>
      </c>
      <c r="J1164" s="189" t="e">
        <v>#N/A</v>
      </c>
      <c r="K1164" s="204" t="e">
        <v>#N/A</v>
      </c>
      <c r="L1164" s="204" t="e">
        <v>#N/A</v>
      </c>
      <c r="M1164" s="205" t="e">
        <v>#N/A</v>
      </c>
      <c r="N1164" s="205" t="e">
        <v>#N/A</v>
      </c>
      <c r="O1164" s="205" t="e">
        <v>#N/A</v>
      </c>
      <c r="P1164" s="205" t="e">
        <v>#N/A</v>
      </c>
      <c r="Q1164" s="189" t="e">
        <v>#N/A</v>
      </c>
      <c r="R1164" s="189" t="e">
        <v>#N/A</v>
      </c>
      <c r="S1164" s="205" t="e">
        <v>#N/A</v>
      </c>
      <c r="T1164" s="206"/>
    </row>
    <row r="1165">
      <c r="C1165" s="189" t="e">
        <v>#N/A</v>
      </c>
      <c r="D1165" s="189" t="e">
        <v>#N/A</v>
      </c>
      <c r="E1165" s="189" t="e">
        <v>#N/A</v>
      </c>
      <c r="F1165" s="189" t="e">
        <v>#N/A</v>
      </c>
      <c r="G1165" s="189" t="e">
        <v>#N/A</v>
      </c>
      <c r="H1165" s="189" t="e">
        <v>#N/A</v>
      </c>
      <c r="I1165" s="189" t="e">
        <v>#N/A</v>
      </c>
      <c r="J1165" s="189" t="e">
        <v>#N/A</v>
      </c>
      <c r="K1165" s="204" t="e">
        <v>#N/A</v>
      </c>
      <c r="L1165" s="204" t="e">
        <v>#N/A</v>
      </c>
      <c r="M1165" s="205" t="e">
        <v>#N/A</v>
      </c>
      <c r="N1165" s="205" t="e">
        <v>#N/A</v>
      </c>
      <c r="O1165" s="205" t="e">
        <v>#N/A</v>
      </c>
      <c r="P1165" s="205" t="e">
        <v>#N/A</v>
      </c>
      <c r="Q1165" s="189" t="e">
        <v>#N/A</v>
      </c>
      <c r="R1165" s="189" t="e">
        <v>#N/A</v>
      </c>
      <c r="S1165" s="205" t="e">
        <v>#N/A</v>
      </c>
      <c r="T1165" s="206"/>
    </row>
    <row r="1166">
      <c r="C1166" s="189" t="e">
        <v>#N/A</v>
      </c>
      <c r="D1166" s="189" t="e">
        <v>#N/A</v>
      </c>
      <c r="E1166" s="189" t="e">
        <v>#N/A</v>
      </c>
      <c r="F1166" s="189" t="e">
        <v>#N/A</v>
      </c>
      <c r="G1166" s="189" t="e">
        <v>#N/A</v>
      </c>
      <c r="H1166" s="189" t="e">
        <v>#N/A</v>
      </c>
      <c r="I1166" s="189" t="e">
        <v>#N/A</v>
      </c>
      <c r="J1166" s="189" t="e">
        <v>#N/A</v>
      </c>
      <c r="K1166" s="204" t="e">
        <v>#N/A</v>
      </c>
      <c r="L1166" s="204" t="e">
        <v>#N/A</v>
      </c>
      <c r="M1166" s="205" t="e">
        <v>#N/A</v>
      </c>
      <c r="N1166" s="205" t="e">
        <v>#N/A</v>
      </c>
      <c r="O1166" s="205" t="e">
        <v>#N/A</v>
      </c>
      <c r="P1166" s="205" t="e">
        <v>#N/A</v>
      </c>
      <c r="Q1166" s="189" t="e">
        <v>#N/A</v>
      </c>
      <c r="R1166" s="189" t="e">
        <v>#N/A</v>
      </c>
      <c r="S1166" s="205" t="e">
        <v>#N/A</v>
      </c>
      <c r="T1166" s="206"/>
    </row>
    <row r="1167">
      <c r="C1167" s="189" t="e">
        <v>#N/A</v>
      </c>
      <c r="D1167" s="189" t="e">
        <v>#N/A</v>
      </c>
      <c r="E1167" s="189" t="e">
        <v>#N/A</v>
      </c>
      <c r="F1167" s="189" t="e">
        <v>#N/A</v>
      </c>
      <c r="G1167" s="189" t="e">
        <v>#N/A</v>
      </c>
      <c r="H1167" s="189" t="e">
        <v>#N/A</v>
      </c>
      <c r="I1167" s="189" t="e">
        <v>#N/A</v>
      </c>
      <c r="J1167" s="189" t="e">
        <v>#N/A</v>
      </c>
      <c r="K1167" s="204" t="e">
        <v>#N/A</v>
      </c>
      <c r="L1167" s="204" t="e">
        <v>#N/A</v>
      </c>
      <c r="M1167" s="205" t="e">
        <v>#N/A</v>
      </c>
      <c r="N1167" s="205" t="e">
        <v>#N/A</v>
      </c>
      <c r="O1167" s="205" t="e">
        <v>#N/A</v>
      </c>
      <c r="P1167" s="205" t="e">
        <v>#N/A</v>
      </c>
      <c r="Q1167" s="189" t="e">
        <v>#N/A</v>
      </c>
      <c r="R1167" s="189" t="e">
        <v>#N/A</v>
      </c>
      <c r="S1167" s="205" t="e">
        <v>#N/A</v>
      </c>
      <c r="T1167" s="206"/>
    </row>
    <row r="1168">
      <c r="C1168" s="189" t="e">
        <v>#N/A</v>
      </c>
      <c r="D1168" s="189" t="e">
        <v>#N/A</v>
      </c>
      <c r="E1168" s="189" t="e">
        <v>#N/A</v>
      </c>
      <c r="F1168" s="189" t="e">
        <v>#N/A</v>
      </c>
      <c r="G1168" s="189" t="e">
        <v>#N/A</v>
      </c>
      <c r="H1168" s="189" t="e">
        <v>#N/A</v>
      </c>
      <c r="I1168" s="189" t="e">
        <v>#N/A</v>
      </c>
      <c r="J1168" s="189" t="e">
        <v>#N/A</v>
      </c>
      <c r="K1168" s="204" t="e">
        <v>#N/A</v>
      </c>
      <c r="L1168" s="204" t="e">
        <v>#N/A</v>
      </c>
      <c r="M1168" s="205" t="e">
        <v>#N/A</v>
      </c>
      <c r="N1168" s="205" t="e">
        <v>#N/A</v>
      </c>
      <c r="O1168" s="205" t="e">
        <v>#N/A</v>
      </c>
      <c r="P1168" s="205" t="e">
        <v>#N/A</v>
      </c>
      <c r="Q1168" s="189" t="e">
        <v>#N/A</v>
      </c>
      <c r="R1168" s="189" t="e">
        <v>#N/A</v>
      </c>
      <c r="S1168" s="205" t="e">
        <v>#N/A</v>
      </c>
      <c r="T1168" s="206"/>
    </row>
    <row r="1169">
      <c r="C1169" s="189" t="e">
        <v>#N/A</v>
      </c>
      <c r="D1169" s="189" t="e">
        <v>#N/A</v>
      </c>
      <c r="E1169" s="189" t="e">
        <v>#N/A</v>
      </c>
      <c r="F1169" s="189" t="e">
        <v>#N/A</v>
      </c>
      <c r="G1169" s="189" t="e">
        <v>#N/A</v>
      </c>
      <c r="H1169" s="189" t="e">
        <v>#N/A</v>
      </c>
      <c r="I1169" s="189" t="e">
        <v>#N/A</v>
      </c>
      <c r="J1169" s="189" t="e">
        <v>#N/A</v>
      </c>
      <c r="K1169" s="204" t="e">
        <v>#N/A</v>
      </c>
      <c r="L1169" s="204" t="e">
        <v>#N/A</v>
      </c>
      <c r="M1169" s="205" t="e">
        <v>#N/A</v>
      </c>
      <c r="N1169" s="205" t="e">
        <v>#N/A</v>
      </c>
      <c r="O1169" s="205" t="e">
        <v>#N/A</v>
      </c>
      <c r="P1169" s="205" t="e">
        <v>#N/A</v>
      </c>
      <c r="Q1169" s="189" t="e">
        <v>#N/A</v>
      </c>
      <c r="R1169" s="189" t="e">
        <v>#N/A</v>
      </c>
      <c r="S1169" s="205" t="e">
        <v>#N/A</v>
      </c>
      <c r="T1169" s="206"/>
    </row>
    <row r="1170">
      <c r="C1170" s="189" t="e">
        <v>#N/A</v>
      </c>
      <c r="D1170" s="189" t="e">
        <v>#N/A</v>
      </c>
      <c r="E1170" s="189" t="e">
        <v>#N/A</v>
      </c>
      <c r="F1170" s="189" t="e">
        <v>#N/A</v>
      </c>
      <c r="G1170" s="189" t="e">
        <v>#N/A</v>
      </c>
      <c r="H1170" s="189" t="e">
        <v>#N/A</v>
      </c>
      <c r="I1170" s="189" t="e">
        <v>#N/A</v>
      </c>
      <c r="J1170" s="189" t="e">
        <v>#N/A</v>
      </c>
      <c r="K1170" s="204" t="e">
        <v>#N/A</v>
      </c>
      <c r="L1170" s="204" t="e">
        <v>#N/A</v>
      </c>
      <c r="M1170" s="205" t="e">
        <v>#N/A</v>
      </c>
      <c r="N1170" s="205" t="e">
        <v>#N/A</v>
      </c>
      <c r="O1170" s="205" t="e">
        <v>#N/A</v>
      </c>
      <c r="P1170" s="205" t="e">
        <v>#N/A</v>
      </c>
      <c r="Q1170" s="189" t="e">
        <v>#N/A</v>
      </c>
      <c r="R1170" s="189" t="e">
        <v>#N/A</v>
      </c>
      <c r="S1170" s="205" t="e">
        <v>#N/A</v>
      </c>
      <c r="T1170" s="206"/>
    </row>
    <row r="1171">
      <c r="C1171" s="189" t="e">
        <v>#N/A</v>
      </c>
      <c r="D1171" s="189" t="e">
        <v>#N/A</v>
      </c>
      <c r="E1171" s="189" t="e">
        <v>#N/A</v>
      </c>
      <c r="F1171" s="189" t="e">
        <v>#N/A</v>
      </c>
      <c r="G1171" s="189" t="e">
        <v>#N/A</v>
      </c>
      <c r="H1171" s="189" t="e">
        <v>#N/A</v>
      </c>
      <c r="I1171" s="189" t="e">
        <v>#N/A</v>
      </c>
      <c r="J1171" s="189" t="e">
        <v>#N/A</v>
      </c>
      <c r="K1171" s="204" t="e">
        <v>#N/A</v>
      </c>
      <c r="L1171" s="204" t="e">
        <v>#N/A</v>
      </c>
      <c r="M1171" s="205" t="e">
        <v>#N/A</v>
      </c>
      <c r="N1171" s="205" t="e">
        <v>#N/A</v>
      </c>
      <c r="O1171" s="205" t="e">
        <v>#N/A</v>
      </c>
      <c r="P1171" s="205" t="e">
        <v>#N/A</v>
      </c>
      <c r="Q1171" s="189" t="e">
        <v>#N/A</v>
      </c>
      <c r="R1171" s="189" t="e">
        <v>#N/A</v>
      </c>
      <c r="S1171" s="205" t="e">
        <v>#N/A</v>
      </c>
      <c r="T1171" s="206"/>
    </row>
    <row r="1172">
      <c r="C1172" s="189" t="e">
        <v>#N/A</v>
      </c>
      <c r="D1172" s="189" t="e">
        <v>#N/A</v>
      </c>
      <c r="E1172" s="189" t="e">
        <v>#N/A</v>
      </c>
      <c r="F1172" s="189" t="e">
        <v>#N/A</v>
      </c>
      <c r="G1172" s="189" t="e">
        <v>#N/A</v>
      </c>
      <c r="H1172" s="189" t="e">
        <v>#N/A</v>
      </c>
      <c r="I1172" s="189" t="e">
        <v>#N/A</v>
      </c>
      <c r="J1172" s="189" t="e">
        <v>#N/A</v>
      </c>
      <c r="K1172" s="204" t="e">
        <v>#N/A</v>
      </c>
      <c r="L1172" s="204" t="e">
        <v>#N/A</v>
      </c>
      <c r="M1172" s="205" t="e">
        <v>#N/A</v>
      </c>
      <c r="N1172" s="205" t="e">
        <v>#N/A</v>
      </c>
      <c r="O1172" s="205" t="e">
        <v>#N/A</v>
      </c>
      <c r="P1172" s="205" t="e">
        <v>#N/A</v>
      </c>
      <c r="Q1172" s="189" t="e">
        <v>#N/A</v>
      </c>
      <c r="R1172" s="189" t="e">
        <v>#N/A</v>
      </c>
      <c r="S1172" s="205" t="e">
        <v>#N/A</v>
      </c>
      <c r="T1172" s="206"/>
    </row>
    <row r="1173">
      <c r="C1173" s="189" t="e">
        <v>#N/A</v>
      </c>
      <c r="D1173" s="189" t="e">
        <v>#N/A</v>
      </c>
      <c r="E1173" s="189" t="e">
        <v>#N/A</v>
      </c>
      <c r="F1173" s="189" t="e">
        <v>#N/A</v>
      </c>
      <c r="G1173" s="189" t="e">
        <v>#N/A</v>
      </c>
      <c r="H1173" s="189" t="e">
        <v>#N/A</v>
      </c>
      <c r="I1173" s="189" t="e">
        <v>#N/A</v>
      </c>
      <c r="J1173" s="189" t="e">
        <v>#N/A</v>
      </c>
      <c r="K1173" s="204" t="e">
        <v>#N/A</v>
      </c>
      <c r="L1173" s="204" t="e">
        <v>#N/A</v>
      </c>
      <c r="M1173" s="205" t="e">
        <v>#N/A</v>
      </c>
      <c r="N1173" s="205" t="e">
        <v>#N/A</v>
      </c>
      <c r="O1173" s="205" t="e">
        <v>#N/A</v>
      </c>
      <c r="P1173" s="205" t="e">
        <v>#N/A</v>
      </c>
      <c r="Q1173" s="189" t="e">
        <v>#N/A</v>
      </c>
      <c r="R1173" s="189" t="e">
        <v>#N/A</v>
      </c>
      <c r="S1173" s="205" t="e">
        <v>#N/A</v>
      </c>
      <c r="T1173" s="206"/>
    </row>
    <row r="1174">
      <c r="C1174" s="189" t="e">
        <v>#N/A</v>
      </c>
      <c r="D1174" s="189" t="e">
        <v>#N/A</v>
      </c>
      <c r="E1174" s="189" t="e">
        <v>#N/A</v>
      </c>
      <c r="F1174" s="189" t="e">
        <v>#N/A</v>
      </c>
      <c r="G1174" s="189" t="e">
        <v>#N/A</v>
      </c>
      <c r="H1174" s="189" t="e">
        <v>#N/A</v>
      </c>
      <c r="I1174" s="189" t="e">
        <v>#N/A</v>
      </c>
      <c r="J1174" s="189" t="e">
        <v>#N/A</v>
      </c>
      <c r="K1174" s="204" t="e">
        <v>#N/A</v>
      </c>
      <c r="L1174" s="204" t="e">
        <v>#N/A</v>
      </c>
      <c r="M1174" s="205" t="e">
        <v>#N/A</v>
      </c>
      <c r="N1174" s="205" t="e">
        <v>#N/A</v>
      </c>
      <c r="O1174" s="205" t="e">
        <v>#N/A</v>
      </c>
      <c r="P1174" s="205" t="e">
        <v>#N/A</v>
      </c>
      <c r="Q1174" s="189" t="e">
        <v>#N/A</v>
      </c>
      <c r="R1174" s="189" t="e">
        <v>#N/A</v>
      </c>
      <c r="S1174" s="205" t="e">
        <v>#N/A</v>
      </c>
      <c r="T1174" s="206"/>
    </row>
    <row r="1175">
      <c r="C1175" s="189" t="e">
        <v>#N/A</v>
      </c>
      <c r="D1175" s="189" t="e">
        <v>#N/A</v>
      </c>
      <c r="E1175" s="189" t="e">
        <v>#N/A</v>
      </c>
      <c r="F1175" s="189" t="e">
        <v>#N/A</v>
      </c>
      <c r="G1175" s="189" t="e">
        <v>#N/A</v>
      </c>
      <c r="H1175" s="189" t="e">
        <v>#N/A</v>
      </c>
      <c r="I1175" s="189" t="e">
        <v>#N/A</v>
      </c>
      <c r="J1175" s="189" t="e">
        <v>#N/A</v>
      </c>
      <c r="K1175" s="204" t="e">
        <v>#N/A</v>
      </c>
      <c r="L1175" s="204" t="e">
        <v>#N/A</v>
      </c>
      <c r="M1175" s="205" t="e">
        <v>#N/A</v>
      </c>
      <c r="N1175" s="205" t="e">
        <v>#N/A</v>
      </c>
      <c r="O1175" s="205" t="e">
        <v>#N/A</v>
      </c>
      <c r="P1175" s="205" t="e">
        <v>#N/A</v>
      </c>
      <c r="Q1175" s="189" t="e">
        <v>#N/A</v>
      </c>
      <c r="R1175" s="189" t="e">
        <v>#N/A</v>
      </c>
      <c r="S1175" s="205" t="e">
        <v>#N/A</v>
      </c>
      <c r="T1175" s="206"/>
    </row>
    <row r="1176">
      <c r="C1176" s="189" t="e">
        <v>#N/A</v>
      </c>
      <c r="D1176" s="189" t="e">
        <v>#N/A</v>
      </c>
      <c r="E1176" s="189" t="e">
        <v>#N/A</v>
      </c>
      <c r="F1176" s="189" t="e">
        <v>#N/A</v>
      </c>
      <c r="G1176" s="189" t="e">
        <v>#N/A</v>
      </c>
      <c r="H1176" s="189" t="e">
        <v>#N/A</v>
      </c>
      <c r="I1176" s="189" t="e">
        <v>#N/A</v>
      </c>
      <c r="J1176" s="189" t="e">
        <v>#N/A</v>
      </c>
      <c r="K1176" s="204" t="e">
        <v>#N/A</v>
      </c>
      <c r="L1176" s="204" t="e">
        <v>#N/A</v>
      </c>
      <c r="M1176" s="205" t="e">
        <v>#N/A</v>
      </c>
      <c r="N1176" s="205" t="e">
        <v>#N/A</v>
      </c>
      <c r="O1176" s="205" t="e">
        <v>#N/A</v>
      </c>
      <c r="P1176" s="205" t="e">
        <v>#N/A</v>
      </c>
      <c r="Q1176" s="189" t="e">
        <v>#N/A</v>
      </c>
      <c r="R1176" s="189" t="e">
        <v>#N/A</v>
      </c>
      <c r="S1176" s="205" t="e">
        <v>#N/A</v>
      </c>
      <c r="T1176" s="206"/>
    </row>
    <row r="1177">
      <c r="C1177" s="189" t="e">
        <v>#N/A</v>
      </c>
      <c r="D1177" s="189" t="e">
        <v>#N/A</v>
      </c>
      <c r="E1177" s="189" t="e">
        <v>#N/A</v>
      </c>
      <c r="F1177" s="189" t="e">
        <v>#N/A</v>
      </c>
      <c r="G1177" s="189" t="e">
        <v>#N/A</v>
      </c>
      <c r="H1177" s="189" t="e">
        <v>#N/A</v>
      </c>
      <c r="I1177" s="189" t="e">
        <v>#N/A</v>
      </c>
      <c r="J1177" s="189" t="e">
        <v>#N/A</v>
      </c>
      <c r="K1177" s="204" t="e">
        <v>#N/A</v>
      </c>
      <c r="L1177" s="204" t="e">
        <v>#N/A</v>
      </c>
      <c r="M1177" s="205" t="e">
        <v>#N/A</v>
      </c>
      <c r="N1177" s="205" t="e">
        <v>#N/A</v>
      </c>
      <c r="O1177" s="205" t="e">
        <v>#N/A</v>
      </c>
      <c r="P1177" s="205" t="e">
        <v>#N/A</v>
      </c>
      <c r="Q1177" s="189" t="e">
        <v>#N/A</v>
      </c>
      <c r="R1177" s="189" t="e">
        <v>#N/A</v>
      </c>
      <c r="S1177" s="205" t="e">
        <v>#N/A</v>
      </c>
      <c r="T1177" s="206"/>
    </row>
    <row r="1178">
      <c r="C1178" s="189" t="e">
        <v>#N/A</v>
      </c>
      <c r="D1178" s="189" t="e">
        <v>#N/A</v>
      </c>
      <c r="E1178" s="189" t="e">
        <v>#N/A</v>
      </c>
      <c r="F1178" s="189" t="e">
        <v>#N/A</v>
      </c>
      <c r="G1178" s="189" t="e">
        <v>#N/A</v>
      </c>
      <c r="H1178" s="189" t="e">
        <v>#N/A</v>
      </c>
      <c r="I1178" s="189" t="e">
        <v>#N/A</v>
      </c>
      <c r="J1178" s="189" t="e">
        <v>#N/A</v>
      </c>
      <c r="K1178" s="204" t="e">
        <v>#N/A</v>
      </c>
      <c r="L1178" s="204" t="e">
        <v>#N/A</v>
      </c>
      <c r="M1178" s="205" t="e">
        <v>#N/A</v>
      </c>
      <c r="N1178" s="205" t="e">
        <v>#N/A</v>
      </c>
      <c r="O1178" s="205" t="e">
        <v>#N/A</v>
      </c>
      <c r="P1178" s="205" t="e">
        <v>#N/A</v>
      </c>
      <c r="Q1178" s="189" t="e">
        <v>#N/A</v>
      </c>
      <c r="R1178" s="189" t="e">
        <v>#N/A</v>
      </c>
      <c r="S1178" s="205" t="e">
        <v>#N/A</v>
      </c>
      <c r="T1178" s="206"/>
    </row>
    <row r="1179">
      <c r="C1179" s="189" t="e">
        <v>#N/A</v>
      </c>
      <c r="D1179" s="189" t="e">
        <v>#N/A</v>
      </c>
      <c r="E1179" s="189" t="e">
        <v>#N/A</v>
      </c>
      <c r="F1179" s="189" t="e">
        <v>#N/A</v>
      </c>
      <c r="G1179" s="189" t="e">
        <v>#N/A</v>
      </c>
      <c r="H1179" s="189" t="e">
        <v>#N/A</v>
      </c>
      <c r="I1179" s="189" t="e">
        <v>#N/A</v>
      </c>
      <c r="J1179" s="189" t="e">
        <v>#N/A</v>
      </c>
      <c r="K1179" s="204" t="e">
        <v>#N/A</v>
      </c>
      <c r="L1179" s="204" t="e">
        <v>#N/A</v>
      </c>
      <c r="M1179" s="205" t="e">
        <v>#N/A</v>
      </c>
      <c r="N1179" s="205" t="e">
        <v>#N/A</v>
      </c>
      <c r="O1179" s="205" t="e">
        <v>#N/A</v>
      </c>
      <c r="P1179" s="205" t="e">
        <v>#N/A</v>
      </c>
      <c r="Q1179" s="189" t="e">
        <v>#N/A</v>
      </c>
      <c r="R1179" s="189" t="e">
        <v>#N/A</v>
      </c>
      <c r="S1179" s="205" t="e">
        <v>#N/A</v>
      </c>
      <c r="T1179" s="206"/>
    </row>
    <row r="1180">
      <c r="C1180" s="189" t="e">
        <v>#N/A</v>
      </c>
      <c r="D1180" s="189" t="e">
        <v>#N/A</v>
      </c>
      <c r="E1180" s="189" t="e">
        <v>#N/A</v>
      </c>
      <c r="F1180" s="189" t="e">
        <v>#N/A</v>
      </c>
      <c r="G1180" s="189" t="e">
        <v>#N/A</v>
      </c>
      <c r="H1180" s="189" t="e">
        <v>#N/A</v>
      </c>
      <c r="I1180" s="189" t="e">
        <v>#N/A</v>
      </c>
      <c r="J1180" s="189" t="e">
        <v>#N/A</v>
      </c>
      <c r="K1180" s="204" t="e">
        <v>#N/A</v>
      </c>
      <c r="L1180" s="204" t="e">
        <v>#N/A</v>
      </c>
      <c r="M1180" s="205" t="e">
        <v>#N/A</v>
      </c>
      <c r="N1180" s="205" t="e">
        <v>#N/A</v>
      </c>
      <c r="O1180" s="205" t="e">
        <v>#N/A</v>
      </c>
      <c r="P1180" s="205" t="e">
        <v>#N/A</v>
      </c>
      <c r="Q1180" s="189" t="e">
        <v>#N/A</v>
      </c>
      <c r="R1180" s="189" t="e">
        <v>#N/A</v>
      </c>
      <c r="S1180" s="205" t="e">
        <v>#N/A</v>
      </c>
      <c r="T1180" s="206"/>
    </row>
    <row r="1181">
      <c r="C1181" s="189" t="e">
        <v>#N/A</v>
      </c>
      <c r="D1181" s="189" t="e">
        <v>#N/A</v>
      </c>
      <c r="E1181" s="189" t="e">
        <v>#N/A</v>
      </c>
      <c r="F1181" s="189" t="e">
        <v>#N/A</v>
      </c>
      <c r="G1181" s="189" t="e">
        <v>#N/A</v>
      </c>
      <c r="H1181" s="189" t="e">
        <v>#N/A</v>
      </c>
      <c r="I1181" s="189" t="e">
        <v>#N/A</v>
      </c>
      <c r="J1181" s="189" t="e">
        <v>#N/A</v>
      </c>
      <c r="K1181" s="204" t="e">
        <v>#N/A</v>
      </c>
      <c r="L1181" s="204" t="e">
        <v>#N/A</v>
      </c>
      <c r="M1181" s="205" t="e">
        <v>#N/A</v>
      </c>
      <c r="N1181" s="205" t="e">
        <v>#N/A</v>
      </c>
      <c r="O1181" s="205" t="e">
        <v>#N/A</v>
      </c>
      <c r="P1181" s="205" t="e">
        <v>#N/A</v>
      </c>
      <c r="Q1181" s="189" t="e">
        <v>#N/A</v>
      </c>
      <c r="R1181" s="189" t="e">
        <v>#N/A</v>
      </c>
      <c r="S1181" s="205" t="e">
        <v>#N/A</v>
      </c>
      <c r="T1181" s="206"/>
    </row>
    <row r="1182">
      <c r="C1182" s="189" t="e">
        <v>#N/A</v>
      </c>
      <c r="D1182" s="189" t="e">
        <v>#N/A</v>
      </c>
      <c r="E1182" s="189" t="e">
        <v>#N/A</v>
      </c>
      <c r="F1182" s="189" t="e">
        <v>#N/A</v>
      </c>
      <c r="G1182" s="189" t="e">
        <v>#N/A</v>
      </c>
      <c r="H1182" s="189" t="e">
        <v>#N/A</v>
      </c>
      <c r="I1182" s="189" t="e">
        <v>#N/A</v>
      </c>
      <c r="J1182" s="189" t="e">
        <v>#N/A</v>
      </c>
      <c r="K1182" s="204" t="e">
        <v>#N/A</v>
      </c>
      <c r="L1182" s="204" t="e">
        <v>#N/A</v>
      </c>
      <c r="M1182" s="205" t="e">
        <v>#N/A</v>
      </c>
      <c r="N1182" s="205" t="e">
        <v>#N/A</v>
      </c>
      <c r="O1182" s="205" t="e">
        <v>#N/A</v>
      </c>
      <c r="P1182" s="205" t="e">
        <v>#N/A</v>
      </c>
      <c r="Q1182" s="189" t="e">
        <v>#N/A</v>
      </c>
      <c r="R1182" s="189" t="e">
        <v>#N/A</v>
      </c>
      <c r="S1182" s="205" t="e">
        <v>#N/A</v>
      </c>
      <c r="T1182" s="206"/>
    </row>
    <row r="1183">
      <c r="C1183" s="189" t="e">
        <v>#N/A</v>
      </c>
      <c r="D1183" s="189" t="e">
        <v>#N/A</v>
      </c>
      <c r="E1183" s="189" t="e">
        <v>#N/A</v>
      </c>
      <c r="F1183" s="189" t="e">
        <v>#N/A</v>
      </c>
      <c r="G1183" s="189" t="e">
        <v>#N/A</v>
      </c>
      <c r="H1183" s="189" t="e">
        <v>#N/A</v>
      </c>
      <c r="I1183" s="189" t="e">
        <v>#N/A</v>
      </c>
      <c r="J1183" s="189" t="e">
        <v>#N/A</v>
      </c>
      <c r="K1183" s="204" t="e">
        <v>#N/A</v>
      </c>
      <c r="L1183" s="204" t="e">
        <v>#N/A</v>
      </c>
      <c r="M1183" s="205" t="e">
        <v>#N/A</v>
      </c>
      <c r="N1183" s="205" t="e">
        <v>#N/A</v>
      </c>
      <c r="O1183" s="205" t="e">
        <v>#N/A</v>
      </c>
      <c r="P1183" s="205" t="e">
        <v>#N/A</v>
      </c>
      <c r="Q1183" s="189" t="e">
        <v>#N/A</v>
      </c>
      <c r="R1183" s="189" t="e">
        <v>#N/A</v>
      </c>
      <c r="S1183" s="205" t="e">
        <v>#N/A</v>
      </c>
      <c r="T1183" s="206"/>
    </row>
    <row r="1184">
      <c r="C1184" s="189" t="e">
        <v>#N/A</v>
      </c>
      <c r="D1184" s="189" t="e">
        <v>#N/A</v>
      </c>
      <c r="E1184" s="189" t="e">
        <v>#N/A</v>
      </c>
      <c r="F1184" s="189" t="e">
        <v>#N/A</v>
      </c>
      <c r="G1184" s="189" t="e">
        <v>#N/A</v>
      </c>
      <c r="H1184" s="189" t="e">
        <v>#N/A</v>
      </c>
      <c r="I1184" s="189" t="e">
        <v>#N/A</v>
      </c>
      <c r="J1184" s="189" t="e">
        <v>#N/A</v>
      </c>
      <c r="K1184" s="204" t="e">
        <v>#N/A</v>
      </c>
      <c r="L1184" s="204" t="e">
        <v>#N/A</v>
      </c>
      <c r="M1184" s="205" t="e">
        <v>#N/A</v>
      </c>
      <c r="N1184" s="205" t="e">
        <v>#N/A</v>
      </c>
      <c r="O1184" s="205" t="e">
        <v>#N/A</v>
      </c>
      <c r="P1184" s="205" t="e">
        <v>#N/A</v>
      </c>
      <c r="Q1184" s="189" t="e">
        <v>#N/A</v>
      </c>
      <c r="R1184" s="189" t="e">
        <v>#N/A</v>
      </c>
      <c r="S1184" s="205" t="e">
        <v>#N/A</v>
      </c>
      <c r="T1184" s="206"/>
    </row>
    <row r="1185">
      <c r="C1185" s="189" t="e">
        <v>#N/A</v>
      </c>
      <c r="D1185" s="189" t="e">
        <v>#N/A</v>
      </c>
      <c r="E1185" s="189" t="e">
        <v>#N/A</v>
      </c>
      <c r="F1185" s="189" t="e">
        <v>#N/A</v>
      </c>
      <c r="G1185" s="189" t="e">
        <v>#N/A</v>
      </c>
      <c r="H1185" s="189" t="e">
        <v>#N/A</v>
      </c>
      <c r="I1185" s="189" t="e">
        <v>#N/A</v>
      </c>
      <c r="J1185" s="189" t="e">
        <v>#N/A</v>
      </c>
      <c r="K1185" s="204" t="e">
        <v>#N/A</v>
      </c>
      <c r="L1185" s="204" t="e">
        <v>#N/A</v>
      </c>
      <c r="M1185" s="205" t="e">
        <v>#N/A</v>
      </c>
      <c r="N1185" s="205" t="e">
        <v>#N/A</v>
      </c>
      <c r="O1185" s="205" t="e">
        <v>#N/A</v>
      </c>
      <c r="P1185" s="205" t="e">
        <v>#N/A</v>
      </c>
      <c r="Q1185" s="189" t="e">
        <v>#N/A</v>
      </c>
      <c r="R1185" s="189" t="e">
        <v>#N/A</v>
      </c>
      <c r="S1185" s="205" t="e">
        <v>#N/A</v>
      </c>
      <c r="T1185" s="206"/>
    </row>
    <row r="1186">
      <c r="C1186" s="189" t="e">
        <v>#N/A</v>
      </c>
      <c r="D1186" s="189" t="e">
        <v>#N/A</v>
      </c>
      <c r="E1186" s="189" t="e">
        <v>#N/A</v>
      </c>
      <c r="F1186" s="189" t="e">
        <v>#N/A</v>
      </c>
      <c r="G1186" s="189" t="e">
        <v>#N/A</v>
      </c>
      <c r="H1186" s="189" t="e">
        <v>#N/A</v>
      </c>
      <c r="I1186" s="189" t="e">
        <v>#N/A</v>
      </c>
      <c r="J1186" s="189" t="e">
        <v>#N/A</v>
      </c>
      <c r="K1186" s="204" t="e">
        <v>#N/A</v>
      </c>
      <c r="L1186" s="204" t="e">
        <v>#N/A</v>
      </c>
      <c r="M1186" s="205" t="e">
        <v>#N/A</v>
      </c>
      <c r="N1186" s="205" t="e">
        <v>#N/A</v>
      </c>
      <c r="O1186" s="205" t="e">
        <v>#N/A</v>
      </c>
      <c r="P1186" s="205" t="e">
        <v>#N/A</v>
      </c>
      <c r="Q1186" s="189" t="e">
        <v>#N/A</v>
      </c>
      <c r="R1186" s="189" t="e">
        <v>#N/A</v>
      </c>
      <c r="S1186" s="205" t="e">
        <v>#N/A</v>
      </c>
      <c r="T1186" s="206"/>
    </row>
    <row r="1187">
      <c r="C1187" s="189" t="e">
        <v>#N/A</v>
      </c>
      <c r="D1187" s="189" t="e">
        <v>#N/A</v>
      </c>
      <c r="E1187" s="189" t="e">
        <v>#N/A</v>
      </c>
      <c r="F1187" s="189" t="e">
        <v>#N/A</v>
      </c>
      <c r="G1187" s="189" t="e">
        <v>#N/A</v>
      </c>
      <c r="H1187" s="189" t="e">
        <v>#N/A</v>
      </c>
      <c r="I1187" s="189" t="e">
        <v>#N/A</v>
      </c>
      <c r="J1187" s="189" t="e">
        <v>#N/A</v>
      </c>
      <c r="K1187" s="204" t="e">
        <v>#N/A</v>
      </c>
      <c r="L1187" s="204" t="e">
        <v>#N/A</v>
      </c>
      <c r="M1187" s="205" t="e">
        <v>#N/A</v>
      </c>
      <c r="N1187" s="205" t="e">
        <v>#N/A</v>
      </c>
      <c r="O1187" s="205" t="e">
        <v>#N/A</v>
      </c>
      <c r="P1187" s="205" t="e">
        <v>#N/A</v>
      </c>
      <c r="Q1187" s="189" t="e">
        <v>#N/A</v>
      </c>
      <c r="R1187" s="189" t="e">
        <v>#N/A</v>
      </c>
      <c r="S1187" s="205" t="e">
        <v>#N/A</v>
      </c>
      <c r="T1187" s="206"/>
    </row>
    <row r="1188">
      <c r="C1188" s="189" t="e">
        <v>#N/A</v>
      </c>
      <c r="D1188" s="189" t="e">
        <v>#N/A</v>
      </c>
      <c r="E1188" s="189" t="e">
        <v>#N/A</v>
      </c>
      <c r="F1188" s="189" t="e">
        <v>#N/A</v>
      </c>
      <c r="G1188" s="189" t="e">
        <v>#N/A</v>
      </c>
      <c r="H1188" s="189" t="e">
        <v>#N/A</v>
      </c>
      <c r="I1188" s="189" t="e">
        <v>#N/A</v>
      </c>
      <c r="J1188" s="189" t="e">
        <v>#N/A</v>
      </c>
      <c r="K1188" s="204" t="e">
        <v>#N/A</v>
      </c>
      <c r="L1188" s="204" t="e">
        <v>#N/A</v>
      </c>
      <c r="M1188" s="205" t="e">
        <v>#N/A</v>
      </c>
      <c r="N1188" s="205" t="e">
        <v>#N/A</v>
      </c>
      <c r="O1188" s="205" t="e">
        <v>#N/A</v>
      </c>
      <c r="P1188" s="205" t="e">
        <v>#N/A</v>
      </c>
      <c r="Q1188" s="189" t="e">
        <v>#N/A</v>
      </c>
      <c r="R1188" s="189" t="e">
        <v>#N/A</v>
      </c>
      <c r="S1188" s="205" t="e">
        <v>#N/A</v>
      </c>
      <c r="T1188" s="206"/>
    </row>
    <row r="1189">
      <c r="C1189" s="189" t="e">
        <v>#N/A</v>
      </c>
      <c r="D1189" s="189" t="e">
        <v>#N/A</v>
      </c>
      <c r="E1189" s="189" t="e">
        <v>#N/A</v>
      </c>
      <c r="F1189" s="189" t="e">
        <v>#N/A</v>
      </c>
      <c r="G1189" s="189" t="e">
        <v>#N/A</v>
      </c>
      <c r="H1189" s="189" t="e">
        <v>#N/A</v>
      </c>
      <c r="I1189" s="189" t="e">
        <v>#N/A</v>
      </c>
      <c r="J1189" s="189" t="e">
        <v>#N/A</v>
      </c>
      <c r="K1189" s="204" t="e">
        <v>#N/A</v>
      </c>
      <c r="L1189" s="204" t="e">
        <v>#N/A</v>
      </c>
      <c r="M1189" s="205" t="e">
        <v>#N/A</v>
      </c>
      <c r="N1189" s="205" t="e">
        <v>#N/A</v>
      </c>
      <c r="O1189" s="205" t="e">
        <v>#N/A</v>
      </c>
      <c r="P1189" s="205" t="e">
        <v>#N/A</v>
      </c>
      <c r="Q1189" s="189" t="e">
        <v>#N/A</v>
      </c>
      <c r="R1189" s="189" t="e">
        <v>#N/A</v>
      </c>
      <c r="S1189" s="205" t="e">
        <v>#N/A</v>
      </c>
      <c r="T1189" s="206"/>
    </row>
    <row r="1190">
      <c r="C1190" s="189" t="e">
        <v>#N/A</v>
      </c>
      <c r="D1190" s="189" t="e">
        <v>#N/A</v>
      </c>
      <c r="E1190" s="189" t="e">
        <v>#N/A</v>
      </c>
      <c r="F1190" s="189" t="e">
        <v>#N/A</v>
      </c>
      <c r="G1190" s="189" t="e">
        <v>#N/A</v>
      </c>
      <c r="H1190" s="189" t="e">
        <v>#N/A</v>
      </c>
      <c r="I1190" s="189" t="e">
        <v>#N/A</v>
      </c>
      <c r="J1190" s="189" t="e">
        <v>#N/A</v>
      </c>
      <c r="K1190" s="204" t="e">
        <v>#N/A</v>
      </c>
      <c r="L1190" s="204" t="e">
        <v>#N/A</v>
      </c>
      <c r="M1190" s="205" t="e">
        <v>#N/A</v>
      </c>
      <c r="N1190" s="205" t="e">
        <v>#N/A</v>
      </c>
      <c r="O1190" s="205" t="e">
        <v>#N/A</v>
      </c>
      <c r="P1190" s="205" t="e">
        <v>#N/A</v>
      </c>
      <c r="Q1190" s="189" t="e">
        <v>#N/A</v>
      </c>
      <c r="R1190" s="189" t="e">
        <v>#N/A</v>
      </c>
      <c r="S1190" s="205" t="e">
        <v>#N/A</v>
      </c>
      <c r="T1190" s="206"/>
    </row>
    <row r="1191">
      <c r="C1191" s="189" t="e">
        <v>#N/A</v>
      </c>
      <c r="D1191" s="189" t="e">
        <v>#N/A</v>
      </c>
      <c r="E1191" s="189" t="e">
        <v>#N/A</v>
      </c>
      <c r="F1191" s="189" t="e">
        <v>#N/A</v>
      </c>
      <c r="G1191" s="189" t="e">
        <v>#N/A</v>
      </c>
      <c r="H1191" s="189" t="e">
        <v>#N/A</v>
      </c>
      <c r="I1191" s="189" t="e">
        <v>#N/A</v>
      </c>
      <c r="J1191" s="189" t="e">
        <v>#N/A</v>
      </c>
      <c r="K1191" s="204" t="e">
        <v>#N/A</v>
      </c>
      <c r="L1191" s="204" t="e">
        <v>#N/A</v>
      </c>
      <c r="M1191" s="205" t="e">
        <v>#N/A</v>
      </c>
      <c r="N1191" s="205" t="e">
        <v>#N/A</v>
      </c>
      <c r="O1191" s="205" t="e">
        <v>#N/A</v>
      </c>
      <c r="P1191" s="205" t="e">
        <v>#N/A</v>
      </c>
      <c r="Q1191" s="189" t="e">
        <v>#N/A</v>
      </c>
      <c r="R1191" s="189" t="e">
        <v>#N/A</v>
      </c>
      <c r="S1191" s="205" t="e">
        <v>#N/A</v>
      </c>
      <c r="T1191" s="206"/>
    </row>
    <row r="1192">
      <c r="C1192" s="189" t="e">
        <v>#N/A</v>
      </c>
      <c r="D1192" s="189" t="e">
        <v>#N/A</v>
      </c>
      <c r="E1192" s="189" t="e">
        <v>#N/A</v>
      </c>
      <c r="F1192" s="189" t="e">
        <v>#N/A</v>
      </c>
      <c r="G1192" s="189" t="e">
        <v>#N/A</v>
      </c>
      <c r="H1192" s="189" t="e">
        <v>#N/A</v>
      </c>
      <c r="I1192" s="189" t="e">
        <v>#N/A</v>
      </c>
      <c r="J1192" s="189" t="e">
        <v>#N/A</v>
      </c>
      <c r="K1192" s="204" t="e">
        <v>#N/A</v>
      </c>
      <c r="L1192" s="204" t="e">
        <v>#N/A</v>
      </c>
      <c r="M1192" s="205" t="e">
        <v>#N/A</v>
      </c>
      <c r="N1192" s="205" t="e">
        <v>#N/A</v>
      </c>
      <c r="O1192" s="205" t="e">
        <v>#N/A</v>
      </c>
      <c r="P1192" s="205" t="e">
        <v>#N/A</v>
      </c>
      <c r="Q1192" s="189" t="e">
        <v>#N/A</v>
      </c>
      <c r="R1192" s="189" t="e">
        <v>#N/A</v>
      </c>
      <c r="S1192" s="205" t="e">
        <v>#N/A</v>
      </c>
      <c r="T1192" s="206"/>
    </row>
    <row r="1193">
      <c r="C1193" s="189" t="e">
        <v>#N/A</v>
      </c>
      <c r="D1193" s="189" t="e">
        <v>#N/A</v>
      </c>
      <c r="E1193" s="189" t="e">
        <v>#N/A</v>
      </c>
      <c r="F1193" s="189" t="e">
        <v>#N/A</v>
      </c>
      <c r="G1193" s="189" t="e">
        <v>#N/A</v>
      </c>
      <c r="H1193" s="189" t="e">
        <v>#N/A</v>
      </c>
      <c r="I1193" s="189" t="e">
        <v>#N/A</v>
      </c>
      <c r="J1193" s="189" t="e">
        <v>#N/A</v>
      </c>
      <c r="K1193" s="204" t="e">
        <v>#N/A</v>
      </c>
      <c r="L1193" s="204" t="e">
        <v>#N/A</v>
      </c>
      <c r="M1193" s="205" t="e">
        <v>#N/A</v>
      </c>
      <c r="N1193" s="205" t="e">
        <v>#N/A</v>
      </c>
      <c r="O1193" s="205" t="e">
        <v>#N/A</v>
      </c>
      <c r="P1193" s="205" t="e">
        <v>#N/A</v>
      </c>
      <c r="Q1193" s="189" t="e">
        <v>#N/A</v>
      </c>
      <c r="R1193" s="189" t="e">
        <v>#N/A</v>
      </c>
      <c r="S1193" s="205" t="e">
        <v>#N/A</v>
      </c>
      <c r="T1193" s="206"/>
    </row>
    <row r="1194">
      <c r="C1194" s="189" t="e">
        <v>#N/A</v>
      </c>
      <c r="D1194" s="189" t="e">
        <v>#N/A</v>
      </c>
      <c r="E1194" s="189" t="e">
        <v>#N/A</v>
      </c>
      <c r="F1194" s="189" t="e">
        <v>#N/A</v>
      </c>
      <c r="G1194" s="189" t="e">
        <v>#N/A</v>
      </c>
      <c r="H1194" s="189" t="e">
        <v>#N/A</v>
      </c>
      <c r="I1194" s="189" t="e">
        <v>#N/A</v>
      </c>
      <c r="J1194" s="189" t="e">
        <v>#N/A</v>
      </c>
      <c r="K1194" s="204" t="e">
        <v>#N/A</v>
      </c>
      <c r="L1194" s="204" t="e">
        <v>#N/A</v>
      </c>
      <c r="M1194" s="205" t="e">
        <v>#N/A</v>
      </c>
      <c r="N1194" s="205" t="e">
        <v>#N/A</v>
      </c>
      <c r="O1194" s="205" t="e">
        <v>#N/A</v>
      </c>
      <c r="P1194" s="205" t="e">
        <v>#N/A</v>
      </c>
      <c r="Q1194" s="189" t="e">
        <v>#N/A</v>
      </c>
      <c r="R1194" s="189" t="e">
        <v>#N/A</v>
      </c>
      <c r="S1194" s="205" t="e">
        <v>#N/A</v>
      </c>
      <c r="T1194" s="206"/>
    </row>
    <row r="1195">
      <c r="C1195" s="189" t="e">
        <v>#N/A</v>
      </c>
      <c r="D1195" s="189" t="e">
        <v>#N/A</v>
      </c>
      <c r="E1195" s="189" t="e">
        <v>#N/A</v>
      </c>
      <c r="F1195" s="189" t="e">
        <v>#N/A</v>
      </c>
      <c r="G1195" s="189" t="e">
        <v>#N/A</v>
      </c>
      <c r="H1195" s="189" t="e">
        <v>#N/A</v>
      </c>
      <c r="I1195" s="189" t="e">
        <v>#N/A</v>
      </c>
      <c r="J1195" s="189" t="e">
        <v>#N/A</v>
      </c>
      <c r="K1195" s="204" t="e">
        <v>#N/A</v>
      </c>
      <c r="L1195" s="204" t="e">
        <v>#N/A</v>
      </c>
      <c r="M1195" s="205" t="e">
        <v>#N/A</v>
      </c>
      <c r="N1195" s="205" t="e">
        <v>#N/A</v>
      </c>
      <c r="O1195" s="205" t="e">
        <v>#N/A</v>
      </c>
      <c r="P1195" s="205" t="e">
        <v>#N/A</v>
      </c>
      <c r="Q1195" s="189" t="e">
        <v>#N/A</v>
      </c>
      <c r="R1195" s="189" t="e">
        <v>#N/A</v>
      </c>
      <c r="S1195" s="205" t="e">
        <v>#N/A</v>
      </c>
      <c r="T1195" s="206"/>
    </row>
    <row r="1196">
      <c r="C1196" s="189" t="e">
        <v>#N/A</v>
      </c>
      <c r="D1196" s="189" t="e">
        <v>#N/A</v>
      </c>
      <c r="E1196" s="189" t="e">
        <v>#N/A</v>
      </c>
      <c r="F1196" s="189" t="e">
        <v>#N/A</v>
      </c>
      <c r="G1196" s="189" t="e">
        <v>#N/A</v>
      </c>
      <c r="H1196" s="189" t="e">
        <v>#N/A</v>
      </c>
      <c r="I1196" s="189" t="e">
        <v>#N/A</v>
      </c>
      <c r="J1196" s="189" t="e">
        <v>#N/A</v>
      </c>
      <c r="K1196" s="204" t="e">
        <v>#N/A</v>
      </c>
      <c r="L1196" s="204" t="e">
        <v>#N/A</v>
      </c>
      <c r="M1196" s="205" t="e">
        <v>#N/A</v>
      </c>
      <c r="N1196" s="205" t="e">
        <v>#N/A</v>
      </c>
      <c r="O1196" s="205" t="e">
        <v>#N/A</v>
      </c>
      <c r="P1196" s="205" t="e">
        <v>#N/A</v>
      </c>
      <c r="Q1196" s="189" t="e">
        <v>#N/A</v>
      </c>
      <c r="R1196" s="189" t="e">
        <v>#N/A</v>
      </c>
      <c r="S1196" s="205" t="e">
        <v>#N/A</v>
      </c>
      <c r="T1196" s="206"/>
    </row>
    <row r="1197">
      <c r="C1197" s="189" t="e">
        <v>#N/A</v>
      </c>
      <c r="D1197" s="189" t="e">
        <v>#N/A</v>
      </c>
      <c r="E1197" s="189" t="e">
        <v>#N/A</v>
      </c>
      <c r="F1197" s="189" t="e">
        <v>#N/A</v>
      </c>
      <c r="G1197" s="189" t="e">
        <v>#N/A</v>
      </c>
      <c r="H1197" s="189" t="e">
        <v>#N/A</v>
      </c>
      <c r="I1197" s="189" t="e">
        <v>#N/A</v>
      </c>
      <c r="J1197" s="189" t="e">
        <v>#N/A</v>
      </c>
      <c r="K1197" s="204" t="e">
        <v>#N/A</v>
      </c>
      <c r="L1197" s="204" t="e">
        <v>#N/A</v>
      </c>
      <c r="M1197" s="205" t="e">
        <v>#N/A</v>
      </c>
      <c r="N1197" s="205" t="e">
        <v>#N/A</v>
      </c>
      <c r="O1197" s="205" t="e">
        <v>#N/A</v>
      </c>
      <c r="P1197" s="205" t="e">
        <v>#N/A</v>
      </c>
      <c r="Q1197" s="189" t="e">
        <v>#N/A</v>
      </c>
      <c r="R1197" s="189" t="e">
        <v>#N/A</v>
      </c>
      <c r="S1197" s="205" t="e">
        <v>#N/A</v>
      </c>
      <c r="T1197" s="206"/>
    </row>
    <row r="1198">
      <c r="C1198" s="189" t="e">
        <v>#N/A</v>
      </c>
      <c r="D1198" s="189" t="e">
        <v>#N/A</v>
      </c>
      <c r="E1198" s="189" t="e">
        <v>#N/A</v>
      </c>
      <c r="F1198" s="189" t="e">
        <v>#N/A</v>
      </c>
      <c r="G1198" s="189" t="e">
        <v>#N/A</v>
      </c>
      <c r="H1198" s="189" t="e">
        <v>#N/A</v>
      </c>
      <c r="I1198" s="189" t="e">
        <v>#N/A</v>
      </c>
      <c r="J1198" s="189" t="e">
        <v>#N/A</v>
      </c>
      <c r="K1198" s="204" t="e">
        <v>#N/A</v>
      </c>
      <c r="L1198" s="204" t="e">
        <v>#N/A</v>
      </c>
      <c r="M1198" s="205" t="e">
        <v>#N/A</v>
      </c>
      <c r="N1198" s="205" t="e">
        <v>#N/A</v>
      </c>
      <c r="O1198" s="205" t="e">
        <v>#N/A</v>
      </c>
      <c r="P1198" s="205" t="e">
        <v>#N/A</v>
      </c>
      <c r="Q1198" s="189" t="e">
        <v>#N/A</v>
      </c>
      <c r="R1198" s="189" t="e">
        <v>#N/A</v>
      </c>
      <c r="S1198" s="205" t="e">
        <v>#N/A</v>
      </c>
      <c r="T1198" s="206"/>
    </row>
    <row r="1199">
      <c r="C1199" s="189" t="e">
        <v>#N/A</v>
      </c>
      <c r="D1199" s="189" t="e">
        <v>#N/A</v>
      </c>
      <c r="E1199" s="189" t="e">
        <v>#N/A</v>
      </c>
      <c r="F1199" s="189" t="e">
        <v>#N/A</v>
      </c>
      <c r="G1199" s="189" t="e">
        <v>#N/A</v>
      </c>
      <c r="H1199" s="189" t="e">
        <v>#N/A</v>
      </c>
      <c r="I1199" s="189" t="e">
        <v>#N/A</v>
      </c>
      <c r="J1199" s="189" t="e">
        <v>#N/A</v>
      </c>
      <c r="K1199" s="204" t="e">
        <v>#N/A</v>
      </c>
      <c r="L1199" s="204" t="e">
        <v>#N/A</v>
      </c>
      <c r="M1199" s="205" t="e">
        <v>#N/A</v>
      </c>
      <c r="N1199" s="205" t="e">
        <v>#N/A</v>
      </c>
      <c r="O1199" s="205" t="e">
        <v>#N/A</v>
      </c>
      <c r="P1199" s="205" t="e">
        <v>#N/A</v>
      </c>
      <c r="Q1199" s="189" t="e">
        <v>#N/A</v>
      </c>
      <c r="R1199" s="189" t="e">
        <v>#N/A</v>
      </c>
      <c r="S1199" s="205" t="e">
        <v>#N/A</v>
      </c>
      <c r="T1199" s="206"/>
    </row>
    <row r="1200">
      <c r="C1200" s="189" t="e">
        <v>#N/A</v>
      </c>
      <c r="D1200" s="189" t="e">
        <v>#N/A</v>
      </c>
      <c r="E1200" s="189" t="e">
        <v>#N/A</v>
      </c>
      <c r="F1200" s="189" t="e">
        <v>#N/A</v>
      </c>
      <c r="G1200" s="189" t="e">
        <v>#N/A</v>
      </c>
      <c r="H1200" s="189" t="e">
        <v>#N/A</v>
      </c>
      <c r="I1200" s="189" t="e">
        <v>#N/A</v>
      </c>
      <c r="J1200" s="189" t="e">
        <v>#N/A</v>
      </c>
      <c r="K1200" s="204" t="e">
        <v>#N/A</v>
      </c>
      <c r="L1200" s="204" t="e">
        <v>#N/A</v>
      </c>
      <c r="M1200" s="205" t="e">
        <v>#N/A</v>
      </c>
      <c r="N1200" s="205" t="e">
        <v>#N/A</v>
      </c>
      <c r="O1200" s="205" t="e">
        <v>#N/A</v>
      </c>
      <c r="P1200" s="205" t="e">
        <v>#N/A</v>
      </c>
      <c r="Q1200" s="189" t="e">
        <v>#N/A</v>
      </c>
      <c r="R1200" s="189" t="e">
        <v>#N/A</v>
      </c>
      <c r="S1200" s="205" t="e">
        <v>#N/A</v>
      </c>
      <c r="T1200" s="206"/>
    </row>
    <row r="1201">
      <c r="C1201" s="189" t="e">
        <v>#N/A</v>
      </c>
      <c r="D1201" s="189" t="e">
        <v>#N/A</v>
      </c>
      <c r="E1201" s="189" t="e">
        <v>#N/A</v>
      </c>
      <c r="F1201" s="189" t="e">
        <v>#N/A</v>
      </c>
      <c r="G1201" s="189" t="e">
        <v>#N/A</v>
      </c>
      <c r="H1201" s="189" t="e">
        <v>#N/A</v>
      </c>
      <c r="I1201" s="189" t="e">
        <v>#N/A</v>
      </c>
      <c r="J1201" s="189" t="e">
        <v>#N/A</v>
      </c>
      <c r="K1201" s="204" t="e">
        <v>#N/A</v>
      </c>
      <c r="L1201" s="204" t="e">
        <v>#N/A</v>
      </c>
      <c r="M1201" s="205" t="e">
        <v>#N/A</v>
      </c>
      <c r="N1201" s="205" t="e">
        <v>#N/A</v>
      </c>
      <c r="O1201" s="205" t="e">
        <v>#N/A</v>
      </c>
      <c r="P1201" s="205" t="e">
        <v>#N/A</v>
      </c>
      <c r="Q1201" s="189" t="e">
        <v>#N/A</v>
      </c>
      <c r="R1201" s="189" t="e">
        <v>#N/A</v>
      </c>
      <c r="S1201" s="205" t="e">
        <v>#N/A</v>
      </c>
      <c r="T1201" s="206"/>
    </row>
    <row r="1202">
      <c r="C1202" s="189" t="e">
        <v>#N/A</v>
      </c>
      <c r="D1202" s="189" t="e">
        <v>#N/A</v>
      </c>
      <c r="E1202" s="189" t="e">
        <v>#N/A</v>
      </c>
      <c r="F1202" s="189" t="e">
        <v>#N/A</v>
      </c>
      <c r="G1202" s="189" t="e">
        <v>#N/A</v>
      </c>
      <c r="H1202" s="189" t="e">
        <v>#N/A</v>
      </c>
      <c r="I1202" s="189" t="e">
        <v>#N/A</v>
      </c>
      <c r="J1202" s="189" t="e">
        <v>#N/A</v>
      </c>
      <c r="K1202" s="204" t="e">
        <v>#N/A</v>
      </c>
      <c r="L1202" s="204" t="e">
        <v>#N/A</v>
      </c>
      <c r="M1202" s="205" t="e">
        <v>#N/A</v>
      </c>
      <c r="N1202" s="205" t="e">
        <v>#N/A</v>
      </c>
      <c r="O1202" s="205" t="e">
        <v>#N/A</v>
      </c>
      <c r="P1202" s="205" t="e">
        <v>#N/A</v>
      </c>
      <c r="Q1202" s="189" t="e">
        <v>#N/A</v>
      </c>
      <c r="R1202" s="189" t="e">
        <v>#N/A</v>
      </c>
      <c r="S1202" s="205" t="e">
        <v>#N/A</v>
      </c>
      <c r="T1202" s="206"/>
    </row>
    <row r="1203">
      <c r="C1203" s="189" t="e">
        <v>#N/A</v>
      </c>
      <c r="D1203" s="189" t="e">
        <v>#N/A</v>
      </c>
      <c r="E1203" s="189" t="e">
        <v>#N/A</v>
      </c>
      <c r="F1203" s="189" t="e">
        <v>#N/A</v>
      </c>
      <c r="G1203" s="189" t="e">
        <v>#N/A</v>
      </c>
      <c r="H1203" s="189" t="e">
        <v>#N/A</v>
      </c>
      <c r="I1203" s="189" t="e">
        <v>#N/A</v>
      </c>
      <c r="J1203" s="189" t="e">
        <v>#N/A</v>
      </c>
      <c r="K1203" s="204" t="e">
        <v>#N/A</v>
      </c>
      <c r="L1203" s="204" t="e">
        <v>#N/A</v>
      </c>
      <c r="M1203" s="205" t="e">
        <v>#N/A</v>
      </c>
      <c r="N1203" s="205" t="e">
        <v>#N/A</v>
      </c>
      <c r="O1203" s="205" t="e">
        <v>#N/A</v>
      </c>
      <c r="P1203" s="205" t="e">
        <v>#N/A</v>
      </c>
      <c r="Q1203" s="189" t="e">
        <v>#N/A</v>
      </c>
      <c r="R1203" s="189" t="e">
        <v>#N/A</v>
      </c>
      <c r="S1203" s="205" t="e">
        <v>#N/A</v>
      </c>
      <c r="T1203" s="206"/>
    </row>
    <row r="1204">
      <c r="C1204" s="189" t="e">
        <v>#N/A</v>
      </c>
      <c r="D1204" s="189" t="e">
        <v>#N/A</v>
      </c>
      <c r="E1204" s="189" t="e">
        <v>#N/A</v>
      </c>
      <c r="F1204" s="189" t="e">
        <v>#N/A</v>
      </c>
      <c r="G1204" s="189" t="e">
        <v>#N/A</v>
      </c>
      <c r="H1204" s="189" t="e">
        <v>#N/A</v>
      </c>
      <c r="I1204" s="189" t="e">
        <v>#N/A</v>
      </c>
      <c r="J1204" s="189" t="e">
        <v>#N/A</v>
      </c>
      <c r="K1204" s="204" t="e">
        <v>#N/A</v>
      </c>
      <c r="L1204" s="204" t="e">
        <v>#N/A</v>
      </c>
      <c r="M1204" s="205" t="e">
        <v>#N/A</v>
      </c>
      <c r="N1204" s="205" t="e">
        <v>#N/A</v>
      </c>
      <c r="O1204" s="205" t="e">
        <v>#N/A</v>
      </c>
      <c r="P1204" s="205" t="e">
        <v>#N/A</v>
      </c>
      <c r="Q1204" s="189" t="e">
        <v>#N/A</v>
      </c>
      <c r="R1204" s="189" t="e">
        <v>#N/A</v>
      </c>
      <c r="S1204" s="205" t="e">
        <v>#N/A</v>
      </c>
      <c r="T1204" s="206"/>
    </row>
    <row r="1205">
      <c r="C1205" s="189" t="e">
        <v>#N/A</v>
      </c>
      <c r="D1205" s="189" t="e">
        <v>#N/A</v>
      </c>
      <c r="E1205" s="189" t="e">
        <v>#N/A</v>
      </c>
      <c r="F1205" s="189" t="e">
        <v>#N/A</v>
      </c>
      <c r="G1205" s="189" t="e">
        <v>#N/A</v>
      </c>
      <c r="H1205" s="189" t="e">
        <v>#N/A</v>
      </c>
      <c r="I1205" s="189" t="e">
        <v>#N/A</v>
      </c>
      <c r="J1205" s="189" t="e">
        <v>#N/A</v>
      </c>
      <c r="K1205" s="204" t="e">
        <v>#N/A</v>
      </c>
      <c r="L1205" s="204" t="e">
        <v>#N/A</v>
      </c>
      <c r="M1205" s="205" t="e">
        <v>#N/A</v>
      </c>
      <c r="N1205" s="205" t="e">
        <v>#N/A</v>
      </c>
      <c r="O1205" s="205" t="e">
        <v>#N/A</v>
      </c>
      <c r="P1205" s="205" t="e">
        <v>#N/A</v>
      </c>
      <c r="Q1205" s="189" t="e">
        <v>#N/A</v>
      </c>
      <c r="R1205" s="189" t="e">
        <v>#N/A</v>
      </c>
      <c r="S1205" s="205" t="e">
        <v>#N/A</v>
      </c>
      <c r="T1205" s="206"/>
    </row>
    <row r="1206">
      <c r="C1206" s="189" t="e">
        <v>#N/A</v>
      </c>
      <c r="D1206" s="189" t="e">
        <v>#N/A</v>
      </c>
      <c r="E1206" s="189" t="e">
        <v>#N/A</v>
      </c>
      <c r="F1206" s="189" t="e">
        <v>#N/A</v>
      </c>
      <c r="G1206" s="189" t="e">
        <v>#N/A</v>
      </c>
      <c r="H1206" s="189" t="e">
        <v>#N/A</v>
      </c>
      <c r="I1206" s="189" t="e">
        <v>#N/A</v>
      </c>
      <c r="J1206" s="189" t="e">
        <v>#N/A</v>
      </c>
      <c r="K1206" s="204" t="e">
        <v>#N/A</v>
      </c>
      <c r="L1206" s="204" t="e">
        <v>#N/A</v>
      </c>
      <c r="M1206" s="205" t="e">
        <v>#N/A</v>
      </c>
      <c r="N1206" s="205" t="e">
        <v>#N/A</v>
      </c>
      <c r="O1206" s="205" t="e">
        <v>#N/A</v>
      </c>
      <c r="P1206" s="205" t="e">
        <v>#N/A</v>
      </c>
      <c r="Q1206" s="189" t="e">
        <v>#N/A</v>
      </c>
      <c r="R1206" s="189" t="e">
        <v>#N/A</v>
      </c>
      <c r="S1206" s="205" t="e">
        <v>#N/A</v>
      </c>
      <c r="T1206" s="206"/>
    </row>
    <row r="1207">
      <c r="C1207" s="189" t="e">
        <v>#N/A</v>
      </c>
      <c r="D1207" s="189" t="e">
        <v>#N/A</v>
      </c>
      <c r="E1207" s="189" t="e">
        <v>#N/A</v>
      </c>
      <c r="F1207" s="189" t="e">
        <v>#N/A</v>
      </c>
      <c r="G1207" s="189" t="e">
        <v>#N/A</v>
      </c>
      <c r="H1207" s="189" t="e">
        <v>#N/A</v>
      </c>
      <c r="I1207" s="189" t="e">
        <v>#N/A</v>
      </c>
      <c r="J1207" s="189" t="e">
        <v>#N/A</v>
      </c>
      <c r="K1207" s="204" t="e">
        <v>#N/A</v>
      </c>
      <c r="L1207" s="204" t="e">
        <v>#N/A</v>
      </c>
      <c r="M1207" s="205" t="e">
        <v>#N/A</v>
      </c>
      <c r="N1207" s="205" t="e">
        <v>#N/A</v>
      </c>
      <c r="O1207" s="205" t="e">
        <v>#N/A</v>
      </c>
      <c r="P1207" s="205" t="e">
        <v>#N/A</v>
      </c>
      <c r="Q1207" s="189" t="e">
        <v>#N/A</v>
      </c>
      <c r="R1207" s="189" t="e">
        <v>#N/A</v>
      </c>
      <c r="S1207" s="205" t="e">
        <v>#N/A</v>
      </c>
      <c r="T1207" s="206"/>
    </row>
    <row r="1208">
      <c r="C1208" s="189" t="e">
        <v>#N/A</v>
      </c>
      <c r="D1208" s="189" t="e">
        <v>#N/A</v>
      </c>
      <c r="E1208" s="189" t="e">
        <v>#N/A</v>
      </c>
      <c r="F1208" s="189" t="e">
        <v>#N/A</v>
      </c>
      <c r="G1208" s="189" t="e">
        <v>#N/A</v>
      </c>
      <c r="H1208" s="189" t="e">
        <v>#N/A</v>
      </c>
      <c r="I1208" s="189" t="e">
        <v>#N/A</v>
      </c>
      <c r="J1208" s="189" t="e">
        <v>#N/A</v>
      </c>
      <c r="K1208" s="204" t="e">
        <v>#N/A</v>
      </c>
      <c r="L1208" s="204" t="e">
        <v>#N/A</v>
      </c>
      <c r="M1208" s="205" t="e">
        <v>#N/A</v>
      </c>
      <c r="N1208" s="205" t="e">
        <v>#N/A</v>
      </c>
      <c r="O1208" s="205" t="e">
        <v>#N/A</v>
      </c>
      <c r="P1208" s="205" t="e">
        <v>#N/A</v>
      </c>
      <c r="Q1208" s="189" t="e">
        <v>#N/A</v>
      </c>
      <c r="R1208" s="189" t="e">
        <v>#N/A</v>
      </c>
      <c r="S1208" s="205" t="e">
        <v>#N/A</v>
      </c>
      <c r="T1208" s="206"/>
    </row>
    <row r="1209">
      <c r="C1209" s="189" t="e">
        <v>#N/A</v>
      </c>
      <c r="D1209" s="189" t="e">
        <v>#N/A</v>
      </c>
      <c r="E1209" s="189" t="e">
        <v>#N/A</v>
      </c>
      <c r="F1209" s="189" t="e">
        <v>#N/A</v>
      </c>
      <c r="G1209" s="189" t="e">
        <v>#N/A</v>
      </c>
      <c r="H1209" s="189" t="e">
        <v>#N/A</v>
      </c>
      <c r="I1209" s="189" t="e">
        <v>#N/A</v>
      </c>
      <c r="J1209" s="189" t="e">
        <v>#N/A</v>
      </c>
      <c r="K1209" s="204" t="e">
        <v>#N/A</v>
      </c>
      <c r="L1209" s="204" t="e">
        <v>#N/A</v>
      </c>
      <c r="M1209" s="205" t="e">
        <v>#N/A</v>
      </c>
      <c r="N1209" s="205" t="e">
        <v>#N/A</v>
      </c>
      <c r="O1209" s="205" t="e">
        <v>#N/A</v>
      </c>
      <c r="P1209" s="205" t="e">
        <v>#N/A</v>
      </c>
      <c r="Q1209" s="189" t="e">
        <v>#N/A</v>
      </c>
      <c r="R1209" s="189" t="e">
        <v>#N/A</v>
      </c>
      <c r="S1209" s="205" t="e">
        <v>#N/A</v>
      </c>
      <c r="T1209" s="206"/>
    </row>
    <row r="1210">
      <c r="C1210" s="189" t="e">
        <v>#N/A</v>
      </c>
      <c r="D1210" s="189" t="e">
        <v>#N/A</v>
      </c>
      <c r="E1210" s="189" t="e">
        <v>#N/A</v>
      </c>
      <c r="F1210" s="189" t="e">
        <v>#N/A</v>
      </c>
      <c r="G1210" s="189" t="e">
        <v>#N/A</v>
      </c>
      <c r="H1210" s="189" t="e">
        <v>#N/A</v>
      </c>
      <c r="I1210" s="189" t="e">
        <v>#N/A</v>
      </c>
      <c r="J1210" s="189" t="e">
        <v>#N/A</v>
      </c>
      <c r="K1210" s="204" t="e">
        <v>#N/A</v>
      </c>
      <c r="L1210" s="204" t="e">
        <v>#N/A</v>
      </c>
      <c r="M1210" s="205" t="e">
        <v>#N/A</v>
      </c>
      <c r="N1210" s="205" t="e">
        <v>#N/A</v>
      </c>
      <c r="O1210" s="205" t="e">
        <v>#N/A</v>
      </c>
      <c r="P1210" s="205" t="e">
        <v>#N/A</v>
      </c>
      <c r="Q1210" s="189" t="e">
        <v>#N/A</v>
      </c>
      <c r="R1210" s="189" t="e">
        <v>#N/A</v>
      </c>
      <c r="S1210" s="205" t="e">
        <v>#N/A</v>
      </c>
      <c r="T1210" s="206"/>
    </row>
    <row r="1211">
      <c r="C1211" s="189" t="e">
        <v>#N/A</v>
      </c>
      <c r="D1211" s="189" t="e">
        <v>#N/A</v>
      </c>
      <c r="E1211" s="189" t="e">
        <v>#N/A</v>
      </c>
      <c r="F1211" s="189" t="e">
        <v>#N/A</v>
      </c>
      <c r="G1211" s="189" t="e">
        <v>#N/A</v>
      </c>
      <c r="H1211" s="189" t="e">
        <v>#N/A</v>
      </c>
      <c r="I1211" s="189" t="e">
        <v>#N/A</v>
      </c>
      <c r="J1211" s="189" t="e">
        <v>#N/A</v>
      </c>
      <c r="K1211" s="204" t="e">
        <v>#N/A</v>
      </c>
      <c r="L1211" s="204" t="e">
        <v>#N/A</v>
      </c>
      <c r="M1211" s="205" t="e">
        <v>#N/A</v>
      </c>
      <c r="N1211" s="205" t="e">
        <v>#N/A</v>
      </c>
      <c r="O1211" s="205" t="e">
        <v>#N/A</v>
      </c>
      <c r="P1211" s="205" t="e">
        <v>#N/A</v>
      </c>
      <c r="Q1211" s="189" t="e">
        <v>#N/A</v>
      </c>
      <c r="R1211" s="189" t="e">
        <v>#N/A</v>
      </c>
      <c r="S1211" s="205" t="e">
        <v>#N/A</v>
      </c>
      <c r="T1211" s="206"/>
    </row>
    <row r="1212">
      <c r="C1212" s="189" t="e">
        <v>#N/A</v>
      </c>
      <c r="D1212" s="189" t="e">
        <v>#N/A</v>
      </c>
      <c r="E1212" s="189" t="e">
        <v>#N/A</v>
      </c>
      <c r="F1212" s="189" t="e">
        <v>#N/A</v>
      </c>
      <c r="G1212" s="189" t="e">
        <v>#N/A</v>
      </c>
      <c r="H1212" s="189" t="e">
        <v>#N/A</v>
      </c>
      <c r="I1212" s="189" t="e">
        <v>#N/A</v>
      </c>
      <c r="J1212" s="189" t="e">
        <v>#N/A</v>
      </c>
      <c r="K1212" s="204" t="e">
        <v>#N/A</v>
      </c>
      <c r="L1212" s="204" t="e">
        <v>#N/A</v>
      </c>
      <c r="M1212" s="205" t="e">
        <v>#N/A</v>
      </c>
      <c r="N1212" s="205" t="e">
        <v>#N/A</v>
      </c>
      <c r="O1212" s="205" t="e">
        <v>#N/A</v>
      </c>
      <c r="P1212" s="205" t="e">
        <v>#N/A</v>
      </c>
      <c r="Q1212" s="189" t="e">
        <v>#N/A</v>
      </c>
      <c r="R1212" s="189" t="e">
        <v>#N/A</v>
      </c>
      <c r="S1212" s="205" t="e">
        <v>#N/A</v>
      </c>
      <c r="T1212" s="206"/>
    </row>
    <row r="1213">
      <c r="C1213" s="189" t="e">
        <v>#N/A</v>
      </c>
      <c r="D1213" s="189" t="e">
        <v>#N/A</v>
      </c>
      <c r="E1213" s="189" t="e">
        <v>#N/A</v>
      </c>
      <c r="F1213" s="189" t="e">
        <v>#N/A</v>
      </c>
      <c r="G1213" s="189" t="e">
        <v>#N/A</v>
      </c>
      <c r="H1213" s="189" t="e">
        <v>#N/A</v>
      </c>
      <c r="I1213" s="189" t="e">
        <v>#N/A</v>
      </c>
      <c r="J1213" s="189" t="e">
        <v>#N/A</v>
      </c>
      <c r="K1213" s="204" t="e">
        <v>#N/A</v>
      </c>
      <c r="L1213" s="204" t="e">
        <v>#N/A</v>
      </c>
      <c r="M1213" s="205" t="e">
        <v>#N/A</v>
      </c>
      <c r="N1213" s="205" t="e">
        <v>#N/A</v>
      </c>
      <c r="O1213" s="205" t="e">
        <v>#N/A</v>
      </c>
      <c r="P1213" s="205" t="e">
        <v>#N/A</v>
      </c>
      <c r="Q1213" s="189" t="e">
        <v>#N/A</v>
      </c>
      <c r="R1213" s="189" t="e">
        <v>#N/A</v>
      </c>
      <c r="S1213" s="205" t="e">
        <v>#N/A</v>
      </c>
      <c r="T1213" s="206"/>
    </row>
    <row r="1214">
      <c r="C1214" s="189" t="e">
        <v>#N/A</v>
      </c>
      <c r="D1214" s="189" t="e">
        <v>#N/A</v>
      </c>
      <c r="E1214" s="189" t="e">
        <v>#N/A</v>
      </c>
      <c r="F1214" s="189" t="e">
        <v>#N/A</v>
      </c>
      <c r="G1214" s="189" t="e">
        <v>#N/A</v>
      </c>
      <c r="H1214" s="189" t="e">
        <v>#N/A</v>
      </c>
      <c r="I1214" s="189" t="e">
        <v>#N/A</v>
      </c>
      <c r="J1214" s="189" t="e">
        <v>#N/A</v>
      </c>
      <c r="K1214" s="204" t="e">
        <v>#N/A</v>
      </c>
      <c r="L1214" s="204" t="e">
        <v>#N/A</v>
      </c>
      <c r="M1214" s="205" t="e">
        <v>#N/A</v>
      </c>
      <c r="N1214" s="205" t="e">
        <v>#N/A</v>
      </c>
      <c r="O1214" s="205" t="e">
        <v>#N/A</v>
      </c>
      <c r="P1214" s="205" t="e">
        <v>#N/A</v>
      </c>
      <c r="Q1214" s="189" t="e">
        <v>#N/A</v>
      </c>
      <c r="R1214" s="189" t="e">
        <v>#N/A</v>
      </c>
      <c r="S1214" s="205" t="e">
        <v>#N/A</v>
      </c>
      <c r="T1214" s="206"/>
    </row>
    <row r="1215">
      <c r="C1215" s="189" t="e">
        <v>#N/A</v>
      </c>
      <c r="D1215" s="189" t="e">
        <v>#N/A</v>
      </c>
      <c r="E1215" s="189" t="e">
        <v>#N/A</v>
      </c>
      <c r="F1215" s="189" t="e">
        <v>#N/A</v>
      </c>
      <c r="G1215" s="189" t="e">
        <v>#N/A</v>
      </c>
      <c r="H1215" s="189" t="e">
        <v>#N/A</v>
      </c>
      <c r="I1215" s="189" t="e">
        <v>#N/A</v>
      </c>
      <c r="J1215" s="189" t="e">
        <v>#N/A</v>
      </c>
      <c r="K1215" s="204" t="e">
        <v>#N/A</v>
      </c>
      <c r="L1215" s="204" t="e">
        <v>#N/A</v>
      </c>
      <c r="M1215" s="205" t="e">
        <v>#N/A</v>
      </c>
      <c r="N1215" s="205" t="e">
        <v>#N/A</v>
      </c>
      <c r="O1215" s="205" t="e">
        <v>#N/A</v>
      </c>
      <c r="P1215" s="205" t="e">
        <v>#N/A</v>
      </c>
      <c r="Q1215" s="189" t="e">
        <v>#N/A</v>
      </c>
      <c r="R1215" s="189" t="e">
        <v>#N/A</v>
      </c>
      <c r="S1215" s="205" t="e">
        <v>#N/A</v>
      </c>
      <c r="T1215" s="206"/>
    </row>
    <row r="1216">
      <c r="C1216" s="189" t="e">
        <v>#N/A</v>
      </c>
      <c r="D1216" s="189" t="e">
        <v>#N/A</v>
      </c>
      <c r="E1216" s="189" t="e">
        <v>#N/A</v>
      </c>
      <c r="F1216" s="189" t="e">
        <v>#N/A</v>
      </c>
      <c r="G1216" s="189" t="e">
        <v>#N/A</v>
      </c>
      <c r="H1216" s="189" t="e">
        <v>#N/A</v>
      </c>
      <c r="I1216" s="189" t="e">
        <v>#N/A</v>
      </c>
      <c r="J1216" s="189" t="e">
        <v>#N/A</v>
      </c>
      <c r="K1216" s="204" t="e">
        <v>#N/A</v>
      </c>
      <c r="L1216" s="204" t="e">
        <v>#N/A</v>
      </c>
      <c r="M1216" s="205" t="e">
        <v>#N/A</v>
      </c>
      <c r="N1216" s="205" t="e">
        <v>#N/A</v>
      </c>
      <c r="O1216" s="205" t="e">
        <v>#N/A</v>
      </c>
      <c r="P1216" s="205" t="e">
        <v>#N/A</v>
      </c>
      <c r="Q1216" s="189" t="e">
        <v>#N/A</v>
      </c>
      <c r="R1216" s="189" t="e">
        <v>#N/A</v>
      </c>
      <c r="S1216" s="205" t="e">
        <v>#N/A</v>
      </c>
      <c r="T1216" s="206"/>
    </row>
    <row r="1217">
      <c r="C1217" s="189" t="e">
        <v>#N/A</v>
      </c>
      <c r="D1217" s="189" t="e">
        <v>#N/A</v>
      </c>
      <c r="E1217" s="189" t="e">
        <v>#N/A</v>
      </c>
      <c r="F1217" s="189" t="e">
        <v>#N/A</v>
      </c>
      <c r="G1217" s="189" t="e">
        <v>#N/A</v>
      </c>
      <c r="H1217" s="189" t="e">
        <v>#N/A</v>
      </c>
      <c r="I1217" s="189" t="e">
        <v>#N/A</v>
      </c>
      <c r="J1217" s="189" t="e">
        <v>#N/A</v>
      </c>
      <c r="K1217" s="204" t="e">
        <v>#N/A</v>
      </c>
      <c r="L1217" s="204" t="e">
        <v>#N/A</v>
      </c>
      <c r="M1217" s="205" t="e">
        <v>#N/A</v>
      </c>
      <c r="N1217" s="205" t="e">
        <v>#N/A</v>
      </c>
      <c r="O1217" s="205" t="e">
        <v>#N/A</v>
      </c>
      <c r="P1217" s="205" t="e">
        <v>#N/A</v>
      </c>
      <c r="Q1217" s="189" t="e">
        <v>#N/A</v>
      </c>
      <c r="R1217" s="189" t="e">
        <v>#N/A</v>
      </c>
      <c r="S1217" s="205" t="e">
        <v>#N/A</v>
      </c>
      <c r="T1217" s="206"/>
    </row>
    <row r="1218">
      <c r="C1218" s="189" t="e">
        <v>#N/A</v>
      </c>
      <c r="D1218" s="189" t="e">
        <v>#N/A</v>
      </c>
      <c r="E1218" s="189" t="e">
        <v>#N/A</v>
      </c>
      <c r="F1218" s="189" t="e">
        <v>#N/A</v>
      </c>
      <c r="G1218" s="189" t="e">
        <v>#N/A</v>
      </c>
      <c r="H1218" s="189" t="e">
        <v>#N/A</v>
      </c>
      <c r="I1218" s="189" t="e">
        <v>#N/A</v>
      </c>
      <c r="J1218" s="189" t="e">
        <v>#N/A</v>
      </c>
      <c r="K1218" s="204" t="e">
        <v>#N/A</v>
      </c>
      <c r="L1218" s="204" t="e">
        <v>#N/A</v>
      </c>
      <c r="M1218" s="205" t="e">
        <v>#N/A</v>
      </c>
      <c r="N1218" s="205" t="e">
        <v>#N/A</v>
      </c>
      <c r="O1218" s="205" t="e">
        <v>#N/A</v>
      </c>
      <c r="P1218" s="205" t="e">
        <v>#N/A</v>
      </c>
      <c r="Q1218" s="189" t="e">
        <v>#N/A</v>
      </c>
      <c r="R1218" s="189" t="e">
        <v>#N/A</v>
      </c>
      <c r="S1218" s="205" t="e">
        <v>#N/A</v>
      </c>
      <c r="T1218" s="206"/>
    </row>
    <row r="1219">
      <c r="C1219" s="189" t="e">
        <v>#N/A</v>
      </c>
      <c r="D1219" s="189" t="e">
        <v>#N/A</v>
      </c>
      <c r="E1219" s="189" t="e">
        <v>#N/A</v>
      </c>
      <c r="F1219" s="189" t="e">
        <v>#N/A</v>
      </c>
      <c r="G1219" s="189" t="e">
        <v>#N/A</v>
      </c>
      <c r="H1219" s="189" t="e">
        <v>#N/A</v>
      </c>
      <c r="I1219" s="189" t="e">
        <v>#N/A</v>
      </c>
      <c r="J1219" s="189" t="e">
        <v>#N/A</v>
      </c>
      <c r="K1219" s="204" t="e">
        <v>#N/A</v>
      </c>
      <c r="L1219" s="204" t="e">
        <v>#N/A</v>
      </c>
      <c r="M1219" s="205" t="e">
        <v>#N/A</v>
      </c>
      <c r="N1219" s="205" t="e">
        <v>#N/A</v>
      </c>
      <c r="O1219" s="205" t="e">
        <v>#N/A</v>
      </c>
      <c r="P1219" s="205" t="e">
        <v>#N/A</v>
      </c>
      <c r="Q1219" s="189" t="e">
        <v>#N/A</v>
      </c>
      <c r="R1219" s="189" t="e">
        <v>#N/A</v>
      </c>
      <c r="S1219" s="205" t="e">
        <v>#N/A</v>
      </c>
      <c r="T1219" s="206"/>
    </row>
    <row r="1220">
      <c r="C1220" s="189" t="e">
        <v>#N/A</v>
      </c>
      <c r="D1220" s="189" t="e">
        <v>#N/A</v>
      </c>
      <c r="E1220" s="189" t="e">
        <v>#N/A</v>
      </c>
      <c r="F1220" s="189" t="e">
        <v>#N/A</v>
      </c>
      <c r="G1220" s="189" t="e">
        <v>#N/A</v>
      </c>
      <c r="H1220" s="189" t="e">
        <v>#N/A</v>
      </c>
      <c r="I1220" s="189" t="e">
        <v>#N/A</v>
      </c>
      <c r="J1220" s="189" t="e">
        <v>#N/A</v>
      </c>
      <c r="K1220" s="204" t="e">
        <v>#N/A</v>
      </c>
      <c r="L1220" s="204" t="e">
        <v>#N/A</v>
      </c>
      <c r="M1220" s="205" t="e">
        <v>#N/A</v>
      </c>
      <c r="N1220" s="205" t="e">
        <v>#N/A</v>
      </c>
      <c r="O1220" s="205" t="e">
        <v>#N/A</v>
      </c>
      <c r="P1220" s="205" t="e">
        <v>#N/A</v>
      </c>
      <c r="Q1220" s="189" t="e">
        <v>#N/A</v>
      </c>
      <c r="R1220" s="189" t="e">
        <v>#N/A</v>
      </c>
      <c r="S1220" s="205" t="e">
        <v>#N/A</v>
      </c>
      <c r="T1220" s="206"/>
    </row>
    <row r="1221">
      <c r="C1221" s="189" t="e">
        <v>#N/A</v>
      </c>
      <c r="D1221" s="189" t="e">
        <v>#N/A</v>
      </c>
      <c r="E1221" s="189" t="e">
        <v>#N/A</v>
      </c>
      <c r="F1221" s="189" t="e">
        <v>#N/A</v>
      </c>
      <c r="G1221" s="189" t="e">
        <v>#N/A</v>
      </c>
      <c r="H1221" s="189" t="e">
        <v>#N/A</v>
      </c>
      <c r="I1221" s="189" t="e">
        <v>#N/A</v>
      </c>
      <c r="J1221" s="189" t="e">
        <v>#N/A</v>
      </c>
      <c r="K1221" s="204" t="e">
        <v>#N/A</v>
      </c>
      <c r="L1221" s="204" t="e">
        <v>#N/A</v>
      </c>
      <c r="M1221" s="205" t="e">
        <v>#N/A</v>
      </c>
      <c r="N1221" s="205" t="e">
        <v>#N/A</v>
      </c>
      <c r="O1221" s="205" t="e">
        <v>#N/A</v>
      </c>
      <c r="P1221" s="205" t="e">
        <v>#N/A</v>
      </c>
      <c r="Q1221" s="189" t="e">
        <v>#N/A</v>
      </c>
      <c r="R1221" s="189" t="e">
        <v>#N/A</v>
      </c>
      <c r="S1221" s="205" t="e">
        <v>#N/A</v>
      </c>
      <c r="T1221" s="206"/>
    </row>
    <row r="1222">
      <c r="C1222" s="189" t="e">
        <v>#N/A</v>
      </c>
      <c r="D1222" s="189" t="e">
        <v>#N/A</v>
      </c>
      <c r="E1222" s="189" t="e">
        <v>#N/A</v>
      </c>
      <c r="F1222" s="189" t="e">
        <v>#N/A</v>
      </c>
      <c r="G1222" s="189" t="e">
        <v>#N/A</v>
      </c>
      <c r="H1222" s="189" t="e">
        <v>#N/A</v>
      </c>
      <c r="I1222" s="189" t="e">
        <v>#N/A</v>
      </c>
      <c r="J1222" s="189" t="e">
        <v>#N/A</v>
      </c>
      <c r="K1222" s="204" t="e">
        <v>#N/A</v>
      </c>
      <c r="L1222" s="204" t="e">
        <v>#N/A</v>
      </c>
      <c r="M1222" s="205" t="e">
        <v>#N/A</v>
      </c>
      <c r="N1222" s="205" t="e">
        <v>#N/A</v>
      </c>
      <c r="O1222" s="205" t="e">
        <v>#N/A</v>
      </c>
      <c r="P1222" s="205" t="e">
        <v>#N/A</v>
      </c>
      <c r="Q1222" s="189" t="e">
        <v>#N/A</v>
      </c>
      <c r="R1222" s="189" t="e">
        <v>#N/A</v>
      </c>
      <c r="S1222" s="205" t="e">
        <v>#N/A</v>
      </c>
      <c r="T1222" s="206"/>
    </row>
    <row r="1223">
      <c r="C1223" s="189" t="e">
        <v>#N/A</v>
      </c>
      <c r="D1223" s="189" t="e">
        <v>#N/A</v>
      </c>
      <c r="E1223" s="189" t="e">
        <v>#N/A</v>
      </c>
      <c r="F1223" s="189" t="e">
        <v>#N/A</v>
      </c>
      <c r="G1223" s="189" t="e">
        <v>#N/A</v>
      </c>
      <c r="H1223" s="189" t="e">
        <v>#N/A</v>
      </c>
      <c r="I1223" s="189" t="e">
        <v>#N/A</v>
      </c>
      <c r="J1223" s="189" t="e">
        <v>#N/A</v>
      </c>
      <c r="K1223" s="204" t="e">
        <v>#N/A</v>
      </c>
      <c r="L1223" s="204" t="e">
        <v>#N/A</v>
      </c>
      <c r="M1223" s="205" t="e">
        <v>#N/A</v>
      </c>
      <c r="N1223" s="205" t="e">
        <v>#N/A</v>
      </c>
      <c r="O1223" s="205" t="e">
        <v>#N/A</v>
      </c>
      <c r="P1223" s="205" t="e">
        <v>#N/A</v>
      </c>
      <c r="Q1223" s="189" t="e">
        <v>#N/A</v>
      </c>
      <c r="R1223" s="189" t="e">
        <v>#N/A</v>
      </c>
      <c r="S1223" s="205" t="e">
        <v>#N/A</v>
      </c>
      <c r="T1223" s="206"/>
    </row>
    <row r="1224">
      <c r="C1224" s="189" t="e">
        <v>#N/A</v>
      </c>
      <c r="D1224" s="189" t="e">
        <v>#N/A</v>
      </c>
      <c r="E1224" s="189" t="e">
        <v>#N/A</v>
      </c>
      <c r="F1224" s="189" t="e">
        <v>#N/A</v>
      </c>
      <c r="G1224" s="189" t="e">
        <v>#N/A</v>
      </c>
      <c r="H1224" s="189" t="e">
        <v>#N/A</v>
      </c>
      <c r="I1224" s="189" t="e">
        <v>#N/A</v>
      </c>
      <c r="J1224" s="189" t="e">
        <v>#N/A</v>
      </c>
      <c r="K1224" s="204" t="e">
        <v>#N/A</v>
      </c>
      <c r="L1224" s="204" t="e">
        <v>#N/A</v>
      </c>
      <c r="M1224" s="205" t="e">
        <v>#N/A</v>
      </c>
      <c r="N1224" s="205" t="e">
        <v>#N/A</v>
      </c>
      <c r="O1224" s="205" t="e">
        <v>#N/A</v>
      </c>
      <c r="P1224" s="205" t="e">
        <v>#N/A</v>
      </c>
      <c r="Q1224" s="189" t="e">
        <v>#N/A</v>
      </c>
      <c r="R1224" s="189" t="e">
        <v>#N/A</v>
      </c>
      <c r="S1224" s="205" t="e">
        <v>#N/A</v>
      </c>
      <c r="T1224" s="206"/>
    </row>
    <row r="1225">
      <c r="C1225" s="189" t="e">
        <v>#N/A</v>
      </c>
      <c r="D1225" s="189" t="e">
        <v>#N/A</v>
      </c>
      <c r="E1225" s="189" t="e">
        <v>#N/A</v>
      </c>
      <c r="F1225" s="189" t="e">
        <v>#N/A</v>
      </c>
      <c r="G1225" s="189" t="e">
        <v>#N/A</v>
      </c>
      <c r="H1225" s="189" t="e">
        <v>#N/A</v>
      </c>
      <c r="I1225" s="189" t="e">
        <v>#N/A</v>
      </c>
      <c r="J1225" s="189" t="e">
        <v>#N/A</v>
      </c>
      <c r="K1225" s="204" t="e">
        <v>#N/A</v>
      </c>
      <c r="L1225" s="204" t="e">
        <v>#N/A</v>
      </c>
      <c r="M1225" s="205" t="e">
        <v>#N/A</v>
      </c>
      <c r="N1225" s="205" t="e">
        <v>#N/A</v>
      </c>
      <c r="O1225" s="205" t="e">
        <v>#N/A</v>
      </c>
      <c r="P1225" s="205" t="e">
        <v>#N/A</v>
      </c>
      <c r="Q1225" s="189" t="e">
        <v>#N/A</v>
      </c>
      <c r="R1225" s="189" t="e">
        <v>#N/A</v>
      </c>
      <c r="S1225" s="205" t="e">
        <v>#N/A</v>
      </c>
      <c r="T1225" s="206"/>
    </row>
    <row r="1226">
      <c r="C1226" s="189" t="e">
        <v>#N/A</v>
      </c>
      <c r="D1226" s="189" t="e">
        <v>#N/A</v>
      </c>
      <c r="E1226" s="189" t="e">
        <v>#N/A</v>
      </c>
      <c r="F1226" s="189" t="e">
        <v>#N/A</v>
      </c>
      <c r="G1226" s="189" t="e">
        <v>#N/A</v>
      </c>
      <c r="H1226" s="189" t="e">
        <v>#N/A</v>
      </c>
      <c r="I1226" s="189" t="e">
        <v>#N/A</v>
      </c>
      <c r="J1226" s="189" t="e">
        <v>#N/A</v>
      </c>
      <c r="K1226" s="204" t="e">
        <v>#N/A</v>
      </c>
      <c r="L1226" s="204" t="e">
        <v>#N/A</v>
      </c>
      <c r="M1226" s="205" t="e">
        <v>#N/A</v>
      </c>
      <c r="N1226" s="205" t="e">
        <v>#N/A</v>
      </c>
      <c r="O1226" s="205" t="e">
        <v>#N/A</v>
      </c>
      <c r="P1226" s="205" t="e">
        <v>#N/A</v>
      </c>
      <c r="Q1226" s="189" t="e">
        <v>#N/A</v>
      </c>
      <c r="R1226" s="189" t="e">
        <v>#N/A</v>
      </c>
      <c r="S1226" s="205" t="e">
        <v>#N/A</v>
      </c>
      <c r="T1226" s="206"/>
    </row>
    <row r="1227">
      <c r="C1227" s="189" t="e">
        <v>#N/A</v>
      </c>
      <c r="D1227" s="189" t="e">
        <v>#N/A</v>
      </c>
      <c r="E1227" s="189" t="e">
        <v>#N/A</v>
      </c>
      <c r="F1227" s="189" t="e">
        <v>#N/A</v>
      </c>
      <c r="G1227" s="189" t="e">
        <v>#N/A</v>
      </c>
      <c r="H1227" s="189" t="e">
        <v>#N/A</v>
      </c>
      <c r="I1227" s="189" t="e">
        <v>#N/A</v>
      </c>
      <c r="J1227" s="189" t="e">
        <v>#N/A</v>
      </c>
      <c r="K1227" s="204" t="e">
        <v>#N/A</v>
      </c>
      <c r="L1227" s="204" t="e">
        <v>#N/A</v>
      </c>
      <c r="M1227" s="205" t="e">
        <v>#N/A</v>
      </c>
      <c r="N1227" s="205" t="e">
        <v>#N/A</v>
      </c>
      <c r="O1227" s="205" t="e">
        <v>#N/A</v>
      </c>
      <c r="P1227" s="205" t="e">
        <v>#N/A</v>
      </c>
      <c r="Q1227" s="189" t="e">
        <v>#N/A</v>
      </c>
      <c r="R1227" s="189" t="e">
        <v>#N/A</v>
      </c>
      <c r="S1227" s="205" t="e">
        <v>#N/A</v>
      </c>
      <c r="T1227" s="206"/>
    </row>
    <row r="1228">
      <c r="C1228" s="189" t="e">
        <v>#N/A</v>
      </c>
      <c r="D1228" s="189" t="e">
        <v>#N/A</v>
      </c>
      <c r="E1228" s="189" t="e">
        <v>#N/A</v>
      </c>
      <c r="F1228" s="189" t="e">
        <v>#N/A</v>
      </c>
      <c r="G1228" s="189" t="e">
        <v>#N/A</v>
      </c>
      <c r="H1228" s="189" t="e">
        <v>#N/A</v>
      </c>
      <c r="I1228" s="189" t="e">
        <v>#N/A</v>
      </c>
      <c r="J1228" s="189" t="e">
        <v>#N/A</v>
      </c>
      <c r="K1228" s="204" t="e">
        <v>#N/A</v>
      </c>
      <c r="L1228" s="204" t="e">
        <v>#N/A</v>
      </c>
      <c r="M1228" s="205" t="e">
        <v>#N/A</v>
      </c>
      <c r="N1228" s="205" t="e">
        <v>#N/A</v>
      </c>
      <c r="O1228" s="205" t="e">
        <v>#N/A</v>
      </c>
      <c r="P1228" s="205" t="e">
        <v>#N/A</v>
      </c>
      <c r="Q1228" s="189" t="e">
        <v>#N/A</v>
      </c>
      <c r="R1228" s="189" t="e">
        <v>#N/A</v>
      </c>
      <c r="S1228" s="205" t="e">
        <v>#N/A</v>
      </c>
      <c r="T1228" s="206"/>
    </row>
    <row r="1229">
      <c r="C1229" s="189" t="e">
        <v>#N/A</v>
      </c>
      <c r="D1229" s="189" t="e">
        <v>#N/A</v>
      </c>
      <c r="E1229" s="189" t="e">
        <v>#N/A</v>
      </c>
      <c r="F1229" s="189" t="e">
        <v>#N/A</v>
      </c>
      <c r="G1229" s="189" t="e">
        <v>#N/A</v>
      </c>
      <c r="H1229" s="189" t="e">
        <v>#N/A</v>
      </c>
      <c r="I1229" s="189" t="e">
        <v>#N/A</v>
      </c>
      <c r="J1229" s="189" t="e">
        <v>#N/A</v>
      </c>
      <c r="K1229" s="204" t="e">
        <v>#N/A</v>
      </c>
      <c r="L1229" s="204" t="e">
        <v>#N/A</v>
      </c>
      <c r="M1229" s="205" t="e">
        <v>#N/A</v>
      </c>
      <c r="N1229" s="205" t="e">
        <v>#N/A</v>
      </c>
      <c r="O1229" s="205" t="e">
        <v>#N/A</v>
      </c>
      <c r="P1229" s="205" t="e">
        <v>#N/A</v>
      </c>
      <c r="Q1229" s="189" t="e">
        <v>#N/A</v>
      </c>
      <c r="R1229" s="189" t="e">
        <v>#N/A</v>
      </c>
      <c r="S1229" s="205" t="e">
        <v>#N/A</v>
      </c>
      <c r="T1229" s="206"/>
    </row>
    <row r="1230">
      <c r="C1230" s="189" t="e">
        <v>#N/A</v>
      </c>
      <c r="D1230" s="189" t="e">
        <v>#N/A</v>
      </c>
      <c r="E1230" s="189" t="e">
        <v>#N/A</v>
      </c>
      <c r="F1230" s="189" t="e">
        <v>#N/A</v>
      </c>
      <c r="G1230" s="189" t="e">
        <v>#N/A</v>
      </c>
      <c r="H1230" s="189" t="e">
        <v>#N/A</v>
      </c>
      <c r="I1230" s="189" t="e">
        <v>#N/A</v>
      </c>
      <c r="J1230" s="189" t="e">
        <v>#N/A</v>
      </c>
      <c r="K1230" s="204" t="e">
        <v>#N/A</v>
      </c>
      <c r="L1230" s="204" t="e">
        <v>#N/A</v>
      </c>
      <c r="M1230" s="205" t="e">
        <v>#N/A</v>
      </c>
      <c r="N1230" s="205" t="e">
        <v>#N/A</v>
      </c>
      <c r="O1230" s="205" t="e">
        <v>#N/A</v>
      </c>
      <c r="P1230" s="205" t="e">
        <v>#N/A</v>
      </c>
      <c r="Q1230" s="189" t="e">
        <v>#N/A</v>
      </c>
      <c r="R1230" s="189" t="e">
        <v>#N/A</v>
      </c>
      <c r="S1230" s="205" t="e">
        <v>#N/A</v>
      </c>
      <c r="T1230" s="206"/>
    </row>
    <row r="1231">
      <c r="C1231" s="189" t="e">
        <v>#N/A</v>
      </c>
      <c r="D1231" s="189" t="e">
        <v>#N/A</v>
      </c>
      <c r="E1231" s="189" t="e">
        <v>#N/A</v>
      </c>
      <c r="F1231" s="189" t="e">
        <v>#N/A</v>
      </c>
      <c r="G1231" s="189" t="e">
        <v>#N/A</v>
      </c>
      <c r="H1231" s="189" t="e">
        <v>#N/A</v>
      </c>
      <c r="I1231" s="189" t="e">
        <v>#N/A</v>
      </c>
      <c r="J1231" s="189" t="e">
        <v>#N/A</v>
      </c>
      <c r="K1231" s="204" t="e">
        <v>#N/A</v>
      </c>
      <c r="L1231" s="204" t="e">
        <v>#N/A</v>
      </c>
      <c r="M1231" s="205" t="e">
        <v>#N/A</v>
      </c>
      <c r="N1231" s="205" t="e">
        <v>#N/A</v>
      </c>
      <c r="O1231" s="205" t="e">
        <v>#N/A</v>
      </c>
      <c r="P1231" s="205" t="e">
        <v>#N/A</v>
      </c>
      <c r="Q1231" s="189" t="e">
        <v>#N/A</v>
      </c>
      <c r="R1231" s="189" t="e">
        <v>#N/A</v>
      </c>
      <c r="S1231" s="205" t="e">
        <v>#N/A</v>
      </c>
      <c r="T1231" s="206"/>
    </row>
    <row r="1232">
      <c r="C1232" s="189" t="e">
        <v>#N/A</v>
      </c>
      <c r="D1232" s="189" t="e">
        <v>#N/A</v>
      </c>
      <c r="E1232" s="189" t="e">
        <v>#N/A</v>
      </c>
      <c r="F1232" s="189" t="e">
        <v>#N/A</v>
      </c>
      <c r="G1232" s="189" t="e">
        <v>#N/A</v>
      </c>
      <c r="H1232" s="189" t="e">
        <v>#N/A</v>
      </c>
      <c r="I1232" s="189" t="e">
        <v>#N/A</v>
      </c>
      <c r="J1232" s="189" t="e">
        <v>#N/A</v>
      </c>
      <c r="K1232" s="204" t="e">
        <v>#N/A</v>
      </c>
      <c r="L1232" s="204" t="e">
        <v>#N/A</v>
      </c>
      <c r="M1232" s="205" t="e">
        <v>#N/A</v>
      </c>
      <c r="N1232" s="205" t="e">
        <v>#N/A</v>
      </c>
      <c r="O1232" s="205" t="e">
        <v>#N/A</v>
      </c>
      <c r="P1232" s="205" t="e">
        <v>#N/A</v>
      </c>
      <c r="Q1232" s="189" t="e">
        <v>#N/A</v>
      </c>
      <c r="R1232" s="189" t="e">
        <v>#N/A</v>
      </c>
      <c r="S1232" s="205" t="e">
        <v>#N/A</v>
      </c>
      <c r="T1232" s="206"/>
    </row>
    <row r="1233">
      <c r="C1233" s="189" t="e">
        <v>#N/A</v>
      </c>
      <c r="D1233" s="189" t="e">
        <v>#N/A</v>
      </c>
      <c r="E1233" s="189" t="e">
        <v>#N/A</v>
      </c>
      <c r="F1233" s="189" t="e">
        <v>#N/A</v>
      </c>
      <c r="G1233" s="189" t="e">
        <v>#N/A</v>
      </c>
      <c r="H1233" s="189" t="e">
        <v>#N/A</v>
      </c>
      <c r="I1233" s="189" t="e">
        <v>#N/A</v>
      </c>
      <c r="J1233" s="189" t="e">
        <v>#N/A</v>
      </c>
      <c r="K1233" s="204" t="e">
        <v>#N/A</v>
      </c>
      <c r="L1233" s="204" t="e">
        <v>#N/A</v>
      </c>
      <c r="M1233" s="205" t="e">
        <v>#N/A</v>
      </c>
      <c r="N1233" s="205" t="e">
        <v>#N/A</v>
      </c>
      <c r="O1233" s="205" t="e">
        <v>#N/A</v>
      </c>
      <c r="P1233" s="205" t="e">
        <v>#N/A</v>
      </c>
      <c r="Q1233" s="189" t="e">
        <v>#N/A</v>
      </c>
      <c r="R1233" s="189" t="e">
        <v>#N/A</v>
      </c>
      <c r="S1233" s="205" t="e">
        <v>#N/A</v>
      </c>
      <c r="T1233" s="206"/>
    </row>
    <row r="1234">
      <c r="C1234" s="189" t="e">
        <v>#N/A</v>
      </c>
      <c r="D1234" s="189" t="e">
        <v>#N/A</v>
      </c>
      <c r="E1234" s="189" t="e">
        <v>#N/A</v>
      </c>
      <c r="F1234" s="189" t="e">
        <v>#N/A</v>
      </c>
      <c r="G1234" s="189" t="e">
        <v>#N/A</v>
      </c>
      <c r="H1234" s="189" t="e">
        <v>#N/A</v>
      </c>
      <c r="I1234" s="189" t="e">
        <v>#N/A</v>
      </c>
      <c r="J1234" s="189" t="e">
        <v>#N/A</v>
      </c>
      <c r="K1234" s="204" t="e">
        <v>#N/A</v>
      </c>
      <c r="L1234" s="204" t="e">
        <v>#N/A</v>
      </c>
      <c r="M1234" s="205" t="e">
        <v>#N/A</v>
      </c>
      <c r="N1234" s="205" t="e">
        <v>#N/A</v>
      </c>
      <c r="O1234" s="205" t="e">
        <v>#N/A</v>
      </c>
      <c r="P1234" s="205" t="e">
        <v>#N/A</v>
      </c>
      <c r="Q1234" s="189" t="e">
        <v>#N/A</v>
      </c>
      <c r="R1234" s="189" t="e">
        <v>#N/A</v>
      </c>
      <c r="S1234" s="205" t="e">
        <v>#N/A</v>
      </c>
      <c r="T1234" s="206"/>
    </row>
    <row r="1235">
      <c r="C1235" s="189" t="e">
        <v>#N/A</v>
      </c>
      <c r="D1235" s="189" t="e">
        <v>#N/A</v>
      </c>
      <c r="E1235" s="189" t="e">
        <v>#N/A</v>
      </c>
      <c r="F1235" s="189" t="e">
        <v>#N/A</v>
      </c>
      <c r="G1235" s="189" t="e">
        <v>#N/A</v>
      </c>
      <c r="H1235" s="189" t="e">
        <v>#N/A</v>
      </c>
      <c r="I1235" s="189" t="e">
        <v>#N/A</v>
      </c>
      <c r="J1235" s="189" t="e">
        <v>#N/A</v>
      </c>
      <c r="K1235" s="204" t="e">
        <v>#N/A</v>
      </c>
      <c r="L1235" s="204" t="e">
        <v>#N/A</v>
      </c>
      <c r="M1235" s="205" t="e">
        <v>#N/A</v>
      </c>
      <c r="N1235" s="205" t="e">
        <v>#N/A</v>
      </c>
      <c r="O1235" s="205" t="e">
        <v>#N/A</v>
      </c>
      <c r="P1235" s="205" t="e">
        <v>#N/A</v>
      </c>
      <c r="Q1235" s="189" t="e">
        <v>#N/A</v>
      </c>
      <c r="R1235" s="189" t="e">
        <v>#N/A</v>
      </c>
      <c r="S1235" s="205" t="e">
        <v>#N/A</v>
      </c>
      <c r="T1235" s="206"/>
    </row>
    <row r="1236">
      <c r="C1236" s="189" t="e">
        <v>#N/A</v>
      </c>
      <c r="D1236" s="189" t="e">
        <v>#N/A</v>
      </c>
      <c r="E1236" s="189" t="e">
        <v>#N/A</v>
      </c>
      <c r="F1236" s="189" t="e">
        <v>#N/A</v>
      </c>
      <c r="G1236" s="189" t="e">
        <v>#N/A</v>
      </c>
      <c r="H1236" s="189" t="e">
        <v>#N/A</v>
      </c>
      <c r="I1236" s="189" t="e">
        <v>#N/A</v>
      </c>
      <c r="J1236" s="189" t="e">
        <v>#N/A</v>
      </c>
      <c r="K1236" s="204" t="e">
        <v>#N/A</v>
      </c>
      <c r="L1236" s="204" t="e">
        <v>#N/A</v>
      </c>
      <c r="M1236" s="205" t="e">
        <v>#N/A</v>
      </c>
      <c r="N1236" s="205" t="e">
        <v>#N/A</v>
      </c>
      <c r="O1236" s="205" t="e">
        <v>#N/A</v>
      </c>
      <c r="P1236" s="205" t="e">
        <v>#N/A</v>
      </c>
      <c r="Q1236" s="189" t="e">
        <v>#N/A</v>
      </c>
      <c r="R1236" s="189" t="e">
        <v>#N/A</v>
      </c>
      <c r="S1236" s="205" t="e">
        <v>#N/A</v>
      </c>
      <c r="T1236" s="206"/>
    </row>
    <row r="1237">
      <c r="C1237" s="189" t="e">
        <v>#N/A</v>
      </c>
      <c r="D1237" s="189" t="e">
        <v>#N/A</v>
      </c>
      <c r="E1237" s="189" t="e">
        <v>#N/A</v>
      </c>
      <c r="F1237" s="189" t="e">
        <v>#N/A</v>
      </c>
      <c r="G1237" s="189" t="e">
        <v>#N/A</v>
      </c>
      <c r="H1237" s="189" t="e">
        <v>#N/A</v>
      </c>
      <c r="I1237" s="189" t="e">
        <v>#N/A</v>
      </c>
      <c r="J1237" s="189" t="e">
        <v>#N/A</v>
      </c>
      <c r="K1237" s="204" t="e">
        <v>#N/A</v>
      </c>
      <c r="L1237" s="204" t="e">
        <v>#N/A</v>
      </c>
      <c r="M1237" s="205" t="e">
        <v>#N/A</v>
      </c>
      <c r="N1237" s="205" t="e">
        <v>#N/A</v>
      </c>
      <c r="O1237" s="205" t="e">
        <v>#N/A</v>
      </c>
      <c r="P1237" s="205" t="e">
        <v>#N/A</v>
      </c>
      <c r="Q1237" s="189" t="e">
        <v>#N/A</v>
      </c>
      <c r="R1237" s="189" t="e">
        <v>#N/A</v>
      </c>
      <c r="S1237" s="205" t="e">
        <v>#N/A</v>
      </c>
      <c r="T1237" s="206"/>
    </row>
    <row r="1238">
      <c r="C1238" s="189" t="e">
        <v>#N/A</v>
      </c>
      <c r="D1238" s="189" t="e">
        <v>#N/A</v>
      </c>
      <c r="E1238" s="189" t="e">
        <v>#N/A</v>
      </c>
      <c r="F1238" s="189" t="e">
        <v>#N/A</v>
      </c>
      <c r="G1238" s="189" t="e">
        <v>#N/A</v>
      </c>
      <c r="H1238" s="189" t="e">
        <v>#N/A</v>
      </c>
      <c r="I1238" s="189" t="e">
        <v>#N/A</v>
      </c>
      <c r="J1238" s="189" t="e">
        <v>#N/A</v>
      </c>
      <c r="K1238" s="204" t="e">
        <v>#N/A</v>
      </c>
      <c r="L1238" s="204" t="e">
        <v>#N/A</v>
      </c>
      <c r="M1238" s="205" t="e">
        <v>#N/A</v>
      </c>
      <c r="N1238" s="205" t="e">
        <v>#N/A</v>
      </c>
      <c r="O1238" s="205" t="e">
        <v>#N/A</v>
      </c>
      <c r="P1238" s="205" t="e">
        <v>#N/A</v>
      </c>
      <c r="Q1238" s="189" t="e">
        <v>#N/A</v>
      </c>
      <c r="R1238" s="189" t="e">
        <v>#N/A</v>
      </c>
      <c r="S1238" s="205" t="e">
        <v>#N/A</v>
      </c>
      <c r="T1238" s="206"/>
    </row>
    <row r="1239">
      <c r="C1239" s="189" t="e">
        <v>#N/A</v>
      </c>
      <c r="D1239" s="189" t="e">
        <v>#N/A</v>
      </c>
      <c r="E1239" s="189" t="e">
        <v>#N/A</v>
      </c>
      <c r="F1239" s="189" t="e">
        <v>#N/A</v>
      </c>
      <c r="G1239" s="189" t="e">
        <v>#N/A</v>
      </c>
      <c r="H1239" s="189" t="e">
        <v>#N/A</v>
      </c>
      <c r="I1239" s="189" t="e">
        <v>#N/A</v>
      </c>
      <c r="J1239" s="189" t="e">
        <v>#N/A</v>
      </c>
      <c r="K1239" s="204" t="e">
        <v>#N/A</v>
      </c>
      <c r="L1239" s="204" t="e">
        <v>#N/A</v>
      </c>
      <c r="M1239" s="205" t="e">
        <v>#N/A</v>
      </c>
      <c r="N1239" s="205" t="e">
        <v>#N/A</v>
      </c>
      <c r="O1239" s="205" t="e">
        <v>#N/A</v>
      </c>
      <c r="P1239" s="205" t="e">
        <v>#N/A</v>
      </c>
      <c r="Q1239" s="189" t="e">
        <v>#N/A</v>
      </c>
      <c r="R1239" s="189" t="e">
        <v>#N/A</v>
      </c>
      <c r="S1239" s="205" t="e">
        <v>#N/A</v>
      </c>
      <c r="T1239" s="206"/>
    </row>
    <row r="1240">
      <c r="C1240" s="189" t="e">
        <v>#N/A</v>
      </c>
      <c r="D1240" s="189" t="e">
        <v>#N/A</v>
      </c>
      <c r="E1240" s="189" t="e">
        <v>#N/A</v>
      </c>
      <c r="F1240" s="189" t="e">
        <v>#N/A</v>
      </c>
      <c r="G1240" s="189" t="e">
        <v>#N/A</v>
      </c>
      <c r="H1240" s="189" t="e">
        <v>#N/A</v>
      </c>
      <c r="I1240" s="189" t="e">
        <v>#N/A</v>
      </c>
      <c r="J1240" s="189" t="e">
        <v>#N/A</v>
      </c>
      <c r="K1240" s="204" t="e">
        <v>#N/A</v>
      </c>
      <c r="L1240" s="204" t="e">
        <v>#N/A</v>
      </c>
      <c r="M1240" s="205" t="e">
        <v>#N/A</v>
      </c>
      <c r="N1240" s="205" t="e">
        <v>#N/A</v>
      </c>
      <c r="O1240" s="205" t="e">
        <v>#N/A</v>
      </c>
      <c r="P1240" s="205" t="e">
        <v>#N/A</v>
      </c>
      <c r="Q1240" s="189" t="e">
        <v>#N/A</v>
      </c>
      <c r="R1240" s="189" t="e">
        <v>#N/A</v>
      </c>
      <c r="S1240" s="205" t="e">
        <v>#N/A</v>
      </c>
      <c r="T1240" s="206"/>
    </row>
    <row r="1241">
      <c r="C1241" s="189" t="e">
        <v>#N/A</v>
      </c>
      <c r="D1241" s="189" t="e">
        <v>#N/A</v>
      </c>
      <c r="E1241" s="189" t="e">
        <v>#N/A</v>
      </c>
      <c r="F1241" s="189" t="e">
        <v>#N/A</v>
      </c>
      <c r="G1241" s="189" t="e">
        <v>#N/A</v>
      </c>
      <c r="H1241" s="189" t="e">
        <v>#N/A</v>
      </c>
      <c r="I1241" s="189" t="e">
        <v>#N/A</v>
      </c>
      <c r="J1241" s="189" t="e">
        <v>#N/A</v>
      </c>
      <c r="K1241" s="204" t="e">
        <v>#N/A</v>
      </c>
      <c r="L1241" s="204" t="e">
        <v>#N/A</v>
      </c>
      <c r="M1241" s="205" t="e">
        <v>#N/A</v>
      </c>
      <c r="N1241" s="205" t="e">
        <v>#N/A</v>
      </c>
      <c r="O1241" s="205" t="e">
        <v>#N/A</v>
      </c>
      <c r="P1241" s="205" t="e">
        <v>#N/A</v>
      </c>
      <c r="Q1241" s="189" t="e">
        <v>#N/A</v>
      </c>
      <c r="R1241" s="189" t="e">
        <v>#N/A</v>
      </c>
      <c r="S1241" s="205" t="e">
        <v>#N/A</v>
      </c>
      <c r="T1241" s="206"/>
    </row>
    <row r="1242">
      <c r="C1242" s="189" t="e">
        <v>#N/A</v>
      </c>
      <c r="D1242" s="189" t="e">
        <v>#N/A</v>
      </c>
      <c r="E1242" s="189" t="e">
        <v>#N/A</v>
      </c>
      <c r="F1242" s="189" t="e">
        <v>#N/A</v>
      </c>
      <c r="G1242" s="189" t="e">
        <v>#N/A</v>
      </c>
      <c r="H1242" s="189" t="e">
        <v>#N/A</v>
      </c>
      <c r="I1242" s="189" t="e">
        <v>#N/A</v>
      </c>
      <c r="J1242" s="189" t="e">
        <v>#N/A</v>
      </c>
      <c r="K1242" s="204" t="e">
        <v>#N/A</v>
      </c>
      <c r="L1242" s="204" t="e">
        <v>#N/A</v>
      </c>
      <c r="M1242" s="205" t="e">
        <v>#N/A</v>
      </c>
      <c r="N1242" s="205" t="e">
        <v>#N/A</v>
      </c>
      <c r="O1242" s="205" t="e">
        <v>#N/A</v>
      </c>
      <c r="P1242" s="205" t="e">
        <v>#N/A</v>
      </c>
      <c r="Q1242" s="189" t="e">
        <v>#N/A</v>
      </c>
      <c r="R1242" s="189" t="e">
        <v>#N/A</v>
      </c>
      <c r="S1242" s="205" t="e">
        <v>#N/A</v>
      </c>
      <c r="T1242" s="206"/>
    </row>
    <row r="1243">
      <c r="C1243" s="189" t="e">
        <v>#N/A</v>
      </c>
      <c r="D1243" s="189" t="e">
        <v>#N/A</v>
      </c>
      <c r="E1243" s="189" t="e">
        <v>#N/A</v>
      </c>
      <c r="F1243" s="189" t="e">
        <v>#N/A</v>
      </c>
      <c r="G1243" s="189" t="e">
        <v>#N/A</v>
      </c>
      <c r="H1243" s="189" t="e">
        <v>#N/A</v>
      </c>
      <c r="I1243" s="189" t="e">
        <v>#N/A</v>
      </c>
      <c r="J1243" s="189" t="e">
        <v>#N/A</v>
      </c>
      <c r="K1243" s="204" t="e">
        <v>#N/A</v>
      </c>
      <c r="L1243" s="204" t="e">
        <v>#N/A</v>
      </c>
      <c r="M1243" s="205" t="e">
        <v>#N/A</v>
      </c>
      <c r="N1243" s="205" t="e">
        <v>#N/A</v>
      </c>
      <c r="O1243" s="205" t="e">
        <v>#N/A</v>
      </c>
      <c r="P1243" s="205" t="e">
        <v>#N/A</v>
      </c>
      <c r="Q1243" s="189" t="e">
        <v>#N/A</v>
      </c>
      <c r="R1243" s="189" t="e">
        <v>#N/A</v>
      </c>
      <c r="S1243" s="205" t="e">
        <v>#N/A</v>
      </c>
      <c r="T1243" s="206"/>
    </row>
    <row r="1244">
      <c r="C1244" s="189" t="e">
        <v>#N/A</v>
      </c>
      <c r="D1244" s="189" t="e">
        <v>#N/A</v>
      </c>
      <c r="E1244" s="189" t="e">
        <v>#N/A</v>
      </c>
      <c r="F1244" s="189" t="e">
        <v>#N/A</v>
      </c>
      <c r="G1244" s="189" t="e">
        <v>#N/A</v>
      </c>
      <c r="H1244" s="189" t="e">
        <v>#N/A</v>
      </c>
      <c r="I1244" s="189" t="e">
        <v>#N/A</v>
      </c>
      <c r="J1244" s="189" t="e">
        <v>#N/A</v>
      </c>
      <c r="K1244" s="204" t="e">
        <v>#N/A</v>
      </c>
      <c r="L1244" s="204" t="e">
        <v>#N/A</v>
      </c>
      <c r="M1244" s="205" t="e">
        <v>#N/A</v>
      </c>
      <c r="N1244" s="205" t="e">
        <v>#N/A</v>
      </c>
      <c r="O1244" s="205" t="e">
        <v>#N/A</v>
      </c>
      <c r="P1244" s="205" t="e">
        <v>#N/A</v>
      </c>
      <c r="Q1244" s="189" t="e">
        <v>#N/A</v>
      </c>
      <c r="R1244" s="189" t="e">
        <v>#N/A</v>
      </c>
      <c r="S1244" s="205" t="e">
        <v>#N/A</v>
      </c>
      <c r="T1244" s="206"/>
    </row>
    <row r="1245">
      <c r="C1245" s="189" t="e">
        <v>#N/A</v>
      </c>
      <c r="D1245" s="189" t="e">
        <v>#N/A</v>
      </c>
      <c r="E1245" s="189" t="e">
        <v>#N/A</v>
      </c>
      <c r="F1245" s="189" t="e">
        <v>#N/A</v>
      </c>
      <c r="G1245" s="189" t="e">
        <v>#N/A</v>
      </c>
      <c r="H1245" s="189" t="e">
        <v>#N/A</v>
      </c>
      <c r="I1245" s="189" t="e">
        <v>#N/A</v>
      </c>
      <c r="J1245" s="189" t="e">
        <v>#N/A</v>
      </c>
      <c r="K1245" s="204" t="e">
        <v>#N/A</v>
      </c>
      <c r="L1245" s="204" t="e">
        <v>#N/A</v>
      </c>
      <c r="M1245" s="205" t="e">
        <v>#N/A</v>
      </c>
      <c r="N1245" s="205" t="e">
        <v>#N/A</v>
      </c>
      <c r="O1245" s="205" t="e">
        <v>#N/A</v>
      </c>
      <c r="P1245" s="205" t="e">
        <v>#N/A</v>
      </c>
      <c r="Q1245" s="189" t="e">
        <v>#N/A</v>
      </c>
      <c r="R1245" s="189" t="e">
        <v>#N/A</v>
      </c>
      <c r="S1245" s="205" t="e">
        <v>#N/A</v>
      </c>
      <c r="T1245" s="206"/>
    </row>
    <row r="1246">
      <c r="C1246" s="189" t="e">
        <v>#N/A</v>
      </c>
      <c r="D1246" s="189" t="e">
        <v>#N/A</v>
      </c>
      <c r="E1246" s="189" t="e">
        <v>#N/A</v>
      </c>
      <c r="F1246" s="189" t="e">
        <v>#N/A</v>
      </c>
      <c r="G1246" s="189" t="e">
        <v>#N/A</v>
      </c>
      <c r="H1246" s="189" t="e">
        <v>#N/A</v>
      </c>
      <c r="I1246" s="189" t="e">
        <v>#N/A</v>
      </c>
      <c r="J1246" s="189" t="e">
        <v>#N/A</v>
      </c>
      <c r="K1246" s="204" t="e">
        <v>#N/A</v>
      </c>
      <c r="L1246" s="204" t="e">
        <v>#N/A</v>
      </c>
      <c r="M1246" s="205" t="e">
        <v>#N/A</v>
      </c>
      <c r="N1246" s="205" t="e">
        <v>#N/A</v>
      </c>
      <c r="O1246" s="205" t="e">
        <v>#N/A</v>
      </c>
      <c r="P1246" s="205" t="e">
        <v>#N/A</v>
      </c>
      <c r="Q1246" s="189" t="e">
        <v>#N/A</v>
      </c>
      <c r="R1246" s="189" t="e">
        <v>#N/A</v>
      </c>
      <c r="S1246" s="205" t="e">
        <v>#N/A</v>
      </c>
      <c r="T1246" s="206"/>
    </row>
    <row r="1247">
      <c r="C1247" s="189" t="e">
        <v>#N/A</v>
      </c>
      <c r="D1247" s="189" t="e">
        <v>#N/A</v>
      </c>
      <c r="E1247" s="189" t="e">
        <v>#N/A</v>
      </c>
      <c r="F1247" s="189" t="e">
        <v>#N/A</v>
      </c>
      <c r="G1247" s="189" t="e">
        <v>#N/A</v>
      </c>
      <c r="H1247" s="189" t="e">
        <v>#N/A</v>
      </c>
      <c r="I1247" s="189" t="e">
        <v>#N/A</v>
      </c>
      <c r="J1247" s="189" t="e">
        <v>#N/A</v>
      </c>
      <c r="K1247" s="204" t="e">
        <v>#N/A</v>
      </c>
      <c r="L1247" s="204" t="e">
        <v>#N/A</v>
      </c>
      <c r="M1247" s="205" t="e">
        <v>#N/A</v>
      </c>
      <c r="N1247" s="205" t="e">
        <v>#N/A</v>
      </c>
      <c r="O1247" s="205" t="e">
        <v>#N/A</v>
      </c>
      <c r="P1247" s="205" t="e">
        <v>#N/A</v>
      </c>
      <c r="Q1247" s="189" t="e">
        <v>#N/A</v>
      </c>
      <c r="R1247" s="189" t="e">
        <v>#N/A</v>
      </c>
      <c r="S1247" s="205" t="e">
        <v>#N/A</v>
      </c>
      <c r="T1247" s="206"/>
    </row>
    <row r="1248">
      <c r="C1248" s="189" t="e">
        <v>#N/A</v>
      </c>
      <c r="D1248" s="189" t="e">
        <v>#N/A</v>
      </c>
      <c r="E1248" s="189" t="e">
        <v>#N/A</v>
      </c>
      <c r="F1248" s="189" t="e">
        <v>#N/A</v>
      </c>
      <c r="G1248" s="189" t="e">
        <v>#N/A</v>
      </c>
      <c r="H1248" s="189" t="e">
        <v>#N/A</v>
      </c>
      <c r="I1248" s="189" t="e">
        <v>#N/A</v>
      </c>
      <c r="J1248" s="189" t="e">
        <v>#N/A</v>
      </c>
      <c r="K1248" s="204" t="e">
        <v>#N/A</v>
      </c>
      <c r="L1248" s="204" t="e">
        <v>#N/A</v>
      </c>
      <c r="M1248" s="205" t="e">
        <v>#N/A</v>
      </c>
      <c r="N1248" s="205" t="e">
        <v>#N/A</v>
      </c>
      <c r="O1248" s="205" t="e">
        <v>#N/A</v>
      </c>
      <c r="P1248" s="205" t="e">
        <v>#N/A</v>
      </c>
      <c r="Q1248" s="189" t="e">
        <v>#N/A</v>
      </c>
      <c r="R1248" s="189" t="e">
        <v>#N/A</v>
      </c>
      <c r="S1248" s="205" t="e">
        <v>#N/A</v>
      </c>
      <c r="T1248" s="206"/>
    </row>
    <row r="1249">
      <c r="C1249" s="189" t="e">
        <v>#N/A</v>
      </c>
      <c r="D1249" s="189" t="e">
        <v>#N/A</v>
      </c>
      <c r="E1249" s="189" t="e">
        <v>#N/A</v>
      </c>
      <c r="F1249" s="189" t="e">
        <v>#N/A</v>
      </c>
      <c r="G1249" s="189" t="e">
        <v>#N/A</v>
      </c>
      <c r="H1249" s="189" t="e">
        <v>#N/A</v>
      </c>
      <c r="I1249" s="189" t="e">
        <v>#N/A</v>
      </c>
      <c r="J1249" s="189" t="e">
        <v>#N/A</v>
      </c>
      <c r="K1249" s="204" t="e">
        <v>#N/A</v>
      </c>
      <c r="L1249" s="204" t="e">
        <v>#N/A</v>
      </c>
      <c r="M1249" s="205" t="e">
        <v>#N/A</v>
      </c>
      <c r="N1249" s="205" t="e">
        <v>#N/A</v>
      </c>
      <c r="O1249" s="205" t="e">
        <v>#N/A</v>
      </c>
      <c r="P1249" s="205" t="e">
        <v>#N/A</v>
      </c>
      <c r="Q1249" s="189" t="e">
        <v>#N/A</v>
      </c>
      <c r="R1249" s="189" t="e">
        <v>#N/A</v>
      </c>
      <c r="S1249" s="205" t="e">
        <v>#N/A</v>
      </c>
      <c r="T1249" s="206"/>
    </row>
    <row r="1250">
      <c r="C1250" s="189" t="e">
        <v>#N/A</v>
      </c>
      <c r="D1250" s="189" t="e">
        <v>#N/A</v>
      </c>
      <c r="E1250" s="189" t="e">
        <v>#N/A</v>
      </c>
      <c r="F1250" s="189" t="e">
        <v>#N/A</v>
      </c>
      <c r="G1250" s="189" t="e">
        <v>#N/A</v>
      </c>
      <c r="H1250" s="189" t="e">
        <v>#N/A</v>
      </c>
      <c r="I1250" s="189" t="e">
        <v>#N/A</v>
      </c>
      <c r="J1250" s="189" t="e">
        <v>#N/A</v>
      </c>
      <c r="K1250" s="204" t="e">
        <v>#N/A</v>
      </c>
      <c r="L1250" s="204" t="e">
        <v>#N/A</v>
      </c>
      <c r="M1250" s="205" t="e">
        <v>#N/A</v>
      </c>
      <c r="N1250" s="205" t="e">
        <v>#N/A</v>
      </c>
      <c r="O1250" s="205" t="e">
        <v>#N/A</v>
      </c>
      <c r="P1250" s="205" t="e">
        <v>#N/A</v>
      </c>
      <c r="Q1250" s="189" t="e">
        <v>#N/A</v>
      </c>
      <c r="R1250" s="189" t="e">
        <v>#N/A</v>
      </c>
      <c r="S1250" s="205" t="e">
        <v>#N/A</v>
      </c>
      <c r="T1250" s="206"/>
    </row>
    <row r="1251">
      <c r="C1251" s="189" t="e">
        <v>#N/A</v>
      </c>
      <c r="D1251" s="189" t="e">
        <v>#N/A</v>
      </c>
      <c r="E1251" s="189" t="e">
        <v>#N/A</v>
      </c>
      <c r="F1251" s="189" t="e">
        <v>#N/A</v>
      </c>
      <c r="G1251" s="189" t="e">
        <v>#N/A</v>
      </c>
      <c r="H1251" s="189" t="e">
        <v>#N/A</v>
      </c>
      <c r="I1251" s="189" t="e">
        <v>#N/A</v>
      </c>
      <c r="J1251" s="189" t="e">
        <v>#N/A</v>
      </c>
      <c r="K1251" s="204" t="e">
        <v>#N/A</v>
      </c>
      <c r="L1251" s="204" t="e">
        <v>#N/A</v>
      </c>
      <c r="M1251" s="205" t="e">
        <v>#N/A</v>
      </c>
      <c r="N1251" s="205" t="e">
        <v>#N/A</v>
      </c>
      <c r="O1251" s="205" t="e">
        <v>#N/A</v>
      </c>
      <c r="P1251" s="205" t="e">
        <v>#N/A</v>
      </c>
      <c r="Q1251" s="189" t="e">
        <v>#N/A</v>
      </c>
      <c r="R1251" s="189" t="e">
        <v>#N/A</v>
      </c>
      <c r="S1251" s="205" t="e">
        <v>#N/A</v>
      </c>
      <c r="T1251" s="206"/>
    </row>
    <row r="1252">
      <c r="C1252" s="189" t="e">
        <v>#N/A</v>
      </c>
      <c r="D1252" s="189" t="e">
        <v>#N/A</v>
      </c>
      <c r="E1252" s="189" t="e">
        <v>#N/A</v>
      </c>
      <c r="F1252" s="189" t="e">
        <v>#N/A</v>
      </c>
      <c r="G1252" s="189" t="e">
        <v>#N/A</v>
      </c>
      <c r="H1252" s="189" t="e">
        <v>#N/A</v>
      </c>
      <c r="I1252" s="189" t="e">
        <v>#N/A</v>
      </c>
      <c r="J1252" s="189" t="e">
        <v>#N/A</v>
      </c>
      <c r="K1252" s="204" t="e">
        <v>#N/A</v>
      </c>
      <c r="L1252" s="204" t="e">
        <v>#N/A</v>
      </c>
      <c r="M1252" s="205" t="e">
        <v>#N/A</v>
      </c>
      <c r="N1252" s="205" t="e">
        <v>#N/A</v>
      </c>
      <c r="O1252" s="205" t="e">
        <v>#N/A</v>
      </c>
      <c r="P1252" s="205" t="e">
        <v>#N/A</v>
      </c>
      <c r="Q1252" s="189" t="e">
        <v>#N/A</v>
      </c>
      <c r="R1252" s="189" t="e">
        <v>#N/A</v>
      </c>
      <c r="S1252" s="205" t="e">
        <v>#N/A</v>
      </c>
      <c r="T1252" s="206"/>
    </row>
    <row r="1253">
      <c r="C1253" s="189" t="e">
        <v>#N/A</v>
      </c>
      <c r="D1253" s="189" t="e">
        <v>#N/A</v>
      </c>
      <c r="E1253" s="189" t="e">
        <v>#N/A</v>
      </c>
      <c r="F1253" s="189" t="e">
        <v>#N/A</v>
      </c>
      <c r="G1253" s="189" t="e">
        <v>#N/A</v>
      </c>
      <c r="H1253" s="189" t="e">
        <v>#N/A</v>
      </c>
      <c r="I1253" s="189" t="e">
        <v>#N/A</v>
      </c>
      <c r="J1253" s="189" t="e">
        <v>#N/A</v>
      </c>
      <c r="K1253" s="204" t="e">
        <v>#N/A</v>
      </c>
      <c r="L1253" s="204" t="e">
        <v>#N/A</v>
      </c>
      <c r="M1253" s="205" t="e">
        <v>#N/A</v>
      </c>
      <c r="N1253" s="205" t="e">
        <v>#N/A</v>
      </c>
      <c r="O1253" s="205" t="e">
        <v>#N/A</v>
      </c>
      <c r="P1253" s="205" t="e">
        <v>#N/A</v>
      </c>
      <c r="Q1253" s="189" t="e">
        <v>#N/A</v>
      </c>
      <c r="R1253" s="189" t="e">
        <v>#N/A</v>
      </c>
      <c r="S1253" s="205" t="e">
        <v>#N/A</v>
      </c>
      <c r="T1253" s="206"/>
    </row>
    <row r="1254">
      <c r="C1254" s="189" t="e">
        <v>#N/A</v>
      </c>
      <c r="D1254" s="189" t="e">
        <v>#N/A</v>
      </c>
      <c r="E1254" s="189" t="e">
        <v>#N/A</v>
      </c>
      <c r="F1254" s="189" t="e">
        <v>#N/A</v>
      </c>
      <c r="G1254" s="189" t="e">
        <v>#N/A</v>
      </c>
      <c r="H1254" s="189" t="e">
        <v>#N/A</v>
      </c>
      <c r="I1254" s="189" t="e">
        <v>#N/A</v>
      </c>
      <c r="J1254" s="189" t="e">
        <v>#N/A</v>
      </c>
      <c r="K1254" s="204" t="e">
        <v>#N/A</v>
      </c>
      <c r="L1254" s="204" t="e">
        <v>#N/A</v>
      </c>
      <c r="M1254" s="205" t="e">
        <v>#N/A</v>
      </c>
      <c r="N1254" s="205" t="e">
        <v>#N/A</v>
      </c>
      <c r="O1254" s="205" t="e">
        <v>#N/A</v>
      </c>
      <c r="P1254" s="205" t="e">
        <v>#N/A</v>
      </c>
      <c r="Q1254" s="189" t="e">
        <v>#N/A</v>
      </c>
      <c r="R1254" s="189" t="e">
        <v>#N/A</v>
      </c>
      <c r="S1254" s="205" t="e">
        <v>#N/A</v>
      </c>
      <c r="T1254" s="206"/>
    </row>
    <row r="1255">
      <c r="C1255" s="189" t="e">
        <v>#N/A</v>
      </c>
      <c r="D1255" s="189" t="e">
        <v>#N/A</v>
      </c>
      <c r="E1255" s="189" t="e">
        <v>#N/A</v>
      </c>
      <c r="F1255" s="189" t="e">
        <v>#N/A</v>
      </c>
      <c r="G1255" s="189" t="e">
        <v>#N/A</v>
      </c>
      <c r="H1255" s="189" t="e">
        <v>#N/A</v>
      </c>
      <c r="I1255" s="189" t="e">
        <v>#N/A</v>
      </c>
      <c r="J1255" s="189" t="e">
        <v>#N/A</v>
      </c>
      <c r="K1255" s="204" t="e">
        <v>#N/A</v>
      </c>
      <c r="L1255" s="204" t="e">
        <v>#N/A</v>
      </c>
      <c r="M1255" s="205" t="e">
        <v>#N/A</v>
      </c>
      <c r="N1255" s="205" t="e">
        <v>#N/A</v>
      </c>
      <c r="O1255" s="205" t="e">
        <v>#N/A</v>
      </c>
      <c r="P1255" s="205" t="e">
        <v>#N/A</v>
      </c>
      <c r="Q1255" s="189" t="e">
        <v>#N/A</v>
      </c>
      <c r="R1255" s="189" t="e">
        <v>#N/A</v>
      </c>
      <c r="S1255" s="205" t="e">
        <v>#N/A</v>
      </c>
      <c r="T1255" s="206"/>
    </row>
    <row r="1256">
      <c r="C1256" s="189" t="e">
        <v>#N/A</v>
      </c>
      <c r="D1256" s="189" t="e">
        <v>#N/A</v>
      </c>
      <c r="E1256" s="189" t="e">
        <v>#N/A</v>
      </c>
      <c r="F1256" s="189" t="e">
        <v>#N/A</v>
      </c>
      <c r="G1256" s="189" t="e">
        <v>#N/A</v>
      </c>
      <c r="H1256" s="189" t="e">
        <v>#N/A</v>
      </c>
      <c r="I1256" s="189" t="e">
        <v>#N/A</v>
      </c>
      <c r="J1256" s="189" t="e">
        <v>#N/A</v>
      </c>
      <c r="K1256" s="204" t="e">
        <v>#N/A</v>
      </c>
      <c r="L1256" s="204" t="e">
        <v>#N/A</v>
      </c>
      <c r="M1256" s="205" t="e">
        <v>#N/A</v>
      </c>
      <c r="N1256" s="205" t="e">
        <v>#N/A</v>
      </c>
      <c r="O1256" s="205" t="e">
        <v>#N/A</v>
      </c>
      <c r="P1256" s="205" t="e">
        <v>#N/A</v>
      </c>
      <c r="Q1256" s="189" t="e">
        <v>#N/A</v>
      </c>
      <c r="R1256" s="189" t="e">
        <v>#N/A</v>
      </c>
      <c r="S1256" s="205" t="e">
        <v>#N/A</v>
      </c>
      <c r="T1256" s="206"/>
    </row>
    <row r="1257">
      <c r="C1257" s="189" t="e">
        <v>#N/A</v>
      </c>
      <c r="D1257" s="189" t="e">
        <v>#N/A</v>
      </c>
      <c r="E1257" s="189" t="e">
        <v>#N/A</v>
      </c>
      <c r="F1257" s="189" t="e">
        <v>#N/A</v>
      </c>
      <c r="G1257" s="189" t="e">
        <v>#N/A</v>
      </c>
      <c r="H1257" s="189" t="e">
        <v>#N/A</v>
      </c>
      <c r="I1257" s="189" t="e">
        <v>#N/A</v>
      </c>
      <c r="J1257" s="189" t="e">
        <v>#N/A</v>
      </c>
      <c r="K1257" s="204" t="e">
        <v>#N/A</v>
      </c>
      <c r="L1257" s="204" t="e">
        <v>#N/A</v>
      </c>
      <c r="M1257" s="205" t="e">
        <v>#N/A</v>
      </c>
      <c r="N1257" s="205" t="e">
        <v>#N/A</v>
      </c>
      <c r="O1257" s="205" t="e">
        <v>#N/A</v>
      </c>
      <c r="P1257" s="205" t="e">
        <v>#N/A</v>
      </c>
      <c r="Q1257" s="189" t="e">
        <v>#N/A</v>
      </c>
      <c r="R1257" s="189" t="e">
        <v>#N/A</v>
      </c>
      <c r="S1257" s="205" t="e">
        <v>#N/A</v>
      </c>
      <c r="T1257" s="206"/>
    </row>
    <row r="1258">
      <c r="C1258" s="189" t="e">
        <v>#N/A</v>
      </c>
      <c r="D1258" s="189" t="e">
        <v>#N/A</v>
      </c>
      <c r="E1258" s="189" t="e">
        <v>#N/A</v>
      </c>
      <c r="F1258" s="189" t="e">
        <v>#N/A</v>
      </c>
      <c r="G1258" s="189" t="e">
        <v>#N/A</v>
      </c>
      <c r="H1258" s="189" t="e">
        <v>#N/A</v>
      </c>
      <c r="I1258" s="189" t="e">
        <v>#N/A</v>
      </c>
      <c r="J1258" s="189" t="e">
        <v>#N/A</v>
      </c>
      <c r="K1258" s="204" t="e">
        <v>#N/A</v>
      </c>
      <c r="L1258" s="204" t="e">
        <v>#N/A</v>
      </c>
      <c r="M1258" s="205" t="e">
        <v>#N/A</v>
      </c>
      <c r="N1258" s="205" t="e">
        <v>#N/A</v>
      </c>
      <c r="O1258" s="205" t="e">
        <v>#N/A</v>
      </c>
      <c r="P1258" s="205" t="e">
        <v>#N/A</v>
      </c>
      <c r="Q1258" s="189" t="e">
        <v>#N/A</v>
      </c>
      <c r="R1258" s="189" t="e">
        <v>#N/A</v>
      </c>
      <c r="S1258" s="205" t="e">
        <v>#N/A</v>
      </c>
      <c r="T1258" s="206"/>
    </row>
    <row r="1259">
      <c r="C1259" s="189" t="e">
        <v>#N/A</v>
      </c>
      <c r="D1259" s="189" t="e">
        <v>#N/A</v>
      </c>
      <c r="E1259" s="189" t="e">
        <v>#N/A</v>
      </c>
      <c r="F1259" s="189" t="e">
        <v>#N/A</v>
      </c>
      <c r="G1259" s="189" t="e">
        <v>#N/A</v>
      </c>
      <c r="H1259" s="189" t="e">
        <v>#N/A</v>
      </c>
      <c r="I1259" s="189" t="e">
        <v>#N/A</v>
      </c>
      <c r="J1259" s="189" t="e">
        <v>#N/A</v>
      </c>
      <c r="K1259" s="204" t="e">
        <v>#N/A</v>
      </c>
      <c r="L1259" s="204" t="e">
        <v>#N/A</v>
      </c>
      <c r="M1259" s="205" t="e">
        <v>#N/A</v>
      </c>
      <c r="N1259" s="205" t="e">
        <v>#N/A</v>
      </c>
      <c r="O1259" s="205" t="e">
        <v>#N/A</v>
      </c>
      <c r="P1259" s="205" t="e">
        <v>#N/A</v>
      </c>
      <c r="Q1259" s="189" t="e">
        <v>#N/A</v>
      </c>
      <c r="R1259" s="189" t="e">
        <v>#N/A</v>
      </c>
      <c r="S1259" s="205" t="e">
        <v>#N/A</v>
      </c>
      <c r="T1259" s="206"/>
    </row>
    <row r="1260">
      <c r="C1260" s="189" t="e">
        <v>#N/A</v>
      </c>
      <c r="D1260" s="189" t="e">
        <v>#N/A</v>
      </c>
      <c r="E1260" s="189" t="e">
        <v>#N/A</v>
      </c>
      <c r="F1260" s="189" t="e">
        <v>#N/A</v>
      </c>
      <c r="G1260" s="189" t="e">
        <v>#N/A</v>
      </c>
      <c r="H1260" s="189" t="e">
        <v>#N/A</v>
      </c>
      <c r="I1260" s="189" t="e">
        <v>#N/A</v>
      </c>
      <c r="J1260" s="189" t="e">
        <v>#N/A</v>
      </c>
      <c r="K1260" s="204" t="e">
        <v>#N/A</v>
      </c>
      <c r="L1260" s="204" t="e">
        <v>#N/A</v>
      </c>
      <c r="M1260" s="205" t="e">
        <v>#N/A</v>
      </c>
      <c r="N1260" s="205" t="e">
        <v>#N/A</v>
      </c>
      <c r="O1260" s="205" t="e">
        <v>#N/A</v>
      </c>
      <c r="P1260" s="205" t="e">
        <v>#N/A</v>
      </c>
      <c r="Q1260" s="189" t="e">
        <v>#N/A</v>
      </c>
      <c r="R1260" s="189" t="e">
        <v>#N/A</v>
      </c>
      <c r="S1260" s="205" t="e">
        <v>#N/A</v>
      </c>
      <c r="T1260" s="206"/>
    </row>
    <row r="1261">
      <c r="C1261" s="189" t="e">
        <v>#N/A</v>
      </c>
      <c r="D1261" s="189" t="e">
        <v>#N/A</v>
      </c>
      <c r="E1261" s="189" t="e">
        <v>#N/A</v>
      </c>
      <c r="F1261" s="189" t="e">
        <v>#N/A</v>
      </c>
      <c r="G1261" s="189" t="e">
        <v>#N/A</v>
      </c>
      <c r="H1261" s="189" t="e">
        <v>#N/A</v>
      </c>
      <c r="I1261" s="189" t="e">
        <v>#N/A</v>
      </c>
      <c r="J1261" s="189" t="e">
        <v>#N/A</v>
      </c>
      <c r="K1261" s="204" t="e">
        <v>#N/A</v>
      </c>
      <c r="L1261" s="204" t="e">
        <v>#N/A</v>
      </c>
      <c r="M1261" s="205" t="e">
        <v>#N/A</v>
      </c>
      <c r="N1261" s="205" t="e">
        <v>#N/A</v>
      </c>
      <c r="O1261" s="205" t="e">
        <v>#N/A</v>
      </c>
      <c r="P1261" s="205" t="e">
        <v>#N/A</v>
      </c>
      <c r="Q1261" s="189" t="e">
        <v>#N/A</v>
      </c>
      <c r="R1261" s="189" t="e">
        <v>#N/A</v>
      </c>
      <c r="S1261" s="205" t="e">
        <v>#N/A</v>
      </c>
      <c r="T1261" s="206"/>
    </row>
    <row r="1262">
      <c r="C1262" s="189" t="e">
        <v>#N/A</v>
      </c>
      <c r="D1262" s="189" t="e">
        <v>#N/A</v>
      </c>
      <c r="E1262" s="189" t="e">
        <v>#N/A</v>
      </c>
      <c r="F1262" s="189" t="e">
        <v>#N/A</v>
      </c>
      <c r="G1262" s="189" t="e">
        <v>#N/A</v>
      </c>
      <c r="H1262" s="189" t="e">
        <v>#N/A</v>
      </c>
      <c r="I1262" s="189" t="e">
        <v>#N/A</v>
      </c>
      <c r="J1262" s="189" t="e">
        <v>#N/A</v>
      </c>
      <c r="K1262" s="204" t="e">
        <v>#N/A</v>
      </c>
      <c r="L1262" s="204" t="e">
        <v>#N/A</v>
      </c>
      <c r="M1262" s="205" t="e">
        <v>#N/A</v>
      </c>
      <c r="N1262" s="205" t="e">
        <v>#N/A</v>
      </c>
      <c r="O1262" s="205" t="e">
        <v>#N/A</v>
      </c>
      <c r="P1262" s="205" t="e">
        <v>#N/A</v>
      </c>
      <c r="Q1262" s="189" t="e">
        <v>#N/A</v>
      </c>
      <c r="R1262" s="189" t="e">
        <v>#N/A</v>
      </c>
      <c r="S1262" s="205" t="e">
        <v>#N/A</v>
      </c>
      <c r="T1262" s="206"/>
    </row>
    <row r="1263">
      <c r="C1263" s="189" t="e">
        <v>#N/A</v>
      </c>
      <c r="D1263" s="189" t="e">
        <v>#N/A</v>
      </c>
      <c r="E1263" s="189" t="e">
        <v>#N/A</v>
      </c>
      <c r="F1263" s="189" t="e">
        <v>#N/A</v>
      </c>
      <c r="G1263" s="189" t="e">
        <v>#N/A</v>
      </c>
      <c r="H1263" s="189" t="e">
        <v>#N/A</v>
      </c>
      <c r="I1263" s="189" t="e">
        <v>#N/A</v>
      </c>
      <c r="J1263" s="189" t="e">
        <v>#N/A</v>
      </c>
      <c r="K1263" s="204" t="e">
        <v>#N/A</v>
      </c>
      <c r="L1263" s="204" t="e">
        <v>#N/A</v>
      </c>
      <c r="M1263" s="205" t="e">
        <v>#N/A</v>
      </c>
      <c r="N1263" s="205" t="e">
        <v>#N/A</v>
      </c>
      <c r="O1263" s="205" t="e">
        <v>#N/A</v>
      </c>
      <c r="P1263" s="205" t="e">
        <v>#N/A</v>
      </c>
      <c r="Q1263" s="189" t="e">
        <v>#N/A</v>
      </c>
      <c r="R1263" s="189" t="e">
        <v>#N/A</v>
      </c>
      <c r="S1263" s="205" t="e">
        <v>#N/A</v>
      </c>
      <c r="T1263" s="206"/>
    </row>
    <row r="1264">
      <c r="C1264" s="189" t="e">
        <v>#N/A</v>
      </c>
      <c r="D1264" s="189" t="e">
        <v>#N/A</v>
      </c>
      <c r="E1264" s="189" t="e">
        <v>#N/A</v>
      </c>
      <c r="F1264" s="189" t="e">
        <v>#N/A</v>
      </c>
      <c r="G1264" s="189" t="e">
        <v>#N/A</v>
      </c>
      <c r="H1264" s="189" t="e">
        <v>#N/A</v>
      </c>
      <c r="I1264" s="189" t="e">
        <v>#N/A</v>
      </c>
      <c r="J1264" s="189" t="e">
        <v>#N/A</v>
      </c>
      <c r="K1264" s="204" t="e">
        <v>#N/A</v>
      </c>
      <c r="L1264" s="204" t="e">
        <v>#N/A</v>
      </c>
      <c r="M1264" s="205" t="e">
        <v>#N/A</v>
      </c>
      <c r="N1264" s="205" t="e">
        <v>#N/A</v>
      </c>
      <c r="O1264" s="205" t="e">
        <v>#N/A</v>
      </c>
      <c r="P1264" s="205" t="e">
        <v>#N/A</v>
      </c>
      <c r="Q1264" s="189" t="e">
        <v>#N/A</v>
      </c>
      <c r="R1264" s="189" t="e">
        <v>#N/A</v>
      </c>
      <c r="S1264" s="205" t="e">
        <v>#N/A</v>
      </c>
      <c r="T1264" s="206"/>
    </row>
    <row r="1265">
      <c r="C1265" s="189" t="e">
        <v>#N/A</v>
      </c>
      <c r="D1265" s="189" t="e">
        <v>#N/A</v>
      </c>
      <c r="E1265" s="189" t="e">
        <v>#N/A</v>
      </c>
      <c r="F1265" s="189" t="e">
        <v>#N/A</v>
      </c>
      <c r="G1265" s="189" t="e">
        <v>#N/A</v>
      </c>
      <c r="H1265" s="189" t="e">
        <v>#N/A</v>
      </c>
      <c r="I1265" s="189" t="e">
        <v>#N/A</v>
      </c>
      <c r="J1265" s="189" t="e">
        <v>#N/A</v>
      </c>
      <c r="K1265" s="204" t="e">
        <v>#N/A</v>
      </c>
      <c r="L1265" s="204" t="e">
        <v>#N/A</v>
      </c>
      <c r="M1265" s="205" t="e">
        <v>#N/A</v>
      </c>
      <c r="N1265" s="205" t="e">
        <v>#N/A</v>
      </c>
      <c r="O1265" s="205" t="e">
        <v>#N/A</v>
      </c>
      <c r="P1265" s="205" t="e">
        <v>#N/A</v>
      </c>
      <c r="Q1265" s="189" t="e">
        <v>#N/A</v>
      </c>
      <c r="R1265" s="189" t="e">
        <v>#N/A</v>
      </c>
      <c r="S1265" s="205" t="e">
        <v>#N/A</v>
      </c>
      <c r="T1265" s="206"/>
    </row>
    <row r="1266">
      <c r="C1266" s="189" t="e">
        <v>#N/A</v>
      </c>
      <c r="D1266" s="189" t="e">
        <v>#N/A</v>
      </c>
      <c r="E1266" s="189" t="e">
        <v>#N/A</v>
      </c>
      <c r="F1266" s="189" t="e">
        <v>#N/A</v>
      </c>
      <c r="G1266" s="189" t="e">
        <v>#N/A</v>
      </c>
      <c r="H1266" s="189" t="e">
        <v>#N/A</v>
      </c>
      <c r="I1266" s="189" t="e">
        <v>#N/A</v>
      </c>
      <c r="J1266" s="189" t="e">
        <v>#N/A</v>
      </c>
      <c r="K1266" s="204" t="e">
        <v>#N/A</v>
      </c>
      <c r="L1266" s="204" t="e">
        <v>#N/A</v>
      </c>
      <c r="M1266" s="205" t="e">
        <v>#N/A</v>
      </c>
      <c r="N1266" s="205" t="e">
        <v>#N/A</v>
      </c>
      <c r="O1266" s="205" t="e">
        <v>#N/A</v>
      </c>
      <c r="P1266" s="205" t="e">
        <v>#N/A</v>
      </c>
      <c r="Q1266" s="189" t="e">
        <v>#N/A</v>
      </c>
      <c r="R1266" s="189" t="e">
        <v>#N/A</v>
      </c>
      <c r="S1266" s="205" t="e">
        <v>#N/A</v>
      </c>
      <c r="T1266" s="206"/>
    </row>
    <row r="1267">
      <c r="C1267" s="189" t="e">
        <v>#N/A</v>
      </c>
      <c r="D1267" s="189" t="e">
        <v>#N/A</v>
      </c>
      <c r="E1267" s="189" t="e">
        <v>#N/A</v>
      </c>
      <c r="F1267" s="189" t="e">
        <v>#N/A</v>
      </c>
      <c r="G1267" s="189" t="e">
        <v>#N/A</v>
      </c>
      <c r="H1267" s="189" t="e">
        <v>#N/A</v>
      </c>
      <c r="I1267" s="189" t="e">
        <v>#N/A</v>
      </c>
      <c r="J1267" s="189" t="e">
        <v>#N/A</v>
      </c>
      <c r="K1267" s="204" t="e">
        <v>#N/A</v>
      </c>
      <c r="L1267" s="204" t="e">
        <v>#N/A</v>
      </c>
      <c r="M1267" s="205" t="e">
        <v>#N/A</v>
      </c>
      <c r="N1267" s="205" t="e">
        <v>#N/A</v>
      </c>
      <c r="O1267" s="205" t="e">
        <v>#N/A</v>
      </c>
      <c r="P1267" s="205" t="e">
        <v>#N/A</v>
      </c>
      <c r="Q1267" s="189" t="e">
        <v>#N/A</v>
      </c>
      <c r="R1267" s="189" t="e">
        <v>#N/A</v>
      </c>
      <c r="S1267" s="205" t="e">
        <v>#N/A</v>
      </c>
      <c r="T1267" s="206"/>
    </row>
    <row r="1268">
      <c r="C1268" s="189" t="e">
        <v>#N/A</v>
      </c>
      <c r="D1268" s="189" t="e">
        <v>#N/A</v>
      </c>
      <c r="E1268" s="189" t="e">
        <v>#N/A</v>
      </c>
      <c r="F1268" s="189" t="e">
        <v>#N/A</v>
      </c>
      <c r="G1268" s="189" t="e">
        <v>#N/A</v>
      </c>
      <c r="H1268" s="189" t="e">
        <v>#N/A</v>
      </c>
      <c r="I1268" s="189" t="e">
        <v>#N/A</v>
      </c>
      <c r="J1268" s="189" t="e">
        <v>#N/A</v>
      </c>
      <c r="K1268" s="204" t="e">
        <v>#N/A</v>
      </c>
      <c r="L1268" s="204" t="e">
        <v>#N/A</v>
      </c>
      <c r="M1268" s="205" t="e">
        <v>#N/A</v>
      </c>
      <c r="N1268" s="205" t="e">
        <v>#N/A</v>
      </c>
      <c r="O1268" s="205" t="e">
        <v>#N/A</v>
      </c>
      <c r="P1268" s="205" t="e">
        <v>#N/A</v>
      </c>
      <c r="Q1268" s="189" t="e">
        <v>#N/A</v>
      </c>
      <c r="R1268" s="189" t="e">
        <v>#N/A</v>
      </c>
      <c r="S1268" s="205" t="e">
        <v>#N/A</v>
      </c>
      <c r="T1268" s="206"/>
    </row>
    <row r="1269">
      <c r="C1269" s="189" t="e">
        <v>#N/A</v>
      </c>
      <c r="D1269" s="189" t="e">
        <v>#N/A</v>
      </c>
      <c r="E1269" s="189" t="e">
        <v>#N/A</v>
      </c>
      <c r="F1269" s="189" t="e">
        <v>#N/A</v>
      </c>
      <c r="G1269" s="189" t="e">
        <v>#N/A</v>
      </c>
      <c r="H1269" s="189" t="e">
        <v>#N/A</v>
      </c>
      <c r="I1269" s="189" t="e">
        <v>#N/A</v>
      </c>
      <c r="J1269" s="189" t="e">
        <v>#N/A</v>
      </c>
      <c r="K1269" s="204" t="e">
        <v>#N/A</v>
      </c>
      <c r="L1269" s="204" t="e">
        <v>#N/A</v>
      </c>
      <c r="M1269" s="205" t="e">
        <v>#N/A</v>
      </c>
      <c r="N1269" s="205" t="e">
        <v>#N/A</v>
      </c>
      <c r="O1269" s="205" t="e">
        <v>#N/A</v>
      </c>
      <c r="P1269" s="205" t="e">
        <v>#N/A</v>
      </c>
      <c r="Q1269" s="189" t="e">
        <v>#N/A</v>
      </c>
      <c r="R1269" s="189" t="e">
        <v>#N/A</v>
      </c>
      <c r="S1269" s="205" t="e">
        <v>#N/A</v>
      </c>
      <c r="T1269" s="206"/>
    </row>
    <row r="1270">
      <c r="C1270" s="189" t="e">
        <v>#N/A</v>
      </c>
      <c r="D1270" s="189" t="e">
        <v>#N/A</v>
      </c>
      <c r="E1270" s="189" t="e">
        <v>#N/A</v>
      </c>
      <c r="F1270" s="189" t="e">
        <v>#N/A</v>
      </c>
      <c r="G1270" s="189" t="e">
        <v>#N/A</v>
      </c>
      <c r="H1270" s="189" t="e">
        <v>#N/A</v>
      </c>
      <c r="I1270" s="189" t="e">
        <v>#N/A</v>
      </c>
      <c r="J1270" s="189" t="e">
        <v>#N/A</v>
      </c>
      <c r="K1270" s="204" t="e">
        <v>#N/A</v>
      </c>
      <c r="L1270" s="204" t="e">
        <v>#N/A</v>
      </c>
      <c r="M1270" s="205" t="e">
        <v>#N/A</v>
      </c>
      <c r="N1270" s="205" t="e">
        <v>#N/A</v>
      </c>
      <c r="O1270" s="205" t="e">
        <v>#N/A</v>
      </c>
      <c r="P1270" s="205" t="e">
        <v>#N/A</v>
      </c>
      <c r="Q1270" s="189" t="e">
        <v>#N/A</v>
      </c>
      <c r="R1270" s="189" t="e">
        <v>#N/A</v>
      </c>
      <c r="S1270" s="205" t="e">
        <v>#N/A</v>
      </c>
      <c r="T1270" s="206"/>
    </row>
    <row r="1271">
      <c r="C1271" s="189" t="e">
        <v>#N/A</v>
      </c>
      <c r="D1271" s="189" t="e">
        <v>#N/A</v>
      </c>
      <c r="E1271" s="189" t="e">
        <v>#N/A</v>
      </c>
      <c r="F1271" s="189" t="e">
        <v>#N/A</v>
      </c>
      <c r="G1271" s="189" t="e">
        <v>#N/A</v>
      </c>
      <c r="H1271" s="189" t="e">
        <v>#N/A</v>
      </c>
      <c r="I1271" s="189" t="e">
        <v>#N/A</v>
      </c>
      <c r="J1271" s="189" t="e">
        <v>#N/A</v>
      </c>
      <c r="K1271" s="204" t="e">
        <v>#N/A</v>
      </c>
      <c r="L1271" s="204" t="e">
        <v>#N/A</v>
      </c>
      <c r="M1271" s="205" t="e">
        <v>#N/A</v>
      </c>
      <c r="N1271" s="205" t="e">
        <v>#N/A</v>
      </c>
      <c r="O1271" s="205" t="e">
        <v>#N/A</v>
      </c>
      <c r="P1271" s="205" t="e">
        <v>#N/A</v>
      </c>
      <c r="Q1271" s="189" t="e">
        <v>#N/A</v>
      </c>
      <c r="R1271" s="189" t="e">
        <v>#N/A</v>
      </c>
      <c r="S1271" s="205" t="e">
        <v>#N/A</v>
      </c>
      <c r="T1271" s="206"/>
    </row>
    <row r="1272">
      <c r="C1272" s="189" t="e">
        <v>#N/A</v>
      </c>
      <c r="D1272" s="189" t="e">
        <v>#N/A</v>
      </c>
      <c r="E1272" s="189" t="e">
        <v>#N/A</v>
      </c>
      <c r="F1272" s="189" t="e">
        <v>#N/A</v>
      </c>
      <c r="G1272" s="189" t="e">
        <v>#N/A</v>
      </c>
      <c r="H1272" s="189" t="e">
        <v>#N/A</v>
      </c>
      <c r="I1272" s="189" t="e">
        <v>#N/A</v>
      </c>
      <c r="J1272" s="189" t="e">
        <v>#N/A</v>
      </c>
      <c r="K1272" s="204" t="e">
        <v>#N/A</v>
      </c>
      <c r="L1272" s="204" t="e">
        <v>#N/A</v>
      </c>
      <c r="M1272" s="205" t="e">
        <v>#N/A</v>
      </c>
      <c r="N1272" s="205" t="e">
        <v>#N/A</v>
      </c>
      <c r="O1272" s="205" t="e">
        <v>#N/A</v>
      </c>
      <c r="P1272" s="205" t="e">
        <v>#N/A</v>
      </c>
      <c r="Q1272" s="189" t="e">
        <v>#N/A</v>
      </c>
      <c r="R1272" s="189" t="e">
        <v>#N/A</v>
      </c>
      <c r="S1272" s="205" t="e">
        <v>#N/A</v>
      </c>
      <c r="T1272" s="206"/>
    </row>
    <row r="1273">
      <c r="C1273" s="189" t="e">
        <v>#N/A</v>
      </c>
      <c r="D1273" s="189" t="e">
        <v>#N/A</v>
      </c>
      <c r="E1273" s="189" t="e">
        <v>#N/A</v>
      </c>
      <c r="F1273" s="189" t="e">
        <v>#N/A</v>
      </c>
      <c r="G1273" s="189" t="e">
        <v>#N/A</v>
      </c>
      <c r="H1273" s="189" t="e">
        <v>#N/A</v>
      </c>
      <c r="I1273" s="189" t="e">
        <v>#N/A</v>
      </c>
      <c r="J1273" s="189" t="e">
        <v>#N/A</v>
      </c>
      <c r="K1273" s="204" t="e">
        <v>#N/A</v>
      </c>
      <c r="L1273" s="204" t="e">
        <v>#N/A</v>
      </c>
      <c r="M1273" s="205" t="e">
        <v>#N/A</v>
      </c>
      <c r="N1273" s="205" t="e">
        <v>#N/A</v>
      </c>
      <c r="O1273" s="205" t="e">
        <v>#N/A</v>
      </c>
      <c r="P1273" s="205" t="e">
        <v>#N/A</v>
      </c>
      <c r="Q1273" s="189" t="e">
        <v>#N/A</v>
      </c>
      <c r="R1273" s="189" t="e">
        <v>#N/A</v>
      </c>
      <c r="S1273" s="205" t="e">
        <v>#N/A</v>
      </c>
      <c r="T1273" s="206"/>
    </row>
    <row r="1274">
      <c r="C1274" s="189" t="e">
        <v>#N/A</v>
      </c>
      <c r="D1274" s="189" t="e">
        <v>#N/A</v>
      </c>
      <c r="E1274" s="189" t="e">
        <v>#N/A</v>
      </c>
      <c r="F1274" s="189" t="e">
        <v>#N/A</v>
      </c>
      <c r="G1274" s="189" t="e">
        <v>#N/A</v>
      </c>
      <c r="H1274" s="189" t="e">
        <v>#N/A</v>
      </c>
      <c r="I1274" s="189" t="e">
        <v>#N/A</v>
      </c>
      <c r="J1274" s="189" t="e">
        <v>#N/A</v>
      </c>
      <c r="K1274" s="204" t="e">
        <v>#N/A</v>
      </c>
      <c r="L1274" s="204" t="e">
        <v>#N/A</v>
      </c>
      <c r="M1274" s="205" t="e">
        <v>#N/A</v>
      </c>
      <c r="N1274" s="205" t="e">
        <v>#N/A</v>
      </c>
      <c r="O1274" s="205" t="e">
        <v>#N/A</v>
      </c>
      <c r="P1274" s="205" t="e">
        <v>#N/A</v>
      </c>
      <c r="Q1274" s="189" t="e">
        <v>#N/A</v>
      </c>
      <c r="R1274" s="189" t="e">
        <v>#N/A</v>
      </c>
      <c r="S1274" s="205" t="e">
        <v>#N/A</v>
      </c>
      <c r="T1274" s="206"/>
    </row>
    <row r="1275">
      <c r="C1275" s="189" t="e">
        <v>#N/A</v>
      </c>
      <c r="D1275" s="189" t="e">
        <v>#N/A</v>
      </c>
      <c r="E1275" s="189" t="e">
        <v>#N/A</v>
      </c>
      <c r="F1275" s="189" t="e">
        <v>#N/A</v>
      </c>
      <c r="G1275" s="189" t="e">
        <v>#N/A</v>
      </c>
      <c r="H1275" s="189" t="e">
        <v>#N/A</v>
      </c>
      <c r="I1275" s="189" t="e">
        <v>#N/A</v>
      </c>
      <c r="J1275" s="189" t="e">
        <v>#N/A</v>
      </c>
      <c r="K1275" s="204" t="e">
        <v>#N/A</v>
      </c>
      <c r="L1275" s="204" t="e">
        <v>#N/A</v>
      </c>
      <c r="M1275" s="205" t="e">
        <v>#N/A</v>
      </c>
      <c r="N1275" s="205" t="e">
        <v>#N/A</v>
      </c>
      <c r="O1275" s="205" t="e">
        <v>#N/A</v>
      </c>
      <c r="P1275" s="205" t="e">
        <v>#N/A</v>
      </c>
      <c r="Q1275" s="189" t="e">
        <v>#N/A</v>
      </c>
      <c r="R1275" s="189" t="e">
        <v>#N/A</v>
      </c>
      <c r="S1275" s="205" t="e">
        <v>#N/A</v>
      </c>
      <c r="T1275" s="206"/>
    </row>
    <row r="1276">
      <c r="C1276" s="189" t="e">
        <v>#N/A</v>
      </c>
      <c r="D1276" s="189" t="e">
        <v>#N/A</v>
      </c>
      <c r="E1276" s="189" t="e">
        <v>#N/A</v>
      </c>
      <c r="F1276" s="189" t="e">
        <v>#N/A</v>
      </c>
      <c r="G1276" s="189" t="e">
        <v>#N/A</v>
      </c>
      <c r="H1276" s="189" t="e">
        <v>#N/A</v>
      </c>
      <c r="I1276" s="189" t="e">
        <v>#N/A</v>
      </c>
      <c r="J1276" s="189" t="e">
        <v>#N/A</v>
      </c>
      <c r="K1276" s="204" t="e">
        <v>#N/A</v>
      </c>
      <c r="L1276" s="204" t="e">
        <v>#N/A</v>
      </c>
      <c r="M1276" s="205" t="e">
        <v>#N/A</v>
      </c>
      <c r="N1276" s="205" t="e">
        <v>#N/A</v>
      </c>
      <c r="O1276" s="205" t="e">
        <v>#N/A</v>
      </c>
      <c r="P1276" s="205" t="e">
        <v>#N/A</v>
      </c>
      <c r="Q1276" s="189" t="e">
        <v>#N/A</v>
      </c>
      <c r="R1276" s="189" t="e">
        <v>#N/A</v>
      </c>
      <c r="S1276" s="205" t="e">
        <v>#N/A</v>
      </c>
      <c r="T1276" s="206"/>
    </row>
    <row r="1277">
      <c r="C1277" s="189" t="e">
        <v>#N/A</v>
      </c>
      <c r="D1277" s="189" t="e">
        <v>#N/A</v>
      </c>
      <c r="E1277" s="189" t="e">
        <v>#N/A</v>
      </c>
      <c r="F1277" s="189" t="e">
        <v>#N/A</v>
      </c>
      <c r="G1277" s="189" t="e">
        <v>#N/A</v>
      </c>
      <c r="H1277" s="189" t="e">
        <v>#N/A</v>
      </c>
      <c r="I1277" s="189" t="e">
        <v>#N/A</v>
      </c>
      <c r="J1277" s="189" t="e">
        <v>#N/A</v>
      </c>
      <c r="K1277" s="204" t="e">
        <v>#N/A</v>
      </c>
      <c r="L1277" s="204" t="e">
        <v>#N/A</v>
      </c>
      <c r="M1277" s="205" t="e">
        <v>#N/A</v>
      </c>
      <c r="N1277" s="205" t="e">
        <v>#N/A</v>
      </c>
      <c r="O1277" s="205" t="e">
        <v>#N/A</v>
      </c>
      <c r="P1277" s="205" t="e">
        <v>#N/A</v>
      </c>
      <c r="Q1277" s="189" t="e">
        <v>#N/A</v>
      </c>
      <c r="R1277" s="189" t="e">
        <v>#N/A</v>
      </c>
      <c r="S1277" s="205" t="e">
        <v>#N/A</v>
      </c>
      <c r="T1277" s="206"/>
    </row>
    <row r="1278">
      <c r="C1278" s="189" t="e">
        <v>#N/A</v>
      </c>
      <c r="D1278" s="189" t="e">
        <v>#N/A</v>
      </c>
      <c r="E1278" s="189" t="e">
        <v>#N/A</v>
      </c>
      <c r="F1278" s="189" t="e">
        <v>#N/A</v>
      </c>
      <c r="G1278" s="189" t="e">
        <v>#N/A</v>
      </c>
      <c r="H1278" s="189" t="e">
        <v>#N/A</v>
      </c>
      <c r="I1278" s="189" t="e">
        <v>#N/A</v>
      </c>
      <c r="J1278" s="189" t="e">
        <v>#N/A</v>
      </c>
      <c r="K1278" s="204" t="e">
        <v>#N/A</v>
      </c>
      <c r="L1278" s="204" t="e">
        <v>#N/A</v>
      </c>
      <c r="M1278" s="205" t="e">
        <v>#N/A</v>
      </c>
      <c r="N1278" s="205" t="e">
        <v>#N/A</v>
      </c>
      <c r="O1278" s="205" t="e">
        <v>#N/A</v>
      </c>
      <c r="P1278" s="205" t="e">
        <v>#N/A</v>
      </c>
      <c r="Q1278" s="189" t="e">
        <v>#N/A</v>
      </c>
      <c r="R1278" s="189" t="e">
        <v>#N/A</v>
      </c>
      <c r="S1278" s="205" t="e">
        <v>#N/A</v>
      </c>
      <c r="T1278" s="206"/>
    </row>
    <row r="1279">
      <c r="C1279" s="189" t="e">
        <v>#N/A</v>
      </c>
      <c r="D1279" s="189" t="e">
        <v>#N/A</v>
      </c>
      <c r="E1279" s="189" t="e">
        <v>#N/A</v>
      </c>
      <c r="F1279" s="189" t="e">
        <v>#N/A</v>
      </c>
      <c r="G1279" s="189" t="e">
        <v>#N/A</v>
      </c>
      <c r="H1279" s="189" t="e">
        <v>#N/A</v>
      </c>
      <c r="I1279" s="189" t="e">
        <v>#N/A</v>
      </c>
      <c r="J1279" s="189" t="e">
        <v>#N/A</v>
      </c>
      <c r="K1279" s="204" t="e">
        <v>#N/A</v>
      </c>
      <c r="L1279" s="204" t="e">
        <v>#N/A</v>
      </c>
      <c r="M1279" s="205" t="e">
        <v>#N/A</v>
      </c>
      <c r="N1279" s="205" t="e">
        <v>#N/A</v>
      </c>
      <c r="O1279" s="205" t="e">
        <v>#N/A</v>
      </c>
      <c r="P1279" s="205" t="e">
        <v>#N/A</v>
      </c>
      <c r="Q1279" s="189" t="e">
        <v>#N/A</v>
      </c>
      <c r="R1279" s="189" t="e">
        <v>#N/A</v>
      </c>
      <c r="S1279" s="205" t="e">
        <v>#N/A</v>
      </c>
      <c r="T1279" s="206"/>
    </row>
    <row r="1280">
      <c r="C1280" s="189" t="e">
        <v>#N/A</v>
      </c>
      <c r="D1280" s="189" t="e">
        <v>#N/A</v>
      </c>
      <c r="E1280" s="189" t="e">
        <v>#N/A</v>
      </c>
      <c r="F1280" s="189" t="e">
        <v>#N/A</v>
      </c>
      <c r="G1280" s="189" t="e">
        <v>#N/A</v>
      </c>
      <c r="H1280" s="189" t="e">
        <v>#N/A</v>
      </c>
      <c r="I1280" s="189" t="e">
        <v>#N/A</v>
      </c>
      <c r="J1280" s="189" t="e">
        <v>#N/A</v>
      </c>
      <c r="K1280" s="204" t="e">
        <v>#N/A</v>
      </c>
      <c r="L1280" s="204" t="e">
        <v>#N/A</v>
      </c>
      <c r="M1280" s="205" t="e">
        <v>#N/A</v>
      </c>
      <c r="N1280" s="205" t="e">
        <v>#N/A</v>
      </c>
      <c r="O1280" s="205" t="e">
        <v>#N/A</v>
      </c>
      <c r="P1280" s="205" t="e">
        <v>#N/A</v>
      </c>
      <c r="Q1280" s="189" t="e">
        <v>#N/A</v>
      </c>
      <c r="R1280" s="189" t="e">
        <v>#N/A</v>
      </c>
      <c r="S1280" s="205" t="e">
        <v>#N/A</v>
      </c>
      <c r="T1280" s="206"/>
    </row>
    <row r="1281">
      <c r="C1281" s="189" t="e">
        <v>#N/A</v>
      </c>
      <c r="D1281" s="189" t="e">
        <v>#N/A</v>
      </c>
      <c r="E1281" s="189" t="e">
        <v>#N/A</v>
      </c>
      <c r="F1281" s="189" t="e">
        <v>#N/A</v>
      </c>
      <c r="G1281" s="189" t="e">
        <v>#N/A</v>
      </c>
      <c r="H1281" s="189" t="e">
        <v>#N/A</v>
      </c>
      <c r="I1281" s="189" t="e">
        <v>#N/A</v>
      </c>
      <c r="J1281" s="189" t="e">
        <v>#N/A</v>
      </c>
      <c r="K1281" s="204" t="e">
        <v>#N/A</v>
      </c>
      <c r="L1281" s="204" t="e">
        <v>#N/A</v>
      </c>
      <c r="M1281" s="205" t="e">
        <v>#N/A</v>
      </c>
      <c r="N1281" s="205" t="e">
        <v>#N/A</v>
      </c>
      <c r="O1281" s="205" t="e">
        <v>#N/A</v>
      </c>
      <c r="P1281" s="205" t="e">
        <v>#N/A</v>
      </c>
      <c r="Q1281" s="189" t="e">
        <v>#N/A</v>
      </c>
      <c r="R1281" s="189" t="e">
        <v>#N/A</v>
      </c>
      <c r="S1281" s="205" t="e">
        <v>#N/A</v>
      </c>
      <c r="T1281" s="206"/>
    </row>
    <row r="1282">
      <c r="C1282" s="189" t="e">
        <v>#N/A</v>
      </c>
      <c r="D1282" s="189" t="e">
        <v>#N/A</v>
      </c>
      <c r="E1282" s="189" t="e">
        <v>#N/A</v>
      </c>
      <c r="F1282" s="189" t="e">
        <v>#N/A</v>
      </c>
      <c r="G1282" s="189" t="e">
        <v>#N/A</v>
      </c>
      <c r="H1282" s="189" t="e">
        <v>#N/A</v>
      </c>
      <c r="I1282" s="189" t="e">
        <v>#N/A</v>
      </c>
      <c r="J1282" s="189" t="e">
        <v>#N/A</v>
      </c>
      <c r="K1282" s="204" t="e">
        <v>#N/A</v>
      </c>
      <c r="L1282" s="204" t="e">
        <v>#N/A</v>
      </c>
      <c r="M1282" s="205" t="e">
        <v>#N/A</v>
      </c>
      <c r="N1282" s="205" t="e">
        <v>#N/A</v>
      </c>
      <c r="O1282" s="205" t="e">
        <v>#N/A</v>
      </c>
      <c r="P1282" s="205" t="e">
        <v>#N/A</v>
      </c>
      <c r="Q1282" s="189" t="e">
        <v>#N/A</v>
      </c>
      <c r="R1282" s="189" t="e">
        <v>#N/A</v>
      </c>
      <c r="S1282" s="205" t="e">
        <v>#N/A</v>
      </c>
      <c r="T1282" s="206"/>
    </row>
    <row r="1283">
      <c r="C1283" s="189" t="e">
        <v>#N/A</v>
      </c>
      <c r="D1283" s="189" t="e">
        <v>#N/A</v>
      </c>
      <c r="E1283" s="189" t="e">
        <v>#N/A</v>
      </c>
      <c r="F1283" s="189" t="e">
        <v>#N/A</v>
      </c>
      <c r="G1283" s="189" t="e">
        <v>#N/A</v>
      </c>
      <c r="H1283" s="189" t="e">
        <v>#N/A</v>
      </c>
      <c r="I1283" s="189" t="e">
        <v>#N/A</v>
      </c>
      <c r="J1283" s="189" t="e">
        <v>#N/A</v>
      </c>
      <c r="K1283" s="204" t="e">
        <v>#N/A</v>
      </c>
      <c r="L1283" s="204" t="e">
        <v>#N/A</v>
      </c>
      <c r="M1283" s="205" t="e">
        <v>#N/A</v>
      </c>
      <c r="N1283" s="205" t="e">
        <v>#N/A</v>
      </c>
      <c r="O1283" s="205" t="e">
        <v>#N/A</v>
      </c>
      <c r="P1283" s="205" t="e">
        <v>#N/A</v>
      </c>
      <c r="Q1283" s="189" t="e">
        <v>#N/A</v>
      </c>
      <c r="R1283" s="189" t="e">
        <v>#N/A</v>
      </c>
      <c r="S1283" s="205" t="e">
        <v>#N/A</v>
      </c>
      <c r="T1283" s="206"/>
    </row>
    <row r="1284">
      <c r="C1284" s="189" t="e">
        <v>#N/A</v>
      </c>
      <c r="D1284" s="189" t="e">
        <v>#N/A</v>
      </c>
      <c r="E1284" s="189" t="e">
        <v>#N/A</v>
      </c>
      <c r="F1284" s="189" t="e">
        <v>#N/A</v>
      </c>
      <c r="G1284" s="189" t="e">
        <v>#N/A</v>
      </c>
      <c r="H1284" s="189" t="e">
        <v>#N/A</v>
      </c>
      <c r="I1284" s="189" t="e">
        <v>#N/A</v>
      </c>
      <c r="J1284" s="189" t="e">
        <v>#N/A</v>
      </c>
      <c r="K1284" s="204" t="e">
        <v>#N/A</v>
      </c>
      <c r="L1284" s="204" t="e">
        <v>#N/A</v>
      </c>
      <c r="M1284" s="205" t="e">
        <v>#N/A</v>
      </c>
      <c r="N1284" s="205" t="e">
        <v>#N/A</v>
      </c>
      <c r="O1284" s="205" t="e">
        <v>#N/A</v>
      </c>
      <c r="P1284" s="205" t="e">
        <v>#N/A</v>
      </c>
      <c r="Q1284" s="189" t="e">
        <v>#N/A</v>
      </c>
      <c r="R1284" s="189" t="e">
        <v>#N/A</v>
      </c>
      <c r="S1284" s="205" t="e">
        <v>#N/A</v>
      </c>
      <c r="T1284" s="206"/>
    </row>
    <row r="1285">
      <c r="C1285" s="189" t="e">
        <v>#N/A</v>
      </c>
      <c r="D1285" s="189" t="e">
        <v>#N/A</v>
      </c>
      <c r="E1285" s="189" t="e">
        <v>#N/A</v>
      </c>
      <c r="F1285" s="189" t="e">
        <v>#N/A</v>
      </c>
      <c r="G1285" s="189" t="e">
        <v>#N/A</v>
      </c>
      <c r="H1285" s="189" t="e">
        <v>#N/A</v>
      </c>
      <c r="I1285" s="189" t="e">
        <v>#N/A</v>
      </c>
      <c r="J1285" s="189" t="e">
        <v>#N/A</v>
      </c>
      <c r="K1285" s="204" t="e">
        <v>#N/A</v>
      </c>
      <c r="L1285" s="204" t="e">
        <v>#N/A</v>
      </c>
      <c r="M1285" s="205" t="e">
        <v>#N/A</v>
      </c>
      <c r="N1285" s="205" t="e">
        <v>#N/A</v>
      </c>
      <c r="O1285" s="205" t="e">
        <v>#N/A</v>
      </c>
      <c r="P1285" s="205" t="e">
        <v>#N/A</v>
      </c>
      <c r="Q1285" s="189" t="e">
        <v>#N/A</v>
      </c>
      <c r="R1285" s="189" t="e">
        <v>#N/A</v>
      </c>
      <c r="S1285" s="205" t="e">
        <v>#N/A</v>
      </c>
      <c r="T1285" s="206"/>
    </row>
    <row r="1286">
      <c r="C1286" s="189" t="e">
        <v>#N/A</v>
      </c>
      <c r="D1286" s="189" t="e">
        <v>#N/A</v>
      </c>
      <c r="E1286" s="189" t="e">
        <v>#N/A</v>
      </c>
      <c r="F1286" s="189" t="e">
        <v>#N/A</v>
      </c>
      <c r="G1286" s="189" t="e">
        <v>#N/A</v>
      </c>
      <c r="H1286" s="189" t="e">
        <v>#N/A</v>
      </c>
      <c r="I1286" s="189" t="e">
        <v>#N/A</v>
      </c>
      <c r="J1286" s="189" t="e">
        <v>#N/A</v>
      </c>
      <c r="K1286" s="204" t="e">
        <v>#N/A</v>
      </c>
      <c r="L1286" s="204" t="e">
        <v>#N/A</v>
      </c>
      <c r="M1286" s="205" t="e">
        <v>#N/A</v>
      </c>
      <c r="N1286" s="205" t="e">
        <v>#N/A</v>
      </c>
      <c r="O1286" s="205" t="e">
        <v>#N/A</v>
      </c>
      <c r="P1286" s="205" t="e">
        <v>#N/A</v>
      </c>
      <c r="Q1286" s="189" t="e">
        <v>#N/A</v>
      </c>
      <c r="R1286" s="189" t="e">
        <v>#N/A</v>
      </c>
      <c r="S1286" s="205" t="e">
        <v>#N/A</v>
      </c>
      <c r="T1286" s="206"/>
    </row>
    <row r="1287">
      <c r="C1287" s="189" t="e">
        <v>#N/A</v>
      </c>
      <c r="D1287" s="189" t="e">
        <v>#N/A</v>
      </c>
      <c r="E1287" s="189" t="e">
        <v>#N/A</v>
      </c>
      <c r="F1287" s="189" t="e">
        <v>#N/A</v>
      </c>
      <c r="G1287" s="189" t="e">
        <v>#N/A</v>
      </c>
      <c r="H1287" s="189" t="e">
        <v>#N/A</v>
      </c>
      <c r="I1287" s="189" t="e">
        <v>#N/A</v>
      </c>
      <c r="J1287" s="189" t="e">
        <v>#N/A</v>
      </c>
      <c r="K1287" s="204" t="e">
        <v>#N/A</v>
      </c>
      <c r="L1287" s="204" t="e">
        <v>#N/A</v>
      </c>
      <c r="M1287" s="205" t="e">
        <v>#N/A</v>
      </c>
      <c r="N1287" s="205" t="e">
        <v>#N/A</v>
      </c>
      <c r="O1287" s="205" t="e">
        <v>#N/A</v>
      </c>
      <c r="P1287" s="205" t="e">
        <v>#N/A</v>
      </c>
      <c r="Q1287" s="189" t="e">
        <v>#N/A</v>
      </c>
      <c r="R1287" s="189" t="e">
        <v>#N/A</v>
      </c>
      <c r="S1287" s="205" t="e">
        <v>#N/A</v>
      </c>
      <c r="T1287" s="206"/>
    </row>
    <row r="1288">
      <c r="C1288" s="189" t="e">
        <v>#N/A</v>
      </c>
      <c r="D1288" s="189" t="e">
        <v>#N/A</v>
      </c>
      <c r="E1288" s="189" t="e">
        <v>#N/A</v>
      </c>
      <c r="F1288" s="189" t="e">
        <v>#N/A</v>
      </c>
      <c r="G1288" s="189" t="e">
        <v>#N/A</v>
      </c>
      <c r="H1288" s="189" t="e">
        <v>#N/A</v>
      </c>
      <c r="I1288" s="189" t="e">
        <v>#N/A</v>
      </c>
      <c r="J1288" s="189" t="e">
        <v>#N/A</v>
      </c>
      <c r="K1288" s="204" t="e">
        <v>#N/A</v>
      </c>
      <c r="L1288" s="204" t="e">
        <v>#N/A</v>
      </c>
      <c r="M1288" s="205" t="e">
        <v>#N/A</v>
      </c>
      <c r="N1288" s="205" t="e">
        <v>#N/A</v>
      </c>
      <c r="O1288" s="205" t="e">
        <v>#N/A</v>
      </c>
      <c r="P1288" s="205" t="e">
        <v>#N/A</v>
      </c>
      <c r="Q1288" s="189" t="e">
        <v>#N/A</v>
      </c>
      <c r="R1288" s="189" t="e">
        <v>#N/A</v>
      </c>
      <c r="S1288" s="205" t="e">
        <v>#N/A</v>
      </c>
      <c r="T1288" s="206"/>
    </row>
    <row r="1289">
      <c r="C1289" s="189" t="e">
        <v>#N/A</v>
      </c>
      <c r="D1289" s="189" t="e">
        <v>#N/A</v>
      </c>
      <c r="E1289" s="189" t="e">
        <v>#N/A</v>
      </c>
      <c r="F1289" s="189" t="e">
        <v>#N/A</v>
      </c>
      <c r="G1289" s="189" t="e">
        <v>#N/A</v>
      </c>
      <c r="H1289" s="189" t="e">
        <v>#N/A</v>
      </c>
      <c r="I1289" s="189" t="e">
        <v>#N/A</v>
      </c>
      <c r="J1289" s="189" t="e">
        <v>#N/A</v>
      </c>
      <c r="K1289" s="204" t="e">
        <v>#N/A</v>
      </c>
      <c r="L1289" s="204" t="e">
        <v>#N/A</v>
      </c>
      <c r="M1289" s="205" t="e">
        <v>#N/A</v>
      </c>
      <c r="N1289" s="205" t="e">
        <v>#N/A</v>
      </c>
      <c r="O1289" s="205" t="e">
        <v>#N/A</v>
      </c>
      <c r="P1289" s="205" t="e">
        <v>#N/A</v>
      </c>
      <c r="Q1289" s="189" t="e">
        <v>#N/A</v>
      </c>
      <c r="R1289" s="189" t="e">
        <v>#N/A</v>
      </c>
      <c r="S1289" s="205" t="e">
        <v>#N/A</v>
      </c>
      <c r="T1289" s="206"/>
    </row>
    <row r="1290">
      <c r="C1290" s="189" t="e">
        <v>#N/A</v>
      </c>
      <c r="D1290" s="189" t="e">
        <v>#N/A</v>
      </c>
      <c r="E1290" s="189" t="e">
        <v>#N/A</v>
      </c>
      <c r="F1290" s="189" t="e">
        <v>#N/A</v>
      </c>
      <c r="G1290" s="189" t="e">
        <v>#N/A</v>
      </c>
      <c r="H1290" s="189" t="e">
        <v>#N/A</v>
      </c>
      <c r="I1290" s="189" t="e">
        <v>#N/A</v>
      </c>
      <c r="J1290" s="189" t="e">
        <v>#N/A</v>
      </c>
      <c r="K1290" s="204" t="e">
        <v>#N/A</v>
      </c>
      <c r="L1290" s="204" t="e">
        <v>#N/A</v>
      </c>
      <c r="M1290" s="205" t="e">
        <v>#N/A</v>
      </c>
      <c r="N1290" s="205" t="e">
        <v>#N/A</v>
      </c>
      <c r="O1290" s="205" t="e">
        <v>#N/A</v>
      </c>
      <c r="P1290" s="205" t="e">
        <v>#N/A</v>
      </c>
      <c r="Q1290" s="189" t="e">
        <v>#N/A</v>
      </c>
      <c r="R1290" s="189" t="e">
        <v>#N/A</v>
      </c>
      <c r="S1290" s="205" t="e">
        <v>#N/A</v>
      </c>
      <c r="T1290" s="206"/>
    </row>
    <row r="1291">
      <c r="C1291" s="189" t="e">
        <v>#N/A</v>
      </c>
      <c r="D1291" s="189" t="e">
        <v>#N/A</v>
      </c>
      <c r="E1291" s="189" t="e">
        <v>#N/A</v>
      </c>
      <c r="F1291" s="189" t="e">
        <v>#N/A</v>
      </c>
      <c r="G1291" s="189" t="e">
        <v>#N/A</v>
      </c>
      <c r="H1291" s="189" t="e">
        <v>#N/A</v>
      </c>
      <c r="I1291" s="189" t="e">
        <v>#N/A</v>
      </c>
      <c r="J1291" s="189" t="e">
        <v>#N/A</v>
      </c>
      <c r="K1291" s="204" t="e">
        <v>#N/A</v>
      </c>
      <c r="L1291" s="204" t="e">
        <v>#N/A</v>
      </c>
      <c r="M1291" s="205" t="e">
        <v>#N/A</v>
      </c>
      <c r="N1291" s="205" t="e">
        <v>#N/A</v>
      </c>
      <c r="O1291" s="205" t="e">
        <v>#N/A</v>
      </c>
      <c r="P1291" s="205" t="e">
        <v>#N/A</v>
      </c>
      <c r="Q1291" s="189" t="e">
        <v>#N/A</v>
      </c>
      <c r="R1291" s="189" t="e">
        <v>#N/A</v>
      </c>
      <c r="S1291" s="205" t="e">
        <v>#N/A</v>
      </c>
      <c r="T1291" s="206"/>
    </row>
    <row r="1292">
      <c r="C1292" s="189" t="e">
        <v>#N/A</v>
      </c>
      <c r="D1292" s="189" t="e">
        <v>#N/A</v>
      </c>
      <c r="E1292" s="189" t="e">
        <v>#N/A</v>
      </c>
      <c r="F1292" s="189" t="e">
        <v>#N/A</v>
      </c>
      <c r="G1292" s="189" t="e">
        <v>#N/A</v>
      </c>
      <c r="H1292" s="189" t="e">
        <v>#N/A</v>
      </c>
      <c r="I1292" s="189" t="e">
        <v>#N/A</v>
      </c>
      <c r="J1292" s="189" t="e">
        <v>#N/A</v>
      </c>
      <c r="K1292" s="204" t="e">
        <v>#N/A</v>
      </c>
      <c r="L1292" s="204" t="e">
        <v>#N/A</v>
      </c>
      <c r="M1292" s="205" t="e">
        <v>#N/A</v>
      </c>
      <c r="N1292" s="205" t="e">
        <v>#N/A</v>
      </c>
      <c r="O1292" s="205" t="e">
        <v>#N/A</v>
      </c>
      <c r="P1292" s="205" t="e">
        <v>#N/A</v>
      </c>
      <c r="Q1292" s="189" t="e">
        <v>#N/A</v>
      </c>
      <c r="R1292" s="189" t="e">
        <v>#N/A</v>
      </c>
      <c r="S1292" s="205" t="e">
        <v>#N/A</v>
      </c>
      <c r="T1292" s="206"/>
    </row>
    <row r="1293">
      <c r="C1293" s="189" t="e">
        <v>#N/A</v>
      </c>
      <c r="D1293" s="189" t="e">
        <v>#N/A</v>
      </c>
      <c r="E1293" s="189" t="e">
        <v>#N/A</v>
      </c>
      <c r="F1293" s="189" t="e">
        <v>#N/A</v>
      </c>
      <c r="G1293" s="189" t="e">
        <v>#N/A</v>
      </c>
      <c r="H1293" s="189" t="e">
        <v>#N/A</v>
      </c>
      <c r="I1293" s="189" t="e">
        <v>#N/A</v>
      </c>
      <c r="J1293" s="189" t="e">
        <v>#N/A</v>
      </c>
      <c r="K1293" s="204" t="e">
        <v>#N/A</v>
      </c>
      <c r="L1293" s="204" t="e">
        <v>#N/A</v>
      </c>
      <c r="M1293" s="205" t="e">
        <v>#N/A</v>
      </c>
      <c r="N1293" s="205" t="e">
        <v>#N/A</v>
      </c>
      <c r="O1293" s="205" t="e">
        <v>#N/A</v>
      </c>
      <c r="P1293" s="205" t="e">
        <v>#N/A</v>
      </c>
      <c r="Q1293" s="189" t="e">
        <v>#N/A</v>
      </c>
      <c r="R1293" s="189" t="e">
        <v>#N/A</v>
      </c>
      <c r="S1293" s="205" t="e">
        <v>#N/A</v>
      </c>
      <c r="T1293" s="206"/>
    </row>
    <row r="1294">
      <c r="C1294" s="189" t="e">
        <v>#N/A</v>
      </c>
      <c r="D1294" s="189" t="e">
        <v>#N/A</v>
      </c>
      <c r="E1294" s="189" t="e">
        <v>#N/A</v>
      </c>
      <c r="F1294" s="189" t="e">
        <v>#N/A</v>
      </c>
      <c r="G1294" s="189" t="e">
        <v>#N/A</v>
      </c>
      <c r="H1294" s="189" t="e">
        <v>#N/A</v>
      </c>
      <c r="I1294" s="189" t="e">
        <v>#N/A</v>
      </c>
      <c r="J1294" s="189" t="e">
        <v>#N/A</v>
      </c>
      <c r="K1294" s="204" t="e">
        <v>#N/A</v>
      </c>
      <c r="L1294" s="204" t="e">
        <v>#N/A</v>
      </c>
      <c r="M1294" s="205" t="e">
        <v>#N/A</v>
      </c>
      <c r="N1294" s="205" t="e">
        <v>#N/A</v>
      </c>
      <c r="O1294" s="205" t="e">
        <v>#N/A</v>
      </c>
      <c r="P1294" s="205" t="e">
        <v>#N/A</v>
      </c>
      <c r="Q1294" s="189" t="e">
        <v>#N/A</v>
      </c>
      <c r="R1294" s="189" t="e">
        <v>#N/A</v>
      </c>
      <c r="S1294" s="205" t="e">
        <v>#N/A</v>
      </c>
      <c r="T1294" s="206"/>
    </row>
    <row r="1295">
      <c r="C1295" s="189" t="e">
        <v>#N/A</v>
      </c>
      <c r="D1295" s="189" t="e">
        <v>#N/A</v>
      </c>
      <c r="E1295" s="189" t="e">
        <v>#N/A</v>
      </c>
      <c r="F1295" s="189" t="e">
        <v>#N/A</v>
      </c>
      <c r="G1295" s="189" t="e">
        <v>#N/A</v>
      </c>
      <c r="H1295" s="189" t="e">
        <v>#N/A</v>
      </c>
      <c r="I1295" s="189" t="e">
        <v>#N/A</v>
      </c>
      <c r="J1295" s="189" t="e">
        <v>#N/A</v>
      </c>
      <c r="K1295" s="204" t="e">
        <v>#N/A</v>
      </c>
      <c r="L1295" s="204" t="e">
        <v>#N/A</v>
      </c>
      <c r="M1295" s="205" t="e">
        <v>#N/A</v>
      </c>
      <c r="N1295" s="205" t="e">
        <v>#N/A</v>
      </c>
      <c r="O1295" s="205" t="e">
        <v>#N/A</v>
      </c>
      <c r="P1295" s="205" t="e">
        <v>#N/A</v>
      </c>
      <c r="Q1295" s="189" t="e">
        <v>#N/A</v>
      </c>
      <c r="R1295" s="189" t="e">
        <v>#N/A</v>
      </c>
      <c r="S1295" s="205" t="e">
        <v>#N/A</v>
      </c>
      <c r="T1295" s="206"/>
    </row>
    <row r="1296">
      <c r="C1296" s="189" t="e">
        <v>#N/A</v>
      </c>
      <c r="D1296" s="189" t="e">
        <v>#N/A</v>
      </c>
      <c r="E1296" s="189" t="e">
        <v>#N/A</v>
      </c>
      <c r="F1296" s="189" t="e">
        <v>#N/A</v>
      </c>
      <c r="G1296" s="189" t="e">
        <v>#N/A</v>
      </c>
      <c r="H1296" s="189" t="e">
        <v>#N/A</v>
      </c>
      <c r="I1296" s="189" t="e">
        <v>#N/A</v>
      </c>
      <c r="J1296" s="189" t="e">
        <v>#N/A</v>
      </c>
      <c r="K1296" s="204" t="e">
        <v>#N/A</v>
      </c>
      <c r="L1296" s="204" t="e">
        <v>#N/A</v>
      </c>
      <c r="M1296" s="205" t="e">
        <v>#N/A</v>
      </c>
      <c r="N1296" s="205" t="e">
        <v>#N/A</v>
      </c>
      <c r="O1296" s="205" t="e">
        <v>#N/A</v>
      </c>
      <c r="P1296" s="205" t="e">
        <v>#N/A</v>
      </c>
      <c r="Q1296" s="189" t="e">
        <v>#N/A</v>
      </c>
      <c r="R1296" s="189" t="e">
        <v>#N/A</v>
      </c>
      <c r="S1296" s="205" t="e">
        <v>#N/A</v>
      </c>
      <c r="T1296" s="206"/>
    </row>
    <row r="1297">
      <c r="C1297" s="189" t="e">
        <v>#N/A</v>
      </c>
      <c r="D1297" s="189" t="e">
        <v>#N/A</v>
      </c>
      <c r="E1297" s="189" t="e">
        <v>#N/A</v>
      </c>
      <c r="F1297" s="189" t="e">
        <v>#N/A</v>
      </c>
      <c r="G1297" s="189" t="e">
        <v>#N/A</v>
      </c>
      <c r="H1297" s="189" t="e">
        <v>#N/A</v>
      </c>
      <c r="I1297" s="189" t="e">
        <v>#N/A</v>
      </c>
      <c r="J1297" s="189" t="e">
        <v>#N/A</v>
      </c>
      <c r="K1297" s="204" t="e">
        <v>#N/A</v>
      </c>
      <c r="L1297" s="204" t="e">
        <v>#N/A</v>
      </c>
      <c r="M1297" s="205" t="e">
        <v>#N/A</v>
      </c>
      <c r="N1297" s="205" t="e">
        <v>#N/A</v>
      </c>
      <c r="O1297" s="205" t="e">
        <v>#N/A</v>
      </c>
      <c r="P1297" s="205" t="e">
        <v>#N/A</v>
      </c>
      <c r="Q1297" s="189" t="e">
        <v>#N/A</v>
      </c>
      <c r="R1297" s="189" t="e">
        <v>#N/A</v>
      </c>
      <c r="S1297" s="205" t="e">
        <v>#N/A</v>
      </c>
      <c r="T1297" s="206"/>
    </row>
    <row r="1298">
      <c r="C1298" s="189" t="e">
        <v>#N/A</v>
      </c>
      <c r="D1298" s="189" t="e">
        <v>#N/A</v>
      </c>
      <c r="E1298" s="189" t="e">
        <v>#N/A</v>
      </c>
      <c r="F1298" s="189" t="e">
        <v>#N/A</v>
      </c>
      <c r="G1298" s="189" t="e">
        <v>#N/A</v>
      </c>
      <c r="H1298" s="189" t="e">
        <v>#N/A</v>
      </c>
      <c r="I1298" s="189" t="e">
        <v>#N/A</v>
      </c>
      <c r="J1298" s="189" t="e">
        <v>#N/A</v>
      </c>
      <c r="K1298" s="204" t="e">
        <v>#N/A</v>
      </c>
      <c r="L1298" s="204" t="e">
        <v>#N/A</v>
      </c>
      <c r="M1298" s="205" t="e">
        <v>#N/A</v>
      </c>
      <c r="N1298" s="205" t="e">
        <v>#N/A</v>
      </c>
      <c r="O1298" s="205" t="e">
        <v>#N/A</v>
      </c>
      <c r="P1298" s="205" t="e">
        <v>#N/A</v>
      </c>
      <c r="Q1298" s="189" t="e">
        <v>#N/A</v>
      </c>
      <c r="R1298" s="189" t="e">
        <v>#N/A</v>
      </c>
      <c r="S1298" s="205" t="e">
        <v>#N/A</v>
      </c>
      <c r="T1298" s="206"/>
    </row>
    <row r="1299">
      <c r="C1299" s="189" t="e">
        <v>#N/A</v>
      </c>
      <c r="D1299" s="189" t="e">
        <v>#N/A</v>
      </c>
      <c r="E1299" s="189" t="e">
        <v>#N/A</v>
      </c>
      <c r="F1299" s="189" t="e">
        <v>#N/A</v>
      </c>
      <c r="G1299" s="189" t="e">
        <v>#N/A</v>
      </c>
      <c r="H1299" s="189" t="e">
        <v>#N/A</v>
      </c>
      <c r="I1299" s="189" t="e">
        <v>#N/A</v>
      </c>
      <c r="J1299" s="189" t="e">
        <v>#N/A</v>
      </c>
      <c r="K1299" s="204" t="e">
        <v>#N/A</v>
      </c>
      <c r="L1299" s="204" t="e">
        <v>#N/A</v>
      </c>
      <c r="M1299" s="205" t="e">
        <v>#N/A</v>
      </c>
      <c r="N1299" s="205" t="e">
        <v>#N/A</v>
      </c>
      <c r="O1299" s="205" t="e">
        <v>#N/A</v>
      </c>
      <c r="P1299" s="205" t="e">
        <v>#N/A</v>
      </c>
      <c r="Q1299" s="189" t="e">
        <v>#N/A</v>
      </c>
      <c r="R1299" s="189" t="e">
        <v>#N/A</v>
      </c>
      <c r="S1299" s="205" t="e">
        <v>#N/A</v>
      </c>
      <c r="T1299" s="206"/>
    </row>
    <row r="1300">
      <c r="C1300" s="189" t="e">
        <v>#N/A</v>
      </c>
      <c r="D1300" s="189" t="e">
        <v>#N/A</v>
      </c>
      <c r="E1300" s="189" t="e">
        <v>#N/A</v>
      </c>
      <c r="F1300" s="189" t="e">
        <v>#N/A</v>
      </c>
      <c r="G1300" s="189" t="e">
        <v>#N/A</v>
      </c>
      <c r="H1300" s="189" t="e">
        <v>#N/A</v>
      </c>
      <c r="I1300" s="189" t="e">
        <v>#N/A</v>
      </c>
      <c r="J1300" s="189" t="e">
        <v>#N/A</v>
      </c>
      <c r="K1300" s="204" t="e">
        <v>#N/A</v>
      </c>
      <c r="L1300" s="204" t="e">
        <v>#N/A</v>
      </c>
      <c r="M1300" s="205" t="e">
        <v>#N/A</v>
      </c>
      <c r="N1300" s="205" t="e">
        <v>#N/A</v>
      </c>
      <c r="O1300" s="205" t="e">
        <v>#N/A</v>
      </c>
      <c r="P1300" s="205" t="e">
        <v>#N/A</v>
      </c>
      <c r="Q1300" s="189" t="e">
        <v>#N/A</v>
      </c>
      <c r="R1300" s="189" t="e">
        <v>#N/A</v>
      </c>
      <c r="S1300" s="205" t="e">
        <v>#N/A</v>
      </c>
      <c r="T1300" s="206"/>
    </row>
    <row r="1301">
      <c r="C1301" s="189" t="e">
        <v>#N/A</v>
      </c>
      <c r="D1301" s="189" t="e">
        <v>#N/A</v>
      </c>
      <c r="E1301" s="189" t="e">
        <v>#N/A</v>
      </c>
      <c r="F1301" s="189" t="e">
        <v>#N/A</v>
      </c>
      <c r="G1301" s="189" t="e">
        <v>#N/A</v>
      </c>
      <c r="H1301" s="189" t="e">
        <v>#N/A</v>
      </c>
      <c r="I1301" s="189" t="e">
        <v>#N/A</v>
      </c>
      <c r="J1301" s="189" t="e">
        <v>#N/A</v>
      </c>
      <c r="K1301" s="204" t="e">
        <v>#N/A</v>
      </c>
      <c r="L1301" s="204" t="e">
        <v>#N/A</v>
      </c>
      <c r="M1301" s="205" t="e">
        <v>#N/A</v>
      </c>
      <c r="N1301" s="205" t="e">
        <v>#N/A</v>
      </c>
      <c r="O1301" s="205" t="e">
        <v>#N/A</v>
      </c>
      <c r="P1301" s="205" t="e">
        <v>#N/A</v>
      </c>
      <c r="Q1301" s="189" t="e">
        <v>#N/A</v>
      </c>
      <c r="R1301" s="189" t="e">
        <v>#N/A</v>
      </c>
      <c r="S1301" s="205" t="e">
        <v>#N/A</v>
      </c>
      <c r="T1301" s="206"/>
    </row>
    <row r="1302">
      <c r="C1302" s="189" t="e">
        <v>#N/A</v>
      </c>
      <c r="D1302" s="189" t="e">
        <v>#N/A</v>
      </c>
      <c r="E1302" s="189" t="e">
        <v>#N/A</v>
      </c>
      <c r="F1302" s="189" t="e">
        <v>#N/A</v>
      </c>
      <c r="G1302" s="189" t="e">
        <v>#N/A</v>
      </c>
      <c r="H1302" s="189" t="e">
        <v>#N/A</v>
      </c>
      <c r="I1302" s="189" t="e">
        <v>#N/A</v>
      </c>
      <c r="J1302" s="189" t="e">
        <v>#N/A</v>
      </c>
      <c r="K1302" s="204" t="e">
        <v>#N/A</v>
      </c>
      <c r="L1302" s="204" t="e">
        <v>#N/A</v>
      </c>
      <c r="M1302" s="205" t="e">
        <v>#N/A</v>
      </c>
      <c r="N1302" s="205" t="e">
        <v>#N/A</v>
      </c>
      <c r="O1302" s="205" t="e">
        <v>#N/A</v>
      </c>
      <c r="P1302" s="205" t="e">
        <v>#N/A</v>
      </c>
      <c r="Q1302" s="189" t="e">
        <v>#N/A</v>
      </c>
      <c r="R1302" s="189" t="e">
        <v>#N/A</v>
      </c>
      <c r="S1302" s="205" t="e">
        <v>#N/A</v>
      </c>
      <c r="T1302" s="206"/>
    </row>
    <row r="1303">
      <c r="C1303" s="189" t="e">
        <v>#N/A</v>
      </c>
      <c r="D1303" s="189" t="e">
        <v>#N/A</v>
      </c>
      <c r="E1303" s="189" t="e">
        <v>#N/A</v>
      </c>
      <c r="F1303" s="189" t="e">
        <v>#N/A</v>
      </c>
      <c r="G1303" s="189" t="e">
        <v>#N/A</v>
      </c>
      <c r="H1303" s="189" t="e">
        <v>#N/A</v>
      </c>
      <c r="I1303" s="189" t="e">
        <v>#N/A</v>
      </c>
      <c r="J1303" s="189" t="e">
        <v>#N/A</v>
      </c>
      <c r="K1303" s="204" t="e">
        <v>#N/A</v>
      </c>
      <c r="L1303" s="204" t="e">
        <v>#N/A</v>
      </c>
      <c r="M1303" s="205" t="e">
        <v>#N/A</v>
      </c>
      <c r="N1303" s="205" t="e">
        <v>#N/A</v>
      </c>
      <c r="O1303" s="205" t="e">
        <v>#N/A</v>
      </c>
      <c r="P1303" s="205" t="e">
        <v>#N/A</v>
      </c>
      <c r="Q1303" s="189" t="e">
        <v>#N/A</v>
      </c>
      <c r="R1303" s="189" t="e">
        <v>#N/A</v>
      </c>
      <c r="S1303" s="205" t="e">
        <v>#N/A</v>
      </c>
      <c r="T1303" s="206"/>
    </row>
    <row r="1304">
      <c r="C1304" s="189" t="e">
        <v>#N/A</v>
      </c>
      <c r="D1304" s="189" t="e">
        <v>#N/A</v>
      </c>
      <c r="E1304" s="189" t="e">
        <v>#N/A</v>
      </c>
      <c r="F1304" s="189" t="e">
        <v>#N/A</v>
      </c>
      <c r="G1304" s="189" t="e">
        <v>#N/A</v>
      </c>
      <c r="H1304" s="189" t="e">
        <v>#N/A</v>
      </c>
      <c r="I1304" s="189" t="e">
        <v>#N/A</v>
      </c>
      <c r="J1304" s="189" t="e">
        <v>#N/A</v>
      </c>
      <c r="K1304" s="204" t="e">
        <v>#N/A</v>
      </c>
      <c r="L1304" s="204" t="e">
        <v>#N/A</v>
      </c>
      <c r="M1304" s="205" t="e">
        <v>#N/A</v>
      </c>
      <c r="N1304" s="205" t="e">
        <v>#N/A</v>
      </c>
      <c r="O1304" s="205" t="e">
        <v>#N/A</v>
      </c>
      <c r="P1304" s="205" t="e">
        <v>#N/A</v>
      </c>
      <c r="Q1304" s="189" t="e">
        <v>#N/A</v>
      </c>
      <c r="R1304" s="189" t="e">
        <v>#N/A</v>
      </c>
      <c r="S1304" s="205" t="e">
        <v>#N/A</v>
      </c>
      <c r="T1304" s="206"/>
    </row>
    <row r="1305">
      <c r="C1305" s="189" t="e">
        <v>#N/A</v>
      </c>
      <c r="D1305" s="189" t="e">
        <v>#N/A</v>
      </c>
      <c r="E1305" s="189" t="e">
        <v>#N/A</v>
      </c>
      <c r="F1305" s="189" t="e">
        <v>#N/A</v>
      </c>
      <c r="G1305" s="189" t="e">
        <v>#N/A</v>
      </c>
      <c r="H1305" s="189" t="e">
        <v>#N/A</v>
      </c>
      <c r="I1305" s="189" t="e">
        <v>#N/A</v>
      </c>
      <c r="J1305" s="189" t="e">
        <v>#N/A</v>
      </c>
      <c r="K1305" s="204" t="e">
        <v>#N/A</v>
      </c>
      <c r="L1305" s="204" t="e">
        <v>#N/A</v>
      </c>
      <c r="M1305" s="205" t="e">
        <v>#N/A</v>
      </c>
      <c r="N1305" s="205" t="e">
        <v>#N/A</v>
      </c>
      <c r="O1305" s="205" t="e">
        <v>#N/A</v>
      </c>
      <c r="P1305" s="205" t="e">
        <v>#N/A</v>
      </c>
      <c r="Q1305" s="189" t="e">
        <v>#N/A</v>
      </c>
      <c r="R1305" s="189" t="e">
        <v>#N/A</v>
      </c>
      <c r="S1305" s="205" t="e">
        <v>#N/A</v>
      </c>
      <c r="T1305" s="206"/>
    </row>
    <row r="1306">
      <c r="C1306" s="189" t="e">
        <v>#N/A</v>
      </c>
      <c r="D1306" s="189" t="e">
        <v>#N/A</v>
      </c>
      <c r="E1306" s="189" t="e">
        <v>#N/A</v>
      </c>
      <c r="F1306" s="189" t="e">
        <v>#N/A</v>
      </c>
      <c r="G1306" s="189" t="e">
        <v>#N/A</v>
      </c>
      <c r="H1306" s="189" t="e">
        <v>#N/A</v>
      </c>
      <c r="I1306" s="189" t="e">
        <v>#N/A</v>
      </c>
      <c r="J1306" s="189" t="e">
        <v>#N/A</v>
      </c>
      <c r="K1306" s="204" t="e">
        <v>#N/A</v>
      </c>
      <c r="L1306" s="204" t="e">
        <v>#N/A</v>
      </c>
      <c r="M1306" s="205" t="e">
        <v>#N/A</v>
      </c>
      <c r="N1306" s="205" t="e">
        <v>#N/A</v>
      </c>
      <c r="O1306" s="205" t="e">
        <v>#N/A</v>
      </c>
      <c r="P1306" s="205" t="e">
        <v>#N/A</v>
      </c>
      <c r="Q1306" s="189" t="e">
        <v>#N/A</v>
      </c>
      <c r="R1306" s="189" t="e">
        <v>#N/A</v>
      </c>
      <c r="S1306" s="205" t="e">
        <v>#N/A</v>
      </c>
      <c r="T1306" s="206"/>
    </row>
    <row r="1307">
      <c r="C1307" s="189" t="e">
        <v>#N/A</v>
      </c>
      <c r="D1307" s="189" t="e">
        <v>#N/A</v>
      </c>
      <c r="E1307" s="189" t="e">
        <v>#N/A</v>
      </c>
      <c r="F1307" s="189" t="e">
        <v>#N/A</v>
      </c>
      <c r="G1307" s="189" t="e">
        <v>#N/A</v>
      </c>
      <c r="H1307" s="189" t="e">
        <v>#N/A</v>
      </c>
      <c r="I1307" s="189" t="e">
        <v>#N/A</v>
      </c>
      <c r="J1307" s="189" t="e">
        <v>#N/A</v>
      </c>
      <c r="K1307" s="204" t="e">
        <v>#N/A</v>
      </c>
      <c r="L1307" s="204" t="e">
        <v>#N/A</v>
      </c>
      <c r="M1307" s="205" t="e">
        <v>#N/A</v>
      </c>
      <c r="N1307" s="205" t="e">
        <v>#N/A</v>
      </c>
      <c r="O1307" s="205" t="e">
        <v>#N/A</v>
      </c>
      <c r="P1307" s="205" t="e">
        <v>#N/A</v>
      </c>
      <c r="Q1307" s="189" t="e">
        <v>#N/A</v>
      </c>
      <c r="R1307" s="189" t="e">
        <v>#N/A</v>
      </c>
      <c r="S1307" s="205" t="e">
        <v>#N/A</v>
      </c>
      <c r="T1307" s="206"/>
    </row>
    <row r="1308">
      <c r="C1308" s="189" t="e">
        <v>#N/A</v>
      </c>
      <c r="D1308" s="189" t="e">
        <v>#N/A</v>
      </c>
      <c r="E1308" s="189" t="e">
        <v>#N/A</v>
      </c>
      <c r="F1308" s="189" t="e">
        <v>#N/A</v>
      </c>
      <c r="G1308" s="189" t="e">
        <v>#N/A</v>
      </c>
      <c r="H1308" s="189" t="e">
        <v>#N/A</v>
      </c>
      <c r="I1308" s="189" t="e">
        <v>#N/A</v>
      </c>
      <c r="J1308" s="189" t="e">
        <v>#N/A</v>
      </c>
      <c r="K1308" s="204" t="e">
        <v>#N/A</v>
      </c>
      <c r="L1308" s="204" t="e">
        <v>#N/A</v>
      </c>
      <c r="M1308" s="205" t="e">
        <v>#N/A</v>
      </c>
      <c r="N1308" s="205" t="e">
        <v>#N/A</v>
      </c>
      <c r="O1308" s="205" t="e">
        <v>#N/A</v>
      </c>
      <c r="P1308" s="205" t="e">
        <v>#N/A</v>
      </c>
      <c r="Q1308" s="189" t="e">
        <v>#N/A</v>
      </c>
      <c r="R1308" s="189" t="e">
        <v>#N/A</v>
      </c>
      <c r="S1308" s="205" t="e">
        <v>#N/A</v>
      </c>
      <c r="T1308" s="206"/>
    </row>
    <row r="1309">
      <c r="C1309" s="189" t="e">
        <v>#N/A</v>
      </c>
      <c r="D1309" s="189" t="e">
        <v>#N/A</v>
      </c>
      <c r="E1309" s="189" t="e">
        <v>#N/A</v>
      </c>
      <c r="F1309" s="189" t="e">
        <v>#N/A</v>
      </c>
      <c r="G1309" s="189" t="e">
        <v>#N/A</v>
      </c>
      <c r="H1309" s="189" t="e">
        <v>#N/A</v>
      </c>
      <c r="I1309" s="189" t="e">
        <v>#N/A</v>
      </c>
      <c r="J1309" s="189" t="e">
        <v>#N/A</v>
      </c>
      <c r="K1309" s="204" t="e">
        <v>#N/A</v>
      </c>
      <c r="L1309" s="204" t="e">
        <v>#N/A</v>
      </c>
      <c r="M1309" s="205" t="e">
        <v>#N/A</v>
      </c>
      <c r="N1309" s="205" t="e">
        <v>#N/A</v>
      </c>
      <c r="O1309" s="205" t="e">
        <v>#N/A</v>
      </c>
      <c r="P1309" s="205" t="e">
        <v>#N/A</v>
      </c>
      <c r="Q1309" s="189" t="e">
        <v>#N/A</v>
      </c>
      <c r="R1309" s="189" t="e">
        <v>#N/A</v>
      </c>
      <c r="S1309" s="205" t="e">
        <v>#N/A</v>
      </c>
      <c r="T1309" s="206"/>
    </row>
    <row r="1310">
      <c r="C1310" s="189" t="e">
        <v>#N/A</v>
      </c>
      <c r="D1310" s="189" t="e">
        <v>#N/A</v>
      </c>
      <c r="E1310" s="189" t="e">
        <v>#N/A</v>
      </c>
      <c r="F1310" s="189" t="e">
        <v>#N/A</v>
      </c>
      <c r="G1310" s="189" t="e">
        <v>#N/A</v>
      </c>
      <c r="H1310" s="189" t="e">
        <v>#N/A</v>
      </c>
      <c r="I1310" s="189" t="e">
        <v>#N/A</v>
      </c>
      <c r="J1310" s="189" t="e">
        <v>#N/A</v>
      </c>
      <c r="K1310" s="204" t="e">
        <v>#N/A</v>
      </c>
      <c r="L1310" s="204" t="e">
        <v>#N/A</v>
      </c>
      <c r="M1310" s="205" t="e">
        <v>#N/A</v>
      </c>
      <c r="N1310" s="205" t="e">
        <v>#N/A</v>
      </c>
      <c r="O1310" s="205" t="e">
        <v>#N/A</v>
      </c>
      <c r="P1310" s="205" t="e">
        <v>#N/A</v>
      </c>
      <c r="Q1310" s="189" t="e">
        <v>#N/A</v>
      </c>
      <c r="R1310" s="189" t="e">
        <v>#N/A</v>
      </c>
      <c r="S1310" s="205" t="e">
        <v>#N/A</v>
      </c>
      <c r="T1310" s="206"/>
    </row>
    <row r="1311">
      <c r="C1311" s="189" t="e">
        <v>#N/A</v>
      </c>
      <c r="D1311" s="189" t="e">
        <v>#N/A</v>
      </c>
      <c r="E1311" s="189" t="e">
        <v>#N/A</v>
      </c>
      <c r="F1311" s="189" t="e">
        <v>#N/A</v>
      </c>
      <c r="G1311" s="189" t="e">
        <v>#N/A</v>
      </c>
      <c r="H1311" s="189" t="e">
        <v>#N/A</v>
      </c>
      <c r="I1311" s="189" t="e">
        <v>#N/A</v>
      </c>
      <c r="J1311" s="189" t="e">
        <v>#N/A</v>
      </c>
      <c r="K1311" s="204" t="e">
        <v>#N/A</v>
      </c>
      <c r="L1311" s="204" t="e">
        <v>#N/A</v>
      </c>
      <c r="M1311" s="205" t="e">
        <v>#N/A</v>
      </c>
      <c r="N1311" s="205" t="e">
        <v>#N/A</v>
      </c>
      <c r="O1311" s="205" t="e">
        <v>#N/A</v>
      </c>
      <c r="P1311" s="205" t="e">
        <v>#N/A</v>
      </c>
      <c r="Q1311" s="189" t="e">
        <v>#N/A</v>
      </c>
      <c r="R1311" s="189" t="e">
        <v>#N/A</v>
      </c>
      <c r="S1311" s="205" t="e">
        <v>#N/A</v>
      </c>
      <c r="T1311" s="206"/>
    </row>
    <row r="1312">
      <c r="C1312" s="189" t="e">
        <v>#N/A</v>
      </c>
      <c r="D1312" s="189" t="e">
        <v>#N/A</v>
      </c>
      <c r="E1312" s="189" t="e">
        <v>#N/A</v>
      </c>
      <c r="F1312" s="189" t="e">
        <v>#N/A</v>
      </c>
      <c r="G1312" s="189" t="e">
        <v>#N/A</v>
      </c>
      <c r="H1312" s="189" t="e">
        <v>#N/A</v>
      </c>
      <c r="I1312" s="189" t="e">
        <v>#N/A</v>
      </c>
      <c r="J1312" s="189" t="e">
        <v>#N/A</v>
      </c>
      <c r="K1312" s="204" t="e">
        <v>#N/A</v>
      </c>
      <c r="L1312" s="204" t="e">
        <v>#N/A</v>
      </c>
      <c r="M1312" s="205" t="e">
        <v>#N/A</v>
      </c>
      <c r="N1312" s="205" t="e">
        <v>#N/A</v>
      </c>
      <c r="O1312" s="205" t="e">
        <v>#N/A</v>
      </c>
      <c r="P1312" s="205" t="e">
        <v>#N/A</v>
      </c>
      <c r="Q1312" s="189" t="e">
        <v>#N/A</v>
      </c>
      <c r="R1312" s="189" t="e">
        <v>#N/A</v>
      </c>
      <c r="S1312" s="205" t="e">
        <v>#N/A</v>
      </c>
      <c r="T1312" s="206"/>
    </row>
    <row r="1313">
      <c r="C1313" s="189" t="e">
        <v>#N/A</v>
      </c>
      <c r="D1313" s="189" t="e">
        <v>#N/A</v>
      </c>
      <c r="E1313" s="189" t="e">
        <v>#N/A</v>
      </c>
      <c r="F1313" s="189" t="e">
        <v>#N/A</v>
      </c>
      <c r="G1313" s="189" t="e">
        <v>#N/A</v>
      </c>
      <c r="H1313" s="189" t="e">
        <v>#N/A</v>
      </c>
      <c r="I1313" s="189" t="e">
        <v>#N/A</v>
      </c>
      <c r="J1313" s="189" t="e">
        <v>#N/A</v>
      </c>
      <c r="K1313" s="204" t="e">
        <v>#N/A</v>
      </c>
      <c r="L1313" s="204" t="e">
        <v>#N/A</v>
      </c>
      <c r="M1313" s="205" t="e">
        <v>#N/A</v>
      </c>
      <c r="N1313" s="205" t="e">
        <v>#N/A</v>
      </c>
      <c r="O1313" s="205" t="e">
        <v>#N/A</v>
      </c>
      <c r="P1313" s="205" t="e">
        <v>#N/A</v>
      </c>
      <c r="Q1313" s="189" t="e">
        <v>#N/A</v>
      </c>
      <c r="R1313" s="189" t="e">
        <v>#N/A</v>
      </c>
      <c r="S1313" s="205" t="e">
        <v>#N/A</v>
      </c>
      <c r="T1313" s="206"/>
    </row>
    <row r="1314">
      <c r="C1314" s="189" t="e">
        <v>#N/A</v>
      </c>
      <c r="D1314" s="189" t="e">
        <v>#N/A</v>
      </c>
      <c r="E1314" s="189" t="e">
        <v>#N/A</v>
      </c>
      <c r="F1314" s="189" t="e">
        <v>#N/A</v>
      </c>
      <c r="G1314" s="189" t="e">
        <v>#N/A</v>
      </c>
      <c r="H1314" s="189" t="e">
        <v>#N/A</v>
      </c>
      <c r="I1314" s="189" t="e">
        <v>#N/A</v>
      </c>
      <c r="J1314" s="189" t="e">
        <v>#N/A</v>
      </c>
      <c r="K1314" s="204" t="e">
        <v>#N/A</v>
      </c>
      <c r="L1314" s="204" t="e">
        <v>#N/A</v>
      </c>
      <c r="M1314" s="205" t="e">
        <v>#N/A</v>
      </c>
      <c r="N1314" s="205" t="e">
        <v>#N/A</v>
      </c>
      <c r="O1314" s="205" t="e">
        <v>#N/A</v>
      </c>
      <c r="P1314" s="205" t="e">
        <v>#N/A</v>
      </c>
      <c r="Q1314" s="189" t="e">
        <v>#N/A</v>
      </c>
      <c r="R1314" s="189" t="e">
        <v>#N/A</v>
      </c>
      <c r="S1314" s="205" t="e">
        <v>#N/A</v>
      </c>
      <c r="T1314" s="206"/>
    </row>
    <row r="1315">
      <c r="C1315" s="189" t="e">
        <v>#N/A</v>
      </c>
      <c r="D1315" s="189" t="e">
        <v>#N/A</v>
      </c>
      <c r="E1315" s="189" t="e">
        <v>#N/A</v>
      </c>
      <c r="F1315" s="189" t="e">
        <v>#N/A</v>
      </c>
      <c r="G1315" s="189" t="e">
        <v>#N/A</v>
      </c>
      <c r="H1315" s="189" t="e">
        <v>#N/A</v>
      </c>
      <c r="I1315" s="189" t="e">
        <v>#N/A</v>
      </c>
      <c r="J1315" s="189" t="e">
        <v>#N/A</v>
      </c>
      <c r="K1315" s="204" t="e">
        <v>#N/A</v>
      </c>
      <c r="L1315" s="204" t="e">
        <v>#N/A</v>
      </c>
      <c r="M1315" s="205" t="e">
        <v>#N/A</v>
      </c>
      <c r="N1315" s="205" t="e">
        <v>#N/A</v>
      </c>
      <c r="O1315" s="205" t="e">
        <v>#N/A</v>
      </c>
      <c r="P1315" s="205" t="e">
        <v>#N/A</v>
      </c>
      <c r="Q1315" s="189" t="e">
        <v>#N/A</v>
      </c>
      <c r="R1315" s="189" t="e">
        <v>#N/A</v>
      </c>
      <c r="S1315" s="205" t="e">
        <v>#N/A</v>
      </c>
      <c r="T1315" s="206"/>
    </row>
    <row r="1316">
      <c r="C1316" s="189" t="e">
        <v>#N/A</v>
      </c>
      <c r="D1316" s="189" t="e">
        <v>#N/A</v>
      </c>
      <c r="E1316" s="189" t="e">
        <v>#N/A</v>
      </c>
      <c r="F1316" s="189" t="e">
        <v>#N/A</v>
      </c>
      <c r="G1316" s="189" t="e">
        <v>#N/A</v>
      </c>
      <c r="H1316" s="189" t="e">
        <v>#N/A</v>
      </c>
      <c r="I1316" s="189" t="e">
        <v>#N/A</v>
      </c>
      <c r="J1316" s="189" t="e">
        <v>#N/A</v>
      </c>
      <c r="K1316" s="204" t="e">
        <v>#N/A</v>
      </c>
      <c r="L1316" s="204" t="e">
        <v>#N/A</v>
      </c>
      <c r="M1316" s="205" t="e">
        <v>#N/A</v>
      </c>
      <c r="N1316" s="205" t="e">
        <v>#N/A</v>
      </c>
      <c r="O1316" s="205" t="e">
        <v>#N/A</v>
      </c>
      <c r="P1316" s="205" t="e">
        <v>#N/A</v>
      </c>
      <c r="Q1316" s="189" t="e">
        <v>#N/A</v>
      </c>
      <c r="R1316" s="189" t="e">
        <v>#N/A</v>
      </c>
      <c r="S1316" s="205" t="e">
        <v>#N/A</v>
      </c>
      <c r="T1316" s="206"/>
    </row>
    <row r="1317">
      <c r="C1317" s="189" t="e">
        <v>#N/A</v>
      </c>
      <c r="D1317" s="189" t="e">
        <v>#N/A</v>
      </c>
      <c r="E1317" s="189" t="e">
        <v>#N/A</v>
      </c>
      <c r="F1317" s="189" t="e">
        <v>#N/A</v>
      </c>
      <c r="G1317" s="189" t="e">
        <v>#N/A</v>
      </c>
      <c r="H1317" s="189" t="e">
        <v>#N/A</v>
      </c>
      <c r="I1317" s="189" t="e">
        <v>#N/A</v>
      </c>
      <c r="J1317" s="189" t="e">
        <v>#N/A</v>
      </c>
      <c r="K1317" s="204" t="e">
        <v>#N/A</v>
      </c>
      <c r="L1317" s="204" t="e">
        <v>#N/A</v>
      </c>
      <c r="M1317" s="205" t="e">
        <v>#N/A</v>
      </c>
      <c r="N1317" s="205" t="e">
        <v>#N/A</v>
      </c>
      <c r="O1317" s="205" t="e">
        <v>#N/A</v>
      </c>
      <c r="P1317" s="205" t="e">
        <v>#N/A</v>
      </c>
      <c r="Q1317" s="189" t="e">
        <v>#N/A</v>
      </c>
      <c r="R1317" s="189" t="e">
        <v>#N/A</v>
      </c>
      <c r="S1317" s="205" t="e">
        <v>#N/A</v>
      </c>
      <c r="T1317" s="206"/>
    </row>
    <row r="1318">
      <c r="C1318" s="189" t="e">
        <v>#N/A</v>
      </c>
      <c r="D1318" s="189" t="e">
        <v>#N/A</v>
      </c>
      <c r="E1318" s="189" t="e">
        <v>#N/A</v>
      </c>
      <c r="F1318" s="189" t="e">
        <v>#N/A</v>
      </c>
      <c r="G1318" s="189" t="e">
        <v>#N/A</v>
      </c>
      <c r="H1318" s="189" t="e">
        <v>#N/A</v>
      </c>
      <c r="I1318" s="189" t="e">
        <v>#N/A</v>
      </c>
      <c r="J1318" s="189" t="e">
        <v>#N/A</v>
      </c>
      <c r="K1318" s="204" t="e">
        <v>#N/A</v>
      </c>
      <c r="L1318" s="204" t="e">
        <v>#N/A</v>
      </c>
      <c r="M1318" s="205" t="e">
        <v>#N/A</v>
      </c>
      <c r="N1318" s="205" t="e">
        <v>#N/A</v>
      </c>
      <c r="O1318" s="205" t="e">
        <v>#N/A</v>
      </c>
      <c r="P1318" s="205" t="e">
        <v>#N/A</v>
      </c>
      <c r="Q1318" s="189" t="e">
        <v>#N/A</v>
      </c>
      <c r="R1318" s="189" t="e">
        <v>#N/A</v>
      </c>
      <c r="S1318" s="205" t="e">
        <v>#N/A</v>
      </c>
      <c r="T1318" s="206"/>
    </row>
    <row r="1319">
      <c r="C1319" s="189" t="e">
        <v>#N/A</v>
      </c>
      <c r="D1319" s="189" t="e">
        <v>#N/A</v>
      </c>
      <c r="E1319" s="189" t="e">
        <v>#N/A</v>
      </c>
      <c r="F1319" s="189" t="e">
        <v>#N/A</v>
      </c>
      <c r="G1319" s="189" t="e">
        <v>#N/A</v>
      </c>
      <c r="H1319" s="189" t="e">
        <v>#N/A</v>
      </c>
      <c r="I1319" s="189" t="e">
        <v>#N/A</v>
      </c>
      <c r="J1319" s="189" t="e">
        <v>#N/A</v>
      </c>
      <c r="K1319" s="204" t="e">
        <v>#N/A</v>
      </c>
      <c r="L1319" s="204" t="e">
        <v>#N/A</v>
      </c>
      <c r="M1319" s="205" t="e">
        <v>#N/A</v>
      </c>
      <c r="N1319" s="205" t="e">
        <v>#N/A</v>
      </c>
      <c r="O1319" s="205" t="e">
        <v>#N/A</v>
      </c>
      <c r="P1319" s="205" t="e">
        <v>#N/A</v>
      </c>
      <c r="Q1319" s="189" t="e">
        <v>#N/A</v>
      </c>
      <c r="R1319" s="189" t="e">
        <v>#N/A</v>
      </c>
      <c r="S1319" s="205" t="e">
        <v>#N/A</v>
      </c>
      <c r="T1319" s="206"/>
    </row>
    <row r="1320">
      <c r="C1320" s="189" t="e">
        <v>#N/A</v>
      </c>
      <c r="D1320" s="189" t="e">
        <v>#N/A</v>
      </c>
      <c r="E1320" s="189" t="e">
        <v>#N/A</v>
      </c>
      <c r="F1320" s="189" t="e">
        <v>#N/A</v>
      </c>
      <c r="G1320" s="189" t="e">
        <v>#N/A</v>
      </c>
      <c r="H1320" s="189" t="e">
        <v>#N/A</v>
      </c>
      <c r="I1320" s="189" t="e">
        <v>#N/A</v>
      </c>
      <c r="J1320" s="189" t="e">
        <v>#N/A</v>
      </c>
      <c r="K1320" s="204" t="e">
        <v>#N/A</v>
      </c>
      <c r="L1320" s="204" t="e">
        <v>#N/A</v>
      </c>
      <c r="M1320" s="205" t="e">
        <v>#N/A</v>
      </c>
      <c r="N1320" s="205" t="e">
        <v>#N/A</v>
      </c>
      <c r="O1320" s="205" t="e">
        <v>#N/A</v>
      </c>
      <c r="P1320" s="205" t="e">
        <v>#N/A</v>
      </c>
      <c r="Q1320" s="189" t="e">
        <v>#N/A</v>
      </c>
      <c r="R1320" s="189" t="e">
        <v>#N/A</v>
      </c>
      <c r="S1320" s="205" t="e">
        <v>#N/A</v>
      </c>
      <c r="T1320" s="206"/>
    </row>
    <row r="1321">
      <c r="C1321" s="189" t="e">
        <v>#N/A</v>
      </c>
      <c r="D1321" s="189" t="e">
        <v>#N/A</v>
      </c>
      <c r="E1321" s="189" t="e">
        <v>#N/A</v>
      </c>
      <c r="F1321" s="189" t="e">
        <v>#N/A</v>
      </c>
      <c r="G1321" s="189" t="e">
        <v>#N/A</v>
      </c>
      <c r="H1321" s="189" t="e">
        <v>#N/A</v>
      </c>
      <c r="I1321" s="189" t="e">
        <v>#N/A</v>
      </c>
      <c r="J1321" s="189" t="e">
        <v>#N/A</v>
      </c>
      <c r="K1321" s="204" t="e">
        <v>#N/A</v>
      </c>
      <c r="L1321" s="204" t="e">
        <v>#N/A</v>
      </c>
      <c r="M1321" s="205" t="e">
        <v>#N/A</v>
      </c>
      <c r="N1321" s="205" t="e">
        <v>#N/A</v>
      </c>
      <c r="O1321" s="205" t="e">
        <v>#N/A</v>
      </c>
      <c r="P1321" s="205" t="e">
        <v>#N/A</v>
      </c>
      <c r="Q1321" s="189" t="e">
        <v>#N/A</v>
      </c>
      <c r="R1321" s="189" t="e">
        <v>#N/A</v>
      </c>
      <c r="S1321" s="205" t="e">
        <v>#N/A</v>
      </c>
      <c r="T1321" s="206"/>
    </row>
    <row r="1322">
      <c r="C1322" s="189" t="e">
        <v>#N/A</v>
      </c>
      <c r="D1322" s="189" t="e">
        <v>#N/A</v>
      </c>
      <c r="E1322" s="189" t="e">
        <v>#N/A</v>
      </c>
      <c r="F1322" s="189" t="e">
        <v>#N/A</v>
      </c>
      <c r="G1322" s="189" t="e">
        <v>#N/A</v>
      </c>
      <c r="H1322" s="189" t="e">
        <v>#N/A</v>
      </c>
      <c r="I1322" s="189" t="e">
        <v>#N/A</v>
      </c>
      <c r="J1322" s="189" t="e">
        <v>#N/A</v>
      </c>
      <c r="K1322" s="204" t="e">
        <v>#N/A</v>
      </c>
      <c r="L1322" s="204" t="e">
        <v>#N/A</v>
      </c>
      <c r="M1322" s="205" t="e">
        <v>#N/A</v>
      </c>
      <c r="N1322" s="205" t="e">
        <v>#N/A</v>
      </c>
      <c r="O1322" s="205" t="e">
        <v>#N/A</v>
      </c>
      <c r="P1322" s="205" t="e">
        <v>#N/A</v>
      </c>
      <c r="Q1322" s="189" t="e">
        <v>#N/A</v>
      </c>
      <c r="R1322" s="189" t="e">
        <v>#N/A</v>
      </c>
      <c r="S1322" s="205" t="e">
        <v>#N/A</v>
      </c>
      <c r="T1322" s="206"/>
    </row>
    <row r="1323">
      <c r="C1323" s="189" t="e">
        <v>#N/A</v>
      </c>
      <c r="D1323" s="189" t="e">
        <v>#N/A</v>
      </c>
      <c r="E1323" s="189" t="e">
        <v>#N/A</v>
      </c>
      <c r="F1323" s="189" t="e">
        <v>#N/A</v>
      </c>
      <c r="G1323" s="189" t="e">
        <v>#N/A</v>
      </c>
      <c r="H1323" s="189" t="e">
        <v>#N/A</v>
      </c>
      <c r="I1323" s="189" t="e">
        <v>#N/A</v>
      </c>
      <c r="J1323" s="189" t="e">
        <v>#N/A</v>
      </c>
      <c r="K1323" s="204" t="e">
        <v>#N/A</v>
      </c>
      <c r="L1323" s="204" t="e">
        <v>#N/A</v>
      </c>
      <c r="M1323" s="205" t="e">
        <v>#N/A</v>
      </c>
      <c r="N1323" s="205" t="e">
        <v>#N/A</v>
      </c>
      <c r="O1323" s="205" t="e">
        <v>#N/A</v>
      </c>
      <c r="P1323" s="205" t="e">
        <v>#N/A</v>
      </c>
      <c r="Q1323" s="189" t="e">
        <v>#N/A</v>
      </c>
      <c r="R1323" s="189" t="e">
        <v>#N/A</v>
      </c>
      <c r="S1323" s="205" t="e">
        <v>#N/A</v>
      </c>
      <c r="T1323" s="206"/>
    </row>
    <row r="1324">
      <c r="C1324" s="189" t="e">
        <v>#N/A</v>
      </c>
      <c r="D1324" s="189" t="e">
        <v>#N/A</v>
      </c>
      <c r="E1324" s="189" t="e">
        <v>#N/A</v>
      </c>
      <c r="F1324" s="189" t="e">
        <v>#N/A</v>
      </c>
      <c r="G1324" s="189" t="e">
        <v>#N/A</v>
      </c>
      <c r="H1324" s="189" t="e">
        <v>#N/A</v>
      </c>
      <c r="I1324" s="189" t="e">
        <v>#N/A</v>
      </c>
      <c r="J1324" s="189" t="e">
        <v>#N/A</v>
      </c>
      <c r="K1324" s="204" t="e">
        <v>#N/A</v>
      </c>
      <c r="L1324" s="204" t="e">
        <v>#N/A</v>
      </c>
      <c r="M1324" s="205" t="e">
        <v>#N/A</v>
      </c>
      <c r="N1324" s="205" t="e">
        <v>#N/A</v>
      </c>
      <c r="O1324" s="205" t="e">
        <v>#N/A</v>
      </c>
      <c r="P1324" s="205" t="e">
        <v>#N/A</v>
      </c>
      <c r="Q1324" s="189" t="e">
        <v>#N/A</v>
      </c>
      <c r="R1324" s="189" t="e">
        <v>#N/A</v>
      </c>
      <c r="S1324" s="205" t="e">
        <v>#N/A</v>
      </c>
      <c r="T1324" s="206"/>
    </row>
    <row r="1325">
      <c r="C1325" s="189" t="e">
        <v>#N/A</v>
      </c>
      <c r="D1325" s="189" t="e">
        <v>#N/A</v>
      </c>
      <c r="E1325" s="189" t="e">
        <v>#N/A</v>
      </c>
      <c r="F1325" s="189" t="e">
        <v>#N/A</v>
      </c>
      <c r="G1325" s="189" t="e">
        <v>#N/A</v>
      </c>
      <c r="H1325" s="189" t="e">
        <v>#N/A</v>
      </c>
      <c r="I1325" s="189" t="e">
        <v>#N/A</v>
      </c>
      <c r="J1325" s="189" t="e">
        <v>#N/A</v>
      </c>
      <c r="K1325" s="204" t="e">
        <v>#N/A</v>
      </c>
      <c r="L1325" s="204" t="e">
        <v>#N/A</v>
      </c>
      <c r="M1325" s="205" t="e">
        <v>#N/A</v>
      </c>
      <c r="N1325" s="205" t="e">
        <v>#N/A</v>
      </c>
      <c r="O1325" s="205" t="e">
        <v>#N/A</v>
      </c>
      <c r="P1325" s="205" t="e">
        <v>#N/A</v>
      </c>
      <c r="Q1325" s="189" t="e">
        <v>#N/A</v>
      </c>
      <c r="R1325" s="189" t="e">
        <v>#N/A</v>
      </c>
      <c r="S1325" s="205" t="e">
        <v>#N/A</v>
      </c>
      <c r="T1325" s="206"/>
    </row>
    <row r="1326">
      <c r="C1326" s="189" t="e">
        <v>#N/A</v>
      </c>
      <c r="D1326" s="189" t="e">
        <v>#N/A</v>
      </c>
      <c r="E1326" s="189" t="e">
        <v>#N/A</v>
      </c>
      <c r="F1326" s="189" t="e">
        <v>#N/A</v>
      </c>
      <c r="G1326" s="189" t="e">
        <v>#N/A</v>
      </c>
      <c r="H1326" s="189" t="e">
        <v>#N/A</v>
      </c>
      <c r="I1326" s="189" t="e">
        <v>#N/A</v>
      </c>
      <c r="J1326" s="189" t="e">
        <v>#N/A</v>
      </c>
      <c r="K1326" s="204" t="e">
        <v>#N/A</v>
      </c>
      <c r="L1326" s="204" t="e">
        <v>#N/A</v>
      </c>
      <c r="M1326" s="205" t="e">
        <v>#N/A</v>
      </c>
      <c r="N1326" s="205" t="e">
        <v>#N/A</v>
      </c>
      <c r="O1326" s="205" t="e">
        <v>#N/A</v>
      </c>
      <c r="P1326" s="205" t="e">
        <v>#N/A</v>
      </c>
      <c r="Q1326" s="189" t="e">
        <v>#N/A</v>
      </c>
      <c r="R1326" s="189" t="e">
        <v>#N/A</v>
      </c>
      <c r="S1326" s="205" t="e">
        <v>#N/A</v>
      </c>
      <c r="T1326" s="206"/>
    </row>
    <row r="1327">
      <c r="C1327" s="189" t="e">
        <v>#N/A</v>
      </c>
      <c r="D1327" s="189" t="e">
        <v>#N/A</v>
      </c>
      <c r="E1327" s="189" t="e">
        <v>#N/A</v>
      </c>
      <c r="F1327" s="189" t="e">
        <v>#N/A</v>
      </c>
      <c r="G1327" s="189" t="e">
        <v>#N/A</v>
      </c>
      <c r="H1327" s="189" t="e">
        <v>#N/A</v>
      </c>
      <c r="I1327" s="189" t="e">
        <v>#N/A</v>
      </c>
      <c r="J1327" s="189" t="e">
        <v>#N/A</v>
      </c>
      <c r="K1327" s="204" t="e">
        <v>#N/A</v>
      </c>
      <c r="L1327" s="204" t="e">
        <v>#N/A</v>
      </c>
      <c r="M1327" s="205" t="e">
        <v>#N/A</v>
      </c>
      <c r="N1327" s="205" t="e">
        <v>#N/A</v>
      </c>
      <c r="O1327" s="205" t="e">
        <v>#N/A</v>
      </c>
      <c r="P1327" s="205" t="e">
        <v>#N/A</v>
      </c>
      <c r="Q1327" s="189" t="e">
        <v>#N/A</v>
      </c>
      <c r="R1327" s="189" t="e">
        <v>#N/A</v>
      </c>
      <c r="S1327" s="205" t="e">
        <v>#N/A</v>
      </c>
      <c r="T1327" s="206"/>
    </row>
    <row r="1328">
      <c r="C1328" s="189" t="e">
        <v>#N/A</v>
      </c>
      <c r="D1328" s="189" t="e">
        <v>#N/A</v>
      </c>
      <c r="E1328" s="189" t="e">
        <v>#N/A</v>
      </c>
      <c r="F1328" s="189" t="e">
        <v>#N/A</v>
      </c>
      <c r="G1328" s="189" t="e">
        <v>#N/A</v>
      </c>
      <c r="H1328" s="189" t="e">
        <v>#N/A</v>
      </c>
      <c r="I1328" s="189" t="e">
        <v>#N/A</v>
      </c>
      <c r="J1328" s="189" t="e">
        <v>#N/A</v>
      </c>
      <c r="K1328" s="204" t="e">
        <v>#N/A</v>
      </c>
      <c r="L1328" s="204" t="e">
        <v>#N/A</v>
      </c>
      <c r="M1328" s="205" t="e">
        <v>#N/A</v>
      </c>
      <c r="N1328" s="205" t="e">
        <v>#N/A</v>
      </c>
      <c r="O1328" s="205" t="e">
        <v>#N/A</v>
      </c>
      <c r="P1328" s="205" t="e">
        <v>#N/A</v>
      </c>
      <c r="Q1328" s="189" t="e">
        <v>#N/A</v>
      </c>
      <c r="R1328" s="189" t="e">
        <v>#N/A</v>
      </c>
      <c r="S1328" s="205" t="e">
        <v>#N/A</v>
      </c>
      <c r="T1328" s="206"/>
    </row>
    <row r="1329">
      <c r="C1329" s="189" t="e">
        <v>#N/A</v>
      </c>
      <c r="D1329" s="189" t="e">
        <v>#N/A</v>
      </c>
      <c r="E1329" s="189" t="e">
        <v>#N/A</v>
      </c>
      <c r="F1329" s="189" t="e">
        <v>#N/A</v>
      </c>
      <c r="G1329" s="189" t="e">
        <v>#N/A</v>
      </c>
      <c r="H1329" s="189" t="e">
        <v>#N/A</v>
      </c>
      <c r="I1329" s="189" t="e">
        <v>#N/A</v>
      </c>
      <c r="J1329" s="189" t="e">
        <v>#N/A</v>
      </c>
      <c r="K1329" s="204" t="e">
        <v>#N/A</v>
      </c>
      <c r="L1329" s="204" t="e">
        <v>#N/A</v>
      </c>
      <c r="M1329" s="205" t="e">
        <v>#N/A</v>
      </c>
      <c r="N1329" s="205" t="e">
        <v>#N/A</v>
      </c>
      <c r="O1329" s="205" t="e">
        <v>#N/A</v>
      </c>
      <c r="P1329" s="205" t="e">
        <v>#N/A</v>
      </c>
      <c r="Q1329" s="189" t="e">
        <v>#N/A</v>
      </c>
      <c r="R1329" s="189" t="e">
        <v>#N/A</v>
      </c>
      <c r="S1329" s="205" t="e">
        <v>#N/A</v>
      </c>
      <c r="T1329" s="206"/>
    </row>
    <row r="1330">
      <c r="C1330" s="189" t="e">
        <v>#N/A</v>
      </c>
      <c r="D1330" s="189" t="e">
        <v>#N/A</v>
      </c>
      <c r="E1330" s="189" t="e">
        <v>#N/A</v>
      </c>
      <c r="F1330" s="189" t="e">
        <v>#N/A</v>
      </c>
      <c r="G1330" s="189" t="e">
        <v>#N/A</v>
      </c>
      <c r="H1330" s="189" t="e">
        <v>#N/A</v>
      </c>
      <c r="I1330" s="189" t="e">
        <v>#N/A</v>
      </c>
      <c r="J1330" s="189" t="e">
        <v>#N/A</v>
      </c>
      <c r="K1330" s="204" t="e">
        <v>#N/A</v>
      </c>
      <c r="L1330" s="204" t="e">
        <v>#N/A</v>
      </c>
      <c r="M1330" s="205" t="e">
        <v>#N/A</v>
      </c>
      <c r="N1330" s="205" t="e">
        <v>#N/A</v>
      </c>
      <c r="O1330" s="205" t="e">
        <v>#N/A</v>
      </c>
      <c r="P1330" s="205" t="e">
        <v>#N/A</v>
      </c>
      <c r="Q1330" s="189" t="e">
        <v>#N/A</v>
      </c>
      <c r="R1330" s="189" t="e">
        <v>#N/A</v>
      </c>
      <c r="S1330" s="205" t="e">
        <v>#N/A</v>
      </c>
      <c r="T1330" s="206"/>
    </row>
    <row r="1331">
      <c r="C1331" s="189" t="e">
        <v>#N/A</v>
      </c>
      <c r="D1331" s="189" t="e">
        <v>#N/A</v>
      </c>
      <c r="E1331" s="189" t="e">
        <v>#N/A</v>
      </c>
      <c r="F1331" s="189" t="e">
        <v>#N/A</v>
      </c>
      <c r="G1331" s="189" t="e">
        <v>#N/A</v>
      </c>
      <c r="H1331" s="189" t="e">
        <v>#N/A</v>
      </c>
      <c r="I1331" s="189" t="e">
        <v>#N/A</v>
      </c>
      <c r="J1331" s="189" t="e">
        <v>#N/A</v>
      </c>
      <c r="K1331" s="204" t="e">
        <v>#N/A</v>
      </c>
      <c r="L1331" s="204" t="e">
        <v>#N/A</v>
      </c>
      <c r="M1331" s="205" t="e">
        <v>#N/A</v>
      </c>
      <c r="N1331" s="205" t="e">
        <v>#N/A</v>
      </c>
      <c r="O1331" s="205" t="e">
        <v>#N/A</v>
      </c>
      <c r="P1331" s="205" t="e">
        <v>#N/A</v>
      </c>
      <c r="Q1331" s="189" t="e">
        <v>#N/A</v>
      </c>
      <c r="R1331" s="189" t="e">
        <v>#N/A</v>
      </c>
      <c r="S1331" s="205" t="e">
        <v>#N/A</v>
      </c>
      <c r="T1331" s="206"/>
    </row>
    <row r="1332">
      <c r="C1332" s="189" t="e">
        <v>#N/A</v>
      </c>
      <c r="D1332" s="189" t="e">
        <v>#N/A</v>
      </c>
      <c r="E1332" s="189" t="e">
        <v>#N/A</v>
      </c>
      <c r="F1332" s="189" t="e">
        <v>#N/A</v>
      </c>
      <c r="G1332" s="189" t="e">
        <v>#N/A</v>
      </c>
      <c r="H1332" s="189" t="e">
        <v>#N/A</v>
      </c>
      <c r="I1332" s="189" t="e">
        <v>#N/A</v>
      </c>
      <c r="J1332" s="189" t="e">
        <v>#N/A</v>
      </c>
      <c r="K1332" s="204" t="e">
        <v>#N/A</v>
      </c>
      <c r="L1332" s="204" t="e">
        <v>#N/A</v>
      </c>
      <c r="M1332" s="205" t="e">
        <v>#N/A</v>
      </c>
      <c r="N1332" s="205" t="e">
        <v>#N/A</v>
      </c>
      <c r="O1332" s="205" t="e">
        <v>#N/A</v>
      </c>
      <c r="P1332" s="205" t="e">
        <v>#N/A</v>
      </c>
      <c r="Q1332" s="189" t="e">
        <v>#N/A</v>
      </c>
      <c r="R1332" s="189" t="e">
        <v>#N/A</v>
      </c>
      <c r="S1332" s="205" t="e">
        <v>#N/A</v>
      </c>
      <c r="T1332" s="206"/>
    </row>
    <row r="1333">
      <c r="C1333" s="189" t="e">
        <v>#N/A</v>
      </c>
      <c r="D1333" s="189" t="e">
        <v>#N/A</v>
      </c>
      <c r="E1333" s="189" t="e">
        <v>#N/A</v>
      </c>
      <c r="F1333" s="189" t="e">
        <v>#N/A</v>
      </c>
      <c r="G1333" s="189" t="e">
        <v>#N/A</v>
      </c>
      <c r="H1333" s="189" t="e">
        <v>#N/A</v>
      </c>
      <c r="I1333" s="189" t="e">
        <v>#N/A</v>
      </c>
      <c r="J1333" s="189" t="e">
        <v>#N/A</v>
      </c>
      <c r="K1333" s="204" t="e">
        <v>#N/A</v>
      </c>
      <c r="L1333" s="204" t="e">
        <v>#N/A</v>
      </c>
      <c r="M1333" s="205" t="e">
        <v>#N/A</v>
      </c>
      <c r="N1333" s="205" t="e">
        <v>#N/A</v>
      </c>
      <c r="O1333" s="205" t="e">
        <v>#N/A</v>
      </c>
      <c r="P1333" s="205" t="e">
        <v>#N/A</v>
      </c>
      <c r="Q1333" s="189" t="e">
        <v>#N/A</v>
      </c>
      <c r="R1333" s="189" t="e">
        <v>#N/A</v>
      </c>
      <c r="S1333" s="205" t="e">
        <v>#N/A</v>
      </c>
      <c r="T1333" s="206"/>
    </row>
    <row r="1334">
      <c r="C1334" s="189" t="e">
        <v>#N/A</v>
      </c>
      <c r="D1334" s="189" t="e">
        <v>#N/A</v>
      </c>
      <c r="E1334" s="189" t="e">
        <v>#N/A</v>
      </c>
      <c r="F1334" s="189" t="e">
        <v>#N/A</v>
      </c>
      <c r="G1334" s="189" t="e">
        <v>#N/A</v>
      </c>
      <c r="H1334" s="189" t="e">
        <v>#N/A</v>
      </c>
      <c r="I1334" s="189" t="e">
        <v>#N/A</v>
      </c>
      <c r="J1334" s="189" t="e">
        <v>#N/A</v>
      </c>
      <c r="K1334" s="204" t="e">
        <v>#N/A</v>
      </c>
      <c r="L1334" s="204" t="e">
        <v>#N/A</v>
      </c>
      <c r="M1334" s="205" t="e">
        <v>#N/A</v>
      </c>
      <c r="N1334" s="205" t="e">
        <v>#N/A</v>
      </c>
      <c r="O1334" s="205" t="e">
        <v>#N/A</v>
      </c>
      <c r="P1334" s="205" t="e">
        <v>#N/A</v>
      </c>
      <c r="Q1334" s="189" t="e">
        <v>#N/A</v>
      </c>
      <c r="R1334" s="189" t="e">
        <v>#N/A</v>
      </c>
      <c r="S1334" s="205" t="e">
        <v>#N/A</v>
      </c>
      <c r="T1334" s="206"/>
    </row>
    <row r="1335">
      <c r="C1335" s="189" t="e">
        <v>#N/A</v>
      </c>
      <c r="D1335" s="189" t="e">
        <v>#N/A</v>
      </c>
      <c r="E1335" s="189" t="e">
        <v>#N/A</v>
      </c>
      <c r="F1335" s="189" t="e">
        <v>#N/A</v>
      </c>
      <c r="G1335" s="189" t="e">
        <v>#N/A</v>
      </c>
      <c r="H1335" s="189" t="e">
        <v>#N/A</v>
      </c>
      <c r="I1335" s="189" t="e">
        <v>#N/A</v>
      </c>
      <c r="J1335" s="189" t="e">
        <v>#N/A</v>
      </c>
      <c r="K1335" s="204" t="e">
        <v>#N/A</v>
      </c>
      <c r="L1335" s="204" t="e">
        <v>#N/A</v>
      </c>
      <c r="M1335" s="205" t="e">
        <v>#N/A</v>
      </c>
      <c r="N1335" s="205" t="e">
        <v>#N/A</v>
      </c>
      <c r="O1335" s="205" t="e">
        <v>#N/A</v>
      </c>
      <c r="P1335" s="205" t="e">
        <v>#N/A</v>
      </c>
      <c r="Q1335" s="189" t="e">
        <v>#N/A</v>
      </c>
      <c r="R1335" s="189" t="e">
        <v>#N/A</v>
      </c>
      <c r="S1335" s="205" t="e">
        <v>#N/A</v>
      </c>
      <c r="T1335" s="206"/>
    </row>
    <row r="1336">
      <c r="C1336" s="189" t="e">
        <v>#N/A</v>
      </c>
      <c r="D1336" s="189" t="e">
        <v>#N/A</v>
      </c>
      <c r="E1336" s="189" t="e">
        <v>#N/A</v>
      </c>
      <c r="F1336" s="189" t="e">
        <v>#N/A</v>
      </c>
      <c r="G1336" s="189" t="e">
        <v>#N/A</v>
      </c>
      <c r="H1336" s="189" t="e">
        <v>#N/A</v>
      </c>
      <c r="I1336" s="189" t="e">
        <v>#N/A</v>
      </c>
      <c r="J1336" s="189" t="e">
        <v>#N/A</v>
      </c>
      <c r="K1336" s="204" t="e">
        <v>#N/A</v>
      </c>
      <c r="L1336" s="204" t="e">
        <v>#N/A</v>
      </c>
      <c r="M1336" s="205" t="e">
        <v>#N/A</v>
      </c>
      <c r="N1336" s="205" t="e">
        <v>#N/A</v>
      </c>
      <c r="O1336" s="205" t="e">
        <v>#N/A</v>
      </c>
      <c r="P1336" s="205" t="e">
        <v>#N/A</v>
      </c>
      <c r="Q1336" s="189" t="e">
        <v>#N/A</v>
      </c>
      <c r="R1336" s="189" t="e">
        <v>#N/A</v>
      </c>
      <c r="S1336" s="205" t="e">
        <v>#N/A</v>
      </c>
      <c r="T1336" s="206"/>
    </row>
    <row r="1337">
      <c r="C1337" s="189" t="e">
        <v>#N/A</v>
      </c>
      <c r="D1337" s="189" t="e">
        <v>#N/A</v>
      </c>
      <c r="E1337" s="189" t="e">
        <v>#N/A</v>
      </c>
      <c r="F1337" s="189" t="e">
        <v>#N/A</v>
      </c>
      <c r="G1337" s="189" t="e">
        <v>#N/A</v>
      </c>
      <c r="H1337" s="189" t="e">
        <v>#N/A</v>
      </c>
      <c r="I1337" s="189" t="e">
        <v>#N/A</v>
      </c>
      <c r="J1337" s="189" t="e">
        <v>#N/A</v>
      </c>
      <c r="K1337" s="204" t="e">
        <v>#N/A</v>
      </c>
      <c r="L1337" s="204" t="e">
        <v>#N/A</v>
      </c>
      <c r="M1337" s="205" t="e">
        <v>#N/A</v>
      </c>
      <c r="N1337" s="205" t="e">
        <v>#N/A</v>
      </c>
      <c r="O1337" s="205" t="e">
        <v>#N/A</v>
      </c>
      <c r="P1337" s="205" t="e">
        <v>#N/A</v>
      </c>
      <c r="Q1337" s="189" t="e">
        <v>#N/A</v>
      </c>
      <c r="R1337" s="189" t="e">
        <v>#N/A</v>
      </c>
      <c r="S1337" s="205" t="e">
        <v>#N/A</v>
      </c>
      <c r="T1337" s="206"/>
    </row>
    <row r="1338">
      <c r="C1338" s="189" t="e">
        <v>#N/A</v>
      </c>
      <c r="D1338" s="189" t="e">
        <v>#N/A</v>
      </c>
      <c r="E1338" s="189" t="e">
        <v>#N/A</v>
      </c>
      <c r="F1338" s="189" t="e">
        <v>#N/A</v>
      </c>
      <c r="G1338" s="189" t="e">
        <v>#N/A</v>
      </c>
      <c r="H1338" s="189" t="e">
        <v>#N/A</v>
      </c>
      <c r="I1338" s="189" t="e">
        <v>#N/A</v>
      </c>
      <c r="J1338" s="189" t="e">
        <v>#N/A</v>
      </c>
      <c r="K1338" s="204" t="e">
        <v>#N/A</v>
      </c>
      <c r="L1338" s="204" t="e">
        <v>#N/A</v>
      </c>
      <c r="M1338" s="205" t="e">
        <v>#N/A</v>
      </c>
      <c r="N1338" s="205" t="e">
        <v>#N/A</v>
      </c>
      <c r="O1338" s="205" t="e">
        <v>#N/A</v>
      </c>
      <c r="P1338" s="205" t="e">
        <v>#N/A</v>
      </c>
      <c r="Q1338" s="189" t="e">
        <v>#N/A</v>
      </c>
      <c r="R1338" s="189" t="e">
        <v>#N/A</v>
      </c>
      <c r="S1338" s="205" t="e">
        <v>#N/A</v>
      </c>
      <c r="T1338" s="206"/>
    </row>
    <row r="1339">
      <c r="C1339" s="189" t="e">
        <v>#N/A</v>
      </c>
      <c r="D1339" s="189" t="e">
        <v>#N/A</v>
      </c>
      <c r="E1339" s="189" t="e">
        <v>#N/A</v>
      </c>
      <c r="F1339" s="189" t="e">
        <v>#N/A</v>
      </c>
      <c r="G1339" s="189" t="e">
        <v>#N/A</v>
      </c>
      <c r="H1339" s="189" t="e">
        <v>#N/A</v>
      </c>
      <c r="I1339" s="189" t="e">
        <v>#N/A</v>
      </c>
      <c r="J1339" s="189" t="e">
        <v>#N/A</v>
      </c>
      <c r="K1339" s="204" t="e">
        <v>#N/A</v>
      </c>
      <c r="L1339" s="204" t="e">
        <v>#N/A</v>
      </c>
      <c r="M1339" s="205" t="e">
        <v>#N/A</v>
      </c>
      <c r="N1339" s="205" t="e">
        <v>#N/A</v>
      </c>
      <c r="O1339" s="205" t="e">
        <v>#N/A</v>
      </c>
      <c r="P1339" s="205" t="e">
        <v>#N/A</v>
      </c>
      <c r="Q1339" s="189" t="e">
        <v>#N/A</v>
      </c>
      <c r="R1339" s="189" t="e">
        <v>#N/A</v>
      </c>
      <c r="S1339" s="205" t="e">
        <v>#N/A</v>
      </c>
      <c r="T1339" s="206"/>
    </row>
    <row r="1340">
      <c r="C1340" s="189" t="e">
        <v>#N/A</v>
      </c>
      <c r="D1340" s="189" t="e">
        <v>#N/A</v>
      </c>
      <c r="E1340" s="189" t="e">
        <v>#N/A</v>
      </c>
      <c r="F1340" s="189" t="e">
        <v>#N/A</v>
      </c>
      <c r="G1340" s="189" t="e">
        <v>#N/A</v>
      </c>
      <c r="H1340" s="189" t="e">
        <v>#N/A</v>
      </c>
      <c r="I1340" s="189" t="e">
        <v>#N/A</v>
      </c>
      <c r="J1340" s="189" t="e">
        <v>#N/A</v>
      </c>
      <c r="K1340" s="204" t="e">
        <v>#N/A</v>
      </c>
      <c r="L1340" s="204" t="e">
        <v>#N/A</v>
      </c>
      <c r="M1340" s="205" t="e">
        <v>#N/A</v>
      </c>
      <c r="N1340" s="205" t="e">
        <v>#N/A</v>
      </c>
      <c r="O1340" s="205" t="e">
        <v>#N/A</v>
      </c>
      <c r="P1340" s="205" t="e">
        <v>#N/A</v>
      </c>
      <c r="Q1340" s="189" t="e">
        <v>#N/A</v>
      </c>
      <c r="R1340" s="189" t="e">
        <v>#N/A</v>
      </c>
      <c r="S1340" s="205" t="e">
        <v>#N/A</v>
      </c>
      <c r="T1340" s="206"/>
    </row>
    <row r="1341">
      <c r="C1341" s="189" t="e">
        <v>#N/A</v>
      </c>
      <c r="D1341" s="189" t="e">
        <v>#N/A</v>
      </c>
      <c r="E1341" s="189" t="e">
        <v>#N/A</v>
      </c>
      <c r="F1341" s="189" t="e">
        <v>#N/A</v>
      </c>
      <c r="G1341" s="189" t="e">
        <v>#N/A</v>
      </c>
      <c r="H1341" s="189" t="e">
        <v>#N/A</v>
      </c>
      <c r="I1341" s="189" t="e">
        <v>#N/A</v>
      </c>
      <c r="J1341" s="189" t="e">
        <v>#N/A</v>
      </c>
      <c r="K1341" s="204" t="e">
        <v>#N/A</v>
      </c>
      <c r="L1341" s="204" t="e">
        <v>#N/A</v>
      </c>
      <c r="M1341" s="205" t="e">
        <v>#N/A</v>
      </c>
      <c r="N1341" s="205" t="e">
        <v>#N/A</v>
      </c>
      <c r="O1341" s="205" t="e">
        <v>#N/A</v>
      </c>
      <c r="P1341" s="205" t="e">
        <v>#N/A</v>
      </c>
      <c r="Q1341" s="189" t="e">
        <v>#N/A</v>
      </c>
      <c r="R1341" s="189" t="e">
        <v>#N/A</v>
      </c>
      <c r="S1341" s="205" t="e">
        <v>#N/A</v>
      </c>
      <c r="T1341" s="206"/>
    </row>
    <row r="1342">
      <c r="C1342" s="189" t="e">
        <v>#N/A</v>
      </c>
      <c r="D1342" s="189" t="e">
        <v>#N/A</v>
      </c>
      <c r="E1342" s="189" t="e">
        <v>#N/A</v>
      </c>
      <c r="F1342" s="189" t="e">
        <v>#N/A</v>
      </c>
      <c r="G1342" s="189" t="e">
        <v>#N/A</v>
      </c>
      <c r="H1342" s="189" t="e">
        <v>#N/A</v>
      </c>
      <c r="I1342" s="189" t="e">
        <v>#N/A</v>
      </c>
      <c r="J1342" s="189" t="e">
        <v>#N/A</v>
      </c>
      <c r="K1342" s="204" t="e">
        <v>#N/A</v>
      </c>
      <c r="L1342" s="204" t="e">
        <v>#N/A</v>
      </c>
      <c r="M1342" s="205" t="e">
        <v>#N/A</v>
      </c>
      <c r="N1342" s="205" t="e">
        <v>#N/A</v>
      </c>
      <c r="O1342" s="205" t="e">
        <v>#N/A</v>
      </c>
      <c r="P1342" s="205" t="e">
        <v>#N/A</v>
      </c>
      <c r="Q1342" s="189" t="e">
        <v>#N/A</v>
      </c>
      <c r="R1342" s="189" t="e">
        <v>#N/A</v>
      </c>
      <c r="S1342" s="205" t="e">
        <v>#N/A</v>
      </c>
      <c r="T1342" s="206"/>
    </row>
    <row r="1343">
      <c r="C1343" s="189" t="e">
        <v>#N/A</v>
      </c>
      <c r="D1343" s="189" t="e">
        <v>#N/A</v>
      </c>
      <c r="E1343" s="189" t="e">
        <v>#N/A</v>
      </c>
      <c r="F1343" s="189" t="e">
        <v>#N/A</v>
      </c>
      <c r="G1343" s="189" t="e">
        <v>#N/A</v>
      </c>
      <c r="H1343" s="189" t="e">
        <v>#N/A</v>
      </c>
      <c r="I1343" s="189" t="e">
        <v>#N/A</v>
      </c>
      <c r="J1343" s="189" t="e">
        <v>#N/A</v>
      </c>
      <c r="K1343" s="204" t="e">
        <v>#N/A</v>
      </c>
      <c r="L1343" s="204" t="e">
        <v>#N/A</v>
      </c>
      <c r="M1343" s="205" t="e">
        <v>#N/A</v>
      </c>
      <c r="N1343" s="205" t="e">
        <v>#N/A</v>
      </c>
      <c r="O1343" s="205" t="e">
        <v>#N/A</v>
      </c>
      <c r="P1343" s="205" t="e">
        <v>#N/A</v>
      </c>
      <c r="Q1343" s="189" t="e">
        <v>#N/A</v>
      </c>
      <c r="R1343" s="189" t="e">
        <v>#N/A</v>
      </c>
      <c r="S1343" s="205" t="e">
        <v>#N/A</v>
      </c>
      <c r="T1343" s="206"/>
    </row>
    <row r="1344">
      <c r="C1344" s="189" t="e">
        <v>#N/A</v>
      </c>
      <c r="D1344" s="189" t="e">
        <v>#N/A</v>
      </c>
      <c r="E1344" s="189" t="e">
        <v>#N/A</v>
      </c>
      <c r="F1344" s="189" t="e">
        <v>#N/A</v>
      </c>
      <c r="G1344" s="189" t="e">
        <v>#N/A</v>
      </c>
      <c r="H1344" s="189" t="e">
        <v>#N/A</v>
      </c>
      <c r="I1344" s="189" t="e">
        <v>#N/A</v>
      </c>
      <c r="J1344" s="189" t="e">
        <v>#N/A</v>
      </c>
      <c r="K1344" s="204" t="e">
        <v>#N/A</v>
      </c>
      <c r="L1344" s="204" t="e">
        <v>#N/A</v>
      </c>
      <c r="M1344" s="205" t="e">
        <v>#N/A</v>
      </c>
      <c r="N1344" s="205" t="e">
        <v>#N/A</v>
      </c>
      <c r="O1344" s="205" t="e">
        <v>#N/A</v>
      </c>
      <c r="P1344" s="205" t="e">
        <v>#N/A</v>
      </c>
      <c r="Q1344" s="189" t="e">
        <v>#N/A</v>
      </c>
      <c r="R1344" s="189" t="e">
        <v>#N/A</v>
      </c>
      <c r="S1344" s="205" t="e">
        <v>#N/A</v>
      </c>
      <c r="T1344" s="206"/>
    </row>
    <row r="1345">
      <c r="C1345" s="189" t="e">
        <v>#N/A</v>
      </c>
      <c r="D1345" s="189" t="e">
        <v>#N/A</v>
      </c>
      <c r="E1345" s="189" t="e">
        <v>#N/A</v>
      </c>
      <c r="F1345" s="189" t="e">
        <v>#N/A</v>
      </c>
      <c r="G1345" s="189" t="e">
        <v>#N/A</v>
      </c>
      <c r="H1345" s="189" t="e">
        <v>#N/A</v>
      </c>
      <c r="I1345" s="189" t="e">
        <v>#N/A</v>
      </c>
      <c r="J1345" s="189" t="e">
        <v>#N/A</v>
      </c>
      <c r="K1345" s="204" t="e">
        <v>#N/A</v>
      </c>
      <c r="L1345" s="204" t="e">
        <v>#N/A</v>
      </c>
      <c r="M1345" s="205" t="e">
        <v>#N/A</v>
      </c>
      <c r="N1345" s="205" t="e">
        <v>#N/A</v>
      </c>
      <c r="O1345" s="205" t="e">
        <v>#N/A</v>
      </c>
      <c r="P1345" s="205" t="e">
        <v>#N/A</v>
      </c>
      <c r="Q1345" s="189" t="e">
        <v>#N/A</v>
      </c>
      <c r="R1345" s="189" t="e">
        <v>#N/A</v>
      </c>
      <c r="S1345" s="205" t="e">
        <v>#N/A</v>
      </c>
      <c r="T1345" s="206"/>
    </row>
    <row r="1346">
      <c r="C1346" s="189" t="e">
        <v>#N/A</v>
      </c>
      <c r="D1346" s="189" t="e">
        <v>#N/A</v>
      </c>
      <c r="E1346" s="189" t="e">
        <v>#N/A</v>
      </c>
      <c r="F1346" s="189" t="e">
        <v>#N/A</v>
      </c>
      <c r="G1346" s="189" t="e">
        <v>#N/A</v>
      </c>
      <c r="H1346" s="189" t="e">
        <v>#N/A</v>
      </c>
      <c r="I1346" s="189" t="e">
        <v>#N/A</v>
      </c>
      <c r="J1346" s="189" t="e">
        <v>#N/A</v>
      </c>
      <c r="K1346" s="204" t="e">
        <v>#N/A</v>
      </c>
      <c r="L1346" s="204" t="e">
        <v>#N/A</v>
      </c>
      <c r="M1346" s="205" t="e">
        <v>#N/A</v>
      </c>
      <c r="N1346" s="205" t="e">
        <v>#N/A</v>
      </c>
      <c r="O1346" s="205" t="e">
        <v>#N/A</v>
      </c>
      <c r="P1346" s="205" t="e">
        <v>#N/A</v>
      </c>
      <c r="Q1346" s="189" t="e">
        <v>#N/A</v>
      </c>
      <c r="R1346" s="189" t="e">
        <v>#N/A</v>
      </c>
      <c r="S1346" s="205" t="e">
        <v>#N/A</v>
      </c>
      <c r="T1346" s="206"/>
    </row>
    <row r="1347">
      <c r="C1347" s="189" t="e">
        <v>#N/A</v>
      </c>
      <c r="D1347" s="189" t="e">
        <v>#N/A</v>
      </c>
      <c r="E1347" s="189" t="e">
        <v>#N/A</v>
      </c>
      <c r="F1347" s="189" t="e">
        <v>#N/A</v>
      </c>
      <c r="G1347" s="189" t="e">
        <v>#N/A</v>
      </c>
      <c r="H1347" s="189" t="e">
        <v>#N/A</v>
      </c>
      <c r="I1347" s="189" t="e">
        <v>#N/A</v>
      </c>
      <c r="J1347" s="189" t="e">
        <v>#N/A</v>
      </c>
      <c r="K1347" s="204" t="e">
        <v>#N/A</v>
      </c>
      <c r="L1347" s="204" t="e">
        <v>#N/A</v>
      </c>
      <c r="M1347" s="205" t="e">
        <v>#N/A</v>
      </c>
      <c r="N1347" s="205" t="e">
        <v>#N/A</v>
      </c>
      <c r="O1347" s="205" t="e">
        <v>#N/A</v>
      </c>
      <c r="P1347" s="205" t="e">
        <v>#N/A</v>
      </c>
      <c r="Q1347" s="189" t="e">
        <v>#N/A</v>
      </c>
      <c r="R1347" s="189" t="e">
        <v>#N/A</v>
      </c>
      <c r="S1347" s="205" t="e">
        <v>#N/A</v>
      </c>
      <c r="T1347" s="206"/>
    </row>
    <row r="1348">
      <c r="C1348" s="189" t="e">
        <v>#N/A</v>
      </c>
      <c r="D1348" s="189" t="e">
        <v>#N/A</v>
      </c>
      <c r="E1348" s="189" t="e">
        <v>#N/A</v>
      </c>
      <c r="F1348" s="189" t="e">
        <v>#N/A</v>
      </c>
      <c r="G1348" s="189" t="e">
        <v>#N/A</v>
      </c>
      <c r="H1348" s="189" t="e">
        <v>#N/A</v>
      </c>
      <c r="I1348" s="189" t="e">
        <v>#N/A</v>
      </c>
      <c r="J1348" s="189" t="e">
        <v>#N/A</v>
      </c>
      <c r="K1348" s="204" t="e">
        <v>#N/A</v>
      </c>
      <c r="L1348" s="204" t="e">
        <v>#N/A</v>
      </c>
      <c r="M1348" s="205" t="e">
        <v>#N/A</v>
      </c>
      <c r="N1348" s="205" t="e">
        <v>#N/A</v>
      </c>
      <c r="O1348" s="205" t="e">
        <v>#N/A</v>
      </c>
      <c r="P1348" s="205" t="e">
        <v>#N/A</v>
      </c>
      <c r="Q1348" s="189" t="e">
        <v>#N/A</v>
      </c>
      <c r="R1348" s="189" t="e">
        <v>#N/A</v>
      </c>
      <c r="S1348" s="205" t="e">
        <v>#N/A</v>
      </c>
      <c r="T1348" s="206"/>
    </row>
    <row r="1349">
      <c r="C1349" s="189" t="e">
        <v>#N/A</v>
      </c>
      <c r="D1349" s="189" t="e">
        <v>#N/A</v>
      </c>
      <c r="E1349" s="189" t="e">
        <v>#N/A</v>
      </c>
      <c r="F1349" s="189" t="e">
        <v>#N/A</v>
      </c>
      <c r="G1349" s="189" t="e">
        <v>#N/A</v>
      </c>
      <c r="H1349" s="189" t="e">
        <v>#N/A</v>
      </c>
      <c r="I1349" s="189" t="e">
        <v>#N/A</v>
      </c>
      <c r="J1349" s="189" t="e">
        <v>#N/A</v>
      </c>
      <c r="K1349" s="204" t="e">
        <v>#N/A</v>
      </c>
      <c r="L1349" s="204" t="e">
        <v>#N/A</v>
      </c>
      <c r="M1349" s="205" t="e">
        <v>#N/A</v>
      </c>
      <c r="N1349" s="205" t="e">
        <v>#N/A</v>
      </c>
      <c r="O1349" s="205" t="e">
        <v>#N/A</v>
      </c>
      <c r="P1349" s="205" t="e">
        <v>#N/A</v>
      </c>
      <c r="Q1349" s="189" t="e">
        <v>#N/A</v>
      </c>
      <c r="R1349" s="189" t="e">
        <v>#N/A</v>
      </c>
      <c r="S1349" s="205" t="e">
        <v>#N/A</v>
      </c>
      <c r="T1349" s="206"/>
    </row>
    <row r="1350">
      <c r="C1350" s="189" t="e">
        <v>#N/A</v>
      </c>
      <c r="D1350" s="189" t="e">
        <v>#N/A</v>
      </c>
      <c r="E1350" s="189" t="e">
        <v>#N/A</v>
      </c>
      <c r="F1350" s="189" t="e">
        <v>#N/A</v>
      </c>
      <c r="G1350" s="189" t="e">
        <v>#N/A</v>
      </c>
      <c r="H1350" s="189" t="e">
        <v>#N/A</v>
      </c>
      <c r="I1350" s="189" t="e">
        <v>#N/A</v>
      </c>
      <c r="J1350" s="189" t="e">
        <v>#N/A</v>
      </c>
      <c r="K1350" s="204" t="e">
        <v>#N/A</v>
      </c>
      <c r="L1350" s="204" t="e">
        <v>#N/A</v>
      </c>
      <c r="M1350" s="205" t="e">
        <v>#N/A</v>
      </c>
      <c r="N1350" s="205" t="e">
        <v>#N/A</v>
      </c>
      <c r="O1350" s="205" t="e">
        <v>#N/A</v>
      </c>
      <c r="P1350" s="205" t="e">
        <v>#N/A</v>
      </c>
      <c r="Q1350" s="189" t="e">
        <v>#N/A</v>
      </c>
      <c r="R1350" s="189" t="e">
        <v>#N/A</v>
      </c>
      <c r="S1350" s="205" t="e">
        <v>#N/A</v>
      </c>
      <c r="T1350" s="206"/>
    </row>
    <row r="1351">
      <c r="C1351" s="189" t="e">
        <v>#N/A</v>
      </c>
      <c r="D1351" s="189" t="e">
        <v>#N/A</v>
      </c>
      <c r="E1351" s="189" t="e">
        <v>#N/A</v>
      </c>
      <c r="F1351" s="189" t="e">
        <v>#N/A</v>
      </c>
      <c r="G1351" s="189" t="e">
        <v>#N/A</v>
      </c>
      <c r="H1351" s="189" t="e">
        <v>#N/A</v>
      </c>
      <c r="I1351" s="189" t="e">
        <v>#N/A</v>
      </c>
      <c r="J1351" s="189" t="e">
        <v>#N/A</v>
      </c>
      <c r="K1351" s="204" t="e">
        <v>#N/A</v>
      </c>
      <c r="L1351" s="204" t="e">
        <v>#N/A</v>
      </c>
      <c r="M1351" s="205" t="e">
        <v>#N/A</v>
      </c>
      <c r="N1351" s="205" t="e">
        <v>#N/A</v>
      </c>
      <c r="O1351" s="205" t="e">
        <v>#N/A</v>
      </c>
      <c r="P1351" s="205" t="e">
        <v>#N/A</v>
      </c>
      <c r="Q1351" s="189" t="e">
        <v>#N/A</v>
      </c>
      <c r="R1351" s="189" t="e">
        <v>#N/A</v>
      </c>
      <c r="S1351" s="205" t="e">
        <v>#N/A</v>
      </c>
      <c r="T1351" s="206"/>
    </row>
    <row r="1352">
      <c r="C1352" s="189" t="e">
        <v>#N/A</v>
      </c>
      <c r="D1352" s="189" t="e">
        <v>#N/A</v>
      </c>
      <c r="E1352" s="189" t="e">
        <v>#N/A</v>
      </c>
      <c r="F1352" s="189" t="e">
        <v>#N/A</v>
      </c>
      <c r="G1352" s="189" t="e">
        <v>#N/A</v>
      </c>
      <c r="H1352" s="189" t="e">
        <v>#N/A</v>
      </c>
      <c r="I1352" s="189" t="e">
        <v>#N/A</v>
      </c>
      <c r="J1352" s="189" t="e">
        <v>#N/A</v>
      </c>
      <c r="K1352" s="204" t="e">
        <v>#N/A</v>
      </c>
      <c r="L1352" s="204" t="e">
        <v>#N/A</v>
      </c>
      <c r="M1352" s="205" t="e">
        <v>#N/A</v>
      </c>
      <c r="N1352" s="205" t="e">
        <v>#N/A</v>
      </c>
      <c r="O1352" s="205" t="e">
        <v>#N/A</v>
      </c>
      <c r="P1352" s="205" t="e">
        <v>#N/A</v>
      </c>
      <c r="Q1352" s="189" t="e">
        <v>#N/A</v>
      </c>
      <c r="R1352" s="189" t="e">
        <v>#N/A</v>
      </c>
      <c r="S1352" s="205" t="e">
        <v>#N/A</v>
      </c>
      <c r="T1352" s="206"/>
    </row>
    <row r="1353">
      <c r="C1353" s="189" t="e">
        <v>#N/A</v>
      </c>
      <c r="D1353" s="189" t="e">
        <v>#N/A</v>
      </c>
      <c r="E1353" s="189" t="e">
        <v>#N/A</v>
      </c>
      <c r="F1353" s="189" t="e">
        <v>#N/A</v>
      </c>
      <c r="G1353" s="189" t="e">
        <v>#N/A</v>
      </c>
      <c r="H1353" s="189" t="e">
        <v>#N/A</v>
      </c>
      <c r="I1353" s="189" t="e">
        <v>#N/A</v>
      </c>
      <c r="J1353" s="189" t="e">
        <v>#N/A</v>
      </c>
      <c r="K1353" s="204" t="e">
        <v>#N/A</v>
      </c>
      <c r="L1353" s="204" t="e">
        <v>#N/A</v>
      </c>
      <c r="M1353" s="205" t="e">
        <v>#N/A</v>
      </c>
      <c r="N1353" s="205" t="e">
        <v>#N/A</v>
      </c>
      <c r="O1353" s="205" t="e">
        <v>#N/A</v>
      </c>
      <c r="P1353" s="205" t="e">
        <v>#N/A</v>
      </c>
      <c r="Q1353" s="189" t="e">
        <v>#N/A</v>
      </c>
      <c r="R1353" s="189" t="e">
        <v>#N/A</v>
      </c>
      <c r="S1353" s="205" t="e">
        <v>#N/A</v>
      </c>
      <c r="T1353" s="206"/>
    </row>
    <row r="1354">
      <c r="C1354" s="189" t="e">
        <v>#N/A</v>
      </c>
      <c r="D1354" s="189" t="e">
        <v>#N/A</v>
      </c>
      <c r="E1354" s="189" t="e">
        <v>#N/A</v>
      </c>
      <c r="F1354" s="189" t="e">
        <v>#N/A</v>
      </c>
      <c r="G1354" s="189" t="e">
        <v>#N/A</v>
      </c>
      <c r="H1354" s="189" t="e">
        <v>#N/A</v>
      </c>
      <c r="I1354" s="189" t="e">
        <v>#N/A</v>
      </c>
      <c r="J1354" s="189" t="e">
        <v>#N/A</v>
      </c>
      <c r="K1354" s="204" t="e">
        <v>#N/A</v>
      </c>
      <c r="L1354" s="204" t="e">
        <v>#N/A</v>
      </c>
      <c r="M1354" s="205" t="e">
        <v>#N/A</v>
      </c>
      <c r="N1354" s="205" t="e">
        <v>#N/A</v>
      </c>
      <c r="O1354" s="205" t="e">
        <v>#N/A</v>
      </c>
      <c r="P1354" s="205" t="e">
        <v>#N/A</v>
      </c>
      <c r="Q1354" s="189" t="e">
        <v>#N/A</v>
      </c>
      <c r="R1354" s="189" t="e">
        <v>#N/A</v>
      </c>
      <c r="S1354" s="205" t="e">
        <v>#N/A</v>
      </c>
      <c r="T1354" s="206"/>
    </row>
    <row r="1355">
      <c r="C1355" s="189" t="e">
        <v>#N/A</v>
      </c>
      <c r="D1355" s="189" t="e">
        <v>#N/A</v>
      </c>
      <c r="E1355" s="189" t="e">
        <v>#N/A</v>
      </c>
      <c r="F1355" s="189" t="e">
        <v>#N/A</v>
      </c>
      <c r="G1355" s="189" t="e">
        <v>#N/A</v>
      </c>
      <c r="H1355" s="189" t="e">
        <v>#N/A</v>
      </c>
      <c r="I1355" s="189" t="e">
        <v>#N/A</v>
      </c>
      <c r="J1355" s="189" t="e">
        <v>#N/A</v>
      </c>
      <c r="K1355" s="204" t="e">
        <v>#N/A</v>
      </c>
      <c r="L1355" s="204" t="e">
        <v>#N/A</v>
      </c>
      <c r="M1355" s="205" t="e">
        <v>#N/A</v>
      </c>
      <c r="N1355" s="205" t="e">
        <v>#N/A</v>
      </c>
      <c r="O1355" s="205" t="e">
        <v>#N/A</v>
      </c>
      <c r="P1355" s="205" t="e">
        <v>#N/A</v>
      </c>
      <c r="Q1355" s="189" t="e">
        <v>#N/A</v>
      </c>
      <c r="R1355" s="189" t="e">
        <v>#N/A</v>
      </c>
      <c r="S1355" s="205" t="e">
        <v>#N/A</v>
      </c>
      <c r="T1355" s="206"/>
    </row>
    <row r="1356">
      <c r="C1356" s="189" t="e">
        <v>#N/A</v>
      </c>
      <c r="D1356" s="189" t="e">
        <v>#N/A</v>
      </c>
      <c r="E1356" s="189" t="e">
        <v>#N/A</v>
      </c>
      <c r="F1356" s="189" t="e">
        <v>#N/A</v>
      </c>
      <c r="G1356" s="189" t="e">
        <v>#N/A</v>
      </c>
      <c r="H1356" s="189" t="e">
        <v>#N/A</v>
      </c>
      <c r="I1356" s="189" t="e">
        <v>#N/A</v>
      </c>
      <c r="J1356" s="189" t="e">
        <v>#N/A</v>
      </c>
      <c r="K1356" s="204" t="e">
        <v>#N/A</v>
      </c>
      <c r="L1356" s="204" t="e">
        <v>#N/A</v>
      </c>
      <c r="M1356" s="205" t="e">
        <v>#N/A</v>
      </c>
      <c r="N1356" s="205" t="e">
        <v>#N/A</v>
      </c>
      <c r="O1356" s="205" t="e">
        <v>#N/A</v>
      </c>
      <c r="P1356" s="205" t="e">
        <v>#N/A</v>
      </c>
      <c r="Q1356" s="189" t="e">
        <v>#N/A</v>
      </c>
      <c r="R1356" s="189" t="e">
        <v>#N/A</v>
      </c>
      <c r="S1356" s="205" t="e">
        <v>#N/A</v>
      </c>
      <c r="T1356" s="206"/>
    </row>
    <row r="1357">
      <c r="C1357" s="189" t="e">
        <v>#N/A</v>
      </c>
      <c r="D1357" s="189" t="e">
        <v>#N/A</v>
      </c>
      <c r="E1357" s="189" t="e">
        <v>#N/A</v>
      </c>
      <c r="F1357" s="189" t="e">
        <v>#N/A</v>
      </c>
      <c r="G1357" s="189" t="e">
        <v>#N/A</v>
      </c>
      <c r="H1357" s="189" t="e">
        <v>#N/A</v>
      </c>
      <c r="I1357" s="189" t="e">
        <v>#N/A</v>
      </c>
      <c r="J1357" s="189" t="e">
        <v>#N/A</v>
      </c>
      <c r="K1357" s="204" t="e">
        <v>#N/A</v>
      </c>
      <c r="L1357" s="204" t="e">
        <v>#N/A</v>
      </c>
      <c r="M1357" s="205" t="e">
        <v>#N/A</v>
      </c>
      <c r="N1357" s="205" t="e">
        <v>#N/A</v>
      </c>
      <c r="O1357" s="205" t="e">
        <v>#N/A</v>
      </c>
      <c r="P1357" s="205" t="e">
        <v>#N/A</v>
      </c>
      <c r="Q1357" s="189" t="e">
        <v>#N/A</v>
      </c>
      <c r="R1357" s="189" t="e">
        <v>#N/A</v>
      </c>
      <c r="S1357" s="205" t="e">
        <v>#N/A</v>
      </c>
      <c r="T1357" s="206"/>
    </row>
    <row r="1358">
      <c r="C1358" s="189" t="e">
        <v>#N/A</v>
      </c>
      <c r="D1358" s="189" t="e">
        <v>#N/A</v>
      </c>
      <c r="E1358" s="189" t="e">
        <v>#N/A</v>
      </c>
      <c r="F1358" s="189" t="e">
        <v>#N/A</v>
      </c>
      <c r="G1358" s="189" t="e">
        <v>#N/A</v>
      </c>
      <c r="H1358" s="189" t="e">
        <v>#N/A</v>
      </c>
      <c r="I1358" s="189" t="e">
        <v>#N/A</v>
      </c>
      <c r="J1358" s="189" t="e">
        <v>#N/A</v>
      </c>
      <c r="K1358" s="204" t="e">
        <v>#N/A</v>
      </c>
      <c r="L1358" s="204" t="e">
        <v>#N/A</v>
      </c>
      <c r="M1358" s="205" t="e">
        <v>#N/A</v>
      </c>
      <c r="N1358" s="205" t="e">
        <v>#N/A</v>
      </c>
      <c r="O1358" s="205" t="e">
        <v>#N/A</v>
      </c>
      <c r="P1358" s="205" t="e">
        <v>#N/A</v>
      </c>
      <c r="Q1358" s="189" t="e">
        <v>#N/A</v>
      </c>
      <c r="R1358" s="189" t="e">
        <v>#N/A</v>
      </c>
      <c r="S1358" s="205" t="e">
        <v>#N/A</v>
      </c>
      <c r="T1358" s="206"/>
    </row>
    <row r="1359">
      <c r="C1359" s="189" t="e">
        <v>#N/A</v>
      </c>
      <c r="D1359" s="189" t="e">
        <v>#N/A</v>
      </c>
      <c r="E1359" s="189" t="e">
        <v>#N/A</v>
      </c>
      <c r="F1359" s="189" t="e">
        <v>#N/A</v>
      </c>
      <c r="G1359" s="189" t="e">
        <v>#N/A</v>
      </c>
      <c r="H1359" s="189" t="e">
        <v>#N/A</v>
      </c>
      <c r="I1359" s="189" t="e">
        <v>#N/A</v>
      </c>
      <c r="J1359" s="189" t="e">
        <v>#N/A</v>
      </c>
      <c r="K1359" s="204" t="e">
        <v>#N/A</v>
      </c>
      <c r="L1359" s="204" t="e">
        <v>#N/A</v>
      </c>
      <c r="M1359" s="205" t="e">
        <v>#N/A</v>
      </c>
      <c r="N1359" s="205" t="e">
        <v>#N/A</v>
      </c>
      <c r="O1359" s="205" t="e">
        <v>#N/A</v>
      </c>
      <c r="P1359" s="205" t="e">
        <v>#N/A</v>
      </c>
      <c r="Q1359" s="189" t="e">
        <v>#N/A</v>
      </c>
      <c r="R1359" s="189" t="e">
        <v>#N/A</v>
      </c>
      <c r="S1359" s="205" t="e">
        <v>#N/A</v>
      </c>
      <c r="T1359" s="206"/>
    </row>
    <row r="1360">
      <c r="C1360" s="189" t="e">
        <v>#N/A</v>
      </c>
      <c r="D1360" s="189" t="e">
        <v>#N/A</v>
      </c>
      <c r="E1360" s="189" t="e">
        <v>#N/A</v>
      </c>
      <c r="F1360" s="189" t="e">
        <v>#N/A</v>
      </c>
      <c r="G1360" s="189" t="e">
        <v>#N/A</v>
      </c>
      <c r="H1360" s="189" t="e">
        <v>#N/A</v>
      </c>
      <c r="I1360" s="189" t="e">
        <v>#N/A</v>
      </c>
      <c r="J1360" s="189" t="e">
        <v>#N/A</v>
      </c>
      <c r="K1360" s="204" t="e">
        <v>#N/A</v>
      </c>
      <c r="L1360" s="204" t="e">
        <v>#N/A</v>
      </c>
      <c r="M1360" s="205" t="e">
        <v>#N/A</v>
      </c>
      <c r="N1360" s="205" t="e">
        <v>#N/A</v>
      </c>
      <c r="O1360" s="205" t="e">
        <v>#N/A</v>
      </c>
      <c r="P1360" s="205" t="e">
        <v>#N/A</v>
      </c>
      <c r="Q1360" s="189" t="e">
        <v>#N/A</v>
      </c>
      <c r="R1360" s="189" t="e">
        <v>#N/A</v>
      </c>
      <c r="S1360" s="205" t="e">
        <v>#N/A</v>
      </c>
      <c r="T1360" s="206"/>
    </row>
    <row r="1361">
      <c r="C1361" s="189" t="e">
        <v>#N/A</v>
      </c>
      <c r="D1361" s="189" t="e">
        <v>#N/A</v>
      </c>
      <c r="E1361" s="189" t="e">
        <v>#N/A</v>
      </c>
      <c r="F1361" s="189" t="e">
        <v>#N/A</v>
      </c>
      <c r="G1361" s="189" t="e">
        <v>#N/A</v>
      </c>
      <c r="H1361" s="189" t="e">
        <v>#N/A</v>
      </c>
      <c r="I1361" s="189" t="e">
        <v>#N/A</v>
      </c>
      <c r="J1361" s="189" t="e">
        <v>#N/A</v>
      </c>
      <c r="K1361" s="204" t="e">
        <v>#N/A</v>
      </c>
      <c r="L1361" s="204" t="e">
        <v>#N/A</v>
      </c>
      <c r="M1361" s="205" t="e">
        <v>#N/A</v>
      </c>
      <c r="N1361" s="205" t="e">
        <v>#N/A</v>
      </c>
      <c r="O1361" s="205" t="e">
        <v>#N/A</v>
      </c>
      <c r="P1361" s="205" t="e">
        <v>#N/A</v>
      </c>
      <c r="Q1361" s="189" t="e">
        <v>#N/A</v>
      </c>
      <c r="R1361" s="189" t="e">
        <v>#N/A</v>
      </c>
      <c r="S1361" s="205" t="e">
        <v>#N/A</v>
      </c>
      <c r="T1361" s="206"/>
    </row>
    <row r="1362">
      <c r="C1362" s="189" t="e">
        <v>#N/A</v>
      </c>
      <c r="D1362" s="189" t="e">
        <v>#N/A</v>
      </c>
      <c r="E1362" s="189" t="e">
        <v>#N/A</v>
      </c>
      <c r="F1362" s="189" t="e">
        <v>#N/A</v>
      </c>
      <c r="G1362" s="189" t="e">
        <v>#N/A</v>
      </c>
      <c r="H1362" s="189" t="e">
        <v>#N/A</v>
      </c>
      <c r="I1362" s="189" t="e">
        <v>#N/A</v>
      </c>
      <c r="J1362" s="189" t="e">
        <v>#N/A</v>
      </c>
      <c r="K1362" s="204" t="e">
        <v>#N/A</v>
      </c>
      <c r="L1362" s="204" t="e">
        <v>#N/A</v>
      </c>
      <c r="M1362" s="205" t="e">
        <v>#N/A</v>
      </c>
      <c r="N1362" s="205" t="e">
        <v>#N/A</v>
      </c>
      <c r="O1362" s="205" t="e">
        <v>#N/A</v>
      </c>
      <c r="P1362" s="205" t="e">
        <v>#N/A</v>
      </c>
      <c r="Q1362" s="189" t="e">
        <v>#N/A</v>
      </c>
      <c r="R1362" s="189" t="e">
        <v>#N/A</v>
      </c>
      <c r="S1362" s="205" t="e">
        <v>#N/A</v>
      </c>
      <c r="T1362" s="206"/>
    </row>
    <row r="1363">
      <c r="C1363" s="189" t="e">
        <v>#N/A</v>
      </c>
      <c r="D1363" s="189" t="e">
        <v>#N/A</v>
      </c>
      <c r="E1363" s="189" t="e">
        <v>#N/A</v>
      </c>
      <c r="F1363" s="189" t="e">
        <v>#N/A</v>
      </c>
      <c r="G1363" s="189" t="e">
        <v>#N/A</v>
      </c>
      <c r="H1363" s="189" t="e">
        <v>#N/A</v>
      </c>
      <c r="I1363" s="189" t="e">
        <v>#N/A</v>
      </c>
      <c r="J1363" s="189" t="e">
        <v>#N/A</v>
      </c>
      <c r="K1363" s="204" t="e">
        <v>#N/A</v>
      </c>
      <c r="L1363" s="204" t="e">
        <v>#N/A</v>
      </c>
      <c r="M1363" s="205" t="e">
        <v>#N/A</v>
      </c>
      <c r="N1363" s="205" t="e">
        <v>#N/A</v>
      </c>
      <c r="O1363" s="205" t="e">
        <v>#N/A</v>
      </c>
      <c r="P1363" s="205" t="e">
        <v>#N/A</v>
      </c>
      <c r="Q1363" s="189" t="e">
        <v>#N/A</v>
      </c>
      <c r="R1363" s="189" t="e">
        <v>#N/A</v>
      </c>
      <c r="S1363" s="205" t="e">
        <v>#N/A</v>
      </c>
      <c r="T1363" s="206"/>
    </row>
    <row r="1364">
      <c r="C1364" s="189" t="e">
        <v>#N/A</v>
      </c>
      <c r="D1364" s="189" t="e">
        <v>#N/A</v>
      </c>
      <c r="E1364" s="189" t="e">
        <v>#N/A</v>
      </c>
      <c r="F1364" s="189" t="e">
        <v>#N/A</v>
      </c>
      <c r="G1364" s="189" t="e">
        <v>#N/A</v>
      </c>
      <c r="H1364" s="189" t="e">
        <v>#N/A</v>
      </c>
      <c r="I1364" s="189" t="e">
        <v>#N/A</v>
      </c>
      <c r="J1364" s="189" t="e">
        <v>#N/A</v>
      </c>
      <c r="K1364" s="204" t="e">
        <v>#N/A</v>
      </c>
      <c r="L1364" s="204" t="e">
        <v>#N/A</v>
      </c>
      <c r="M1364" s="205" t="e">
        <v>#N/A</v>
      </c>
      <c r="N1364" s="205" t="e">
        <v>#N/A</v>
      </c>
      <c r="O1364" s="205" t="e">
        <v>#N/A</v>
      </c>
      <c r="P1364" s="205" t="e">
        <v>#N/A</v>
      </c>
      <c r="Q1364" s="189" t="e">
        <v>#N/A</v>
      </c>
      <c r="R1364" s="189" t="e">
        <v>#N/A</v>
      </c>
      <c r="S1364" s="205" t="e">
        <v>#N/A</v>
      </c>
      <c r="T1364" s="206"/>
    </row>
    <row r="1365">
      <c r="C1365" s="189" t="e">
        <v>#N/A</v>
      </c>
      <c r="D1365" s="189" t="e">
        <v>#N/A</v>
      </c>
      <c r="E1365" s="189" t="e">
        <v>#N/A</v>
      </c>
      <c r="F1365" s="189" t="e">
        <v>#N/A</v>
      </c>
      <c r="G1365" s="189" t="e">
        <v>#N/A</v>
      </c>
      <c r="H1365" s="189" t="e">
        <v>#N/A</v>
      </c>
      <c r="I1365" s="189" t="e">
        <v>#N/A</v>
      </c>
      <c r="J1365" s="189" t="e">
        <v>#N/A</v>
      </c>
      <c r="K1365" s="204" t="e">
        <v>#N/A</v>
      </c>
      <c r="L1365" s="204" t="e">
        <v>#N/A</v>
      </c>
      <c r="M1365" s="205" t="e">
        <v>#N/A</v>
      </c>
      <c r="N1365" s="205" t="e">
        <v>#N/A</v>
      </c>
      <c r="O1365" s="205" t="e">
        <v>#N/A</v>
      </c>
      <c r="P1365" s="205" t="e">
        <v>#N/A</v>
      </c>
      <c r="Q1365" s="189" t="e">
        <v>#N/A</v>
      </c>
      <c r="R1365" s="189" t="e">
        <v>#N/A</v>
      </c>
      <c r="S1365" s="205" t="e">
        <v>#N/A</v>
      </c>
      <c r="T1365" s="206"/>
    </row>
    <row r="1366">
      <c r="C1366" s="189" t="e">
        <v>#N/A</v>
      </c>
      <c r="D1366" s="189" t="e">
        <v>#N/A</v>
      </c>
      <c r="E1366" s="189" t="e">
        <v>#N/A</v>
      </c>
      <c r="F1366" s="189" t="e">
        <v>#N/A</v>
      </c>
      <c r="G1366" s="189" t="e">
        <v>#N/A</v>
      </c>
      <c r="H1366" s="189" t="e">
        <v>#N/A</v>
      </c>
      <c r="I1366" s="189" t="e">
        <v>#N/A</v>
      </c>
      <c r="J1366" s="189" t="e">
        <v>#N/A</v>
      </c>
      <c r="K1366" s="204" t="e">
        <v>#N/A</v>
      </c>
      <c r="L1366" s="204" t="e">
        <v>#N/A</v>
      </c>
      <c r="M1366" s="205" t="e">
        <v>#N/A</v>
      </c>
      <c r="N1366" s="205" t="e">
        <v>#N/A</v>
      </c>
      <c r="O1366" s="205" t="e">
        <v>#N/A</v>
      </c>
      <c r="P1366" s="205" t="e">
        <v>#N/A</v>
      </c>
      <c r="Q1366" s="189" t="e">
        <v>#N/A</v>
      </c>
      <c r="R1366" s="189" t="e">
        <v>#N/A</v>
      </c>
      <c r="S1366" s="205" t="e">
        <v>#N/A</v>
      </c>
      <c r="T1366" s="206"/>
    </row>
    <row r="1367">
      <c r="C1367" s="189" t="e">
        <v>#N/A</v>
      </c>
      <c r="D1367" s="189" t="e">
        <v>#N/A</v>
      </c>
      <c r="E1367" s="189" t="e">
        <v>#N/A</v>
      </c>
      <c r="F1367" s="189" t="e">
        <v>#N/A</v>
      </c>
      <c r="G1367" s="189" t="e">
        <v>#N/A</v>
      </c>
      <c r="H1367" s="189" t="e">
        <v>#N/A</v>
      </c>
      <c r="I1367" s="189" t="e">
        <v>#N/A</v>
      </c>
      <c r="J1367" s="189" t="e">
        <v>#N/A</v>
      </c>
      <c r="K1367" s="204" t="e">
        <v>#N/A</v>
      </c>
      <c r="L1367" s="204" t="e">
        <v>#N/A</v>
      </c>
      <c r="M1367" s="205" t="e">
        <v>#N/A</v>
      </c>
      <c r="N1367" s="205" t="e">
        <v>#N/A</v>
      </c>
      <c r="O1367" s="205" t="e">
        <v>#N/A</v>
      </c>
      <c r="P1367" s="205" t="e">
        <v>#N/A</v>
      </c>
      <c r="Q1367" s="189" t="e">
        <v>#N/A</v>
      </c>
      <c r="R1367" s="189" t="e">
        <v>#N/A</v>
      </c>
      <c r="S1367" s="205" t="e">
        <v>#N/A</v>
      </c>
      <c r="T1367" s="206"/>
    </row>
    <row r="1368">
      <c r="C1368" s="189" t="e">
        <v>#N/A</v>
      </c>
      <c r="D1368" s="189" t="e">
        <v>#N/A</v>
      </c>
      <c r="E1368" s="189" t="e">
        <v>#N/A</v>
      </c>
      <c r="F1368" s="189" t="e">
        <v>#N/A</v>
      </c>
      <c r="G1368" s="189" t="e">
        <v>#N/A</v>
      </c>
      <c r="H1368" s="189" t="e">
        <v>#N/A</v>
      </c>
      <c r="I1368" s="189" t="e">
        <v>#N/A</v>
      </c>
      <c r="J1368" s="189" t="e">
        <v>#N/A</v>
      </c>
      <c r="K1368" s="204" t="e">
        <v>#N/A</v>
      </c>
      <c r="L1368" s="204" t="e">
        <v>#N/A</v>
      </c>
      <c r="M1368" s="205" t="e">
        <v>#N/A</v>
      </c>
      <c r="N1368" s="205" t="e">
        <v>#N/A</v>
      </c>
      <c r="O1368" s="205" t="e">
        <v>#N/A</v>
      </c>
      <c r="P1368" s="205" t="e">
        <v>#N/A</v>
      </c>
      <c r="Q1368" s="189" t="e">
        <v>#N/A</v>
      </c>
      <c r="R1368" s="189" t="e">
        <v>#N/A</v>
      </c>
      <c r="S1368" s="205" t="e">
        <v>#N/A</v>
      </c>
      <c r="T1368" s="206"/>
    </row>
    <row r="1369">
      <c r="C1369" s="189" t="e">
        <v>#N/A</v>
      </c>
      <c r="D1369" s="189" t="e">
        <v>#N/A</v>
      </c>
      <c r="E1369" s="189" t="e">
        <v>#N/A</v>
      </c>
      <c r="F1369" s="189" t="e">
        <v>#N/A</v>
      </c>
      <c r="G1369" s="189" t="e">
        <v>#N/A</v>
      </c>
      <c r="H1369" s="189" t="e">
        <v>#N/A</v>
      </c>
      <c r="I1369" s="189" t="e">
        <v>#N/A</v>
      </c>
      <c r="J1369" s="189" t="e">
        <v>#N/A</v>
      </c>
      <c r="K1369" s="204" t="e">
        <v>#N/A</v>
      </c>
      <c r="L1369" s="204" t="e">
        <v>#N/A</v>
      </c>
      <c r="M1369" s="205" t="e">
        <v>#N/A</v>
      </c>
      <c r="N1369" s="205" t="e">
        <v>#N/A</v>
      </c>
      <c r="O1369" s="205" t="e">
        <v>#N/A</v>
      </c>
      <c r="P1369" s="205" t="e">
        <v>#N/A</v>
      </c>
      <c r="Q1369" s="189" t="e">
        <v>#N/A</v>
      </c>
      <c r="R1369" s="189" t="e">
        <v>#N/A</v>
      </c>
      <c r="S1369" s="205" t="e">
        <v>#N/A</v>
      </c>
      <c r="T1369" s="206"/>
    </row>
    <row r="1370">
      <c r="C1370" s="189" t="e">
        <v>#N/A</v>
      </c>
      <c r="D1370" s="189" t="e">
        <v>#N/A</v>
      </c>
      <c r="E1370" s="189" t="e">
        <v>#N/A</v>
      </c>
      <c r="F1370" s="189" t="e">
        <v>#N/A</v>
      </c>
      <c r="G1370" s="189" t="e">
        <v>#N/A</v>
      </c>
      <c r="H1370" s="189" t="e">
        <v>#N/A</v>
      </c>
      <c r="I1370" s="189" t="e">
        <v>#N/A</v>
      </c>
      <c r="J1370" s="189" t="e">
        <v>#N/A</v>
      </c>
      <c r="K1370" s="204" t="e">
        <v>#N/A</v>
      </c>
      <c r="L1370" s="204" t="e">
        <v>#N/A</v>
      </c>
      <c r="M1370" s="205" t="e">
        <v>#N/A</v>
      </c>
      <c r="N1370" s="205" t="e">
        <v>#N/A</v>
      </c>
      <c r="O1370" s="205" t="e">
        <v>#N/A</v>
      </c>
      <c r="P1370" s="205" t="e">
        <v>#N/A</v>
      </c>
      <c r="Q1370" s="189" t="e">
        <v>#N/A</v>
      </c>
      <c r="R1370" s="189" t="e">
        <v>#N/A</v>
      </c>
      <c r="S1370" s="205" t="e">
        <v>#N/A</v>
      </c>
      <c r="T1370" s="206"/>
    </row>
    <row r="1371">
      <c r="C1371" s="189" t="e">
        <v>#N/A</v>
      </c>
      <c r="D1371" s="189" t="e">
        <v>#N/A</v>
      </c>
      <c r="E1371" s="189" t="e">
        <v>#N/A</v>
      </c>
      <c r="F1371" s="189" t="e">
        <v>#N/A</v>
      </c>
      <c r="G1371" s="189" t="e">
        <v>#N/A</v>
      </c>
      <c r="H1371" s="189" t="e">
        <v>#N/A</v>
      </c>
      <c r="I1371" s="189" t="e">
        <v>#N/A</v>
      </c>
      <c r="J1371" s="189" t="e">
        <v>#N/A</v>
      </c>
      <c r="K1371" s="204" t="e">
        <v>#N/A</v>
      </c>
      <c r="L1371" s="204" t="e">
        <v>#N/A</v>
      </c>
      <c r="M1371" s="205" t="e">
        <v>#N/A</v>
      </c>
      <c r="N1371" s="205" t="e">
        <v>#N/A</v>
      </c>
      <c r="O1371" s="205" t="e">
        <v>#N/A</v>
      </c>
      <c r="P1371" s="205" t="e">
        <v>#N/A</v>
      </c>
      <c r="Q1371" s="189" t="e">
        <v>#N/A</v>
      </c>
      <c r="R1371" s="189" t="e">
        <v>#N/A</v>
      </c>
      <c r="S1371" s="205" t="e">
        <v>#N/A</v>
      </c>
      <c r="T1371" s="206"/>
    </row>
    <row r="1372">
      <c r="C1372" s="189" t="e">
        <v>#N/A</v>
      </c>
      <c r="D1372" s="189" t="e">
        <v>#N/A</v>
      </c>
      <c r="E1372" s="189" t="e">
        <v>#N/A</v>
      </c>
      <c r="F1372" s="189" t="e">
        <v>#N/A</v>
      </c>
      <c r="G1372" s="189" t="e">
        <v>#N/A</v>
      </c>
      <c r="H1372" s="189" t="e">
        <v>#N/A</v>
      </c>
      <c r="I1372" s="189" t="e">
        <v>#N/A</v>
      </c>
      <c r="J1372" s="189" t="e">
        <v>#N/A</v>
      </c>
      <c r="K1372" s="204" t="e">
        <v>#N/A</v>
      </c>
      <c r="L1372" s="204" t="e">
        <v>#N/A</v>
      </c>
      <c r="M1372" s="205" t="e">
        <v>#N/A</v>
      </c>
      <c r="N1372" s="205" t="e">
        <v>#N/A</v>
      </c>
      <c r="O1372" s="205" t="e">
        <v>#N/A</v>
      </c>
      <c r="P1372" s="205" t="e">
        <v>#N/A</v>
      </c>
      <c r="Q1372" s="189" t="e">
        <v>#N/A</v>
      </c>
      <c r="R1372" s="189" t="e">
        <v>#N/A</v>
      </c>
      <c r="S1372" s="205" t="e">
        <v>#N/A</v>
      </c>
      <c r="T1372" s="206"/>
    </row>
    <row r="1373">
      <c r="C1373" s="189" t="e">
        <v>#N/A</v>
      </c>
      <c r="D1373" s="189" t="e">
        <v>#N/A</v>
      </c>
      <c r="E1373" s="189" t="e">
        <v>#N/A</v>
      </c>
      <c r="F1373" s="189" t="e">
        <v>#N/A</v>
      </c>
      <c r="G1373" s="189" t="e">
        <v>#N/A</v>
      </c>
      <c r="H1373" s="189" t="e">
        <v>#N/A</v>
      </c>
      <c r="I1373" s="189" t="e">
        <v>#N/A</v>
      </c>
      <c r="J1373" s="189" t="e">
        <v>#N/A</v>
      </c>
      <c r="K1373" s="204" t="e">
        <v>#N/A</v>
      </c>
      <c r="L1373" s="204" t="e">
        <v>#N/A</v>
      </c>
      <c r="M1373" s="205" t="e">
        <v>#N/A</v>
      </c>
      <c r="N1373" s="205" t="e">
        <v>#N/A</v>
      </c>
      <c r="O1373" s="205" t="e">
        <v>#N/A</v>
      </c>
      <c r="P1373" s="205" t="e">
        <v>#N/A</v>
      </c>
      <c r="Q1373" s="189" t="e">
        <v>#N/A</v>
      </c>
      <c r="R1373" s="189" t="e">
        <v>#N/A</v>
      </c>
      <c r="S1373" s="205" t="e">
        <v>#N/A</v>
      </c>
      <c r="T1373" s="206"/>
    </row>
    <row r="1374">
      <c r="C1374" s="189" t="e">
        <v>#N/A</v>
      </c>
      <c r="D1374" s="189" t="e">
        <v>#N/A</v>
      </c>
      <c r="E1374" s="189" t="e">
        <v>#N/A</v>
      </c>
      <c r="F1374" s="189" t="e">
        <v>#N/A</v>
      </c>
      <c r="G1374" s="189" t="e">
        <v>#N/A</v>
      </c>
      <c r="H1374" s="189" t="e">
        <v>#N/A</v>
      </c>
      <c r="I1374" s="189" t="e">
        <v>#N/A</v>
      </c>
      <c r="J1374" s="189" t="e">
        <v>#N/A</v>
      </c>
      <c r="K1374" s="204" t="e">
        <v>#N/A</v>
      </c>
      <c r="L1374" s="204" t="e">
        <v>#N/A</v>
      </c>
      <c r="M1374" s="205" t="e">
        <v>#N/A</v>
      </c>
      <c r="N1374" s="205" t="e">
        <v>#N/A</v>
      </c>
      <c r="O1374" s="205" t="e">
        <v>#N/A</v>
      </c>
      <c r="P1374" s="205" t="e">
        <v>#N/A</v>
      </c>
      <c r="Q1374" s="189" t="e">
        <v>#N/A</v>
      </c>
      <c r="R1374" s="189" t="e">
        <v>#N/A</v>
      </c>
      <c r="S1374" s="205" t="e">
        <v>#N/A</v>
      </c>
      <c r="T1374" s="206"/>
    </row>
    <row r="1375">
      <c r="C1375" s="189" t="e">
        <v>#N/A</v>
      </c>
      <c r="D1375" s="189" t="e">
        <v>#N/A</v>
      </c>
      <c r="E1375" s="189" t="e">
        <v>#N/A</v>
      </c>
      <c r="F1375" s="189" t="e">
        <v>#N/A</v>
      </c>
      <c r="G1375" s="189" t="e">
        <v>#N/A</v>
      </c>
      <c r="H1375" s="189" t="e">
        <v>#N/A</v>
      </c>
      <c r="I1375" s="189" t="e">
        <v>#N/A</v>
      </c>
      <c r="J1375" s="189" t="e">
        <v>#N/A</v>
      </c>
      <c r="K1375" s="204" t="e">
        <v>#N/A</v>
      </c>
      <c r="L1375" s="204" t="e">
        <v>#N/A</v>
      </c>
      <c r="M1375" s="205" t="e">
        <v>#N/A</v>
      </c>
      <c r="N1375" s="205" t="e">
        <v>#N/A</v>
      </c>
      <c r="O1375" s="205" t="e">
        <v>#N/A</v>
      </c>
      <c r="P1375" s="205" t="e">
        <v>#N/A</v>
      </c>
      <c r="Q1375" s="189" t="e">
        <v>#N/A</v>
      </c>
      <c r="R1375" s="189" t="e">
        <v>#N/A</v>
      </c>
      <c r="S1375" s="205" t="e">
        <v>#N/A</v>
      </c>
      <c r="T1375" s="206"/>
    </row>
    <row r="1376">
      <c r="C1376" s="189" t="e">
        <v>#N/A</v>
      </c>
      <c r="D1376" s="189" t="e">
        <v>#N/A</v>
      </c>
      <c r="E1376" s="189" t="e">
        <v>#N/A</v>
      </c>
      <c r="F1376" s="189" t="e">
        <v>#N/A</v>
      </c>
      <c r="G1376" s="189" t="e">
        <v>#N/A</v>
      </c>
      <c r="H1376" s="189" t="e">
        <v>#N/A</v>
      </c>
      <c r="I1376" s="189" t="e">
        <v>#N/A</v>
      </c>
      <c r="J1376" s="189" t="e">
        <v>#N/A</v>
      </c>
      <c r="K1376" s="204" t="e">
        <v>#N/A</v>
      </c>
      <c r="L1376" s="204" t="e">
        <v>#N/A</v>
      </c>
      <c r="M1376" s="205" t="e">
        <v>#N/A</v>
      </c>
      <c r="N1376" s="205" t="e">
        <v>#N/A</v>
      </c>
      <c r="O1376" s="205" t="e">
        <v>#N/A</v>
      </c>
      <c r="P1376" s="205" t="e">
        <v>#N/A</v>
      </c>
      <c r="Q1376" s="189" t="e">
        <v>#N/A</v>
      </c>
      <c r="R1376" s="189" t="e">
        <v>#N/A</v>
      </c>
      <c r="S1376" s="205" t="e">
        <v>#N/A</v>
      </c>
      <c r="T1376" s="206"/>
    </row>
    <row r="1377">
      <c r="C1377" s="189" t="e">
        <v>#N/A</v>
      </c>
      <c r="D1377" s="189" t="e">
        <v>#N/A</v>
      </c>
      <c r="E1377" s="189" t="e">
        <v>#N/A</v>
      </c>
      <c r="F1377" s="189" t="e">
        <v>#N/A</v>
      </c>
      <c r="G1377" s="189" t="e">
        <v>#N/A</v>
      </c>
      <c r="H1377" s="189" t="e">
        <v>#N/A</v>
      </c>
      <c r="I1377" s="189" t="e">
        <v>#N/A</v>
      </c>
      <c r="J1377" s="189" t="e">
        <v>#N/A</v>
      </c>
      <c r="K1377" s="204" t="e">
        <v>#N/A</v>
      </c>
      <c r="L1377" s="204" t="e">
        <v>#N/A</v>
      </c>
      <c r="M1377" s="205" t="e">
        <v>#N/A</v>
      </c>
      <c r="N1377" s="205" t="e">
        <v>#N/A</v>
      </c>
      <c r="O1377" s="205" t="e">
        <v>#N/A</v>
      </c>
      <c r="P1377" s="205" t="e">
        <v>#N/A</v>
      </c>
      <c r="Q1377" s="189" t="e">
        <v>#N/A</v>
      </c>
      <c r="R1377" s="189" t="e">
        <v>#N/A</v>
      </c>
      <c r="S1377" s="205" t="e">
        <v>#N/A</v>
      </c>
      <c r="T1377" s="206"/>
    </row>
    <row r="1378">
      <c r="C1378" s="189" t="e">
        <v>#N/A</v>
      </c>
      <c r="D1378" s="189" t="e">
        <v>#N/A</v>
      </c>
      <c r="E1378" s="189" t="e">
        <v>#N/A</v>
      </c>
      <c r="F1378" s="189" t="e">
        <v>#N/A</v>
      </c>
      <c r="G1378" s="189" t="e">
        <v>#N/A</v>
      </c>
      <c r="H1378" s="189" t="e">
        <v>#N/A</v>
      </c>
      <c r="I1378" s="189" t="e">
        <v>#N/A</v>
      </c>
      <c r="J1378" s="189" t="e">
        <v>#N/A</v>
      </c>
      <c r="K1378" s="204" t="e">
        <v>#N/A</v>
      </c>
      <c r="L1378" s="204" t="e">
        <v>#N/A</v>
      </c>
      <c r="M1378" s="205" t="e">
        <v>#N/A</v>
      </c>
      <c r="N1378" s="205" t="e">
        <v>#N/A</v>
      </c>
      <c r="O1378" s="205" t="e">
        <v>#N/A</v>
      </c>
      <c r="P1378" s="205" t="e">
        <v>#N/A</v>
      </c>
      <c r="Q1378" s="189" t="e">
        <v>#N/A</v>
      </c>
      <c r="R1378" s="189" t="e">
        <v>#N/A</v>
      </c>
      <c r="S1378" s="205" t="e">
        <v>#N/A</v>
      </c>
      <c r="T1378" s="206"/>
    </row>
    <row r="1379">
      <c r="C1379" s="189" t="e">
        <v>#N/A</v>
      </c>
      <c r="D1379" s="189" t="e">
        <v>#N/A</v>
      </c>
      <c r="E1379" s="189" t="e">
        <v>#N/A</v>
      </c>
      <c r="F1379" s="189" t="e">
        <v>#N/A</v>
      </c>
      <c r="G1379" s="189" t="e">
        <v>#N/A</v>
      </c>
      <c r="H1379" s="189" t="e">
        <v>#N/A</v>
      </c>
      <c r="I1379" s="189" t="e">
        <v>#N/A</v>
      </c>
      <c r="J1379" s="189" t="e">
        <v>#N/A</v>
      </c>
      <c r="K1379" s="204" t="e">
        <v>#N/A</v>
      </c>
      <c r="L1379" s="204" t="e">
        <v>#N/A</v>
      </c>
      <c r="M1379" s="205" t="e">
        <v>#N/A</v>
      </c>
      <c r="N1379" s="205" t="e">
        <v>#N/A</v>
      </c>
      <c r="O1379" s="205" t="e">
        <v>#N/A</v>
      </c>
      <c r="P1379" s="205" t="e">
        <v>#N/A</v>
      </c>
      <c r="Q1379" s="189" t="e">
        <v>#N/A</v>
      </c>
      <c r="R1379" s="189" t="e">
        <v>#N/A</v>
      </c>
      <c r="S1379" s="205" t="e">
        <v>#N/A</v>
      </c>
      <c r="T1379" s="206"/>
    </row>
    <row r="1380">
      <c r="C1380" s="189" t="e">
        <v>#N/A</v>
      </c>
      <c r="D1380" s="189" t="e">
        <v>#N/A</v>
      </c>
      <c r="E1380" s="189" t="e">
        <v>#N/A</v>
      </c>
      <c r="F1380" s="189" t="e">
        <v>#N/A</v>
      </c>
      <c r="G1380" s="189" t="e">
        <v>#N/A</v>
      </c>
      <c r="H1380" s="189" t="e">
        <v>#N/A</v>
      </c>
      <c r="I1380" s="189" t="e">
        <v>#N/A</v>
      </c>
      <c r="J1380" s="189" t="e">
        <v>#N/A</v>
      </c>
      <c r="K1380" s="204" t="e">
        <v>#N/A</v>
      </c>
      <c r="L1380" s="204" t="e">
        <v>#N/A</v>
      </c>
      <c r="M1380" s="205" t="e">
        <v>#N/A</v>
      </c>
      <c r="N1380" s="205" t="e">
        <v>#N/A</v>
      </c>
      <c r="O1380" s="205" t="e">
        <v>#N/A</v>
      </c>
      <c r="P1380" s="205" t="e">
        <v>#N/A</v>
      </c>
      <c r="Q1380" s="189" t="e">
        <v>#N/A</v>
      </c>
      <c r="R1380" s="189" t="e">
        <v>#N/A</v>
      </c>
      <c r="S1380" s="205" t="e">
        <v>#N/A</v>
      </c>
      <c r="T1380" s="206"/>
    </row>
    <row r="1381">
      <c r="C1381" s="189" t="e">
        <v>#N/A</v>
      </c>
      <c r="D1381" s="189" t="e">
        <v>#N/A</v>
      </c>
      <c r="E1381" s="189" t="e">
        <v>#N/A</v>
      </c>
      <c r="F1381" s="189" t="e">
        <v>#N/A</v>
      </c>
      <c r="G1381" s="189" t="e">
        <v>#N/A</v>
      </c>
      <c r="H1381" s="189" t="e">
        <v>#N/A</v>
      </c>
      <c r="I1381" s="189" t="e">
        <v>#N/A</v>
      </c>
      <c r="J1381" s="189" t="e">
        <v>#N/A</v>
      </c>
      <c r="K1381" s="204" t="e">
        <v>#N/A</v>
      </c>
      <c r="L1381" s="204" t="e">
        <v>#N/A</v>
      </c>
      <c r="M1381" s="205" t="e">
        <v>#N/A</v>
      </c>
      <c r="N1381" s="205" t="e">
        <v>#N/A</v>
      </c>
      <c r="O1381" s="205" t="e">
        <v>#N/A</v>
      </c>
      <c r="P1381" s="205" t="e">
        <v>#N/A</v>
      </c>
      <c r="Q1381" s="189" t="e">
        <v>#N/A</v>
      </c>
      <c r="R1381" s="189" t="e">
        <v>#N/A</v>
      </c>
      <c r="S1381" s="205" t="e">
        <v>#N/A</v>
      </c>
      <c r="T1381" s="206"/>
    </row>
    <row r="1382">
      <c r="C1382" s="189" t="e">
        <v>#N/A</v>
      </c>
      <c r="D1382" s="189" t="e">
        <v>#N/A</v>
      </c>
      <c r="E1382" s="189" t="e">
        <v>#N/A</v>
      </c>
      <c r="F1382" s="189" t="e">
        <v>#N/A</v>
      </c>
      <c r="G1382" s="189" t="e">
        <v>#N/A</v>
      </c>
      <c r="H1382" s="189" t="e">
        <v>#N/A</v>
      </c>
      <c r="I1382" s="189" t="e">
        <v>#N/A</v>
      </c>
      <c r="J1382" s="189" t="e">
        <v>#N/A</v>
      </c>
      <c r="K1382" s="204" t="e">
        <v>#N/A</v>
      </c>
      <c r="L1382" s="204" t="e">
        <v>#N/A</v>
      </c>
      <c r="M1382" s="205" t="e">
        <v>#N/A</v>
      </c>
      <c r="N1382" s="205" t="e">
        <v>#N/A</v>
      </c>
      <c r="O1382" s="205" t="e">
        <v>#N/A</v>
      </c>
      <c r="P1382" s="205" t="e">
        <v>#N/A</v>
      </c>
      <c r="Q1382" s="189" t="e">
        <v>#N/A</v>
      </c>
      <c r="R1382" s="189" t="e">
        <v>#N/A</v>
      </c>
      <c r="S1382" s="205" t="e">
        <v>#N/A</v>
      </c>
      <c r="T1382" s="206"/>
    </row>
    <row r="1383">
      <c r="C1383" s="189" t="e">
        <v>#N/A</v>
      </c>
      <c r="D1383" s="189" t="e">
        <v>#N/A</v>
      </c>
      <c r="E1383" s="189" t="e">
        <v>#N/A</v>
      </c>
      <c r="F1383" s="189" t="e">
        <v>#N/A</v>
      </c>
      <c r="G1383" s="189" t="e">
        <v>#N/A</v>
      </c>
      <c r="H1383" s="189" t="e">
        <v>#N/A</v>
      </c>
      <c r="I1383" s="189" t="e">
        <v>#N/A</v>
      </c>
      <c r="J1383" s="189" t="e">
        <v>#N/A</v>
      </c>
      <c r="K1383" s="204" t="e">
        <v>#N/A</v>
      </c>
      <c r="L1383" s="204" t="e">
        <v>#N/A</v>
      </c>
      <c r="M1383" s="205" t="e">
        <v>#N/A</v>
      </c>
      <c r="N1383" s="205" t="e">
        <v>#N/A</v>
      </c>
      <c r="O1383" s="205" t="e">
        <v>#N/A</v>
      </c>
      <c r="P1383" s="205" t="e">
        <v>#N/A</v>
      </c>
      <c r="Q1383" s="189" t="e">
        <v>#N/A</v>
      </c>
      <c r="R1383" s="189" t="e">
        <v>#N/A</v>
      </c>
      <c r="S1383" s="205" t="e">
        <v>#N/A</v>
      </c>
      <c r="T1383" s="206"/>
    </row>
    <row r="1384">
      <c r="C1384" s="189" t="e">
        <v>#N/A</v>
      </c>
      <c r="D1384" s="189" t="e">
        <v>#N/A</v>
      </c>
      <c r="E1384" s="189" t="e">
        <v>#N/A</v>
      </c>
      <c r="F1384" s="189" t="e">
        <v>#N/A</v>
      </c>
      <c r="G1384" s="189" t="e">
        <v>#N/A</v>
      </c>
      <c r="H1384" s="189" t="e">
        <v>#N/A</v>
      </c>
      <c r="I1384" s="189" t="e">
        <v>#N/A</v>
      </c>
      <c r="J1384" s="189" t="e">
        <v>#N/A</v>
      </c>
      <c r="K1384" s="204" t="e">
        <v>#N/A</v>
      </c>
      <c r="L1384" s="204" t="e">
        <v>#N/A</v>
      </c>
      <c r="M1384" s="205" t="e">
        <v>#N/A</v>
      </c>
      <c r="N1384" s="205" t="e">
        <v>#N/A</v>
      </c>
      <c r="O1384" s="205" t="e">
        <v>#N/A</v>
      </c>
      <c r="P1384" s="205" t="e">
        <v>#N/A</v>
      </c>
      <c r="Q1384" s="189" t="e">
        <v>#N/A</v>
      </c>
      <c r="R1384" s="189" t="e">
        <v>#N/A</v>
      </c>
      <c r="S1384" s="205" t="e">
        <v>#N/A</v>
      </c>
      <c r="T1384" s="206"/>
    </row>
    <row r="1385">
      <c r="C1385" s="189" t="e">
        <v>#N/A</v>
      </c>
      <c r="D1385" s="189" t="e">
        <v>#N/A</v>
      </c>
      <c r="E1385" s="189" t="e">
        <v>#N/A</v>
      </c>
      <c r="F1385" s="189" t="e">
        <v>#N/A</v>
      </c>
      <c r="G1385" s="189" t="e">
        <v>#N/A</v>
      </c>
      <c r="H1385" s="189" t="e">
        <v>#N/A</v>
      </c>
      <c r="I1385" s="189" t="e">
        <v>#N/A</v>
      </c>
      <c r="J1385" s="189" t="e">
        <v>#N/A</v>
      </c>
      <c r="K1385" s="204" t="e">
        <v>#N/A</v>
      </c>
      <c r="L1385" s="204" t="e">
        <v>#N/A</v>
      </c>
      <c r="M1385" s="205" t="e">
        <v>#N/A</v>
      </c>
      <c r="N1385" s="205" t="e">
        <v>#N/A</v>
      </c>
      <c r="O1385" s="205" t="e">
        <v>#N/A</v>
      </c>
      <c r="P1385" s="205" t="e">
        <v>#N/A</v>
      </c>
      <c r="Q1385" s="189" t="e">
        <v>#N/A</v>
      </c>
      <c r="R1385" s="189" t="e">
        <v>#N/A</v>
      </c>
      <c r="S1385" s="205" t="e">
        <v>#N/A</v>
      </c>
      <c r="T1385" s="206"/>
    </row>
    <row r="1386">
      <c r="C1386" s="189" t="e">
        <v>#N/A</v>
      </c>
      <c r="D1386" s="189" t="e">
        <v>#N/A</v>
      </c>
      <c r="E1386" s="189" t="e">
        <v>#N/A</v>
      </c>
      <c r="F1386" s="189" t="e">
        <v>#N/A</v>
      </c>
      <c r="G1386" s="189" t="e">
        <v>#N/A</v>
      </c>
      <c r="H1386" s="189" t="e">
        <v>#N/A</v>
      </c>
      <c r="I1386" s="189" t="e">
        <v>#N/A</v>
      </c>
      <c r="J1386" s="189" t="e">
        <v>#N/A</v>
      </c>
      <c r="K1386" s="204" t="e">
        <v>#N/A</v>
      </c>
      <c r="L1386" s="204" t="e">
        <v>#N/A</v>
      </c>
      <c r="M1386" s="205" t="e">
        <v>#N/A</v>
      </c>
      <c r="N1386" s="205" t="e">
        <v>#N/A</v>
      </c>
      <c r="O1386" s="205" t="e">
        <v>#N/A</v>
      </c>
      <c r="P1386" s="205" t="e">
        <v>#N/A</v>
      </c>
      <c r="Q1386" s="189" t="e">
        <v>#N/A</v>
      </c>
      <c r="R1386" s="189" t="e">
        <v>#N/A</v>
      </c>
      <c r="S1386" s="205" t="e">
        <v>#N/A</v>
      </c>
      <c r="T1386" s="206"/>
    </row>
    <row r="1387">
      <c r="C1387" s="189" t="e">
        <v>#N/A</v>
      </c>
      <c r="D1387" s="189" t="e">
        <v>#N/A</v>
      </c>
      <c r="E1387" s="189" t="e">
        <v>#N/A</v>
      </c>
      <c r="F1387" s="189" t="e">
        <v>#N/A</v>
      </c>
      <c r="G1387" s="189" t="e">
        <v>#N/A</v>
      </c>
      <c r="H1387" s="189" t="e">
        <v>#N/A</v>
      </c>
      <c r="I1387" s="189" t="e">
        <v>#N/A</v>
      </c>
      <c r="J1387" s="189" t="e">
        <v>#N/A</v>
      </c>
      <c r="K1387" s="204" t="e">
        <v>#N/A</v>
      </c>
      <c r="L1387" s="204" t="e">
        <v>#N/A</v>
      </c>
      <c r="M1387" s="205" t="e">
        <v>#N/A</v>
      </c>
      <c r="N1387" s="205" t="e">
        <v>#N/A</v>
      </c>
      <c r="O1387" s="205" t="e">
        <v>#N/A</v>
      </c>
      <c r="P1387" s="205" t="e">
        <v>#N/A</v>
      </c>
      <c r="Q1387" s="189" t="e">
        <v>#N/A</v>
      </c>
      <c r="R1387" s="189" t="e">
        <v>#N/A</v>
      </c>
      <c r="S1387" s="205" t="e">
        <v>#N/A</v>
      </c>
      <c r="T1387" s="206"/>
    </row>
    <row r="1388">
      <c r="C1388" s="189" t="e">
        <v>#N/A</v>
      </c>
      <c r="D1388" s="189" t="e">
        <v>#N/A</v>
      </c>
      <c r="E1388" s="189" t="e">
        <v>#N/A</v>
      </c>
      <c r="F1388" s="189" t="e">
        <v>#N/A</v>
      </c>
      <c r="G1388" s="189" t="e">
        <v>#N/A</v>
      </c>
      <c r="H1388" s="189" t="e">
        <v>#N/A</v>
      </c>
      <c r="I1388" s="189" t="e">
        <v>#N/A</v>
      </c>
      <c r="J1388" s="189" t="e">
        <v>#N/A</v>
      </c>
      <c r="K1388" s="204" t="e">
        <v>#N/A</v>
      </c>
      <c r="L1388" s="204" t="e">
        <v>#N/A</v>
      </c>
      <c r="M1388" s="205" t="e">
        <v>#N/A</v>
      </c>
      <c r="N1388" s="205" t="e">
        <v>#N/A</v>
      </c>
      <c r="O1388" s="205" t="e">
        <v>#N/A</v>
      </c>
      <c r="P1388" s="205" t="e">
        <v>#N/A</v>
      </c>
      <c r="Q1388" s="189" t="e">
        <v>#N/A</v>
      </c>
      <c r="R1388" s="189" t="e">
        <v>#N/A</v>
      </c>
      <c r="S1388" s="205" t="e">
        <v>#N/A</v>
      </c>
      <c r="T1388" s="206"/>
    </row>
    <row r="1389">
      <c r="C1389" s="189" t="e">
        <v>#N/A</v>
      </c>
      <c r="D1389" s="189" t="e">
        <v>#N/A</v>
      </c>
      <c r="E1389" s="189" t="e">
        <v>#N/A</v>
      </c>
      <c r="F1389" s="189" t="e">
        <v>#N/A</v>
      </c>
      <c r="G1389" s="189" t="e">
        <v>#N/A</v>
      </c>
      <c r="H1389" s="189" t="e">
        <v>#N/A</v>
      </c>
      <c r="I1389" s="189" t="e">
        <v>#N/A</v>
      </c>
      <c r="J1389" s="189" t="e">
        <v>#N/A</v>
      </c>
      <c r="K1389" s="204" t="e">
        <v>#N/A</v>
      </c>
      <c r="L1389" s="204" t="e">
        <v>#N/A</v>
      </c>
      <c r="M1389" s="205" t="e">
        <v>#N/A</v>
      </c>
      <c r="N1389" s="205" t="e">
        <v>#N/A</v>
      </c>
      <c r="O1389" s="205" t="e">
        <v>#N/A</v>
      </c>
      <c r="P1389" s="205" t="e">
        <v>#N/A</v>
      </c>
      <c r="Q1389" s="189" t="e">
        <v>#N/A</v>
      </c>
      <c r="R1389" s="189" t="e">
        <v>#N/A</v>
      </c>
      <c r="S1389" s="205" t="e">
        <v>#N/A</v>
      </c>
      <c r="T1389" s="206"/>
    </row>
    <row r="1390">
      <c r="C1390" s="189" t="e">
        <v>#N/A</v>
      </c>
      <c r="D1390" s="189" t="e">
        <v>#N/A</v>
      </c>
      <c r="E1390" s="189" t="e">
        <v>#N/A</v>
      </c>
      <c r="F1390" s="189" t="e">
        <v>#N/A</v>
      </c>
      <c r="G1390" s="189" t="e">
        <v>#N/A</v>
      </c>
      <c r="H1390" s="189" t="e">
        <v>#N/A</v>
      </c>
      <c r="I1390" s="189" t="e">
        <v>#N/A</v>
      </c>
      <c r="J1390" s="189" t="e">
        <v>#N/A</v>
      </c>
      <c r="K1390" s="204" t="e">
        <v>#N/A</v>
      </c>
      <c r="L1390" s="204" t="e">
        <v>#N/A</v>
      </c>
      <c r="M1390" s="205" t="e">
        <v>#N/A</v>
      </c>
      <c r="N1390" s="205" t="e">
        <v>#N/A</v>
      </c>
      <c r="O1390" s="205" t="e">
        <v>#N/A</v>
      </c>
      <c r="P1390" s="205" t="e">
        <v>#N/A</v>
      </c>
      <c r="Q1390" s="189" t="e">
        <v>#N/A</v>
      </c>
      <c r="R1390" s="189" t="e">
        <v>#N/A</v>
      </c>
      <c r="S1390" s="205" t="e">
        <v>#N/A</v>
      </c>
      <c r="T1390" s="206"/>
    </row>
    <row r="1391">
      <c r="C1391" s="189" t="e">
        <v>#N/A</v>
      </c>
      <c r="D1391" s="189" t="e">
        <v>#N/A</v>
      </c>
      <c r="E1391" s="189" t="e">
        <v>#N/A</v>
      </c>
      <c r="F1391" s="189" t="e">
        <v>#N/A</v>
      </c>
      <c r="G1391" s="189" t="e">
        <v>#N/A</v>
      </c>
      <c r="H1391" s="189" t="e">
        <v>#N/A</v>
      </c>
      <c r="I1391" s="189" t="e">
        <v>#N/A</v>
      </c>
      <c r="J1391" s="189" t="e">
        <v>#N/A</v>
      </c>
      <c r="K1391" s="204" t="e">
        <v>#N/A</v>
      </c>
      <c r="L1391" s="204" t="e">
        <v>#N/A</v>
      </c>
      <c r="M1391" s="205" t="e">
        <v>#N/A</v>
      </c>
      <c r="N1391" s="205" t="e">
        <v>#N/A</v>
      </c>
      <c r="O1391" s="205" t="e">
        <v>#N/A</v>
      </c>
      <c r="P1391" s="205" t="e">
        <v>#N/A</v>
      </c>
      <c r="Q1391" s="189" t="e">
        <v>#N/A</v>
      </c>
      <c r="R1391" s="189" t="e">
        <v>#N/A</v>
      </c>
      <c r="S1391" s="205" t="e">
        <v>#N/A</v>
      </c>
      <c r="T1391" s="206"/>
    </row>
    <row r="1392">
      <c r="C1392" s="189" t="e">
        <v>#N/A</v>
      </c>
      <c r="D1392" s="189" t="e">
        <v>#N/A</v>
      </c>
      <c r="E1392" s="189" t="e">
        <v>#N/A</v>
      </c>
      <c r="F1392" s="189" t="e">
        <v>#N/A</v>
      </c>
      <c r="G1392" s="189" t="e">
        <v>#N/A</v>
      </c>
      <c r="H1392" s="189" t="e">
        <v>#N/A</v>
      </c>
      <c r="I1392" s="189" t="e">
        <v>#N/A</v>
      </c>
      <c r="J1392" s="189" t="e">
        <v>#N/A</v>
      </c>
      <c r="K1392" s="204" t="e">
        <v>#N/A</v>
      </c>
      <c r="L1392" s="204" t="e">
        <v>#N/A</v>
      </c>
      <c r="M1392" s="205" t="e">
        <v>#N/A</v>
      </c>
      <c r="N1392" s="205" t="e">
        <v>#N/A</v>
      </c>
      <c r="O1392" s="205" t="e">
        <v>#N/A</v>
      </c>
      <c r="P1392" s="205" t="e">
        <v>#N/A</v>
      </c>
      <c r="Q1392" s="189" t="e">
        <v>#N/A</v>
      </c>
      <c r="R1392" s="189" t="e">
        <v>#N/A</v>
      </c>
      <c r="S1392" s="205" t="e">
        <v>#N/A</v>
      </c>
      <c r="T1392" s="206"/>
    </row>
    <row r="1393">
      <c r="C1393" s="189" t="e">
        <v>#N/A</v>
      </c>
      <c r="D1393" s="189" t="e">
        <v>#N/A</v>
      </c>
      <c r="E1393" s="189" t="e">
        <v>#N/A</v>
      </c>
      <c r="F1393" s="189" t="e">
        <v>#N/A</v>
      </c>
      <c r="G1393" s="189" t="e">
        <v>#N/A</v>
      </c>
      <c r="H1393" s="189" t="e">
        <v>#N/A</v>
      </c>
      <c r="I1393" s="189" t="e">
        <v>#N/A</v>
      </c>
      <c r="J1393" s="189" t="e">
        <v>#N/A</v>
      </c>
      <c r="K1393" s="204" t="e">
        <v>#N/A</v>
      </c>
      <c r="L1393" s="204" t="e">
        <v>#N/A</v>
      </c>
      <c r="M1393" s="205" t="e">
        <v>#N/A</v>
      </c>
      <c r="N1393" s="205" t="e">
        <v>#N/A</v>
      </c>
      <c r="O1393" s="205" t="e">
        <v>#N/A</v>
      </c>
      <c r="P1393" s="205" t="e">
        <v>#N/A</v>
      </c>
      <c r="Q1393" s="189" t="e">
        <v>#N/A</v>
      </c>
      <c r="R1393" s="189" t="e">
        <v>#N/A</v>
      </c>
      <c r="S1393" s="205" t="e">
        <v>#N/A</v>
      </c>
      <c r="T1393" s="206"/>
    </row>
    <row r="1394">
      <c r="C1394" s="189" t="e">
        <v>#N/A</v>
      </c>
      <c r="D1394" s="189" t="e">
        <v>#N/A</v>
      </c>
      <c r="E1394" s="189" t="e">
        <v>#N/A</v>
      </c>
      <c r="F1394" s="189" t="e">
        <v>#N/A</v>
      </c>
      <c r="G1394" s="189" t="e">
        <v>#N/A</v>
      </c>
      <c r="H1394" s="189" t="e">
        <v>#N/A</v>
      </c>
      <c r="I1394" s="189" t="e">
        <v>#N/A</v>
      </c>
      <c r="J1394" s="189" t="e">
        <v>#N/A</v>
      </c>
      <c r="K1394" s="204" t="e">
        <v>#N/A</v>
      </c>
      <c r="L1394" s="204" t="e">
        <v>#N/A</v>
      </c>
      <c r="M1394" s="205" t="e">
        <v>#N/A</v>
      </c>
      <c r="N1394" s="205" t="e">
        <v>#N/A</v>
      </c>
      <c r="O1394" s="205" t="e">
        <v>#N/A</v>
      </c>
      <c r="P1394" s="205" t="e">
        <v>#N/A</v>
      </c>
      <c r="Q1394" s="189" t="e">
        <v>#N/A</v>
      </c>
      <c r="R1394" s="189" t="e">
        <v>#N/A</v>
      </c>
      <c r="S1394" s="205" t="e">
        <v>#N/A</v>
      </c>
      <c r="T1394" s="206"/>
    </row>
    <row r="1395">
      <c r="C1395" s="189" t="e">
        <v>#N/A</v>
      </c>
      <c r="D1395" s="189" t="e">
        <v>#N/A</v>
      </c>
      <c r="E1395" s="189" t="e">
        <v>#N/A</v>
      </c>
      <c r="F1395" s="189" t="e">
        <v>#N/A</v>
      </c>
      <c r="G1395" s="189" t="e">
        <v>#N/A</v>
      </c>
      <c r="H1395" s="189" t="e">
        <v>#N/A</v>
      </c>
      <c r="I1395" s="189" t="e">
        <v>#N/A</v>
      </c>
      <c r="J1395" s="189" t="e">
        <v>#N/A</v>
      </c>
      <c r="K1395" s="204" t="e">
        <v>#N/A</v>
      </c>
      <c r="L1395" s="204" t="e">
        <v>#N/A</v>
      </c>
      <c r="M1395" s="205" t="e">
        <v>#N/A</v>
      </c>
      <c r="N1395" s="205" t="e">
        <v>#N/A</v>
      </c>
      <c r="O1395" s="205" t="e">
        <v>#N/A</v>
      </c>
      <c r="P1395" s="205" t="e">
        <v>#N/A</v>
      </c>
      <c r="Q1395" s="189" t="e">
        <v>#N/A</v>
      </c>
      <c r="R1395" s="189" t="e">
        <v>#N/A</v>
      </c>
      <c r="S1395" s="205" t="e">
        <v>#N/A</v>
      </c>
      <c r="T1395" s="206"/>
    </row>
    <row r="1396">
      <c r="C1396" s="189" t="e">
        <v>#N/A</v>
      </c>
      <c r="D1396" s="189" t="e">
        <v>#N/A</v>
      </c>
      <c r="E1396" s="189" t="e">
        <v>#N/A</v>
      </c>
      <c r="F1396" s="189" t="e">
        <v>#N/A</v>
      </c>
      <c r="G1396" s="189" t="e">
        <v>#N/A</v>
      </c>
      <c r="H1396" s="189" t="e">
        <v>#N/A</v>
      </c>
      <c r="I1396" s="189" t="e">
        <v>#N/A</v>
      </c>
      <c r="J1396" s="189" t="e">
        <v>#N/A</v>
      </c>
      <c r="K1396" s="204" t="e">
        <v>#N/A</v>
      </c>
      <c r="L1396" s="204" t="e">
        <v>#N/A</v>
      </c>
      <c r="M1396" s="205" t="e">
        <v>#N/A</v>
      </c>
      <c r="N1396" s="205" t="e">
        <v>#N/A</v>
      </c>
      <c r="O1396" s="205" t="e">
        <v>#N/A</v>
      </c>
      <c r="P1396" s="205" t="e">
        <v>#N/A</v>
      </c>
      <c r="Q1396" s="189" t="e">
        <v>#N/A</v>
      </c>
      <c r="R1396" s="189" t="e">
        <v>#N/A</v>
      </c>
      <c r="S1396" s="205" t="e">
        <v>#N/A</v>
      </c>
      <c r="T1396" s="206"/>
    </row>
    <row r="1397">
      <c r="C1397" s="189" t="e">
        <v>#N/A</v>
      </c>
      <c r="D1397" s="189" t="e">
        <v>#N/A</v>
      </c>
      <c r="E1397" s="189" t="e">
        <v>#N/A</v>
      </c>
      <c r="F1397" s="189" t="e">
        <v>#N/A</v>
      </c>
      <c r="G1397" s="189" t="e">
        <v>#N/A</v>
      </c>
      <c r="H1397" s="189" t="e">
        <v>#N/A</v>
      </c>
      <c r="I1397" s="189" t="e">
        <v>#N/A</v>
      </c>
      <c r="J1397" s="189" t="e">
        <v>#N/A</v>
      </c>
      <c r="K1397" s="204" t="e">
        <v>#N/A</v>
      </c>
      <c r="L1397" s="204" t="e">
        <v>#N/A</v>
      </c>
      <c r="M1397" s="205" t="e">
        <v>#N/A</v>
      </c>
      <c r="N1397" s="205" t="e">
        <v>#N/A</v>
      </c>
      <c r="O1397" s="205" t="e">
        <v>#N/A</v>
      </c>
      <c r="P1397" s="205" t="e">
        <v>#N/A</v>
      </c>
      <c r="Q1397" s="189" t="e">
        <v>#N/A</v>
      </c>
      <c r="R1397" s="189" t="e">
        <v>#N/A</v>
      </c>
      <c r="S1397" s="205" t="e">
        <v>#N/A</v>
      </c>
      <c r="T1397" s="206"/>
    </row>
    <row r="1398">
      <c r="C1398" s="189" t="e">
        <v>#N/A</v>
      </c>
      <c r="D1398" s="189" t="e">
        <v>#N/A</v>
      </c>
      <c r="E1398" s="189" t="e">
        <v>#N/A</v>
      </c>
      <c r="F1398" s="189" t="e">
        <v>#N/A</v>
      </c>
      <c r="G1398" s="189" t="e">
        <v>#N/A</v>
      </c>
      <c r="H1398" s="189" t="e">
        <v>#N/A</v>
      </c>
      <c r="I1398" s="189" t="e">
        <v>#N/A</v>
      </c>
      <c r="J1398" s="189" t="e">
        <v>#N/A</v>
      </c>
      <c r="K1398" s="204" t="e">
        <v>#N/A</v>
      </c>
      <c r="L1398" s="204" t="e">
        <v>#N/A</v>
      </c>
      <c r="M1398" s="205" t="e">
        <v>#N/A</v>
      </c>
      <c r="N1398" s="205" t="e">
        <v>#N/A</v>
      </c>
      <c r="O1398" s="205" t="e">
        <v>#N/A</v>
      </c>
      <c r="P1398" s="205" t="e">
        <v>#N/A</v>
      </c>
      <c r="Q1398" s="189" t="e">
        <v>#N/A</v>
      </c>
      <c r="R1398" s="189" t="e">
        <v>#N/A</v>
      </c>
      <c r="S1398" s="205" t="e">
        <v>#N/A</v>
      </c>
      <c r="T1398" s="206"/>
    </row>
    <row r="1399">
      <c r="C1399" s="189" t="e">
        <v>#N/A</v>
      </c>
      <c r="D1399" s="189" t="e">
        <v>#N/A</v>
      </c>
      <c r="E1399" s="189" t="e">
        <v>#N/A</v>
      </c>
      <c r="F1399" s="189" t="e">
        <v>#N/A</v>
      </c>
      <c r="G1399" s="189" t="e">
        <v>#N/A</v>
      </c>
      <c r="H1399" s="189" t="e">
        <v>#N/A</v>
      </c>
      <c r="I1399" s="189" t="e">
        <v>#N/A</v>
      </c>
      <c r="J1399" s="189" t="e">
        <v>#N/A</v>
      </c>
      <c r="K1399" s="204" t="e">
        <v>#N/A</v>
      </c>
      <c r="L1399" s="204" t="e">
        <v>#N/A</v>
      </c>
      <c r="M1399" s="205" t="e">
        <v>#N/A</v>
      </c>
      <c r="N1399" s="205" t="e">
        <v>#N/A</v>
      </c>
      <c r="O1399" s="205" t="e">
        <v>#N/A</v>
      </c>
      <c r="P1399" s="205" t="e">
        <v>#N/A</v>
      </c>
      <c r="Q1399" s="189" t="e">
        <v>#N/A</v>
      </c>
      <c r="R1399" s="189" t="e">
        <v>#N/A</v>
      </c>
      <c r="S1399" s="205" t="e">
        <v>#N/A</v>
      </c>
      <c r="T1399" s="206"/>
    </row>
    <row r="1400">
      <c r="C1400" s="189" t="e">
        <v>#N/A</v>
      </c>
      <c r="D1400" s="189" t="e">
        <v>#N/A</v>
      </c>
      <c r="E1400" s="189" t="e">
        <v>#N/A</v>
      </c>
      <c r="F1400" s="189" t="e">
        <v>#N/A</v>
      </c>
      <c r="G1400" s="189" t="e">
        <v>#N/A</v>
      </c>
      <c r="H1400" s="189" t="e">
        <v>#N/A</v>
      </c>
      <c r="I1400" s="189" t="e">
        <v>#N/A</v>
      </c>
      <c r="J1400" s="189" t="e">
        <v>#N/A</v>
      </c>
      <c r="K1400" s="204" t="e">
        <v>#N/A</v>
      </c>
      <c r="L1400" s="204" t="e">
        <v>#N/A</v>
      </c>
      <c r="M1400" s="205" t="e">
        <v>#N/A</v>
      </c>
      <c r="N1400" s="205" t="e">
        <v>#N/A</v>
      </c>
      <c r="O1400" s="205" t="e">
        <v>#N/A</v>
      </c>
      <c r="P1400" s="205" t="e">
        <v>#N/A</v>
      </c>
      <c r="Q1400" s="189" t="e">
        <v>#N/A</v>
      </c>
      <c r="R1400" s="189" t="e">
        <v>#N/A</v>
      </c>
      <c r="S1400" s="205" t="e">
        <v>#N/A</v>
      </c>
      <c r="T1400" s="206"/>
    </row>
    <row r="1401">
      <c r="C1401" s="189" t="e">
        <v>#N/A</v>
      </c>
      <c r="D1401" s="189" t="e">
        <v>#N/A</v>
      </c>
      <c r="E1401" s="189" t="e">
        <v>#N/A</v>
      </c>
      <c r="F1401" s="189" t="e">
        <v>#N/A</v>
      </c>
      <c r="G1401" s="189" t="e">
        <v>#N/A</v>
      </c>
      <c r="H1401" s="189" t="e">
        <v>#N/A</v>
      </c>
      <c r="I1401" s="189" t="e">
        <v>#N/A</v>
      </c>
      <c r="J1401" s="189" t="e">
        <v>#N/A</v>
      </c>
      <c r="K1401" s="204" t="e">
        <v>#N/A</v>
      </c>
      <c r="L1401" s="204" t="e">
        <v>#N/A</v>
      </c>
      <c r="M1401" s="205" t="e">
        <v>#N/A</v>
      </c>
      <c r="N1401" s="205" t="e">
        <v>#N/A</v>
      </c>
      <c r="O1401" s="205" t="e">
        <v>#N/A</v>
      </c>
      <c r="P1401" s="205" t="e">
        <v>#N/A</v>
      </c>
      <c r="Q1401" s="189" t="e">
        <v>#N/A</v>
      </c>
      <c r="R1401" s="189" t="e">
        <v>#N/A</v>
      </c>
      <c r="S1401" s="205" t="e">
        <v>#N/A</v>
      </c>
      <c r="T1401" s="206"/>
    </row>
    <row r="1402">
      <c r="C1402" s="189" t="e">
        <v>#N/A</v>
      </c>
      <c r="D1402" s="189" t="e">
        <v>#N/A</v>
      </c>
      <c r="E1402" s="189" t="e">
        <v>#N/A</v>
      </c>
      <c r="F1402" s="189" t="e">
        <v>#N/A</v>
      </c>
      <c r="G1402" s="189" t="e">
        <v>#N/A</v>
      </c>
      <c r="H1402" s="189" t="e">
        <v>#N/A</v>
      </c>
      <c r="I1402" s="189" t="e">
        <v>#N/A</v>
      </c>
      <c r="J1402" s="189" t="e">
        <v>#N/A</v>
      </c>
      <c r="K1402" s="204" t="e">
        <v>#N/A</v>
      </c>
      <c r="L1402" s="204" t="e">
        <v>#N/A</v>
      </c>
      <c r="M1402" s="205" t="e">
        <v>#N/A</v>
      </c>
      <c r="N1402" s="205" t="e">
        <v>#N/A</v>
      </c>
      <c r="O1402" s="205" t="e">
        <v>#N/A</v>
      </c>
      <c r="P1402" s="205" t="e">
        <v>#N/A</v>
      </c>
      <c r="Q1402" s="189" t="e">
        <v>#N/A</v>
      </c>
      <c r="R1402" s="189" t="e">
        <v>#N/A</v>
      </c>
      <c r="S1402" s="205" t="e">
        <v>#N/A</v>
      </c>
      <c r="T1402" s="206"/>
    </row>
    <row r="1403">
      <c r="C1403" s="189" t="e">
        <v>#N/A</v>
      </c>
      <c r="D1403" s="189" t="e">
        <v>#N/A</v>
      </c>
      <c r="E1403" s="189" t="e">
        <v>#N/A</v>
      </c>
      <c r="F1403" s="189" t="e">
        <v>#N/A</v>
      </c>
      <c r="G1403" s="189" t="e">
        <v>#N/A</v>
      </c>
      <c r="H1403" s="189" t="e">
        <v>#N/A</v>
      </c>
      <c r="I1403" s="189" t="e">
        <v>#N/A</v>
      </c>
      <c r="J1403" s="189" t="e">
        <v>#N/A</v>
      </c>
      <c r="K1403" s="204" t="e">
        <v>#N/A</v>
      </c>
      <c r="L1403" s="204" t="e">
        <v>#N/A</v>
      </c>
      <c r="M1403" s="205" t="e">
        <v>#N/A</v>
      </c>
      <c r="N1403" s="205" t="e">
        <v>#N/A</v>
      </c>
      <c r="O1403" s="205" t="e">
        <v>#N/A</v>
      </c>
      <c r="P1403" s="205" t="e">
        <v>#N/A</v>
      </c>
      <c r="Q1403" s="189" t="e">
        <v>#N/A</v>
      </c>
      <c r="R1403" s="189" t="e">
        <v>#N/A</v>
      </c>
      <c r="S1403" s="205" t="e">
        <v>#N/A</v>
      </c>
      <c r="T1403" s="206"/>
    </row>
    <row r="1404">
      <c r="C1404" s="189" t="e">
        <v>#N/A</v>
      </c>
      <c r="D1404" s="189" t="e">
        <v>#N/A</v>
      </c>
      <c r="E1404" s="189" t="e">
        <v>#N/A</v>
      </c>
      <c r="F1404" s="189" t="e">
        <v>#N/A</v>
      </c>
      <c r="G1404" s="189" t="e">
        <v>#N/A</v>
      </c>
      <c r="H1404" s="189" t="e">
        <v>#N/A</v>
      </c>
      <c r="I1404" s="189" t="e">
        <v>#N/A</v>
      </c>
      <c r="J1404" s="189" t="e">
        <v>#N/A</v>
      </c>
      <c r="K1404" s="204" t="e">
        <v>#N/A</v>
      </c>
      <c r="L1404" s="204" t="e">
        <v>#N/A</v>
      </c>
      <c r="M1404" s="205" t="e">
        <v>#N/A</v>
      </c>
      <c r="N1404" s="205" t="e">
        <v>#N/A</v>
      </c>
      <c r="O1404" s="205" t="e">
        <v>#N/A</v>
      </c>
      <c r="P1404" s="205" t="e">
        <v>#N/A</v>
      </c>
      <c r="Q1404" s="189" t="e">
        <v>#N/A</v>
      </c>
      <c r="R1404" s="189" t="e">
        <v>#N/A</v>
      </c>
      <c r="S1404" s="205" t="e">
        <v>#N/A</v>
      </c>
      <c r="T1404" s="206"/>
    </row>
    <row r="1405">
      <c r="C1405" s="189" t="e">
        <v>#N/A</v>
      </c>
      <c r="D1405" s="189" t="e">
        <v>#N/A</v>
      </c>
      <c r="E1405" s="189" t="e">
        <v>#N/A</v>
      </c>
      <c r="F1405" s="189" t="e">
        <v>#N/A</v>
      </c>
      <c r="G1405" s="189" t="e">
        <v>#N/A</v>
      </c>
      <c r="H1405" s="189" t="e">
        <v>#N/A</v>
      </c>
      <c r="I1405" s="189" t="e">
        <v>#N/A</v>
      </c>
      <c r="J1405" s="189" t="e">
        <v>#N/A</v>
      </c>
      <c r="K1405" s="204" t="e">
        <v>#N/A</v>
      </c>
      <c r="L1405" s="204" t="e">
        <v>#N/A</v>
      </c>
      <c r="M1405" s="205" t="e">
        <v>#N/A</v>
      </c>
      <c r="N1405" s="205" t="e">
        <v>#N/A</v>
      </c>
      <c r="O1405" s="205" t="e">
        <v>#N/A</v>
      </c>
      <c r="P1405" s="205" t="e">
        <v>#N/A</v>
      </c>
      <c r="Q1405" s="189" t="e">
        <v>#N/A</v>
      </c>
      <c r="R1405" s="189" t="e">
        <v>#N/A</v>
      </c>
      <c r="S1405" s="205" t="e">
        <v>#N/A</v>
      </c>
      <c r="T1405" s="206"/>
    </row>
    <row r="1406">
      <c r="C1406" s="189" t="e">
        <v>#N/A</v>
      </c>
      <c r="D1406" s="189" t="e">
        <v>#N/A</v>
      </c>
      <c r="E1406" s="189" t="e">
        <v>#N/A</v>
      </c>
      <c r="F1406" s="189" t="e">
        <v>#N/A</v>
      </c>
      <c r="G1406" s="189" t="e">
        <v>#N/A</v>
      </c>
      <c r="H1406" s="189" t="e">
        <v>#N/A</v>
      </c>
      <c r="I1406" s="189" t="e">
        <v>#N/A</v>
      </c>
      <c r="J1406" s="189" t="e">
        <v>#N/A</v>
      </c>
      <c r="K1406" s="204" t="e">
        <v>#N/A</v>
      </c>
      <c r="L1406" s="204" t="e">
        <v>#N/A</v>
      </c>
      <c r="M1406" s="205" t="e">
        <v>#N/A</v>
      </c>
      <c r="N1406" s="205" t="e">
        <v>#N/A</v>
      </c>
      <c r="O1406" s="205" t="e">
        <v>#N/A</v>
      </c>
      <c r="P1406" s="205" t="e">
        <v>#N/A</v>
      </c>
      <c r="Q1406" s="189" t="e">
        <v>#N/A</v>
      </c>
      <c r="R1406" s="189" t="e">
        <v>#N/A</v>
      </c>
      <c r="S1406" s="205" t="e">
        <v>#N/A</v>
      </c>
      <c r="T1406" s="206"/>
    </row>
    <row r="1407">
      <c r="C1407" s="189" t="e">
        <v>#N/A</v>
      </c>
      <c r="D1407" s="189" t="e">
        <v>#N/A</v>
      </c>
      <c r="E1407" s="189" t="e">
        <v>#N/A</v>
      </c>
      <c r="F1407" s="189" t="e">
        <v>#N/A</v>
      </c>
      <c r="G1407" s="189" t="e">
        <v>#N/A</v>
      </c>
      <c r="H1407" s="189" t="e">
        <v>#N/A</v>
      </c>
      <c r="I1407" s="189" t="e">
        <v>#N/A</v>
      </c>
      <c r="J1407" s="189" t="e">
        <v>#N/A</v>
      </c>
      <c r="K1407" s="204" t="e">
        <v>#N/A</v>
      </c>
      <c r="L1407" s="204" t="e">
        <v>#N/A</v>
      </c>
      <c r="M1407" s="205" t="e">
        <v>#N/A</v>
      </c>
      <c r="N1407" s="205" t="e">
        <v>#N/A</v>
      </c>
      <c r="O1407" s="205" t="e">
        <v>#N/A</v>
      </c>
      <c r="P1407" s="205" t="e">
        <v>#N/A</v>
      </c>
      <c r="Q1407" s="189" t="e">
        <v>#N/A</v>
      </c>
      <c r="R1407" s="189" t="e">
        <v>#N/A</v>
      </c>
      <c r="S1407" s="205" t="e">
        <v>#N/A</v>
      </c>
      <c r="T1407" s="206"/>
    </row>
    <row r="1408">
      <c r="C1408" s="189" t="e">
        <v>#N/A</v>
      </c>
      <c r="D1408" s="189" t="e">
        <v>#N/A</v>
      </c>
      <c r="E1408" s="189" t="e">
        <v>#N/A</v>
      </c>
      <c r="F1408" s="189" t="e">
        <v>#N/A</v>
      </c>
      <c r="G1408" s="189" t="e">
        <v>#N/A</v>
      </c>
      <c r="H1408" s="189" t="e">
        <v>#N/A</v>
      </c>
      <c r="I1408" s="189" t="e">
        <v>#N/A</v>
      </c>
      <c r="J1408" s="189" t="e">
        <v>#N/A</v>
      </c>
      <c r="K1408" s="204" t="e">
        <v>#N/A</v>
      </c>
      <c r="L1408" s="204" t="e">
        <v>#N/A</v>
      </c>
      <c r="M1408" s="205" t="e">
        <v>#N/A</v>
      </c>
      <c r="N1408" s="205" t="e">
        <v>#N/A</v>
      </c>
      <c r="O1408" s="205" t="e">
        <v>#N/A</v>
      </c>
      <c r="P1408" s="205" t="e">
        <v>#N/A</v>
      </c>
      <c r="Q1408" s="189" t="e">
        <v>#N/A</v>
      </c>
      <c r="R1408" s="189" t="e">
        <v>#N/A</v>
      </c>
      <c r="S1408" s="205" t="e">
        <v>#N/A</v>
      </c>
      <c r="T1408" s="206"/>
    </row>
    <row r="1409">
      <c r="C1409" s="189" t="e">
        <v>#N/A</v>
      </c>
      <c r="D1409" s="189" t="e">
        <v>#N/A</v>
      </c>
      <c r="E1409" s="189" t="e">
        <v>#N/A</v>
      </c>
      <c r="F1409" s="189" t="e">
        <v>#N/A</v>
      </c>
      <c r="G1409" s="189" t="e">
        <v>#N/A</v>
      </c>
      <c r="H1409" s="189" t="e">
        <v>#N/A</v>
      </c>
      <c r="I1409" s="189" t="e">
        <v>#N/A</v>
      </c>
      <c r="J1409" s="189" t="e">
        <v>#N/A</v>
      </c>
      <c r="K1409" s="204" t="e">
        <v>#N/A</v>
      </c>
      <c r="L1409" s="204" t="e">
        <v>#N/A</v>
      </c>
      <c r="M1409" s="205" t="e">
        <v>#N/A</v>
      </c>
      <c r="N1409" s="205" t="e">
        <v>#N/A</v>
      </c>
      <c r="O1409" s="205" t="e">
        <v>#N/A</v>
      </c>
      <c r="P1409" s="205" t="e">
        <v>#N/A</v>
      </c>
      <c r="Q1409" s="189" t="e">
        <v>#N/A</v>
      </c>
      <c r="R1409" s="189" t="e">
        <v>#N/A</v>
      </c>
      <c r="S1409" s="205" t="e">
        <v>#N/A</v>
      </c>
      <c r="T1409" s="206"/>
    </row>
    <row r="1410">
      <c r="C1410" s="189" t="e">
        <v>#N/A</v>
      </c>
      <c r="D1410" s="189" t="e">
        <v>#N/A</v>
      </c>
      <c r="E1410" s="189" t="e">
        <v>#N/A</v>
      </c>
      <c r="F1410" s="189" t="e">
        <v>#N/A</v>
      </c>
      <c r="G1410" s="189" t="e">
        <v>#N/A</v>
      </c>
      <c r="H1410" s="189" t="e">
        <v>#N/A</v>
      </c>
      <c r="I1410" s="189" t="e">
        <v>#N/A</v>
      </c>
      <c r="J1410" s="189" t="e">
        <v>#N/A</v>
      </c>
      <c r="K1410" s="204" t="e">
        <v>#N/A</v>
      </c>
      <c r="L1410" s="204" t="e">
        <v>#N/A</v>
      </c>
      <c r="M1410" s="205" t="e">
        <v>#N/A</v>
      </c>
      <c r="N1410" s="205" t="e">
        <v>#N/A</v>
      </c>
      <c r="O1410" s="205" t="e">
        <v>#N/A</v>
      </c>
      <c r="P1410" s="205" t="e">
        <v>#N/A</v>
      </c>
      <c r="Q1410" s="189" t="e">
        <v>#N/A</v>
      </c>
      <c r="R1410" s="189" t="e">
        <v>#N/A</v>
      </c>
      <c r="S1410" s="205" t="e">
        <v>#N/A</v>
      </c>
      <c r="T1410" s="206"/>
    </row>
    <row r="1411">
      <c r="C1411" s="189" t="e">
        <v>#N/A</v>
      </c>
      <c r="D1411" s="189" t="e">
        <v>#N/A</v>
      </c>
      <c r="E1411" s="189" t="e">
        <v>#N/A</v>
      </c>
      <c r="F1411" s="189" t="e">
        <v>#N/A</v>
      </c>
      <c r="G1411" s="189" t="e">
        <v>#N/A</v>
      </c>
      <c r="H1411" s="189" t="e">
        <v>#N/A</v>
      </c>
      <c r="I1411" s="189" t="e">
        <v>#N/A</v>
      </c>
      <c r="J1411" s="189" t="e">
        <v>#N/A</v>
      </c>
      <c r="K1411" s="204" t="e">
        <v>#N/A</v>
      </c>
      <c r="L1411" s="204" t="e">
        <v>#N/A</v>
      </c>
      <c r="M1411" s="205" t="e">
        <v>#N/A</v>
      </c>
      <c r="N1411" s="205" t="e">
        <v>#N/A</v>
      </c>
      <c r="O1411" s="205" t="e">
        <v>#N/A</v>
      </c>
      <c r="P1411" s="205" t="e">
        <v>#N/A</v>
      </c>
      <c r="Q1411" s="189" t="e">
        <v>#N/A</v>
      </c>
      <c r="R1411" s="189" t="e">
        <v>#N/A</v>
      </c>
      <c r="S1411" s="205" t="e">
        <v>#N/A</v>
      </c>
      <c r="T1411" s="206"/>
    </row>
    <row r="1412">
      <c r="C1412" s="189" t="e">
        <v>#N/A</v>
      </c>
      <c r="D1412" s="189" t="e">
        <v>#N/A</v>
      </c>
      <c r="E1412" s="189" t="e">
        <v>#N/A</v>
      </c>
      <c r="F1412" s="189" t="e">
        <v>#N/A</v>
      </c>
      <c r="G1412" s="189" t="e">
        <v>#N/A</v>
      </c>
      <c r="H1412" s="189" t="e">
        <v>#N/A</v>
      </c>
      <c r="I1412" s="189" t="e">
        <v>#N/A</v>
      </c>
      <c r="J1412" s="189" t="e">
        <v>#N/A</v>
      </c>
      <c r="K1412" s="204" t="e">
        <v>#N/A</v>
      </c>
      <c r="L1412" s="204" t="e">
        <v>#N/A</v>
      </c>
      <c r="M1412" s="205" t="e">
        <v>#N/A</v>
      </c>
      <c r="N1412" s="205" t="e">
        <v>#N/A</v>
      </c>
      <c r="O1412" s="205" t="e">
        <v>#N/A</v>
      </c>
      <c r="P1412" s="205" t="e">
        <v>#N/A</v>
      </c>
      <c r="Q1412" s="189" t="e">
        <v>#N/A</v>
      </c>
      <c r="R1412" s="189" t="e">
        <v>#N/A</v>
      </c>
      <c r="S1412" s="205" t="e">
        <v>#N/A</v>
      </c>
      <c r="T1412" s="206"/>
    </row>
    <row r="1413">
      <c r="C1413" s="189" t="e">
        <v>#N/A</v>
      </c>
      <c r="D1413" s="189" t="e">
        <v>#N/A</v>
      </c>
      <c r="E1413" s="189" t="e">
        <v>#N/A</v>
      </c>
      <c r="F1413" s="189" t="e">
        <v>#N/A</v>
      </c>
      <c r="G1413" s="189" t="e">
        <v>#N/A</v>
      </c>
      <c r="H1413" s="189" t="e">
        <v>#N/A</v>
      </c>
      <c r="I1413" s="189" t="e">
        <v>#N/A</v>
      </c>
      <c r="J1413" s="189" t="e">
        <v>#N/A</v>
      </c>
      <c r="K1413" s="204" t="e">
        <v>#N/A</v>
      </c>
      <c r="L1413" s="204" t="e">
        <v>#N/A</v>
      </c>
      <c r="M1413" s="205" t="e">
        <v>#N/A</v>
      </c>
      <c r="N1413" s="205" t="e">
        <v>#N/A</v>
      </c>
      <c r="O1413" s="205" t="e">
        <v>#N/A</v>
      </c>
      <c r="P1413" s="205" t="e">
        <v>#N/A</v>
      </c>
      <c r="Q1413" s="189" t="e">
        <v>#N/A</v>
      </c>
      <c r="R1413" s="189" t="e">
        <v>#N/A</v>
      </c>
      <c r="S1413" s="205" t="e">
        <v>#N/A</v>
      </c>
      <c r="T1413" s="206"/>
    </row>
    <row r="1414">
      <c r="C1414" s="189" t="e">
        <v>#N/A</v>
      </c>
      <c r="D1414" s="189" t="e">
        <v>#N/A</v>
      </c>
      <c r="E1414" s="189" t="e">
        <v>#N/A</v>
      </c>
      <c r="F1414" s="189" t="e">
        <v>#N/A</v>
      </c>
      <c r="G1414" s="189" t="e">
        <v>#N/A</v>
      </c>
      <c r="H1414" s="189" t="e">
        <v>#N/A</v>
      </c>
      <c r="I1414" s="189" t="e">
        <v>#N/A</v>
      </c>
      <c r="J1414" s="189" t="e">
        <v>#N/A</v>
      </c>
      <c r="K1414" s="204" t="e">
        <v>#N/A</v>
      </c>
      <c r="L1414" s="204" t="e">
        <v>#N/A</v>
      </c>
      <c r="M1414" s="205" t="e">
        <v>#N/A</v>
      </c>
      <c r="N1414" s="205" t="e">
        <v>#N/A</v>
      </c>
      <c r="O1414" s="205" t="e">
        <v>#N/A</v>
      </c>
      <c r="P1414" s="205" t="e">
        <v>#N/A</v>
      </c>
      <c r="Q1414" s="189" t="e">
        <v>#N/A</v>
      </c>
      <c r="R1414" s="189" t="e">
        <v>#N/A</v>
      </c>
      <c r="S1414" s="205" t="e">
        <v>#N/A</v>
      </c>
      <c r="T1414" s="206"/>
    </row>
    <row r="1415">
      <c r="C1415" s="189" t="e">
        <v>#N/A</v>
      </c>
      <c r="D1415" s="189" t="e">
        <v>#N/A</v>
      </c>
      <c r="E1415" s="189" t="e">
        <v>#N/A</v>
      </c>
      <c r="F1415" s="189" t="e">
        <v>#N/A</v>
      </c>
      <c r="G1415" s="189" t="e">
        <v>#N/A</v>
      </c>
      <c r="H1415" s="189" t="e">
        <v>#N/A</v>
      </c>
      <c r="I1415" s="189" t="e">
        <v>#N/A</v>
      </c>
      <c r="J1415" s="189" t="e">
        <v>#N/A</v>
      </c>
      <c r="K1415" s="204" t="e">
        <v>#N/A</v>
      </c>
      <c r="L1415" s="204" t="e">
        <v>#N/A</v>
      </c>
      <c r="M1415" s="205" t="e">
        <v>#N/A</v>
      </c>
      <c r="N1415" s="205" t="e">
        <v>#N/A</v>
      </c>
      <c r="O1415" s="205" t="e">
        <v>#N/A</v>
      </c>
      <c r="P1415" s="205" t="e">
        <v>#N/A</v>
      </c>
      <c r="Q1415" s="189" t="e">
        <v>#N/A</v>
      </c>
      <c r="R1415" s="189" t="e">
        <v>#N/A</v>
      </c>
      <c r="S1415" s="205" t="e">
        <v>#N/A</v>
      </c>
      <c r="T1415" s="206"/>
    </row>
    <row r="1416">
      <c r="C1416" s="189" t="e">
        <v>#N/A</v>
      </c>
      <c r="D1416" s="189" t="e">
        <v>#N/A</v>
      </c>
      <c r="E1416" s="189" t="e">
        <v>#N/A</v>
      </c>
      <c r="F1416" s="189" t="e">
        <v>#N/A</v>
      </c>
      <c r="G1416" s="189" t="e">
        <v>#N/A</v>
      </c>
      <c r="H1416" s="189" t="e">
        <v>#N/A</v>
      </c>
      <c r="I1416" s="189" t="e">
        <v>#N/A</v>
      </c>
      <c r="J1416" s="189" t="e">
        <v>#N/A</v>
      </c>
      <c r="K1416" s="204" t="e">
        <v>#N/A</v>
      </c>
      <c r="L1416" s="204" t="e">
        <v>#N/A</v>
      </c>
      <c r="M1416" s="205" t="e">
        <v>#N/A</v>
      </c>
      <c r="N1416" s="205" t="e">
        <v>#N/A</v>
      </c>
      <c r="O1416" s="205" t="e">
        <v>#N/A</v>
      </c>
      <c r="P1416" s="205" t="e">
        <v>#N/A</v>
      </c>
      <c r="Q1416" s="189" t="e">
        <v>#N/A</v>
      </c>
      <c r="R1416" s="189" t="e">
        <v>#N/A</v>
      </c>
      <c r="S1416" s="205" t="e">
        <v>#N/A</v>
      </c>
      <c r="T1416" s="206"/>
    </row>
    <row r="1417">
      <c r="C1417" s="189" t="e">
        <v>#N/A</v>
      </c>
      <c r="D1417" s="189" t="e">
        <v>#N/A</v>
      </c>
      <c r="E1417" s="189" t="e">
        <v>#N/A</v>
      </c>
      <c r="F1417" s="189" t="e">
        <v>#N/A</v>
      </c>
      <c r="G1417" s="189" t="e">
        <v>#N/A</v>
      </c>
      <c r="H1417" s="189" t="e">
        <v>#N/A</v>
      </c>
      <c r="I1417" s="189" t="e">
        <v>#N/A</v>
      </c>
      <c r="J1417" s="189" t="e">
        <v>#N/A</v>
      </c>
      <c r="K1417" s="204" t="e">
        <v>#N/A</v>
      </c>
      <c r="L1417" s="204" t="e">
        <v>#N/A</v>
      </c>
      <c r="M1417" s="205" t="e">
        <v>#N/A</v>
      </c>
      <c r="N1417" s="205" t="e">
        <v>#N/A</v>
      </c>
      <c r="O1417" s="205" t="e">
        <v>#N/A</v>
      </c>
      <c r="P1417" s="205" t="e">
        <v>#N/A</v>
      </c>
      <c r="Q1417" s="189" t="e">
        <v>#N/A</v>
      </c>
      <c r="R1417" s="189" t="e">
        <v>#N/A</v>
      </c>
      <c r="S1417" s="205" t="e">
        <v>#N/A</v>
      </c>
      <c r="T1417" s="206"/>
    </row>
    <row r="1418">
      <c r="C1418" s="189" t="e">
        <v>#N/A</v>
      </c>
      <c r="D1418" s="189" t="e">
        <v>#N/A</v>
      </c>
      <c r="E1418" s="189" t="e">
        <v>#N/A</v>
      </c>
      <c r="F1418" s="189" t="e">
        <v>#N/A</v>
      </c>
      <c r="G1418" s="189" t="e">
        <v>#N/A</v>
      </c>
      <c r="H1418" s="189" t="e">
        <v>#N/A</v>
      </c>
      <c r="I1418" s="189" t="e">
        <v>#N/A</v>
      </c>
      <c r="J1418" s="189" t="e">
        <v>#N/A</v>
      </c>
      <c r="K1418" s="204" t="e">
        <v>#N/A</v>
      </c>
      <c r="L1418" s="204" t="e">
        <v>#N/A</v>
      </c>
      <c r="M1418" s="205" t="e">
        <v>#N/A</v>
      </c>
      <c r="N1418" s="205" t="e">
        <v>#N/A</v>
      </c>
      <c r="O1418" s="205" t="e">
        <v>#N/A</v>
      </c>
      <c r="P1418" s="205" t="e">
        <v>#N/A</v>
      </c>
      <c r="Q1418" s="189" t="e">
        <v>#N/A</v>
      </c>
      <c r="R1418" s="189" t="e">
        <v>#N/A</v>
      </c>
      <c r="S1418" s="205" t="e">
        <v>#N/A</v>
      </c>
      <c r="T1418" s="206"/>
    </row>
    <row r="1419">
      <c r="C1419" s="189" t="e">
        <v>#N/A</v>
      </c>
      <c r="D1419" s="189" t="e">
        <v>#N/A</v>
      </c>
      <c r="E1419" s="189" t="e">
        <v>#N/A</v>
      </c>
      <c r="F1419" s="189" t="e">
        <v>#N/A</v>
      </c>
      <c r="G1419" s="189" t="e">
        <v>#N/A</v>
      </c>
      <c r="H1419" s="189" t="e">
        <v>#N/A</v>
      </c>
      <c r="I1419" s="189" t="e">
        <v>#N/A</v>
      </c>
      <c r="J1419" s="189" t="e">
        <v>#N/A</v>
      </c>
      <c r="K1419" s="204" t="e">
        <v>#N/A</v>
      </c>
      <c r="L1419" s="204" t="e">
        <v>#N/A</v>
      </c>
      <c r="M1419" s="205" t="e">
        <v>#N/A</v>
      </c>
      <c r="N1419" s="205" t="e">
        <v>#N/A</v>
      </c>
      <c r="O1419" s="205" t="e">
        <v>#N/A</v>
      </c>
      <c r="P1419" s="205" t="e">
        <v>#N/A</v>
      </c>
      <c r="Q1419" s="189" t="e">
        <v>#N/A</v>
      </c>
      <c r="R1419" s="189" t="e">
        <v>#N/A</v>
      </c>
      <c r="S1419" s="205" t="e">
        <v>#N/A</v>
      </c>
      <c r="T1419" s="206"/>
    </row>
    <row r="1420">
      <c r="C1420" s="189" t="e">
        <v>#N/A</v>
      </c>
      <c r="D1420" s="189" t="e">
        <v>#N/A</v>
      </c>
      <c r="E1420" s="189" t="e">
        <v>#N/A</v>
      </c>
      <c r="F1420" s="189" t="e">
        <v>#N/A</v>
      </c>
      <c r="G1420" s="189" t="e">
        <v>#N/A</v>
      </c>
      <c r="H1420" s="189" t="e">
        <v>#N/A</v>
      </c>
      <c r="I1420" s="189" t="e">
        <v>#N/A</v>
      </c>
      <c r="J1420" s="189" t="e">
        <v>#N/A</v>
      </c>
      <c r="K1420" s="204" t="e">
        <v>#N/A</v>
      </c>
      <c r="L1420" s="204" t="e">
        <v>#N/A</v>
      </c>
      <c r="M1420" s="205" t="e">
        <v>#N/A</v>
      </c>
      <c r="N1420" s="205" t="e">
        <v>#N/A</v>
      </c>
      <c r="O1420" s="205" t="e">
        <v>#N/A</v>
      </c>
      <c r="P1420" s="205" t="e">
        <v>#N/A</v>
      </c>
      <c r="Q1420" s="189" t="e">
        <v>#N/A</v>
      </c>
      <c r="R1420" s="189" t="e">
        <v>#N/A</v>
      </c>
      <c r="S1420" s="205" t="e">
        <v>#N/A</v>
      </c>
      <c r="T1420" s="206"/>
    </row>
    <row r="1421">
      <c r="C1421" s="189" t="e">
        <v>#N/A</v>
      </c>
      <c r="D1421" s="189" t="e">
        <v>#N/A</v>
      </c>
      <c r="E1421" s="189" t="e">
        <v>#N/A</v>
      </c>
      <c r="F1421" s="189" t="e">
        <v>#N/A</v>
      </c>
      <c r="G1421" s="189" t="e">
        <v>#N/A</v>
      </c>
      <c r="H1421" s="189" t="e">
        <v>#N/A</v>
      </c>
      <c r="I1421" s="189" t="e">
        <v>#N/A</v>
      </c>
      <c r="J1421" s="189" t="e">
        <v>#N/A</v>
      </c>
      <c r="K1421" s="204" t="e">
        <v>#N/A</v>
      </c>
      <c r="L1421" s="204" t="e">
        <v>#N/A</v>
      </c>
      <c r="M1421" s="205" t="e">
        <v>#N/A</v>
      </c>
      <c r="N1421" s="205" t="e">
        <v>#N/A</v>
      </c>
      <c r="O1421" s="205" t="e">
        <v>#N/A</v>
      </c>
      <c r="P1421" s="205" t="e">
        <v>#N/A</v>
      </c>
      <c r="Q1421" s="189" t="e">
        <v>#N/A</v>
      </c>
      <c r="R1421" s="189" t="e">
        <v>#N/A</v>
      </c>
      <c r="S1421" s="205" t="e">
        <v>#N/A</v>
      </c>
      <c r="T1421" s="206"/>
    </row>
    <row r="1422">
      <c r="C1422" s="189" t="e">
        <v>#N/A</v>
      </c>
      <c r="D1422" s="189" t="e">
        <v>#N/A</v>
      </c>
      <c r="E1422" s="189" t="e">
        <v>#N/A</v>
      </c>
      <c r="F1422" s="189" t="e">
        <v>#N/A</v>
      </c>
      <c r="G1422" s="189" t="e">
        <v>#N/A</v>
      </c>
      <c r="H1422" s="189" t="e">
        <v>#N/A</v>
      </c>
      <c r="I1422" s="189" t="e">
        <v>#N/A</v>
      </c>
      <c r="J1422" s="189" t="e">
        <v>#N/A</v>
      </c>
      <c r="K1422" s="204" t="e">
        <v>#N/A</v>
      </c>
      <c r="L1422" s="204" t="e">
        <v>#N/A</v>
      </c>
      <c r="M1422" s="205" t="e">
        <v>#N/A</v>
      </c>
      <c r="N1422" s="205" t="e">
        <v>#N/A</v>
      </c>
      <c r="O1422" s="205" t="e">
        <v>#N/A</v>
      </c>
      <c r="P1422" s="205" t="e">
        <v>#N/A</v>
      </c>
      <c r="Q1422" s="189" t="e">
        <v>#N/A</v>
      </c>
      <c r="R1422" s="189" t="e">
        <v>#N/A</v>
      </c>
      <c r="S1422" s="205" t="e">
        <v>#N/A</v>
      </c>
      <c r="T1422" s="206"/>
    </row>
    <row r="1423">
      <c r="C1423" s="189" t="e">
        <v>#N/A</v>
      </c>
      <c r="D1423" s="189" t="e">
        <v>#N/A</v>
      </c>
      <c r="E1423" s="189" t="e">
        <v>#N/A</v>
      </c>
      <c r="F1423" s="189" t="e">
        <v>#N/A</v>
      </c>
      <c r="G1423" s="189" t="e">
        <v>#N/A</v>
      </c>
      <c r="H1423" s="189" t="e">
        <v>#N/A</v>
      </c>
      <c r="I1423" s="189" t="e">
        <v>#N/A</v>
      </c>
      <c r="J1423" s="189" t="e">
        <v>#N/A</v>
      </c>
      <c r="K1423" s="204" t="e">
        <v>#N/A</v>
      </c>
      <c r="L1423" s="204" t="e">
        <v>#N/A</v>
      </c>
      <c r="M1423" s="205" t="e">
        <v>#N/A</v>
      </c>
      <c r="N1423" s="205" t="e">
        <v>#N/A</v>
      </c>
      <c r="O1423" s="205" t="e">
        <v>#N/A</v>
      </c>
      <c r="P1423" s="205" t="e">
        <v>#N/A</v>
      </c>
      <c r="Q1423" s="189" t="e">
        <v>#N/A</v>
      </c>
      <c r="R1423" s="189" t="e">
        <v>#N/A</v>
      </c>
      <c r="S1423" s="205" t="e">
        <v>#N/A</v>
      </c>
      <c r="T1423" s="206"/>
    </row>
    <row r="1424">
      <c r="C1424" s="189" t="e">
        <v>#N/A</v>
      </c>
      <c r="D1424" s="189" t="e">
        <v>#N/A</v>
      </c>
      <c r="E1424" s="189" t="e">
        <v>#N/A</v>
      </c>
      <c r="F1424" s="189" t="e">
        <v>#N/A</v>
      </c>
      <c r="G1424" s="189" t="e">
        <v>#N/A</v>
      </c>
      <c r="H1424" s="189" t="e">
        <v>#N/A</v>
      </c>
      <c r="I1424" s="189" t="e">
        <v>#N/A</v>
      </c>
      <c r="J1424" s="189" t="e">
        <v>#N/A</v>
      </c>
      <c r="K1424" s="204" t="e">
        <v>#N/A</v>
      </c>
      <c r="L1424" s="204" t="e">
        <v>#N/A</v>
      </c>
      <c r="M1424" s="205" t="e">
        <v>#N/A</v>
      </c>
      <c r="N1424" s="205" t="e">
        <v>#N/A</v>
      </c>
      <c r="O1424" s="205" t="e">
        <v>#N/A</v>
      </c>
      <c r="P1424" s="205" t="e">
        <v>#N/A</v>
      </c>
      <c r="Q1424" s="189" t="e">
        <v>#N/A</v>
      </c>
      <c r="R1424" s="189" t="e">
        <v>#N/A</v>
      </c>
      <c r="S1424" s="205" t="e">
        <v>#N/A</v>
      </c>
      <c r="T1424" s="206"/>
    </row>
    <row r="1425">
      <c r="C1425" s="189" t="e">
        <v>#N/A</v>
      </c>
      <c r="D1425" s="189" t="e">
        <v>#N/A</v>
      </c>
      <c r="E1425" s="189" t="e">
        <v>#N/A</v>
      </c>
      <c r="F1425" s="189" t="e">
        <v>#N/A</v>
      </c>
      <c r="G1425" s="189" t="e">
        <v>#N/A</v>
      </c>
      <c r="H1425" s="189" t="e">
        <v>#N/A</v>
      </c>
      <c r="I1425" s="189" t="e">
        <v>#N/A</v>
      </c>
      <c r="J1425" s="189" t="e">
        <v>#N/A</v>
      </c>
      <c r="K1425" s="204" t="e">
        <v>#N/A</v>
      </c>
      <c r="L1425" s="204" t="e">
        <v>#N/A</v>
      </c>
      <c r="M1425" s="205" t="e">
        <v>#N/A</v>
      </c>
      <c r="N1425" s="205" t="e">
        <v>#N/A</v>
      </c>
      <c r="O1425" s="205" t="e">
        <v>#N/A</v>
      </c>
      <c r="P1425" s="205" t="e">
        <v>#N/A</v>
      </c>
      <c r="Q1425" s="189" t="e">
        <v>#N/A</v>
      </c>
      <c r="R1425" s="189" t="e">
        <v>#N/A</v>
      </c>
      <c r="S1425" s="205" t="e">
        <v>#N/A</v>
      </c>
      <c r="T1425" s="206"/>
    </row>
    <row r="1426">
      <c r="C1426" s="189" t="e">
        <v>#N/A</v>
      </c>
      <c r="D1426" s="189" t="e">
        <v>#N/A</v>
      </c>
      <c r="E1426" s="189" t="e">
        <v>#N/A</v>
      </c>
      <c r="F1426" s="189" t="e">
        <v>#N/A</v>
      </c>
      <c r="G1426" s="189" t="e">
        <v>#N/A</v>
      </c>
      <c r="H1426" s="189" t="e">
        <v>#N/A</v>
      </c>
      <c r="I1426" s="189" t="e">
        <v>#N/A</v>
      </c>
      <c r="J1426" s="189" t="e">
        <v>#N/A</v>
      </c>
      <c r="K1426" s="204" t="e">
        <v>#N/A</v>
      </c>
      <c r="L1426" s="204" t="e">
        <v>#N/A</v>
      </c>
      <c r="M1426" s="205" t="e">
        <v>#N/A</v>
      </c>
      <c r="N1426" s="205" t="e">
        <v>#N/A</v>
      </c>
      <c r="O1426" s="205" t="e">
        <v>#N/A</v>
      </c>
      <c r="P1426" s="205" t="e">
        <v>#N/A</v>
      </c>
      <c r="Q1426" s="189" t="e">
        <v>#N/A</v>
      </c>
      <c r="R1426" s="189" t="e">
        <v>#N/A</v>
      </c>
      <c r="S1426" s="205" t="e">
        <v>#N/A</v>
      </c>
      <c r="T1426" s="206"/>
    </row>
    <row r="1427">
      <c r="C1427" s="189" t="e">
        <v>#N/A</v>
      </c>
      <c r="D1427" s="189" t="e">
        <v>#N/A</v>
      </c>
      <c r="E1427" s="189" t="e">
        <v>#N/A</v>
      </c>
      <c r="F1427" s="189" t="e">
        <v>#N/A</v>
      </c>
      <c r="G1427" s="189" t="e">
        <v>#N/A</v>
      </c>
      <c r="H1427" s="189" t="e">
        <v>#N/A</v>
      </c>
      <c r="I1427" s="189" t="e">
        <v>#N/A</v>
      </c>
      <c r="J1427" s="189" t="e">
        <v>#N/A</v>
      </c>
      <c r="K1427" s="204" t="e">
        <v>#N/A</v>
      </c>
      <c r="L1427" s="204" t="e">
        <v>#N/A</v>
      </c>
      <c r="M1427" s="205" t="e">
        <v>#N/A</v>
      </c>
      <c r="N1427" s="205" t="e">
        <v>#N/A</v>
      </c>
      <c r="O1427" s="205" t="e">
        <v>#N/A</v>
      </c>
      <c r="P1427" s="205" t="e">
        <v>#N/A</v>
      </c>
      <c r="Q1427" s="189" t="e">
        <v>#N/A</v>
      </c>
      <c r="R1427" s="189" t="e">
        <v>#N/A</v>
      </c>
      <c r="S1427" s="205" t="e">
        <v>#N/A</v>
      </c>
      <c r="T1427" s="206"/>
    </row>
    <row r="1428">
      <c r="C1428" s="189" t="e">
        <v>#N/A</v>
      </c>
      <c r="D1428" s="189" t="e">
        <v>#N/A</v>
      </c>
      <c r="E1428" s="189" t="e">
        <v>#N/A</v>
      </c>
      <c r="F1428" s="189" t="e">
        <v>#N/A</v>
      </c>
      <c r="G1428" s="189" t="e">
        <v>#N/A</v>
      </c>
      <c r="H1428" s="189" t="e">
        <v>#N/A</v>
      </c>
      <c r="I1428" s="189" t="e">
        <v>#N/A</v>
      </c>
      <c r="J1428" s="189" t="e">
        <v>#N/A</v>
      </c>
      <c r="K1428" s="204" t="e">
        <v>#N/A</v>
      </c>
      <c r="L1428" s="204" t="e">
        <v>#N/A</v>
      </c>
      <c r="M1428" s="205" t="e">
        <v>#N/A</v>
      </c>
      <c r="N1428" s="205" t="e">
        <v>#N/A</v>
      </c>
      <c r="O1428" s="205" t="e">
        <v>#N/A</v>
      </c>
      <c r="P1428" s="205" t="e">
        <v>#N/A</v>
      </c>
      <c r="Q1428" s="189" t="e">
        <v>#N/A</v>
      </c>
      <c r="R1428" s="189" t="e">
        <v>#N/A</v>
      </c>
      <c r="S1428" s="205" t="e">
        <v>#N/A</v>
      </c>
      <c r="T1428" s="206"/>
    </row>
    <row r="1429">
      <c r="C1429" s="189" t="e">
        <v>#N/A</v>
      </c>
      <c r="D1429" s="189" t="e">
        <v>#N/A</v>
      </c>
      <c r="E1429" s="189" t="e">
        <v>#N/A</v>
      </c>
      <c r="F1429" s="189" t="e">
        <v>#N/A</v>
      </c>
      <c r="G1429" s="189" t="e">
        <v>#N/A</v>
      </c>
      <c r="H1429" s="189" t="e">
        <v>#N/A</v>
      </c>
      <c r="I1429" s="189" t="e">
        <v>#N/A</v>
      </c>
      <c r="J1429" s="189" t="e">
        <v>#N/A</v>
      </c>
      <c r="K1429" s="204" t="e">
        <v>#N/A</v>
      </c>
      <c r="L1429" s="204" t="e">
        <v>#N/A</v>
      </c>
      <c r="M1429" s="205" t="e">
        <v>#N/A</v>
      </c>
      <c r="N1429" s="205" t="e">
        <v>#N/A</v>
      </c>
      <c r="O1429" s="205" t="e">
        <v>#N/A</v>
      </c>
      <c r="P1429" s="205" t="e">
        <v>#N/A</v>
      </c>
      <c r="Q1429" s="189" t="e">
        <v>#N/A</v>
      </c>
      <c r="R1429" s="189" t="e">
        <v>#N/A</v>
      </c>
      <c r="S1429" s="205" t="e">
        <v>#N/A</v>
      </c>
      <c r="T1429" s="206"/>
    </row>
    <row r="1430">
      <c r="C1430" s="189" t="e">
        <v>#N/A</v>
      </c>
      <c r="D1430" s="189" t="e">
        <v>#N/A</v>
      </c>
      <c r="E1430" s="189" t="e">
        <v>#N/A</v>
      </c>
      <c r="F1430" s="189" t="e">
        <v>#N/A</v>
      </c>
      <c r="G1430" s="189" t="e">
        <v>#N/A</v>
      </c>
      <c r="H1430" s="189" t="e">
        <v>#N/A</v>
      </c>
      <c r="I1430" s="189" t="e">
        <v>#N/A</v>
      </c>
      <c r="J1430" s="189" t="e">
        <v>#N/A</v>
      </c>
      <c r="K1430" s="204" t="e">
        <v>#N/A</v>
      </c>
      <c r="L1430" s="204" t="e">
        <v>#N/A</v>
      </c>
      <c r="M1430" s="205" t="e">
        <v>#N/A</v>
      </c>
      <c r="N1430" s="205" t="e">
        <v>#N/A</v>
      </c>
      <c r="O1430" s="205" t="e">
        <v>#N/A</v>
      </c>
      <c r="P1430" s="205" t="e">
        <v>#N/A</v>
      </c>
      <c r="Q1430" s="189" t="e">
        <v>#N/A</v>
      </c>
      <c r="R1430" s="189" t="e">
        <v>#N/A</v>
      </c>
      <c r="S1430" s="205" t="e">
        <v>#N/A</v>
      </c>
      <c r="T1430" s="206"/>
    </row>
    <row r="1431">
      <c r="C1431" s="189" t="e">
        <v>#N/A</v>
      </c>
      <c r="D1431" s="189" t="e">
        <v>#N/A</v>
      </c>
      <c r="E1431" s="189" t="e">
        <v>#N/A</v>
      </c>
      <c r="F1431" s="189" t="e">
        <v>#N/A</v>
      </c>
      <c r="G1431" s="189" t="e">
        <v>#N/A</v>
      </c>
      <c r="H1431" s="189" t="e">
        <v>#N/A</v>
      </c>
      <c r="I1431" s="189" t="e">
        <v>#N/A</v>
      </c>
      <c r="J1431" s="189" t="e">
        <v>#N/A</v>
      </c>
      <c r="K1431" s="204" t="e">
        <v>#N/A</v>
      </c>
      <c r="L1431" s="204" t="e">
        <v>#N/A</v>
      </c>
      <c r="M1431" s="205" t="e">
        <v>#N/A</v>
      </c>
      <c r="N1431" s="205" t="e">
        <v>#N/A</v>
      </c>
      <c r="O1431" s="205" t="e">
        <v>#N/A</v>
      </c>
      <c r="P1431" s="205" t="e">
        <v>#N/A</v>
      </c>
      <c r="Q1431" s="189" t="e">
        <v>#N/A</v>
      </c>
      <c r="R1431" s="189" t="e">
        <v>#N/A</v>
      </c>
      <c r="S1431" s="205" t="e">
        <v>#N/A</v>
      </c>
      <c r="T1431" s="206"/>
    </row>
    <row r="1432">
      <c r="C1432" s="189" t="e">
        <v>#N/A</v>
      </c>
      <c r="D1432" s="189" t="e">
        <v>#N/A</v>
      </c>
      <c r="E1432" s="189" t="e">
        <v>#N/A</v>
      </c>
      <c r="F1432" s="189" t="e">
        <v>#N/A</v>
      </c>
      <c r="G1432" s="189" t="e">
        <v>#N/A</v>
      </c>
      <c r="H1432" s="189" t="e">
        <v>#N/A</v>
      </c>
      <c r="I1432" s="189" t="e">
        <v>#N/A</v>
      </c>
      <c r="J1432" s="189" t="e">
        <v>#N/A</v>
      </c>
      <c r="K1432" s="204" t="e">
        <v>#N/A</v>
      </c>
      <c r="L1432" s="204" t="e">
        <v>#N/A</v>
      </c>
      <c r="M1432" s="205" t="e">
        <v>#N/A</v>
      </c>
      <c r="N1432" s="205" t="e">
        <v>#N/A</v>
      </c>
      <c r="O1432" s="205" t="e">
        <v>#N/A</v>
      </c>
      <c r="P1432" s="205" t="e">
        <v>#N/A</v>
      </c>
      <c r="Q1432" s="189" t="e">
        <v>#N/A</v>
      </c>
      <c r="R1432" s="189" t="e">
        <v>#N/A</v>
      </c>
      <c r="S1432" s="205" t="e">
        <v>#N/A</v>
      </c>
      <c r="T1432" s="206"/>
    </row>
    <row r="1433">
      <c r="C1433" s="189" t="e">
        <v>#N/A</v>
      </c>
      <c r="D1433" s="189" t="e">
        <v>#N/A</v>
      </c>
      <c r="E1433" s="189" t="e">
        <v>#N/A</v>
      </c>
      <c r="F1433" s="189" t="e">
        <v>#N/A</v>
      </c>
      <c r="G1433" s="189" t="e">
        <v>#N/A</v>
      </c>
      <c r="H1433" s="189" t="e">
        <v>#N/A</v>
      </c>
      <c r="I1433" s="189" t="e">
        <v>#N/A</v>
      </c>
      <c r="J1433" s="189" t="e">
        <v>#N/A</v>
      </c>
      <c r="K1433" s="204" t="e">
        <v>#N/A</v>
      </c>
      <c r="L1433" s="204" t="e">
        <v>#N/A</v>
      </c>
      <c r="M1433" s="205" t="e">
        <v>#N/A</v>
      </c>
      <c r="N1433" s="205" t="e">
        <v>#N/A</v>
      </c>
      <c r="O1433" s="205" t="e">
        <v>#N/A</v>
      </c>
      <c r="P1433" s="205" t="e">
        <v>#N/A</v>
      </c>
      <c r="Q1433" s="189" t="e">
        <v>#N/A</v>
      </c>
      <c r="R1433" s="189" t="e">
        <v>#N/A</v>
      </c>
      <c r="S1433" s="205" t="e">
        <v>#N/A</v>
      </c>
      <c r="T1433" s="206"/>
    </row>
    <row r="1434">
      <c r="C1434" s="189" t="e">
        <v>#N/A</v>
      </c>
      <c r="D1434" s="189" t="e">
        <v>#N/A</v>
      </c>
      <c r="E1434" s="189" t="e">
        <v>#N/A</v>
      </c>
      <c r="F1434" s="189" t="e">
        <v>#N/A</v>
      </c>
      <c r="G1434" s="189" t="e">
        <v>#N/A</v>
      </c>
      <c r="H1434" s="189" t="e">
        <v>#N/A</v>
      </c>
      <c r="I1434" s="189" t="e">
        <v>#N/A</v>
      </c>
      <c r="J1434" s="189" t="e">
        <v>#N/A</v>
      </c>
      <c r="K1434" s="204" t="e">
        <v>#N/A</v>
      </c>
      <c r="L1434" s="204" t="e">
        <v>#N/A</v>
      </c>
      <c r="M1434" s="205" t="e">
        <v>#N/A</v>
      </c>
      <c r="N1434" s="205" t="e">
        <v>#N/A</v>
      </c>
      <c r="O1434" s="205" t="e">
        <v>#N/A</v>
      </c>
      <c r="P1434" s="205" t="e">
        <v>#N/A</v>
      </c>
      <c r="Q1434" s="189" t="e">
        <v>#N/A</v>
      </c>
      <c r="R1434" s="189" t="e">
        <v>#N/A</v>
      </c>
      <c r="S1434" s="205" t="e">
        <v>#N/A</v>
      </c>
      <c r="T1434" s="206"/>
    </row>
    <row r="1435">
      <c r="C1435" s="189" t="e">
        <v>#N/A</v>
      </c>
      <c r="D1435" s="189" t="e">
        <v>#N/A</v>
      </c>
      <c r="E1435" s="189" t="e">
        <v>#N/A</v>
      </c>
      <c r="F1435" s="189" t="e">
        <v>#N/A</v>
      </c>
      <c r="G1435" s="189" t="e">
        <v>#N/A</v>
      </c>
      <c r="H1435" s="189" t="e">
        <v>#N/A</v>
      </c>
      <c r="I1435" s="189" t="e">
        <v>#N/A</v>
      </c>
      <c r="J1435" s="189" t="e">
        <v>#N/A</v>
      </c>
      <c r="K1435" s="204" t="e">
        <v>#N/A</v>
      </c>
      <c r="L1435" s="204" t="e">
        <v>#N/A</v>
      </c>
      <c r="M1435" s="205" t="e">
        <v>#N/A</v>
      </c>
      <c r="N1435" s="205" t="e">
        <v>#N/A</v>
      </c>
      <c r="O1435" s="205" t="e">
        <v>#N/A</v>
      </c>
      <c r="P1435" s="205" t="e">
        <v>#N/A</v>
      </c>
      <c r="Q1435" s="189" t="e">
        <v>#N/A</v>
      </c>
      <c r="R1435" s="189" t="e">
        <v>#N/A</v>
      </c>
      <c r="S1435" s="205" t="e">
        <v>#N/A</v>
      </c>
      <c r="T1435" s="206"/>
    </row>
    <row r="1436">
      <c r="C1436" s="189" t="e">
        <v>#N/A</v>
      </c>
      <c r="D1436" s="189" t="e">
        <v>#N/A</v>
      </c>
      <c r="E1436" s="189" t="e">
        <v>#N/A</v>
      </c>
      <c r="F1436" s="189" t="e">
        <v>#N/A</v>
      </c>
      <c r="G1436" s="189" t="e">
        <v>#N/A</v>
      </c>
      <c r="H1436" s="189" t="e">
        <v>#N/A</v>
      </c>
      <c r="I1436" s="189" t="e">
        <v>#N/A</v>
      </c>
      <c r="J1436" s="189" t="e">
        <v>#N/A</v>
      </c>
      <c r="K1436" s="204" t="e">
        <v>#N/A</v>
      </c>
      <c r="L1436" s="204" t="e">
        <v>#N/A</v>
      </c>
      <c r="M1436" s="205" t="e">
        <v>#N/A</v>
      </c>
      <c r="N1436" s="205" t="e">
        <v>#N/A</v>
      </c>
      <c r="O1436" s="205" t="e">
        <v>#N/A</v>
      </c>
      <c r="P1436" s="205" t="e">
        <v>#N/A</v>
      </c>
      <c r="Q1436" s="189" t="e">
        <v>#N/A</v>
      </c>
      <c r="R1436" s="189" t="e">
        <v>#N/A</v>
      </c>
      <c r="S1436" s="205" t="e">
        <v>#N/A</v>
      </c>
      <c r="T1436" s="206"/>
    </row>
    <row r="1437">
      <c r="C1437" s="189" t="e">
        <v>#N/A</v>
      </c>
      <c r="D1437" s="189" t="e">
        <v>#N/A</v>
      </c>
      <c r="E1437" s="189" t="e">
        <v>#N/A</v>
      </c>
      <c r="F1437" s="189" t="e">
        <v>#N/A</v>
      </c>
      <c r="G1437" s="189" t="e">
        <v>#N/A</v>
      </c>
      <c r="H1437" s="189" t="e">
        <v>#N/A</v>
      </c>
      <c r="I1437" s="189" t="e">
        <v>#N/A</v>
      </c>
      <c r="J1437" s="189" t="e">
        <v>#N/A</v>
      </c>
      <c r="K1437" s="204" t="e">
        <v>#N/A</v>
      </c>
      <c r="L1437" s="204" t="e">
        <v>#N/A</v>
      </c>
      <c r="M1437" s="205" t="e">
        <v>#N/A</v>
      </c>
      <c r="N1437" s="205" t="e">
        <v>#N/A</v>
      </c>
      <c r="O1437" s="205" t="e">
        <v>#N/A</v>
      </c>
      <c r="P1437" s="205" t="e">
        <v>#N/A</v>
      </c>
      <c r="Q1437" s="189" t="e">
        <v>#N/A</v>
      </c>
      <c r="R1437" s="189" t="e">
        <v>#N/A</v>
      </c>
      <c r="S1437" s="205" t="e">
        <v>#N/A</v>
      </c>
      <c r="T1437" s="206"/>
    </row>
    <row r="1438">
      <c r="C1438" s="189" t="e">
        <v>#N/A</v>
      </c>
      <c r="D1438" s="189" t="e">
        <v>#N/A</v>
      </c>
      <c r="E1438" s="189" t="e">
        <v>#N/A</v>
      </c>
      <c r="F1438" s="189" t="e">
        <v>#N/A</v>
      </c>
      <c r="G1438" s="189" t="e">
        <v>#N/A</v>
      </c>
      <c r="H1438" s="189" t="e">
        <v>#N/A</v>
      </c>
      <c r="I1438" s="189" t="e">
        <v>#N/A</v>
      </c>
      <c r="J1438" s="189" t="e">
        <v>#N/A</v>
      </c>
      <c r="K1438" s="204" t="e">
        <v>#N/A</v>
      </c>
      <c r="L1438" s="204" t="e">
        <v>#N/A</v>
      </c>
      <c r="M1438" s="205" t="e">
        <v>#N/A</v>
      </c>
      <c r="N1438" s="205" t="e">
        <v>#N/A</v>
      </c>
      <c r="O1438" s="205" t="e">
        <v>#N/A</v>
      </c>
      <c r="P1438" s="205" t="e">
        <v>#N/A</v>
      </c>
      <c r="Q1438" s="189" t="e">
        <v>#N/A</v>
      </c>
      <c r="R1438" s="189" t="e">
        <v>#N/A</v>
      </c>
      <c r="S1438" s="205" t="e">
        <v>#N/A</v>
      </c>
      <c r="T1438" s="206"/>
    </row>
    <row r="1439">
      <c r="C1439" s="189" t="e">
        <v>#N/A</v>
      </c>
      <c r="D1439" s="189" t="e">
        <v>#N/A</v>
      </c>
      <c r="E1439" s="189" t="e">
        <v>#N/A</v>
      </c>
      <c r="F1439" s="189" t="e">
        <v>#N/A</v>
      </c>
      <c r="G1439" s="189" t="e">
        <v>#N/A</v>
      </c>
      <c r="H1439" s="189" t="e">
        <v>#N/A</v>
      </c>
      <c r="I1439" s="189" t="e">
        <v>#N/A</v>
      </c>
      <c r="J1439" s="189" t="e">
        <v>#N/A</v>
      </c>
      <c r="K1439" s="204" t="e">
        <v>#N/A</v>
      </c>
      <c r="L1439" s="204" t="e">
        <v>#N/A</v>
      </c>
      <c r="M1439" s="205" t="e">
        <v>#N/A</v>
      </c>
      <c r="N1439" s="205" t="e">
        <v>#N/A</v>
      </c>
      <c r="O1439" s="205" t="e">
        <v>#N/A</v>
      </c>
      <c r="P1439" s="205" t="e">
        <v>#N/A</v>
      </c>
      <c r="Q1439" s="189" t="e">
        <v>#N/A</v>
      </c>
      <c r="R1439" s="189" t="e">
        <v>#N/A</v>
      </c>
      <c r="S1439" s="205" t="e">
        <v>#N/A</v>
      </c>
      <c r="T1439" s="206"/>
    </row>
    <row r="1440">
      <c r="C1440" s="189" t="e">
        <v>#N/A</v>
      </c>
      <c r="D1440" s="189" t="e">
        <v>#N/A</v>
      </c>
      <c r="E1440" s="189" t="e">
        <v>#N/A</v>
      </c>
      <c r="F1440" s="189" t="e">
        <v>#N/A</v>
      </c>
      <c r="G1440" s="189" t="e">
        <v>#N/A</v>
      </c>
      <c r="H1440" s="189" t="e">
        <v>#N/A</v>
      </c>
      <c r="I1440" s="189" t="e">
        <v>#N/A</v>
      </c>
      <c r="J1440" s="189" t="e">
        <v>#N/A</v>
      </c>
      <c r="K1440" s="204" t="e">
        <v>#N/A</v>
      </c>
      <c r="L1440" s="204" t="e">
        <v>#N/A</v>
      </c>
      <c r="M1440" s="205" t="e">
        <v>#N/A</v>
      </c>
      <c r="N1440" s="205" t="e">
        <v>#N/A</v>
      </c>
      <c r="O1440" s="205" t="e">
        <v>#N/A</v>
      </c>
      <c r="P1440" s="205" t="e">
        <v>#N/A</v>
      </c>
      <c r="Q1440" s="189" t="e">
        <v>#N/A</v>
      </c>
      <c r="R1440" s="189" t="e">
        <v>#N/A</v>
      </c>
      <c r="S1440" s="205" t="e">
        <v>#N/A</v>
      </c>
      <c r="T1440" s="206"/>
    </row>
    <row r="1441">
      <c r="C1441" s="189" t="e">
        <v>#N/A</v>
      </c>
      <c r="D1441" s="189" t="e">
        <v>#N/A</v>
      </c>
      <c r="E1441" s="189" t="e">
        <v>#N/A</v>
      </c>
      <c r="F1441" s="189" t="e">
        <v>#N/A</v>
      </c>
      <c r="G1441" s="189" t="e">
        <v>#N/A</v>
      </c>
      <c r="H1441" s="189" t="e">
        <v>#N/A</v>
      </c>
      <c r="I1441" s="189" t="e">
        <v>#N/A</v>
      </c>
      <c r="J1441" s="189" t="e">
        <v>#N/A</v>
      </c>
      <c r="K1441" s="204" t="e">
        <v>#N/A</v>
      </c>
      <c r="L1441" s="204" t="e">
        <v>#N/A</v>
      </c>
      <c r="M1441" s="205" t="e">
        <v>#N/A</v>
      </c>
      <c r="N1441" s="205" t="e">
        <v>#N/A</v>
      </c>
      <c r="O1441" s="205" t="e">
        <v>#N/A</v>
      </c>
      <c r="P1441" s="205" t="e">
        <v>#N/A</v>
      </c>
      <c r="Q1441" s="189" t="e">
        <v>#N/A</v>
      </c>
      <c r="R1441" s="189" t="e">
        <v>#N/A</v>
      </c>
      <c r="S1441" s="205" t="e">
        <v>#N/A</v>
      </c>
      <c r="T1441" s="206"/>
    </row>
    <row r="1442">
      <c r="C1442" s="189" t="e">
        <v>#N/A</v>
      </c>
      <c r="D1442" s="189" t="e">
        <v>#N/A</v>
      </c>
      <c r="E1442" s="189" t="e">
        <v>#N/A</v>
      </c>
      <c r="F1442" s="189" t="e">
        <v>#N/A</v>
      </c>
      <c r="G1442" s="189" t="e">
        <v>#N/A</v>
      </c>
      <c r="H1442" s="189" t="e">
        <v>#N/A</v>
      </c>
      <c r="I1442" s="189" t="e">
        <v>#N/A</v>
      </c>
      <c r="J1442" s="189" t="e">
        <v>#N/A</v>
      </c>
      <c r="K1442" s="204" t="e">
        <v>#N/A</v>
      </c>
      <c r="L1442" s="204" t="e">
        <v>#N/A</v>
      </c>
      <c r="M1442" s="205" t="e">
        <v>#N/A</v>
      </c>
      <c r="N1442" s="205" t="e">
        <v>#N/A</v>
      </c>
      <c r="O1442" s="205" t="e">
        <v>#N/A</v>
      </c>
      <c r="P1442" s="205" t="e">
        <v>#N/A</v>
      </c>
      <c r="Q1442" s="189" t="e">
        <v>#N/A</v>
      </c>
      <c r="R1442" s="189" t="e">
        <v>#N/A</v>
      </c>
      <c r="S1442" s="205" t="e">
        <v>#N/A</v>
      </c>
      <c r="T1442" s="206"/>
    </row>
    <row r="1443">
      <c r="C1443" s="189" t="e">
        <v>#N/A</v>
      </c>
      <c r="D1443" s="189" t="e">
        <v>#N/A</v>
      </c>
      <c r="E1443" s="189" t="e">
        <v>#N/A</v>
      </c>
      <c r="F1443" s="189" t="e">
        <v>#N/A</v>
      </c>
      <c r="G1443" s="189" t="e">
        <v>#N/A</v>
      </c>
      <c r="H1443" s="189" t="e">
        <v>#N/A</v>
      </c>
      <c r="I1443" s="189" t="e">
        <v>#N/A</v>
      </c>
      <c r="J1443" s="189" t="e">
        <v>#N/A</v>
      </c>
      <c r="K1443" s="204" t="e">
        <v>#N/A</v>
      </c>
      <c r="L1443" s="204" t="e">
        <v>#N/A</v>
      </c>
      <c r="M1443" s="205" t="e">
        <v>#N/A</v>
      </c>
      <c r="N1443" s="205" t="e">
        <v>#N/A</v>
      </c>
      <c r="O1443" s="205" t="e">
        <v>#N/A</v>
      </c>
      <c r="P1443" s="205" t="e">
        <v>#N/A</v>
      </c>
      <c r="Q1443" s="189" t="e">
        <v>#N/A</v>
      </c>
      <c r="R1443" s="189" t="e">
        <v>#N/A</v>
      </c>
      <c r="S1443" s="205" t="e">
        <v>#N/A</v>
      </c>
      <c r="T1443" s="206"/>
    </row>
    <row r="1444">
      <c r="C1444" s="189" t="e">
        <v>#N/A</v>
      </c>
      <c r="D1444" s="189" t="e">
        <v>#N/A</v>
      </c>
      <c r="E1444" s="189" t="e">
        <v>#N/A</v>
      </c>
      <c r="F1444" s="189" t="e">
        <v>#N/A</v>
      </c>
      <c r="G1444" s="189" t="e">
        <v>#N/A</v>
      </c>
      <c r="H1444" s="189" t="e">
        <v>#N/A</v>
      </c>
      <c r="I1444" s="189" t="e">
        <v>#N/A</v>
      </c>
      <c r="J1444" s="189" t="e">
        <v>#N/A</v>
      </c>
      <c r="K1444" s="204" t="e">
        <v>#N/A</v>
      </c>
      <c r="L1444" s="204" t="e">
        <v>#N/A</v>
      </c>
      <c r="M1444" s="205" t="e">
        <v>#N/A</v>
      </c>
      <c r="N1444" s="205" t="e">
        <v>#N/A</v>
      </c>
      <c r="O1444" s="205" t="e">
        <v>#N/A</v>
      </c>
      <c r="P1444" s="205" t="e">
        <v>#N/A</v>
      </c>
      <c r="Q1444" s="189" t="e">
        <v>#N/A</v>
      </c>
      <c r="R1444" s="189" t="e">
        <v>#N/A</v>
      </c>
      <c r="S1444" s="205" t="e">
        <v>#N/A</v>
      </c>
      <c r="T1444" s="206"/>
    </row>
    <row r="1445">
      <c r="C1445" s="189" t="e">
        <v>#N/A</v>
      </c>
      <c r="D1445" s="189" t="e">
        <v>#N/A</v>
      </c>
      <c r="E1445" s="189" t="e">
        <v>#N/A</v>
      </c>
      <c r="F1445" s="189" t="e">
        <v>#N/A</v>
      </c>
      <c r="G1445" s="189" t="e">
        <v>#N/A</v>
      </c>
      <c r="H1445" s="189" t="e">
        <v>#N/A</v>
      </c>
      <c r="I1445" s="189" t="e">
        <v>#N/A</v>
      </c>
      <c r="J1445" s="189" t="e">
        <v>#N/A</v>
      </c>
      <c r="K1445" s="204" t="e">
        <v>#N/A</v>
      </c>
      <c r="L1445" s="204" t="e">
        <v>#N/A</v>
      </c>
      <c r="M1445" s="205" t="e">
        <v>#N/A</v>
      </c>
      <c r="N1445" s="205" t="e">
        <v>#N/A</v>
      </c>
      <c r="O1445" s="205" t="e">
        <v>#N/A</v>
      </c>
      <c r="P1445" s="205" t="e">
        <v>#N/A</v>
      </c>
      <c r="Q1445" s="189" t="e">
        <v>#N/A</v>
      </c>
      <c r="R1445" s="189" t="e">
        <v>#N/A</v>
      </c>
      <c r="S1445" s="205" t="e">
        <v>#N/A</v>
      </c>
      <c r="T1445" s="206"/>
    </row>
    <row r="1446">
      <c r="C1446" s="189" t="e">
        <v>#N/A</v>
      </c>
      <c r="D1446" s="189" t="e">
        <v>#N/A</v>
      </c>
      <c r="E1446" s="189" t="e">
        <v>#N/A</v>
      </c>
      <c r="F1446" s="189" t="e">
        <v>#N/A</v>
      </c>
      <c r="G1446" s="189" t="e">
        <v>#N/A</v>
      </c>
      <c r="H1446" s="189" t="e">
        <v>#N/A</v>
      </c>
      <c r="I1446" s="189" t="e">
        <v>#N/A</v>
      </c>
      <c r="J1446" s="189" t="e">
        <v>#N/A</v>
      </c>
      <c r="K1446" s="204" t="e">
        <v>#N/A</v>
      </c>
      <c r="L1446" s="204" t="e">
        <v>#N/A</v>
      </c>
      <c r="M1446" s="205" t="e">
        <v>#N/A</v>
      </c>
      <c r="N1446" s="205" t="e">
        <v>#N/A</v>
      </c>
      <c r="O1446" s="205" t="e">
        <v>#N/A</v>
      </c>
      <c r="P1446" s="205" t="e">
        <v>#N/A</v>
      </c>
      <c r="Q1446" s="189" t="e">
        <v>#N/A</v>
      </c>
      <c r="R1446" s="189" t="e">
        <v>#N/A</v>
      </c>
      <c r="S1446" s="205" t="e">
        <v>#N/A</v>
      </c>
      <c r="T1446" s="206"/>
    </row>
    <row r="1447">
      <c r="C1447" s="189" t="e">
        <v>#N/A</v>
      </c>
      <c r="D1447" s="189" t="e">
        <v>#N/A</v>
      </c>
      <c r="E1447" s="189" t="e">
        <v>#N/A</v>
      </c>
      <c r="F1447" s="189" t="e">
        <v>#N/A</v>
      </c>
      <c r="G1447" s="189" t="e">
        <v>#N/A</v>
      </c>
      <c r="H1447" s="189" t="e">
        <v>#N/A</v>
      </c>
      <c r="I1447" s="189" t="e">
        <v>#N/A</v>
      </c>
      <c r="J1447" s="189" t="e">
        <v>#N/A</v>
      </c>
      <c r="K1447" s="204" t="e">
        <v>#N/A</v>
      </c>
      <c r="L1447" s="204" t="e">
        <v>#N/A</v>
      </c>
      <c r="M1447" s="205" t="e">
        <v>#N/A</v>
      </c>
      <c r="N1447" s="205" t="e">
        <v>#N/A</v>
      </c>
      <c r="O1447" s="205" t="e">
        <v>#N/A</v>
      </c>
      <c r="P1447" s="205" t="e">
        <v>#N/A</v>
      </c>
      <c r="Q1447" s="189" t="e">
        <v>#N/A</v>
      </c>
      <c r="R1447" s="189" t="e">
        <v>#N/A</v>
      </c>
      <c r="S1447" s="205" t="e">
        <v>#N/A</v>
      </c>
      <c r="T1447" s="206"/>
    </row>
    <row r="1448">
      <c r="C1448" s="189" t="e">
        <v>#N/A</v>
      </c>
      <c r="D1448" s="189" t="e">
        <v>#N/A</v>
      </c>
      <c r="E1448" s="189" t="e">
        <v>#N/A</v>
      </c>
      <c r="F1448" s="189" t="e">
        <v>#N/A</v>
      </c>
      <c r="G1448" s="189" t="e">
        <v>#N/A</v>
      </c>
      <c r="H1448" s="189" t="e">
        <v>#N/A</v>
      </c>
      <c r="I1448" s="189" t="e">
        <v>#N/A</v>
      </c>
      <c r="J1448" s="189" t="e">
        <v>#N/A</v>
      </c>
      <c r="K1448" s="204" t="e">
        <v>#N/A</v>
      </c>
      <c r="L1448" s="204" t="e">
        <v>#N/A</v>
      </c>
      <c r="M1448" s="205" t="e">
        <v>#N/A</v>
      </c>
      <c r="N1448" s="205" t="e">
        <v>#N/A</v>
      </c>
      <c r="O1448" s="205" t="e">
        <v>#N/A</v>
      </c>
      <c r="P1448" s="205" t="e">
        <v>#N/A</v>
      </c>
      <c r="Q1448" s="189" t="e">
        <v>#N/A</v>
      </c>
      <c r="R1448" s="189" t="e">
        <v>#N/A</v>
      </c>
      <c r="S1448" s="205" t="e">
        <v>#N/A</v>
      </c>
      <c r="T1448" s="206"/>
    </row>
    <row r="1449">
      <c r="C1449" s="189" t="e">
        <v>#N/A</v>
      </c>
      <c r="D1449" s="189" t="e">
        <v>#N/A</v>
      </c>
      <c r="E1449" s="189" t="e">
        <v>#N/A</v>
      </c>
      <c r="F1449" s="189" t="e">
        <v>#N/A</v>
      </c>
      <c r="G1449" s="189" t="e">
        <v>#N/A</v>
      </c>
      <c r="H1449" s="189" t="e">
        <v>#N/A</v>
      </c>
      <c r="I1449" s="189" t="e">
        <v>#N/A</v>
      </c>
      <c r="J1449" s="189" t="e">
        <v>#N/A</v>
      </c>
      <c r="K1449" s="204" t="e">
        <v>#N/A</v>
      </c>
      <c r="L1449" s="204" t="e">
        <v>#N/A</v>
      </c>
      <c r="M1449" s="205" t="e">
        <v>#N/A</v>
      </c>
      <c r="N1449" s="205" t="e">
        <v>#N/A</v>
      </c>
      <c r="O1449" s="205" t="e">
        <v>#N/A</v>
      </c>
      <c r="P1449" s="205" t="e">
        <v>#N/A</v>
      </c>
      <c r="Q1449" s="189" t="e">
        <v>#N/A</v>
      </c>
      <c r="R1449" s="189" t="e">
        <v>#N/A</v>
      </c>
      <c r="S1449" s="205" t="e">
        <v>#N/A</v>
      </c>
      <c r="T1449" s="206"/>
    </row>
    <row r="1450">
      <c r="C1450" s="189" t="e">
        <v>#N/A</v>
      </c>
      <c r="D1450" s="189" t="e">
        <v>#N/A</v>
      </c>
      <c r="E1450" s="189" t="e">
        <v>#N/A</v>
      </c>
      <c r="F1450" s="189" t="e">
        <v>#N/A</v>
      </c>
      <c r="G1450" s="189" t="e">
        <v>#N/A</v>
      </c>
      <c r="H1450" s="189" t="e">
        <v>#N/A</v>
      </c>
      <c r="I1450" s="189" t="e">
        <v>#N/A</v>
      </c>
      <c r="J1450" s="189" t="e">
        <v>#N/A</v>
      </c>
      <c r="K1450" s="204" t="e">
        <v>#N/A</v>
      </c>
      <c r="L1450" s="204" t="e">
        <v>#N/A</v>
      </c>
      <c r="M1450" s="205" t="e">
        <v>#N/A</v>
      </c>
      <c r="N1450" s="205" t="e">
        <v>#N/A</v>
      </c>
      <c r="O1450" s="205" t="e">
        <v>#N/A</v>
      </c>
      <c r="P1450" s="205" t="e">
        <v>#N/A</v>
      </c>
      <c r="Q1450" s="189" t="e">
        <v>#N/A</v>
      </c>
      <c r="R1450" s="189" t="e">
        <v>#N/A</v>
      </c>
      <c r="S1450" s="205" t="e">
        <v>#N/A</v>
      </c>
      <c r="T1450" s="206"/>
    </row>
    <row r="1451">
      <c r="C1451" s="189" t="e">
        <v>#N/A</v>
      </c>
      <c r="D1451" s="189" t="e">
        <v>#N/A</v>
      </c>
      <c r="E1451" s="189" t="e">
        <v>#N/A</v>
      </c>
      <c r="F1451" s="189" t="e">
        <v>#N/A</v>
      </c>
      <c r="G1451" s="189" t="e">
        <v>#N/A</v>
      </c>
      <c r="H1451" s="189" t="e">
        <v>#N/A</v>
      </c>
      <c r="I1451" s="189" t="e">
        <v>#N/A</v>
      </c>
      <c r="J1451" s="189" t="e">
        <v>#N/A</v>
      </c>
      <c r="K1451" s="204" t="e">
        <v>#N/A</v>
      </c>
      <c r="L1451" s="204" t="e">
        <v>#N/A</v>
      </c>
      <c r="M1451" s="205" t="e">
        <v>#N/A</v>
      </c>
      <c r="N1451" s="205" t="e">
        <v>#N/A</v>
      </c>
      <c r="O1451" s="205" t="e">
        <v>#N/A</v>
      </c>
      <c r="P1451" s="205" t="e">
        <v>#N/A</v>
      </c>
      <c r="Q1451" s="189" t="e">
        <v>#N/A</v>
      </c>
      <c r="R1451" s="189" t="e">
        <v>#N/A</v>
      </c>
      <c r="S1451" s="205" t="e">
        <v>#N/A</v>
      </c>
      <c r="T1451" s="206"/>
    </row>
    <row r="1452">
      <c r="C1452" s="189" t="e">
        <v>#N/A</v>
      </c>
      <c r="D1452" s="189" t="e">
        <v>#N/A</v>
      </c>
      <c r="E1452" s="189" t="e">
        <v>#N/A</v>
      </c>
      <c r="F1452" s="189" t="e">
        <v>#N/A</v>
      </c>
      <c r="G1452" s="189" t="e">
        <v>#N/A</v>
      </c>
      <c r="H1452" s="189" t="e">
        <v>#N/A</v>
      </c>
      <c r="I1452" s="189" t="e">
        <v>#N/A</v>
      </c>
      <c r="J1452" s="189" t="e">
        <v>#N/A</v>
      </c>
      <c r="K1452" s="204" t="e">
        <v>#N/A</v>
      </c>
      <c r="L1452" s="204" t="e">
        <v>#N/A</v>
      </c>
      <c r="M1452" s="205" t="e">
        <v>#N/A</v>
      </c>
      <c r="N1452" s="205" t="e">
        <v>#N/A</v>
      </c>
      <c r="O1452" s="205" t="e">
        <v>#N/A</v>
      </c>
      <c r="P1452" s="205" t="e">
        <v>#N/A</v>
      </c>
      <c r="Q1452" s="189" t="e">
        <v>#N/A</v>
      </c>
      <c r="R1452" s="189" t="e">
        <v>#N/A</v>
      </c>
      <c r="S1452" s="205" t="e">
        <v>#N/A</v>
      </c>
      <c r="T1452" s="206"/>
    </row>
    <row r="1453">
      <c r="C1453" s="189" t="e">
        <v>#N/A</v>
      </c>
      <c r="D1453" s="189" t="e">
        <v>#N/A</v>
      </c>
      <c r="E1453" s="189" t="e">
        <v>#N/A</v>
      </c>
      <c r="F1453" s="189" t="e">
        <v>#N/A</v>
      </c>
      <c r="G1453" s="189" t="e">
        <v>#N/A</v>
      </c>
      <c r="H1453" s="189" t="e">
        <v>#N/A</v>
      </c>
      <c r="I1453" s="189" t="e">
        <v>#N/A</v>
      </c>
      <c r="J1453" s="189" t="e">
        <v>#N/A</v>
      </c>
      <c r="K1453" s="204" t="e">
        <v>#N/A</v>
      </c>
      <c r="L1453" s="204" t="e">
        <v>#N/A</v>
      </c>
      <c r="M1453" s="205" t="e">
        <v>#N/A</v>
      </c>
      <c r="N1453" s="205" t="e">
        <v>#N/A</v>
      </c>
      <c r="O1453" s="205" t="e">
        <v>#N/A</v>
      </c>
      <c r="P1453" s="205" t="e">
        <v>#N/A</v>
      </c>
      <c r="Q1453" s="189" t="e">
        <v>#N/A</v>
      </c>
      <c r="R1453" s="189" t="e">
        <v>#N/A</v>
      </c>
      <c r="S1453" s="205" t="e">
        <v>#N/A</v>
      </c>
      <c r="T1453" s="206"/>
    </row>
    <row r="1454">
      <c r="C1454" s="189" t="e">
        <v>#N/A</v>
      </c>
      <c r="D1454" s="189" t="e">
        <v>#N/A</v>
      </c>
      <c r="E1454" s="189" t="e">
        <v>#N/A</v>
      </c>
      <c r="F1454" s="189" t="e">
        <v>#N/A</v>
      </c>
      <c r="G1454" s="189" t="e">
        <v>#N/A</v>
      </c>
      <c r="H1454" s="189" t="e">
        <v>#N/A</v>
      </c>
      <c r="I1454" s="189" t="e">
        <v>#N/A</v>
      </c>
      <c r="J1454" s="189" t="e">
        <v>#N/A</v>
      </c>
      <c r="K1454" s="204" t="e">
        <v>#N/A</v>
      </c>
      <c r="L1454" s="204" t="e">
        <v>#N/A</v>
      </c>
      <c r="M1454" s="205" t="e">
        <v>#N/A</v>
      </c>
      <c r="N1454" s="205" t="e">
        <v>#N/A</v>
      </c>
      <c r="O1454" s="205" t="e">
        <v>#N/A</v>
      </c>
      <c r="P1454" s="205" t="e">
        <v>#N/A</v>
      </c>
      <c r="Q1454" s="189" t="e">
        <v>#N/A</v>
      </c>
      <c r="R1454" s="189" t="e">
        <v>#N/A</v>
      </c>
      <c r="S1454" s="205" t="e">
        <v>#N/A</v>
      </c>
      <c r="T1454" s="206"/>
    </row>
    <row r="1455">
      <c r="C1455" s="189" t="e">
        <v>#N/A</v>
      </c>
      <c r="D1455" s="189" t="e">
        <v>#N/A</v>
      </c>
      <c r="E1455" s="189" t="e">
        <v>#N/A</v>
      </c>
      <c r="F1455" s="189" t="e">
        <v>#N/A</v>
      </c>
      <c r="G1455" s="189" t="e">
        <v>#N/A</v>
      </c>
      <c r="H1455" s="189" t="e">
        <v>#N/A</v>
      </c>
      <c r="I1455" s="189" t="e">
        <v>#N/A</v>
      </c>
      <c r="J1455" s="189" t="e">
        <v>#N/A</v>
      </c>
      <c r="K1455" s="204" t="e">
        <v>#N/A</v>
      </c>
      <c r="L1455" s="204" t="e">
        <v>#N/A</v>
      </c>
      <c r="M1455" s="205" t="e">
        <v>#N/A</v>
      </c>
      <c r="N1455" s="205" t="e">
        <v>#N/A</v>
      </c>
      <c r="O1455" s="205" t="e">
        <v>#N/A</v>
      </c>
      <c r="P1455" s="205" t="e">
        <v>#N/A</v>
      </c>
      <c r="Q1455" s="189" t="e">
        <v>#N/A</v>
      </c>
      <c r="R1455" s="189" t="e">
        <v>#N/A</v>
      </c>
      <c r="S1455" s="205" t="e">
        <v>#N/A</v>
      </c>
      <c r="T1455" s="206"/>
    </row>
    <row r="1456">
      <c r="C1456" s="189" t="e">
        <v>#N/A</v>
      </c>
      <c r="D1456" s="189" t="e">
        <v>#N/A</v>
      </c>
      <c r="E1456" s="189" t="e">
        <v>#N/A</v>
      </c>
      <c r="F1456" s="189" t="e">
        <v>#N/A</v>
      </c>
      <c r="G1456" s="189" t="e">
        <v>#N/A</v>
      </c>
      <c r="H1456" s="189" t="e">
        <v>#N/A</v>
      </c>
      <c r="I1456" s="189" t="e">
        <v>#N/A</v>
      </c>
      <c r="J1456" s="189" t="e">
        <v>#N/A</v>
      </c>
      <c r="K1456" s="204" t="e">
        <v>#N/A</v>
      </c>
      <c r="L1456" s="204" t="e">
        <v>#N/A</v>
      </c>
      <c r="M1456" s="205" t="e">
        <v>#N/A</v>
      </c>
      <c r="N1456" s="205" t="e">
        <v>#N/A</v>
      </c>
      <c r="O1456" s="205" t="e">
        <v>#N/A</v>
      </c>
      <c r="P1456" s="205" t="e">
        <v>#N/A</v>
      </c>
      <c r="Q1456" s="189" t="e">
        <v>#N/A</v>
      </c>
      <c r="R1456" s="189" t="e">
        <v>#N/A</v>
      </c>
      <c r="S1456" s="205" t="e">
        <v>#N/A</v>
      </c>
      <c r="T1456" s="206"/>
    </row>
    <row r="1457">
      <c r="C1457" s="189" t="e">
        <v>#N/A</v>
      </c>
      <c r="D1457" s="189" t="e">
        <v>#N/A</v>
      </c>
      <c r="E1457" s="189" t="e">
        <v>#N/A</v>
      </c>
      <c r="F1457" s="189" t="e">
        <v>#N/A</v>
      </c>
      <c r="G1457" s="189" t="e">
        <v>#N/A</v>
      </c>
      <c r="H1457" s="189" t="e">
        <v>#N/A</v>
      </c>
      <c r="I1457" s="189" t="e">
        <v>#N/A</v>
      </c>
      <c r="J1457" s="189" t="e">
        <v>#N/A</v>
      </c>
      <c r="K1457" s="204" t="e">
        <v>#N/A</v>
      </c>
      <c r="L1457" s="204" t="e">
        <v>#N/A</v>
      </c>
      <c r="M1457" s="205" t="e">
        <v>#N/A</v>
      </c>
      <c r="N1457" s="205" t="e">
        <v>#N/A</v>
      </c>
      <c r="O1457" s="205" t="e">
        <v>#N/A</v>
      </c>
      <c r="P1457" s="205" t="e">
        <v>#N/A</v>
      </c>
      <c r="Q1457" s="189" t="e">
        <v>#N/A</v>
      </c>
      <c r="R1457" s="189" t="e">
        <v>#N/A</v>
      </c>
      <c r="S1457" s="205" t="e">
        <v>#N/A</v>
      </c>
      <c r="T1457" s="206"/>
    </row>
    <row r="1458">
      <c r="C1458" s="189" t="e">
        <v>#N/A</v>
      </c>
      <c r="D1458" s="189" t="e">
        <v>#N/A</v>
      </c>
      <c r="E1458" s="189" t="e">
        <v>#N/A</v>
      </c>
      <c r="F1458" s="189" t="e">
        <v>#N/A</v>
      </c>
      <c r="G1458" s="189" t="e">
        <v>#N/A</v>
      </c>
      <c r="H1458" s="189" t="e">
        <v>#N/A</v>
      </c>
      <c r="I1458" s="189" t="e">
        <v>#N/A</v>
      </c>
      <c r="J1458" s="189" t="e">
        <v>#N/A</v>
      </c>
      <c r="K1458" s="204" t="e">
        <v>#N/A</v>
      </c>
      <c r="L1458" s="204" t="e">
        <v>#N/A</v>
      </c>
      <c r="M1458" s="205" t="e">
        <v>#N/A</v>
      </c>
      <c r="N1458" s="205" t="e">
        <v>#N/A</v>
      </c>
      <c r="O1458" s="205" t="e">
        <v>#N/A</v>
      </c>
      <c r="P1458" s="205" t="e">
        <v>#N/A</v>
      </c>
      <c r="Q1458" s="189" t="e">
        <v>#N/A</v>
      </c>
      <c r="R1458" s="189" t="e">
        <v>#N/A</v>
      </c>
      <c r="S1458" s="205" t="e">
        <v>#N/A</v>
      </c>
      <c r="T1458" s="206"/>
    </row>
    <row r="1459">
      <c r="C1459" s="189" t="e">
        <v>#N/A</v>
      </c>
      <c r="D1459" s="189" t="e">
        <v>#N/A</v>
      </c>
      <c r="E1459" s="189" t="e">
        <v>#N/A</v>
      </c>
      <c r="F1459" s="189" t="e">
        <v>#N/A</v>
      </c>
      <c r="G1459" s="189" t="e">
        <v>#N/A</v>
      </c>
      <c r="H1459" s="189" t="e">
        <v>#N/A</v>
      </c>
      <c r="I1459" s="189" t="e">
        <v>#N/A</v>
      </c>
      <c r="J1459" s="189" t="e">
        <v>#N/A</v>
      </c>
      <c r="K1459" s="204" t="e">
        <v>#N/A</v>
      </c>
      <c r="L1459" s="204" t="e">
        <v>#N/A</v>
      </c>
      <c r="M1459" s="205" t="e">
        <v>#N/A</v>
      </c>
      <c r="N1459" s="205" t="e">
        <v>#N/A</v>
      </c>
      <c r="O1459" s="205" t="e">
        <v>#N/A</v>
      </c>
      <c r="P1459" s="205" t="e">
        <v>#N/A</v>
      </c>
      <c r="Q1459" s="189" t="e">
        <v>#N/A</v>
      </c>
      <c r="R1459" s="189" t="e">
        <v>#N/A</v>
      </c>
      <c r="S1459" s="205" t="e">
        <v>#N/A</v>
      </c>
      <c r="T1459" s="206"/>
    </row>
    <row r="1460">
      <c r="C1460" s="189" t="e">
        <v>#N/A</v>
      </c>
      <c r="D1460" s="189" t="e">
        <v>#N/A</v>
      </c>
      <c r="E1460" s="189" t="e">
        <v>#N/A</v>
      </c>
      <c r="F1460" s="189" t="e">
        <v>#N/A</v>
      </c>
      <c r="G1460" s="189" t="e">
        <v>#N/A</v>
      </c>
      <c r="H1460" s="189" t="e">
        <v>#N/A</v>
      </c>
      <c r="I1460" s="189" t="e">
        <v>#N/A</v>
      </c>
      <c r="J1460" s="189" t="e">
        <v>#N/A</v>
      </c>
      <c r="K1460" s="204" t="e">
        <v>#N/A</v>
      </c>
      <c r="L1460" s="204" t="e">
        <v>#N/A</v>
      </c>
      <c r="M1460" s="205" t="e">
        <v>#N/A</v>
      </c>
      <c r="N1460" s="205" t="e">
        <v>#N/A</v>
      </c>
      <c r="O1460" s="205" t="e">
        <v>#N/A</v>
      </c>
      <c r="P1460" s="205" t="e">
        <v>#N/A</v>
      </c>
      <c r="Q1460" s="189" t="e">
        <v>#N/A</v>
      </c>
      <c r="R1460" s="189" t="e">
        <v>#N/A</v>
      </c>
      <c r="S1460" s="205" t="e">
        <v>#N/A</v>
      </c>
      <c r="T1460" s="206"/>
    </row>
    <row r="1461">
      <c r="C1461" s="189" t="e">
        <v>#N/A</v>
      </c>
      <c r="D1461" s="189" t="e">
        <v>#N/A</v>
      </c>
      <c r="E1461" s="189" t="e">
        <v>#N/A</v>
      </c>
      <c r="F1461" s="189" t="e">
        <v>#N/A</v>
      </c>
      <c r="G1461" s="189" t="e">
        <v>#N/A</v>
      </c>
      <c r="H1461" s="189" t="e">
        <v>#N/A</v>
      </c>
      <c r="I1461" s="189" t="e">
        <v>#N/A</v>
      </c>
      <c r="J1461" s="189" t="e">
        <v>#N/A</v>
      </c>
      <c r="K1461" s="204" t="e">
        <v>#N/A</v>
      </c>
      <c r="L1461" s="204" t="e">
        <v>#N/A</v>
      </c>
      <c r="M1461" s="205" t="e">
        <v>#N/A</v>
      </c>
      <c r="N1461" s="205" t="e">
        <v>#N/A</v>
      </c>
      <c r="O1461" s="205" t="e">
        <v>#N/A</v>
      </c>
      <c r="P1461" s="205" t="e">
        <v>#N/A</v>
      </c>
      <c r="Q1461" s="189" t="e">
        <v>#N/A</v>
      </c>
      <c r="R1461" s="189" t="e">
        <v>#N/A</v>
      </c>
      <c r="S1461" s="205" t="e">
        <v>#N/A</v>
      </c>
      <c r="T1461" s="206"/>
    </row>
    <row r="1462">
      <c r="C1462" s="189" t="e">
        <v>#N/A</v>
      </c>
      <c r="D1462" s="189" t="e">
        <v>#N/A</v>
      </c>
      <c r="E1462" s="189" t="e">
        <v>#N/A</v>
      </c>
      <c r="F1462" s="189" t="e">
        <v>#N/A</v>
      </c>
      <c r="G1462" s="189" t="e">
        <v>#N/A</v>
      </c>
      <c r="H1462" s="189" t="e">
        <v>#N/A</v>
      </c>
      <c r="I1462" s="189" t="e">
        <v>#N/A</v>
      </c>
      <c r="J1462" s="189" t="e">
        <v>#N/A</v>
      </c>
      <c r="K1462" s="204" t="e">
        <v>#N/A</v>
      </c>
      <c r="L1462" s="204" t="e">
        <v>#N/A</v>
      </c>
      <c r="M1462" s="205" t="e">
        <v>#N/A</v>
      </c>
      <c r="N1462" s="205" t="e">
        <v>#N/A</v>
      </c>
      <c r="O1462" s="205" t="e">
        <v>#N/A</v>
      </c>
      <c r="P1462" s="205" t="e">
        <v>#N/A</v>
      </c>
      <c r="Q1462" s="189" t="e">
        <v>#N/A</v>
      </c>
      <c r="R1462" s="189" t="e">
        <v>#N/A</v>
      </c>
      <c r="S1462" s="205" t="e">
        <v>#N/A</v>
      </c>
      <c r="T1462" s="206"/>
    </row>
    <row r="1463">
      <c r="C1463" s="189" t="e">
        <v>#N/A</v>
      </c>
      <c r="D1463" s="189" t="e">
        <v>#N/A</v>
      </c>
      <c r="E1463" s="189" t="e">
        <v>#N/A</v>
      </c>
      <c r="F1463" s="189" t="e">
        <v>#N/A</v>
      </c>
      <c r="G1463" s="189" t="e">
        <v>#N/A</v>
      </c>
      <c r="H1463" s="189" t="e">
        <v>#N/A</v>
      </c>
      <c r="I1463" s="189" t="e">
        <v>#N/A</v>
      </c>
      <c r="J1463" s="189" t="e">
        <v>#N/A</v>
      </c>
      <c r="K1463" s="204" t="e">
        <v>#N/A</v>
      </c>
      <c r="L1463" s="204" t="e">
        <v>#N/A</v>
      </c>
      <c r="M1463" s="205" t="e">
        <v>#N/A</v>
      </c>
      <c r="N1463" s="205" t="e">
        <v>#N/A</v>
      </c>
      <c r="O1463" s="205" t="e">
        <v>#N/A</v>
      </c>
      <c r="P1463" s="205" t="e">
        <v>#N/A</v>
      </c>
      <c r="Q1463" s="189" t="e">
        <v>#N/A</v>
      </c>
      <c r="R1463" s="189" t="e">
        <v>#N/A</v>
      </c>
      <c r="S1463" s="205" t="e">
        <v>#N/A</v>
      </c>
      <c r="T1463" s="206"/>
    </row>
    <row r="1464">
      <c r="C1464" s="189" t="e">
        <v>#N/A</v>
      </c>
      <c r="D1464" s="189" t="e">
        <v>#N/A</v>
      </c>
      <c r="E1464" s="189" t="e">
        <v>#N/A</v>
      </c>
      <c r="F1464" s="189" t="e">
        <v>#N/A</v>
      </c>
      <c r="G1464" s="189" t="e">
        <v>#N/A</v>
      </c>
      <c r="H1464" s="189" t="e">
        <v>#N/A</v>
      </c>
      <c r="I1464" s="189" t="e">
        <v>#N/A</v>
      </c>
      <c r="J1464" s="189" t="e">
        <v>#N/A</v>
      </c>
      <c r="K1464" s="204" t="e">
        <v>#N/A</v>
      </c>
      <c r="L1464" s="204" t="e">
        <v>#N/A</v>
      </c>
      <c r="M1464" s="205" t="e">
        <v>#N/A</v>
      </c>
      <c r="N1464" s="205" t="e">
        <v>#N/A</v>
      </c>
      <c r="O1464" s="205" t="e">
        <v>#N/A</v>
      </c>
      <c r="P1464" s="205" t="e">
        <v>#N/A</v>
      </c>
      <c r="Q1464" s="189" t="e">
        <v>#N/A</v>
      </c>
      <c r="R1464" s="189" t="e">
        <v>#N/A</v>
      </c>
      <c r="S1464" s="205" t="e">
        <v>#N/A</v>
      </c>
      <c r="T1464" s="206"/>
    </row>
    <row r="1465">
      <c r="C1465" s="189" t="e">
        <v>#N/A</v>
      </c>
      <c r="D1465" s="189" t="e">
        <v>#N/A</v>
      </c>
      <c r="E1465" s="189" t="e">
        <v>#N/A</v>
      </c>
      <c r="F1465" s="189" t="e">
        <v>#N/A</v>
      </c>
      <c r="G1465" s="189" t="e">
        <v>#N/A</v>
      </c>
      <c r="H1465" s="189" t="e">
        <v>#N/A</v>
      </c>
      <c r="I1465" s="189" t="e">
        <v>#N/A</v>
      </c>
      <c r="J1465" s="189" t="e">
        <v>#N/A</v>
      </c>
      <c r="K1465" s="204" t="e">
        <v>#N/A</v>
      </c>
      <c r="L1465" s="204" t="e">
        <v>#N/A</v>
      </c>
      <c r="M1465" s="205" t="e">
        <v>#N/A</v>
      </c>
      <c r="N1465" s="205" t="e">
        <v>#N/A</v>
      </c>
      <c r="O1465" s="205" t="e">
        <v>#N/A</v>
      </c>
      <c r="P1465" s="205" t="e">
        <v>#N/A</v>
      </c>
      <c r="Q1465" s="189" t="e">
        <v>#N/A</v>
      </c>
      <c r="R1465" s="189" t="e">
        <v>#N/A</v>
      </c>
      <c r="S1465" s="205" t="e">
        <v>#N/A</v>
      </c>
      <c r="T1465" s="206"/>
    </row>
    <row r="1466">
      <c r="C1466" s="189" t="e">
        <v>#N/A</v>
      </c>
      <c r="D1466" s="189" t="e">
        <v>#N/A</v>
      </c>
      <c r="E1466" s="189" t="e">
        <v>#N/A</v>
      </c>
      <c r="F1466" s="189" t="e">
        <v>#N/A</v>
      </c>
      <c r="G1466" s="189" t="e">
        <v>#N/A</v>
      </c>
      <c r="H1466" s="189" t="e">
        <v>#N/A</v>
      </c>
      <c r="I1466" s="189" t="e">
        <v>#N/A</v>
      </c>
      <c r="J1466" s="189" t="e">
        <v>#N/A</v>
      </c>
      <c r="K1466" s="204" t="e">
        <v>#N/A</v>
      </c>
      <c r="L1466" s="204" t="e">
        <v>#N/A</v>
      </c>
      <c r="M1466" s="205" t="e">
        <v>#N/A</v>
      </c>
      <c r="N1466" s="205" t="e">
        <v>#N/A</v>
      </c>
      <c r="O1466" s="205" t="e">
        <v>#N/A</v>
      </c>
      <c r="P1466" s="205" t="e">
        <v>#N/A</v>
      </c>
      <c r="Q1466" s="189" t="e">
        <v>#N/A</v>
      </c>
      <c r="R1466" s="189" t="e">
        <v>#N/A</v>
      </c>
      <c r="S1466" s="205" t="e">
        <v>#N/A</v>
      </c>
      <c r="T1466" s="206"/>
    </row>
    <row r="1467">
      <c r="C1467" s="189" t="e">
        <v>#N/A</v>
      </c>
      <c r="D1467" s="189" t="e">
        <v>#N/A</v>
      </c>
      <c r="E1467" s="189" t="e">
        <v>#N/A</v>
      </c>
      <c r="F1467" s="189" t="e">
        <v>#N/A</v>
      </c>
      <c r="G1467" s="189" t="e">
        <v>#N/A</v>
      </c>
      <c r="H1467" s="189" t="e">
        <v>#N/A</v>
      </c>
      <c r="I1467" s="189" t="e">
        <v>#N/A</v>
      </c>
      <c r="J1467" s="189" t="e">
        <v>#N/A</v>
      </c>
      <c r="K1467" s="204" t="e">
        <v>#N/A</v>
      </c>
      <c r="L1467" s="204" t="e">
        <v>#N/A</v>
      </c>
      <c r="M1467" s="205" t="e">
        <v>#N/A</v>
      </c>
      <c r="N1467" s="205" t="e">
        <v>#N/A</v>
      </c>
      <c r="O1467" s="205" t="e">
        <v>#N/A</v>
      </c>
      <c r="P1467" s="205" t="e">
        <v>#N/A</v>
      </c>
      <c r="Q1467" s="189" t="e">
        <v>#N/A</v>
      </c>
      <c r="R1467" s="189" t="e">
        <v>#N/A</v>
      </c>
      <c r="S1467" s="205" t="e">
        <v>#N/A</v>
      </c>
      <c r="T1467" s="206"/>
    </row>
    <row r="1468">
      <c r="C1468" s="189" t="e">
        <v>#N/A</v>
      </c>
      <c r="D1468" s="189" t="e">
        <v>#N/A</v>
      </c>
      <c r="E1468" s="189" t="e">
        <v>#N/A</v>
      </c>
      <c r="F1468" s="189" t="e">
        <v>#N/A</v>
      </c>
      <c r="G1468" s="189" t="e">
        <v>#N/A</v>
      </c>
      <c r="H1468" s="189" t="e">
        <v>#N/A</v>
      </c>
      <c r="I1468" s="189" t="e">
        <v>#N/A</v>
      </c>
      <c r="J1468" s="189" t="e">
        <v>#N/A</v>
      </c>
      <c r="K1468" s="204" t="e">
        <v>#N/A</v>
      </c>
      <c r="L1468" s="204" t="e">
        <v>#N/A</v>
      </c>
      <c r="M1468" s="205" t="e">
        <v>#N/A</v>
      </c>
      <c r="N1468" s="205" t="e">
        <v>#N/A</v>
      </c>
      <c r="O1468" s="205" t="e">
        <v>#N/A</v>
      </c>
      <c r="P1468" s="205" t="e">
        <v>#N/A</v>
      </c>
      <c r="Q1468" s="189" t="e">
        <v>#N/A</v>
      </c>
      <c r="R1468" s="189" t="e">
        <v>#N/A</v>
      </c>
      <c r="S1468" s="205" t="e">
        <v>#N/A</v>
      </c>
      <c r="T1468" s="206"/>
    </row>
    <row r="1469">
      <c r="C1469" s="189" t="e">
        <v>#N/A</v>
      </c>
      <c r="D1469" s="189" t="e">
        <v>#N/A</v>
      </c>
      <c r="E1469" s="189" t="e">
        <v>#N/A</v>
      </c>
      <c r="F1469" s="189" t="e">
        <v>#N/A</v>
      </c>
      <c r="G1469" s="189" t="e">
        <v>#N/A</v>
      </c>
      <c r="H1469" s="189" t="e">
        <v>#N/A</v>
      </c>
      <c r="I1469" s="189" t="e">
        <v>#N/A</v>
      </c>
      <c r="J1469" s="189" t="e">
        <v>#N/A</v>
      </c>
      <c r="K1469" s="204" t="e">
        <v>#N/A</v>
      </c>
      <c r="L1469" s="204" t="e">
        <v>#N/A</v>
      </c>
      <c r="M1469" s="205" t="e">
        <v>#N/A</v>
      </c>
      <c r="N1469" s="205" t="e">
        <v>#N/A</v>
      </c>
      <c r="O1469" s="205" t="e">
        <v>#N/A</v>
      </c>
      <c r="P1469" s="205" t="e">
        <v>#N/A</v>
      </c>
      <c r="Q1469" s="189" t="e">
        <v>#N/A</v>
      </c>
      <c r="R1469" s="189" t="e">
        <v>#N/A</v>
      </c>
      <c r="S1469" s="205" t="e">
        <v>#N/A</v>
      </c>
      <c r="T1469" s="206"/>
    </row>
    <row r="1470">
      <c r="C1470" s="189" t="e">
        <v>#N/A</v>
      </c>
      <c r="D1470" s="189" t="e">
        <v>#N/A</v>
      </c>
      <c r="E1470" s="189" t="e">
        <v>#N/A</v>
      </c>
      <c r="F1470" s="189" t="e">
        <v>#N/A</v>
      </c>
      <c r="G1470" s="189" t="e">
        <v>#N/A</v>
      </c>
      <c r="H1470" s="189" t="e">
        <v>#N/A</v>
      </c>
      <c r="I1470" s="189" t="e">
        <v>#N/A</v>
      </c>
      <c r="J1470" s="189" t="e">
        <v>#N/A</v>
      </c>
      <c r="K1470" s="204" t="e">
        <v>#N/A</v>
      </c>
      <c r="L1470" s="204" t="e">
        <v>#N/A</v>
      </c>
      <c r="M1470" s="205" t="e">
        <v>#N/A</v>
      </c>
      <c r="N1470" s="205" t="e">
        <v>#N/A</v>
      </c>
      <c r="O1470" s="205" t="e">
        <v>#N/A</v>
      </c>
      <c r="P1470" s="205" t="e">
        <v>#N/A</v>
      </c>
      <c r="Q1470" s="189" t="e">
        <v>#N/A</v>
      </c>
      <c r="R1470" s="189" t="e">
        <v>#N/A</v>
      </c>
      <c r="S1470" s="205" t="e">
        <v>#N/A</v>
      </c>
      <c r="T1470" s="206"/>
    </row>
    <row r="1471">
      <c r="C1471" s="189" t="e">
        <v>#N/A</v>
      </c>
      <c r="D1471" s="189" t="e">
        <v>#N/A</v>
      </c>
      <c r="E1471" s="189" t="e">
        <v>#N/A</v>
      </c>
      <c r="F1471" s="189" t="e">
        <v>#N/A</v>
      </c>
      <c r="G1471" s="189" t="e">
        <v>#N/A</v>
      </c>
      <c r="H1471" s="189" t="e">
        <v>#N/A</v>
      </c>
      <c r="I1471" s="189" t="e">
        <v>#N/A</v>
      </c>
      <c r="J1471" s="189" t="e">
        <v>#N/A</v>
      </c>
      <c r="K1471" s="204" t="e">
        <v>#N/A</v>
      </c>
      <c r="L1471" s="204" t="e">
        <v>#N/A</v>
      </c>
      <c r="M1471" s="205" t="e">
        <v>#N/A</v>
      </c>
      <c r="N1471" s="205" t="e">
        <v>#N/A</v>
      </c>
      <c r="O1471" s="205" t="e">
        <v>#N/A</v>
      </c>
      <c r="P1471" s="205" t="e">
        <v>#N/A</v>
      </c>
      <c r="Q1471" s="189" t="e">
        <v>#N/A</v>
      </c>
      <c r="R1471" s="189" t="e">
        <v>#N/A</v>
      </c>
      <c r="S1471" s="205" t="e">
        <v>#N/A</v>
      </c>
      <c r="T1471" s="206"/>
    </row>
    <row r="1472">
      <c r="C1472" s="189" t="e">
        <v>#N/A</v>
      </c>
      <c r="D1472" s="189" t="e">
        <v>#N/A</v>
      </c>
      <c r="E1472" s="189" t="e">
        <v>#N/A</v>
      </c>
      <c r="F1472" s="189" t="e">
        <v>#N/A</v>
      </c>
      <c r="G1472" s="189" t="e">
        <v>#N/A</v>
      </c>
      <c r="H1472" s="189" t="e">
        <v>#N/A</v>
      </c>
      <c r="I1472" s="189" t="e">
        <v>#N/A</v>
      </c>
      <c r="J1472" s="189" t="e">
        <v>#N/A</v>
      </c>
      <c r="K1472" s="204" t="e">
        <v>#N/A</v>
      </c>
      <c r="L1472" s="204" t="e">
        <v>#N/A</v>
      </c>
      <c r="M1472" s="205" t="e">
        <v>#N/A</v>
      </c>
      <c r="N1472" s="205" t="e">
        <v>#N/A</v>
      </c>
      <c r="O1472" s="205" t="e">
        <v>#N/A</v>
      </c>
      <c r="P1472" s="205" t="e">
        <v>#N/A</v>
      </c>
      <c r="Q1472" s="189" t="e">
        <v>#N/A</v>
      </c>
      <c r="R1472" s="189" t="e">
        <v>#N/A</v>
      </c>
      <c r="S1472" s="205" t="e">
        <v>#N/A</v>
      </c>
      <c r="T1472" s="206"/>
    </row>
    <row r="1473">
      <c r="C1473" s="189" t="e">
        <v>#N/A</v>
      </c>
      <c r="D1473" s="189" t="e">
        <v>#N/A</v>
      </c>
      <c r="E1473" s="189" t="e">
        <v>#N/A</v>
      </c>
      <c r="F1473" s="189" t="e">
        <v>#N/A</v>
      </c>
      <c r="G1473" s="189" t="e">
        <v>#N/A</v>
      </c>
      <c r="H1473" s="189" t="e">
        <v>#N/A</v>
      </c>
      <c r="I1473" s="189" t="e">
        <v>#N/A</v>
      </c>
      <c r="J1473" s="189" t="e">
        <v>#N/A</v>
      </c>
      <c r="K1473" s="204" t="e">
        <v>#N/A</v>
      </c>
      <c r="L1473" s="204" t="e">
        <v>#N/A</v>
      </c>
      <c r="M1473" s="205" t="e">
        <v>#N/A</v>
      </c>
      <c r="N1473" s="205" t="e">
        <v>#N/A</v>
      </c>
      <c r="O1473" s="205" t="e">
        <v>#N/A</v>
      </c>
      <c r="P1473" s="205" t="e">
        <v>#N/A</v>
      </c>
      <c r="Q1473" s="189" t="e">
        <v>#N/A</v>
      </c>
      <c r="R1473" s="189" t="e">
        <v>#N/A</v>
      </c>
      <c r="S1473" s="205" t="e">
        <v>#N/A</v>
      </c>
      <c r="T1473" s="206"/>
    </row>
    <row r="1474">
      <c r="C1474" s="189" t="e">
        <v>#N/A</v>
      </c>
      <c r="D1474" s="189" t="e">
        <v>#N/A</v>
      </c>
      <c r="E1474" s="189" t="e">
        <v>#N/A</v>
      </c>
      <c r="F1474" s="189" t="e">
        <v>#N/A</v>
      </c>
      <c r="G1474" s="189" t="e">
        <v>#N/A</v>
      </c>
      <c r="H1474" s="189" t="e">
        <v>#N/A</v>
      </c>
      <c r="I1474" s="189" t="e">
        <v>#N/A</v>
      </c>
      <c r="J1474" s="189" t="e">
        <v>#N/A</v>
      </c>
      <c r="K1474" s="204" t="e">
        <v>#N/A</v>
      </c>
      <c r="L1474" s="204" t="e">
        <v>#N/A</v>
      </c>
      <c r="M1474" s="205" t="e">
        <v>#N/A</v>
      </c>
      <c r="N1474" s="205" t="e">
        <v>#N/A</v>
      </c>
      <c r="O1474" s="205" t="e">
        <v>#N/A</v>
      </c>
      <c r="P1474" s="205" t="e">
        <v>#N/A</v>
      </c>
      <c r="Q1474" s="189" t="e">
        <v>#N/A</v>
      </c>
      <c r="R1474" s="189" t="e">
        <v>#N/A</v>
      </c>
      <c r="S1474" s="205" t="e">
        <v>#N/A</v>
      </c>
      <c r="T1474" s="206"/>
    </row>
    <row r="1475">
      <c r="C1475" s="189" t="e">
        <v>#N/A</v>
      </c>
      <c r="D1475" s="189" t="e">
        <v>#N/A</v>
      </c>
      <c r="E1475" s="189" t="e">
        <v>#N/A</v>
      </c>
      <c r="F1475" s="189" t="e">
        <v>#N/A</v>
      </c>
      <c r="G1475" s="189" t="e">
        <v>#N/A</v>
      </c>
      <c r="H1475" s="189" t="e">
        <v>#N/A</v>
      </c>
      <c r="I1475" s="189" t="e">
        <v>#N/A</v>
      </c>
      <c r="J1475" s="189" t="e">
        <v>#N/A</v>
      </c>
      <c r="K1475" s="204" t="e">
        <v>#N/A</v>
      </c>
      <c r="L1475" s="204" t="e">
        <v>#N/A</v>
      </c>
      <c r="M1475" s="205" t="e">
        <v>#N/A</v>
      </c>
      <c r="N1475" s="205" t="e">
        <v>#N/A</v>
      </c>
      <c r="O1475" s="205" t="e">
        <v>#N/A</v>
      </c>
      <c r="P1475" s="205" t="e">
        <v>#N/A</v>
      </c>
      <c r="Q1475" s="189" t="e">
        <v>#N/A</v>
      </c>
      <c r="R1475" s="189" t="e">
        <v>#N/A</v>
      </c>
      <c r="S1475" s="205" t="e">
        <v>#N/A</v>
      </c>
      <c r="T1475" s="206"/>
    </row>
    <row r="1476">
      <c r="C1476" s="189" t="e">
        <v>#N/A</v>
      </c>
      <c r="D1476" s="189" t="e">
        <v>#N/A</v>
      </c>
      <c r="E1476" s="189" t="e">
        <v>#N/A</v>
      </c>
      <c r="F1476" s="189" t="e">
        <v>#N/A</v>
      </c>
      <c r="G1476" s="189" t="e">
        <v>#N/A</v>
      </c>
      <c r="H1476" s="189" t="e">
        <v>#N/A</v>
      </c>
      <c r="I1476" s="189" t="e">
        <v>#N/A</v>
      </c>
      <c r="J1476" s="189" t="e">
        <v>#N/A</v>
      </c>
      <c r="K1476" s="204" t="e">
        <v>#N/A</v>
      </c>
      <c r="L1476" s="204" t="e">
        <v>#N/A</v>
      </c>
      <c r="M1476" s="205" t="e">
        <v>#N/A</v>
      </c>
      <c r="N1476" s="205" t="e">
        <v>#N/A</v>
      </c>
      <c r="O1476" s="205" t="e">
        <v>#N/A</v>
      </c>
      <c r="P1476" s="205" t="e">
        <v>#N/A</v>
      </c>
      <c r="Q1476" s="189" t="e">
        <v>#N/A</v>
      </c>
      <c r="R1476" s="189" t="e">
        <v>#N/A</v>
      </c>
      <c r="S1476" s="205" t="e">
        <v>#N/A</v>
      </c>
      <c r="T1476" s="206"/>
    </row>
    <row r="1477">
      <c r="C1477" s="189" t="e">
        <v>#N/A</v>
      </c>
      <c r="D1477" s="189" t="e">
        <v>#N/A</v>
      </c>
      <c r="E1477" s="189" t="e">
        <v>#N/A</v>
      </c>
      <c r="F1477" s="189" t="e">
        <v>#N/A</v>
      </c>
      <c r="G1477" s="189" t="e">
        <v>#N/A</v>
      </c>
      <c r="H1477" s="189" t="e">
        <v>#N/A</v>
      </c>
      <c r="I1477" s="189" t="e">
        <v>#N/A</v>
      </c>
      <c r="J1477" s="189" t="e">
        <v>#N/A</v>
      </c>
      <c r="K1477" s="204" t="e">
        <v>#N/A</v>
      </c>
      <c r="L1477" s="204" t="e">
        <v>#N/A</v>
      </c>
      <c r="M1477" s="205" t="e">
        <v>#N/A</v>
      </c>
      <c r="N1477" s="205" t="e">
        <v>#N/A</v>
      </c>
      <c r="O1477" s="205" t="e">
        <v>#N/A</v>
      </c>
      <c r="P1477" s="205" t="e">
        <v>#N/A</v>
      </c>
      <c r="Q1477" s="189" t="e">
        <v>#N/A</v>
      </c>
      <c r="R1477" s="189" t="e">
        <v>#N/A</v>
      </c>
      <c r="S1477" s="205" t="e">
        <v>#N/A</v>
      </c>
      <c r="T1477" s="206"/>
    </row>
    <row r="1478">
      <c r="C1478" s="189" t="e">
        <v>#N/A</v>
      </c>
      <c r="D1478" s="189" t="e">
        <v>#N/A</v>
      </c>
      <c r="E1478" s="189" t="e">
        <v>#N/A</v>
      </c>
      <c r="F1478" s="189" t="e">
        <v>#N/A</v>
      </c>
      <c r="G1478" s="189" t="e">
        <v>#N/A</v>
      </c>
      <c r="H1478" s="189" t="e">
        <v>#N/A</v>
      </c>
      <c r="I1478" s="189" t="e">
        <v>#N/A</v>
      </c>
      <c r="J1478" s="189" t="e">
        <v>#N/A</v>
      </c>
      <c r="K1478" s="204" t="e">
        <v>#N/A</v>
      </c>
      <c r="L1478" s="204" t="e">
        <v>#N/A</v>
      </c>
      <c r="M1478" s="205" t="e">
        <v>#N/A</v>
      </c>
      <c r="N1478" s="205" t="e">
        <v>#N/A</v>
      </c>
      <c r="O1478" s="205" t="e">
        <v>#N/A</v>
      </c>
      <c r="P1478" s="205" t="e">
        <v>#N/A</v>
      </c>
      <c r="Q1478" s="189" t="e">
        <v>#N/A</v>
      </c>
      <c r="R1478" s="189" t="e">
        <v>#N/A</v>
      </c>
      <c r="S1478" s="205" t="e">
        <v>#N/A</v>
      </c>
      <c r="T1478" s="206"/>
    </row>
    <row r="1479">
      <c r="C1479" s="189" t="e">
        <v>#N/A</v>
      </c>
      <c r="D1479" s="189" t="e">
        <v>#N/A</v>
      </c>
      <c r="E1479" s="189" t="e">
        <v>#N/A</v>
      </c>
      <c r="F1479" s="189" t="e">
        <v>#N/A</v>
      </c>
      <c r="G1479" s="189" t="e">
        <v>#N/A</v>
      </c>
      <c r="H1479" s="189" t="e">
        <v>#N/A</v>
      </c>
      <c r="I1479" s="189" t="e">
        <v>#N/A</v>
      </c>
      <c r="J1479" s="189" t="e">
        <v>#N/A</v>
      </c>
      <c r="K1479" s="204" t="e">
        <v>#N/A</v>
      </c>
      <c r="L1479" s="204" t="e">
        <v>#N/A</v>
      </c>
      <c r="M1479" s="205" t="e">
        <v>#N/A</v>
      </c>
      <c r="N1479" s="205" t="e">
        <v>#N/A</v>
      </c>
      <c r="O1479" s="205" t="e">
        <v>#N/A</v>
      </c>
      <c r="P1479" s="205" t="e">
        <v>#N/A</v>
      </c>
      <c r="Q1479" s="189" t="e">
        <v>#N/A</v>
      </c>
      <c r="R1479" s="189" t="e">
        <v>#N/A</v>
      </c>
      <c r="S1479" s="205" t="e">
        <v>#N/A</v>
      </c>
      <c r="T1479" s="206"/>
    </row>
    <row r="1480">
      <c r="C1480" s="189" t="e">
        <v>#N/A</v>
      </c>
      <c r="D1480" s="189" t="e">
        <v>#N/A</v>
      </c>
      <c r="E1480" s="189" t="e">
        <v>#N/A</v>
      </c>
      <c r="F1480" s="189" t="e">
        <v>#N/A</v>
      </c>
      <c r="G1480" s="189" t="e">
        <v>#N/A</v>
      </c>
      <c r="H1480" s="189" t="e">
        <v>#N/A</v>
      </c>
      <c r="I1480" s="189" t="e">
        <v>#N/A</v>
      </c>
      <c r="J1480" s="189" t="e">
        <v>#N/A</v>
      </c>
      <c r="K1480" s="204" t="e">
        <v>#N/A</v>
      </c>
      <c r="L1480" s="204" t="e">
        <v>#N/A</v>
      </c>
      <c r="M1480" s="205" t="e">
        <v>#N/A</v>
      </c>
      <c r="N1480" s="205" t="e">
        <v>#N/A</v>
      </c>
      <c r="O1480" s="205" t="e">
        <v>#N/A</v>
      </c>
      <c r="P1480" s="205" t="e">
        <v>#N/A</v>
      </c>
      <c r="Q1480" s="189" t="e">
        <v>#N/A</v>
      </c>
      <c r="R1480" s="189" t="e">
        <v>#N/A</v>
      </c>
      <c r="S1480" s="205" t="e">
        <v>#N/A</v>
      </c>
      <c r="T1480" s="206"/>
    </row>
    <row r="1481">
      <c r="C1481" s="189" t="e">
        <v>#N/A</v>
      </c>
      <c r="D1481" s="189" t="e">
        <v>#N/A</v>
      </c>
      <c r="E1481" s="189" t="e">
        <v>#N/A</v>
      </c>
      <c r="F1481" s="189" t="e">
        <v>#N/A</v>
      </c>
      <c r="G1481" s="189" t="e">
        <v>#N/A</v>
      </c>
      <c r="H1481" s="189" t="e">
        <v>#N/A</v>
      </c>
      <c r="I1481" s="189" t="e">
        <v>#N/A</v>
      </c>
      <c r="J1481" s="189" t="e">
        <v>#N/A</v>
      </c>
      <c r="K1481" s="204" t="e">
        <v>#N/A</v>
      </c>
      <c r="L1481" s="204" t="e">
        <v>#N/A</v>
      </c>
      <c r="M1481" s="205" t="e">
        <v>#N/A</v>
      </c>
      <c r="N1481" s="205" t="e">
        <v>#N/A</v>
      </c>
      <c r="O1481" s="205" t="e">
        <v>#N/A</v>
      </c>
      <c r="P1481" s="205" t="e">
        <v>#N/A</v>
      </c>
      <c r="Q1481" s="189" t="e">
        <v>#N/A</v>
      </c>
      <c r="R1481" s="189" t="e">
        <v>#N/A</v>
      </c>
      <c r="S1481" s="205" t="e">
        <v>#N/A</v>
      </c>
      <c r="T1481" s="206"/>
    </row>
    <row r="1482">
      <c r="C1482" s="189" t="e">
        <v>#N/A</v>
      </c>
      <c r="D1482" s="189" t="e">
        <v>#N/A</v>
      </c>
      <c r="E1482" s="189" t="e">
        <v>#N/A</v>
      </c>
      <c r="F1482" s="189" t="e">
        <v>#N/A</v>
      </c>
      <c r="G1482" s="189" t="e">
        <v>#N/A</v>
      </c>
      <c r="H1482" s="189" t="e">
        <v>#N/A</v>
      </c>
      <c r="I1482" s="189" t="e">
        <v>#N/A</v>
      </c>
      <c r="J1482" s="189" t="e">
        <v>#N/A</v>
      </c>
      <c r="K1482" s="204" t="e">
        <v>#N/A</v>
      </c>
      <c r="L1482" s="204" t="e">
        <v>#N/A</v>
      </c>
      <c r="M1482" s="205" t="e">
        <v>#N/A</v>
      </c>
      <c r="N1482" s="205" t="e">
        <v>#N/A</v>
      </c>
      <c r="O1482" s="205" t="e">
        <v>#N/A</v>
      </c>
      <c r="P1482" s="205" t="e">
        <v>#N/A</v>
      </c>
      <c r="Q1482" s="189" t="e">
        <v>#N/A</v>
      </c>
      <c r="R1482" s="189" t="e">
        <v>#N/A</v>
      </c>
      <c r="S1482" s="205" t="e">
        <v>#N/A</v>
      </c>
      <c r="T1482" s="206"/>
    </row>
    <row r="1483">
      <c r="C1483" s="189" t="e">
        <v>#N/A</v>
      </c>
      <c r="D1483" s="189" t="e">
        <v>#N/A</v>
      </c>
      <c r="E1483" s="189" t="e">
        <v>#N/A</v>
      </c>
      <c r="F1483" s="189" t="e">
        <v>#N/A</v>
      </c>
      <c r="G1483" s="189" t="e">
        <v>#N/A</v>
      </c>
      <c r="H1483" s="189" t="e">
        <v>#N/A</v>
      </c>
      <c r="I1483" s="189" t="e">
        <v>#N/A</v>
      </c>
      <c r="J1483" s="189" t="e">
        <v>#N/A</v>
      </c>
      <c r="K1483" s="204" t="e">
        <v>#N/A</v>
      </c>
      <c r="L1483" s="204" t="e">
        <v>#N/A</v>
      </c>
      <c r="M1483" s="205" t="e">
        <v>#N/A</v>
      </c>
      <c r="N1483" s="205" t="e">
        <v>#N/A</v>
      </c>
      <c r="O1483" s="205" t="e">
        <v>#N/A</v>
      </c>
      <c r="P1483" s="205" t="e">
        <v>#N/A</v>
      </c>
      <c r="Q1483" s="189" t="e">
        <v>#N/A</v>
      </c>
      <c r="R1483" s="189" t="e">
        <v>#N/A</v>
      </c>
      <c r="S1483" s="205" t="e">
        <v>#N/A</v>
      </c>
      <c r="T1483" s="206"/>
    </row>
    <row r="1484">
      <c r="C1484" s="189" t="e">
        <v>#N/A</v>
      </c>
      <c r="D1484" s="189" t="e">
        <v>#N/A</v>
      </c>
      <c r="E1484" s="189" t="e">
        <v>#N/A</v>
      </c>
      <c r="F1484" s="189" t="e">
        <v>#N/A</v>
      </c>
      <c r="G1484" s="189" t="e">
        <v>#N/A</v>
      </c>
      <c r="H1484" s="189" t="e">
        <v>#N/A</v>
      </c>
      <c r="I1484" s="189" t="e">
        <v>#N/A</v>
      </c>
      <c r="J1484" s="189" t="e">
        <v>#N/A</v>
      </c>
      <c r="K1484" s="204" t="e">
        <v>#N/A</v>
      </c>
      <c r="L1484" s="204" t="e">
        <v>#N/A</v>
      </c>
      <c r="M1484" s="205" t="e">
        <v>#N/A</v>
      </c>
      <c r="N1484" s="205" t="e">
        <v>#N/A</v>
      </c>
      <c r="O1484" s="205" t="e">
        <v>#N/A</v>
      </c>
      <c r="P1484" s="205" t="e">
        <v>#N/A</v>
      </c>
      <c r="Q1484" s="189" t="e">
        <v>#N/A</v>
      </c>
      <c r="R1484" s="189" t="e">
        <v>#N/A</v>
      </c>
      <c r="S1484" s="205" t="e">
        <v>#N/A</v>
      </c>
      <c r="T1484" s="206"/>
    </row>
    <row r="1485">
      <c r="C1485" s="189" t="e">
        <v>#N/A</v>
      </c>
      <c r="D1485" s="189" t="e">
        <v>#N/A</v>
      </c>
      <c r="E1485" s="189" t="e">
        <v>#N/A</v>
      </c>
      <c r="F1485" s="189" t="e">
        <v>#N/A</v>
      </c>
      <c r="G1485" s="189" t="e">
        <v>#N/A</v>
      </c>
      <c r="H1485" s="189" t="e">
        <v>#N/A</v>
      </c>
      <c r="I1485" s="189" t="e">
        <v>#N/A</v>
      </c>
      <c r="J1485" s="189" t="e">
        <v>#N/A</v>
      </c>
      <c r="K1485" s="204" t="e">
        <v>#N/A</v>
      </c>
      <c r="L1485" s="204" t="e">
        <v>#N/A</v>
      </c>
      <c r="M1485" s="205" t="e">
        <v>#N/A</v>
      </c>
      <c r="N1485" s="205" t="e">
        <v>#N/A</v>
      </c>
      <c r="O1485" s="205" t="e">
        <v>#N/A</v>
      </c>
      <c r="P1485" s="205" t="e">
        <v>#N/A</v>
      </c>
      <c r="Q1485" s="189" t="e">
        <v>#N/A</v>
      </c>
      <c r="R1485" s="189" t="e">
        <v>#N/A</v>
      </c>
      <c r="S1485" s="205" t="e">
        <v>#N/A</v>
      </c>
      <c r="T1485" s="206"/>
    </row>
    <row r="1486">
      <c r="C1486" s="189" t="e">
        <v>#N/A</v>
      </c>
      <c r="D1486" s="189" t="e">
        <v>#N/A</v>
      </c>
      <c r="E1486" s="189" t="e">
        <v>#N/A</v>
      </c>
      <c r="F1486" s="189" t="e">
        <v>#N/A</v>
      </c>
      <c r="G1486" s="189" t="e">
        <v>#N/A</v>
      </c>
      <c r="H1486" s="189" t="e">
        <v>#N/A</v>
      </c>
      <c r="I1486" s="189" t="e">
        <v>#N/A</v>
      </c>
      <c r="J1486" s="189" t="e">
        <v>#N/A</v>
      </c>
      <c r="K1486" s="204" t="e">
        <v>#N/A</v>
      </c>
      <c r="L1486" s="204" t="e">
        <v>#N/A</v>
      </c>
      <c r="M1486" s="205" t="e">
        <v>#N/A</v>
      </c>
      <c r="N1486" s="205" t="e">
        <v>#N/A</v>
      </c>
      <c r="O1486" s="205" t="e">
        <v>#N/A</v>
      </c>
      <c r="P1486" s="205" t="e">
        <v>#N/A</v>
      </c>
      <c r="Q1486" s="189" t="e">
        <v>#N/A</v>
      </c>
      <c r="R1486" s="189" t="e">
        <v>#N/A</v>
      </c>
      <c r="S1486" s="205" t="e">
        <v>#N/A</v>
      </c>
      <c r="T1486" s="206"/>
    </row>
    <row r="1487">
      <c r="C1487" s="189" t="e">
        <v>#N/A</v>
      </c>
      <c r="D1487" s="189" t="e">
        <v>#N/A</v>
      </c>
      <c r="E1487" s="189" t="e">
        <v>#N/A</v>
      </c>
      <c r="F1487" s="189" t="e">
        <v>#N/A</v>
      </c>
      <c r="G1487" s="189" t="e">
        <v>#N/A</v>
      </c>
      <c r="H1487" s="189" t="e">
        <v>#N/A</v>
      </c>
      <c r="I1487" s="189" t="e">
        <v>#N/A</v>
      </c>
      <c r="J1487" s="189" t="e">
        <v>#N/A</v>
      </c>
      <c r="K1487" s="204" t="e">
        <v>#N/A</v>
      </c>
      <c r="L1487" s="204" t="e">
        <v>#N/A</v>
      </c>
      <c r="M1487" s="205" t="e">
        <v>#N/A</v>
      </c>
      <c r="N1487" s="205" t="e">
        <v>#N/A</v>
      </c>
      <c r="O1487" s="205" t="e">
        <v>#N/A</v>
      </c>
      <c r="P1487" s="205" t="e">
        <v>#N/A</v>
      </c>
      <c r="Q1487" s="189" t="e">
        <v>#N/A</v>
      </c>
      <c r="R1487" s="189" t="e">
        <v>#N/A</v>
      </c>
      <c r="S1487" s="205" t="e">
        <v>#N/A</v>
      </c>
      <c r="T1487" s="206"/>
    </row>
    <row r="1488">
      <c r="C1488" s="189" t="e">
        <v>#N/A</v>
      </c>
      <c r="D1488" s="189" t="e">
        <v>#N/A</v>
      </c>
      <c r="E1488" s="189" t="e">
        <v>#N/A</v>
      </c>
      <c r="F1488" s="189" t="e">
        <v>#N/A</v>
      </c>
      <c r="G1488" s="189" t="e">
        <v>#N/A</v>
      </c>
      <c r="H1488" s="189" t="e">
        <v>#N/A</v>
      </c>
      <c r="I1488" s="189" t="e">
        <v>#N/A</v>
      </c>
      <c r="J1488" s="189" t="e">
        <v>#N/A</v>
      </c>
      <c r="K1488" s="204" t="e">
        <v>#N/A</v>
      </c>
      <c r="L1488" s="204" t="e">
        <v>#N/A</v>
      </c>
      <c r="M1488" s="205" t="e">
        <v>#N/A</v>
      </c>
      <c r="N1488" s="205" t="e">
        <v>#N/A</v>
      </c>
      <c r="O1488" s="205" t="e">
        <v>#N/A</v>
      </c>
      <c r="P1488" s="205" t="e">
        <v>#N/A</v>
      </c>
      <c r="Q1488" s="189" t="e">
        <v>#N/A</v>
      </c>
      <c r="R1488" s="189" t="e">
        <v>#N/A</v>
      </c>
      <c r="S1488" s="205" t="e">
        <v>#N/A</v>
      </c>
      <c r="T1488" s="206"/>
    </row>
    <row r="1489">
      <c r="C1489" s="189" t="e">
        <v>#N/A</v>
      </c>
      <c r="D1489" s="189" t="e">
        <v>#N/A</v>
      </c>
      <c r="E1489" s="189" t="e">
        <v>#N/A</v>
      </c>
      <c r="F1489" s="189" t="e">
        <v>#N/A</v>
      </c>
      <c r="G1489" s="189" t="e">
        <v>#N/A</v>
      </c>
      <c r="H1489" s="189" t="e">
        <v>#N/A</v>
      </c>
      <c r="I1489" s="189" t="e">
        <v>#N/A</v>
      </c>
      <c r="J1489" s="189" t="e">
        <v>#N/A</v>
      </c>
      <c r="K1489" s="204" t="e">
        <v>#N/A</v>
      </c>
      <c r="L1489" s="204" t="e">
        <v>#N/A</v>
      </c>
      <c r="M1489" s="205" t="e">
        <v>#N/A</v>
      </c>
      <c r="N1489" s="205" t="e">
        <v>#N/A</v>
      </c>
      <c r="O1489" s="205" t="e">
        <v>#N/A</v>
      </c>
      <c r="P1489" s="205" t="e">
        <v>#N/A</v>
      </c>
      <c r="Q1489" s="189" t="e">
        <v>#N/A</v>
      </c>
      <c r="R1489" s="189" t="e">
        <v>#N/A</v>
      </c>
      <c r="S1489" s="205" t="e">
        <v>#N/A</v>
      </c>
      <c r="T1489" s="206"/>
    </row>
    <row r="1490">
      <c r="C1490" s="189" t="e">
        <v>#N/A</v>
      </c>
      <c r="D1490" s="189" t="e">
        <v>#N/A</v>
      </c>
      <c r="E1490" s="189" t="e">
        <v>#N/A</v>
      </c>
      <c r="F1490" s="189" t="e">
        <v>#N/A</v>
      </c>
      <c r="G1490" s="189" t="e">
        <v>#N/A</v>
      </c>
      <c r="H1490" s="189" t="e">
        <v>#N/A</v>
      </c>
      <c r="I1490" s="189" t="e">
        <v>#N/A</v>
      </c>
      <c r="J1490" s="189" t="e">
        <v>#N/A</v>
      </c>
      <c r="K1490" s="204" t="e">
        <v>#N/A</v>
      </c>
      <c r="L1490" s="204" t="e">
        <v>#N/A</v>
      </c>
      <c r="M1490" s="205" t="e">
        <v>#N/A</v>
      </c>
      <c r="N1490" s="205" t="e">
        <v>#N/A</v>
      </c>
      <c r="O1490" s="205" t="e">
        <v>#N/A</v>
      </c>
      <c r="P1490" s="205" t="e">
        <v>#N/A</v>
      </c>
      <c r="Q1490" s="189" t="e">
        <v>#N/A</v>
      </c>
      <c r="R1490" s="189" t="e">
        <v>#N/A</v>
      </c>
      <c r="S1490" s="205" t="e">
        <v>#N/A</v>
      </c>
      <c r="T1490" s="206"/>
    </row>
    <row r="1491">
      <c r="C1491" s="189" t="e">
        <v>#N/A</v>
      </c>
      <c r="D1491" s="189" t="e">
        <v>#N/A</v>
      </c>
      <c r="E1491" s="189" t="e">
        <v>#N/A</v>
      </c>
      <c r="F1491" s="189" t="e">
        <v>#N/A</v>
      </c>
      <c r="G1491" s="189" t="e">
        <v>#N/A</v>
      </c>
      <c r="H1491" s="189" t="e">
        <v>#N/A</v>
      </c>
      <c r="I1491" s="189" t="e">
        <v>#N/A</v>
      </c>
      <c r="J1491" s="189" t="e">
        <v>#N/A</v>
      </c>
      <c r="K1491" s="204" t="e">
        <v>#N/A</v>
      </c>
      <c r="L1491" s="204" t="e">
        <v>#N/A</v>
      </c>
      <c r="M1491" s="205" t="e">
        <v>#N/A</v>
      </c>
      <c r="N1491" s="205" t="e">
        <v>#N/A</v>
      </c>
      <c r="O1491" s="205" t="e">
        <v>#N/A</v>
      </c>
      <c r="P1491" s="205" t="e">
        <v>#N/A</v>
      </c>
      <c r="Q1491" s="189" t="e">
        <v>#N/A</v>
      </c>
      <c r="R1491" s="189" t="e">
        <v>#N/A</v>
      </c>
      <c r="S1491" s="205" t="e">
        <v>#N/A</v>
      </c>
      <c r="T1491" s="206"/>
    </row>
    <row r="1492">
      <c r="C1492" s="189" t="e">
        <v>#N/A</v>
      </c>
      <c r="D1492" s="189" t="e">
        <v>#N/A</v>
      </c>
      <c r="E1492" s="189" t="e">
        <v>#N/A</v>
      </c>
      <c r="F1492" s="189" t="e">
        <v>#N/A</v>
      </c>
      <c r="G1492" s="189" t="e">
        <v>#N/A</v>
      </c>
      <c r="H1492" s="189" t="e">
        <v>#N/A</v>
      </c>
      <c r="I1492" s="189" t="e">
        <v>#N/A</v>
      </c>
      <c r="J1492" s="189" t="e">
        <v>#N/A</v>
      </c>
      <c r="K1492" s="204" t="e">
        <v>#N/A</v>
      </c>
      <c r="L1492" s="204" t="e">
        <v>#N/A</v>
      </c>
      <c r="M1492" s="205" t="e">
        <v>#N/A</v>
      </c>
      <c r="N1492" s="205" t="e">
        <v>#N/A</v>
      </c>
      <c r="O1492" s="205" t="e">
        <v>#N/A</v>
      </c>
      <c r="P1492" s="205" t="e">
        <v>#N/A</v>
      </c>
      <c r="Q1492" s="189" t="e">
        <v>#N/A</v>
      </c>
      <c r="R1492" s="189" t="e">
        <v>#N/A</v>
      </c>
      <c r="S1492" s="205" t="e">
        <v>#N/A</v>
      </c>
      <c r="T1492" s="206"/>
    </row>
    <row r="1493">
      <c r="C1493" s="189" t="e">
        <v>#N/A</v>
      </c>
      <c r="D1493" s="189" t="e">
        <v>#N/A</v>
      </c>
      <c r="E1493" s="189" t="e">
        <v>#N/A</v>
      </c>
      <c r="F1493" s="189" t="e">
        <v>#N/A</v>
      </c>
      <c r="G1493" s="189" t="e">
        <v>#N/A</v>
      </c>
      <c r="H1493" s="189" t="e">
        <v>#N/A</v>
      </c>
      <c r="I1493" s="189" t="e">
        <v>#N/A</v>
      </c>
      <c r="J1493" s="189" t="e">
        <v>#N/A</v>
      </c>
      <c r="K1493" s="204" t="e">
        <v>#N/A</v>
      </c>
      <c r="L1493" s="204" t="e">
        <v>#N/A</v>
      </c>
      <c r="M1493" s="205" t="e">
        <v>#N/A</v>
      </c>
      <c r="N1493" s="205" t="e">
        <v>#N/A</v>
      </c>
      <c r="O1493" s="205" t="e">
        <v>#N/A</v>
      </c>
      <c r="P1493" s="205" t="e">
        <v>#N/A</v>
      </c>
      <c r="Q1493" s="189" t="e">
        <v>#N/A</v>
      </c>
      <c r="R1493" s="189" t="e">
        <v>#N/A</v>
      </c>
      <c r="S1493" s="205" t="e">
        <v>#N/A</v>
      </c>
      <c r="T1493" s="206"/>
    </row>
    <row r="1494">
      <c r="C1494" s="189" t="e">
        <v>#N/A</v>
      </c>
      <c r="D1494" s="189" t="e">
        <v>#N/A</v>
      </c>
      <c r="E1494" s="189" t="e">
        <v>#N/A</v>
      </c>
      <c r="F1494" s="189" t="e">
        <v>#N/A</v>
      </c>
      <c r="G1494" s="189" t="e">
        <v>#N/A</v>
      </c>
      <c r="H1494" s="189" t="e">
        <v>#N/A</v>
      </c>
      <c r="I1494" s="189" t="e">
        <v>#N/A</v>
      </c>
      <c r="J1494" s="189" t="e">
        <v>#N/A</v>
      </c>
      <c r="K1494" s="204" t="e">
        <v>#N/A</v>
      </c>
      <c r="L1494" s="204" t="e">
        <v>#N/A</v>
      </c>
      <c r="M1494" s="205" t="e">
        <v>#N/A</v>
      </c>
      <c r="N1494" s="205" t="e">
        <v>#N/A</v>
      </c>
      <c r="O1494" s="205" t="e">
        <v>#N/A</v>
      </c>
      <c r="P1494" s="205" t="e">
        <v>#N/A</v>
      </c>
      <c r="Q1494" s="189" t="e">
        <v>#N/A</v>
      </c>
      <c r="R1494" s="189" t="e">
        <v>#N/A</v>
      </c>
      <c r="S1494" s="205" t="e">
        <v>#N/A</v>
      </c>
      <c r="T1494" s="206"/>
    </row>
    <row r="1495">
      <c r="C1495" s="189" t="e">
        <v>#N/A</v>
      </c>
      <c r="D1495" s="189" t="e">
        <v>#N/A</v>
      </c>
      <c r="E1495" s="189" t="e">
        <v>#N/A</v>
      </c>
      <c r="F1495" s="189" t="e">
        <v>#N/A</v>
      </c>
      <c r="G1495" s="189" t="e">
        <v>#N/A</v>
      </c>
      <c r="H1495" s="189" t="e">
        <v>#N/A</v>
      </c>
      <c r="I1495" s="189" t="e">
        <v>#N/A</v>
      </c>
      <c r="J1495" s="189" t="e">
        <v>#N/A</v>
      </c>
      <c r="K1495" s="204" t="e">
        <v>#N/A</v>
      </c>
      <c r="L1495" s="204" t="e">
        <v>#N/A</v>
      </c>
      <c r="M1495" s="205" t="e">
        <v>#N/A</v>
      </c>
      <c r="N1495" s="205" t="e">
        <v>#N/A</v>
      </c>
      <c r="O1495" s="205" t="e">
        <v>#N/A</v>
      </c>
      <c r="P1495" s="205" t="e">
        <v>#N/A</v>
      </c>
      <c r="Q1495" s="189" t="e">
        <v>#N/A</v>
      </c>
      <c r="R1495" s="189" t="e">
        <v>#N/A</v>
      </c>
      <c r="S1495" s="205" t="e">
        <v>#N/A</v>
      </c>
      <c r="T1495" s="206"/>
    </row>
    <row r="1496">
      <c r="C1496" s="189" t="e">
        <v>#N/A</v>
      </c>
      <c r="D1496" s="189" t="e">
        <v>#N/A</v>
      </c>
      <c r="E1496" s="189" t="e">
        <v>#N/A</v>
      </c>
      <c r="F1496" s="189" t="e">
        <v>#N/A</v>
      </c>
      <c r="G1496" s="189" t="e">
        <v>#N/A</v>
      </c>
      <c r="H1496" s="189" t="e">
        <v>#N/A</v>
      </c>
      <c r="I1496" s="189" t="e">
        <v>#N/A</v>
      </c>
      <c r="J1496" s="189" t="e">
        <v>#N/A</v>
      </c>
      <c r="K1496" s="204" t="e">
        <v>#N/A</v>
      </c>
      <c r="L1496" s="204" t="e">
        <v>#N/A</v>
      </c>
      <c r="M1496" s="205" t="e">
        <v>#N/A</v>
      </c>
      <c r="N1496" s="205" t="e">
        <v>#N/A</v>
      </c>
      <c r="O1496" s="205" t="e">
        <v>#N/A</v>
      </c>
      <c r="P1496" s="205" t="e">
        <v>#N/A</v>
      </c>
      <c r="Q1496" s="189" t="e">
        <v>#N/A</v>
      </c>
      <c r="R1496" s="189" t="e">
        <v>#N/A</v>
      </c>
      <c r="S1496" s="205" t="e">
        <v>#N/A</v>
      </c>
      <c r="T1496" s="206"/>
    </row>
    <row r="1497">
      <c r="C1497" s="189" t="e">
        <v>#N/A</v>
      </c>
      <c r="D1497" s="189" t="e">
        <v>#N/A</v>
      </c>
      <c r="E1497" s="189" t="e">
        <v>#N/A</v>
      </c>
      <c r="F1497" s="189" t="e">
        <v>#N/A</v>
      </c>
      <c r="G1497" s="189" t="e">
        <v>#N/A</v>
      </c>
      <c r="H1497" s="189" t="e">
        <v>#N/A</v>
      </c>
      <c r="I1497" s="189" t="e">
        <v>#N/A</v>
      </c>
      <c r="J1497" s="189" t="e">
        <v>#N/A</v>
      </c>
      <c r="K1497" s="204" t="e">
        <v>#N/A</v>
      </c>
      <c r="L1497" s="204" t="e">
        <v>#N/A</v>
      </c>
      <c r="M1497" s="205" t="e">
        <v>#N/A</v>
      </c>
      <c r="N1497" s="205" t="e">
        <v>#N/A</v>
      </c>
      <c r="O1497" s="205" t="e">
        <v>#N/A</v>
      </c>
      <c r="P1497" s="205" t="e">
        <v>#N/A</v>
      </c>
      <c r="Q1497" s="189" t="e">
        <v>#N/A</v>
      </c>
      <c r="R1497" s="189" t="e">
        <v>#N/A</v>
      </c>
      <c r="S1497" s="205" t="e">
        <v>#N/A</v>
      </c>
      <c r="T1497" s="206"/>
    </row>
    <row r="1498">
      <c r="C1498" s="189" t="e">
        <v>#N/A</v>
      </c>
      <c r="D1498" s="189" t="e">
        <v>#N/A</v>
      </c>
      <c r="E1498" s="189" t="e">
        <v>#N/A</v>
      </c>
      <c r="F1498" s="189" t="e">
        <v>#N/A</v>
      </c>
      <c r="G1498" s="189" t="e">
        <v>#N/A</v>
      </c>
      <c r="H1498" s="189" t="e">
        <v>#N/A</v>
      </c>
      <c r="I1498" s="189" t="e">
        <v>#N/A</v>
      </c>
      <c r="J1498" s="189" t="e">
        <v>#N/A</v>
      </c>
      <c r="K1498" s="204" t="e">
        <v>#N/A</v>
      </c>
      <c r="L1498" s="204" t="e">
        <v>#N/A</v>
      </c>
      <c r="M1498" s="205" t="e">
        <v>#N/A</v>
      </c>
      <c r="N1498" s="205" t="e">
        <v>#N/A</v>
      </c>
      <c r="O1498" s="205" t="e">
        <v>#N/A</v>
      </c>
      <c r="P1498" s="205" t="e">
        <v>#N/A</v>
      </c>
      <c r="Q1498" s="189" t="e">
        <v>#N/A</v>
      </c>
      <c r="R1498" s="189" t="e">
        <v>#N/A</v>
      </c>
      <c r="S1498" s="205" t="e">
        <v>#N/A</v>
      </c>
      <c r="T1498" s="206"/>
    </row>
    <row r="1499">
      <c r="C1499" s="189" t="e">
        <v>#N/A</v>
      </c>
      <c r="D1499" s="189" t="e">
        <v>#N/A</v>
      </c>
      <c r="E1499" s="189" t="e">
        <v>#N/A</v>
      </c>
      <c r="F1499" s="189" t="e">
        <v>#N/A</v>
      </c>
      <c r="G1499" s="189" t="e">
        <v>#N/A</v>
      </c>
      <c r="H1499" s="189" t="e">
        <v>#N/A</v>
      </c>
      <c r="I1499" s="189" t="e">
        <v>#N/A</v>
      </c>
      <c r="J1499" s="189" t="e">
        <v>#N/A</v>
      </c>
      <c r="K1499" s="204" t="e">
        <v>#N/A</v>
      </c>
      <c r="L1499" s="204" t="e">
        <v>#N/A</v>
      </c>
      <c r="M1499" s="205" t="e">
        <v>#N/A</v>
      </c>
      <c r="N1499" s="205" t="e">
        <v>#N/A</v>
      </c>
      <c r="O1499" s="205" t="e">
        <v>#N/A</v>
      </c>
      <c r="P1499" s="205" t="e">
        <v>#N/A</v>
      </c>
      <c r="Q1499" s="189" t="e">
        <v>#N/A</v>
      </c>
      <c r="R1499" s="189" t="e">
        <v>#N/A</v>
      </c>
      <c r="S1499" s="205" t="e">
        <v>#N/A</v>
      </c>
      <c r="T1499" s="206"/>
    </row>
    <row r="1500">
      <c r="C1500" s="189" t="e">
        <v>#N/A</v>
      </c>
      <c r="D1500" s="189" t="e">
        <v>#N/A</v>
      </c>
      <c r="E1500" s="189" t="e">
        <v>#N/A</v>
      </c>
      <c r="F1500" s="189" t="e">
        <v>#N/A</v>
      </c>
      <c r="G1500" s="189" t="e">
        <v>#N/A</v>
      </c>
      <c r="H1500" s="189" t="e">
        <v>#N/A</v>
      </c>
      <c r="I1500" s="189" t="e">
        <v>#N/A</v>
      </c>
      <c r="J1500" s="189" t="e">
        <v>#N/A</v>
      </c>
      <c r="K1500" s="204" t="e">
        <v>#N/A</v>
      </c>
      <c r="L1500" s="204" t="e">
        <v>#N/A</v>
      </c>
      <c r="M1500" s="205" t="e">
        <v>#N/A</v>
      </c>
      <c r="N1500" s="205" t="e">
        <v>#N/A</v>
      </c>
      <c r="O1500" s="205" t="e">
        <v>#N/A</v>
      </c>
      <c r="P1500" s="205" t="e">
        <v>#N/A</v>
      </c>
      <c r="Q1500" s="189" t="e">
        <v>#N/A</v>
      </c>
      <c r="R1500" s="189" t="e">
        <v>#N/A</v>
      </c>
      <c r="S1500" s="205" t="e">
        <v>#N/A</v>
      </c>
      <c r="T1500" s="206"/>
    </row>
    <row r="1501">
      <c r="C1501" s="189" t="e">
        <v>#N/A</v>
      </c>
      <c r="D1501" s="189" t="e">
        <v>#N/A</v>
      </c>
      <c r="E1501" s="189" t="e">
        <v>#N/A</v>
      </c>
      <c r="F1501" s="189" t="e">
        <v>#N/A</v>
      </c>
      <c r="G1501" s="189" t="e">
        <v>#N/A</v>
      </c>
      <c r="H1501" s="189" t="e">
        <v>#N/A</v>
      </c>
      <c r="I1501" s="189" t="e">
        <v>#N/A</v>
      </c>
      <c r="J1501" s="189" t="e">
        <v>#N/A</v>
      </c>
      <c r="K1501" s="204" t="e">
        <v>#N/A</v>
      </c>
      <c r="L1501" s="204" t="e">
        <v>#N/A</v>
      </c>
      <c r="M1501" s="205" t="e">
        <v>#N/A</v>
      </c>
      <c r="N1501" s="205" t="e">
        <v>#N/A</v>
      </c>
      <c r="O1501" s="205" t="e">
        <v>#N/A</v>
      </c>
      <c r="P1501" s="205" t="e">
        <v>#N/A</v>
      </c>
      <c r="Q1501" s="189" t="e">
        <v>#N/A</v>
      </c>
      <c r="R1501" s="189" t="e">
        <v>#N/A</v>
      </c>
      <c r="S1501" s="205" t="e">
        <v>#N/A</v>
      </c>
      <c r="T1501" s="20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0.38"/>
    <col customWidth="1" min="6" max="6" width="22.0"/>
    <col customWidth="1" min="7" max="7" width="23.75"/>
    <col customWidth="1" min="8" max="8" width="20.5"/>
    <col customWidth="1" min="9" max="9" width="23.63"/>
    <col customWidth="1" min="10" max="10" width="14.63"/>
    <col customWidth="1" min="11" max="11" width="31.38"/>
    <col customWidth="1" min="12" max="12" width="22.75"/>
    <col customWidth="1" min="13" max="13" width="24.5"/>
    <col customWidth="1" min="14" max="14" width="33.0"/>
    <col customWidth="1" min="15" max="15" width="28.0"/>
    <col customWidth="1" min="16" max="16" width="24.63"/>
  </cols>
  <sheetData>
    <row r="1">
      <c r="A1" s="182" t="s">
        <v>0</v>
      </c>
      <c r="B1" s="182" t="s">
        <v>3</v>
      </c>
      <c r="C1" s="182" t="s">
        <v>213</v>
      </c>
      <c r="D1" s="182" t="s">
        <v>214</v>
      </c>
      <c r="E1" s="182" t="s">
        <v>215</v>
      </c>
      <c r="F1" s="182" t="s">
        <v>216</v>
      </c>
      <c r="G1" s="182" t="s">
        <v>217</v>
      </c>
      <c r="H1" s="182" t="s">
        <v>218</v>
      </c>
      <c r="I1" s="182" t="s">
        <v>219</v>
      </c>
      <c r="J1" s="182" t="s">
        <v>220</v>
      </c>
      <c r="K1" s="182" t="s">
        <v>221</v>
      </c>
      <c r="L1" s="182" t="s">
        <v>222</v>
      </c>
      <c r="M1" s="182" t="s">
        <v>223</v>
      </c>
      <c r="N1" s="182" t="s">
        <v>224</v>
      </c>
      <c r="O1" s="182" t="s">
        <v>225</v>
      </c>
      <c r="P1" s="182" t="s">
        <v>226</v>
      </c>
    </row>
    <row r="2">
      <c r="A2" s="182" t="s">
        <v>186</v>
      </c>
      <c r="B2" s="182" t="s">
        <v>227</v>
      </c>
      <c r="C2" s="182" t="s">
        <v>228</v>
      </c>
      <c r="D2" s="182">
        <v>3.0</v>
      </c>
      <c r="E2" s="182">
        <v>75.0</v>
      </c>
      <c r="F2" s="182">
        <v>3.0</v>
      </c>
      <c r="G2" s="182">
        <v>0.0</v>
      </c>
      <c r="H2" s="182">
        <v>100.0</v>
      </c>
      <c r="I2" s="182">
        <v>0.0</v>
      </c>
      <c r="J2" s="182">
        <v>1.0</v>
      </c>
      <c r="K2" s="182">
        <v>33.0</v>
      </c>
      <c r="L2" s="182">
        <v>0.0</v>
      </c>
      <c r="M2" s="182">
        <v>1.0</v>
      </c>
      <c r="N2" s="182">
        <v>0.0</v>
      </c>
      <c r="O2" s="182">
        <v>100.0</v>
      </c>
      <c r="P2" s="189" t="str">
        <f t="array" ref="P2:P1000">""&amp;A2:A1000&amp;"_"&amp;B2:B1000&amp;""</f>
        <v>BBL PCIFIC_Ascent</v>
      </c>
    </row>
    <row r="3">
      <c r="A3" s="182" t="s">
        <v>186</v>
      </c>
      <c r="B3" s="182" t="s">
        <v>227</v>
      </c>
      <c r="C3" s="182" t="s">
        <v>229</v>
      </c>
      <c r="D3" s="182">
        <v>1.0</v>
      </c>
      <c r="E3" s="182">
        <v>25.0</v>
      </c>
      <c r="F3" s="182">
        <v>1.0</v>
      </c>
      <c r="G3" s="182">
        <v>0.0</v>
      </c>
      <c r="H3" s="182">
        <v>100.0</v>
      </c>
      <c r="I3" s="182">
        <v>0.0</v>
      </c>
      <c r="J3" s="182">
        <v>2.0</v>
      </c>
      <c r="K3" s="182">
        <v>67.0</v>
      </c>
      <c r="L3" s="182">
        <v>2.0</v>
      </c>
      <c r="M3" s="182">
        <v>0.0</v>
      </c>
      <c r="N3" s="182">
        <v>100.0</v>
      </c>
      <c r="O3" s="182">
        <v>0.0</v>
      </c>
      <c r="P3" s="189" t="s">
        <v>230</v>
      </c>
    </row>
    <row r="4">
      <c r="A4" s="182" t="s">
        <v>186</v>
      </c>
      <c r="B4" s="182" t="s">
        <v>42</v>
      </c>
      <c r="C4" s="182" t="s">
        <v>228</v>
      </c>
      <c r="D4" s="182">
        <v>5.0</v>
      </c>
      <c r="E4" s="182">
        <v>42.0</v>
      </c>
      <c r="F4" s="182">
        <v>3.0</v>
      </c>
      <c r="G4" s="182">
        <v>2.0</v>
      </c>
      <c r="H4" s="182">
        <v>60.0</v>
      </c>
      <c r="I4" s="182">
        <v>40.0</v>
      </c>
      <c r="J4" s="182">
        <v>6.0</v>
      </c>
      <c r="K4" s="182">
        <v>43.0</v>
      </c>
      <c r="L4" s="182">
        <v>3.0</v>
      </c>
      <c r="M4" s="182">
        <v>3.0</v>
      </c>
      <c r="N4" s="182">
        <v>50.0</v>
      </c>
      <c r="O4" s="182">
        <v>50.0</v>
      </c>
      <c r="P4" s="189" t="s">
        <v>69</v>
      </c>
    </row>
    <row r="5">
      <c r="A5" s="182" t="s">
        <v>186</v>
      </c>
      <c r="B5" s="182" t="s">
        <v>42</v>
      </c>
      <c r="C5" s="182" t="s">
        <v>229</v>
      </c>
      <c r="D5" s="182">
        <v>7.0</v>
      </c>
      <c r="E5" s="182">
        <v>58.0</v>
      </c>
      <c r="F5" s="182">
        <v>5.0</v>
      </c>
      <c r="G5" s="182">
        <v>2.0</v>
      </c>
      <c r="H5" s="182">
        <v>71.0</v>
      </c>
      <c r="I5" s="182">
        <v>29.0</v>
      </c>
      <c r="J5" s="182">
        <v>8.0</v>
      </c>
      <c r="K5" s="182">
        <v>57.0</v>
      </c>
      <c r="L5" s="182">
        <v>2.0</v>
      </c>
      <c r="M5" s="182">
        <v>6.0</v>
      </c>
      <c r="N5" s="182">
        <v>25.0</v>
      </c>
      <c r="O5" s="182">
        <v>75.0</v>
      </c>
      <c r="P5" s="189" t="s">
        <v>69</v>
      </c>
    </row>
    <row r="6">
      <c r="A6" s="182" t="s">
        <v>186</v>
      </c>
      <c r="B6" s="182" t="s">
        <v>32</v>
      </c>
      <c r="C6" s="182" t="s">
        <v>228</v>
      </c>
      <c r="D6" s="182">
        <v>27.0</v>
      </c>
      <c r="E6" s="182">
        <v>47.0</v>
      </c>
      <c r="F6" s="182">
        <v>19.0</v>
      </c>
      <c r="G6" s="182">
        <v>8.0</v>
      </c>
      <c r="H6" s="182">
        <v>70.0</v>
      </c>
      <c r="I6" s="182">
        <v>30.0</v>
      </c>
      <c r="J6" s="182">
        <v>21.0</v>
      </c>
      <c r="K6" s="182">
        <v>42.0</v>
      </c>
      <c r="L6" s="182">
        <v>8.0</v>
      </c>
      <c r="M6" s="182">
        <v>13.0</v>
      </c>
      <c r="N6" s="182">
        <v>38.0</v>
      </c>
      <c r="O6" s="182">
        <v>62.0</v>
      </c>
      <c r="P6" s="189" t="s">
        <v>70</v>
      </c>
    </row>
    <row r="7">
      <c r="A7" s="182" t="s">
        <v>186</v>
      </c>
      <c r="B7" s="182" t="s">
        <v>32</v>
      </c>
      <c r="C7" s="182" t="s">
        <v>229</v>
      </c>
      <c r="D7" s="182">
        <v>13.0</v>
      </c>
      <c r="E7" s="182">
        <v>23.0</v>
      </c>
      <c r="F7" s="182">
        <v>9.0</v>
      </c>
      <c r="G7" s="182">
        <v>4.0</v>
      </c>
      <c r="H7" s="182">
        <v>69.0</v>
      </c>
      <c r="I7" s="182">
        <v>31.0</v>
      </c>
      <c r="J7" s="182">
        <v>9.0</v>
      </c>
      <c r="K7" s="182">
        <v>18.0</v>
      </c>
      <c r="L7" s="182">
        <v>4.0</v>
      </c>
      <c r="M7" s="182">
        <v>5.0</v>
      </c>
      <c r="N7" s="182">
        <v>44.0</v>
      </c>
      <c r="O7" s="182">
        <v>56.0</v>
      </c>
      <c r="P7" s="189" t="s">
        <v>70</v>
      </c>
    </row>
    <row r="8">
      <c r="A8" s="182" t="s">
        <v>186</v>
      </c>
      <c r="B8" s="182" t="s">
        <v>32</v>
      </c>
      <c r="C8" s="182" t="s">
        <v>231</v>
      </c>
      <c r="D8" s="182">
        <v>17.0</v>
      </c>
      <c r="E8" s="182">
        <v>30.0</v>
      </c>
      <c r="F8" s="182">
        <v>14.0</v>
      </c>
      <c r="G8" s="182">
        <v>3.0</v>
      </c>
      <c r="H8" s="182">
        <v>82.0</v>
      </c>
      <c r="I8" s="182">
        <v>18.0</v>
      </c>
      <c r="J8" s="182">
        <v>20.0</v>
      </c>
      <c r="K8" s="182">
        <v>40.0</v>
      </c>
      <c r="L8" s="182">
        <v>8.0</v>
      </c>
      <c r="M8" s="182">
        <v>12.0</v>
      </c>
      <c r="N8" s="182">
        <v>40.0</v>
      </c>
      <c r="O8" s="182">
        <v>60.0</v>
      </c>
      <c r="P8" s="189" t="s">
        <v>70</v>
      </c>
    </row>
    <row r="9">
      <c r="A9" s="182" t="s">
        <v>186</v>
      </c>
      <c r="B9" s="182" t="s">
        <v>36</v>
      </c>
      <c r="C9" s="182" t="s">
        <v>228</v>
      </c>
      <c r="D9" s="182">
        <v>10.0</v>
      </c>
      <c r="E9" s="182">
        <v>45.0</v>
      </c>
      <c r="F9" s="182">
        <v>5.0</v>
      </c>
      <c r="G9" s="182">
        <v>5.0</v>
      </c>
      <c r="H9" s="182">
        <v>50.0</v>
      </c>
      <c r="I9" s="182">
        <v>50.0</v>
      </c>
      <c r="J9" s="182">
        <v>9.0</v>
      </c>
      <c r="K9" s="182">
        <v>75.0</v>
      </c>
      <c r="L9" s="182">
        <v>2.0</v>
      </c>
      <c r="M9" s="182">
        <v>7.0</v>
      </c>
      <c r="N9" s="182">
        <v>22.0</v>
      </c>
      <c r="O9" s="182">
        <v>78.0</v>
      </c>
      <c r="P9" s="189" t="s">
        <v>71</v>
      </c>
    </row>
    <row r="10">
      <c r="A10" s="182" t="s">
        <v>186</v>
      </c>
      <c r="B10" s="182" t="s">
        <v>36</v>
      </c>
      <c r="C10" s="182" t="s">
        <v>229</v>
      </c>
      <c r="D10" s="182">
        <v>12.0</v>
      </c>
      <c r="E10" s="182">
        <v>55.0</v>
      </c>
      <c r="F10" s="182">
        <v>4.0</v>
      </c>
      <c r="G10" s="182">
        <v>8.0</v>
      </c>
      <c r="H10" s="182">
        <v>33.0</v>
      </c>
      <c r="I10" s="182">
        <v>67.0</v>
      </c>
      <c r="J10" s="182">
        <v>3.0</v>
      </c>
      <c r="K10" s="182">
        <v>25.0</v>
      </c>
      <c r="L10" s="182">
        <v>1.0</v>
      </c>
      <c r="M10" s="182">
        <v>2.0</v>
      </c>
      <c r="N10" s="182">
        <v>33.0</v>
      </c>
      <c r="O10" s="182">
        <v>67.0</v>
      </c>
      <c r="P10" s="189" t="s">
        <v>71</v>
      </c>
    </row>
    <row r="11">
      <c r="A11" s="182" t="s">
        <v>186</v>
      </c>
      <c r="B11" s="182" t="s">
        <v>40</v>
      </c>
      <c r="C11" s="182" t="s">
        <v>228</v>
      </c>
      <c r="D11" s="182">
        <v>28.0</v>
      </c>
      <c r="E11" s="182">
        <v>47.0</v>
      </c>
      <c r="F11" s="182">
        <v>22.0</v>
      </c>
      <c r="G11" s="182">
        <v>6.0</v>
      </c>
      <c r="H11" s="182">
        <v>79.0</v>
      </c>
      <c r="I11" s="182">
        <v>21.0</v>
      </c>
      <c r="J11" s="182">
        <v>22.0</v>
      </c>
      <c r="K11" s="182">
        <v>39.0</v>
      </c>
      <c r="L11" s="182">
        <v>7.0</v>
      </c>
      <c r="M11" s="182">
        <v>15.0</v>
      </c>
      <c r="N11" s="182">
        <v>32.0</v>
      </c>
      <c r="O11" s="182">
        <v>68.0</v>
      </c>
      <c r="P11" s="189" t="s">
        <v>72</v>
      </c>
    </row>
    <row r="12">
      <c r="A12" s="182" t="s">
        <v>186</v>
      </c>
      <c r="B12" s="182" t="s">
        <v>40</v>
      </c>
      <c r="C12" s="182" t="s">
        <v>229</v>
      </c>
      <c r="D12" s="182">
        <v>12.0</v>
      </c>
      <c r="E12" s="182">
        <v>20.0</v>
      </c>
      <c r="F12" s="182">
        <v>6.0</v>
      </c>
      <c r="G12" s="182">
        <v>6.0</v>
      </c>
      <c r="H12" s="182">
        <v>50.0</v>
      </c>
      <c r="I12" s="182">
        <v>50.0</v>
      </c>
      <c r="J12" s="182">
        <v>20.0</v>
      </c>
      <c r="K12" s="182">
        <v>35.0</v>
      </c>
      <c r="L12" s="182">
        <v>6.0</v>
      </c>
      <c r="M12" s="182">
        <v>14.0</v>
      </c>
      <c r="N12" s="182">
        <v>30.0</v>
      </c>
      <c r="O12" s="182">
        <v>70.0</v>
      </c>
      <c r="P12" s="189" t="s">
        <v>72</v>
      </c>
    </row>
    <row r="13">
      <c r="A13" s="182" t="s">
        <v>186</v>
      </c>
      <c r="B13" s="182" t="s">
        <v>40</v>
      </c>
      <c r="C13" s="182" t="s">
        <v>231</v>
      </c>
      <c r="D13" s="182">
        <v>19.0</v>
      </c>
      <c r="E13" s="182">
        <v>32.0</v>
      </c>
      <c r="F13" s="182">
        <v>10.0</v>
      </c>
      <c r="G13" s="182">
        <v>9.0</v>
      </c>
      <c r="H13" s="182">
        <v>53.0</v>
      </c>
      <c r="I13" s="182">
        <v>47.0</v>
      </c>
      <c r="J13" s="182">
        <v>15.0</v>
      </c>
      <c r="K13" s="182">
        <v>26.0</v>
      </c>
      <c r="L13" s="182">
        <v>5.0</v>
      </c>
      <c r="M13" s="182">
        <v>10.0</v>
      </c>
      <c r="N13" s="182">
        <v>33.0</v>
      </c>
      <c r="O13" s="182">
        <v>67.0</v>
      </c>
      <c r="P13" s="189" t="s">
        <v>72</v>
      </c>
    </row>
    <row r="14">
      <c r="A14" s="182" t="s">
        <v>186</v>
      </c>
      <c r="B14" s="182" t="s">
        <v>43</v>
      </c>
      <c r="C14" s="182" t="s">
        <v>228</v>
      </c>
      <c r="D14" s="182">
        <v>6.0</v>
      </c>
      <c r="E14" s="182">
        <v>55.0</v>
      </c>
      <c r="F14" s="182">
        <v>6.0</v>
      </c>
      <c r="G14" s="182">
        <v>0.0</v>
      </c>
      <c r="H14" s="182">
        <v>100.0</v>
      </c>
      <c r="I14" s="182">
        <v>0.0</v>
      </c>
      <c r="J14" s="182">
        <v>10.0</v>
      </c>
      <c r="K14" s="182">
        <v>83.0</v>
      </c>
      <c r="L14" s="182">
        <v>6.0</v>
      </c>
      <c r="M14" s="182">
        <v>4.0</v>
      </c>
      <c r="N14" s="182">
        <v>60.0</v>
      </c>
      <c r="O14" s="182">
        <v>40.0</v>
      </c>
      <c r="P14" s="189" t="s">
        <v>73</v>
      </c>
    </row>
    <row r="15">
      <c r="A15" s="182" t="s">
        <v>186</v>
      </c>
      <c r="B15" s="182" t="s">
        <v>43</v>
      </c>
      <c r="C15" s="182" t="s">
        <v>229</v>
      </c>
      <c r="D15" s="182">
        <v>5.0</v>
      </c>
      <c r="E15" s="182">
        <v>45.0</v>
      </c>
      <c r="F15" s="182">
        <v>4.0</v>
      </c>
      <c r="G15" s="182">
        <v>1.0</v>
      </c>
      <c r="H15" s="182">
        <v>80.0</v>
      </c>
      <c r="I15" s="182">
        <v>20.0</v>
      </c>
      <c r="J15" s="182">
        <v>2.0</v>
      </c>
      <c r="K15" s="182">
        <v>17.0</v>
      </c>
      <c r="L15" s="182">
        <v>1.0</v>
      </c>
      <c r="M15" s="182">
        <v>1.0</v>
      </c>
      <c r="N15" s="182">
        <v>50.0</v>
      </c>
      <c r="O15" s="182">
        <v>50.0</v>
      </c>
      <c r="P15" s="189" t="s">
        <v>73</v>
      </c>
    </row>
    <row r="16">
      <c r="A16" s="182" t="s">
        <v>186</v>
      </c>
      <c r="B16" s="182" t="s">
        <v>45</v>
      </c>
      <c r="C16" s="182" t="s">
        <v>228</v>
      </c>
      <c r="D16" s="182">
        <v>5.0</v>
      </c>
      <c r="E16" s="182">
        <v>56.0</v>
      </c>
      <c r="F16" s="182">
        <v>5.0</v>
      </c>
      <c r="G16" s="182">
        <v>0.0</v>
      </c>
      <c r="H16" s="182">
        <v>100.0</v>
      </c>
      <c r="I16" s="182">
        <v>0.0</v>
      </c>
      <c r="J16" s="182">
        <v>4.0</v>
      </c>
      <c r="K16" s="182">
        <v>25.0</v>
      </c>
      <c r="L16" s="182">
        <v>1.0</v>
      </c>
      <c r="M16" s="182">
        <v>3.0</v>
      </c>
      <c r="N16" s="182">
        <v>25.0</v>
      </c>
      <c r="O16" s="182">
        <v>75.0</v>
      </c>
      <c r="P16" s="189" t="s">
        <v>74</v>
      </c>
    </row>
    <row r="17">
      <c r="A17" s="182" t="s">
        <v>186</v>
      </c>
      <c r="B17" s="182" t="s">
        <v>45</v>
      </c>
      <c r="C17" s="182" t="s">
        <v>229</v>
      </c>
      <c r="D17" s="182">
        <v>4.0</v>
      </c>
      <c r="E17" s="182">
        <v>44.0</v>
      </c>
      <c r="F17" s="182">
        <v>3.0</v>
      </c>
      <c r="G17" s="182">
        <v>1.0</v>
      </c>
      <c r="H17" s="182">
        <v>75.0</v>
      </c>
      <c r="I17" s="182">
        <v>25.0</v>
      </c>
      <c r="J17" s="182">
        <v>12.0</v>
      </c>
      <c r="K17" s="182">
        <v>75.0</v>
      </c>
      <c r="L17" s="182">
        <v>3.0</v>
      </c>
      <c r="M17" s="182">
        <v>9.0</v>
      </c>
      <c r="N17" s="182">
        <v>25.0</v>
      </c>
      <c r="O17" s="182">
        <v>75.0</v>
      </c>
      <c r="P17" s="189" t="s">
        <v>74</v>
      </c>
    </row>
    <row r="18">
      <c r="A18" s="182" t="s">
        <v>186</v>
      </c>
      <c r="B18" s="182" t="s">
        <v>38</v>
      </c>
      <c r="C18" s="182" t="s">
        <v>228</v>
      </c>
      <c r="D18" s="182">
        <v>14.0</v>
      </c>
      <c r="E18" s="182">
        <v>39.0</v>
      </c>
      <c r="F18" s="182">
        <v>10.0</v>
      </c>
      <c r="G18" s="182">
        <v>4.0</v>
      </c>
      <c r="H18" s="182">
        <v>71.0</v>
      </c>
      <c r="I18" s="182">
        <v>29.0</v>
      </c>
      <c r="J18" s="182">
        <v>14.0</v>
      </c>
      <c r="K18" s="182">
        <v>48.0</v>
      </c>
      <c r="L18" s="182">
        <v>4.0</v>
      </c>
      <c r="M18" s="182">
        <v>10.0</v>
      </c>
      <c r="N18" s="182">
        <v>29.0</v>
      </c>
      <c r="O18" s="182">
        <v>71.0</v>
      </c>
      <c r="P18" s="189" t="s">
        <v>75</v>
      </c>
    </row>
    <row r="19">
      <c r="A19" s="182" t="s">
        <v>186</v>
      </c>
      <c r="B19" s="182" t="s">
        <v>38</v>
      </c>
      <c r="C19" s="182" t="s">
        <v>229</v>
      </c>
      <c r="D19" s="182">
        <v>22.0</v>
      </c>
      <c r="E19" s="182">
        <v>61.0</v>
      </c>
      <c r="F19" s="182">
        <v>13.0</v>
      </c>
      <c r="G19" s="182">
        <v>9.0</v>
      </c>
      <c r="H19" s="182">
        <v>59.0</v>
      </c>
      <c r="I19" s="182">
        <v>41.0</v>
      </c>
      <c r="J19" s="182">
        <v>15.0</v>
      </c>
      <c r="K19" s="182">
        <v>52.0</v>
      </c>
      <c r="L19" s="182">
        <v>5.0</v>
      </c>
      <c r="M19" s="182">
        <v>10.0</v>
      </c>
      <c r="N19" s="182">
        <v>33.0</v>
      </c>
      <c r="O19" s="182">
        <v>67.0</v>
      </c>
      <c r="P19" s="189" t="s">
        <v>75</v>
      </c>
    </row>
    <row r="20">
      <c r="A20" s="182" t="s">
        <v>181</v>
      </c>
      <c r="B20" s="182" t="s">
        <v>227</v>
      </c>
      <c r="C20" s="182" t="s">
        <v>229</v>
      </c>
      <c r="D20" s="182">
        <v>3.0</v>
      </c>
      <c r="E20" s="182">
        <v>100.0</v>
      </c>
      <c r="F20" s="182">
        <v>1.0</v>
      </c>
      <c r="G20" s="182">
        <v>2.0</v>
      </c>
      <c r="H20" s="182">
        <v>33.0</v>
      </c>
      <c r="I20" s="182">
        <v>67.0</v>
      </c>
      <c r="J20" s="182">
        <v>2.0</v>
      </c>
      <c r="K20" s="182">
        <v>100.0</v>
      </c>
      <c r="L20" s="182">
        <v>0.0</v>
      </c>
      <c r="M20" s="182">
        <v>2.0</v>
      </c>
      <c r="N20" s="182">
        <v>0.0</v>
      </c>
      <c r="O20" s="182">
        <v>100.0</v>
      </c>
      <c r="P20" s="189" t="s">
        <v>76</v>
      </c>
    </row>
    <row r="21">
      <c r="A21" s="182" t="s">
        <v>181</v>
      </c>
      <c r="B21" s="182" t="s">
        <v>34</v>
      </c>
      <c r="C21" s="182" t="s">
        <v>228</v>
      </c>
      <c r="D21" s="182">
        <v>9.0</v>
      </c>
      <c r="E21" s="182">
        <v>90.0</v>
      </c>
      <c r="F21" s="182">
        <v>7.0</v>
      </c>
      <c r="G21" s="182">
        <v>2.0</v>
      </c>
      <c r="H21" s="182">
        <v>78.0</v>
      </c>
      <c r="I21" s="182">
        <v>22.0</v>
      </c>
      <c r="J21" s="182">
        <v>3.0</v>
      </c>
      <c r="K21" s="182">
        <v>43.0</v>
      </c>
      <c r="L21" s="182">
        <v>0.0</v>
      </c>
      <c r="M21" s="182">
        <v>3.0</v>
      </c>
      <c r="N21" s="182">
        <v>0.0</v>
      </c>
      <c r="O21" s="182">
        <v>100.0</v>
      </c>
      <c r="P21" s="189" t="s">
        <v>77</v>
      </c>
    </row>
    <row r="22">
      <c r="A22" s="182" t="s">
        <v>181</v>
      </c>
      <c r="B22" s="182" t="s">
        <v>34</v>
      </c>
      <c r="C22" s="182" t="s">
        <v>229</v>
      </c>
      <c r="D22" s="182">
        <v>1.0</v>
      </c>
      <c r="E22" s="182">
        <v>10.0</v>
      </c>
      <c r="F22" s="182">
        <v>0.0</v>
      </c>
      <c r="G22" s="182">
        <v>1.0</v>
      </c>
      <c r="H22" s="182">
        <v>0.0</v>
      </c>
      <c r="I22" s="182">
        <v>100.0</v>
      </c>
      <c r="J22" s="182">
        <v>4.0</v>
      </c>
      <c r="K22" s="182">
        <v>57.0</v>
      </c>
      <c r="L22" s="182">
        <v>0.0</v>
      </c>
      <c r="M22" s="182">
        <v>4.0</v>
      </c>
      <c r="N22" s="182">
        <v>0.0</v>
      </c>
      <c r="O22" s="182">
        <v>100.0</v>
      </c>
      <c r="P22" s="189" t="s">
        <v>77</v>
      </c>
    </row>
    <row r="23">
      <c r="A23" s="182" t="s">
        <v>181</v>
      </c>
      <c r="B23" s="182" t="s">
        <v>42</v>
      </c>
      <c r="C23" s="182" t="s">
        <v>228</v>
      </c>
      <c r="D23" s="182">
        <v>5.0</v>
      </c>
      <c r="E23" s="182">
        <v>38.0</v>
      </c>
      <c r="F23" s="182">
        <v>4.0</v>
      </c>
      <c r="G23" s="182">
        <v>1.0</v>
      </c>
      <c r="H23" s="182">
        <v>80.0</v>
      </c>
      <c r="I23" s="182">
        <v>20.0</v>
      </c>
      <c r="J23" s="182">
        <v>5.0</v>
      </c>
      <c r="K23" s="182">
        <v>83.0</v>
      </c>
      <c r="L23" s="182">
        <v>1.0</v>
      </c>
      <c r="M23" s="182">
        <v>4.0</v>
      </c>
      <c r="N23" s="182">
        <v>20.0</v>
      </c>
      <c r="O23" s="182">
        <v>80.0</v>
      </c>
      <c r="P23" s="189" t="s">
        <v>78</v>
      </c>
    </row>
    <row r="24">
      <c r="A24" s="182" t="s">
        <v>181</v>
      </c>
      <c r="B24" s="182" t="s">
        <v>42</v>
      </c>
      <c r="C24" s="182" t="s">
        <v>229</v>
      </c>
      <c r="D24" s="182">
        <v>8.0</v>
      </c>
      <c r="E24" s="182">
        <v>62.0</v>
      </c>
      <c r="F24" s="182">
        <v>1.0</v>
      </c>
      <c r="G24" s="182">
        <v>7.0</v>
      </c>
      <c r="H24" s="182">
        <v>13.0</v>
      </c>
      <c r="I24" s="182">
        <v>88.0</v>
      </c>
      <c r="J24" s="182">
        <v>1.0</v>
      </c>
      <c r="K24" s="182">
        <v>17.0</v>
      </c>
      <c r="L24" s="182">
        <v>0.0</v>
      </c>
      <c r="M24" s="182">
        <v>1.0</v>
      </c>
      <c r="N24" s="182">
        <v>0.0</v>
      </c>
      <c r="O24" s="182">
        <v>100.0</v>
      </c>
      <c r="P24" s="189" t="s">
        <v>78</v>
      </c>
    </row>
    <row r="25">
      <c r="A25" s="182" t="s">
        <v>181</v>
      </c>
      <c r="B25" s="182" t="s">
        <v>32</v>
      </c>
      <c r="C25" s="182" t="s">
        <v>228</v>
      </c>
      <c r="D25" s="182">
        <v>28.0</v>
      </c>
      <c r="E25" s="182">
        <v>44.0</v>
      </c>
      <c r="F25" s="182">
        <v>23.0</v>
      </c>
      <c r="G25" s="182">
        <v>5.0</v>
      </c>
      <c r="H25" s="182">
        <v>82.0</v>
      </c>
      <c r="I25" s="182">
        <v>18.0</v>
      </c>
      <c r="J25" s="182">
        <v>8.0</v>
      </c>
      <c r="K25" s="182">
        <v>26.0</v>
      </c>
      <c r="L25" s="182">
        <v>2.0</v>
      </c>
      <c r="M25" s="182">
        <v>6.0</v>
      </c>
      <c r="N25" s="182">
        <v>25.0</v>
      </c>
      <c r="O25" s="182">
        <v>75.0</v>
      </c>
      <c r="P25" s="189" t="s">
        <v>79</v>
      </c>
    </row>
    <row r="26">
      <c r="A26" s="182" t="s">
        <v>181</v>
      </c>
      <c r="B26" s="182" t="s">
        <v>32</v>
      </c>
      <c r="C26" s="182" t="s">
        <v>229</v>
      </c>
      <c r="D26" s="182">
        <v>7.0</v>
      </c>
      <c r="E26" s="182">
        <v>11.0</v>
      </c>
      <c r="F26" s="182">
        <v>2.0</v>
      </c>
      <c r="G26" s="182">
        <v>5.0</v>
      </c>
      <c r="H26" s="182">
        <v>29.0</v>
      </c>
      <c r="I26" s="182">
        <v>71.0</v>
      </c>
      <c r="J26" s="182">
        <v>10.0</v>
      </c>
      <c r="K26" s="182">
        <v>32.0</v>
      </c>
      <c r="L26" s="182">
        <v>5.0</v>
      </c>
      <c r="M26" s="182">
        <v>5.0</v>
      </c>
      <c r="N26" s="182">
        <v>50.0</v>
      </c>
      <c r="O26" s="182">
        <v>50.0</v>
      </c>
      <c r="P26" s="189" t="s">
        <v>79</v>
      </c>
    </row>
    <row r="27">
      <c r="A27" s="182" t="s">
        <v>181</v>
      </c>
      <c r="B27" s="182" t="s">
        <v>32</v>
      </c>
      <c r="C27" s="182" t="s">
        <v>231</v>
      </c>
      <c r="D27" s="182">
        <v>29.0</v>
      </c>
      <c r="E27" s="182">
        <v>45.0</v>
      </c>
      <c r="F27" s="182">
        <v>26.0</v>
      </c>
      <c r="G27" s="182">
        <v>3.0</v>
      </c>
      <c r="H27" s="182">
        <v>90.0</v>
      </c>
      <c r="I27" s="182">
        <v>10.0</v>
      </c>
      <c r="J27" s="182">
        <v>13.0</v>
      </c>
      <c r="K27" s="182">
        <v>42.0</v>
      </c>
      <c r="L27" s="182">
        <v>3.0</v>
      </c>
      <c r="M27" s="182">
        <v>10.0</v>
      </c>
      <c r="N27" s="182">
        <v>23.0</v>
      </c>
      <c r="O27" s="182">
        <v>77.0</v>
      </c>
      <c r="P27" s="189" t="s">
        <v>79</v>
      </c>
    </row>
    <row r="28">
      <c r="A28" s="182" t="s">
        <v>181</v>
      </c>
      <c r="B28" s="182" t="s">
        <v>36</v>
      </c>
      <c r="C28" s="182" t="s">
        <v>228</v>
      </c>
      <c r="D28" s="182">
        <v>6.0</v>
      </c>
      <c r="E28" s="182">
        <v>75.0</v>
      </c>
      <c r="F28" s="182">
        <v>4.0</v>
      </c>
      <c r="G28" s="182">
        <v>2.0</v>
      </c>
      <c r="H28" s="182">
        <v>67.0</v>
      </c>
      <c r="I28" s="182">
        <v>33.0</v>
      </c>
      <c r="J28" s="182">
        <v>4.0</v>
      </c>
      <c r="K28" s="182">
        <v>57.0</v>
      </c>
      <c r="L28" s="182">
        <v>3.0</v>
      </c>
      <c r="M28" s="182">
        <v>1.0</v>
      </c>
      <c r="N28" s="182">
        <v>75.0</v>
      </c>
      <c r="O28" s="182">
        <v>25.0</v>
      </c>
      <c r="P28" s="189" t="s">
        <v>80</v>
      </c>
    </row>
    <row r="29">
      <c r="A29" s="182" t="s">
        <v>181</v>
      </c>
      <c r="B29" s="182" t="s">
        <v>36</v>
      </c>
      <c r="C29" s="182" t="s">
        <v>229</v>
      </c>
      <c r="D29" s="182">
        <v>2.0</v>
      </c>
      <c r="E29" s="182">
        <v>25.0</v>
      </c>
      <c r="F29" s="182">
        <v>2.0</v>
      </c>
      <c r="G29" s="182">
        <v>0.0</v>
      </c>
      <c r="H29" s="182">
        <v>100.0</v>
      </c>
      <c r="I29" s="182">
        <v>0.0</v>
      </c>
      <c r="J29" s="182">
        <v>3.0</v>
      </c>
      <c r="K29" s="182">
        <v>43.0</v>
      </c>
      <c r="L29" s="182">
        <v>1.0</v>
      </c>
      <c r="M29" s="182">
        <v>2.0</v>
      </c>
      <c r="N29" s="182">
        <v>33.0</v>
      </c>
      <c r="O29" s="182">
        <v>67.0</v>
      </c>
      <c r="P29" s="189" t="s">
        <v>80</v>
      </c>
    </row>
    <row r="30">
      <c r="A30" s="182" t="s">
        <v>181</v>
      </c>
      <c r="B30" s="182" t="s">
        <v>40</v>
      </c>
      <c r="C30" s="182" t="s">
        <v>228</v>
      </c>
      <c r="D30" s="182">
        <v>32.0</v>
      </c>
      <c r="E30" s="182">
        <v>39.0</v>
      </c>
      <c r="F30" s="182">
        <v>22.0</v>
      </c>
      <c r="G30" s="182">
        <v>10.0</v>
      </c>
      <c r="H30" s="182">
        <v>69.0</v>
      </c>
      <c r="I30" s="182">
        <v>31.0</v>
      </c>
      <c r="J30" s="182">
        <v>32.0</v>
      </c>
      <c r="K30" s="182">
        <v>44.0</v>
      </c>
      <c r="L30" s="182">
        <v>11.0</v>
      </c>
      <c r="M30" s="182">
        <v>21.0</v>
      </c>
      <c r="N30" s="182">
        <v>34.0</v>
      </c>
      <c r="O30" s="182">
        <v>66.0</v>
      </c>
      <c r="P30" s="189" t="s">
        <v>81</v>
      </c>
    </row>
    <row r="31">
      <c r="A31" s="182" t="s">
        <v>181</v>
      </c>
      <c r="B31" s="182" t="s">
        <v>40</v>
      </c>
      <c r="C31" s="182" t="s">
        <v>229</v>
      </c>
      <c r="D31" s="182">
        <v>20.0</v>
      </c>
      <c r="E31" s="182">
        <v>24.0</v>
      </c>
      <c r="F31" s="182">
        <v>13.0</v>
      </c>
      <c r="G31" s="182">
        <v>7.0</v>
      </c>
      <c r="H31" s="182">
        <v>65.0</v>
      </c>
      <c r="I31" s="182">
        <v>35.0</v>
      </c>
      <c r="J31" s="182">
        <v>11.0</v>
      </c>
      <c r="K31" s="182">
        <v>15.0</v>
      </c>
      <c r="L31" s="182">
        <v>6.0</v>
      </c>
      <c r="M31" s="182">
        <v>5.0</v>
      </c>
      <c r="N31" s="182">
        <v>55.0</v>
      </c>
      <c r="O31" s="182">
        <v>45.0</v>
      </c>
      <c r="P31" s="189" t="s">
        <v>81</v>
      </c>
    </row>
    <row r="32">
      <c r="A32" s="182" t="s">
        <v>181</v>
      </c>
      <c r="B32" s="182" t="s">
        <v>40</v>
      </c>
      <c r="C32" s="182" t="s">
        <v>231</v>
      </c>
      <c r="D32" s="182">
        <v>30.0</v>
      </c>
      <c r="E32" s="182">
        <v>37.0</v>
      </c>
      <c r="F32" s="182">
        <v>24.0</v>
      </c>
      <c r="G32" s="182">
        <v>6.0</v>
      </c>
      <c r="H32" s="182">
        <v>80.0</v>
      </c>
      <c r="I32" s="182">
        <v>20.0</v>
      </c>
      <c r="J32" s="182">
        <v>29.0</v>
      </c>
      <c r="K32" s="182">
        <v>40.0</v>
      </c>
      <c r="L32" s="182">
        <v>10.0</v>
      </c>
      <c r="M32" s="182">
        <v>19.0</v>
      </c>
      <c r="N32" s="182">
        <v>34.0</v>
      </c>
      <c r="O32" s="182">
        <v>66.0</v>
      </c>
      <c r="P32" s="189" t="s">
        <v>81</v>
      </c>
    </row>
    <row r="33">
      <c r="A33" s="182" t="s">
        <v>181</v>
      </c>
      <c r="B33" s="182" t="s">
        <v>43</v>
      </c>
      <c r="C33" s="182" t="s">
        <v>228</v>
      </c>
      <c r="D33" s="182">
        <v>3.0</v>
      </c>
      <c r="E33" s="182">
        <v>33.0</v>
      </c>
      <c r="F33" s="182">
        <v>2.0</v>
      </c>
      <c r="G33" s="182">
        <v>1.0</v>
      </c>
      <c r="H33" s="182">
        <v>67.0</v>
      </c>
      <c r="I33" s="182">
        <v>33.0</v>
      </c>
      <c r="J33" s="182">
        <v>1.0</v>
      </c>
      <c r="K33" s="182">
        <v>100.0</v>
      </c>
      <c r="L33" s="182">
        <v>0.0</v>
      </c>
      <c r="M33" s="182">
        <v>1.0</v>
      </c>
      <c r="N33" s="182">
        <v>0.0</v>
      </c>
      <c r="O33" s="182">
        <v>100.0</v>
      </c>
      <c r="P33" s="189" t="s">
        <v>82</v>
      </c>
    </row>
    <row r="34">
      <c r="A34" s="182" t="s">
        <v>181</v>
      </c>
      <c r="B34" s="182" t="s">
        <v>43</v>
      </c>
      <c r="C34" s="182" t="s">
        <v>229</v>
      </c>
      <c r="D34" s="182">
        <v>6.0</v>
      </c>
      <c r="E34" s="182">
        <v>67.0</v>
      </c>
      <c r="F34" s="182">
        <v>5.0</v>
      </c>
      <c r="G34" s="182">
        <v>1.0</v>
      </c>
      <c r="H34" s="182">
        <v>83.0</v>
      </c>
      <c r="I34" s="182">
        <v>17.0</v>
      </c>
      <c r="J34" s="182">
        <v>0.0</v>
      </c>
      <c r="K34" s="182">
        <v>0.0</v>
      </c>
      <c r="L34" s="182">
        <v>0.0</v>
      </c>
      <c r="M34" s="182">
        <v>0.0</v>
      </c>
      <c r="N34" s="182">
        <v>0.0</v>
      </c>
      <c r="O34" s="182">
        <v>0.0</v>
      </c>
      <c r="P34" s="189" t="s">
        <v>82</v>
      </c>
    </row>
    <row r="35">
      <c r="A35" s="182" t="s">
        <v>181</v>
      </c>
      <c r="B35" s="182" t="s">
        <v>45</v>
      </c>
      <c r="C35" s="182" t="s">
        <v>228</v>
      </c>
      <c r="D35" s="182">
        <v>8.0</v>
      </c>
      <c r="E35" s="182">
        <v>80.0</v>
      </c>
      <c r="F35" s="182">
        <v>5.0</v>
      </c>
      <c r="G35" s="182">
        <v>3.0</v>
      </c>
      <c r="H35" s="182">
        <v>63.0</v>
      </c>
      <c r="I35" s="182">
        <v>38.0</v>
      </c>
      <c r="J35" s="182">
        <v>4.0</v>
      </c>
      <c r="K35" s="182">
        <v>40.0</v>
      </c>
      <c r="L35" s="182">
        <v>0.0</v>
      </c>
      <c r="M35" s="182">
        <v>4.0</v>
      </c>
      <c r="N35" s="182">
        <v>0.0</v>
      </c>
      <c r="O35" s="182">
        <v>100.0</v>
      </c>
      <c r="P35" s="189" t="s">
        <v>83</v>
      </c>
    </row>
    <row r="36">
      <c r="A36" s="182" t="s">
        <v>181</v>
      </c>
      <c r="B36" s="182" t="s">
        <v>45</v>
      </c>
      <c r="C36" s="182" t="s">
        <v>229</v>
      </c>
      <c r="D36" s="182">
        <v>2.0</v>
      </c>
      <c r="E36" s="182">
        <v>20.0</v>
      </c>
      <c r="F36" s="182">
        <v>2.0</v>
      </c>
      <c r="G36" s="182">
        <v>0.0</v>
      </c>
      <c r="H36" s="182">
        <v>100.0</v>
      </c>
      <c r="I36" s="182">
        <v>0.0</v>
      </c>
      <c r="J36" s="182">
        <v>6.0</v>
      </c>
      <c r="K36" s="182">
        <v>60.0</v>
      </c>
      <c r="L36" s="182">
        <v>2.0</v>
      </c>
      <c r="M36" s="182">
        <v>4.0</v>
      </c>
      <c r="N36" s="182">
        <v>33.0</v>
      </c>
      <c r="O36" s="182">
        <v>67.0</v>
      </c>
      <c r="P36" s="189" t="s">
        <v>83</v>
      </c>
    </row>
    <row r="37">
      <c r="A37" s="182" t="s">
        <v>181</v>
      </c>
      <c r="B37" s="182" t="s">
        <v>38</v>
      </c>
      <c r="C37" s="182" t="s">
        <v>228</v>
      </c>
      <c r="D37" s="182">
        <v>35.0</v>
      </c>
      <c r="E37" s="182">
        <v>51.0</v>
      </c>
      <c r="F37" s="182">
        <v>28.0</v>
      </c>
      <c r="G37" s="182">
        <v>7.0</v>
      </c>
      <c r="H37" s="182">
        <v>80.0</v>
      </c>
      <c r="I37" s="182">
        <v>20.0</v>
      </c>
      <c r="J37" s="182">
        <v>13.0</v>
      </c>
      <c r="K37" s="182">
        <v>41.0</v>
      </c>
      <c r="L37" s="182">
        <v>4.0</v>
      </c>
      <c r="M37" s="182">
        <v>9.0</v>
      </c>
      <c r="N37" s="182">
        <v>31.0</v>
      </c>
      <c r="O37" s="182">
        <v>69.0</v>
      </c>
      <c r="P37" s="189" t="s">
        <v>84</v>
      </c>
    </row>
    <row r="38">
      <c r="A38" s="182" t="s">
        <v>181</v>
      </c>
      <c r="B38" s="182" t="s">
        <v>38</v>
      </c>
      <c r="C38" s="182" t="s">
        <v>229</v>
      </c>
      <c r="D38" s="182">
        <v>33.0</v>
      </c>
      <c r="E38" s="182">
        <v>49.0</v>
      </c>
      <c r="F38" s="182">
        <v>19.0</v>
      </c>
      <c r="G38" s="182">
        <v>14.0</v>
      </c>
      <c r="H38" s="182">
        <v>58.0</v>
      </c>
      <c r="I38" s="182">
        <v>42.0</v>
      </c>
      <c r="J38" s="182">
        <v>19.0</v>
      </c>
      <c r="K38" s="182">
        <v>59.0</v>
      </c>
      <c r="L38" s="182">
        <v>5.0</v>
      </c>
      <c r="M38" s="182">
        <v>14.0</v>
      </c>
      <c r="N38" s="182">
        <v>26.0</v>
      </c>
      <c r="O38" s="182">
        <v>74.0</v>
      </c>
      <c r="P38" s="189" t="s">
        <v>84</v>
      </c>
    </row>
    <row r="39">
      <c r="A39" s="182" t="s">
        <v>190</v>
      </c>
      <c r="B39" s="182" t="s">
        <v>227</v>
      </c>
      <c r="C39" s="182" t="s">
        <v>228</v>
      </c>
      <c r="D39" s="182">
        <v>12.0</v>
      </c>
      <c r="E39" s="182">
        <v>52.0</v>
      </c>
      <c r="F39" s="182">
        <v>9.0</v>
      </c>
      <c r="G39" s="182">
        <v>3.0</v>
      </c>
      <c r="H39" s="182">
        <v>75.0</v>
      </c>
      <c r="I39" s="182">
        <v>25.0</v>
      </c>
      <c r="J39" s="182">
        <v>24.0</v>
      </c>
      <c r="K39" s="182">
        <v>60.0</v>
      </c>
      <c r="L39" s="182">
        <v>13.0</v>
      </c>
      <c r="M39" s="182">
        <v>11.0</v>
      </c>
      <c r="N39" s="182">
        <v>54.0</v>
      </c>
      <c r="O39" s="182">
        <v>46.0</v>
      </c>
      <c r="P39" s="189" t="s">
        <v>85</v>
      </c>
    </row>
    <row r="40">
      <c r="A40" s="182" t="s">
        <v>190</v>
      </c>
      <c r="B40" s="182" t="s">
        <v>227</v>
      </c>
      <c r="C40" s="182" t="s">
        <v>229</v>
      </c>
      <c r="D40" s="182">
        <v>11.0</v>
      </c>
      <c r="E40" s="182">
        <v>48.0</v>
      </c>
      <c r="F40" s="182">
        <v>9.0</v>
      </c>
      <c r="G40" s="182">
        <v>2.0</v>
      </c>
      <c r="H40" s="182">
        <v>82.0</v>
      </c>
      <c r="I40" s="182">
        <v>18.0</v>
      </c>
      <c r="J40" s="182">
        <v>16.0</v>
      </c>
      <c r="K40" s="182">
        <v>40.0</v>
      </c>
      <c r="L40" s="182">
        <v>5.0</v>
      </c>
      <c r="M40" s="182">
        <v>11.0</v>
      </c>
      <c r="N40" s="182">
        <v>31.0</v>
      </c>
      <c r="O40" s="182">
        <v>69.0</v>
      </c>
      <c r="P40" s="189" t="s">
        <v>85</v>
      </c>
    </row>
    <row r="41">
      <c r="A41" s="182" t="s">
        <v>190</v>
      </c>
      <c r="B41" s="182" t="s">
        <v>34</v>
      </c>
      <c r="C41" s="182" t="s">
        <v>228</v>
      </c>
      <c r="D41" s="182">
        <v>16.0</v>
      </c>
      <c r="E41" s="182">
        <v>64.0</v>
      </c>
      <c r="F41" s="182">
        <v>12.0</v>
      </c>
      <c r="G41" s="182">
        <v>4.0</v>
      </c>
      <c r="H41" s="182">
        <v>75.0</v>
      </c>
      <c r="I41" s="182">
        <v>25.0</v>
      </c>
      <c r="J41" s="182">
        <v>9.0</v>
      </c>
      <c r="K41" s="182">
        <v>53.0</v>
      </c>
      <c r="L41" s="182">
        <v>2.0</v>
      </c>
      <c r="M41" s="182">
        <v>7.0</v>
      </c>
      <c r="N41" s="182">
        <v>22.0</v>
      </c>
      <c r="O41" s="182">
        <v>78.0</v>
      </c>
      <c r="P41" s="189" t="s">
        <v>86</v>
      </c>
    </row>
    <row r="42">
      <c r="A42" s="182" t="s">
        <v>190</v>
      </c>
      <c r="B42" s="182" t="s">
        <v>34</v>
      </c>
      <c r="C42" s="182" t="s">
        <v>229</v>
      </c>
      <c r="D42" s="182">
        <v>9.0</v>
      </c>
      <c r="E42" s="182">
        <v>36.0</v>
      </c>
      <c r="F42" s="182">
        <v>5.0</v>
      </c>
      <c r="G42" s="182">
        <v>4.0</v>
      </c>
      <c r="H42" s="182">
        <v>56.0</v>
      </c>
      <c r="I42" s="182">
        <v>44.0</v>
      </c>
      <c r="J42" s="182">
        <v>8.0</v>
      </c>
      <c r="K42" s="182">
        <v>47.0</v>
      </c>
      <c r="L42" s="182">
        <v>2.0</v>
      </c>
      <c r="M42" s="182">
        <v>6.0</v>
      </c>
      <c r="N42" s="182">
        <v>25.0</v>
      </c>
      <c r="O42" s="182">
        <v>75.0</v>
      </c>
      <c r="P42" s="189" t="s">
        <v>86</v>
      </c>
    </row>
    <row r="43">
      <c r="A43" s="182" t="s">
        <v>190</v>
      </c>
      <c r="B43" s="182" t="s">
        <v>42</v>
      </c>
      <c r="C43" s="182" t="s">
        <v>228</v>
      </c>
      <c r="D43" s="182">
        <v>5.0</v>
      </c>
      <c r="E43" s="182">
        <v>56.0</v>
      </c>
      <c r="F43" s="182">
        <v>3.0</v>
      </c>
      <c r="G43" s="182">
        <v>2.0</v>
      </c>
      <c r="H43" s="182">
        <v>60.0</v>
      </c>
      <c r="I43" s="182">
        <v>40.0</v>
      </c>
      <c r="J43" s="182">
        <v>3.0</v>
      </c>
      <c r="K43" s="182">
        <v>43.0</v>
      </c>
      <c r="L43" s="182">
        <v>1.0</v>
      </c>
      <c r="M43" s="182">
        <v>2.0</v>
      </c>
      <c r="N43" s="182">
        <v>33.0</v>
      </c>
      <c r="O43" s="182">
        <v>67.0</v>
      </c>
      <c r="P43" s="189" t="s">
        <v>87</v>
      </c>
    </row>
    <row r="44">
      <c r="A44" s="182" t="s">
        <v>190</v>
      </c>
      <c r="B44" s="182" t="s">
        <v>42</v>
      </c>
      <c r="C44" s="182" t="s">
        <v>229</v>
      </c>
      <c r="D44" s="182">
        <v>4.0</v>
      </c>
      <c r="E44" s="182">
        <v>44.0</v>
      </c>
      <c r="F44" s="182">
        <v>2.0</v>
      </c>
      <c r="G44" s="182">
        <v>2.0</v>
      </c>
      <c r="H44" s="182">
        <v>50.0</v>
      </c>
      <c r="I44" s="182">
        <v>50.0</v>
      </c>
      <c r="J44" s="182">
        <v>4.0</v>
      </c>
      <c r="K44" s="182">
        <v>57.0</v>
      </c>
      <c r="L44" s="182">
        <v>2.0</v>
      </c>
      <c r="M44" s="182">
        <v>2.0</v>
      </c>
      <c r="N44" s="182">
        <v>50.0</v>
      </c>
      <c r="O44" s="182">
        <v>50.0</v>
      </c>
      <c r="P44" s="189" t="s">
        <v>87</v>
      </c>
    </row>
    <row r="45">
      <c r="A45" s="182" t="s">
        <v>190</v>
      </c>
      <c r="B45" s="182" t="s">
        <v>32</v>
      </c>
      <c r="C45" s="182" t="s">
        <v>228</v>
      </c>
      <c r="D45" s="182">
        <v>14.0</v>
      </c>
      <c r="E45" s="182">
        <v>33.0</v>
      </c>
      <c r="F45" s="182">
        <v>11.0</v>
      </c>
      <c r="G45" s="182">
        <v>3.0</v>
      </c>
      <c r="H45" s="182">
        <v>79.0</v>
      </c>
      <c r="I45" s="182">
        <v>21.0</v>
      </c>
      <c r="J45" s="182">
        <v>15.0</v>
      </c>
      <c r="K45" s="182">
        <v>36.0</v>
      </c>
      <c r="L45" s="182">
        <v>6.0</v>
      </c>
      <c r="M45" s="182">
        <v>9.0</v>
      </c>
      <c r="N45" s="182">
        <v>40.0</v>
      </c>
      <c r="O45" s="182">
        <v>60.0</v>
      </c>
      <c r="P45" s="189" t="s">
        <v>88</v>
      </c>
    </row>
    <row r="46">
      <c r="A46" s="182" t="s">
        <v>190</v>
      </c>
      <c r="B46" s="182" t="s">
        <v>32</v>
      </c>
      <c r="C46" s="182" t="s">
        <v>229</v>
      </c>
      <c r="D46" s="182">
        <v>8.0</v>
      </c>
      <c r="E46" s="182">
        <v>19.0</v>
      </c>
      <c r="F46" s="182">
        <v>6.0</v>
      </c>
      <c r="G46" s="182">
        <v>2.0</v>
      </c>
      <c r="H46" s="182">
        <v>75.0</v>
      </c>
      <c r="I46" s="182">
        <v>25.0</v>
      </c>
      <c r="J46" s="182">
        <v>9.0</v>
      </c>
      <c r="K46" s="182">
        <v>21.0</v>
      </c>
      <c r="L46" s="182">
        <v>4.0</v>
      </c>
      <c r="M46" s="182">
        <v>5.0</v>
      </c>
      <c r="N46" s="182">
        <v>44.0</v>
      </c>
      <c r="O46" s="182">
        <v>56.0</v>
      </c>
      <c r="P46" s="189" t="s">
        <v>88</v>
      </c>
    </row>
    <row r="47">
      <c r="A47" s="182" t="s">
        <v>190</v>
      </c>
      <c r="B47" s="182" t="s">
        <v>32</v>
      </c>
      <c r="C47" s="182" t="s">
        <v>231</v>
      </c>
      <c r="D47" s="182">
        <v>21.0</v>
      </c>
      <c r="E47" s="182">
        <v>49.0</v>
      </c>
      <c r="F47" s="182">
        <v>16.0</v>
      </c>
      <c r="G47" s="182">
        <v>5.0</v>
      </c>
      <c r="H47" s="182">
        <v>76.0</v>
      </c>
      <c r="I47" s="182">
        <v>24.0</v>
      </c>
      <c r="J47" s="182">
        <v>18.0</v>
      </c>
      <c r="K47" s="182">
        <v>43.0</v>
      </c>
      <c r="L47" s="182">
        <v>6.0</v>
      </c>
      <c r="M47" s="182">
        <v>12.0</v>
      </c>
      <c r="N47" s="182">
        <v>33.0</v>
      </c>
      <c r="O47" s="182">
        <v>67.0</v>
      </c>
      <c r="P47" s="189" t="s">
        <v>88</v>
      </c>
    </row>
    <row r="48">
      <c r="A48" s="182" t="s">
        <v>190</v>
      </c>
      <c r="B48" s="182" t="s">
        <v>36</v>
      </c>
      <c r="C48" s="182" t="s">
        <v>228</v>
      </c>
      <c r="D48" s="182">
        <v>7.0</v>
      </c>
      <c r="E48" s="182">
        <v>54.0</v>
      </c>
      <c r="F48" s="182">
        <v>5.0</v>
      </c>
      <c r="G48" s="182">
        <v>2.0</v>
      </c>
      <c r="H48" s="182">
        <v>71.0</v>
      </c>
      <c r="I48" s="182">
        <v>29.0</v>
      </c>
      <c r="J48" s="182">
        <v>5.0</v>
      </c>
      <c r="K48" s="182">
        <v>42.0</v>
      </c>
      <c r="L48" s="182">
        <v>1.0</v>
      </c>
      <c r="M48" s="182">
        <v>4.0</v>
      </c>
      <c r="N48" s="182">
        <v>20.0</v>
      </c>
      <c r="O48" s="182">
        <v>80.0</v>
      </c>
      <c r="P48" s="189" t="s">
        <v>89</v>
      </c>
    </row>
    <row r="49">
      <c r="A49" s="182" t="s">
        <v>190</v>
      </c>
      <c r="B49" s="182" t="s">
        <v>36</v>
      </c>
      <c r="C49" s="182" t="s">
        <v>229</v>
      </c>
      <c r="D49" s="182">
        <v>6.0</v>
      </c>
      <c r="E49" s="182">
        <v>46.0</v>
      </c>
      <c r="F49" s="182">
        <v>4.0</v>
      </c>
      <c r="G49" s="182">
        <v>2.0</v>
      </c>
      <c r="H49" s="182">
        <v>67.0</v>
      </c>
      <c r="I49" s="182">
        <v>33.0</v>
      </c>
      <c r="J49" s="182">
        <v>7.0</v>
      </c>
      <c r="K49" s="182">
        <v>58.0</v>
      </c>
      <c r="L49" s="182">
        <v>2.0</v>
      </c>
      <c r="M49" s="182">
        <v>5.0</v>
      </c>
      <c r="N49" s="182">
        <v>29.0</v>
      </c>
      <c r="O49" s="182">
        <v>71.0</v>
      </c>
      <c r="P49" s="189" t="s">
        <v>89</v>
      </c>
    </row>
    <row r="50">
      <c r="A50" s="182" t="s">
        <v>190</v>
      </c>
      <c r="B50" s="182" t="s">
        <v>40</v>
      </c>
      <c r="C50" s="182" t="s">
        <v>228</v>
      </c>
      <c r="D50" s="182">
        <v>30.0</v>
      </c>
      <c r="E50" s="182">
        <v>45.0</v>
      </c>
      <c r="F50" s="182">
        <v>22.0</v>
      </c>
      <c r="G50" s="182">
        <v>8.0</v>
      </c>
      <c r="H50" s="182">
        <v>73.0</v>
      </c>
      <c r="I50" s="182">
        <v>27.0</v>
      </c>
      <c r="J50" s="182">
        <v>24.0</v>
      </c>
      <c r="K50" s="182">
        <v>33.0</v>
      </c>
      <c r="L50" s="182">
        <v>6.0</v>
      </c>
      <c r="M50" s="182">
        <v>18.0</v>
      </c>
      <c r="N50" s="182">
        <v>25.0</v>
      </c>
      <c r="O50" s="182">
        <v>75.0</v>
      </c>
      <c r="P50" s="189" t="s">
        <v>90</v>
      </c>
    </row>
    <row r="51">
      <c r="A51" s="182" t="s">
        <v>190</v>
      </c>
      <c r="B51" s="182" t="s">
        <v>40</v>
      </c>
      <c r="C51" s="182" t="s">
        <v>229</v>
      </c>
      <c r="D51" s="182">
        <v>11.0</v>
      </c>
      <c r="E51" s="182">
        <v>17.0</v>
      </c>
      <c r="F51" s="182">
        <v>7.0</v>
      </c>
      <c r="G51" s="182">
        <v>4.0</v>
      </c>
      <c r="H51" s="182">
        <v>64.0</v>
      </c>
      <c r="I51" s="182">
        <v>36.0</v>
      </c>
      <c r="J51" s="182">
        <v>18.0</v>
      </c>
      <c r="K51" s="182">
        <v>25.0</v>
      </c>
      <c r="L51" s="182">
        <v>4.0</v>
      </c>
      <c r="M51" s="182">
        <v>14.0</v>
      </c>
      <c r="N51" s="182">
        <v>22.0</v>
      </c>
      <c r="O51" s="182">
        <v>78.0</v>
      </c>
      <c r="P51" s="189" t="s">
        <v>90</v>
      </c>
    </row>
    <row r="52">
      <c r="A52" s="182" t="s">
        <v>190</v>
      </c>
      <c r="B52" s="182" t="s">
        <v>40</v>
      </c>
      <c r="C52" s="182" t="s">
        <v>231</v>
      </c>
      <c r="D52" s="182">
        <v>25.0</v>
      </c>
      <c r="E52" s="182">
        <v>38.0</v>
      </c>
      <c r="F52" s="182">
        <v>19.0</v>
      </c>
      <c r="G52" s="182">
        <v>6.0</v>
      </c>
      <c r="H52" s="182">
        <v>76.0</v>
      </c>
      <c r="I52" s="182">
        <v>24.0</v>
      </c>
      <c r="J52" s="182">
        <v>31.0</v>
      </c>
      <c r="K52" s="182">
        <v>42.0</v>
      </c>
      <c r="L52" s="182">
        <v>11.0</v>
      </c>
      <c r="M52" s="182">
        <v>20.0</v>
      </c>
      <c r="N52" s="182">
        <v>35.0</v>
      </c>
      <c r="O52" s="182">
        <v>65.0</v>
      </c>
      <c r="P52" s="189" t="s">
        <v>90</v>
      </c>
    </row>
    <row r="53">
      <c r="A53" s="182" t="s">
        <v>190</v>
      </c>
      <c r="B53" s="182" t="s">
        <v>45</v>
      </c>
      <c r="C53" s="182" t="s">
        <v>228</v>
      </c>
      <c r="D53" s="182">
        <v>7.0</v>
      </c>
      <c r="E53" s="182">
        <v>58.0</v>
      </c>
      <c r="F53" s="182">
        <v>6.0</v>
      </c>
      <c r="G53" s="182">
        <v>1.0</v>
      </c>
      <c r="H53" s="182">
        <v>86.0</v>
      </c>
      <c r="I53" s="182">
        <v>14.0</v>
      </c>
      <c r="J53" s="182">
        <v>5.0</v>
      </c>
      <c r="K53" s="182">
        <v>50.0</v>
      </c>
      <c r="L53" s="182">
        <v>4.0</v>
      </c>
      <c r="M53" s="182">
        <v>1.0</v>
      </c>
      <c r="N53" s="182">
        <v>80.0</v>
      </c>
      <c r="O53" s="182">
        <v>20.0</v>
      </c>
      <c r="P53" s="189" t="s">
        <v>91</v>
      </c>
    </row>
    <row r="54">
      <c r="A54" s="182" t="s">
        <v>190</v>
      </c>
      <c r="B54" s="182" t="s">
        <v>45</v>
      </c>
      <c r="C54" s="182" t="s">
        <v>229</v>
      </c>
      <c r="D54" s="182">
        <v>5.0</v>
      </c>
      <c r="E54" s="182">
        <v>42.0</v>
      </c>
      <c r="F54" s="182">
        <v>3.0</v>
      </c>
      <c r="G54" s="182">
        <v>2.0</v>
      </c>
      <c r="H54" s="182">
        <v>60.0</v>
      </c>
      <c r="I54" s="182">
        <v>40.0</v>
      </c>
      <c r="J54" s="182">
        <v>5.0</v>
      </c>
      <c r="K54" s="182">
        <v>50.0</v>
      </c>
      <c r="L54" s="182">
        <v>3.0</v>
      </c>
      <c r="M54" s="182">
        <v>2.0</v>
      </c>
      <c r="N54" s="182">
        <v>60.0</v>
      </c>
      <c r="O54" s="182">
        <v>40.0</v>
      </c>
      <c r="P54" s="189" t="s">
        <v>91</v>
      </c>
    </row>
    <row r="55">
      <c r="A55" s="182" t="s">
        <v>190</v>
      </c>
      <c r="B55" s="182" t="s">
        <v>38</v>
      </c>
      <c r="C55" s="182" t="s">
        <v>228</v>
      </c>
      <c r="D55" s="182">
        <v>11.0</v>
      </c>
      <c r="E55" s="182">
        <v>46.0</v>
      </c>
      <c r="F55" s="182">
        <v>9.0</v>
      </c>
      <c r="G55" s="182">
        <v>2.0</v>
      </c>
      <c r="H55" s="182">
        <v>82.0</v>
      </c>
      <c r="I55" s="182">
        <v>18.0</v>
      </c>
      <c r="J55" s="182">
        <v>15.0</v>
      </c>
      <c r="K55" s="182">
        <v>54.0</v>
      </c>
      <c r="L55" s="182">
        <v>2.0</v>
      </c>
      <c r="M55" s="182">
        <v>13.0</v>
      </c>
      <c r="N55" s="182">
        <v>13.0</v>
      </c>
      <c r="O55" s="182">
        <v>87.0</v>
      </c>
      <c r="P55" s="189" t="s">
        <v>92</v>
      </c>
    </row>
    <row r="56">
      <c r="A56" s="182" t="s">
        <v>190</v>
      </c>
      <c r="B56" s="182" t="s">
        <v>38</v>
      </c>
      <c r="C56" s="182" t="s">
        <v>229</v>
      </c>
      <c r="D56" s="182">
        <v>13.0</v>
      </c>
      <c r="E56" s="182">
        <v>54.0</v>
      </c>
      <c r="F56" s="182">
        <v>11.0</v>
      </c>
      <c r="G56" s="182">
        <v>2.0</v>
      </c>
      <c r="H56" s="182">
        <v>85.0</v>
      </c>
      <c r="I56" s="182">
        <v>15.0</v>
      </c>
      <c r="J56" s="182">
        <v>13.0</v>
      </c>
      <c r="K56" s="182">
        <v>46.0</v>
      </c>
      <c r="L56" s="182">
        <v>5.0</v>
      </c>
      <c r="M56" s="182">
        <v>8.0</v>
      </c>
      <c r="N56" s="182">
        <v>38.0</v>
      </c>
      <c r="O56" s="182">
        <v>62.0</v>
      </c>
      <c r="P56" s="189" t="s">
        <v>92</v>
      </c>
    </row>
    <row r="57">
      <c r="A57" s="182" t="s">
        <v>182</v>
      </c>
      <c r="B57" s="182" t="s">
        <v>227</v>
      </c>
      <c r="C57" s="182" t="s">
        <v>228</v>
      </c>
      <c r="D57" s="182">
        <v>3.0</v>
      </c>
      <c r="E57" s="182">
        <v>27.0</v>
      </c>
      <c r="F57" s="182">
        <v>1.0</v>
      </c>
      <c r="G57" s="182">
        <v>2.0</v>
      </c>
      <c r="H57" s="182">
        <v>33.0</v>
      </c>
      <c r="I57" s="182">
        <v>67.0</v>
      </c>
      <c r="J57" s="182">
        <v>12.0</v>
      </c>
      <c r="K57" s="182">
        <v>75.0</v>
      </c>
      <c r="L57" s="182">
        <v>5.0</v>
      </c>
      <c r="M57" s="182">
        <v>7.0</v>
      </c>
      <c r="N57" s="182">
        <v>42.0</v>
      </c>
      <c r="O57" s="182">
        <v>58.0</v>
      </c>
      <c r="P57" s="189" t="s">
        <v>93</v>
      </c>
    </row>
    <row r="58">
      <c r="A58" s="182" t="s">
        <v>182</v>
      </c>
      <c r="B58" s="182" t="s">
        <v>227</v>
      </c>
      <c r="C58" s="182" t="s">
        <v>229</v>
      </c>
      <c r="D58" s="182">
        <v>8.0</v>
      </c>
      <c r="E58" s="182">
        <v>73.0</v>
      </c>
      <c r="F58" s="182">
        <v>6.0</v>
      </c>
      <c r="G58" s="182">
        <v>2.0</v>
      </c>
      <c r="H58" s="182">
        <v>75.0</v>
      </c>
      <c r="I58" s="182">
        <v>25.0</v>
      </c>
      <c r="J58" s="182">
        <v>4.0</v>
      </c>
      <c r="K58" s="182">
        <v>25.0</v>
      </c>
      <c r="L58" s="182">
        <v>1.0</v>
      </c>
      <c r="M58" s="182">
        <v>3.0</v>
      </c>
      <c r="N58" s="182">
        <v>25.0</v>
      </c>
      <c r="O58" s="182">
        <v>75.0</v>
      </c>
      <c r="P58" s="189" t="s">
        <v>93</v>
      </c>
    </row>
    <row r="59">
      <c r="A59" s="182" t="s">
        <v>182</v>
      </c>
      <c r="B59" s="182" t="s">
        <v>34</v>
      </c>
      <c r="C59" s="182" t="s">
        <v>228</v>
      </c>
      <c r="D59" s="182">
        <v>6.0</v>
      </c>
      <c r="E59" s="182">
        <v>43.0</v>
      </c>
      <c r="F59" s="182">
        <v>3.0</v>
      </c>
      <c r="G59" s="182">
        <v>3.0</v>
      </c>
      <c r="H59" s="182">
        <v>50.0</v>
      </c>
      <c r="I59" s="182">
        <v>50.0</v>
      </c>
      <c r="J59" s="182">
        <v>11.0</v>
      </c>
      <c r="K59" s="182">
        <v>79.0</v>
      </c>
      <c r="L59" s="182">
        <v>4.0</v>
      </c>
      <c r="M59" s="182">
        <v>7.0</v>
      </c>
      <c r="N59" s="182">
        <v>36.0</v>
      </c>
      <c r="O59" s="182">
        <v>64.0</v>
      </c>
      <c r="P59" s="189" t="s">
        <v>94</v>
      </c>
    </row>
    <row r="60">
      <c r="A60" s="182" t="s">
        <v>182</v>
      </c>
      <c r="B60" s="182" t="s">
        <v>34</v>
      </c>
      <c r="C60" s="182" t="s">
        <v>229</v>
      </c>
      <c r="D60" s="182">
        <v>8.0</v>
      </c>
      <c r="E60" s="182">
        <v>57.0</v>
      </c>
      <c r="F60" s="182">
        <v>5.0</v>
      </c>
      <c r="G60" s="182">
        <v>3.0</v>
      </c>
      <c r="H60" s="182">
        <v>63.0</v>
      </c>
      <c r="I60" s="182">
        <v>38.0</v>
      </c>
      <c r="J60" s="182">
        <v>3.0</v>
      </c>
      <c r="K60" s="182">
        <v>21.0</v>
      </c>
      <c r="L60" s="182">
        <v>1.0</v>
      </c>
      <c r="M60" s="182">
        <v>2.0</v>
      </c>
      <c r="N60" s="182">
        <v>33.0</v>
      </c>
      <c r="O60" s="182">
        <v>67.0</v>
      </c>
      <c r="P60" s="189" t="s">
        <v>94</v>
      </c>
    </row>
    <row r="61">
      <c r="A61" s="182" t="s">
        <v>182</v>
      </c>
      <c r="B61" s="182" t="s">
        <v>32</v>
      </c>
      <c r="C61" s="182" t="s">
        <v>228</v>
      </c>
      <c r="D61" s="182">
        <v>12.0</v>
      </c>
      <c r="E61" s="182">
        <v>36.0</v>
      </c>
      <c r="F61" s="182">
        <v>10.0</v>
      </c>
      <c r="G61" s="182">
        <v>2.0</v>
      </c>
      <c r="H61" s="182">
        <v>83.0</v>
      </c>
      <c r="I61" s="182">
        <v>17.0</v>
      </c>
      <c r="J61" s="182">
        <v>10.0</v>
      </c>
      <c r="K61" s="182">
        <v>37.0</v>
      </c>
      <c r="L61" s="182">
        <v>2.0</v>
      </c>
      <c r="M61" s="182">
        <v>8.0</v>
      </c>
      <c r="N61" s="182">
        <v>20.0</v>
      </c>
      <c r="O61" s="182">
        <v>80.0</v>
      </c>
      <c r="P61" s="189" t="s">
        <v>95</v>
      </c>
    </row>
    <row r="62">
      <c r="A62" s="182" t="s">
        <v>182</v>
      </c>
      <c r="B62" s="182" t="s">
        <v>32</v>
      </c>
      <c r="C62" s="182" t="s">
        <v>229</v>
      </c>
      <c r="D62" s="182">
        <v>3.0</v>
      </c>
      <c r="E62" s="182">
        <v>9.0</v>
      </c>
      <c r="F62" s="182">
        <v>2.0</v>
      </c>
      <c r="G62" s="182">
        <v>1.0</v>
      </c>
      <c r="H62" s="182">
        <v>67.0</v>
      </c>
      <c r="I62" s="182">
        <v>33.0</v>
      </c>
      <c r="J62" s="182">
        <v>3.0</v>
      </c>
      <c r="K62" s="182">
        <v>11.0</v>
      </c>
      <c r="L62" s="182">
        <v>2.0</v>
      </c>
      <c r="M62" s="182">
        <v>1.0</v>
      </c>
      <c r="N62" s="182">
        <v>67.0</v>
      </c>
      <c r="O62" s="182">
        <v>33.0</v>
      </c>
      <c r="P62" s="189" t="s">
        <v>95</v>
      </c>
    </row>
    <row r="63">
      <c r="A63" s="182" t="s">
        <v>182</v>
      </c>
      <c r="B63" s="182" t="s">
        <v>32</v>
      </c>
      <c r="C63" s="182" t="s">
        <v>231</v>
      </c>
      <c r="D63" s="182">
        <v>18.0</v>
      </c>
      <c r="E63" s="182">
        <v>55.0</v>
      </c>
      <c r="F63" s="182">
        <v>17.0</v>
      </c>
      <c r="G63" s="182">
        <v>1.0</v>
      </c>
      <c r="H63" s="182">
        <v>94.0</v>
      </c>
      <c r="I63" s="182">
        <v>6.0</v>
      </c>
      <c r="J63" s="182">
        <v>14.0</v>
      </c>
      <c r="K63" s="182">
        <v>52.0</v>
      </c>
      <c r="L63" s="182">
        <v>3.0</v>
      </c>
      <c r="M63" s="182">
        <v>11.0</v>
      </c>
      <c r="N63" s="182">
        <v>21.0</v>
      </c>
      <c r="O63" s="182">
        <v>79.0</v>
      </c>
      <c r="P63" s="189" t="s">
        <v>95</v>
      </c>
    </row>
    <row r="64">
      <c r="A64" s="182" t="s">
        <v>182</v>
      </c>
      <c r="B64" s="182" t="s">
        <v>36</v>
      </c>
      <c r="C64" s="182" t="s">
        <v>228</v>
      </c>
      <c r="D64" s="182">
        <v>4.0</v>
      </c>
      <c r="E64" s="182">
        <v>50.0</v>
      </c>
      <c r="F64" s="182">
        <v>1.0</v>
      </c>
      <c r="G64" s="182">
        <v>3.0</v>
      </c>
      <c r="H64" s="182">
        <v>25.0</v>
      </c>
      <c r="I64" s="182">
        <v>75.0</v>
      </c>
      <c r="J64" s="182">
        <v>3.0</v>
      </c>
      <c r="K64" s="182">
        <v>100.0</v>
      </c>
      <c r="L64" s="182">
        <v>0.0</v>
      </c>
      <c r="M64" s="182">
        <v>3.0</v>
      </c>
      <c r="N64" s="182">
        <v>0.0</v>
      </c>
      <c r="O64" s="182">
        <v>100.0</v>
      </c>
      <c r="P64" s="189" t="s">
        <v>96</v>
      </c>
    </row>
    <row r="65">
      <c r="A65" s="182" t="s">
        <v>182</v>
      </c>
      <c r="B65" s="182" t="s">
        <v>36</v>
      </c>
      <c r="C65" s="182" t="s">
        <v>229</v>
      </c>
      <c r="D65" s="182">
        <v>4.0</v>
      </c>
      <c r="E65" s="182">
        <v>50.0</v>
      </c>
      <c r="F65" s="182">
        <v>3.0</v>
      </c>
      <c r="G65" s="182">
        <v>1.0</v>
      </c>
      <c r="H65" s="182">
        <v>75.0</v>
      </c>
      <c r="I65" s="182">
        <v>25.0</v>
      </c>
      <c r="J65" s="182">
        <v>0.0</v>
      </c>
      <c r="K65" s="182">
        <v>0.0</v>
      </c>
      <c r="L65" s="182">
        <v>0.0</v>
      </c>
      <c r="M65" s="182">
        <v>0.0</v>
      </c>
      <c r="N65" s="182">
        <v>0.0</v>
      </c>
      <c r="O65" s="182">
        <v>0.0</v>
      </c>
      <c r="P65" s="189" t="s">
        <v>96</v>
      </c>
    </row>
    <row r="66">
      <c r="A66" s="182" t="s">
        <v>182</v>
      </c>
      <c r="B66" s="182" t="s">
        <v>40</v>
      </c>
      <c r="C66" s="182" t="s">
        <v>228</v>
      </c>
      <c r="D66" s="182">
        <v>17.0</v>
      </c>
      <c r="E66" s="182">
        <v>34.0</v>
      </c>
      <c r="F66" s="182">
        <v>11.0</v>
      </c>
      <c r="G66" s="182">
        <v>6.0</v>
      </c>
      <c r="H66" s="182">
        <v>65.0</v>
      </c>
      <c r="I66" s="182">
        <v>35.0</v>
      </c>
      <c r="J66" s="182">
        <v>13.0</v>
      </c>
      <c r="K66" s="182">
        <v>31.0</v>
      </c>
      <c r="L66" s="182">
        <v>6.0</v>
      </c>
      <c r="M66" s="182">
        <v>7.0</v>
      </c>
      <c r="N66" s="182">
        <v>46.0</v>
      </c>
      <c r="O66" s="182">
        <v>54.0</v>
      </c>
      <c r="P66" s="189" t="s">
        <v>97</v>
      </c>
    </row>
    <row r="67">
      <c r="A67" s="182" t="s">
        <v>182</v>
      </c>
      <c r="B67" s="182" t="s">
        <v>40</v>
      </c>
      <c r="C67" s="182" t="s">
        <v>229</v>
      </c>
      <c r="D67" s="182">
        <v>14.0</v>
      </c>
      <c r="E67" s="182">
        <v>28.0</v>
      </c>
      <c r="F67" s="182">
        <v>7.0</v>
      </c>
      <c r="G67" s="182">
        <v>7.0</v>
      </c>
      <c r="H67" s="182">
        <v>50.0</v>
      </c>
      <c r="I67" s="182">
        <v>50.0</v>
      </c>
      <c r="J67" s="182">
        <v>12.0</v>
      </c>
      <c r="K67" s="182">
        <v>29.0</v>
      </c>
      <c r="L67" s="182">
        <v>8.0</v>
      </c>
      <c r="M67" s="182">
        <v>4.0</v>
      </c>
      <c r="N67" s="182">
        <v>67.0</v>
      </c>
      <c r="O67" s="182">
        <v>33.0</v>
      </c>
      <c r="P67" s="189" t="s">
        <v>97</v>
      </c>
    </row>
    <row r="68">
      <c r="A68" s="182" t="s">
        <v>182</v>
      </c>
      <c r="B68" s="182" t="s">
        <v>40</v>
      </c>
      <c r="C68" s="182" t="s">
        <v>231</v>
      </c>
      <c r="D68" s="182">
        <v>19.0</v>
      </c>
      <c r="E68" s="182">
        <v>38.0</v>
      </c>
      <c r="F68" s="182">
        <v>11.0</v>
      </c>
      <c r="G68" s="182">
        <v>8.0</v>
      </c>
      <c r="H68" s="182">
        <v>58.0</v>
      </c>
      <c r="I68" s="182">
        <v>42.0</v>
      </c>
      <c r="J68" s="182">
        <v>17.0</v>
      </c>
      <c r="K68" s="182">
        <v>40.0</v>
      </c>
      <c r="L68" s="182">
        <v>10.0</v>
      </c>
      <c r="M68" s="182">
        <v>7.0</v>
      </c>
      <c r="N68" s="182">
        <v>59.0</v>
      </c>
      <c r="O68" s="182">
        <v>41.0</v>
      </c>
      <c r="P68" s="189" t="s">
        <v>97</v>
      </c>
    </row>
    <row r="69">
      <c r="A69" s="182" t="s">
        <v>182</v>
      </c>
      <c r="B69" s="182" t="s">
        <v>38</v>
      </c>
      <c r="C69" s="182" t="s">
        <v>228</v>
      </c>
      <c r="D69" s="182">
        <v>11.0</v>
      </c>
      <c r="E69" s="182">
        <v>39.0</v>
      </c>
      <c r="F69" s="182">
        <v>7.0</v>
      </c>
      <c r="G69" s="182">
        <v>4.0</v>
      </c>
      <c r="H69" s="182">
        <v>64.0</v>
      </c>
      <c r="I69" s="182">
        <v>36.0</v>
      </c>
      <c r="J69" s="182">
        <v>9.0</v>
      </c>
      <c r="K69" s="182">
        <v>50.0</v>
      </c>
      <c r="L69" s="182">
        <v>5.0</v>
      </c>
      <c r="M69" s="182">
        <v>4.0</v>
      </c>
      <c r="N69" s="182">
        <v>56.0</v>
      </c>
      <c r="O69" s="182">
        <v>44.0</v>
      </c>
      <c r="P69" s="189" t="s">
        <v>98</v>
      </c>
    </row>
    <row r="70">
      <c r="A70" s="182" t="s">
        <v>182</v>
      </c>
      <c r="B70" s="182" t="s">
        <v>38</v>
      </c>
      <c r="C70" s="182" t="s">
        <v>229</v>
      </c>
      <c r="D70" s="182">
        <v>17.0</v>
      </c>
      <c r="E70" s="182">
        <v>61.0</v>
      </c>
      <c r="F70" s="182">
        <v>9.0</v>
      </c>
      <c r="G70" s="182">
        <v>8.0</v>
      </c>
      <c r="H70" s="182">
        <v>53.0</v>
      </c>
      <c r="I70" s="182">
        <v>47.0</v>
      </c>
      <c r="J70" s="182">
        <v>9.0</v>
      </c>
      <c r="K70" s="182">
        <v>50.0</v>
      </c>
      <c r="L70" s="182">
        <v>6.0</v>
      </c>
      <c r="M70" s="182">
        <v>3.0</v>
      </c>
      <c r="N70" s="182">
        <v>67.0</v>
      </c>
      <c r="O70" s="182">
        <v>33.0</v>
      </c>
      <c r="P70" s="189" t="s">
        <v>98</v>
      </c>
    </row>
    <row r="71">
      <c r="A71" s="182" t="s">
        <v>183</v>
      </c>
      <c r="B71" s="182" t="s">
        <v>227</v>
      </c>
      <c r="C71" s="182" t="s">
        <v>228</v>
      </c>
      <c r="D71" s="182">
        <v>15.0</v>
      </c>
      <c r="E71" s="182">
        <v>79.0</v>
      </c>
      <c r="F71" s="182">
        <v>10.0</v>
      </c>
      <c r="G71" s="182">
        <v>5.0</v>
      </c>
      <c r="H71" s="182">
        <v>67.0</v>
      </c>
      <c r="I71" s="182">
        <v>33.0</v>
      </c>
      <c r="J71" s="182">
        <v>9.0</v>
      </c>
      <c r="K71" s="182">
        <v>56.0</v>
      </c>
      <c r="L71" s="182">
        <v>4.0</v>
      </c>
      <c r="M71" s="182">
        <v>5.0</v>
      </c>
      <c r="N71" s="182">
        <v>44.0</v>
      </c>
      <c r="O71" s="182">
        <v>56.0</v>
      </c>
      <c r="P71" s="189" t="s">
        <v>99</v>
      </c>
    </row>
    <row r="72">
      <c r="A72" s="182" t="s">
        <v>183</v>
      </c>
      <c r="B72" s="182" t="s">
        <v>227</v>
      </c>
      <c r="C72" s="182" t="s">
        <v>229</v>
      </c>
      <c r="D72" s="182">
        <v>4.0</v>
      </c>
      <c r="E72" s="182">
        <v>21.0</v>
      </c>
      <c r="F72" s="182">
        <v>3.0</v>
      </c>
      <c r="G72" s="182">
        <v>1.0</v>
      </c>
      <c r="H72" s="182">
        <v>75.0</v>
      </c>
      <c r="I72" s="182">
        <v>25.0</v>
      </c>
      <c r="J72" s="182">
        <v>7.0</v>
      </c>
      <c r="K72" s="182">
        <v>44.0</v>
      </c>
      <c r="L72" s="182">
        <v>1.0</v>
      </c>
      <c r="M72" s="182">
        <v>6.0</v>
      </c>
      <c r="N72" s="182">
        <v>14.0</v>
      </c>
      <c r="O72" s="182">
        <v>86.0</v>
      </c>
      <c r="P72" s="189" t="s">
        <v>99</v>
      </c>
    </row>
    <row r="73">
      <c r="A73" s="182" t="s">
        <v>183</v>
      </c>
      <c r="B73" s="182" t="s">
        <v>34</v>
      </c>
      <c r="C73" s="182" t="s">
        <v>228</v>
      </c>
      <c r="D73" s="182">
        <v>17.0</v>
      </c>
      <c r="E73" s="182">
        <v>65.0</v>
      </c>
      <c r="F73" s="182">
        <v>12.0</v>
      </c>
      <c r="G73" s="182">
        <v>5.0</v>
      </c>
      <c r="H73" s="182">
        <v>71.0</v>
      </c>
      <c r="I73" s="182">
        <v>29.0</v>
      </c>
      <c r="J73" s="182">
        <v>7.0</v>
      </c>
      <c r="K73" s="182">
        <v>54.0</v>
      </c>
      <c r="L73" s="182">
        <v>1.0</v>
      </c>
      <c r="M73" s="182">
        <v>6.0</v>
      </c>
      <c r="N73" s="182">
        <v>14.0</v>
      </c>
      <c r="O73" s="182">
        <v>86.0</v>
      </c>
      <c r="P73" s="189" t="s">
        <v>100</v>
      </c>
    </row>
    <row r="74">
      <c r="A74" s="182" t="s">
        <v>183</v>
      </c>
      <c r="B74" s="182" t="s">
        <v>34</v>
      </c>
      <c r="C74" s="182" t="s">
        <v>229</v>
      </c>
      <c r="D74" s="182">
        <v>9.0</v>
      </c>
      <c r="E74" s="182">
        <v>35.0</v>
      </c>
      <c r="F74" s="182">
        <v>9.0</v>
      </c>
      <c r="G74" s="182">
        <v>0.0</v>
      </c>
      <c r="H74" s="182">
        <v>100.0</v>
      </c>
      <c r="I74" s="182">
        <v>0.0</v>
      </c>
      <c r="J74" s="182">
        <v>6.0</v>
      </c>
      <c r="K74" s="182">
        <v>46.0</v>
      </c>
      <c r="L74" s="182">
        <v>2.0</v>
      </c>
      <c r="M74" s="182">
        <v>4.0</v>
      </c>
      <c r="N74" s="182">
        <v>33.0</v>
      </c>
      <c r="O74" s="182">
        <v>67.0</v>
      </c>
      <c r="P74" s="189" t="s">
        <v>100</v>
      </c>
    </row>
    <row r="75">
      <c r="A75" s="182" t="s">
        <v>183</v>
      </c>
      <c r="B75" s="182" t="s">
        <v>42</v>
      </c>
      <c r="C75" s="182" t="s">
        <v>228</v>
      </c>
      <c r="D75" s="182">
        <v>5.0</v>
      </c>
      <c r="E75" s="182">
        <v>24.0</v>
      </c>
      <c r="F75" s="182">
        <v>4.0</v>
      </c>
      <c r="G75" s="182">
        <v>1.0</v>
      </c>
      <c r="H75" s="182">
        <v>80.0</v>
      </c>
      <c r="I75" s="182">
        <v>20.0</v>
      </c>
      <c r="J75" s="182">
        <v>9.0</v>
      </c>
      <c r="K75" s="182">
        <v>47.0</v>
      </c>
      <c r="L75" s="182">
        <v>4.0</v>
      </c>
      <c r="M75" s="182">
        <v>5.0</v>
      </c>
      <c r="N75" s="182">
        <v>44.0</v>
      </c>
      <c r="O75" s="182">
        <v>56.0</v>
      </c>
      <c r="P75" s="189" t="s">
        <v>101</v>
      </c>
    </row>
    <row r="76">
      <c r="A76" s="182" t="s">
        <v>183</v>
      </c>
      <c r="B76" s="182" t="s">
        <v>42</v>
      </c>
      <c r="C76" s="182" t="s">
        <v>229</v>
      </c>
      <c r="D76" s="182">
        <v>16.0</v>
      </c>
      <c r="E76" s="182">
        <v>76.0</v>
      </c>
      <c r="F76" s="182">
        <v>13.0</v>
      </c>
      <c r="G76" s="182">
        <v>3.0</v>
      </c>
      <c r="H76" s="182">
        <v>81.0</v>
      </c>
      <c r="I76" s="182">
        <v>19.0</v>
      </c>
      <c r="J76" s="182">
        <v>10.0</v>
      </c>
      <c r="K76" s="182">
        <v>53.0</v>
      </c>
      <c r="L76" s="182">
        <v>2.0</v>
      </c>
      <c r="M76" s="182">
        <v>8.0</v>
      </c>
      <c r="N76" s="182">
        <v>20.0</v>
      </c>
      <c r="O76" s="182">
        <v>80.0</v>
      </c>
      <c r="P76" s="189" t="s">
        <v>101</v>
      </c>
    </row>
    <row r="77">
      <c r="A77" s="182" t="s">
        <v>183</v>
      </c>
      <c r="B77" s="182" t="s">
        <v>32</v>
      </c>
      <c r="C77" s="182" t="s">
        <v>228</v>
      </c>
      <c r="D77" s="182">
        <v>9.0</v>
      </c>
      <c r="E77" s="182">
        <v>50.0</v>
      </c>
      <c r="F77" s="182">
        <v>4.0</v>
      </c>
      <c r="G77" s="182">
        <v>5.0</v>
      </c>
      <c r="H77" s="182">
        <v>44.0</v>
      </c>
      <c r="I77" s="182">
        <v>56.0</v>
      </c>
      <c r="J77" s="182">
        <v>4.0</v>
      </c>
      <c r="K77" s="182">
        <v>36.0</v>
      </c>
      <c r="L77" s="182">
        <v>0.0</v>
      </c>
      <c r="M77" s="182">
        <v>4.0</v>
      </c>
      <c r="N77" s="182">
        <v>0.0</v>
      </c>
      <c r="O77" s="182">
        <v>100.0</v>
      </c>
      <c r="P77" s="189" t="s">
        <v>102</v>
      </c>
    </row>
    <row r="78">
      <c r="A78" s="182" t="s">
        <v>183</v>
      </c>
      <c r="B78" s="182" t="s">
        <v>32</v>
      </c>
      <c r="C78" s="182" t="s">
        <v>229</v>
      </c>
      <c r="D78" s="182">
        <v>3.0</v>
      </c>
      <c r="E78" s="182">
        <v>17.0</v>
      </c>
      <c r="F78" s="182">
        <v>1.0</v>
      </c>
      <c r="G78" s="182">
        <v>2.0</v>
      </c>
      <c r="H78" s="182">
        <v>33.0</v>
      </c>
      <c r="I78" s="182">
        <v>67.0</v>
      </c>
      <c r="J78" s="182">
        <v>5.0</v>
      </c>
      <c r="K78" s="182">
        <v>45.0</v>
      </c>
      <c r="L78" s="182">
        <v>2.0</v>
      </c>
      <c r="M78" s="182">
        <v>3.0</v>
      </c>
      <c r="N78" s="182">
        <v>40.0</v>
      </c>
      <c r="O78" s="182">
        <v>60.0</v>
      </c>
      <c r="P78" s="189" t="s">
        <v>102</v>
      </c>
    </row>
    <row r="79">
      <c r="A79" s="182" t="s">
        <v>183</v>
      </c>
      <c r="B79" s="182" t="s">
        <v>32</v>
      </c>
      <c r="C79" s="182" t="s">
        <v>231</v>
      </c>
      <c r="D79" s="182">
        <v>6.0</v>
      </c>
      <c r="E79" s="182">
        <v>33.0</v>
      </c>
      <c r="F79" s="182">
        <v>5.0</v>
      </c>
      <c r="G79" s="182">
        <v>1.0</v>
      </c>
      <c r="H79" s="182">
        <v>83.0</v>
      </c>
      <c r="I79" s="182">
        <v>17.0</v>
      </c>
      <c r="J79" s="182">
        <v>2.0</v>
      </c>
      <c r="K79" s="182">
        <v>18.0</v>
      </c>
      <c r="L79" s="182">
        <v>0.0</v>
      </c>
      <c r="M79" s="182">
        <v>2.0</v>
      </c>
      <c r="N79" s="182">
        <v>0.0</v>
      </c>
      <c r="O79" s="182">
        <v>100.0</v>
      </c>
      <c r="P79" s="189" t="s">
        <v>102</v>
      </c>
    </row>
    <row r="80">
      <c r="A80" s="182" t="s">
        <v>183</v>
      </c>
      <c r="B80" s="182" t="s">
        <v>36</v>
      </c>
      <c r="C80" s="182" t="s">
        <v>228</v>
      </c>
      <c r="D80" s="182">
        <v>8.0</v>
      </c>
      <c r="E80" s="182">
        <v>44.0</v>
      </c>
      <c r="F80" s="182">
        <v>5.0</v>
      </c>
      <c r="G80" s="182">
        <v>3.0</v>
      </c>
      <c r="H80" s="182">
        <v>63.0</v>
      </c>
      <c r="I80" s="182">
        <v>38.0</v>
      </c>
      <c r="J80" s="182">
        <v>8.0</v>
      </c>
      <c r="K80" s="182">
        <v>53.0</v>
      </c>
      <c r="L80" s="182">
        <v>2.0</v>
      </c>
      <c r="M80" s="182">
        <v>6.0</v>
      </c>
      <c r="N80" s="182">
        <v>25.0</v>
      </c>
      <c r="O80" s="182">
        <v>75.0</v>
      </c>
      <c r="P80" s="189" t="s">
        <v>103</v>
      </c>
    </row>
    <row r="81">
      <c r="A81" s="182" t="s">
        <v>183</v>
      </c>
      <c r="B81" s="182" t="s">
        <v>36</v>
      </c>
      <c r="C81" s="182" t="s">
        <v>229</v>
      </c>
      <c r="D81" s="182">
        <v>10.0</v>
      </c>
      <c r="E81" s="182">
        <v>56.0</v>
      </c>
      <c r="F81" s="182">
        <v>5.0</v>
      </c>
      <c r="G81" s="182">
        <v>5.0</v>
      </c>
      <c r="H81" s="182">
        <v>50.0</v>
      </c>
      <c r="I81" s="182">
        <v>50.0</v>
      </c>
      <c r="J81" s="182">
        <v>7.0</v>
      </c>
      <c r="K81" s="182">
        <v>47.0</v>
      </c>
      <c r="L81" s="182">
        <v>3.0</v>
      </c>
      <c r="M81" s="182">
        <v>4.0</v>
      </c>
      <c r="N81" s="182">
        <v>43.0</v>
      </c>
      <c r="O81" s="182">
        <v>57.0</v>
      </c>
      <c r="P81" s="189" t="s">
        <v>103</v>
      </c>
    </row>
    <row r="82">
      <c r="A82" s="182" t="s">
        <v>183</v>
      </c>
      <c r="B82" s="182" t="s">
        <v>40</v>
      </c>
      <c r="C82" s="182" t="s">
        <v>228</v>
      </c>
      <c r="D82" s="182">
        <v>17.0</v>
      </c>
      <c r="E82" s="182">
        <v>37.0</v>
      </c>
      <c r="F82" s="182">
        <v>13.0</v>
      </c>
      <c r="G82" s="182">
        <v>4.0</v>
      </c>
      <c r="H82" s="182">
        <v>76.0</v>
      </c>
      <c r="I82" s="182">
        <v>24.0</v>
      </c>
      <c r="J82" s="182">
        <v>18.0</v>
      </c>
      <c r="K82" s="182">
        <v>42.0</v>
      </c>
      <c r="L82" s="182">
        <v>10.0</v>
      </c>
      <c r="M82" s="182">
        <v>8.0</v>
      </c>
      <c r="N82" s="182">
        <v>56.0</v>
      </c>
      <c r="O82" s="182">
        <v>44.0</v>
      </c>
      <c r="P82" s="189" t="s">
        <v>104</v>
      </c>
    </row>
    <row r="83">
      <c r="A83" s="182" t="s">
        <v>183</v>
      </c>
      <c r="B83" s="182" t="s">
        <v>40</v>
      </c>
      <c r="C83" s="182" t="s">
        <v>229</v>
      </c>
      <c r="D83" s="182">
        <v>13.0</v>
      </c>
      <c r="E83" s="182">
        <v>28.0</v>
      </c>
      <c r="F83" s="182">
        <v>11.0</v>
      </c>
      <c r="G83" s="182">
        <v>2.0</v>
      </c>
      <c r="H83" s="182">
        <v>85.0</v>
      </c>
      <c r="I83" s="182">
        <v>15.0</v>
      </c>
      <c r="J83" s="182">
        <v>10.0</v>
      </c>
      <c r="K83" s="182">
        <v>23.0</v>
      </c>
      <c r="L83" s="182">
        <v>3.0</v>
      </c>
      <c r="M83" s="182">
        <v>7.0</v>
      </c>
      <c r="N83" s="182">
        <v>30.0</v>
      </c>
      <c r="O83" s="182">
        <v>70.0</v>
      </c>
      <c r="P83" s="189" t="s">
        <v>104</v>
      </c>
    </row>
    <row r="84">
      <c r="A84" s="182" t="s">
        <v>183</v>
      </c>
      <c r="B84" s="182" t="s">
        <v>40</v>
      </c>
      <c r="C84" s="182" t="s">
        <v>231</v>
      </c>
      <c r="D84" s="182">
        <v>16.0</v>
      </c>
      <c r="E84" s="182">
        <v>35.0</v>
      </c>
      <c r="F84" s="182">
        <v>10.0</v>
      </c>
      <c r="G84" s="182">
        <v>6.0</v>
      </c>
      <c r="H84" s="182">
        <v>63.0</v>
      </c>
      <c r="I84" s="182">
        <v>38.0</v>
      </c>
      <c r="J84" s="182">
        <v>15.0</v>
      </c>
      <c r="K84" s="182">
        <v>35.0</v>
      </c>
      <c r="L84" s="182">
        <v>5.0</v>
      </c>
      <c r="M84" s="182">
        <v>10.0</v>
      </c>
      <c r="N84" s="182">
        <v>33.0</v>
      </c>
      <c r="O84" s="182">
        <v>67.0</v>
      </c>
      <c r="P84" s="189" t="s">
        <v>104</v>
      </c>
    </row>
    <row r="85">
      <c r="A85" s="182" t="s">
        <v>183</v>
      </c>
      <c r="B85" s="182" t="s">
        <v>45</v>
      </c>
      <c r="C85" s="182" t="s">
        <v>228</v>
      </c>
      <c r="D85" s="182">
        <v>2.0</v>
      </c>
      <c r="E85" s="182">
        <v>100.0</v>
      </c>
      <c r="F85" s="182">
        <v>2.0</v>
      </c>
      <c r="G85" s="182">
        <v>0.0</v>
      </c>
      <c r="H85" s="182">
        <v>100.0</v>
      </c>
      <c r="I85" s="182">
        <v>0.0</v>
      </c>
      <c r="J85" s="182">
        <v>2.0</v>
      </c>
      <c r="K85" s="182">
        <v>67.0</v>
      </c>
      <c r="L85" s="182">
        <v>1.0</v>
      </c>
      <c r="M85" s="182">
        <v>1.0</v>
      </c>
      <c r="N85" s="182">
        <v>50.0</v>
      </c>
      <c r="O85" s="182">
        <v>50.0</v>
      </c>
      <c r="P85" s="189" t="s">
        <v>105</v>
      </c>
    </row>
    <row r="86">
      <c r="A86" s="182" t="s">
        <v>183</v>
      </c>
      <c r="B86" s="182" t="s">
        <v>45</v>
      </c>
      <c r="C86" s="182" t="s">
        <v>229</v>
      </c>
      <c r="D86" s="182">
        <v>0.0</v>
      </c>
      <c r="E86" s="182">
        <v>0.0</v>
      </c>
      <c r="F86" s="182">
        <v>0.0</v>
      </c>
      <c r="G86" s="182">
        <v>0.0</v>
      </c>
      <c r="H86" s="182">
        <v>0.0</v>
      </c>
      <c r="I86" s="182">
        <v>0.0</v>
      </c>
      <c r="J86" s="182">
        <v>1.0</v>
      </c>
      <c r="K86" s="182">
        <v>33.0</v>
      </c>
      <c r="L86" s="182">
        <v>0.0</v>
      </c>
      <c r="M86" s="182">
        <v>1.0</v>
      </c>
      <c r="N86" s="182">
        <v>0.0</v>
      </c>
      <c r="O86" s="182">
        <v>100.0</v>
      </c>
      <c r="P86" s="189" t="s">
        <v>105</v>
      </c>
    </row>
    <row r="87">
      <c r="A87" s="182" t="s">
        <v>183</v>
      </c>
      <c r="B87" s="182" t="s">
        <v>38</v>
      </c>
      <c r="C87" s="182" t="s">
        <v>228</v>
      </c>
      <c r="D87" s="182">
        <v>19.0</v>
      </c>
      <c r="E87" s="182">
        <v>51.0</v>
      </c>
      <c r="F87" s="182">
        <v>11.0</v>
      </c>
      <c r="G87" s="182">
        <v>8.0</v>
      </c>
      <c r="H87" s="182">
        <v>58.0</v>
      </c>
      <c r="I87" s="182">
        <v>42.0</v>
      </c>
      <c r="J87" s="182">
        <v>14.0</v>
      </c>
      <c r="K87" s="182">
        <v>50.0</v>
      </c>
      <c r="L87" s="182">
        <v>2.0</v>
      </c>
      <c r="M87" s="182">
        <v>12.0</v>
      </c>
      <c r="N87" s="182">
        <v>14.0</v>
      </c>
      <c r="O87" s="182">
        <v>86.0</v>
      </c>
      <c r="P87" s="189" t="s">
        <v>106</v>
      </c>
    </row>
    <row r="88">
      <c r="A88" s="182" t="s">
        <v>183</v>
      </c>
      <c r="B88" s="182" t="s">
        <v>38</v>
      </c>
      <c r="C88" s="182" t="s">
        <v>229</v>
      </c>
      <c r="D88" s="182">
        <v>18.0</v>
      </c>
      <c r="E88" s="182">
        <v>49.0</v>
      </c>
      <c r="F88" s="182">
        <v>17.0</v>
      </c>
      <c r="G88" s="182">
        <v>1.0</v>
      </c>
      <c r="H88" s="182">
        <v>94.0</v>
      </c>
      <c r="I88" s="182">
        <v>6.0</v>
      </c>
      <c r="J88" s="182">
        <v>14.0</v>
      </c>
      <c r="K88" s="182">
        <v>50.0</v>
      </c>
      <c r="L88" s="182">
        <v>5.0</v>
      </c>
      <c r="M88" s="182">
        <v>9.0</v>
      </c>
      <c r="N88" s="182">
        <v>36.0</v>
      </c>
      <c r="O88" s="182">
        <v>64.0</v>
      </c>
      <c r="P88" s="189" t="s">
        <v>106</v>
      </c>
    </row>
    <row r="89">
      <c r="A89" s="182" t="s">
        <v>179</v>
      </c>
      <c r="B89" s="182" t="s">
        <v>227</v>
      </c>
      <c r="C89" s="182" t="s">
        <v>228</v>
      </c>
      <c r="D89" s="182">
        <v>17.0</v>
      </c>
      <c r="E89" s="182">
        <v>46.0</v>
      </c>
      <c r="F89" s="182">
        <v>14.0</v>
      </c>
      <c r="G89" s="182">
        <v>3.0</v>
      </c>
      <c r="H89" s="182">
        <v>82.0</v>
      </c>
      <c r="I89" s="182">
        <v>18.0</v>
      </c>
      <c r="J89" s="182">
        <v>13.0</v>
      </c>
      <c r="K89" s="182">
        <v>48.0</v>
      </c>
      <c r="L89" s="182">
        <v>2.0</v>
      </c>
      <c r="M89" s="182">
        <v>11.0</v>
      </c>
      <c r="N89" s="182">
        <v>15.0</v>
      </c>
      <c r="O89" s="182">
        <v>85.0</v>
      </c>
      <c r="P89" s="189" t="s">
        <v>107</v>
      </c>
    </row>
    <row r="90">
      <c r="A90" s="182" t="s">
        <v>179</v>
      </c>
      <c r="B90" s="182" t="s">
        <v>227</v>
      </c>
      <c r="C90" s="182" t="s">
        <v>229</v>
      </c>
      <c r="D90" s="182">
        <v>20.0</v>
      </c>
      <c r="E90" s="182">
        <v>54.0</v>
      </c>
      <c r="F90" s="182">
        <v>16.0</v>
      </c>
      <c r="G90" s="182">
        <v>4.0</v>
      </c>
      <c r="H90" s="182">
        <v>80.0</v>
      </c>
      <c r="I90" s="182">
        <v>20.0</v>
      </c>
      <c r="J90" s="182">
        <v>14.0</v>
      </c>
      <c r="K90" s="182">
        <v>52.0</v>
      </c>
      <c r="L90" s="182">
        <v>5.0</v>
      </c>
      <c r="M90" s="182">
        <v>9.0</v>
      </c>
      <c r="N90" s="182">
        <v>36.0</v>
      </c>
      <c r="O90" s="182">
        <v>64.0</v>
      </c>
      <c r="P90" s="189" t="s">
        <v>107</v>
      </c>
    </row>
    <row r="91">
      <c r="A91" s="182" t="s">
        <v>179</v>
      </c>
      <c r="B91" s="182" t="s">
        <v>34</v>
      </c>
      <c r="C91" s="182" t="s">
        <v>228</v>
      </c>
      <c r="D91" s="182">
        <v>5.0</v>
      </c>
      <c r="E91" s="182">
        <v>45.0</v>
      </c>
      <c r="F91" s="182">
        <v>5.0</v>
      </c>
      <c r="G91" s="182">
        <v>0.0</v>
      </c>
      <c r="H91" s="182">
        <v>100.0</v>
      </c>
      <c r="I91" s="182">
        <v>0.0</v>
      </c>
      <c r="J91" s="182">
        <v>12.0</v>
      </c>
      <c r="K91" s="182">
        <v>75.0</v>
      </c>
      <c r="L91" s="182">
        <v>4.0</v>
      </c>
      <c r="M91" s="182">
        <v>8.0</v>
      </c>
      <c r="N91" s="182">
        <v>33.0</v>
      </c>
      <c r="O91" s="182">
        <v>67.0</v>
      </c>
      <c r="P91" s="189" t="s">
        <v>108</v>
      </c>
    </row>
    <row r="92">
      <c r="A92" s="182" t="s">
        <v>179</v>
      </c>
      <c r="B92" s="182" t="s">
        <v>34</v>
      </c>
      <c r="C92" s="182" t="s">
        <v>229</v>
      </c>
      <c r="D92" s="182">
        <v>6.0</v>
      </c>
      <c r="E92" s="182">
        <v>55.0</v>
      </c>
      <c r="F92" s="182">
        <v>6.0</v>
      </c>
      <c r="G92" s="182">
        <v>0.0</v>
      </c>
      <c r="H92" s="182">
        <v>100.0</v>
      </c>
      <c r="I92" s="182">
        <v>0.0</v>
      </c>
      <c r="J92" s="182">
        <v>4.0</v>
      </c>
      <c r="K92" s="182">
        <v>25.0</v>
      </c>
      <c r="L92" s="182">
        <v>2.0</v>
      </c>
      <c r="M92" s="182">
        <v>2.0</v>
      </c>
      <c r="N92" s="182">
        <v>50.0</v>
      </c>
      <c r="O92" s="182">
        <v>50.0</v>
      </c>
      <c r="P92" s="189" t="s">
        <v>108</v>
      </c>
    </row>
    <row r="93">
      <c r="A93" s="182" t="s">
        <v>179</v>
      </c>
      <c r="B93" s="182" t="s">
        <v>42</v>
      </c>
      <c r="C93" s="182" t="s">
        <v>228</v>
      </c>
      <c r="D93" s="182">
        <v>8.0</v>
      </c>
      <c r="E93" s="182">
        <v>50.0</v>
      </c>
      <c r="F93" s="182">
        <v>6.0</v>
      </c>
      <c r="G93" s="182">
        <v>2.0</v>
      </c>
      <c r="H93" s="182">
        <v>75.0</v>
      </c>
      <c r="I93" s="182">
        <v>25.0</v>
      </c>
      <c r="J93" s="182">
        <v>10.0</v>
      </c>
      <c r="K93" s="182">
        <v>42.0</v>
      </c>
      <c r="L93" s="182">
        <v>3.0</v>
      </c>
      <c r="M93" s="182">
        <v>7.0</v>
      </c>
      <c r="N93" s="182">
        <v>30.0</v>
      </c>
      <c r="O93" s="182">
        <v>70.0</v>
      </c>
      <c r="P93" s="189" t="s">
        <v>109</v>
      </c>
    </row>
    <row r="94">
      <c r="A94" s="182" t="s">
        <v>179</v>
      </c>
      <c r="B94" s="182" t="s">
        <v>42</v>
      </c>
      <c r="C94" s="182" t="s">
        <v>229</v>
      </c>
      <c r="D94" s="182">
        <v>8.0</v>
      </c>
      <c r="E94" s="182">
        <v>50.0</v>
      </c>
      <c r="F94" s="182">
        <v>6.0</v>
      </c>
      <c r="G94" s="182">
        <v>2.0</v>
      </c>
      <c r="H94" s="182">
        <v>75.0</v>
      </c>
      <c r="I94" s="182">
        <v>25.0</v>
      </c>
      <c r="J94" s="182">
        <v>14.0</v>
      </c>
      <c r="K94" s="182">
        <v>58.0</v>
      </c>
      <c r="L94" s="182">
        <v>10.0</v>
      </c>
      <c r="M94" s="182">
        <v>4.0</v>
      </c>
      <c r="N94" s="182">
        <v>71.0</v>
      </c>
      <c r="O94" s="182">
        <v>29.0</v>
      </c>
      <c r="P94" s="189" t="s">
        <v>109</v>
      </c>
    </row>
    <row r="95">
      <c r="A95" s="182" t="s">
        <v>179</v>
      </c>
      <c r="B95" s="182" t="s">
        <v>32</v>
      </c>
      <c r="C95" s="182" t="s">
        <v>228</v>
      </c>
      <c r="D95" s="182">
        <v>1.0</v>
      </c>
      <c r="E95" s="182">
        <v>11.0</v>
      </c>
      <c r="F95" s="182">
        <v>1.0</v>
      </c>
      <c r="G95" s="182">
        <v>0.0</v>
      </c>
      <c r="H95" s="182">
        <v>100.0</v>
      </c>
      <c r="I95" s="182">
        <v>0.0</v>
      </c>
      <c r="J95" s="182">
        <v>2.0</v>
      </c>
      <c r="K95" s="182">
        <v>33.0</v>
      </c>
      <c r="L95" s="182">
        <v>0.0</v>
      </c>
      <c r="M95" s="182">
        <v>2.0</v>
      </c>
      <c r="N95" s="182">
        <v>0.0</v>
      </c>
      <c r="O95" s="182">
        <v>100.0</v>
      </c>
      <c r="P95" s="189" t="s">
        <v>110</v>
      </c>
    </row>
    <row r="96">
      <c r="A96" s="182" t="s">
        <v>179</v>
      </c>
      <c r="B96" s="182" t="s">
        <v>32</v>
      </c>
      <c r="C96" s="182" t="s">
        <v>229</v>
      </c>
      <c r="D96" s="182">
        <v>1.0</v>
      </c>
      <c r="E96" s="182">
        <v>11.0</v>
      </c>
      <c r="F96" s="182">
        <v>1.0</v>
      </c>
      <c r="G96" s="182">
        <v>0.0</v>
      </c>
      <c r="H96" s="182">
        <v>100.0</v>
      </c>
      <c r="I96" s="182">
        <v>0.0</v>
      </c>
      <c r="J96" s="182">
        <v>1.0</v>
      </c>
      <c r="K96" s="182">
        <v>17.0</v>
      </c>
      <c r="L96" s="182">
        <v>1.0</v>
      </c>
      <c r="M96" s="182">
        <v>0.0</v>
      </c>
      <c r="N96" s="182">
        <v>100.0</v>
      </c>
      <c r="O96" s="182">
        <v>0.0</v>
      </c>
      <c r="P96" s="189" t="s">
        <v>110</v>
      </c>
    </row>
    <row r="97">
      <c r="A97" s="182" t="s">
        <v>179</v>
      </c>
      <c r="B97" s="182" t="s">
        <v>32</v>
      </c>
      <c r="C97" s="182" t="s">
        <v>231</v>
      </c>
      <c r="D97" s="182">
        <v>7.0</v>
      </c>
      <c r="E97" s="182">
        <v>78.0</v>
      </c>
      <c r="F97" s="182">
        <v>7.0</v>
      </c>
      <c r="G97" s="182">
        <v>0.0</v>
      </c>
      <c r="H97" s="182">
        <v>100.0</v>
      </c>
      <c r="I97" s="182">
        <v>0.0</v>
      </c>
      <c r="J97" s="182">
        <v>3.0</v>
      </c>
      <c r="K97" s="182">
        <v>50.0</v>
      </c>
      <c r="L97" s="182">
        <v>3.0</v>
      </c>
      <c r="M97" s="182">
        <v>0.0</v>
      </c>
      <c r="N97" s="182">
        <v>100.0</v>
      </c>
      <c r="O97" s="182">
        <v>0.0</v>
      </c>
      <c r="P97" s="189" t="s">
        <v>110</v>
      </c>
    </row>
    <row r="98">
      <c r="A98" s="182" t="s">
        <v>179</v>
      </c>
      <c r="B98" s="182" t="s">
        <v>40</v>
      </c>
      <c r="C98" s="182" t="s">
        <v>228</v>
      </c>
      <c r="D98" s="182">
        <v>7.0</v>
      </c>
      <c r="E98" s="182">
        <v>41.0</v>
      </c>
      <c r="F98" s="182">
        <v>5.0</v>
      </c>
      <c r="G98" s="182">
        <v>2.0</v>
      </c>
      <c r="H98" s="182">
        <v>71.0</v>
      </c>
      <c r="I98" s="182">
        <v>29.0</v>
      </c>
      <c r="J98" s="182">
        <v>6.0</v>
      </c>
      <c r="K98" s="182">
        <v>29.0</v>
      </c>
      <c r="L98" s="182">
        <v>2.0</v>
      </c>
      <c r="M98" s="182">
        <v>4.0</v>
      </c>
      <c r="N98" s="182">
        <v>33.0</v>
      </c>
      <c r="O98" s="182">
        <v>67.0</v>
      </c>
      <c r="P98" s="189" t="s">
        <v>111</v>
      </c>
    </row>
    <row r="99">
      <c r="A99" s="182" t="s">
        <v>179</v>
      </c>
      <c r="B99" s="182" t="s">
        <v>40</v>
      </c>
      <c r="C99" s="182" t="s">
        <v>229</v>
      </c>
      <c r="D99" s="182">
        <v>3.0</v>
      </c>
      <c r="E99" s="182">
        <v>18.0</v>
      </c>
      <c r="F99" s="182">
        <v>2.0</v>
      </c>
      <c r="G99" s="182">
        <v>1.0</v>
      </c>
      <c r="H99" s="182">
        <v>67.0</v>
      </c>
      <c r="I99" s="182">
        <v>33.0</v>
      </c>
      <c r="J99" s="182">
        <v>8.0</v>
      </c>
      <c r="K99" s="182">
        <v>38.0</v>
      </c>
      <c r="L99" s="182">
        <v>3.0</v>
      </c>
      <c r="M99" s="182">
        <v>5.0</v>
      </c>
      <c r="N99" s="182">
        <v>38.0</v>
      </c>
      <c r="O99" s="182">
        <v>63.0</v>
      </c>
      <c r="P99" s="189" t="s">
        <v>111</v>
      </c>
    </row>
    <row r="100">
      <c r="A100" s="182" t="s">
        <v>179</v>
      </c>
      <c r="B100" s="182" t="s">
        <v>40</v>
      </c>
      <c r="C100" s="182" t="s">
        <v>231</v>
      </c>
      <c r="D100" s="182">
        <v>7.0</v>
      </c>
      <c r="E100" s="182">
        <v>41.0</v>
      </c>
      <c r="F100" s="182">
        <v>5.0</v>
      </c>
      <c r="G100" s="182">
        <v>2.0</v>
      </c>
      <c r="H100" s="182">
        <v>71.0</v>
      </c>
      <c r="I100" s="182">
        <v>29.0</v>
      </c>
      <c r="J100" s="182">
        <v>7.0</v>
      </c>
      <c r="K100" s="182">
        <v>33.0</v>
      </c>
      <c r="L100" s="182">
        <v>2.0</v>
      </c>
      <c r="M100" s="182">
        <v>5.0</v>
      </c>
      <c r="N100" s="182">
        <v>29.0</v>
      </c>
      <c r="O100" s="182">
        <v>71.0</v>
      </c>
      <c r="P100" s="189" t="s">
        <v>111</v>
      </c>
    </row>
    <row r="101">
      <c r="A101" s="182" t="s">
        <v>179</v>
      </c>
      <c r="B101" s="182" t="s">
        <v>38</v>
      </c>
      <c r="C101" s="182" t="s">
        <v>228</v>
      </c>
      <c r="D101" s="182">
        <v>1.0</v>
      </c>
      <c r="E101" s="182">
        <v>33.0</v>
      </c>
      <c r="F101" s="182">
        <v>0.0</v>
      </c>
      <c r="G101" s="182">
        <v>1.0</v>
      </c>
      <c r="H101" s="182">
        <v>0.0</v>
      </c>
      <c r="I101" s="182">
        <v>100.0</v>
      </c>
      <c r="J101" s="182">
        <v>1.0</v>
      </c>
      <c r="K101" s="182">
        <v>13.0</v>
      </c>
      <c r="L101" s="182">
        <v>0.0</v>
      </c>
      <c r="M101" s="182">
        <v>1.0</v>
      </c>
      <c r="N101" s="182">
        <v>0.0</v>
      </c>
      <c r="O101" s="182">
        <v>100.0</v>
      </c>
      <c r="P101" s="189" t="s">
        <v>112</v>
      </c>
    </row>
    <row r="102">
      <c r="A102" s="182" t="s">
        <v>179</v>
      </c>
      <c r="B102" s="182" t="s">
        <v>38</v>
      </c>
      <c r="C102" s="182" t="s">
        <v>229</v>
      </c>
      <c r="D102" s="182">
        <v>2.0</v>
      </c>
      <c r="E102" s="182">
        <v>67.0</v>
      </c>
      <c r="F102" s="182">
        <v>0.0</v>
      </c>
      <c r="G102" s="182">
        <v>2.0</v>
      </c>
      <c r="H102" s="182">
        <v>0.0</v>
      </c>
      <c r="I102" s="182">
        <v>100.0</v>
      </c>
      <c r="J102" s="182">
        <v>7.0</v>
      </c>
      <c r="K102" s="182">
        <v>88.0</v>
      </c>
      <c r="L102" s="182">
        <v>2.0</v>
      </c>
      <c r="M102" s="182">
        <v>5.0</v>
      </c>
      <c r="N102" s="182">
        <v>29.0</v>
      </c>
      <c r="O102" s="182">
        <v>71.0</v>
      </c>
      <c r="P102" s="189" t="s">
        <v>112</v>
      </c>
    </row>
    <row r="103">
      <c r="A103" s="182" t="s">
        <v>232</v>
      </c>
      <c r="B103" s="182" t="s">
        <v>227</v>
      </c>
      <c r="C103" s="182" t="s">
        <v>228</v>
      </c>
      <c r="D103" s="182">
        <v>3.0</v>
      </c>
      <c r="E103" s="182">
        <v>30.0</v>
      </c>
      <c r="F103" s="182">
        <v>1.0</v>
      </c>
      <c r="G103" s="182">
        <v>2.0</v>
      </c>
      <c r="H103" s="182">
        <v>33.0</v>
      </c>
      <c r="I103" s="182">
        <v>67.0</v>
      </c>
      <c r="J103" s="182">
        <v>7.0</v>
      </c>
      <c r="K103" s="182">
        <v>58.0</v>
      </c>
      <c r="L103" s="182">
        <v>1.0</v>
      </c>
      <c r="M103" s="182">
        <v>6.0</v>
      </c>
      <c r="N103" s="182">
        <v>14.0</v>
      </c>
      <c r="O103" s="182">
        <v>86.0</v>
      </c>
      <c r="P103" s="189" t="s">
        <v>113</v>
      </c>
    </row>
    <row r="104">
      <c r="A104" s="182" t="s">
        <v>232</v>
      </c>
      <c r="B104" s="182" t="s">
        <v>227</v>
      </c>
      <c r="C104" s="182" t="s">
        <v>229</v>
      </c>
      <c r="D104" s="182">
        <v>7.0</v>
      </c>
      <c r="E104" s="182">
        <v>70.0</v>
      </c>
      <c r="F104" s="182">
        <v>7.0</v>
      </c>
      <c r="G104" s="182">
        <v>0.0</v>
      </c>
      <c r="H104" s="182">
        <v>100.0</v>
      </c>
      <c r="I104" s="182">
        <v>0.0</v>
      </c>
      <c r="J104" s="182">
        <v>5.0</v>
      </c>
      <c r="K104" s="182">
        <v>42.0</v>
      </c>
      <c r="L104" s="182">
        <v>1.0</v>
      </c>
      <c r="M104" s="182">
        <v>4.0</v>
      </c>
      <c r="N104" s="182">
        <v>20.0</v>
      </c>
      <c r="O104" s="182">
        <v>80.0</v>
      </c>
      <c r="P104" s="189" t="s">
        <v>113</v>
      </c>
    </row>
    <row r="105">
      <c r="A105" s="182" t="s">
        <v>232</v>
      </c>
      <c r="B105" s="182" t="s">
        <v>34</v>
      </c>
      <c r="C105" s="182" t="s">
        <v>228</v>
      </c>
      <c r="D105" s="182">
        <v>9.0</v>
      </c>
      <c r="E105" s="182">
        <v>64.0</v>
      </c>
      <c r="F105" s="182">
        <v>7.0</v>
      </c>
      <c r="G105" s="182">
        <v>2.0</v>
      </c>
      <c r="H105" s="182">
        <v>78.0</v>
      </c>
      <c r="I105" s="182">
        <v>22.0</v>
      </c>
      <c r="J105" s="182">
        <v>9.0</v>
      </c>
      <c r="K105" s="182">
        <v>75.0</v>
      </c>
      <c r="L105" s="182">
        <v>3.0</v>
      </c>
      <c r="M105" s="182">
        <v>6.0</v>
      </c>
      <c r="N105" s="182">
        <v>33.0</v>
      </c>
      <c r="O105" s="182">
        <v>67.0</v>
      </c>
      <c r="P105" s="189" t="s">
        <v>114</v>
      </c>
    </row>
    <row r="106">
      <c r="A106" s="182" t="s">
        <v>232</v>
      </c>
      <c r="B106" s="182" t="s">
        <v>34</v>
      </c>
      <c r="C106" s="182" t="s">
        <v>229</v>
      </c>
      <c r="D106" s="182">
        <v>5.0</v>
      </c>
      <c r="E106" s="182">
        <v>36.0</v>
      </c>
      <c r="F106" s="182">
        <v>4.0</v>
      </c>
      <c r="G106" s="182">
        <v>1.0</v>
      </c>
      <c r="H106" s="182">
        <v>80.0</v>
      </c>
      <c r="I106" s="182">
        <v>20.0</v>
      </c>
      <c r="J106" s="182">
        <v>3.0</v>
      </c>
      <c r="K106" s="182">
        <v>25.0</v>
      </c>
      <c r="L106" s="182">
        <v>0.0</v>
      </c>
      <c r="M106" s="182">
        <v>3.0</v>
      </c>
      <c r="N106" s="182">
        <v>0.0</v>
      </c>
      <c r="O106" s="182">
        <v>100.0</v>
      </c>
      <c r="P106" s="189" t="s">
        <v>114</v>
      </c>
    </row>
    <row r="107">
      <c r="A107" s="182" t="s">
        <v>232</v>
      </c>
      <c r="B107" s="182" t="s">
        <v>32</v>
      </c>
      <c r="C107" s="182" t="s">
        <v>228</v>
      </c>
      <c r="D107" s="182">
        <v>16.0</v>
      </c>
      <c r="E107" s="182">
        <v>52.0</v>
      </c>
      <c r="F107" s="182">
        <v>12.0</v>
      </c>
      <c r="G107" s="182">
        <v>4.0</v>
      </c>
      <c r="H107" s="182">
        <v>75.0</v>
      </c>
      <c r="I107" s="182">
        <v>25.0</v>
      </c>
      <c r="J107" s="182">
        <v>6.0</v>
      </c>
      <c r="K107" s="182">
        <v>29.0</v>
      </c>
      <c r="L107" s="182">
        <v>4.0</v>
      </c>
      <c r="M107" s="182">
        <v>2.0</v>
      </c>
      <c r="N107" s="182">
        <v>67.0</v>
      </c>
      <c r="O107" s="182">
        <v>33.0</v>
      </c>
      <c r="P107" s="189" t="s">
        <v>115</v>
      </c>
    </row>
    <row r="108">
      <c r="A108" s="182" t="s">
        <v>232</v>
      </c>
      <c r="B108" s="182" t="s">
        <v>32</v>
      </c>
      <c r="C108" s="182" t="s">
        <v>229</v>
      </c>
      <c r="D108" s="182">
        <v>0.0</v>
      </c>
      <c r="E108" s="182">
        <v>0.0</v>
      </c>
      <c r="F108" s="182">
        <v>0.0</v>
      </c>
      <c r="G108" s="182">
        <v>0.0</v>
      </c>
      <c r="H108" s="182">
        <v>0.0</v>
      </c>
      <c r="I108" s="182">
        <v>0.0</v>
      </c>
      <c r="J108" s="182">
        <v>6.0</v>
      </c>
      <c r="K108" s="182">
        <v>29.0</v>
      </c>
      <c r="L108" s="182">
        <v>2.0</v>
      </c>
      <c r="M108" s="182">
        <v>4.0</v>
      </c>
      <c r="N108" s="182">
        <v>33.0</v>
      </c>
      <c r="O108" s="182">
        <v>67.0</v>
      </c>
      <c r="P108" s="189" t="s">
        <v>115</v>
      </c>
    </row>
    <row r="109">
      <c r="A109" s="182" t="s">
        <v>232</v>
      </c>
      <c r="B109" s="182" t="s">
        <v>32</v>
      </c>
      <c r="C109" s="182" t="s">
        <v>231</v>
      </c>
      <c r="D109" s="182">
        <v>15.0</v>
      </c>
      <c r="E109" s="182">
        <v>48.0</v>
      </c>
      <c r="F109" s="182">
        <v>12.0</v>
      </c>
      <c r="G109" s="182">
        <v>3.0</v>
      </c>
      <c r="H109" s="182">
        <v>80.0</v>
      </c>
      <c r="I109" s="182">
        <v>20.0</v>
      </c>
      <c r="J109" s="182">
        <v>9.0</v>
      </c>
      <c r="K109" s="182">
        <v>43.0</v>
      </c>
      <c r="L109" s="182">
        <v>4.0</v>
      </c>
      <c r="M109" s="182">
        <v>5.0</v>
      </c>
      <c r="N109" s="182">
        <v>44.0</v>
      </c>
      <c r="O109" s="182">
        <v>56.0</v>
      </c>
      <c r="P109" s="189" t="s">
        <v>115</v>
      </c>
    </row>
    <row r="110">
      <c r="A110" s="182" t="s">
        <v>232</v>
      </c>
      <c r="B110" s="182" t="s">
        <v>36</v>
      </c>
      <c r="C110" s="182" t="s">
        <v>228</v>
      </c>
      <c r="D110" s="182">
        <v>10.0</v>
      </c>
      <c r="E110" s="182">
        <v>56.0</v>
      </c>
      <c r="F110" s="182">
        <v>10.0</v>
      </c>
      <c r="G110" s="182">
        <v>0.0</v>
      </c>
      <c r="H110" s="182">
        <v>100.0</v>
      </c>
      <c r="I110" s="182">
        <v>0.0</v>
      </c>
      <c r="J110" s="182">
        <v>4.0</v>
      </c>
      <c r="K110" s="182">
        <v>31.0</v>
      </c>
      <c r="L110" s="182">
        <v>3.0</v>
      </c>
      <c r="M110" s="182">
        <v>1.0</v>
      </c>
      <c r="N110" s="182">
        <v>75.0</v>
      </c>
      <c r="O110" s="182">
        <v>25.0</v>
      </c>
      <c r="P110" s="189" t="s">
        <v>116</v>
      </c>
    </row>
    <row r="111">
      <c r="A111" s="182" t="s">
        <v>232</v>
      </c>
      <c r="B111" s="182" t="s">
        <v>36</v>
      </c>
      <c r="C111" s="182" t="s">
        <v>229</v>
      </c>
      <c r="D111" s="182">
        <v>8.0</v>
      </c>
      <c r="E111" s="182">
        <v>44.0</v>
      </c>
      <c r="F111" s="182">
        <v>8.0</v>
      </c>
      <c r="G111" s="182">
        <v>0.0</v>
      </c>
      <c r="H111" s="182">
        <v>100.0</v>
      </c>
      <c r="I111" s="182">
        <v>0.0</v>
      </c>
      <c r="J111" s="182">
        <v>9.0</v>
      </c>
      <c r="K111" s="182">
        <v>69.0</v>
      </c>
      <c r="L111" s="182">
        <v>3.0</v>
      </c>
      <c r="M111" s="182">
        <v>6.0</v>
      </c>
      <c r="N111" s="182">
        <v>33.0</v>
      </c>
      <c r="O111" s="182">
        <v>67.0</v>
      </c>
      <c r="P111" s="189" t="s">
        <v>116</v>
      </c>
    </row>
    <row r="112">
      <c r="A112" s="182" t="s">
        <v>232</v>
      </c>
      <c r="B112" s="182" t="s">
        <v>40</v>
      </c>
      <c r="C112" s="182" t="s">
        <v>228</v>
      </c>
      <c r="D112" s="182">
        <v>1.0</v>
      </c>
      <c r="E112" s="182">
        <v>17.0</v>
      </c>
      <c r="F112" s="182">
        <v>1.0</v>
      </c>
      <c r="G112" s="182">
        <v>0.0</v>
      </c>
      <c r="H112" s="182">
        <v>100.0</v>
      </c>
      <c r="I112" s="182">
        <v>0.0</v>
      </c>
      <c r="J112" s="182">
        <v>2.0</v>
      </c>
      <c r="K112" s="182">
        <v>40.0</v>
      </c>
      <c r="L112" s="182">
        <v>1.0</v>
      </c>
      <c r="M112" s="182">
        <v>1.0</v>
      </c>
      <c r="N112" s="182">
        <v>50.0</v>
      </c>
      <c r="O112" s="182">
        <v>50.0</v>
      </c>
      <c r="P112" s="189" t="s">
        <v>117</v>
      </c>
    </row>
    <row r="113">
      <c r="A113" s="182" t="s">
        <v>232</v>
      </c>
      <c r="B113" s="182" t="s">
        <v>40</v>
      </c>
      <c r="C113" s="182" t="s">
        <v>229</v>
      </c>
      <c r="D113" s="182">
        <v>2.0</v>
      </c>
      <c r="E113" s="182">
        <v>33.0</v>
      </c>
      <c r="F113" s="182">
        <v>2.0</v>
      </c>
      <c r="G113" s="182">
        <v>0.0</v>
      </c>
      <c r="H113" s="182">
        <v>100.0</v>
      </c>
      <c r="I113" s="182">
        <v>0.0</v>
      </c>
      <c r="J113" s="182">
        <v>0.0</v>
      </c>
      <c r="K113" s="182">
        <v>0.0</v>
      </c>
      <c r="L113" s="182">
        <v>0.0</v>
      </c>
      <c r="M113" s="182">
        <v>0.0</v>
      </c>
      <c r="N113" s="182">
        <v>0.0</v>
      </c>
      <c r="O113" s="182">
        <v>0.0</v>
      </c>
      <c r="P113" s="189" t="s">
        <v>117</v>
      </c>
    </row>
    <row r="114">
      <c r="A114" s="182" t="s">
        <v>232</v>
      </c>
      <c r="B114" s="182" t="s">
        <v>40</v>
      </c>
      <c r="C114" s="182" t="s">
        <v>231</v>
      </c>
      <c r="D114" s="182">
        <v>3.0</v>
      </c>
      <c r="E114" s="182">
        <v>50.0</v>
      </c>
      <c r="F114" s="182">
        <v>3.0</v>
      </c>
      <c r="G114" s="182">
        <v>0.0</v>
      </c>
      <c r="H114" s="182">
        <v>100.0</v>
      </c>
      <c r="I114" s="182">
        <v>0.0</v>
      </c>
      <c r="J114" s="182">
        <v>3.0</v>
      </c>
      <c r="K114" s="182">
        <v>60.0</v>
      </c>
      <c r="L114" s="182">
        <v>1.0</v>
      </c>
      <c r="M114" s="182">
        <v>2.0</v>
      </c>
      <c r="N114" s="182">
        <v>33.0</v>
      </c>
      <c r="O114" s="182">
        <v>67.0</v>
      </c>
      <c r="P114" s="189" t="s">
        <v>117</v>
      </c>
    </row>
    <row r="115">
      <c r="A115" s="182" t="s">
        <v>232</v>
      </c>
      <c r="B115" s="182" t="s">
        <v>38</v>
      </c>
      <c r="C115" s="182" t="s">
        <v>228</v>
      </c>
      <c r="D115" s="182">
        <v>8.0</v>
      </c>
      <c r="E115" s="182">
        <v>40.0</v>
      </c>
      <c r="F115" s="182">
        <v>6.0</v>
      </c>
      <c r="G115" s="182">
        <v>2.0</v>
      </c>
      <c r="H115" s="182">
        <v>75.0</v>
      </c>
      <c r="I115" s="182">
        <v>25.0</v>
      </c>
      <c r="J115" s="182">
        <v>9.0</v>
      </c>
      <c r="K115" s="182">
        <v>56.0</v>
      </c>
      <c r="L115" s="182">
        <v>4.0</v>
      </c>
      <c r="M115" s="182">
        <v>5.0</v>
      </c>
      <c r="N115" s="182">
        <v>44.0</v>
      </c>
      <c r="O115" s="182">
        <v>56.0</v>
      </c>
      <c r="P115" s="189" t="s">
        <v>118</v>
      </c>
    </row>
    <row r="116">
      <c r="A116" s="182" t="s">
        <v>232</v>
      </c>
      <c r="B116" s="182" t="s">
        <v>38</v>
      </c>
      <c r="C116" s="182" t="s">
        <v>229</v>
      </c>
      <c r="D116" s="182">
        <v>12.0</v>
      </c>
      <c r="E116" s="182">
        <v>60.0</v>
      </c>
      <c r="F116" s="182">
        <v>10.0</v>
      </c>
      <c r="G116" s="182">
        <v>2.0</v>
      </c>
      <c r="H116" s="182">
        <v>83.0</v>
      </c>
      <c r="I116" s="182">
        <v>17.0</v>
      </c>
      <c r="J116" s="182">
        <v>7.0</v>
      </c>
      <c r="K116" s="182">
        <v>44.0</v>
      </c>
      <c r="L116" s="182">
        <v>1.0</v>
      </c>
      <c r="M116" s="182">
        <v>6.0</v>
      </c>
      <c r="N116" s="182">
        <v>14.0</v>
      </c>
      <c r="O116" s="182">
        <v>86.0</v>
      </c>
      <c r="P116" s="189" t="s">
        <v>118</v>
      </c>
    </row>
    <row r="117">
      <c r="A117" s="182" t="s">
        <v>187</v>
      </c>
      <c r="B117" s="182" t="s">
        <v>227</v>
      </c>
      <c r="C117" s="182" t="s">
        <v>228</v>
      </c>
      <c r="D117" s="182">
        <v>15.0</v>
      </c>
      <c r="E117" s="182">
        <v>68.0</v>
      </c>
      <c r="F117" s="182">
        <v>10.0</v>
      </c>
      <c r="G117" s="182">
        <v>5.0</v>
      </c>
      <c r="H117" s="182">
        <v>67.0</v>
      </c>
      <c r="I117" s="182">
        <v>33.0</v>
      </c>
      <c r="J117" s="182">
        <v>14.0</v>
      </c>
      <c r="K117" s="182">
        <v>50.0</v>
      </c>
      <c r="L117" s="182">
        <v>6.0</v>
      </c>
      <c r="M117" s="182">
        <v>8.0</v>
      </c>
      <c r="N117" s="182">
        <v>43.0</v>
      </c>
      <c r="O117" s="182">
        <v>57.0</v>
      </c>
      <c r="P117" s="189" t="s">
        <v>119</v>
      </c>
    </row>
    <row r="118">
      <c r="A118" s="182" t="s">
        <v>187</v>
      </c>
      <c r="B118" s="182" t="s">
        <v>227</v>
      </c>
      <c r="C118" s="182" t="s">
        <v>229</v>
      </c>
      <c r="D118" s="182">
        <v>7.0</v>
      </c>
      <c r="E118" s="182">
        <v>32.0</v>
      </c>
      <c r="F118" s="182">
        <v>5.0</v>
      </c>
      <c r="G118" s="182">
        <v>2.0</v>
      </c>
      <c r="H118" s="182">
        <v>71.0</v>
      </c>
      <c r="I118" s="182">
        <v>29.0</v>
      </c>
      <c r="J118" s="182">
        <v>14.0</v>
      </c>
      <c r="K118" s="182">
        <v>50.0</v>
      </c>
      <c r="L118" s="182">
        <v>4.0</v>
      </c>
      <c r="M118" s="182">
        <v>10.0</v>
      </c>
      <c r="N118" s="182">
        <v>29.0</v>
      </c>
      <c r="O118" s="182">
        <v>71.0</v>
      </c>
      <c r="P118" s="189" t="s">
        <v>119</v>
      </c>
    </row>
    <row r="119">
      <c r="A119" s="182" t="s">
        <v>187</v>
      </c>
      <c r="B119" s="182" t="s">
        <v>34</v>
      </c>
      <c r="C119" s="182" t="s">
        <v>228</v>
      </c>
      <c r="D119" s="182">
        <v>21.0</v>
      </c>
      <c r="E119" s="182">
        <v>60.0</v>
      </c>
      <c r="F119" s="182">
        <v>17.0</v>
      </c>
      <c r="G119" s="182">
        <v>4.0</v>
      </c>
      <c r="H119" s="182">
        <v>81.0</v>
      </c>
      <c r="I119" s="182">
        <v>19.0</v>
      </c>
      <c r="J119" s="182">
        <v>12.0</v>
      </c>
      <c r="K119" s="182">
        <v>48.0</v>
      </c>
      <c r="L119" s="182">
        <v>3.0</v>
      </c>
      <c r="M119" s="182">
        <v>9.0</v>
      </c>
      <c r="N119" s="182">
        <v>25.0</v>
      </c>
      <c r="O119" s="182">
        <v>75.0</v>
      </c>
      <c r="P119" s="189" t="s">
        <v>120</v>
      </c>
    </row>
    <row r="120">
      <c r="A120" s="182" t="s">
        <v>187</v>
      </c>
      <c r="B120" s="182" t="s">
        <v>34</v>
      </c>
      <c r="C120" s="182" t="s">
        <v>229</v>
      </c>
      <c r="D120" s="182">
        <v>14.0</v>
      </c>
      <c r="E120" s="182">
        <v>40.0</v>
      </c>
      <c r="F120" s="182">
        <v>10.0</v>
      </c>
      <c r="G120" s="182">
        <v>4.0</v>
      </c>
      <c r="H120" s="182">
        <v>71.0</v>
      </c>
      <c r="I120" s="182">
        <v>29.0</v>
      </c>
      <c r="J120" s="182">
        <v>13.0</v>
      </c>
      <c r="K120" s="182">
        <v>52.0</v>
      </c>
      <c r="L120" s="182">
        <v>5.0</v>
      </c>
      <c r="M120" s="182">
        <v>8.0</v>
      </c>
      <c r="N120" s="182">
        <v>38.0</v>
      </c>
      <c r="O120" s="182">
        <v>62.0</v>
      </c>
      <c r="P120" s="189" t="s">
        <v>120</v>
      </c>
    </row>
    <row r="121">
      <c r="A121" s="182" t="s">
        <v>187</v>
      </c>
      <c r="B121" s="182" t="s">
        <v>42</v>
      </c>
      <c r="C121" s="182" t="s">
        <v>228</v>
      </c>
      <c r="D121" s="182">
        <v>11.0</v>
      </c>
      <c r="E121" s="182">
        <v>50.0</v>
      </c>
      <c r="F121" s="182">
        <v>9.0</v>
      </c>
      <c r="G121" s="182">
        <v>2.0</v>
      </c>
      <c r="H121" s="182">
        <v>82.0</v>
      </c>
      <c r="I121" s="182">
        <v>18.0</v>
      </c>
      <c r="J121" s="182">
        <v>8.0</v>
      </c>
      <c r="K121" s="182">
        <v>35.0</v>
      </c>
      <c r="L121" s="182">
        <v>2.0</v>
      </c>
      <c r="M121" s="182">
        <v>6.0</v>
      </c>
      <c r="N121" s="182">
        <v>25.0</v>
      </c>
      <c r="O121" s="182">
        <v>75.0</v>
      </c>
      <c r="P121" s="189" t="s">
        <v>121</v>
      </c>
    </row>
    <row r="122">
      <c r="A122" s="182" t="s">
        <v>187</v>
      </c>
      <c r="B122" s="182" t="s">
        <v>42</v>
      </c>
      <c r="C122" s="182" t="s">
        <v>229</v>
      </c>
      <c r="D122" s="182">
        <v>11.0</v>
      </c>
      <c r="E122" s="182">
        <v>50.0</v>
      </c>
      <c r="F122" s="182">
        <v>10.0</v>
      </c>
      <c r="G122" s="182">
        <v>1.0</v>
      </c>
      <c r="H122" s="182">
        <v>91.0</v>
      </c>
      <c r="I122" s="182">
        <v>9.0</v>
      </c>
      <c r="J122" s="182">
        <v>15.0</v>
      </c>
      <c r="K122" s="182">
        <v>65.0</v>
      </c>
      <c r="L122" s="182">
        <v>10.0</v>
      </c>
      <c r="M122" s="182">
        <v>5.0</v>
      </c>
      <c r="N122" s="182">
        <v>67.0</v>
      </c>
      <c r="O122" s="182">
        <v>33.0</v>
      </c>
      <c r="P122" s="189" t="s">
        <v>121</v>
      </c>
    </row>
    <row r="123">
      <c r="A123" s="182" t="s">
        <v>187</v>
      </c>
      <c r="B123" s="182" t="s">
        <v>32</v>
      </c>
      <c r="C123" s="182" t="s">
        <v>228</v>
      </c>
      <c r="D123" s="182">
        <v>5.0</v>
      </c>
      <c r="E123" s="182">
        <v>50.0</v>
      </c>
      <c r="F123" s="182">
        <v>5.0</v>
      </c>
      <c r="G123" s="182">
        <v>0.0</v>
      </c>
      <c r="H123" s="182">
        <v>100.0</v>
      </c>
      <c r="I123" s="182">
        <v>0.0</v>
      </c>
      <c r="J123" s="182">
        <v>4.0</v>
      </c>
      <c r="K123" s="182">
        <v>36.0</v>
      </c>
      <c r="L123" s="182">
        <v>0.0</v>
      </c>
      <c r="M123" s="182">
        <v>4.0</v>
      </c>
      <c r="N123" s="182">
        <v>0.0</v>
      </c>
      <c r="O123" s="182">
        <v>100.0</v>
      </c>
      <c r="P123" s="189" t="s">
        <v>122</v>
      </c>
    </row>
    <row r="124">
      <c r="A124" s="182" t="s">
        <v>187</v>
      </c>
      <c r="B124" s="182" t="s">
        <v>32</v>
      </c>
      <c r="C124" s="182" t="s">
        <v>229</v>
      </c>
      <c r="D124" s="182">
        <v>1.0</v>
      </c>
      <c r="E124" s="182">
        <v>10.0</v>
      </c>
      <c r="F124" s="182">
        <v>0.0</v>
      </c>
      <c r="G124" s="182">
        <v>1.0</v>
      </c>
      <c r="H124" s="182">
        <v>0.0</v>
      </c>
      <c r="I124" s="182">
        <v>100.0</v>
      </c>
      <c r="J124" s="182">
        <v>2.0</v>
      </c>
      <c r="K124" s="182">
        <v>18.0</v>
      </c>
      <c r="L124" s="182">
        <v>0.0</v>
      </c>
      <c r="M124" s="182">
        <v>2.0</v>
      </c>
      <c r="N124" s="182">
        <v>0.0</v>
      </c>
      <c r="O124" s="182">
        <v>100.0</v>
      </c>
      <c r="P124" s="189" t="s">
        <v>122</v>
      </c>
    </row>
    <row r="125">
      <c r="A125" s="182" t="s">
        <v>187</v>
      </c>
      <c r="B125" s="182" t="s">
        <v>32</v>
      </c>
      <c r="C125" s="182" t="s">
        <v>231</v>
      </c>
      <c r="D125" s="182">
        <v>4.0</v>
      </c>
      <c r="E125" s="182">
        <v>40.0</v>
      </c>
      <c r="F125" s="182">
        <v>4.0</v>
      </c>
      <c r="G125" s="182">
        <v>0.0</v>
      </c>
      <c r="H125" s="182">
        <v>100.0</v>
      </c>
      <c r="I125" s="182">
        <v>0.0</v>
      </c>
      <c r="J125" s="182">
        <v>5.0</v>
      </c>
      <c r="K125" s="182">
        <v>45.0</v>
      </c>
      <c r="L125" s="182">
        <v>0.0</v>
      </c>
      <c r="M125" s="182">
        <v>5.0</v>
      </c>
      <c r="N125" s="182">
        <v>0.0</v>
      </c>
      <c r="O125" s="182">
        <v>100.0</v>
      </c>
      <c r="P125" s="189" t="s">
        <v>122</v>
      </c>
    </row>
    <row r="126">
      <c r="A126" s="182" t="s">
        <v>187</v>
      </c>
      <c r="B126" s="182" t="s">
        <v>40</v>
      </c>
      <c r="C126" s="182" t="s">
        <v>228</v>
      </c>
      <c r="D126" s="182">
        <v>18.0</v>
      </c>
      <c r="E126" s="182">
        <v>32.0</v>
      </c>
      <c r="F126" s="182">
        <v>11.0</v>
      </c>
      <c r="G126" s="182">
        <v>7.0</v>
      </c>
      <c r="H126" s="182">
        <v>61.0</v>
      </c>
      <c r="I126" s="182">
        <v>39.0</v>
      </c>
      <c r="J126" s="182">
        <v>27.0</v>
      </c>
      <c r="K126" s="182">
        <v>44.0</v>
      </c>
      <c r="L126" s="182">
        <v>13.0</v>
      </c>
      <c r="M126" s="182">
        <v>14.0</v>
      </c>
      <c r="N126" s="182">
        <v>48.0</v>
      </c>
      <c r="O126" s="182">
        <v>52.0</v>
      </c>
      <c r="P126" s="189" t="s">
        <v>123</v>
      </c>
    </row>
    <row r="127">
      <c r="A127" s="182" t="s">
        <v>187</v>
      </c>
      <c r="B127" s="182" t="s">
        <v>40</v>
      </c>
      <c r="C127" s="182" t="s">
        <v>229</v>
      </c>
      <c r="D127" s="182">
        <v>13.0</v>
      </c>
      <c r="E127" s="182">
        <v>23.0</v>
      </c>
      <c r="F127" s="182">
        <v>7.0</v>
      </c>
      <c r="G127" s="182">
        <v>6.0</v>
      </c>
      <c r="H127" s="182">
        <v>54.0</v>
      </c>
      <c r="I127" s="182">
        <v>46.0</v>
      </c>
      <c r="J127" s="182">
        <v>12.0</v>
      </c>
      <c r="K127" s="182">
        <v>19.0</v>
      </c>
      <c r="L127" s="182">
        <v>5.0</v>
      </c>
      <c r="M127" s="182">
        <v>7.0</v>
      </c>
      <c r="N127" s="182">
        <v>42.0</v>
      </c>
      <c r="O127" s="182">
        <v>58.0</v>
      </c>
      <c r="P127" s="189" t="s">
        <v>123</v>
      </c>
    </row>
    <row r="128">
      <c r="A128" s="182" t="s">
        <v>187</v>
      </c>
      <c r="B128" s="182" t="s">
        <v>40</v>
      </c>
      <c r="C128" s="182" t="s">
        <v>231</v>
      </c>
      <c r="D128" s="182">
        <v>25.0</v>
      </c>
      <c r="E128" s="182">
        <v>45.0</v>
      </c>
      <c r="F128" s="182">
        <v>20.0</v>
      </c>
      <c r="G128" s="182">
        <v>5.0</v>
      </c>
      <c r="H128" s="182">
        <v>80.0</v>
      </c>
      <c r="I128" s="182">
        <v>20.0</v>
      </c>
      <c r="J128" s="182">
        <v>23.0</v>
      </c>
      <c r="K128" s="182">
        <v>37.0</v>
      </c>
      <c r="L128" s="182">
        <v>9.0</v>
      </c>
      <c r="M128" s="182">
        <v>14.0</v>
      </c>
      <c r="N128" s="182">
        <v>39.0</v>
      </c>
      <c r="O128" s="182">
        <v>61.0</v>
      </c>
      <c r="P128" s="189" t="s">
        <v>123</v>
      </c>
    </row>
    <row r="129">
      <c r="A129" s="182" t="s">
        <v>187</v>
      </c>
      <c r="B129" s="182" t="s">
        <v>45</v>
      </c>
      <c r="C129" s="182" t="s">
        <v>228</v>
      </c>
      <c r="D129" s="182">
        <v>8.0</v>
      </c>
      <c r="E129" s="182">
        <v>50.0</v>
      </c>
      <c r="F129" s="182">
        <v>7.0</v>
      </c>
      <c r="G129" s="182">
        <v>1.0</v>
      </c>
      <c r="H129" s="182">
        <v>88.0</v>
      </c>
      <c r="I129" s="182">
        <v>13.0</v>
      </c>
      <c r="J129" s="182">
        <v>8.0</v>
      </c>
      <c r="K129" s="182">
        <v>53.0</v>
      </c>
      <c r="L129" s="182">
        <v>2.0</v>
      </c>
      <c r="M129" s="182">
        <v>6.0</v>
      </c>
      <c r="N129" s="182">
        <v>25.0</v>
      </c>
      <c r="O129" s="182">
        <v>75.0</v>
      </c>
      <c r="P129" s="189" t="s">
        <v>124</v>
      </c>
    </row>
    <row r="130">
      <c r="A130" s="182" t="s">
        <v>187</v>
      </c>
      <c r="B130" s="182" t="s">
        <v>45</v>
      </c>
      <c r="C130" s="182" t="s">
        <v>229</v>
      </c>
      <c r="D130" s="182">
        <v>8.0</v>
      </c>
      <c r="E130" s="182">
        <v>50.0</v>
      </c>
      <c r="F130" s="182">
        <v>6.0</v>
      </c>
      <c r="G130" s="182">
        <v>2.0</v>
      </c>
      <c r="H130" s="182">
        <v>75.0</v>
      </c>
      <c r="I130" s="182">
        <v>25.0</v>
      </c>
      <c r="J130" s="182">
        <v>7.0</v>
      </c>
      <c r="K130" s="182">
        <v>47.0</v>
      </c>
      <c r="L130" s="182">
        <v>1.0</v>
      </c>
      <c r="M130" s="182">
        <v>6.0</v>
      </c>
      <c r="N130" s="182">
        <v>14.0</v>
      </c>
      <c r="O130" s="182">
        <v>86.0</v>
      </c>
      <c r="P130" s="189" t="s">
        <v>124</v>
      </c>
    </row>
    <row r="131">
      <c r="A131" s="182" t="s">
        <v>187</v>
      </c>
      <c r="B131" s="182" t="s">
        <v>38</v>
      </c>
      <c r="C131" s="182" t="s">
        <v>228</v>
      </c>
      <c r="D131" s="182">
        <v>7.0</v>
      </c>
      <c r="E131" s="182">
        <v>70.0</v>
      </c>
      <c r="F131" s="182">
        <v>4.0</v>
      </c>
      <c r="G131" s="182">
        <v>3.0</v>
      </c>
      <c r="H131" s="182">
        <v>57.0</v>
      </c>
      <c r="I131" s="182">
        <v>43.0</v>
      </c>
      <c r="J131" s="182">
        <v>5.0</v>
      </c>
      <c r="K131" s="182">
        <v>29.0</v>
      </c>
      <c r="L131" s="182">
        <v>3.0</v>
      </c>
      <c r="M131" s="182">
        <v>2.0</v>
      </c>
      <c r="N131" s="182">
        <v>60.0</v>
      </c>
      <c r="O131" s="182">
        <v>40.0</v>
      </c>
      <c r="P131" s="189" t="s">
        <v>125</v>
      </c>
    </row>
    <row r="132">
      <c r="A132" s="182" t="s">
        <v>187</v>
      </c>
      <c r="B132" s="182" t="s">
        <v>38</v>
      </c>
      <c r="C132" s="182" t="s">
        <v>229</v>
      </c>
      <c r="D132" s="182">
        <v>3.0</v>
      </c>
      <c r="E132" s="182">
        <v>30.0</v>
      </c>
      <c r="F132" s="182">
        <v>2.0</v>
      </c>
      <c r="G132" s="182">
        <v>1.0</v>
      </c>
      <c r="H132" s="182">
        <v>67.0</v>
      </c>
      <c r="I132" s="182">
        <v>33.0</v>
      </c>
      <c r="J132" s="182">
        <v>12.0</v>
      </c>
      <c r="K132" s="182">
        <v>71.0</v>
      </c>
      <c r="L132" s="182">
        <v>8.0</v>
      </c>
      <c r="M132" s="182">
        <v>4.0</v>
      </c>
      <c r="N132" s="182">
        <v>67.0</v>
      </c>
      <c r="O132" s="182">
        <v>33.0</v>
      </c>
      <c r="P132" s="189" t="s">
        <v>125</v>
      </c>
    </row>
    <row r="133">
      <c r="A133" s="182" t="s">
        <v>189</v>
      </c>
      <c r="B133" s="182" t="s">
        <v>227</v>
      </c>
      <c r="C133" s="182" t="s">
        <v>228</v>
      </c>
      <c r="D133" s="182">
        <v>15.0</v>
      </c>
      <c r="E133" s="182">
        <v>58.0</v>
      </c>
      <c r="F133" s="182">
        <v>12.0</v>
      </c>
      <c r="G133" s="182">
        <v>3.0</v>
      </c>
      <c r="H133" s="182">
        <v>80.0</v>
      </c>
      <c r="I133" s="182">
        <v>20.0</v>
      </c>
      <c r="J133" s="182">
        <v>14.0</v>
      </c>
      <c r="K133" s="182">
        <v>74.0</v>
      </c>
      <c r="L133" s="182">
        <v>3.0</v>
      </c>
      <c r="M133" s="182">
        <v>11.0</v>
      </c>
      <c r="N133" s="182">
        <v>21.0</v>
      </c>
      <c r="O133" s="182">
        <v>79.0</v>
      </c>
      <c r="P133" s="189" t="s">
        <v>126</v>
      </c>
    </row>
    <row r="134">
      <c r="A134" s="182" t="s">
        <v>189</v>
      </c>
      <c r="B134" s="182" t="s">
        <v>227</v>
      </c>
      <c r="C134" s="182" t="s">
        <v>229</v>
      </c>
      <c r="D134" s="182">
        <v>11.0</v>
      </c>
      <c r="E134" s="182">
        <v>42.0</v>
      </c>
      <c r="F134" s="182">
        <v>9.0</v>
      </c>
      <c r="G134" s="182">
        <v>2.0</v>
      </c>
      <c r="H134" s="182">
        <v>82.0</v>
      </c>
      <c r="I134" s="182">
        <v>18.0</v>
      </c>
      <c r="J134" s="182">
        <v>5.0</v>
      </c>
      <c r="K134" s="182">
        <v>26.0</v>
      </c>
      <c r="L134" s="182">
        <v>0.0</v>
      </c>
      <c r="M134" s="182">
        <v>5.0</v>
      </c>
      <c r="N134" s="182">
        <v>0.0</v>
      </c>
      <c r="O134" s="182">
        <v>100.0</v>
      </c>
      <c r="P134" s="189" t="s">
        <v>126</v>
      </c>
    </row>
    <row r="135">
      <c r="A135" s="182" t="s">
        <v>189</v>
      </c>
      <c r="B135" s="182" t="s">
        <v>42</v>
      </c>
      <c r="C135" s="182" t="s">
        <v>228</v>
      </c>
      <c r="D135" s="182">
        <v>2.0</v>
      </c>
      <c r="E135" s="182">
        <v>33.0</v>
      </c>
      <c r="F135" s="182">
        <v>1.0</v>
      </c>
      <c r="G135" s="182">
        <v>1.0</v>
      </c>
      <c r="H135" s="182">
        <v>50.0</v>
      </c>
      <c r="I135" s="182">
        <v>50.0</v>
      </c>
      <c r="J135" s="182">
        <v>8.0</v>
      </c>
      <c r="K135" s="182">
        <v>53.0</v>
      </c>
      <c r="L135" s="182">
        <v>2.0</v>
      </c>
      <c r="M135" s="182">
        <v>6.0</v>
      </c>
      <c r="N135" s="182">
        <v>25.0</v>
      </c>
      <c r="O135" s="182">
        <v>75.0</v>
      </c>
      <c r="P135" s="189" t="s">
        <v>127</v>
      </c>
    </row>
    <row r="136">
      <c r="A136" s="182" t="s">
        <v>189</v>
      </c>
      <c r="B136" s="182" t="s">
        <v>42</v>
      </c>
      <c r="C136" s="182" t="s">
        <v>229</v>
      </c>
      <c r="D136" s="182">
        <v>4.0</v>
      </c>
      <c r="E136" s="182">
        <v>67.0</v>
      </c>
      <c r="F136" s="182">
        <v>3.0</v>
      </c>
      <c r="G136" s="182">
        <v>1.0</v>
      </c>
      <c r="H136" s="182">
        <v>75.0</v>
      </c>
      <c r="I136" s="182">
        <v>25.0</v>
      </c>
      <c r="J136" s="182">
        <v>7.0</v>
      </c>
      <c r="K136" s="182">
        <v>47.0</v>
      </c>
      <c r="L136" s="182">
        <v>3.0</v>
      </c>
      <c r="M136" s="182">
        <v>4.0</v>
      </c>
      <c r="N136" s="182">
        <v>43.0</v>
      </c>
      <c r="O136" s="182">
        <v>57.0</v>
      </c>
      <c r="P136" s="189" t="s">
        <v>127</v>
      </c>
    </row>
    <row r="137">
      <c r="A137" s="182" t="s">
        <v>189</v>
      </c>
      <c r="B137" s="182" t="s">
        <v>32</v>
      </c>
      <c r="C137" s="182" t="s">
        <v>228</v>
      </c>
      <c r="D137" s="182">
        <v>10.0</v>
      </c>
      <c r="E137" s="182">
        <v>29.0</v>
      </c>
      <c r="F137" s="182">
        <v>6.0</v>
      </c>
      <c r="G137" s="182">
        <v>4.0</v>
      </c>
      <c r="H137" s="182">
        <v>60.0</v>
      </c>
      <c r="I137" s="182">
        <v>40.0</v>
      </c>
      <c r="J137" s="182">
        <v>12.0</v>
      </c>
      <c r="K137" s="182">
        <v>50.0</v>
      </c>
      <c r="L137" s="182">
        <v>4.0</v>
      </c>
      <c r="M137" s="182">
        <v>8.0</v>
      </c>
      <c r="N137" s="182">
        <v>33.0</v>
      </c>
      <c r="O137" s="182">
        <v>67.0</v>
      </c>
      <c r="P137" s="189" t="s">
        <v>128</v>
      </c>
    </row>
    <row r="138">
      <c r="A138" s="182" t="s">
        <v>189</v>
      </c>
      <c r="B138" s="182" t="s">
        <v>32</v>
      </c>
      <c r="C138" s="182" t="s">
        <v>229</v>
      </c>
      <c r="D138" s="182">
        <v>11.0</v>
      </c>
      <c r="E138" s="182">
        <v>32.0</v>
      </c>
      <c r="F138" s="182">
        <v>8.0</v>
      </c>
      <c r="G138" s="182">
        <v>3.0</v>
      </c>
      <c r="H138" s="182">
        <v>73.0</v>
      </c>
      <c r="I138" s="182">
        <v>27.0</v>
      </c>
      <c r="J138" s="182">
        <v>2.0</v>
      </c>
      <c r="K138" s="182">
        <v>8.0</v>
      </c>
      <c r="L138" s="182">
        <v>2.0</v>
      </c>
      <c r="M138" s="182">
        <v>0.0</v>
      </c>
      <c r="N138" s="182">
        <v>100.0</v>
      </c>
      <c r="O138" s="182">
        <v>0.0</v>
      </c>
      <c r="P138" s="189" t="s">
        <v>128</v>
      </c>
    </row>
    <row r="139">
      <c r="A139" s="182" t="s">
        <v>189</v>
      </c>
      <c r="B139" s="182" t="s">
        <v>32</v>
      </c>
      <c r="C139" s="182" t="s">
        <v>231</v>
      </c>
      <c r="D139" s="182">
        <v>13.0</v>
      </c>
      <c r="E139" s="182">
        <v>38.0</v>
      </c>
      <c r="F139" s="182">
        <v>8.0</v>
      </c>
      <c r="G139" s="182">
        <v>5.0</v>
      </c>
      <c r="H139" s="182">
        <v>62.0</v>
      </c>
      <c r="I139" s="182">
        <v>38.0</v>
      </c>
      <c r="J139" s="182">
        <v>10.0</v>
      </c>
      <c r="K139" s="182">
        <v>42.0</v>
      </c>
      <c r="L139" s="182">
        <v>3.0</v>
      </c>
      <c r="M139" s="182">
        <v>7.0</v>
      </c>
      <c r="N139" s="182">
        <v>30.0</v>
      </c>
      <c r="O139" s="182">
        <v>70.0</v>
      </c>
      <c r="P139" s="189" t="s">
        <v>128</v>
      </c>
    </row>
    <row r="140">
      <c r="A140" s="182" t="s">
        <v>189</v>
      </c>
      <c r="B140" s="182" t="s">
        <v>36</v>
      </c>
      <c r="C140" s="182" t="s">
        <v>228</v>
      </c>
      <c r="D140" s="182">
        <v>14.0</v>
      </c>
      <c r="E140" s="182">
        <v>42.0</v>
      </c>
      <c r="F140" s="182">
        <v>8.0</v>
      </c>
      <c r="G140" s="182">
        <v>6.0</v>
      </c>
      <c r="H140" s="182">
        <v>57.0</v>
      </c>
      <c r="I140" s="182">
        <v>43.0</v>
      </c>
      <c r="J140" s="182">
        <v>20.0</v>
      </c>
      <c r="K140" s="182">
        <v>45.0</v>
      </c>
      <c r="L140" s="182">
        <v>7.0</v>
      </c>
      <c r="M140" s="182">
        <v>13.0</v>
      </c>
      <c r="N140" s="182">
        <v>35.0</v>
      </c>
      <c r="O140" s="182">
        <v>65.0</v>
      </c>
      <c r="P140" s="189" t="s">
        <v>129</v>
      </c>
    </row>
    <row r="141">
      <c r="A141" s="182" t="s">
        <v>189</v>
      </c>
      <c r="B141" s="182" t="s">
        <v>36</v>
      </c>
      <c r="C141" s="182" t="s">
        <v>229</v>
      </c>
      <c r="D141" s="182">
        <v>19.0</v>
      </c>
      <c r="E141" s="182">
        <v>58.0</v>
      </c>
      <c r="F141" s="182">
        <v>13.0</v>
      </c>
      <c r="G141" s="182">
        <v>6.0</v>
      </c>
      <c r="H141" s="182">
        <v>68.0</v>
      </c>
      <c r="I141" s="182">
        <v>32.0</v>
      </c>
      <c r="J141" s="182">
        <v>24.0</v>
      </c>
      <c r="K141" s="182">
        <v>55.0</v>
      </c>
      <c r="L141" s="182">
        <v>6.0</v>
      </c>
      <c r="M141" s="182">
        <v>18.0</v>
      </c>
      <c r="N141" s="182">
        <v>25.0</v>
      </c>
      <c r="O141" s="182">
        <v>75.0</v>
      </c>
      <c r="P141" s="189" t="s">
        <v>129</v>
      </c>
    </row>
    <row r="142">
      <c r="A142" s="182" t="s">
        <v>189</v>
      </c>
      <c r="B142" s="182" t="s">
        <v>40</v>
      </c>
      <c r="C142" s="182" t="s">
        <v>228</v>
      </c>
      <c r="D142" s="182">
        <v>18.0</v>
      </c>
      <c r="E142" s="182">
        <v>36.0</v>
      </c>
      <c r="F142" s="182">
        <v>14.0</v>
      </c>
      <c r="G142" s="182">
        <v>4.0</v>
      </c>
      <c r="H142" s="182">
        <v>78.0</v>
      </c>
      <c r="I142" s="182">
        <v>22.0</v>
      </c>
      <c r="J142" s="182">
        <v>6.0</v>
      </c>
      <c r="K142" s="182">
        <v>38.0</v>
      </c>
      <c r="L142" s="182">
        <v>3.0</v>
      </c>
      <c r="M142" s="182">
        <v>3.0</v>
      </c>
      <c r="N142" s="182">
        <v>50.0</v>
      </c>
      <c r="O142" s="182">
        <v>50.0</v>
      </c>
      <c r="P142" s="189" t="s">
        <v>130</v>
      </c>
    </row>
    <row r="143">
      <c r="A143" s="182" t="s">
        <v>189</v>
      </c>
      <c r="B143" s="182" t="s">
        <v>40</v>
      </c>
      <c r="C143" s="182" t="s">
        <v>229</v>
      </c>
      <c r="D143" s="182">
        <v>10.0</v>
      </c>
      <c r="E143" s="182">
        <v>20.0</v>
      </c>
      <c r="F143" s="182">
        <v>5.0</v>
      </c>
      <c r="G143" s="182">
        <v>5.0</v>
      </c>
      <c r="H143" s="182">
        <v>50.0</v>
      </c>
      <c r="I143" s="182">
        <v>50.0</v>
      </c>
      <c r="J143" s="182">
        <v>3.0</v>
      </c>
      <c r="K143" s="182">
        <v>19.0</v>
      </c>
      <c r="L143" s="182">
        <v>0.0</v>
      </c>
      <c r="M143" s="182">
        <v>3.0</v>
      </c>
      <c r="N143" s="182">
        <v>0.0</v>
      </c>
      <c r="O143" s="182">
        <v>100.0</v>
      </c>
      <c r="P143" s="189" t="s">
        <v>130</v>
      </c>
    </row>
    <row r="144">
      <c r="A144" s="182" t="s">
        <v>189</v>
      </c>
      <c r="B144" s="182" t="s">
        <v>40</v>
      </c>
      <c r="C144" s="182" t="s">
        <v>231</v>
      </c>
      <c r="D144" s="182">
        <v>22.0</v>
      </c>
      <c r="E144" s="182">
        <v>44.0</v>
      </c>
      <c r="F144" s="182">
        <v>14.0</v>
      </c>
      <c r="G144" s="182">
        <v>8.0</v>
      </c>
      <c r="H144" s="182">
        <v>64.0</v>
      </c>
      <c r="I144" s="182">
        <v>36.0</v>
      </c>
      <c r="J144" s="182">
        <v>7.0</v>
      </c>
      <c r="K144" s="182">
        <v>44.0</v>
      </c>
      <c r="L144" s="182">
        <v>3.0</v>
      </c>
      <c r="M144" s="182">
        <v>4.0</v>
      </c>
      <c r="N144" s="182">
        <v>43.0</v>
      </c>
      <c r="O144" s="182">
        <v>57.0</v>
      </c>
      <c r="P144" s="189" t="s">
        <v>130</v>
      </c>
    </row>
    <row r="145">
      <c r="A145" s="182" t="s">
        <v>189</v>
      </c>
      <c r="B145" s="182" t="s">
        <v>45</v>
      </c>
      <c r="C145" s="182" t="s">
        <v>228</v>
      </c>
      <c r="D145" s="182">
        <v>4.0</v>
      </c>
      <c r="E145" s="182">
        <v>44.0</v>
      </c>
      <c r="F145" s="182">
        <v>4.0</v>
      </c>
      <c r="G145" s="182">
        <v>0.0</v>
      </c>
      <c r="H145" s="182">
        <v>100.0</v>
      </c>
      <c r="I145" s="182">
        <v>0.0</v>
      </c>
      <c r="J145" s="182">
        <v>2.0</v>
      </c>
      <c r="K145" s="182">
        <v>33.0</v>
      </c>
      <c r="L145" s="182">
        <v>1.0</v>
      </c>
      <c r="M145" s="182">
        <v>1.0</v>
      </c>
      <c r="N145" s="182">
        <v>50.0</v>
      </c>
      <c r="O145" s="182">
        <v>50.0</v>
      </c>
      <c r="P145" s="189" t="s">
        <v>131</v>
      </c>
    </row>
    <row r="146">
      <c r="A146" s="182" t="s">
        <v>189</v>
      </c>
      <c r="B146" s="182" t="s">
        <v>45</v>
      </c>
      <c r="C146" s="182" t="s">
        <v>229</v>
      </c>
      <c r="D146" s="182">
        <v>5.0</v>
      </c>
      <c r="E146" s="182">
        <v>56.0</v>
      </c>
      <c r="F146" s="182">
        <v>4.0</v>
      </c>
      <c r="G146" s="182">
        <v>1.0</v>
      </c>
      <c r="H146" s="182">
        <v>80.0</v>
      </c>
      <c r="I146" s="182">
        <v>20.0</v>
      </c>
      <c r="J146" s="182">
        <v>4.0</v>
      </c>
      <c r="K146" s="182">
        <v>67.0</v>
      </c>
      <c r="L146" s="182">
        <v>1.0</v>
      </c>
      <c r="M146" s="182">
        <v>3.0</v>
      </c>
      <c r="N146" s="182">
        <v>25.0</v>
      </c>
      <c r="O146" s="182">
        <v>75.0</v>
      </c>
      <c r="P146" s="189" t="s">
        <v>131</v>
      </c>
    </row>
    <row r="147">
      <c r="A147" s="182" t="s">
        <v>189</v>
      </c>
      <c r="B147" s="182" t="s">
        <v>38</v>
      </c>
      <c r="C147" s="182" t="s">
        <v>228</v>
      </c>
      <c r="D147" s="182">
        <v>3.0</v>
      </c>
      <c r="E147" s="182">
        <v>43.0</v>
      </c>
      <c r="F147" s="182">
        <v>0.0</v>
      </c>
      <c r="G147" s="182">
        <v>3.0</v>
      </c>
      <c r="H147" s="182">
        <v>0.0</v>
      </c>
      <c r="I147" s="182">
        <v>100.0</v>
      </c>
      <c r="J147" s="182">
        <v>3.0</v>
      </c>
      <c r="K147" s="182">
        <v>50.0</v>
      </c>
      <c r="L147" s="182">
        <v>3.0</v>
      </c>
      <c r="M147" s="182">
        <v>0.0</v>
      </c>
      <c r="N147" s="182">
        <v>100.0</v>
      </c>
      <c r="O147" s="182">
        <v>0.0</v>
      </c>
      <c r="P147" s="189" t="s">
        <v>132</v>
      </c>
    </row>
    <row r="148">
      <c r="A148" s="182" t="s">
        <v>189</v>
      </c>
      <c r="B148" s="182" t="s">
        <v>38</v>
      </c>
      <c r="C148" s="182" t="s">
        <v>229</v>
      </c>
      <c r="D148" s="182">
        <v>4.0</v>
      </c>
      <c r="E148" s="182">
        <v>57.0</v>
      </c>
      <c r="F148" s="182">
        <v>2.0</v>
      </c>
      <c r="G148" s="182">
        <v>2.0</v>
      </c>
      <c r="H148" s="182">
        <v>50.0</v>
      </c>
      <c r="I148" s="182">
        <v>50.0</v>
      </c>
      <c r="J148" s="182">
        <v>3.0</v>
      </c>
      <c r="K148" s="182">
        <v>50.0</v>
      </c>
      <c r="L148" s="182">
        <v>1.0</v>
      </c>
      <c r="M148" s="182">
        <v>2.0</v>
      </c>
      <c r="N148" s="182">
        <v>33.0</v>
      </c>
      <c r="O148" s="182">
        <v>67.0</v>
      </c>
      <c r="P148" s="189" t="s">
        <v>132</v>
      </c>
    </row>
    <row r="149">
      <c r="A149" s="182" t="s">
        <v>180</v>
      </c>
      <c r="B149" s="182" t="s">
        <v>227</v>
      </c>
      <c r="C149" s="182" t="s">
        <v>228</v>
      </c>
      <c r="D149" s="182">
        <v>2.0</v>
      </c>
      <c r="E149" s="182">
        <v>50.0</v>
      </c>
      <c r="F149" s="182">
        <v>0.0</v>
      </c>
      <c r="G149" s="182">
        <v>2.0</v>
      </c>
      <c r="H149" s="182">
        <v>0.0</v>
      </c>
      <c r="I149" s="182">
        <v>100.0</v>
      </c>
      <c r="J149" s="182">
        <v>6.0</v>
      </c>
      <c r="K149" s="182">
        <v>86.0</v>
      </c>
      <c r="L149" s="182">
        <v>1.0</v>
      </c>
      <c r="M149" s="182">
        <v>5.0</v>
      </c>
      <c r="N149" s="182">
        <v>17.0</v>
      </c>
      <c r="O149" s="182">
        <v>83.0</v>
      </c>
      <c r="P149" s="189" t="s">
        <v>133</v>
      </c>
    </row>
    <row r="150">
      <c r="A150" s="182" t="s">
        <v>180</v>
      </c>
      <c r="B150" s="182" t="s">
        <v>227</v>
      </c>
      <c r="C150" s="182" t="s">
        <v>229</v>
      </c>
      <c r="D150" s="182">
        <v>2.0</v>
      </c>
      <c r="E150" s="182">
        <v>50.0</v>
      </c>
      <c r="F150" s="182">
        <v>2.0</v>
      </c>
      <c r="G150" s="182">
        <v>0.0</v>
      </c>
      <c r="H150" s="182">
        <v>100.0</v>
      </c>
      <c r="I150" s="182">
        <v>0.0</v>
      </c>
      <c r="J150" s="182">
        <v>1.0</v>
      </c>
      <c r="K150" s="182">
        <v>14.0</v>
      </c>
      <c r="L150" s="182">
        <v>0.0</v>
      </c>
      <c r="M150" s="182">
        <v>1.0</v>
      </c>
      <c r="N150" s="182">
        <v>0.0</v>
      </c>
      <c r="O150" s="182">
        <v>100.0</v>
      </c>
      <c r="P150" s="189" t="s">
        <v>133</v>
      </c>
    </row>
    <row r="151">
      <c r="A151" s="182" t="s">
        <v>180</v>
      </c>
      <c r="B151" s="182" t="s">
        <v>34</v>
      </c>
      <c r="C151" s="182" t="s">
        <v>228</v>
      </c>
      <c r="D151" s="182">
        <v>7.0</v>
      </c>
      <c r="E151" s="182">
        <v>58.0</v>
      </c>
      <c r="F151" s="182">
        <v>6.0</v>
      </c>
      <c r="G151" s="182">
        <v>1.0</v>
      </c>
      <c r="H151" s="182">
        <v>86.0</v>
      </c>
      <c r="I151" s="182">
        <v>14.0</v>
      </c>
      <c r="J151" s="182">
        <v>13.0</v>
      </c>
      <c r="K151" s="182">
        <v>76.0</v>
      </c>
      <c r="L151" s="182">
        <v>5.0</v>
      </c>
      <c r="M151" s="182">
        <v>8.0</v>
      </c>
      <c r="N151" s="182">
        <v>38.0</v>
      </c>
      <c r="O151" s="182">
        <v>62.0</v>
      </c>
      <c r="P151" s="189" t="s">
        <v>134</v>
      </c>
    </row>
    <row r="152">
      <c r="A152" s="182" t="s">
        <v>180</v>
      </c>
      <c r="B152" s="182" t="s">
        <v>34</v>
      </c>
      <c r="C152" s="182" t="s">
        <v>229</v>
      </c>
      <c r="D152" s="182">
        <v>5.0</v>
      </c>
      <c r="E152" s="182">
        <v>42.0</v>
      </c>
      <c r="F152" s="182">
        <v>4.0</v>
      </c>
      <c r="G152" s="182">
        <v>1.0</v>
      </c>
      <c r="H152" s="182">
        <v>80.0</v>
      </c>
      <c r="I152" s="182">
        <v>20.0</v>
      </c>
      <c r="J152" s="182">
        <v>4.0</v>
      </c>
      <c r="K152" s="182">
        <v>24.0</v>
      </c>
      <c r="L152" s="182">
        <v>2.0</v>
      </c>
      <c r="M152" s="182">
        <v>2.0</v>
      </c>
      <c r="N152" s="182">
        <v>50.0</v>
      </c>
      <c r="O152" s="182">
        <v>50.0</v>
      </c>
      <c r="P152" s="189" t="s">
        <v>134</v>
      </c>
    </row>
    <row r="153">
      <c r="A153" s="182" t="s">
        <v>180</v>
      </c>
      <c r="B153" s="182" t="s">
        <v>42</v>
      </c>
      <c r="C153" s="182" t="s">
        <v>228</v>
      </c>
      <c r="D153" s="182">
        <v>10.0</v>
      </c>
      <c r="E153" s="182">
        <v>67.0</v>
      </c>
      <c r="F153" s="182">
        <v>6.0</v>
      </c>
      <c r="G153" s="182">
        <v>4.0</v>
      </c>
      <c r="H153" s="182">
        <v>60.0</v>
      </c>
      <c r="I153" s="182">
        <v>40.0</v>
      </c>
      <c r="J153" s="182">
        <v>7.0</v>
      </c>
      <c r="K153" s="182">
        <v>35.0</v>
      </c>
      <c r="L153" s="182">
        <v>2.0</v>
      </c>
      <c r="M153" s="182">
        <v>5.0</v>
      </c>
      <c r="N153" s="182">
        <v>29.0</v>
      </c>
      <c r="O153" s="182">
        <v>71.0</v>
      </c>
      <c r="P153" s="189" t="s">
        <v>135</v>
      </c>
    </row>
    <row r="154">
      <c r="A154" s="182" t="s">
        <v>180</v>
      </c>
      <c r="B154" s="182" t="s">
        <v>42</v>
      </c>
      <c r="C154" s="182" t="s">
        <v>229</v>
      </c>
      <c r="D154" s="182">
        <v>5.0</v>
      </c>
      <c r="E154" s="182">
        <v>33.0</v>
      </c>
      <c r="F154" s="182">
        <v>4.0</v>
      </c>
      <c r="G154" s="182">
        <v>1.0</v>
      </c>
      <c r="H154" s="182">
        <v>80.0</v>
      </c>
      <c r="I154" s="182">
        <v>20.0</v>
      </c>
      <c r="J154" s="182">
        <v>13.0</v>
      </c>
      <c r="K154" s="182">
        <v>65.0</v>
      </c>
      <c r="L154" s="182">
        <v>5.0</v>
      </c>
      <c r="M154" s="182">
        <v>8.0</v>
      </c>
      <c r="N154" s="182">
        <v>38.0</v>
      </c>
      <c r="O154" s="182">
        <v>62.0</v>
      </c>
      <c r="P154" s="189" t="s">
        <v>135</v>
      </c>
    </row>
    <row r="155">
      <c r="A155" s="182" t="s">
        <v>180</v>
      </c>
      <c r="B155" s="182" t="s">
        <v>32</v>
      </c>
      <c r="C155" s="182" t="s">
        <v>228</v>
      </c>
      <c r="D155" s="182">
        <v>18.0</v>
      </c>
      <c r="E155" s="182">
        <v>47.0</v>
      </c>
      <c r="F155" s="182">
        <v>14.0</v>
      </c>
      <c r="G155" s="182">
        <v>4.0</v>
      </c>
      <c r="H155" s="182">
        <v>78.0</v>
      </c>
      <c r="I155" s="182">
        <v>22.0</v>
      </c>
      <c r="J155" s="182">
        <v>15.0</v>
      </c>
      <c r="K155" s="182">
        <v>44.0</v>
      </c>
      <c r="L155" s="182">
        <v>8.0</v>
      </c>
      <c r="M155" s="182">
        <v>7.0</v>
      </c>
      <c r="N155" s="182">
        <v>53.0</v>
      </c>
      <c r="O155" s="182">
        <v>47.0</v>
      </c>
      <c r="P155" s="189" t="s">
        <v>136</v>
      </c>
    </row>
    <row r="156">
      <c r="A156" s="182" t="s">
        <v>180</v>
      </c>
      <c r="B156" s="182" t="s">
        <v>32</v>
      </c>
      <c r="C156" s="182" t="s">
        <v>229</v>
      </c>
      <c r="D156" s="182">
        <v>6.0</v>
      </c>
      <c r="E156" s="182">
        <v>16.0</v>
      </c>
      <c r="F156" s="182">
        <v>5.0</v>
      </c>
      <c r="G156" s="182">
        <v>1.0</v>
      </c>
      <c r="H156" s="182">
        <v>83.0</v>
      </c>
      <c r="I156" s="182">
        <v>17.0</v>
      </c>
      <c r="J156" s="182">
        <v>6.0</v>
      </c>
      <c r="K156" s="182">
        <v>18.0</v>
      </c>
      <c r="L156" s="182">
        <v>3.0</v>
      </c>
      <c r="M156" s="182">
        <v>3.0</v>
      </c>
      <c r="N156" s="182">
        <v>50.0</v>
      </c>
      <c r="O156" s="182">
        <v>50.0</v>
      </c>
      <c r="P156" s="189" t="s">
        <v>136</v>
      </c>
    </row>
    <row r="157">
      <c r="A157" s="182" t="s">
        <v>180</v>
      </c>
      <c r="B157" s="182" t="s">
        <v>32</v>
      </c>
      <c r="C157" s="182" t="s">
        <v>231</v>
      </c>
      <c r="D157" s="182">
        <v>14.0</v>
      </c>
      <c r="E157" s="182">
        <v>37.0</v>
      </c>
      <c r="F157" s="182">
        <v>12.0</v>
      </c>
      <c r="G157" s="182">
        <v>2.0</v>
      </c>
      <c r="H157" s="182">
        <v>86.0</v>
      </c>
      <c r="I157" s="182">
        <v>14.0</v>
      </c>
      <c r="J157" s="182">
        <v>13.0</v>
      </c>
      <c r="K157" s="182">
        <v>38.0</v>
      </c>
      <c r="L157" s="182">
        <v>6.0</v>
      </c>
      <c r="M157" s="182">
        <v>7.0</v>
      </c>
      <c r="N157" s="182">
        <v>46.0</v>
      </c>
      <c r="O157" s="182">
        <v>54.0</v>
      </c>
      <c r="P157" s="189" t="s">
        <v>136</v>
      </c>
    </row>
    <row r="158">
      <c r="A158" s="182" t="s">
        <v>180</v>
      </c>
      <c r="B158" s="182" t="s">
        <v>36</v>
      </c>
      <c r="C158" s="182" t="s">
        <v>228</v>
      </c>
      <c r="D158" s="182">
        <v>12.0</v>
      </c>
      <c r="E158" s="182">
        <v>44.0</v>
      </c>
      <c r="F158" s="182">
        <v>10.0</v>
      </c>
      <c r="G158" s="182">
        <v>2.0</v>
      </c>
      <c r="H158" s="182">
        <v>83.0</v>
      </c>
      <c r="I158" s="182">
        <v>17.0</v>
      </c>
      <c r="J158" s="182">
        <v>17.0</v>
      </c>
      <c r="K158" s="182">
        <v>50.0</v>
      </c>
      <c r="L158" s="182">
        <v>7.0</v>
      </c>
      <c r="M158" s="182">
        <v>10.0</v>
      </c>
      <c r="N158" s="182">
        <v>41.0</v>
      </c>
      <c r="O158" s="182">
        <v>59.0</v>
      </c>
      <c r="P158" s="189" t="s">
        <v>137</v>
      </c>
    </row>
    <row r="159">
      <c r="A159" s="182" t="s">
        <v>180</v>
      </c>
      <c r="B159" s="182" t="s">
        <v>36</v>
      </c>
      <c r="C159" s="182" t="s">
        <v>229</v>
      </c>
      <c r="D159" s="182">
        <v>15.0</v>
      </c>
      <c r="E159" s="182">
        <v>56.0</v>
      </c>
      <c r="F159" s="182">
        <v>11.0</v>
      </c>
      <c r="G159" s="182">
        <v>4.0</v>
      </c>
      <c r="H159" s="182">
        <v>73.0</v>
      </c>
      <c r="I159" s="182">
        <v>27.0</v>
      </c>
      <c r="J159" s="182">
        <v>17.0</v>
      </c>
      <c r="K159" s="182">
        <v>50.0</v>
      </c>
      <c r="L159" s="182">
        <v>8.0</v>
      </c>
      <c r="M159" s="182">
        <v>9.0</v>
      </c>
      <c r="N159" s="182">
        <v>47.0</v>
      </c>
      <c r="O159" s="182">
        <v>53.0</v>
      </c>
      <c r="P159" s="189" t="s">
        <v>137</v>
      </c>
    </row>
    <row r="160">
      <c r="A160" s="182" t="s">
        <v>180</v>
      </c>
      <c r="B160" s="182" t="s">
        <v>40</v>
      </c>
      <c r="C160" s="182" t="s">
        <v>228</v>
      </c>
      <c r="D160" s="182">
        <v>10.0</v>
      </c>
      <c r="E160" s="182">
        <v>37.0</v>
      </c>
      <c r="F160" s="182">
        <v>8.0</v>
      </c>
      <c r="G160" s="182">
        <v>2.0</v>
      </c>
      <c r="H160" s="182">
        <v>80.0</v>
      </c>
      <c r="I160" s="182">
        <v>20.0</v>
      </c>
      <c r="J160" s="182">
        <v>17.0</v>
      </c>
      <c r="K160" s="182">
        <v>47.0</v>
      </c>
      <c r="L160" s="182">
        <v>4.0</v>
      </c>
      <c r="M160" s="182">
        <v>13.0</v>
      </c>
      <c r="N160" s="182">
        <v>24.0</v>
      </c>
      <c r="O160" s="182">
        <v>76.0</v>
      </c>
      <c r="P160" s="189" t="s">
        <v>138</v>
      </c>
    </row>
    <row r="161">
      <c r="A161" s="182" t="s">
        <v>180</v>
      </c>
      <c r="B161" s="182" t="s">
        <v>40</v>
      </c>
      <c r="C161" s="182" t="s">
        <v>229</v>
      </c>
      <c r="D161" s="182">
        <v>6.0</v>
      </c>
      <c r="E161" s="182">
        <v>22.0</v>
      </c>
      <c r="F161" s="182">
        <v>5.0</v>
      </c>
      <c r="G161" s="182">
        <v>1.0</v>
      </c>
      <c r="H161" s="182">
        <v>83.0</v>
      </c>
      <c r="I161" s="182">
        <v>17.0</v>
      </c>
      <c r="J161" s="182">
        <v>6.0</v>
      </c>
      <c r="K161" s="182">
        <v>17.0</v>
      </c>
      <c r="L161" s="182">
        <v>2.0</v>
      </c>
      <c r="M161" s="182">
        <v>4.0</v>
      </c>
      <c r="N161" s="182">
        <v>33.0</v>
      </c>
      <c r="O161" s="182">
        <v>67.0</v>
      </c>
      <c r="P161" s="189" t="s">
        <v>138</v>
      </c>
    </row>
    <row r="162">
      <c r="A162" s="182" t="s">
        <v>180</v>
      </c>
      <c r="B162" s="182" t="s">
        <v>40</v>
      </c>
      <c r="C162" s="182" t="s">
        <v>231</v>
      </c>
      <c r="D162" s="182">
        <v>11.0</v>
      </c>
      <c r="E162" s="182">
        <v>41.0</v>
      </c>
      <c r="F162" s="182">
        <v>8.0</v>
      </c>
      <c r="G162" s="182">
        <v>3.0</v>
      </c>
      <c r="H162" s="182">
        <v>73.0</v>
      </c>
      <c r="I162" s="182">
        <v>27.0</v>
      </c>
      <c r="J162" s="182">
        <v>13.0</v>
      </c>
      <c r="K162" s="182">
        <v>36.0</v>
      </c>
      <c r="L162" s="182">
        <v>5.0</v>
      </c>
      <c r="M162" s="182">
        <v>8.0</v>
      </c>
      <c r="N162" s="182">
        <v>38.0</v>
      </c>
      <c r="O162" s="182">
        <v>62.0</v>
      </c>
      <c r="P162" s="189" t="s">
        <v>138</v>
      </c>
    </row>
    <row r="163">
      <c r="A163" s="182" t="s">
        <v>180</v>
      </c>
      <c r="B163" s="182" t="s">
        <v>43</v>
      </c>
      <c r="C163" s="182" t="s">
        <v>228</v>
      </c>
      <c r="D163" s="182">
        <v>1.0</v>
      </c>
      <c r="E163" s="182">
        <v>17.0</v>
      </c>
      <c r="F163" s="182">
        <v>1.0</v>
      </c>
      <c r="G163" s="182">
        <v>0.0</v>
      </c>
      <c r="H163" s="182">
        <v>100.0</v>
      </c>
      <c r="I163" s="182">
        <v>0.0</v>
      </c>
      <c r="J163" s="182">
        <v>3.0</v>
      </c>
      <c r="K163" s="182">
        <v>33.0</v>
      </c>
      <c r="L163" s="182">
        <v>2.0</v>
      </c>
      <c r="M163" s="182">
        <v>1.0</v>
      </c>
      <c r="N163" s="182">
        <v>67.0</v>
      </c>
      <c r="O163" s="182">
        <v>33.0</v>
      </c>
      <c r="P163" s="189" t="s">
        <v>139</v>
      </c>
    </row>
    <row r="164">
      <c r="A164" s="182" t="s">
        <v>180</v>
      </c>
      <c r="B164" s="182" t="s">
        <v>43</v>
      </c>
      <c r="C164" s="182" t="s">
        <v>229</v>
      </c>
      <c r="D164" s="182">
        <v>5.0</v>
      </c>
      <c r="E164" s="182">
        <v>83.0</v>
      </c>
      <c r="F164" s="182">
        <v>4.0</v>
      </c>
      <c r="G164" s="182">
        <v>1.0</v>
      </c>
      <c r="H164" s="182">
        <v>80.0</v>
      </c>
      <c r="I164" s="182">
        <v>20.0</v>
      </c>
      <c r="J164" s="182">
        <v>6.0</v>
      </c>
      <c r="K164" s="182">
        <v>67.0</v>
      </c>
      <c r="L164" s="182">
        <v>3.0</v>
      </c>
      <c r="M164" s="182">
        <v>3.0</v>
      </c>
      <c r="N164" s="182">
        <v>50.0</v>
      </c>
      <c r="O164" s="182">
        <v>50.0</v>
      </c>
      <c r="P164" s="189" t="s">
        <v>139</v>
      </c>
    </row>
    <row r="165">
      <c r="A165" s="182" t="s">
        <v>180</v>
      </c>
      <c r="B165" s="182" t="s">
        <v>45</v>
      </c>
      <c r="C165" s="182" t="s">
        <v>228</v>
      </c>
      <c r="D165" s="182">
        <v>12.0</v>
      </c>
      <c r="E165" s="182">
        <v>57.0</v>
      </c>
      <c r="F165" s="182">
        <v>5.0</v>
      </c>
      <c r="G165" s="182">
        <v>7.0</v>
      </c>
      <c r="H165" s="182">
        <v>42.0</v>
      </c>
      <c r="I165" s="182">
        <v>58.0</v>
      </c>
      <c r="J165" s="182">
        <v>6.0</v>
      </c>
      <c r="K165" s="182">
        <v>75.0</v>
      </c>
      <c r="L165" s="182">
        <v>2.0</v>
      </c>
      <c r="M165" s="182">
        <v>4.0</v>
      </c>
      <c r="N165" s="182">
        <v>33.0</v>
      </c>
      <c r="O165" s="182">
        <v>67.0</v>
      </c>
      <c r="P165" s="189" t="s">
        <v>140</v>
      </c>
    </row>
    <row r="166">
      <c r="A166" s="182" t="s">
        <v>180</v>
      </c>
      <c r="B166" s="182" t="s">
        <v>45</v>
      </c>
      <c r="C166" s="182" t="s">
        <v>229</v>
      </c>
      <c r="D166" s="182">
        <v>9.0</v>
      </c>
      <c r="E166" s="182">
        <v>43.0</v>
      </c>
      <c r="F166" s="182">
        <v>9.0</v>
      </c>
      <c r="G166" s="182">
        <v>0.0</v>
      </c>
      <c r="H166" s="182">
        <v>100.0</v>
      </c>
      <c r="I166" s="182">
        <v>0.0</v>
      </c>
      <c r="J166" s="182">
        <v>2.0</v>
      </c>
      <c r="K166" s="182">
        <v>25.0</v>
      </c>
      <c r="L166" s="182">
        <v>1.0</v>
      </c>
      <c r="M166" s="182">
        <v>1.0</v>
      </c>
      <c r="N166" s="182">
        <v>50.0</v>
      </c>
      <c r="O166" s="182">
        <v>50.0</v>
      </c>
      <c r="P166" s="189" t="s">
        <v>140</v>
      </c>
    </row>
    <row r="167">
      <c r="A167" s="182" t="s">
        <v>180</v>
      </c>
      <c r="B167" s="182" t="s">
        <v>38</v>
      </c>
      <c r="C167" s="182" t="s">
        <v>228</v>
      </c>
      <c r="D167" s="182">
        <v>12.0</v>
      </c>
      <c r="E167" s="182">
        <v>63.0</v>
      </c>
      <c r="F167" s="182">
        <v>9.0</v>
      </c>
      <c r="G167" s="182">
        <v>3.0</v>
      </c>
      <c r="H167" s="182">
        <v>75.0</v>
      </c>
      <c r="I167" s="182">
        <v>25.0</v>
      </c>
      <c r="J167" s="182">
        <v>11.0</v>
      </c>
      <c r="K167" s="182">
        <v>50.0</v>
      </c>
      <c r="L167" s="182">
        <v>2.0</v>
      </c>
      <c r="M167" s="182">
        <v>9.0</v>
      </c>
      <c r="N167" s="182">
        <v>18.0</v>
      </c>
      <c r="O167" s="182">
        <v>82.0</v>
      </c>
      <c r="P167" s="189" t="s">
        <v>141</v>
      </c>
    </row>
    <row r="168">
      <c r="A168" s="182" t="s">
        <v>180</v>
      </c>
      <c r="B168" s="182" t="s">
        <v>38</v>
      </c>
      <c r="C168" s="182" t="s">
        <v>229</v>
      </c>
      <c r="D168" s="182">
        <v>7.0</v>
      </c>
      <c r="E168" s="182">
        <v>37.0</v>
      </c>
      <c r="F168" s="182">
        <v>4.0</v>
      </c>
      <c r="G168" s="182">
        <v>3.0</v>
      </c>
      <c r="H168" s="182">
        <v>57.0</v>
      </c>
      <c r="I168" s="182">
        <v>43.0</v>
      </c>
      <c r="J168" s="182">
        <v>11.0</v>
      </c>
      <c r="K168" s="182">
        <v>50.0</v>
      </c>
      <c r="L168" s="182">
        <v>1.0</v>
      </c>
      <c r="M168" s="182">
        <v>10.0</v>
      </c>
      <c r="N168" s="182">
        <v>9.0</v>
      </c>
      <c r="O168" s="182">
        <v>91.0</v>
      </c>
      <c r="P168" s="189" t="s">
        <v>141</v>
      </c>
    </row>
    <row r="169">
      <c r="A169" s="182" t="s">
        <v>1</v>
      </c>
      <c r="B169" s="182" t="s">
        <v>227</v>
      </c>
      <c r="C169" s="182" t="s">
        <v>228</v>
      </c>
      <c r="D169" s="182">
        <v>17.0</v>
      </c>
      <c r="E169" s="182">
        <v>57.0</v>
      </c>
      <c r="F169" s="182">
        <v>13.0</v>
      </c>
      <c r="G169" s="182">
        <v>4.0</v>
      </c>
      <c r="H169" s="182">
        <v>76.0</v>
      </c>
      <c r="I169" s="182">
        <v>24.0</v>
      </c>
      <c r="J169" s="182">
        <v>15.0</v>
      </c>
      <c r="K169" s="182">
        <v>58.0</v>
      </c>
      <c r="L169" s="182">
        <v>8.0</v>
      </c>
      <c r="M169" s="182">
        <v>7.0</v>
      </c>
      <c r="N169" s="182">
        <v>53.0</v>
      </c>
      <c r="O169" s="182">
        <v>47.0</v>
      </c>
      <c r="P169" s="189" t="s">
        <v>142</v>
      </c>
    </row>
    <row r="170">
      <c r="A170" s="182" t="s">
        <v>1</v>
      </c>
      <c r="B170" s="182" t="s">
        <v>227</v>
      </c>
      <c r="C170" s="182" t="s">
        <v>229</v>
      </c>
      <c r="D170" s="182">
        <v>13.0</v>
      </c>
      <c r="E170" s="182">
        <v>43.0</v>
      </c>
      <c r="F170" s="182">
        <v>10.0</v>
      </c>
      <c r="G170" s="182">
        <v>3.0</v>
      </c>
      <c r="H170" s="182">
        <v>77.0</v>
      </c>
      <c r="I170" s="182">
        <v>23.0</v>
      </c>
      <c r="J170" s="182">
        <v>11.0</v>
      </c>
      <c r="K170" s="182">
        <v>42.0</v>
      </c>
      <c r="L170" s="182">
        <v>4.0</v>
      </c>
      <c r="M170" s="182">
        <v>7.0</v>
      </c>
      <c r="N170" s="182">
        <v>36.0</v>
      </c>
      <c r="O170" s="182">
        <v>64.0</v>
      </c>
      <c r="P170" s="189" t="s">
        <v>142</v>
      </c>
    </row>
    <row r="171">
      <c r="A171" s="182" t="s">
        <v>1</v>
      </c>
      <c r="B171" s="182" t="s">
        <v>34</v>
      </c>
      <c r="C171" s="182" t="s">
        <v>228</v>
      </c>
      <c r="D171" s="182">
        <v>6.0</v>
      </c>
      <c r="E171" s="182">
        <v>67.0</v>
      </c>
      <c r="F171" s="182">
        <v>5.0</v>
      </c>
      <c r="G171" s="182">
        <v>1.0</v>
      </c>
      <c r="H171" s="182">
        <v>83.0</v>
      </c>
      <c r="I171" s="182">
        <v>17.0</v>
      </c>
      <c r="J171" s="182">
        <v>6.0</v>
      </c>
      <c r="K171" s="182">
        <v>60.0</v>
      </c>
      <c r="L171" s="182">
        <v>1.0</v>
      </c>
      <c r="M171" s="182">
        <v>5.0</v>
      </c>
      <c r="N171" s="182">
        <v>17.0</v>
      </c>
      <c r="O171" s="182">
        <v>83.0</v>
      </c>
      <c r="P171" s="189" t="s">
        <v>143</v>
      </c>
    </row>
    <row r="172">
      <c r="A172" s="182" t="s">
        <v>1</v>
      </c>
      <c r="B172" s="182" t="s">
        <v>34</v>
      </c>
      <c r="C172" s="182" t="s">
        <v>229</v>
      </c>
      <c r="D172" s="182">
        <v>3.0</v>
      </c>
      <c r="E172" s="182">
        <v>33.0</v>
      </c>
      <c r="F172" s="182">
        <v>3.0</v>
      </c>
      <c r="G172" s="182">
        <v>0.0</v>
      </c>
      <c r="H172" s="182">
        <v>100.0</v>
      </c>
      <c r="I172" s="182">
        <v>0.0</v>
      </c>
      <c r="J172" s="182">
        <v>4.0</v>
      </c>
      <c r="K172" s="182">
        <v>40.0</v>
      </c>
      <c r="L172" s="182">
        <v>2.0</v>
      </c>
      <c r="M172" s="182">
        <v>2.0</v>
      </c>
      <c r="N172" s="182">
        <v>50.0</v>
      </c>
      <c r="O172" s="182">
        <v>50.0</v>
      </c>
      <c r="P172" s="189" t="s">
        <v>143</v>
      </c>
    </row>
    <row r="173">
      <c r="A173" s="182" t="s">
        <v>1</v>
      </c>
      <c r="B173" s="182" t="s">
        <v>42</v>
      </c>
      <c r="C173" s="182" t="s">
        <v>228</v>
      </c>
      <c r="D173" s="182">
        <v>19.0</v>
      </c>
      <c r="E173" s="182">
        <v>54.0</v>
      </c>
      <c r="F173" s="182">
        <v>14.0</v>
      </c>
      <c r="G173" s="182">
        <v>5.0</v>
      </c>
      <c r="H173" s="182">
        <v>74.0</v>
      </c>
      <c r="I173" s="182">
        <v>26.0</v>
      </c>
      <c r="J173" s="182">
        <v>15.0</v>
      </c>
      <c r="K173" s="182">
        <v>39.0</v>
      </c>
      <c r="L173" s="182">
        <v>8.0</v>
      </c>
      <c r="M173" s="182">
        <v>7.0</v>
      </c>
      <c r="N173" s="182">
        <v>53.0</v>
      </c>
      <c r="O173" s="182">
        <v>47.0</v>
      </c>
      <c r="P173" s="189" t="s">
        <v>144</v>
      </c>
    </row>
    <row r="174">
      <c r="A174" s="182" t="s">
        <v>1</v>
      </c>
      <c r="B174" s="182" t="s">
        <v>42</v>
      </c>
      <c r="C174" s="182" t="s">
        <v>229</v>
      </c>
      <c r="D174" s="182">
        <v>16.0</v>
      </c>
      <c r="E174" s="182">
        <v>46.0</v>
      </c>
      <c r="F174" s="182">
        <v>8.0</v>
      </c>
      <c r="G174" s="182">
        <v>8.0</v>
      </c>
      <c r="H174" s="182">
        <v>50.0</v>
      </c>
      <c r="I174" s="182">
        <v>50.0</v>
      </c>
      <c r="J174" s="182">
        <v>23.0</v>
      </c>
      <c r="K174" s="182">
        <v>61.0</v>
      </c>
      <c r="L174" s="182">
        <v>10.0</v>
      </c>
      <c r="M174" s="182">
        <v>13.0</v>
      </c>
      <c r="N174" s="182">
        <v>43.0</v>
      </c>
      <c r="O174" s="182">
        <v>57.0</v>
      </c>
      <c r="P174" s="189" t="s">
        <v>144</v>
      </c>
    </row>
    <row r="175">
      <c r="A175" s="182" t="s">
        <v>1</v>
      </c>
      <c r="B175" s="182" t="s">
        <v>32</v>
      </c>
      <c r="C175" s="182" t="s">
        <v>228</v>
      </c>
      <c r="D175" s="182">
        <v>5.0</v>
      </c>
      <c r="E175" s="182">
        <v>26.0</v>
      </c>
      <c r="F175" s="182">
        <v>3.0</v>
      </c>
      <c r="G175" s="182">
        <v>2.0</v>
      </c>
      <c r="H175" s="182">
        <v>60.0</v>
      </c>
      <c r="I175" s="182">
        <v>40.0</v>
      </c>
      <c r="J175" s="182">
        <v>6.0</v>
      </c>
      <c r="K175" s="182">
        <v>23.0</v>
      </c>
      <c r="L175" s="182">
        <v>1.0</v>
      </c>
      <c r="M175" s="182">
        <v>5.0</v>
      </c>
      <c r="N175" s="182">
        <v>17.0</v>
      </c>
      <c r="O175" s="182">
        <v>83.0</v>
      </c>
      <c r="P175" s="189" t="s">
        <v>145</v>
      </c>
    </row>
    <row r="176">
      <c r="A176" s="182" t="s">
        <v>1</v>
      </c>
      <c r="B176" s="182" t="s">
        <v>32</v>
      </c>
      <c r="C176" s="182" t="s">
        <v>229</v>
      </c>
      <c r="D176" s="182">
        <v>4.0</v>
      </c>
      <c r="E176" s="182">
        <v>21.0</v>
      </c>
      <c r="F176" s="182">
        <v>1.0</v>
      </c>
      <c r="G176" s="182">
        <v>3.0</v>
      </c>
      <c r="H176" s="182">
        <v>25.0</v>
      </c>
      <c r="I176" s="182">
        <v>75.0</v>
      </c>
      <c r="J176" s="182">
        <v>5.0</v>
      </c>
      <c r="K176" s="182">
        <v>19.0</v>
      </c>
      <c r="L176" s="182">
        <v>2.0</v>
      </c>
      <c r="M176" s="182">
        <v>3.0</v>
      </c>
      <c r="N176" s="182">
        <v>40.0</v>
      </c>
      <c r="O176" s="182">
        <v>60.0</v>
      </c>
      <c r="P176" s="189" t="s">
        <v>145</v>
      </c>
    </row>
    <row r="177">
      <c r="A177" s="182" t="s">
        <v>1</v>
      </c>
      <c r="B177" s="182" t="s">
        <v>32</v>
      </c>
      <c r="C177" s="182" t="s">
        <v>231</v>
      </c>
      <c r="D177" s="182">
        <v>10.0</v>
      </c>
      <c r="E177" s="182">
        <v>53.0</v>
      </c>
      <c r="F177" s="182">
        <v>6.0</v>
      </c>
      <c r="G177" s="182">
        <v>4.0</v>
      </c>
      <c r="H177" s="182">
        <v>60.0</v>
      </c>
      <c r="I177" s="182">
        <v>40.0</v>
      </c>
      <c r="J177" s="182">
        <v>15.0</v>
      </c>
      <c r="K177" s="182">
        <v>58.0</v>
      </c>
      <c r="L177" s="182">
        <v>6.0</v>
      </c>
      <c r="M177" s="182">
        <v>9.0</v>
      </c>
      <c r="N177" s="182">
        <v>40.0</v>
      </c>
      <c r="O177" s="182">
        <v>60.0</v>
      </c>
      <c r="P177" s="189" t="s">
        <v>145</v>
      </c>
    </row>
    <row r="178">
      <c r="A178" s="182" t="s">
        <v>1</v>
      </c>
      <c r="B178" s="182" t="s">
        <v>36</v>
      </c>
      <c r="C178" s="182" t="s">
        <v>228</v>
      </c>
      <c r="D178" s="182">
        <v>5.0</v>
      </c>
      <c r="E178" s="182">
        <v>71.0</v>
      </c>
      <c r="F178" s="182">
        <v>5.0</v>
      </c>
      <c r="G178" s="182">
        <v>0.0</v>
      </c>
      <c r="H178" s="182">
        <v>100.0</v>
      </c>
      <c r="I178" s="182">
        <v>0.0</v>
      </c>
      <c r="J178" s="182">
        <v>2.0</v>
      </c>
      <c r="K178" s="182">
        <v>29.0</v>
      </c>
      <c r="L178" s="182">
        <v>2.0</v>
      </c>
      <c r="M178" s="182">
        <v>0.0</v>
      </c>
      <c r="N178" s="182">
        <v>100.0</v>
      </c>
      <c r="O178" s="182">
        <v>0.0</v>
      </c>
      <c r="P178" s="189" t="s">
        <v>146</v>
      </c>
    </row>
    <row r="179">
      <c r="A179" s="182" t="s">
        <v>1</v>
      </c>
      <c r="B179" s="182" t="s">
        <v>36</v>
      </c>
      <c r="C179" s="182" t="s">
        <v>229</v>
      </c>
      <c r="D179" s="182">
        <v>2.0</v>
      </c>
      <c r="E179" s="182">
        <v>29.0</v>
      </c>
      <c r="F179" s="182">
        <v>0.0</v>
      </c>
      <c r="G179" s="182">
        <v>2.0</v>
      </c>
      <c r="H179" s="182">
        <v>0.0</v>
      </c>
      <c r="I179" s="182">
        <v>100.0</v>
      </c>
      <c r="J179" s="182">
        <v>5.0</v>
      </c>
      <c r="K179" s="182">
        <v>71.0</v>
      </c>
      <c r="L179" s="182">
        <v>3.0</v>
      </c>
      <c r="M179" s="182">
        <v>2.0</v>
      </c>
      <c r="N179" s="182">
        <v>60.0</v>
      </c>
      <c r="O179" s="182">
        <v>40.0</v>
      </c>
      <c r="P179" s="189" t="s">
        <v>146</v>
      </c>
    </row>
    <row r="180">
      <c r="A180" s="182" t="s">
        <v>1</v>
      </c>
      <c r="B180" s="182" t="s">
        <v>40</v>
      </c>
      <c r="C180" s="182" t="s">
        <v>228</v>
      </c>
      <c r="D180" s="182">
        <v>31.0</v>
      </c>
      <c r="E180" s="182">
        <v>42.0</v>
      </c>
      <c r="F180" s="182">
        <v>19.0</v>
      </c>
      <c r="G180" s="182">
        <v>12.0</v>
      </c>
      <c r="H180" s="182">
        <v>61.0</v>
      </c>
      <c r="I180" s="182">
        <v>39.0</v>
      </c>
      <c r="J180" s="182">
        <v>30.0</v>
      </c>
      <c r="K180" s="182">
        <v>44.0</v>
      </c>
      <c r="L180" s="182">
        <v>12.0</v>
      </c>
      <c r="M180" s="182">
        <v>18.0</v>
      </c>
      <c r="N180" s="182">
        <v>40.0</v>
      </c>
      <c r="O180" s="182">
        <v>60.0</v>
      </c>
      <c r="P180" s="189" t="s">
        <v>147</v>
      </c>
    </row>
    <row r="181">
      <c r="A181" s="182" t="s">
        <v>1</v>
      </c>
      <c r="B181" s="182" t="s">
        <v>40</v>
      </c>
      <c r="C181" s="182" t="s">
        <v>229</v>
      </c>
      <c r="D181" s="182">
        <v>11.0</v>
      </c>
      <c r="E181" s="182">
        <v>15.0</v>
      </c>
      <c r="F181" s="182">
        <v>7.0</v>
      </c>
      <c r="G181" s="182">
        <v>4.0</v>
      </c>
      <c r="H181" s="182">
        <v>64.0</v>
      </c>
      <c r="I181" s="182">
        <v>36.0</v>
      </c>
      <c r="J181" s="182">
        <v>17.0</v>
      </c>
      <c r="K181" s="182">
        <v>25.0</v>
      </c>
      <c r="L181" s="182">
        <v>6.0</v>
      </c>
      <c r="M181" s="182">
        <v>11.0</v>
      </c>
      <c r="N181" s="182">
        <v>35.0</v>
      </c>
      <c r="O181" s="182">
        <v>65.0</v>
      </c>
      <c r="P181" s="189" t="s">
        <v>147</v>
      </c>
    </row>
    <row r="182">
      <c r="A182" s="182" t="s">
        <v>1</v>
      </c>
      <c r="B182" s="182" t="s">
        <v>40</v>
      </c>
      <c r="C182" s="182" t="s">
        <v>231</v>
      </c>
      <c r="D182" s="182">
        <v>31.0</v>
      </c>
      <c r="E182" s="182">
        <v>42.0</v>
      </c>
      <c r="F182" s="182">
        <v>21.0</v>
      </c>
      <c r="G182" s="182">
        <v>10.0</v>
      </c>
      <c r="H182" s="182">
        <v>68.0</v>
      </c>
      <c r="I182" s="182">
        <v>32.0</v>
      </c>
      <c r="J182" s="182">
        <v>21.0</v>
      </c>
      <c r="K182" s="182">
        <v>31.0</v>
      </c>
      <c r="L182" s="182">
        <v>7.0</v>
      </c>
      <c r="M182" s="182">
        <v>14.0</v>
      </c>
      <c r="N182" s="182">
        <v>33.0</v>
      </c>
      <c r="O182" s="182">
        <v>67.0</v>
      </c>
      <c r="P182" s="189" t="s">
        <v>147</v>
      </c>
    </row>
    <row r="183">
      <c r="A183" s="182" t="s">
        <v>1</v>
      </c>
      <c r="B183" s="182" t="s">
        <v>45</v>
      </c>
      <c r="C183" s="182" t="s">
        <v>228</v>
      </c>
      <c r="D183" s="182">
        <v>3.0</v>
      </c>
      <c r="E183" s="182">
        <v>50.0</v>
      </c>
      <c r="F183" s="182">
        <v>0.0</v>
      </c>
      <c r="G183" s="182">
        <v>3.0</v>
      </c>
      <c r="H183" s="182">
        <v>0.0</v>
      </c>
      <c r="I183" s="182">
        <v>100.0</v>
      </c>
      <c r="J183" s="182">
        <v>3.0</v>
      </c>
      <c r="K183" s="182">
        <v>50.0</v>
      </c>
      <c r="L183" s="182">
        <v>3.0</v>
      </c>
      <c r="M183" s="182">
        <v>0.0</v>
      </c>
      <c r="N183" s="182">
        <v>100.0</v>
      </c>
      <c r="O183" s="182">
        <v>0.0</v>
      </c>
      <c r="P183" s="189" t="s">
        <v>148</v>
      </c>
    </row>
    <row r="184">
      <c r="A184" s="182" t="s">
        <v>1</v>
      </c>
      <c r="B184" s="182" t="s">
        <v>45</v>
      </c>
      <c r="C184" s="182" t="s">
        <v>229</v>
      </c>
      <c r="D184" s="182">
        <v>3.0</v>
      </c>
      <c r="E184" s="182">
        <v>50.0</v>
      </c>
      <c r="F184" s="182">
        <v>2.0</v>
      </c>
      <c r="G184" s="182">
        <v>1.0</v>
      </c>
      <c r="H184" s="182">
        <v>67.0</v>
      </c>
      <c r="I184" s="182">
        <v>33.0</v>
      </c>
      <c r="J184" s="182">
        <v>3.0</v>
      </c>
      <c r="K184" s="182">
        <v>50.0</v>
      </c>
      <c r="L184" s="182">
        <v>0.0</v>
      </c>
      <c r="M184" s="182">
        <v>3.0</v>
      </c>
      <c r="N184" s="182">
        <v>0.0</v>
      </c>
      <c r="O184" s="182">
        <v>100.0</v>
      </c>
      <c r="P184" s="189" t="s">
        <v>148</v>
      </c>
    </row>
    <row r="185">
      <c r="A185" s="182" t="s">
        <v>1</v>
      </c>
      <c r="B185" s="182" t="s">
        <v>38</v>
      </c>
      <c r="C185" s="182" t="s">
        <v>228</v>
      </c>
      <c r="D185" s="182">
        <v>9.0</v>
      </c>
      <c r="E185" s="182">
        <v>47.0</v>
      </c>
      <c r="F185" s="182">
        <v>7.0</v>
      </c>
      <c r="G185" s="182">
        <v>2.0</v>
      </c>
      <c r="H185" s="182">
        <v>78.0</v>
      </c>
      <c r="I185" s="182">
        <v>22.0</v>
      </c>
      <c r="J185" s="182">
        <v>4.0</v>
      </c>
      <c r="K185" s="182">
        <v>44.0</v>
      </c>
      <c r="L185" s="182">
        <v>1.0</v>
      </c>
      <c r="M185" s="182">
        <v>3.0</v>
      </c>
      <c r="N185" s="182">
        <v>25.0</v>
      </c>
      <c r="O185" s="182">
        <v>75.0</v>
      </c>
      <c r="P185" s="189" t="s">
        <v>149</v>
      </c>
    </row>
    <row r="186">
      <c r="A186" s="182" t="s">
        <v>1</v>
      </c>
      <c r="B186" s="182" t="s">
        <v>38</v>
      </c>
      <c r="C186" s="182" t="s">
        <v>229</v>
      </c>
      <c r="D186" s="182">
        <v>10.0</v>
      </c>
      <c r="E186" s="182">
        <v>53.0</v>
      </c>
      <c r="F186" s="182">
        <v>5.0</v>
      </c>
      <c r="G186" s="182">
        <v>5.0</v>
      </c>
      <c r="H186" s="182">
        <v>50.0</v>
      </c>
      <c r="I186" s="182">
        <v>50.0</v>
      </c>
      <c r="J186" s="182">
        <v>5.0</v>
      </c>
      <c r="K186" s="182">
        <v>56.0</v>
      </c>
      <c r="L186" s="182">
        <v>1.0</v>
      </c>
      <c r="M186" s="182">
        <v>4.0</v>
      </c>
      <c r="N186" s="182">
        <v>20.0</v>
      </c>
      <c r="O186" s="182">
        <v>80.0</v>
      </c>
      <c r="P186" s="189" t="s">
        <v>149</v>
      </c>
    </row>
    <row r="187">
      <c r="A187" s="182" t="s">
        <v>185</v>
      </c>
      <c r="B187" s="182" t="s">
        <v>227</v>
      </c>
      <c r="C187" s="182" t="s">
        <v>228</v>
      </c>
      <c r="D187" s="182">
        <v>12.0</v>
      </c>
      <c r="E187" s="182">
        <v>63.0</v>
      </c>
      <c r="F187" s="182">
        <v>8.0</v>
      </c>
      <c r="G187" s="182">
        <v>4.0</v>
      </c>
      <c r="H187" s="182">
        <v>67.0</v>
      </c>
      <c r="I187" s="182">
        <v>33.0</v>
      </c>
      <c r="J187" s="182">
        <v>6.0</v>
      </c>
      <c r="K187" s="182">
        <v>40.0</v>
      </c>
      <c r="L187" s="182">
        <v>1.0</v>
      </c>
      <c r="M187" s="182">
        <v>5.0</v>
      </c>
      <c r="N187" s="182">
        <v>17.0</v>
      </c>
      <c r="O187" s="182">
        <v>83.0</v>
      </c>
      <c r="P187" s="189" t="s">
        <v>150</v>
      </c>
    </row>
    <row r="188">
      <c r="A188" s="182" t="s">
        <v>185</v>
      </c>
      <c r="B188" s="182" t="s">
        <v>227</v>
      </c>
      <c r="C188" s="182" t="s">
        <v>229</v>
      </c>
      <c r="D188" s="182">
        <v>7.0</v>
      </c>
      <c r="E188" s="182">
        <v>37.0</v>
      </c>
      <c r="F188" s="182">
        <v>5.0</v>
      </c>
      <c r="G188" s="182">
        <v>2.0</v>
      </c>
      <c r="H188" s="182">
        <v>71.0</v>
      </c>
      <c r="I188" s="182">
        <v>29.0</v>
      </c>
      <c r="J188" s="182">
        <v>9.0</v>
      </c>
      <c r="K188" s="182">
        <v>60.0</v>
      </c>
      <c r="L188" s="182">
        <v>3.0</v>
      </c>
      <c r="M188" s="182">
        <v>6.0</v>
      </c>
      <c r="N188" s="182">
        <v>33.0</v>
      </c>
      <c r="O188" s="182">
        <v>67.0</v>
      </c>
      <c r="P188" s="189" t="s">
        <v>150</v>
      </c>
    </row>
    <row r="189">
      <c r="A189" s="182" t="s">
        <v>185</v>
      </c>
      <c r="B189" s="182" t="s">
        <v>34</v>
      </c>
      <c r="C189" s="182" t="s">
        <v>228</v>
      </c>
      <c r="D189" s="182">
        <v>4.0</v>
      </c>
      <c r="E189" s="182">
        <v>57.0</v>
      </c>
      <c r="F189" s="182">
        <v>4.0</v>
      </c>
      <c r="G189" s="182">
        <v>0.0</v>
      </c>
      <c r="H189" s="182">
        <v>100.0</v>
      </c>
      <c r="I189" s="182">
        <v>0.0</v>
      </c>
      <c r="J189" s="182">
        <v>13.0</v>
      </c>
      <c r="K189" s="182">
        <v>81.0</v>
      </c>
      <c r="L189" s="182">
        <v>4.0</v>
      </c>
      <c r="M189" s="182">
        <v>9.0</v>
      </c>
      <c r="N189" s="182">
        <v>31.0</v>
      </c>
      <c r="O189" s="182">
        <v>69.0</v>
      </c>
      <c r="P189" s="189" t="s">
        <v>151</v>
      </c>
    </row>
    <row r="190">
      <c r="A190" s="182" t="s">
        <v>185</v>
      </c>
      <c r="B190" s="182" t="s">
        <v>34</v>
      </c>
      <c r="C190" s="182" t="s">
        <v>229</v>
      </c>
      <c r="D190" s="182">
        <v>3.0</v>
      </c>
      <c r="E190" s="182">
        <v>43.0</v>
      </c>
      <c r="F190" s="182">
        <v>3.0</v>
      </c>
      <c r="G190" s="182">
        <v>0.0</v>
      </c>
      <c r="H190" s="182">
        <v>100.0</v>
      </c>
      <c r="I190" s="182">
        <v>0.0</v>
      </c>
      <c r="J190" s="182">
        <v>3.0</v>
      </c>
      <c r="K190" s="182">
        <v>19.0</v>
      </c>
      <c r="L190" s="182">
        <v>1.0</v>
      </c>
      <c r="M190" s="182">
        <v>2.0</v>
      </c>
      <c r="N190" s="182">
        <v>33.0</v>
      </c>
      <c r="O190" s="182">
        <v>67.0</v>
      </c>
      <c r="P190" s="189" t="s">
        <v>151</v>
      </c>
    </row>
    <row r="191">
      <c r="A191" s="182" t="s">
        <v>185</v>
      </c>
      <c r="B191" s="182" t="s">
        <v>42</v>
      </c>
      <c r="C191" s="182" t="s">
        <v>228</v>
      </c>
      <c r="D191" s="182">
        <v>10.0</v>
      </c>
      <c r="E191" s="182">
        <v>42.0</v>
      </c>
      <c r="F191" s="182">
        <v>10.0</v>
      </c>
      <c r="G191" s="182">
        <v>0.0</v>
      </c>
      <c r="H191" s="182">
        <v>100.0</v>
      </c>
      <c r="I191" s="182">
        <v>0.0</v>
      </c>
      <c r="J191" s="182">
        <v>9.0</v>
      </c>
      <c r="K191" s="182">
        <v>41.0</v>
      </c>
      <c r="L191" s="182">
        <v>5.0</v>
      </c>
      <c r="M191" s="182">
        <v>4.0</v>
      </c>
      <c r="N191" s="182">
        <v>56.0</v>
      </c>
      <c r="O191" s="182">
        <v>44.0</v>
      </c>
      <c r="P191" s="189" t="s">
        <v>152</v>
      </c>
    </row>
    <row r="192">
      <c r="A192" s="182" t="s">
        <v>185</v>
      </c>
      <c r="B192" s="182" t="s">
        <v>42</v>
      </c>
      <c r="C192" s="182" t="s">
        <v>229</v>
      </c>
      <c r="D192" s="182">
        <v>14.0</v>
      </c>
      <c r="E192" s="182">
        <v>58.0</v>
      </c>
      <c r="F192" s="182">
        <v>9.0</v>
      </c>
      <c r="G192" s="182">
        <v>5.0</v>
      </c>
      <c r="H192" s="182">
        <v>64.0</v>
      </c>
      <c r="I192" s="182">
        <v>36.0</v>
      </c>
      <c r="J192" s="182">
        <v>13.0</v>
      </c>
      <c r="K192" s="182">
        <v>59.0</v>
      </c>
      <c r="L192" s="182">
        <v>3.0</v>
      </c>
      <c r="M192" s="182">
        <v>10.0</v>
      </c>
      <c r="N192" s="182">
        <v>23.0</v>
      </c>
      <c r="O192" s="182">
        <v>77.0</v>
      </c>
      <c r="P192" s="189" t="s">
        <v>152</v>
      </c>
    </row>
    <row r="193">
      <c r="A193" s="182" t="s">
        <v>185</v>
      </c>
      <c r="B193" s="182" t="s">
        <v>32</v>
      </c>
      <c r="C193" s="182" t="s">
        <v>228</v>
      </c>
      <c r="D193" s="182">
        <v>13.0</v>
      </c>
      <c r="E193" s="182">
        <v>22.0</v>
      </c>
      <c r="F193" s="182">
        <v>10.0</v>
      </c>
      <c r="G193" s="182">
        <v>3.0</v>
      </c>
      <c r="H193" s="182">
        <v>77.0</v>
      </c>
      <c r="I193" s="182">
        <v>23.0</v>
      </c>
      <c r="J193" s="182">
        <v>15.0</v>
      </c>
      <c r="K193" s="182">
        <v>35.0</v>
      </c>
      <c r="L193" s="182">
        <v>5.0</v>
      </c>
      <c r="M193" s="182">
        <v>10.0</v>
      </c>
      <c r="N193" s="182">
        <v>33.0</v>
      </c>
      <c r="O193" s="182">
        <v>67.0</v>
      </c>
      <c r="P193" s="189" t="s">
        <v>153</v>
      </c>
    </row>
    <row r="194">
      <c r="A194" s="182" t="s">
        <v>185</v>
      </c>
      <c r="B194" s="182" t="s">
        <v>32</v>
      </c>
      <c r="C194" s="182" t="s">
        <v>229</v>
      </c>
      <c r="D194" s="182">
        <v>12.0</v>
      </c>
      <c r="E194" s="182">
        <v>21.0</v>
      </c>
      <c r="F194" s="182">
        <v>8.0</v>
      </c>
      <c r="G194" s="182">
        <v>4.0</v>
      </c>
      <c r="H194" s="182">
        <v>67.0</v>
      </c>
      <c r="I194" s="182">
        <v>33.0</v>
      </c>
      <c r="J194" s="182">
        <v>8.0</v>
      </c>
      <c r="K194" s="182">
        <v>19.0</v>
      </c>
      <c r="L194" s="182">
        <v>4.0</v>
      </c>
      <c r="M194" s="182">
        <v>4.0</v>
      </c>
      <c r="N194" s="182">
        <v>50.0</v>
      </c>
      <c r="O194" s="182">
        <v>50.0</v>
      </c>
      <c r="P194" s="189" t="s">
        <v>153</v>
      </c>
    </row>
    <row r="195">
      <c r="A195" s="182" t="s">
        <v>185</v>
      </c>
      <c r="B195" s="182" t="s">
        <v>32</v>
      </c>
      <c r="C195" s="182" t="s">
        <v>231</v>
      </c>
      <c r="D195" s="182">
        <v>33.0</v>
      </c>
      <c r="E195" s="182">
        <v>57.0</v>
      </c>
      <c r="F195" s="182">
        <v>20.0</v>
      </c>
      <c r="G195" s="182">
        <v>13.0</v>
      </c>
      <c r="H195" s="182">
        <v>61.0</v>
      </c>
      <c r="I195" s="182">
        <v>39.0</v>
      </c>
      <c r="J195" s="182">
        <v>20.0</v>
      </c>
      <c r="K195" s="182">
        <v>47.0</v>
      </c>
      <c r="L195" s="182">
        <v>8.0</v>
      </c>
      <c r="M195" s="182">
        <v>12.0</v>
      </c>
      <c r="N195" s="182">
        <v>40.0</v>
      </c>
      <c r="O195" s="182">
        <v>60.0</v>
      </c>
      <c r="P195" s="189" t="s">
        <v>153</v>
      </c>
    </row>
    <row r="196">
      <c r="A196" s="182" t="s">
        <v>185</v>
      </c>
      <c r="B196" s="182" t="s">
        <v>36</v>
      </c>
      <c r="C196" s="182" t="s">
        <v>228</v>
      </c>
      <c r="D196" s="182">
        <v>19.0</v>
      </c>
      <c r="E196" s="182">
        <v>51.0</v>
      </c>
      <c r="F196" s="182">
        <v>13.0</v>
      </c>
      <c r="G196" s="182">
        <v>6.0</v>
      </c>
      <c r="H196" s="182">
        <v>68.0</v>
      </c>
      <c r="I196" s="182">
        <v>32.0</v>
      </c>
      <c r="J196" s="182">
        <v>13.0</v>
      </c>
      <c r="K196" s="182">
        <v>41.0</v>
      </c>
      <c r="L196" s="182">
        <v>4.0</v>
      </c>
      <c r="M196" s="182">
        <v>9.0</v>
      </c>
      <c r="N196" s="182">
        <v>31.0</v>
      </c>
      <c r="O196" s="182">
        <v>69.0</v>
      </c>
      <c r="P196" s="189" t="s">
        <v>154</v>
      </c>
    </row>
    <row r="197">
      <c r="A197" s="182" t="s">
        <v>185</v>
      </c>
      <c r="B197" s="182" t="s">
        <v>36</v>
      </c>
      <c r="C197" s="182" t="s">
        <v>229</v>
      </c>
      <c r="D197" s="182">
        <v>18.0</v>
      </c>
      <c r="E197" s="182">
        <v>49.0</v>
      </c>
      <c r="F197" s="182">
        <v>9.0</v>
      </c>
      <c r="G197" s="182">
        <v>9.0</v>
      </c>
      <c r="H197" s="182">
        <v>50.0</v>
      </c>
      <c r="I197" s="182">
        <v>50.0</v>
      </c>
      <c r="J197" s="182">
        <v>19.0</v>
      </c>
      <c r="K197" s="182">
        <v>59.0</v>
      </c>
      <c r="L197" s="182">
        <v>8.0</v>
      </c>
      <c r="M197" s="182">
        <v>11.0</v>
      </c>
      <c r="N197" s="182">
        <v>42.0</v>
      </c>
      <c r="O197" s="182">
        <v>58.0</v>
      </c>
      <c r="P197" s="189" t="s">
        <v>154</v>
      </c>
    </row>
    <row r="198">
      <c r="A198" s="182" t="s">
        <v>185</v>
      </c>
      <c r="B198" s="182" t="s">
        <v>40</v>
      </c>
      <c r="C198" s="182" t="s">
        <v>228</v>
      </c>
      <c r="D198" s="182">
        <v>23.0</v>
      </c>
      <c r="E198" s="182">
        <v>52.0</v>
      </c>
      <c r="F198" s="182">
        <v>15.0</v>
      </c>
      <c r="G198" s="182">
        <v>8.0</v>
      </c>
      <c r="H198" s="182">
        <v>65.0</v>
      </c>
      <c r="I198" s="182">
        <v>35.0</v>
      </c>
      <c r="J198" s="182">
        <v>17.0</v>
      </c>
      <c r="K198" s="182">
        <v>45.0</v>
      </c>
      <c r="L198" s="182">
        <v>3.0</v>
      </c>
      <c r="M198" s="182">
        <v>14.0</v>
      </c>
      <c r="N198" s="182">
        <v>18.0</v>
      </c>
      <c r="O198" s="182">
        <v>82.0</v>
      </c>
      <c r="P198" s="189" t="s">
        <v>155</v>
      </c>
    </row>
    <row r="199">
      <c r="A199" s="182" t="s">
        <v>185</v>
      </c>
      <c r="B199" s="182" t="s">
        <v>40</v>
      </c>
      <c r="C199" s="182" t="s">
        <v>229</v>
      </c>
      <c r="D199" s="182">
        <v>8.0</v>
      </c>
      <c r="E199" s="182">
        <v>18.0</v>
      </c>
      <c r="F199" s="182">
        <v>5.0</v>
      </c>
      <c r="G199" s="182">
        <v>3.0</v>
      </c>
      <c r="H199" s="182">
        <v>63.0</v>
      </c>
      <c r="I199" s="182">
        <v>38.0</v>
      </c>
      <c r="J199" s="182">
        <v>6.0</v>
      </c>
      <c r="K199" s="182">
        <v>16.0</v>
      </c>
      <c r="L199" s="182">
        <v>0.0</v>
      </c>
      <c r="M199" s="182">
        <v>6.0</v>
      </c>
      <c r="N199" s="182">
        <v>0.0</v>
      </c>
      <c r="O199" s="182">
        <v>100.0</v>
      </c>
      <c r="P199" s="189" t="s">
        <v>155</v>
      </c>
    </row>
    <row r="200">
      <c r="A200" s="182" t="s">
        <v>185</v>
      </c>
      <c r="B200" s="182" t="s">
        <v>40</v>
      </c>
      <c r="C200" s="182" t="s">
        <v>231</v>
      </c>
      <c r="D200" s="182">
        <v>13.0</v>
      </c>
      <c r="E200" s="182">
        <v>30.0</v>
      </c>
      <c r="F200" s="182">
        <v>8.0</v>
      </c>
      <c r="G200" s="182">
        <v>5.0</v>
      </c>
      <c r="H200" s="182">
        <v>62.0</v>
      </c>
      <c r="I200" s="182">
        <v>38.0</v>
      </c>
      <c r="J200" s="182">
        <v>15.0</v>
      </c>
      <c r="K200" s="182">
        <v>39.0</v>
      </c>
      <c r="L200" s="182">
        <v>4.0</v>
      </c>
      <c r="M200" s="182">
        <v>11.0</v>
      </c>
      <c r="N200" s="182">
        <v>27.0</v>
      </c>
      <c r="O200" s="182">
        <v>73.0</v>
      </c>
      <c r="P200" s="189" t="s">
        <v>155</v>
      </c>
    </row>
    <row r="201">
      <c r="A201" s="182" t="s">
        <v>185</v>
      </c>
      <c r="B201" s="182" t="s">
        <v>43</v>
      </c>
      <c r="C201" s="182" t="s">
        <v>228</v>
      </c>
      <c r="D201" s="182">
        <v>2.0</v>
      </c>
      <c r="E201" s="182">
        <v>33.0</v>
      </c>
      <c r="F201" s="182">
        <v>1.0</v>
      </c>
      <c r="G201" s="182">
        <v>1.0</v>
      </c>
      <c r="H201" s="182">
        <v>50.0</v>
      </c>
      <c r="I201" s="182">
        <v>50.0</v>
      </c>
      <c r="J201" s="182">
        <v>2.0</v>
      </c>
      <c r="K201" s="182">
        <v>100.0</v>
      </c>
      <c r="L201" s="182">
        <v>1.0</v>
      </c>
      <c r="M201" s="182">
        <v>1.0</v>
      </c>
      <c r="N201" s="182">
        <v>50.0</v>
      </c>
      <c r="O201" s="182">
        <v>50.0</v>
      </c>
      <c r="P201" s="189" t="s">
        <v>156</v>
      </c>
    </row>
    <row r="202">
      <c r="A202" s="182" t="s">
        <v>185</v>
      </c>
      <c r="B202" s="182" t="s">
        <v>43</v>
      </c>
      <c r="C202" s="182" t="s">
        <v>229</v>
      </c>
      <c r="D202" s="182">
        <v>4.0</v>
      </c>
      <c r="E202" s="182">
        <v>67.0</v>
      </c>
      <c r="F202" s="182">
        <v>4.0</v>
      </c>
      <c r="G202" s="182">
        <v>0.0</v>
      </c>
      <c r="H202" s="182">
        <v>100.0</v>
      </c>
      <c r="I202" s="182">
        <v>0.0</v>
      </c>
      <c r="J202" s="182">
        <v>0.0</v>
      </c>
      <c r="K202" s="182">
        <v>0.0</v>
      </c>
      <c r="L202" s="182">
        <v>0.0</v>
      </c>
      <c r="M202" s="182">
        <v>0.0</v>
      </c>
      <c r="N202" s="182">
        <v>0.0</v>
      </c>
      <c r="O202" s="182">
        <v>0.0</v>
      </c>
      <c r="P202" s="189" t="s">
        <v>156</v>
      </c>
    </row>
    <row r="203">
      <c r="A203" s="182" t="s">
        <v>185</v>
      </c>
      <c r="B203" s="182" t="s">
        <v>45</v>
      </c>
      <c r="C203" s="182" t="s">
        <v>228</v>
      </c>
      <c r="D203" s="182">
        <v>3.0</v>
      </c>
      <c r="E203" s="182">
        <v>50.0</v>
      </c>
      <c r="F203" s="182">
        <v>0.0</v>
      </c>
      <c r="G203" s="182">
        <v>3.0</v>
      </c>
      <c r="H203" s="182">
        <v>0.0</v>
      </c>
      <c r="I203" s="182">
        <v>100.0</v>
      </c>
      <c r="J203" s="182">
        <v>2.0</v>
      </c>
      <c r="K203" s="182">
        <v>67.0</v>
      </c>
      <c r="L203" s="182">
        <v>0.0</v>
      </c>
      <c r="M203" s="182">
        <v>2.0</v>
      </c>
      <c r="N203" s="182">
        <v>0.0</v>
      </c>
      <c r="O203" s="182">
        <v>100.0</v>
      </c>
      <c r="P203" s="189" t="s">
        <v>157</v>
      </c>
    </row>
    <row r="204">
      <c r="A204" s="182" t="s">
        <v>185</v>
      </c>
      <c r="B204" s="182" t="s">
        <v>45</v>
      </c>
      <c r="C204" s="182" t="s">
        <v>229</v>
      </c>
      <c r="D204" s="182">
        <v>3.0</v>
      </c>
      <c r="E204" s="182">
        <v>50.0</v>
      </c>
      <c r="F204" s="182">
        <v>2.0</v>
      </c>
      <c r="G204" s="182">
        <v>1.0</v>
      </c>
      <c r="H204" s="182">
        <v>67.0</v>
      </c>
      <c r="I204" s="182">
        <v>33.0</v>
      </c>
      <c r="J204" s="182">
        <v>1.0</v>
      </c>
      <c r="K204" s="182">
        <v>33.0</v>
      </c>
      <c r="L204" s="182">
        <v>0.0</v>
      </c>
      <c r="M204" s="182">
        <v>1.0</v>
      </c>
      <c r="N204" s="182">
        <v>0.0</v>
      </c>
      <c r="O204" s="182">
        <v>100.0</v>
      </c>
      <c r="P204" s="189" t="s">
        <v>157</v>
      </c>
    </row>
    <row r="205">
      <c r="A205" s="182" t="s">
        <v>185</v>
      </c>
      <c r="B205" s="182" t="s">
        <v>38</v>
      </c>
      <c r="C205" s="182" t="s">
        <v>228</v>
      </c>
      <c r="D205" s="182">
        <v>18.0</v>
      </c>
      <c r="E205" s="182">
        <v>39.0</v>
      </c>
      <c r="F205" s="182">
        <v>13.0</v>
      </c>
      <c r="G205" s="182">
        <v>5.0</v>
      </c>
      <c r="H205" s="182">
        <v>72.0</v>
      </c>
      <c r="I205" s="182">
        <v>28.0</v>
      </c>
      <c r="J205" s="182">
        <v>23.0</v>
      </c>
      <c r="K205" s="182">
        <v>58.0</v>
      </c>
      <c r="L205" s="182">
        <v>4.0</v>
      </c>
      <c r="M205" s="182">
        <v>19.0</v>
      </c>
      <c r="N205" s="182">
        <v>17.0</v>
      </c>
      <c r="O205" s="182">
        <v>83.0</v>
      </c>
      <c r="P205" s="189" t="s">
        <v>158</v>
      </c>
    </row>
    <row r="206">
      <c r="A206" s="182" t="s">
        <v>185</v>
      </c>
      <c r="B206" s="182" t="s">
        <v>38</v>
      </c>
      <c r="C206" s="182" t="s">
        <v>229</v>
      </c>
      <c r="D206" s="182">
        <v>28.0</v>
      </c>
      <c r="E206" s="182">
        <v>61.0</v>
      </c>
      <c r="F206" s="182">
        <v>16.0</v>
      </c>
      <c r="G206" s="182">
        <v>12.0</v>
      </c>
      <c r="H206" s="182">
        <v>57.0</v>
      </c>
      <c r="I206" s="182">
        <v>43.0</v>
      </c>
      <c r="J206" s="182">
        <v>17.0</v>
      </c>
      <c r="K206" s="182">
        <v>43.0</v>
      </c>
      <c r="L206" s="182">
        <v>5.0</v>
      </c>
      <c r="M206" s="182">
        <v>12.0</v>
      </c>
      <c r="N206" s="182">
        <v>29.0</v>
      </c>
      <c r="O206" s="182">
        <v>71.0</v>
      </c>
      <c r="P206" s="189" t="s">
        <v>158</v>
      </c>
    </row>
    <row r="207">
      <c r="A207" s="182" t="s">
        <v>184</v>
      </c>
      <c r="B207" s="182" t="s">
        <v>227</v>
      </c>
      <c r="C207" s="182" t="s">
        <v>228</v>
      </c>
      <c r="D207" s="182">
        <v>5.0</v>
      </c>
      <c r="E207" s="182">
        <v>29.0</v>
      </c>
      <c r="F207" s="182">
        <v>5.0</v>
      </c>
      <c r="G207" s="182">
        <v>0.0</v>
      </c>
      <c r="H207" s="182">
        <v>100.0</v>
      </c>
      <c r="I207" s="182">
        <v>0.0</v>
      </c>
      <c r="J207" s="182">
        <v>15.0</v>
      </c>
      <c r="K207" s="182">
        <v>63.0</v>
      </c>
      <c r="L207" s="182">
        <v>6.0</v>
      </c>
      <c r="M207" s="182">
        <v>9.0</v>
      </c>
      <c r="N207" s="182">
        <v>40.0</v>
      </c>
      <c r="O207" s="182">
        <v>60.0</v>
      </c>
      <c r="P207" s="189" t="s">
        <v>159</v>
      </c>
    </row>
    <row r="208">
      <c r="A208" s="182" t="s">
        <v>184</v>
      </c>
      <c r="B208" s="182" t="s">
        <v>227</v>
      </c>
      <c r="C208" s="182" t="s">
        <v>229</v>
      </c>
      <c r="D208" s="182">
        <v>12.0</v>
      </c>
      <c r="E208" s="182">
        <v>71.0</v>
      </c>
      <c r="F208" s="182">
        <v>8.0</v>
      </c>
      <c r="G208" s="182">
        <v>4.0</v>
      </c>
      <c r="H208" s="182">
        <v>67.0</v>
      </c>
      <c r="I208" s="182">
        <v>33.0</v>
      </c>
      <c r="J208" s="182">
        <v>9.0</v>
      </c>
      <c r="K208" s="182">
        <v>38.0</v>
      </c>
      <c r="L208" s="182">
        <v>5.0</v>
      </c>
      <c r="M208" s="182">
        <v>4.0</v>
      </c>
      <c r="N208" s="182">
        <v>56.0</v>
      </c>
      <c r="O208" s="182">
        <v>44.0</v>
      </c>
      <c r="P208" s="189" t="s">
        <v>159</v>
      </c>
    </row>
    <row r="209">
      <c r="A209" s="182" t="s">
        <v>184</v>
      </c>
      <c r="B209" s="182" t="s">
        <v>34</v>
      </c>
      <c r="C209" s="182" t="s">
        <v>228</v>
      </c>
      <c r="D209" s="182">
        <v>16.0</v>
      </c>
      <c r="E209" s="182">
        <v>57.0</v>
      </c>
      <c r="F209" s="182">
        <v>13.0</v>
      </c>
      <c r="G209" s="182">
        <v>3.0</v>
      </c>
      <c r="H209" s="182">
        <v>81.0</v>
      </c>
      <c r="I209" s="182">
        <v>19.0</v>
      </c>
      <c r="J209" s="182">
        <v>11.0</v>
      </c>
      <c r="K209" s="182">
        <v>61.0</v>
      </c>
      <c r="L209" s="182">
        <v>4.0</v>
      </c>
      <c r="M209" s="182">
        <v>7.0</v>
      </c>
      <c r="N209" s="182">
        <v>36.0</v>
      </c>
      <c r="O209" s="182">
        <v>64.0</v>
      </c>
      <c r="P209" s="189" t="s">
        <v>160</v>
      </c>
    </row>
    <row r="210">
      <c r="A210" s="182" t="s">
        <v>184</v>
      </c>
      <c r="B210" s="182" t="s">
        <v>34</v>
      </c>
      <c r="C210" s="182" t="s">
        <v>229</v>
      </c>
      <c r="D210" s="182">
        <v>12.0</v>
      </c>
      <c r="E210" s="182">
        <v>43.0</v>
      </c>
      <c r="F210" s="182">
        <v>8.0</v>
      </c>
      <c r="G210" s="182">
        <v>4.0</v>
      </c>
      <c r="H210" s="182">
        <v>67.0</v>
      </c>
      <c r="I210" s="182">
        <v>33.0</v>
      </c>
      <c r="J210" s="182">
        <v>7.0</v>
      </c>
      <c r="K210" s="182">
        <v>39.0</v>
      </c>
      <c r="L210" s="182">
        <v>2.0</v>
      </c>
      <c r="M210" s="182">
        <v>5.0</v>
      </c>
      <c r="N210" s="182">
        <v>29.0</v>
      </c>
      <c r="O210" s="182">
        <v>71.0</v>
      </c>
      <c r="P210" s="189" t="s">
        <v>160</v>
      </c>
    </row>
    <row r="211">
      <c r="A211" s="182" t="s">
        <v>184</v>
      </c>
      <c r="B211" s="182" t="s">
        <v>42</v>
      </c>
      <c r="C211" s="182" t="s">
        <v>228</v>
      </c>
      <c r="D211" s="182">
        <v>13.0</v>
      </c>
      <c r="E211" s="182">
        <v>39.0</v>
      </c>
      <c r="F211" s="182">
        <v>7.0</v>
      </c>
      <c r="G211" s="182">
        <v>6.0</v>
      </c>
      <c r="H211" s="182">
        <v>54.0</v>
      </c>
      <c r="I211" s="182">
        <v>46.0</v>
      </c>
      <c r="J211" s="182">
        <v>8.0</v>
      </c>
      <c r="K211" s="182">
        <v>42.0</v>
      </c>
      <c r="L211" s="182">
        <v>2.0</v>
      </c>
      <c r="M211" s="182">
        <v>6.0</v>
      </c>
      <c r="N211" s="182">
        <v>25.0</v>
      </c>
      <c r="O211" s="182">
        <v>75.0</v>
      </c>
      <c r="P211" s="189" t="s">
        <v>161</v>
      </c>
    </row>
    <row r="212">
      <c r="A212" s="182" t="s">
        <v>184</v>
      </c>
      <c r="B212" s="182" t="s">
        <v>42</v>
      </c>
      <c r="C212" s="182" t="s">
        <v>229</v>
      </c>
      <c r="D212" s="182">
        <v>20.0</v>
      </c>
      <c r="E212" s="182">
        <v>61.0</v>
      </c>
      <c r="F212" s="182">
        <v>15.0</v>
      </c>
      <c r="G212" s="182">
        <v>5.0</v>
      </c>
      <c r="H212" s="182">
        <v>75.0</v>
      </c>
      <c r="I212" s="182">
        <v>25.0</v>
      </c>
      <c r="J212" s="182">
        <v>11.0</v>
      </c>
      <c r="K212" s="182">
        <v>58.0</v>
      </c>
      <c r="L212" s="182">
        <v>5.0</v>
      </c>
      <c r="M212" s="182">
        <v>6.0</v>
      </c>
      <c r="N212" s="182">
        <v>45.0</v>
      </c>
      <c r="O212" s="182">
        <v>55.0</v>
      </c>
      <c r="P212" s="189" t="s">
        <v>161</v>
      </c>
    </row>
    <row r="213">
      <c r="A213" s="182" t="s">
        <v>184</v>
      </c>
      <c r="B213" s="182" t="s">
        <v>32</v>
      </c>
      <c r="C213" s="182" t="s">
        <v>228</v>
      </c>
      <c r="D213" s="182">
        <v>11.0</v>
      </c>
      <c r="E213" s="182">
        <v>30.0</v>
      </c>
      <c r="F213" s="182">
        <v>8.0</v>
      </c>
      <c r="G213" s="182">
        <v>3.0</v>
      </c>
      <c r="H213" s="182">
        <v>73.0</v>
      </c>
      <c r="I213" s="182">
        <v>27.0</v>
      </c>
      <c r="J213" s="182">
        <v>7.0</v>
      </c>
      <c r="K213" s="182">
        <v>16.0</v>
      </c>
      <c r="L213" s="182">
        <v>4.0</v>
      </c>
      <c r="M213" s="182">
        <v>3.0</v>
      </c>
      <c r="N213" s="182">
        <v>57.0</v>
      </c>
      <c r="O213" s="182">
        <v>43.0</v>
      </c>
      <c r="P213" s="189" t="s">
        <v>162</v>
      </c>
    </row>
    <row r="214">
      <c r="A214" s="182" t="s">
        <v>184</v>
      </c>
      <c r="B214" s="182" t="s">
        <v>32</v>
      </c>
      <c r="C214" s="182" t="s">
        <v>229</v>
      </c>
      <c r="D214" s="182">
        <v>4.0</v>
      </c>
      <c r="E214" s="182">
        <v>11.0</v>
      </c>
      <c r="F214" s="182">
        <v>1.0</v>
      </c>
      <c r="G214" s="182">
        <v>3.0</v>
      </c>
      <c r="H214" s="182">
        <v>25.0</v>
      </c>
      <c r="I214" s="182">
        <v>75.0</v>
      </c>
      <c r="J214" s="182">
        <v>9.0</v>
      </c>
      <c r="K214" s="182">
        <v>21.0</v>
      </c>
      <c r="L214" s="182">
        <v>4.0</v>
      </c>
      <c r="M214" s="182">
        <v>5.0</v>
      </c>
      <c r="N214" s="182">
        <v>44.0</v>
      </c>
      <c r="O214" s="182">
        <v>56.0</v>
      </c>
      <c r="P214" s="189" t="s">
        <v>162</v>
      </c>
    </row>
    <row r="215">
      <c r="A215" s="182" t="s">
        <v>184</v>
      </c>
      <c r="B215" s="182" t="s">
        <v>32</v>
      </c>
      <c r="C215" s="182" t="s">
        <v>231</v>
      </c>
      <c r="D215" s="182">
        <v>22.0</v>
      </c>
      <c r="E215" s="182">
        <v>59.0</v>
      </c>
      <c r="F215" s="182">
        <v>15.0</v>
      </c>
      <c r="G215" s="182">
        <v>7.0</v>
      </c>
      <c r="H215" s="182">
        <v>68.0</v>
      </c>
      <c r="I215" s="182">
        <v>32.0</v>
      </c>
      <c r="J215" s="182">
        <v>27.0</v>
      </c>
      <c r="K215" s="182">
        <v>63.0</v>
      </c>
      <c r="L215" s="182">
        <v>12.0</v>
      </c>
      <c r="M215" s="182">
        <v>15.0</v>
      </c>
      <c r="N215" s="182">
        <v>44.0</v>
      </c>
      <c r="O215" s="182">
        <v>56.0</v>
      </c>
      <c r="P215" s="189" t="s">
        <v>162</v>
      </c>
    </row>
    <row r="216">
      <c r="A216" s="182" t="s">
        <v>184</v>
      </c>
      <c r="B216" s="182" t="s">
        <v>36</v>
      </c>
      <c r="C216" s="182" t="s">
        <v>228</v>
      </c>
      <c r="D216" s="182">
        <v>16.0</v>
      </c>
      <c r="E216" s="182">
        <v>70.0</v>
      </c>
      <c r="F216" s="182">
        <v>13.0</v>
      </c>
      <c r="G216" s="182">
        <v>3.0</v>
      </c>
      <c r="H216" s="182">
        <v>81.0</v>
      </c>
      <c r="I216" s="182">
        <v>19.0</v>
      </c>
      <c r="J216" s="182">
        <v>18.0</v>
      </c>
      <c r="K216" s="182">
        <v>49.0</v>
      </c>
      <c r="L216" s="182">
        <v>10.0</v>
      </c>
      <c r="M216" s="182">
        <v>8.0</v>
      </c>
      <c r="N216" s="182">
        <v>56.0</v>
      </c>
      <c r="O216" s="182">
        <v>44.0</v>
      </c>
      <c r="P216" s="189" t="s">
        <v>163</v>
      </c>
    </row>
    <row r="217">
      <c r="A217" s="182" t="s">
        <v>184</v>
      </c>
      <c r="B217" s="182" t="s">
        <v>36</v>
      </c>
      <c r="C217" s="182" t="s">
        <v>229</v>
      </c>
      <c r="D217" s="182">
        <v>7.0</v>
      </c>
      <c r="E217" s="182">
        <v>30.0</v>
      </c>
      <c r="F217" s="182">
        <v>4.0</v>
      </c>
      <c r="G217" s="182">
        <v>3.0</v>
      </c>
      <c r="H217" s="182">
        <v>57.0</v>
      </c>
      <c r="I217" s="182">
        <v>43.0</v>
      </c>
      <c r="J217" s="182">
        <v>19.0</v>
      </c>
      <c r="K217" s="182">
        <v>51.0</v>
      </c>
      <c r="L217" s="182">
        <v>13.0</v>
      </c>
      <c r="M217" s="182">
        <v>6.0</v>
      </c>
      <c r="N217" s="182">
        <v>68.0</v>
      </c>
      <c r="O217" s="182">
        <v>32.0</v>
      </c>
      <c r="P217" s="189" t="s">
        <v>163</v>
      </c>
    </row>
    <row r="218">
      <c r="A218" s="182" t="s">
        <v>184</v>
      </c>
      <c r="B218" s="182" t="s">
        <v>40</v>
      </c>
      <c r="C218" s="182" t="s">
        <v>228</v>
      </c>
      <c r="D218" s="182">
        <v>24.0</v>
      </c>
      <c r="E218" s="182">
        <v>49.0</v>
      </c>
      <c r="F218" s="182">
        <v>17.0</v>
      </c>
      <c r="G218" s="182">
        <v>7.0</v>
      </c>
      <c r="H218" s="182">
        <v>71.0</v>
      </c>
      <c r="I218" s="182">
        <v>29.0</v>
      </c>
      <c r="J218" s="182">
        <v>29.0</v>
      </c>
      <c r="K218" s="182">
        <v>54.0</v>
      </c>
      <c r="L218" s="182">
        <v>10.0</v>
      </c>
      <c r="M218" s="182">
        <v>19.0</v>
      </c>
      <c r="N218" s="182">
        <v>34.0</v>
      </c>
      <c r="O218" s="182">
        <v>66.0</v>
      </c>
      <c r="P218" s="189" t="s">
        <v>164</v>
      </c>
    </row>
    <row r="219">
      <c r="A219" s="182" t="s">
        <v>184</v>
      </c>
      <c r="B219" s="182" t="s">
        <v>40</v>
      </c>
      <c r="C219" s="182" t="s">
        <v>229</v>
      </c>
      <c r="D219" s="182">
        <v>11.0</v>
      </c>
      <c r="E219" s="182">
        <v>22.0</v>
      </c>
      <c r="F219" s="182">
        <v>10.0</v>
      </c>
      <c r="G219" s="182">
        <v>1.0</v>
      </c>
      <c r="H219" s="182">
        <v>91.0</v>
      </c>
      <c r="I219" s="182">
        <v>9.0</v>
      </c>
      <c r="J219" s="182">
        <v>7.0</v>
      </c>
      <c r="K219" s="182">
        <v>13.0</v>
      </c>
      <c r="L219" s="182">
        <v>5.0</v>
      </c>
      <c r="M219" s="182">
        <v>2.0</v>
      </c>
      <c r="N219" s="182">
        <v>71.0</v>
      </c>
      <c r="O219" s="182">
        <v>29.0</v>
      </c>
      <c r="P219" s="189" t="s">
        <v>164</v>
      </c>
    </row>
    <row r="220">
      <c r="A220" s="182" t="s">
        <v>184</v>
      </c>
      <c r="B220" s="182" t="s">
        <v>40</v>
      </c>
      <c r="C220" s="182" t="s">
        <v>231</v>
      </c>
      <c r="D220" s="182">
        <v>14.0</v>
      </c>
      <c r="E220" s="182">
        <v>29.0</v>
      </c>
      <c r="F220" s="182">
        <v>12.0</v>
      </c>
      <c r="G220" s="182">
        <v>2.0</v>
      </c>
      <c r="H220" s="182">
        <v>86.0</v>
      </c>
      <c r="I220" s="182">
        <v>14.0</v>
      </c>
      <c r="J220" s="182">
        <v>18.0</v>
      </c>
      <c r="K220" s="182">
        <v>33.0</v>
      </c>
      <c r="L220" s="182">
        <v>7.0</v>
      </c>
      <c r="M220" s="182">
        <v>11.0</v>
      </c>
      <c r="N220" s="182">
        <v>39.0</v>
      </c>
      <c r="O220" s="182">
        <v>61.0</v>
      </c>
      <c r="P220" s="189" t="s">
        <v>164</v>
      </c>
    </row>
    <row r="221">
      <c r="A221" s="182" t="s">
        <v>184</v>
      </c>
      <c r="B221" s="182" t="s">
        <v>45</v>
      </c>
      <c r="C221" s="182" t="s">
        <v>228</v>
      </c>
      <c r="D221" s="182">
        <v>8.0</v>
      </c>
      <c r="E221" s="182">
        <v>62.0</v>
      </c>
      <c r="F221" s="182">
        <v>8.0</v>
      </c>
      <c r="G221" s="182">
        <v>0.0</v>
      </c>
      <c r="H221" s="182">
        <v>100.0</v>
      </c>
      <c r="I221" s="182">
        <v>0.0</v>
      </c>
      <c r="J221" s="182">
        <v>8.0</v>
      </c>
      <c r="K221" s="182">
        <v>50.0</v>
      </c>
      <c r="L221" s="182">
        <v>3.0</v>
      </c>
      <c r="M221" s="182">
        <v>5.0</v>
      </c>
      <c r="N221" s="182">
        <v>38.0</v>
      </c>
      <c r="O221" s="182">
        <v>63.0</v>
      </c>
      <c r="P221" s="189" t="s">
        <v>165</v>
      </c>
    </row>
    <row r="222">
      <c r="A222" s="182" t="s">
        <v>184</v>
      </c>
      <c r="B222" s="182" t="s">
        <v>45</v>
      </c>
      <c r="C222" s="182" t="s">
        <v>229</v>
      </c>
      <c r="D222" s="182">
        <v>5.0</v>
      </c>
      <c r="E222" s="182">
        <v>38.0</v>
      </c>
      <c r="F222" s="182">
        <v>4.0</v>
      </c>
      <c r="G222" s="182">
        <v>1.0</v>
      </c>
      <c r="H222" s="182">
        <v>80.0</v>
      </c>
      <c r="I222" s="182">
        <v>20.0</v>
      </c>
      <c r="J222" s="182">
        <v>8.0</v>
      </c>
      <c r="K222" s="182">
        <v>50.0</v>
      </c>
      <c r="L222" s="182">
        <v>2.0</v>
      </c>
      <c r="M222" s="182">
        <v>6.0</v>
      </c>
      <c r="N222" s="182">
        <v>25.0</v>
      </c>
      <c r="O222" s="182">
        <v>75.0</v>
      </c>
      <c r="P222" s="189" t="s">
        <v>165</v>
      </c>
    </row>
    <row r="223">
      <c r="A223" s="182" t="s">
        <v>184</v>
      </c>
      <c r="B223" s="182" t="s">
        <v>38</v>
      </c>
      <c r="C223" s="182" t="s">
        <v>228</v>
      </c>
      <c r="D223" s="182">
        <v>15.0</v>
      </c>
      <c r="E223" s="182">
        <v>52.0</v>
      </c>
      <c r="F223" s="182">
        <v>12.0</v>
      </c>
      <c r="G223" s="182">
        <v>3.0</v>
      </c>
      <c r="H223" s="182">
        <v>80.0</v>
      </c>
      <c r="I223" s="182">
        <v>20.0</v>
      </c>
      <c r="J223" s="182">
        <v>14.0</v>
      </c>
      <c r="K223" s="182">
        <v>45.0</v>
      </c>
      <c r="L223" s="182">
        <v>4.0</v>
      </c>
      <c r="M223" s="182">
        <v>10.0</v>
      </c>
      <c r="N223" s="182">
        <v>29.0</v>
      </c>
      <c r="O223" s="182">
        <v>71.0</v>
      </c>
      <c r="P223" s="189" t="s">
        <v>166</v>
      </c>
    </row>
    <row r="224">
      <c r="A224" s="182" t="s">
        <v>184</v>
      </c>
      <c r="B224" s="182" t="s">
        <v>38</v>
      </c>
      <c r="C224" s="182" t="s">
        <v>229</v>
      </c>
      <c r="D224" s="182">
        <v>14.0</v>
      </c>
      <c r="E224" s="182">
        <v>48.0</v>
      </c>
      <c r="F224" s="182">
        <v>11.0</v>
      </c>
      <c r="G224" s="182">
        <v>3.0</v>
      </c>
      <c r="H224" s="182">
        <v>79.0</v>
      </c>
      <c r="I224" s="182">
        <v>21.0</v>
      </c>
      <c r="J224" s="182">
        <v>17.0</v>
      </c>
      <c r="K224" s="182">
        <v>55.0</v>
      </c>
      <c r="L224" s="182">
        <v>6.0</v>
      </c>
      <c r="M224" s="182">
        <v>11.0</v>
      </c>
      <c r="N224" s="182">
        <v>35.0</v>
      </c>
      <c r="O224" s="182">
        <v>65.0</v>
      </c>
      <c r="P224" s="189" t="s">
        <v>166</v>
      </c>
    </row>
    <row r="225">
      <c r="A225" s="182" t="s">
        <v>188</v>
      </c>
      <c r="B225" s="182" t="s">
        <v>227</v>
      </c>
      <c r="C225" s="182" t="s">
        <v>228</v>
      </c>
      <c r="D225" s="182">
        <v>6.0</v>
      </c>
      <c r="E225" s="182">
        <v>43.0</v>
      </c>
      <c r="F225" s="182">
        <v>6.0</v>
      </c>
      <c r="G225" s="182">
        <v>0.0</v>
      </c>
      <c r="H225" s="182">
        <v>100.0</v>
      </c>
      <c r="I225" s="182">
        <v>0.0</v>
      </c>
      <c r="J225" s="182">
        <v>9.0</v>
      </c>
      <c r="K225" s="182">
        <v>69.0</v>
      </c>
      <c r="L225" s="182">
        <v>4.0</v>
      </c>
      <c r="M225" s="182">
        <v>5.0</v>
      </c>
      <c r="N225" s="182">
        <v>44.0</v>
      </c>
      <c r="O225" s="182">
        <v>56.0</v>
      </c>
      <c r="P225" s="189" t="s">
        <v>167</v>
      </c>
    </row>
    <row r="226">
      <c r="A226" s="182" t="s">
        <v>188</v>
      </c>
      <c r="B226" s="182" t="s">
        <v>227</v>
      </c>
      <c r="C226" s="182" t="s">
        <v>229</v>
      </c>
      <c r="D226" s="182">
        <v>8.0</v>
      </c>
      <c r="E226" s="182">
        <v>57.0</v>
      </c>
      <c r="F226" s="182">
        <v>8.0</v>
      </c>
      <c r="G226" s="182">
        <v>0.0</v>
      </c>
      <c r="H226" s="182">
        <v>100.0</v>
      </c>
      <c r="I226" s="182">
        <v>0.0</v>
      </c>
      <c r="J226" s="182">
        <v>4.0</v>
      </c>
      <c r="K226" s="182">
        <v>31.0</v>
      </c>
      <c r="L226" s="182">
        <v>2.0</v>
      </c>
      <c r="M226" s="182">
        <v>2.0</v>
      </c>
      <c r="N226" s="182">
        <v>50.0</v>
      </c>
      <c r="O226" s="182">
        <v>50.0</v>
      </c>
      <c r="P226" s="189" t="s">
        <v>167</v>
      </c>
    </row>
    <row r="227">
      <c r="A227" s="182" t="s">
        <v>188</v>
      </c>
      <c r="B227" s="182" t="s">
        <v>34</v>
      </c>
      <c r="C227" s="182" t="s">
        <v>228</v>
      </c>
      <c r="D227" s="182">
        <v>6.0</v>
      </c>
      <c r="E227" s="182">
        <v>55.0</v>
      </c>
      <c r="F227" s="182">
        <v>5.0</v>
      </c>
      <c r="G227" s="182">
        <v>1.0</v>
      </c>
      <c r="H227" s="182">
        <v>83.0</v>
      </c>
      <c r="I227" s="182">
        <v>17.0</v>
      </c>
      <c r="J227" s="182">
        <v>6.0</v>
      </c>
      <c r="K227" s="182">
        <v>55.0</v>
      </c>
      <c r="L227" s="182">
        <v>4.0</v>
      </c>
      <c r="M227" s="182">
        <v>2.0</v>
      </c>
      <c r="N227" s="182">
        <v>67.0</v>
      </c>
      <c r="O227" s="182">
        <v>33.0</v>
      </c>
      <c r="P227" s="189" t="s">
        <v>168</v>
      </c>
    </row>
    <row r="228">
      <c r="A228" s="182" t="s">
        <v>188</v>
      </c>
      <c r="B228" s="182" t="s">
        <v>34</v>
      </c>
      <c r="C228" s="182" t="s">
        <v>229</v>
      </c>
      <c r="D228" s="182">
        <v>5.0</v>
      </c>
      <c r="E228" s="182">
        <v>45.0</v>
      </c>
      <c r="F228" s="182">
        <v>4.0</v>
      </c>
      <c r="G228" s="182">
        <v>1.0</v>
      </c>
      <c r="H228" s="182">
        <v>80.0</v>
      </c>
      <c r="I228" s="182">
        <v>20.0</v>
      </c>
      <c r="J228" s="182">
        <v>5.0</v>
      </c>
      <c r="K228" s="182">
        <v>45.0</v>
      </c>
      <c r="L228" s="182">
        <v>3.0</v>
      </c>
      <c r="M228" s="182">
        <v>2.0</v>
      </c>
      <c r="N228" s="182">
        <v>60.0</v>
      </c>
      <c r="O228" s="182">
        <v>40.0</v>
      </c>
      <c r="P228" s="189" t="s">
        <v>168</v>
      </c>
    </row>
    <row r="229">
      <c r="A229" s="182" t="s">
        <v>188</v>
      </c>
      <c r="B229" s="182" t="s">
        <v>42</v>
      </c>
      <c r="C229" s="182" t="s">
        <v>228</v>
      </c>
      <c r="D229" s="182">
        <v>9.0</v>
      </c>
      <c r="E229" s="182">
        <v>60.0</v>
      </c>
      <c r="F229" s="182">
        <v>5.0</v>
      </c>
      <c r="G229" s="182">
        <v>4.0</v>
      </c>
      <c r="H229" s="182">
        <v>56.0</v>
      </c>
      <c r="I229" s="182">
        <v>44.0</v>
      </c>
      <c r="J229" s="182">
        <v>2.0</v>
      </c>
      <c r="K229" s="182">
        <v>29.0</v>
      </c>
      <c r="L229" s="182">
        <v>2.0</v>
      </c>
      <c r="M229" s="182">
        <v>0.0</v>
      </c>
      <c r="N229" s="182">
        <v>100.0</v>
      </c>
      <c r="O229" s="182">
        <v>0.0</v>
      </c>
      <c r="P229" s="189" t="s">
        <v>169</v>
      </c>
    </row>
    <row r="230">
      <c r="A230" s="182" t="s">
        <v>188</v>
      </c>
      <c r="B230" s="182" t="s">
        <v>42</v>
      </c>
      <c r="C230" s="182" t="s">
        <v>229</v>
      </c>
      <c r="D230" s="182">
        <v>6.0</v>
      </c>
      <c r="E230" s="182">
        <v>40.0</v>
      </c>
      <c r="F230" s="182">
        <v>4.0</v>
      </c>
      <c r="G230" s="182">
        <v>2.0</v>
      </c>
      <c r="H230" s="182">
        <v>67.0</v>
      </c>
      <c r="I230" s="182">
        <v>33.0</v>
      </c>
      <c r="J230" s="182">
        <v>5.0</v>
      </c>
      <c r="K230" s="182">
        <v>71.0</v>
      </c>
      <c r="L230" s="182">
        <v>2.0</v>
      </c>
      <c r="M230" s="182">
        <v>3.0</v>
      </c>
      <c r="N230" s="182">
        <v>40.0</v>
      </c>
      <c r="O230" s="182">
        <v>60.0</v>
      </c>
      <c r="P230" s="189" t="s">
        <v>169</v>
      </c>
    </row>
    <row r="231">
      <c r="A231" s="182" t="s">
        <v>188</v>
      </c>
      <c r="B231" s="182" t="s">
        <v>32</v>
      </c>
      <c r="C231" s="182" t="s">
        <v>228</v>
      </c>
      <c r="D231" s="182">
        <v>11.0</v>
      </c>
      <c r="E231" s="182">
        <v>34.0</v>
      </c>
      <c r="F231" s="182">
        <v>7.0</v>
      </c>
      <c r="G231" s="182">
        <v>4.0</v>
      </c>
      <c r="H231" s="182">
        <v>64.0</v>
      </c>
      <c r="I231" s="182">
        <v>36.0</v>
      </c>
      <c r="J231" s="182">
        <v>23.0</v>
      </c>
      <c r="K231" s="182">
        <v>56.0</v>
      </c>
      <c r="L231" s="182">
        <v>5.0</v>
      </c>
      <c r="M231" s="182">
        <v>18.0</v>
      </c>
      <c r="N231" s="182">
        <v>22.0</v>
      </c>
      <c r="O231" s="182">
        <v>78.0</v>
      </c>
      <c r="P231" s="189" t="s">
        <v>170</v>
      </c>
    </row>
    <row r="232">
      <c r="A232" s="182" t="s">
        <v>188</v>
      </c>
      <c r="B232" s="182" t="s">
        <v>32</v>
      </c>
      <c r="C232" s="182" t="s">
        <v>229</v>
      </c>
      <c r="D232" s="182">
        <v>6.0</v>
      </c>
      <c r="E232" s="182">
        <v>19.0</v>
      </c>
      <c r="F232" s="182">
        <v>3.0</v>
      </c>
      <c r="G232" s="182">
        <v>3.0</v>
      </c>
      <c r="H232" s="182">
        <v>50.0</v>
      </c>
      <c r="I232" s="182">
        <v>50.0</v>
      </c>
      <c r="J232" s="182">
        <v>5.0</v>
      </c>
      <c r="K232" s="182">
        <v>12.0</v>
      </c>
      <c r="L232" s="182">
        <v>1.0</v>
      </c>
      <c r="M232" s="182">
        <v>4.0</v>
      </c>
      <c r="N232" s="182">
        <v>20.0</v>
      </c>
      <c r="O232" s="182">
        <v>80.0</v>
      </c>
      <c r="P232" s="189" t="s">
        <v>170</v>
      </c>
    </row>
    <row r="233">
      <c r="A233" s="182" t="s">
        <v>188</v>
      </c>
      <c r="B233" s="182" t="s">
        <v>32</v>
      </c>
      <c r="C233" s="182" t="s">
        <v>231</v>
      </c>
      <c r="D233" s="182">
        <v>15.0</v>
      </c>
      <c r="E233" s="182">
        <v>47.0</v>
      </c>
      <c r="F233" s="182">
        <v>12.0</v>
      </c>
      <c r="G233" s="182">
        <v>3.0</v>
      </c>
      <c r="H233" s="182">
        <v>80.0</v>
      </c>
      <c r="I233" s="182">
        <v>20.0</v>
      </c>
      <c r="J233" s="182">
        <v>13.0</v>
      </c>
      <c r="K233" s="182">
        <v>32.0</v>
      </c>
      <c r="L233" s="182">
        <v>4.0</v>
      </c>
      <c r="M233" s="182">
        <v>9.0</v>
      </c>
      <c r="N233" s="182">
        <v>31.0</v>
      </c>
      <c r="O233" s="182">
        <v>69.0</v>
      </c>
      <c r="P233" s="189" t="s">
        <v>170</v>
      </c>
    </row>
    <row r="234">
      <c r="A234" s="182" t="s">
        <v>188</v>
      </c>
      <c r="B234" s="182" t="s">
        <v>36</v>
      </c>
      <c r="C234" s="182" t="s">
        <v>228</v>
      </c>
      <c r="D234" s="182">
        <v>12.0</v>
      </c>
      <c r="E234" s="182">
        <v>67.0</v>
      </c>
      <c r="F234" s="182">
        <v>5.0</v>
      </c>
      <c r="G234" s="182">
        <v>7.0</v>
      </c>
      <c r="H234" s="182">
        <v>42.0</v>
      </c>
      <c r="I234" s="182">
        <v>58.0</v>
      </c>
      <c r="J234" s="182">
        <v>8.0</v>
      </c>
      <c r="K234" s="182">
        <v>47.0</v>
      </c>
      <c r="L234" s="182">
        <v>1.0</v>
      </c>
      <c r="M234" s="182">
        <v>7.0</v>
      </c>
      <c r="N234" s="182">
        <v>13.0</v>
      </c>
      <c r="O234" s="182">
        <v>88.0</v>
      </c>
      <c r="P234" s="189" t="s">
        <v>171</v>
      </c>
    </row>
    <row r="235">
      <c r="A235" s="182" t="s">
        <v>188</v>
      </c>
      <c r="B235" s="182" t="s">
        <v>36</v>
      </c>
      <c r="C235" s="182" t="s">
        <v>229</v>
      </c>
      <c r="D235" s="182">
        <v>6.0</v>
      </c>
      <c r="E235" s="182">
        <v>33.0</v>
      </c>
      <c r="F235" s="182">
        <v>6.0</v>
      </c>
      <c r="G235" s="182">
        <v>0.0</v>
      </c>
      <c r="H235" s="182">
        <v>100.0</v>
      </c>
      <c r="I235" s="182">
        <v>0.0</v>
      </c>
      <c r="J235" s="182">
        <v>9.0</v>
      </c>
      <c r="K235" s="182">
        <v>53.0</v>
      </c>
      <c r="L235" s="182">
        <v>2.0</v>
      </c>
      <c r="M235" s="182">
        <v>7.0</v>
      </c>
      <c r="N235" s="182">
        <v>22.0</v>
      </c>
      <c r="O235" s="182">
        <v>78.0</v>
      </c>
      <c r="P235" s="189" t="s">
        <v>171</v>
      </c>
    </row>
    <row r="236">
      <c r="A236" s="182" t="s">
        <v>188</v>
      </c>
      <c r="B236" s="182" t="s">
        <v>40</v>
      </c>
      <c r="C236" s="182" t="s">
        <v>228</v>
      </c>
      <c r="D236" s="182">
        <v>22.0</v>
      </c>
      <c r="E236" s="182">
        <v>42.0</v>
      </c>
      <c r="F236" s="182">
        <v>19.0</v>
      </c>
      <c r="G236" s="182">
        <v>3.0</v>
      </c>
      <c r="H236" s="182">
        <v>86.0</v>
      </c>
      <c r="I236" s="182">
        <v>14.0</v>
      </c>
      <c r="J236" s="182">
        <v>21.0</v>
      </c>
      <c r="K236" s="182">
        <v>49.0</v>
      </c>
      <c r="L236" s="182">
        <v>7.0</v>
      </c>
      <c r="M236" s="182">
        <v>14.0</v>
      </c>
      <c r="N236" s="182">
        <v>33.0</v>
      </c>
      <c r="O236" s="182">
        <v>67.0</v>
      </c>
      <c r="P236" s="189" t="s">
        <v>172</v>
      </c>
    </row>
    <row r="237">
      <c r="A237" s="182" t="s">
        <v>188</v>
      </c>
      <c r="B237" s="182" t="s">
        <v>40</v>
      </c>
      <c r="C237" s="182" t="s">
        <v>229</v>
      </c>
      <c r="D237" s="182">
        <v>14.0</v>
      </c>
      <c r="E237" s="182">
        <v>26.0</v>
      </c>
      <c r="F237" s="182">
        <v>11.0</v>
      </c>
      <c r="G237" s="182">
        <v>3.0</v>
      </c>
      <c r="H237" s="182">
        <v>79.0</v>
      </c>
      <c r="I237" s="182">
        <v>21.0</v>
      </c>
      <c r="J237" s="182">
        <v>9.0</v>
      </c>
      <c r="K237" s="182">
        <v>21.0</v>
      </c>
      <c r="L237" s="182">
        <v>3.0</v>
      </c>
      <c r="M237" s="182">
        <v>6.0</v>
      </c>
      <c r="N237" s="182">
        <v>33.0</v>
      </c>
      <c r="O237" s="182">
        <v>67.0</v>
      </c>
      <c r="P237" s="189" t="s">
        <v>172</v>
      </c>
    </row>
    <row r="238">
      <c r="A238" s="182" t="s">
        <v>188</v>
      </c>
      <c r="B238" s="182" t="s">
        <v>40</v>
      </c>
      <c r="C238" s="182" t="s">
        <v>231</v>
      </c>
      <c r="D238" s="182">
        <v>17.0</v>
      </c>
      <c r="E238" s="182">
        <v>32.0</v>
      </c>
      <c r="F238" s="182">
        <v>14.0</v>
      </c>
      <c r="G238" s="182">
        <v>3.0</v>
      </c>
      <c r="H238" s="182">
        <v>82.0</v>
      </c>
      <c r="I238" s="182">
        <v>18.0</v>
      </c>
      <c r="J238" s="182">
        <v>13.0</v>
      </c>
      <c r="K238" s="182">
        <v>30.0</v>
      </c>
      <c r="L238" s="182">
        <v>4.0</v>
      </c>
      <c r="M238" s="182">
        <v>9.0</v>
      </c>
      <c r="N238" s="182">
        <v>31.0</v>
      </c>
      <c r="O238" s="182">
        <v>69.0</v>
      </c>
      <c r="P238" s="189" t="s">
        <v>172</v>
      </c>
    </row>
    <row r="239">
      <c r="A239" s="182" t="s">
        <v>188</v>
      </c>
      <c r="B239" s="182" t="s">
        <v>43</v>
      </c>
      <c r="C239" s="182" t="s">
        <v>228</v>
      </c>
      <c r="D239" s="182">
        <v>5.0</v>
      </c>
      <c r="E239" s="182">
        <v>71.0</v>
      </c>
      <c r="F239" s="182">
        <v>3.0</v>
      </c>
      <c r="G239" s="182">
        <v>2.0</v>
      </c>
      <c r="H239" s="182">
        <v>60.0</v>
      </c>
      <c r="I239" s="182">
        <v>40.0</v>
      </c>
      <c r="J239" s="182">
        <v>2.0</v>
      </c>
      <c r="K239" s="182">
        <v>50.0</v>
      </c>
      <c r="L239" s="182">
        <v>1.0</v>
      </c>
      <c r="M239" s="182">
        <v>1.0</v>
      </c>
      <c r="N239" s="182">
        <v>50.0</v>
      </c>
      <c r="O239" s="182">
        <v>50.0</v>
      </c>
      <c r="P239" s="189" t="s">
        <v>173</v>
      </c>
    </row>
    <row r="240">
      <c r="A240" s="182" t="s">
        <v>188</v>
      </c>
      <c r="B240" s="182" t="s">
        <v>43</v>
      </c>
      <c r="C240" s="182" t="s">
        <v>229</v>
      </c>
      <c r="D240" s="182">
        <v>2.0</v>
      </c>
      <c r="E240" s="182">
        <v>29.0</v>
      </c>
      <c r="F240" s="182">
        <v>2.0</v>
      </c>
      <c r="G240" s="182">
        <v>0.0</v>
      </c>
      <c r="H240" s="182">
        <v>100.0</v>
      </c>
      <c r="I240" s="182">
        <v>0.0</v>
      </c>
      <c r="J240" s="182">
        <v>2.0</v>
      </c>
      <c r="K240" s="182">
        <v>50.0</v>
      </c>
      <c r="L240" s="182">
        <v>1.0</v>
      </c>
      <c r="M240" s="182">
        <v>1.0</v>
      </c>
      <c r="N240" s="182">
        <v>50.0</v>
      </c>
      <c r="O240" s="182">
        <v>50.0</v>
      </c>
      <c r="P240" s="189" t="s">
        <v>173</v>
      </c>
    </row>
    <row r="241">
      <c r="A241" s="182" t="s">
        <v>188</v>
      </c>
      <c r="B241" s="182" t="s">
        <v>45</v>
      </c>
      <c r="C241" s="182" t="s">
        <v>228</v>
      </c>
      <c r="D241" s="182">
        <v>2.0</v>
      </c>
      <c r="E241" s="182">
        <v>22.0</v>
      </c>
      <c r="F241" s="182">
        <v>2.0</v>
      </c>
      <c r="G241" s="182">
        <v>0.0</v>
      </c>
      <c r="H241" s="182">
        <v>100.0</v>
      </c>
      <c r="I241" s="182">
        <v>0.0</v>
      </c>
      <c r="J241" s="182">
        <v>0.0</v>
      </c>
      <c r="K241" s="182">
        <v>0.0</v>
      </c>
      <c r="L241" s="182">
        <v>0.0</v>
      </c>
      <c r="M241" s="182">
        <v>0.0</v>
      </c>
      <c r="N241" s="182">
        <v>0.0</v>
      </c>
      <c r="O241" s="182">
        <v>0.0</v>
      </c>
      <c r="P241" s="189" t="s">
        <v>174</v>
      </c>
    </row>
    <row r="242">
      <c r="A242" s="182" t="s">
        <v>188</v>
      </c>
      <c r="B242" s="182" t="s">
        <v>45</v>
      </c>
      <c r="C242" s="182" t="s">
        <v>229</v>
      </c>
      <c r="D242" s="182">
        <v>7.0</v>
      </c>
      <c r="E242" s="182">
        <v>78.0</v>
      </c>
      <c r="F242" s="182">
        <v>6.0</v>
      </c>
      <c r="G242" s="182">
        <v>1.0</v>
      </c>
      <c r="H242" s="182">
        <v>86.0</v>
      </c>
      <c r="I242" s="182">
        <v>14.0</v>
      </c>
      <c r="J242" s="182">
        <v>3.0</v>
      </c>
      <c r="K242" s="182">
        <v>100.0</v>
      </c>
      <c r="L242" s="182">
        <v>1.0</v>
      </c>
      <c r="M242" s="182">
        <v>2.0</v>
      </c>
      <c r="N242" s="182">
        <v>33.0</v>
      </c>
      <c r="O242" s="182">
        <v>67.0</v>
      </c>
      <c r="P242" s="189" t="s">
        <v>174</v>
      </c>
    </row>
    <row r="243">
      <c r="A243" s="182" t="s">
        <v>188</v>
      </c>
      <c r="B243" s="182" t="s">
        <v>38</v>
      </c>
      <c r="C243" s="182" t="s">
        <v>228</v>
      </c>
      <c r="D243" s="182">
        <v>16.0</v>
      </c>
      <c r="E243" s="182">
        <v>42.0</v>
      </c>
      <c r="F243" s="182">
        <v>10.0</v>
      </c>
      <c r="G243" s="182">
        <v>6.0</v>
      </c>
      <c r="H243" s="182">
        <v>63.0</v>
      </c>
      <c r="I243" s="182">
        <v>38.0</v>
      </c>
      <c r="J243" s="182">
        <v>14.0</v>
      </c>
      <c r="K243" s="182">
        <v>61.0</v>
      </c>
      <c r="L243" s="182">
        <v>6.0</v>
      </c>
      <c r="M243" s="182">
        <v>8.0</v>
      </c>
      <c r="N243" s="182">
        <v>43.0</v>
      </c>
      <c r="O243" s="182">
        <v>57.0</v>
      </c>
      <c r="P243" s="189" t="s">
        <v>175</v>
      </c>
    </row>
    <row r="244">
      <c r="A244" s="182" t="s">
        <v>188</v>
      </c>
      <c r="B244" s="182" t="s">
        <v>38</v>
      </c>
      <c r="C244" s="182" t="s">
        <v>229</v>
      </c>
      <c r="D244" s="182">
        <v>22.0</v>
      </c>
      <c r="E244" s="182">
        <v>58.0</v>
      </c>
      <c r="F244" s="182">
        <v>18.0</v>
      </c>
      <c r="G244" s="182">
        <v>4.0</v>
      </c>
      <c r="H244" s="182">
        <v>82.0</v>
      </c>
      <c r="I244" s="182">
        <v>18.0</v>
      </c>
      <c r="J244" s="182">
        <v>9.0</v>
      </c>
      <c r="K244" s="182">
        <v>39.0</v>
      </c>
      <c r="L244" s="182">
        <v>2.0</v>
      </c>
      <c r="M244" s="182">
        <v>7.0</v>
      </c>
      <c r="N244" s="182">
        <v>22.0</v>
      </c>
      <c r="O244" s="182">
        <v>78.0</v>
      </c>
      <c r="P244" s="189" t="s">
        <v>175</v>
      </c>
    </row>
    <row r="245">
      <c r="P245" s="189" t="s">
        <v>176</v>
      </c>
    </row>
    <row r="246">
      <c r="P246" s="189" t="s">
        <v>176</v>
      </c>
    </row>
    <row r="247">
      <c r="P247" s="189" t="s">
        <v>176</v>
      </c>
    </row>
    <row r="248">
      <c r="P248" s="189" t="s">
        <v>176</v>
      </c>
    </row>
    <row r="249">
      <c r="P249" s="189" t="s">
        <v>176</v>
      </c>
    </row>
    <row r="250">
      <c r="P250" s="189" t="s">
        <v>176</v>
      </c>
    </row>
    <row r="251">
      <c r="P251" s="189" t="s">
        <v>176</v>
      </c>
    </row>
    <row r="252">
      <c r="P252" s="189" t="s">
        <v>176</v>
      </c>
    </row>
    <row r="253">
      <c r="P253" s="189" t="s">
        <v>176</v>
      </c>
    </row>
    <row r="254">
      <c r="P254" s="189" t="s">
        <v>176</v>
      </c>
    </row>
    <row r="255">
      <c r="P255" s="189" t="s">
        <v>176</v>
      </c>
    </row>
    <row r="256">
      <c r="P256" s="189" t="s">
        <v>176</v>
      </c>
    </row>
    <row r="257">
      <c r="P257" s="189" t="s">
        <v>176</v>
      </c>
    </row>
    <row r="258">
      <c r="P258" s="189" t="s">
        <v>176</v>
      </c>
    </row>
    <row r="259">
      <c r="P259" s="189" t="s">
        <v>176</v>
      </c>
    </row>
    <row r="260">
      <c r="P260" s="189" t="s">
        <v>176</v>
      </c>
    </row>
    <row r="261">
      <c r="P261" s="189" t="s">
        <v>176</v>
      </c>
    </row>
    <row r="262">
      <c r="P262" s="189" t="s">
        <v>176</v>
      </c>
    </row>
    <row r="263">
      <c r="P263" s="189" t="s">
        <v>176</v>
      </c>
    </row>
    <row r="264">
      <c r="P264" s="189" t="s">
        <v>176</v>
      </c>
    </row>
    <row r="265">
      <c r="P265" s="189" t="s">
        <v>176</v>
      </c>
    </row>
    <row r="266">
      <c r="P266" s="189" t="s">
        <v>176</v>
      </c>
    </row>
    <row r="267">
      <c r="P267" s="189" t="s">
        <v>176</v>
      </c>
    </row>
    <row r="268">
      <c r="P268" s="189" t="s">
        <v>176</v>
      </c>
    </row>
    <row r="269">
      <c r="P269" s="189" t="s">
        <v>176</v>
      </c>
    </row>
    <row r="270">
      <c r="P270" s="189" t="s">
        <v>176</v>
      </c>
    </row>
    <row r="271">
      <c r="P271" s="189" t="s">
        <v>176</v>
      </c>
    </row>
    <row r="272">
      <c r="P272" s="189" t="s">
        <v>176</v>
      </c>
    </row>
    <row r="273">
      <c r="P273" s="189" t="s">
        <v>176</v>
      </c>
    </row>
    <row r="274">
      <c r="P274" s="189" t="s">
        <v>176</v>
      </c>
    </row>
    <row r="275">
      <c r="P275" s="189" t="s">
        <v>176</v>
      </c>
    </row>
    <row r="276">
      <c r="P276" s="189" t="s">
        <v>176</v>
      </c>
    </row>
    <row r="277">
      <c r="P277" s="189" t="s">
        <v>176</v>
      </c>
    </row>
    <row r="278">
      <c r="P278" s="189" t="s">
        <v>176</v>
      </c>
    </row>
    <row r="279">
      <c r="P279" s="189" t="s">
        <v>176</v>
      </c>
    </row>
    <row r="280">
      <c r="P280" s="189" t="s">
        <v>176</v>
      </c>
    </row>
    <row r="281">
      <c r="P281" s="189" t="s">
        <v>176</v>
      </c>
    </row>
    <row r="282">
      <c r="P282" s="189" t="s">
        <v>176</v>
      </c>
    </row>
    <row r="283">
      <c r="P283" s="189" t="s">
        <v>176</v>
      </c>
    </row>
    <row r="284">
      <c r="P284" s="189" t="s">
        <v>176</v>
      </c>
    </row>
    <row r="285">
      <c r="P285" s="189" t="s">
        <v>176</v>
      </c>
    </row>
    <row r="286">
      <c r="P286" s="189" t="s">
        <v>176</v>
      </c>
    </row>
    <row r="287">
      <c r="P287" s="189" t="s">
        <v>176</v>
      </c>
    </row>
    <row r="288">
      <c r="P288" s="189" t="s">
        <v>176</v>
      </c>
    </row>
    <row r="289">
      <c r="P289" s="189" t="s">
        <v>176</v>
      </c>
    </row>
    <row r="290">
      <c r="P290" s="189" t="s">
        <v>176</v>
      </c>
    </row>
    <row r="291">
      <c r="P291" s="189" t="s">
        <v>176</v>
      </c>
    </row>
    <row r="292">
      <c r="P292" s="189" t="s">
        <v>176</v>
      </c>
    </row>
    <row r="293">
      <c r="P293" s="189" t="s">
        <v>176</v>
      </c>
    </row>
    <row r="294">
      <c r="P294" s="189" t="s">
        <v>176</v>
      </c>
    </row>
    <row r="295">
      <c r="P295" s="189" t="s">
        <v>176</v>
      </c>
    </row>
    <row r="296">
      <c r="P296" s="189" t="s">
        <v>176</v>
      </c>
    </row>
    <row r="297">
      <c r="P297" s="189" t="s">
        <v>176</v>
      </c>
    </row>
    <row r="298">
      <c r="P298" s="189" t="s">
        <v>176</v>
      </c>
    </row>
    <row r="299">
      <c r="P299" s="189" t="s">
        <v>176</v>
      </c>
    </row>
    <row r="300">
      <c r="P300" s="189" t="s">
        <v>176</v>
      </c>
    </row>
    <row r="301">
      <c r="P301" s="189" t="s">
        <v>176</v>
      </c>
    </row>
    <row r="302">
      <c r="P302" s="189" t="s">
        <v>176</v>
      </c>
    </row>
    <row r="303">
      <c r="P303" s="189" t="s">
        <v>176</v>
      </c>
    </row>
    <row r="304">
      <c r="P304" s="189" t="s">
        <v>176</v>
      </c>
    </row>
    <row r="305">
      <c r="P305" s="189" t="s">
        <v>176</v>
      </c>
    </row>
    <row r="306">
      <c r="P306" s="189" t="s">
        <v>176</v>
      </c>
    </row>
    <row r="307">
      <c r="P307" s="189" t="s">
        <v>176</v>
      </c>
    </row>
    <row r="308">
      <c r="P308" s="189" t="s">
        <v>176</v>
      </c>
    </row>
    <row r="309">
      <c r="P309" s="189" t="s">
        <v>176</v>
      </c>
    </row>
    <row r="310">
      <c r="P310" s="189" t="s">
        <v>176</v>
      </c>
    </row>
    <row r="311">
      <c r="P311" s="189" t="s">
        <v>176</v>
      </c>
    </row>
    <row r="312">
      <c r="P312" s="189" t="s">
        <v>176</v>
      </c>
    </row>
    <row r="313">
      <c r="P313" s="189" t="s">
        <v>176</v>
      </c>
    </row>
    <row r="314">
      <c r="P314" s="189" t="s">
        <v>176</v>
      </c>
    </row>
    <row r="315">
      <c r="P315" s="189" t="s">
        <v>176</v>
      </c>
    </row>
    <row r="316">
      <c r="P316" s="189" t="s">
        <v>176</v>
      </c>
    </row>
    <row r="317">
      <c r="P317" s="189" t="s">
        <v>176</v>
      </c>
    </row>
    <row r="318">
      <c r="P318" s="189" t="s">
        <v>176</v>
      </c>
    </row>
    <row r="319">
      <c r="P319" s="189" t="s">
        <v>176</v>
      </c>
    </row>
    <row r="320">
      <c r="P320" s="189" t="s">
        <v>176</v>
      </c>
    </row>
    <row r="321">
      <c r="P321" s="189" t="s">
        <v>176</v>
      </c>
    </row>
    <row r="322">
      <c r="P322" s="189" t="s">
        <v>176</v>
      </c>
    </row>
    <row r="323">
      <c r="P323" s="189" t="s">
        <v>176</v>
      </c>
    </row>
    <row r="324">
      <c r="P324" s="189" t="s">
        <v>176</v>
      </c>
    </row>
    <row r="325">
      <c r="P325" s="189" t="s">
        <v>176</v>
      </c>
    </row>
    <row r="326">
      <c r="P326" s="189" t="s">
        <v>176</v>
      </c>
    </row>
    <row r="327">
      <c r="P327" s="189" t="s">
        <v>176</v>
      </c>
    </row>
    <row r="328">
      <c r="P328" s="189" t="s">
        <v>176</v>
      </c>
    </row>
    <row r="329">
      <c r="P329" s="189" t="s">
        <v>176</v>
      </c>
    </row>
    <row r="330">
      <c r="P330" s="189" t="s">
        <v>176</v>
      </c>
    </row>
    <row r="331">
      <c r="P331" s="189" t="s">
        <v>176</v>
      </c>
    </row>
    <row r="332">
      <c r="P332" s="189" t="s">
        <v>176</v>
      </c>
    </row>
    <row r="333">
      <c r="P333" s="189" t="s">
        <v>176</v>
      </c>
    </row>
    <row r="334">
      <c r="P334" s="189" t="s">
        <v>176</v>
      </c>
    </row>
    <row r="335">
      <c r="P335" s="189" t="s">
        <v>176</v>
      </c>
    </row>
    <row r="336">
      <c r="P336" s="189" t="s">
        <v>176</v>
      </c>
    </row>
    <row r="337">
      <c r="P337" s="189" t="s">
        <v>176</v>
      </c>
    </row>
    <row r="338">
      <c r="P338" s="189" t="s">
        <v>176</v>
      </c>
    </row>
    <row r="339">
      <c r="P339" s="189" t="s">
        <v>176</v>
      </c>
    </row>
    <row r="340">
      <c r="P340" s="189" t="s">
        <v>176</v>
      </c>
    </row>
    <row r="341">
      <c r="P341" s="189" t="s">
        <v>176</v>
      </c>
    </row>
    <row r="342">
      <c r="P342" s="189" t="s">
        <v>176</v>
      </c>
    </row>
    <row r="343">
      <c r="P343" s="189" t="s">
        <v>176</v>
      </c>
    </row>
    <row r="344">
      <c r="P344" s="189" t="s">
        <v>176</v>
      </c>
    </row>
    <row r="345">
      <c r="P345" s="189" t="s">
        <v>176</v>
      </c>
    </row>
    <row r="346">
      <c r="P346" s="189" t="s">
        <v>176</v>
      </c>
    </row>
    <row r="347">
      <c r="P347" s="189" t="s">
        <v>176</v>
      </c>
    </row>
    <row r="348">
      <c r="P348" s="189" t="s">
        <v>176</v>
      </c>
    </row>
    <row r="349">
      <c r="P349" s="189" t="s">
        <v>176</v>
      </c>
    </row>
    <row r="350">
      <c r="P350" s="189" t="s">
        <v>176</v>
      </c>
    </row>
    <row r="351">
      <c r="P351" s="189" t="s">
        <v>176</v>
      </c>
    </row>
    <row r="352">
      <c r="P352" s="189" t="s">
        <v>176</v>
      </c>
    </row>
    <row r="353">
      <c r="P353" s="189" t="s">
        <v>176</v>
      </c>
    </row>
    <row r="354">
      <c r="P354" s="189" t="s">
        <v>176</v>
      </c>
    </row>
    <row r="355">
      <c r="P355" s="189" t="s">
        <v>176</v>
      </c>
    </row>
    <row r="356">
      <c r="P356" s="189" t="s">
        <v>176</v>
      </c>
    </row>
    <row r="357">
      <c r="P357" s="189" t="s">
        <v>176</v>
      </c>
    </row>
    <row r="358">
      <c r="P358" s="189" t="s">
        <v>176</v>
      </c>
    </row>
    <row r="359">
      <c r="P359" s="189" t="s">
        <v>176</v>
      </c>
    </row>
    <row r="360">
      <c r="P360" s="189" t="s">
        <v>176</v>
      </c>
    </row>
    <row r="361">
      <c r="P361" s="189" t="s">
        <v>176</v>
      </c>
    </row>
    <row r="362">
      <c r="P362" s="189" t="s">
        <v>176</v>
      </c>
    </row>
    <row r="363">
      <c r="P363" s="189" t="s">
        <v>176</v>
      </c>
    </row>
    <row r="364">
      <c r="P364" s="189" t="s">
        <v>176</v>
      </c>
    </row>
    <row r="365">
      <c r="P365" s="189" t="s">
        <v>176</v>
      </c>
    </row>
    <row r="366">
      <c r="P366" s="189" t="s">
        <v>176</v>
      </c>
    </row>
    <row r="367">
      <c r="P367" s="189" t="s">
        <v>176</v>
      </c>
    </row>
    <row r="368">
      <c r="P368" s="189" t="s">
        <v>176</v>
      </c>
    </row>
    <row r="369">
      <c r="P369" s="189" t="s">
        <v>176</v>
      </c>
    </row>
    <row r="370">
      <c r="P370" s="189" t="s">
        <v>176</v>
      </c>
    </row>
    <row r="371">
      <c r="P371" s="189" t="s">
        <v>176</v>
      </c>
    </row>
    <row r="372">
      <c r="P372" s="189" t="s">
        <v>176</v>
      </c>
    </row>
    <row r="373">
      <c r="P373" s="189" t="s">
        <v>176</v>
      </c>
    </row>
    <row r="374">
      <c r="P374" s="189" t="s">
        <v>176</v>
      </c>
    </row>
    <row r="375">
      <c r="P375" s="189" t="s">
        <v>176</v>
      </c>
    </row>
    <row r="376">
      <c r="P376" s="189" t="s">
        <v>176</v>
      </c>
    </row>
    <row r="377">
      <c r="P377" s="189" t="s">
        <v>176</v>
      </c>
    </row>
    <row r="378">
      <c r="P378" s="189" t="s">
        <v>176</v>
      </c>
    </row>
    <row r="379">
      <c r="P379" s="189" t="s">
        <v>176</v>
      </c>
    </row>
    <row r="380">
      <c r="P380" s="189" t="s">
        <v>176</v>
      </c>
    </row>
    <row r="381">
      <c r="P381" s="189" t="s">
        <v>176</v>
      </c>
    </row>
    <row r="382">
      <c r="P382" s="189" t="s">
        <v>176</v>
      </c>
    </row>
    <row r="383">
      <c r="P383" s="189" t="s">
        <v>176</v>
      </c>
    </row>
    <row r="384">
      <c r="P384" s="189" t="s">
        <v>176</v>
      </c>
    </row>
    <row r="385">
      <c r="P385" s="189" t="s">
        <v>176</v>
      </c>
    </row>
    <row r="386">
      <c r="P386" s="189" t="s">
        <v>176</v>
      </c>
    </row>
    <row r="387">
      <c r="P387" s="189" t="s">
        <v>176</v>
      </c>
    </row>
    <row r="388">
      <c r="P388" s="189" t="s">
        <v>176</v>
      </c>
    </row>
    <row r="389">
      <c r="P389" s="189" t="s">
        <v>176</v>
      </c>
    </row>
    <row r="390">
      <c r="P390" s="189" t="s">
        <v>176</v>
      </c>
    </row>
    <row r="391">
      <c r="P391" s="189" t="s">
        <v>176</v>
      </c>
    </row>
    <row r="392">
      <c r="P392" s="189" t="s">
        <v>176</v>
      </c>
    </row>
    <row r="393">
      <c r="P393" s="189" t="s">
        <v>176</v>
      </c>
    </row>
    <row r="394">
      <c r="P394" s="189" t="s">
        <v>176</v>
      </c>
    </row>
    <row r="395">
      <c r="P395" s="189" t="s">
        <v>176</v>
      </c>
    </row>
    <row r="396">
      <c r="P396" s="189" t="s">
        <v>176</v>
      </c>
    </row>
    <row r="397">
      <c r="P397" s="189" t="s">
        <v>176</v>
      </c>
    </row>
    <row r="398">
      <c r="P398" s="189" t="s">
        <v>176</v>
      </c>
    </row>
    <row r="399">
      <c r="P399" s="189" t="s">
        <v>176</v>
      </c>
    </row>
    <row r="400">
      <c r="P400" s="189" t="s">
        <v>176</v>
      </c>
    </row>
    <row r="401">
      <c r="P401" s="189" t="s">
        <v>176</v>
      </c>
    </row>
    <row r="402">
      <c r="P402" s="189" t="s">
        <v>176</v>
      </c>
    </row>
    <row r="403">
      <c r="P403" s="189" t="s">
        <v>176</v>
      </c>
    </row>
    <row r="404">
      <c r="P404" s="189" t="s">
        <v>176</v>
      </c>
    </row>
    <row r="405">
      <c r="P405" s="189" t="s">
        <v>176</v>
      </c>
    </row>
    <row r="406">
      <c r="P406" s="189" t="s">
        <v>176</v>
      </c>
    </row>
    <row r="407">
      <c r="P407" s="189" t="s">
        <v>176</v>
      </c>
    </row>
    <row r="408">
      <c r="P408" s="189" t="s">
        <v>176</v>
      </c>
    </row>
    <row r="409">
      <c r="P409" s="189" t="s">
        <v>176</v>
      </c>
    </row>
    <row r="410">
      <c r="P410" s="189" t="s">
        <v>176</v>
      </c>
    </row>
    <row r="411">
      <c r="P411" s="189" t="s">
        <v>176</v>
      </c>
    </row>
    <row r="412">
      <c r="P412" s="189" t="s">
        <v>176</v>
      </c>
    </row>
    <row r="413">
      <c r="P413" s="189" t="s">
        <v>176</v>
      </c>
    </row>
    <row r="414">
      <c r="P414" s="189" t="s">
        <v>176</v>
      </c>
    </row>
    <row r="415">
      <c r="P415" s="189" t="s">
        <v>176</v>
      </c>
    </row>
    <row r="416">
      <c r="P416" s="189" t="s">
        <v>176</v>
      </c>
    </row>
    <row r="417">
      <c r="P417" s="189" t="s">
        <v>176</v>
      </c>
    </row>
    <row r="418">
      <c r="P418" s="189" t="s">
        <v>176</v>
      </c>
    </row>
    <row r="419">
      <c r="P419" s="189" t="s">
        <v>176</v>
      </c>
    </row>
    <row r="420">
      <c r="P420" s="189" t="s">
        <v>176</v>
      </c>
    </row>
    <row r="421">
      <c r="P421" s="189" t="s">
        <v>176</v>
      </c>
    </row>
    <row r="422">
      <c r="P422" s="189" t="s">
        <v>176</v>
      </c>
    </row>
    <row r="423">
      <c r="P423" s="189" t="s">
        <v>176</v>
      </c>
    </row>
    <row r="424">
      <c r="P424" s="189" t="s">
        <v>176</v>
      </c>
    </row>
    <row r="425">
      <c r="P425" s="189" t="s">
        <v>176</v>
      </c>
    </row>
    <row r="426">
      <c r="P426" s="189" t="s">
        <v>176</v>
      </c>
    </row>
    <row r="427">
      <c r="P427" s="189" t="s">
        <v>176</v>
      </c>
    </row>
    <row r="428">
      <c r="P428" s="189" t="s">
        <v>176</v>
      </c>
    </row>
    <row r="429">
      <c r="P429" s="189" t="s">
        <v>176</v>
      </c>
    </row>
    <row r="430">
      <c r="P430" s="189" t="s">
        <v>176</v>
      </c>
    </row>
    <row r="431">
      <c r="P431" s="189" t="s">
        <v>176</v>
      </c>
    </row>
    <row r="432">
      <c r="P432" s="189" t="s">
        <v>176</v>
      </c>
    </row>
    <row r="433">
      <c r="P433" s="189" t="s">
        <v>176</v>
      </c>
    </row>
    <row r="434">
      <c r="P434" s="189" t="s">
        <v>176</v>
      </c>
    </row>
    <row r="435">
      <c r="P435" s="189" t="s">
        <v>176</v>
      </c>
    </row>
    <row r="436">
      <c r="P436" s="189" t="s">
        <v>176</v>
      </c>
    </row>
    <row r="437">
      <c r="P437" s="189" t="s">
        <v>176</v>
      </c>
    </row>
    <row r="438">
      <c r="P438" s="189" t="s">
        <v>176</v>
      </c>
    </row>
    <row r="439">
      <c r="P439" s="189" t="s">
        <v>176</v>
      </c>
    </row>
    <row r="440">
      <c r="P440" s="189" t="s">
        <v>176</v>
      </c>
    </row>
    <row r="441">
      <c r="P441" s="189" t="s">
        <v>176</v>
      </c>
    </row>
    <row r="442">
      <c r="P442" s="189" t="s">
        <v>176</v>
      </c>
    </row>
    <row r="443">
      <c r="P443" s="189" t="s">
        <v>176</v>
      </c>
    </row>
    <row r="444">
      <c r="P444" s="189" t="s">
        <v>176</v>
      </c>
    </row>
    <row r="445">
      <c r="P445" s="189" t="s">
        <v>176</v>
      </c>
    </row>
    <row r="446">
      <c r="P446" s="189" t="s">
        <v>176</v>
      </c>
    </row>
    <row r="447">
      <c r="P447" s="189" t="s">
        <v>176</v>
      </c>
    </row>
    <row r="448">
      <c r="P448" s="189" t="s">
        <v>176</v>
      </c>
    </row>
    <row r="449">
      <c r="P449" s="189" t="s">
        <v>176</v>
      </c>
    </row>
    <row r="450">
      <c r="P450" s="189" t="s">
        <v>176</v>
      </c>
    </row>
    <row r="451">
      <c r="P451" s="189" t="s">
        <v>176</v>
      </c>
    </row>
    <row r="452">
      <c r="P452" s="189" t="s">
        <v>176</v>
      </c>
    </row>
    <row r="453">
      <c r="P453" s="189" t="s">
        <v>176</v>
      </c>
    </row>
    <row r="454">
      <c r="P454" s="189" t="s">
        <v>176</v>
      </c>
    </row>
    <row r="455">
      <c r="P455" s="189" t="s">
        <v>176</v>
      </c>
    </row>
    <row r="456">
      <c r="P456" s="189" t="s">
        <v>176</v>
      </c>
    </row>
    <row r="457">
      <c r="P457" s="189" t="s">
        <v>176</v>
      </c>
    </row>
    <row r="458">
      <c r="P458" s="189" t="s">
        <v>176</v>
      </c>
    </row>
    <row r="459">
      <c r="P459" s="189" t="s">
        <v>176</v>
      </c>
    </row>
    <row r="460">
      <c r="P460" s="189" t="s">
        <v>176</v>
      </c>
    </row>
    <row r="461">
      <c r="P461" s="189" t="s">
        <v>176</v>
      </c>
    </row>
    <row r="462">
      <c r="P462" s="189" t="s">
        <v>176</v>
      </c>
    </row>
    <row r="463">
      <c r="P463" s="189" t="s">
        <v>176</v>
      </c>
    </row>
    <row r="464">
      <c r="P464" s="189" t="s">
        <v>176</v>
      </c>
    </row>
    <row r="465">
      <c r="P465" s="189" t="s">
        <v>176</v>
      </c>
    </row>
    <row r="466">
      <c r="P466" s="189" t="s">
        <v>176</v>
      </c>
    </row>
    <row r="467">
      <c r="P467" s="189" t="s">
        <v>176</v>
      </c>
    </row>
    <row r="468">
      <c r="P468" s="189" t="s">
        <v>176</v>
      </c>
    </row>
    <row r="469">
      <c r="P469" s="189" t="s">
        <v>176</v>
      </c>
    </row>
    <row r="470">
      <c r="P470" s="189" t="s">
        <v>176</v>
      </c>
    </row>
    <row r="471">
      <c r="P471" s="189" t="s">
        <v>176</v>
      </c>
    </row>
    <row r="472">
      <c r="P472" s="189" t="s">
        <v>176</v>
      </c>
    </row>
    <row r="473">
      <c r="P473" s="189" t="s">
        <v>176</v>
      </c>
    </row>
    <row r="474">
      <c r="P474" s="189" t="s">
        <v>176</v>
      </c>
    </row>
    <row r="475">
      <c r="P475" s="189" t="s">
        <v>176</v>
      </c>
    </row>
    <row r="476">
      <c r="P476" s="189" t="s">
        <v>176</v>
      </c>
    </row>
    <row r="477">
      <c r="P477" s="189" t="s">
        <v>176</v>
      </c>
    </row>
    <row r="478">
      <c r="P478" s="189" t="s">
        <v>176</v>
      </c>
    </row>
    <row r="479">
      <c r="P479" s="189" t="s">
        <v>176</v>
      </c>
    </row>
    <row r="480">
      <c r="P480" s="189" t="s">
        <v>176</v>
      </c>
    </row>
    <row r="481">
      <c r="P481" s="189" t="s">
        <v>176</v>
      </c>
    </row>
    <row r="482">
      <c r="P482" s="189" t="s">
        <v>176</v>
      </c>
    </row>
    <row r="483">
      <c r="P483" s="189" t="s">
        <v>176</v>
      </c>
    </row>
    <row r="484">
      <c r="P484" s="189" t="s">
        <v>176</v>
      </c>
    </row>
    <row r="485">
      <c r="P485" s="189" t="s">
        <v>176</v>
      </c>
    </row>
    <row r="486">
      <c r="P486" s="189" t="s">
        <v>176</v>
      </c>
    </row>
    <row r="487">
      <c r="P487" s="189" t="s">
        <v>176</v>
      </c>
    </row>
    <row r="488">
      <c r="P488" s="189" t="s">
        <v>176</v>
      </c>
    </row>
    <row r="489">
      <c r="P489" s="189" t="s">
        <v>176</v>
      </c>
    </row>
    <row r="490">
      <c r="P490" s="189" t="s">
        <v>176</v>
      </c>
    </row>
    <row r="491">
      <c r="P491" s="189" t="s">
        <v>176</v>
      </c>
    </row>
    <row r="492">
      <c r="P492" s="189" t="s">
        <v>176</v>
      </c>
    </row>
    <row r="493">
      <c r="P493" s="189" t="s">
        <v>176</v>
      </c>
    </row>
    <row r="494">
      <c r="P494" s="189" t="s">
        <v>176</v>
      </c>
    </row>
    <row r="495">
      <c r="P495" s="189" t="s">
        <v>176</v>
      </c>
    </row>
    <row r="496">
      <c r="P496" s="189" t="s">
        <v>176</v>
      </c>
    </row>
    <row r="497">
      <c r="P497" s="189" t="s">
        <v>176</v>
      </c>
    </row>
    <row r="498">
      <c r="P498" s="189" t="s">
        <v>176</v>
      </c>
    </row>
    <row r="499">
      <c r="P499" s="189" t="s">
        <v>176</v>
      </c>
    </row>
    <row r="500">
      <c r="P500" s="189" t="s">
        <v>176</v>
      </c>
    </row>
    <row r="501">
      <c r="P501" s="189" t="s">
        <v>176</v>
      </c>
    </row>
    <row r="502">
      <c r="P502" s="189" t="s">
        <v>176</v>
      </c>
    </row>
    <row r="503">
      <c r="P503" s="189" t="s">
        <v>176</v>
      </c>
    </row>
    <row r="504">
      <c r="P504" s="189" t="s">
        <v>176</v>
      </c>
    </row>
    <row r="505">
      <c r="P505" s="189" t="s">
        <v>176</v>
      </c>
    </row>
    <row r="506">
      <c r="P506" s="189" t="s">
        <v>176</v>
      </c>
    </row>
    <row r="507">
      <c r="P507" s="189" t="s">
        <v>176</v>
      </c>
    </row>
    <row r="508">
      <c r="P508" s="189" t="s">
        <v>176</v>
      </c>
    </row>
    <row r="509">
      <c r="P509" s="189" t="s">
        <v>176</v>
      </c>
    </row>
    <row r="510">
      <c r="P510" s="189" t="s">
        <v>176</v>
      </c>
    </row>
    <row r="511">
      <c r="P511" s="189" t="s">
        <v>176</v>
      </c>
    </row>
    <row r="512">
      <c r="P512" s="189" t="s">
        <v>176</v>
      </c>
    </row>
    <row r="513">
      <c r="P513" s="189" t="s">
        <v>176</v>
      </c>
    </row>
    <row r="514">
      <c r="P514" s="189" t="s">
        <v>176</v>
      </c>
    </row>
    <row r="515">
      <c r="P515" s="189" t="s">
        <v>176</v>
      </c>
    </row>
    <row r="516">
      <c r="P516" s="189" t="s">
        <v>176</v>
      </c>
    </row>
    <row r="517">
      <c r="P517" s="189" t="s">
        <v>176</v>
      </c>
    </row>
    <row r="518">
      <c r="P518" s="189" t="s">
        <v>176</v>
      </c>
    </row>
    <row r="519">
      <c r="P519" s="189" t="s">
        <v>176</v>
      </c>
    </row>
    <row r="520">
      <c r="P520" s="189" t="s">
        <v>176</v>
      </c>
    </row>
    <row r="521">
      <c r="P521" s="189" t="s">
        <v>176</v>
      </c>
    </row>
    <row r="522">
      <c r="P522" s="189" t="s">
        <v>176</v>
      </c>
    </row>
    <row r="523">
      <c r="P523" s="189" t="s">
        <v>176</v>
      </c>
    </row>
    <row r="524">
      <c r="P524" s="189" t="s">
        <v>176</v>
      </c>
    </row>
    <row r="525">
      <c r="P525" s="189" t="s">
        <v>176</v>
      </c>
    </row>
    <row r="526">
      <c r="P526" s="189" t="s">
        <v>176</v>
      </c>
    </row>
    <row r="527">
      <c r="P527" s="189" t="s">
        <v>176</v>
      </c>
    </row>
    <row r="528">
      <c r="P528" s="189" t="s">
        <v>176</v>
      </c>
    </row>
    <row r="529">
      <c r="P529" s="189" t="s">
        <v>176</v>
      </c>
    </row>
    <row r="530">
      <c r="P530" s="189" t="s">
        <v>176</v>
      </c>
    </row>
    <row r="531">
      <c r="P531" s="189" t="s">
        <v>176</v>
      </c>
    </row>
    <row r="532">
      <c r="P532" s="189" t="s">
        <v>176</v>
      </c>
    </row>
    <row r="533">
      <c r="P533" s="189" t="s">
        <v>176</v>
      </c>
    </row>
    <row r="534">
      <c r="P534" s="189" t="s">
        <v>176</v>
      </c>
    </row>
    <row r="535">
      <c r="P535" s="189" t="s">
        <v>176</v>
      </c>
    </row>
    <row r="536">
      <c r="P536" s="189" t="s">
        <v>176</v>
      </c>
    </row>
    <row r="537">
      <c r="P537" s="189" t="s">
        <v>176</v>
      </c>
    </row>
    <row r="538">
      <c r="P538" s="189" t="s">
        <v>176</v>
      </c>
    </row>
    <row r="539">
      <c r="P539" s="189" t="s">
        <v>176</v>
      </c>
    </row>
    <row r="540">
      <c r="P540" s="189" t="s">
        <v>176</v>
      </c>
    </row>
    <row r="541">
      <c r="P541" s="189" t="s">
        <v>176</v>
      </c>
    </row>
    <row r="542">
      <c r="P542" s="189" t="s">
        <v>176</v>
      </c>
    </row>
    <row r="543">
      <c r="P543" s="189" t="s">
        <v>176</v>
      </c>
    </row>
    <row r="544">
      <c r="P544" s="189" t="s">
        <v>176</v>
      </c>
    </row>
    <row r="545">
      <c r="P545" s="189" t="s">
        <v>176</v>
      </c>
    </row>
    <row r="546">
      <c r="P546" s="189" t="s">
        <v>176</v>
      </c>
    </row>
    <row r="547">
      <c r="P547" s="189" t="s">
        <v>176</v>
      </c>
    </row>
    <row r="548">
      <c r="P548" s="189" t="s">
        <v>176</v>
      </c>
    </row>
    <row r="549">
      <c r="P549" s="189" t="s">
        <v>176</v>
      </c>
    </row>
    <row r="550">
      <c r="P550" s="189" t="s">
        <v>176</v>
      </c>
    </row>
    <row r="551">
      <c r="P551" s="189" t="s">
        <v>176</v>
      </c>
    </row>
    <row r="552">
      <c r="P552" s="189" t="s">
        <v>176</v>
      </c>
    </row>
    <row r="553">
      <c r="P553" s="189" t="s">
        <v>176</v>
      </c>
    </row>
    <row r="554">
      <c r="P554" s="189" t="s">
        <v>176</v>
      </c>
    </row>
    <row r="555">
      <c r="P555" s="189" t="s">
        <v>176</v>
      </c>
    </row>
    <row r="556">
      <c r="P556" s="189" t="s">
        <v>176</v>
      </c>
    </row>
    <row r="557">
      <c r="P557" s="189" t="s">
        <v>176</v>
      </c>
    </row>
    <row r="558">
      <c r="P558" s="189" t="s">
        <v>176</v>
      </c>
    </row>
    <row r="559">
      <c r="P559" s="189" t="s">
        <v>176</v>
      </c>
    </row>
    <row r="560">
      <c r="P560" s="189" t="s">
        <v>176</v>
      </c>
    </row>
    <row r="561">
      <c r="P561" s="189" t="s">
        <v>176</v>
      </c>
    </row>
    <row r="562">
      <c r="P562" s="189" t="s">
        <v>176</v>
      </c>
    </row>
    <row r="563">
      <c r="P563" s="189" t="s">
        <v>176</v>
      </c>
    </row>
    <row r="564">
      <c r="P564" s="189" t="s">
        <v>176</v>
      </c>
    </row>
    <row r="565">
      <c r="P565" s="189" t="s">
        <v>176</v>
      </c>
    </row>
    <row r="566">
      <c r="P566" s="189" t="s">
        <v>176</v>
      </c>
    </row>
    <row r="567">
      <c r="P567" s="189" t="s">
        <v>176</v>
      </c>
    </row>
    <row r="568">
      <c r="P568" s="189" t="s">
        <v>176</v>
      </c>
    </row>
    <row r="569">
      <c r="P569" s="189" t="s">
        <v>176</v>
      </c>
    </row>
    <row r="570">
      <c r="P570" s="189" t="s">
        <v>176</v>
      </c>
    </row>
    <row r="571">
      <c r="P571" s="189" t="s">
        <v>176</v>
      </c>
    </row>
    <row r="572">
      <c r="P572" s="189" t="s">
        <v>176</v>
      </c>
    </row>
    <row r="573">
      <c r="P573" s="189" t="s">
        <v>176</v>
      </c>
    </row>
    <row r="574">
      <c r="P574" s="189" t="s">
        <v>176</v>
      </c>
    </row>
    <row r="575">
      <c r="P575" s="189" t="s">
        <v>176</v>
      </c>
    </row>
    <row r="576">
      <c r="P576" s="189" t="s">
        <v>176</v>
      </c>
    </row>
    <row r="577">
      <c r="P577" s="189" t="s">
        <v>176</v>
      </c>
    </row>
    <row r="578">
      <c r="P578" s="189" t="s">
        <v>176</v>
      </c>
    </row>
    <row r="579">
      <c r="P579" s="189" t="s">
        <v>176</v>
      </c>
    </row>
    <row r="580">
      <c r="P580" s="189" t="s">
        <v>176</v>
      </c>
    </row>
    <row r="581">
      <c r="P581" s="189" t="s">
        <v>176</v>
      </c>
    </row>
    <row r="582">
      <c r="P582" s="189" t="s">
        <v>176</v>
      </c>
    </row>
    <row r="583">
      <c r="P583" s="189" t="s">
        <v>176</v>
      </c>
    </row>
    <row r="584">
      <c r="P584" s="189" t="s">
        <v>176</v>
      </c>
    </row>
    <row r="585">
      <c r="P585" s="189" t="s">
        <v>176</v>
      </c>
    </row>
    <row r="586">
      <c r="P586" s="189" t="s">
        <v>176</v>
      </c>
    </row>
    <row r="587">
      <c r="P587" s="189" t="s">
        <v>176</v>
      </c>
    </row>
    <row r="588">
      <c r="P588" s="189" t="s">
        <v>176</v>
      </c>
    </row>
    <row r="589">
      <c r="P589" s="189" t="s">
        <v>176</v>
      </c>
    </row>
    <row r="590">
      <c r="P590" s="189" t="s">
        <v>176</v>
      </c>
    </row>
    <row r="591">
      <c r="P591" s="189" t="s">
        <v>176</v>
      </c>
    </row>
    <row r="592">
      <c r="P592" s="189" t="s">
        <v>176</v>
      </c>
    </row>
    <row r="593">
      <c r="P593" s="189" t="s">
        <v>176</v>
      </c>
    </row>
    <row r="594">
      <c r="P594" s="189" t="s">
        <v>176</v>
      </c>
    </row>
    <row r="595">
      <c r="P595" s="189" t="s">
        <v>176</v>
      </c>
    </row>
    <row r="596">
      <c r="P596" s="189" t="s">
        <v>176</v>
      </c>
    </row>
    <row r="597">
      <c r="P597" s="189" t="s">
        <v>176</v>
      </c>
    </row>
    <row r="598">
      <c r="P598" s="189" t="s">
        <v>176</v>
      </c>
    </row>
    <row r="599">
      <c r="P599" s="189" t="s">
        <v>176</v>
      </c>
    </row>
    <row r="600">
      <c r="P600" s="189" t="s">
        <v>176</v>
      </c>
    </row>
    <row r="601">
      <c r="P601" s="189" t="s">
        <v>176</v>
      </c>
    </row>
    <row r="602">
      <c r="P602" s="189" t="s">
        <v>176</v>
      </c>
    </row>
    <row r="603">
      <c r="P603" s="189" t="s">
        <v>176</v>
      </c>
    </row>
    <row r="604">
      <c r="P604" s="189" t="s">
        <v>176</v>
      </c>
    </row>
    <row r="605">
      <c r="P605" s="189" t="s">
        <v>176</v>
      </c>
    </row>
    <row r="606">
      <c r="P606" s="189" t="s">
        <v>176</v>
      </c>
    </row>
    <row r="607">
      <c r="P607" s="189" t="s">
        <v>176</v>
      </c>
    </row>
    <row r="608">
      <c r="P608" s="189" t="s">
        <v>176</v>
      </c>
    </row>
    <row r="609">
      <c r="P609" s="189" t="s">
        <v>176</v>
      </c>
    </row>
    <row r="610">
      <c r="P610" s="189" t="s">
        <v>176</v>
      </c>
    </row>
    <row r="611">
      <c r="P611" s="189" t="s">
        <v>176</v>
      </c>
    </row>
    <row r="612">
      <c r="P612" s="189" t="s">
        <v>176</v>
      </c>
    </row>
    <row r="613">
      <c r="P613" s="189" t="s">
        <v>176</v>
      </c>
    </row>
    <row r="614">
      <c r="P614" s="189" t="s">
        <v>176</v>
      </c>
    </row>
    <row r="615">
      <c r="P615" s="189" t="s">
        <v>176</v>
      </c>
    </row>
    <row r="616">
      <c r="P616" s="189" t="s">
        <v>176</v>
      </c>
    </row>
    <row r="617">
      <c r="P617" s="189" t="s">
        <v>176</v>
      </c>
    </row>
    <row r="618">
      <c r="P618" s="189" t="s">
        <v>176</v>
      </c>
    </row>
    <row r="619">
      <c r="P619" s="189" t="s">
        <v>176</v>
      </c>
    </row>
    <row r="620">
      <c r="P620" s="189" t="s">
        <v>176</v>
      </c>
    </row>
    <row r="621">
      <c r="P621" s="189" t="s">
        <v>176</v>
      </c>
    </row>
    <row r="622">
      <c r="P622" s="189" t="s">
        <v>176</v>
      </c>
    </row>
    <row r="623">
      <c r="P623" s="189" t="s">
        <v>176</v>
      </c>
    </row>
    <row r="624">
      <c r="P624" s="189" t="s">
        <v>176</v>
      </c>
    </row>
    <row r="625">
      <c r="P625" s="189" t="s">
        <v>176</v>
      </c>
    </row>
    <row r="626">
      <c r="P626" s="189" t="s">
        <v>176</v>
      </c>
    </row>
    <row r="627">
      <c r="P627" s="189" t="s">
        <v>176</v>
      </c>
    </row>
    <row r="628">
      <c r="P628" s="189" t="s">
        <v>176</v>
      </c>
    </row>
    <row r="629">
      <c r="P629" s="189" t="s">
        <v>176</v>
      </c>
    </row>
    <row r="630">
      <c r="P630" s="189" t="s">
        <v>176</v>
      </c>
    </row>
    <row r="631">
      <c r="P631" s="189" t="s">
        <v>176</v>
      </c>
    </row>
    <row r="632">
      <c r="P632" s="189" t="s">
        <v>176</v>
      </c>
    </row>
    <row r="633">
      <c r="P633" s="189" t="s">
        <v>176</v>
      </c>
    </row>
    <row r="634">
      <c r="P634" s="189" t="s">
        <v>176</v>
      </c>
    </row>
    <row r="635">
      <c r="P635" s="189" t="s">
        <v>176</v>
      </c>
    </row>
    <row r="636">
      <c r="P636" s="189" t="s">
        <v>176</v>
      </c>
    </row>
    <row r="637">
      <c r="P637" s="189" t="s">
        <v>176</v>
      </c>
    </row>
    <row r="638">
      <c r="P638" s="189" t="s">
        <v>176</v>
      </c>
    </row>
    <row r="639">
      <c r="P639" s="189" t="s">
        <v>176</v>
      </c>
    </row>
    <row r="640">
      <c r="P640" s="189" t="s">
        <v>176</v>
      </c>
    </row>
    <row r="641">
      <c r="P641" s="189" t="s">
        <v>176</v>
      </c>
    </row>
    <row r="642">
      <c r="P642" s="189" t="s">
        <v>176</v>
      </c>
    </row>
    <row r="643">
      <c r="P643" s="189" t="s">
        <v>176</v>
      </c>
    </row>
    <row r="644">
      <c r="P644" s="189" t="s">
        <v>176</v>
      </c>
    </row>
    <row r="645">
      <c r="P645" s="189" t="s">
        <v>176</v>
      </c>
    </row>
    <row r="646">
      <c r="P646" s="189" t="s">
        <v>176</v>
      </c>
    </row>
    <row r="647">
      <c r="P647" s="189" t="s">
        <v>176</v>
      </c>
    </row>
    <row r="648">
      <c r="P648" s="189" t="s">
        <v>176</v>
      </c>
    </row>
    <row r="649">
      <c r="P649" s="189" t="s">
        <v>176</v>
      </c>
    </row>
    <row r="650">
      <c r="P650" s="189" t="s">
        <v>176</v>
      </c>
    </row>
    <row r="651">
      <c r="P651" s="189" t="s">
        <v>176</v>
      </c>
    </row>
    <row r="652">
      <c r="P652" s="189" t="s">
        <v>176</v>
      </c>
    </row>
    <row r="653">
      <c r="P653" s="189" t="s">
        <v>176</v>
      </c>
    </row>
    <row r="654">
      <c r="P654" s="189" t="s">
        <v>176</v>
      </c>
    </row>
    <row r="655">
      <c r="P655" s="189" t="s">
        <v>176</v>
      </c>
    </row>
    <row r="656">
      <c r="P656" s="189" t="s">
        <v>176</v>
      </c>
    </row>
    <row r="657">
      <c r="P657" s="189" t="s">
        <v>176</v>
      </c>
    </row>
    <row r="658">
      <c r="P658" s="189" t="s">
        <v>176</v>
      </c>
    </row>
    <row r="659">
      <c r="P659" s="189" t="s">
        <v>176</v>
      </c>
    </row>
    <row r="660">
      <c r="P660" s="189" t="s">
        <v>176</v>
      </c>
    </row>
    <row r="661">
      <c r="P661" s="189" t="s">
        <v>176</v>
      </c>
    </row>
    <row r="662">
      <c r="P662" s="189" t="s">
        <v>176</v>
      </c>
    </row>
    <row r="663">
      <c r="P663" s="189" t="s">
        <v>176</v>
      </c>
    </row>
    <row r="664">
      <c r="P664" s="189" t="s">
        <v>176</v>
      </c>
    </row>
    <row r="665">
      <c r="P665" s="189" t="s">
        <v>176</v>
      </c>
    </row>
    <row r="666">
      <c r="P666" s="189" t="s">
        <v>176</v>
      </c>
    </row>
    <row r="667">
      <c r="P667" s="189" t="s">
        <v>176</v>
      </c>
    </row>
    <row r="668">
      <c r="P668" s="189" t="s">
        <v>176</v>
      </c>
    </row>
    <row r="669">
      <c r="P669" s="189" t="s">
        <v>176</v>
      </c>
    </row>
    <row r="670">
      <c r="P670" s="189" t="s">
        <v>176</v>
      </c>
    </row>
    <row r="671">
      <c r="P671" s="189" t="s">
        <v>176</v>
      </c>
    </row>
    <row r="672">
      <c r="P672" s="189" t="s">
        <v>176</v>
      </c>
    </row>
    <row r="673">
      <c r="P673" s="189" t="s">
        <v>176</v>
      </c>
    </row>
    <row r="674">
      <c r="P674" s="189" t="s">
        <v>176</v>
      </c>
    </row>
    <row r="675">
      <c r="P675" s="189" t="s">
        <v>176</v>
      </c>
    </row>
    <row r="676">
      <c r="P676" s="189" t="s">
        <v>176</v>
      </c>
    </row>
    <row r="677">
      <c r="P677" s="189" t="s">
        <v>176</v>
      </c>
    </row>
    <row r="678">
      <c r="P678" s="189" t="s">
        <v>176</v>
      </c>
    </row>
    <row r="679">
      <c r="P679" s="189" t="s">
        <v>176</v>
      </c>
    </row>
    <row r="680">
      <c r="P680" s="189" t="s">
        <v>176</v>
      </c>
    </row>
    <row r="681">
      <c r="P681" s="189" t="s">
        <v>176</v>
      </c>
    </row>
    <row r="682">
      <c r="P682" s="189" t="s">
        <v>176</v>
      </c>
    </row>
    <row r="683">
      <c r="P683" s="189" t="s">
        <v>176</v>
      </c>
    </row>
    <row r="684">
      <c r="P684" s="189" t="s">
        <v>176</v>
      </c>
    </row>
    <row r="685">
      <c r="P685" s="189" t="s">
        <v>176</v>
      </c>
    </row>
    <row r="686">
      <c r="P686" s="189" t="s">
        <v>176</v>
      </c>
    </row>
    <row r="687">
      <c r="P687" s="189" t="s">
        <v>176</v>
      </c>
    </row>
    <row r="688">
      <c r="P688" s="189" t="s">
        <v>176</v>
      </c>
    </row>
    <row r="689">
      <c r="P689" s="189" t="s">
        <v>176</v>
      </c>
    </row>
    <row r="690">
      <c r="P690" s="189" t="s">
        <v>176</v>
      </c>
    </row>
    <row r="691">
      <c r="P691" s="189" t="s">
        <v>176</v>
      </c>
    </row>
    <row r="692">
      <c r="P692" s="189" t="s">
        <v>176</v>
      </c>
    </row>
    <row r="693">
      <c r="P693" s="189" t="s">
        <v>176</v>
      </c>
    </row>
    <row r="694">
      <c r="P694" s="189" t="s">
        <v>176</v>
      </c>
    </row>
    <row r="695">
      <c r="P695" s="189" t="s">
        <v>176</v>
      </c>
    </row>
    <row r="696">
      <c r="P696" s="189" t="s">
        <v>176</v>
      </c>
    </row>
    <row r="697">
      <c r="P697" s="189" t="s">
        <v>176</v>
      </c>
    </row>
    <row r="698">
      <c r="P698" s="189" t="s">
        <v>176</v>
      </c>
    </row>
    <row r="699">
      <c r="P699" s="189" t="s">
        <v>176</v>
      </c>
    </row>
    <row r="700">
      <c r="P700" s="189" t="s">
        <v>176</v>
      </c>
    </row>
    <row r="701">
      <c r="P701" s="189" t="s">
        <v>176</v>
      </c>
    </row>
    <row r="702">
      <c r="P702" s="189" t="s">
        <v>176</v>
      </c>
    </row>
    <row r="703">
      <c r="P703" s="189" t="s">
        <v>176</v>
      </c>
    </row>
    <row r="704">
      <c r="P704" s="189" t="s">
        <v>176</v>
      </c>
    </row>
    <row r="705">
      <c r="P705" s="189" t="s">
        <v>176</v>
      </c>
    </row>
    <row r="706">
      <c r="P706" s="189" t="s">
        <v>176</v>
      </c>
    </row>
    <row r="707">
      <c r="P707" s="189" t="s">
        <v>176</v>
      </c>
    </row>
    <row r="708">
      <c r="P708" s="189" t="s">
        <v>176</v>
      </c>
    </row>
    <row r="709">
      <c r="P709" s="189" t="s">
        <v>176</v>
      </c>
    </row>
    <row r="710">
      <c r="P710" s="189" t="s">
        <v>176</v>
      </c>
    </row>
    <row r="711">
      <c r="P711" s="189" t="s">
        <v>176</v>
      </c>
    </row>
    <row r="712">
      <c r="P712" s="189" t="s">
        <v>176</v>
      </c>
    </row>
    <row r="713">
      <c r="P713" s="189" t="s">
        <v>176</v>
      </c>
    </row>
    <row r="714">
      <c r="P714" s="189" t="s">
        <v>176</v>
      </c>
    </row>
    <row r="715">
      <c r="P715" s="189" t="s">
        <v>176</v>
      </c>
    </row>
    <row r="716">
      <c r="P716" s="189" t="s">
        <v>176</v>
      </c>
    </row>
    <row r="717">
      <c r="P717" s="189" t="s">
        <v>176</v>
      </c>
    </row>
    <row r="718">
      <c r="P718" s="189" t="s">
        <v>176</v>
      </c>
    </row>
    <row r="719">
      <c r="P719" s="189" t="s">
        <v>176</v>
      </c>
    </row>
    <row r="720">
      <c r="P720" s="189" t="s">
        <v>176</v>
      </c>
    </row>
    <row r="721">
      <c r="P721" s="189" t="s">
        <v>176</v>
      </c>
    </row>
    <row r="722">
      <c r="P722" s="189" t="s">
        <v>176</v>
      </c>
    </row>
    <row r="723">
      <c r="P723" s="189" t="s">
        <v>176</v>
      </c>
    </row>
    <row r="724">
      <c r="P724" s="189" t="s">
        <v>176</v>
      </c>
    </row>
    <row r="725">
      <c r="P725" s="189" t="s">
        <v>176</v>
      </c>
    </row>
    <row r="726">
      <c r="P726" s="189" t="s">
        <v>176</v>
      </c>
    </row>
    <row r="727">
      <c r="P727" s="189" t="s">
        <v>176</v>
      </c>
    </row>
    <row r="728">
      <c r="P728" s="189" t="s">
        <v>176</v>
      </c>
    </row>
    <row r="729">
      <c r="P729" s="189" t="s">
        <v>176</v>
      </c>
    </row>
    <row r="730">
      <c r="P730" s="189" t="s">
        <v>176</v>
      </c>
    </row>
    <row r="731">
      <c r="P731" s="189" t="s">
        <v>176</v>
      </c>
    </row>
    <row r="732">
      <c r="P732" s="189" t="s">
        <v>176</v>
      </c>
    </row>
    <row r="733">
      <c r="P733" s="189" t="s">
        <v>176</v>
      </c>
    </row>
    <row r="734">
      <c r="P734" s="189" t="s">
        <v>176</v>
      </c>
    </row>
    <row r="735">
      <c r="P735" s="189" t="s">
        <v>176</v>
      </c>
    </row>
    <row r="736">
      <c r="P736" s="189" t="s">
        <v>176</v>
      </c>
    </row>
    <row r="737">
      <c r="P737" s="189" t="s">
        <v>176</v>
      </c>
    </row>
    <row r="738">
      <c r="P738" s="189" t="s">
        <v>176</v>
      </c>
    </row>
    <row r="739">
      <c r="P739" s="189" t="s">
        <v>176</v>
      </c>
    </row>
    <row r="740">
      <c r="P740" s="189" t="s">
        <v>176</v>
      </c>
    </row>
    <row r="741">
      <c r="P741" s="189" t="s">
        <v>176</v>
      </c>
    </row>
    <row r="742">
      <c r="P742" s="189" t="s">
        <v>176</v>
      </c>
    </row>
    <row r="743">
      <c r="P743" s="189" t="s">
        <v>176</v>
      </c>
    </row>
    <row r="744">
      <c r="P744" s="189" t="s">
        <v>176</v>
      </c>
    </row>
    <row r="745">
      <c r="P745" s="189" t="s">
        <v>176</v>
      </c>
    </row>
    <row r="746">
      <c r="P746" s="189" t="s">
        <v>176</v>
      </c>
    </row>
    <row r="747">
      <c r="P747" s="189" t="s">
        <v>176</v>
      </c>
    </row>
    <row r="748">
      <c r="P748" s="189" t="s">
        <v>176</v>
      </c>
    </row>
    <row r="749">
      <c r="P749" s="189" t="s">
        <v>176</v>
      </c>
    </row>
    <row r="750">
      <c r="P750" s="189" t="s">
        <v>176</v>
      </c>
    </row>
    <row r="751">
      <c r="P751" s="189" t="s">
        <v>176</v>
      </c>
    </row>
    <row r="752">
      <c r="P752" s="189" t="s">
        <v>176</v>
      </c>
    </row>
    <row r="753">
      <c r="P753" s="189" t="s">
        <v>176</v>
      </c>
    </row>
    <row r="754">
      <c r="P754" s="189" t="s">
        <v>176</v>
      </c>
    </row>
    <row r="755">
      <c r="P755" s="189" t="s">
        <v>176</v>
      </c>
    </row>
    <row r="756">
      <c r="P756" s="189" t="s">
        <v>176</v>
      </c>
    </row>
    <row r="757">
      <c r="P757" s="189" t="s">
        <v>176</v>
      </c>
    </row>
    <row r="758">
      <c r="P758" s="189" t="s">
        <v>176</v>
      </c>
    </row>
    <row r="759">
      <c r="P759" s="189" t="s">
        <v>176</v>
      </c>
    </row>
    <row r="760">
      <c r="P760" s="189" t="s">
        <v>176</v>
      </c>
    </row>
    <row r="761">
      <c r="P761" s="189" t="s">
        <v>176</v>
      </c>
    </row>
    <row r="762">
      <c r="P762" s="189" t="s">
        <v>176</v>
      </c>
    </row>
    <row r="763">
      <c r="P763" s="189" t="s">
        <v>176</v>
      </c>
    </row>
    <row r="764">
      <c r="P764" s="189" t="s">
        <v>176</v>
      </c>
    </row>
    <row r="765">
      <c r="P765" s="189" t="s">
        <v>176</v>
      </c>
    </row>
    <row r="766">
      <c r="P766" s="189" t="s">
        <v>176</v>
      </c>
    </row>
    <row r="767">
      <c r="P767" s="189" t="s">
        <v>176</v>
      </c>
    </row>
    <row r="768">
      <c r="P768" s="189" t="s">
        <v>176</v>
      </c>
    </row>
    <row r="769">
      <c r="P769" s="189" t="s">
        <v>176</v>
      </c>
    </row>
    <row r="770">
      <c r="P770" s="189" t="s">
        <v>176</v>
      </c>
    </row>
    <row r="771">
      <c r="P771" s="189" t="s">
        <v>176</v>
      </c>
    </row>
    <row r="772">
      <c r="P772" s="189" t="s">
        <v>176</v>
      </c>
    </row>
    <row r="773">
      <c r="P773" s="189" t="s">
        <v>176</v>
      </c>
    </row>
    <row r="774">
      <c r="P774" s="189" t="s">
        <v>176</v>
      </c>
    </row>
    <row r="775">
      <c r="P775" s="189" t="s">
        <v>176</v>
      </c>
    </row>
    <row r="776">
      <c r="P776" s="189" t="s">
        <v>176</v>
      </c>
    </row>
    <row r="777">
      <c r="P777" s="189" t="s">
        <v>176</v>
      </c>
    </row>
    <row r="778">
      <c r="P778" s="189" t="s">
        <v>176</v>
      </c>
    </row>
    <row r="779">
      <c r="P779" s="189" t="s">
        <v>176</v>
      </c>
    </row>
    <row r="780">
      <c r="P780" s="189" t="s">
        <v>176</v>
      </c>
    </row>
    <row r="781">
      <c r="P781" s="189" t="s">
        <v>176</v>
      </c>
    </row>
    <row r="782">
      <c r="P782" s="189" t="s">
        <v>176</v>
      </c>
    </row>
    <row r="783">
      <c r="P783" s="189" t="s">
        <v>176</v>
      </c>
    </row>
    <row r="784">
      <c r="P784" s="189" t="s">
        <v>176</v>
      </c>
    </row>
    <row r="785">
      <c r="P785" s="189" t="s">
        <v>176</v>
      </c>
    </row>
    <row r="786">
      <c r="P786" s="189" t="s">
        <v>176</v>
      </c>
    </row>
    <row r="787">
      <c r="P787" s="189" t="s">
        <v>176</v>
      </c>
    </row>
    <row r="788">
      <c r="P788" s="189" t="s">
        <v>176</v>
      </c>
    </row>
    <row r="789">
      <c r="P789" s="189" t="s">
        <v>176</v>
      </c>
    </row>
    <row r="790">
      <c r="P790" s="189" t="s">
        <v>176</v>
      </c>
    </row>
    <row r="791">
      <c r="P791" s="189" t="s">
        <v>176</v>
      </c>
    </row>
    <row r="792">
      <c r="P792" s="189" t="s">
        <v>176</v>
      </c>
    </row>
    <row r="793">
      <c r="P793" s="189" t="s">
        <v>176</v>
      </c>
    </row>
    <row r="794">
      <c r="P794" s="189" t="s">
        <v>176</v>
      </c>
    </row>
    <row r="795">
      <c r="P795" s="189" t="s">
        <v>176</v>
      </c>
    </row>
    <row r="796">
      <c r="P796" s="189" t="s">
        <v>176</v>
      </c>
    </row>
    <row r="797">
      <c r="P797" s="189" t="s">
        <v>176</v>
      </c>
    </row>
    <row r="798">
      <c r="P798" s="189" t="s">
        <v>176</v>
      </c>
    </row>
    <row r="799">
      <c r="P799" s="189" t="s">
        <v>176</v>
      </c>
    </row>
    <row r="800">
      <c r="P800" s="189" t="s">
        <v>176</v>
      </c>
    </row>
    <row r="801">
      <c r="P801" s="189" t="s">
        <v>176</v>
      </c>
    </row>
    <row r="802">
      <c r="P802" s="189" t="s">
        <v>176</v>
      </c>
    </row>
    <row r="803">
      <c r="P803" s="189" t="s">
        <v>176</v>
      </c>
    </row>
    <row r="804">
      <c r="P804" s="189" t="s">
        <v>176</v>
      </c>
    </row>
    <row r="805">
      <c r="P805" s="189" t="s">
        <v>176</v>
      </c>
    </row>
    <row r="806">
      <c r="P806" s="189" t="s">
        <v>176</v>
      </c>
    </row>
    <row r="807">
      <c r="P807" s="189" t="s">
        <v>176</v>
      </c>
    </row>
    <row r="808">
      <c r="P808" s="189" t="s">
        <v>176</v>
      </c>
    </row>
    <row r="809">
      <c r="P809" s="189" t="s">
        <v>176</v>
      </c>
    </row>
    <row r="810">
      <c r="P810" s="189" t="s">
        <v>176</v>
      </c>
    </row>
    <row r="811">
      <c r="P811" s="189" t="s">
        <v>176</v>
      </c>
    </row>
    <row r="812">
      <c r="P812" s="189" t="s">
        <v>176</v>
      </c>
    </row>
    <row r="813">
      <c r="P813" s="189" t="s">
        <v>176</v>
      </c>
    </row>
    <row r="814">
      <c r="P814" s="189" t="s">
        <v>176</v>
      </c>
    </row>
    <row r="815">
      <c r="P815" s="189" t="s">
        <v>176</v>
      </c>
    </row>
    <row r="816">
      <c r="P816" s="189" t="s">
        <v>176</v>
      </c>
    </row>
    <row r="817">
      <c r="P817" s="189" t="s">
        <v>176</v>
      </c>
    </row>
    <row r="818">
      <c r="P818" s="189" t="s">
        <v>176</v>
      </c>
    </row>
    <row r="819">
      <c r="P819" s="189" t="s">
        <v>176</v>
      </c>
    </row>
    <row r="820">
      <c r="P820" s="189" t="s">
        <v>176</v>
      </c>
    </row>
    <row r="821">
      <c r="P821" s="189" t="s">
        <v>176</v>
      </c>
    </row>
    <row r="822">
      <c r="P822" s="189" t="s">
        <v>176</v>
      </c>
    </row>
    <row r="823">
      <c r="P823" s="189" t="s">
        <v>176</v>
      </c>
    </row>
    <row r="824">
      <c r="P824" s="189" t="s">
        <v>176</v>
      </c>
    </row>
    <row r="825">
      <c r="P825" s="189" t="s">
        <v>176</v>
      </c>
    </row>
    <row r="826">
      <c r="P826" s="189" t="s">
        <v>176</v>
      </c>
    </row>
    <row r="827">
      <c r="P827" s="189" t="s">
        <v>176</v>
      </c>
    </row>
    <row r="828">
      <c r="P828" s="189" t="s">
        <v>176</v>
      </c>
    </row>
    <row r="829">
      <c r="P829" s="189" t="s">
        <v>176</v>
      </c>
    </row>
    <row r="830">
      <c r="P830" s="189" t="s">
        <v>176</v>
      </c>
    </row>
    <row r="831">
      <c r="P831" s="189" t="s">
        <v>176</v>
      </c>
    </row>
    <row r="832">
      <c r="P832" s="189" t="s">
        <v>176</v>
      </c>
    </row>
    <row r="833">
      <c r="P833" s="189" t="s">
        <v>176</v>
      </c>
    </row>
    <row r="834">
      <c r="P834" s="189" t="s">
        <v>176</v>
      </c>
    </row>
    <row r="835">
      <c r="P835" s="189" t="s">
        <v>176</v>
      </c>
    </row>
    <row r="836">
      <c r="P836" s="189" t="s">
        <v>176</v>
      </c>
    </row>
    <row r="837">
      <c r="P837" s="189" t="s">
        <v>176</v>
      </c>
    </row>
    <row r="838">
      <c r="P838" s="189" t="s">
        <v>176</v>
      </c>
    </row>
    <row r="839">
      <c r="P839" s="189" t="s">
        <v>176</v>
      </c>
    </row>
    <row r="840">
      <c r="P840" s="189" t="s">
        <v>176</v>
      </c>
    </row>
    <row r="841">
      <c r="P841" s="189" t="s">
        <v>176</v>
      </c>
    </row>
    <row r="842">
      <c r="P842" s="189" t="s">
        <v>176</v>
      </c>
    </row>
    <row r="843">
      <c r="P843" s="189" t="s">
        <v>176</v>
      </c>
    </row>
    <row r="844">
      <c r="P844" s="189" t="s">
        <v>176</v>
      </c>
    </row>
    <row r="845">
      <c r="P845" s="189" t="s">
        <v>176</v>
      </c>
    </row>
    <row r="846">
      <c r="P846" s="189" t="s">
        <v>176</v>
      </c>
    </row>
    <row r="847">
      <c r="P847" s="189" t="s">
        <v>176</v>
      </c>
    </row>
    <row r="848">
      <c r="P848" s="189" t="s">
        <v>176</v>
      </c>
    </row>
    <row r="849">
      <c r="P849" s="189" t="s">
        <v>176</v>
      </c>
    </row>
    <row r="850">
      <c r="P850" s="189" t="s">
        <v>176</v>
      </c>
    </row>
    <row r="851">
      <c r="P851" s="189" t="s">
        <v>176</v>
      </c>
    </row>
    <row r="852">
      <c r="P852" s="189" t="s">
        <v>176</v>
      </c>
    </row>
    <row r="853">
      <c r="P853" s="189" t="s">
        <v>176</v>
      </c>
    </row>
    <row r="854">
      <c r="P854" s="189" t="s">
        <v>176</v>
      </c>
    </row>
    <row r="855">
      <c r="P855" s="189" t="s">
        <v>176</v>
      </c>
    </row>
    <row r="856">
      <c r="P856" s="189" t="s">
        <v>176</v>
      </c>
    </row>
    <row r="857">
      <c r="P857" s="189" t="s">
        <v>176</v>
      </c>
    </row>
    <row r="858">
      <c r="P858" s="189" t="s">
        <v>176</v>
      </c>
    </row>
    <row r="859">
      <c r="P859" s="189" t="s">
        <v>176</v>
      </c>
    </row>
    <row r="860">
      <c r="P860" s="189" t="s">
        <v>176</v>
      </c>
    </row>
    <row r="861">
      <c r="P861" s="189" t="s">
        <v>176</v>
      </c>
    </row>
    <row r="862">
      <c r="P862" s="189" t="s">
        <v>176</v>
      </c>
    </row>
    <row r="863">
      <c r="P863" s="189" t="s">
        <v>176</v>
      </c>
    </row>
    <row r="864">
      <c r="P864" s="189" t="s">
        <v>176</v>
      </c>
    </row>
    <row r="865">
      <c r="P865" s="189" t="s">
        <v>176</v>
      </c>
    </row>
    <row r="866">
      <c r="P866" s="189" t="s">
        <v>176</v>
      </c>
    </row>
    <row r="867">
      <c r="P867" s="189" t="s">
        <v>176</v>
      </c>
    </row>
    <row r="868">
      <c r="P868" s="189" t="s">
        <v>176</v>
      </c>
    </row>
    <row r="869">
      <c r="P869" s="189" t="s">
        <v>176</v>
      </c>
    </row>
    <row r="870">
      <c r="P870" s="189" t="s">
        <v>176</v>
      </c>
    </row>
    <row r="871">
      <c r="P871" s="189" t="s">
        <v>176</v>
      </c>
    </row>
    <row r="872">
      <c r="P872" s="189" t="s">
        <v>176</v>
      </c>
    </row>
    <row r="873">
      <c r="P873" s="189" t="s">
        <v>176</v>
      </c>
    </row>
    <row r="874">
      <c r="P874" s="189" t="s">
        <v>176</v>
      </c>
    </row>
    <row r="875">
      <c r="P875" s="189" t="s">
        <v>176</v>
      </c>
    </row>
    <row r="876">
      <c r="P876" s="189" t="s">
        <v>176</v>
      </c>
    </row>
    <row r="877">
      <c r="P877" s="189" t="s">
        <v>176</v>
      </c>
    </row>
    <row r="878">
      <c r="P878" s="189" t="s">
        <v>176</v>
      </c>
    </row>
    <row r="879">
      <c r="P879" s="189" t="s">
        <v>176</v>
      </c>
    </row>
    <row r="880">
      <c r="P880" s="189" t="s">
        <v>176</v>
      </c>
    </row>
    <row r="881">
      <c r="P881" s="189" t="s">
        <v>176</v>
      </c>
    </row>
    <row r="882">
      <c r="P882" s="189" t="s">
        <v>176</v>
      </c>
    </row>
    <row r="883">
      <c r="P883" s="189" t="s">
        <v>176</v>
      </c>
    </row>
    <row r="884">
      <c r="P884" s="189" t="s">
        <v>176</v>
      </c>
    </row>
    <row r="885">
      <c r="P885" s="189" t="s">
        <v>176</v>
      </c>
    </row>
    <row r="886">
      <c r="P886" s="189" t="s">
        <v>176</v>
      </c>
    </row>
    <row r="887">
      <c r="P887" s="189" t="s">
        <v>176</v>
      </c>
    </row>
    <row r="888">
      <c r="P888" s="189" t="s">
        <v>176</v>
      </c>
    </row>
    <row r="889">
      <c r="P889" s="189" t="s">
        <v>176</v>
      </c>
    </row>
    <row r="890">
      <c r="P890" s="189" t="s">
        <v>176</v>
      </c>
    </row>
    <row r="891">
      <c r="P891" s="189" t="s">
        <v>176</v>
      </c>
    </row>
    <row r="892">
      <c r="P892" s="189" t="s">
        <v>176</v>
      </c>
    </row>
    <row r="893">
      <c r="P893" s="189" t="s">
        <v>176</v>
      </c>
    </row>
    <row r="894">
      <c r="P894" s="189" t="s">
        <v>176</v>
      </c>
    </row>
    <row r="895">
      <c r="P895" s="189" t="s">
        <v>176</v>
      </c>
    </row>
    <row r="896">
      <c r="P896" s="189" t="s">
        <v>176</v>
      </c>
    </row>
    <row r="897">
      <c r="P897" s="189" t="s">
        <v>176</v>
      </c>
    </row>
    <row r="898">
      <c r="P898" s="189" t="s">
        <v>176</v>
      </c>
    </row>
    <row r="899">
      <c r="P899" s="189" t="s">
        <v>176</v>
      </c>
    </row>
    <row r="900">
      <c r="P900" s="189" t="s">
        <v>176</v>
      </c>
    </row>
    <row r="901">
      <c r="P901" s="189" t="s">
        <v>176</v>
      </c>
    </row>
    <row r="902">
      <c r="P902" s="189" t="s">
        <v>176</v>
      </c>
    </row>
    <row r="903">
      <c r="P903" s="189" t="s">
        <v>176</v>
      </c>
    </row>
    <row r="904">
      <c r="P904" s="189" t="s">
        <v>176</v>
      </c>
    </row>
    <row r="905">
      <c r="P905" s="189" t="s">
        <v>176</v>
      </c>
    </row>
    <row r="906">
      <c r="P906" s="189" t="s">
        <v>176</v>
      </c>
    </row>
    <row r="907">
      <c r="P907" s="189" t="s">
        <v>176</v>
      </c>
    </row>
    <row r="908">
      <c r="P908" s="189" t="s">
        <v>176</v>
      </c>
    </row>
    <row r="909">
      <c r="P909" s="189" t="s">
        <v>176</v>
      </c>
    </row>
    <row r="910">
      <c r="P910" s="189" t="s">
        <v>176</v>
      </c>
    </row>
    <row r="911">
      <c r="P911" s="189" t="s">
        <v>176</v>
      </c>
    </row>
    <row r="912">
      <c r="P912" s="189" t="s">
        <v>176</v>
      </c>
    </row>
    <row r="913">
      <c r="P913" s="189" t="s">
        <v>176</v>
      </c>
    </row>
    <row r="914">
      <c r="P914" s="189" t="s">
        <v>176</v>
      </c>
    </row>
    <row r="915">
      <c r="P915" s="189" t="s">
        <v>176</v>
      </c>
    </row>
    <row r="916">
      <c r="P916" s="189" t="s">
        <v>176</v>
      </c>
    </row>
    <row r="917">
      <c r="P917" s="189" t="s">
        <v>176</v>
      </c>
    </row>
    <row r="918">
      <c r="P918" s="189" t="s">
        <v>176</v>
      </c>
    </row>
    <row r="919">
      <c r="P919" s="189" t="s">
        <v>176</v>
      </c>
    </row>
    <row r="920">
      <c r="P920" s="189" t="s">
        <v>176</v>
      </c>
    </row>
    <row r="921">
      <c r="P921" s="189" t="s">
        <v>176</v>
      </c>
    </row>
    <row r="922">
      <c r="P922" s="189" t="s">
        <v>176</v>
      </c>
    </row>
    <row r="923">
      <c r="P923" s="189" t="s">
        <v>176</v>
      </c>
    </row>
    <row r="924">
      <c r="P924" s="189" t="s">
        <v>176</v>
      </c>
    </row>
    <row r="925">
      <c r="P925" s="189" t="s">
        <v>176</v>
      </c>
    </row>
    <row r="926">
      <c r="P926" s="189" t="s">
        <v>176</v>
      </c>
    </row>
    <row r="927">
      <c r="P927" s="189" t="s">
        <v>176</v>
      </c>
    </row>
    <row r="928">
      <c r="P928" s="189" t="s">
        <v>176</v>
      </c>
    </row>
    <row r="929">
      <c r="P929" s="189" t="s">
        <v>176</v>
      </c>
    </row>
    <row r="930">
      <c r="P930" s="189" t="s">
        <v>176</v>
      </c>
    </row>
    <row r="931">
      <c r="P931" s="189" t="s">
        <v>176</v>
      </c>
    </row>
    <row r="932">
      <c r="P932" s="189" t="s">
        <v>176</v>
      </c>
    </row>
    <row r="933">
      <c r="P933" s="189" t="s">
        <v>176</v>
      </c>
    </row>
    <row r="934">
      <c r="P934" s="189" t="s">
        <v>176</v>
      </c>
    </row>
    <row r="935">
      <c r="P935" s="189" t="s">
        <v>176</v>
      </c>
    </row>
    <row r="936">
      <c r="P936" s="189" t="s">
        <v>176</v>
      </c>
    </row>
    <row r="937">
      <c r="P937" s="189" t="s">
        <v>176</v>
      </c>
    </row>
    <row r="938">
      <c r="P938" s="189" t="s">
        <v>176</v>
      </c>
    </row>
    <row r="939">
      <c r="P939" s="189" t="s">
        <v>176</v>
      </c>
    </row>
    <row r="940">
      <c r="P940" s="189" t="s">
        <v>176</v>
      </c>
    </row>
    <row r="941">
      <c r="P941" s="189" t="s">
        <v>176</v>
      </c>
    </row>
    <row r="942">
      <c r="P942" s="189" t="s">
        <v>176</v>
      </c>
    </row>
    <row r="943">
      <c r="P943" s="189" t="s">
        <v>176</v>
      </c>
    </row>
    <row r="944">
      <c r="P944" s="189" t="s">
        <v>176</v>
      </c>
    </row>
    <row r="945">
      <c r="P945" s="189" t="s">
        <v>176</v>
      </c>
    </row>
    <row r="946">
      <c r="P946" s="189" t="s">
        <v>176</v>
      </c>
    </row>
    <row r="947">
      <c r="P947" s="189" t="s">
        <v>176</v>
      </c>
    </row>
    <row r="948">
      <c r="P948" s="189" t="s">
        <v>176</v>
      </c>
    </row>
    <row r="949">
      <c r="P949" s="189" t="s">
        <v>176</v>
      </c>
    </row>
    <row r="950">
      <c r="P950" s="189" t="s">
        <v>176</v>
      </c>
    </row>
    <row r="951">
      <c r="P951" s="189" t="s">
        <v>176</v>
      </c>
    </row>
    <row r="952">
      <c r="P952" s="189" t="s">
        <v>176</v>
      </c>
    </row>
    <row r="953">
      <c r="P953" s="189" t="s">
        <v>176</v>
      </c>
    </row>
    <row r="954">
      <c r="P954" s="189" t="s">
        <v>176</v>
      </c>
    </row>
    <row r="955">
      <c r="P955" s="189" t="s">
        <v>176</v>
      </c>
    </row>
    <row r="956">
      <c r="P956" s="189" t="s">
        <v>176</v>
      </c>
    </row>
    <row r="957">
      <c r="P957" s="189" t="s">
        <v>176</v>
      </c>
    </row>
    <row r="958">
      <c r="P958" s="189" t="s">
        <v>176</v>
      </c>
    </row>
    <row r="959">
      <c r="P959" s="189" t="s">
        <v>176</v>
      </c>
    </row>
    <row r="960">
      <c r="P960" s="189" t="s">
        <v>176</v>
      </c>
    </row>
    <row r="961">
      <c r="P961" s="189" t="s">
        <v>176</v>
      </c>
    </row>
    <row r="962">
      <c r="P962" s="189" t="s">
        <v>176</v>
      </c>
    </row>
    <row r="963">
      <c r="P963" s="189" t="s">
        <v>176</v>
      </c>
    </row>
    <row r="964">
      <c r="P964" s="189" t="s">
        <v>176</v>
      </c>
    </row>
    <row r="965">
      <c r="P965" s="189" t="s">
        <v>176</v>
      </c>
    </row>
    <row r="966">
      <c r="P966" s="189" t="s">
        <v>176</v>
      </c>
    </row>
    <row r="967">
      <c r="P967" s="189" t="s">
        <v>176</v>
      </c>
    </row>
    <row r="968">
      <c r="P968" s="189" t="s">
        <v>176</v>
      </c>
    </row>
    <row r="969">
      <c r="P969" s="189" t="s">
        <v>176</v>
      </c>
    </row>
    <row r="970">
      <c r="P970" s="189" t="s">
        <v>176</v>
      </c>
    </row>
    <row r="971">
      <c r="P971" s="189" t="s">
        <v>176</v>
      </c>
    </row>
    <row r="972">
      <c r="P972" s="189" t="s">
        <v>176</v>
      </c>
    </row>
    <row r="973">
      <c r="P973" s="189" t="s">
        <v>176</v>
      </c>
    </row>
    <row r="974">
      <c r="P974" s="189" t="s">
        <v>176</v>
      </c>
    </row>
    <row r="975">
      <c r="P975" s="189" t="s">
        <v>176</v>
      </c>
    </row>
    <row r="976">
      <c r="P976" s="189" t="s">
        <v>176</v>
      </c>
    </row>
    <row r="977">
      <c r="P977" s="189" t="s">
        <v>176</v>
      </c>
    </row>
    <row r="978">
      <c r="P978" s="189" t="s">
        <v>176</v>
      </c>
    </row>
    <row r="979">
      <c r="P979" s="189" t="s">
        <v>176</v>
      </c>
    </row>
    <row r="980">
      <c r="P980" s="189" t="s">
        <v>176</v>
      </c>
    </row>
    <row r="981">
      <c r="P981" s="189" t="s">
        <v>176</v>
      </c>
    </row>
    <row r="982">
      <c r="P982" s="189" t="s">
        <v>176</v>
      </c>
    </row>
    <row r="983">
      <c r="P983" s="189" t="s">
        <v>176</v>
      </c>
    </row>
    <row r="984">
      <c r="P984" s="189" t="s">
        <v>176</v>
      </c>
    </row>
    <row r="985">
      <c r="P985" s="189" t="s">
        <v>176</v>
      </c>
    </row>
    <row r="986">
      <c r="P986" s="189" t="s">
        <v>176</v>
      </c>
    </row>
    <row r="987">
      <c r="P987" s="189" t="s">
        <v>176</v>
      </c>
    </row>
    <row r="988">
      <c r="P988" s="189" t="s">
        <v>176</v>
      </c>
    </row>
    <row r="989">
      <c r="P989" s="189" t="s">
        <v>176</v>
      </c>
    </row>
    <row r="990">
      <c r="P990" s="189" t="s">
        <v>176</v>
      </c>
    </row>
    <row r="991">
      <c r="P991" s="189" t="s">
        <v>176</v>
      </c>
    </row>
    <row r="992">
      <c r="P992" s="189" t="s">
        <v>176</v>
      </c>
    </row>
    <row r="993">
      <c r="P993" s="189" t="s">
        <v>176</v>
      </c>
    </row>
    <row r="994">
      <c r="P994" s="189" t="s">
        <v>176</v>
      </c>
    </row>
    <row r="995">
      <c r="P995" s="189" t="s">
        <v>176</v>
      </c>
    </row>
    <row r="996">
      <c r="P996" s="189" t="s">
        <v>176</v>
      </c>
    </row>
    <row r="997">
      <c r="P997" s="189" t="s">
        <v>176</v>
      </c>
    </row>
    <row r="998">
      <c r="P998" s="189" t="s">
        <v>176</v>
      </c>
    </row>
    <row r="999">
      <c r="P999" s="189" t="s">
        <v>176</v>
      </c>
    </row>
    <row r="1000">
      <c r="P1000" s="189" t="s">
        <v>176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234</v>
      </c>
      <c r="D1" s="182" t="s">
        <v>235</v>
      </c>
    </row>
    <row r="2">
      <c r="A2" s="182" t="s">
        <v>236</v>
      </c>
      <c r="B2" s="182" t="s">
        <v>232</v>
      </c>
      <c r="C2" s="182">
        <v>258.0</v>
      </c>
      <c r="D2" s="182">
        <v>14.0</v>
      </c>
    </row>
    <row r="3">
      <c r="A3" s="182" t="s">
        <v>237</v>
      </c>
      <c r="B3" s="182" t="s">
        <v>179</v>
      </c>
      <c r="C3" s="182">
        <v>255.0</v>
      </c>
      <c r="D3" s="182">
        <v>17.0</v>
      </c>
    </row>
    <row r="4">
      <c r="A4" s="182" t="s">
        <v>238</v>
      </c>
      <c r="B4" s="182" t="s">
        <v>180</v>
      </c>
      <c r="C4" s="182">
        <v>247.0</v>
      </c>
      <c r="D4" s="182">
        <v>28.0</v>
      </c>
    </row>
    <row r="5">
      <c r="A5" s="182" t="s">
        <v>239</v>
      </c>
      <c r="B5" s="182" t="s">
        <v>181</v>
      </c>
      <c r="C5" s="182">
        <v>245.0</v>
      </c>
      <c r="D5" s="182">
        <v>56.0</v>
      </c>
    </row>
    <row r="6">
      <c r="A6" s="182" t="s">
        <v>240</v>
      </c>
      <c r="B6" s="182" t="s">
        <v>182</v>
      </c>
      <c r="C6" s="182">
        <v>243.0</v>
      </c>
      <c r="D6" s="182">
        <v>20.0</v>
      </c>
    </row>
    <row r="7">
      <c r="A7" s="182" t="s">
        <v>241</v>
      </c>
      <c r="B7" s="182" t="s">
        <v>1</v>
      </c>
      <c r="C7" s="182">
        <v>233.0</v>
      </c>
      <c r="D7" s="182">
        <v>32.0</v>
      </c>
    </row>
    <row r="8">
      <c r="A8" s="182" t="s">
        <v>242</v>
      </c>
      <c r="B8" s="182" t="s">
        <v>183</v>
      </c>
      <c r="C8" s="182">
        <v>233.0</v>
      </c>
      <c r="D8" s="182">
        <v>27.0</v>
      </c>
    </row>
    <row r="9">
      <c r="A9" s="182" t="s">
        <v>243</v>
      </c>
      <c r="B9" s="182" t="s">
        <v>232</v>
      </c>
      <c r="C9" s="182">
        <v>231.0</v>
      </c>
      <c r="D9" s="182">
        <v>14.0</v>
      </c>
    </row>
    <row r="10">
      <c r="A10" s="182" t="s">
        <v>244</v>
      </c>
      <c r="B10" s="182" t="s">
        <v>184</v>
      </c>
      <c r="C10" s="182">
        <v>231.0</v>
      </c>
      <c r="D10" s="182">
        <v>33.0</v>
      </c>
    </row>
    <row r="11">
      <c r="A11" s="182" t="s">
        <v>245</v>
      </c>
      <c r="B11" s="182" t="s">
        <v>185</v>
      </c>
      <c r="C11" s="182">
        <v>225.0</v>
      </c>
      <c r="D11" s="182">
        <v>34.0</v>
      </c>
    </row>
    <row r="12">
      <c r="A12" s="182" t="s">
        <v>246</v>
      </c>
      <c r="B12" s="182" t="s">
        <v>180</v>
      </c>
      <c r="C12" s="182">
        <v>223.0</v>
      </c>
      <c r="D12" s="182">
        <v>28.0</v>
      </c>
    </row>
    <row r="13">
      <c r="A13" s="182" t="s">
        <v>247</v>
      </c>
      <c r="B13" s="182" t="s">
        <v>186</v>
      </c>
      <c r="C13" s="182">
        <v>221.0</v>
      </c>
      <c r="D13" s="182">
        <v>30.0</v>
      </c>
    </row>
    <row r="14">
      <c r="A14" s="182" t="s">
        <v>248</v>
      </c>
      <c r="B14" s="182" t="s">
        <v>187</v>
      </c>
      <c r="C14" s="182">
        <v>221.0</v>
      </c>
      <c r="D14" s="182">
        <v>24.0</v>
      </c>
    </row>
    <row r="15">
      <c r="A15" s="182" t="s">
        <v>249</v>
      </c>
      <c r="B15" s="182" t="s">
        <v>180</v>
      </c>
      <c r="C15" s="182">
        <v>221.0</v>
      </c>
      <c r="D15" s="182">
        <v>28.0</v>
      </c>
    </row>
    <row r="16">
      <c r="A16" s="182" t="s">
        <v>250</v>
      </c>
      <c r="B16" s="182" t="s">
        <v>188</v>
      </c>
      <c r="C16" s="182">
        <v>219.0</v>
      </c>
      <c r="D16" s="182">
        <v>28.0</v>
      </c>
    </row>
    <row r="17">
      <c r="A17" s="182" t="s">
        <v>251</v>
      </c>
      <c r="B17" s="182" t="s">
        <v>181</v>
      </c>
      <c r="C17" s="182">
        <v>218.0</v>
      </c>
      <c r="D17" s="182">
        <v>56.0</v>
      </c>
    </row>
    <row r="18">
      <c r="A18" s="182" t="s">
        <v>252</v>
      </c>
      <c r="B18" s="182" t="s">
        <v>189</v>
      </c>
      <c r="C18" s="182">
        <v>216.0</v>
      </c>
      <c r="D18" s="182">
        <v>23.0</v>
      </c>
    </row>
    <row r="19">
      <c r="A19" s="182" t="s">
        <v>253</v>
      </c>
      <c r="B19" s="182" t="s">
        <v>187</v>
      </c>
      <c r="C19" s="182">
        <v>215.0</v>
      </c>
      <c r="D19" s="182">
        <v>24.0</v>
      </c>
    </row>
    <row r="20">
      <c r="A20" s="182" t="s">
        <v>254</v>
      </c>
      <c r="B20" s="182" t="s">
        <v>189</v>
      </c>
      <c r="C20" s="182">
        <v>214.0</v>
      </c>
      <c r="D20" s="182">
        <v>23.0</v>
      </c>
    </row>
    <row r="21">
      <c r="A21" s="182" t="s">
        <v>255</v>
      </c>
      <c r="B21" s="182" t="s">
        <v>1</v>
      </c>
      <c r="C21" s="182">
        <v>213.0</v>
      </c>
      <c r="D21" s="182">
        <v>32.0</v>
      </c>
    </row>
    <row r="22">
      <c r="A22" s="182" t="s">
        <v>256</v>
      </c>
      <c r="B22" s="182" t="s">
        <v>182</v>
      </c>
      <c r="C22" s="182">
        <v>213.0</v>
      </c>
      <c r="D22" s="182">
        <v>20.0</v>
      </c>
    </row>
    <row r="23">
      <c r="A23" s="182" t="s">
        <v>257</v>
      </c>
      <c r="B23" s="182" t="s">
        <v>190</v>
      </c>
      <c r="C23" s="182">
        <v>212.0</v>
      </c>
      <c r="D23" s="182">
        <v>30.0</v>
      </c>
    </row>
    <row r="24">
      <c r="A24" s="182" t="s">
        <v>258</v>
      </c>
      <c r="B24" s="182" t="s">
        <v>186</v>
      </c>
      <c r="C24" s="182">
        <v>212.0</v>
      </c>
      <c r="D24" s="182">
        <v>30.0</v>
      </c>
    </row>
    <row r="25">
      <c r="A25" s="182" t="s">
        <v>259</v>
      </c>
      <c r="B25" s="182" t="s">
        <v>184</v>
      </c>
      <c r="C25" s="182">
        <v>211.0</v>
      </c>
      <c r="D25" s="182">
        <v>33.0</v>
      </c>
    </row>
    <row r="26">
      <c r="A26" s="182" t="s">
        <v>260</v>
      </c>
      <c r="B26" s="182" t="s">
        <v>191</v>
      </c>
      <c r="C26" s="182">
        <v>211.0</v>
      </c>
      <c r="D26" s="182">
        <v>28.0</v>
      </c>
    </row>
    <row r="27">
      <c r="A27" s="182" t="s">
        <v>261</v>
      </c>
      <c r="B27" s="182" t="s">
        <v>179</v>
      </c>
      <c r="C27" s="182">
        <v>211.0</v>
      </c>
      <c r="D27" s="182">
        <v>17.0</v>
      </c>
    </row>
    <row r="28">
      <c r="A28" s="182" t="s">
        <v>262</v>
      </c>
      <c r="B28" s="182" t="s">
        <v>190</v>
      </c>
      <c r="C28" s="182">
        <v>210.0</v>
      </c>
      <c r="D28" s="182">
        <v>30.0</v>
      </c>
    </row>
    <row r="29">
      <c r="A29" s="182" t="s">
        <v>263</v>
      </c>
      <c r="B29" s="182" t="s">
        <v>181</v>
      </c>
      <c r="C29" s="182">
        <v>209.0</v>
      </c>
      <c r="D29" s="182">
        <v>56.0</v>
      </c>
    </row>
    <row r="30">
      <c r="A30" s="182" t="s">
        <v>264</v>
      </c>
      <c r="B30" s="182" t="s">
        <v>184</v>
      </c>
      <c r="C30" s="182">
        <v>207.0</v>
      </c>
      <c r="D30" s="182">
        <v>33.0</v>
      </c>
    </row>
    <row r="31">
      <c r="A31" s="182" t="s">
        <v>265</v>
      </c>
      <c r="B31" s="182" t="s">
        <v>183</v>
      </c>
      <c r="C31" s="182">
        <v>205.0</v>
      </c>
      <c r="D31" s="182">
        <v>27.0</v>
      </c>
    </row>
    <row r="32">
      <c r="A32" s="182" t="s">
        <v>266</v>
      </c>
      <c r="B32" s="182" t="s">
        <v>1</v>
      </c>
      <c r="C32" s="182">
        <v>205.0</v>
      </c>
      <c r="D32" s="182">
        <v>32.0</v>
      </c>
    </row>
    <row r="33">
      <c r="A33" s="182" t="s">
        <v>267</v>
      </c>
      <c r="B33" s="182" t="s">
        <v>232</v>
      </c>
      <c r="C33" s="182">
        <v>204.0</v>
      </c>
      <c r="D33" s="182">
        <v>14.0</v>
      </c>
    </row>
    <row r="34">
      <c r="A34" s="182" t="s">
        <v>268</v>
      </c>
      <c r="B34" s="182" t="s">
        <v>179</v>
      </c>
      <c r="C34" s="182">
        <v>204.0</v>
      </c>
      <c r="D34" s="182">
        <v>17.0</v>
      </c>
    </row>
    <row r="35">
      <c r="A35" s="182" t="s">
        <v>269</v>
      </c>
      <c r="B35" s="182" t="s">
        <v>179</v>
      </c>
      <c r="C35" s="182">
        <v>204.0</v>
      </c>
      <c r="D35" s="182">
        <v>17.0</v>
      </c>
    </row>
    <row r="36">
      <c r="A36" s="182" t="s">
        <v>270</v>
      </c>
      <c r="B36" s="182" t="s">
        <v>183</v>
      </c>
      <c r="C36" s="182">
        <v>203.0</v>
      </c>
      <c r="D36" s="182">
        <v>27.0</v>
      </c>
    </row>
    <row r="37">
      <c r="A37" s="182" t="s">
        <v>271</v>
      </c>
      <c r="B37" s="182" t="s">
        <v>186</v>
      </c>
      <c r="C37" s="182">
        <v>202.0</v>
      </c>
      <c r="D37" s="182">
        <v>30.0</v>
      </c>
    </row>
    <row r="38">
      <c r="A38" s="182" t="s">
        <v>272</v>
      </c>
      <c r="B38" s="182" t="s">
        <v>185</v>
      </c>
      <c r="C38" s="182">
        <v>202.0</v>
      </c>
      <c r="D38" s="182">
        <v>20.0</v>
      </c>
    </row>
    <row r="39">
      <c r="A39" s="182" t="s">
        <v>273</v>
      </c>
      <c r="B39" s="182" t="s">
        <v>181</v>
      </c>
      <c r="C39" s="182">
        <v>202.0</v>
      </c>
      <c r="D39" s="182">
        <v>56.0</v>
      </c>
    </row>
    <row r="40">
      <c r="A40" s="182" t="s">
        <v>274</v>
      </c>
      <c r="B40" s="182" t="s">
        <v>189</v>
      </c>
      <c r="C40" s="182">
        <v>202.0</v>
      </c>
      <c r="D40" s="182">
        <v>23.0</v>
      </c>
    </row>
    <row r="41">
      <c r="A41" s="182" t="s">
        <v>275</v>
      </c>
      <c r="B41" s="182" t="s">
        <v>1</v>
      </c>
      <c r="C41" s="182">
        <v>201.0</v>
      </c>
      <c r="D41" s="182">
        <v>32.0</v>
      </c>
    </row>
    <row r="42">
      <c r="A42" s="182" t="s">
        <v>276</v>
      </c>
      <c r="B42" s="182" t="s">
        <v>185</v>
      </c>
      <c r="C42" s="182">
        <v>201.0</v>
      </c>
      <c r="D42" s="182">
        <v>34.0</v>
      </c>
    </row>
    <row r="43">
      <c r="A43" s="182" t="s">
        <v>277</v>
      </c>
      <c r="B43" s="182" t="s">
        <v>187</v>
      </c>
      <c r="C43" s="182">
        <v>201.0</v>
      </c>
      <c r="D43" s="182">
        <v>24.0</v>
      </c>
    </row>
    <row r="44">
      <c r="A44" s="182" t="s">
        <v>278</v>
      </c>
      <c r="B44" s="182" t="s">
        <v>182</v>
      </c>
      <c r="C44" s="182">
        <v>200.0</v>
      </c>
      <c r="D44" s="182">
        <v>20.0</v>
      </c>
    </row>
    <row r="45">
      <c r="A45" s="182" t="s">
        <v>279</v>
      </c>
      <c r="B45" s="182" t="s">
        <v>189</v>
      </c>
      <c r="C45" s="182">
        <v>200.0</v>
      </c>
      <c r="D45" s="182">
        <v>23.0</v>
      </c>
    </row>
    <row r="46">
      <c r="A46" s="182" t="s">
        <v>280</v>
      </c>
      <c r="B46" s="182" t="s">
        <v>186</v>
      </c>
      <c r="C46" s="182">
        <v>199.0</v>
      </c>
      <c r="D46" s="182">
        <v>30.0</v>
      </c>
    </row>
    <row r="47">
      <c r="A47" s="182" t="s">
        <v>281</v>
      </c>
      <c r="B47" s="182" t="s">
        <v>187</v>
      </c>
      <c r="C47" s="182">
        <v>198.0</v>
      </c>
      <c r="D47" s="182">
        <v>24.0</v>
      </c>
    </row>
    <row r="48">
      <c r="A48" s="182" t="s">
        <v>282</v>
      </c>
      <c r="B48" s="182" t="s">
        <v>183</v>
      </c>
      <c r="C48" s="182">
        <v>195.0</v>
      </c>
      <c r="D48" s="182">
        <v>27.0</v>
      </c>
    </row>
    <row r="49">
      <c r="A49" s="182" t="s">
        <v>283</v>
      </c>
      <c r="B49" s="182" t="s">
        <v>183</v>
      </c>
      <c r="C49" s="182">
        <v>193.0</v>
      </c>
      <c r="D49" s="182">
        <v>20.0</v>
      </c>
    </row>
    <row r="50">
      <c r="A50" s="182" t="s">
        <v>284</v>
      </c>
      <c r="B50" s="182" t="s">
        <v>188</v>
      </c>
      <c r="C50" s="182">
        <v>193.0</v>
      </c>
      <c r="D50" s="182">
        <v>28.0</v>
      </c>
    </row>
    <row r="51">
      <c r="A51" s="182" t="s">
        <v>285</v>
      </c>
      <c r="B51" s="182" t="s">
        <v>232</v>
      </c>
      <c r="C51" s="182">
        <v>192.0</v>
      </c>
      <c r="D51" s="182">
        <v>14.0</v>
      </c>
    </row>
    <row r="52">
      <c r="A52" s="182" t="s">
        <v>286</v>
      </c>
      <c r="B52" s="182" t="s">
        <v>185</v>
      </c>
      <c r="C52" s="182">
        <v>190.0</v>
      </c>
      <c r="D52" s="182">
        <v>33.0</v>
      </c>
    </row>
    <row r="53">
      <c r="A53" s="182" t="s">
        <v>287</v>
      </c>
      <c r="B53" s="182" t="s">
        <v>190</v>
      </c>
      <c r="C53" s="182">
        <v>190.0</v>
      </c>
      <c r="D53" s="182">
        <v>30.0</v>
      </c>
    </row>
    <row r="54">
      <c r="A54" s="182" t="s">
        <v>288</v>
      </c>
      <c r="B54" s="182" t="s">
        <v>185</v>
      </c>
      <c r="C54" s="182">
        <v>190.0</v>
      </c>
      <c r="D54" s="182">
        <v>5.0</v>
      </c>
    </row>
    <row r="55">
      <c r="A55" s="182" t="s">
        <v>289</v>
      </c>
      <c r="B55" s="182" t="s">
        <v>184</v>
      </c>
      <c r="C55" s="182">
        <v>190.0</v>
      </c>
      <c r="D55" s="182">
        <v>33.0</v>
      </c>
    </row>
    <row r="56">
      <c r="A56" s="182" t="s">
        <v>290</v>
      </c>
      <c r="B56" s="182" t="s">
        <v>190</v>
      </c>
      <c r="C56" s="182">
        <v>190.0</v>
      </c>
      <c r="D56" s="182">
        <v>30.0</v>
      </c>
    </row>
    <row r="57">
      <c r="A57" s="182" t="s">
        <v>291</v>
      </c>
      <c r="B57" s="182" t="s">
        <v>187</v>
      </c>
      <c r="C57" s="182">
        <v>189.0</v>
      </c>
      <c r="D57" s="182">
        <v>24.0</v>
      </c>
    </row>
    <row r="58">
      <c r="A58" s="182" t="s">
        <v>292</v>
      </c>
      <c r="B58" s="182" t="s">
        <v>180</v>
      </c>
      <c r="C58" s="182">
        <v>188.0</v>
      </c>
      <c r="D58" s="182">
        <v>28.0</v>
      </c>
    </row>
    <row r="59">
      <c r="A59" s="182" t="s">
        <v>293</v>
      </c>
      <c r="B59" s="182" t="s">
        <v>182</v>
      </c>
      <c r="C59" s="182">
        <v>186.0</v>
      </c>
      <c r="D59" s="182">
        <v>20.0</v>
      </c>
    </row>
    <row r="60">
      <c r="A60" s="182" t="s">
        <v>294</v>
      </c>
      <c r="B60" s="182" t="s">
        <v>180</v>
      </c>
      <c r="C60" s="182">
        <v>185.0</v>
      </c>
      <c r="D60" s="182">
        <v>28.0</v>
      </c>
    </row>
    <row r="61">
      <c r="A61" s="182" t="s">
        <v>295</v>
      </c>
      <c r="B61" s="182" t="s">
        <v>188</v>
      </c>
      <c r="C61" s="182">
        <v>183.0</v>
      </c>
      <c r="D61" s="182">
        <v>28.0</v>
      </c>
    </row>
    <row r="62">
      <c r="A62" s="182" t="s">
        <v>296</v>
      </c>
      <c r="B62" s="182" t="s">
        <v>185</v>
      </c>
      <c r="C62" s="182">
        <v>183.0</v>
      </c>
      <c r="D62" s="182">
        <v>30.0</v>
      </c>
    </row>
    <row r="63">
      <c r="A63" s="182" t="s">
        <v>297</v>
      </c>
      <c r="B63" s="182" t="s">
        <v>181</v>
      </c>
      <c r="C63" s="182">
        <v>180.0</v>
      </c>
      <c r="D63" s="182">
        <v>56.0</v>
      </c>
    </row>
    <row r="64">
      <c r="A64" s="182" t="s">
        <v>298</v>
      </c>
      <c r="B64" s="182" t="s">
        <v>184</v>
      </c>
      <c r="C64" s="182">
        <v>179.0</v>
      </c>
      <c r="D64" s="182">
        <v>10.0</v>
      </c>
    </row>
    <row r="65">
      <c r="A65" s="182" t="s">
        <v>299</v>
      </c>
      <c r="B65" s="182" t="s">
        <v>1</v>
      </c>
      <c r="C65" s="182">
        <v>179.0</v>
      </c>
      <c r="D65" s="182">
        <v>32.0</v>
      </c>
    </row>
    <row r="66">
      <c r="A66" s="182" t="s">
        <v>300</v>
      </c>
      <c r="B66" s="182" t="s">
        <v>192</v>
      </c>
      <c r="C66" s="182">
        <v>177.0</v>
      </c>
      <c r="D66" s="182">
        <v>14.0</v>
      </c>
    </row>
    <row r="67">
      <c r="A67" s="182" t="s">
        <v>301</v>
      </c>
      <c r="B67" s="182" t="s">
        <v>182</v>
      </c>
      <c r="C67" s="182">
        <v>176.0</v>
      </c>
      <c r="D67" s="182">
        <v>20.0</v>
      </c>
    </row>
    <row r="68">
      <c r="A68" s="182" t="s">
        <v>302</v>
      </c>
      <c r="B68" s="182" t="s">
        <v>184</v>
      </c>
      <c r="C68" s="182">
        <v>176.0</v>
      </c>
      <c r="D68" s="182">
        <v>23.0</v>
      </c>
    </row>
    <row r="69">
      <c r="A69" s="182" t="s">
        <v>303</v>
      </c>
      <c r="B69" s="182" t="s">
        <v>232</v>
      </c>
      <c r="C69" s="182">
        <v>175.0</v>
      </c>
      <c r="D69" s="182">
        <v>14.0</v>
      </c>
    </row>
    <row r="70">
      <c r="A70" s="182" t="s">
        <v>304</v>
      </c>
      <c r="B70" s="182" t="s">
        <v>188</v>
      </c>
      <c r="C70" s="182">
        <v>173.0</v>
      </c>
      <c r="D70" s="182">
        <v>28.0</v>
      </c>
    </row>
    <row r="71">
      <c r="A71" s="182" t="s">
        <v>305</v>
      </c>
      <c r="B71" s="182" t="s">
        <v>190</v>
      </c>
      <c r="C71" s="182">
        <v>167.0</v>
      </c>
      <c r="D71" s="182">
        <v>30.0</v>
      </c>
    </row>
    <row r="72">
      <c r="A72" s="182" t="s">
        <v>306</v>
      </c>
      <c r="B72" s="182" t="s">
        <v>186</v>
      </c>
      <c r="C72" s="182">
        <v>167.0</v>
      </c>
      <c r="D72" s="182">
        <v>30.0</v>
      </c>
    </row>
    <row r="73">
      <c r="A73" s="182" t="s">
        <v>307</v>
      </c>
      <c r="B73" s="182" t="s">
        <v>189</v>
      </c>
      <c r="C73" s="182">
        <v>166.0</v>
      </c>
      <c r="D73" s="182">
        <v>23.0</v>
      </c>
    </row>
    <row r="74">
      <c r="A74" s="182" t="s">
        <v>308</v>
      </c>
      <c r="B74" s="182" t="s">
        <v>179</v>
      </c>
      <c r="C74" s="182">
        <v>163.0</v>
      </c>
      <c r="D74" s="182">
        <v>17.0</v>
      </c>
    </row>
    <row r="75">
      <c r="A75" s="182" t="s">
        <v>309</v>
      </c>
      <c r="B75" s="182" t="s">
        <v>193</v>
      </c>
      <c r="C75" s="182">
        <v>160.0</v>
      </c>
      <c r="D75" s="182">
        <v>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234</v>
      </c>
      <c r="D1" s="182" t="s">
        <v>235</v>
      </c>
    </row>
    <row r="2">
      <c r="A2" s="182" t="s">
        <v>212</v>
      </c>
      <c r="B2" s="182" t="s">
        <v>310</v>
      </c>
      <c r="C2" s="182">
        <v>261.0</v>
      </c>
      <c r="D2" s="182">
        <v>68.0</v>
      </c>
    </row>
    <row r="3">
      <c r="A3" s="182" t="s">
        <v>236</v>
      </c>
      <c r="B3" s="182" t="s">
        <v>232</v>
      </c>
      <c r="C3" s="182">
        <v>258.0</v>
      </c>
      <c r="D3" s="182">
        <v>14.0</v>
      </c>
    </row>
    <row r="4">
      <c r="A4" s="182" t="s">
        <v>311</v>
      </c>
      <c r="B4" s="182" t="s">
        <v>312</v>
      </c>
      <c r="C4" s="182">
        <v>252.0</v>
      </c>
      <c r="D4" s="182">
        <v>38.0</v>
      </c>
    </row>
    <row r="5">
      <c r="A5" s="182" t="s">
        <v>313</v>
      </c>
      <c r="B5" s="182" t="s">
        <v>314</v>
      </c>
      <c r="C5" s="182">
        <v>252.0</v>
      </c>
      <c r="D5" s="182">
        <v>2.0</v>
      </c>
    </row>
    <row r="6">
      <c r="A6" s="182" t="s">
        <v>239</v>
      </c>
      <c r="B6" s="182" t="s">
        <v>181</v>
      </c>
      <c r="C6" s="182">
        <v>252.0</v>
      </c>
      <c r="D6" s="182">
        <v>73.0</v>
      </c>
    </row>
    <row r="7">
      <c r="A7" s="182" t="s">
        <v>240</v>
      </c>
      <c r="B7" s="182" t="s">
        <v>182</v>
      </c>
      <c r="C7" s="182">
        <v>243.0</v>
      </c>
      <c r="D7" s="182">
        <v>20.0</v>
      </c>
    </row>
    <row r="8">
      <c r="A8" s="182" t="s">
        <v>315</v>
      </c>
      <c r="B8" s="182" t="s">
        <v>182</v>
      </c>
      <c r="C8" s="182">
        <v>242.0</v>
      </c>
      <c r="D8" s="182">
        <v>55.0</v>
      </c>
    </row>
    <row r="9">
      <c r="A9" s="182" t="s">
        <v>238</v>
      </c>
      <c r="B9" s="182" t="s">
        <v>180</v>
      </c>
      <c r="C9" s="182">
        <v>242.0</v>
      </c>
      <c r="D9" s="182">
        <v>52.0</v>
      </c>
    </row>
    <row r="10">
      <c r="A10" s="182" t="s">
        <v>244</v>
      </c>
      <c r="B10" s="182" t="s">
        <v>184</v>
      </c>
      <c r="C10" s="182">
        <v>241.0</v>
      </c>
      <c r="D10" s="182">
        <v>86.0</v>
      </c>
    </row>
    <row r="11">
      <c r="A11" s="182" t="s">
        <v>237</v>
      </c>
      <c r="B11" s="182" t="s">
        <v>179</v>
      </c>
      <c r="C11" s="182">
        <v>238.0</v>
      </c>
      <c r="D11" s="182">
        <v>79.0</v>
      </c>
    </row>
    <row r="12">
      <c r="A12" s="182" t="s">
        <v>245</v>
      </c>
      <c r="B12" s="182" t="s">
        <v>185</v>
      </c>
      <c r="C12" s="182">
        <v>234.0</v>
      </c>
      <c r="D12" s="182">
        <v>74.0</v>
      </c>
    </row>
    <row r="13">
      <c r="A13" s="182" t="s">
        <v>241</v>
      </c>
      <c r="B13" s="182" t="s">
        <v>1</v>
      </c>
      <c r="C13" s="182">
        <v>232.0</v>
      </c>
      <c r="D13" s="182">
        <v>69.0</v>
      </c>
    </row>
    <row r="14">
      <c r="A14" s="182" t="s">
        <v>316</v>
      </c>
      <c r="B14" s="182" t="s">
        <v>317</v>
      </c>
      <c r="C14" s="182">
        <v>231.0</v>
      </c>
      <c r="D14" s="182">
        <v>4.0</v>
      </c>
    </row>
    <row r="15">
      <c r="A15" s="182" t="s">
        <v>243</v>
      </c>
      <c r="B15" s="182" t="s">
        <v>232</v>
      </c>
      <c r="C15" s="182">
        <v>231.0</v>
      </c>
      <c r="D15" s="182">
        <v>14.0</v>
      </c>
    </row>
    <row r="16">
      <c r="A16" s="182" t="s">
        <v>318</v>
      </c>
      <c r="B16" s="182" t="s">
        <v>184</v>
      </c>
      <c r="C16" s="182">
        <v>230.0</v>
      </c>
      <c r="D16" s="182">
        <v>53.0</v>
      </c>
    </row>
    <row r="17">
      <c r="A17" s="182" t="s">
        <v>303</v>
      </c>
      <c r="B17" s="182" t="s">
        <v>319</v>
      </c>
      <c r="C17" s="182">
        <v>222.0</v>
      </c>
      <c r="D17" s="182">
        <v>29.0</v>
      </c>
    </row>
    <row r="18">
      <c r="A18" s="182" t="s">
        <v>247</v>
      </c>
      <c r="B18" s="182" t="s">
        <v>186</v>
      </c>
      <c r="C18" s="182">
        <v>221.0</v>
      </c>
      <c r="D18" s="182">
        <v>30.0</v>
      </c>
    </row>
    <row r="19">
      <c r="A19" s="182" t="s">
        <v>251</v>
      </c>
      <c r="B19" s="182" t="s">
        <v>181</v>
      </c>
      <c r="C19" s="182">
        <v>220.0</v>
      </c>
      <c r="D19" s="182">
        <v>73.0</v>
      </c>
    </row>
    <row r="20">
      <c r="A20" s="182" t="s">
        <v>320</v>
      </c>
      <c r="B20" s="182" t="s">
        <v>321</v>
      </c>
      <c r="C20" s="182">
        <v>219.0</v>
      </c>
      <c r="D20" s="182">
        <v>61.0</v>
      </c>
    </row>
    <row r="21">
      <c r="A21" s="182" t="s">
        <v>248</v>
      </c>
      <c r="B21" s="182" t="s">
        <v>187</v>
      </c>
      <c r="C21" s="182">
        <v>219.0</v>
      </c>
      <c r="D21" s="182">
        <v>85.0</v>
      </c>
    </row>
    <row r="22">
      <c r="A22" s="182" t="s">
        <v>242</v>
      </c>
      <c r="B22" s="182" t="s">
        <v>183</v>
      </c>
      <c r="C22" s="182">
        <v>217.0</v>
      </c>
      <c r="D22" s="182">
        <v>58.0</v>
      </c>
    </row>
    <row r="23">
      <c r="A23" s="182" t="s">
        <v>249</v>
      </c>
      <c r="B23" s="182" t="s">
        <v>180</v>
      </c>
      <c r="C23" s="182">
        <v>217.0</v>
      </c>
      <c r="D23" s="182">
        <v>52.0</v>
      </c>
    </row>
    <row r="24">
      <c r="A24" s="182" t="s">
        <v>255</v>
      </c>
      <c r="B24" s="182" t="s">
        <v>1</v>
      </c>
      <c r="C24" s="182">
        <v>216.0</v>
      </c>
      <c r="D24" s="182">
        <v>56.0</v>
      </c>
    </row>
    <row r="25">
      <c r="A25" s="182" t="s">
        <v>246</v>
      </c>
      <c r="B25" s="182" t="s">
        <v>180</v>
      </c>
      <c r="C25" s="182">
        <v>216.0</v>
      </c>
      <c r="D25" s="182">
        <v>52.0</v>
      </c>
    </row>
    <row r="26">
      <c r="A26" s="182" t="s">
        <v>252</v>
      </c>
      <c r="B26" s="182" t="s">
        <v>189</v>
      </c>
      <c r="C26" s="182">
        <v>216.0</v>
      </c>
      <c r="D26" s="182">
        <v>42.0</v>
      </c>
    </row>
    <row r="27">
      <c r="A27" s="182" t="s">
        <v>322</v>
      </c>
      <c r="B27" s="182" t="s">
        <v>323</v>
      </c>
      <c r="C27" s="182">
        <v>216.0</v>
      </c>
      <c r="D27" s="182">
        <v>36.0</v>
      </c>
    </row>
    <row r="28">
      <c r="A28" s="182" t="s">
        <v>254</v>
      </c>
      <c r="B28" s="182" t="s">
        <v>189</v>
      </c>
      <c r="C28" s="182">
        <v>216.0</v>
      </c>
      <c r="D28" s="182">
        <v>71.0</v>
      </c>
    </row>
    <row r="29">
      <c r="A29" s="182" t="s">
        <v>324</v>
      </c>
      <c r="B29" s="182" t="s">
        <v>325</v>
      </c>
      <c r="C29" s="182">
        <v>215.0</v>
      </c>
      <c r="D29" s="182">
        <v>15.0</v>
      </c>
    </row>
    <row r="30">
      <c r="A30" s="182" t="s">
        <v>326</v>
      </c>
      <c r="B30" s="182" t="s">
        <v>327</v>
      </c>
      <c r="C30" s="182">
        <v>214.0</v>
      </c>
      <c r="D30" s="182">
        <v>31.0</v>
      </c>
    </row>
    <row r="31">
      <c r="A31" s="182" t="s">
        <v>328</v>
      </c>
      <c r="B31" s="182" t="s">
        <v>314</v>
      </c>
      <c r="C31" s="182">
        <v>214.0</v>
      </c>
      <c r="D31" s="182">
        <v>13.0</v>
      </c>
    </row>
    <row r="32">
      <c r="A32" s="182" t="s">
        <v>256</v>
      </c>
      <c r="B32" s="182" t="s">
        <v>182</v>
      </c>
      <c r="C32" s="182">
        <v>213.0</v>
      </c>
      <c r="D32" s="182">
        <v>20.0</v>
      </c>
    </row>
    <row r="33">
      <c r="A33" s="182" t="s">
        <v>257</v>
      </c>
      <c r="B33" s="182" t="s">
        <v>190</v>
      </c>
      <c r="C33" s="182">
        <v>212.0</v>
      </c>
      <c r="D33" s="182">
        <v>68.0</v>
      </c>
    </row>
    <row r="34">
      <c r="A34" s="182" t="s">
        <v>276</v>
      </c>
      <c r="B34" s="182" t="s">
        <v>185</v>
      </c>
      <c r="C34" s="182">
        <v>212.0</v>
      </c>
      <c r="D34" s="182">
        <v>85.0</v>
      </c>
    </row>
    <row r="35">
      <c r="A35" s="182" t="s">
        <v>250</v>
      </c>
      <c r="B35" s="182" t="s">
        <v>188</v>
      </c>
      <c r="C35" s="182">
        <v>212.0</v>
      </c>
      <c r="D35" s="182">
        <v>56.0</v>
      </c>
    </row>
    <row r="36">
      <c r="A36" s="182" t="s">
        <v>260</v>
      </c>
      <c r="B36" s="182" t="s">
        <v>191</v>
      </c>
      <c r="C36" s="182">
        <v>211.0</v>
      </c>
      <c r="D36" s="182">
        <v>28.0</v>
      </c>
    </row>
    <row r="37">
      <c r="A37" s="182" t="s">
        <v>258</v>
      </c>
      <c r="B37" s="182" t="s">
        <v>186</v>
      </c>
      <c r="C37" s="182">
        <v>211.0</v>
      </c>
      <c r="D37" s="182">
        <v>98.0</v>
      </c>
    </row>
    <row r="38">
      <c r="A38" s="182" t="s">
        <v>262</v>
      </c>
      <c r="B38" s="182" t="s">
        <v>190</v>
      </c>
      <c r="C38" s="182">
        <v>210.0</v>
      </c>
      <c r="D38" s="182">
        <v>30.0</v>
      </c>
    </row>
    <row r="39">
      <c r="A39" s="182" t="s">
        <v>263</v>
      </c>
      <c r="B39" s="182" t="s">
        <v>181</v>
      </c>
      <c r="C39" s="182">
        <v>209.0</v>
      </c>
      <c r="D39" s="182">
        <v>56.0</v>
      </c>
    </row>
    <row r="40">
      <c r="A40" s="182" t="s">
        <v>329</v>
      </c>
      <c r="B40" s="182" t="s">
        <v>181</v>
      </c>
      <c r="C40" s="182">
        <v>208.0</v>
      </c>
      <c r="D40" s="182">
        <v>17.0</v>
      </c>
    </row>
    <row r="41">
      <c r="A41" s="182" t="s">
        <v>269</v>
      </c>
      <c r="B41" s="182" t="s">
        <v>179</v>
      </c>
      <c r="C41" s="182">
        <v>207.0</v>
      </c>
      <c r="D41" s="182">
        <v>79.0</v>
      </c>
    </row>
    <row r="42">
      <c r="A42" s="182" t="s">
        <v>279</v>
      </c>
      <c r="B42" s="182" t="s">
        <v>189</v>
      </c>
      <c r="C42" s="182">
        <v>207.0</v>
      </c>
      <c r="D42" s="182">
        <v>71.0</v>
      </c>
    </row>
    <row r="43">
      <c r="A43" s="182" t="s">
        <v>288</v>
      </c>
      <c r="B43" s="182" t="s">
        <v>185</v>
      </c>
      <c r="C43" s="182">
        <v>206.0</v>
      </c>
      <c r="D43" s="182">
        <v>16.0</v>
      </c>
    </row>
    <row r="44">
      <c r="A44" s="182" t="s">
        <v>267</v>
      </c>
      <c r="B44" s="182" t="s">
        <v>232</v>
      </c>
      <c r="C44" s="182">
        <v>204.0</v>
      </c>
      <c r="D44" s="182">
        <v>14.0</v>
      </c>
    </row>
    <row r="45">
      <c r="A45" s="182" t="s">
        <v>264</v>
      </c>
      <c r="B45" s="182" t="s">
        <v>184</v>
      </c>
      <c r="C45" s="182">
        <v>204.0</v>
      </c>
      <c r="D45" s="182">
        <v>86.0</v>
      </c>
    </row>
    <row r="46">
      <c r="A46" s="182" t="s">
        <v>268</v>
      </c>
      <c r="B46" s="182" t="s">
        <v>179</v>
      </c>
      <c r="C46" s="182">
        <v>204.0</v>
      </c>
      <c r="D46" s="182">
        <v>79.0</v>
      </c>
    </row>
    <row r="47">
      <c r="A47" s="182" t="s">
        <v>330</v>
      </c>
      <c r="B47" s="182" t="s">
        <v>323</v>
      </c>
      <c r="C47" s="182">
        <v>203.0</v>
      </c>
      <c r="D47" s="182">
        <v>36.0</v>
      </c>
    </row>
    <row r="48">
      <c r="A48" s="182" t="s">
        <v>284</v>
      </c>
      <c r="B48" s="182" t="s">
        <v>188</v>
      </c>
      <c r="C48" s="182">
        <v>203.0</v>
      </c>
      <c r="D48" s="182">
        <v>71.0</v>
      </c>
    </row>
    <row r="49">
      <c r="A49" s="182" t="s">
        <v>286</v>
      </c>
      <c r="B49" s="182" t="s">
        <v>185</v>
      </c>
      <c r="C49" s="182">
        <v>203.0</v>
      </c>
      <c r="D49" s="182">
        <v>84.0</v>
      </c>
    </row>
    <row r="50">
      <c r="A50" s="182" t="s">
        <v>285</v>
      </c>
      <c r="B50" s="182" t="s">
        <v>232</v>
      </c>
      <c r="C50" s="182">
        <v>203.0</v>
      </c>
      <c r="D50" s="182">
        <v>50.0</v>
      </c>
    </row>
    <row r="51">
      <c r="A51" s="182" t="s">
        <v>275</v>
      </c>
      <c r="B51" s="182" t="s">
        <v>1</v>
      </c>
      <c r="C51" s="182">
        <v>203.0</v>
      </c>
      <c r="D51" s="182">
        <v>69.0</v>
      </c>
    </row>
    <row r="52">
      <c r="A52" s="182" t="s">
        <v>273</v>
      </c>
      <c r="B52" s="182" t="s">
        <v>181</v>
      </c>
      <c r="C52" s="182">
        <v>202.0</v>
      </c>
      <c r="D52" s="182">
        <v>70.0</v>
      </c>
    </row>
    <row r="53">
      <c r="A53" s="182" t="s">
        <v>331</v>
      </c>
      <c r="B53" s="182" t="s">
        <v>332</v>
      </c>
      <c r="C53" s="182">
        <v>202.0</v>
      </c>
      <c r="D53" s="182">
        <v>55.0</v>
      </c>
    </row>
    <row r="54">
      <c r="A54" s="182" t="s">
        <v>272</v>
      </c>
      <c r="B54" s="182" t="s">
        <v>185</v>
      </c>
      <c r="C54" s="182">
        <v>202.0</v>
      </c>
      <c r="D54" s="182">
        <v>20.0</v>
      </c>
    </row>
    <row r="55">
      <c r="A55" s="182" t="s">
        <v>277</v>
      </c>
      <c r="B55" s="182" t="s">
        <v>187</v>
      </c>
      <c r="C55" s="182">
        <v>201.0</v>
      </c>
      <c r="D55" s="182">
        <v>24.0</v>
      </c>
    </row>
    <row r="56">
      <c r="A56" s="182" t="s">
        <v>294</v>
      </c>
      <c r="B56" s="182" t="s">
        <v>180</v>
      </c>
      <c r="C56" s="182">
        <v>201.0</v>
      </c>
      <c r="D56" s="182">
        <v>52.0</v>
      </c>
    </row>
    <row r="57">
      <c r="A57" s="182" t="s">
        <v>253</v>
      </c>
      <c r="B57" s="182" t="s">
        <v>187</v>
      </c>
      <c r="C57" s="182">
        <v>200.0</v>
      </c>
      <c r="D57" s="182">
        <v>85.0</v>
      </c>
    </row>
    <row r="58">
      <c r="A58" s="182" t="s">
        <v>271</v>
      </c>
      <c r="B58" s="182" t="s">
        <v>186</v>
      </c>
      <c r="C58" s="182">
        <v>200.0</v>
      </c>
      <c r="D58" s="182">
        <v>98.0</v>
      </c>
    </row>
    <row r="59">
      <c r="A59" s="182" t="s">
        <v>281</v>
      </c>
      <c r="B59" s="182" t="s">
        <v>187</v>
      </c>
      <c r="C59" s="182">
        <v>199.0</v>
      </c>
      <c r="D59" s="182">
        <v>39.0</v>
      </c>
    </row>
    <row r="60">
      <c r="A60" s="182" t="s">
        <v>259</v>
      </c>
      <c r="B60" s="182" t="s">
        <v>184</v>
      </c>
      <c r="C60" s="182">
        <v>199.0</v>
      </c>
      <c r="D60" s="182">
        <v>79.0</v>
      </c>
    </row>
    <row r="61">
      <c r="A61" s="182" t="s">
        <v>270</v>
      </c>
      <c r="B61" s="182" t="s">
        <v>183</v>
      </c>
      <c r="C61" s="182">
        <v>198.0</v>
      </c>
      <c r="D61" s="182">
        <v>58.0</v>
      </c>
    </row>
    <row r="62">
      <c r="A62" s="182" t="s">
        <v>333</v>
      </c>
      <c r="B62" s="182" t="s">
        <v>321</v>
      </c>
      <c r="C62" s="182">
        <v>197.0</v>
      </c>
      <c r="D62" s="182">
        <v>46.0</v>
      </c>
    </row>
    <row r="63">
      <c r="A63" s="182" t="s">
        <v>280</v>
      </c>
      <c r="B63" s="182" t="s">
        <v>186</v>
      </c>
      <c r="C63" s="182">
        <v>197.0</v>
      </c>
      <c r="D63" s="182">
        <v>98.0</v>
      </c>
    </row>
    <row r="64">
      <c r="A64" s="182" t="s">
        <v>334</v>
      </c>
      <c r="B64" s="182" t="s">
        <v>312</v>
      </c>
      <c r="C64" s="182">
        <v>197.0</v>
      </c>
      <c r="D64" s="182">
        <v>38.0</v>
      </c>
    </row>
    <row r="65">
      <c r="A65" s="182" t="s">
        <v>266</v>
      </c>
      <c r="B65" s="182" t="s">
        <v>1</v>
      </c>
      <c r="C65" s="182">
        <v>196.0</v>
      </c>
      <c r="D65" s="182">
        <v>69.0</v>
      </c>
    </row>
    <row r="66">
      <c r="A66" s="182" t="s">
        <v>296</v>
      </c>
      <c r="B66" s="182" t="s">
        <v>185</v>
      </c>
      <c r="C66" s="182">
        <v>195.0</v>
      </c>
      <c r="D66" s="182">
        <v>81.0</v>
      </c>
    </row>
    <row r="67">
      <c r="A67" s="182" t="s">
        <v>278</v>
      </c>
      <c r="B67" s="182" t="s">
        <v>182</v>
      </c>
      <c r="C67" s="182">
        <v>195.0</v>
      </c>
      <c r="D67" s="182">
        <v>75.0</v>
      </c>
    </row>
    <row r="68">
      <c r="A68" s="182" t="s">
        <v>261</v>
      </c>
      <c r="B68" s="182" t="s">
        <v>179</v>
      </c>
      <c r="C68" s="182">
        <v>194.0</v>
      </c>
      <c r="D68" s="182">
        <v>79.0</v>
      </c>
    </row>
    <row r="69">
      <c r="A69" s="182" t="s">
        <v>265</v>
      </c>
      <c r="B69" s="182" t="s">
        <v>183</v>
      </c>
      <c r="C69" s="182">
        <v>193.0</v>
      </c>
      <c r="D69" s="182">
        <v>58.0</v>
      </c>
    </row>
    <row r="70">
      <c r="A70" s="182" t="s">
        <v>282</v>
      </c>
      <c r="B70" s="182" t="s">
        <v>183</v>
      </c>
      <c r="C70" s="182">
        <v>193.0</v>
      </c>
      <c r="D70" s="182">
        <v>58.0</v>
      </c>
    </row>
    <row r="71">
      <c r="A71" s="182" t="s">
        <v>283</v>
      </c>
      <c r="B71" s="182" t="s">
        <v>183</v>
      </c>
      <c r="C71" s="182">
        <v>193.0</v>
      </c>
      <c r="D71" s="182">
        <v>20.0</v>
      </c>
    </row>
    <row r="72">
      <c r="A72" s="182" t="s">
        <v>335</v>
      </c>
      <c r="B72" s="182" t="s">
        <v>314</v>
      </c>
      <c r="C72" s="182">
        <v>191.0</v>
      </c>
      <c r="D72" s="182">
        <v>2.0</v>
      </c>
    </row>
    <row r="73">
      <c r="A73" s="182" t="s">
        <v>274</v>
      </c>
      <c r="B73" s="182" t="s">
        <v>189</v>
      </c>
      <c r="C73" s="182">
        <v>190.0</v>
      </c>
      <c r="D73" s="182">
        <v>71.0</v>
      </c>
    </row>
    <row r="74">
      <c r="A74" s="182" t="s">
        <v>287</v>
      </c>
      <c r="B74" s="182" t="s">
        <v>190</v>
      </c>
      <c r="C74" s="182">
        <v>190.0</v>
      </c>
      <c r="D74" s="182">
        <v>30.0</v>
      </c>
    </row>
    <row r="75">
      <c r="A75" s="182" t="s">
        <v>290</v>
      </c>
      <c r="B75" s="182" t="s">
        <v>190</v>
      </c>
      <c r="C75" s="182">
        <v>190.0</v>
      </c>
      <c r="D75" s="182">
        <v>38.0</v>
      </c>
    </row>
    <row r="76">
      <c r="A76" s="182" t="s">
        <v>302</v>
      </c>
      <c r="B76" s="182" t="s">
        <v>323</v>
      </c>
      <c r="C76" s="182">
        <v>188.0</v>
      </c>
      <c r="D76" s="182">
        <v>36.0</v>
      </c>
    </row>
    <row r="77">
      <c r="A77" s="182" t="s">
        <v>295</v>
      </c>
      <c r="B77" s="182" t="s">
        <v>188</v>
      </c>
      <c r="C77" s="182">
        <v>187.0</v>
      </c>
      <c r="D77" s="182">
        <v>63.0</v>
      </c>
    </row>
    <row r="78">
      <c r="A78" s="182" t="s">
        <v>336</v>
      </c>
      <c r="B78" s="182" t="s">
        <v>325</v>
      </c>
      <c r="C78" s="182">
        <v>185.0</v>
      </c>
      <c r="D78" s="182">
        <v>43.0</v>
      </c>
    </row>
    <row r="79">
      <c r="A79" s="182" t="s">
        <v>293</v>
      </c>
      <c r="B79" s="182" t="s">
        <v>182</v>
      </c>
      <c r="C79" s="182">
        <v>184.0</v>
      </c>
      <c r="D79" s="182">
        <v>75.0</v>
      </c>
    </row>
    <row r="80">
      <c r="A80" s="182" t="s">
        <v>289</v>
      </c>
      <c r="B80" s="182" t="s">
        <v>184</v>
      </c>
      <c r="C80" s="182">
        <v>183.0</v>
      </c>
      <c r="D80" s="182">
        <v>86.0</v>
      </c>
    </row>
    <row r="81">
      <c r="A81" s="182" t="s">
        <v>304</v>
      </c>
      <c r="B81" s="182" t="s">
        <v>188</v>
      </c>
      <c r="C81" s="182">
        <v>182.0</v>
      </c>
      <c r="D81" s="182">
        <v>71.0</v>
      </c>
    </row>
    <row r="82">
      <c r="A82" s="182" t="s">
        <v>300</v>
      </c>
      <c r="B82" s="182" t="s">
        <v>192</v>
      </c>
      <c r="C82" s="182">
        <v>182.0</v>
      </c>
      <c r="D82" s="182">
        <v>65.0</v>
      </c>
    </row>
    <row r="83">
      <c r="A83" s="182" t="s">
        <v>297</v>
      </c>
      <c r="B83" s="182" t="s">
        <v>181</v>
      </c>
      <c r="C83" s="182">
        <v>178.0</v>
      </c>
      <c r="D83" s="182">
        <v>73.0</v>
      </c>
    </row>
    <row r="84">
      <c r="A84" s="182" t="s">
        <v>301</v>
      </c>
      <c r="B84" s="182" t="s">
        <v>182</v>
      </c>
      <c r="C84" s="182">
        <v>176.0</v>
      </c>
      <c r="D84" s="182">
        <v>20.0</v>
      </c>
    </row>
    <row r="85">
      <c r="A85" s="182" t="s">
        <v>302</v>
      </c>
      <c r="B85" s="182" t="s">
        <v>184</v>
      </c>
      <c r="C85" s="182">
        <v>176.0</v>
      </c>
      <c r="D85" s="182">
        <v>23.0</v>
      </c>
    </row>
    <row r="86">
      <c r="A86" s="182" t="s">
        <v>292</v>
      </c>
      <c r="B86" s="182" t="s">
        <v>180</v>
      </c>
      <c r="C86" s="182">
        <v>176.0</v>
      </c>
      <c r="D86" s="182">
        <v>52.0</v>
      </c>
    </row>
    <row r="87">
      <c r="A87" s="182" t="s">
        <v>308</v>
      </c>
      <c r="B87" s="182" t="s">
        <v>179</v>
      </c>
      <c r="C87" s="182">
        <v>175.0</v>
      </c>
      <c r="D87" s="182">
        <v>79.0</v>
      </c>
    </row>
    <row r="88">
      <c r="A88" s="182" t="s">
        <v>303</v>
      </c>
      <c r="B88" s="182" t="s">
        <v>232</v>
      </c>
      <c r="C88" s="182">
        <v>175.0</v>
      </c>
      <c r="D88" s="182">
        <v>14.0</v>
      </c>
    </row>
    <row r="89">
      <c r="A89" s="182" t="s">
        <v>337</v>
      </c>
      <c r="B89" s="182" t="s">
        <v>314</v>
      </c>
      <c r="C89" s="182">
        <v>174.0</v>
      </c>
      <c r="D89" s="182">
        <v>2.0</v>
      </c>
    </row>
    <row r="90">
      <c r="A90" s="182" t="s">
        <v>338</v>
      </c>
      <c r="B90" s="182" t="s">
        <v>191</v>
      </c>
      <c r="C90" s="182">
        <v>173.0</v>
      </c>
      <c r="D90" s="182">
        <v>5.0</v>
      </c>
    </row>
    <row r="91">
      <c r="A91" s="182" t="s">
        <v>339</v>
      </c>
      <c r="B91" s="182" t="s">
        <v>323</v>
      </c>
      <c r="C91" s="182">
        <v>171.0</v>
      </c>
      <c r="D91" s="182">
        <v>36.0</v>
      </c>
    </row>
    <row r="92">
      <c r="A92" s="182" t="s">
        <v>291</v>
      </c>
      <c r="B92" s="182" t="s">
        <v>187</v>
      </c>
      <c r="C92" s="182">
        <v>171.0</v>
      </c>
      <c r="D92" s="182">
        <v>85.0</v>
      </c>
    </row>
    <row r="93">
      <c r="A93" s="182" t="s">
        <v>305</v>
      </c>
      <c r="B93" s="182" t="s">
        <v>190</v>
      </c>
      <c r="C93" s="182">
        <v>170.0</v>
      </c>
      <c r="D93" s="182">
        <v>68.0</v>
      </c>
    </row>
    <row r="94">
      <c r="A94" s="182" t="s">
        <v>340</v>
      </c>
      <c r="B94" s="182" t="s">
        <v>312</v>
      </c>
      <c r="C94" s="182">
        <v>169.0</v>
      </c>
      <c r="D94" s="182">
        <v>26.0</v>
      </c>
    </row>
    <row r="95">
      <c r="A95" s="182" t="s">
        <v>341</v>
      </c>
      <c r="B95" s="182" t="s">
        <v>314</v>
      </c>
      <c r="C95" s="182">
        <v>168.0</v>
      </c>
      <c r="D95" s="182">
        <v>2.0</v>
      </c>
    </row>
    <row r="96">
      <c r="A96" s="182" t="s">
        <v>306</v>
      </c>
      <c r="B96" s="182" t="s">
        <v>186</v>
      </c>
      <c r="C96" s="182">
        <v>168.0</v>
      </c>
      <c r="D96" s="182">
        <v>98.0</v>
      </c>
    </row>
    <row r="97">
      <c r="A97" s="182" t="s">
        <v>299</v>
      </c>
      <c r="B97" s="182" t="s">
        <v>1</v>
      </c>
      <c r="C97" s="182">
        <v>168.0</v>
      </c>
      <c r="D97" s="182">
        <v>69.0</v>
      </c>
    </row>
    <row r="98">
      <c r="A98" s="182" t="s">
        <v>307</v>
      </c>
      <c r="B98" s="182" t="s">
        <v>189</v>
      </c>
      <c r="C98" s="182">
        <v>168.0</v>
      </c>
      <c r="D98" s="182">
        <v>71.0</v>
      </c>
    </row>
    <row r="99">
      <c r="A99" s="182" t="s">
        <v>298</v>
      </c>
      <c r="B99" s="182" t="s">
        <v>184</v>
      </c>
      <c r="C99" s="182">
        <v>166.0</v>
      </c>
      <c r="D99" s="182">
        <v>17.0</v>
      </c>
    </row>
    <row r="100">
      <c r="A100" s="182" t="s">
        <v>342</v>
      </c>
      <c r="B100" s="182" t="s">
        <v>332</v>
      </c>
      <c r="C100" s="182">
        <v>163.0</v>
      </c>
      <c r="D100" s="182">
        <v>55.0</v>
      </c>
    </row>
    <row r="101">
      <c r="A101" s="182" t="s">
        <v>343</v>
      </c>
      <c r="B101" s="182" t="s">
        <v>191</v>
      </c>
      <c r="C101" s="182">
        <v>162.0</v>
      </c>
      <c r="D101" s="182">
        <v>3.0</v>
      </c>
    </row>
    <row r="102">
      <c r="A102" s="182" t="s">
        <v>309</v>
      </c>
      <c r="B102" s="182" t="s">
        <v>193</v>
      </c>
      <c r="C102" s="182">
        <v>160.0</v>
      </c>
      <c r="D102" s="182">
        <v>7.0</v>
      </c>
    </row>
    <row r="103">
      <c r="A103" s="182" t="s">
        <v>344</v>
      </c>
      <c r="B103" s="182" t="s">
        <v>314</v>
      </c>
      <c r="C103" s="182">
        <v>119.0</v>
      </c>
      <c r="D103" s="182">
        <v>2.0</v>
      </c>
    </row>
    <row r="104">
      <c r="A104" s="182" t="s">
        <v>345</v>
      </c>
      <c r="B104" s="182" t="s">
        <v>346</v>
      </c>
      <c r="C104" s="182">
        <v>86.0</v>
      </c>
      <c r="D104" s="182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9" t="s">
        <v>347</v>
      </c>
      <c r="B1" s="189" t="s">
        <v>348</v>
      </c>
      <c r="C1" s="189" t="s">
        <v>349</v>
      </c>
      <c r="D1" s="189" t="s">
        <v>350</v>
      </c>
      <c r="E1" s="189" t="s">
        <v>351</v>
      </c>
      <c r="F1" s="189" t="s">
        <v>352</v>
      </c>
      <c r="G1" s="189" t="s">
        <v>353</v>
      </c>
      <c r="H1" s="189" t="s">
        <v>354</v>
      </c>
      <c r="I1" s="189" t="s">
        <v>355</v>
      </c>
      <c r="J1" s="189" t="s">
        <v>356</v>
      </c>
      <c r="K1" s="189" t="s">
        <v>357</v>
      </c>
      <c r="L1" s="189" t="s">
        <v>358</v>
      </c>
      <c r="M1" s="189" t="s">
        <v>359</v>
      </c>
      <c r="N1" s="189" t="s">
        <v>360</v>
      </c>
      <c r="O1" s="189" t="s">
        <v>361</v>
      </c>
      <c r="P1" s="189" t="s">
        <v>362</v>
      </c>
      <c r="Q1" s="189" t="s">
        <v>363</v>
      </c>
      <c r="R1" s="189" t="s">
        <v>364</v>
      </c>
      <c r="S1" s="189" t="s">
        <v>365</v>
      </c>
      <c r="T1" s="189" t="s">
        <v>366</v>
      </c>
      <c r="U1" s="189" t="s">
        <v>367</v>
      </c>
      <c r="V1" s="189" t="s">
        <v>368</v>
      </c>
      <c r="W1" s="189" t="s">
        <v>369</v>
      </c>
      <c r="X1" s="189" t="s">
        <v>370</v>
      </c>
      <c r="Y1" s="189" t="s">
        <v>371</v>
      </c>
      <c r="Z1" s="182" t="s">
        <v>372</v>
      </c>
      <c r="AA1" s="182" t="s">
        <v>373</v>
      </c>
    </row>
    <row r="2">
      <c r="A2" s="189">
        <f>IFERROR(__xludf.DUMMYFUNCTION("QUERY(doubles!A:Z, ""select * where Col5 matches '"" &amp; TEXTJOIN(""|"", TRUE, teams) &amp; ""'"", 0)"),212692.0)</f>
        <v>212692</v>
      </c>
      <c r="B2" s="189">
        <f>IFERROR(__xludf.DUMMYFUNCTION("""COMPUTED_VALUE"""),93676.0)</f>
        <v>93676</v>
      </c>
      <c r="C2" s="189" t="str">
        <f>IFERROR(__xludf.DUMMYFUNCTION("""COMPUTED_VALUE"""),"Challengers 2025: Spain Rising Finals - Playoffs")</f>
        <v>Challengers 2025: Spain Rising Finals - Playoffs</v>
      </c>
      <c r="D2" s="189" t="str">
        <f>IFERROR(__xludf.DUMMYFUNCTION("""COMPUTED_VALUE"""),"Ascent")</f>
        <v>Ascent</v>
      </c>
      <c r="E2" s="189" t="str">
        <f>IFERROR(__xludf.DUMMYFUNCTION("""COMPUTED_VALUE"""),"KOI Fénix")</f>
        <v>KOI Fénix</v>
      </c>
      <c r="F2" s="189" t="str">
        <f>IFERROR(__xludf.DUMMYFUNCTION("""COMPUTED_VALUE"""),"DNSTY")</f>
        <v>DNSTY</v>
      </c>
      <c r="G2" s="189" t="str">
        <f>IFERROR(__xludf.DUMMYFUNCTION("""COMPUTED_VALUE"""),"Sova,Omen,Yoru,Chamber,Vyse")</f>
        <v>Sova,Omen,Yoru,Chamber,Vyse</v>
      </c>
      <c r="H2" s="189" t="str">
        <f>IFERROR(__xludf.DUMMYFUNCTION("""COMPUTED_VALUE"""),"Sova,Killjoy,Omen,Jett,KAY/O")</f>
        <v>Sova,Killjoy,Omen,Jett,KAY/O</v>
      </c>
      <c r="I2" s="189">
        <f>IFERROR(__xludf.DUMMYFUNCTION("""COMPUTED_VALUE"""),6.0)</f>
        <v>6</v>
      </c>
      <c r="J2" s="189">
        <f>IFERROR(__xludf.DUMMYFUNCTION("""COMPUTED_VALUE"""),13.0)</f>
        <v>13</v>
      </c>
      <c r="K2" s="189">
        <f>IFERROR(__xludf.DUMMYFUNCTION("""COMPUTED_VALUE"""),5.0)</f>
        <v>5</v>
      </c>
      <c r="L2" s="189">
        <f>IFERROR(__xludf.DUMMYFUNCTION("""COMPUTED_VALUE"""),7.0)</f>
        <v>7</v>
      </c>
      <c r="M2" s="189">
        <f>IFERROR(__xludf.DUMMYFUNCTION("""COMPUTED_VALUE"""),1.0)</f>
        <v>1</v>
      </c>
      <c r="N2" s="189">
        <f>IFERROR(__xludf.DUMMYFUNCTION("""COMPUTED_VALUE"""),0.0)</f>
        <v>0</v>
      </c>
      <c r="O2" s="189">
        <f>IFERROR(__xludf.DUMMYFUNCTION("""COMPUTED_VALUE"""),5.0)</f>
        <v>5</v>
      </c>
      <c r="P2" s="189">
        <f>IFERROR(__xludf.DUMMYFUNCTION("""COMPUTED_VALUE"""),7.0)</f>
        <v>7</v>
      </c>
      <c r="Q2" s="189">
        <f>IFERROR(__xludf.DUMMYFUNCTION("""COMPUTED_VALUE"""),1.0)</f>
        <v>1</v>
      </c>
      <c r="R2" s="189">
        <f>IFERROR(__xludf.DUMMYFUNCTION("""COMPUTED_VALUE"""),6.0)</f>
        <v>6</v>
      </c>
      <c r="S2" s="189">
        <f>IFERROR(__xludf.DUMMYFUNCTION("""COMPUTED_VALUE"""),1.0)</f>
        <v>1</v>
      </c>
      <c r="T2" s="189">
        <f>IFERROR(__xludf.DUMMYFUNCTION("""COMPUTED_VALUE"""),0.0)</f>
        <v>0</v>
      </c>
      <c r="U2" s="189">
        <f>IFERROR(__xludf.DUMMYFUNCTION("""COMPUTED_VALUE"""),6.0)</f>
        <v>6</v>
      </c>
      <c r="V2" s="189">
        <f>IFERROR(__xludf.DUMMYFUNCTION("""COMPUTED_VALUE"""),1.0)</f>
        <v>1</v>
      </c>
      <c r="W2" s="189">
        <f>IFERROR(__xludf.DUMMYFUNCTION("""COMPUTED_VALUE"""),7.0)</f>
        <v>7</v>
      </c>
      <c r="X2" s="189">
        <f>IFERROR(__xludf.DUMMYFUNCTION("""COMPUTED_VALUE"""),5.0)</f>
        <v>5</v>
      </c>
      <c r="Y2" s="189" t="str">
        <f>IFERROR(__xludf.DUMMYFUNCTION("""COMPUTED_VALUE"""),"2025-08-20T00:00:00.000Z")</f>
        <v>2025-08-20T00:00:00.000Z</v>
      </c>
      <c r="Z2" s="189" t="str">
        <f>IFERROR(__xludf.DUMMYFUNCTION("""COMPUTED_VALUE"""),"KOI Fénix_Ascent")</f>
        <v>KOI Fénix_Ascent</v>
      </c>
    </row>
    <row r="3">
      <c r="A3" s="189">
        <f>IFERROR(__xludf.DUMMYFUNCTION("""COMPUTED_VALUE"""),212691.0)</f>
        <v>212691</v>
      </c>
      <c r="B3" s="189">
        <f>IFERROR(__xludf.DUMMYFUNCTION("""COMPUTED_VALUE"""),93676.0)</f>
        <v>93676</v>
      </c>
      <c r="C3" s="189" t="str">
        <f>IFERROR(__xludf.DUMMYFUNCTION("""COMPUTED_VALUE"""),"Challengers 2025: Spain Rising Finals - Playoffs")</f>
        <v>Challengers 2025: Spain Rising Finals - Playoffs</v>
      </c>
      <c r="D3" s="189" t="str">
        <f>IFERROR(__xludf.DUMMYFUNCTION("""COMPUTED_VALUE"""),"Haven")</f>
        <v>Haven</v>
      </c>
      <c r="E3" s="189" t="str">
        <f>IFERROR(__xludf.DUMMYFUNCTION("""COMPUTED_VALUE"""),"KOI Fénix")</f>
        <v>KOI Fénix</v>
      </c>
      <c r="F3" s="189" t="str">
        <f>IFERROR(__xludf.DUMMYFUNCTION("""COMPUTED_VALUE"""),"DNSTY")</f>
        <v>DNSTY</v>
      </c>
      <c r="G3" s="189" t="str">
        <f>IFERROR(__xludf.DUMMYFUNCTION("""COMPUTED_VALUE"""),"Breach,Cypher,Sova,Omen,Neon")</f>
        <v>Breach,Cypher,Sova,Omen,Neon</v>
      </c>
      <c r="H3" s="189" t="str">
        <f>IFERROR(__xludf.DUMMYFUNCTION("""COMPUTED_VALUE"""),"Sova,Killjoy,Viper,Omen,Neon")</f>
        <v>Sova,Killjoy,Viper,Omen,Neon</v>
      </c>
      <c r="I3" s="189">
        <f>IFERROR(__xludf.DUMMYFUNCTION("""COMPUTED_VALUE"""),10.0)</f>
        <v>10</v>
      </c>
      <c r="J3" s="189">
        <f>IFERROR(__xludf.DUMMYFUNCTION("""COMPUTED_VALUE"""),13.0)</f>
        <v>13</v>
      </c>
      <c r="K3" s="189">
        <f>IFERROR(__xludf.DUMMYFUNCTION("""COMPUTED_VALUE"""),9.0)</f>
        <v>9</v>
      </c>
      <c r="L3" s="189">
        <f>IFERROR(__xludf.DUMMYFUNCTION("""COMPUTED_VALUE"""),3.0)</f>
        <v>3</v>
      </c>
      <c r="M3" s="189">
        <f>IFERROR(__xludf.DUMMYFUNCTION("""COMPUTED_VALUE"""),1.0)</f>
        <v>1</v>
      </c>
      <c r="N3" s="189">
        <f>IFERROR(__xludf.DUMMYFUNCTION("""COMPUTED_VALUE"""),0.0)</f>
        <v>0</v>
      </c>
      <c r="O3" s="189">
        <f>IFERROR(__xludf.DUMMYFUNCTION("""COMPUTED_VALUE"""),9.0)</f>
        <v>9</v>
      </c>
      <c r="P3" s="189">
        <f>IFERROR(__xludf.DUMMYFUNCTION("""COMPUTED_VALUE"""),3.0)</f>
        <v>3</v>
      </c>
      <c r="Q3" s="189">
        <f>IFERROR(__xludf.DUMMYFUNCTION("""COMPUTED_VALUE"""),1.0)</f>
        <v>1</v>
      </c>
      <c r="R3" s="189">
        <f>IFERROR(__xludf.DUMMYFUNCTION("""COMPUTED_VALUE"""),10.0)</f>
        <v>10</v>
      </c>
      <c r="S3" s="189">
        <f>IFERROR(__xludf.DUMMYFUNCTION("""COMPUTED_VALUE"""),1.0)</f>
        <v>1</v>
      </c>
      <c r="T3" s="189">
        <f>IFERROR(__xludf.DUMMYFUNCTION("""COMPUTED_VALUE"""),0.0)</f>
        <v>0</v>
      </c>
      <c r="U3" s="189">
        <f>IFERROR(__xludf.DUMMYFUNCTION("""COMPUTED_VALUE"""),10.0)</f>
        <v>10</v>
      </c>
      <c r="V3" s="189">
        <f>IFERROR(__xludf.DUMMYFUNCTION("""COMPUTED_VALUE"""),1.0)</f>
        <v>1</v>
      </c>
      <c r="W3" s="189">
        <f>IFERROR(__xludf.DUMMYFUNCTION("""COMPUTED_VALUE"""),3.0)</f>
        <v>3</v>
      </c>
      <c r="X3" s="189">
        <f>IFERROR(__xludf.DUMMYFUNCTION("""COMPUTED_VALUE"""),9.0)</f>
        <v>9</v>
      </c>
      <c r="Y3" s="189" t="str">
        <f>IFERROR(__xludf.DUMMYFUNCTION("""COMPUTED_VALUE"""),"2025-08-20T00:00:00.000Z")</f>
        <v>2025-08-20T00:00:00.000Z</v>
      </c>
      <c r="Z3" s="189" t="str">
        <f>IFERROR(__xludf.DUMMYFUNCTION("""COMPUTED_VALUE"""),"KOI Fénix_Haven")</f>
        <v>KOI Fénix_Haven</v>
      </c>
    </row>
    <row r="4">
      <c r="A4" s="189">
        <f>IFERROR(__xludf.DUMMYFUNCTION("""COMPUTED_VALUE"""),212690.0)</f>
        <v>212690</v>
      </c>
      <c r="B4" s="189">
        <f>IFERROR(__xludf.DUMMYFUNCTION("""COMPUTED_VALUE"""),93676.0)</f>
        <v>93676</v>
      </c>
      <c r="C4" s="189" t="str">
        <f>IFERROR(__xludf.DUMMYFUNCTION("""COMPUTED_VALUE"""),"Challengers 2025: Spain Rising Finals - Playoffs")</f>
        <v>Challengers 2025: Spain Rising Finals - Playoffs</v>
      </c>
      <c r="D4" s="189" t="str">
        <f>IFERROR(__xludf.DUMMYFUNCTION("""COMPUTED_VALUE"""),"Bind")</f>
        <v>Bind</v>
      </c>
      <c r="E4" s="189" t="str">
        <f>IFERROR(__xludf.DUMMYFUNCTION("""COMPUTED_VALUE"""),"KOI Fénix")</f>
        <v>KOI Fénix</v>
      </c>
      <c r="F4" s="189" t="str">
        <f>IFERROR(__xludf.DUMMYFUNCTION("""COMPUTED_VALUE"""),"DNSTY")</f>
        <v>DNSTY</v>
      </c>
      <c r="G4" s="189" t="str">
        <f>IFERROR(__xludf.DUMMYFUNCTION("""COMPUTED_VALUE"""),"Yoru,Astra,Gekko,Deadlock,Vyse")</f>
        <v>Yoru,Astra,Gekko,Deadlock,Vyse</v>
      </c>
      <c r="H4" s="189" t="str">
        <f>IFERROR(__xludf.DUMMYFUNCTION("""COMPUTED_VALUE"""),"Raze,Viper,Brimstone,Yoru,Fade")</f>
        <v>Raze,Viper,Brimstone,Yoru,Fade</v>
      </c>
      <c r="I4" s="189">
        <f>IFERROR(__xludf.DUMMYFUNCTION("""COMPUTED_VALUE"""),13.0)</f>
        <v>13</v>
      </c>
      <c r="J4" s="189">
        <f>IFERROR(__xludf.DUMMYFUNCTION("""COMPUTED_VALUE"""),8.0)</f>
        <v>8</v>
      </c>
      <c r="K4" s="189">
        <f>IFERROR(__xludf.DUMMYFUNCTION("""COMPUTED_VALUE"""),8.0)</f>
        <v>8</v>
      </c>
      <c r="L4" s="189">
        <f>IFERROR(__xludf.DUMMYFUNCTION("""COMPUTED_VALUE"""),4.0)</f>
        <v>4</v>
      </c>
      <c r="M4" s="189">
        <f>IFERROR(__xludf.DUMMYFUNCTION("""COMPUTED_VALUE"""),1.0)</f>
        <v>1</v>
      </c>
      <c r="N4" s="189">
        <f>IFERROR(__xludf.DUMMYFUNCTION("""COMPUTED_VALUE"""),1.0)</f>
        <v>1</v>
      </c>
      <c r="O4" s="189">
        <f>IFERROR(__xludf.DUMMYFUNCTION("""COMPUTED_VALUE"""),8.0)</f>
        <v>8</v>
      </c>
      <c r="P4" s="189">
        <f>IFERROR(__xludf.DUMMYFUNCTION("""COMPUTED_VALUE"""),4.0)</f>
        <v>4</v>
      </c>
      <c r="Q4" s="189">
        <f>IFERROR(__xludf.DUMMYFUNCTION("""COMPUTED_VALUE"""),5.0)</f>
        <v>5</v>
      </c>
      <c r="R4" s="189">
        <f>IFERROR(__xludf.DUMMYFUNCTION("""COMPUTED_VALUE"""),4.0)</f>
        <v>4</v>
      </c>
      <c r="S4" s="189">
        <f>IFERROR(__xludf.DUMMYFUNCTION("""COMPUTED_VALUE"""),0.0)</f>
        <v>0</v>
      </c>
      <c r="T4" s="189">
        <f>IFERROR(__xludf.DUMMYFUNCTION("""COMPUTED_VALUE"""),0.0)</f>
        <v>0</v>
      </c>
      <c r="U4" s="189">
        <f>IFERROR(__xludf.DUMMYFUNCTION("""COMPUTED_VALUE"""),4.0)</f>
        <v>4</v>
      </c>
      <c r="V4" s="189">
        <f>IFERROR(__xludf.DUMMYFUNCTION("""COMPUTED_VALUE"""),5.0)</f>
        <v>5</v>
      </c>
      <c r="W4" s="189">
        <f>IFERROR(__xludf.DUMMYFUNCTION("""COMPUTED_VALUE"""),4.0)</f>
        <v>4</v>
      </c>
      <c r="X4" s="189">
        <f>IFERROR(__xludf.DUMMYFUNCTION("""COMPUTED_VALUE"""),8.0)</f>
        <v>8</v>
      </c>
      <c r="Y4" s="189" t="str">
        <f>IFERROR(__xludf.DUMMYFUNCTION("""COMPUTED_VALUE"""),"2025-08-20T00:00:00.000Z")</f>
        <v>2025-08-20T00:00:00.000Z</v>
      </c>
      <c r="Z4" s="189" t="str">
        <f>IFERROR(__xludf.DUMMYFUNCTION("""COMPUTED_VALUE"""),"KOI Fénix_Bind")</f>
        <v>KOI Fénix_Bind</v>
      </c>
    </row>
    <row r="5">
      <c r="A5" s="189">
        <f>IFERROR(__xludf.DUMMYFUNCTION("""COMPUTED_VALUE"""),213558.0)</f>
        <v>213558</v>
      </c>
      <c r="B5" s="189">
        <f>IFERROR(__xludf.DUMMYFUNCTION("""COMPUTED_VALUE"""),93971.0)</f>
        <v>93971</v>
      </c>
      <c r="C5" s="189" t="str">
        <f>IFERROR(__xludf.DUMMYFUNCTION("""COMPUTED_VALUE"""),"Challengers League 2025 MENA: Resilience - LAN Finals - Main Event")</f>
        <v>Challengers League 2025 MENA: Resilience - LAN Finals - Main Event</v>
      </c>
      <c r="D5" s="189" t="str">
        <f>IFERROR(__xludf.DUMMYFUNCTION("""COMPUTED_VALUE"""),"Icebox")</f>
        <v>Icebox</v>
      </c>
      <c r="E5" s="189" t="str">
        <f>IFERROR(__xludf.DUMMYFUNCTION("""COMPUTED_VALUE"""),"The Ultimates")</f>
        <v>The Ultimates</v>
      </c>
      <c r="F5" s="189" t="str">
        <f>IFERROR(__xludf.DUMMYFUNCTION("""COMPUTED_VALUE"""),"Twisted Minds Esports")</f>
        <v>Twisted Minds Esports</v>
      </c>
      <c r="G5" s="189" t="str">
        <f>IFERROR(__xludf.DUMMYFUNCTION("""COMPUTED_VALUE"""),"Reyna,Omen,KAY/O,Harbor,Gekko")</f>
        <v>Reyna,Omen,KAY/O,Harbor,Gekko</v>
      </c>
      <c r="H5" s="189" t="str">
        <f>IFERROR(__xludf.DUMMYFUNCTION("""COMPUTED_VALUE"""),"Sova,Killjoy,Viper,Omen,Jett")</f>
        <v>Sova,Killjoy,Viper,Omen,Jett</v>
      </c>
      <c r="I5" s="189">
        <f>IFERROR(__xludf.DUMMYFUNCTION("""COMPUTED_VALUE"""),3.0)</f>
        <v>3</v>
      </c>
      <c r="J5" s="189">
        <f>IFERROR(__xludf.DUMMYFUNCTION("""COMPUTED_VALUE"""),13.0)</f>
        <v>13</v>
      </c>
      <c r="K5" s="189">
        <f>IFERROR(__xludf.DUMMYFUNCTION("""COMPUTED_VALUE"""),1.0)</f>
        <v>1</v>
      </c>
      <c r="L5" s="189">
        <f>IFERROR(__xludf.DUMMYFUNCTION("""COMPUTED_VALUE"""),11.0)</f>
        <v>11</v>
      </c>
      <c r="M5" s="189">
        <f>IFERROR(__xludf.DUMMYFUNCTION("""COMPUTED_VALUE"""),1.0)</f>
        <v>1</v>
      </c>
      <c r="N5" s="189">
        <f>IFERROR(__xludf.DUMMYFUNCTION("""COMPUTED_VALUE"""),1.0)</f>
        <v>1</v>
      </c>
      <c r="O5" s="189">
        <f>IFERROR(__xludf.DUMMYFUNCTION("""COMPUTED_VALUE"""),1.0)</f>
        <v>1</v>
      </c>
      <c r="P5" s="189">
        <f>IFERROR(__xludf.DUMMYFUNCTION("""COMPUTED_VALUE"""),11.0)</f>
        <v>11</v>
      </c>
      <c r="Q5" s="189">
        <f>IFERROR(__xludf.DUMMYFUNCTION("""COMPUTED_VALUE"""),2.0)</f>
        <v>2</v>
      </c>
      <c r="R5" s="189">
        <f>IFERROR(__xludf.DUMMYFUNCTION("""COMPUTED_VALUE"""),2.0)</f>
        <v>2</v>
      </c>
      <c r="S5" s="189">
        <f>IFERROR(__xludf.DUMMYFUNCTION("""COMPUTED_VALUE"""),0.0)</f>
        <v>0</v>
      </c>
      <c r="T5" s="189">
        <f>IFERROR(__xludf.DUMMYFUNCTION("""COMPUTED_VALUE"""),0.0)</f>
        <v>0</v>
      </c>
      <c r="U5" s="189">
        <f>IFERROR(__xludf.DUMMYFUNCTION("""COMPUTED_VALUE"""),2.0)</f>
        <v>2</v>
      </c>
      <c r="V5" s="189">
        <f>IFERROR(__xludf.DUMMYFUNCTION("""COMPUTED_VALUE"""),2.0)</f>
        <v>2</v>
      </c>
      <c r="W5" s="189">
        <f>IFERROR(__xludf.DUMMYFUNCTION("""COMPUTED_VALUE"""),11.0)</f>
        <v>11</v>
      </c>
      <c r="X5" s="189">
        <f>IFERROR(__xludf.DUMMYFUNCTION("""COMPUTED_VALUE"""),1.0)</f>
        <v>1</v>
      </c>
      <c r="Y5" s="189" t="str">
        <f>IFERROR(__xludf.DUMMYFUNCTION("""COMPUTED_VALUE"""),"2025-08-20T00:00:00.000Z")</f>
        <v>2025-08-20T00:00:00.000Z</v>
      </c>
      <c r="Z5" s="189" t="str">
        <f>IFERROR(__xludf.DUMMYFUNCTION("""COMPUTED_VALUE"""),"The Ultimates_Icebox")</f>
        <v>The Ultimates_Icebox</v>
      </c>
    </row>
    <row r="6">
      <c r="A6" s="189">
        <f>IFERROR(__xludf.DUMMYFUNCTION("""COMPUTED_VALUE"""),212689.0)</f>
        <v>212689</v>
      </c>
      <c r="B6" s="189">
        <f>IFERROR(__xludf.DUMMYFUNCTION("""COMPUTED_VALUE"""),93676.0)</f>
        <v>93676</v>
      </c>
      <c r="C6" s="189" t="str">
        <f>IFERROR(__xludf.DUMMYFUNCTION("""COMPUTED_VALUE"""),"Challengers 2025: Spain Rising Finals - Playoffs")</f>
        <v>Challengers 2025: Spain Rising Finals - Playoffs</v>
      </c>
      <c r="D6" s="189" t="str">
        <f>IFERROR(__xludf.DUMMYFUNCTION("""COMPUTED_VALUE"""),"Sunset")</f>
        <v>Sunset</v>
      </c>
      <c r="E6" s="189" t="str">
        <f>IFERROR(__xludf.DUMMYFUNCTION("""COMPUTED_VALUE"""),"KOI Fénix")</f>
        <v>KOI Fénix</v>
      </c>
      <c r="F6" s="189" t="str">
        <f>IFERROR(__xludf.DUMMYFUNCTION("""COMPUTED_VALUE"""),"DNSTY")</f>
        <v>DNSTY</v>
      </c>
      <c r="G6" s="189" t="str">
        <f>IFERROR(__xludf.DUMMYFUNCTION("""COMPUTED_VALUE"""),"Breach,Sage,Omen,Neon,Gekko")</f>
        <v>Breach,Sage,Omen,Neon,Gekko</v>
      </c>
      <c r="H6" s="189" t="str">
        <f>IFERROR(__xludf.DUMMYFUNCTION("""COMPUTED_VALUE"""),"Sova,Viper,Omen,Neon,Deadlock")</f>
        <v>Sova,Viper,Omen,Neon,Deadlock</v>
      </c>
      <c r="I6" s="189">
        <f>IFERROR(__xludf.DUMMYFUNCTION("""COMPUTED_VALUE"""),11.0)</f>
        <v>11</v>
      </c>
      <c r="J6" s="189">
        <f>IFERROR(__xludf.DUMMYFUNCTION("""COMPUTED_VALUE"""),13.0)</f>
        <v>13</v>
      </c>
      <c r="K6" s="189">
        <f>IFERROR(__xludf.DUMMYFUNCTION("""COMPUTED_VALUE"""),9.0)</f>
        <v>9</v>
      </c>
      <c r="L6" s="189">
        <f>IFERROR(__xludf.DUMMYFUNCTION("""COMPUTED_VALUE"""),3.0)</f>
        <v>3</v>
      </c>
      <c r="M6" s="189">
        <f>IFERROR(__xludf.DUMMYFUNCTION("""COMPUTED_VALUE"""),0.0)</f>
        <v>0</v>
      </c>
      <c r="N6" s="189">
        <f>IFERROR(__xludf.DUMMYFUNCTION("""COMPUTED_VALUE"""),0.0)</f>
        <v>0</v>
      </c>
      <c r="O6" s="189">
        <f>IFERROR(__xludf.DUMMYFUNCTION("""COMPUTED_VALUE"""),2.0)</f>
        <v>2</v>
      </c>
      <c r="P6" s="189">
        <f>IFERROR(__xludf.DUMMYFUNCTION("""COMPUTED_VALUE"""),10.0)</f>
        <v>10</v>
      </c>
      <c r="Q6" s="189">
        <f>IFERROR(__xludf.DUMMYFUNCTION("""COMPUTED_VALUE"""),9.0)</f>
        <v>9</v>
      </c>
      <c r="R6" s="189">
        <f>IFERROR(__xludf.DUMMYFUNCTION("""COMPUTED_VALUE"""),3.0)</f>
        <v>3</v>
      </c>
      <c r="S6" s="189">
        <f>IFERROR(__xludf.DUMMYFUNCTION("""COMPUTED_VALUE"""),1.0)</f>
        <v>1</v>
      </c>
      <c r="T6" s="189">
        <f>IFERROR(__xludf.DUMMYFUNCTION("""COMPUTED_VALUE"""),1.0)</f>
        <v>1</v>
      </c>
      <c r="U6" s="189">
        <f>IFERROR(__xludf.DUMMYFUNCTION("""COMPUTED_VALUE"""),3.0)</f>
        <v>3</v>
      </c>
      <c r="V6" s="189">
        <f>IFERROR(__xludf.DUMMYFUNCTION("""COMPUTED_VALUE"""),9.0)</f>
        <v>9</v>
      </c>
      <c r="W6" s="189">
        <f>IFERROR(__xludf.DUMMYFUNCTION("""COMPUTED_VALUE"""),10.0)</f>
        <v>10</v>
      </c>
      <c r="X6" s="189">
        <f>IFERROR(__xludf.DUMMYFUNCTION("""COMPUTED_VALUE"""),2.0)</f>
        <v>2</v>
      </c>
      <c r="Y6" s="189" t="str">
        <f>IFERROR(__xludf.DUMMYFUNCTION("""COMPUTED_VALUE"""),"2025-08-20T00:00:00.000Z")</f>
        <v>2025-08-20T00:00:00.000Z</v>
      </c>
      <c r="Z6" s="189" t="str">
        <f>IFERROR(__xludf.DUMMYFUNCTION("""COMPUTED_VALUE"""),"KOI Fénix_Sunset")</f>
        <v>KOI Fénix_Sunset</v>
      </c>
    </row>
    <row r="7">
      <c r="A7" s="189">
        <f>IFERROR(__xludf.DUMMYFUNCTION("""COMPUTED_VALUE"""),213557.0)</f>
        <v>213557</v>
      </c>
      <c r="B7" s="189">
        <f>IFERROR(__xludf.DUMMYFUNCTION("""COMPUTED_VALUE"""),93971.0)</f>
        <v>93971</v>
      </c>
      <c r="C7" s="189" t="str">
        <f>IFERROR(__xludf.DUMMYFUNCTION("""COMPUTED_VALUE"""),"Challengers League 2025 MENA: Resilience - LAN Finals - Main Event")</f>
        <v>Challengers League 2025 MENA: Resilience - LAN Finals - Main Event</v>
      </c>
      <c r="D7" s="189" t="str">
        <f>IFERROR(__xludf.DUMMYFUNCTION("""COMPUTED_VALUE"""),"Bind")</f>
        <v>Bind</v>
      </c>
      <c r="E7" s="189" t="str">
        <f>IFERROR(__xludf.DUMMYFUNCTION("""COMPUTED_VALUE"""),"The Ultimates")</f>
        <v>The Ultimates</v>
      </c>
      <c r="F7" s="189" t="str">
        <f>IFERROR(__xludf.DUMMYFUNCTION("""COMPUTED_VALUE"""),"Twisted Minds Esports")</f>
        <v>Twisted Minds Esports</v>
      </c>
      <c r="G7" s="189" t="str">
        <f>IFERROR(__xludf.DUMMYFUNCTION("""COMPUTED_VALUE"""),"Raze,Viper,Omen,Fade,Gekko")</f>
        <v>Raze,Viper,Omen,Fade,Gekko</v>
      </c>
      <c r="H7" s="189" t="str">
        <f>IFERROR(__xludf.DUMMYFUNCTION("""COMPUTED_VALUE"""),"Raze,Viper,Brimstone,Yoru,Fade")</f>
        <v>Raze,Viper,Brimstone,Yoru,Fade</v>
      </c>
      <c r="I7" s="189">
        <f>IFERROR(__xludf.DUMMYFUNCTION("""COMPUTED_VALUE"""),3.0)</f>
        <v>3</v>
      </c>
      <c r="J7" s="189">
        <f>IFERROR(__xludf.DUMMYFUNCTION("""COMPUTED_VALUE"""),13.0)</f>
        <v>13</v>
      </c>
      <c r="K7" s="189">
        <f>IFERROR(__xludf.DUMMYFUNCTION("""COMPUTED_VALUE"""),3.0)</f>
        <v>3</v>
      </c>
      <c r="L7" s="189">
        <f>IFERROR(__xludf.DUMMYFUNCTION("""COMPUTED_VALUE"""),9.0)</f>
        <v>9</v>
      </c>
      <c r="M7" s="189">
        <f>IFERROR(__xludf.DUMMYFUNCTION("""COMPUTED_VALUE"""),0.0)</f>
        <v>0</v>
      </c>
      <c r="N7" s="189">
        <f>IFERROR(__xludf.DUMMYFUNCTION("""COMPUTED_VALUE"""),0.0)</f>
        <v>0</v>
      </c>
      <c r="O7" s="189">
        <f>IFERROR(__xludf.DUMMYFUNCTION("""COMPUTED_VALUE"""),0.0)</f>
        <v>0</v>
      </c>
      <c r="P7" s="189">
        <f>IFERROR(__xludf.DUMMYFUNCTION("""COMPUTED_VALUE"""),4.0)</f>
        <v>4</v>
      </c>
      <c r="Q7" s="189">
        <f>IFERROR(__xludf.DUMMYFUNCTION("""COMPUTED_VALUE"""),3.0)</f>
        <v>3</v>
      </c>
      <c r="R7" s="189">
        <f>IFERROR(__xludf.DUMMYFUNCTION("""COMPUTED_VALUE"""),9.0)</f>
        <v>9</v>
      </c>
      <c r="S7" s="189">
        <f>IFERROR(__xludf.DUMMYFUNCTION("""COMPUTED_VALUE"""),1.0)</f>
        <v>1</v>
      </c>
      <c r="T7" s="189">
        <f>IFERROR(__xludf.DUMMYFUNCTION("""COMPUTED_VALUE"""),1.0)</f>
        <v>1</v>
      </c>
      <c r="U7" s="189">
        <f>IFERROR(__xludf.DUMMYFUNCTION("""COMPUTED_VALUE"""),9.0)</f>
        <v>9</v>
      </c>
      <c r="V7" s="189">
        <f>IFERROR(__xludf.DUMMYFUNCTION("""COMPUTED_VALUE"""),3.0)</f>
        <v>3</v>
      </c>
      <c r="W7" s="189">
        <f>IFERROR(__xludf.DUMMYFUNCTION("""COMPUTED_VALUE"""),4.0)</f>
        <v>4</v>
      </c>
      <c r="X7" s="189">
        <f>IFERROR(__xludf.DUMMYFUNCTION("""COMPUTED_VALUE"""),0.0)</f>
        <v>0</v>
      </c>
      <c r="Y7" s="189" t="str">
        <f>IFERROR(__xludf.DUMMYFUNCTION("""COMPUTED_VALUE"""),"2025-08-20T00:00:00.000Z")</f>
        <v>2025-08-20T00:00:00.000Z</v>
      </c>
      <c r="Z7" s="189" t="str">
        <f>IFERROR(__xludf.DUMMYFUNCTION("""COMPUTED_VALUE"""),"The Ultimates_Bind")</f>
        <v>The Ultimates_Bind</v>
      </c>
    </row>
    <row r="8">
      <c r="A8" s="189">
        <f>IFERROR(__xludf.DUMMYFUNCTION("""COMPUTED_VALUE"""),212688.0)</f>
        <v>212688</v>
      </c>
      <c r="B8" s="189">
        <f>IFERROR(__xludf.DUMMYFUNCTION("""COMPUTED_VALUE"""),93676.0)</f>
        <v>93676</v>
      </c>
      <c r="C8" s="189" t="str">
        <f>IFERROR(__xludf.DUMMYFUNCTION("""COMPUTED_VALUE"""),"Challengers 2025: Spain Rising Finals - Playoffs")</f>
        <v>Challengers 2025: Spain Rising Finals - Playoffs</v>
      </c>
      <c r="D8" s="189" t="str">
        <f>IFERROR(__xludf.DUMMYFUNCTION("""COMPUTED_VALUE"""),"Lotus")</f>
        <v>Lotus</v>
      </c>
      <c r="E8" s="189" t="str">
        <f>IFERROR(__xludf.DUMMYFUNCTION("""COMPUTED_VALUE"""),"KOI Fénix")</f>
        <v>KOI Fénix</v>
      </c>
      <c r="F8" s="189" t="str">
        <f>IFERROR(__xludf.DUMMYFUNCTION("""COMPUTED_VALUE"""),"DNSTY")</f>
        <v>DNSTY</v>
      </c>
      <c r="G8" s="189" t="str">
        <f>IFERROR(__xludf.DUMMYFUNCTION("""COMPUTED_VALUE"""),"Breach,Sova,Killjoy,Omen,Neon")</f>
        <v>Breach,Sova,Killjoy,Omen,Neon</v>
      </c>
      <c r="H8" s="189" t="str">
        <f>IFERROR(__xludf.DUMMYFUNCTION("""COMPUTED_VALUE"""),"Raze,Killjoy,Viper,Omen,Fade")</f>
        <v>Raze,Killjoy,Viper,Omen,Fade</v>
      </c>
      <c r="I8" s="189">
        <f>IFERROR(__xludf.DUMMYFUNCTION("""COMPUTED_VALUE"""),13.0)</f>
        <v>13</v>
      </c>
      <c r="J8" s="189">
        <f>IFERROR(__xludf.DUMMYFUNCTION("""COMPUTED_VALUE"""),11.0)</f>
        <v>11</v>
      </c>
      <c r="K8" s="189">
        <f>IFERROR(__xludf.DUMMYFUNCTION("""COMPUTED_VALUE"""),6.0)</f>
        <v>6</v>
      </c>
      <c r="L8" s="189">
        <f>IFERROR(__xludf.DUMMYFUNCTION("""COMPUTED_VALUE"""),6.0)</f>
        <v>6</v>
      </c>
      <c r="M8" s="189">
        <f>IFERROR(__xludf.DUMMYFUNCTION("""COMPUTED_VALUE"""),0.0)</f>
        <v>0</v>
      </c>
      <c r="N8" s="189">
        <f>IFERROR(__xludf.DUMMYFUNCTION("""COMPUTED_VALUE"""),1.0)</f>
        <v>1</v>
      </c>
      <c r="O8" s="189">
        <f>IFERROR(__xludf.DUMMYFUNCTION("""COMPUTED_VALUE"""),7.0)</f>
        <v>7</v>
      </c>
      <c r="P8" s="189">
        <f>IFERROR(__xludf.DUMMYFUNCTION("""COMPUTED_VALUE"""),5.0)</f>
        <v>5</v>
      </c>
      <c r="Q8" s="189">
        <f>IFERROR(__xludf.DUMMYFUNCTION("""COMPUTED_VALUE"""),6.0)</f>
        <v>6</v>
      </c>
      <c r="R8" s="189">
        <f>IFERROR(__xludf.DUMMYFUNCTION("""COMPUTED_VALUE"""),6.0)</f>
        <v>6</v>
      </c>
      <c r="S8" s="189">
        <f>IFERROR(__xludf.DUMMYFUNCTION("""COMPUTED_VALUE"""),0.0)</f>
        <v>0</v>
      </c>
      <c r="T8" s="189">
        <f>IFERROR(__xludf.DUMMYFUNCTION("""COMPUTED_VALUE"""),1.0)</f>
        <v>1</v>
      </c>
      <c r="U8" s="189">
        <f>IFERROR(__xludf.DUMMYFUNCTION("""COMPUTED_VALUE"""),6.0)</f>
        <v>6</v>
      </c>
      <c r="V8" s="189">
        <f>IFERROR(__xludf.DUMMYFUNCTION("""COMPUTED_VALUE"""),6.0)</f>
        <v>6</v>
      </c>
      <c r="W8" s="189">
        <f>IFERROR(__xludf.DUMMYFUNCTION("""COMPUTED_VALUE"""),5.0)</f>
        <v>5</v>
      </c>
      <c r="X8" s="189">
        <f>IFERROR(__xludf.DUMMYFUNCTION("""COMPUTED_VALUE"""),7.0)</f>
        <v>7</v>
      </c>
      <c r="Y8" s="189" t="str">
        <f>IFERROR(__xludf.DUMMYFUNCTION("""COMPUTED_VALUE"""),"2025-08-20T00:00:00.000Z")</f>
        <v>2025-08-20T00:00:00.000Z</v>
      </c>
      <c r="Z8" s="189" t="str">
        <f>IFERROR(__xludf.DUMMYFUNCTION("""COMPUTED_VALUE"""),"KOI Fénix_Lotus")</f>
        <v>KOI Fénix_Lotus</v>
      </c>
    </row>
    <row r="9">
      <c r="A9" s="189">
        <f>IFERROR(__xludf.DUMMYFUNCTION("""COMPUTED_VALUE"""),213556.0)</f>
        <v>213556</v>
      </c>
      <c r="B9" s="189">
        <f>IFERROR(__xludf.DUMMYFUNCTION("""COMPUTED_VALUE"""),93971.0)</f>
        <v>93971</v>
      </c>
      <c r="C9" s="189" t="str">
        <f>IFERROR(__xludf.DUMMYFUNCTION("""COMPUTED_VALUE"""),"Challengers League 2025 MENA: Resilience - LAN Finals - Main Event")</f>
        <v>Challengers League 2025 MENA: Resilience - LAN Finals - Main Event</v>
      </c>
      <c r="D9" s="189" t="str">
        <f>IFERROR(__xludf.DUMMYFUNCTION("""COMPUTED_VALUE"""),"Haven")</f>
        <v>Haven</v>
      </c>
      <c r="E9" s="189" t="str">
        <f>IFERROR(__xludf.DUMMYFUNCTION("""COMPUTED_VALUE"""),"The Ultimates")</f>
        <v>The Ultimates</v>
      </c>
      <c r="F9" s="189" t="str">
        <f>IFERROR(__xludf.DUMMYFUNCTION("""COMPUTED_VALUE"""),"Twisted Minds Esports")</f>
        <v>Twisted Minds Esports</v>
      </c>
      <c r="G9" s="189" t="str">
        <f>IFERROR(__xludf.DUMMYFUNCTION("""COMPUTED_VALUE"""),"Breach,Cypher,Sova,Omen,Neon")</f>
        <v>Breach,Cypher,Sova,Omen,Neon</v>
      </c>
      <c r="H9" s="189" t="str">
        <f>IFERROR(__xludf.DUMMYFUNCTION("""COMPUTED_VALUE"""),"Sova,Killjoy,Viper,Omen,Neon")</f>
        <v>Sova,Killjoy,Viper,Omen,Neon</v>
      </c>
      <c r="I9" s="189">
        <f>IFERROR(__xludf.DUMMYFUNCTION("""COMPUTED_VALUE"""),11.0)</f>
        <v>11</v>
      </c>
      <c r="J9" s="189">
        <f>IFERROR(__xludf.DUMMYFUNCTION("""COMPUTED_VALUE"""),13.0)</f>
        <v>13</v>
      </c>
      <c r="K9" s="189">
        <f>IFERROR(__xludf.DUMMYFUNCTION("""COMPUTED_VALUE"""),7.0)</f>
        <v>7</v>
      </c>
      <c r="L9" s="189">
        <f>IFERROR(__xludf.DUMMYFUNCTION("""COMPUTED_VALUE"""),5.0)</f>
        <v>5</v>
      </c>
      <c r="M9" s="189">
        <f>IFERROR(__xludf.DUMMYFUNCTION("""COMPUTED_VALUE"""),1.0)</f>
        <v>1</v>
      </c>
      <c r="N9" s="189">
        <f>IFERROR(__xludf.DUMMYFUNCTION("""COMPUTED_VALUE"""),0.0)</f>
        <v>0</v>
      </c>
      <c r="O9" s="189">
        <f>IFERROR(__xludf.DUMMYFUNCTION("""COMPUTED_VALUE"""),4.0)</f>
        <v>4</v>
      </c>
      <c r="P9" s="189">
        <f>IFERROR(__xludf.DUMMYFUNCTION("""COMPUTED_VALUE"""),8.0)</f>
        <v>8</v>
      </c>
      <c r="Q9" s="189">
        <f>IFERROR(__xludf.DUMMYFUNCTION("""COMPUTED_VALUE"""),7.0)</f>
        <v>7</v>
      </c>
      <c r="R9" s="189">
        <f>IFERROR(__xludf.DUMMYFUNCTION("""COMPUTED_VALUE"""),5.0)</f>
        <v>5</v>
      </c>
      <c r="S9" s="189">
        <f>IFERROR(__xludf.DUMMYFUNCTION("""COMPUTED_VALUE"""),1.0)</f>
        <v>1</v>
      </c>
      <c r="T9" s="189">
        <f>IFERROR(__xludf.DUMMYFUNCTION("""COMPUTED_VALUE"""),0.0)</f>
        <v>0</v>
      </c>
      <c r="U9" s="189">
        <f>IFERROR(__xludf.DUMMYFUNCTION("""COMPUTED_VALUE"""),5.0)</f>
        <v>5</v>
      </c>
      <c r="V9" s="189">
        <f>IFERROR(__xludf.DUMMYFUNCTION("""COMPUTED_VALUE"""),7.0)</f>
        <v>7</v>
      </c>
      <c r="W9" s="189">
        <f>IFERROR(__xludf.DUMMYFUNCTION("""COMPUTED_VALUE"""),8.0)</f>
        <v>8</v>
      </c>
      <c r="X9" s="189">
        <f>IFERROR(__xludf.DUMMYFUNCTION("""COMPUTED_VALUE"""),4.0)</f>
        <v>4</v>
      </c>
      <c r="Y9" s="189" t="str">
        <f>IFERROR(__xludf.DUMMYFUNCTION("""COMPUTED_VALUE"""),"2025-08-20T00:00:00.000Z")</f>
        <v>2025-08-20T00:00:00.000Z</v>
      </c>
      <c r="Z9" s="189" t="str">
        <f>IFERROR(__xludf.DUMMYFUNCTION("""COMPUTED_VALUE"""),"The Ultimates_Haven")</f>
        <v>The Ultimates_Haven</v>
      </c>
    </row>
    <row r="10">
      <c r="A10" s="189">
        <f>IFERROR(__xludf.DUMMYFUNCTION("""COMPUTED_VALUE"""),213529.0)</f>
        <v>213529</v>
      </c>
      <c r="B10" s="189">
        <f>IFERROR(__xludf.DUMMYFUNCTION("""COMPUTED_VALUE"""),93963.0)</f>
        <v>93963</v>
      </c>
      <c r="C10" s="189" t="str">
        <f>IFERROR(__xludf.DUMMYFUNCTION("""COMPUTED_VALUE"""),"Challengers League 2025 MENA: Resilience - LAN Finals - Main Event")</f>
        <v>Challengers League 2025 MENA: Resilience - LAN Finals - Main Event</v>
      </c>
      <c r="D10" s="189" t="str">
        <f>IFERROR(__xludf.DUMMYFUNCTION("""COMPUTED_VALUE"""),"Corrode")</f>
        <v>Corrode</v>
      </c>
      <c r="E10" s="189" t="str">
        <f>IFERROR(__xludf.DUMMYFUNCTION("""COMPUTED_VALUE"""),"Twisted Minds Esports")</f>
        <v>Twisted Minds Esports</v>
      </c>
      <c r="F10" s="189" t="str">
        <f>IFERROR(__xludf.DUMMYFUNCTION("""COMPUTED_VALUE"""),"Team RA'AD")</f>
        <v>Team RA'AD</v>
      </c>
      <c r="G10" s="189" t="str">
        <f>IFERROR(__xludf.DUMMYFUNCTION("""COMPUTED_VALUE"""),"Omen,Yoru,Chamber,Fade,Vyse")</f>
        <v>Omen,Yoru,Chamber,Fade,Vyse</v>
      </c>
      <c r="H10" s="189" t="str">
        <f>IFERROR(__xludf.DUMMYFUNCTION("""COMPUTED_VALUE"""),"Sage,Omen,Yoru,Fade,Vyse")</f>
        <v>Sage,Omen,Yoru,Fade,Vyse</v>
      </c>
      <c r="I10" s="189">
        <f>IFERROR(__xludf.DUMMYFUNCTION("""COMPUTED_VALUE"""),15.0)</f>
        <v>15</v>
      </c>
      <c r="J10" s="189">
        <f>IFERROR(__xludf.DUMMYFUNCTION("""COMPUTED_VALUE"""),13.0)</f>
        <v>13</v>
      </c>
      <c r="K10" s="189">
        <f>IFERROR(__xludf.DUMMYFUNCTION("""COMPUTED_VALUE"""),7.0)</f>
        <v>7</v>
      </c>
      <c r="L10" s="189">
        <f>IFERROR(__xludf.DUMMYFUNCTION("""COMPUTED_VALUE"""),5.0)</f>
        <v>5</v>
      </c>
      <c r="M10" s="189">
        <f>IFERROR(__xludf.DUMMYFUNCTION("""COMPUTED_VALUE"""),0.0)</f>
        <v>0</v>
      </c>
      <c r="N10" s="189">
        <f>IFERROR(__xludf.DUMMYFUNCTION("""COMPUTED_VALUE"""),1.0)</f>
        <v>1</v>
      </c>
      <c r="O10" s="189">
        <f>IFERROR(__xludf.DUMMYFUNCTION("""COMPUTED_VALUE"""),8.0)</f>
        <v>8</v>
      </c>
      <c r="P10" s="189">
        <f>IFERROR(__xludf.DUMMYFUNCTION("""COMPUTED_VALUE"""),6.0)</f>
        <v>6</v>
      </c>
      <c r="Q10" s="189">
        <f>IFERROR(__xludf.DUMMYFUNCTION("""COMPUTED_VALUE"""),7.0)</f>
        <v>7</v>
      </c>
      <c r="R10" s="189">
        <f>IFERROR(__xludf.DUMMYFUNCTION("""COMPUTED_VALUE"""),7.0)</f>
        <v>7</v>
      </c>
      <c r="S10" s="189">
        <f>IFERROR(__xludf.DUMMYFUNCTION("""COMPUTED_VALUE"""),0.0)</f>
        <v>0</v>
      </c>
      <c r="T10" s="189">
        <f>IFERROR(__xludf.DUMMYFUNCTION("""COMPUTED_VALUE"""),1.0)</f>
        <v>1</v>
      </c>
      <c r="U10" s="189">
        <f>IFERROR(__xludf.DUMMYFUNCTION("""COMPUTED_VALUE"""),7.0)</f>
        <v>7</v>
      </c>
      <c r="V10" s="189">
        <f>IFERROR(__xludf.DUMMYFUNCTION("""COMPUTED_VALUE"""),7.0)</f>
        <v>7</v>
      </c>
      <c r="W10" s="189">
        <f>IFERROR(__xludf.DUMMYFUNCTION("""COMPUTED_VALUE"""),6.0)</f>
        <v>6</v>
      </c>
      <c r="X10" s="189">
        <f>IFERROR(__xludf.DUMMYFUNCTION("""COMPUTED_VALUE"""),8.0)</f>
        <v>8</v>
      </c>
      <c r="Y10" s="189" t="str">
        <f>IFERROR(__xludf.DUMMYFUNCTION("""COMPUTED_VALUE"""),"2025-08-18T00:00:00.000Z")</f>
        <v>2025-08-18T00:00:00.000Z</v>
      </c>
      <c r="Z10" s="189" t="str">
        <f>IFERROR(__xludf.DUMMYFUNCTION("""COMPUTED_VALUE"""),"Twisted Minds Esports_Corrode")</f>
        <v>Twisted Minds Esports_Corrode</v>
      </c>
    </row>
    <row r="11">
      <c r="A11" s="189">
        <f>IFERROR(__xludf.DUMMYFUNCTION("""COMPUTED_VALUE"""),213528.0)</f>
        <v>213528</v>
      </c>
      <c r="B11" s="189">
        <f>IFERROR(__xludf.DUMMYFUNCTION("""COMPUTED_VALUE"""),93963.0)</f>
        <v>93963</v>
      </c>
      <c r="C11" s="189" t="str">
        <f>IFERROR(__xludf.DUMMYFUNCTION("""COMPUTED_VALUE"""),"Challengers League 2025 MENA: Resilience - LAN Finals - Main Event")</f>
        <v>Challengers League 2025 MENA: Resilience - LAN Finals - Main Event</v>
      </c>
      <c r="D11" s="189" t="str">
        <f>IFERROR(__xludf.DUMMYFUNCTION("""COMPUTED_VALUE"""),"Lotus")</f>
        <v>Lotus</v>
      </c>
      <c r="E11" s="189" t="str">
        <f>IFERROR(__xludf.DUMMYFUNCTION("""COMPUTED_VALUE"""),"Twisted Minds Esports")</f>
        <v>Twisted Minds Esports</v>
      </c>
      <c r="F11" s="189" t="str">
        <f>IFERROR(__xludf.DUMMYFUNCTION("""COMPUTED_VALUE"""),"Team RA'AD")</f>
        <v>Team RA'AD</v>
      </c>
      <c r="G11" s="189" t="str">
        <f>IFERROR(__xludf.DUMMYFUNCTION("""COMPUTED_VALUE"""),"Raze,Killjoy,Viper,Omen,Fade")</f>
        <v>Raze,Killjoy,Viper,Omen,Fade</v>
      </c>
      <c r="H11" s="189" t="str">
        <f>IFERROR(__xludf.DUMMYFUNCTION("""COMPUTED_VALUE"""),"Raze,Omen,Yoru,Fade,Vyse")</f>
        <v>Raze,Omen,Yoru,Fade,Vyse</v>
      </c>
      <c r="I11" s="189">
        <f>IFERROR(__xludf.DUMMYFUNCTION("""COMPUTED_VALUE"""),15.0)</f>
        <v>15</v>
      </c>
      <c r="J11" s="189">
        <f>IFERROR(__xludf.DUMMYFUNCTION("""COMPUTED_VALUE"""),13.0)</f>
        <v>13</v>
      </c>
      <c r="K11" s="189">
        <f>IFERROR(__xludf.DUMMYFUNCTION("""COMPUTED_VALUE"""),4.0)</f>
        <v>4</v>
      </c>
      <c r="L11" s="189">
        <f>IFERROR(__xludf.DUMMYFUNCTION("""COMPUTED_VALUE"""),8.0)</f>
        <v>8</v>
      </c>
      <c r="M11" s="189">
        <f>IFERROR(__xludf.DUMMYFUNCTION("""COMPUTED_VALUE"""),1.0)</f>
        <v>1</v>
      </c>
      <c r="N11" s="189">
        <f>IFERROR(__xludf.DUMMYFUNCTION("""COMPUTED_VALUE"""),0.0)</f>
        <v>0</v>
      </c>
      <c r="O11" s="189">
        <f>IFERROR(__xludf.DUMMYFUNCTION("""COMPUTED_VALUE"""),9.0)</f>
        <v>9</v>
      </c>
      <c r="P11" s="189">
        <f>IFERROR(__xludf.DUMMYFUNCTION("""COMPUTED_VALUE"""),5.0)</f>
        <v>5</v>
      </c>
      <c r="Q11" s="189">
        <f>IFERROR(__xludf.DUMMYFUNCTION("""COMPUTED_VALUE"""),6.0)</f>
        <v>6</v>
      </c>
      <c r="R11" s="189">
        <f>IFERROR(__xludf.DUMMYFUNCTION("""COMPUTED_VALUE"""),8.0)</f>
        <v>8</v>
      </c>
      <c r="S11" s="189">
        <f>IFERROR(__xludf.DUMMYFUNCTION("""COMPUTED_VALUE"""),1.0)</f>
        <v>1</v>
      </c>
      <c r="T11" s="189">
        <f>IFERROR(__xludf.DUMMYFUNCTION("""COMPUTED_VALUE"""),0.0)</f>
        <v>0</v>
      </c>
      <c r="U11" s="189">
        <f>IFERROR(__xludf.DUMMYFUNCTION("""COMPUTED_VALUE"""),8.0)</f>
        <v>8</v>
      </c>
      <c r="V11" s="189">
        <f>IFERROR(__xludf.DUMMYFUNCTION("""COMPUTED_VALUE"""),6.0)</f>
        <v>6</v>
      </c>
      <c r="W11" s="189">
        <f>IFERROR(__xludf.DUMMYFUNCTION("""COMPUTED_VALUE"""),5.0)</f>
        <v>5</v>
      </c>
      <c r="X11" s="189">
        <f>IFERROR(__xludf.DUMMYFUNCTION("""COMPUTED_VALUE"""),9.0)</f>
        <v>9</v>
      </c>
      <c r="Y11" s="189" t="str">
        <f>IFERROR(__xludf.DUMMYFUNCTION("""COMPUTED_VALUE"""),"2025-08-18T00:00:00.000Z")</f>
        <v>2025-08-18T00:00:00.000Z</v>
      </c>
      <c r="Z11" s="189" t="str">
        <f>IFERROR(__xludf.DUMMYFUNCTION("""COMPUTED_VALUE"""),"Twisted Minds Esports_Lotus")</f>
        <v>Twisted Minds Esports_Lotus</v>
      </c>
    </row>
    <row r="12">
      <c r="A12" s="189">
        <f>IFERROR(__xludf.DUMMYFUNCTION("""COMPUTED_VALUE"""),213499.0)</f>
        <v>213499</v>
      </c>
      <c r="B12" s="189">
        <f>IFERROR(__xludf.DUMMYFUNCTION("""COMPUTED_VALUE"""),93954.0)</f>
        <v>93954</v>
      </c>
      <c r="C12" s="189" t="str">
        <f>IFERROR(__xludf.DUMMYFUNCTION("""COMPUTED_VALUE"""),"Challengers League 2025 MENA: Resilience - LAN Finals - Main Event")</f>
        <v>Challengers League 2025 MENA: Resilience - LAN Finals - Main Event</v>
      </c>
      <c r="D12" s="189" t="str">
        <f>IFERROR(__xludf.DUMMYFUNCTION("""COMPUTED_VALUE"""),"Bind")</f>
        <v>Bind</v>
      </c>
      <c r="E12" s="189" t="str">
        <f>IFERROR(__xludf.DUMMYFUNCTION("""COMPUTED_VALUE"""),"Twisted Minds Esports")</f>
        <v>Twisted Minds Esports</v>
      </c>
      <c r="F12" s="189" t="str">
        <f>IFERROR(__xludf.DUMMYFUNCTION("""COMPUTED_VALUE"""),"GAMAX eSports")</f>
        <v>GAMAX eSports</v>
      </c>
      <c r="G12" s="189" t="str">
        <f>IFERROR(__xludf.DUMMYFUNCTION("""COMPUTED_VALUE"""),"Raze,Viper,Brimstone,Yoru,Fade")</f>
        <v>Raze,Viper,Brimstone,Yoru,Fade</v>
      </c>
      <c r="H12" s="189" t="str">
        <f>IFERROR(__xludf.DUMMYFUNCTION("""COMPUTED_VALUE"""),"Raze,Viper,Brimstone,Skye,Gekko")</f>
        <v>Raze,Viper,Brimstone,Skye,Gekko</v>
      </c>
      <c r="I12" s="189">
        <f>IFERROR(__xludf.DUMMYFUNCTION("""COMPUTED_VALUE"""),12.0)</f>
        <v>12</v>
      </c>
      <c r="J12" s="189">
        <f>IFERROR(__xludf.DUMMYFUNCTION("""COMPUTED_VALUE"""),14.0)</f>
        <v>14</v>
      </c>
      <c r="K12" s="189">
        <f>IFERROR(__xludf.DUMMYFUNCTION("""COMPUTED_VALUE"""),6.0)</f>
        <v>6</v>
      </c>
      <c r="L12" s="189">
        <f>IFERROR(__xludf.DUMMYFUNCTION("""COMPUTED_VALUE"""),6.0)</f>
        <v>6</v>
      </c>
      <c r="M12" s="189">
        <f>IFERROR(__xludf.DUMMYFUNCTION("""COMPUTED_VALUE"""),1.0)</f>
        <v>1</v>
      </c>
      <c r="N12" s="189">
        <f>IFERROR(__xludf.DUMMYFUNCTION("""COMPUTED_VALUE"""),0.0)</f>
        <v>0</v>
      </c>
      <c r="O12" s="189">
        <f>IFERROR(__xludf.DUMMYFUNCTION("""COMPUTED_VALUE"""),6.0)</f>
        <v>6</v>
      </c>
      <c r="P12" s="189">
        <f>IFERROR(__xludf.DUMMYFUNCTION("""COMPUTED_VALUE"""),7.0)</f>
        <v>7</v>
      </c>
      <c r="Q12" s="189">
        <f>IFERROR(__xludf.DUMMYFUNCTION("""COMPUTED_VALUE"""),6.0)</f>
        <v>6</v>
      </c>
      <c r="R12" s="189">
        <f>IFERROR(__xludf.DUMMYFUNCTION("""COMPUTED_VALUE"""),7.0)</f>
        <v>7</v>
      </c>
      <c r="S12" s="189">
        <f>IFERROR(__xludf.DUMMYFUNCTION("""COMPUTED_VALUE"""),1.0)</f>
        <v>1</v>
      </c>
      <c r="T12" s="189">
        <f>IFERROR(__xludf.DUMMYFUNCTION("""COMPUTED_VALUE"""),0.0)</f>
        <v>0</v>
      </c>
      <c r="U12" s="189">
        <f>IFERROR(__xludf.DUMMYFUNCTION("""COMPUTED_VALUE"""),7.0)</f>
        <v>7</v>
      </c>
      <c r="V12" s="189">
        <f>IFERROR(__xludf.DUMMYFUNCTION("""COMPUTED_VALUE"""),6.0)</f>
        <v>6</v>
      </c>
      <c r="W12" s="189">
        <f>IFERROR(__xludf.DUMMYFUNCTION("""COMPUTED_VALUE"""),7.0)</f>
        <v>7</v>
      </c>
      <c r="X12" s="189">
        <f>IFERROR(__xludf.DUMMYFUNCTION("""COMPUTED_VALUE"""),6.0)</f>
        <v>6</v>
      </c>
      <c r="Y12" s="189" t="str">
        <f>IFERROR(__xludf.DUMMYFUNCTION("""COMPUTED_VALUE"""),"2025-08-18T00:00:00.000Z")</f>
        <v>2025-08-18T00:00:00.000Z</v>
      </c>
      <c r="Z12" s="189" t="str">
        <f>IFERROR(__xludf.DUMMYFUNCTION("""COMPUTED_VALUE"""),"Twisted Minds Esports_Bind")</f>
        <v>Twisted Minds Esports_Bind</v>
      </c>
    </row>
    <row r="13">
      <c r="A13" s="189">
        <f>IFERROR(__xludf.DUMMYFUNCTION("""COMPUTED_VALUE"""),213498.0)</f>
        <v>213498</v>
      </c>
      <c r="B13" s="189">
        <f>IFERROR(__xludf.DUMMYFUNCTION("""COMPUTED_VALUE"""),93954.0)</f>
        <v>93954</v>
      </c>
      <c r="C13" s="189" t="str">
        <f>IFERROR(__xludf.DUMMYFUNCTION("""COMPUTED_VALUE"""),"Challengers League 2025 MENA: Resilience - LAN Finals - Main Event")</f>
        <v>Challengers League 2025 MENA: Resilience - LAN Finals - Main Event</v>
      </c>
      <c r="D13" s="189" t="str">
        <f>IFERROR(__xludf.DUMMYFUNCTION("""COMPUTED_VALUE"""),"Sunset")</f>
        <v>Sunset</v>
      </c>
      <c r="E13" s="189" t="str">
        <f>IFERROR(__xludf.DUMMYFUNCTION("""COMPUTED_VALUE"""),"Twisted Minds Esports")</f>
        <v>Twisted Minds Esports</v>
      </c>
      <c r="F13" s="189" t="str">
        <f>IFERROR(__xludf.DUMMYFUNCTION("""COMPUTED_VALUE"""),"GAMAX eSports")</f>
        <v>GAMAX eSports</v>
      </c>
      <c r="G13" s="189" t="str">
        <f>IFERROR(__xludf.DUMMYFUNCTION("""COMPUTED_VALUE"""),"Breach,Cypher,Omen,Neon,Fade")</f>
        <v>Breach,Cypher,Omen,Neon,Fade</v>
      </c>
      <c r="H13" s="189" t="str">
        <f>IFERROR(__xludf.DUMMYFUNCTION("""COMPUTED_VALUE"""),"Cypher,Sova,Omen,Yoru,Neon")</f>
        <v>Cypher,Sova,Omen,Yoru,Neon</v>
      </c>
      <c r="I13" s="189">
        <f>IFERROR(__xludf.DUMMYFUNCTION("""COMPUTED_VALUE"""),11.0)</f>
        <v>11</v>
      </c>
      <c r="J13" s="189">
        <f>IFERROR(__xludf.DUMMYFUNCTION("""COMPUTED_VALUE"""),13.0)</f>
        <v>13</v>
      </c>
      <c r="K13" s="189">
        <f>IFERROR(__xludf.DUMMYFUNCTION("""COMPUTED_VALUE"""),4.0)</f>
        <v>4</v>
      </c>
      <c r="L13" s="189">
        <f>IFERROR(__xludf.DUMMYFUNCTION("""COMPUTED_VALUE"""),8.0)</f>
        <v>8</v>
      </c>
      <c r="M13" s="189">
        <f>IFERROR(__xludf.DUMMYFUNCTION("""COMPUTED_VALUE"""),0.0)</f>
        <v>0</v>
      </c>
      <c r="N13" s="189">
        <f>IFERROR(__xludf.DUMMYFUNCTION("""COMPUTED_VALUE"""),1.0)</f>
        <v>1</v>
      </c>
      <c r="O13" s="189">
        <f>IFERROR(__xludf.DUMMYFUNCTION("""COMPUTED_VALUE"""),4.0)</f>
        <v>4</v>
      </c>
      <c r="P13" s="189">
        <f>IFERROR(__xludf.DUMMYFUNCTION("""COMPUTED_VALUE"""),8.0)</f>
        <v>8</v>
      </c>
      <c r="Q13" s="189">
        <f>IFERROR(__xludf.DUMMYFUNCTION("""COMPUTED_VALUE"""),7.0)</f>
        <v>7</v>
      </c>
      <c r="R13" s="189">
        <f>IFERROR(__xludf.DUMMYFUNCTION("""COMPUTED_VALUE"""),5.0)</f>
        <v>5</v>
      </c>
      <c r="S13" s="189">
        <f>IFERROR(__xludf.DUMMYFUNCTION("""COMPUTED_VALUE"""),0.0)</f>
        <v>0</v>
      </c>
      <c r="T13" s="189">
        <f>IFERROR(__xludf.DUMMYFUNCTION("""COMPUTED_VALUE"""),1.0)</f>
        <v>1</v>
      </c>
      <c r="U13" s="189">
        <f>IFERROR(__xludf.DUMMYFUNCTION("""COMPUTED_VALUE"""),5.0)</f>
        <v>5</v>
      </c>
      <c r="V13" s="189">
        <f>IFERROR(__xludf.DUMMYFUNCTION("""COMPUTED_VALUE"""),7.0)</f>
        <v>7</v>
      </c>
      <c r="W13" s="189">
        <f>IFERROR(__xludf.DUMMYFUNCTION("""COMPUTED_VALUE"""),8.0)</f>
        <v>8</v>
      </c>
      <c r="X13" s="189">
        <f>IFERROR(__xludf.DUMMYFUNCTION("""COMPUTED_VALUE"""),4.0)</f>
        <v>4</v>
      </c>
      <c r="Y13" s="189" t="str">
        <f>IFERROR(__xludf.DUMMYFUNCTION("""COMPUTED_VALUE"""),"2025-08-18T00:00:00.000Z")</f>
        <v>2025-08-18T00:00:00.000Z</v>
      </c>
      <c r="Z13" s="189" t="str">
        <f>IFERROR(__xludf.DUMMYFUNCTION("""COMPUTED_VALUE"""),"Twisted Minds Esports_Sunset")</f>
        <v>Twisted Minds Esports_Sunset</v>
      </c>
    </row>
    <row r="14">
      <c r="A14" s="189">
        <f>IFERROR(__xludf.DUMMYFUNCTION("""COMPUTED_VALUE"""),213497.0)</f>
        <v>213497</v>
      </c>
      <c r="B14" s="189">
        <f>IFERROR(__xludf.DUMMYFUNCTION("""COMPUTED_VALUE"""),93954.0)</f>
        <v>93954</v>
      </c>
      <c r="C14" s="189" t="str">
        <f>IFERROR(__xludf.DUMMYFUNCTION("""COMPUTED_VALUE"""),"Challengers League 2025 MENA: Resilience - LAN Finals - Main Event")</f>
        <v>Challengers League 2025 MENA: Resilience - LAN Finals - Main Event</v>
      </c>
      <c r="D14" s="189" t="str">
        <f>IFERROR(__xludf.DUMMYFUNCTION("""COMPUTED_VALUE"""),"Haven")</f>
        <v>Haven</v>
      </c>
      <c r="E14" s="189" t="str">
        <f>IFERROR(__xludf.DUMMYFUNCTION("""COMPUTED_VALUE"""),"Twisted Minds Esports")</f>
        <v>Twisted Minds Esports</v>
      </c>
      <c r="F14" s="189" t="str">
        <f>IFERROR(__xludf.DUMMYFUNCTION("""COMPUTED_VALUE"""),"GAMAX eSports")</f>
        <v>GAMAX eSports</v>
      </c>
      <c r="G14" s="189" t="str">
        <f>IFERROR(__xludf.DUMMYFUNCTION("""COMPUTED_VALUE"""),"Sova,Killjoy,Viper,Omen,Neon")</f>
        <v>Sova,Killjoy,Viper,Omen,Neon</v>
      </c>
      <c r="H14" s="189" t="str">
        <f>IFERROR(__xludf.DUMMYFUNCTION("""COMPUTED_VALUE"""),"Cypher,Sova,Omen,Yoru,Iso")</f>
        <v>Cypher,Sova,Omen,Yoru,Iso</v>
      </c>
      <c r="I14" s="189">
        <f>IFERROR(__xludf.DUMMYFUNCTION("""COMPUTED_VALUE"""),13.0)</f>
        <v>13</v>
      </c>
      <c r="J14" s="189">
        <f>IFERROR(__xludf.DUMMYFUNCTION("""COMPUTED_VALUE"""),5.0)</f>
        <v>5</v>
      </c>
      <c r="K14" s="189">
        <f>IFERROR(__xludf.DUMMYFUNCTION("""COMPUTED_VALUE"""),8.0)</f>
        <v>8</v>
      </c>
      <c r="L14" s="189">
        <f>IFERROR(__xludf.DUMMYFUNCTION("""COMPUTED_VALUE"""),4.0)</f>
        <v>4</v>
      </c>
      <c r="M14" s="189">
        <f>IFERROR(__xludf.DUMMYFUNCTION("""COMPUTED_VALUE"""),1.0)</f>
        <v>1</v>
      </c>
      <c r="N14" s="189">
        <f>IFERROR(__xludf.DUMMYFUNCTION("""COMPUTED_VALUE"""),1.0)</f>
        <v>1</v>
      </c>
      <c r="O14" s="189">
        <f>IFERROR(__xludf.DUMMYFUNCTION("""COMPUTED_VALUE"""),8.0)</f>
        <v>8</v>
      </c>
      <c r="P14" s="189">
        <f>IFERROR(__xludf.DUMMYFUNCTION("""COMPUTED_VALUE"""),4.0)</f>
        <v>4</v>
      </c>
      <c r="Q14" s="189">
        <f>IFERROR(__xludf.DUMMYFUNCTION("""COMPUTED_VALUE"""),5.0)</f>
        <v>5</v>
      </c>
      <c r="R14" s="189">
        <f>IFERROR(__xludf.DUMMYFUNCTION("""COMPUTED_VALUE"""),1.0)</f>
        <v>1</v>
      </c>
      <c r="S14" s="189">
        <f>IFERROR(__xludf.DUMMYFUNCTION("""COMPUTED_VALUE"""),0.0)</f>
        <v>0</v>
      </c>
      <c r="T14" s="189">
        <f>IFERROR(__xludf.DUMMYFUNCTION("""COMPUTED_VALUE"""),0.0)</f>
        <v>0</v>
      </c>
      <c r="U14" s="189">
        <f>IFERROR(__xludf.DUMMYFUNCTION("""COMPUTED_VALUE"""),1.0)</f>
        <v>1</v>
      </c>
      <c r="V14" s="189">
        <f>IFERROR(__xludf.DUMMYFUNCTION("""COMPUTED_VALUE"""),5.0)</f>
        <v>5</v>
      </c>
      <c r="W14" s="189">
        <f>IFERROR(__xludf.DUMMYFUNCTION("""COMPUTED_VALUE"""),4.0)</f>
        <v>4</v>
      </c>
      <c r="X14" s="189">
        <f>IFERROR(__xludf.DUMMYFUNCTION("""COMPUTED_VALUE"""),8.0)</f>
        <v>8</v>
      </c>
      <c r="Y14" s="189" t="str">
        <f>IFERROR(__xludf.DUMMYFUNCTION("""COMPUTED_VALUE"""),"2025-08-18T00:00:00.000Z")</f>
        <v>2025-08-18T00:00:00.000Z</v>
      </c>
      <c r="Z14" s="189" t="str">
        <f>IFERROR(__xludf.DUMMYFUNCTION("""COMPUTED_VALUE"""),"Twisted Minds Esports_Haven")</f>
        <v>Twisted Minds Esports_Haven</v>
      </c>
    </row>
    <row r="15">
      <c r="A15" s="189">
        <f>IFERROR(__xludf.DUMMYFUNCTION("""COMPUTED_VALUE"""),212063.0)</f>
        <v>212063</v>
      </c>
      <c r="B15" s="189">
        <f>IFERROR(__xludf.DUMMYFUNCTION("""COMPUTED_VALUE"""),93451.0)</f>
        <v>93451</v>
      </c>
      <c r="C15" s="189" t="str">
        <f>IFERROR(__xludf.DUMMYFUNCTION("""COMPUTED_VALUE"""),"Challengers League 2025 NORTH EAST: Split 3 - Playoffs")</f>
        <v>Challengers League 2025 NORTH EAST: Split 3 - Playoffs</v>
      </c>
      <c r="D15" s="189" t="str">
        <f>IFERROR(__xludf.DUMMYFUNCTION("""COMPUTED_VALUE"""),"Haven")</f>
        <v>Haven</v>
      </c>
      <c r="E15" s="189" t="str">
        <f>IFERROR(__xludf.DUMMYFUNCTION("""COMPUTED_VALUE"""),"Enterprise Esports")</f>
        <v>Enterprise Esports</v>
      </c>
      <c r="F15" s="189" t="str">
        <f>IFERROR(__xludf.DUMMYFUNCTION("""COMPUTED_VALUE"""),"Team Liquid Academy")</f>
        <v>Team Liquid Academy</v>
      </c>
      <c r="G15" s="189" t="str">
        <f>IFERROR(__xludf.DUMMYFUNCTION("""COMPUTED_VALUE"""),"Sova,Killjoy,Viper,Omen,Neon")</f>
        <v>Sova,Killjoy,Viper,Omen,Neon</v>
      </c>
      <c r="H15" s="189" t="str">
        <f>IFERROR(__xludf.DUMMYFUNCTION("""COMPUTED_VALUE"""),"Cypher,Sova,Omen,Yoru,Iso")</f>
        <v>Cypher,Sova,Omen,Yoru,Iso</v>
      </c>
      <c r="I15" s="189">
        <f>IFERROR(__xludf.DUMMYFUNCTION("""COMPUTED_VALUE"""),13.0)</f>
        <v>13</v>
      </c>
      <c r="J15" s="189">
        <f>IFERROR(__xludf.DUMMYFUNCTION("""COMPUTED_VALUE"""),2.0)</f>
        <v>2</v>
      </c>
      <c r="K15" s="189">
        <f>IFERROR(__xludf.DUMMYFUNCTION("""COMPUTED_VALUE"""),10.0)</f>
        <v>10</v>
      </c>
      <c r="L15" s="189">
        <f>IFERROR(__xludf.DUMMYFUNCTION("""COMPUTED_VALUE"""),2.0)</f>
        <v>2</v>
      </c>
      <c r="M15" s="189">
        <f>IFERROR(__xludf.DUMMYFUNCTION("""COMPUTED_VALUE"""),1.0)</f>
        <v>1</v>
      </c>
      <c r="N15" s="189">
        <f>IFERROR(__xludf.DUMMYFUNCTION("""COMPUTED_VALUE"""),1.0)</f>
        <v>1</v>
      </c>
      <c r="O15" s="189">
        <f>IFERROR(__xludf.DUMMYFUNCTION("""COMPUTED_VALUE"""),10.0)</f>
        <v>10</v>
      </c>
      <c r="P15" s="189">
        <f>IFERROR(__xludf.DUMMYFUNCTION("""COMPUTED_VALUE"""),2.0)</f>
        <v>2</v>
      </c>
      <c r="Q15" s="189">
        <f>IFERROR(__xludf.DUMMYFUNCTION("""COMPUTED_VALUE"""),3.0)</f>
        <v>3</v>
      </c>
      <c r="R15" s="189">
        <f>IFERROR(__xludf.DUMMYFUNCTION("""COMPUTED_VALUE"""),0.0)</f>
        <v>0</v>
      </c>
      <c r="S15" s="189">
        <f>IFERROR(__xludf.DUMMYFUNCTION("""COMPUTED_VALUE"""),0.0)</f>
        <v>0</v>
      </c>
      <c r="T15" s="189">
        <f>IFERROR(__xludf.DUMMYFUNCTION("""COMPUTED_VALUE"""),0.0)</f>
        <v>0</v>
      </c>
      <c r="U15" s="189">
        <f>IFERROR(__xludf.DUMMYFUNCTION("""COMPUTED_VALUE"""),0.0)</f>
        <v>0</v>
      </c>
      <c r="V15" s="189">
        <f>IFERROR(__xludf.DUMMYFUNCTION("""COMPUTED_VALUE"""),3.0)</f>
        <v>3</v>
      </c>
      <c r="W15" s="189">
        <f>IFERROR(__xludf.DUMMYFUNCTION("""COMPUTED_VALUE"""),2.0)</f>
        <v>2</v>
      </c>
      <c r="X15" s="189">
        <f>IFERROR(__xludf.DUMMYFUNCTION("""COMPUTED_VALUE"""),10.0)</f>
        <v>10</v>
      </c>
      <c r="Y15" s="189" t="str">
        <f>IFERROR(__xludf.DUMMYFUNCTION("""COMPUTED_VALUE"""),"2025-08-17T00:00:00.000Z")</f>
        <v>2025-08-17T00:00:00.000Z</v>
      </c>
      <c r="Z15" s="189" t="str">
        <f>IFERROR(__xludf.DUMMYFUNCTION("""COMPUTED_VALUE"""),"Enterprise Esports_Haven")</f>
        <v>Enterprise Esports_Haven</v>
      </c>
    </row>
    <row r="16">
      <c r="A16" s="189">
        <f>IFERROR(__xludf.DUMMYFUNCTION("""COMPUTED_VALUE"""),212838.0)</f>
        <v>212838</v>
      </c>
      <c r="B16" s="189">
        <f>IFERROR(__xludf.DUMMYFUNCTION("""COMPUTED_VALUE"""),93720.0)</f>
        <v>93720</v>
      </c>
      <c r="C16" s="189" t="str">
        <f>IFERROR(__xludf.DUMMYFUNCTION("""COMPUTED_VALUE"""),"Challengers 2025: Türkiye Birlik Split 3 - Playoffs")</f>
        <v>Challengers 2025: Türkiye Birlik Split 3 - Playoffs</v>
      </c>
      <c r="D16" s="189" t="str">
        <f>IFERROR(__xludf.DUMMYFUNCTION("""COMPUTED_VALUE"""),"Lotus")</f>
        <v>Lotus</v>
      </c>
      <c r="E16" s="189" t="str">
        <f>IFERROR(__xludf.DUMMYFUNCTION("""COMPUTED_VALUE"""),"BBL PCIFIC")</f>
        <v>BBL PCIFIC</v>
      </c>
      <c r="F16" s="189" t="str">
        <f>IFERROR(__xludf.DUMMYFUNCTION("""COMPUTED_VALUE"""),"ULF Esports")</f>
        <v>ULF Esports</v>
      </c>
      <c r="G16" s="189" t="str">
        <f>IFERROR(__xludf.DUMMYFUNCTION("""COMPUTED_VALUE"""),"Raze,Omen,Yoru,Fade,Vyse")</f>
        <v>Raze,Omen,Yoru,Fade,Vyse</v>
      </c>
      <c r="H16" s="189" t="str">
        <f>IFERROR(__xludf.DUMMYFUNCTION("""COMPUTED_VALUE"""),"Raze,Omen,Yoru,Fade,Vyse")</f>
        <v>Raze,Omen,Yoru,Fade,Vyse</v>
      </c>
      <c r="I16" s="189">
        <f>IFERROR(__xludf.DUMMYFUNCTION("""COMPUTED_VALUE"""),13.0)</f>
        <v>13</v>
      </c>
      <c r="J16" s="189">
        <f>IFERROR(__xludf.DUMMYFUNCTION("""COMPUTED_VALUE"""),5.0)</f>
        <v>5</v>
      </c>
      <c r="K16" s="189">
        <f>IFERROR(__xludf.DUMMYFUNCTION("""COMPUTED_VALUE"""),8.0)</f>
        <v>8</v>
      </c>
      <c r="L16" s="189">
        <f>IFERROR(__xludf.DUMMYFUNCTION("""COMPUTED_VALUE"""),4.0)</f>
        <v>4</v>
      </c>
      <c r="M16" s="189">
        <f>IFERROR(__xludf.DUMMYFUNCTION("""COMPUTED_VALUE"""),0.0)</f>
        <v>0</v>
      </c>
      <c r="N16" s="189">
        <f>IFERROR(__xludf.DUMMYFUNCTION("""COMPUTED_VALUE"""),1.0)</f>
        <v>1</v>
      </c>
      <c r="O16" s="189">
        <f>IFERROR(__xludf.DUMMYFUNCTION("""COMPUTED_VALUE"""),5.0)</f>
        <v>5</v>
      </c>
      <c r="P16" s="189">
        <f>IFERROR(__xludf.DUMMYFUNCTION("""COMPUTED_VALUE"""),1.0)</f>
        <v>1</v>
      </c>
      <c r="Q16" s="189">
        <f>IFERROR(__xludf.DUMMYFUNCTION("""COMPUTED_VALUE"""),8.0)</f>
        <v>8</v>
      </c>
      <c r="R16" s="189">
        <f>IFERROR(__xludf.DUMMYFUNCTION("""COMPUTED_VALUE"""),4.0)</f>
        <v>4</v>
      </c>
      <c r="S16" s="189">
        <f>IFERROR(__xludf.DUMMYFUNCTION("""COMPUTED_VALUE"""),0.0)</f>
        <v>0</v>
      </c>
      <c r="T16" s="189">
        <f>IFERROR(__xludf.DUMMYFUNCTION("""COMPUTED_VALUE"""),1.0)</f>
        <v>1</v>
      </c>
      <c r="U16" s="189">
        <f>IFERROR(__xludf.DUMMYFUNCTION("""COMPUTED_VALUE"""),4.0)</f>
        <v>4</v>
      </c>
      <c r="V16" s="189">
        <f>IFERROR(__xludf.DUMMYFUNCTION("""COMPUTED_VALUE"""),8.0)</f>
        <v>8</v>
      </c>
      <c r="W16" s="189">
        <f>IFERROR(__xludf.DUMMYFUNCTION("""COMPUTED_VALUE"""),1.0)</f>
        <v>1</v>
      </c>
      <c r="X16" s="189">
        <f>IFERROR(__xludf.DUMMYFUNCTION("""COMPUTED_VALUE"""),5.0)</f>
        <v>5</v>
      </c>
      <c r="Y16" s="189" t="str">
        <f>IFERROR(__xludf.DUMMYFUNCTION("""COMPUTED_VALUE"""),"2025-08-17T00:00:00.000Z")</f>
        <v>2025-08-17T00:00:00.000Z</v>
      </c>
      <c r="Z16" s="189" t="str">
        <f>IFERROR(__xludf.DUMMYFUNCTION("""COMPUTED_VALUE"""),"BBL PCIFIC_Lotus")</f>
        <v>BBL PCIFIC_Lotus</v>
      </c>
    </row>
    <row r="17">
      <c r="A17" s="189">
        <f>IFERROR(__xludf.DUMMYFUNCTION("""COMPUTED_VALUE"""),212062.0)</f>
        <v>212062</v>
      </c>
      <c r="B17" s="189">
        <f>IFERROR(__xludf.DUMMYFUNCTION("""COMPUTED_VALUE"""),93451.0)</f>
        <v>93451</v>
      </c>
      <c r="C17" s="189" t="str">
        <f>IFERROR(__xludf.DUMMYFUNCTION("""COMPUTED_VALUE"""),"Challengers League 2025 NORTH EAST: Split 3 - Playoffs")</f>
        <v>Challengers League 2025 NORTH EAST: Split 3 - Playoffs</v>
      </c>
      <c r="D17" s="189" t="str">
        <f>IFERROR(__xludf.DUMMYFUNCTION("""COMPUTED_VALUE"""),"Corrode")</f>
        <v>Corrode</v>
      </c>
      <c r="E17" s="189" t="str">
        <f>IFERROR(__xludf.DUMMYFUNCTION("""COMPUTED_VALUE"""),"Enterprise Esports")</f>
        <v>Enterprise Esports</v>
      </c>
      <c r="F17" s="189" t="str">
        <f>IFERROR(__xludf.DUMMYFUNCTION("""COMPUTED_VALUE"""),"Team Liquid Academy")</f>
        <v>Team Liquid Academy</v>
      </c>
      <c r="G17" s="189" t="str">
        <f>IFERROR(__xludf.DUMMYFUNCTION("""COMPUTED_VALUE"""),"Sova,Viper,Omen,Yoru,Fade")</f>
        <v>Sova,Viper,Omen,Yoru,Fade</v>
      </c>
      <c r="H17" s="189" t="str">
        <f>IFERROR(__xludf.DUMMYFUNCTION("""COMPUTED_VALUE"""),"Cypher,Phoenix,Omen,Yoru,Fade")</f>
        <v>Cypher,Phoenix,Omen,Yoru,Fade</v>
      </c>
      <c r="I17" s="189">
        <f>IFERROR(__xludf.DUMMYFUNCTION("""COMPUTED_VALUE"""),13.0)</f>
        <v>13</v>
      </c>
      <c r="J17" s="189">
        <f>IFERROR(__xludf.DUMMYFUNCTION("""COMPUTED_VALUE"""),6.0)</f>
        <v>6</v>
      </c>
      <c r="K17" s="189">
        <f>IFERROR(__xludf.DUMMYFUNCTION("""COMPUTED_VALUE"""),9.0)</f>
        <v>9</v>
      </c>
      <c r="L17" s="189">
        <f>IFERROR(__xludf.DUMMYFUNCTION("""COMPUTED_VALUE"""),3.0)</f>
        <v>3</v>
      </c>
      <c r="M17" s="189">
        <f>IFERROR(__xludf.DUMMYFUNCTION("""COMPUTED_VALUE"""),1.0)</f>
        <v>1</v>
      </c>
      <c r="N17" s="189">
        <f>IFERROR(__xludf.DUMMYFUNCTION("""COMPUTED_VALUE"""),1.0)</f>
        <v>1</v>
      </c>
      <c r="O17" s="189">
        <f>IFERROR(__xludf.DUMMYFUNCTION("""COMPUTED_VALUE"""),4.0)</f>
        <v>4</v>
      </c>
      <c r="P17" s="189">
        <f>IFERROR(__xludf.DUMMYFUNCTION("""COMPUTED_VALUE"""),3.0)</f>
        <v>3</v>
      </c>
      <c r="Q17" s="189">
        <f>IFERROR(__xludf.DUMMYFUNCTION("""COMPUTED_VALUE"""),9.0)</f>
        <v>9</v>
      </c>
      <c r="R17" s="189">
        <f>IFERROR(__xludf.DUMMYFUNCTION("""COMPUTED_VALUE"""),3.0)</f>
        <v>3</v>
      </c>
      <c r="S17" s="189">
        <f>IFERROR(__xludf.DUMMYFUNCTION("""COMPUTED_VALUE"""),0.0)</f>
        <v>0</v>
      </c>
      <c r="T17" s="189">
        <f>IFERROR(__xludf.DUMMYFUNCTION("""COMPUTED_VALUE"""),0.0)</f>
        <v>0</v>
      </c>
      <c r="U17" s="189">
        <f>IFERROR(__xludf.DUMMYFUNCTION("""COMPUTED_VALUE"""),3.0)</f>
        <v>3</v>
      </c>
      <c r="V17" s="189">
        <f>IFERROR(__xludf.DUMMYFUNCTION("""COMPUTED_VALUE"""),9.0)</f>
        <v>9</v>
      </c>
      <c r="W17" s="189">
        <f>IFERROR(__xludf.DUMMYFUNCTION("""COMPUTED_VALUE"""),3.0)</f>
        <v>3</v>
      </c>
      <c r="X17" s="189">
        <f>IFERROR(__xludf.DUMMYFUNCTION("""COMPUTED_VALUE"""),4.0)</f>
        <v>4</v>
      </c>
      <c r="Y17" s="189" t="str">
        <f>IFERROR(__xludf.DUMMYFUNCTION("""COMPUTED_VALUE"""),"2025-08-17T00:00:00.000Z")</f>
        <v>2025-08-17T00:00:00.000Z</v>
      </c>
      <c r="Z17" s="189" t="str">
        <f>IFERROR(__xludf.DUMMYFUNCTION("""COMPUTED_VALUE"""),"Enterprise Esports_Corrode")</f>
        <v>Enterprise Esports_Corrode</v>
      </c>
    </row>
    <row r="18">
      <c r="A18" s="189">
        <f>IFERROR(__xludf.DUMMYFUNCTION("""COMPUTED_VALUE"""),212837.0)</f>
        <v>212837</v>
      </c>
      <c r="B18" s="189">
        <f>IFERROR(__xludf.DUMMYFUNCTION("""COMPUTED_VALUE"""),93720.0)</f>
        <v>93720</v>
      </c>
      <c r="C18" s="189" t="str">
        <f>IFERROR(__xludf.DUMMYFUNCTION("""COMPUTED_VALUE"""),"Challengers 2025: Türkiye Birlik Split 3 - Playoffs")</f>
        <v>Challengers 2025: Türkiye Birlik Split 3 - Playoffs</v>
      </c>
      <c r="D18" s="189" t="str">
        <f>IFERROR(__xludf.DUMMYFUNCTION("""COMPUTED_VALUE"""),"Sunset")</f>
        <v>Sunset</v>
      </c>
      <c r="E18" s="189" t="str">
        <f>IFERROR(__xludf.DUMMYFUNCTION("""COMPUTED_VALUE"""),"BBL PCIFIC")</f>
        <v>BBL PCIFIC</v>
      </c>
      <c r="F18" s="189" t="str">
        <f>IFERROR(__xludf.DUMMYFUNCTION("""COMPUTED_VALUE"""),"ULF Esports")</f>
        <v>ULF Esports</v>
      </c>
      <c r="G18" s="189" t="str">
        <f>IFERROR(__xludf.DUMMYFUNCTION("""COMPUTED_VALUE"""),"Cypher,Sova,Omen,Yoru,Neon")</f>
        <v>Cypher,Sova,Omen,Yoru,Neon</v>
      </c>
      <c r="H18" s="189" t="str">
        <f>IFERROR(__xludf.DUMMYFUNCTION("""COMPUTED_VALUE"""),"Breach,Sova,Omen,Neon,Vyse")</f>
        <v>Breach,Sova,Omen,Neon,Vyse</v>
      </c>
      <c r="I18" s="189">
        <f>IFERROR(__xludf.DUMMYFUNCTION("""COMPUTED_VALUE"""),13.0)</f>
        <v>13</v>
      </c>
      <c r="J18" s="189">
        <f>IFERROR(__xludf.DUMMYFUNCTION("""COMPUTED_VALUE"""),8.0)</f>
        <v>8</v>
      </c>
      <c r="K18" s="189">
        <f>IFERROR(__xludf.DUMMYFUNCTION("""COMPUTED_VALUE"""),6.0)</f>
        <v>6</v>
      </c>
      <c r="L18" s="189">
        <f>IFERROR(__xludf.DUMMYFUNCTION("""COMPUTED_VALUE"""),6.0)</f>
        <v>6</v>
      </c>
      <c r="M18" s="189">
        <f>IFERROR(__xludf.DUMMYFUNCTION("""COMPUTED_VALUE"""),1.0)</f>
        <v>1</v>
      </c>
      <c r="N18" s="189">
        <f>IFERROR(__xludf.DUMMYFUNCTION("""COMPUTED_VALUE"""),0.0)</f>
        <v>0</v>
      </c>
      <c r="O18" s="189">
        <f>IFERROR(__xludf.DUMMYFUNCTION("""COMPUTED_VALUE"""),6.0)</f>
        <v>6</v>
      </c>
      <c r="P18" s="189">
        <f>IFERROR(__xludf.DUMMYFUNCTION("""COMPUTED_VALUE"""),6.0)</f>
        <v>6</v>
      </c>
      <c r="Q18" s="189">
        <f>IFERROR(__xludf.DUMMYFUNCTION("""COMPUTED_VALUE"""),7.0)</f>
        <v>7</v>
      </c>
      <c r="R18" s="189">
        <f>IFERROR(__xludf.DUMMYFUNCTION("""COMPUTED_VALUE"""),2.0)</f>
        <v>2</v>
      </c>
      <c r="S18" s="189">
        <f>IFERROR(__xludf.DUMMYFUNCTION("""COMPUTED_VALUE"""),1.0)</f>
        <v>1</v>
      </c>
      <c r="T18" s="189">
        <f>IFERROR(__xludf.DUMMYFUNCTION("""COMPUTED_VALUE"""),0.0)</f>
        <v>0</v>
      </c>
      <c r="U18" s="189">
        <f>IFERROR(__xludf.DUMMYFUNCTION("""COMPUTED_VALUE"""),2.0)</f>
        <v>2</v>
      </c>
      <c r="V18" s="189">
        <f>IFERROR(__xludf.DUMMYFUNCTION("""COMPUTED_VALUE"""),7.0)</f>
        <v>7</v>
      </c>
      <c r="W18" s="189">
        <f>IFERROR(__xludf.DUMMYFUNCTION("""COMPUTED_VALUE"""),6.0)</f>
        <v>6</v>
      </c>
      <c r="X18" s="189">
        <f>IFERROR(__xludf.DUMMYFUNCTION("""COMPUTED_VALUE"""),6.0)</f>
        <v>6</v>
      </c>
      <c r="Y18" s="189" t="str">
        <f>IFERROR(__xludf.DUMMYFUNCTION("""COMPUTED_VALUE"""),"2025-08-17T00:00:00.000Z")</f>
        <v>2025-08-17T00:00:00.000Z</v>
      </c>
      <c r="Z18" s="189" t="str">
        <f>IFERROR(__xludf.DUMMYFUNCTION("""COMPUTED_VALUE"""),"BBL PCIFIC_Sunset")</f>
        <v>BBL PCIFIC_Sunset</v>
      </c>
    </row>
    <row r="19">
      <c r="A19" s="189">
        <f>IFERROR(__xludf.DUMMYFUNCTION("""COMPUTED_VALUE"""),212061.0)</f>
        <v>212061</v>
      </c>
      <c r="B19" s="189">
        <f>IFERROR(__xludf.DUMMYFUNCTION("""COMPUTED_VALUE"""),93451.0)</f>
        <v>93451</v>
      </c>
      <c r="C19" s="189" t="str">
        <f>IFERROR(__xludf.DUMMYFUNCTION("""COMPUTED_VALUE"""),"Challengers League 2025 NORTH EAST: Split 3 - Playoffs")</f>
        <v>Challengers League 2025 NORTH EAST: Split 3 - Playoffs</v>
      </c>
      <c r="D19" s="189" t="str">
        <f>IFERROR(__xludf.DUMMYFUNCTION("""COMPUTED_VALUE"""),"Ascent")</f>
        <v>Ascent</v>
      </c>
      <c r="E19" s="189" t="str">
        <f>IFERROR(__xludf.DUMMYFUNCTION("""COMPUTED_VALUE"""),"Enterprise Esports")</f>
        <v>Enterprise Esports</v>
      </c>
      <c r="F19" s="189" t="str">
        <f>IFERROR(__xludf.DUMMYFUNCTION("""COMPUTED_VALUE"""),"Team Liquid Academy")</f>
        <v>Team Liquid Academy</v>
      </c>
      <c r="G19" s="189" t="str">
        <f>IFERROR(__xludf.DUMMYFUNCTION("""COMPUTED_VALUE"""),"Cypher,Sova,Omen,Jett,KAY/O")</f>
        <v>Cypher,Sova,Omen,Jett,KAY/O</v>
      </c>
      <c r="H19" s="189" t="str">
        <f>IFERROR(__xludf.DUMMYFUNCTION("""COMPUTED_VALUE"""),"Sova,Omen,Yoru,Vyse,Waylay")</f>
        <v>Sova,Omen,Yoru,Vyse,Waylay</v>
      </c>
      <c r="I19" s="189">
        <f>IFERROR(__xludf.DUMMYFUNCTION("""COMPUTED_VALUE"""),13.0)</f>
        <v>13</v>
      </c>
      <c r="J19" s="189">
        <f>IFERROR(__xludf.DUMMYFUNCTION("""COMPUTED_VALUE"""),5.0)</f>
        <v>5</v>
      </c>
      <c r="K19" s="189">
        <f>IFERROR(__xludf.DUMMYFUNCTION("""COMPUTED_VALUE"""),8.0)</f>
        <v>8</v>
      </c>
      <c r="L19" s="189">
        <f>IFERROR(__xludf.DUMMYFUNCTION("""COMPUTED_VALUE"""),4.0)</f>
        <v>4</v>
      </c>
      <c r="M19" s="189">
        <f>IFERROR(__xludf.DUMMYFUNCTION("""COMPUTED_VALUE"""),0.0)</f>
        <v>0</v>
      </c>
      <c r="N19" s="189">
        <f>IFERROR(__xludf.DUMMYFUNCTION("""COMPUTED_VALUE"""),1.0)</f>
        <v>1</v>
      </c>
      <c r="O19" s="189">
        <f>IFERROR(__xludf.DUMMYFUNCTION("""COMPUTED_VALUE"""),8.0)</f>
        <v>8</v>
      </c>
      <c r="P19" s="189">
        <f>IFERROR(__xludf.DUMMYFUNCTION("""COMPUTED_VALUE"""),4.0)</f>
        <v>4</v>
      </c>
      <c r="Q19" s="189">
        <f>IFERROR(__xludf.DUMMYFUNCTION("""COMPUTED_VALUE"""),5.0)</f>
        <v>5</v>
      </c>
      <c r="R19" s="189">
        <f>IFERROR(__xludf.DUMMYFUNCTION("""COMPUTED_VALUE"""),1.0)</f>
        <v>1</v>
      </c>
      <c r="S19" s="189">
        <f>IFERROR(__xludf.DUMMYFUNCTION("""COMPUTED_VALUE"""),0.0)</f>
        <v>0</v>
      </c>
      <c r="T19" s="189">
        <f>IFERROR(__xludf.DUMMYFUNCTION("""COMPUTED_VALUE"""),1.0)</f>
        <v>1</v>
      </c>
      <c r="U19" s="189">
        <f>IFERROR(__xludf.DUMMYFUNCTION("""COMPUTED_VALUE"""),1.0)</f>
        <v>1</v>
      </c>
      <c r="V19" s="189">
        <f>IFERROR(__xludf.DUMMYFUNCTION("""COMPUTED_VALUE"""),5.0)</f>
        <v>5</v>
      </c>
      <c r="W19" s="189">
        <f>IFERROR(__xludf.DUMMYFUNCTION("""COMPUTED_VALUE"""),4.0)</f>
        <v>4</v>
      </c>
      <c r="X19" s="189">
        <f>IFERROR(__xludf.DUMMYFUNCTION("""COMPUTED_VALUE"""),8.0)</f>
        <v>8</v>
      </c>
      <c r="Y19" s="189" t="str">
        <f>IFERROR(__xludf.DUMMYFUNCTION("""COMPUTED_VALUE"""),"2025-08-17T00:00:00.000Z")</f>
        <v>2025-08-17T00:00:00.000Z</v>
      </c>
      <c r="Z19" s="189" t="str">
        <f>IFERROR(__xludf.DUMMYFUNCTION("""COMPUTED_VALUE"""),"Enterprise Esports_Ascent")</f>
        <v>Enterprise Esports_Ascent</v>
      </c>
    </row>
    <row r="20">
      <c r="A20" s="189">
        <f>IFERROR(__xludf.DUMMYFUNCTION("""COMPUTED_VALUE"""),212836.0)</f>
        <v>212836</v>
      </c>
      <c r="B20" s="189">
        <f>IFERROR(__xludf.DUMMYFUNCTION("""COMPUTED_VALUE"""),93720.0)</f>
        <v>93720</v>
      </c>
      <c r="C20" s="189" t="str">
        <f>IFERROR(__xludf.DUMMYFUNCTION("""COMPUTED_VALUE"""),"Challengers 2025: Türkiye Birlik Split 3 - Playoffs")</f>
        <v>Challengers 2025: Türkiye Birlik Split 3 - Playoffs</v>
      </c>
      <c r="D20" s="189" t="str">
        <f>IFERROR(__xludf.DUMMYFUNCTION("""COMPUTED_VALUE"""),"Haven")</f>
        <v>Haven</v>
      </c>
      <c r="E20" s="189" t="str">
        <f>IFERROR(__xludf.DUMMYFUNCTION("""COMPUTED_VALUE"""),"BBL PCIFIC")</f>
        <v>BBL PCIFIC</v>
      </c>
      <c r="F20" s="189" t="str">
        <f>IFERROR(__xludf.DUMMYFUNCTION("""COMPUTED_VALUE"""),"ULF Esports")</f>
        <v>ULF Esports</v>
      </c>
      <c r="G20" s="189" t="str">
        <f>IFERROR(__xludf.DUMMYFUNCTION("""COMPUTED_VALUE"""),"Breach,Cypher,Sova,Omen,Jett")</f>
        <v>Breach,Cypher,Sova,Omen,Jett</v>
      </c>
      <c r="H20" s="189" t="str">
        <f>IFERROR(__xludf.DUMMYFUNCTION("""COMPUTED_VALUE"""),"Breach,Cypher,Sova,Omen,Neon")</f>
        <v>Breach,Cypher,Sova,Omen,Neon</v>
      </c>
      <c r="I20" s="189">
        <f>IFERROR(__xludf.DUMMYFUNCTION("""COMPUTED_VALUE"""),13.0)</f>
        <v>13</v>
      </c>
      <c r="J20" s="189">
        <f>IFERROR(__xludf.DUMMYFUNCTION("""COMPUTED_VALUE"""),8.0)</f>
        <v>8</v>
      </c>
      <c r="K20" s="189">
        <f>IFERROR(__xludf.DUMMYFUNCTION("""COMPUTED_VALUE"""),10.0)</f>
        <v>10</v>
      </c>
      <c r="L20" s="189">
        <f>IFERROR(__xludf.DUMMYFUNCTION("""COMPUTED_VALUE"""),2.0)</f>
        <v>2</v>
      </c>
      <c r="M20" s="189">
        <f>IFERROR(__xludf.DUMMYFUNCTION("""COMPUTED_VALUE"""),1.0)</f>
        <v>1</v>
      </c>
      <c r="N20" s="189">
        <f>IFERROR(__xludf.DUMMYFUNCTION("""COMPUTED_VALUE"""),0.0)</f>
        <v>0</v>
      </c>
      <c r="O20" s="189">
        <f>IFERROR(__xludf.DUMMYFUNCTION("""COMPUTED_VALUE"""),10.0)</f>
        <v>10</v>
      </c>
      <c r="P20" s="189">
        <f>IFERROR(__xludf.DUMMYFUNCTION("""COMPUTED_VALUE"""),2.0)</f>
        <v>2</v>
      </c>
      <c r="Q20" s="189">
        <f>IFERROR(__xludf.DUMMYFUNCTION("""COMPUTED_VALUE"""),3.0)</f>
        <v>3</v>
      </c>
      <c r="R20" s="189">
        <f>IFERROR(__xludf.DUMMYFUNCTION("""COMPUTED_VALUE"""),6.0)</f>
        <v>6</v>
      </c>
      <c r="S20" s="189">
        <f>IFERROR(__xludf.DUMMYFUNCTION("""COMPUTED_VALUE"""),1.0)</f>
        <v>1</v>
      </c>
      <c r="T20" s="189">
        <f>IFERROR(__xludf.DUMMYFUNCTION("""COMPUTED_VALUE"""),0.0)</f>
        <v>0</v>
      </c>
      <c r="U20" s="189">
        <f>IFERROR(__xludf.DUMMYFUNCTION("""COMPUTED_VALUE"""),6.0)</f>
        <v>6</v>
      </c>
      <c r="V20" s="189">
        <f>IFERROR(__xludf.DUMMYFUNCTION("""COMPUTED_VALUE"""),3.0)</f>
        <v>3</v>
      </c>
      <c r="W20" s="189">
        <f>IFERROR(__xludf.DUMMYFUNCTION("""COMPUTED_VALUE"""),2.0)</f>
        <v>2</v>
      </c>
      <c r="X20" s="189">
        <f>IFERROR(__xludf.DUMMYFUNCTION("""COMPUTED_VALUE"""),10.0)</f>
        <v>10</v>
      </c>
      <c r="Y20" s="189" t="str">
        <f>IFERROR(__xludf.DUMMYFUNCTION("""COMPUTED_VALUE"""),"2025-08-17T00:00:00.000Z")</f>
        <v>2025-08-17T00:00:00.000Z</v>
      </c>
      <c r="Z20" s="189" t="str">
        <f>IFERROR(__xludf.DUMMYFUNCTION("""COMPUTED_VALUE"""),"BBL PCIFIC_Haven")</f>
        <v>BBL PCIFIC_Haven</v>
      </c>
    </row>
    <row r="21">
      <c r="A21" s="189">
        <f>IFERROR(__xludf.DUMMYFUNCTION("""COMPUTED_VALUE"""),212070.0)</f>
        <v>212070</v>
      </c>
      <c r="B21" s="189">
        <f>IFERROR(__xludf.DUMMYFUNCTION("""COMPUTED_VALUE"""),93452.0)</f>
        <v>93452</v>
      </c>
      <c r="C21" s="189" t="str">
        <f>IFERROR(__xludf.DUMMYFUNCTION("""COMPUTED_VALUE"""),"Challengers League 2025 NORTH EAST: Split 3 - Playoffs")</f>
        <v>Challengers League 2025 NORTH EAST: Split 3 - Playoffs</v>
      </c>
      <c r="D21" s="189" t="str">
        <f>IFERROR(__xludf.DUMMYFUNCTION("""COMPUTED_VALUE"""),"Bind")</f>
        <v>Bind</v>
      </c>
      <c r="E21" s="189" t="str">
        <f>IFERROR(__xludf.DUMMYFUNCTION("""COMPUTED_VALUE"""),"děti ulice")</f>
        <v>děti ulice</v>
      </c>
      <c r="F21" s="189" t="str">
        <f>IFERROR(__xludf.DUMMYFUNCTION("""COMPUTED_VALUE"""),"Team Liquid Academy")</f>
        <v>Team Liquid Academy</v>
      </c>
      <c r="G21" s="189" t="str">
        <f>IFERROR(__xludf.DUMMYFUNCTION("""COMPUTED_VALUE"""),"Raze,Viper,Brimstone,Yoru,Fade")</f>
        <v>Raze,Viper,Brimstone,Yoru,Fade</v>
      </c>
      <c r="H21" s="189" t="str">
        <f>IFERROR(__xludf.DUMMYFUNCTION("""COMPUTED_VALUE"""),"Yoru,Astra,Gekko,Deadlock,Waylay")</f>
        <v>Yoru,Astra,Gekko,Deadlock,Waylay</v>
      </c>
      <c r="I21" s="189">
        <f>IFERROR(__xludf.DUMMYFUNCTION("""COMPUTED_VALUE"""),8.0)</f>
        <v>8</v>
      </c>
      <c r="J21" s="189">
        <f>IFERROR(__xludf.DUMMYFUNCTION("""COMPUTED_VALUE"""),13.0)</f>
        <v>13</v>
      </c>
      <c r="K21" s="189">
        <f>IFERROR(__xludf.DUMMYFUNCTION("""COMPUTED_VALUE"""),7.0)</f>
        <v>7</v>
      </c>
      <c r="L21" s="189">
        <f>IFERROR(__xludf.DUMMYFUNCTION("""COMPUTED_VALUE"""),5.0)</f>
        <v>5</v>
      </c>
      <c r="M21" s="189">
        <f>IFERROR(__xludf.DUMMYFUNCTION("""COMPUTED_VALUE"""),1.0)</f>
        <v>1</v>
      </c>
      <c r="N21" s="189">
        <f>IFERROR(__xludf.DUMMYFUNCTION("""COMPUTED_VALUE"""),0.0)</f>
        <v>0</v>
      </c>
      <c r="O21" s="189">
        <f>IFERROR(__xludf.DUMMYFUNCTION("""COMPUTED_VALUE"""),7.0)</f>
        <v>7</v>
      </c>
      <c r="P21" s="189">
        <f>IFERROR(__xludf.DUMMYFUNCTION("""COMPUTED_VALUE"""),5.0)</f>
        <v>5</v>
      </c>
      <c r="Q21" s="189">
        <f>IFERROR(__xludf.DUMMYFUNCTION("""COMPUTED_VALUE"""),1.0)</f>
        <v>1</v>
      </c>
      <c r="R21" s="189">
        <f>IFERROR(__xludf.DUMMYFUNCTION("""COMPUTED_VALUE"""),8.0)</f>
        <v>8</v>
      </c>
      <c r="S21" s="189">
        <f>IFERROR(__xludf.DUMMYFUNCTION("""COMPUTED_VALUE"""),1.0)</f>
        <v>1</v>
      </c>
      <c r="T21" s="189">
        <f>IFERROR(__xludf.DUMMYFUNCTION("""COMPUTED_VALUE"""),0.0)</f>
        <v>0</v>
      </c>
      <c r="U21" s="189">
        <f>IFERROR(__xludf.DUMMYFUNCTION("""COMPUTED_VALUE"""),8.0)</f>
        <v>8</v>
      </c>
      <c r="V21" s="189">
        <f>IFERROR(__xludf.DUMMYFUNCTION("""COMPUTED_VALUE"""),1.0)</f>
        <v>1</v>
      </c>
      <c r="W21" s="189">
        <f>IFERROR(__xludf.DUMMYFUNCTION("""COMPUTED_VALUE"""),5.0)</f>
        <v>5</v>
      </c>
      <c r="X21" s="189">
        <f>IFERROR(__xludf.DUMMYFUNCTION("""COMPUTED_VALUE"""),7.0)</f>
        <v>7</v>
      </c>
      <c r="Y21" s="189" t="str">
        <f>IFERROR(__xludf.DUMMYFUNCTION("""COMPUTED_VALUE"""),"2025-08-16T00:00:00.000Z")</f>
        <v>2025-08-16T00:00:00.000Z</v>
      </c>
      <c r="Z21" s="189" t="str">
        <f>IFERROR(__xludf.DUMMYFUNCTION("""COMPUTED_VALUE"""),"děti ulice_Bind")</f>
        <v>děti ulice_Bind</v>
      </c>
    </row>
    <row r="22">
      <c r="A22" s="189">
        <f>IFERROR(__xludf.DUMMYFUNCTION("""COMPUTED_VALUE"""),212069.0)</f>
        <v>212069</v>
      </c>
      <c r="B22" s="189">
        <f>IFERROR(__xludf.DUMMYFUNCTION("""COMPUTED_VALUE"""),93452.0)</f>
        <v>93452</v>
      </c>
      <c r="C22" s="189" t="str">
        <f>IFERROR(__xludf.DUMMYFUNCTION("""COMPUTED_VALUE"""),"Challengers League 2025 NORTH EAST: Split 3 - Playoffs")</f>
        <v>Challengers League 2025 NORTH EAST: Split 3 - Playoffs</v>
      </c>
      <c r="D22" s="189" t="str">
        <f>IFERROR(__xludf.DUMMYFUNCTION("""COMPUTED_VALUE"""),"Sunset")</f>
        <v>Sunset</v>
      </c>
      <c r="E22" s="189" t="str">
        <f>IFERROR(__xludf.DUMMYFUNCTION("""COMPUTED_VALUE"""),"děti ulice")</f>
        <v>děti ulice</v>
      </c>
      <c r="F22" s="189" t="str">
        <f>IFERROR(__xludf.DUMMYFUNCTION("""COMPUTED_VALUE"""),"Team Liquid Academy")</f>
        <v>Team Liquid Academy</v>
      </c>
      <c r="G22" s="189" t="str">
        <f>IFERROR(__xludf.DUMMYFUNCTION("""COMPUTED_VALUE"""),"Cypher,Sova,Omen,Yoru,Neon")</f>
        <v>Cypher,Sova,Omen,Yoru,Neon</v>
      </c>
      <c r="H22" s="189" t="str">
        <f>IFERROR(__xludf.DUMMYFUNCTION("""COMPUTED_VALUE"""),"Sova,Omen,Yoru,Vyse,Waylay")</f>
        <v>Sova,Omen,Yoru,Vyse,Waylay</v>
      </c>
      <c r="I22" s="189">
        <f>IFERROR(__xludf.DUMMYFUNCTION("""COMPUTED_VALUE"""),5.0)</f>
        <v>5</v>
      </c>
      <c r="J22" s="189">
        <f>IFERROR(__xludf.DUMMYFUNCTION("""COMPUTED_VALUE"""),13.0)</f>
        <v>13</v>
      </c>
      <c r="K22" s="189">
        <f>IFERROR(__xludf.DUMMYFUNCTION("""COMPUTED_VALUE"""),4.0)</f>
        <v>4</v>
      </c>
      <c r="L22" s="189">
        <f>IFERROR(__xludf.DUMMYFUNCTION("""COMPUTED_VALUE"""),8.0)</f>
        <v>8</v>
      </c>
      <c r="M22" s="189">
        <f>IFERROR(__xludf.DUMMYFUNCTION("""COMPUTED_VALUE"""),0.0)</f>
        <v>0</v>
      </c>
      <c r="N22" s="189">
        <f>IFERROR(__xludf.DUMMYFUNCTION("""COMPUTED_VALUE"""),0.0)</f>
        <v>0</v>
      </c>
      <c r="O22" s="189">
        <f>IFERROR(__xludf.DUMMYFUNCTION("""COMPUTED_VALUE"""),1.0)</f>
        <v>1</v>
      </c>
      <c r="P22" s="189">
        <f>IFERROR(__xludf.DUMMYFUNCTION("""COMPUTED_VALUE"""),5.0)</f>
        <v>5</v>
      </c>
      <c r="Q22" s="189">
        <f>IFERROR(__xludf.DUMMYFUNCTION("""COMPUTED_VALUE"""),4.0)</f>
        <v>4</v>
      </c>
      <c r="R22" s="189">
        <f>IFERROR(__xludf.DUMMYFUNCTION("""COMPUTED_VALUE"""),8.0)</f>
        <v>8</v>
      </c>
      <c r="S22" s="189">
        <f>IFERROR(__xludf.DUMMYFUNCTION("""COMPUTED_VALUE"""),1.0)</f>
        <v>1</v>
      </c>
      <c r="T22" s="189">
        <f>IFERROR(__xludf.DUMMYFUNCTION("""COMPUTED_VALUE"""),1.0)</f>
        <v>1</v>
      </c>
      <c r="U22" s="189">
        <f>IFERROR(__xludf.DUMMYFUNCTION("""COMPUTED_VALUE"""),8.0)</f>
        <v>8</v>
      </c>
      <c r="V22" s="189">
        <f>IFERROR(__xludf.DUMMYFUNCTION("""COMPUTED_VALUE"""),4.0)</f>
        <v>4</v>
      </c>
      <c r="W22" s="189">
        <f>IFERROR(__xludf.DUMMYFUNCTION("""COMPUTED_VALUE"""),5.0)</f>
        <v>5</v>
      </c>
      <c r="X22" s="189">
        <f>IFERROR(__xludf.DUMMYFUNCTION("""COMPUTED_VALUE"""),1.0)</f>
        <v>1</v>
      </c>
      <c r="Y22" s="189" t="str">
        <f>IFERROR(__xludf.DUMMYFUNCTION("""COMPUTED_VALUE"""),"2025-08-16T00:00:00.000Z")</f>
        <v>2025-08-16T00:00:00.000Z</v>
      </c>
      <c r="Z22" s="189" t="str">
        <f>IFERROR(__xludf.DUMMYFUNCTION("""COMPUTED_VALUE"""),"děti ulice_Sunset")</f>
        <v>děti ulice_Sunset</v>
      </c>
    </row>
    <row r="23">
      <c r="A23" s="189">
        <f>IFERROR(__xludf.DUMMYFUNCTION("""COMPUTED_VALUE"""),212722.0)</f>
        <v>212722</v>
      </c>
      <c r="B23" s="189">
        <f>IFERROR(__xludf.DUMMYFUNCTION("""COMPUTED_VALUE"""),93686.0)</f>
        <v>93686</v>
      </c>
      <c r="C23" s="189" t="str">
        <f>IFERROR(__xludf.DUMMYFUNCTION("""COMPUTED_VALUE"""),"Challengers 2025: France Revolution Split 3 - Playoffs")</f>
        <v>Challengers 2025: France Revolution Split 3 - Playoffs</v>
      </c>
      <c r="D23" s="189" t="str">
        <f>IFERROR(__xludf.DUMMYFUNCTION("""COMPUTED_VALUE"""),"Haven")</f>
        <v>Haven</v>
      </c>
      <c r="E23" s="189" t="str">
        <f>IFERROR(__xludf.DUMMYFUNCTION("""COMPUTED_VALUE"""),"Joblife")</f>
        <v>Joblife</v>
      </c>
      <c r="F23" s="189" t="str">
        <f>IFERROR(__xludf.DUMMYFUNCTION("""COMPUTED_VALUE"""),"Mandatory")</f>
        <v>Mandatory</v>
      </c>
      <c r="G23" s="189" t="str">
        <f>IFERROR(__xludf.DUMMYFUNCTION("""COMPUTED_VALUE"""),"Breach,Cypher,Sova,Omen,Jett")</f>
        <v>Breach,Cypher,Sova,Omen,Jett</v>
      </c>
      <c r="H23" s="189" t="str">
        <f>IFERROR(__xludf.DUMMYFUNCTION("""COMPUTED_VALUE"""),"Cypher,Sova,Omen,Yoru,Iso")</f>
        <v>Cypher,Sova,Omen,Yoru,Iso</v>
      </c>
      <c r="I23" s="189">
        <f>IFERROR(__xludf.DUMMYFUNCTION("""COMPUTED_VALUE"""),13.0)</f>
        <v>13</v>
      </c>
      <c r="J23" s="189">
        <f>IFERROR(__xludf.DUMMYFUNCTION("""COMPUTED_VALUE"""),7.0)</f>
        <v>7</v>
      </c>
      <c r="K23" s="189">
        <f>IFERROR(__xludf.DUMMYFUNCTION("""COMPUTED_VALUE"""),8.0)</f>
        <v>8</v>
      </c>
      <c r="L23" s="189">
        <f>IFERROR(__xludf.DUMMYFUNCTION("""COMPUTED_VALUE"""),4.0)</f>
        <v>4</v>
      </c>
      <c r="M23" s="189">
        <f>IFERROR(__xludf.DUMMYFUNCTION("""COMPUTED_VALUE"""),1.0)</f>
        <v>1</v>
      </c>
      <c r="N23" s="189">
        <f>IFERROR(__xludf.DUMMYFUNCTION("""COMPUTED_VALUE"""),1.0)</f>
        <v>1</v>
      </c>
      <c r="O23" s="189">
        <f>IFERROR(__xludf.DUMMYFUNCTION("""COMPUTED_VALUE"""),8.0)</f>
        <v>8</v>
      </c>
      <c r="P23" s="189">
        <f>IFERROR(__xludf.DUMMYFUNCTION("""COMPUTED_VALUE"""),4.0)</f>
        <v>4</v>
      </c>
      <c r="Q23" s="189">
        <f>IFERROR(__xludf.DUMMYFUNCTION("""COMPUTED_VALUE"""),5.0)</f>
        <v>5</v>
      </c>
      <c r="R23" s="189">
        <f>IFERROR(__xludf.DUMMYFUNCTION("""COMPUTED_VALUE"""),3.0)</f>
        <v>3</v>
      </c>
      <c r="S23" s="189">
        <f>IFERROR(__xludf.DUMMYFUNCTION("""COMPUTED_VALUE"""),0.0)</f>
        <v>0</v>
      </c>
      <c r="T23" s="189">
        <f>IFERROR(__xludf.DUMMYFUNCTION("""COMPUTED_VALUE"""),0.0)</f>
        <v>0</v>
      </c>
      <c r="U23" s="189">
        <f>IFERROR(__xludf.DUMMYFUNCTION("""COMPUTED_VALUE"""),3.0)</f>
        <v>3</v>
      </c>
      <c r="V23" s="189">
        <f>IFERROR(__xludf.DUMMYFUNCTION("""COMPUTED_VALUE"""),5.0)</f>
        <v>5</v>
      </c>
      <c r="W23" s="189">
        <f>IFERROR(__xludf.DUMMYFUNCTION("""COMPUTED_VALUE"""),4.0)</f>
        <v>4</v>
      </c>
      <c r="X23" s="189">
        <f>IFERROR(__xludf.DUMMYFUNCTION("""COMPUTED_VALUE"""),8.0)</f>
        <v>8</v>
      </c>
      <c r="Y23" s="189" t="str">
        <f>IFERROR(__xludf.DUMMYFUNCTION("""COMPUTED_VALUE"""),"2025-08-16T00:00:00.000Z")</f>
        <v>2025-08-16T00:00:00.000Z</v>
      </c>
      <c r="Z23" s="189" t="str">
        <f>IFERROR(__xludf.DUMMYFUNCTION("""COMPUTED_VALUE"""),"Joblife_Haven")</f>
        <v>Joblife_Haven</v>
      </c>
    </row>
    <row r="24">
      <c r="A24" s="189">
        <f>IFERROR(__xludf.DUMMYFUNCTION("""COMPUTED_VALUE"""),212068.0)</f>
        <v>212068</v>
      </c>
      <c r="B24" s="189">
        <f>IFERROR(__xludf.DUMMYFUNCTION("""COMPUTED_VALUE"""),93452.0)</f>
        <v>93452</v>
      </c>
      <c r="C24" s="189" t="str">
        <f>IFERROR(__xludf.DUMMYFUNCTION("""COMPUTED_VALUE"""),"Challengers League 2025 NORTH EAST: Split 3 - Playoffs")</f>
        <v>Challengers League 2025 NORTH EAST: Split 3 - Playoffs</v>
      </c>
      <c r="D24" s="189" t="str">
        <f>IFERROR(__xludf.DUMMYFUNCTION("""COMPUTED_VALUE"""),"Lotus")</f>
        <v>Lotus</v>
      </c>
      <c r="E24" s="189" t="str">
        <f>IFERROR(__xludf.DUMMYFUNCTION("""COMPUTED_VALUE"""),"děti ulice")</f>
        <v>děti ulice</v>
      </c>
      <c r="F24" s="189" t="str">
        <f>IFERROR(__xludf.DUMMYFUNCTION("""COMPUTED_VALUE"""),"Team Liquid Academy")</f>
        <v>Team Liquid Academy</v>
      </c>
      <c r="G24" s="189" t="str">
        <f>IFERROR(__xludf.DUMMYFUNCTION("""COMPUTED_VALUE"""),"Raze,Omen,Yoru,Fade,Vyse")</f>
        <v>Raze,Omen,Yoru,Fade,Vyse</v>
      </c>
      <c r="H24" s="189" t="str">
        <f>IFERROR(__xludf.DUMMYFUNCTION("""COMPUTED_VALUE"""),"Cypher,Omen,Neon,Fade,Iso")</f>
        <v>Cypher,Omen,Neon,Fade,Iso</v>
      </c>
      <c r="I24" s="189">
        <f>IFERROR(__xludf.DUMMYFUNCTION("""COMPUTED_VALUE"""),13.0)</f>
        <v>13</v>
      </c>
      <c r="J24" s="189">
        <f>IFERROR(__xludf.DUMMYFUNCTION("""COMPUTED_VALUE"""),10.0)</f>
        <v>10</v>
      </c>
      <c r="K24" s="189">
        <f>IFERROR(__xludf.DUMMYFUNCTION("""COMPUTED_VALUE"""),6.0)</f>
        <v>6</v>
      </c>
      <c r="L24" s="189">
        <f>IFERROR(__xludf.DUMMYFUNCTION("""COMPUTED_VALUE"""),6.0)</f>
        <v>6</v>
      </c>
      <c r="M24" s="189">
        <f>IFERROR(__xludf.DUMMYFUNCTION("""COMPUTED_VALUE"""),0.0)</f>
        <v>0</v>
      </c>
      <c r="N24" s="189">
        <f>IFERROR(__xludf.DUMMYFUNCTION("""COMPUTED_VALUE"""),0.0)</f>
        <v>0</v>
      </c>
      <c r="O24" s="189">
        <f>IFERROR(__xludf.DUMMYFUNCTION("""COMPUTED_VALUE"""),6.0)</f>
        <v>6</v>
      </c>
      <c r="P24" s="189">
        <f>IFERROR(__xludf.DUMMYFUNCTION("""COMPUTED_VALUE"""),6.0)</f>
        <v>6</v>
      </c>
      <c r="Q24" s="189">
        <f>IFERROR(__xludf.DUMMYFUNCTION("""COMPUTED_VALUE"""),7.0)</f>
        <v>7</v>
      </c>
      <c r="R24" s="189">
        <f>IFERROR(__xludf.DUMMYFUNCTION("""COMPUTED_VALUE"""),4.0)</f>
        <v>4</v>
      </c>
      <c r="S24" s="189">
        <f>IFERROR(__xludf.DUMMYFUNCTION("""COMPUTED_VALUE"""),1.0)</f>
        <v>1</v>
      </c>
      <c r="T24" s="189">
        <f>IFERROR(__xludf.DUMMYFUNCTION("""COMPUTED_VALUE"""),1.0)</f>
        <v>1</v>
      </c>
      <c r="U24" s="189">
        <f>IFERROR(__xludf.DUMMYFUNCTION("""COMPUTED_VALUE"""),4.0)</f>
        <v>4</v>
      </c>
      <c r="V24" s="189">
        <f>IFERROR(__xludf.DUMMYFUNCTION("""COMPUTED_VALUE"""),7.0)</f>
        <v>7</v>
      </c>
      <c r="W24" s="189">
        <f>IFERROR(__xludf.DUMMYFUNCTION("""COMPUTED_VALUE"""),6.0)</f>
        <v>6</v>
      </c>
      <c r="X24" s="189">
        <f>IFERROR(__xludf.DUMMYFUNCTION("""COMPUTED_VALUE"""),6.0)</f>
        <v>6</v>
      </c>
      <c r="Y24" s="189" t="str">
        <f>IFERROR(__xludf.DUMMYFUNCTION("""COMPUTED_VALUE"""),"2025-08-16T00:00:00.000Z")</f>
        <v>2025-08-16T00:00:00.000Z</v>
      </c>
      <c r="Z24" s="189" t="str">
        <f>IFERROR(__xludf.DUMMYFUNCTION("""COMPUTED_VALUE"""),"děti ulice_Lotus")</f>
        <v>děti ulice_Lotus</v>
      </c>
    </row>
    <row r="25">
      <c r="A25" s="189">
        <f>IFERROR(__xludf.DUMMYFUNCTION("""COMPUTED_VALUE"""),212721.0)</f>
        <v>212721</v>
      </c>
      <c r="B25" s="189">
        <f>IFERROR(__xludf.DUMMYFUNCTION("""COMPUTED_VALUE"""),93686.0)</f>
        <v>93686</v>
      </c>
      <c r="C25" s="189" t="str">
        <f>IFERROR(__xludf.DUMMYFUNCTION("""COMPUTED_VALUE"""),"Challengers 2025: France Revolution Split 3 - Playoffs")</f>
        <v>Challengers 2025: France Revolution Split 3 - Playoffs</v>
      </c>
      <c r="D25" s="189" t="str">
        <f>IFERROR(__xludf.DUMMYFUNCTION("""COMPUTED_VALUE"""),"Ascent")</f>
        <v>Ascent</v>
      </c>
      <c r="E25" s="189" t="str">
        <f>IFERROR(__xludf.DUMMYFUNCTION("""COMPUTED_VALUE"""),"Joblife")</f>
        <v>Joblife</v>
      </c>
      <c r="F25" s="189" t="str">
        <f>IFERROR(__xludf.DUMMYFUNCTION("""COMPUTED_VALUE"""),"Mandatory")</f>
        <v>Mandatory</v>
      </c>
      <c r="G25" s="189" t="str">
        <f>IFERROR(__xludf.DUMMYFUNCTION("""COMPUTED_VALUE"""),"Cypher,Sova,Omen,Yoru,Chamber")</f>
        <v>Cypher,Sova,Omen,Yoru,Chamber</v>
      </c>
      <c r="H25" s="189" t="str">
        <f>IFERROR(__xludf.DUMMYFUNCTION("""COMPUTED_VALUE"""),"Sova,Viper,Omen,Yoru,Deadlock")</f>
        <v>Sova,Viper,Omen,Yoru,Deadlock</v>
      </c>
      <c r="I25" s="189">
        <f>IFERROR(__xludf.DUMMYFUNCTION("""COMPUTED_VALUE"""),13.0)</f>
        <v>13</v>
      </c>
      <c r="J25" s="189">
        <f>IFERROR(__xludf.DUMMYFUNCTION("""COMPUTED_VALUE"""),7.0)</f>
        <v>7</v>
      </c>
      <c r="K25" s="189">
        <f>IFERROR(__xludf.DUMMYFUNCTION("""COMPUTED_VALUE"""),7.0)</f>
        <v>7</v>
      </c>
      <c r="L25" s="189">
        <f>IFERROR(__xludf.DUMMYFUNCTION("""COMPUTED_VALUE"""),5.0)</f>
        <v>5</v>
      </c>
      <c r="M25" s="189">
        <f>IFERROR(__xludf.DUMMYFUNCTION("""COMPUTED_VALUE"""),0.0)</f>
        <v>0</v>
      </c>
      <c r="N25" s="189">
        <f>IFERROR(__xludf.DUMMYFUNCTION("""COMPUTED_VALUE"""),0.0)</f>
        <v>0</v>
      </c>
      <c r="O25" s="189">
        <f>IFERROR(__xludf.DUMMYFUNCTION("""COMPUTED_VALUE"""),6.0)</f>
        <v>6</v>
      </c>
      <c r="P25" s="189">
        <f>IFERROR(__xludf.DUMMYFUNCTION("""COMPUTED_VALUE"""),2.0)</f>
        <v>2</v>
      </c>
      <c r="Q25" s="189">
        <f>IFERROR(__xludf.DUMMYFUNCTION("""COMPUTED_VALUE"""),7.0)</f>
        <v>7</v>
      </c>
      <c r="R25" s="189">
        <f>IFERROR(__xludf.DUMMYFUNCTION("""COMPUTED_VALUE"""),5.0)</f>
        <v>5</v>
      </c>
      <c r="S25" s="189">
        <f>IFERROR(__xludf.DUMMYFUNCTION("""COMPUTED_VALUE"""),1.0)</f>
        <v>1</v>
      </c>
      <c r="T25" s="189">
        <f>IFERROR(__xludf.DUMMYFUNCTION("""COMPUTED_VALUE"""),1.0)</f>
        <v>1</v>
      </c>
      <c r="U25" s="189">
        <f>IFERROR(__xludf.DUMMYFUNCTION("""COMPUTED_VALUE"""),5.0)</f>
        <v>5</v>
      </c>
      <c r="V25" s="189">
        <f>IFERROR(__xludf.DUMMYFUNCTION("""COMPUTED_VALUE"""),7.0)</f>
        <v>7</v>
      </c>
      <c r="W25" s="189">
        <f>IFERROR(__xludf.DUMMYFUNCTION("""COMPUTED_VALUE"""),2.0)</f>
        <v>2</v>
      </c>
      <c r="X25" s="189">
        <f>IFERROR(__xludf.DUMMYFUNCTION("""COMPUTED_VALUE"""),6.0)</f>
        <v>6</v>
      </c>
      <c r="Y25" s="189" t="str">
        <f>IFERROR(__xludf.DUMMYFUNCTION("""COMPUTED_VALUE"""),"2025-08-16T00:00:00.000Z")</f>
        <v>2025-08-16T00:00:00.000Z</v>
      </c>
      <c r="Z25" s="189" t="str">
        <f>IFERROR(__xludf.DUMMYFUNCTION("""COMPUTED_VALUE"""),"Joblife_Ascent")</f>
        <v>Joblife_Ascent</v>
      </c>
    </row>
    <row r="26">
      <c r="A26" s="189">
        <f>IFERROR(__xludf.DUMMYFUNCTION("""COMPUTED_VALUE"""),213390.0)</f>
        <v>213390</v>
      </c>
      <c r="B26" s="189">
        <f>IFERROR(__xludf.DUMMYFUNCTION("""COMPUTED_VALUE"""),93910.0)</f>
        <v>93910</v>
      </c>
      <c r="C26" s="189" t="str">
        <f>IFERROR(__xludf.DUMMYFUNCTION("""COMPUTED_VALUE"""),"Challengers League 2025 DACH: Evolution Stage 3 - Playoffs")</f>
        <v>Challengers League 2025 DACH: Evolution Stage 3 - Playoffs</v>
      </c>
      <c r="D26" s="189" t="str">
        <f>IFERROR(__xludf.DUMMYFUNCTION("""COMPUTED_VALUE"""),"Corrode")</f>
        <v>Corrode</v>
      </c>
      <c r="E26" s="189" t="str">
        <f>IFERROR(__xludf.DUMMYFUNCTION("""COMPUTED_VALUE"""),"Eintracht Frankfurt")</f>
        <v>Eintracht Frankfurt</v>
      </c>
      <c r="F26" s="189" t="str">
        <f>IFERROR(__xludf.DUMMYFUNCTION("""COMPUTED_VALUE"""),"MOUZ")</f>
        <v>MOUZ</v>
      </c>
      <c r="G26" s="189" t="str">
        <f>IFERROR(__xludf.DUMMYFUNCTION("""COMPUTED_VALUE"""),"Viper,Phoenix,Omen,Fade,Waylay")</f>
        <v>Viper,Phoenix,Omen,Fade,Waylay</v>
      </c>
      <c r="H26" s="189" t="str">
        <f>IFERROR(__xludf.DUMMYFUNCTION("""COMPUTED_VALUE"""),"Omen,Yoru,Chamber,Neon,Fade")</f>
        <v>Omen,Yoru,Chamber,Neon,Fade</v>
      </c>
      <c r="I26" s="189">
        <f>IFERROR(__xludf.DUMMYFUNCTION("""COMPUTED_VALUE"""),6.0)</f>
        <v>6</v>
      </c>
      <c r="J26" s="189">
        <f>IFERROR(__xludf.DUMMYFUNCTION("""COMPUTED_VALUE"""),13.0)</f>
        <v>13</v>
      </c>
      <c r="K26" s="189">
        <f>IFERROR(__xludf.DUMMYFUNCTION("""COMPUTED_VALUE"""),3.0)</f>
        <v>3</v>
      </c>
      <c r="L26" s="189">
        <f>IFERROR(__xludf.DUMMYFUNCTION("""COMPUTED_VALUE"""),9.0)</f>
        <v>9</v>
      </c>
      <c r="M26" s="189">
        <f>IFERROR(__xludf.DUMMYFUNCTION("""COMPUTED_VALUE"""),1.0)</f>
        <v>1</v>
      </c>
      <c r="N26" s="189">
        <f>IFERROR(__xludf.DUMMYFUNCTION("""COMPUTED_VALUE"""),1.0)</f>
        <v>1</v>
      </c>
      <c r="O26" s="189">
        <f>IFERROR(__xludf.DUMMYFUNCTION("""COMPUTED_VALUE"""),3.0)</f>
        <v>3</v>
      </c>
      <c r="P26" s="189">
        <f>IFERROR(__xludf.DUMMYFUNCTION("""COMPUTED_VALUE"""),9.0)</f>
        <v>9</v>
      </c>
      <c r="Q26" s="189">
        <f>IFERROR(__xludf.DUMMYFUNCTION("""COMPUTED_VALUE"""),3.0)</f>
        <v>3</v>
      </c>
      <c r="R26" s="189">
        <f>IFERROR(__xludf.DUMMYFUNCTION("""COMPUTED_VALUE"""),4.0)</f>
        <v>4</v>
      </c>
      <c r="S26" s="189">
        <f>IFERROR(__xludf.DUMMYFUNCTION("""COMPUTED_VALUE"""),0.0)</f>
        <v>0</v>
      </c>
      <c r="T26" s="189">
        <f>IFERROR(__xludf.DUMMYFUNCTION("""COMPUTED_VALUE"""),0.0)</f>
        <v>0</v>
      </c>
      <c r="U26" s="189">
        <f>IFERROR(__xludf.DUMMYFUNCTION("""COMPUTED_VALUE"""),4.0)</f>
        <v>4</v>
      </c>
      <c r="V26" s="189">
        <f>IFERROR(__xludf.DUMMYFUNCTION("""COMPUTED_VALUE"""),3.0)</f>
        <v>3</v>
      </c>
      <c r="W26" s="189">
        <f>IFERROR(__xludf.DUMMYFUNCTION("""COMPUTED_VALUE"""),9.0)</f>
        <v>9</v>
      </c>
      <c r="X26" s="189">
        <f>IFERROR(__xludf.DUMMYFUNCTION("""COMPUTED_VALUE"""),3.0)</f>
        <v>3</v>
      </c>
      <c r="Y26" s="189" t="str">
        <f>IFERROR(__xludf.DUMMYFUNCTION("""COMPUTED_VALUE"""),"2025-08-16T00:00:00.000Z")</f>
        <v>2025-08-16T00:00:00.000Z</v>
      </c>
      <c r="Z26" s="189" t="str">
        <f>IFERROR(__xludf.DUMMYFUNCTION("""COMPUTED_VALUE"""),"Eintracht Frankfurt_Corrode")</f>
        <v>Eintracht Frankfurt_Corrode</v>
      </c>
    </row>
    <row r="27">
      <c r="A27" s="189">
        <f>IFERROR(__xludf.DUMMYFUNCTION("""COMPUTED_VALUE"""),212720.0)</f>
        <v>212720</v>
      </c>
      <c r="B27" s="189">
        <f>IFERROR(__xludf.DUMMYFUNCTION("""COMPUTED_VALUE"""),93686.0)</f>
        <v>93686</v>
      </c>
      <c r="C27" s="189" t="str">
        <f>IFERROR(__xludf.DUMMYFUNCTION("""COMPUTED_VALUE"""),"Challengers 2025: France Revolution Split 3 - Playoffs")</f>
        <v>Challengers 2025: France Revolution Split 3 - Playoffs</v>
      </c>
      <c r="D27" s="189" t="str">
        <f>IFERROR(__xludf.DUMMYFUNCTION("""COMPUTED_VALUE"""),"Icebox")</f>
        <v>Icebox</v>
      </c>
      <c r="E27" s="189" t="str">
        <f>IFERROR(__xludf.DUMMYFUNCTION("""COMPUTED_VALUE"""),"Joblife")</f>
        <v>Joblife</v>
      </c>
      <c r="F27" s="189" t="str">
        <f>IFERROR(__xludf.DUMMYFUNCTION("""COMPUTED_VALUE"""),"Mandatory")</f>
        <v>Mandatory</v>
      </c>
      <c r="G27" s="189" t="str">
        <f>IFERROR(__xludf.DUMMYFUNCTION("""COMPUTED_VALUE"""),"Sova,Killjoy,Viper,Sage,Jett")</f>
        <v>Sova,Killjoy,Viper,Sage,Jett</v>
      </c>
      <c r="H27" s="189" t="str">
        <f>IFERROR(__xludf.DUMMYFUNCTION("""COMPUTED_VALUE"""),"Sova,Killjoy,Viper,Omen,Gekko")</f>
        <v>Sova,Killjoy,Viper,Omen,Gekko</v>
      </c>
      <c r="I27" s="189">
        <f>IFERROR(__xludf.DUMMYFUNCTION("""COMPUTED_VALUE"""),13.0)</f>
        <v>13</v>
      </c>
      <c r="J27" s="189">
        <f>IFERROR(__xludf.DUMMYFUNCTION("""COMPUTED_VALUE"""),4.0)</f>
        <v>4</v>
      </c>
      <c r="K27" s="189">
        <f>IFERROR(__xludf.DUMMYFUNCTION("""COMPUTED_VALUE"""),10.0)</f>
        <v>10</v>
      </c>
      <c r="L27" s="189">
        <f>IFERROR(__xludf.DUMMYFUNCTION("""COMPUTED_VALUE"""),2.0)</f>
        <v>2</v>
      </c>
      <c r="M27" s="189">
        <f>IFERROR(__xludf.DUMMYFUNCTION("""COMPUTED_VALUE"""),1.0)</f>
        <v>1</v>
      </c>
      <c r="N27" s="189">
        <f>IFERROR(__xludf.DUMMYFUNCTION("""COMPUTED_VALUE"""),1.0)</f>
        <v>1</v>
      </c>
      <c r="O27" s="189">
        <f>IFERROR(__xludf.DUMMYFUNCTION("""COMPUTED_VALUE"""),10.0)</f>
        <v>10</v>
      </c>
      <c r="P27" s="189">
        <f>IFERROR(__xludf.DUMMYFUNCTION("""COMPUTED_VALUE"""),2.0)</f>
        <v>2</v>
      </c>
      <c r="Q27" s="189">
        <f>IFERROR(__xludf.DUMMYFUNCTION("""COMPUTED_VALUE"""),3.0)</f>
        <v>3</v>
      </c>
      <c r="R27" s="189">
        <f>IFERROR(__xludf.DUMMYFUNCTION("""COMPUTED_VALUE"""),2.0)</f>
        <v>2</v>
      </c>
      <c r="S27" s="189">
        <f>IFERROR(__xludf.DUMMYFUNCTION("""COMPUTED_VALUE"""),0.0)</f>
        <v>0</v>
      </c>
      <c r="T27" s="189">
        <f>IFERROR(__xludf.DUMMYFUNCTION("""COMPUTED_VALUE"""),0.0)</f>
        <v>0</v>
      </c>
      <c r="U27" s="189">
        <f>IFERROR(__xludf.DUMMYFUNCTION("""COMPUTED_VALUE"""),2.0)</f>
        <v>2</v>
      </c>
      <c r="V27" s="189">
        <f>IFERROR(__xludf.DUMMYFUNCTION("""COMPUTED_VALUE"""),3.0)</f>
        <v>3</v>
      </c>
      <c r="W27" s="189">
        <f>IFERROR(__xludf.DUMMYFUNCTION("""COMPUTED_VALUE"""),2.0)</f>
        <v>2</v>
      </c>
      <c r="X27" s="189">
        <f>IFERROR(__xludf.DUMMYFUNCTION("""COMPUTED_VALUE"""),10.0)</f>
        <v>10</v>
      </c>
      <c r="Y27" s="189" t="str">
        <f>IFERROR(__xludf.DUMMYFUNCTION("""COMPUTED_VALUE"""),"2025-08-16T00:00:00.000Z")</f>
        <v>2025-08-16T00:00:00.000Z</v>
      </c>
      <c r="Z27" s="189" t="str">
        <f>IFERROR(__xludf.DUMMYFUNCTION("""COMPUTED_VALUE"""),"Joblife_Icebox")</f>
        <v>Joblife_Icebox</v>
      </c>
    </row>
    <row r="28">
      <c r="A28" s="189">
        <f>IFERROR(__xludf.DUMMYFUNCTION("""COMPUTED_VALUE"""),212067.0)</f>
        <v>212067</v>
      </c>
      <c r="B28" s="189">
        <f>IFERROR(__xludf.DUMMYFUNCTION("""COMPUTED_VALUE"""),93452.0)</f>
        <v>93452</v>
      </c>
      <c r="C28" s="189" t="str">
        <f>IFERROR(__xludf.DUMMYFUNCTION("""COMPUTED_VALUE"""),"Challengers League 2025 NORTH EAST: Split 3 - Playoffs")</f>
        <v>Challengers League 2025 NORTH EAST: Split 3 - Playoffs</v>
      </c>
      <c r="D28" s="189" t="str">
        <f>IFERROR(__xludf.DUMMYFUNCTION("""COMPUTED_VALUE"""),"Corrode")</f>
        <v>Corrode</v>
      </c>
      <c r="E28" s="189" t="str">
        <f>IFERROR(__xludf.DUMMYFUNCTION("""COMPUTED_VALUE"""),"děti ulice")</f>
        <v>děti ulice</v>
      </c>
      <c r="F28" s="189" t="str">
        <f>IFERROR(__xludf.DUMMYFUNCTION("""COMPUTED_VALUE"""),"Team Liquid Academy")</f>
        <v>Team Liquid Academy</v>
      </c>
      <c r="G28" s="189" t="str">
        <f>IFERROR(__xludf.DUMMYFUNCTION("""COMPUTED_VALUE"""),"Viper,Omen,Chamber,Neon,Fade")</f>
        <v>Viper,Omen,Chamber,Neon,Fade</v>
      </c>
      <c r="H28" s="189" t="str">
        <f>IFERROR(__xludf.DUMMYFUNCTION("""COMPUTED_VALUE"""),"Cypher,Phoenix,Omen,Yoru,Fade")</f>
        <v>Cypher,Phoenix,Omen,Yoru,Fade</v>
      </c>
      <c r="I28" s="189">
        <f>IFERROR(__xludf.DUMMYFUNCTION("""COMPUTED_VALUE"""),13.0)</f>
        <v>13</v>
      </c>
      <c r="J28" s="189">
        <f>IFERROR(__xludf.DUMMYFUNCTION("""COMPUTED_VALUE"""),15.0)</f>
        <v>15</v>
      </c>
      <c r="K28" s="189">
        <f>IFERROR(__xludf.DUMMYFUNCTION("""COMPUTED_VALUE"""),7.0)</f>
        <v>7</v>
      </c>
      <c r="L28" s="189">
        <f>IFERROR(__xludf.DUMMYFUNCTION("""COMPUTED_VALUE"""),5.0)</f>
        <v>5</v>
      </c>
      <c r="M28" s="189">
        <f>IFERROR(__xludf.DUMMYFUNCTION("""COMPUTED_VALUE"""),0.0)</f>
        <v>0</v>
      </c>
      <c r="N28" s="189">
        <f>IFERROR(__xludf.DUMMYFUNCTION("""COMPUTED_VALUE"""),1.0)</f>
        <v>1</v>
      </c>
      <c r="O28" s="189">
        <f>IFERROR(__xludf.DUMMYFUNCTION("""COMPUTED_VALUE"""),5.0)</f>
        <v>5</v>
      </c>
      <c r="P28" s="189">
        <f>IFERROR(__xludf.DUMMYFUNCTION("""COMPUTED_VALUE"""),9.0)</f>
        <v>9</v>
      </c>
      <c r="Q28" s="189">
        <f>IFERROR(__xludf.DUMMYFUNCTION("""COMPUTED_VALUE"""),8.0)</f>
        <v>8</v>
      </c>
      <c r="R28" s="189">
        <f>IFERROR(__xludf.DUMMYFUNCTION("""COMPUTED_VALUE"""),6.0)</f>
        <v>6</v>
      </c>
      <c r="S28" s="189">
        <f>IFERROR(__xludf.DUMMYFUNCTION("""COMPUTED_VALUE"""),0.0)</f>
        <v>0</v>
      </c>
      <c r="T28" s="189">
        <f>IFERROR(__xludf.DUMMYFUNCTION("""COMPUTED_VALUE"""),1.0)</f>
        <v>1</v>
      </c>
      <c r="U28" s="189">
        <f>IFERROR(__xludf.DUMMYFUNCTION("""COMPUTED_VALUE"""),6.0)</f>
        <v>6</v>
      </c>
      <c r="V28" s="189">
        <f>IFERROR(__xludf.DUMMYFUNCTION("""COMPUTED_VALUE"""),8.0)</f>
        <v>8</v>
      </c>
      <c r="W28" s="189">
        <f>IFERROR(__xludf.DUMMYFUNCTION("""COMPUTED_VALUE"""),9.0)</f>
        <v>9</v>
      </c>
      <c r="X28" s="189">
        <f>IFERROR(__xludf.DUMMYFUNCTION("""COMPUTED_VALUE"""),5.0)</f>
        <v>5</v>
      </c>
      <c r="Y28" s="189" t="str">
        <f>IFERROR(__xludf.DUMMYFUNCTION("""COMPUTED_VALUE"""),"2025-08-16T00:00:00.000Z")</f>
        <v>2025-08-16T00:00:00.000Z</v>
      </c>
      <c r="Z28" s="189" t="str">
        <f>IFERROR(__xludf.DUMMYFUNCTION("""COMPUTED_VALUE"""),"děti ulice_Corrode")</f>
        <v>děti ulice_Corrode</v>
      </c>
    </row>
    <row r="29">
      <c r="A29" s="189">
        <f>IFERROR(__xludf.DUMMYFUNCTION("""COMPUTED_VALUE"""),213389.0)</f>
        <v>213389</v>
      </c>
      <c r="B29" s="189">
        <f>IFERROR(__xludf.DUMMYFUNCTION("""COMPUTED_VALUE"""),93910.0)</f>
        <v>93910</v>
      </c>
      <c r="C29" s="189" t="str">
        <f>IFERROR(__xludf.DUMMYFUNCTION("""COMPUTED_VALUE"""),"Challengers League 2025 DACH: Evolution Stage 3 - Playoffs")</f>
        <v>Challengers League 2025 DACH: Evolution Stage 3 - Playoffs</v>
      </c>
      <c r="D29" s="189" t="str">
        <f>IFERROR(__xludf.DUMMYFUNCTION("""COMPUTED_VALUE"""),"Icebox")</f>
        <v>Icebox</v>
      </c>
      <c r="E29" s="189" t="str">
        <f>IFERROR(__xludf.DUMMYFUNCTION("""COMPUTED_VALUE"""),"Eintracht Frankfurt")</f>
        <v>Eintracht Frankfurt</v>
      </c>
      <c r="F29" s="189" t="str">
        <f>IFERROR(__xludf.DUMMYFUNCTION("""COMPUTED_VALUE"""),"MOUZ")</f>
        <v>MOUZ</v>
      </c>
      <c r="G29" s="189" t="str">
        <f>IFERROR(__xludf.DUMMYFUNCTION("""COMPUTED_VALUE"""),"Sova,Killjoy,Viper,Sage,Jett")</f>
        <v>Sova,Killjoy,Viper,Sage,Jett</v>
      </c>
      <c r="H29" s="189" t="str">
        <f>IFERROR(__xludf.DUMMYFUNCTION("""COMPUTED_VALUE"""),"Sova,Killjoy,Viper,Jett,KAY/O")</f>
        <v>Sova,Killjoy,Viper,Jett,KAY/O</v>
      </c>
      <c r="I29" s="189">
        <f>IFERROR(__xludf.DUMMYFUNCTION("""COMPUTED_VALUE"""),8.0)</f>
        <v>8</v>
      </c>
      <c r="J29" s="189">
        <f>IFERROR(__xludf.DUMMYFUNCTION("""COMPUTED_VALUE"""),13.0)</f>
        <v>13</v>
      </c>
      <c r="K29" s="189">
        <f>IFERROR(__xludf.DUMMYFUNCTION("""COMPUTED_VALUE"""),4.0)</f>
        <v>4</v>
      </c>
      <c r="L29" s="189">
        <f>IFERROR(__xludf.DUMMYFUNCTION("""COMPUTED_VALUE"""),8.0)</f>
        <v>8</v>
      </c>
      <c r="M29" s="189">
        <f>IFERROR(__xludf.DUMMYFUNCTION("""COMPUTED_VALUE"""),0.0)</f>
        <v>0</v>
      </c>
      <c r="N29" s="189">
        <f>IFERROR(__xludf.DUMMYFUNCTION("""COMPUTED_VALUE"""),0.0)</f>
        <v>0</v>
      </c>
      <c r="O29" s="189">
        <f>IFERROR(__xludf.DUMMYFUNCTION("""COMPUTED_VALUE"""),4.0)</f>
        <v>4</v>
      </c>
      <c r="P29" s="189">
        <f>IFERROR(__xludf.DUMMYFUNCTION("""COMPUTED_VALUE"""),8.0)</f>
        <v>8</v>
      </c>
      <c r="Q29" s="189">
        <f>IFERROR(__xludf.DUMMYFUNCTION("""COMPUTED_VALUE"""),4.0)</f>
        <v>4</v>
      </c>
      <c r="R29" s="189">
        <f>IFERROR(__xludf.DUMMYFUNCTION("""COMPUTED_VALUE"""),5.0)</f>
        <v>5</v>
      </c>
      <c r="S29" s="189">
        <f>IFERROR(__xludf.DUMMYFUNCTION("""COMPUTED_VALUE"""),1.0)</f>
        <v>1</v>
      </c>
      <c r="T29" s="189">
        <f>IFERROR(__xludf.DUMMYFUNCTION("""COMPUTED_VALUE"""),1.0)</f>
        <v>1</v>
      </c>
      <c r="U29" s="189">
        <f>IFERROR(__xludf.DUMMYFUNCTION("""COMPUTED_VALUE"""),5.0)</f>
        <v>5</v>
      </c>
      <c r="V29" s="189">
        <f>IFERROR(__xludf.DUMMYFUNCTION("""COMPUTED_VALUE"""),4.0)</f>
        <v>4</v>
      </c>
      <c r="W29" s="189">
        <f>IFERROR(__xludf.DUMMYFUNCTION("""COMPUTED_VALUE"""),8.0)</f>
        <v>8</v>
      </c>
      <c r="X29" s="189">
        <f>IFERROR(__xludf.DUMMYFUNCTION("""COMPUTED_VALUE"""),4.0)</f>
        <v>4</v>
      </c>
      <c r="Y29" s="189" t="str">
        <f>IFERROR(__xludf.DUMMYFUNCTION("""COMPUTED_VALUE"""),"2025-08-16T00:00:00.000Z")</f>
        <v>2025-08-16T00:00:00.000Z</v>
      </c>
      <c r="Z29" s="189" t="str">
        <f>IFERROR(__xludf.DUMMYFUNCTION("""COMPUTED_VALUE"""),"Eintracht Frankfurt_Icebox")</f>
        <v>Eintracht Frankfurt_Icebox</v>
      </c>
    </row>
    <row r="30">
      <c r="A30" s="189">
        <f>IFERROR(__xludf.DUMMYFUNCTION("""COMPUTED_VALUE"""),212066.0)</f>
        <v>212066</v>
      </c>
      <c r="B30" s="189">
        <f>IFERROR(__xludf.DUMMYFUNCTION("""COMPUTED_VALUE"""),93452.0)</f>
        <v>93452</v>
      </c>
      <c r="C30" s="189" t="str">
        <f>IFERROR(__xludf.DUMMYFUNCTION("""COMPUTED_VALUE"""),"Challengers League 2025 NORTH EAST: Split 3 - Playoffs")</f>
        <v>Challengers League 2025 NORTH EAST: Split 3 - Playoffs</v>
      </c>
      <c r="D30" s="189" t="str">
        <f>IFERROR(__xludf.DUMMYFUNCTION("""COMPUTED_VALUE"""),"Haven")</f>
        <v>Haven</v>
      </c>
      <c r="E30" s="189" t="str">
        <f>IFERROR(__xludf.DUMMYFUNCTION("""COMPUTED_VALUE"""),"děti ulice")</f>
        <v>děti ulice</v>
      </c>
      <c r="F30" s="189" t="str">
        <f>IFERROR(__xludf.DUMMYFUNCTION("""COMPUTED_VALUE"""),"Team Liquid Academy")</f>
        <v>Team Liquid Academy</v>
      </c>
      <c r="G30" s="189" t="str">
        <f>IFERROR(__xludf.DUMMYFUNCTION("""COMPUTED_VALUE"""),"Cypher,Sova,Omen,Yoru,Iso")</f>
        <v>Cypher,Sova,Omen,Yoru,Iso</v>
      </c>
      <c r="H30" s="189" t="str">
        <f>IFERROR(__xludf.DUMMYFUNCTION("""COMPUTED_VALUE"""),"Cypher,Sova,Omen,Yoru,Iso")</f>
        <v>Cypher,Sova,Omen,Yoru,Iso</v>
      </c>
      <c r="I30" s="189">
        <f>IFERROR(__xludf.DUMMYFUNCTION("""COMPUTED_VALUE"""),13.0)</f>
        <v>13</v>
      </c>
      <c r="J30" s="189">
        <f>IFERROR(__xludf.DUMMYFUNCTION("""COMPUTED_VALUE"""),11.0)</f>
        <v>11</v>
      </c>
      <c r="K30" s="189">
        <f>IFERROR(__xludf.DUMMYFUNCTION("""COMPUTED_VALUE"""),7.0)</f>
        <v>7</v>
      </c>
      <c r="L30" s="189">
        <f>IFERROR(__xludf.DUMMYFUNCTION("""COMPUTED_VALUE"""),5.0)</f>
        <v>5</v>
      </c>
      <c r="M30" s="189">
        <f>IFERROR(__xludf.DUMMYFUNCTION("""COMPUTED_VALUE"""),1.0)</f>
        <v>1</v>
      </c>
      <c r="N30" s="189">
        <f>IFERROR(__xludf.DUMMYFUNCTION("""COMPUTED_VALUE"""),1.0)</f>
        <v>1</v>
      </c>
      <c r="O30" s="189">
        <f>IFERROR(__xludf.DUMMYFUNCTION("""COMPUTED_VALUE"""),6.0)</f>
        <v>6</v>
      </c>
      <c r="P30" s="189">
        <f>IFERROR(__xludf.DUMMYFUNCTION("""COMPUTED_VALUE"""),6.0)</f>
        <v>6</v>
      </c>
      <c r="Q30" s="189">
        <f>IFERROR(__xludf.DUMMYFUNCTION("""COMPUTED_VALUE"""),7.0)</f>
        <v>7</v>
      </c>
      <c r="R30" s="189">
        <f>IFERROR(__xludf.DUMMYFUNCTION("""COMPUTED_VALUE"""),5.0)</f>
        <v>5</v>
      </c>
      <c r="S30" s="189">
        <f>IFERROR(__xludf.DUMMYFUNCTION("""COMPUTED_VALUE"""),0.0)</f>
        <v>0</v>
      </c>
      <c r="T30" s="189">
        <f>IFERROR(__xludf.DUMMYFUNCTION("""COMPUTED_VALUE"""),0.0)</f>
        <v>0</v>
      </c>
      <c r="U30" s="189">
        <f>IFERROR(__xludf.DUMMYFUNCTION("""COMPUTED_VALUE"""),5.0)</f>
        <v>5</v>
      </c>
      <c r="V30" s="189">
        <f>IFERROR(__xludf.DUMMYFUNCTION("""COMPUTED_VALUE"""),7.0)</f>
        <v>7</v>
      </c>
      <c r="W30" s="189">
        <f>IFERROR(__xludf.DUMMYFUNCTION("""COMPUTED_VALUE"""),6.0)</f>
        <v>6</v>
      </c>
      <c r="X30" s="189">
        <f>IFERROR(__xludf.DUMMYFUNCTION("""COMPUTED_VALUE"""),6.0)</f>
        <v>6</v>
      </c>
      <c r="Y30" s="189" t="str">
        <f>IFERROR(__xludf.DUMMYFUNCTION("""COMPUTED_VALUE"""),"2025-08-16T00:00:00.000Z")</f>
        <v>2025-08-16T00:00:00.000Z</v>
      </c>
      <c r="Z30" s="189" t="str">
        <f>IFERROR(__xludf.DUMMYFUNCTION("""COMPUTED_VALUE"""),"děti ulice_Haven")</f>
        <v>děti ulice_Haven</v>
      </c>
    </row>
    <row r="31">
      <c r="A31" s="189">
        <f>IFERROR(__xludf.DUMMYFUNCTION("""COMPUTED_VALUE"""),213388.0)</f>
        <v>213388</v>
      </c>
      <c r="B31" s="189">
        <f>IFERROR(__xludf.DUMMYFUNCTION("""COMPUTED_VALUE"""),93910.0)</f>
        <v>93910</v>
      </c>
      <c r="C31" s="189" t="str">
        <f>IFERROR(__xludf.DUMMYFUNCTION("""COMPUTED_VALUE"""),"Challengers League 2025 DACH: Evolution Stage 3 - Playoffs")</f>
        <v>Challengers League 2025 DACH: Evolution Stage 3 - Playoffs</v>
      </c>
      <c r="D31" s="189" t="str">
        <f>IFERROR(__xludf.DUMMYFUNCTION("""COMPUTED_VALUE"""),"Bind")</f>
        <v>Bind</v>
      </c>
      <c r="E31" s="189" t="str">
        <f>IFERROR(__xludf.DUMMYFUNCTION("""COMPUTED_VALUE"""),"Eintracht Frankfurt")</f>
        <v>Eintracht Frankfurt</v>
      </c>
      <c r="F31" s="189" t="str">
        <f>IFERROR(__xludf.DUMMYFUNCTION("""COMPUTED_VALUE"""),"MOUZ")</f>
        <v>MOUZ</v>
      </c>
      <c r="G31" s="189" t="str">
        <f>IFERROR(__xludf.DUMMYFUNCTION("""COMPUTED_VALUE"""),"Raze,Viper,Brimstone,Fade,Gekko")</f>
        <v>Raze,Viper,Brimstone,Fade,Gekko</v>
      </c>
      <c r="H31" s="189" t="str">
        <f>IFERROR(__xludf.DUMMYFUNCTION("""COMPUTED_VALUE"""),"Raze,Viper,Brimstone,Yoru,Fade")</f>
        <v>Raze,Viper,Brimstone,Yoru,Fade</v>
      </c>
      <c r="I31" s="189">
        <f>IFERROR(__xludf.DUMMYFUNCTION("""COMPUTED_VALUE"""),12.0)</f>
        <v>12</v>
      </c>
      <c r="J31" s="189">
        <f>IFERROR(__xludf.DUMMYFUNCTION("""COMPUTED_VALUE"""),14.0)</f>
        <v>14</v>
      </c>
      <c r="K31" s="189">
        <f>IFERROR(__xludf.DUMMYFUNCTION("""COMPUTED_VALUE"""),7.0)</f>
        <v>7</v>
      </c>
      <c r="L31" s="189">
        <f>IFERROR(__xludf.DUMMYFUNCTION("""COMPUTED_VALUE"""),5.0)</f>
        <v>5</v>
      </c>
      <c r="M31" s="189">
        <f>IFERROR(__xludf.DUMMYFUNCTION("""COMPUTED_VALUE"""),1.0)</f>
        <v>1</v>
      </c>
      <c r="N31" s="189">
        <f>IFERROR(__xludf.DUMMYFUNCTION("""COMPUTED_VALUE"""),1.0)</f>
        <v>1</v>
      </c>
      <c r="O31" s="189">
        <f>IFERROR(__xludf.DUMMYFUNCTION("""COMPUTED_VALUE"""),7.0)</f>
        <v>7</v>
      </c>
      <c r="P31" s="189">
        <f>IFERROR(__xludf.DUMMYFUNCTION("""COMPUTED_VALUE"""),6.0)</f>
        <v>6</v>
      </c>
      <c r="Q31" s="189">
        <f>IFERROR(__xludf.DUMMYFUNCTION("""COMPUTED_VALUE"""),5.0)</f>
        <v>5</v>
      </c>
      <c r="R31" s="189">
        <f>IFERROR(__xludf.DUMMYFUNCTION("""COMPUTED_VALUE"""),8.0)</f>
        <v>8</v>
      </c>
      <c r="S31" s="189">
        <f>IFERROR(__xludf.DUMMYFUNCTION("""COMPUTED_VALUE"""),0.0)</f>
        <v>0</v>
      </c>
      <c r="T31" s="189">
        <f>IFERROR(__xludf.DUMMYFUNCTION("""COMPUTED_VALUE"""),0.0)</f>
        <v>0</v>
      </c>
      <c r="U31" s="189">
        <f>IFERROR(__xludf.DUMMYFUNCTION("""COMPUTED_VALUE"""),8.0)</f>
        <v>8</v>
      </c>
      <c r="V31" s="189">
        <f>IFERROR(__xludf.DUMMYFUNCTION("""COMPUTED_VALUE"""),5.0)</f>
        <v>5</v>
      </c>
      <c r="W31" s="189">
        <f>IFERROR(__xludf.DUMMYFUNCTION("""COMPUTED_VALUE"""),6.0)</f>
        <v>6</v>
      </c>
      <c r="X31" s="189">
        <f>IFERROR(__xludf.DUMMYFUNCTION("""COMPUTED_VALUE"""),7.0)</f>
        <v>7</v>
      </c>
      <c r="Y31" s="189" t="str">
        <f>IFERROR(__xludf.DUMMYFUNCTION("""COMPUTED_VALUE"""),"2025-08-16T00:00:00.000Z")</f>
        <v>2025-08-16T00:00:00.000Z</v>
      </c>
      <c r="Z31" s="189" t="str">
        <f>IFERROR(__xludf.DUMMYFUNCTION("""COMPUTED_VALUE"""),"Eintracht Frankfurt_Bind")</f>
        <v>Eintracht Frankfurt_Bind</v>
      </c>
    </row>
    <row r="32">
      <c r="A32" s="189">
        <f>IFERROR(__xludf.DUMMYFUNCTION("""COMPUTED_VALUE"""),212490.0)</f>
        <v>212490</v>
      </c>
      <c r="B32" s="189">
        <f>IFERROR(__xludf.DUMMYFUNCTION("""COMPUTED_VALUE"""),93599.0)</f>
        <v>93599</v>
      </c>
      <c r="C32" s="189" t="str">
        <f>IFERROR(__xludf.DUMMYFUNCTION("""COMPUTED_VALUE"""),"Challengers League 2025 DACH: Evolution Stage 3 - Playoffs")</f>
        <v>Challengers League 2025 DACH: Evolution Stage 3 - Playoffs</v>
      </c>
      <c r="D32" s="189" t="str">
        <f>IFERROR(__xludf.DUMMYFUNCTION("""COMPUTED_VALUE"""),"Haven")</f>
        <v>Haven</v>
      </c>
      <c r="E32" s="189" t="str">
        <f>IFERROR(__xludf.DUMMYFUNCTION("""COMPUTED_VALUE"""),"MOUZ")</f>
        <v>MOUZ</v>
      </c>
      <c r="F32" s="189" t="str">
        <f>IFERROR(__xludf.DUMMYFUNCTION("""COMPUTED_VALUE"""),"ALTERNATE aTTaX")</f>
        <v>ALTERNATE aTTaX</v>
      </c>
      <c r="G32" s="189" t="str">
        <f>IFERROR(__xludf.DUMMYFUNCTION("""COMPUTED_VALUE"""),"Cypher,Sova,Omen,Yoru,Iso")</f>
        <v>Cypher,Sova,Omen,Yoru,Iso</v>
      </c>
      <c r="H32" s="189" t="str">
        <f>IFERROR(__xludf.DUMMYFUNCTION("""COMPUTED_VALUE"""),"Sova,Killjoy,Viper,Omen,Neon")</f>
        <v>Sova,Killjoy,Viper,Omen,Neon</v>
      </c>
      <c r="I32" s="189">
        <f>IFERROR(__xludf.DUMMYFUNCTION("""COMPUTED_VALUE"""),13.0)</f>
        <v>13</v>
      </c>
      <c r="J32" s="189">
        <f>IFERROR(__xludf.DUMMYFUNCTION("""COMPUTED_VALUE"""),5.0)</f>
        <v>5</v>
      </c>
      <c r="K32" s="189">
        <f>IFERROR(__xludf.DUMMYFUNCTION("""COMPUTED_VALUE"""),9.0)</f>
        <v>9</v>
      </c>
      <c r="L32" s="189">
        <f>IFERROR(__xludf.DUMMYFUNCTION("""COMPUTED_VALUE"""),3.0)</f>
        <v>3</v>
      </c>
      <c r="M32" s="189">
        <f>IFERROR(__xludf.DUMMYFUNCTION("""COMPUTED_VALUE"""),1.0)</f>
        <v>1</v>
      </c>
      <c r="N32" s="189">
        <f>IFERROR(__xludf.DUMMYFUNCTION("""COMPUTED_VALUE"""),1.0)</f>
        <v>1</v>
      </c>
      <c r="O32" s="189">
        <f>IFERROR(__xludf.DUMMYFUNCTION("""COMPUTED_VALUE"""),9.0)</f>
        <v>9</v>
      </c>
      <c r="P32" s="189">
        <f>IFERROR(__xludf.DUMMYFUNCTION("""COMPUTED_VALUE"""),3.0)</f>
        <v>3</v>
      </c>
      <c r="Q32" s="189">
        <f>IFERROR(__xludf.DUMMYFUNCTION("""COMPUTED_VALUE"""),4.0)</f>
        <v>4</v>
      </c>
      <c r="R32" s="189">
        <f>IFERROR(__xludf.DUMMYFUNCTION("""COMPUTED_VALUE"""),2.0)</f>
        <v>2</v>
      </c>
      <c r="S32" s="189">
        <f>IFERROR(__xludf.DUMMYFUNCTION("""COMPUTED_VALUE"""),0.0)</f>
        <v>0</v>
      </c>
      <c r="T32" s="189">
        <f>IFERROR(__xludf.DUMMYFUNCTION("""COMPUTED_VALUE"""),0.0)</f>
        <v>0</v>
      </c>
      <c r="U32" s="189">
        <f>IFERROR(__xludf.DUMMYFUNCTION("""COMPUTED_VALUE"""),2.0)</f>
        <v>2</v>
      </c>
      <c r="V32" s="189">
        <f>IFERROR(__xludf.DUMMYFUNCTION("""COMPUTED_VALUE"""),4.0)</f>
        <v>4</v>
      </c>
      <c r="W32" s="189">
        <f>IFERROR(__xludf.DUMMYFUNCTION("""COMPUTED_VALUE"""),3.0)</f>
        <v>3</v>
      </c>
      <c r="X32" s="189">
        <f>IFERROR(__xludf.DUMMYFUNCTION("""COMPUTED_VALUE"""),9.0)</f>
        <v>9</v>
      </c>
      <c r="Y32" s="189" t="str">
        <f>IFERROR(__xludf.DUMMYFUNCTION("""COMPUTED_VALUE"""),"2025-08-15T00:00:00.000Z")</f>
        <v>2025-08-15T00:00:00.000Z</v>
      </c>
      <c r="Z32" s="189" t="str">
        <f>IFERROR(__xludf.DUMMYFUNCTION("""COMPUTED_VALUE"""),"MOUZ_Haven")</f>
        <v>MOUZ_Haven</v>
      </c>
    </row>
    <row r="33">
      <c r="A33" s="189">
        <f>IFERROR(__xludf.DUMMYFUNCTION("""COMPUTED_VALUE"""),212489.0)</f>
        <v>212489</v>
      </c>
      <c r="B33" s="189">
        <f>IFERROR(__xludf.DUMMYFUNCTION("""COMPUTED_VALUE"""),93599.0)</f>
        <v>93599</v>
      </c>
      <c r="C33" s="189" t="str">
        <f>IFERROR(__xludf.DUMMYFUNCTION("""COMPUTED_VALUE"""),"Challengers League 2025 DACH: Evolution Stage 3 - Playoffs")</f>
        <v>Challengers League 2025 DACH: Evolution Stage 3 - Playoffs</v>
      </c>
      <c r="D33" s="189" t="str">
        <f>IFERROR(__xludf.DUMMYFUNCTION("""COMPUTED_VALUE"""),"Corrode")</f>
        <v>Corrode</v>
      </c>
      <c r="E33" s="189" t="str">
        <f>IFERROR(__xludf.DUMMYFUNCTION("""COMPUTED_VALUE"""),"MOUZ")</f>
        <v>MOUZ</v>
      </c>
      <c r="F33" s="189" t="str">
        <f>IFERROR(__xludf.DUMMYFUNCTION("""COMPUTED_VALUE"""),"ALTERNATE aTTaX")</f>
        <v>ALTERNATE aTTaX</v>
      </c>
      <c r="G33" s="189" t="str">
        <f>IFERROR(__xludf.DUMMYFUNCTION("""COMPUTED_VALUE"""),"Omen,Yoru,Chamber,Neon,Fade")</f>
        <v>Omen,Yoru,Chamber,Neon,Fade</v>
      </c>
      <c r="H33" s="189" t="str">
        <f>IFERROR(__xludf.DUMMYFUNCTION("""COMPUTED_VALUE"""),"Sage,Omen,Neon,Fade,Vyse")</f>
        <v>Sage,Omen,Neon,Fade,Vyse</v>
      </c>
      <c r="I33" s="189">
        <f>IFERROR(__xludf.DUMMYFUNCTION("""COMPUTED_VALUE"""),13.0)</f>
        <v>13</v>
      </c>
      <c r="J33" s="189">
        <f>IFERROR(__xludf.DUMMYFUNCTION("""COMPUTED_VALUE"""),11.0)</f>
        <v>11</v>
      </c>
      <c r="K33" s="189">
        <f>IFERROR(__xludf.DUMMYFUNCTION("""COMPUTED_VALUE"""),7.0)</f>
        <v>7</v>
      </c>
      <c r="L33" s="189">
        <f>IFERROR(__xludf.DUMMYFUNCTION("""COMPUTED_VALUE"""),5.0)</f>
        <v>5</v>
      </c>
      <c r="M33" s="189">
        <f>IFERROR(__xludf.DUMMYFUNCTION("""COMPUTED_VALUE"""),1.0)</f>
        <v>1</v>
      </c>
      <c r="N33" s="189">
        <f>IFERROR(__xludf.DUMMYFUNCTION("""COMPUTED_VALUE"""),1.0)</f>
        <v>1</v>
      </c>
      <c r="O33" s="189">
        <f>IFERROR(__xludf.DUMMYFUNCTION("""COMPUTED_VALUE"""),6.0)</f>
        <v>6</v>
      </c>
      <c r="P33" s="189">
        <f>IFERROR(__xludf.DUMMYFUNCTION("""COMPUTED_VALUE"""),6.0)</f>
        <v>6</v>
      </c>
      <c r="Q33" s="189">
        <f>IFERROR(__xludf.DUMMYFUNCTION("""COMPUTED_VALUE"""),7.0)</f>
        <v>7</v>
      </c>
      <c r="R33" s="189">
        <f>IFERROR(__xludf.DUMMYFUNCTION("""COMPUTED_VALUE"""),5.0)</f>
        <v>5</v>
      </c>
      <c r="S33" s="189">
        <f>IFERROR(__xludf.DUMMYFUNCTION("""COMPUTED_VALUE"""),0.0)</f>
        <v>0</v>
      </c>
      <c r="T33" s="189">
        <f>IFERROR(__xludf.DUMMYFUNCTION("""COMPUTED_VALUE"""),0.0)</f>
        <v>0</v>
      </c>
      <c r="U33" s="189">
        <f>IFERROR(__xludf.DUMMYFUNCTION("""COMPUTED_VALUE"""),5.0)</f>
        <v>5</v>
      </c>
      <c r="V33" s="189">
        <f>IFERROR(__xludf.DUMMYFUNCTION("""COMPUTED_VALUE"""),7.0)</f>
        <v>7</v>
      </c>
      <c r="W33" s="189">
        <f>IFERROR(__xludf.DUMMYFUNCTION("""COMPUTED_VALUE"""),6.0)</f>
        <v>6</v>
      </c>
      <c r="X33" s="189">
        <f>IFERROR(__xludf.DUMMYFUNCTION("""COMPUTED_VALUE"""),6.0)</f>
        <v>6</v>
      </c>
      <c r="Y33" s="189" t="str">
        <f>IFERROR(__xludf.DUMMYFUNCTION("""COMPUTED_VALUE"""),"2025-08-15T00:00:00.000Z")</f>
        <v>2025-08-15T00:00:00.000Z</v>
      </c>
      <c r="Z33" s="189" t="str">
        <f>IFERROR(__xludf.DUMMYFUNCTION("""COMPUTED_VALUE"""),"MOUZ_Corrode")</f>
        <v>MOUZ_Corrode</v>
      </c>
    </row>
    <row r="34">
      <c r="A34" s="189">
        <f>IFERROR(__xludf.DUMMYFUNCTION("""COMPUTED_VALUE"""),212487.0)</f>
        <v>212487</v>
      </c>
      <c r="B34" s="189">
        <f>IFERROR(__xludf.DUMMYFUNCTION("""COMPUTED_VALUE"""),93598.0)</f>
        <v>93598</v>
      </c>
      <c r="C34" s="189" t="str">
        <f>IFERROR(__xludf.DUMMYFUNCTION("""COMPUTED_VALUE"""),"Challengers League 2025 DACH: Evolution Stage 3 - Playoffs")</f>
        <v>Challengers League 2025 DACH: Evolution Stage 3 - Playoffs</v>
      </c>
      <c r="D34" s="189" t="str">
        <f>IFERROR(__xludf.DUMMYFUNCTION("""COMPUTED_VALUE"""),"Sunset")</f>
        <v>Sunset</v>
      </c>
      <c r="E34" s="189" t="str">
        <f>IFERROR(__xludf.DUMMYFUNCTION("""COMPUTED_VALUE"""),"Eintracht Frankfurt")</f>
        <v>Eintracht Frankfurt</v>
      </c>
      <c r="F34" s="189" t="str">
        <f>IFERROR(__xludf.DUMMYFUNCTION("""COMPUTED_VALUE"""),"FOKUS")</f>
        <v>FOKUS</v>
      </c>
      <c r="G34" s="189" t="str">
        <f>IFERROR(__xludf.DUMMYFUNCTION("""COMPUTED_VALUE"""),"Raze,Cypher,Omen,Yoru,Fade")</f>
        <v>Raze,Cypher,Omen,Yoru,Fade</v>
      </c>
      <c r="H34" s="189" t="str">
        <f>IFERROR(__xludf.DUMMYFUNCTION("""COMPUTED_VALUE"""),"Breach,Cypher,Sova,Omen,Neon")</f>
        <v>Breach,Cypher,Sova,Omen,Neon</v>
      </c>
      <c r="I34" s="189">
        <f>IFERROR(__xludf.DUMMYFUNCTION("""COMPUTED_VALUE"""),13.0)</f>
        <v>13</v>
      </c>
      <c r="J34" s="189">
        <f>IFERROR(__xludf.DUMMYFUNCTION("""COMPUTED_VALUE"""),7.0)</f>
        <v>7</v>
      </c>
      <c r="K34" s="189">
        <f>IFERROR(__xludf.DUMMYFUNCTION("""COMPUTED_VALUE"""),9.0)</f>
        <v>9</v>
      </c>
      <c r="L34" s="189">
        <f>IFERROR(__xludf.DUMMYFUNCTION("""COMPUTED_VALUE"""),3.0)</f>
        <v>3</v>
      </c>
      <c r="M34" s="189">
        <f>IFERROR(__xludf.DUMMYFUNCTION("""COMPUTED_VALUE"""),0.0)</f>
        <v>0</v>
      </c>
      <c r="N34" s="189">
        <f>IFERROR(__xludf.DUMMYFUNCTION("""COMPUTED_VALUE"""),1.0)</f>
        <v>1</v>
      </c>
      <c r="O34" s="189">
        <f>IFERROR(__xludf.DUMMYFUNCTION("""COMPUTED_VALUE"""),4.0)</f>
        <v>4</v>
      </c>
      <c r="P34" s="189">
        <f>IFERROR(__xludf.DUMMYFUNCTION("""COMPUTED_VALUE"""),4.0)</f>
        <v>4</v>
      </c>
      <c r="Q34" s="189">
        <f>IFERROR(__xludf.DUMMYFUNCTION("""COMPUTED_VALUE"""),9.0)</f>
        <v>9</v>
      </c>
      <c r="R34" s="189">
        <f>IFERROR(__xludf.DUMMYFUNCTION("""COMPUTED_VALUE"""),3.0)</f>
        <v>3</v>
      </c>
      <c r="S34" s="189">
        <f>IFERROR(__xludf.DUMMYFUNCTION("""COMPUTED_VALUE"""),0.0)</f>
        <v>0</v>
      </c>
      <c r="T34" s="189">
        <f>IFERROR(__xludf.DUMMYFUNCTION("""COMPUTED_VALUE"""),1.0)</f>
        <v>1</v>
      </c>
      <c r="U34" s="189">
        <f>IFERROR(__xludf.DUMMYFUNCTION("""COMPUTED_VALUE"""),3.0)</f>
        <v>3</v>
      </c>
      <c r="V34" s="189">
        <f>IFERROR(__xludf.DUMMYFUNCTION("""COMPUTED_VALUE"""),9.0)</f>
        <v>9</v>
      </c>
      <c r="W34" s="189">
        <f>IFERROR(__xludf.DUMMYFUNCTION("""COMPUTED_VALUE"""),4.0)</f>
        <v>4</v>
      </c>
      <c r="X34" s="189">
        <f>IFERROR(__xludf.DUMMYFUNCTION("""COMPUTED_VALUE"""),4.0)</f>
        <v>4</v>
      </c>
      <c r="Y34" s="189" t="str">
        <f>IFERROR(__xludf.DUMMYFUNCTION("""COMPUTED_VALUE"""),"2025-08-15T00:00:00.000Z")</f>
        <v>2025-08-15T00:00:00.000Z</v>
      </c>
      <c r="Z34" s="189" t="str">
        <f>IFERROR(__xludf.DUMMYFUNCTION("""COMPUTED_VALUE"""),"Eintracht Frankfurt_Sunset")</f>
        <v>Eintracht Frankfurt_Sunset</v>
      </c>
    </row>
    <row r="35">
      <c r="A35" s="189">
        <f>IFERROR(__xludf.DUMMYFUNCTION("""COMPUTED_VALUE"""),212486.0)</f>
        <v>212486</v>
      </c>
      <c r="B35" s="189">
        <f>IFERROR(__xludf.DUMMYFUNCTION("""COMPUTED_VALUE"""),93598.0)</f>
        <v>93598</v>
      </c>
      <c r="C35" s="189" t="str">
        <f>IFERROR(__xludf.DUMMYFUNCTION("""COMPUTED_VALUE"""),"Challengers League 2025 DACH: Evolution Stage 3 - Playoffs")</f>
        <v>Challengers League 2025 DACH: Evolution Stage 3 - Playoffs</v>
      </c>
      <c r="D35" s="189" t="str">
        <f>IFERROR(__xludf.DUMMYFUNCTION("""COMPUTED_VALUE"""),"Bind")</f>
        <v>Bind</v>
      </c>
      <c r="E35" s="189" t="str">
        <f>IFERROR(__xludf.DUMMYFUNCTION("""COMPUTED_VALUE"""),"Eintracht Frankfurt")</f>
        <v>Eintracht Frankfurt</v>
      </c>
      <c r="F35" s="189" t="str">
        <f>IFERROR(__xludf.DUMMYFUNCTION("""COMPUTED_VALUE"""),"FOKUS")</f>
        <v>FOKUS</v>
      </c>
      <c r="G35" s="189" t="str">
        <f>IFERROR(__xludf.DUMMYFUNCTION("""COMPUTED_VALUE"""),"Raze,Viper,Brimstone,Fade,Gekko")</f>
        <v>Raze,Viper,Brimstone,Fade,Gekko</v>
      </c>
      <c r="H35" s="189" t="str">
        <f>IFERROR(__xludf.DUMMYFUNCTION("""COMPUTED_VALUE"""),"Raze,Viper,Brimstone,Skye,Gekko")</f>
        <v>Raze,Viper,Brimstone,Skye,Gekko</v>
      </c>
      <c r="I35" s="189">
        <f>IFERROR(__xludf.DUMMYFUNCTION("""COMPUTED_VALUE"""),13.0)</f>
        <v>13</v>
      </c>
      <c r="J35" s="189">
        <f>IFERROR(__xludf.DUMMYFUNCTION("""COMPUTED_VALUE"""),6.0)</f>
        <v>6</v>
      </c>
      <c r="K35" s="189">
        <f>IFERROR(__xludf.DUMMYFUNCTION("""COMPUTED_VALUE"""),8.0)</f>
        <v>8</v>
      </c>
      <c r="L35" s="189">
        <f>IFERROR(__xludf.DUMMYFUNCTION("""COMPUTED_VALUE"""),4.0)</f>
        <v>4</v>
      </c>
      <c r="M35" s="189">
        <f>IFERROR(__xludf.DUMMYFUNCTION("""COMPUTED_VALUE"""),1.0)</f>
        <v>1</v>
      </c>
      <c r="N35" s="189">
        <f>IFERROR(__xludf.DUMMYFUNCTION("""COMPUTED_VALUE"""),1.0)</f>
        <v>1</v>
      </c>
      <c r="O35" s="189">
        <f>IFERROR(__xludf.DUMMYFUNCTION("""COMPUTED_VALUE"""),5.0)</f>
        <v>5</v>
      </c>
      <c r="P35" s="189">
        <f>IFERROR(__xludf.DUMMYFUNCTION("""COMPUTED_VALUE"""),2.0)</f>
        <v>2</v>
      </c>
      <c r="Q35" s="189">
        <f>IFERROR(__xludf.DUMMYFUNCTION("""COMPUTED_VALUE"""),8.0)</f>
        <v>8</v>
      </c>
      <c r="R35" s="189">
        <f>IFERROR(__xludf.DUMMYFUNCTION("""COMPUTED_VALUE"""),4.0)</f>
        <v>4</v>
      </c>
      <c r="S35" s="189">
        <f>IFERROR(__xludf.DUMMYFUNCTION("""COMPUTED_VALUE"""),0.0)</f>
        <v>0</v>
      </c>
      <c r="T35" s="189">
        <f>IFERROR(__xludf.DUMMYFUNCTION("""COMPUTED_VALUE"""),0.0)</f>
        <v>0</v>
      </c>
      <c r="U35" s="189">
        <f>IFERROR(__xludf.DUMMYFUNCTION("""COMPUTED_VALUE"""),4.0)</f>
        <v>4</v>
      </c>
      <c r="V35" s="189">
        <f>IFERROR(__xludf.DUMMYFUNCTION("""COMPUTED_VALUE"""),8.0)</f>
        <v>8</v>
      </c>
      <c r="W35" s="189">
        <f>IFERROR(__xludf.DUMMYFUNCTION("""COMPUTED_VALUE"""),2.0)</f>
        <v>2</v>
      </c>
      <c r="X35" s="189">
        <f>IFERROR(__xludf.DUMMYFUNCTION("""COMPUTED_VALUE"""),5.0)</f>
        <v>5</v>
      </c>
      <c r="Y35" s="189" t="str">
        <f>IFERROR(__xludf.DUMMYFUNCTION("""COMPUTED_VALUE"""),"2025-08-15T00:00:00.000Z")</f>
        <v>2025-08-15T00:00:00.000Z</v>
      </c>
      <c r="Z35" s="189" t="str">
        <f>IFERROR(__xludf.DUMMYFUNCTION("""COMPUTED_VALUE"""),"Eintracht Frankfurt_Bind")</f>
        <v>Eintracht Frankfurt_Bind</v>
      </c>
    </row>
    <row r="36">
      <c r="A36" s="189">
        <f>IFERROR(__xludf.DUMMYFUNCTION("""COMPUTED_VALUE"""),212732.0)</f>
        <v>212732</v>
      </c>
      <c r="B36" s="189">
        <f>IFERROR(__xludf.DUMMYFUNCTION("""COMPUTED_VALUE"""),93688.0)</f>
        <v>93688</v>
      </c>
      <c r="C36" s="189" t="str">
        <f>IFERROR(__xludf.DUMMYFUNCTION("""COMPUTED_VALUE"""),"Challengers 2025: Türkiye Birlik Split 3 - Playoffs")</f>
        <v>Challengers 2025: Türkiye Birlik Split 3 - Playoffs</v>
      </c>
      <c r="D36" s="189" t="str">
        <f>IFERROR(__xludf.DUMMYFUNCTION("""COMPUTED_VALUE"""),"Sunset")</f>
        <v>Sunset</v>
      </c>
      <c r="E36" s="189" t="str">
        <f>IFERROR(__xludf.DUMMYFUNCTION("""COMPUTED_VALUE"""),"ULF Esports")</f>
        <v>ULF Esports</v>
      </c>
      <c r="F36" s="189" t="str">
        <f>IFERROR(__xludf.DUMMYFUNCTION("""COMPUTED_VALUE"""),"Eternal Fire")</f>
        <v>Eternal Fire</v>
      </c>
      <c r="G36" s="189" t="str">
        <f>IFERROR(__xludf.DUMMYFUNCTION("""COMPUTED_VALUE"""),"Breach,Sova,Omen,Neon,Vyse")</f>
        <v>Breach,Sova,Omen,Neon,Vyse</v>
      </c>
      <c r="H36" s="189" t="str">
        <f>IFERROR(__xludf.DUMMYFUNCTION("""COMPUTED_VALUE"""),"Cypher,Sova,Omen,Yoru,Neon")</f>
        <v>Cypher,Sova,Omen,Yoru,Neon</v>
      </c>
      <c r="I36" s="189">
        <f>IFERROR(__xludf.DUMMYFUNCTION("""COMPUTED_VALUE"""),13.0)</f>
        <v>13</v>
      </c>
      <c r="J36" s="189">
        <f>IFERROR(__xludf.DUMMYFUNCTION("""COMPUTED_VALUE"""),8.0)</f>
        <v>8</v>
      </c>
      <c r="K36" s="189">
        <f>IFERROR(__xludf.DUMMYFUNCTION("""COMPUTED_VALUE"""),8.0)</f>
        <v>8</v>
      </c>
      <c r="L36" s="189">
        <f>IFERROR(__xludf.DUMMYFUNCTION("""COMPUTED_VALUE"""),4.0)</f>
        <v>4</v>
      </c>
      <c r="M36" s="189">
        <f>IFERROR(__xludf.DUMMYFUNCTION("""COMPUTED_VALUE"""),1.0)</f>
        <v>1</v>
      </c>
      <c r="N36" s="189">
        <f>IFERROR(__xludf.DUMMYFUNCTION("""COMPUTED_VALUE"""),1.0)</f>
        <v>1</v>
      </c>
      <c r="O36" s="189">
        <f>IFERROR(__xludf.DUMMYFUNCTION("""COMPUTED_VALUE"""),8.0)</f>
        <v>8</v>
      </c>
      <c r="P36" s="189">
        <f>IFERROR(__xludf.DUMMYFUNCTION("""COMPUTED_VALUE"""),4.0)</f>
        <v>4</v>
      </c>
      <c r="Q36" s="189">
        <f>IFERROR(__xludf.DUMMYFUNCTION("""COMPUTED_VALUE"""),5.0)</f>
        <v>5</v>
      </c>
      <c r="R36" s="189">
        <f>IFERROR(__xludf.DUMMYFUNCTION("""COMPUTED_VALUE"""),4.0)</f>
        <v>4</v>
      </c>
      <c r="S36" s="189">
        <f>IFERROR(__xludf.DUMMYFUNCTION("""COMPUTED_VALUE"""),0.0)</f>
        <v>0</v>
      </c>
      <c r="T36" s="189">
        <f>IFERROR(__xludf.DUMMYFUNCTION("""COMPUTED_VALUE"""),0.0)</f>
        <v>0</v>
      </c>
      <c r="U36" s="189">
        <f>IFERROR(__xludf.DUMMYFUNCTION("""COMPUTED_VALUE"""),4.0)</f>
        <v>4</v>
      </c>
      <c r="V36" s="189">
        <f>IFERROR(__xludf.DUMMYFUNCTION("""COMPUTED_VALUE"""),5.0)</f>
        <v>5</v>
      </c>
      <c r="W36" s="189">
        <f>IFERROR(__xludf.DUMMYFUNCTION("""COMPUTED_VALUE"""),4.0)</f>
        <v>4</v>
      </c>
      <c r="X36" s="189">
        <f>IFERROR(__xludf.DUMMYFUNCTION("""COMPUTED_VALUE"""),8.0)</f>
        <v>8</v>
      </c>
      <c r="Y36" s="189" t="str">
        <f>IFERROR(__xludf.DUMMYFUNCTION("""COMPUTED_VALUE"""),"2025-08-11T00:00:00.000Z")</f>
        <v>2025-08-11T00:00:00.000Z</v>
      </c>
      <c r="Z36" s="189" t="str">
        <f>IFERROR(__xludf.DUMMYFUNCTION("""COMPUTED_VALUE"""),"ULF Esports_Sunset")</f>
        <v>ULF Esports_Sunset</v>
      </c>
    </row>
    <row r="37">
      <c r="A37" s="189">
        <f>IFERROR(__xludf.DUMMYFUNCTION("""COMPUTED_VALUE"""),212731.0)</f>
        <v>212731</v>
      </c>
      <c r="B37" s="189">
        <f>IFERROR(__xludf.DUMMYFUNCTION("""COMPUTED_VALUE"""),93688.0)</f>
        <v>93688</v>
      </c>
      <c r="C37" s="189" t="str">
        <f>IFERROR(__xludf.DUMMYFUNCTION("""COMPUTED_VALUE"""),"Challengers 2025: Türkiye Birlik Split 3 - Playoffs")</f>
        <v>Challengers 2025: Türkiye Birlik Split 3 - Playoffs</v>
      </c>
      <c r="D37" s="189" t="str">
        <f>IFERROR(__xludf.DUMMYFUNCTION("""COMPUTED_VALUE"""),"Corrode")</f>
        <v>Corrode</v>
      </c>
      <c r="E37" s="189" t="str">
        <f>IFERROR(__xludf.DUMMYFUNCTION("""COMPUTED_VALUE"""),"ULF Esports")</f>
        <v>ULF Esports</v>
      </c>
      <c r="F37" s="189" t="str">
        <f>IFERROR(__xludf.DUMMYFUNCTION("""COMPUTED_VALUE"""),"Eternal Fire")</f>
        <v>Eternal Fire</v>
      </c>
      <c r="G37" s="189" t="str">
        <f>IFERROR(__xludf.DUMMYFUNCTION("""COMPUTED_VALUE"""),"Omen,KAY/O,Neon,Fade,Vyse")</f>
        <v>Omen,KAY/O,Neon,Fade,Vyse</v>
      </c>
      <c r="H37" s="189" t="str">
        <f>IFERROR(__xludf.DUMMYFUNCTION("""COMPUTED_VALUE"""),"Omen,Yoru,Neon,Fade,Vyse")</f>
        <v>Omen,Yoru,Neon,Fade,Vyse</v>
      </c>
      <c r="I37" s="189">
        <f>IFERROR(__xludf.DUMMYFUNCTION("""COMPUTED_VALUE"""),13.0)</f>
        <v>13</v>
      </c>
      <c r="J37" s="189">
        <f>IFERROR(__xludf.DUMMYFUNCTION("""COMPUTED_VALUE"""),8.0)</f>
        <v>8</v>
      </c>
      <c r="K37" s="189">
        <f>IFERROR(__xludf.DUMMYFUNCTION("""COMPUTED_VALUE"""),7.0)</f>
        <v>7</v>
      </c>
      <c r="L37" s="189">
        <f>IFERROR(__xludf.DUMMYFUNCTION("""COMPUTED_VALUE"""),5.0)</f>
        <v>5</v>
      </c>
      <c r="M37" s="189">
        <f>IFERROR(__xludf.DUMMYFUNCTION("""COMPUTED_VALUE"""),1.0)</f>
        <v>1</v>
      </c>
      <c r="N37" s="189">
        <f>IFERROR(__xludf.DUMMYFUNCTION("""COMPUTED_VALUE"""),0.0)</f>
        <v>0</v>
      </c>
      <c r="O37" s="189">
        <f>IFERROR(__xludf.DUMMYFUNCTION("""COMPUTED_VALUE"""),6.0)</f>
        <v>6</v>
      </c>
      <c r="P37" s="189">
        <f>IFERROR(__xludf.DUMMYFUNCTION("""COMPUTED_VALUE"""),3.0)</f>
        <v>3</v>
      </c>
      <c r="Q37" s="189">
        <f>IFERROR(__xludf.DUMMYFUNCTION("""COMPUTED_VALUE"""),7.0)</f>
        <v>7</v>
      </c>
      <c r="R37" s="189">
        <f>IFERROR(__xludf.DUMMYFUNCTION("""COMPUTED_VALUE"""),5.0)</f>
        <v>5</v>
      </c>
      <c r="S37" s="189">
        <f>IFERROR(__xludf.DUMMYFUNCTION("""COMPUTED_VALUE"""),1.0)</f>
        <v>1</v>
      </c>
      <c r="T37" s="189">
        <f>IFERROR(__xludf.DUMMYFUNCTION("""COMPUTED_VALUE"""),0.0)</f>
        <v>0</v>
      </c>
      <c r="U37" s="189">
        <f>IFERROR(__xludf.DUMMYFUNCTION("""COMPUTED_VALUE"""),5.0)</f>
        <v>5</v>
      </c>
      <c r="V37" s="189">
        <f>IFERROR(__xludf.DUMMYFUNCTION("""COMPUTED_VALUE"""),7.0)</f>
        <v>7</v>
      </c>
      <c r="W37" s="189">
        <f>IFERROR(__xludf.DUMMYFUNCTION("""COMPUTED_VALUE"""),3.0)</f>
        <v>3</v>
      </c>
      <c r="X37" s="189">
        <f>IFERROR(__xludf.DUMMYFUNCTION("""COMPUTED_VALUE"""),6.0)</f>
        <v>6</v>
      </c>
      <c r="Y37" s="189" t="str">
        <f>IFERROR(__xludf.DUMMYFUNCTION("""COMPUTED_VALUE"""),"2025-08-11T00:00:00.000Z")</f>
        <v>2025-08-11T00:00:00.000Z</v>
      </c>
      <c r="Z37" s="189" t="str">
        <f>IFERROR(__xludf.DUMMYFUNCTION("""COMPUTED_VALUE"""),"ULF Esports_Corrode")</f>
        <v>ULF Esports_Corrode</v>
      </c>
    </row>
    <row r="38">
      <c r="A38" s="189">
        <f>IFERROR(__xludf.DUMMYFUNCTION("""COMPUTED_VALUE"""),212730.0)</f>
        <v>212730</v>
      </c>
      <c r="B38" s="189">
        <f>IFERROR(__xludf.DUMMYFUNCTION("""COMPUTED_VALUE"""),93688.0)</f>
        <v>93688</v>
      </c>
      <c r="C38" s="189" t="str">
        <f>IFERROR(__xludf.DUMMYFUNCTION("""COMPUTED_VALUE"""),"Challengers 2025: Türkiye Birlik Split 3 - Playoffs")</f>
        <v>Challengers 2025: Türkiye Birlik Split 3 - Playoffs</v>
      </c>
      <c r="D38" s="189" t="str">
        <f>IFERROR(__xludf.DUMMYFUNCTION("""COMPUTED_VALUE"""),"Lotus")</f>
        <v>Lotus</v>
      </c>
      <c r="E38" s="189" t="str">
        <f>IFERROR(__xludf.DUMMYFUNCTION("""COMPUTED_VALUE"""),"ULF Esports")</f>
        <v>ULF Esports</v>
      </c>
      <c r="F38" s="189" t="str">
        <f>IFERROR(__xludf.DUMMYFUNCTION("""COMPUTED_VALUE"""),"Eternal Fire")</f>
        <v>Eternal Fire</v>
      </c>
      <c r="G38" s="189" t="str">
        <f>IFERROR(__xludf.DUMMYFUNCTION("""COMPUTED_VALUE"""),"Raze,Omen,Yoru,Fade,Vyse")</f>
        <v>Raze,Omen,Yoru,Fade,Vyse</v>
      </c>
      <c r="H38" s="189" t="str">
        <f>IFERROR(__xludf.DUMMYFUNCTION("""COMPUTED_VALUE"""),"Raze,Omen,Yoru,Fade,Vyse")</f>
        <v>Raze,Omen,Yoru,Fade,Vyse</v>
      </c>
      <c r="I38" s="189">
        <f>IFERROR(__xludf.DUMMYFUNCTION("""COMPUTED_VALUE"""),15.0)</f>
        <v>15</v>
      </c>
      <c r="J38" s="189">
        <f>IFERROR(__xludf.DUMMYFUNCTION("""COMPUTED_VALUE"""),13.0)</f>
        <v>13</v>
      </c>
      <c r="K38" s="189">
        <f>IFERROR(__xludf.DUMMYFUNCTION("""COMPUTED_VALUE"""),7.0)</f>
        <v>7</v>
      </c>
      <c r="L38" s="189">
        <f>IFERROR(__xludf.DUMMYFUNCTION("""COMPUTED_VALUE"""),5.0)</f>
        <v>5</v>
      </c>
      <c r="M38" s="189">
        <f>IFERROR(__xludf.DUMMYFUNCTION("""COMPUTED_VALUE"""),1.0)</f>
        <v>1</v>
      </c>
      <c r="N38" s="189">
        <f>IFERROR(__xludf.DUMMYFUNCTION("""COMPUTED_VALUE"""),0.0)</f>
        <v>0</v>
      </c>
      <c r="O38" s="189">
        <f>IFERROR(__xludf.DUMMYFUNCTION("""COMPUTED_VALUE"""),9.0)</f>
        <v>9</v>
      </c>
      <c r="P38" s="189">
        <f>IFERROR(__xludf.DUMMYFUNCTION("""COMPUTED_VALUE"""),5.0)</f>
        <v>5</v>
      </c>
      <c r="Q38" s="189">
        <f>IFERROR(__xludf.DUMMYFUNCTION("""COMPUTED_VALUE"""),6.0)</f>
        <v>6</v>
      </c>
      <c r="R38" s="189">
        <f>IFERROR(__xludf.DUMMYFUNCTION("""COMPUTED_VALUE"""),8.0)</f>
        <v>8</v>
      </c>
      <c r="S38" s="189">
        <f>IFERROR(__xludf.DUMMYFUNCTION("""COMPUTED_VALUE"""),1.0)</f>
        <v>1</v>
      </c>
      <c r="T38" s="189">
        <f>IFERROR(__xludf.DUMMYFUNCTION("""COMPUTED_VALUE"""),0.0)</f>
        <v>0</v>
      </c>
      <c r="U38" s="189">
        <f>IFERROR(__xludf.DUMMYFUNCTION("""COMPUTED_VALUE"""),8.0)</f>
        <v>8</v>
      </c>
      <c r="V38" s="189">
        <f>IFERROR(__xludf.DUMMYFUNCTION("""COMPUTED_VALUE"""),6.0)</f>
        <v>6</v>
      </c>
      <c r="W38" s="189">
        <f>IFERROR(__xludf.DUMMYFUNCTION("""COMPUTED_VALUE"""),5.0)</f>
        <v>5</v>
      </c>
      <c r="X38" s="189">
        <f>IFERROR(__xludf.DUMMYFUNCTION("""COMPUTED_VALUE"""),9.0)</f>
        <v>9</v>
      </c>
      <c r="Y38" s="189" t="str">
        <f>IFERROR(__xludf.DUMMYFUNCTION("""COMPUTED_VALUE"""),"2025-08-11T00:00:00.000Z")</f>
        <v>2025-08-11T00:00:00.000Z</v>
      </c>
      <c r="Z38" s="189" t="str">
        <f>IFERROR(__xludf.DUMMYFUNCTION("""COMPUTED_VALUE"""),"ULF Esports_Lotus")</f>
        <v>ULF Esports_Lotus</v>
      </c>
    </row>
    <row r="39">
      <c r="A39" s="189">
        <f>IFERROR(__xludf.DUMMYFUNCTION("""COMPUTED_VALUE"""),212684.0)</f>
        <v>212684</v>
      </c>
      <c r="B39" s="189">
        <f>IFERROR(__xludf.DUMMYFUNCTION("""COMPUTED_VALUE"""),93674.0)</f>
        <v>93674</v>
      </c>
      <c r="C39" s="189" t="str">
        <f>IFERROR(__xludf.DUMMYFUNCTION("""COMPUTED_VALUE"""),"Challengers 2025: France Revolution Split 3 - Playoffs")</f>
        <v>Challengers 2025: France Revolution Split 3 - Playoffs</v>
      </c>
      <c r="D39" s="189" t="str">
        <f>IFERROR(__xludf.DUMMYFUNCTION("""COMPUTED_VALUE"""),"Corrode")</f>
        <v>Corrode</v>
      </c>
      <c r="E39" s="189" t="str">
        <f>IFERROR(__xludf.DUMMYFUNCTION("""COMPUTED_VALUE"""),"Mandatory")</f>
        <v>Mandatory</v>
      </c>
      <c r="F39" s="189" t="str">
        <f>IFERROR(__xludf.DUMMYFUNCTION("""COMPUTED_VALUE"""),"BLX CORP")</f>
        <v>BLX CORP</v>
      </c>
      <c r="G39" s="189" t="str">
        <f>IFERROR(__xludf.DUMMYFUNCTION("""COMPUTED_VALUE"""),"Raze,Viper,Omen,Fade,Vyse")</f>
        <v>Raze,Viper,Omen,Fade,Vyse</v>
      </c>
      <c r="H39" s="189" t="str">
        <f>IFERROR(__xludf.DUMMYFUNCTION("""COMPUTED_VALUE"""),"Cypher,Sova,Phoenix,Yoru,Astra")</f>
        <v>Cypher,Sova,Phoenix,Yoru,Astra</v>
      </c>
      <c r="I39" s="189">
        <f>IFERROR(__xludf.DUMMYFUNCTION("""COMPUTED_VALUE"""),13.0)</f>
        <v>13</v>
      </c>
      <c r="J39" s="189">
        <f>IFERROR(__xludf.DUMMYFUNCTION("""COMPUTED_VALUE"""),4.0)</f>
        <v>4</v>
      </c>
      <c r="K39" s="189">
        <f>IFERROR(__xludf.DUMMYFUNCTION("""COMPUTED_VALUE"""),10.0)</f>
        <v>10</v>
      </c>
      <c r="L39" s="189">
        <f>IFERROR(__xludf.DUMMYFUNCTION("""COMPUTED_VALUE"""),2.0)</f>
        <v>2</v>
      </c>
      <c r="M39" s="189">
        <f>IFERROR(__xludf.DUMMYFUNCTION("""COMPUTED_VALUE"""),0.0)</f>
        <v>0</v>
      </c>
      <c r="N39" s="189">
        <f>IFERROR(__xludf.DUMMYFUNCTION("""COMPUTED_VALUE"""),1.0)</f>
        <v>1</v>
      </c>
      <c r="O39" s="189">
        <f>IFERROR(__xludf.DUMMYFUNCTION("""COMPUTED_VALUE"""),3.0)</f>
        <v>3</v>
      </c>
      <c r="P39" s="189">
        <f>IFERROR(__xludf.DUMMYFUNCTION("""COMPUTED_VALUE"""),2.0)</f>
        <v>2</v>
      </c>
      <c r="Q39" s="189">
        <f>IFERROR(__xludf.DUMMYFUNCTION("""COMPUTED_VALUE"""),10.0)</f>
        <v>10</v>
      </c>
      <c r="R39" s="189">
        <f>IFERROR(__xludf.DUMMYFUNCTION("""COMPUTED_VALUE"""),2.0)</f>
        <v>2</v>
      </c>
      <c r="S39" s="189">
        <f>IFERROR(__xludf.DUMMYFUNCTION("""COMPUTED_VALUE"""),0.0)</f>
        <v>0</v>
      </c>
      <c r="T39" s="189">
        <f>IFERROR(__xludf.DUMMYFUNCTION("""COMPUTED_VALUE"""),1.0)</f>
        <v>1</v>
      </c>
      <c r="U39" s="189">
        <f>IFERROR(__xludf.DUMMYFUNCTION("""COMPUTED_VALUE"""),2.0)</f>
        <v>2</v>
      </c>
      <c r="V39" s="189">
        <f>IFERROR(__xludf.DUMMYFUNCTION("""COMPUTED_VALUE"""),10.0)</f>
        <v>10</v>
      </c>
      <c r="W39" s="189">
        <f>IFERROR(__xludf.DUMMYFUNCTION("""COMPUTED_VALUE"""),2.0)</f>
        <v>2</v>
      </c>
      <c r="X39" s="189">
        <f>IFERROR(__xludf.DUMMYFUNCTION("""COMPUTED_VALUE"""),3.0)</f>
        <v>3</v>
      </c>
      <c r="Y39" s="189" t="str">
        <f>IFERROR(__xludf.DUMMYFUNCTION("""COMPUTED_VALUE"""),"2025-08-10T00:00:00.000Z")</f>
        <v>2025-08-10T00:00:00.000Z</v>
      </c>
      <c r="Z39" s="189" t="str">
        <f>IFERROR(__xludf.DUMMYFUNCTION("""COMPUTED_VALUE"""),"Mandatory_Corrode")</f>
        <v>Mandatory_Corrode</v>
      </c>
    </row>
    <row r="40">
      <c r="A40" s="189">
        <f>IFERROR(__xludf.DUMMYFUNCTION("""COMPUTED_VALUE"""),212232.0)</f>
        <v>212232</v>
      </c>
      <c r="B40" s="189">
        <f>IFERROR(__xludf.DUMMYFUNCTION("""COMPUTED_VALUE"""),93506.0)</f>
        <v>93506</v>
      </c>
      <c r="C40" s="189" t="str">
        <f>IFERROR(__xludf.DUMMYFUNCTION("""COMPUTED_VALUE"""),"Challengers 2025: Türkiye Birlik Split 3 - Playoffs")</f>
        <v>Challengers 2025: Türkiye Birlik Split 3 - Playoffs</v>
      </c>
      <c r="D40" s="189" t="str">
        <f>IFERROR(__xludf.DUMMYFUNCTION("""COMPUTED_VALUE"""),"Corrode")</f>
        <v>Corrode</v>
      </c>
      <c r="E40" s="189" t="str">
        <f>IFERROR(__xludf.DUMMYFUNCTION("""COMPUTED_VALUE"""),"BBL PCIFIC")</f>
        <v>BBL PCIFIC</v>
      </c>
      <c r="F40" s="189" t="str">
        <f>IFERROR(__xludf.DUMMYFUNCTION("""COMPUTED_VALUE"""),"ULF Esports")</f>
        <v>ULF Esports</v>
      </c>
      <c r="G40" s="189" t="str">
        <f>IFERROR(__xludf.DUMMYFUNCTION("""COMPUTED_VALUE"""),"Viper,Omen,Neon,Fade,Vyse")</f>
        <v>Viper,Omen,Neon,Fade,Vyse</v>
      </c>
      <c r="H40" s="189" t="str">
        <f>IFERROR(__xludf.DUMMYFUNCTION("""COMPUTED_VALUE"""),"Omen,KAY/O,Neon,Fade,Vyse")</f>
        <v>Omen,KAY/O,Neon,Fade,Vyse</v>
      </c>
      <c r="I40" s="189">
        <f>IFERROR(__xludf.DUMMYFUNCTION("""COMPUTED_VALUE"""),13.0)</f>
        <v>13</v>
      </c>
      <c r="J40" s="189">
        <f>IFERROR(__xludf.DUMMYFUNCTION("""COMPUTED_VALUE"""),11.0)</f>
        <v>11</v>
      </c>
      <c r="K40" s="189">
        <f>IFERROR(__xludf.DUMMYFUNCTION("""COMPUTED_VALUE"""),8.0)</f>
        <v>8</v>
      </c>
      <c r="L40" s="189">
        <f>IFERROR(__xludf.DUMMYFUNCTION("""COMPUTED_VALUE"""),4.0)</f>
        <v>4</v>
      </c>
      <c r="M40" s="189">
        <f>IFERROR(__xludf.DUMMYFUNCTION("""COMPUTED_VALUE"""),1.0)</f>
        <v>1</v>
      </c>
      <c r="N40" s="189">
        <f>IFERROR(__xludf.DUMMYFUNCTION("""COMPUTED_VALUE"""),1.0)</f>
        <v>1</v>
      </c>
      <c r="O40" s="189">
        <f>IFERROR(__xludf.DUMMYFUNCTION("""COMPUTED_VALUE"""),5.0)</f>
        <v>5</v>
      </c>
      <c r="P40" s="189">
        <f>IFERROR(__xludf.DUMMYFUNCTION("""COMPUTED_VALUE"""),7.0)</f>
        <v>7</v>
      </c>
      <c r="Q40" s="189">
        <f>IFERROR(__xludf.DUMMYFUNCTION("""COMPUTED_VALUE"""),8.0)</f>
        <v>8</v>
      </c>
      <c r="R40" s="189">
        <f>IFERROR(__xludf.DUMMYFUNCTION("""COMPUTED_VALUE"""),4.0)</f>
        <v>4</v>
      </c>
      <c r="S40" s="189">
        <f>IFERROR(__xludf.DUMMYFUNCTION("""COMPUTED_VALUE"""),0.0)</f>
        <v>0</v>
      </c>
      <c r="T40" s="189">
        <f>IFERROR(__xludf.DUMMYFUNCTION("""COMPUTED_VALUE"""),0.0)</f>
        <v>0</v>
      </c>
      <c r="U40" s="189">
        <f>IFERROR(__xludf.DUMMYFUNCTION("""COMPUTED_VALUE"""),4.0)</f>
        <v>4</v>
      </c>
      <c r="V40" s="189">
        <f>IFERROR(__xludf.DUMMYFUNCTION("""COMPUTED_VALUE"""),8.0)</f>
        <v>8</v>
      </c>
      <c r="W40" s="189">
        <f>IFERROR(__xludf.DUMMYFUNCTION("""COMPUTED_VALUE"""),7.0)</f>
        <v>7</v>
      </c>
      <c r="X40" s="189">
        <f>IFERROR(__xludf.DUMMYFUNCTION("""COMPUTED_VALUE"""),5.0)</f>
        <v>5</v>
      </c>
      <c r="Y40" s="189" t="str">
        <f>IFERROR(__xludf.DUMMYFUNCTION("""COMPUTED_VALUE"""),"2025-08-10T00:00:00.000Z")</f>
        <v>2025-08-10T00:00:00.000Z</v>
      </c>
      <c r="Z40" s="189" t="str">
        <f>IFERROR(__xludf.DUMMYFUNCTION("""COMPUTED_VALUE"""),"BBL PCIFIC_Corrode")</f>
        <v>BBL PCIFIC_Corrode</v>
      </c>
    </row>
    <row r="41">
      <c r="A41" s="189">
        <f>IFERROR(__xludf.DUMMYFUNCTION("""COMPUTED_VALUE"""),212683.0)</f>
        <v>212683</v>
      </c>
      <c r="B41" s="189">
        <f>IFERROR(__xludf.DUMMYFUNCTION("""COMPUTED_VALUE"""),93674.0)</f>
        <v>93674</v>
      </c>
      <c r="C41" s="189" t="str">
        <f>IFERROR(__xludf.DUMMYFUNCTION("""COMPUTED_VALUE"""),"Challengers 2025: France Revolution Split 3 - Playoffs")</f>
        <v>Challengers 2025: France Revolution Split 3 - Playoffs</v>
      </c>
      <c r="D41" s="189" t="str">
        <f>IFERROR(__xludf.DUMMYFUNCTION("""COMPUTED_VALUE"""),"Icebox")</f>
        <v>Icebox</v>
      </c>
      <c r="E41" s="189" t="str">
        <f>IFERROR(__xludf.DUMMYFUNCTION("""COMPUTED_VALUE"""),"Mandatory")</f>
        <v>Mandatory</v>
      </c>
      <c r="F41" s="189" t="str">
        <f>IFERROR(__xludf.DUMMYFUNCTION("""COMPUTED_VALUE"""),"BLX CORP")</f>
        <v>BLX CORP</v>
      </c>
      <c r="G41" s="189" t="str">
        <f>IFERROR(__xludf.DUMMYFUNCTION("""COMPUTED_VALUE"""),"Sova,Killjoy,Viper,Omen,Gekko")</f>
        <v>Sova,Killjoy,Viper,Omen,Gekko</v>
      </c>
      <c r="H41" s="189" t="str">
        <f>IFERROR(__xludf.DUMMYFUNCTION("""COMPUTED_VALUE"""),"Sova,Killjoy,Viper,Sage,Jett")</f>
        <v>Sova,Killjoy,Viper,Sage,Jett</v>
      </c>
      <c r="I41" s="189">
        <f>IFERROR(__xludf.DUMMYFUNCTION("""COMPUTED_VALUE"""),13.0)</f>
        <v>13</v>
      </c>
      <c r="J41" s="189">
        <f>IFERROR(__xludf.DUMMYFUNCTION("""COMPUTED_VALUE"""),9.0)</f>
        <v>9</v>
      </c>
      <c r="K41" s="189">
        <f>IFERROR(__xludf.DUMMYFUNCTION("""COMPUTED_VALUE"""),6.0)</f>
        <v>6</v>
      </c>
      <c r="L41" s="189">
        <f>IFERROR(__xludf.DUMMYFUNCTION("""COMPUTED_VALUE"""),6.0)</f>
        <v>6</v>
      </c>
      <c r="M41" s="189">
        <f>IFERROR(__xludf.DUMMYFUNCTION("""COMPUTED_VALUE"""),1.0)</f>
        <v>1</v>
      </c>
      <c r="N41" s="189">
        <f>IFERROR(__xludf.DUMMYFUNCTION("""COMPUTED_VALUE"""),0.0)</f>
        <v>0</v>
      </c>
      <c r="O41" s="189">
        <f>IFERROR(__xludf.DUMMYFUNCTION("""COMPUTED_VALUE"""),7.0)</f>
        <v>7</v>
      </c>
      <c r="P41" s="189">
        <f>IFERROR(__xludf.DUMMYFUNCTION("""COMPUTED_VALUE"""),3.0)</f>
        <v>3</v>
      </c>
      <c r="Q41" s="189">
        <f>IFERROR(__xludf.DUMMYFUNCTION("""COMPUTED_VALUE"""),6.0)</f>
        <v>6</v>
      </c>
      <c r="R41" s="189">
        <f>IFERROR(__xludf.DUMMYFUNCTION("""COMPUTED_VALUE"""),6.0)</f>
        <v>6</v>
      </c>
      <c r="S41" s="189">
        <f>IFERROR(__xludf.DUMMYFUNCTION("""COMPUTED_VALUE"""),1.0)</f>
        <v>1</v>
      </c>
      <c r="T41" s="189">
        <f>IFERROR(__xludf.DUMMYFUNCTION("""COMPUTED_VALUE"""),0.0)</f>
        <v>0</v>
      </c>
      <c r="U41" s="189">
        <f>IFERROR(__xludf.DUMMYFUNCTION("""COMPUTED_VALUE"""),6.0)</f>
        <v>6</v>
      </c>
      <c r="V41" s="189">
        <f>IFERROR(__xludf.DUMMYFUNCTION("""COMPUTED_VALUE"""),6.0)</f>
        <v>6</v>
      </c>
      <c r="W41" s="189">
        <f>IFERROR(__xludf.DUMMYFUNCTION("""COMPUTED_VALUE"""),3.0)</f>
        <v>3</v>
      </c>
      <c r="X41" s="189">
        <f>IFERROR(__xludf.DUMMYFUNCTION("""COMPUTED_VALUE"""),7.0)</f>
        <v>7</v>
      </c>
      <c r="Y41" s="189" t="str">
        <f>IFERROR(__xludf.DUMMYFUNCTION("""COMPUTED_VALUE"""),"2025-08-10T00:00:00.000Z")</f>
        <v>2025-08-10T00:00:00.000Z</v>
      </c>
      <c r="Z41" s="189" t="str">
        <f>IFERROR(__xludf.DUMMYFUNCTION("""COMPUTED_VALUE"""),"Mandatory_Icebox")</f>
        <v>Mandatory_Icebox</v>
      </c>
    </row>
    <row r="42">
      <c r="A42" s="189">
        <f>IFERROR(__xludf.DUMMYFUNCTION("""COMPUTED_VALUE"""),212681.0)</f>
        <v>212681</v>
      </c>
      <c r="B42" s="189">
        <f>IFERROR(__xludf.DUMMYFUNCTION("""COMPUTED_VALUE"""),93673.0)</f>
        <v>93673</v>
      </c>
      <c r="C42" s="189" t="str">
        <f>IFERROR(__xludf.DUMMYFUNCTION("""COMPUTED_VALUE"""),"Challengers 2025: Spain Rising Finals - Playoffs")</f>
        <v>Challengers 2025: Spain Rising Finals - Playoffs</v>
      </c>
      <c r="D42" s="189" t="str">
        <f>IFERROR(__xludf.DUMMYFUNCTION("""COMPUTED_VALUE"""),"Lotus")</f>
        <v>Lotus</v>
      </c>
      <c r="E42" s="189" t="str">
        <f>IFERROR(__xludf.DUMMYFUNCTION("""COMPUTED_VALUE"""),"DNSTY")</f>
        <v>DNSTY</v>
      </c>
      <c r="F42" s="189" t="str">
        <f>IFERROR(__xludf.DUMMYFUNCTION("""COMPUTED_VALUE"""),"UCAM Esports Club")</f>
        <v>UCAM Esports Club</v>
      </c>
      <c r="G42" s="189" t="str">
        <f>IFERROR(__xludf.DUMMYFUNCTION("""COMPUTED_VALUE"""),"Raze,Killjoy,Viper,Omen,Fade")</f>
        <v>Raze,Killjoy,Viper,Omen,Fade</v>
      </c>
      <c r="H42" s="189" t="str">
        <f>IFERROR(__xludf.DUMMYFUNCTION("""COMPUTED_VALUE"""),"Breach,Raze,Omen,Fade,Vyse")</f>
        <v>Breach,Raze,Omen,Fade,Vyse</v>
      </c>
      <c r="I42" s="189">
        <f>IFERROR(__xludf.DUMMYFUNCTION("""COMPUTED_VALUE"""),13.0)</f>
        <v>13</v>
      </c>
      <c r="J42" s="189">
        <f>IFERROR(__xludf.DUMMYFUNCTION("""COMPUTED_VALUE"""),7.0)</f>
        <v>7</v>
      </c>
      <c r="K42" s="189">
        <f>IFERROR(__xludf.DUMMYFUNCTION("""COMPUTED_VALUE"""),9.0)</f>
        <v>9</v>
      </c>
      <c r="L42" s="189">
        <f>IFERROR(__xludf.DUMMYFUNCTION("""COMPUTED_VALUE"""),3.0)</f>
        <v>3</v>
      </c>
      <c r="M42" s="189">
        <f>IFERROR(__xludf.DUMMYFUNCTION("""COMPUTED_VALUE"""),0.0)</f>
        <v>0</v>
      </c>
      <c r="N42" s="189">
        <f>IFERROR(__xludf.DUMMYFUNCTION("""COMPUTED_VALUE"""),1.0)</f>
        <v>1</v>
      </c>
      <c r="O42" s="189">
        <f>IFERROR(__xludf.DUMMYFUNCTION("""COMPUTED_VALUE"""),4.0)</f>
        <v>4</v>
      </c>
      <c r="P42" s="189">
        <f>IFERROR(__xludf.DUMMYFUNCTION("""COMPUTED_VALUE"""),4.0)</f>
        <v>4</v>
      </c>
      <c r="Q42" s="189">
        <f>IFERROR(__xludf.DUMMYFUNCTION("""COMPUTED_VALUE"""),9.0)</f>
        <v>9</v>
      </c>
      <c r="R42" s="189">
        <f>IFERROR(__xludf.DUMMYFUNCTION("""COMPUTED_VALUE"""),3.0)</f>
        <v>3</v>
      </c>
      <c r="S42" s="189">
        <f>IFERROR(__xludf.DUMMYFUNCTION("""COMPUTED_VALUE"""),0.0)</f>
        <v>0</v>
      </c>
      <c r="T42" s="189">
        <f>IFERROR(__xludf.DUMMYFUNCTION("""COMPUTED_VALUE"""),1.0)</f>
        <v>1</v>
      </c>
      <c r="U42" s="189">
        <f>IFERROR(__xludf.DUMMYFUNCTION("""COMPUTED_VALUE"""),3.0)</f>
        <v>3</v>
      </c>
      <c r="V42" s="189">
        <f>IFERROR(__xludf.DUMMYFUNCTION("""COMPUTED_VALUE"""),9.0)</f>
        <v>9</v>
      </c>
      <c r="W42" s="189">
        <f>IFERROR(__xludf.DUMMYFUNCTION("""COMPUTED_VALUE"""),4.0)</f>
        <v>4</v>
      </c>
      <c r="X42" s="189">
        <f>IFERROR(__xludf.DUMMYFUNCTION("""COMPUTED_VALUE"""),4.0)</f>
        <v>4</v>
      </c>
      <c r="Y42" s="189" t="str">
        <f>IFERROR(__xludf.DUMMYFUNCTION("""COMPUTED_VALUE"""),"2025-08-10T00:00:00.000Z")</f>
        <v>2025-08-10T00:00:00.000Z</v>
      </c>
      <c r="Z42" s="189" t="str">
        <f>IFERROR(__xludf.DUMMYFUNCTION("""COMPUTED_VALUE"""),"DNSTY_Lotus")</f>
        <v>DNSTY_Lotus</v>
      </c>
    </row>
    <row r="43">
      <c r="A43" s="189">
        <f>IFERROR(__xludf.DUMMYFUNCTION("""COMPUTED_VALUE"""),212231.0)</f>
        <v>212231</v>
      </c>
      <c r="B43" s="189">
        <f>IFERROR(__xludf.DUMMYFUNCTION("""COMPUTED_VALUE"""),93506.0)</f>
        <v>93506</v>
      </c>
      <c r="C43" s="189" t="str">
        <f>IFERROR(__xludf.DUMMYFUNCTION("""COMPUTED_VALUE"""),"Challengers 2025: Türkiye Birlik Split 3 - Playoffs")</f>
        <v>Challengers 2025: Türkiye Birlik Split 3 - Playoffs</v>
      </c>
      <c r="D43" s="189" t="str">
        <f>IFERROR(__xludf.DUMMYFUNCTION("""COMPUTED_VALUE"""),"Sunset")</f>
        <v>Sunset</v>
      </c>
      <c r="E43" s="189" t="str">
        <f>IFERROR(__xludf.DUMMYFUNCTION("""COMPUTED_VALUE"""),"BBL PCIFIC")</f>
        <v>BBL PCIFIC</v>
      </c>
      <c r="F43" s="189" t="str">
        <f>IFERROR(__xludf.DUMMYFUNCTION("""COMPUTED_VALUE"""),"ULF Esports")</f>
        <v>ULF Esports</v>
      </c>
      <c r="G43" s="189" t="str">
        <f>IFERROR(__xludf.DUMMYFUNCTION("""COMPUTED_VALUE"""),"Breach,Cypher,Sova,Omen,Neon")</f>
        <v>Breach,Cypher,Sova,Omen,Neon</v>
      </c>
      <c r="H43" s="189" t="str">
        <f>IFERROR(__xludf.DUMMYFUNCTION("""COMPUTED_VALUE"""),"Breach,Sova,Omen,Neon,Vyse")</f>
        <v>Breach,Sova,Omen,Neon,Vyse</v>
      </c>
      <c r="I43" s="189">
        <f>IFERROR(__xludf.DUMMYFUNCTION("""COMPUTED_VALUE"""),11.0)</f>
        <v>11</v>
      </c>
      <c r="J43" s="189">
        <f>IFERROR(__xludf.DUMMYFUNCTION("""COMPUTED_VALUE"""),13.0)</f>
        <v>13</v>
      </c>
      <c r="K43" s="189">
        <f>IFERROR(__xludf.DUMMYFUNCTION("""COMPUTED_VALUE"""),5.0)</f>
        <v>5</v>
      </c>
      <c r="L43" s="189">
        <f>IFERROR(__xludf.DUMMYFUNCTION("""COMPUTED_VALUE"""),7.0)</f>
        <v>7</v>
      </c>
      <c r="M43" s="189">
        <f>IFERROR(__xludf.DUMMYFUNCTION("""COMPUTED_VALUE"""),0.0)</f>
        <v>0</v>
      </c>
      <c r="N43" s="189">
        <f>IFERROR(__xludf.DUMMYFUNCTION("""COMPUTED_VALUE"""),1.0)</f>
        <v>1</v>
      </c>
      <c r="O43" s="189">
        <f>IFERROR(__xludf.DUMMYFUNCTION("""COMPUTED_VALUE"""),5.0)</f>
        <v>5</v>
      </c>
      <c r="P43" s="189">
        <f>IFERROR(__xludf.DUMMYFUNCTION("""COMPUTED_VALUE"""),7.0)</f>
        <v>7</v>
      </c>
      <c r="Q43" s="189">
        <f>IFERROR(__xludf.DUMMYFUNCTION("""COMPUTED_VALUE"""),6.0)</f>
        <v>6</v>
      </c>
      <c r="R43" s="189">
        <f>IFERROR(__xludf.DUMMYFUNCTION("""COMPUTED_VALUE"""),6.0)</f>
        <v>6</v>
      </c>
      <c r="S43" s="189">
        <f>IFERROR(__xludf.DUMMYFUNCTION("""COMPUTED_VALUE"""),0.0)</f>
        <v>0</v>
      </c>
      <c r="T43" s="189">
        <f>IFERROR(__xludf.DUMMYFUNCTION("""COMPUTED_VALUE"""),1.0)</f>
        <v>1</v>
      </c>
      <c r="U43" s="189">
        <f>IFERROR(__xludf.DUMMYFUNCTION("""COMPUTED_VALUE"""),6.0)</f>
        <v>6</v>
      </c>
      <c r="V43" s="189">
        <f>IFERROR(__xludf.DUMMYFUNCTION("""COMPUTED_VALUE"""),6.0)</f>
        <v>6</v>
      </c>
      <c r="W43" s="189">
        <f>IFERROR(__xludf.DUMMYFUNCTION("""COMPUTED_VALUE"""),7.0)</f>
        <v>7</v>
      </c>
      <c r="X43" s="189">
        <f>IFERROR(__xludf.DUMMYFUNCTION("""COMPUTED_VALUE"""),5.0)</f>
        <v>5</v>
      </c>
      <c r="Y43" s="189" t="str">
        <f>IFERROR(__xludf.DUMMYFUNCTION("""COMPUTED_VALUE"""),"2025-08-10T00:00:00.000Z")</f>
        <v>2025-08-10T00:00:00.000Z</v>
      </c>
      <c r="Z43" s="189" t="str">
        <f>IFERROR(__xludf.DUMMYFUNCTION("""COMPUTED_VALUE"""),"BBL PCIFIC_Sunset")</f>
        <v>BBL PCIFIC_Sunset</v>
      </c>
    </row>
    <row r="44">
      <c r="A44" s="189">
        <f>IFERROR(__xludf.DUMMYFUNCTION("""COMPUTED_VALUE"""),212682.0)</f>
        <v>212682</v>
      </c>
      <c r="B44" s="189">
        <f>IFERROR(__xludf.DUMMYFUNCTION("""COMPUTED_VALUE"""),93674.0)</f>
        <v>93674</v>
      </c>
      <c r="C44" s="189" t="str">
        <f>IFERROR(__xludf.DUMMYFUNCTION("""COMPUTED_VALUE"""),"Challengers 2025: France Revolution Split 3 - Playoffs")</f>
        <v>Challengers 2025: France Revolution Split 3 - Playoffs</v>
      </c>
      <c r="D44" s="189" t="str">
        <f>IFERROR(__xludf.DUMMYFUNCTION("""COMPUTED_VALUE"""),"Lotus")</f>
        <v>Lotus</v>
      </c>
      <c r="E44" s="189" t="str">
        <f>IFERROR(__xludf.DUMMYFUNCTION("""COMPUTED_VALUE"""),"Mandatory")</f>
        <v>Mandatory</v>
      </c>
      <c r="F44" s="189" t="str">
        <f>IFERROR(__xludf.DUMMYFUNCTION("""COMPUTED_VALUE"""),"BLX CORP")</f>
        <v>BLX CORP</v>
      </c>
      <c r="G44" s="189" t="str">
        <f>IFERROR(__xludf.DUMMYFUNCTION("""COMPUTED_VALUE"""),"Cypher,Sova,Omen,Yoru,Deadlock")</f>
        <v>Cypher,Sova,Omen,Yoru,Deadlock</v>
      </c>
      <c r="H44" s="189" t="str">
        <f>IFERROR(__xludf.DUMMYFUNCTION("""COMPUTED_VALUE"""),"Sova,Omen,KAY/O,Neon,Deadlock")</f>
        <v>Sova,Omen,KAY/O,Neon,Deadlock</v>
      </c>
      <c r="I44" s="189">
        <f>IFERROR(__xludf.DUMMYFUNCTION("""COMPUTED_VALUE"""),6.0)</f>
        <v>6</v>
      </c>
      <c r="J44" s="189">
        <f>IFERROR(__xludf.DUMMYFUNCTION("""COMPUTED_VALUE"""),13.0)</f>
        <v>13</v>
      </c>
      <c r="K44" s="189">
        <f>IFERROR(__xludf.DUMMYFUNCTION("""COMPUTED_VALUE"""),3.0)</f>
        <v>3</v>
      </c>
      <c r="L44" s="189">
        <f>IFERROR(__xludf.DUMMYFUNCTION("""COMPUTED_VALUE"""),9.0)</f>
        <v>9</v>
      </c>
      <c r="M44" s="189">
        <f>IFERROR(__xludf.DUMMYFUNCTION("""COMPUTED_VALUE"""),0.0)</f>
        <v>0</v>
      </c>
      <c r="N44" s="189">
        <f>IFERROR(__xludf.DUMMYFUNCTION("""COMPUTED_VALUE"""),1.0)</f>
        <v>1</v>
      </c>
      <c r="O44" s="189">
        <f>IFERROR(__xludf.DUMMYFUNCTION("""COMPUTED_VALUE"""),3.0)</f>
        <v>3</v>
      </c>
      <c r="P44" s="189">
        <f>IFERROR(__xludf.DUMMYFUNCTION("""COMPUTED_VALUE"""),9.0)</f>
        <v>9</v>
      </c>
      <c r="Q44" s="189">
        <f>IFERROR(__xludf.DUMMYFUNCTION("""COMPUTED_VALUE"""),3.0)</f>
        <v>3</v>
      </c>
      <c r="R44" s="189">
        <f>IFERROR(__xludf.DUMMYFUNCTION("""COMPUTED_VALUE"""),4.0)</f>
        <v>4</v>
      </c>
      <c r="S44" s="189">
        <f>IFERROR(__xludf.DUMMYFUNCTION("""COMPUTED_VALUE"""),0.0)</f>
        <v>0</v>
      </c>
      <c r="T44" s="189">
        <f>IFERROR(__xludf.DUMMYFUNCTION("""COMPUTED_VALUE"""),1.0)</f>
        <v>1</v>
      </c>
      <c r="U44" s="189">
        <f>IFERROR(__xludf.DUMMYFUNCTION("""COMPUTED_VALUE"""),4.0)</f>
        <v>4</v>
      </c>
      <c r="V44" s="189">
        <f>IFERROR(__xludf.DUMMYFUNCTION("""COMPUTED_VALUE"""),3.0)</f>
        <v>3</v>
      </c>
      <c r="W44" s="189">
        <f>IFERROR(__xludf.DUMMYFUNCTION("""COMPUTED_VALUE"""),9.0)</f>
        <v>9</v>
      </c>
      <c r="X44" s="189">
        <f>IFERROR(__xludf.DUMMYFUNCTION("""COMPUTED_VALUE"""),3.0)</f>
        <v>3</v>
      </c>
      <c r="Y44" s="189" t="str">
        <f>IFERROR(__xludf.DUMMYFUNCTION("""COMPUTED_VALUE"""),"2025-08-10T00:00:00.000Z")</f>
        <v>2025-08-10T00:00:00.000Z</v>
      </c>
      <c r="Z44" s="189" t="str">
        <f>IFERROR(__xludf.DUMMYFUNCTION("""COMPUTED_VALUE"""),"Mandatory_Lotus")</f>
        <v>Mandatory_Lotus</v>
      </c>
    </row>
    <row r="45">
      <c r="A45" s="189">
        <f>IFERROR(__xludf.DUMMYFUNCTION("""COMPUTED_VALUE"""),212230.0)</f>
        <v>212230</v>
      </c>
      <c r="B45" s="189">
        <f>IFERROR(__xludf.DUMMYFUNCTION("""COMPUTED_VALUE"""),93506.0)</f>
        <v>93506</v>
      </c>
      <c r="C45" s="189" t="str">
        <f>IFERROR(__xludf.DUMMYFUNCTION("""COMPUTED_VALUE"""),"Challengers 2025: Türkiye Birlik Split 3 - Playoffs")</f>
        <v>Challengers 2025: Türkiye Birlik Split 3 - Playoffs</v>
      </c>
      <c r="D45" s="189" t="str">
        <f>IFERROR(__xludf.DUMMYFUNCTION("""COMPUTED_VALUE"""),"Haven")</f>
        <v>Haven</v>
      </c>
      <c r="E45" s="189" t="str">
        <f>IFERROR(__xludf.DUMMYFUNCTION("""COMPUTED_VALUE"""),"BBL PCIFIC")</f>
        <v>BBL PCIFIC</v>
      </c>
      <c r="F45" s="189" t="str">
        <f>IFERROR(__xludf.DUMMYFUNCTION("""COMPUTED_VALUE"""),"ULF Esports")</f>
        <v>ULF Esports</v>
      </c>
      <c r="G45" s="189" t="str">
        <f>IFERROR(__xludf.DUMMYFUNCTION("""COMPUTED_VALUE"""),"Breach,Cypher,Sova,Omen,Jett")</f>
        <v>Breach,Cypher,Sova,Omen,Jett</v>
      </c>
      <c r="H45" s="189" t="str">
        <f>IFERROR(__xludf.DUMMYFUNCTION("""COMPUTED_VALUE"""),"Breach,Cypher,Sova,Omen,Neon")</f>
        <v>Breach,Cypher,Sova,Omen,Neon</v>
      </c>
      <c r="I45" s="189">
        <f>IFERROR(__xludf.DUMMYFUNCTION("""COMPUTED_VALUE"""),13.0)</f>
        <v>13</v>
      </c>
      <c r="J45" s="189">
        <f>IFERROR(__xludf.DUMMYFUNCTION("""COMPUTED_VALUE"""),10.0)</f>
        <v>10</v>
      </c>
      <c r="K45" s="189">
        <f>IFERROR(__xludf.DUMMYFUNCTION("""COMPUTED_VALUE"""),8.0)</f>
        <v>8</v>
      </c>
      <c r="L45" s="189">
        <f>IFERROR(__xludf.DUMMYFUNCTION("""COMPUTED_VALUE"""),4.0)</f>
        <v>4</v>
      </c>
      <c r="M45" s="189">
        <f>IFERROR(__xludf.DUMMYFUNCTION("""COMPUTED_VALUE"""),1.0)</f>
        <v>1</v>
      </c>
      <c r="N45" s="189">
        <f>IFERROR(__xludf.DUMMYFUNCTION("""COMPUTED_VALUE"""),0.0)</f>
        <v>0</v>
      </c>
      <c r="O45" s="189">
        <f>IFERROR(__xludf.DUMMYFUNCTION("""COMPUTED_VALUE"""),8.0)</f>
        <v>8</v>
      </c>
      <c r="P45" s="189">
        <f>IFERROR(__xludf.DUMMYFUNCTION("""COMPUTED_VALUE"""),4.0)</f>
        <v>4</v>
      </c>
      <c r="Q45" s="189">
        <f>IFERROR(__xludf.DUMMYFUNCTION("""COMPUTED_VALUE"""),5.0)</f>
        <v>5</v>
      </c>
      <c r="R45" s="189">
        <f>IFERROR(__xludf.DUMMYFUNCTION("""COMPUTED_VALUE"""),6.0)</f>
        <v>6</v>
      </c>
      <c r="S45" s="189">
        <f>IFERROR(__xludf.DUMMYFUNCTION("""COMPUTED_VALUE"""),1.0)</f>
        <v>1</v>
      </c>
      <c r="T45" s="189">
        <f>IFERROR(__xludf.DUMMYFUNCTION("""COMPUTED_VALUE"""),0.0)</f>
        <v>0</v>
      </c>
      <c r="U45" s="189">
        <f>IFERROR(__xludf.DUMMYFUNCTION("""COMPUTED_VALUE"""),6.0)</f>
        <v>6</v>
      </c>
      <c r="V45" s="189">
        <f>IFERROR(__xludf.DUMMYFUNCTION("""COMPUTED_VALUE"""),5.0)</f>
        <v>5</v>
      </c>
      <c r="W45" s="189">
        <f>IFERROR(__xludf.DUMMYFUNCTION("""COMPUTED_VALUE"""),4.0)</f>
        <v>4</v>
      </c>
      <c r="X45" s="189">
        <f>IFERROR(__xludf.DUMMYFUNCTION("""COMPUTED_VALUE"""),8.0)</f>
        <v>8</v>
      </c>
      <c r="Y45" s="189" t="str">
        <f>IFERROR(__xludf.DUMMYFUNCTION("""COMPUTED_VALUE"""),"2025-08-10T00:00:00.000Z")</f>
        <v>2025-08-10T00:00:00.000Z</v>
      </c>
      <c r="Z45" s="189" t="str">
        <f>IFERROR(__xludf.DUMMYFUNCTION("""COMPUTED_VALUE"""),"BBL PCIFIC_Haven")</f>
        <v>BBL PCIFIC_Haven</v>
      </c>
    </row>
    <row r="46">
      <c r="A46" s="189">
        <f>IFERROR(__xludf.DUMMYFUNCTION("""COMPUTED_VALUE"""),212680.0)</f>
        <v>212680</v>
      </c>
      <c r="B46" s="189">
        <f>IFERROR(__xludf.DUMMYFUNCTION("""COMPUTED_VALUE"""),93673.0)</f>
        <v>93673</v>
      </c>
      <c r="C46" s="189" t="str">
        <f>IFERROR(__xludf.DUMMYFUNCTION("""COMPUTED_VALUE"""),"Challengers 2025: Spain Rising Finals - Playoffs")</f>
        <v>Challengers 2025: Spain Rising Finals - Playoffs</v>
      </c>
      <c r="D46" s="189" t="str">
        <f>IFERROR(__xludf.DUMMYFUNCTION("""COMPUTED_VALUE"""),"Haven")</f>
        <v>Haven</v>
      </c>
      <c r="E46" s="189" t="str">
        <f>IFERROR(__xludf.DUMMYFUNCTION("""COMPUTED_VALUE"""),"DNSTY")</f>
        <v>DNSTY</v>
      </c>
      <c r="F46" s="189" t="str">
        <f>IFERROR(__xludf.DUMMYFUNCTION("""COMPUTED_VALUE"""),"UCAM Esports Club")</f>
        <v>UCAM Esports Club</v>
      </c>
      <c r="G46" s="189" t="str">
        <f>IFERROR(__xludf.DUMMYFUNCTION("""COMPUTED_VALUE"""),"Sova,Killjoy,Viper,Omen,Neon")</f>
        <v>Sova,Killjoy,Viper,Omen,Neon</v>
      </c>
      <c r="H46" s="189" t="str">
        <f>IFERROR(__xludf.DUMMYFUNCTION("""COMPUTED_VALUE"""),"Breach,Cypher,Sova,Omen,Jett")</f>
        <v>Breach,Cypher,Sova,Omen,Jett</v>
      </c>
      <c r="I46" s="189">
        <f>IFERROR(__xludf.DUMMYFUNCTION("""COMPUTED_VALUE"""),13.0)</f>
        <v>13</v>
      </c>
      <c r="J46" s="189">
        <f>IFERROR(__xludf.DUMMYFUNCTION("""COMPUTED_VALUE"""),8.0)</f>
        <v>8</v>
      </c>
      <c r="K46" s="189">
        <f>IFERROR(__xludf.DUMMYFUNCTION("""COMPUTED_VALUE"""),10.0)</f>
        <v>10</v>
      </c>
      <c r="L46" s="189">
        <f>IFERROR(__xludf.DUMMYFUNCTION("""COMPUTED_VALUE"""),2.0)</f>
        <v>2</v>
      </c>
      <c r="M46" s="189">
        <f>IFERROR(__xludf.DUMMYFUNCTION("""COMPUTED_VALUE"""),1.0)</f>
        <v>1</v>
      </c>
      <c r="N46" s="189">
        <f>IFERROR(__xludf.DUMMYFUNCTION("""COMPUTED_VALUE"""),1.0)</f>
        <v>1</v>
      </c>
      <c r="O46" s="189">
        <f>IFERROR(__xludf.DUMMYFUNCTION("""COMPUTED_VALUE"""),10.0)</f>
        <v>10</v>
      </c>
      <c r="P46" s="189">
        <f>IFERROR(__xludf.DUMMYFUNCTION("""COMPUTED_VALUE"""),2.0)</f>
        <v>2</v>
      </c>
      <c r="Q46" s="189">
        <f>IFERROR(__xludf.DUMMYFUNCTION("""COMPUTED_VALUE"""),3.0)</f>
        <v>3</v>
      </c>
      <c r="R46" s="189">
        <f>IFERROR(__xludf.DUMMYFUNCTION("""COMPUTED_VALUE"""),6.0)</f>
        <v>6</v>
      </c>
      <c r="S46" s="189">
        <f>IFERROR(__xludf.DUMMYFUNCTION("""COMPUTED_VALUE"""),0.0)</f>
        <v>0</v>
      </c>
      <c r="T46" s="189">
        <f>IFERROR(__xludf.DUMMYFUNCTION("""COMPUTED_VALUE"""),0.0)</f>
        <v>0</v>
      </c>
      <c r="U46" s="189">
        <f>IFERROR(__xludf.DUMMYFUNCTION("""COMPUTED_VALUE"""),6.0)</f>
        <v>6</v>
      </c>
      <c r="V46" s="189">
        <f>IFERROR(__xludf.DUMMYFUNCTION("""COMPUTED_VALUE"""),3.0)</f>
        <v>3</v>
      </c>
      <c r="W46" s="189">
        <f>IFERROR(__xludf.DUMMYFUNCTION("""COMPUTED_VALUE"""),2.0)</f>
        <v>2</v>
      </c>
      <c r="X46" s="189">
        <f>IFERROR(__xludf.DUMMYFUNCTION("""COMPUTED_VALUE"""),10.0)</f>
        <v>10</v>
      </c>
      <c r="Y46" s="189" t="str">
        <f>IFERROR(__xludf.DUMMYFUNCTION("""COMPUTED_VALUE"""),"2025-08-10T00:00:00.000Z")</f>
        <v>2025-08-10T00:00:00.000Z</v>
      </c>
      <c r="Z46" s="189" t="str">
        <f>IFERROR(__xludf.DUMMYFUNCTION("""COMPUTED_VALUE"""),"DNSTY_Haven")</f>
        <v>DNSTY_Haven</v>
      </c>
    </row>
    <row r="47">
      <c r="A47" s="189">
        <f>IFERROR(__xludf.DUMMYFUNCTION("""COMPUTED_VALUE"""),212059.0)</f>
        <v>212059</v>
      </c>
      <c r="B47" s="189">
        <f>IFERROR(__xludf.DUMMYFUNCTION("""COMPUTED_VALUE"""),93450.0)</f>
        <v>93450</v>
      </c>
      <c r="C47" s="189" t="str">
        <f>IFERROR(__xludf.DUMMYFUNCTION("""COMPUTED_VALUE"""),"Challengers 2025: France Revolution Split 3 - Playoffs")</f>
        <v>Challengers 2025: France Revolution Split 3 - Playoffs</v>
      </c>
      <c r="D47" s="189" t="str">
        <f>IFERROR(__xludf.DUMMYFUNCTION("""COMPUTED_VALUE"""),"Haven")</f>
        <v>Haven</v>
      </c>
      <c r="E47" s="189" t="str">
        <f>IFERROR(__xludf.DUMMYFUNCTION("""COMPUTED_VALUE"""),"Joblife")</f>
        <v>Joblife</v>
      </c>
      <c r="F47" s="189" t="str">
        <f>IFERROR(__xludf.DUMMYFUNCTION("""COMPUTED_VALUE"""),"Team Valiant")</f>
        <v>Team Valiant</v>
      </c>
      <c r="G47" s="189" t="str">
        <f>IFERROR(__xludf.DUMMYFUNCTION("""COMPUTED_VALUE"""),"Breach,Cypher,Sova,Omen,Jett")</f>
        <v>Breach,Cypher,Sova,Omen,Jett</v>
      </c>
      <c r="H47" s="189" t="str">
        <f>IFERROR(__xludf.DUMMYFUNCTION("""COMPUTED_VALUE"""),"Sova,Killjoy,Viper,Omen,Neon")</f>
        <v>Sova,Killjoy,Viper,Omen,Neon</v>
      </c>
      <c r="I47" s="189">
        <f>IFERROR(__xludf.DUMMYFUNCTION("""COMPUTED_VALUE"""),13.0)</f>
        <v>13</v>
      </c>
      <c r="J47" s="189">
        <f>IFERROR(__xludf.DUMMYFUNCTION("""COMPUTED_VALUE"""),9.0)</f>
        <v>9</v>
      </c>
      <c r="K47" s="189">
        <f>IFERROR(__xludf.DUMMYFUNCTION("""COMPUTED_VALUE"""),6.0)</f>
        <v>6</v>
      </c>
      <c r="L47" s="189">
        <f>IFERROR(__xludf.DUMMYFUNCTION("""COMPUTED_VALUE"""),6.0)</f>
        <v>6</v>
      </c>
      <c r="M47" s="189">
        <f>IFERROR(__xludf.DUMMYFUNCTION("""COMPUTED_VALUE"""),1.0)</f>
        <v>1</v>
      </c>
      <c r="N47" s="189">
        <f>IFERROR(__xludf.DUMMYFUNCTION("""COMPUTED_VALUE"""),1.0)</f>
        <v>1</v>
      </c>
      <c r="O47" s="189">
        <f>IFERROR(__xludf.DUMMYFUNCTION("""COMPUTED_VALUE"""),6.0)</f>
        <v>6</v>
      </c>
      <c r="P47" s="189">
        <f>IFERROR(__xludf.DUMMYFUNCTION("""COMPUTED_VALUE"""),6.0)</f>
        <v>6</v>
      </c>
      <c r="Q47" s="189">
        <f>IFERROR(__xludf.DUMMYFUNCTION("""COMPUTED_VALUE"""),7.0)</f>
        <v>7</v>
      </c>
      <c r="R47" s="189">
        <f>IFERROR(__xludf.DUMMYFUNCTION("""COMPUTED_VALUE"""),3.0)</f>
        <v>3</v>
      </c>
      <c r="S47" s="189">
        <f>IFERROR(__xludf.DUMMYFUNCTION("""COMPUTED_VALUE"""),0.0)</f>
        <v>0</v>
      </c>
      <c r="T47" s="189">
        <f>IFERROR(__xludf.DUMMYFUNCTION("""COMPUTED_VALUE"""),0.0)</f>
        <v>0</v>
      </c>
      <c r="U47" s="189">
        <f>IFERROR(__xludf.DUMMYFUNCTION("""COMPUTED_VALUE"""),3.0)</f>
        <v>3</v>
      </c>
      <c r="V47" s="189">
        <f>IFERROR(__xludf.DUMMYFUNCTION("""COMPUTED_VALUE"""),7.0)</f>
        <v>7</v>
      </c>
      <c r="W47" s="189">
        <f>IFERROR(__xludf.DUMMYFUNCTION("""COMPUTED_VALUE"""),6.0)</f>
        <v>6</v>
      </c>
      <c r="X47" s="189">
        <f>IFERROR(__xludf.DUMMYFUNCTION("""COMPUTED_VALUE"""),6.0)</f>
        <v>6</v>
      </c>
      <c r="Y47" s="189" t="str">
        <f>IFERROR(__xludf.DUMMYFUNCTION("""COMPUTED_VALUE"""),"2025-08-10T00:00:00.000Z")</f>
        <v>2025-08-10T00:00:00.000Z</v>
      </c>
      <c r="Z47" s="189" t="str">
        <f>IFERROR(__xludf.DUMMYFUNCTION("""COMPUTED_VALUE"""),"Joblife_Haven")</f>
        <v>Joblife_Haven</v>
      </c>
    </row>
    <row r="48">
      <c r="A48" s="189">
        <f>IFERROR(__xludf.DUMMYFUNCTION("""COMPUTED_VALUE"""),212679.0)</f>
        <v>212679</v>
      </c>
      <c r="B48" s="189">
        <f>IFERROR(__xludf.DUMMYFUNCTION("""COMPUTED_VALUE"""),93673.0)</f>
        <v>93673</v>
      </c>
      <c r="C48" s="189" t="str">
        <f>IFERROR(__xludf.DUMMYFUNCTION("""COMPUTED_VALUE"""),"Challengers 2025: Spain Rising Finals - Playoffs")</f>
        <v>Challengers 2025: Spain Rising Finals - Playoffs</v>
      </c>
      <c r="D48" s="189" t="str">
        <f>IFERROR(__xludf.DUMMYFUNCTION("""COMPUTED_VALUE"""),"Sunset")</f>
        <v>Sunset</v>
      </c>
      <c r="E48" s="189" t="str">
        <f>IFERROR(__xludf.DUMMYFUNCTION("""COMPUTED_VALUE"""),"DNSTY")</f>
        <v>DNSTY</v>
      </c>
      <c r="F48" s="189" t="str">
        <f>IFERROR(__xludf.DUMMYFUNCTION("""COMPUTED_VALUE"""),"UCAM Esports Club")</f>
        <v>UCAM Esports Club</v>
      </c>
      <c r="G48" s="189" t="str">
        <f>IFERROR(__xludf.DUMMYFUNCTION("""COMPUTED_VALUE"""),"Sova,Viper,Omen,Neon,Deadlock")</f>
        <v>Sova,Viper,Omen,Neon,Deadlock</v>
      </c>
      <c r="H48" s="189" t="str">
        <f>IFERROR(__xludf.DUMMYFUNCTION("""COMPUTED_VALUE"""),"Cypher,Sova,Omen,KAY/O,Neon")</f>
        <v>Cypher,Sova,Omen,KAY/O,Neon</v>
      </c>
      <c r="I48" s="189">
        <f>IFERROR(__xludf.DUMMYFUNCTION("""COMPUTED_VALUE"""),13.0)</f>
        <v>13</v>
      </c>
      <c r="J48" s="189">
        <f>IFERROR(__xludf.DUMMYFUNCTION("""COMPUTED_VALUE"""),11.0)</f>
        <v>11</v>
      </c>
      <c r="K48" s="189">
        <f>IFERROR(__xludf.DUMMYFUNCTION("""COMPUTED_VALUE"""),4.0)</f>
        <v>4</v>
      </c>
      <c r="L48" s="189">
        <f>IFERROR(__xludf.DUMMYFUNCTION("""COMPUTED_VALUE"""),8.0)</f>
        <v>8</v>
      </c>
      <c r="M48" s="189">
        <f>IFERROR(__xludf.DUMMYFUNCTION("""COMPUTED_VALUE"""),0.0)</f>
        <v>0</v>
      </c>
      <c r="N48" s="189">
        <f>IFERROR(__xludf.DUMMYFUNCTION("""COMPUTED_VALUE"""),1.0)</f>
        <v>1</v>
      </c>
      <c r="O48" s="189">
        <f>IFERROR(__xludf.DUMMYFUNCTION("""COMPUTED_VALUE"""),4.0)</f>
        <v>4</v>
      </c>
      <c r="P48" s="189">
        <f>IFERROR(__xludf.DUMMYFUNCTION("""COMPUTED_VALUE"""),8.0)</f>
        <v>8</v>
      </c>
      <c r="Q48" s="189">
        <f>IFERROR(__xludf.DUMMYFUNCTION("""COMPUTED_VALUE"""),9.0)</f>
        <v>9</v>
      </c>
      <c r="R48" s="189">
        <f>IFERROR(__xludf.DUMMYFUNCTION("""COMPUTED_VALUE"""),3.0)</f>
        <v>3</v>
      </c>
      <c r="S48" s="189">
        <f>IFERROR(__xludf.DUMMYFUNCTION("""COMPUTED_VALUE"""),0.0)</f>
        <v>0</v>
      </c>
      <c r="T48" s="189">
        <f>IFERROR(__xludf.DUMMYFUNCTION("""COMPUTED_VALUE"""),1.0)</f>
        <v>1</v>
      </c>
      <c r="U48" s="189">
        <f>IFERROR(__xludf.DUMMYFUNCTION("""COMPUTED_VALUE"""),3.0)</f>
        <v>3</v>
      </c>
      <c r="V48" s="189">
        <f>IFERROR(__xludf.DUMMYFUNCTION("""COMPUTED_VALUE"""),9.0)</f>
        <v>9</v>
      </c>
      <c r="W48" s="189">
        <f>IFERROR(__xludf.DUMMYFUNCTION("""COMPUTED_VALUE"""),8.0)</f>
        <v>8</v>
      </c>
      <c r="X48" s="189">
        <f>IFERROR(__xludf.DUMMYFUNCTION("""COMPUTED_VALUE"""),4.0)</f>
        <v>4</v>
      </c>
      <c r="Y48" s="189" t="str">
        <f>IFERROR(__xludf.DUMMYFUNCTION("""COMPUTED_VALUE"""),"2025-08-10T00:00:00.000Z")</f>
        <v>2025-08-10T00:00:00.000Z</v>
      </c>
      <c r="Z48" s="189" t="str">
        <f>IFERROR(__xludf.DUMMYFUNCTION("""COMPUTED_VALUE"""),"DNSTY_Sunset")</f>
        <v>DNSTY_Sunset</v>
      </c>
    </row>
    <row r="49">
      <c r="A49" s="189">
        <f>IFERROR(__xludf.DUMMYFUNCTION("""COMPUTED_VALUE"""),212058.0)</f>
        <v>212058</v>
      </c>
      <c r="B49" s="189">
        <f>IFERROR(__xludf.DUMMYFUNCTION("""COMPUTED_VALUE"""),93450.0)</f>
        <v>93450</v>
      </c>
      <c r="C49" s="189" t="str">
        <f>IFERROR(__xludf.DUMMYFUNCTION("""COMPUTED_VALUE"""),"Challengers 2025: France Revolution Split 3 - Playoffs")</f>
        <v>Challengers 2025: France Revolution Split 3 - Playoffs</v>
      </c>
      <c r="D49" s="189" t="str">
        <f>IFERROR(__xludf.DUMMYFUNCTION("""COMPUTED_VALUE"""),"Sunset")</f>
        <v>Sunset</v>
      </c>
      <c r="E49" s="189" t="str">
        <f>IFERROR(__xludf.DUMMYFUNCTION("""COMPUTED_VALUE"""),"Joblife")</f>
        <v>Joblife</v>
      </c>
      <c r="F49" s="189" t="str">
        <f>IFERROR(__xludf.DUMMYFUNCTION("""COMPUTED_VALUE"""),"Team Valiant")</f>
        <v>Team Valiant</v>
      </c>
      <c r="G49" s="189" t="str">
        <f>IFERROR(__xludf.DUMMYFUNCTION("""COMPUTED_VALUE"""),"Breach,Cypher,Sova,Omen,Neon")</f>
        <v>Breach,Cypher,Sova,Omen,Neon</v>
      </c>
      <c r="H49" s="189" t="str">
        <f>IFERROR(__xludf.DUMMYFUNCTION("""COMPUTED_VALUE"""),"Sova,Viper,Omen,Neon,Vyse")</f>
        <v>Sova,Viper,Omen,Neon,Vyse</v>
      </c>
      <c r="I49" s="189">
        <f>IFERROR(__xludf.DUMMYFUNCTION("""COMPUTED_VALUE"""),16.0)</f>
        <v>16</v>
      </c>
      <c r="J49" s="189">
        <f>IFERROR(__xludf.DUMMYFUNCTION("""COMPUTED_VALUE"""),14.0)</f>
        <v>14</v>
      </c>
      <c r="K49" s="189">
        <f>IFERROR(__xludf.DUMMYFUNCTION("""COMPUTED_VALUE"""),6.0)</f>
        <v>6</v>
      </c>
      <c r="L49" s="189">
        <f>IFERROR(__xludf.DUMMYFUNCTION("""COMPUTED_VALUE"""),6.0)</f>
        <v>6</v>
      </c>
      <c r="M49" s="189">
        <f>IFERROR(__xludf.DUMMYFUNCTION("""COMPUTED_VALUE"""),0.0)</f>
        <v>0</v>
      </c>
      <c r="N49" s="189">
        <f>IFERROR(__xludf.DUMMYFUNCTION("""COMPUTED_VALUE"""),0.0)</f>
        <v>0</v>
      </c>
      <c r="O49" s="189">
        <f>IFERROR(__xludf.DUMMYFUNCTION("""COMPUTED_VALUE"""),8.0)</f>
        <v>8</v>
      </c>
      <c r="P49" s="189">
        <f>IFERROR(__xludf.DUMMYFUNCTION("""COMPUTED_VALUE"""),7.0)</f>
        <v>7</v>
      </c>
      <c r="Q49" s="189">
        <f>IFERROR(__xludf.DUMMYFUNCTION("""COMPUTED_VALUE"""),8.0)</f>
        <v>8</v>
      </c>
      <c r="R49" s="189">
        <f>IFERROR(__xludf.DUMMYFUNCTION("""COMPUTED_VALUE"""),7.0)</f>
        <v>7</v>
      </c>
      <c r="S49" s="189">
        <f>IFERROR(__xludf.DUMMYFUNCTION("""COMPUTED_VALUE"""),1.0)</f>
        <v>1</v>
      </c>
      <c r="T49" s="189">
        <f>IFERROR(__xludf.DUMMYFUNCTION("""COMPUTED_VALUE"""),1.0)</f>
        <v>1</v>
      </c>
      <c r="U49" s="189">
        <f>IFERROR(__xludf.DUMMYFUNCTION("""COMPUTED_VALUE"""),7.0)</f>
        <v>7</v>
      </c>
      <c r="V49" s="189">
        <f>IFERROR(__xludf.DUMMYFUNCTION("""COMPUTED_VALUE"""),8.0)</f>
        <v>8</v>
      </c>
      <c r="W49" s="189">
        <f>IFERROR(__xludf.DUMMYFUNCTION("""COMPUTED_VALUE"""),7.0)</f>
        <v>7</v>
      </c>
      <c r="X49" s="189">
        <f>IFERROR(__xludf.DUMMYFUNCTION("""COMPUTED_VALUE"""),8.0)</f>
        <v>8</v>
      </c>
      <c r="Y49" s="189" t="str">
        <f>IFERROR(__xludf.DUMMYFUNCTION("""COMPUTED_VALUE"""),"2025-08-10T00:00:00.000Z")</f>
        <v>2025-08-10T00:00:00.000Z</v>
      </c>
      <c r="Z49" s="189" t="str">
        <f>IFERROR(__xludf.DUMMYFUNCTION("""COMPUTED_VALUE"""),"Joblife_Sunset")</f>
        <v>Joblife_Sunset</v>
      </c>
    </row>
    <row r="50">
      <c r="A50" s="189">
        <f>IFERROR(__xludf.DUMMYFUNCTION("""COMPUTED_VALUE"""),212676.0)</f>
        <v>212676</v>
      </c>
      <c r="B50" s="189">
        <f>IFERROR(__xludf.DUMMYFUNCTION("""COMPUTED_VALUE"""),93672.0)</f>
        <v>93672</v>
      </c>
      <c r="C50" s="189" t="str">
        <f>IFERROR(__xludf.DUMMYFUNCTION("""COMPUTED_VALUE"""),"Challengers 2025: Spain Rising Finals - Playoffs")</f>
        <v>Challengers 2025: Spain Rising Finals - Playoffs</v>
      </c>
      <c r="D50" s="189" t="str">
        <f>IFERROR(__xludf.DUMMYFUNCTION("""COMPUTED_VALUE"""),"Bind")</f>
        <v>Bind</v>
      </c>
      <c r="E50" s="189" t="str">
        <f>IFERROR(__xludf.DUMMYFUNCTION("""COMPUTED_VALUE"""),"KOI Fénix")</f>
        <v>KOI Fénix</v>
      </c>
      <c r="F50" s="189" t="str">
        <f>IFERROR(__xludf.DUMMYFUNCTION("""COMPUTED_VALUE"""),"Ramboot Club")</f>
        <v>Ramboot Club</v>
      </c>
      <c r="G50" s="189" t="str">
        <f>IFERROR(__xludf.DUMMYFUNCTION("""COMPUTED_VALUE"""),"Yoru,Astra,Gekko,Deadlock,Vyse")</f>
        <v>Yoru,Astra,Gekko,Deadlock,Vyse</v>
      </c>
      <c r="H50" s="189" t="str">
        <f>IFERROR(__xludf.DUMMYFUNCTION("""COMPUTED_VALUE"""),"Raze,Viper,Brimstone,Yoru,Fade")</f>
        <v>Raze,Viper,Brimstone,Yoru,Fade</v>
      </c>
      <c r="I50" s="189">
        <f>IFERROR(__xludf.DUMMYFUNCTION("""COMPUTED_VALUE"""),13.0)</f>
        <v>13</v>
      </c>
      <c r="J50" s="189">
        <f>IFERROR(__xludf.DUMMYFUNCTION("""COMPUTED_VALUE"""),9.0)</f>
        <v>9</v>
      </c>
      <c r="K50" s="189">
        <f>IFERROR(__xludf.DUMMYFUNCTION("""COMPUTED_VALUE"""),9.0)</f>
        <v>9</v>
      </c>
      <c r="L50" s="189">
        <f>IFERROR(__xludf.DUMMYFUNCTION("""COMPUTED_VALUE"""),3.0)</f>
        <v>3</v>
      </c>
      <c r="M50" s="189">
        <f>IFERROR(__xludf.DUMMYFUNCTION("""COMPUTED_VALUE"""),1.0)</f>
        <v>1</v>
      </c>
      <c r="N50" s="189">
        <f>IFERROR(__xludf.DUMMYFUNCTION("""COMPUTED_VALUE"""),0.0)</f>
        <v>0</v>
      </c>
      <c r="O50" s="189">
        <f>IFERROR(__xludf.DUMMYFUNCTION("""COMPUTED_VALUE"""),9.0)</f>
        <v>9</v>
      </c>
      <c r="P50" s="189">
        <f>IFERROR(__xludf.DUMMYFUNCTION("""COMPUTED_VALUE"""),3.0)</f>
        <v>3</v>
      </c>
      <c r="Q50" s="189">
        <f>IFERROR(__xludf.DUMMYFUNCTION("""COMPUTED_VALUE"""),4.0)</f>
        <v>4</v>
      </c>
      <c r="R50" s="189">
        <f>IFERROR(__xludf.DUMMYFUNCTION("""COMPUTED_VALUE"""),6.0)</f>
        <v>6</v>
      </c>
      <c r="S50" s="189">
        <f>IFERROR(__xludf.DUMMYFUNCTION("""COMPUTED_VALUE"""),1.0)</f>
        <v>1</v>
      </c>
      <c r="T50" s="189">
        <f>IFERROR(__xludf.DUMMYFUNCTION("""COMPUTED_VALUE"""),0.0)</f>
        <v>0</v>
      </c>
      <c r="U50" s="189">
        <f>IFERROR(__xludf.DUMMYFUNCTION("""COMPUTED_VALUE"""),6.0)</f>
        <v>6</v>
      </c>
      <c r="V50" s="189">
        <f>IFERROR(__xludf.DUMMYFUNCTION("""COMPUTED_VALUE"""),4.0)</f>
        <v>4</v>
      </c>
      <c r="W50" s="189">
        <f>IFERROR(__xludf.DUMMYFUNCTION("""COMPUTED_VALUE"""),3.0)</f>
        <v>3</v>
      </c>
      <c r="X50" s="189">
        <f>IFERROR(__xludf.DUMMYFUNCTION("""COMPUTED_VALUE"""),9.0)</f>
        <v>9</v>
      </c>
      <c r="Y50" s="189" t="str">
        <f>IFERROR(__xludf.DUMMYFUNCTION("""COMPUTED_VALUE"""),"2025-08-09T00:00:00.000Z")</f>
        <v>2025-08-09T00:00:00.000Z</v>
      </c>
      <c r="Z50" s="189" t="str">
        <f>IFERROR(__xludf.DUMMYFUNCTION("""COMPUTED_VALUE"""),"KOI Fénix_Bind")</f>
        <v>KOI Fénix_Bind</v>
      </c>
    </row>
    <row r="51">
      <c r="A51" s="189">
        <f>IFERROR(__xludf.DUMMYFUNCTION("""COMPUTED_VALUE"""),212675.0)</f>
        <v>212675</v>
      </c>
      <c r="B51" s="189">
        <f>IFERROR(__xludf.DUMMYFUNCTION("""COMPUTED_VALUE"""),93672.0)</f>
        <v>93672</v>
      </c>
      <c r="C51" s="189" t="str">
        <f>IFERROR(__xludf.DUMMYFUNCTION("""COMPUTED_VALUE"""),"Challengers 2025: Spain Rising Finals - Playoffs")</f>
        <v>Challengers 2025: Spain Rising Finals - Playoffs</v>
      </c>
      <c r="D51" s="189" t="str">
        <f>IFERROR(__xludf.DUMMYFUNCTION("""COMPUTED_VALUE"""),"Ascent")</f>
        <v>Ascent</v>
      </c>
      <c r="E51" s="189" t="str">
        <f>IFERROR(__xludf.DUMMYFUNCTION("""COMPUTED_VALUE"""),"KOI Fénix")</f>
        <v>KOI Fénix</v>
      </c>
      <c r="F51" s="189" t="str">
        <f>IFERROR(__xludf.DUMMYFUNCTION("""COMPUTED_VALUE"""),"Ramboot Club")</f>
        <v>Ramboot Club</v>
      </c>
      <c r="G51" s="189" t="str">
        <f>IFERROR(__xludf.DUMMYFUNCTION("""COMPUTED_VALUE"""),"Sova,Omen,Yoru,Chamber,Vyse")</f>
        <v>Sova,Omen,Yoru,Chamber,Vyse</v>
      </c>
      <c r="H51" s="189" t="str">
        <f>IFERROR(__xludf.DUMMYFUNCTION("""COMPUTED_VALUE"""),"Cypher,Sova,Omen,Jett,Yoru")</f>
        <v>Cypher,Sova,Omen,Jett,Yoru</v>
      </c>
      <c r="I51" s="189">
        <f>IFERROR(__xludf.DUMMYFUNCTION("""COMPUTED_VALUE"""),13.0)</f>
        <v>13</v>
      </c>
      <c r="J51" s="189">
        <f>IFERROR(__xludf.DUMMYFUNCTION("""COMPUTED_VALUE"""),7.0)</f>
        <v>7</v>
      </c>
      <c r="K51" s="189">
        <f>IFERROR(__xludf.DUMMYFUNCTION("""COMPUTED_VALUE"""),9.0)</f>
        <v>9</v>
      </c>
      <c r="L51" s="189">
        <f>IFERROR(__xludf.DUMMYFUNCTION("""COMPUTED_VALUE"""),3.0)</f>
        <v>3</v>
      </c>
      <c r="M51" s="189">
        <f>IFERROR(__xludf.DUMMYFUNCTION("""COMPUTED_VALUE"""),1.0)</f>
        <v>1</v>
      </c>
      <c r="N51" s="189">
        <f>IFERROR(__xludf.DUMMYFUNCTION("""COMPUTED_VALUE"""),1.0)</f>
        <v>1</v>
      </c>
      <c r="O51" s="189">
        <f>IFERROR(__xludf.DUMMYFUNCTION("""COMPUTED_VALUE"""),4.0)</f>
        <v>4</v>
      </c>
      <c r="P51" s="189">
        <f>IFERROR(__xludf.DUMMYFUNCTION("""COMPUTED_VALUE"""),4.0)</f>
        <v>4</v>
      </c>
      <c r="Q51" s="189">
        <f>IFERROR(__xludf.DUMMYFUNCTION("""COMPUTED_VALUE"""),9.0)</f>
        <v>9</v>
      </c>
      <c r="R51" s="189">
        <f>IFERROR(__xludf.DUMMYFUNCTION("""COMPUTED_VALUE"""),3.0)</f>
        <v>3</v>
      </c>
      <c r="S51" s="189">
        <f>IFERROR(__xludf.DUMMYFUNCTION("""COMPUTED_VALUE"""),0.0)</f>
        <v>0</v>
      </c>
      <c r="T51" s="189">
        <f>IFERROR(__xludf.DUMMYFUNCTION("""COMPUTED_VALUE"""),0.0)</f>
        <v>0</v>
      </c>
      <c r="U51" s="189">
        <f>IFERROR(__xludf.DUMMYFUNCTION("""COMPUTED_VALUE"""),3.0)</f>
        <v>3</v>
      </c>
      <c r="V51" s="189">
        <f>IFERROR(__xludf.DUMMYFUNCTION("""COMPUTED_VALUE"""),9.0)</f>
        <v>9</v>
      </c>
      <c r="W51" s="189">
        <f>IFERROR(__xludf.DUMMYFUNCTION("""COMPUTED_VALUE"""),4.0)</f>
        <v>4</v>
      </c>
      <c r="X51" s="189">
        <f>IFERROR(__xludf.DUMMYFUNCTION("""COMPUTED_VALUE"""),4.0)</f>
        <v>4</v>
      </c>
      <c r="Y51" s="189" t="str">
        <f>IFERROR(__xludf.DUMMYFUNCTION("""COMPUTED_VALUE"""),"2025-08-09T00:00:00.000Z")</f>
        <v>2025-08-09T00:00:00.000Z</v>
      </c>
      <c r="Z51" s="189" t="str">
        <f>IFERROR(__xludf.DUMMYFUNCTION("""COMPUTED_VALUE"""),"KOI Fénix_Ascent")</f>
        <v>KOI Fénix_Ascent</v>
      </c>
    </row>
    <row r="52">
      <c r="A52" s="189">
        <f>IFERROR(__xludf.DUMMYFUNCTION("""COMPUTED_VALUE"""),212674.0)</f>
        <v>212674</v>
      </c>
      <c r="B52" s="189">
        <f>IFERROR(__xludf.DUMMYFUNCTION("""COMPUTED_VALUE"""),93672.0)</f>
        <v>93672</v>
      </c>
      <c r="C52" s="189" t="str">
        <f>IFERROR(__xludf.DUMMYFUNCTION("""COMPUTED_VALUE"""),"Challengers 2025: Spain Rising Finals - Playoffs")</f>
        <v>Challengers 2025: Spain Rising Finals - Playoffs</v>
      </c>
      <c r="D52" s="189" t="str">
        <f>IFERROR(__xludf.DUMMYFUNCTION("""COMPUTED_VALUE"""),"Lotus")</f>
        <v>Lotus</v>
      </c>
      <c r="E52" s="189" t="str">
        <f>IFERROR(__xludf.DUMMYFUNCTION("""COMPUTED_VALUE"""),"KOI Fénix")</f>
        <v>KOI Fénix</v>
      </c>
      <c r="F52" s="189" t="str">
        <f>IFERROR(__xludf.DUMMYFUNCTION("""COMPUTED_VALUE"""),"Ramboot Club")</f>
        <v>Ramboot Club</v>
      </c>
      <c r="G52" s="189" t="str">
        <f>IFERROR(__xludf.DUMMYFUNCTION("""COMPUTED_VALUE"""),"Breach,Sova,Killjoy,Omen,Neon")</f>
        <v>Breach,Sova,Killjoy,Omen,Neon</v>
      </c>
      <c r="H52" s="189" t="str">
        <f>IFERROR(__xludf.DUMMYFUNCTION("""COMPUTED_VALUE"""),"Viper,Omen,Chamber,Neon,Fade")</f>
        <v>Viper,Omen,Chamber,Neon,Fade</v>
      </c>
      <c r="I52" s="189">
        <f>IFERROR(__xludf.DUMMYFUNCTION("""COMPUTED_VALUE"""),13.0)</f>
        <v>13</v>
      </c>
      <c r="J52" s="189">
        <f>IFERROR(__xludf.DUMMYFUNCTION("""COMPUTED_VALUE"""),4.0)</f>
        <v>4</v>
      </c>
      <c r="K52" s="189">
        <f>IFERROR(__xludf.DUMMYFUNCTION("""COMPUTED_VALUE"""),9.0)</f>
        <v>9</v>
      </c>
      <c r="L52" s="189">
        <f>IFERROR(__xludf.DUMMYFUNCTION("""COMPUTED_VALUE"""),3.0)</f>
        <v>3</v>
      </c>
      <c r="M52" s="189">
        <f>IFERROR(__xludf.DUMMYFUNCTION("""COMPUTED_VALUE"""),1.0)</f>
        <v>1</v>
      </c>
      <c r="N52" s="189">
        <f>IFERROR(__xludf.DUMMYFUNCTION("""COMPUTED_VALUE"""),1.0)</f>
        <v>1</v>
      </c>
      <c r="O52" s="189">
        <f>IFERROR(__xludf.DUMMYFUNCTION("""COMPUTED_VALUE"""),4.0)</f>
        <v>4</v>
      </c>
      <c r="P52" s="189">
        <f>IFERROR(__xludf.DUMMYFUNCTION("""COMPUTED_VALUE"""),1.0)</f>
        <v>1</v>
      </c>
      <c r="Q52" s="189">
        <f>IFERROR(__xludf.DUMMYFUNCTION("""COMPUTED_VALUE"""),9.0)</f>
        <v>9</v>
      </c>
      <c r="R52" s="189">
        <f>IFERROR(__xludf.DUMMYFUNCTION("""COMPUTED_VALUE"""),3.0)</f>
        <v>3</v>
      </c>
      <c r="S52" s="189">
        <f>IFERROR(__xludf.DUMMYFUNCTION("""COMPUTED_VALUE"""),0.0)</f>
        <v>0</v>
      </c>
      <c r="T52" s="189">
        <f>IFERROR(__xludf.DUMMYFUNCTION("""COMPUTED_VALUE"""),0.0)</f>
        <v>0</v>
      </c>
      <c r="U52" s="189">
        <f>IFERROR(__xludf.DUMMYFUNCTION("""COMPUTED_VALUE"""),3.0)</f>
        <v>3</v>
      </c>
      <c r="V52" s="189">
        <f>IFERROR(__xludf.DUMMYFUNCTION("""COMPUTED_VALUE"""),9.0)</f>
        <v>9</v>
      </c>
      <c r="W52" s="189">
        <f>IFERROR(__xludf.DUMMYFUNCTION("""COMPUTED_VALUE"""),1.0)</f>
        <v>1</v>
      </c>
      <c r="X52" s="189">
        <f>IFERROR(__xludf.DUMMYFUNCTION("""COMPUTED_VALUE"""),4.0)</f>
        <v>4</v>
      </c>
      <c r="Y52" s="189" t="str">
        <f>IFERROR(__xludf.DUMMYFUNCTION("""COMPUTED_VALUE"""),"2025-08-09T00:00:00.000Z")</f>
        <v>2025-08-09T00:00:00.000Z</v>
      </c>
      <c r="Z52" s="189" t="str">
        <f>IFERROR(__xludf.DUMMYFUNCTION("""COMPUTED_VALUE"""),"KOI Fénix_Lotus")</f>
        <v>KOI Fénix_Lotus</v>
      </c>
    </row>
    <row r="53">
      <c r="A53" s="189">
        <f>IFERROR(__xludf.DUMMYFUNCTION("""COMPUTED_VALUE"""),211973.0)</f>
        <v>211973</v>
      </c>
      <c r="B53" s="189">
        <f>IFERROR(__xludf.DUMMYFUNCTION("""COMPUTED_VALUE"""),93391.0)</f>
        <v>93391</v>
      </c>
      <c r="C53" s="189" t="str">
        <f>IFERROR(__xludf.DUMMYFUNCTION("""COMPUTED_VALUE"""),"Challengers 2025: Türkiye Birlik Split 3 - Playoffs")</f>
        <v>Challengers 2025: Türkiye Birlik Split 3 - Playoffs</v>
      </c>
      <c r="D53" s="189" t="str">
        <f>IFERROR(__xludf.DUMMYFUNCTION("""COMPUTED_VALUE"""),"Bind")</f>
        <v>Bind</v>
      </c>
      <c r="E53" s="189" t="str">
        <f>IFERROR(__xludf.DUMMYFUNCTION("""COMPUTED_VALUE"""),"ULF Esports")</f>
        <v>ULF Esports</v>
      </c>
      <c r="F53" s="189" t="str">
        <f>IFERROR(__xludf.DUMMYFUNCTION("""COMPUTED_VALUE"""),"Galatasaray Esports")</f>
        <v>Galatasaray Esports</v>
      </c>
      <c r="G53" s="189" t="str">
        <f>IFERROR(__xludf.DUMMYFUNCTION("""COMPUTED_VALUE"""),"Viper,Brimstone,Skye,Vyse,Waylay")</f>
        <v>Viper,Brimstone,Skye,Vyse,Waylay</v>
      </c>
      <c r="H53" s="189" t="str">
        <f>IFERROR(__xludf.DUMMYFUNCTION("""COMPUTED_VALUE"""),"Raze,Viper,Brimstone,Skye,Gekko")</f>
        <v>Raze,Viper,Brimstone,Skye,Gekko</v>
      </c>
      <c r="I53" s="189">
        <f>IFERROR(__xludf.DUMMYFUNCTION("""COMPUTED_VALUE"""),14.0)</f>
        <v>14</v>
      </c>
      <c r="J53" s="189">
        <f>IFERROR(__xludf.DUMMYFUNCTION("""COMPUTED_VALUE"""),12.0)</f>
        <v>12</v>
      </c>
      <c r="K53" s="189">
        <f>IFERROR(__xludf.DUMMYFUNCTION("""COMPUTED_VALUE"""),5.0)</f>
        <v>5</v>
      </c>
      <c r="L53" s="189">
        <f>IFERROR(__xludf.DUMMYFUNCTION("""COMPUTED_VALUE"""),7.0)</f>
        <v>7</v>
      </c>
      <c r="M53" s="189">
        <f>IFERROR(__xludf.DUMMYFUNCTION("""COMPUTED_VALUE"""),1.0)</f>
        <v>1</v>
      </c>
      <c r="N53" s="189">
        <f>IFERROR(__xludf.DUMMYFUNCTION("""COMPUTED_VALUE"""),1.0)</f>
        <v>1</v>
      </c>
      <c r="O53" s="189">
        <f>IFERROR(__xludf.DUMMYFUNCTION("""COMPUTED_VALUE"""),6.0)</f>
        <v>6</v>
      </c>
      <c r="P53" s="189">
        <f>IFERROR(__xludf.DUMMYFUNCTION("""COMPUTED_VALUE"""),7.0)</f>
        <v>7</v>
      </c>
      <c r="Q53" s="189">
        <f>IFERROR(__xludf.DUMMYFUNCTION("""COMPUTED_VALUE"""),8.0)</f>
        <v>8</v>
      </c>
      <c r="R53" s="189">
        <f>IFERROR(__xludf.DUMMYFUNCTION("""COMPUTED_VALUE"""),5.0)</f>
        <v>5</v>
      </c>
      <c r="S53" s="189">
        <f>IFERROR(__xludf.DUMMYFUNCTION("""COMPUTED_VALUE"""),0.0)</f>
        <v>0</v>
      </c>
      <c r="T53" s="189">
        <f>IFERROR(__xludf.DUMMYFUNCTION("""COMPUTED_VALUE"""),0.0)</f>
        <v>0</v>
      </c>
      <c r="U53" s="189">
        <f>IFERROR(__xludf.DUMMYFUNCTION("""COMPUTED_VALUE"""),5.0)</f>
        <v>5</v>
      </c>
      <c r="V53" s="189">
        <f>IFERROR(__xludf.DUMMYFUNCTION("""COMPUTED_VALUE"""),8.0)</f>
        <v>8</v>
      </c>
      <c r="W53" s="189">
        <f>IFERROR(__xludf.DUMMYFUNCTION("""COMPUTED_VALUE"""),7.0)</f>
        <v>7</v>
      </c>
      <c r="X53" s="189">
        <f>IFERROR(__xludf.DUMMYFUNCTION("""COMPUTED_VALUE"""),6.0)</f>
        <v>6</v>
      </c>
      <c r="Y53" s="189" t="str">
        <f>IFERROR(__xludf.DUMMYFUNCTION("""COMPUTED_VALUE"""),"2025-08-04T00:00:00.000Z")</f>
        <v>2025-08-04T00:00:00.000Z</v>
      </c>
      <c r="Z53" s="189" t="str">
        <f>IFERROR(__xludf.DUMMYFUNCTION("""COMPUTED_VALUE"""),"ULF Esports_Bind")</f>
        <v>ULF Esports_Bind</v>
      </c>
    </row>
    <row r="54">
      <c r="A54" s="189">
        <f>IFERROR(__xludf.DUMMYFUNCTION("""COMPUTED_VALUE"""),211972.0)</f>
        <v>211972</v>
      </c>
      <c r="B54" s="189">
        <f>IFERROR(__xludf.DUMMYFUNCTION("""COMPUTED_VALUE"""),93391.0)</f>
        <v>93391</v>
      </c>
      <c r="C54" s="189" t="str">
        <f>IFERROR(__xludf.DUMMYFUNCTION("""COMPUTED_VALUE"""),"Challengers 2025: Türkiye Birlik Split 3 - Playoffs")</f>
        <v>Challengers 2025: Türkiye Birlik Split 3 - Playoffs</v>
      </c>
      <c r="D54" s="189" t="str">
        <f>IFERROR(__xludf.DUMMYFUNCTION("""COMPUTED_VALUE"""),"Lotus")</f>
        <v>Lotus</v>
      </c>
      <c r="E54" s="189" t="str">
        <f>IFERROR(__xludf.DUMMYFUNCTION("""COMPUTED_VALUE"""),"ULF Esports")</f>
        <v>ULF Esports</v>
      </c>
      <c r="F54" s="189" t="str">
        <f>IFERROR(__xludf.DUMMYFUNCTION("""COMPUTED_VALUE"""),"Galatasaray Esports")</f>
        <v>Galatasaray Esports</v>
      </c>
      <c r="G54" s="189" t="str">
        <f>IFERROR(__xludf.DUMMYFUNCTION("""COMPUTED_VALUE"""),"Raze,Omen,Yoru,Fade,Vyse")</f>
        <v>Raze,Omen,Yoru,Fade,Vyse</v>
      </c>
      <c r="H54" s="189" t="str">
        <f>IFERROR(__xludf.DUMMYFUNCTION("""COMPUTED_VALUE"""),"Breach,Raze,Cypher,Omen,Fade")</f>
        <v>Breach,Raze,Cypher,Omen,Fade</v>
      </c>
      <c r="I54" s="189">
        <f>IFERROR(__xludf.DUMMYFUNCTION("""COMPUTED_VALUE"""),6.0)</f>
        <v>6</v>
      </c>
      <c r="J54" s="189">
        <f>IFERROR(__xludf.DUMMYFUNCTION("""COMPUTED_VALUE"""),13.0)</f>
        <v>13</v>
      </c>
      <c r="K54" s="189">
        <f>IFERROR(__xludf.DUMMYFUNCTION("""COMPUTED_VALUE"""),4.0)</f>
        <v>4</v>
      </c>
      <c r="L54" s="189">
        <f>IFERROR(__xludf.DUMMYFUNCTION("""COMPUTED_VALUE"""),8.0)</f>
        <v>8</v>
      </c>
      <c r="M54" s="189">
        <f>IFERROR(__xludf.DUMMYFUNCTION("""COMPUTED_VALUE"""),0.0)</f>
        <v>0</v>
      </c>
      <c r="N54" s="189">
        <f>IFERROR(__xludf.DUMMYFUNCTION("""COMPUTED_VALUE"""),0.0)</f>
        <v>0</v>
      </c>
      <c r="O54" s="189">
        <f>IFERROR(__xludf.DUMMYFUNCTION("""COMPUTED_VALUE"""),2.0)</f>
        <v>2</v>
      </c>
      <c r="P54" s="189">
        <f>IFERROR(__xludf.DUMMYFUNCTION("""COMPUTED_VALUE"""),5.0)</f>
        <v>5</v>
      </c>
      <c r="Q54" s="189">
        <f>IFERROR(__xludf.DUMMYFUNCTION("""COMPUTED_VALUE"""),4.0)</f>
        <v>4</v>
      </c>
      <c r="R54" s="189">
        <f>IFERROR(__xludf.DUMMYFUNCTION("""COMPUTED_VALUE"""),8.0)</f>
        <v>8</v>
      </c>
      <c r="S54" s="189">
        <f>IFERROR(__xludf.DUMMYFUNCTION("""COMPUTED_VALUE"""),1.0)</f>
        <v>1</v>
      </c>
      <c r="T54" s="189">
        <f>IFERROR(__xludf.DUMMYFUNCTION("""COMPUTED_VALUE"""),1.0)</f>
        <v>1</v>
      </c>
      <c r="U54" s="189">
        <f>IFERROR(__xludf.DUMMYFUNCTION("""COMPUTED_VALUE"""),8.0)</f>
        <v>8</v>
      </c>
      <c r="V54" s="189">
        <f>IFERROR(__xludf.DUMMYFUNCTION("""COMPUTED_VALUE"""),4.0)</f>
        <v>4</v>
      </c>
      <c r="W54" s="189">
        <f>IFERROR(__xludf.DUMMYFUNCTION("""COMPUTED_VALUE"""),5.0)</f>
        <v>5</v>
      </c>
      <c r="X54" s="189">
        <f>IFERROR(__xludf.DUMMYFUNCTION("""COMPUTED_VALUE"""),2.0)</f>
        <v>2</v>
      </c>
      <c r="Y54" s="189" t="str">
        <f>IFERROR(__xludf.DUMMYFUNCTION("""COMPUTED_VALUE"""),"2025-08-04T00:00:00.000Z")</f>
        <v>2025-08-04T00:00:00.000Z</v>
      </c>
      <c r="Z54" s="189" t="str">
        <f>IFERROR(__xludf.DUMMYFUNCTION("""COMPUTED_VALUE"""),"ULF Esports_Lotus")</f>
        <v>ULF Esports_Lotus</v>
      </c>
    </row>
    <row r="55">
      <c r="A55" s="189">
        <f>IFERROR(__xludf.DUMMYFUNCTION("""COMPUTED_VALUE"""),211971.0)</f>
        <v>211971</v>
      </c>
      <c r="B55" s="189">
        <f>IFERROR(__xludf.DUMMYFUNCTION("""COMPUTED_VALUE"""),93391.0)</f>
        <v>93391</v>
      </c>
      <c r="C55" s="189" t="str">
        <f>IFERROR(__xludf.DUMMYFUNCTION("""COMPUTED_VALUE"""),"Challengers 2025: Türkiye Birlik Split 3 - Playoffs")</f>
        <v>Challengers 2025: Türkiye Birlik Split 3 - Playoffs</v>
      </c>
      <c r="D55" s="189" t="str">
        <f>IFERROR(__xludf.DUMMYFUNCTION("""COMPUTED_VALUE"""),"Haven")</f>
        <v>Haven</v>
      </c>
      <c r="E55" s="189" t="str">
        <f>IFERROR(__xludf.DUMMYFUNCTION("""COMPUTED_VALUE"""),"ULF Esports")</f>
        <v>ULF Esports</v>
      </c>
      <c r="F55" s="189" t="str">
        <f>IFERROR(__xludf.DUMMYFUNCTION("""COMPUTED_VALUE"""),"Galatasaray Esports")</f>
        <v>Galatasaray Esports</v>
      </c>
      <c r="G55" s="189" t="str">
        <f>IFERROR(__xludf.DUMMYFUNCTION("""COMPUTED_VALUE"""),"Breach,Cypher,Sova,Omen,Neon")</f>
        <v>Breach,Cypher,Sova,Omen,Neon</v>
      </c>
      <c r="H55" s="189" t="str">
        <f>IFERROR(__xludf.DUMMYFUNCTION("""COMPUTED_VALUE"""),"Breach,Cypher,Sova,Omen,Jett")</f>
        <v>Breach,Cypher,Sova,Omen,Jett</v>
      </c>
      <c r="I55" s="189">
        <f>IFERROR(__xludf.DUMMYFUNCTION("""COMPUTED_VALUE"""),13.0)</f>
        <v>13</v>
      </c>
      <c r="J55" s="189">
        <f>IFERROR(__xludf.DUMMYFUNCTION("""COMPUTED_VALUE"""),6.0)</f>
        <v>6</v>
      </c>
      <c r="K55" s="189">
        <f>IFERROR(__xludf.DUMMYFUNCTION("""COMPUTED_VALUE"""),8.0)</f>
        <v>8</v>
      </c>
      <c r="L55" s="189">
        <f>IFERROR(__xludf.DUMMYFUNCTION("""COMPUTED_VALUE"""),4.0)</f>
        <v>4</v>
      </c>
      <c r="M55" s="189">
        <f>IFERROR(__xludf.DUMMYFUNCTION("""COMPUTED_VALUE"""),1.0)</f>
        <v>1</v>
      </c>
      <c r="N55" s="189">
        <f>IFERROR(__xludf.DUMMYFUNCTION("""COMPUTED_VALUE"""),0.0)</f>
        <v>0</v>
      </c>
      <c r="O55" s="189">
        <f>IFERROR(__xludf.DUMMYFUNCTION("""COMPUTED_VALUE"""),5.0)</f>
        <v>5</v>
      </c>
      <c r="P55" s="189">
        <f>IFERROR(__xludf.DUMMYFUNCTION("""COMPUTED_VALUE"""),2.0)</f>
        <v>2</v>
      </c>
      <c r="Q55" s="189">
        <f>IFERROR(__xludf.DUMMYFUNCTION("""COMPUTED_VALUE"""),8.0)</f>
        <v>8</v>
      </c>
      <c r="R55" s="189">
        <f>IFERROR(__xludf.DUMMYFUNCTION("""COMPUTED_VALUE"""),4.0)</f>
        <v>4</v>
      </c>
      <c r="S55" s="189">
        <f>IFERROR(__xludf.DUMMYFUNCTION("""COMPUTED_VALUE"""),1.0)</f>
        <v>1</v>
      </c>
      <c r="T55" s="189">
        <f>IFERROR(__xludf.DUMMYFUNCTION("""COMPUTED_VALUE"""),0.0)</f>
        <v>0</v>
      </c>
      <c r="U55" s="189">
        <f>IFERROR(__xludf.DUMMYFUNCTION("""COMPUTED_VALUE"""),4.0)</f>
        <v>4</v>
      </c>
      <c r="V55" s="189">
        <f>IFERROR(__xludf.DUMMYFUNCTION("""COMPUTED_VALUE"""),8.0)</f>
        <v>8</v>
      </c>
      <c r="W55" s="189">
        <f>IFERROR(__xludf.DUMMYFUNCTION("""COMPUTED_VALUE"""),2.0)</f>
        <v>2</v>
      </c>
      <c r="X55" s="189">
        <f>IFERROR(__xludf.DUMMYFUNCTION("""COMPUTED_VALUE"""),5.0)</f>
        <v>5</v>
      </c>
      <c r="Y55" s="189" t="str">
        <f>IFERROR(__xludf.DUMMYFUNCTION("""COMPUTED_VALUE"""),"2025-08-04T00:00:00.000Z")</f>
        <v>2025-08-04T00:00:00.000Z</v>
      </c>
      <c r="Z55" s="189" t="str">
        <f>IFERROR(__xludf.DUMMYFUNCTION("""COMPUTED_VALUE"""),"ULF Esports_Haven")</f>
        <v>ULF Esports_Haven</v>
      </c>
    </row>
    <row r="56">
      <c r="A56" s="189">
        <f>IFERROR(__xludf.DUMMYFUNCTION("""COMPUTED_VALUE"""),211970.0)</f>
        <v>211970</v>
      </c>
      <c r="B56" s="189">
        <f>IFERROR(__xludf.DUMMYFUNCTION("""COMPUTED_VALUE"""),93390.0)</f>
        <v>93390</v>
      </c>
      <c r="C56" s="189" t="str">
        <f>IFERROR(__xludf.DUMMYFUNCTION("""COMPUTED_VALUE"""),"Challengers 2025: Türkiye Birlik Split 3 - Playoffs")</f>
        <v>Challengers 2025: Türkiye Birlik Split 3 - Playoffs</v>
      </c>
      <c r="D56" s="189" t="str">
        <f>IFERROR(__xludf.DUMMYFUNCTION("""COMPUTED_VALUE"""),"Icebox")</f>
        <v>Icebox</v>
      </c>
      <c r="E56" s="189" t="str">
        <f>IFERROR(__xludf.DUMMYFUNCTION("""COMPUTED_VALUE"""),"BBL PCIFIC")</f>
        <v>BBL PCIFIC</v>
      </c>
      <c r="F56" s="189" t="str">
        <f>IFERROR(__xludf.DUMMYFUNCTION("""COMPUTED_VALUE"""),"Papara SuperMassive")</f>
        <v>Papara SuperMassive</v>
      </c>
      <c r="G56" s="189" t="str">
        <f>IFERROR(__xludf.DUMMYFUNCTION("""COMPUTED_VALUE"""),"Sova,Killjoy,Viper,Omen,Jett")</f>
        <v>Sova,Killjoy,Viper,Omen,Jett</v>
      </c>
      <c r="H56" s="189" t="str">
        <f>IFERROR(__xludf.DUMMYFUNCTION("""COMPUTED_VALUE"""),"Sova,Killjoy,Viper,Reyna,Jett")</f>
        <v>Sova,Killjoy,Viper,Reyna,Jett</v>
      </c>
      <c r="I56" s="189">
        <f>IFERROR(__xludf.DUMMYFUNCTION("""COMPUTED_VALUE"""),14.0)</f>
        <v>14</v>
      </c>
      <c r="J56" s="189">
        <f>IFERROR(__xludf.DUMMYFUNCTION("""COMPUTED_VALUE"""),12.0)</f>
        <v>12</v>
      </c>
      <c r="K56" s="189">
        <f>IFERROR(__xludf.DUMMYFUNCTION("""COMPUTED_VALUE"""),4.0)</f>
        <v>4</v>
      </c>
      <c r="L56" s="189">
        <f>IFERROR(__xludf.DUMMYFUNCTION("""COMPUTED_VALUE"""),8.0)</f>
        <v>8</v>
      </c>
      <c r="M56" s="189">
        <f>IFERROR(__xludf.DUMMYFUNCTION("""COMPUTED_VALUE"""),0.0)</f>
        <v>0</v>
      </c>
      <c r="N56" s="189">
        <f>IFERROR(__xludf.DUMMYFUNCTION("""COMPUTED_VALUE"""),0.0)</f>
        <v>0</v>
      </c>
      <c r="O56" s="189">
        <f>IFERROR(__xludf.DUMMYFUNCTION("""COMPUTED_VALUE"""),5.0)</f>
        <v>5</v>
      </c>
      <c r="P56" s="189">
        <f>IFERROR(__xludf.DUMMYFUNCTION("""COMPUTED_VALUE"""),8.0)</f>
        <v>8</v>
      </c>
      <c r="Q56" s="189">
        <f>IFERROR(__xludf.DUMMYFUNCTION("""COMPUTED_VALUE"""),9.0)</f>
        <v>9</v>
      </c>
      <c r="R56" s="189">
        <f>IFERROR(__xludf.DUMMYFUNCTION("""COMPUTED_VALUE"""),4.0)</f>
        <v>4</v>
      </c>
      <c r="S56" s="189">
        <f>IFERROR(__xludf.DUMMYFUNCTION("""COMPUTED_VALUE"""),1.0)</f>
        <v>1</v>
      </c>
      <c r="T56" s="189">
        <f>IFERROR(__xludf.DUMMYFUNCTION("""COMPUTED_VALUE"""),1.0)</f>
        <v>1</v>
      </c>
      <c r="U56" s="189">
        <f>IFERROR(__xludf.DUMMYFUNCTION("""COMPUTED_VALUE"""),4.0)</f>
        <v>4</v>
      </c>
      <c r="V56" s="189">
        <f>IFERROR(__xludf.DUMMYFUNCTION("""COMPUTED_VALUE"""),9.0)</f>
        <v>9</v>
      </c>
      <c r="W56" s="189">
        <f>IFERROR(__xludf.DUMMYFUNCTION("""COMPUTED_VALUE"""),8.0)</f>
        <v>8</v>
      </c>
      <c r="X56" s="189">
        <f>IFERROR(__xludf.DUMMYFUNCTION("""COMPUTED_VALUE"""),5.0)</f>
        <v>5</v>
      </c>
      <c r="Y56" s="189" t="str">
        <f>IFERROR(__xludf.DUMMYFUNCTION("""COMPUTED_VALUE"""),"2025-08-04T00:00:00.000Z")</f>
        <v>2025-08-04T00:00:00.000Z</v>
      </c>
      <c r="Z56" s="189" t="str">
        <f>IFERROR(__xludf.DUMMYFUNCTION("""COMPUTED_VALUE"""),"BBL PCIFIC_Icebox")</f>
        <v>BBL PCIFIC_Icebox</v>
      </c>
    </row>
    <row r="57">
      <c r="A57" s="189">
        <f>IFERROR(__xludf.DUMMYFUNCTION("""COMPUTED_VALUE"""),211969.0)</f>
        <v>211969</v>
      </c>
      <c r="B57" s="189">
        <f>IFERROR(__xludf.DUMMYFUNCTION("""COMPUTED_VALUE"""),93390.0)</f>
        <v>93390</v>
      </c>
      <c r="C57" s="189" t="str">
        <f>IFERROR(__xludf.DUMMYFUNCTION("""COMPUTED_VALUE"""),"Challengers 2025: Türkiye Birlik Split 3 - Playoffs")</f>
        <v>Challengers 2025: Türkiye Birlik Split 3 - Playoffs</v>
      </c>
      <c r="D57" s="189" t="str">
        <f>IFERROR(__xludf.DUMMYFUNCTION("""COMPUTED_VALUE"""),"Lotus")</f>
        <v>Lotus</v>
      </c>
      <c r="E57" s="189" t="str">
        <f>IFERROR(__xludf.DUMMYFUNCTION("""COMPUTED_VALUE"""),"BBL PCIFIC")</f>
        <v>BBL PCIFIC</v>
      </c>
      <c r="F57" s="189" t="str">
        <f>IFERROR(__xludf.DUMMYFUNCTION("""COMPUTED_VALUE"""),"Papara SuperMassive")</f>
        <v>Papara SuperMassive</v>
      </c>
      <c r="G57" s="189" t="str">
        <f>IFERROR(__xludf.DUMMYFUNCTION("""COMPUTED_VALUE"""),"Raze,Omen,Yoru,Fade,Vyse")</f>
        <v>Raze,Omen,Yoru,Fade,Vyse</v>
      </c>
      <c r="H57" s="189" t="str">
        <f>IFERROR(__xludf.DUMMYFUNCTION("""COMPUTED_VALUE"""),"Raze,Viper,Omen,Fade,Vyse")</f>
        <v>Raze,Viper,Omen,Fade,Vyse</v>
      </c>
      <c r="I57" s="189">
        <f>IFERROR(__xludf.DUMMYFUNCTION("""COMPUTED_VALUE"""),13.0)</f>
        <v>13</v>
      </c>
      <c r="J57" s="189">
        <f>IFERROR(__xludf.DUMMYFUNCTION("""COMPUTED_VALUE"""),4.0)</f>
        <v>4</v>
      </c>
      <c r="K57" s="189">
        <f>IFERROR(__xludf.DUMMYFUNCTION("""COMPUTED_VALUE"""),8.0)</f>
        <v>8</v>
      </c>
      <c r="L57" s="189">
        <f>IFERROR(__xludf.DUMMYFUNCTION("""COMPUTED_VALUE"""),4.0)</f>
        <v>4</v>
      </c>
      <c r="M57" s="189">
        <f>IFERROR(__xludf.DUMMYFUNCTION("""COMPUTED_VALUE"""),1.0)</f>
        <v>1</v>
      </c>
      <c r="N57" s="189">
        <f>IFERROR(__xludf.DUMMYFUNCTION("""COMPUTED_VALUE"""),1.0)</f>
        <v>1</v>
      </c>
      <c r="O57" s="189">
        <f>IFERROR(__xludf.DUMMYFUNCTION("""COMPUTED_VALUE"""),5.0)</f>
        <v>5</v>
      </c>
      <c r="P57" s="189">
        <f>IFERROR(__xludf.DUMMYFUNCTION("""COMPUTED_VALUE"""),0.0)</f>
        <v>0</v>
      </c>
      <c r="Q57" s="189">
        <f>IFERROR(__xludf.DUMMYFUNCTION("""COMPUTED_VALUE"""),8.0)</f>
        <v>8</v>
      </c>
      <c r="R57" s="189">
        <f>IFERROR(__xludf.DUMMYFUNCTION("""COMPUTED_VALUE"""),4.0)</f>
        <v>4</v>
      </c>
      <c r="S57" s="189">
        <f>IFERROR(__xludf.DUMMYFUNCTION("""COMPUTED_VALUE"""),0.0)</f>
        <v>0</v>
      </c>
      <c r="T57" s="189">
        <f>IFERROR(__xludf.DUMMYFUNCTION("""COMPUTED_VALUE"""),0.0)</f>
        <v>0</v>
      </c>
      <c r="U57" s="189">
        <f>IFERROR(__xludf.DUMMYFUNCTION("""COMPUTED_VALUE"""),4.0)</f>
        <v>4</v>
      </c>
      <c r="V57" s="189">
        <f>IFERROR(__xludf.DUMMYFUNCTION("""COMPUTED_VALUE"""),8.0)</f>
        <v>8</v>
      </c>
      <c r="W57" s="189">
        <f>IFERROR(__xludf.DUMMYFUNCTION("""COMPUTED_VALUE"""),0.0)</f>
        <v>0</v>
      </c>
      <c r="X57" s="189">
        <f>IFERROR(__xludf.DUMMYFUNCTION("""COMPUTED_VALUE"""),5.0)</f>
        <v>5</v>
      </c>
      <c r="Y57" s="189" t="str">
        <f>IFERROR(__xludf.DUMMYFUNCTION("""COMPUTED_VALUE"""),"2025-08-04T00:00:00.000Z")</f>
        <v>2025-08-04T00:00:00.000Z</v>
      </c>
      <c r="Z57" s="189" t="str">
        <f>IFERROR(__xludf.DUMMYFUNCTION("""COMPUTED_VALUE"""),"BBL PCIFIC_Lotus")</f>
        <v>BBL PCIFIC_Lotus</v>
      </c>
    </row>
    <row r="58">
      <c r="A58" s="189">
        <f>IFERROR(__xludf.DUMMYFUNCTION("""COMPUTED_VALUE"""),211968.0)</f>
        <v>211968</v>
      </c>
      <c r="B58" s="189">
        <f>IFERROR(__xludf.DUMMYFUNCTION("""COMPUTED_VALUE"""),93390.0)</f>
        <v>93390</v>
      </c>
      <c r="C58" s="189" t="str">
        <f>IFERROR(__xludf.DUMMYFUNCTION("""COMPUTED_VALUE"""),"Challengers 2025: Türkiye Birlik Split 3 - Playoffs")</f>
        <v>Challengers 2025: Türkiye Birlik Split 3 - Playoffs</v>
      </c>
      <c r="D58" s="189" t="str">
        <f>IFERROR(__xludf.DUMMYFUNCTION("""COMPUTED_VALUE"""),"Haven")</f>
        <v>Haven</v>
      </c>
      <c r="E58" s="189" t="str">
        <f>IFERROR(__xludf.DUMMYFUNCTION("""COMPUTED_VALUE"""),"BBL PCIFIC")</f>
        <v>BBL PCIFIC</v>
      </c>
      <c r="F58" s="189" t="str">
        <f>IFERROR(__xludf.DUMMYFUNCTION("""COMPUTED_VALUE"""),"Papara SuperMassive")</f>
        <v>Papara SuperMassive</v>
      </c>
      <c r="G58" s="189" t="str">
        <f>IFERROR(__xludf.DUMMYFUNCTION("""COMPUTED_VALUE"""),"Breach,Cypher,Sova,Omen,Jett")</f>
        <v>Breach,Cypher,Sova,Omen,Jett</v>
      </c>
      <c r="H58" s="189" t="str">
        <f>IFERROR(__xludf.DUMMYFUNCTION("""COMPUTED_VALUE"""),"Breach,Cypher,Sova,Omen,Neon")</f>
        <v>Breach,Cypher,Sova,Omen,Neon</v>
      </c>
      <c r="I58" s="189">
        <f>IFERROR(__xludf.DUMMYFUNCTION("""COMPUTED_VALUE"""),6.0)</f>
        <v>6</v>
      </c>
      <c r="J58" s="189">
        <f>IFERROR(__xludf.DUMMYFUNCTION("""COMPUTED_VALUE"""),13.0)</f>
        <v>13</v>
      </c>
      <c r="K58" s="189">
        <f>IFERROR(__xludf.DUMMYFUNCTION("""COMPUTED_VALUE"""),5.0)</f>
        <v>5</v>
      </c>
      <c r="L58" s="189">
        <f>IFERROR(__xludf.DUMMYFUNCTION("""COMPUTED_VALUE"""),7.0)</f>
        <v>7</v>
      </c>
      <c r="M58" s="189">
        <f>IFERROR(__xludf.DUMMYFUNCTION("""COMPUTED_VALUE"""),0.0)</f>
        <v>0</v>
      </c>
      <c r="N58" s="189">
        <f>IFERROR(__xludf.DUMMYFUNCTION("""COMPUTED_VALUE"""),0.0)</f>
        <v>0</v>
      </c>
      <c r="O58" s="189">
        <f>IFERROR(__xludf.DUMMYFUNCTION("""COMPUTED_VALUE"""),5.0)</f>
        <v>5</v>
      </c>
      <c r="P58" s="189">
        <f>IFERROR(__xludf.DUMMYFUNCTION("""COMPUTED_VALUE"""),7.0)</f>
        <v>7</v>
      </c>
      <c r="Q58" s="189">
        <f>IFERROR(__xludf.DUMMYFUNCTION("""COMPUTED_VALUE"""),1.0)</f>
        <v>1</v>
      </c>
      <c r="R58" s="189">
        <f>IFERROR(__xludf.DUMMYFUNCTION("""COMPUTED_VALUE"""),6.0)</f>
        <v>6</v>
      </c>
      <c r="S58" s="189">
        <f>IFERROR(__xludf.DUMMYFUNCTION("""COMPUTED_VALUE"""),1.0)</f>
        <v>1</v>
      </c>
      <c r="T58" s="189">
        <f>IFERROR(__xludf.DUMMYFUNCTION("""COMPUTED_VALUE"""),1.0)</f>
        <v>1</v>
      </c>
      <c r="U58" s="189">
        <f>IFERROR(__xludf.DUMMYFUNCTION("""COMPUTED_VALUE"""),6.0)</f>
        <v>6</v>
      </c>
      <c r="V58" s="189">
        <f>IFERROR(__xludf.DUMMYFUNCTION("""COMPUTED_VALUE"""),1.0)</f>
        <v>1</v>
      </c>
      <c r="W58" s="189">
        <f>IFERROR(__xludf.DUMMYFUNCTION("""COMPUTED_VALUE"""),7.0)</f>
        <v>7</v>
      </c>
      <c r="X58" s="189">
        <f>IFERROR(__xludf.DUMMYFUNCTION("""COMPUTED_VALUE"""),5.0)</f>
        <v>5</v>
      </c>
      <c r="Y58" s="189" t="str">
        <f>IFERROR(__xludf.DUMMYFUNCTION("""COMPUTED_VALUE"""),"2025-08-04T00:00:00.000Z")</f>
        <v>2025-08-04T00:00:00.000Z</v>
      </c>
      <c r="Z58" s="189" t="str">
        <f>IFERROR(__xludf.DUMMYFUNCTION("""COMPUTED_VALUE"""),"BBL PCIFIC_Haven")</f>
        <v>BBL PCIFIC_Haven</v>
      </c>
    </row>
    <row r="59">
      <c r="A59" s="189">
        <f>IFERROR(__xludf.DUMMYFUNCTION("""COMPUTED_VALUE"""),211957.0)</f>
        <v>211957</v>
      </c>
      <c r="B59" s="189">
        <f>IFERROR(__xludf.DUMMYFUNCTION("""COMPUTED_VALUE"""),93386.0)</f>
        <v>93386</v>
      </c>
      <c r="C59" s="189" t="str">
        <f>IFERROR(__xludf.DUMMYFUNCTION("""COMPUTED_VALUE"""),"Challengers League 2025 NORTH EAST: Split 3 - Playoffs")</f>
        <v>Challengers League 2025 NORTH EAST: Split 3 - Playoffs</v>
      </c>
      <c r="D59" s="189" t="str">
        <f>IFERROR(__xludf.DUMMYFUNCTION("""COMPUTED_VALUE"""),"Corrode")</f>
        <v>Corrode</v>
      </c>
      <c r="E59" s="189" t="str">
        <f>IFERROR(__xludf.DUMMYFUNCTION("""COMPUTED_VALUE"""),"Team Liquid Academy")</f>
        <v>Team Liquid Academy</v>
      </c>
      <c r="F59" s="189" t="str">
        <f>IFERROR(__xludf.DUMMYFUNCTION("""COMPUTED_VALUE"""),"Boars Gaming")</f>
        <v>Boars Gaming</v>
      </c>
      <c r="G59" s="189" t="str">
        <f>IFERROR(__xludf.DUMMYFUNCTION("""COMPUTED_VALUE"""),"Cypher,Phoenix,Omen,Yoru,Fade")</f>
        <v>Cypher,Phoenix,Omen,Yoru,Fade</v>
      </c>
      <c r="H59" s="189" t="str">
        <f>IFERROR(__xludf.DUMMYFUNCTION("""COMPUTED_VALUE"""),"Omen,Yoru,Chamber,Neon,Fade")</f>
        <v>Omen,Yoru,Chamber,Neon,Fade</v>
      </c>
      <c r="I59" s="189">
        <f>IFERROR(__xludf.DUMMYFUNCTION("""COMPUTED_VALUE"""),13.0)</f>
        <v>13</v>
      </c>
      <c r="J59" s="189">
        <f>IFERROR(__xludf.DUMMYFUNCTION("""COMPUTED_VALUE"""),3.0)</f>
        <v>3</v>
      </c>
      <c r="K59" s="189">
        <f>IFERROR(__xludf.DUMMYFUNCTION("""COMPUTED_VALUE"""),10.0)</f>
        <v>10</v>
      </c>
      <c r="L59" s="189">
        <f>IFERROR(__xludf.DUMMYFUNCTION("""COMPUTED_VALUE"""),2.0)</f>
        <v>2</v>
      </c>
      <c r="M59" s="189">
        <f>IFERROR(__xludf.DUMMYFUNCTION("""COMPUTED_VALUE"""),1.0)</f>
        <v>1</v>
      </c>
      <c r="N59" s="189">
        <f>IFERROR(__xludf.DUMMYFUNCTION("""COMPUTED_VALUE"""),1.0)</f>
        <v>1</v>
      </c>
      <c r="O59" s="189">
        <f>IFERROR(__xludf.DUMMYFUNCTION("""COMPUTED_VALUE"""),3.0)</f>
        <v>3</v>
      </c>
      <c r="P59" s="189">
        <f>IFERROR(__xludf.DUMMYFUNCTION("""COMPUTED_VALUE"""),1.0)</f>
        <v>1</v>
      </c>
      <c r="Q59" s="189">
        <f>IFERROR(__xludf.DUMMYFUNCTION("""COMPUTED_VALUE"""),10.0)</f>
        <v>10</v>
      </c>
      <c r="R59" s="189">
        <f>IFERROR(__xludf.DUMMYFUNCTION("""COMPUTED_VALUE"""),2.0)</f>
        <v>2</v>
      </c>
      <c r="S59" s="189">
        <f>IFERROR(__xludf.DUMMYFUNCTION("""COMPUTED_VALUE"""),0.0)</f>
        <v>0</v>
      </c>
      <c r="T59" s="189">
        <f>IFERROR(__xludf.DUMMYFUNCTION("""COMPUTED_VALUE"""),0.0)</f>
        <v>0</v>
      </c>
      <c r="U59" s="189">
        <f>IFERROR(__xludf.DUMMYFUNCTION("""COMPUTED_VALUE"""),2.0)</f>
        <v>2</v>
      </c>
      <c r="V59" s="189">
        <f>IFERROR(__xludf.DUMMYFUNCTION("""COMPUTED_VALUE"""),10.0)</f>
        <v>10</v>
      </c>
      <c r="W59" s="189">
        <f>IFERROR(__xludf.DUMMYFUNCTION("""COMPUTED_VALUE"""),1.0)</f>
        <v>1</v>
      </c>
      <c r="X59" s="189">
        <f>IFERROR(__xludf.DUMMYFUNCTION("""COMPUTED_VALUE"""),3.0)</f>
        <v>3</v>
      </c>
      <c r="Y59" s="189" t="str">
        <f>IFERROR(__xludf.DUMMYFUNCTION("""COMPUTED_VALUE"""),"2025-08-03T00:00:00.000Z")</f>
        <v>2025-08-03T00:00:00.000Z</v>
      </c>
      <c r="Z59" s="189" t="str">
        <f>IFERROR(__xludf.DUMMYFUNCTION("""COMPUTED_VALUE"""),"Team Liquid Academy_Corrode")</f>
        <v>Team Liquid Academy_Corrode</v>
      </c>
    </row>
    <row r="60">
      <c r="A60" s="189">
        <f>IFERROR(__xludf.DUMMYFUNCTION("""COMPUTED_VALUE"""),211956.0)</f>
        <v>211956</v>
      </c>
      <c r="B60" s="189">
        <f>IFERROR(__xludf.DUMMYFUNCTION("""COMPUTED_VALUE"""),93386.0)</f>
        <v>93386</v>
      </c>
      <c r="C60" s="189" t="str">
        <f>IFERROR(__xludf.DUMMYFUNCTION("""COMPUTED_VALUE"""),"Challengers League 2025 NORTH EAST: Split 3 - Playoffs")</f>
        <v>Challengers League 2025 NORTH EAST: Split 3 - Playoffs</v>
      </c>
      <c r="D60" s="189" t="str">
        <f>IFERROR(__xludf.DUMMYFUNCTION("""COMPUTED_VALUE"""),"Lotus")</f>
        <v>Lotus</v>
      </c>
      <c r="E60" s="189" t="str">
        <f>IFERROR(__xludf.DUMMYFUNCTION("""COMPUTED_VALUE"""),"Team Liquid Academy")</f>
        <v>Team Liquid Academy</v>
      </c>
      <c r="F60" s="189" t="str">
        <f>IFERROR(__xludf.DUMMYFUNCTION("""COMPUTED_VALUE"""),"Boars Gaming")</f>
        <v>Boars Gaming</v>
      </c>
      <c r="G60" s="189" t="str">
        <f>IFERROR(__xludf.DUMMYFUNCTION("""COMPUTED_VALUE"""),"Cypher,Omen,Neon,Fade,Iso")</f>
        <v>Cypher,Omen,Neon,Fade,Iso</v>
      </c>
      <c r="H60" s="189" t="str">
        <f>IFERROR(__xludf.DUMMYFUNCTION("""COMPUTED_VALUE"""),"Breach,Cypher,Omen,Neon,Fade")</f>
        <v>Breach,Cypher,Omen,Neon,Fade</v>
      </c>
      <c r="I60" s="189">
        <f>IFERROR(__xludf.DUMMYFUNCTION("""COMPUTED_VALUE"""),13.0)</f>
        <v>13</v>
      </c>
      <c r="J60" s="189">
        <f>IFERROR(__xludf.DUMMYFUNCTION("""COMPUTED_VALUE"""),6.0)</f>
        <v>6</v>
      </c>
      <c r="K60" s="189">
        <f>IFERROR(__xludf.DUMMYFUNCTION("""COMPUTED_VALUE"""),10.0)</f>
        <v>10</v>
      </c>
      <c r="L60" s="189">
        <f>IFERROR(__xludf.DUMMYFUNCTION("""COMPUTED_VALUE"""),2.0)</f>
        <v>2</v>
      </c>
      <c r="M60" s="189">
        <f>IFERROR(__xludf.DUMMYFUNCTION("""COMPUTED_VALUE"""),0.0)</f>
        <v>0</v>
      </c>
      <c r="N60" s="189">
        <f>IFERROR(__xludf.DUMMYFUNCTION("""COMPUTED_VALUE"""),1.0)</f>
        <v>1</v>
      </c>
      <c r="O60" s="189">
        <f>IFERROR(__xludf.DUMMYFUNCTION("""COMPUTED_VALUE"""),3.0)</f>
        <v>3</v>
      </c>
      <c r="P60" s="189">
        <f>IFERROR(__xludf.DUMMYFUNCTION("""COMPUTED_VALUE"""),4.0)</f>
        <v>4</v>
      </c>
      <c r="Q60" s="189">
        <f>IFERROR(__xludf.DUMMYFUNCTION("""COMPUTED_VALUE"""),10.0)</f>
        <v>10</v>
      </c>
      <c r="R60" s="189">
        <f>IFERROR(__xludf.DUMMYFUNCTION("""COMPUTED_VALUE"""),2.0)</f>
        <v>2</v>
      </c>
      <c r="S60" s="189">
        <f>IFERROR(__xludf.DUMMYFUNCTION("""COMPUTED_VALUE"""),0.0)</f>
        <v>0</v>
      </c>
      <c r="T60" s="189">
        <f>IFERROR(__xludf.DUMMYFUNCTION("""COMPUTED_VALUE"""),1.0)</f>
        <v>1</v>
      </c>
      <c r="U60" s="189">
        <f>IFERROR(__xludf.DUMMYFUNCTION("""COMPUTED_VALUE"""),2.0)</f>
        <v>2</v>
      </c>
      <c r="V60" s="189">
        <f>IFERROR(__xludf.DUMMYFUNCTION("""COMPUTED_VALUE"""),10.0)</f>
        <v>10</v>
      </c>
      <c r="W60" s="189">
        <f>IFERROR(__xludf.DUMMYFUNCTION("""COMPUTED_VALUE"""),4.0)</f>
        <v>4</v>
      </c>
      <c r="X60" s="189">
        <f>IFERROR(__xludf.DUMMYFUNCTION("""COMPUTED_VALUE"""),3.0)</f>
        <v>3</v>
      </c>
      <c r="Y60" s="189" t="str">
        <f>IFERROR(__xludf.DUMMYFUNCTION("""COMPUTED_VALUE"""),"2025-08-03T00:00:00.000Z")</f>
        <v>2025-08-03T00:00:00.000Z</v>
      </c>
      <c r="Z60" s="189" t="str">
        <f>IFERROR(__xludf.DUMMYFUNCTION("""COMPUTED_VALUE"""),"Team Liquid Academy_Lotus")</f>
        <v>Team Liquid Academy_Lotus</v>
      </c>
    </row>
    <row r="61">
      <c r="A61" s="189">
        <f>IFERROR(__xludf.DUMMYFUNCTION("""COMPUTED_VALUE"""),211246.0)</f>
        <v>211246</v>
      </c>
      <c r="B61" s="189">
        <f>IFERROR(__xludf.DUMMYFUNCTION("""COMPUTED_VALUE"""),92903.0)</f>
        <v>92903</v>
      </c>
      <c r="C61" s="189" t="str">
        <f>IFERROR(__xludf.DUMMYFUNCTION("""COMPUTED_VALUE"""),"Challengers 2025: France Revolution Split 3 - Playoffs")</f>
        <v>Challengers 2025: France Revolution Split 3 - Playoffs</v>
      </c>
      <c r="D61" s="189" t="str">
        <f>IFERROR(__xludf.DUMMYFUNCTION("""COMPUTED_VALUE"""),"Icebox")</f>
        <v>Icebox</v>
      </c>
      <c r="E61" s="189" t="str">
        <f>IFERROR(__xludf.DUMMYFUNCTION("""COMPUTED_VALUE"""),"Joblife")</f>
        <v>Joblife</v>
      </c>
      <c r="F61" s="189" t="str">
        <f>IFERROR(__xludf.DUMMYFUNCTION("""COMPUTED_VALUE"""),"BLX CORP")</f>
        <v>BLX CORP</v>
      </c>
      <c r="G61" s="189" t="str">
        <f>IFERROR(__xludf.DUMMYFUNCTION("""COMPUTED_VALUE"""),"Sova,Killjoy,Viper,Sage,Jett")</f>
        <v>Sova,Killjoy,Viper,Sage,Jett</v>
      </c>
      <c r="H61" s="189" t="str">
        <f>IFERROR(__xludf.DUMMYFUNCTION("""COMPUTED_VALUE"""),"Killjoy,Viper,Reyna,Gekko,Iso")</f>
        <v>Killjoy,Viper,Reyna,Gekko,Iso</v>
      </c>
      <c r="I61" s="189">
        <f>IFERROR(__xludf.DUMMYFUNCTION("""COMPUTED_VALUE"""),13.0)</f>
        <v>13</v>
      </c>
      <c r="J61" s="189">
        <f>IFERROR(__xludf.DUMMYFUNCTION("""COMPUTED_VALUE"""),2.0)</f>
        <v>2</v>
      </c>
      <c r="K61" s="189">
        <f>IFERROR(__xludf.DUMMYFUNCTION("""COMPUTED_VALUE"""),11.0)</f>
        <v>11</v>
      </c>
      <c r="L61" s="189">
        <f>IFERROR(__xludf.DUMMYFUNCTION("""COMPUTED_VALUE"""),1.0)</f>
        <v>1</v>
      </c>
      <c r="M61" s="189">
        <f>IFERROR(__xludf.DUMMYFUNCTION("""COMPUTED_VALUE"""),1.0)</f>
        <v>1</v>
      </c>
      <c r="N61" s="189">
        <f>IFERROR(__xludf.DUMMYFUNCTION("""COMPUTED_VALUE"""),1.0)</f>
        <v>1</v>
      </c>
      <c r="O61" s="189">
        <f>IFERROR(__xludf.DUMMYFUNCTION("""COMPUTED_VALUE"""),2.0)</f>
        <v>2</v>
      </c>
      <c r="P61" s="189">
        <f>IFERROR(__xludf.DUMMYFUNCTION("""COMPUTED_VALUE"""),1.0)</f>
        <v>1</v>
      </c>
      <c r="Q61" s="189">
        <f>IFERROR(__xludf.DUMMYFUNCTION("""COMPUTED_VALUE"""),11.0)</f>
        <v>11</v>
      </c>
      <c r="R61" s="189">
        <f>IFERROR(__xludf.DUMMYFUNCTION("""COMPUTED_VALUE"""),1.0)</f>
        <v>1</v>
      </c>
      <c r="S61" s="189">
        <f>IFERROR(__xludf.DUMMYFUNCTION("""COMPUTED_VALUE"""),0.0)</f>
        <v>0</v>
      </c>
      <c r="T61" s="189">
        <f>IFERROR(__xludf.DUMMYFUNCTION("""COMPUTED_VALUE"""),0.0)</f>
        <v>0</v>
      </c>
      <c r="U61" s="189">
        <f>IFERROR(__xludf.DUMMYFUNCTION("""COMPUTED_VALUE"""),1.0)</f>
        <v>1</v>
      </c>
      <c r="V61" s="189">
        <f>IFERROR(__xludf.DUMMYFUNCTION("""COMPUTED_VALUE"""),11.0)</f>
        <v>11</v>
      </c>
      <c r="W61" s="189">
        <f>IFERROR(__xludf.DUMMYFUNCTION("""COMPUTED_VALUE"""),1.0)</f>
        <v>1</v>
      </c>
      <c r="X61" s="189">
        <f>IFERROR(__xludf.DUMMYFUNCTION("""COMPUTED_VALUE"""),2.0)</f>
        <v>2</v>
      </c>
      <c r="Y61" s="189" t="str">
        <f>IFERROR(__xludf.DUMMYFUNCTION("""COMPUTED_VALUE"""),"2025-08-03T00:00:00.000Z")</f>
        <v>2025-08-03T00:00:00.000Z</v>
      </c>
      <c r="Z61" s="189" t="str">
        <f>IFERROR(__xludf.DUMMYFUNCTION("""COMPUTED_VALUE"""),"Joblife_Icebox")</f>
        <v>Joblife_Icebox</v>
      </c>
    </row>
    <row r="62">
      <c r="A62" s="189">
        <f>IFERROR(__xludf.DUMMYFUNCTION("""COMPUTED_VALUE"""),211599.0)</f>
        <v>211599</v>
      </c>
      <c r="B62" s="189">
        <f>IFERROR(__xludf.DUMMYFUNCTION("""COMPUTED_VALUE"""),93186.0)</f>
        <v>93186</v>
      </c>
      <c r="C62" s="189" t="str">
        <f>IFERROR(__xludf.DUMMYFUNCTION("""COMPUTED_VALUE"""),"Challengers League 2025 NORTH EAST: Split 3 - Playoffs")</f>
        <v>Challengers League 2025 NORTH EAST: Split 3 - Playoffs</v>
      </c>
      <c r="D62" s="189" t="str">
        <f>IFERROR(__xludf.DUMMYFUNCTION("""COMPUTED_VALUE"""),"Bind")</f>
        <v>Bind</v>
      </c>
      <c r="E62" s="189" t="str">
        <f>IFERROR(__xludf.DUMMYFUNCTION("""COMPUTED_VALUE"""),"děti ulice")</f>
        <v>děti ulice</v>
      </c>
      <c r="F62" s="189" t="str">
        <f>IFERROR(__xludf.DUMMYFUNCTION("""COMPUTED_VALUE"""),"Enterprise Esports")</f>
        <v>Enterprise Esports</v>
      </c>
      <c r="G62" s="189" t="str">
        <f>IFERROR(__xludf.DUMMYFUNCTION("""COMPUTED_VALUE"""),"Raze,Viper,Brimstone,Skye,Gekko")</f>
        <v>Raze,Viper,Brimstone,Skye,Gekko</v>
      </c>
      <c r="H62" s="189" t="str">
        <f>IFERROR(__xludf.DUMMYFUNCTION("""COMPUTED_VALUE"""),"Raze,Viper,Yoru,Astra,Fade")</f>
        <v>Raze,Viper,Yoru,Astra,Fade</v>
      </c>
      <c r="I62" s="189">
        <f>IFERROR(__xludf.DUMMYFUNCTION("""COMPUTED_VALUE"""),3.0)</f>
        <v>3</v>
      </c>
      <c r="J62" s="189">
        <f>IFERROR(__xludf.DUMMYFUNCTION("""COMPUTED_VALUE"""),13.0)</f>
        <v>13</v>
      </c>
      <c r="K62" s="189">
        <f>IFERROR(__xludf.DUMMYFUNCTION("""COMPUTED_VALUE"""),3.0)</f>
        <v>3</v>
      </c>
      <c r="L62" s="189">
        <f>IFERROR(__xludf.DUMMYFUNCTION("""COMPUTED_VALUE"""),9.0)</f>
        <v>9</v>
      </c>
      <c r="M62" s="189">
        <f>IFERROR(__xludf.DUMMYFUNCTION("""COMPUTED_VALUE"""),0.0)</f>
        <v>0</v>
      </c>
      <c r="N62" s="189">
        <f>IFERROR(__xludf.DUMMYFUNCTION("""COMPUTED_VALUE"""),0.0)</f>
        <v>0</v>
      </c>
      <c r="O62" s="189">
        <f>IFERROR(__xludf.DUMMYFUNCTION("""COMPUTED_VALUE"""),3.0)</f>
        <v>3</v>
      </c>
      <c r="P62" s="189">
        <f>IFERROR(__xludf.DUMMYFUNCTION("""COMPUTED_VALUE"""),9.0)</f>
        <v>9</v>
      </c>
      <c r="Q62" s="189">
        <f>IFERROR(__xludf.DUMMYFUNCTION("""COMPUTED_VALUE"""),0.0)</f>
        <v>0</v>
      </c>
      <c r="R62" s="189">
        <f>IFERROR(__xludf.DUMMYFUNCTION("""COMPUTED_VALUE"""),4.0)</f>
        <v>4</v>
      </c>
      <c r="S62" s="189">
        <f>IFERROR(__xludf.DUMMYFUNCTION("""COMPUTED_VALUE"""),1.0)</f>
        <v>1</v>
      </c>
      <c r="T62" s="189">
        <f>IFERROR(__xludf.DUMMYFUNCTION("""COMPUTED_VALUE"""),1.0)</f>
        <v>1</v>
      </c>
      <c r="U62" s="189">
        <f>IFERROR(__xludf.DUMMYFUNCTION("""COMPUTED_VALUE"""),4.0)</f>
        <v>4</v>
      </c>
      <c r="V62" s="189">
        <f>IFERROR(__xludf.DUMMYFUNCTION("""COMPUTED_VALUE"""),0.0)</f>
        <v>0</v>
      </c>
      <c r="W62" s="189">
        <f>IFERROR(__xludf.DUMMYFUNCTION("""COMPUTED_VALUE"""),9.0)</f>
        <v>9</v>
      </c>
      <c r="X62" s="189">
        <f>IFERROR(__xludf.DUMMYFUNCTION("""COMPUTED_VALUE"""),3.0)</f>
        <v>3</v>
      </c>
      <c r="Y62" s="189" t="str">
        <f>IFERROR(__xludf.DUMMYFUNCTION("""COMPUTED_VALUE"""),"2025-08-03T00:00:00.000Z")</f>
        <v>2025-08-03T00:00:00.000Z</v>
      </c>
      <c r="Z62" s="189" t="str">
        <f>IFERROR(__xludf.DUMMYFUNCTION("""COMPUTED_VALUE"""),"děti ulice_Bind")</f>
        <v>děti ulice_Bind</v>
      </c>
    </row>
    <row r="63">
      <c r="A63" s="189">
        <f>IFERROR(__xludf.DUMMYFUNCTION("""COMPUTED_VALUE"""),211245.0)</f>
        <v>211245</v>
      </c>
      <c r="B63" s="189">
        <f>IFERROR(__xludf.DUMMYFUNCTION("""COMPUTED_VALUE"""),92903.0)</f>
        <v>92903</v>
      </c>
      <c r="C63" s="189" t="str">
        <f>IFERROR(__xludf.DUMMYFUNCTION("""COMPUTED_VALUE"""),"Challengers 2025: France Revolution Split 3 - Playoffs")</f>
        <v>Challengers 2025: France Revolution Split 3 - Playoffs</v>
      </c>
      <c r="D63" s="189" t="str">
        <f>IFERROR(__xludf.DUMMYFUNCTION("""COMPUTED_VALUE"""),"Bind")</f>
        <v>Bind</v>
      </c>
      <c r="E63" s="189" t="str">
        <f>IFERROR(__xludf.DUMMYFUNCTION("""COMPUTED_VALUE"""),"Joblife")</f>
        <v>Joblife</v>
      </c>
      <c r="F63" s="189" t="str">
        <f>IFERROR(__xludf.DUMMYFUNCTION("""COMPUTED_VALUE"""),"BLX CORP")</f>
        <v>BLX CORP</v>
      </c>
      <c r="G63" s="189" t="str">
        <f>IFERROR(__xludf.DUMMYFUNCTION("""COMPUTED_VALUE"""),"Raze,Viper,Brimstone,Yoru,Fade")</f>
        <v>Raze,Viper,Brimstone,Yoru,Fade</v>
      </c>
      <c r="H63" s="189" t="str">
        <f>IFERROR(__xludf.DUMMYFUNCTION("""COMPUTED_VALUE"""),"Raze,Brimstone,KAY/O,Deadlock,Vyse")</f>
        <v>Raze,Brimstone,KAY/O,Deadlock,Vyse</v>
      </c>
      <c r="I63" s="189">
        <f>IFERROR(__xludf.DUMMYFUNCTION("""COMPUTED_VALUE"""),13.0)</f>
        <v>13</v>
      </c>
      <c r="J63" s="189">
        <f>IFERROR(__xludf.DUMMYFUNCTION("""COMPUTED_VALUE"""),3.0)</f>
        <v>3</v>
      </c>
      <c r="K63" s="189">
        <f>IFERROR(__xludf.DUMMYFUNCTION("""COMPUTED_VALUE"""),9.0)</f>
        <v>9</v>
      </c>
      <c r="L63" s="189">
        <f>IFERROR(__xludf.DUMMYFUNCTION("""COMPUTED_VALUE"""),3.0)</f>
        <v>3</v>
      </c>
      <c r="M63" s="189">
        <f>IFERROR(__xludf.DUMMYFUNCTION("""COMPUTED_VALUE"""),1.0)</f>
        <v>1</v>
      </c>
      <c r="N63" s="189">
        <f>IFERROR(__xludf.DUMMYFUNCTION("""COMPUTED_VALUE"""),1.0)</f>
        <v>1</v>
      </c>
      <c r="O63" s="189">
        <f>IFERROR(__xludf.DUMMYFUNCTION("""COMPUTED_VALUE"""),4.0)</f>
        <v>4</v>
      </c>
      <c r="P63" s="189">
        <f>IFERROR(__xludf.DUMMYFUNCTION("""COMPUTED_VALUE"""),0.0)</f>
        <v>0</v>
      </c>
      <c r="Q63" s="189">
        <f>IFERROR(__xludf.DUMMYFUNCTION("""COMPUTED_VALUE"""),9.0)</f>
        <v>9</v>
      </c>
      <c r="R63" s="189">
        <f>IFERROR(__xludf.DUMMYFUNCTION("""COMPUTED_VALUE"""),3.0)</f>
        <v>3</v>
      </c>
      <c r="S63" s="189">
        <f>IFERROR(__xludf.DUMMYFUNCTION("""COMPUTED_VALUE"""),0.0)</f>
        <v>0</v>
      </c>
      <c r="T63" s="189">
        <f>IFERROR(__xludf.DUMMYFUNCTION("""COMPUTED_VALUE"""),0.0)</f>
        <v>0</v>
      </c>
      <c r="U63" s="189">
        <f>IFERROR(__xludf.DUMMYFUNCTION("""COMPUTED_VALUE"""),3.0)</f>
        <v>3</v>
      </c>
      <c r="V63" s="189">
        <f>IFERROR(__xludf.DUMMYFUNCTION("""COMPUTED_VALUE"""),9.0)</f>
        <v>9</v>
      </c>
      <c r="W63" s="189">
        <f>IFERROR(__xludf.DUMMYFUNCTION("""COMPUTED_VALUE"""),0.0)</f>
        <v>0</v>
      </c>
      <c r="X63" s="189">
        <f>IFERROR(__xludf.DUMMYFUNCTION("""COMPUTED_VALUE"""),4.0)</f>
        <v>4</v>
      </c>
      <c r="Y63" s="189" t="str">
        <f>IFERROR(__xludf.DUMMYFUNCTION("""COMPUTED_VALUE"""),"2025-08-03T00:00:00.000Z")</f>
        <v>2025-08-03T00:00:00.000Z</v>
      </c>
      <c r="Z63" s="189" t="str">
        <f>IFERROR(__xludf.DUMMYFUNCTION("""COMPUTED_VALUE"""),"Joblife_Bind")</f>
        <v>Joblife_Bind</v>
      </c>
    </row>
    <row r="64">
      <c r="A64" s="189">
        <f>IFERROR(__xludf.DUMMYFUNCTION("""COMPUTED_VALUE"""),211598.0)</f>
        <v>211598</v>
      </c>
      <c r="B64" s="189">
        <f>IFERROR(__xludf.DUMMYFUNCTION("""COMPUTED_VALUE"""),93186.0)</f>
        <v>93186</v>
      </c>
      <c r="C64" s="189" t="str">
        <f>IFERROR(__xludf.DUMMYFUNCTION("""COMPUTED_VALUE"""),"Challengers League 2025 NORTH EAST: Split 3 - Playoffs")</f>
        <v>Challengers League 2025 NORTH EAST: Split 3 - Playoffs</v>
      </c>
      <c r="D64" s="189" t="str">
        <f>IFERROR(__xludf.DUMMYFUNCTION("""COMPUTED_VALUE"""),"Ascent")</f>
        <v>Ascent</v>
      </c>
      <c r="E64" s="189" t="str">
        <f>IFERROR(__xludf.DUMMYFUNCTION("""COMPUTED_VALUE"""),"děti ulice")</f>
        <v>děti ulice</v>
      </c>
      <c r="F64" s="189" t="str">
        <f>IFERROR(__xludf.DUMMYFUNCTION("""COMPUTED_VALUE"""),"Enterprise Esports")</f>
        <v>Enterprise Esports</v>
      </c>
      <c r="G64" s="189" t="str">
        <f>IFERROR(__xludf.DUMMYFUNCTION("""COMPUTED_VALUE"""),"Sova,Killjoy,Omen,Jett,KAY/O")</f>
        <v>Sova,Killjoy,Omen,Jett,KAY/O</v>
      </c>
      <c r="H64" s="189" t="str">
        <f>IFERROR(__xludf.DUMMYFUNCTION("""COMPUTED_VALUE"""),"Cypher,Sova,Omen,Jett,KAY/O")</f>
        <v>Cypher,Sova,Omen,Jett,KAY/O</v>
      </c>
      <c r="I64" s="189">
        <f>IFERROR(__xludf.DUMMYFUNCTION("""COMPUTED_VALUE"""),6.0)</f>
        <v>6</v>
      </c>
      <c r="J64" s="189">
        <f>IFERROR(__xludf.DUMMYFUNCTION("""COMPUTED_VALUE"""),13.0)</f>
        <v>13</v>
      </c>
      <c r="K64" s="189">
        <f>IFERROR(__xludf.DUMMYFUNCTION("""COMPUTED_VALUE"""),4.0)</f>
        <v>4</v>
      </c>
      <c r="L64" s="189">
        <f>IFERROR(__xludf.DUMMYFUNCTION("""COMPUTED_VALUE"""),8.0)</f>
        <v>8</v>
      </c>
      <c r="M64" s="189">
        <f>IFERROR(__xludf.DUMMYFUNCTION("""COMPUTED_VALUE"""),0.0)</f>
        <v>0</v>
      </c>
      <c r="N64" s="189">
        <f>IFERROR(__xludf.DUMMYFUNCTION("""COMPUTED_VALUE"""),0.0)</f>
        <v>0</v>
      </c>
      <c r="O64" s="189">
        <f>IFERROR(__xludf.DUMMYFUNCTION("""COMPUTED_VALUE"""),2.0)</f>
        <v>2</v>
      </c>
      <c r="P64" s="189">
        <f>IFERROR(__xludf.DUMMYFUNCTION("""COMPUTED_VALUE"""),5.0)</f>
        <v>5</v>
      </c>
      <c r="Q64" s="189">
        <f>IFERROR(__xludf.DUMMYFUNCTION("""COMPUTED_VALUE"""),4.0)</f>
        <v>4</v>
      </c>
      <c r="R64" s="189">
        <f>IFERROR(__xludf.DUMMYFUNCTION("""COMPUTED_VALUE"""),8.0)</f>
        <v>8</v>
      </c>
      <c r="S64" s="189">
        <f>IFERROR(__xludf.DUMMYFUNCTION("""COMPUTED_VALUE"""),1.0)</f>
        <v>1</v>
      </c>
      <c r="T64" s="189">
        <f>IFERROR(__xludf.DUMMYFUNCTION("""COMPUTED_VALUE"""),1.0)</f>
        <v>1</v>
      </c>
      <c r="U64" s="189">
        <f>IFERROR(__xludf.DUMMYFUNCTION("""COMPUTED_VALUE"""),8.0)</f>
        <v>8</v>
      </c>
      <c r="V64" s="189">
        <f>IFERROR(__xludf.DUMMYFUNCTION("""COMPUTED_VALUE"""),4.0)</f>
        <v>4</v>
      </c>
      <c r="W64" s="189">
        <f>IFERROR(__xludf.DUMMYFUNCTION("""COMPUTED_VALUE"""),5.0)</f>
        <v>5</v>
      </c>
      <c r="X64" s="189">
        <f>IFERROR(__xludf.DUMMYFUNCTION("""COMPUTED_VALUE"""),2.0)</f>
        <v>2</v>
      </c>
      <c r="Y64" s="189" t="str">
        <f>IFERROR(__xludf.DUMMYFUNCTION("""COMPUTED_VALUE"""),"2025-08-03T00:00:00.000Z")</f>
        <v>2025-08-03T00:00:00.000Z</v>
      </c>
      <c r="Z64" s="189" t="str">
        <f>IFERROR(__xludf.DUMMYFUNCTION("""COMPUTED_VALUE"""),"děti ulice_Ascent")</f>
        <v>děti ulice_Ascent</v>
      </c>
    </row>
    <row r="65">
      <c r="A65" s="189">
        <f>IFERROR(__xludf.DUMMYFUNCTION("""COMPUTED_VALUE"""),211597.0)</f>
        <v>211597</v>
      </c>
      <c r="B65" s="189">
        <f>IFERROR(__xludf.DUMMYFUNCTION("""COMPUTED_VALUE"""),93186.0)</f>
        <v>93186</v>
      </c>
      <c r="C65" s="189" t="str">
        <f>IFERROR(__xludf.DUMMYFUNCTION("""COMPUTED_VALUE"""),"Challengers League 2025 NORTH EAST: Split 3 - Playoffs")</f>
        <v>Challengers League 2025 NORTH EAST: Split 3 - Playoffs</v>
      </c>
      <c r="D65" s="189" t="str">
        <f>IFERROR(__xludf.DUMMYFUNCTION("""COMPUTED_VALUE"""),"Lotus")</f>
        <v>Lotus</v>
      </c>
      <c r="E65" s="189" t="str">
        <f>IFERROR(__xludf.DUMMYFUNCTION("""COMPUTED_VALUE"""),"děti ulice")</f>
        <v>děti ulice</v>
      </c>
      <c r="F65" s="189" t="str">
        <f>IFERROR(__xludf.DUMMYFUNCTION("""COMPUTED_VALUE"""),"Enterprise Esports")</f>
        <v>Enterprise Esports</v>
      </c>
      <c r="G65" s="189" t="str">
        <f>IFERROR(__xludf.DUMMYFUNCTION("""COMPUTED_VALUE"""),"Raze,Omen,Yoru,Fade,Vyse")</f>
        <v>Raze,Omen,Yoru,Fade,Vyse</v>
      </c>
      <c r="H65" s="189" t="str">
        <f>IFERROR(__xludf.DUMMYFUNCTION("""COMPUTED_VALUE"""),"Breach,Cypher,Omen,Neon,Fade")</f>
        <v>Breach,Cypher,Omen,Neon,Fade</v>
      </c>
      <c r="I65" s="189">
        <f>IFERROR(__xludf.DUMMYFUNCTION("""COMPUTED_VALUE"""),13.0)</f>
        <v>13</v>
      </c>
      <c r="J65" s="189">
        <f>IFERROR(__xludf.DUMMYFUNCTION("""COMPUTED_VALUE"""),8.0)</f>
        <v>8</v>
      </c>
      <c r="K65" s="189">
        <f>IFERROR(__xludf.DUMMYFUNCTION("""COMPUTED_VALUE"""),7.0)</f>
        <v>7</v>
      </c>
      <c r="L65" s="189">
        <f>IFERROR(__xludf.DUMMYFUNCTION("""COMPUTED_VALUE"""),5.0)</f>
        <v>5</v>
      </c>
      <c r="M65" s="189">
        <f>IFERROR(__xludf.DUMMYFUNCTION("""COMPUTED_VALUE"""),1.0)</f>
        <v>1</v>
      </c>
      <c r="N65" s="189">
        <f>IFERROR(__xludf.DUMMYFUNCTION("""COMPUTED_VALUE"""),1.0)</f>
        <v>1</v>
      </c>
      <c r="O65" s="189">
        <f>IFERROR(__xludf.DUMMYFUNCTION("""COMPUTED_VALUE"""),7.0)</f>
        <v>7</v>
      </c>
      <c r="P65" s="189">
        <f>IFERROR(__xludf.DUMMYFUNCTION("""COMPUTED_VALUE"""),5.0)</f>
        <v>5</v>
      </c>
      <c r="Q65" s="189">
        <f>IFERROR(__xludf.DUMMYFUNCTION("""COMPUTED_VALUE"""),6.0)</f>
        <v>6</v>
      </c>
      <c r="R65" s="189">
        <f>IFERROR(__xludf.DUMMYFUNCTION("""COMPUTED_VALUE"""),3.0)</f>
        <v>3</v>
      </c>
      <c r="S65" s="189">
        <f>IFERROR(__xludf.DUMMYFUNCTION("""COMPUTED_VALUE"""),0.0)</f>
        <v>0</v>
      </c>
      <c r="T65" s="189">
        <f>IFERROR(__xludf.DUMMYFUNCTION("""COMPUTED_VALUE"""),0.0)</f>
        <v>0</v>
      </c>
      <c r="U65" s="189">
        <f>IFERROR(__xludf.DUMMYFUNCTION("""COMPUTED_VALUE"""),3.0)</f>
        <v>3</v>
      </c>
      <c r="V65" s="189">
        <f>IFERROR(__xludf.DUMMYFUNCTION("""COMPUTED_VALUE"""),6.0)</f>
        <v>6</v>
      </c>
      <c r="W65" s="189">
        <f>IFERROR(__xludf.DUMMYFUNCTION("""COMPUTED_VALUE"""),5.0)</f>
        <v>5</v>
      </c>
      <c r="X65" s="189">
        <f>IFERROR(__xludf.DUMMYFUNCTION("""COMPUTED_VALUE"""),7.0)</f>
        <v>7</v>
      </c>
      <c r="Y65" s="189" t="str">
        <f>IFERROR(__xludf.DUMMYFUNCTION("""COMPUTED_VALUE"""),"2025-08-03T00:00:00.000Z")</f>
        <v>2025-08-03T00:00:00.000Z</v>
      </c>
      <c r="Z65" s="189" t="str">
        <f>IFERROR(__xludf.DUMMYFUNCTION("""COMPUTED_VALUE"""),"děti ulice_Lotus")</f>
        <v>děti ulice_Lotus</v>
      </c>
    </row>
    <row r="66">
      <c r="A66" s="189">
        <f>IFERROR(__xludf.DUMMYFUNCTION("""COMPUTED_VALUE"""),211220.0)</f>
        <v>211220</v>
      </c>
      <c r="B66" s="189">
        <f>IFERROR(__xludf.DUMMYFUNCTION("""COMPUTED_VALUE"""),92894.0)</f>
        <v>92894</v>
      </c>
      <c r="C66" s="189" t="str">
        <f>IFERROR(__xludf.DUMMYFUNCTION("""COMPUTED_VALUE"""),"Challengers League 2025 DACH: Evolution Stage 3 - Play-Ins")</f>
        <v>Challengers League 2025 DACH: Evolution Stage 3 - Play-Ins</v>
      </c>
      <c r="D66" s="189" t="str">
        <f>IFERROR(__xludf.DUMMYFUNCTION("""COMPUTED_VALUE"""),"Corrode")</f>
        <v>Corrode</v>
      </c>
      <c r="E66" s="189" t="str">
        <f>IFERROR(__xludf.DUMMYFUNCTION("""COMPUTED_VALUE"""),"Eintracht Frankfurt")</f>
        <v>Eintracht Frankfurt</v>
      </c>
      <c r="F66" s="189" t="str">
        <f>IFERROR(__xludf.DUMMYFUNCTION("""COMPUTED_VALUE"""),"FOKUS")</f>
        <v>FOKUS</v>
      </c>
      <c r="G66" s="189" t="str">
        <f>IFERROR(__xludf.DUMMYFUNCTION("""COMPUTED_VALUE"""),"Viper,Phoenix,Omen,Neon,Fade")</f>
        <v>Viper,Phoenix,Omen,Neon,Fade</v>
      </c>
      <c r="H66" s="189" t="str">
        <f>IFERROR(__xludf.DUMMYFUNCTION("""COMPUTED_VALUE"""),"Yoru,Astra,Neon,Fade,Vyse")</f>
        <v>Yoru,Astra,Neon,Fade,Vyse</v>
      </c>
      <c r="I66" s="189">
        <f>IFERROR(__xludf.DUMMYFUNCTION("""COMPUTED_VALUE"""),14.0)</f>
        <v>14</v>
      </c>
      <c r="J66" s="189">
        <f>IFERROR(__xludf.DUMMYFUNCTION("""COMPUTED_VALUE"""),12.0)</f>
        <v>12</v>
      </c>
      <c r="K66" s="189">
        <f>IFERROR(__xludf.DUMMYFUNCTION("""COMPUTED_VALUE"""),6.0)</f>
        <v>6</v>
      </c>
      <c r="L66" s="189">
        <f>IFERROR(__xludf.DUMMYFUNCTION("""COMPUTED_VALUE"""),6.0)</f>
        <v>6</v>
      </c>
      <c r="M66" s="189">
        <f>IFERROR(__xludf.DUMMYFUNCTION("""COMPUTED_VALUE"""),0.0)</f>
        <v>0</v>
      </c>
      <c r="N66" s="189">
        <f>IFERROR(__xludf.DUMMYFUNCTION("""COMPUTED_VALUE"""),1.0)</f>
        <v>1</v>
      </c>
      <c r="O66" s="189">
        <f>IFERROR(__xludf.DUMMYFUNCTION("""COMPUTED_VALUE"""),7.0)</f>
        <v>7</v>
      </c>
      <c r="P66" s="189">
        <f>IFERROR(__xludf.DUMMYFUNCTION("""COMPUTED_VALUE"""),6.0)</f>
        <v>6</v>
      </c>
      <c r="Q66" s="189">
        <f>IFERROR(__xludf.DUMMYFUNCTION("""COMPUTED_VALUE"""),7.0)</f>
        <v>7</v>
      </c>
      <c r="R66" s="189">
        <f>IFERROR(__xludf.DUMMYFUNCTION("""COMPUTED_VALUE"""),6.0)</f>
        <v>6</v>
      </c>
      <c r="S66" s="189">
        <f>IFERROR(__xludf.DUMMYFUNCTION("""COMPUTED_VALUE"""),0.0)</f>
        <v>0</v>
      </c>
      <c r="T66" s="189">
        <f>IFERROR(__xludf.DUMMYFUNCTION("""COMPUTED_VALUE"""),1.0)</f>
        <v>1</v>
      </c>
      <c r="U66" s="189">
        <f>IFERROR(__xludf.DUMMYFUNCTION("""COMPUTED_VALUE"""),6.0)</f>
        <v>6</v>
      </c>
      <c r="V66" s="189">
        <f>IFERROR(__xludf.DUMMYFUNCTION("""COMPUTED_VALUE"""),7.0)</f>
        <v>7</v>
      </c>
      <c r="W66" s="189">
        <f>IFERROR(__xludf.DUMMYFUNCTION("""COMPUTED_VALUE"""),6.0)</f>
        <v>6</v>
      </c>
      <c r="X66" s="189">
        <f>IFERROR(__xludf.DUMMYFUNCTION("""COMPUTED_VALUE"""),7.0)</f>
        <v>7</v>
      </c>
      <c r="Y66" s="189" t="str">
        <f>IFERROR(__xludf.DUMMYFUNCTION("""COMPUTED_VALUE"""),"2025-08-02T00:00:00.000Z")</f>
        <v>2025-08-02T00:00:00.000Z</v>
      </c>
      <c r="Z66" s="189" t="str">
        <f>IFERROR(__xludf.DUMMYFUNCTION("""COMPUTED_VALUE"""),"Eintracht Frankfurt_Corrode")</f>
        <v>Eintracht Frankfurt_Corrode</v>
      </c>
    </row>
    <row r="67">
      <c r="A67" s="189">
        <f>IFERROR(__xludf.DUMMYFUNCTION("""COMPUTED_VALUE"""),211219.0)</f>
        <v>211219</v>
      </c>
      <c r="B67" s="189">
        <f>IFERROR(__xludf.DUMMYFUNCTION("""COMPUTED_VALUE"""),92894.0)</f>
        <v>92894</v>
      </c>
      <c r="C67" s="189" t="str">
        <f>IFERROR(__xludf.DUMMYFUNCTION("""COMPUTED_VALUE"""),"Challengers League 2025 DACH: Evolution Stage 3 - Play-Ins")</f>
        <v>Challengers League 2025 DACH: Evolution Stage 3 - Play-Ins</v>
      </c>
      <c r="D67" s="189" t="str">
        <f>IFERROR(__xludf.DUMMYFUNCTION("""COMPUTED_VALUE"""),"Bind")</f>
        <v>Bind</v>
      </c>
      <c r="E67" s="189" t="str">
        <f>IFERROR(__xludf.DUMMYFUNCTION("""COMPUTED_VALUE"""),"Eintracht Frankfurt")</f>
        <v>Eintracht Frankfurt</v>
      </c>
      <c r="F67" s="189" t="str">
        <f>IFERROR(__xludf.DUMMYFUNCTION("""COMPUTED_VALUE"""),"FOKUS")</f>
        <v>FOKUS</v>
      </c>
      <c r="G67" s="189" t="str">
        <f>IFERROR(__xludf.DUMMYFUNCTION("""COMPUTED_VALUE"""),"Raze,Viper,Brimstone,Fade,Gekko")</f>
        <v>Raze,Viper,Brimstone,Fade,Gekko</v>
      </c>
      <c r="H67" s="189" t="str">
        <f>IFERROR(__xludf.DUMMYFUNCTION("""COMPUTED_VALUE"""),"Raze,Viper,Skye,Astra,Waylay")</f>
        <v>Raze,Viper,Skye,Astra,Waylay</v>
      </c>
      <c r="I67" s="189">
        <f>IFERROR(__xludf.DUMMYFUNCTION("""COMPUTED_VALUE"""),13.0)</f>
        <v>13</v>
      </c>
      <c r="J67" s="189">
        <f>IFERROR(__xludf.DUMMYFUNCTION("""COMPUTED_VALUE"""),2.0)</f>
        <v>2</v>
      </c>
      <c r="K67" s="189">
        <f>IFERROR(__xludf.DUMMYFUNCTION("""COMPUTED_VALUE"""),11.0)</f>
        <v>11</v>
      </c>
      <c r="L67" s="189">
        <f>IFERROR(__xludf.DUMMYFUNCTION("""COMPUTED_VALUE"""),1.0)</f>
        <v>1</v>
      </c>
      <c r="M67" s="189">
        <f>IFERROR(__xludf.DUMMYFUNCTION("""COMPUTED_VALUE"""),1.0)</f>
        <v>1</v>
      </c>
      <c r="N67" s="189">
        <f>IFERROR(__xludf.DUMMYFUNCTION("""COMPUTED_VALUE"""),0.0)</f>
        <v>0</v>
      </c>
      <c r="O67" s="189">
        <f>IFERROR(__xludf.DUMMYFUNCTION("""COMPUTED_VALUE"""),11.0)</f>
        <v>11</v>
      </c>
      <c r="P67" s="189">
        <f>IFERROR(__xludf.DUMMYFUNCTION("""COMPUTED_VALUE"""),1.0)</f>
        <v>1</v>
      </c>
      <c r="Q67" s="189">
        <f>IFERROR(__xludf.DUMMYFUNCTION("""COMPUTED_VALUE"""),2.0)</f>
        <v>2</v>
      </c>
      <c r="R67" s="189">
        <f>IFERROR(__xludf.DUMMYFUNCTION("""COMPUTED_VALUE"""),1.0)</f>
        <v>1</v>
      </c>
      <c r="S67" s="189">
        <f>IFERROR(__xludf.DUMMYFUNCTION("""COMPUTED_VALUE"""),1.0)</f>
        <v>1</v>
      </c>
      <c r="T67" s="189">
        <f>IFERROR(__xludf.DUMMYFUNCTION("""COMPUTED_VALUE"""),0.0)</f>
        <v>0</v>
      </c>
      <c r="U67" s="189">
        <f>IFERROR(__xludf.DUMMYFUNCTION("""COMPUTED_VALUE"""),1.0)</f>
        <v>1</v>
      </c>
      <c r="V67" s="189">
        <f>IFERROR(__xludf.DUMMYFUNCTION("""COMPUTED_VALUE"""),2.0)</f>
        <v>2</v>
      </c>
      <c r="W67" s="189">
        <f>IFERROR(__xludf.DUMMYFUNCTION("""COMPUTED_VALUE"""),1.0)</f>
        <v>1</v>
      </c>
      <c r="X67" s="189">
        <f>IFERROR(__xludf.DUMMYFUNCTION("""COMPUTED_VALUE"""),11.0)</f>
        <v>11</v>
      </c>
      <c r="Y67" s="189" t="str">
        <f>IFERROR(__xludf.DUMMYFUNCTION("""COMPUTED_VALUE"""),"2025-08-02T00:00:00.000Z")</f>
        <v>2025-08-02T00:00:00.000Z</v>
      </c>
      <c r="Z67" s="189" t="str">
        <f>IFERROR(__xludf.DUMMYFUNCTION("""COMPUTED_VALUE"""),"Eintracht Frankfurt_Bind")</f>
        <v>Eintracht Frankfurt_Bind</v>
      </c>
    </row>
    <row r="68">
      <c r="A68" s="189">
        <f>IFERROR(__xludf.DUMMYFUNCTION("""COMPUTED_VALUE"""),211267.0)</f>
        <v>211267</v>
      </c>
      <c r="B68" s="189">
        <f>IFERROR(__xludf.DUMMYFUNCTION("""COMPUTED_VALUE"""),92910.0)</f>
        <v>92910</v>
      </c>
      <c r="C68" s="189" t="str">
        <f>IFERROR(__xludf.DUMMYFUNCTION("""COMPUTED_VALUE"""),"Challengers League 2025 NORTH EAST: Split 3 - Playoffs")</f>
        <v>Challengers League 2025 NORTH EAST: Split 3 - Playoffs</v>
      </c>
      <c r="D68" s="189" t="str">
        <f>IFERROR(__xludf.DUMMYFUNCTION("""COMPUTED_VALUE"""),"Sunset")</f>
        <v>Sunset</v>
      </c>
      <c r="E68" s="189" t="str">
        <f>IFERROR(__xludf.DUMMYFUNCTION("""COMPUTED_VALUE"""),"Boars Gaming")</f>
        <v>Boars Gaming</v>
      </c>
      <c r="F68" s="189" t="str">
        <f>IFERROR(__xludf.DUMMYFUNCTION("""COMPUTED_VALUE"""),"Formulation Gaming")</f>
        <v>Formulation Gaming</v>
      </c>
      <c r="G68" s="189" t="str">
        <f>IFERROR(__xludf.DUMMYFUNCTION("""COMPUTED_VALUE"""),"Cypher,Sova,Omen,KAY/O,Neon")</f>
        <v>Cypher,Sova,Omen,KAY/O,Neon</v>
      </c>
      <c r="H68" s="189" t="str">
        <f>IFERROR(__xludf.DUMMYFUNCTION("""COMPUTED_VALUE"""),"Cypher,Sova,Viper,Omen,Neon")</f>
        <v>Cypher,Sova,Viper,Omen,Neon</v>
      </c>
      <c r="I68" s="189">
        <f>IFERROR(__xludf.DUMMYFUNCTION("""COMPUTED_VALUE"""),13.0)</f>
        <v>13</v>
      </c>
      <c r="J68" s="189">
        <f>IFERROR(__xludf.DUMMYFUNCTION("""COMPUTED_VALUE"""),4.0)</f>
        <v>4</v>
      </c>
      <c r="K68" s="189">
        <f>IFERROR(__xludf.DUMMYFUNCTION("""COMPUTED_VALUE"""),8.0)</f>
        <v>8</v>
      </c>
      <c r="L68" s="189">
        <f>IFERROR(__xludf.DUMMYFUNCTION("""COMPUTED_VALUE"""),4.0)</f>
        <v>4</v>
      </c>
      <c r="M68" s="189">
        <f>IFERROR(__xludf.DUMMYFUNCTION("""COMPUTED_VALUE"""),0.0)</f>
        <v>0</v>
      </c>
      <c r="N68" s="189">
        <f>IFERROR(__xludf.DUMMYFUNCTION("""COMPUTED_VALUE"""),1.0)</f>
        <v>1</v>
      </c>
      <c r="O68" s="189">
        <f>IFERROR(__xludf.DUMMYFUNCTION("""COMPUTED_VALUE"""),8.0)</f>
        <v>8</v>
      </c>
      <c r="P68" s="189">
        <f>IFERROR(__xludf.DUMMYFUNCTION("""COMPUTED_VALUE"""),4.0)</f>
        <v>4</v>
      </c>
      <c r="Q68" s="189">
        <f>IFERROR(__xludf.DUMMYFUNCTION("""COMPUTED_VALUE"""),5.0)</f>
        <v>5</v>
      </c>
      <c r="R68" s="189">
        <f>IFERROR(__xludf.DUMMYFUNCTION("""COMPUTED_VALUE"""),0.0)</f>
        <v>0</v>
      </c>
      <c r="S68" s="189">
        <f>IFERROR(__xludf.DUMMYFUNCTION("""COMPUTED_VALUE"""),0.0)</f>
        <v>0</v>
      </c>
      <c r="T68" s="189">
        <f>IFERROR(__xludf.DUMMYFUNCTION("""COMPUTED_VALUE"""),1.0)</f>
        <v>1</v>
      </c>
      <c r="U68" s="189">
        <f>IFERROR(__xludf.DUMMYFUNCTION("""COMPUTED_VALUE"""),0.0)</f>
        <v>0</v>
      </c>
      <c r="V68" s="189">
        <f>IFERROR(__xludf.DUMMYFUNCTION("""COMPUTED_VALUE"""),5.0)</f>
        <v>5</v>
      </c>
      <c r="W68" s="189">
        <f>IFERROR(__xludf.DUMMYFUNCTION("""COMPUTED_VALUE"""),4.0)</f>
        <v>4</v>
      </c>
      <c r="X68" s="189">
        <f>IFERROR(__xludf.DUMMYFUNCTION("""COMPUTED_VALUE"""),8.0)</f>
        <v>8</v>
      </c>
      <c r="Y68" s="189" t="str">
        <f>IFERROR(__xludf.DUMMYFUNCTION("""COMPUTED_VALUE"""),"2025-08-02T00:00:00.000Z")</f>
        <v>2025-08-02T00:00:00.000Z</v>
      </c>
      <c r="Z68" s="189" t="str">
        <f>IFERROR(__xludf.DUMMYFUNCTION("""COMPUTED_VALUE"""),"Boars Gaming_Sunset")</f>
        <v>Boars Gaming_Sunset</v>
      </c>
    </row>
    <row r="69">
      <c r="A69" s="189">
        <f>IFERROR(__xludf.DUMMYFUNCTION("""COMPUTED_VALUE"""),211218.0)</f>
        <v>211218</v>
      </c>
      <c r="B69" s="189">
        <f>IFERROR(__xludf.DUMMYFUNCTION("""COMPUTED_VALUE"""),92894.0)</f>
        <v>92894</v>
      </c>
      <c r="C69" s="189" t="str">
        <f>IFERROR(__xludf.DUMMYFUNCTION("""COMPUTED_VALUE"""),"Challengers League 2025 DACH: Evolution Stage 3 - Play-Ins")</f>
        <v>Challengers League 2025 DACH: Evolution Stage 3 - Play-Ins</v>
      </c>
      <c r="D69" s="189" t="str">
        <f>IFERROR(__xludf.DUMMYFUNCTION("""COMPUTED_VALUE"""),"Sunset")</f>
        <v>Sunset</v>
      </c>
      <c r="E69" s="189" t="str">
        <f>IFERROR(__xludf.DUMMYFUNCTION("""COMPUTED_VALUE"""),"Eintracht Frankfurt")</f>
        <v>Eintracht Frankfurt</v>
      </c>
      <c r="F69" s="189" t="str">
        <f>IFERROR(__xludf.DUMMYFUNCTION("""COMPUTED_VALUE"""),"FOKUS")</f>
        <v>FOKUS</v>
      </c>
      <c r="G69" s="189" t="str">
        <f>IFERROR(__xludf.DUMMYFUNCTION("""COMPUTED_VALUE"""),"Cypher,Sova,Omen,KAY/O,Neon")</f>
        <v>Cypher,Sova,Omen,KAY/O,Neon</v>
      </c>
      <c r="H69" s="189" t="str">
        <f>IFERROR(__xludf.DUMMYFUNCTION("""COMPUTED_VALUE"""),"Breach,Cypher,Sova,Omen,Neon")</f>
        <v>Breach,Cypher,Sova,Omen,Neon</v>
      </c>
      <c r="I69" s="189">
        <f>IFERROR(__xludf.DUMMYFUNCTION("""COMPUTED_VALUE"""),8.0)</f>
        <v>8</v>
      </c>
      <c r="J69" s="189">
        <f>IFERROR(__xludf.DUMMYFUNCTION("""COMPUTED_VALUE"""),13.0)</f>
        <v>13</v>
      </c>
      <c r="K69" s="189">
        <f>IFERROR(__xludf.DUMMYFUNCTION("""COMPUTED_VALUE"""),3.0)</f>
        <v>3</v>
      </c>
      <c r="L69" s="189">
        <f>IFERROR(__xludf.DUMMYFUNCTION("""COMPUTED_VALUE"""),9.0)</f>
        <v>9</v>
      </c>
      <c r="M69" s="189">
        <f>IFERROR(__xludf.DUMMYFUNCTION("""COMPUTED_VALUE"""),0.0)</f>
        <v>0</v>
      </c>
      <c r="N69" s="189">
        <f>IFERROR(__xludf.DUMMYFUNCTION("""COMPUTED_VALUE"""),1.0)</f>
        <v>1</v>
      </c>
      <c r="O69" s="189">
        <f>IFERROR(__xludf.DUMMYFUNCTION("""COMPUTED_VALUE"""),3.0)</f>
        <v>3</v>
      </c>
      <c r="P69" s="189">
        <f>IFERROR(__xludf.DUMMYFUNCTION("""COMPUTED_VALUE"""),9.0)</f>
        <v>9</v>
      </c>
      <c r="Q69" s="189">
        <f>IFERROR(__xludf.DUMMYFUNCTION("""COMPUTED_VALUE"""),5.0)</f>
        <v>5</v>
      </c>
      <c r="R69" s="189">
        <f>IFERROR(__xludf.DUMMYFUNCTION("""COMPUTED_VALUE"""),4.0)</f>
        <v>4</v>
      </c>
      <c r="S69" s="189">
        <f>IFERROR(__xludf.DUMMYFUNCTION("""COMPUTED_VALUE"""),0.0)</f>
        <v>0</v>
      </c>
      <c r="T69" s="189">
        <f>IFERROR(__xludf.DUMMYFUNCTION("""COMPUTED_VALUE"""),1.0)</f>
        <v>1</v>
      </c>
      <c r="U69" s="189">
        <f>IFERROR(__xludf.DUMMYFUNCTION("""COMPUTED_VALUE"""),4.0)</f>
        <v>4</v>
      </c>
      <c r="V69" s="189">
        <f>IFERROR(__xludf.DUMMYFUNCTION("""COMPUTED_VALUE"""),5.0)</f>
        <v>5</v>
      </c>
      <c r="W69" s="189">
        <f>IFERROR(__xludf.DUMMYFUNCTION("""COMPUTED_VALUE"""),9.0)</f>
        <v>9</v>
      </c>
      <c r="X69" s="189">
        <f>IFERROR(__xludf.DUMMYFUNCTION("""COMPUTED_VALUE"""),3.0)</f>
        <v>3</v>
      </c>
      <c r="Y69" s="189" t="str">
        <f>IFERROR(__xludf.DUMMYFUNCTION("""COMPUTED_VALUE"""),"2025-08-02T00:00:00.000Z")</f>
        <v>2025-08-02T00:00:00.000Z</v>
      </c>
      <c r="Z69" s="189" t="str">
        <f>IFERROR(__xludf.DUMMYFUNCTION("""COMPUTED_VALUE"""),"Eintracht Frankfurt_Sunset")</f>
        <v>Eintracht Frankfurt_Sunset</v>
      </c>
    </row>
    <row r="70">
      <c r="A70" s="189">
        <f>IFERROR(__xludf.DUMMYFUNCTION("""COMPUTED_VALUE"""),211266.0)</f>
        <v>211266</v>
      </c>
      <c r="B70" s="189">
        <f>IFERROR(__xludf.DUMMYFUNCTION("""COMPUTED_VALUE"""),92910.0)</f>
        <v>92910</v>
      </c>
      <c r="C70" s="189" t="str">
        <f>IFERROR(__xludf.DUMMYFUNCTION("""COMPUTED_VALUE"""),"Challengers League 2025 NORTH EAST: Split 3 - Playoffs")</f>
        <v>Challengers League 2025 NORTH EAST: Split 3 - Playoffs</v>
      </c>
      <c r="D70" s="189" t="str">
        <f>IFERROR(__xludf.DUMMYFUNCTION("""COMPUTED_VALUE"""),"Haven")</f>
        <v>Haven</v>
      </c>
      <c r="E70" s="189" t="str">
        <f>IFERROR(__xludf.DUMMYFUNCTION("""COMPUTED_VALUE"""),"Boars Gaming")</f>
        <v>Boars Gaming</v>
      </c>
      <c r="F70" s="189" t="str">
        <f>IFERROR(__xludf.DUMMYFUNCTION("""COMPUTED_VALUE"""),"Formulation Gaming")</f>
        <v>Formulation Gaming</v>
      </c>
      <c r="G70" s="189" t="str">
        <f>IFERROR(__xludf.DUMMYFUNCTION("""COMPUTED_VALUE"""),"Breach,Cypher,Sova,Omen,Neon")</f>
        <v>Breach,Cypher,Sova,Omen,Neon</v>
      </c>
      <c r="H70" s="189" t="str">
        <f>IFERROR(__xludf.DUMMYFUNCTION("""COMPUTED_VALUE"""),"Sova,Killjoy,Viper,Omen,Neon")</f>
        <v>Sova,Killjoy,Viper,Omen,Neon</v>
      </c>
      <c r="I70" s="189">
        <f>IFERROR(__xludf.DUMMYFUNCTION("""COMPUTED_VALUE"""),8.0)</f>
        <v>8</v>
      </c>
      <c r="J70" s="189">
        <f>IFERROR(__xludf.DUMMYFUNCTION("""COMPUTED_VALUE"""),13.0)</f>
        <v>13</v>
      </c>
      <c r="K70" s="189">
        <f>IFERROR(__xludf.DUMMYFUNCTION("""COMPUTED_VALUE"""),5.0)</f>
        <v>5</v>
      </c>
      <c r="L70" s="189">
        <f>IFERROR(__xludf.DUMMYFUNCTION("""COMPUTED_VALUE"""),7.0)</f>
        <v>7</v>
      </c>
      <c r="M70" s="189">
        <f>IFERROR(__xludf.DUMMYFUNCTION("""COMPUTED_VALUE"""),0.0)</f>
        <v>0</v>
      </c>
      <c r="N70" s="189">
        <f>IFERROR(__xludf.DUMMYFUNCTION("""COMPUTED_VALUE"""),0.0)</f>
        <v>0</v>
      </c>
      <c r="O70" s="189">
        <f>IFERROR(__xludf.DUMMYFUNCTION("""COMPUTED_VALUE"""),3.0)</f>
        <v>3</v>
      </c>
      <c r="P70" s="189">
        <f>IFERROR(__xludf.DUMMYFUNCTION("""COMPUTED_VALUE"""),6.0)</f>
        <v>6</v>
      </c>
      <c r="Q70" s="189">
        <f>IFERROR(__xludf.DUMMYFUNCTION("""COMPUTED_VALUE"""),5.0)</f>
        <v>5</v>
      </c>
      <c r="R70" s="189">
        <f>IFERROR(__xludf.DUMMYFUNCTION("""COMPUTED_VALUE"""),7.0)</f>
        <v>7</v>
      </c>
      <c r="S70" s="189">
        <f>IFERROR(__xludf.DUMMYFUNCTION("""COMPUTED_VALUE"""),1.0)</f>
        <v>1</v>
      </c>
      <c r="T70" s="189">
        <f>IFERROR(__xludf.DUMMYFUNCTION("""COMPUTED_VALUE"""),1.0)</f>
        <v>1</v>
      </c>
      <c r="U70" s="189">
        <f>IFERROR(__xludf.DUMMYFUNCTION("""COMPUTED_VALUE"""),7.0)</f>
        <v>7</v>
      </c>
      <c r="V70" s="189">
        <f>IFERROR(__xludf.DUMMYFUNCTION("""COMPUTED_VALUE"""),5.0)</f>
        <v>5</v>
      </c>
      <c r="W70" s="189">
        <f>IFERROR(__xludf.DUMMYFUNCTION("""COMPUTED_VALUE"""),6.0)</f>
        <v>6</v>
      </c>
      <c r="X70" s="189">
        <f>IFERROR(__xludf.DUMMYFUNCTION("""COMPUTED_VALUE"""),3.0)</f>
        <v>3</v>
      </c>
      <c r="Y70" s="189" t="str">
        <f>IFERROR(__xludf.DUMMYFUNCTION("""COMPUTED_VALUE"""),"2025-08-02T00:00:00.000Z")</f>
        <v>2025-08-02T00:00:00.000Z</v>
      </c>
      <c r="Z70" s="189" t="str">
        <f>IFERROR(__xludf.DUMMYFUNCTION("""COMPUTED_VALUE"""),"Boars Gaming_Haven")</f>
        <v>Boars Gaming_Haven</v>
      </c>
    </row>
    <row r="71">
      <c r="A71" s="189">
        <f>IFERROR(__xludf.DUMMYFUNCTION("""COMPUTED_VALUE"""),211241.0)</f>
        <v>211241</v>
      </c>
      <c r="B71" s="189">
        <f>IFERROR(__xludf.DUMMYFUNCTION("""COMPUTED_VALUE"""),92901.0)</f>
        <v>92901</v>
      </c>
      <c r="C71" s="189" t="str">
        <f>IFERROR(__xludf.DUMMYFUNCTION("""COMPUTED_VALUE"""),"Challengers 2025: France Revolution Split 3 - Playoffs")</f>
        <v>Challengers 2025: France Revolution Split 3 - Playoffs</v>
      </c>
      <c r="D71" s="189" t="str">
        <f>IFERROR(__xludf.DUMMYFUNCTION("""COMPUTED_VALUE"""),"Sunset")</f>
        <v>Sunset</v>
      </c>
      <c r="E71" s="189" t="str">
        <f>IFERROR(__xludf.DUMMYFUNCTION("""COMPUTED_VALUE"""),"Mandatory")</f>
        <v>Mandatory</v>
      </c>
      <c r="F71" s="189" t="str">
        <f>IFERROR(__xludf.DUMMYFUNCTION("""COMPUTED_VALUE"""),"BLX CORP")</f>
        <v>BLX CORP</v>
      </c>
      <c r="G71" s="189" t="str">
        <f>IFERROR(__xludf.DUMMYFUNCTION("""COMPUTED_VALUE"""),"Cypher,Sova,Omen,Yoru,Neon")</f>
        <v>Cypher,Sova,Omen,Yoru,Neon</v>
      </c>
      <c r="H71" s="189" t="str">
        <f>IFERROR(__xludf.DUMMYFUNCTION("""COMPUTED_VALUE"""),"Breach,Cypher,Sova,Omen,Neon")</f>
        <v>Breach,Cypher,Sova,Omen,Neon</v>
      </c>
      <c r="I71" s="189">
        <f>IFERROR(__xludf.DUMMYFUNCTION("""COMPUTED_VALUE"""),11.0)</f>
        <v>11</v>
      </c>
      <c r="J71" s="189">
        <f>IFERROR(__xludf.DUMMYFUNCTION("""COMPUTED_VALUE"""),13.0)</f>
        <v>13</v>
      </c>
      <c r="K71" s="189">
        <f>IFERROR(__xludf.DUMMYFUNCTION("""COMPUTED_VALUE"""),2.0)</f>
        <v>2</v>
      </c>
      <c r="L71" s="189">
        <f>IFERROR(__xludf.DUMMYFUNCTION("""COMPUTED_VALUE"""),10.0)</f>
        <v>10</v>
      </c>
      <c r="M71" s="189">
        <f>IFERROR(__xludf.DUMMYFUNCTION("""COMPUTED_VALUE"""),0.0)</f>
        <v>0</v>
      </c>
      <c r="N71" s="189">
        <f>IFERROR(__xludf.DUMMYFUNCTION("""COMPUTED_VALUE"""),1.0)</f>
        <v>1</v>
      </c>
      <c r="O71" s="189">
        <f>IFERROR(__xludf.DUMMYFUNCTION("""COMPUTED_VALUE"""),2.0)</f>
        <v>2</v>
      </c>
      <c r="P71" s="189">
        <f>IFERROR(__xludf.DUMMYFUNCTION("""COMPUTED_VALUE"""),10.0)</f>
        <v>10</v>
      </c>
      <c r="Q71" s="189">
        <f>IFERROR(__xludf.DUMMYFUNCTION("""COMPUTED_VALUE"""),9.0)</f>
        <v>9</v>
      </c>
      <c r="R71" s="189">
        <f>IFERROR(__xludf.DUMMYFUNCTION("""COMPUTED_VALUE"""),3.0)</f>
        <v>3</v>
      </c>
      <c r="S71" s="189">
        <f>IFERROR(__xludf.DUMMYFUNCTION("""COMPUTED_VALUE"""),0.0)</f>
        <v>0</v>
      </c>
      <c r="T71" s="189">
        <f>IFERROR(__xludf.DUMMYFUNCTION("""COMPUTED_VALUE"""),1.0)</f>
        <v>1</v>
      </c>
      <c r="U71" s="189">
        <f>IFERROR(__xludf.DUMMYFUNCTION("""COMPUTED_VALUE"""),3.0)</f>
        <v>3</v>
      </c>
      <c r="V71" s="189">
        <f>IFERROR(__xludf.DUMMYFUNCTION("""COMPUTED_VALUE"""),9.0)</f>
        <v>9</v>
      </c>
      <c r="W71" s="189">
        <f>IFERROR(__xludf.DUMMYFUNCTION("""COMPUTED_VALUE"""),10.0)</f>
        <v>10</v>
      </c>
      <c r="X71" s="189">
        <f>IFERROR(__xludf.DUMMYFUNCTION("""COMPUTED_VALUE"""),2.0)</f>
        <v>2</v>
      </c>
      <c r="Y71" s="189" t="str">
        <f>IFERROR(__xludf.DUMMYFUNCTION("""COMPUTED_VALUE"""),"2025-08-02T00:00:00.000Z")</f>
        <v>2025-08-02T00:00:00.000Z</v>
      </c>
      <c r="Z71" s="189" t="str">
        <f>IFERROR(__xludf.DUMMYFUNCTION("""COMPUTED_VALUE"""),"Mandatory_Sunset")</f>
        <v>Mandatory_Sunset</v>
      </c>
    </row>
    <row r="72">
      <c r="A72" s="189">
        <f>IFERROR(__xludf.DUMMYFUNCTION("""COMPUTED_VALUE"""),211265.0)</f>
        <v>211265</v>
      </c>
      <c r="B72" s="189">
        <f>IFERROR(__xludf.DUMMYFUNCTION("""COMPUTED_VALUE"""),92910.0)</f>
        <v>92910</v>
      </c>
      <c r="C72" s="189" t="str">
        <f>IFERROR(__xludf.DUMMYFUNCTION("""COMPUTED_VALUE"""),"Challengers League 2025 NORTH EAST: Split 3 - Playoffs")</f>
        <v>Challengers League 2025 NORTH EAST: Split 3 - Playoffs</v>
      </c>
      <c r="D72" s="189" t="str">
        <f>IFERROR(__xludf.DUMMYFUNCTION("""COMPUTED_VALUE"""),"Lotus")</f>
        <v>Lotus</v>
      </c>
      <c r="E72" s="189" t="str">
        <f>IFERROR(__xludf.DUMMYFUNCTION("""COMPUTED_VALUE"""),"Boars Gaming")</f>
        <v>Boars Gaming</v>
      </c>
      <c r="F72" s="189" t="str">
        <f>IFERROR(__xludf.DUMMYFUNCTION("""COMPUTED_VALUE"""),"Formulation Gaming")</f>
        <v>Formulation Gaming</v>
      </c>
      <c r="G72" s="189" t="str">
        <f>IFERROR(__xludf.DUMMYFUNCTION("""COMPUTED_VALUE"""),"Breach,Cypher,Omen,Neon,Fade")</f>
        <v>Breach,Cypher,Omen,Neon,Fade</v>
      </c>
      <c r="H72" s="189" t="str">
        <f>IFERROR(__xludf.DUMMYFUNCTION("""COMPUTED_VALUE"""),"Cypher,Omen,Neon,Fade,Deadlock")</f>
        <v>Cypher,Omen,Neon,Fade,Deadlock</v>
      </c>
      <c r="I72" s="189">
        <f>IFERROR(__xludf.DUMMYFUNCTION("""COMPUTED_VALUE"""),13.0)</f>
        <v>13</v>
      </c>
      <c r="J72" s="189">
        <f>IFERROR(__xludf.DUMMYFUNCTION("""COMPUTED_VALUE"""),8.0)</f>
        <v>8</v>
      </c>
      <c r="K72" s="189">
        <f>IFERROR(__xludf.DUMMYFUNCTION("""COMPUTED_VALUE"""),9.0)</f>
        <v>9</v>
      </c>
      <c r="L72" s="189">
        <f>IFERROR(__xludf.DUMMYFUNCTION("""COMPUTED_VALUE"""),3.0)</f>
        <v>3</v>
      </c>
      <c r="M72" s="189">
        <f>IFERROR(__xludf.DUMMYFUNCTION("""COMPUTED_VALUE"""),1.0)</f>
        <v>1</v>
      </c>
      <c r="N72" s="189">
        <f>IFERROR(__xludf.DUMMYFUNCTION("""COMPUTED_VALUE"""),0.0)</f>
        <v>0</v>
      </c>
      <c r="O72" s="189">
        <f>IFERROR(__xludf.DUMMYFUNCTION("""COMPUTED_VALUE"""),9.0)</f>
        <v>9</v>
      </c>
      <c r="P72" s="189">
        <f>IFERROR(__xludf.DUMMYFUNCTION("""COMPUTED_VALUE"""),3.0)</f>
        <v>3</v>
      </c>
      <c r="Q72" s="189">
        <f>IFERROR(__xludf.DUMMYFUNCTION("""COMPUTED_VALUE"""),4.0)</f>
        <v>4</v>
      </c>
      <c r="R72" s="189">
        <f>IFERROR(__xludf.DUMMYFUNCTION("""COMPUTED_VALUE"""),5.0)</f>
        <v>5</v>
      </c>
      <c r="S72" s="189">
        <f>IFERROR(__xludf.DUMMYFUNCTION("""COMPUTED_VALUE"""),1.0)</f>
        <v>1</v>
      </c>
      <c r="T72" s="189">
        <f>IFERROR(__xludf.DUMMYFUNCTION("""COMPUTED_VALUE"""),0.0)</f>
        <v>0</v>
      </c>
      <c r="U72" s="189">
        <f>IFERROR(__xludf.DUMMYFUNCTION("""COMPUTED_VALUE"""),5.0)</f>
        <v>5</v>
      </c>
      <c r="V72" s="189">
        <f>IFERROR(__xludf.DUMMYFUNCTION("""COMPUTED_VALUE"""),4.0)</f>
        <v>4</v>
      </c>
      <c r="W72" s="189">
        <f>IFERROR(__xludf.DUMMYFUNCTION("""COMPUTED_VALUE"""),3.0)</f>
        <v>3</v>
      </c>
      <c r="X72" s="189">
        <f>IFERROR(__xludf.DUMMYFUNCTION("""COMPUTED_VALUE"""),9.0)</f>
        <v>9</v>
      </c>
      <c r="Y72" s="189" t="str">
        <f>IFERROR(__xludf.DUMMYFUNCTION("""COMPUTED_VALUE"""),"2025-08-02T00:00:00.000Z")</f>
        <v>2025-08-02T00:00:00.000Z</v>
      </c>
      <c r="Z72" s="189" t="str">
        <f>IFERROR(__xludf.DUMMYFUNCTION("""COMPUTED_VALUE"""),"Boars Gaming_Lotus")</f>
        <v>Boars Gaming_Lotus</v>
      </c>
    </row>
    <row r="73">
      <c r="A73" s="189">
        <f>IFERROR(__xludf.DUMMYFUNCTION("""COMPUTED_VALUE"""),211240.0)</f>
        <v>211240</v>
      </c>
      <c r="B73" s="189">
        <f>IFERROR(__xludf.DUMMYFUNCTION("""COMPUTED_VALUE"""),92901.0)</f>
        <v>92901</v>
      </c>
      <c r="C73" s="189" t="str">
        <f>IFERROR(__xludf.DUMMYFUNCTION("""COMPUTED_VALUE"""),"Challengers 2025: France Revolution Split 3 - Playoffs")</f>
        <v>Challengers 2025: France Revolution Split 3 - Playoffs</v>
      </c>
      <c r="D73" s="189" t="str">
        <f>IFERROR(__xludf.DUMMYFUNCTION("""COMPUTED_VALUE"""),"Lotus")</f>
        <v>Lotus</v>
      </c>
      <c r="E73" s="189" t="str">
        <f>IFERROR(__xludf.DUMMYFUNCTION("""COMPUTED_VALUE"""),"Mandatory")</f>
        <v>Mandatory</v>
      </c>
      <c r="F73" s="189" t="str">
        <f>IFERROR(__xludf.DUMMYFUNCTION("""COMPUTED_VALUE"""),"BLX CORP")</f>
        <v>BLX CORP</v>
      </c>
      <c r="G73" s="189" t="str">
        <f>IFERROR(__xludf.DUMMYFUNCTION("""COMPUTED_VALUE"""),"Cypher,Sova,Omen,Yoru,Deadlock")</f>
        <v>Cypher,Sova,Omen,Yoru,Deadlock</v>
      </c>
      <c r="H73" s="189" t="str">
        <f>IFERROR(__xludf.DUMMYFUNCTION("""COMPUTED_VALUE"""),"Raze,Viper,Omen,Fade,Iso")</f>
        <v>Raze,Viper,Omen,Fade,Iso</v>
      </c>
      <c r="I73" s="189">
        <f>IFERROR(__xludf.DUMMYFUNCTION("""COMPUTED_VALUE"""),13.0)</f>
        <v>13</v>
      </c>
      <c r="J73" s="189">
        <f>IFERROR(__xludf.DUMMYFUNCTION("""COMPUTED_VALUE"""),3.0)</f>
        <v>3</v>
      </c>
      <c r="K73" s="189">
        <f>IFERROR(__xludf.DUMMYFUNCTION("""COMPUTED_VALUE"""),10.0)</f>
        <v>10</v>
      </c>
      <c r="L73" s="189">
        <f>IFERROR(__xludf.DUMMYFUNCTION("""COMPUTED_VALUE"""),2.0)</f>
        <v>2</v>
      </c>
      <c r="M73" s="189">
        <f>IFERROR(__xludf.DUMMYFUNCTION("""COMPUTED_VALUE"""),1.0)</f>
        <v>1</v>
      </c>
      <c r="N73" s="189">
        <f>IFERROR(__xludf.DUMMYFUNCTION("""COMPUTED_VALUE"""),1.0)</f>
        <v>1</v>
      </c>
      <c r="O73" s="189">
        <f>IFERROR(__xludf.DUMMYFUNCTION("""COMPUTED_VALUE"""),10.0)</f>
        <v>10</v>
      </c>
      <c r="P73" s="189">
        <f>IFERROR(__xludf.DUMMYFUNCTION("""COMPUTED_VALUE"""),2.0)</f>
        <v>2</v>
      </c>
      <c r="Q73" s="189">
        <f>IFERROR(__xludf.DUMMYFUNCTION("""COMPUTED_VALUE"""),3.0)</f>
        <v>3</v>
      </c>
      <c r="R73" s="189">
        <f>IFERROR(__xludf.DUMMYFUNCTION("""COMPUTED_VALUE"""),1.0)</f>
        <v>1</v>
      </c>
      <c r="S73" s="189">
        <f>IFERROR(__xludf.DUMMYFUNCTION("""COMPUTED_VALUE"""),0.0)</f>
        <v>0</v>
      </c>
      <c r="T73" s="189">
        <f>IFERROR(__xludf.DUMMYFUNCTION("""COMPUTED_VALUE"""),0.0)</f>
        <v>0</v>
      </c>
      <c r="U73" s="189">
        <f>IFERROR(__xludf.DUMMYFUNCTION("""COMPUTED_VALUE"""),1.0)</f>
        <v>1</v>
      </c>
      <c r="V73" s="189">
        <f>IFERROR(__xludf.DUMMYFUNCTION("""COMPUTED_VALUE"""),3.0)</f>
        <v>3</v>
      </c>
      <c r="W73" s="189">
        <f>IFERROR(__xludf.DUMMYFUNCTION("""COMPUTED_VALUE"""),2.0)</f>
        <v>2</v>
      </c>
      <c r="X73" s="189">
        <f>IFERROR(__xludf.DUMMYFUNCTION("""COMPUTED_VALUE"""),10.0)</f>
        <v>10</v>
      </c>
      <c r="Y73" s="189" t="str">
        <f>IFERROR(__xludf.DUMMYFUNCTION("""COMPUTED_VALUE"""),"2025-08-02T00:00:00.000Z")</f>
        <v>2025-08-02T00:00:00.000Z</v>
      </c>
      <c r="Z73" s="189" t="str">
        <f>IFERROR(__xludf.DUMMYFUNCTION("""COMPUTED_VALUE"""),"Mandatory_Lotus")</f>
        <v>Mandatory_Lotus</v>
      </c>
    </row>
    <row r="74">
      <c r="A74" s="189">
        <f>IFERROR(__xludf.DUMMYFUNCTION("""COMPUTED_VALUE"""),211239.0)</f>
        <v>211239</v>
      </c>
      <c r="B74" s="189">
        <f>IFERROR(__xludf.DUMMYFUNCTION("""COMPUTED_VALUE"""),92901.0)</f>
        <v>92901</v>
      </c>
      <c r="C74" s="189" t="str">
        <f>IFERROR(__xludf.DUMMYFUNCTION("""COMPUTED_VALUE"""),"Challengers 2025: France Revolution Split 3 - Playoffs")</f>
        <v>Challengers 2025: France Revolution Split 3 - Playoffs</v>
      </c>
      <c r="D74" s="189" t="str">
        <f>IFERROR(__xludf.DUMMYFUNCTION("""COMPUTED_VALUE"""),"Icebox")</f>
        <v>Icebox</v>
      </c>
      <c r="E74" s="189" t="str">
        <f>IFERROR(__xludf.DUMMYFUNCTION("""COMPUTED_VALUE"""),"Mandatory")</f>
        <v>Mandatory</v>
      </c>
      <c r="F74" s="189" t="str">
        <f>IFERROR(__xludf.DUMMYFUNCTION("""COMPUTED_VALUE"""),"BLX CORP")</f>
        <v>BLX CORP</v>
      </c>
      <c r="G74" s="189" t="str">
        <f>IFERROR(__xludf.DUMMYFUNCTION("""COMPUTED_VALUE"""),"Sova,Killjoy,Viper,Jett,Yoru")</f>
        <v>Sova,Killjoy,Viper,Jett,Yoru</v>
      </c>
      <c r="H74" s="189" t="str">
        <f>IFERROR(__xludf.DUMMYFUNCTION("""COMPUTED_VALUE"""),"Killjoy,Viper,Reyna,Gekko,Iso")</f>
        <v>Killjoy,Viper,Reyna,Gekko,Iso</v>
      </c>
      <c r="I74" s="189">
        <f>IFERROR(__xludf.DUMMYFUNCTION("""COMPUTED_VALUE"""),9.0)</f>
        <v>9</v>
      </c>
      <c r="J74" s="189">
        <f>IFERROR(__xludf.DUMMYFUNCTION("""COMPUTED_VALUE"""),13.0)</f>
        <v>13</v>
      </c>
      <c r="K74" s="189">
        <f>IFERROR(__xludf.DUMMYFUNCTION("""COMPUTED_VALUE"""),7.0)</f>
        <v>7</v>
      </c>
      <c r="L74" s="189">
        <f>IFERROR(__xludf.DUMMYFUNCTION("""COMPUTED_VALUE"""),5.0)</f>
        <v>5</v>
      </c>
      <c r="M74" s="189">
        <f>IFERROR(__xludf.DUMMYFUNCTION("""COMPUTED_VALUE"""),0.0)</f>
        <v>0</v>
      </c>
      <c r="N74" s="189">
        <f>IFERROR(__xludf.DUMMYFUNCTION("""COMPUTED_VALUE"""),1.0)</f>
        <v>1</v>
      </c>
      <c r="O74" s="189">
        <f>IFERROR(__xludf.DUMMYFUNCTION("""COMPUTED_VALUE"""),7.0)</f>
        <v>7</v>
      </c>
      <c r="P74" s="189">
        <f>IFERROR(__xludf.DUMMYFUNCTION("""COMPUTED_VALUE"""),5.0)</f>
        <v>5</v>
      </c>
      <c r="Q74" s="189">
        <f>IFERROR(__xludf.DUMMYFUNCTION("""COMPUTED_VALUE"""),2.0)</f>
        <v>2</v>
      </c>
      <c r="R74" s="189">
        <f>IFERROR(__xludf.DUMMYFUNCTION("""COMPUTED_VALUE"""),8.0)</f>
        <v>8</v>
      </c>
      <c r="S74" s="189">
        <f>IFERROR(__xludf.DUMMYFUNCTION("""COMPUTED_VALUE"""),0.0)</f>
        <v>0</v>
      </c>
      <c r="T74" s="189">
        <f>IFERROR(__xludf.DUMMYFUNCTION("""COMPUTED_VALUE"""),1.0)</f>
        <v>1</v>
      </c>
      <c r="U74" s="189">
        <f>IFERROR(__xludf.DUMMYFUNCTION("""COMPUTED_VALUE"""),8.0)</f>
        <v>8</v>
      </c>
      <c r="V74" s="189">
        <f>IFERROR(__xludf.DUMMYFUNCTION("""COMPUTED_VALUE"""),2.0)</f>
        <v>2</v>
      </c>
      <c r="W74" s="189">
        <f>IFERROR(__xludf.DUMMYFUNCTION("""COMPUTED_VALUE"""),5.0)</f>
        <v>5</v>
      </c>
      <c r="X74" s="189">
        <f>IFERROR(__xludf.DUMMYFUNCTION("""COMPUTED_VALUE"""),7.0)</f>
        <v>7</v>
      </c>
      <c r="Y74" s="189" t="str">
        <f>IFERROR(__xludf.DUMMYFUNCTION("""COMPUTED_VALUE"""),"2025-08-02T00:00:00.000Z")</f>
        <v>2025-08-02T00:00:00.000Z</v>
      </c>
      <c r="Z74" s="189" t="str">
        <f>IFERROR(__xludf.DUMMYFUNCTION("""COMPUTED_VALUE"""),"Mandatory_Icebox")</f>
        <v>Mandatory_Icebox</v>
      </c>
    </row>
    <row r="75">
      <c r="A75" s="189">
        <f>IFERROR(__xludf.DUMMYFUNCTION("""COMPUTED_VALUE"""),211264.0)</f>
        <v>211264</v>
      </c>
      <c r="B75" s="189">
        <f>IFERROR(__xludf.DUMMYFUNCTION("""COMPUTED_VALUE"""),92908.0)</f>
        <v>92908</v>
      </c>
      <c r="C75" s="189" t="str">
        <f>IFERROR(__xludf.DUMMYFUNCTION("""COMPUTED_VALUE"""),"Challengers League 2025 NORTH EAST: Split 3 - Playoffs")</f>
        <v>Challengers League 2025 NORTH EAST: Split 3 - Playoffs</v>
      </c>
      <c r="D75" s="189" t="str">
        <f>IFERROR(__xludf.DUMMYFUNCTION("""COMPUTED_VALUE"""),"Lotus")</f>
        <v>Lotus</v>
      </c>
      <c r="E75" s="189" t="str">
        <f>IFERROR(__xludf.DUMMYFUNCTION("""COMPUTED_VALUE"""),"Team Liquid Academy")</f>
        <v>Team Liquid Academy</v>
      </c>
      <c r="F75" s="189" t="str">
        <f>IFERROR(__xludf.DUMMYFUNCTION("""COMPUTED_VALUE"""),"Metizport")</f>
        <v>Metizport</v>
      </c>
      <c r="G75" s="189" t="str">
        <f>IFERROR(__xludf.DUMMYFUNCTION("""COMPUTED_VALUE"""),"Cypher,Omen,Neon,Fade,Iso")</f>
        <v>Cypher,Omen,Neon,Fade,Iso</v>
      </c>
      <c r="H75" s="189" t="str">
        <f>IFERROR(__xludf.DUMMYFUNCTION("""COMPUTED_VALUE"""),"Raze,Omen,Yoru,Fade,Vyse")</f>
        <v>Raze,Omen,Yoru,Fade,Vyse</v>
      </c>
      <c r="I75" s="189">
        <f>IFERROR(__xludf.DUMMYFUNCTION("""COMPUTED_VALUE"""),13.0)</f>
        <v>13</v>
      </c>
      <c r="J75" s="189">
        <f>IFERROR(__xludf.DUMMYFUNCTION("""COMPUTED_VALUE"""),7.0)</f>
        <v>7</v>
      </c>
      <c r="K75" s="189">
        <f>IFERROR(__xludf.DUMMYFUNCTION("""COMPUTED_VALUE"""),8.0)</f>
        <v>8</v>
      </c>
      <c r="L75" s="189">
        <f>IFERROR(__xludf.DUMMYFUNCTION("""COMPUTED_VALUE"""),4.0)</f>
        <v>4</v>
      </c>
      <c r="M75" s="189">
        <f>IFERROR(__xludf.DUMMYFUNCTION("""COMPUTED_VALUE"""),0.0)</f>
        <v>0</v>
      </c>
      <c r="N75" s="189">
        <f>IFERROR(__xludf.DUMMYFUNCTION("""COMPUTED_VALUE"""),0.0)</f>
        <v>0</v>
      </c>
      <c r="O75" s="189">
        <f>IFERROR(__xludf.DUMMYFUNCTION("""COMPUTED_VALUE"""),5.0)</f>
        <v>5</v>
      </c>
      <c r="P75" s="189">
        <f>IFERROR(__xludf.DUMMYFUNCTION("""COMPUTED_VALUE"""),3.0)</f>
        <v>3</v>
      </c>
      <c r="Q75" s="189">
        <f>IFERROR(__xludf.DUMMYFUNCTION("""COMPUTED_VALUE"""),8.0)</f>
        <v>8</v>
      </c>
      <c r="R75" s="189">
        <f>IFERROR(__xludf.DUMMYFUNCTION("""COMPUTED_VALUE"""),4.0)</f>
        <v>4</v>
      </c>
      <c r="S75" s="189">
        <f>IFERROR(__xludf.DUMMYFUNCTION("""COMPUTED_VALUE"""),1.0)</f>
        <v>1</v>
      </c>
      <c r="T75" s="189">
        <f>IFERROR(__xludf.DUMMYFUNCTION("""COMPUTED_VALUE"""),1.0)</f>
        <v>1</v>
      </c>
      <c r="U75" s="189">
        <f>IFERROR(__xludf.DUMMYFUNCTION("""COMPUTED_VALUE"""),4.0)</f>
        <v>4</v>
      </c>
      <c r="V75" s="189">
        <f>IFERROR(__xludf.DUMMYFUNCTION("""COMPUTED_VALUE"""),8.0)</f>
        <v>8</v>
      </c>
      <c r="W75" s="189">
        <f>IFERROR(__xludf.DUMMYFUNCTION("""COMPUTED_VALUE"""),3.0)</f>
        <v>3</v>
      </c>
      <c r="X75" s="189">
        <f>IFERROR(__xludf.DUMMYFUNCTION("""COMPUTED_VALUE"""),5.0)</f>
        <v>5</v>
      </c>
      <c r="Y75" s="189" t="str">
        <f>IFERROR(__xludf.DUMMYFUNCTION("""COMPUTED_VALUE"""),"2025-08-02T00:00:00.000Z")</f>
        <v>2025-08-02T00:00:00.000Z</v>
      </c>
      <c r="Z75" s="189" t="str">
        <f>IFERROR(__xludf.DUMMYFUNCTION("""COMPUTED_VALUE"""),"Team Liquid Academy_Lotus")</f>
        <v>Team Liquid Academy_Lotus</v>
      </c>
    </row>
    <row r="76">
      <c r="A76" s="189">
        <f>IFERROR(__xludf.DUMMYFUNCTION("""COMPUTED_VALUE"""),211263.0)</f>
        <v>211263</v>
      </c>
      <c r="B76" s="189">
        <f>IFERROR(__xludf.DUMMYFUNCTION("""COMPUTED_VALUE"""),92908.0)</f>
        <v>92908</v>
      </c>
      <c r="C76" s="189" t="str">
        <f>IFERROR(__xludf.DUMMYFUNCTION("""COMPUTED_VALUE"""),"Challengers League 2025 NORTH EAST: Split 3 - Playoffs")</f>
        <v>Challengers League 2025 NORTH EAST: Split 3 - Playoffs</v>
      </c>
      <c r="D76" s="189" t="str">
        <f>IFERROR(__xludf.DUMMYFUNCTION("""COMPUTED_VALUE"""),"Ascent")</f>
        <v>Ascent</v>
      </c>
      <c r="E76" s="189" t="str">
        <f>IFERROR(__xludf.DUMMYFUNCTION("""COMPUTED_VALUE"""),"Team Liquid Academy")</f>
        <v>Team Liquid Academy</v>
      </c>
      <c r="F76" s="189" t="str">
        <f>IFERROR(__xludf.DUMMYFUNCTION("""COMPUTED_VALUE"""),"Metizport")</f>
        <v>Metizport</v>
      </c>
      <c r="G76" s="189" t="str">
        <f>IFERROR(__xludf.DUMMYFUNCTION("""COMPUTED_VALUE"""),"Sova,Omen,Yoru,Vyse,Waylay")</f>
        <v>Sova,Omen,Yoru,Vyse,Waylay</v>
      </c>
      <c r="H76" s="189" t="str">
        <f>IFERROR(__xludf.DUMMYFUNCTION("""COMPUTED_VALUE"""),"Cypher,Sova,Omen,Jett,KAY/O")</f>
        <v>Cypher,Sova,Omen,Jett,KAY/O</v>
      </c>
      <c r="I76" s="189">
        <f>IFERROR(__xludf.DUMMYFUNCTION("""COMPUTED_VALUE"""),13.0)</f>
        <v>13</v>
      </c>
      <c r="J76" s="189">
        <f>IFERROR(__xludf.DUMMYFUNCTION("""COMPUTED_VALUE"""),5.0)</f>
        <v>5</v>
      </c>
      <c r="K76" s="189">
        <f>IFERROR(__xludf.DUMMYFUNCTION("""COMPUTED_VALUE"""),9.0)</f>
        <v>9</v>
      </c>
      <c r="L76" s="189">
        <f>IFERROR(__xludf.DUMMYFUNCTION("""COMPUTED_VALUE"""),3.0)</f>
        <v>3</v>
      </c>
      <c r="M76" s="189">
        <f>IFERROR(__xludf.DUMMYFUNCTION("""COMPUTED_VALUE"""),1.0)</f>
        <v>1</v>
      </c>
      <c r="N76" s="189">
        <f>IFERROR(__xludf.DUMMYFUNCTION("""COMPUTED_VALUE"""),1.0)</f>
        <v>1</v>
      </c>
      <c r="O76" s="189">
        <f>IFERROR(__xludf.DUMMYFUNCTION("""COMPUTED_VALUE"""),9.0)</f>
        <v>9</v>
      </c>
      <c r="P76" s="189">
        <f>IFERROR(__xludf.DUMMYFUNCTION("""COMPUTED_VALUE"""),3.0)</f>
        <v>3</v>
      </c>
      <c r="Q76" s="189">
        <f>IFERROR(__xludf.DUMMYFUNCTION("""COMPUTED_VALUE"""),4.0)</f>
        <v>4</v>
      </c>
      <c r="R76" s="189">
        <f>IFERROR(__xludf.DUMMYFUNCTION("""COMPUTED_VALUE"""),2.0)</f>
        <v>2</v>
      </c>
      <c r="S76" s="189">
        <f>IFERROR(__xludf.DUMMYFUNCTION("""COMPUTED_VALUE"""),0.0)</f>
        <v>0</v>
      </c>
      <c r="T76" s="189">
        <f>IFERROR(__xludf.DUMMYFUNCTION("""COMPUTED_VALUE"""),0.0)</f>
        <v>0</v>
      </c>
      <c r="U76" s="189">
        <f>IFERROR(__xludf.DUMMYFUNCTION("""COMPUTED_VALUE"""),2.0)</f>
        <v>2</v>
      </c>
      <c r="V76" s="189">
        <f>IFERROR(__xludf.DUMMYFUNCTION("""COMPUTED_VALUE"""),4.0)</f>
        <v>4</v>
      </c>
      <c r="W76" s="189">
        <f>IFERROR(__xludf.DUMMYFUNCTION("""COMPUTED_VALUE"""),3.0)</f>
        <v>3</v>
      </c>
      <c r="X76" s="189">
        <f>IFERROR(__xludf.DUMMYFUNCTION("""COMPUTED_VALUE"""),9.0)</f>
        <v>9</v>
      </c>
      <c r="Y76" s="189" t="str">
        <f>IFERROR(__xludf.DUMMYFUNCTION("""COMPUTED_VALUE"""),"2025-08-02T00:00:00.000Z")</f>
        <v>2025-08-02T00:00:00.000Z</v>
      </c>
      <c r="Z76" s="189" t="str">
        <f>IFERROR(__xludf.DUMMYFUNCTION("""COMPUTED_VALUE"""),"Team Liquid Academy_Ascent")</f>
        <v>Team Liquid Academy_Ascent</v>
      </c>
    </row>
    <row r="77">
      <c r="A77" s="189">
        <f>IFERROR(__xludf.DUMMYFUNCTION("""COMPUTED_VALUE"""),211262.0)</f>
        <v>211262</v>
      </c>
      <c r="B77" s="189">
        <f>IFERROR(__xludf.DUMMYFUNCTION("""COMPUTED_VALUE"""),92908.0)</f>
        <v>92908</v>
      </c>
      <c r="C77" s="189" t="str">
        <f>IFERROR(__xludf.DUMMYFUNCTION("""COMPUTED_VALUE"""),"Challengers League 2025 NORTH EAST: Split 3 - Playoffs")</f>
        <v>Challengers League 2025 NORTH EAST: Split 3 - Playoffs</v>
      </c>
      <c r="D77" s="189" t="str">
        <f>IFERROR(__xludf.DUMMYFUNCTION("""COMPUTED_VALUE"""),"Sunset")</f>
        <v>Sunset</v>
      </c>
      <c r="E77" s="189" t="str">
        <f>IFERROR(__xludf.DUMMYFUNCTION("""COMPUTED_VALUE"""),"Team Liquid Academy")</f>
        <v>Team Liquid Academy</v>
      </c>
      <c r="F77" s="189" t="str">
        <f>IFERROR(__xludf.DUMMYFUNCTION("""COMPUTED_VALUE"""),"Metizport")</f>
        <v>Metizport</v>
      </c>
      <c r="G77" s="189" t="str">
        <f>IFERROR(__xludf.DUMMYFUNCTION("""COMPUTED_VALUE"""),"Sova,Omen,Yoru,Vyse,Waylay")</f>
        <v>Sova,Omen,Yoru,Vyse,Waylay</v>
      </c>
      <c r="H77" s="189" t="str">
        <f>IFERROR(__xludf.DUMMYFUNCTION("""COMPUTED_VALUE"""),"Breach,Cypher,Sova,Omen,Neon")</f>
        <v>Breach,Cypher,Sova,Omen,Neon</v>
      </c>
      <c r="I77" s="189">
        <f>IFERROR(__xludf.DUMMYFUNCTION("""COMPUTED_VALUE"""),12.0)</f>
        <v>12</v>
      </c>
      <c r="J77" s="189">
        <f>IFERROR(__xludf.DUMMYFUNCTION("""COMPUTED_VALUE"""),14.0)</f>
        <v>14</v>
      </c>
      <c r="K77" s="189">
        <f>IFERROR(__xludf.DUMMYFUNCTION("""COMPUTED_VALUE"""),6.0)</f>
        <v>6</v>
      </c>
      <c r="L77" s="189">
        <f>IFERROR(__xludf.DUMMYFUNCTION("""COMPUTED_VALUE"""),6.0)</f>
        <v>6</v>
      </c>
      <c r="M77" s="189">
        <f>IFERROR(__xludf.DUMMYFUNCTION("""COMPUTED_VALUE"""),1.0)</f>
        <v>1</v>
      </c>
      <c r="N77" s="189">
        <f>IFERROR(__xludf.DUMMYFUNCTION("""COMPUTED_VALUE"""),1.0)</f>
        <v>1</v>
      </c>
      <c r="O77" s="189">
        <f>IFERROR(__xludf.DUMMYFUNCTION("""COMPUTED_VALUE"""),6.0)</f>
        <v>6</v>
      </c>
      <c r="P77" s="189">
        <f>IFERROR(__xludf.DUMMYFUNCTION("""COMPUTED_VALUE"""),7.0)</f>
        <v>7</v>
      </c>
      <c r="Q77" s="189">
        <f>IFERROR(__xludf.DUMMYFUNCTION("""COMPUTED_VALUE"""),6.0)</f>
        <v>6</v>
      </c>
      <c r="R77" s="189">
        <f>IFERROR(__xludf.DUMMYFUNCTION("""COMPUTED_VALUE"""),7.0)</f>
        <v>7</v>
      </c>
      <c r="S77" s="189">
        <f>IFERROR(__xludf.DUMMYFUNCTION("""COMPUTED_VALUE"""),0.0)</f>
        <v>0</v>
      </c>
      <c r="T77" s="189">
        <f>IFERROR(__xludf.DUMMYFUNCTION("""COMPUTED_VALUE"""),0.0)</f>
        <v>0</v>
      </c>
      <c r="U77" s="189">
        <f>IFERROR(__xludf.DUMMYFUNCTION("""COMPUTED_VALUE"""),7.0)</f>
        <v>7</v>
      </c>
      <c r="V77" s="189">
        <f>IFERROR(__xludf.DUMMYFUNCTION("""COMPUTED_VALUE"""),6.0)</f>
        <v>6</v>
      </c>
      <c r="W77" s="189">
        <f>IFERROR(__xludf.DUMMYFUNCTION("""COMPUTED_VALUE"""),7.0)</f>
        <v>7</v>
      </c>
      <c r="X77" s="189">
        <f>IFERROR(__xludf.DUMMYFUNCTION("""COMPUTED_VALUE"""),6.0)</f>
        <v>6</v>
      </c>
      <c r="Y77" s="189" t="str">
        <f>IFERROR(__xludf.DUMMYFUNCTION("""COMPUTED_VALUE"""),"2025-08-02T00:00:00.000Z")</f>
        <v>2025-08-02T00:00:00.000Z</v>
      </c>
      <c r="Z77" s="189" t="str">
        <f>IFERROR(__xludf.DUMMYFUNCTION("""COMPUTED_VALUE"""),"Team Liquid Academy_Sunset")</f>
        <v>Team Liquid Academy_Sunset</v>
      </c>
    </row>
    <row r="78">
      <c r="A78" s="189">
        <f>IFERROR(__xludf.DUMMYFUNCTION("""COMPUTED_VALUE"""),211234.0)</f>
        <v>211234</v>
      </c>
      <c r="B78" s="189">
        <f>IFERROR(__xludf.DUMMYFUNCTION("""COMPUTED_VALUE"""),92899.0)</f>
        <v>92899</v>
      </c>
      <c r="C78" s="189" t="str">
        <f>IFERROR(__xludf.DUMMYFUNCTION("""COMPUTED_VALUE"""),"Challengers League 2025 NORTH EAST: Split 3 - Playoffs")</f>
        <v>Challengers League 2025 NORTH EAST: Split 3 - Playoffs</v>
      </c>
      <c r="D78" s="189" t="str">
        <f>IFERROR(__xludf.DUMMYFUNCTION("""COMPUTED_VALUE"""),"Corrode")</f>
        <v>Corrode</v>
      </c>
      <c r="E78" s="189" t="str">
        <f>IFERROR(__xludf.DUMMYFUNCTION("""COMPUTED_VALUE"""),"Team Liquid Academy")</f>
        <v>Team Liquid Academy</v>
      </c>
      <c r="F78" s="189" t="str">
        <f>IFERROR(__xludf.DUMMYFUNCTION("""COMPUTED_VALUE"""),"Enterprise Esports")</f>
        <v>Enterprise Esports</v>
      </c>
      <c r="G78" s="189" t="str">
        <f>IFERROR(__xludf.DUMMYFUNCTION("""COMPUTED_VALUE"""),"Cypher,Phoenix,Omen,Yoru,Fade")</f>
        <v>Cypher,Phoenix,Omen,Yoru,Fade</v>
      </c>
      <c r="H78" s="189" t="str">
        <f>IFERROR(__xludf.DUMMYFUNCTION("""COMPUTED_VALUE"""),"Sova,Viper,Omen,Yoru,Fade")</f>
        <v>Sova,Viper,Omen,Yoru,Fade</v>
      </c>
      <c r="I78" s="189">
        <f>IFERROR(__xludf.DUMMYFUNCTION("""COMPUTED_VALUE"""),11.0)</f>
        <v>11</v>
      </c>
      <c r="J78" s="189">
        <f>IFERROR(__xludf.DUMMYFUNCTION("""COMPUTED_VALUE"""),13.0)</f>
        <v>13</v>
      </c>
      <c r="K78" s="189">
        <f>IFERROR(__xludf.DUMMYFUNCTION("""COMPUTED_VALUE"""),5.0)</f>
        <v>5</v>
      </c>
      <c r="L78" s="189">
        <f>IFERROR(__xludf.DUMMYFUNCTION("""COMPUTED_VALUE"""),7.0)</f>
        <v>7</v>
      </c>
      <c r="M78" s="189">
        <f>IFERROR(__xludf.DUMMYFUNCTION("""COMPUTED_VALUE"""),1.0)</f>
        <v>1</v>
      </c>
      <c r="N78" s="189">
        <f>IFERROR(__xludf.DUMMYFUNCTION("""COMPUTED_VALUE"""),0.0)</f>
        <v>0</v>
      </c>
      <c r="O78" s="189">
        <f>IFERROR(__xludf.DUMMYFUNCTION("""COMPUTED_VALUE"""),5.0)</f>
        <v>5</v>
      </c>
      <c r="P78" s="189">
        <f>IFERROR(__xludf.DUMMYFUNCTION("""COMPUTED_VALUE"""),7.0)</f>
        <v>7</v>
      </c>
      <c r="Q78" s="189">
        <f>IFERROR(__xludf.DUMMYFUNCTION("""COMPUTED_VALUE"""),6.0)</f>
        <v>6</v>
      </c>
      <c r="R78" s="189">
        <f>IFERROR(__xludf.DUMMYFUNCTION("""COMPUTED_VALUE"""),6.0)</f>
        <v>6</v>
      </c>
      <c r="S78" s="189">
        <f>IFERROR(__xludf.DUMMYFUNCTION("""COMPUTED_VALUE"""),1.0)</f>
        <v>1</v>
      </c>
      <c r="T78" s="189">
        <f>IFERROR(__xludf.DUMMYFUNCTION("""COMPUTED_VALUE"""),0.0)</f>
        <v>0</v>
      </c>
      <c r="U78" s="189">
        <f>IFERROR(__xludf.DUMMYFUNCTION("""COMPUTED_VALUE"""),6.0)</f>
        <v>6</v>
      </c>
      <c r="V78" s="189">
        <f>IFERROR(__xludf.DUMMYFUNCTION("""COMPUTED_VALUE"""),6.0)</f>
        <v>6</v>
      </c>
      <c r="W78" s="189">
        <f>IFERROR(__xludf.DUMMYFUNCTION("""COMPUTED_VALUE"""),7.0)</f>
        <v>7</v>
      </c>
      <c r="X78" s="189">
        <f>IFERROR(__xludf.DUMMYFUNCTION("""COMPUTED_VALUE"""),5.0)</f>
        <v>5</v>
      </c>
      <c r="Y78" s="189" t="str">
        <f>IFERROR(__xludf.DUMMYFUNCTION("""COMPUTED_VALUE"""),"2025-07-29T00:00:00.000Z")</f>
        <v>2025-07-29T00:00:00.000Z</v>
      </c>
      <c r="Z78" s="189" t="str">
        <f>IFERROR(__xludf.DUMMYFUNCTION("""COMPUTED_VALUE"""),"Team Liquid Academy_Corrode")</f>
        <v>Team Liquid Academy_Corrode</v>
      </c>
    </row>
    <row r="79">
      <c r="A79" s="189">
        <f>IFERROR(__xludf.DUMMYFUNCTION("""COMPUTED_VALUE"""),211233.0)</f>
        <v>211233</v>
      </c>
      <c r="B79" s="189">
        <f>IFERROR(__xludf.DUMMYFUNCTION("""COMPUTED_VALUE"""),92899.0)</f>
        <v>92899</v>
      </c>
      <c r="C79" s="189" t="str">
        <f>IFERROR(__xludf.DUMMYFUNCTION("""COMPUTED_VALUE"""),"Challengers League 2025 NORTH EAST: Split 3 - Playoffs")</f>
        <v>Challengers League 2025 NORTH EAST: Split 3 - Playoffs</v>
      </c>
      <c r="D79" s="189" t="str">
        <f>IFERROR(__xludf.DUMMYFUNCTION("""COMPUTED_VALUE"""),"Ascent")</f>
        <v>Ascent</v>
      </c>
      <c r="E79" s="189" t="str">
        <f>IFERROR(__xludf.DUMMYFUNCTION("""COMPUTED_VALUE"""),"Team Liquid Academy")</f>
        <v>Team Liquid Academy</v>
      </c>
      <c r="F79" s="189" t="str">
        <f>IFERROR(__xludf.DUMMYFUNCTION("""COMPUTED_VALUE"""),"Enterprise Esports")</f>
        <v>Enterprise Esports</v>
      </c>
      <c r="G79" s="189" t="str">
        <f>IFERROR(__xludf.DUMMYFUNCTION("""COMPUTED_VALUE"""),"Sova,Omen,Yoru,Vyse,Waylay")</f>
        <v>Sova,Omen,Yoru,Vyse,Waylay</v>
      </c>
      <c r="H79" s="189" t="str">
        <f>IFERROR(__xludf.DUMMYFUNCTION("""COMPUTED_VALUE"""),"Cypher,Sova,Omen,Jett,KAY/O")</f>
        <v>Cypher,Sova,Omen,Jett,KAY/O</v>
      </c>
      <c r="I79" s="189">
        <f>IFERROR(__xludf.DUMMYFUNCTION("""COMPUTED_VALUE"""),10.0)</f>
        <v>10</v>
      </c>
      <c r="J79" s="189">
        <f>IFERROR(__xludf.DUMMYFUNCTION("""COMPUTED_VALUE"""),13.0)</f>
        <v>13</v>
      </c>
      <c r="K79" s="189">
        <f>IFERROR(__xludf.DUMMYFUNCTION("""COMPUTED_VALUE"""),6.0)</f>
        <v>6</v>
      </c>
      <c r="L79" s="189">
        <f>IFERROR(__xludf.DUMMYFUNCTION("""COMPUTED_VALUE"""),6.0)</f>
        <v>6</v>
      </c>
      <c r="M79" s="189">
        <f>IFERROR(__xludf.DUMMYFUNCTION("""COMPUTED_VALUE"""),0.0)</f>
        <v>0</v>
      </c>
      <c r="N79" s="189">
        <f>IFERROR(__xludf.DUMMYFUNCTION("""COMPUTED_VALUE"""),1.0)</f>
        <v>1</v>
      </c>
      <c r="O79" s="189">
        <f>IFERROR(__xludf.DUMMYFUNCTION("""COMPUTED_VALUE"""),4.0)</f>
        <v>4</v>
      </c>
      <c r="P79" s="189">
        <f>IFERROR(__xludf.DUMMYFUNCTION("""COMPUTED_VALUE"""),7.0)</f>
        <v>7</v>
      </c>
      <c r="Q79" s="189">
        <f>IFERROR(__xludf.DUMMYFUNCTION("""COMPUTED_VALUE"""),6.0)</f>
        <v>6</v>
      </c>
      <c r="R79" s="189">
        <f>IFERROR(__xludf.DUMMYFUNCTION("""COMPUTED_VALUE"""),6.0)</f>
        <v>6</v>
      </c>
      <c r="S79" s="189">
        <f>IFERROR(__xludf.DUMMYFUNCTION("""COMPUTED_VALUE"""),0.0)</f>
        <v>0</v>
      </c>
      <c r="T79" s="189">
        <f>IFERROR(__xludf.DUMMYFUNCTION("""COMPUTED_VALUE"""),1.0)</f>
        <v>1</v>
      </c>
      <c r="U79" s="189">
        <f>IFERROR(__xludf.DUMMYFUNCTION("""COMPUTED_VALUE"""),6.0)</f>
        <v>6</v>
      </c>
      <c r="V79" s="189">
        <f>IFERROR(__xludf.DUMMYFUNCTION("""COMPUTED_VALUE"""),6.0)</f>
        <v>6</v>
      </c>
      <c r="W79" s="189">
        <f>IFERROR(__xludf.DUMMYFUNCTION("""COMPUTED_VALUE"""),7.0)</f>
        <v>7</v>
      </c>
      <c r="X79" s="189">
        <f>IFERROR(__xludf.DUMMYFUNCTION("""COMPUTED_VALUE"""),4.0)</f>
        <v>4</v>
      </c>
      <c r="Y79" s="189" t="str">
        <f>IFERROR(__xludf.DUMMYFUNCTION("""COMPUTED_VALUE"""),"2025-07-29T00:00:00.000Z")</f>
        <v>2025-07-29T00:00:00.000Z</v>
      </c>
      <c r="Z79" s="189" t="str">
        <f>IFERROR(__xludf.DUMMYFUNCTION("""COMPUTED_VALUE"""),"Team Liquid Academy_Ascent")</f>
        <v>Team Liquid Academy_Ascent</v>
      </c>
    </row>
    <row r="80">
      <c r="A80" s="189">
        <f>IFERROR(__xludf.DUMMYFUNCTION("""COMPUTED_VALUE"""),211217.0)</f>
        <v>211217</v>
      </c>
      <c r="B80" s="189">
        <f>IFERROR(__xludf.DUMMYFUNCTION("""COMPUTED_VALUE"""),92893.0)</f>
        <v>92893</v>
      </c>
      <c r="C80" s="189" t="str">
        <f>IFERROR(__xludf.DUMMYFUNCTION("""COMPUTED_VALUE"""),"Challengers League 2025 NORTH EAST: Split 3 - Playoffs")</f>
        <v>Challengers League 2025 NORTH EAST: Split 3 - Playoffs</v>
      </c>
      <c r="D80" s="189" t="str">
        <f>IFERROR(__xludf.DUMMYFUNCTION("""COMPUTED_VALUE"""),"Haven")</f>
        <v>Haven</v>
      </c>
      <c r="E80" s="189" t="str">
        <f>IFERROR(__xludf.DUMMYFUNCTION("""COMPUTED_VALUE"""),"děti ulice")</f>
        <v>děti ulice</v>
      </c>
      <c r="F80" s="189" t="str">
        <f>IFERROR(__xludf.DUMMYFUNCTION("""COMPUTED_VALUE"""),"Boars Gaming")</f>
        <v>Boars Gaming</v>
      </c>
      <c r="G80" s="189" t="str">
        <f>IFERROR(__xludf.DUMMYFUNCTION("""COMPUTED_VALUE"""),"Cypher,Sova,Omen,Yoru,Iso")</f>
        <v>Cypher,Sova,Omen,Yoru,Iso</v>
      </c>
      <c r="H80" s="189" t="str">
        <f>IFERROR(__xludf.DUMMYFUNCTION("""COMPUTED_VALUE"""),"Breach,Cypher,Sova,Omen,Neon")</f>
        <v>Breach,Cypher,Sova,Omen,Neon</v>
      </c>
      <c r="I80" s="189">
        <f>IFERROR(__xludf.DUMMYFUNCTION("""COMPUTED_VALUE"""),13.0)</f>
        <v>13</v>
      </c>
      <c r="J80" s="189">
        <f>IFERROR(__xludf.DUMMYFUNCTION("""COMPUTED_VALUE"""),6.0)</f>
        <v>6</v>
      </c>
      <c r="K80" s="189">
        <f>IFERROR(__xludf.DUMMYFUNCTION("""COMPUTED_VALUE"""),9.0)</f>
        <v>9</v>
      </c>
      <c r="L80" s="189">
        <f>IFERROR(__xludf.DUMMYFUNCTION("""COMPUTED_VALUE"""),3.0)</f>
        <v>3</v>
      </c>
      <c r="M80" s="189">
        <f>IFERROR(__xludf.DUMMYFUNCTION("""COMPUTED_VALUE"""),1.0)</f>
        <v>1</v>
      </c>
      <c r="N80" s="189">
        <f>IFERROR(__xludf.DUMMYFUNCTION("""COMPUTED_VALUE"""),1.0)</f>
        <v>1</v>
      </c>
      <c r="O80" s="189">
        <f>IFERROR(__xludf.DUMMYFUNCTION("""COMPUTED_VALUE"""),9.0)</f>
        <v>9</v>
      </c>
      <c r="P80" s="189">
        <f>IFERROR(__xludf.DUMMYFUNCTION("""COMPUTED_VALUE"""),3.0)</f>
        <v>3</v>
      </c>
      <c r="Q80" s="189">
        <f>IFERROR(__xludf.DUMMYFUNCTION("""COMPUTED_VALUE"""),4.0)</f>
        <v>4</v>
      </c>
      <c r="R80" s="189">
        <f>IFERROR(__xludf.DUMMYFUNCTION("""COMPUTED_VALUE"""),3.0)</f>
        <v>3</v>
      </c>
      <c r="S80" s="189">
        <f>IFERROR(__xludf.DUMMYFUNCTION("""COMPUTED_VALUE"""),0.0)</f>
        <v>0</v>
      </c>
      <c r="T80" s="189">
        <f>IFERROR(__xludf.DUMMYFUNCTION("""COMPUTED_VALUE"""),0.0)</f>
        <v>0</v>
      </c>
      <c r="U80" s="189">
        <f>IFERROR(__xludf.DUMMYFUNCTION("""COMPUTED_VALUE"""),3.0)</f>
        <v>3</v>
      </c>
      <c r="V80" s="189">
        <f>IFERROR(__xludf.DUMMYFUNCTION("""COMPUTED_VALUE"""),4.0)</f>
        <v>4</v>
      </c>
      <c r="W80" s="189">
        <f>IFERROR(__xludf.DUMMYFUNCTION("""COMPUTED_VALUE"""),3.0)</f>
        <v>3</v>
      </c>
      <c r="X80" s="189">
        <f>IFERROR(__xludf.DUMMYFUNCTION("""COMPUTED_VALUE"""),9.0)</f>
        <v>9</v>
      </c>
      <c r="Y80" s="189" t="str">
        <f>IFERROR(__xludf.DUMMYFUNCTION("""COMPUTED_VALUE"""),"2025-07-29T00:00:00.000Z")</f>
        <v>2025-07-29T00:00:00.000Z</v>
      </c>
      <c r="Z80" s="189" t="str">
        <f>IFERROR(__xludf.DUMMYFUNCTION("""COMPUTED_VALUE"""),"děti ulice_Haven")</f>
        <v>děti ulice_Haven</v>
      </c>
    </row>
    <row r="81">
      <c r="A81" s="189">
        <f>IFERROR(__xludf.DUMMYFUNCTION("""COMPUTED_VALUE"""),211216.0)</f>
        <v>211216</v>
      </c>
      <c r="B81" s="189">
        <f>IFERROR(__xludf.DUMMYFUNCTION("""COMPUTED_VALUE"""),92893.0)</f>
        <v>92893</v>
      </c>
      <c r="C81" s="189" t="str">
        <f>IFERROR(__xludf.DUMMYFUNCTION("""COMPUTED_VALUE"""),"Challengers League 2025 NORTH EAST: Split 3 - Playoffs")</f>
        <v>Challengers League 2025 NORTH EAST: Split 3 - Playoffs</v>
      </c>
      <c r="D81" s="189" t="str">
        <f>IFERROR(__xludf.DUMMYFUNCTION("""COMPUTED_VALUE"""),"Lotus")</f>
        <v>Lotus</v>
      </c>
      <c r="E81" s="189" t="str">
        <f>IFERROR(__xludf.DUMMYFUNCTION("""COMPUTED_VALUE"""),"děti ulice")</f>
        <v>děti ulice</v>
      </c>
      <c r="F81" s="189" t="str">
        <f>IFERROR(__xludf.DUMMYFUNCTION("""COMPUTED_VALUE"""),"Boars Gaming")</f>
        <v>Boars Gaming</v>
      </c>
      <c r="G81" s="189" t="str">
        <f>IFERROR(__xludf.DUMMYFUNCTION("""COMPUTED_VALUE"""),"Raze,Omen,Yoru,Fade,Vyse")</f>
        <v>Raze,Omen,Yoru,Fade,Vyse</v>
      </c>
      <c r="H81" s="189" t="str">
        <f>IFERROR(__xludf.DUMMYFUNCTION("""COMPUTED_VALUE"""),"Breach,Cypher,Omen,Neon,Fade")</f>
        <v>Breach,Cypher,Omen,Neon,Fade</v>
      </c>
      <c r="I81" s="189">
        <f>IFERROR(__xludf.DUMMYFUNCTION("""COMPUTED_VALUE"""),18.0)</f>
        <v>18</v>
      </c>
      <c r="J81" s="189">
        <f>IFERROR(__xludf.DUMMYFUNCTION("""COMPUTED_VALUE"""),16.0)</f>
        <v>16</v>
      </c>
      <c r="K81" s="189">
        <f>IFERROR(__xludf.DUMMYFUNCTION("""COMPUTED_VALUE"""),6.0)</f>
        <v>6</v>
      </c>
      <c r="L81" s="189">
        <f>IFERROR(__xludf.DUMMYFUNCTION("""COMPUTED_VALUE"""),6.0)</f>
        <v>6</v>
      </c>
      <c r="M81" s="189">
        <f>IFERROR(__xludf.DUMMYFUNCTION("""COMPUTED_VALUE"""),0.0)</f>
        <v>0</v>
      </c>
      <c r="N81" s="189">
        <f>IFERROR(__xludf.DUMMYFUNCTION("""COMPUTED_VALUE"""),0.0)</f>
        <v>0</v>
      </c>
      <c r="O81" s="189">
        <f>IFERROR(__xludf.DUMMYFUNCTION("""COMPUTED_VALUE"""),8.0)</f>
        <v>8</v>
      </c>
      <c r="P81" s="189">
        <f>IFERROR(__xludf.DUMMYFUNCTION("""COMPUTED_VALUE"""),9.0)</f>
        <v>9</v>
      </c>
      <c r="Q81" s="189">
        <f>IFERROR(__xludf.DUMMYFUNCTION("""COMPUTED_VALUE"""),10.0)</f>
        <v>10</v>
      </c>
      <c r="R81" s="189">
        <f>IFERROR(__xludf.DUMMYFUNCTION("""COMPUTED_VALUE"""),7.0)</f>
        <v>7</v>
      </c>
      <c r="S81" s="189">
        <f>IFERROR(__xludf.DUMMYFUNCTION("""COMPUTED_VALUE"""),1.0)</f>
        <v>1</v>
      </c>
      <c r="T81" s="189">
        <f>IFERROR(__xludf.DUMMYFUNCTION("""COMPUTED_VALUE"""),1.0)</f>
        <v>1</v>
      </c>
      <c r="U81" s="189">
        <f>IFERROR(__xludf.DUMMYFUNCTION("""COMPUTED_VALUE"""),7.0)</f>
        <v>7</v>
      </c>
      <c r="V81" s="189">
        <f>IFERROR(__xludf.DUMMYFUNCTION("""COMPUTED_VALUE"""),10.0)</f>
        <v>10</v>
      </c>
      <c r="W81" s="189">
        <f>IFERROR(__xludf.DUMMYFUNCTION("""COMPUTED_VALUE"""),9.0)</f>
        <v>9</v>
      </c>
      <c r="X81" s="189">
        <f>IFERROR(__xludf.DUMMYFUNCTION("""COMPUTED_VALUE"""),8.0)</f>
        <v>8</v>
      </c>
      <c r="Y81" s="189" t="str">
        <f>IFERROR(__xludf.DUMMYFUNCTION("""COMPUTED_VALUE"""),"2025-07-29T00:00:00.000Z")</f>
        <v>2025-07-29T00:00:00.000Z</v>
      </c>
      <c r="Z81" s="189" t="str">
        <f>IFERROR(__xludf.DUMMYFUNCTION("""COMPUTED_VALUE"""),"děti ulice_Lotus")</f>
        <v>děti ulice_Lotus</v>
      </c>
    </row>
    <row r="82">
      <c r="A82" s="189">
        <f>IFERROR(__xludf.DUMMYFUNCTION("""COMPUTED_VALUE"""),211215.0)</f>
        <v>211215</v>
      </c>
      <c r="B82" s="189">
        <f>IFERROR(__xludf.DUMMYFUNCTION("""COMPUTED_VALUE"""),92893.0)</f>
        <v>92893</v>
      </c>
      <c r="C82" s="189" t="str">
        <f>IFERROR(__xludf.DUMMYFUNCTION("""COMPUTED_VALUE"""),"Challengers League 2025 NORTH EAST: Split 3 - Playoffs")</f>
        <v>Challengers League 2025 NORTH EAST: Split 3 - Playoffs</v>
      </c>
      <c r="D82" s="189" t="str">
        <f>IFERROR(__xludf.DUMMYFUNCTION("""COMPUTED_VALUE"""),"Sunset")</f>
        <v>Sunset</v>
      </c>
      <c r="E82" s="189" t="str">
        <f>IFERROR(__xludf.DUMMYFUNCTION("""COMPUTED_VALUE"""),"děti ulice")</f>
        <v>děti ulice</v>
      </c>
      <c r="F82" s="189" t="str">
        <f>IFERROR(__xludf.DUMMYFUNCTION("""COMPUTED_VALUE"""),"Boars Gaming")</f>
        <v>Boars Gaming</v>
      </c>
      <c r="G82" s="189" t="str">
        <f>IFERROR(__xludf.DUMMYFUNCTION("""COMPUTED_VALUE"""),"Cypher,Sova,Omen,Yoru,Neon")</f>
        <v>Cypher,Sova,Omen,Yoru,Neon</v>
      </c>
      <c r="H82" s="189" t="str">
        <f>IFERROR(__xludf.DUMMYFUNCTION("""COMPUTED_VALUE"""),"Cypher,Sova,Omen,KAY/O,Neon")</f>
        <v>Cypher,Sova,Omen,KAY/O,Neon</v>
      </c>
      <c r="I82" s="189">
        <f>IFERROR(__xludf.DUMMYFUNCTION("""COMPUTED_VALUE"""),6.0)</f>
        <v>6</v>
      </c>
      <c r="J82" s="189">
        <f>IFERROR(__xludf.DUMMYFUNCTION("""COMPUTED_VALUE"""),13.0)</f>
        <v>13</v>
      </c>
      <c r="K82" s="189">
        <f>IFERROR(__xludf.DUMMYFUNCTION("""COMPUTED_VALUE"""),3.0)</f>
        <v>3</v>
      </c>
      <c r="L82" s="189">
        <f>IFERROR(__xludf.DUMMYFUNCTION("""COMPUTED_VALUE"""),9.0)</f>
        <v>9</v>
      </c>
      <c r="M82" s="189">
        <f>IFERROR(__xludf.DUMMYFUNCTION("""COMPUTED_VALUE"""),1.0)</f>
        <v>1</v>
      </c>
      <c r="N82" s="189">
        <f>IFERROR(__xludf.DUMMYFUNCTION("""COMPUTED_VALUE"""),0.0)</f>
        <v>0</v>
      </c>
      <c r="O82" s="189">
        <f>IFERROR(__xludf.DUMMYFUNCTION("""COMPUTED_VALUE"""),3.0)</f>
        <v>3</v>
      </c>
      <c r="P82" s="189">
        <f>IFERROR(__xludf.DUMMYFUNCTION("""COMPUTED_VALUE"""),4.0)</f>
        <v>4</v>
      </c>
      <c r="Q82" s="189">
        <f>IFERROR(__xludf.DUMMYFUNCTION("""COMPUTED_VALUE"""),3.0)</f>
        <v>3</v>
      </c>
      <c r="R82" s="189">
        <f>IFERROR(__xludf.DUMMYFUNCTION("""COMPUTED_VALUE"""),9.0)</f>
        <v>9</v>
      </c>
      <c r="S82" s="189">
        <f>IFERROR(__xludf.DUMMYFUNCTION("""COMPUTED_VALUE"""),1.0)</f>
        <v>1</v>
      </c>
      <c r="T82" s="189">
        <f>IFERROR(__xludf.DUMMYFUNCTION("""COMPUTED_VALUE"""),0.0)</f>
        <v>0</v>
      </c>
      <c r="U82" s="189">
        <f>IFERROR(__xludf.DUMMYFUNCTION("""COMPUTED_VALUE"""),9.0)</f>
        <v>9</v>
      </c>
      <c r="V82" s="189">
        <f>IFERROR(__xludf.DUMMYFUNCTION("""COMPUTED_VALUE"""),3.0)</f>
        <v>3</v>
      </c>
      <c r="W82" s="189">
        <f>IFERROR(__xludf.DUMMYFUNCTION("""COMPUTED_VALUE"""),4.0)</f>
        <v>4</v>
      </c>
      <c r="X82" s="189">
        <f>IFERROR(__xludf.DUMMYFUNCTION("""COMPUTED_VALUE"""),3.0)</f>
        <v>3</v>
      </c>
      <c r="Y82" s="189" t="str">
        <f>IFERROR(__xludf.DUMMYFUNCTION("""COMPUTED_VALUE"""),"2025-07-29T00:00:00.000Z")</f>
        <v>2025-07-29T00:00:00.000Z</v>
      </c>
      <c r="Z82" s="189" t="str">
        <f>IFERROR(__xludf.DUMMYFUNCTION("""COMPUTED_VALUE"""),"děti ulice_Sunset")</f>
        <v>děti ulice_Sunset</v>
      </c>
    </row>
    <row r="83">
      <c r="A83" s="189">
        <f>IFERROR(__xludf.DUMMYFUNCTION("""COMPUTED_VALUE"""),208417.0)</f>
        <v>208417</v>
      </c>
      <c r="B83" s="189">
        <f>IFERROR(__xludf.DUMMYFUNCTION("""COMPUTED_VALUE"""),91787.0)</f>
        <v>91787</v>
      </c>
      <c r="C83" s="189" t="str">
        <f>IFERROR(__xludf.DUMMYFUNCTION("""COMPUTED_VALUE"""),"Challengers League 2025 Türkiye Birlik: Split 3 - Group Stage")</f>
        <v>Challengers League 2025 Türkiye Birlik: Split 3 - Group Stage</v>
      </c>
      <c r="D83" s="189" t="str">
        <f>IFERROR(__xludf.DUMMYFUNCTION("""COMPUTED_VALUE"""),"Haven")</f>
        <v>Haven</v>
      </c>
      <c r="E83" s="189" t="str">
        <f>IFERROR(__xludf.DUMMYFUNCTION("""COMPUTED_VALUE"""),"ULF Esports")</f>
        <v>ULF Esports</v>
      </c>
      <c r="F83" s="189" t="str">
        <f>IFERROR(__xludf.DUMMYFUNCTION("""COMPUTED_VALUE"""),"S2G Esports")</f>
        <v>S2G Esports</v>
      </c>
      <c r="G83" s="189" t="str">
        <f>IFERROR(__xludf.DUMMYFUNCTION("""COMPUTED_VALUE"""),"Sova,Viper,Omen,Neon,Vyse")</f>
        <v>Sova,Viper,Omen,Neon,Vyse</v>
      </c>
      <c r="H83" s="189" t="str">
        <f>IFERROR(__xludf.DUMMYFUNCTION("""COMPUTED_VALUE"""),"Breach,Cypher,Sova,Omen,Jett")</f>
        <v>Breach,Cypher,Sova,Omen,Jett</v>
      </c>
      <c r="I83" s="189">
        <f>IFERROR(__xludf.DUMMYFUNCTION("""COMPUTED_VALUE"""),9.0)</f>
        <v>9</v>
      </c>
      <c r="J83" s="189">
        <f>IFERROR(__xludf.DUMMYFUNCTION("""COMPUTED_VALUE"""),13.0)</f>
        <v>13</v>
      </c>
      <c r="K83" s="189">
        <f>IFERROR(__xludf.DUMMYFUNCTION("""COMPUTED_VALUE"""),6.0)</f>
        <v>6</v>
      </c>
      <c r="L83" s="189">
        <f>IFERROR(__xludf.DUMMYFUNCTION("""COMPUTED_VALUE"""),6.0)</f>
        <v>6</v>
      </c>
      <c r="M83" s="189">
        <f>IFERROR(__xludf.DUMMYFUNCTION("""COMPUTED_VALUE"""),0.0)</f>
        <v>0</v>
      </c>
      <c r="N83" s="189">
        <f>IFERROR(__xludf.DUMMYFUNCTION("""COMPUTED_VALUE"""),0.0)</f>
        <v>0</v>
      </c>
      <c r="O83" s="189">
        <f>IFERROR(__xludf.DUMMYFUNCTION("""COMPUTED_VALUE"""),3.0)</f>
        <v>3</v>
      </c>
      <c r="P83" s="189">
        <f>IFERROR(__xludf.DUMMYFUNCTION("""COMPUTED_VALUE"""),7.0)</f>
        <v>7</v>
      </c>
      <c r="Q83" s="189">
        <f>IFERROR(__xludf.DUMMYFUNCTION("""COMPUTED_VALUE"""),6.0)</f>
        <v>6</v>
      </c>
      <c r="R83" s="189">
        <f>IFERROR(__xludf.DUMMYFUNCTION("""COMPUTED_VALUE"""),6.0)</f>
        <v>6</v>
      </c>
      <c r="S83" s="189">
        <f>IFERROR(__xludf.DUMMYFUNCTION("""COMPUTED_VALUE"""),1.0)</f>
        <v>1</v>
      </c>
      <c r="T83" s="189">
        <f>IFERROR(__xludf.DUMMYFUNCTION("""COMPUTED_VALUE"""),1.0)</f>
        <v>1</v>
      </c>
      <c r="U83" s="189">
        <f>IFERROR(__xludf.DUMMYFUNCTION("""COMPUTED_VALUE"""),6.0)</f>
        <v>6</v>
      </c>
      <c r="V83" s="189">
        <f>IFERROR(__xludf.DUMMYFUNCTION("""COMPUTED_VALUE"""),6.0)</f>
        <v>6</v>
      </c>
      <c r="W83" s="189">
        <f>IFERROR(__xludf.DUMMYFUNCTION("""COMPUTED_VALUE"""),7.0)</f>
        <v>7</v>
      </c>
      <c r="X83" s="189">
        <f>IFERROR(__xludf.DUMMYFUNCTION("""COMPUTED_VALUE"""),3.0)</f>
        <v>3</v>
      </c>
      <c r="Y83" s="189" t="str">
        <f>IFERROR(__xludf.DUMMYFUNCTION("""COMPUTED_VALUE"""),"2025-07-28T00:00:00.000Z")</f>
        <v>2025-07-28T00:00:00.000Z</v>
      </c>
      <c r="Z83" s="189" t="str">
        <f>IFERROR(__xludf.DUMMYFUNCTION("""COMPUTED_VALUE"""),"ULF Esports_Haven")</f>
        <v>ULF Esports_Haven</v>
      </c>
    </row>
    <row r="84">
      <c r="A84" s="189">
        <f>IFERROR(__xludf.DUMMYFUNCTION("""COMPUTED_VALUE"""),208416.0)</f>
        <v>208416</v>
      </c>
      <c r="B84" s="189">
        <f>IFERROR(__xludf.DUMMYFUNCTION("""COMPUTED_VALUE"""),91787.0)</f>
        <v>91787</v>
      </c>
      <c r="C84" s="189" t="str">
        <f>IFERROR(__xludf.DUMMYFUNCTION("""COMPUTED_VALUE"""),"Challengers League 2025 Türkiye Birlik: Split 3 - Group Stage")</f>
        <v>Challengers League 2025 Türkiye Birlik: Split 3 - Group Stage</v>
      </c>
      <c r="D84" s="189" t="str">
        <f>IFERROR(__xludf.DUMMYFUNCTION("""COMPUTED_VALUE"""),"Icebox")</f>
        <v>Icebox</v>
      </c>
      <c r="E84" s="189" t="str">
        <f>IFERROR(__xludf.DUMMYFUNCTION("""COMPUTED_VALUE"""),"ULF Esports")</f>
        <v>ULF Esports</v>
      </c>
      <c r="F84" s="189" t="str">
        <f>IFERROR(__xludf.DUMMYFUNCTION("""COMPUTED_VALUE"""),"S2G Esports")</f>
        <v>S2G Esports</v>
      </c>
      <c r="G84" s="189" t="str">
        <f>IFERROR(__xludf.DUMMYFUNCTION("""COMPUTED_VALUE"""),"Sova,Killjoy,Viper,Omen,Jett")</f>
        <v>Sova,Killjoy,Viper,Omen,Jett</v>
      </c>
      <c r="H84" s="189" t="str">
        <f>IFERROR(__xludf.DUMMYFUNCTION("""COMPUTED_VALUE"""),"Sova,Killjoy,Viper,Jett,KAY/O")</f>
        <v>Sova,Killjoy,Viper,Jett,KAY/O</v>
      </c>
      <c r="I84" s="189">
        <f>IFERROR(__xludf.DUMMYFUNCTION("""COMPUTED_VALUE"""),11.0)</f>
        <v>11</v>
      </c>
      <c r="J84" s="189">
        <f>IFERROR(__xludf.DUMMYFUNCTION("""COMPUTED_VALUE"""),13.0)</f>
        <v>13</v>
      </c>
      <c r="K84" s="189">
        <f>IFERROR(__xludf.DUMMYFUNCTION("""COMPUTED_VALUE"""),3.0)</f>
        <v>3</v>
      </c>
      <c r="L84" s="189">
        <f>IFERROR(__xludf.DUMMYFUNCTION("""COMPUTED_VALUE"""),9.0)</f>
        <v>9</v>
      </c>
      <c r="M84" s="189">
        <f>IFERROR(__xludf.DUMMYFUNCTION("""COMPUTED_VALUE"""),1.0)</f>
        <v>1</v>
      </c>
      <c r="N84" s="189">
        <f>IFERROR(__xludf.DUMMYFUNCTION("""COMPUTED_VALUE"""),0.0)</f>
        <v>0</v>
      </c>
      <c r="O84" s="189">
        <f>IFERROR(__xludf.DUMMYFUNCTION("""COMPUTED_VALUE"""),8.0)</f>
        <v>8</v>
      </c>
      <c r="P84" s="189">
        <f>IFERROR(__xludf.DUMMYFUNCTION("""COMPUTED_VALUE"""),4.0)</f>
        <v>4</v>
      </c>
      <c r="Q84" s="189">
        <f>IFERROR(__xludf.DUMMYFUNCTION("""COMPUTED_VALUE"""),3.0)</f>
        <v>3</v>
      </c>
      <c r="R84" s="189">
        <f>IFERROR(__xludf.DUMMYFUNCTION("""COMPUTED_VALUE"""),9.0)</f>
        <v>9</v>
      </c>
      <c r="S84" s="189">
        <f>IFERROR(__xludf.DUMMYFUNCTION("""COMPUTED_VALUE"""),1.0)</f>
        <v>1</v>
      </c>
      <c r="T84" s="189">
        <f>IFERROR(__xludf.DUMMYFUNCTION("""COMPUTED_VALUE"""),0.0)</f>
        <v>0</v>
      </c>
      <c r="U84" s="189">
        <f>IFERROR(__xludf.DUMMYFUNCTION("""COMPUTED_VALUE"""),9.0)</f>
        <v>9</v>
      </c>
      <c r="V84" s="189">
        <f>IFERROR(__xludf.DUMMYFUNCTION("""COMPUTED_VALUE"""),3.0)</f>
        <v>3</v>
      </c>
      <c r="W84" s="189">
        <f>IFERROR(__xludf.DUMMYFUNCTION("""COMPUTED_VALUE"""),4.0)</f>
        <v>4</v>
      </c>
      <c r="X84" s="189">
        <f>IFERROR(__xludf.DUMMYFUNCTION("""COMPUTED_VALUE"""),8.0)</f>
        <v>8</v>
      </c>
      <c r="Y84" s="189" t="str">
        <f>IFERROR(__xludf.DUMMYFUNCTION("""COMPUTED_VALUE"""),"2025-07-28T00:00:00.000Z")</f>
        <v>2025-07-28T00:00:00.000Z</v>
      </c>
      <c r="Z84" s="189" t="str">
        <f>IFERROR(__xludf.DUMMYFUNCTION("""COMPUTED_VALUE"""),"ULF Esports_Icebox")</f>
        <v>ULF Esports_Icebox</v>
      </c>
    </row>
    <row r="85">
      <c r="A85" s="189">
        <f>IFERROR(__xludf.DUMMYFUNCTION("""COMPUTED_VALUE"""),208415.0)</f>
        <v>208415</v>
      </c>
      <c r="B85" s="189">
        <f>IFERROR(__xludf.DUMMYFUNCTION("""COMPUTED_VALUE"""),91787.0)</f>
        <v>91787</v>
      </c>
      <c r="C85" s="189" t="str">
        <f>IFERROR(__xludf.DUMMYFUNCTION("""COMPUTED_VALUE"""),"Challengers League 2025 Türkiye Birlik: Split 3 - Group Stage")</f>
        <v>Challengers League 2025 Türkiye Birlik: Split 3 - Group Stage</v>
      </c>
      <c r="D85" s="189" t="str">
        <f>IFERROR(__xludf.DUMMYFUNCTION("""COMPUTED_VALUE"""),"Bind")</f>
        <v>Bind</v>
      </c>
      <c r="E85" s="189" t="str">
        <f>IFERROR(__xludf.DUMMYFUNCTION("""COMPUTED_VALUE"""),"ULF Esports")</f>
        <v>ULF Esports</v>
      </c>
      <c r="F85" s="189" t="str">
        <f>IFERROR(__xludf.DUMMYFUNCTION("""COMPUTED_VALUE"""),"S2G Esports")</f>
        <v>S2G Esports</v>
      </c>
      <c r="G85" s="189" t="str">
        <f>IFERROR(__xludf.DUMMYFUNCTION("""COMPUTED_VALUE"""),"Viper,Brimstone,Skye,Vyse,Waylay")</f>
        <v>Viper,Brimstone,Skye,Vyse,Waylay</v>
      </c>
      <c r="H85" s="189" t="str">
        <f>IFERROR(__xludf.DUMMYFUNCTION("""COMPUTED_VALUE"""),"Cypher,Viper,Sage,Omen,Iso")</f>
        <v>Cypher,Viper,Sage,Omen,Iso</v>
      </c>
      <c r="I85" s="189">
        <f>IFERROR(__xludf.DUMMYFUNCTION("""COMPUTED_VALUE"""),13.0)</f>
        <v>13</v>
      </c>
      <c r="J85" s="189">
        <f>IFERROR(__xludf.DUMMYFUNCTION("""COMPUTED_VALUE"""),7.0)</f>
        <v>7</v>
      </c>
      <c r="K85" s="189">
        <f>IFERROR(__xludf.DUMMYFUNCTION("""COMPUTED_VALUE"""),5.0)</f>
        <v>5</v>
      </c>
      <c r="L85" s="189">
        <f>IFERROR(__xludf.DUMMYFUNCTION("""COMPUTED_VALUE"""),7.0)</f>
        <v>7</v>
      </c>
      <c r="M85" s="189">
        <f>IFERROR(__xludf.DUMMYFUNCTION("""COMPUTED_VALUE"""),0.0)</f>
        <v>0</v>
      </c>
      <c r="N85" s="189">
        <f>IFERROR(__xludf.DUMMYFUNCTION("""COMPUTED_VALUE"""),1.0)</f>
        <v>1</v>
      </c>
      <c r="O85" s="189">
        <f>IFERROR(__xludf.DUMMYFUNCTION("""COMPUTED_VALUE"""),5.0)</f>
        <v>5</v>
      </c>
      <c r="P85" s="189">
        <f>IFERROR(__xludf.DUMMYFUNCTION("""COMPUTED_VALUE"""),7.0)</f>
        <v>7</v>
      </c>
      <c r="Q85" s="189">
        <f>IFERROR(__xludf.DUMMYFUNCTION("""COMPUTED_VALUE"""),8.0)</f>
        <v>8</v>
      </c>
      <c r="R85" s="189">
        <f>IFERROR(__xludf.DUMMYFUNCTION("""COMPUTED_VALUE"""),0.0)</f>
        <v>0</v>
      </c>
      <c r="S85" s="189">
        <f>IFERROR(__xludf.DUMMYFUNCTION("""COMPUTED_VALUE"""),0.0)</f>
        <v>0</v>
      </c>
      <c r="T85" s="189">
        <f>IFERROR(__xludf.DUMMYFUNCTION("""COMPUTED_VALUE"""),1.0)</f>
        <v>1</v>
      </c>
      <c r="U85" s="189">
        <f>IFERROR(__xludf.DUMMYFUNCTION("""COMPUTED_VALUE"""),0.0)</f>
        <v>0</v>
      </c>
      <c r="V85" s="189">
        <f>IFERROR(__xludf.DUMMYFUNCTION("""COMPUTED_VALUE"""),8.0)</f>
        <v>8</v>
      </c>
      <c r="W85" s="189">
        <f>IFERROR(__xludf.DUMMYFUNCTION("""COMPUTED_VALUE"""),7.0)</f>
        <v>7</v>
      </c>
      <c r="X85" s="189">
        <f>IFERROR(__xludf.DUMMYFUNCTION("""COMPUTED_VALUE"""),5.0)</f>
        <v>5</v>
      </c>
      <c r="Y85" s="189" t="str">
        <f>IFERROR(__xludf.DUMMYFUNCTION("""COMPUTED_VALUE"""),"2025-07-28T00:00:00.000Z")</f>
        <v>2025-07-28T00:00:00.000Z</v>
      </c>
      <c r="Z85" s="189" t="str">
        <f>IFERROR(__xludf.DUMMYFUNCTION("""COMPUTED_VALUE"""),"ULF Esports_Bind")</f>
        <v>ULF Esports_Bind</v>
      </c>
    </row>
    <row r="86">
      <c r="A86" s="189">
        <f>IFERROR(__xludf.DUMMYFUNCTION("""COMPUTED_VALUE"""),210892.0)</f>
        <v>210892</v>
      </c>
      <c r="B86" s="189">
        <f>IFERROR(__xludf.DUMMYFUNCTION("""COMPUTED_VALUE"""),92753.0)</f>
        <v>92753</v>
      </c>
      <c r="C86" s="189" t="str">
        <f>IFERROR(__xludf.DUMMYFUNCTION("""COMPUTED_VALUE"""),"Challengers League 2025 Spain Rising: Split 3 - Playoffs")</f>
        <v>Challengers League 2025 Spain Rising: Split 3 - Playoffs</v>
      </c>
      <c r="D86" s="189" t="str">
        <f>IFERROR(__xludf.DUMMYFUNCTION("""COMPUTED_VALUE"""),"Sunset")</f>
        <v>Sunset</v>
      </c>
      <c r="E86" s="189" t="str">
        <f>IFERROR(__xludf.DUMMYFUNCTION("""COMPUTED_VALUE"""),"KOI Fénix")</f>
        <v>KOI Fénix</v>
      </c>
      <c r="F86" s="189" t="str">
        <f>IFERROR(__xludf.DUMMYFUNCTION("""COMPUTED_VALUE"""),"Barça eSports")</f>
        <v>Barça eSports</v>
      </c>
      <c r="G86" s="189" t="str">
        <f>IFERROR(__xludf.DUMMYFUNCTION("""COMPUTED_VALUE"""),"Breach,Sage,Omen,Neon,Gekko")</f>
        <v>Breach,Sage,Omen,Neon,Gekko</v>
      </c>
      <c r="H86" s="189" t="str">
        <f>IFERROR(__xludf.DUMMYFUNCTION("""COMPUTED_VALUE"""),"Cypher,Sova,Omen,Neon,Deadlock")</f>
        <v>Cypher,Sova,Omen,Neon,Deadlock</v>
      </c>
      <c r="I86" s="189">
        <f>IFERROR(__xludf.DUMMYFUNCTION("""COMPUTED_VALUE"""),13.0)</f>
        <v>13</v>
      </c>
      <c r="J86" s="189">
        <f>IFERROR(__xludf.DUMMYFUNCTION("""COMPUTED_VALUE"""),5.0)</f>
        <v>5</v>
      </c>
      <c r="K86" s="189">
        <f>IFERROR(__xludf.DUMMYFUNCTION("""COMPUTED_VALUE"""),9.0)</f>
        <v>9</v>
      </c>
      <c r="L86" s="189">
        <f>IFERROR(__xludf.DUMMYFUNCTION("""COMPUTED_VALUE"""),3.0)</f>
        <v>3</v>
      </c>
      <c r="M86" s="189">
        <f>IFERROR(__xludf.DUMMYFUNCTION("""COMPUTED_VALUE"""),0.0)</f>
        <v>0</v>
      </c>
      <c r="N86" s="189">
        <f>IFERROR(__xludf.DUMMYFUNCTION("""COMPUTED_VALUE"""),0.0)</f>
        <v>0</v>
      </c>
      <c r="O86" s="189">
        <f>IFERROR(__xludf.DUMMYFUNCTION("""COMPUTED_VALUE"""),4.0)</f>
        <v>4</v>
      </c>
      <c r="P86" s="189">
        <f>IFERROR(__xludf.DUMMYFUNCTION("""COMPUTED_VALUE"""),2.0)</f>
        <v>2</v>
      </c>
      <c r="Q86" s="189">
        <f>IFERROR(__xludf.DUMMYFUNCTION("""COMPUTED_VALUE"""),9.0)</f>
        <v>9</v>
      </c>
      <c r="R86" s="189">
        <f>IFERROR(__xludf.DUMMYFUNCTION("""COMPUTED_VALUE"""),3.0)</f>
        <v>3</v>
      </c>
      <c r="S86" s="189">
        <f>IFERROR(__xludf.DUMMYFUNCTION("""COMPUTED_VALUE"""),1.0)</f>
        <v>1</v>
      </c>
      <c r="T86" s="189">
        <f>IFERROR(__xludf.DUMMYFUNCTION("""COMPUTED_VALUE"""),1.0)</f>
        <v>1</v>
      </c>
      <c r="U86" s="189">
        <f>IFERROR(__xludf.DUMMYFUNCTION("""COMPUTED_VALUE"""),3.0)</f>
        <v>3</v>
      </c>
      <c r="V86" s="189">
        <f>IFERROR(__xludf.DUMMYFUNCTION("""COMPUTED_VALUE"""),9.0)</f>
        <v>9</v>
      </c>
      <c r="W86" s="189">
        <f>IFERROR(__xludf.DUMMYFUNCTION("""COMPUTED_VALUE"""),2.0)</f>
        <v>2</v>
      </c>
      <c r="X86" s="189">
        <f>IFERROR(__xludf.DUMMYFUNCTION("""COMPUTED_VALUE"""),4.0)</f>
        <v>4</v>
      </c>
      <c r="Y86" s="189" t="str">
        <f>IFERROR(__xludf.DUMMYFUNCTION("""COMPUTED_VALUE"""),"2025-07-27T00:00:00.000Z")</f>
        <v>2025-07-27T00:00:00.000Z</v>
      </c>
      <c r="Z86" s="189" t="str">
        <f>IFERROR(__xludf.DUMMYFUNCTION("""COMPUTED_VALUE"""),"KOI Fénix_Sunset")</f>
        <v>KOI Fénix_Sunset</v>
      </c>
    </row>
    <row r="87">
      <c r="A87" s="189">
        <f>IFERROR(__xludf.DUMMYFUNCTION("""COMPUTED_VALUE"""),211061.0)</f>
        <v>211061</v>
      </c>
      <c r="B87" s="189">
        <f>IFERROR(__xludf.DUMMYFUNCTION("""COMPUTED_VALUE"""),92835.0)</f>
        <v>92835</v>
      </c>
      <c r="C87" s="189" t="str">
        <f>IFERROR(__xludf.DUMMYFUNCTION("""COMPUTED_VALUE"""),"Challengers League 2025 NORTH EAST: Split 3 - Playoffs")</f>
        <v>Challengers League 2025 NORTH EAST: Split 3 - Playoffs</v>
      </c>
      <c r="D87" s="189" t="str">
        <f>IFERROR(__xludf.DUMMYFUNCTION("""COMPUTED_VALUE"""),"Lotus")</f>
        <v>Lotus</v>
      </c>
      <c r="E87" s="189" t="str">
        <f>IFERROR(__xludf.DUMMYFUNCTION("""COMPUTED_VALUE"""),"Enterprise Esports")</f>
        <v>Enterprise Esports</v>
      </c>
      <c r="F87" s="189" t="str">
        <f>IFERROR(__xludf.DUMMYFUNCTION("""COMPUTED_VALUE"""),"Pixel Lumina")</f>
        <v>Pixel Lumina</v>
      </c>
      <c r="G87" s="189" t="str">
        <f>IFERROR(__xludf.DUMMYFUNCTION("""COMPUTED_VALUE"""),"Breach,Cypher,Omen,Neon,Fade")</f>
        <v>Breach,Cypher,Omen,Neon,Fade</v>
      </c>
      <c r="H87" s="189" t="str">
        <f>IFERROR(__xludf.DUMMYFUNCTION("""COMPUTED_VALUE"""),"Cypher,Omen,KAY/O,Neon,Fade")</f>
        <v>Cypher,Omen,KAY/O,Neon,Fade</v>
      </c>
      <c r="I87" s="189">
        <f>IFERROR(__xludf.DUMMYFUNCTION("""COMPUTED_VALUE"""),13.0)</f>
        <v>13</v>
      </c>
      <c r="J87" s="189">
        <f>IFERROR(__xludf.DUMMYFUNCTION("""COMPUTED_VALUE"""),10.0)</f>
        <v>10</v>
      </c>
      <c r="K87" s="189">
        <f>IFERROR(__xludf.DUMMYFUNCTION("""COMPUTED_VALUE"""),9.0)</f>
        <v>9</v>
      </c>
      <c r="L87" s="189">
        <f>IFERROR(__xludf.DUMMYFUNCTION("""COMPUTED_VALUE"""),3.0)</f>
        <v>3</v>
      </c>
      <c r="M87" s="189">
        <f>IFERROR(__xludf.DUMMYFUNCTION("""COMPUTED_VALUE"""),0.0)</f>
        <v>0</v>
      </c>
      <c r="N87" s="189">
        <f>IFERROR(__xludf.DUMMYFUNCTION("""COMPUTED_VALUE"""),1.0)</f>
        <v>1</v>
      </c>
      <c r="O87" s="189">
        <f>IFERROR(__xludf.DUMMYFUNCTION("""COMPUTED_VALUE"""),4.0)</f>
        <v>4</v>
      </c>
      <c r="P87" s="189">
        <f>IFERROR(__xludf.DUMMYFUNCTION("""COMPUTED_VALUE"""),7.0)</f>
        <v>7</v>
      </c>
      <c r="Q87" s="189">
        <f>IFERROR(__xludf.DUMMYFUNCTION("""COMPUTED_VALUE"""),9.0)</f>
        <v>9</v>
      </c>
      <c r="R87" s="189">
        <f>IFERROR(__xludf.DUMMYFUNCTION("""COMPUTED_VALUE"""),3.0)</f>
        <v>3</v>
      </c>
      <c r="S87" s="189">
        <f>IFERROR(__xludf.DUMMYFUNCTION("""COMPUTED_VALUE"""),0.0)</f>
        <v>0</v>
      </c>
      <c r="T87" s="189">
        <f>IFERROR(__xludf.DUMMYFUNCTION("""COMPUTED_VALUE"""),1.0)</f>
        <v>1</v>
      </c>
      <c r="U87" s="189">
        <f>IFERROR(__xludf.DUMMYFUNCTION("""COMPUTED_VALUE"""),3.0)</f>
        <v>3</v>
      </c>
      <c r="V87" s="189">
        <f>IFERROR(__xludf.DUMMYFUNCTION("""COMPUTED_VALUE"""),9.0)</f>
        <v>9</v>
      </c>
      <c r="W87" s="189">
        <f>IFERROR(__xludf.DUMMYFUNCTION("""COMPUTED_VALUE"""),7.0)</f>
        <v>7</v>
      </c>
      <c r="X87" s="189">
        <f>IFERROR(__xludf.DUMMYFUNCTION("""COMPUTED_VALUE"""),4.0)</f>
        <v>4</v>
      </c>
      <c r="Y87" s="189" t="str">
        <f>IFERROR(__xludf.DUMMYFUNCTION("""COMPUTED_VALUE"""),"2025-07-27T00:00:00.000Z")</f>
        <v>2025-07-27T00:00:00.000Z</v>
      </c>
      <c r="Z87" s="189" t="str">
        <f>IFERROR(__xludf.DUMMYFUNCTION("""COMPUTED_VALUE"""),"Enterprise Esports_Lotus")</f>
        <v>Enterprise Esports_Lotus</v>
      </c>
    </row>
    <row r="88">
      <c r="A88" s="189">
        <f>IFERROR(__xludf.DUMMYFUNCTION("""COMPUTED_VALUE"""),210891.0)</f>
        <v>210891</v>
      </c>
      <c r="B88" s="189">
        <f>IFERROR(__xludf.DUMMYFUNCTION("""COMPUTED_VALUE"""),92753.0)</f>
        <v>92753</v>
      </c>
      <c r="C88" s="189" t="str">
        <f>IFERROR(__xludf.DUMMYFUNCTION("""COMPUTED_VALUE"""),"Challengers League 2025 Spain Rising: Split 3 - Playoffs")</f>
        <v>Challengers League 2025 Spain Rising: Split 3 - Playoffs</v>
      </c>
      <c r="D88" s="189" t="str">
        <f>IFERROR(__xludf.DUMMYFUNCTION("""COMPUTED_VALUE"""),"Corrode")</f>
        <v>Corrode</v>
      </c>
      <c r="E88" s="189" t="str">
        <f>IFERROR(__xludf.DUMMYFUNCTION("""COMPUTED_VALUE"""),"KOI Fénix")</f>
        <v>KOI Fénix</v>
      </c>
      <c r="F88" s="189" t="str">
        <f>IFERROR(__xludf.DUMMYFUNCTION("""COMPUTED_VALUE"""),"Barça eSports")</f>
        <v>Barça eSports</v>
      </c>
      <c r="G88" s="189" t="str">
        <f>IFERROR(__xludf.DUMMYFUNCTION("""COMPUTED_VALUE"""),"Omen,Chamber,Neon,Fade,Vyse")</f>
        <v>Omen,Chamber,Neon,Fade,Vyse</v>
      </c>
      <c r="H88" s="189" t="str">
        <f>IFERROR(__xludf.DUMMYFUNCTION("""COMPUTED_VALUE"""),"Viper,Omen,Fade,Vyse,Waylay")</f>
        <v>Viper,Omen,Fade,Vyse,Waylay</v>
      </c>
      <c r="I88" s="189">
        <f>IFERROR(__xludf.DUMMYFUNCTION("""COMPUTED_VALUE"""),13.0)</f>
        <v>13</v>
      </c>
      <c r="J88" s="189">
        <f>IFERROR(__xludf.DUMMYFUNCTION("""COMPUTED_VALUE"""),6.0)</f>
        <v>6</v>
      </c>
      <c r="K88" s="189">
        <f>IFERROR(__xludf.DUMMYFUNCTION("""COMPUTED_VALUE"""),11.0)</f>
        <v>11</v>
      </c>
      <c r="L88" s="189">
        <f>IFERROR(__xludf.DUMMYFUNCTION("""COMPUTED_VALUE"""),1.0)</f>
        <v>1</v>
      </c>
      <c r="M88" s="189">
        <f>IFERROR(__xludf.DUMMYFUNCTION("""COMPUTED_VALUE"""),1.0)</f>
        <v>1</v>
      </c>
      <c r="N88" s="189">
        <f>IFERROR(__xludf.DUMMYFUNCTION("""COMPUTED_VALUE"""),0.0)</f>
        <v>0</v>
      </c>
      <c r="O88" s="189">
        <f>IFERROR(__xludf.DUMMYFUNCTION("""COMPUTED_VALUE"""),11.0)</f>
        <v>11</v>
      </c>
      <c r="P88" s="189">
        <f>IFERROR(__xludf.DUMMYFUNCTION("""COMPUTED_VALUE"""),1.0)</f>
        <v>1</v>
      </c>
      <c r="Q88" s="189">
        <f>IFERROR(__xludf.DUMMYFUNCTION("""COMPUTED_VALUE"""),2.0)</f>
        <v>2</v>
      </c>
      <c r="R88" s="189">
        <f>IFERROR(__xludf.DUMMYFUNCTION("""COMPUTED_VALUE"""),5.0)</f>
        <v>5</v>
      </c>
      <c r="S88" s="189">
        <f>IFERROR(__xludf.DUMMYFUNCTION("""COMPUTED_VALUE"""),1.0)</f>
        <v>1</v>
      </c>
      <c r="T88" s="189">
        <f>IFERROR(__xludf.DUMMYFUNCTION("""COMPUTED_VALUE"""),0.0)</f>
        <v>0</v>
      </c>
      <c r="U88" s="189">
        <f>IFERROR(__xludf.DUMMYFUNCTION("""COMPUTED_VALUE"""),5.0)</f>
        <v>5</v>
      </c>
      <c r="V88" s="189">
        <f>IFERROR(__xludf.DUMMYFUNCTION("""COMPUTED_VALUE"""),2.0)</f>
        <v>2</v>
      </c>
      <c r="W88" s="189">
        <f>IFERROR(__xludf.DUMMYFUNCTION("""COMPUTED_VALUE"""),1.0)</f>
        <v>1</v>
      </c>
      <c r="X88" s="189">
        <f>IFERROR(__xludf.DUMMYFUNCTION("""COMPUTED_VALUE"""),11.0)</f>
        <v>11</v>
      </c>
      <c r="Y88" s="189" t="str">
        <f>IFERROR(__xludf.DUMMYFUNCTION("""COMPUTED_VALUE"""),"2025-07-27T00:00:00.000Z")</f>
        <v>2025-07-27T00:00:00.000Z</v>
      </c>
      <c r="Z88" s="189" t="str">
        <f>IFERROR(__xludf.DUMMYFUNCTION("""COMPUTED_VALUE"""),"KOI Fénix_Corrode")</f>
        <v>KOI Fénix_Corrode</v>
      </c>
    </row>
    <row r="89">
      <c r="A89" s="189">
        <f>IFERROR(__xludf.DUMMYFUNCTION("""COMPUTED_VALUE"""),211060.0)</f>
        <v>211060</v>
      </c>
      <c r="B89" s="189">
        <f>IFERROR(__xludf.DUMMYFUNCTION("""COMPUTED_VALUE"""),92835.0)</f>
        <v>92835</v>
      </c>
      <c r="C89" s="189" t="str">
        <f>IFERROR(__xludf.DUMMYFUNCTION("""COMPUTED_VALUE"""),"Challengers League 2025 NORTH EAST: Split 3 - Playoffs")</f>
        <v>Challengers League 2025 NORTH EAST: Split 3 - Playoffs</v>
      </c>
      <c r="D89" s="189" t="str">
        <f>IFERROR(__xludf.DUMMYFUNCTION("""COMPUTED_VALUE"""),"Haven")</f>
        <v>Haven</v>
      </c>
      <c r="E89" s="189" t="str">
        <f>IFERROR(__xludf.DUMMYFUNCTION("""COMPUTED_VALUE"""),"Enterprise Esports")</f>
        <v>Enterprise Esports</v>
      </c>
      <c r="F89" s="189" t="str">
        <f>IFERROR(__xludf.DUMMYFUNCTION("""COMPUTED_VALUE"""),"Pixel Lumina")</f>
        <v>Pixel Lumina</v>
      </c>
      <c r="G89" s="189" t="str">
        <f>IFERROR(__xludf.DUMMYFUNCTION("""COMPUTED_VALUE"""),"Sova,Killjoy,Viper,Omen,Neon")</f>
        <v>Sova,Killjoy,Viper,Omen,Neon</v>
      </c>
      <c r="H89" s="189" t="str">
        <f>IFERROR(__xludf.DUMMYFUNCTION("""COMPUTED_VALUE"""),"Cypher,Sova,Omen,Yoru,Iso")</f>
        <v>Cypher,Sova,Omen,Yoru,Iso</v>
      </c>
      <c r="I89" s="189">
        <f>IFERROR(__xludf.DUMMYFUNCTION("""COMPUTED_VALUE"""),13.0)</f>
        <v>13</v>
      </c>
      <c r="J89" s="189">
        <f>IFERROR(__xludf.DUMMYFUNCTION("""COMPUTED_VALUE"""),2.0)</f>
        <v>2</v>
      </c>
      <c r="K89" s="189">
        <f>IFERROR(__xludf.DUMMYFUNCTION("""COMPUTED_VALUE"""),10.0)</f>
        <v>10</v>
      </c>
      <c r="L89" s="189">
        <f>IFERROR(__xludf.DUMMYFUNCTION("""COMPUTED_VALUE"""),2.0)</f>
        <v>2</v>
      </c>
      <c r="M89" s="189">
        <f>IFERROR(__xludf.DUMMYFUNCTION("""COMPUTED_VALUE"""),1.0)</f>
        <v>1</v>
      </c>
      <c r="N89" s="189">
        <f>IFERROR(__xludf.DUMMYFUNCTION("""COMPUTED_VALUE"""),1.0)</f>
        <v>1</v>
      </c>
      <c r="O89" s="189">
        <f>IFERROR(__xludf.DUMMYFUNCTION("""COMPUTED_VALUE"""),3.0)</f>
        <v>3</v>
      </c>
      <c r="P89" s="189">
        <f>IFERROR(__xludf.DUMMYFUNCTION("""COMPUTED_VALUE"""),0.0)</f>
        <v>0</v>
      </c>
      <c r="Q89" s="189">
        <f>IFERROR(__xludf.DUMMYFUNCTION("""COMPUTED_VALUE"""),10.0)</f>
        <v>10</v>
      </c>
      <c r="R89" s="189">
        <f>IFERROR(__xludf.DUMMYFUNCTION("""COMPUTED_VALUE"""),2.0)</f>
        <v>2</v>
      </c>
      <c r="S89" s="189">
        <f>IFERROR(__xludf.DUMMYFUNCTION("""COMPUTED_VALUE"""),0.0)</f>
        <v>0</v>
      </c>
      <c r="T89" s="189">
        <f>IFERROR(__xludf.DUMMYFUNCTION("""COMPUTED_VALUE"""),0.0)</f>
        <v>0</v>
      </c>
      <c r="U89" s="189">
        <f>IFERROR(__xludf.DUMMYFUNCTION("""COMPUTED_VALUE"""),2.0)</f>
        <v>2</v>
      </c>
      <c r="V89" s="189">
        <f>IFERROR(__xludf.DUMMYFUNCTION("""COMPUTED_VALUE"""),10.0)</f>
        <v>10</v>
      </c>
      <c r="W89" s="189">
        <f>IFERROR(__xludf.DUMMYFUNCTION("""COMPUTED_VALUE"""),0.0)</f>
        <v>0</v>
      </c>
      <c r="X89" s="189">
        <f>IFERROR(__xludf.DUMMYFUNCTION("""COMPUTED_VALUE"""),3.0)</f>
        <v>3</v>
      </c>
      <c r="Y89" s="189" t="str">
        <f>IFERROR(__xludf.DUMMYFUNCTION("""COMPUTED_VALUE"""),"2025-07-27T00:00:00.000Z")</f>
        <v>2025-07-27T00:00:00.000Z</v>
      </c>
      <c r="Z89" s="189" t="str">
        <f>IFERROR(__xludf.DUMMYFUNCTION("""COMPUTED_VALUE"""),"Enterprise Esports_Haven")</f>
        <v>Enterprise Esports_Haven</v>
      </c>
    </row>
    <row r="90">
      <c r="A90" s="189">
        <f>IFERROR(__xludf.DUMMYFUNCTION("""COMPUTED_VALUE"""),210895.0)</f>
        <v>210895</v>
      </c>
      <c r="B90" s="189">
        <f>IFERROR(__xludf.DUMMYFUNCTION("""COMPUTED_VALUE"""),92754.0)</f>
        <v>92754</v>
      </c>
      <c r="C90" s="189" t="str">
        <f>IFERROR(__xludf.DUMMYFUNCTION("""COMPUTED_VALUE"""),"Challengers League 2025 Spain Rising: Split 3 - Playoffs")</f>
        <v>Challengers League 2025 Spain Rising: Split 3 - Playoffs</v>
      </c>
      <c r="D90" s="189" t="str">
        <f>IFERROR(__xludf.DUMMYFUNCTION("""COMPUTED_VALUE"""),"Haven")</f>
        <v>Haven</v>
      </c>
      <c r="E90" s="189" t="str">
        <f>IFERROR(__xludf.DUMMYFUNCTION("""COMPUTED_VALUE"""),"DNSTY")</f>
        <v>DNSTY</v>
      </c>
      <c r="F90" s="189" t="str">
        <f>IFERROR(__xludf.DUMMYFUNCTION("""COMPUTED_VALUE"""),"Ramboot Club")</f>
        <v>Ramboot Club</v>
      </c>
      <c r="G90" s="189" t="str">
        <f>IFERROR(__xludf.DUMMYFUNCTION("""COMPUTED_VALUE"""),"Sova,Killjoy,Viper,Omen,Neon")</f>
        <v>Sova,Killjoy,Viper,Omen,Neon</v>
      </c>
      <c r="H90" s="189" t="str">
        <f>IFERROR(__xludf.DUMMYFUNCTION("""COMPUTED_VALUE"""),"Cypher,Sova,Omen,Yoru,Iso")</f>
        <v>Cypher,Sova,Omen,Yoru,Iso</v>
      </c>
      <c r="I90" s="189">
        <f>IFERROR(__xludf.DUMMYFUNCTION("""COMPUTED_VALUE"""),8.0)</f>
        <v>8</v>
      </c>
      <c r="J90" s="189">
        <f>IFERROR(__xludf.DUMMYFUNCTION("""COMPUTED_VALUE"""),13.0)</f>
        <v>13</v>
      </c>
      <c r="K90" s="189">
        <f>IFERROR(__xludf.DUMMYFUNCTION("""COMPUTED_VALUE"""),1.0)</f>
        <v>1</v>
      </c>
      <c r="L90" s="189">
        <f>IFERROR(__xludf.DUMMYFUNCTION("""COMPUTED_VALUE"""),11.0)</f>
        <v>11</v>
      </c>
      <c r="M90" s="189">
        <f>IFERROR(__xludf.DUMMYFUNCTION("""COMPUTED_VALUE"""),0.0)</f>
        <v>0</v>
      </c>
      <c r="N90" s="189">
        <f>IFERROR(__xludf.DUMMYFUNCTION("""COMPUTED_VALUE"""),1.0)</f>
        <v>1</v>
      </c>
      <c r="O90" s="189">
        <f>IFERROR(__xludf.DUMMYFUNCTION("""COMPUTED_VALUE"""),1.0)</f>
        <v>1</v>
      </c>
      <c r="P90" s="189">
        <f>IFERROR(__xludf.DUMMYFUNCTION("""COMPUTED_VALUE"""),11.0)</f>
        <v>11</v>
      </c>
      <c r="Q90" s="189">
        <f>IFERROR(__xludf.DUMMYFUNCTION("""COMPUTED_VALUE"""),7.0)</f>
        <v>7</v>
      </c>
      <c r="R90" s="189">
        <f>IFERROR(__xludf.DUMMYFUNCTION("""COMPUTED_VALUE"""),2.0)</f>
        <v>2</v>
      </c>
      <c r="S90" s="189">
        <f>IFERROR(__xludf.DUMMYFUNCTION("""COMPUTED_VALUE"""),0.0)</f>
        <v>0</v>
      </c>
      <c r="T90" s="189">
        <f>IFERROR(__xludf.DUMMYFUNCTION("""COMPUTED_VALUE"""),1.0)</f>
        <v>1</v>
      </c>
      <c r="U90" s="189">
        <f>IFERROR(__xludf.DUMMYFUNCTION("""COMPUTED_VALUE"""),2.0)</f>
        <v>2</v>
      </c>
      <c r="V90" s="189">
        <f>IFERROR(__xludf.DUMMYFUNCTION("""COMPUTED_VALUE"""),7.0)</f>
        <v>7</v>
      </c>
      <c r="W90" s="189">
        <f>IFERROR(__xludf.DUMMYFUNCTION("""COMPUTED_VALUE"""),11.0)</f>
        <v>11</v>
      </c>
      <c r="X90" s="189">
        <f>IFERROR(__xludf.DUMMYFUNCTION("""COMPUTED_VALUE"""),1.0)</f>
        <v>1</v>
      </c>
      <c r="Y90" s="189" t="str">
        <f>IFERROR(__xludf.DUMMYFUNCTION("""COMPUTED_VALUE"""),"2025-07-27T00:00:00.000Z")</f>
        <v>2025-07-27T00:00:00.000Z</v>
      </c>
      <c r="Z90" s="189" t="str">
        <f>IFERROR(__xludf.DUMMYFUNCTION("""COMPUTED_VALUE"""),"DNSTY_Haven")</f>
        <v>DNSTY_Haven</v>
      </c>
    </row>
    <row r="91">
      <c r="A91" s="189">
        <f>IFERROR(__xludf.DUMMYFUNCTION("""COMPUTED_VALUE"""),211059.0)</f>
        <v>211059</v>
      </c>
      <c r="B91" s="189">
        <f>IFERROR(__xludf.DUMMYFUNCTION("""COMPUTED_VALUE"""),92835.0)</f>
        <v>92835</v>
      </c>
      <c r="C91" s="189" t="str">
        <f>IFERROR(__xludf.DUMMYFUNCTION("""COMPUTED_VALUE"""),"Challengers League 2025 NORTH EAST: Split 3 - Playoffs")</f>
        <v>Challengers League 2025 NORTH EAST: Split 3 - Playoffs</v>
      </c>
      <c r="D91" s="189" t="str">
        <f>IFERROR(__xludf.DUMMYFUNCTION("""COMPUTED_VALUE"""),"Ascent")</f>
        <v>Ascent</v>
      </c>
      <c r="E91" s="189" t="str">
        <f>IFERROR(__xludf.DUMMYFUNCTION("""COMPUTED_VALUE"""),"Enterprise Esports")</f>
        <v>Enterprise Esports</v>
      </c>
      <c r="F91" s="189" t="str">
        <f>IFERROR(__xludf.DUMMYFUNCTION("""COMPUTED_VALUE"""),"Pixel Lumina")</f>
        <v>Pixel Lumina</v>
      </c>
      <c r="G91" s="189" t="str">
        <f>IFERROR(__xludf.DUMMYFUNCTION("""COMPUTED_VALUE"""),"Cypher,Sova,Omen,Jett,KAY/O")</f>
        <v>Cypher,Sova,Omen,Jett,KAY/O</v>
      </c>
      <c r="H91" s="189" t="str">
        <f>IFERROR(__xludf.DUMMYFUNCTION("""COMPUTED_VALUE"""),"Cypher,Sova,Omen,Jett,KAY/O")</f>
        <v>Cypher,Sova,Omen,Jett,KAY/O</v>
      </c>
      <c r="I91" s="189">
        <f>IFERROR(__xludf.DUMMYFUNCTION("""COMPUTED_VALUE"""),9.0)</f>
        <v>9</v>
      </c>
      <c r="J91" s="189">
        <f>IFERROR(__xludf.DUMMYFUNCTION("""COMPUTED_VALUE"""),13.0)</f>
        <v>13</v>
      </c>
      <c r="K91" s="189">
        <f>IFERROR(__xludf.DUMMYFUNCTION("""COMPUTED_VALUE"""),6.0)</f>
        <v>6</v>
      </c>
      <c r="L91" s="189">
        <f>IFERROR(__xludf.DUMMYFUNCTION("""COMPUTED_VALUE"""),6.0)</f>
        <v>6</v>
      </c>
      <c r="M91" s="189">
        <f>IFERROR(__xludf.DUMMYFUNCTION("""COMPUTED_VALUE"""),1.0)</f>
        <v>1</v>
      </c>
      <c r="N91" s="189">
        <f>IFERROR(__xludf.DUMMYFUNCTION("""COMPUTED_VALUE"""),0.0)</f>
        <v>0</v>
      </c>
      <c r="O91" s="189">
        <f>IFERROR(__xludf.DUMMYFUNCTION("""COMPUTED_VALUE"""),6.0)</f>
        <v>6</v>
      </c>
      <c r="P91" s="189">
        <f>IFERROR(__xludf.DUMMYFUNCTION("""COMPUTED_VALUE"""),6.0)</f>
        <v>6</v>
      </c>
      <c r="Q91" s="189">
        <f>IFERROR(__xludf.DUMMYFUNCTION("""COMPUTED_VALUE"""),3.0)</f>
        <v>3</v>
      </c>
      <c r="R91" s="189">
        <f>IFERROR(__xludf.DUMMYFUNCTION("""COMPUTED_VALUE"""),7.0)</f>
        <v>7</v>
      </c>
      <c r="S91" s="189">
        <f>IFERROR(__xludf.DUMMYFUNCTION("""COMPUTED_VALUE"""),1.0)</f>
        <v>1</v>
      </c>
      <c r="T91" s="189">
        <f>IFERROR(__xludf.DUMMYFUNCTION("""COMPUTED_VALUE"""),0.0)</f>
        <v>0</v>
      </c>
      <c r="U91" s="189">
        <f>IFERROR(__xludf.DUMMYFUNCTION("""COMPUTED_VALUE"""),7.0)</f>
        <v>7</v>
      </c>
      <c r="V91" s="189">
        <f>IFERROR(__xludf.DUMMYFUNCTION("""COMPUTED_VALUE"""),3.0)</f>
        <v>3</v>
      </c>
      <c r="W91" s="189">
        <f>IFERROR(__xludf.DUMMYFUNCTION("""COMPUTED_VALUE"""),6.0)</f>
        <v>6</v>
      </c>
      <c r="X91" s="189">
        <f>IFERROR(__xludf.DUMMYFUNCTION("""COMPUTED_VALUE"""),6.0)</f>
        <v>6</v>
      </c>
      <c r="Y91" s="189" t="str">
        <f>IFERROR(__xludf.DUMMYFUNCTION("""COMPUTED_VALUE"""),"2025-07-27T00:00:00.000Z")</f>
        <v>2025-07-27T00:00:00.000Z</v>
      </c>
      <c r="Z91" s="189" t="str">
        <f>IFERROR(__xludf.DUMMYFUNCTION("""COMPUTED_VALUE"""),"Enterprise Esports_Ascent")</f>
        <v>Enterprise Esports_Ascent</v>
      </c>
    </row>
    <row r="92">
      <c r="A92" s="189">
        <f>IFERROR(__xludf.DUMMYFUNCTION("""COMPUTED_VALUE"""),210894.0)</f>
        <v>210894</v>
      </c>
      <c r="B92" s="189">
        <f>IFERROR(__xludf.DUMMYFUNCTION("""COMPUTED_VALUE"""),92754.0)</f>
        <v>92754</v>
      </c>
      <c r="C92" s="189" t="str">
        <f>IFERROR(__xludf.DUMMYFUNCTION("""COMPUTED_VALUE"""),"Challengers League 2025 Spain Rising: Split 3 - Playoffs")</f>
        <v>Challengers League 2025 Spain Rising: Split 3 - Playoffs</v>
      </c>
      <c r="D92" s="189" t="str">
        <f>IFERROR(__xludf.DUMMYFUNCTION("""COMPUTED_VALUE"""),"Ascent")</f>
        <v>Ascent</v>
      </c>
      <c r="E92" s="189" t="str">
        <f>IFERROR(__xludf.DUMMYFUNCTION("""COMPUTED_VALUE"""),"DNSTY")</f>
        <v>DNSTY</v>
      </c>
      <c r="F92" s="189" t="str">
        <f>IFERROR(__xludf.DUMMYFUNCTION("""COMPUTED_VALUE"""),"Ramboot Club")</f>
        <v>Ramboot Club</v>
      </c>
      <c r="G92" s="189" t="str">
        <f>IFERROR(__xludf.DUMMYFUNCTION("""COMPUTED_VALUE"""),"Sova,Killjoy,Omen,Jett,KAY/O")</f>
        <v>Sova,Killjoy,Omen,Jett,KAY/O</v>
      </c>
      <c r="H92" s="189" t="str">
        <f>IFERROR(__xludf.DUMMYFUNCTION("""COMPUTED_VALUE"""),"Cypher,Sova,Omen,Jett,Yoru")</f>
        <v>Cypher,Sova,Omen,Jett,Yoru</v>
      </c>
      <c r="I92" s="189">
        <f>IFERROR(__xludf.DUMMYFUNCTION("""COMPUTED_VALUE"""),7.0)</f>
        <v>7</v>
      </c>
      <c r="J92" s="189">
        <f>IFERROR(__xludf.DUMMYFUNCTION("""COMPUTED_VALUE"""),13.0)</f>
        <v>13</v>
      </c>
      <c r="K92" s="189">
        <f>IFERROR(__xludf.DUMMYFUNCTION("""COMPUTED_VALUE"""),7.0)</f>
        <v>7</v>
      </c>
      <c r="L92" s="189">
        <f>IFERROR(__xludf.DUMMYFUNCTION("""COMPUTED_VALUE"""),5.0)</f>
        <v>5</v>
      </c>
      <c r="M92" s="189">
        <f>IFERROR(__xludf.DUMMYFUNCTION("""COMPUTED_VALUE"""),0.0)</f>
        <v>0</v>
      </c>
      <c r="N92" s="189">
        <f>IFERROR(__xludf.DUMMYFUNCTION("""COMPUTED_VALUE"""),1.0)</f>
        <v>1</v>
      </c>
      <c r="O92" s="189">
        <f>IFERROR(__xludf.DUMMYFUNCTION("""COMPUTED_VALUE"""),0.0)</f>
        <v>0</v>
      </c>
      <c r="P92" s="189">
        <f>IFERROR(__xludf.DUMMYFUNCTION("""COMPUTED_VALUE"""),8.0)</f>
        <v>8</v>
      </c>
      <c r="Q92" s="189">
        <f>IFERROR(__xludf.DUMMYFUNCTION("""COMPUTED_VALUE"""),7.0)</f>
        <v>7</v>
      </c>
      <c r="R92" s="189">
        <f>IFERROR(__xludf.DUMMYFUNCTION("""COMPUTED_VALUE"""),5.0)</f>
        <v>5</v>
      </c>
      <c r="S92" s="189">
        <f>IFERROR(__xludf.DUMMYFUNCTION("""COMPUTED_VALUE"""),0.0)</f>
        <v>0</v>
      </c>
      <c r="T92" s="189">
        <f>IFERROR(__xludf.DUMMYFUNCTION("""COMPUTED_VALUE"""),1.0)</f>
        <v>1</v>
      </c>
      <c r="U92" s="189">
        <f>IFERROR(__xludf.DUMMYFUNCTION("""COMPUTED_VALUE"""),5.0)</f>
        <v>5</v>
      </c>
      <c r="V92" s="189">
        <f>IFERROR(__xludf.DUMMYFUNCTION("""COMPUTED_VALUE"""),7.0)</f>
        <v>7</v>
      </c>
      <c r="W92" s="189">
        <f>IFERROR(__xludf.DUMMYFUNCTION("""COMPUTED_VALUE"""),8.0)</f>
        <v>8</v>
      </c>
      <c r="X92" s="189">
        <f>IFERROR(__xludf.DUMMYFUNCTION("""COMPUTED_VALUE"""),0.0)</f>
        <v>0</v>
      </c>
      <c r="Y92" s="189" t="str">
        <f>IFERROR(__xludf.DUMMYFUNCTION("""COMPUTED_VALUE"""),"2025-07-27T00:00:00.000Z")</f>
        <v>2025-07-27T00:00:00.000Z</v>
      </c>
      <c r="Z92" s="189" t="str">
        <f>IFERROR(__xludf.DUMMYFUNCTION("""COMPUTED_VALUE"""),"DNSTY_Ascent")</f>
        <v>DNSTY_Ascent</v>
      </c>
    </row>
    <row r="93">
      <c r="A93" s="189">
        <f>IFERROR(__xludf.DUMMYFUNCTION("""COMPUTED_VALUE"""),210877.0)</f>
        <v>210877</v>
      </c>
      <c r="B93" s="189">
        <f>IFERROR(__xludf.DUMMYFUNCTION("""COMPUTED_VALUE"""),92748.0)</f>
        <v>92748</v>
      </c>
      <c r="C93" s="189" t="str">
        <f>IFERROR(__xludf.DUMMYFUNCTION("""COMPUTED_VALUE"""),"Challengers League 2025 DACH: Evolution Stage 3 - Play-Ins")</f>
        <v>Challengers League 2025 DACH: Evolution Stage 3 - Play-Ins</v>
      </c>
      <c r="D93" s="189" t="str">
        <f>IFERROR(__xludf.DUMMYFUNCTION("""COMPUTED_VALUE"""),"Haven")</f>
        <v>Haven</v>
      </c>
      <c r="E93" s="189" t="str">
        <f>IFERROR(__xludf.DUMMYFUNCTION("""COMPUTED_VALUE"""),"MOUZ")</f>
        <v>MOUZ</v>
      </c>
      <c r="F93" s="189" t="str">
        <f>IFERROR(__xludf.DUMMYFUNCTION("""COMPUTED_VALUE"""),"6GPA")</f>
        <v>6GPA</v>
      </c>
      <c r="G93" s="189" t="str">
        <f>IFERROR(__xludf.DUMMYFUNCTION("""COMPUTED_VALUE"""),"Cypher,Sova,Omen,Yoru,Iso")</f>
        <v>Cypher,Sova,Omen,Yoru,Iso</v>
      </c>
      <c r="H93" s="189" t="str">
        <f>IFERROR(__xludf.DUMMYFUNCTION("""COMPUTED_VALUE"""),"Sova,Killjoy,Viper,Omen,Yoru")</f>
        <v>Sova,Killjoy,Viper,Omen,Yoru</v>
      </c>
      <c r="I93" s="189">
        <f>IFERROR(__xludf.DUMMYFUNCTION("""COMPUTED_VALUE"""),13.0)</f>
        <v>13</v>
      </c>
      <c r="J93" s="189">
        <f>IFERROR(__xludf.DUMMYFUNCTION("""COMPUTED_VALUE"""),1.0)</f>
        <v>1</v>
      </c>
      <c r="K93" s="189">
        <f>IFERROR(__xludf.DUMMYFUNCTION("""COMPUTED_VALUE"""),11.0)</f>
        <v>11</v>
      </c>
      <c r="L93" s="189">
        <f>IFERROR(__xludf.DUMMYFUNCTION("""COMPUTED_VALUE"""),1.0)</f>
        <v>1</v>
      </c>
      <c r="M93" s="189">
        <f>IFERROR(__xludf.DUMMYFUNCTION("""COMPUTED_VALUE"""),1.0)</f>
        <v>1</v>
      </c>
      <c r="N93" s="189">
        <f>IFERROR(__xludf.DUMMYFUNCTION("""COMPUTED_VALUE"""),1.0)</f>
        <v>1</v>
      </c>
      <c r="O93" s="189">
        <f>IFERROR(__xludf.DUMMYFUNCTION("""COMPUTED_VALUE"""),11.0)</f>
        <v>11</v>
      </c>
      <c r="P93" s="189">
        <f>IFERROR(__xludf.DUMMYFUNCTION("""COMPUTED_VALUE"""),1.0)</f>
        <v>1</v>
      </c>
      <c r="Q93" s="189">
        <f>IFERROR(__xludf.DUMMYFUNCTION("""COMPUTED_VALUE"""),2.0)</f>
        <v>2</v>
      </c>
      <c r="R93" s="189">
        <f>IFERROR(__xludf.DUMMYFUNCTION("""COMPUTED_VALUE"""),0.0)</f>
        <v>0</v>
      </c>
      <c r="S93" s="189">
        <f>IFERROR(__xludf.DUMMYFUNCTION("""COMPUTED_VALUE"""),0.0)</f>
        <v>0</v>
      </c>
      <c r="T93" s="189">
        <f>IFERROR(__xludf.DUMMYFUNCTION("""COMPUTED_VALUE"""),0.0)</f>
        <v>0</v>
      </c>
      <c r="U93" s="189">
        <f>IFERROR(__xludf.DUMMYFUNCTION("""COMPUTED_VALUE"""),0.0)</f>
        <v>0</v>
      </c>
      <c r="V93" s="189">
        <f>IFERROR(__xludf.DUMMYFUNCTION("""COMPUTED_VALUE"""),2.0)</f>
        <v>2</v>
      </c>
      <c r="W93" s="189">
        <f>IFERROR(__xludf.DUMMYFUNCTION("""COMPUTED_VALUE"""),1.0)</f>
        <v>1</v>
      </c>
      <c r="X93" s="189">
        <f>IFERROR(__xludf.DUMMYFUNCTION("""COMPUTED_VALUE"""),11.0)</f>
        <v>11</v>
      </c>
      <c r="Y93" s="189" t="str">
        <f>IFERROR(__xludf.DUMMYFUNCTION("""COMPUTED_VALUE"""),"2025-07-27T00:00:00.000Z")</f>
        <v>2025-07-27T00:00:00.000Z</v>
      </c>
      <c r="Z93" s="189" t="str">
        <f>IFERROR(__xludf.DUMMYFUNCTION("""COMPUTED_VALUE"""),"MOUZ_Haven")</f>
        <v>MOUZ_Haven</v>
      </c>
    </row>
    <row r="94">
      <c r="A94" s="189">
        <f>IFERROR(__xludf.DUMMYFUNCTION("""COMPUTED_VALUE"""),210876.0)</f>
        <v>210876</v>
      </c>
      <c r="B94" s="189">
        <f>IFERROR(__xludf.DUMMYFUNCTION("""COMPUTED_VALUE"""),92748.0)</f>
        <v>92748</v>
      </c>
      <c r="C94" s="189" t="str">
        <f>IFERROR(__xludf.DUMMYFUNCTION("""COMPUTED_VALUE"""),"Challengers League 2025 DACH: Evolution Stage 3 - Play-Ins")</f>
        <v>Challengers League 2025 DACH: Evolution Stage 3 - Play-Ins</v>
      </c>
      <c r="D94" s="189" t="str">
        <f>IFERROR(__xludf.DUMMYFUNCTION("""COMPUTED_VALUE"""),"Bind")</f>
        <v>Bind</v>
      </c>
      <c r="E94" s="189" t="str">
        <f>IFERROR(__xludf.DUMMYFUNCTION("""COMPUTED_VALUE"""),"MOUZ")</f>
        <v>MOUZ</v>
      </c>
      <c r="F94" s="189" t="str">
        <f>IFERROR(__xludf.DUMMYFUNCTION("""COMPUTED_VALUE"""),"6GPA")</f>
        <v>6GPA</v>
      </c>
      <c r="G94" s="189" t="str">
        <f>IFERROR(__xludf.DUMMYFUNCTION("""COMPUTED_VALUE"""),"Raze,Viper,Brimstone,Yoru,Fade")</f>
        <v>Raze,Viper,Brimstone,Yoru,Fade</v>
      </c>
      <c r="H94" s="189" t="str">
        <f>IFERROR(__xludf.DUMMYFUNCTION("""COMPUTED_VALUE"""),"Raze,Viper,Brimstone,Yoru,Fade")</f>
        <v>Raze,Viper,Brimstone,Yoru,Fade</v>
      </c>
      <c r="I94" s="189">
        <f>IFERROR(__xludf.DUMMYFUNCTION("""COMPUTED_VALUE"""),13.0)</f>
        <v>13</v>
      </c>
      <c r="J94" s="189">
        <f>IFERROR(__xludf.DUMMYFUNCTION("""COMPUTED_VALUE"""),3.0)</f>
        <v>3</v>
      </c>
      <c r="K94" s="189">
        <f>IFERROR(__xludf.DUMMYFUNCTION("""COMPUTED_VALUE"""),9.0)</f>
        <v>9</v>
      </c>
      <c r="L94" s="189">
        <f>IFERROR(__xludf.DUMMYFUNCTION("""COMPUTED_VALUE"""),3.0)</f>
        <v>3</v>
      </c>
      <c r="M94" s="189">
        <f>IFERROR(__xludf.DUMMYFUNCTION("""COMPUTED_VALUE"""),1.0)</f>
        <v>1</v>
      </c>
      <c r="N94" s="189">
        <f>IFERROR(__xludf.DUMMYFUNCTION("""COMPUTED_VALUE"""),1.0)</f>
        <v>1</v>
      </c>
      <c r="O94" s="189">
        <f>IFERROR(__xludf.DUMMYFUNCTION("""COMPUTED_VALUE"""),4.0)</f>
        <v>4</v>
      </c>
      <c r="P94" s="189">
        <f>IFERROR(__xludf.DUMMYFUNCTION("""COMPUTED_VALUE"""),0.0)</f>
        <v>0</v>
      </c>
      <c r="Q94" s="189">
        <f>IFERROR(__xludf.DUMMYFUNCTION("""COMPUTED_VALUE"""),9.0)</f>
        <v>9</v>
      </c>
      <c r="R94" s="189">
        <f>IFERROR(__xludf.DUMMYFUNCTION("""COMPUTED_VALUE"""),3.0)</f>
        <v>3</v>
      </c>
      <c r="S94" s="189">
        <f>IFERROR(__xludf.DUMMYFUNCTION("""COMPUTED_VALUE"""),0.0)</f>
        <v>0</v>
      </c>
      <c r="T94" s="189">
        <f>IFERROR(__xludf.DUMMYFUNCTION("""COMPUTED_VALUE"""),0.0)</f>
        <v>0</v>
      </c>
      <c r="U94" s="189">
        <f>IFERROR(__xludf.DUMMYFUNCTION("""COMPUTED_VALUE"""),3.0)</f>
        <v>3</v>
      </c>
      <c r="V94" s="189">
        <f>IFERROR(__xludf.DUMMYFUNCTION("""COMPUTED_VALUE"""),9.0)</f>
        <v>9</v>
      </c>
      <c r="W94" s="189">
        <f>IFERROR(__xludf.DUMMYFUNCTION("""COMPUTED_VALUE"""),0.0)</f>
        <v>0</v>
      </c>
      <c r="X94" s="189">
        <f>IFERROR(__xludf.DUMMYFUNCTION("""COMPUTED_VALUE"""),4.0)</f>
        <v>4</v>
      </c>
      <c r="Y94" s="189" t="str">
        <f>IFERROR(__xludf.DUMMYFUNCTION("""COMPUTED_VALUE"""),"2025-07-27T00:00:00.000Z")</f>
        <v>2025-07-27T00:00:00.000Z</v>
      </c>
      <c r="Z94" s="189" t="str">
        <f>IFERROR(__xludf.DUMMYFUNCTION("""COMPUTED_VALUE"""),"MOUZ_Bind")</f>
        <v>MOUZ_Bind</v>
      </c>
    </row>
    <row r="95">
      <c r="A95" s="189">
        <f>IFERROR(__xludf.DUMMYFUNCTION("""COMPUTED_VALUE"""),210868.0)</f>
        <v>210868</v>
      </c>
      <c r="B95" s="189">
        <f>IFERROR(__xludf.DUMMYFUNCTION("""COMPUTED_VALUE"""),92745.0)</f>
        <v>92745</v>
      </c>
      <c r="C95" s="189" t="str">
        <f>IFERROR(__xludf.DUMMYFUNCTION("""COMPUTED_VALUE"""),"Challengers League 2025 DACH: Evolution Stage 3 - Play-Ins")</f>
        <v>Challengers League 2025 DACH: Evolution Stage 3 - Play-Ins</v>
      </c>
      <c r="D95" s="189" t="str">
        <f>IFERROR(__xludf.DUMMYFUNCTION("""COMPUTED_VALUE"""),"Sunset")</f>
        <v>Sunset</v>
      </c>
      <c r="E95" s="189" t="str">
        <f>IFERROR(__xludf.DUMMYFUNCTION("""COMPUTED_VALUE"""),"Eintracht Frankfurt")</f>
        <v>Eintracht Frankfurt</v>
      </c>
      <c r="F95" s="189" t="str">
        <f>IFERROR(__xludf.DUMMYFUNCTION("""COMPUTED_VALUE"""),"XPERION NXT")</f>
        <v>XPERION NXT</v>
      </c>
      <c r="G95" s="189" t="str">
        <f>IFERROR(__xludf.DUMMYFUNCTION("""COMPUTED_VALUE"""),"Cypher,Sova,Omen,KAY/O,Neon")</f>
        <v>Cypher,Sova,Omen,KAY/O,Neon</v>
      </c>
      <c r="H95" s="189" t="str">
        <f>IFERROR(__xludf.DUMMYFUNCTION("""COMPUTED_VALUE"""),"Cypher,Sova,Omen,Yoru,Neon")</f>
        <v>Cypher,Sova,Omen,Yoru,Neon</v>
      </c>
      <c r="I95" s="189">
        <f>IFERROR(__xludf.DUMMYFUNCTION("""COMPUTED_VALUE"""),13.0)</f>
        <v>13</v>
      </c>
      <c r="J95" s="189">
        <f>IFERROR(__xludf.DUMMYFUNCTION("""COMPUTED_VALUE"""),7.0)</f>
        <v>7</v>
      </c>
      <c r="K95" s="189">
        <f>IFERROR(__xludf.DUMMYFUNCTION("""COMPUTED_VALUE"""),8.0)</f>
        <v>8</v>
      </c>
      <c r="L95" s="189">
        <f>IFERROR(__xludf.DUMMYFUNCTION("""COMPUTED_VALUE"""),4.0)</f>
        <v>4</v>
      </c>
      <c r="M95" s="189">
        <f>IFERROR(__xludf.DUMMYFUNCTION("""COMPUTED_VALUE"""),0.0)</f>
        <v>0</v>
      </c>
      <c r="N95" s="189">
        <f>IFERROR(__xludf.DUMMYFUNCTION("""COMPUTED_VALUE"""),0.0)</f>
        <v>0</v>
      </c>
      <c r="O95" s="189">
        <f>IFERROR(__xludf.DUMMYFUNCTION("""COMPUTED_VALUE"""),8.0)</f>
        <v>8</v>
      </c>
      <c r="P95" s="189">
        <f>IFERROR(__xludf.DUMMYFUNCTION("""COMPUTED_VALUE"""),4.0)</f>
        <v>4</v>
      </c>
      <c r="Q95" s="189">
        <f>IFERROR(__xludf.DUMMYFUNCTION("""COMPUTED_VALUE"""),5.0)</f>
        <v>5</v>
      </c>
      <c r="R95" s="189">
        <f>IFERROR(__xludf.DUMMYFUNCTION("""COMPUTED_VALUE"""),3.0)</f>
        <v>3</v>
      </c>
      <c r="S95" s="189">
        <f>IFERROR(__xludf.DUMMYFUNCTION("""COMPUTED_VALUE"""),1.0)</f>
        <v>1</v>
      </c>
      <c r="T95" s="189">
        <f>IFERROR(__xludf.DUMMYFUNCTION("""COMPUTED_VALUE"""),1.0)</f>
        <v>1</v>
      </c>
      <c r="U95" s="189">
        <f>IFERROR(__xludf.DUMMYFUNCTION("""COMPUTED_VALUE"""),3.0)</f>
        <v>3</v>
      </c>
      <c r="V95" s="189">
        <f>IFERROR(__xludf.DUMMYFUNCTION("""COMPUTED_VALUE"""),5.0)</f>
        <v>5</v>
      </c>
      <c r="W95" s="189">
        <f>IFERROR(__xludf.DUMMYFUNCTION("""COMPUTED_VALUE"""),4.0)</f>
        <v>4</v>
      </c>
      <c r="X95" s="189">
        <f>IFERROR(__xludf.DUMMYFUNCTION("""COMPUTED_VALUE"""),8.0)</f>
        <v>8</v>
      </c>
      <c r="Y95" s="189" t="str">
        <f>IFERROR(__xludf.DUMMYFUNCTION("""COMPUTED_VALUE"""),"2025-07-26T00:00:00.000Z")</f>
        <v>2025-07-26T00:00:00.000Z</v>
      </c>
      <c r="Z95" s="189" t="str">
        <f>IFERROR(__xludf.DUMMYFUNCTION("""COMPUTED_VALUE"""),"Eintracht Frankfurt_Sunset")</f>
        <v>Eintracht Frankfurt_Sunset</v>
      </c>
    </row>
    <row r="96">
      <c r="A96" s="189">
        <f>IFERROR(__xludf.DUMMYFUNCTION("""COMPUTED_VALUE"""),210867.0)</f>
        <v>210867</v>
      </c>
      <c r="B96" s="189">
        <f>IFERROR(__xludf.DUMMYFUNCTION("""COMPUTED_VALUE"""),92745.0)</f>
        <v>92745</v>
      </c>
      <c r="C96" s="189" t="str">
        <f>IFERROR(__xludf.DUMMYFUNCTION("""COMPUTED_VALUE"""),"Challengers League 2025 DACH: Evolution Stage 3 - Play-Ins")</f>
        <v>Challengers League 2025 DACH: Evolution Stage 3 - Play-Ins</v>
      </c>
      <c r="D96" s="189" t="str">
        <f>IFERROR(__xludf.DUMMYFUNCTION("""COMPUTED_VALUE"""),"Corrode")</f>
        <v>Corrode</v>
      </c>
      <c r="E96" s="189" t="str">
        <f>IFERROR(__xludf.DUMMYFUNCTION("""COMPUTED_VALUE"""),"Eintracht Frankfurt")</f>
        <v>Eintracht Frankfurt</v>
      </c>
      <c r="F96" s="189" t="str">
        <f>IFERROR(__xludf.DUMMYFUNCTION("""COMPUTED_VALUE"""),"XPERION NXT")</f>
        <v>XPERION NXT</v>
      </c>
      <c r="G96" s="189" t="str">
        <f>IFERROR(__xludf.DUMMYFUNCTION("""COMPUTED_VALUE"""),"Viper,Phoenix,Omen,Neon,Fade")</f>
        <v>Viper,Phoenix,Omen,Neon,Fade</v>
      </c>
      <c r="H96" s="189" t="str">
        <f>IFERROR(__xludf.DUMMYFUNCTION("""COMPUTED_VALUE"""),"Cypher,Yoru,Astra,Neon,Fade")</f>
        <v>Cypher,Yoru,Astra,Neon,Fade</v>
      </c>
      <c r="I96" s="189">
        <f>IFERROR(__xludf.DUMMYFUNCTION("""COMPUTED_VALUE"""),13.0)</f>
        <v>13</v>
      </c>
      <c r="J96" s="189">
        <f>IFERROR(__xludf.DUMMYFUNCTION("""COMPUTED_VALUE"""),8.0)</f>
        <v>8</v>
      </c>
      <c r="K96" s="189">
        <f>IFERROR(__xludf.DUMMYFUNCTION("""COMPUTED_VALUE"""),6.0)</f>
        <v>6</v>
      </c>
      <c r="L96" s="189">
        <f>IFERROR(__xludf.DUMMYFUNCTION("""COMPUTED_VALUE"""),6.0)</f>
        <v>6</v>
      </c>
      <c r="M96" s="189">
        <f>IFERROR(__xludf.DUMMYFUNCTION("""COMPUTED_VALUE"""),1.0)</f>
        <v>1</v>
      </c>
      <c r="N96" s="189">
        <f>IFERROR(__xludf.DUMMYFUNCTION("""COMPUTED_VALUE"""),1.0)</f>
        <v>1</v>
      </c>
      <c r="O96" s="189">
        <f>IFERROR(__xludf.DUMMYFUNCTION("""COMPUTED_VALUE"""),7.0)</f>
        <v>7</v>
      </c>
      <c r="P96" s="189">
        <f>IFERROR(__xludf.DUMMYFUNCTION("""COMPUTED_VALUE"""),2.0)</f>
        <v>2</v>
      </c>
      <c r="Q96" s="189">
        <f>IFERROR(__xludf.DUMMYFUNCTION("""COMPUTED_VALUE"""),6.0)</f>
        <v>6</v>
      </c>
      <c r="R96" s="189">
        <f>IFERROR(__xludf.DUMMYFUNCTION("""COMPUTED_VALUE"""),6.0)</f>
        <v>6</v>
      </c>
      <c r="S96" s="189">
        <f>IFERROR(__xludf.DUMMYFUNCTION("""COMPUTED_VALUE"""),0.0)</f>
        <v>0</v>
      </c>
      <c r="T96" s="189">
        <f>IFERROR(__xludf.DUMMYFUNCTION("""COMPUTED_VALUE"""),0.0)</f>
        <v>0</v>
      </c>
      <c r="U96" s="189">
        <f>IFERROR(__xludf.DUMMYFUNCTION("""COMPUTED_VALUE"""),6.0)</f>
        <v>6</v>
      </c>
      <c r="V96" s="189">
        <f>IFERROR(__xludf.DUMMYFUNCTION("""COMPUTED_VALUE"""),6.0)</f>
        <v>6</v>
      </c>
      <c r="W96" s="189">
        <f>IFERROR(__xludf.DUMMYFUNCTION("""COMPUTED_VALUE"""),2.0)</f>
        <v>2</v>
      </c>
      <c r="X96" s="189">
        <f>IFERROR(__xludf.DUMMYFUNCTION("""COMPUTED_VALUE"""),7.0)</f>
        <v>7</v>
      </c>
      <c r="Y96" s="189" t="str">
        <f>IFERROR(__xludf.DUMMYFUNCTION("""COMPUTED_VALUE"""),"2025-07-26T00:00:00.000Z")</f>
        <v>2025-07-26T00:00:00.000Z</v>
      </c>
      <c r="Z96" s="189" t="str">
        <f>IFERROR(__xludf.DUMMYFUNCTION("""COMPUTED_VALUE"""),"Eintracht Frankfurt_Corrode")</f>
        <v>Eintracht Frankfurt_Corrode</v>
      </c>
    </row>
    <row r="97">
      <c r="A97" s="189">
        <f>IFERROR(__xludf.DUMMYFUNCTION("""COMPUTED_VALUE"""),210899.0)</f>
        <v>210899</v>
      </c>
      <c r="B97" s="189">
        <f>IFERROR(__xludf.DUMMYFUNCTION("""COMPUTED_VALUE"""),92755.0)</f>
        <v>92755</v>
      </c>
      <c r="C97" s="189" t="str">
        <f>IFERROR(__xludf.DUMMYFUNCTION("""COMPUTED_VALUE"""),"Challengers League 2025 NORTH EAST: Split 3 - Upper Swiss Phase")</f>
        <v>Challengers League 2025 NORTH EAST: Split 3 - Upper Swiss Phase</v>
      </c>
      <c r="D97" s="189" t="str">
        <f>IFERROR(__xludf.DUMMYFUNCTION("""COMPUTED_VALUE"""),"Haven")</f>
        <v>Haven</v>
      </c>
      <c r="E97" s="189" t="str">
        <f>IFERROR(__xludf.DUMMYFUNCTION("""COMPUTED_VALUE"""),"Team Liquid Academy")</f>
        <v>Team Liquid Academy</v>
      </c>
      <c r="F97" s="189" t="str">
        <f>IFERROR(__xludf.DUMMYFUNCTION("""COMPUTED_VALUE"""),"ESC Gaming")</f>
        <v>ESC Gaming</v>
      </c>
      <c r="G97" s="189" t="str">
        <f>IFERROR(__xludf.DUMMYFUNCTION("""COMPUTED_VALUE"""),"Cypher,Sova,Omen,Yoru,Iso")</f>
        <v>Cypher,Sova,Omen,Yoru,Iso</v>
      </c>
      <c r="H97" s="189" t="str">
        <f>IFERROR(__xludf.DUMMYFUNCTION("""COMPUTED_VALUE"""),"Breach,Cypher,Sova,Omen,Neon")</f>
        <v>Breach,Cypher,Sova,Omen,Neon</v>
      </c>
      <c r="I97" s="189">
        <f>IFERROR(__xludf.DUMMYFUNCTION("""COMPUTED_VALUE"""),13.0)</f>
        <v>13</v>
      </c>
      <c r="J97" s="189">
        <f>IFERROR(__xludf.DUMMYFUNCTION("""COMPUTED_VALUE"""),9.0)</f>
        <v>9</v>
      </c>
      <c r="K97" s="189">
        <f>IFERROR(__xludf.DUMMYFUNCTION("""COMPUTED_VALUE"""),8.0)</f>
        <v>8</v>
      </c>
      <c r="L97" s="189">
        <f>IFERROR(__xludf.DUMMYFUNCTION("""COMPUTED_VALUE"""),4.0)</f>
        <v>4</v>
      </c>
      <c r="M97" s="189">
        <f>IFERROR(__xludf.DUMMYFUNCTION("""COMPUTED_VALUE"""),1.0)</f>
        <v>1</v>
      </c>
      <c r="N97" s="189">
        <f>IFERROR(__xludf.DUMMYFUNCTION("""COMPUTED_VALUE"""),1.0)</f>
        <v>1</v>
      </c>
      <c r="O97" s="189">
        <f>IFERROR(__xludf.DUMMYFUNCTION("""COMPUTED_VALUE"""),5.0)</f>
        <v>5</v>
      </c>
      <c r="P97" s="189">
        <f>IFERROR(__xludf.DUMMYFUNCTION("""COMPUTED_VALUE"""),5.0)</f>
        <v>5</v>
      </c>
      <c r="Q97" s="189">
        <f>IFERROR(__xludf.DUMMYFUNCTION("""COMPUTED_VALUE"""),8.0)</f>
        <v>8</v>
      </c>
      <c r="R97" s="189">
        <f>IFERROR(__xludf.DUMMYFUNCTION("""COMPUTED_VALUE"""),4.0)</f>
        <v>4</v>
      </c>
      <c r="S97" s="189">
        <f>IFERROR(__xludf.DUMMYFUNCTION("""COMPUTED_VALUE"""),0.0)</f>
        <v>0</v>
      </c>
      <c r="T97" s="189">
        <f>IFERROR(__xludf.DUMMYFUNCTION("""COMPUTED_VALUE"""),0.0)</f>
        <v>0</v>
      </c>
      <c r="U97" s="189">
        <f>IFERROR(__xludf.DUMMYFUNCTION("""COMPUTED_VALUE"""),4.0)</f>
        <v>4</v>
      </c>
      <c r="V97" s="189">
        <f>IFERROR(__xludf.DUMMYFUNCTION("""COMPUTED_VALUE"""),8.0)</f>
        <v>8</v>
      </c>
      <c r="W97" s="189">
        <f>IFERROR(__xludf.DUMMYFUNCTION("""COMPUTED_VALUE"""),5.0)</f>
        <v>5</v>
      </c>
      <c r="X97" s="189">
        <f>IFERROR(__xludf.DUMMYFUNCTION("""COMPUTED_VALUE"""),5.0)</f>
        <v>5</v>
      </c>
      <c r="Y97" s="189" t="str">
        <f>IFERROR(__xludf.DUMMYFUNCTION("""COMPUTED_VALUE"""),"2025-07-21T00:00:00.000Z")</f>
        <v>2025-07-21T00:00:00.000Z</v>
      </c>
      <c r="Z97" s="189" t="str">
        <f>IFERROR(__xludf.DUMMYFUNCTION("""COMPUTED_VALUE"""),"Team Liquid Academy_Haven")</f>
        <v>Team Liquid Academy_Haven</v>
      </c>
    </row>
    <row r="98">
      <c r="A98" s="189">
        <f>IFERROR(__xludf.DUMMYFUNCTION("""COMPUTED_VALUE"""),210898.0)</f>
        <v>210898</v>
      </c>
      <c r="B98" s="189">
        <f>IFERROR(__xludf.DUMMYFUNCTION("""COMPUTED_VALUE"""),92755.0)</f>
        <v>92755</v>
      </c>
      <c r="C98" s="189" t="str">
        <f>IFERROR(__xludf.DUMMYFUNCTION("""COMPUTED_VALUE"""),"Challengers League 2025 NORTH EAST: Split 3 - Upper Swiss Phase")</f>
        <v>Challengers League 2025 NORTH EAST: Split 3 - Upper Swiss Phase</v>
      </c>
      <c r="D98" s="189" t="str">
        <f>IFERROR(__xludf.DUMMYFUNCTION("""COMPUTED_VALUE"""),"Ascent")</f>
        <v>Ascent</v>
      </c>
      <c r="E98" s="189" t="str">
        <f>IFERROR(__xludf.DUMMYFUNCTION("""COMPUTED_VALUE"""),"Team Liquid Academy")</f>
        <v>Team Liquid Academy</v>
      </c>
      <c r="F98" s="189" t="str">
        <f>IFERROR(__xludf.DUMMYFUNCTION("""COMPUTED_VALUE"""),"ESC Gaming")</f>
        <v>ESC Gaming</v>
      </c>
      <c r="G98" s="189" t="str">
        <f>IFERROR(__xludf.DUMMYFUNCTION("""COMPUTED_VALUE"""),"Sova,Omen,Yoru,Vyse,Waylay")</f>
        <v>Sova,Omen,Yoru,Vyse,Waylay</v>
      </c>
      <c r="H98" s="189" t="str">
        <f>IFERROR(__xludf.DUMMYFUNCTION("""COMPUTED_VALUE"""),"Sova,Killjoy,Viper,Omen,Neon")</f>
        <v>Sova,Killjoy,Viper,Omen,Neon</v>
      </c>
      <c r="I98" s="189">
        <f>IFERROR(__xludf.DUMMYFUNCTION("""COMPUTED_VALUE"""),13.0)</f>
        <v>13</v>
      </c>
      <c r="J98" s="189">
        <f>IFERROR(__xludf.DUMMYFUNCTION("""COMPUTED_VALUE"""),6.0)</f>
        <v>6</v>
      </c>
      <c r="K98" s="189">
        <f>IFERROR(__xludf.DUMMYFUNCTION("""COMPUTED_VALUE"""),6.0)</f>
        <v>6</v>
      </c>
      <c r="L98" s="189">
        <f>IFERROR(__xludf.DUMMYFUNCTION("""COMPUTED_VALUE"""),6.0)</f>
        <v>6</v>
      </c>
      <c r="M98" s="189">
        <f>IFERROR(__xludf.DUMMYFUNCTION("""COMPUTED_VALUE"""),1.0)</f>
        <v>1</v>
      </c>
      <c r="N98" s="189">
        <f>IFERROR(__xludf.DUMMYFUNCTION("""COMPUTED_VALUE"""),1.0)</f>
        <v>1</v>
      </c>
      <c r="O98" s="189">
        <f>IFERROR(__xludf.DUMMYFUNCTION("""COMPUTED_VALUE"""),6.0)</f>
        <v>6</v>
      </c>
      <c r="P98" s="189">
        <f>IFERROR(__xludf.DUMMYFUNCTION("""COMPUTED_VALUE"""),6.0)</f>
        <v>6</v>
      </c>
      <c r="Q98" s="189">
        <f>IFERROR(__xludf.DUMMYFUNCTION("""COMPUTED_VALUE"""),7.0)</f>
        <v>7</v>
      </c>
      <c r="R98" s="189">
        <f>IFERROR(__xludf.DUMMYFUNCTION("""COMPUTED_VALUE"""),0.0)</f>
        <v>0</v>
      </c>
      <c r="S98" s="189">
        <f>IFERROR(__xludf.DUMMYFUNCTION("""COMPUTED_VALUE"""),0.0)</f>
        <v>0</v>
      </c>
      <c r="T98" s="189">
        <f>IFERROR(__xludf.DUMMYFUNCTION("""COMPUTED_VALUE"""),0.0)</f>
        <v>0</v>
      </c>
      <c r="U98" s="189">
        <f>IFERROR(__xludf.DUMMYFUNCTION("""COMPUTED_VALUE"""),0.0)</f>
        <v>0</v>
      </c>
      <c r="V98" s="189">
        <f>IFERROR(__xludf.DUMMYFUNCTION("""COMPUTED_VALUE"""),7.0)</f>
        <v>7</v>
      </c>
      <c r="W98" s="189">
        <f>IFERROR(__xludf.DUMMYFUNCTION("""COMPUTED_VALUE"""),6.0)</f>
        <v>6</v>
      </c>
      <c r="X98" s="189">
        <f>IFERROR(__xludf.DUMMYFUNCTION("""COMPUTED_VALUE"""),6.0)</f>
        <v>6</v>
      </c>
      <c r="Y98" s="189" t="str">
        <f>IFERROR(__xludf.DUMMYFUNCTION("""COMPUTED_VALUE"""),"2025-07-21T00:00:00.000Z")</f>
        <v>2025-07-21T00:00:00.000Z</v>
      </c>
      <c r="Z98" s="189" t="str">
        <f>IFERROR(__xludf.DUMMYFUNCTION("""COMPUTED_VALUE"""),"Team Liquid Academy_Ascent")</f>
        <v>Team Liquid Academy_Ascent</v>
      </c>
    </row>
    <row r="99">
      <c r="A99" s="189">
        <f>IFERROR(__xludf.DUMMYFUNCTION("""COMPUTED_VALUE"""),210362.0)</f>
        <v>210362</v>
      </c>
      <c r="B99" s="189">
        <f>IFERROR(__xludf.DUMMYFUNCTION("""COMPUTED_VALUE"""),92557.0)</f>
        <v>92557</v>
      </c>
      <c r="C99" s="189" t="str">
        <f>IFERROR(__xludf.DUMMYFUNCTION("""COMPUTED_VALUE"""),"Challengers League 2025 MENA: Resilience - GPI - Split 2 - Playoffs")</f>
        <v>Challengers League 2025 MENA: Resilience - GPI - Split 2 - Playoffs</v>
      </c>
      <c r="D99" s="189" t="str">
        <f>IFERROR(__xludf.DUMMYFUNCTION("""COMPUTED_VALUE"""),"Sunset")</f>
        <v>Sunset</v>
      </c>
      <c r="E99" s="189" t="str">
        <f>IFERROR(__xludf.DUMMYFUNCTION("""COMPUTED_VALUE"""),"Twisted Minds Esports")</f>
        <v>Twisted Minds Esports</v>
      </c>
      <c r="F99" s="189" t="str">
        <f>IFERROR(__xludf.DUMMYFUNCTION("""COMPUTED_VALUE"""),"The Ultimates")</f>
        <v>The Ultimates</v>
      </c>
      <c r="G99" s="189" t="str">
        <f>IFERROR(__xludf.DUMMYFUNCTION("""COMPUTED_VALUE"""),"Breach,Cypher,Omen,Neon,Fade")</f>
        <v>Breach,Cypher,Omen,Neon,Fade</v>
      </c>
      <c r="H99" s="189" t="str">
        <f>IFERROR(__xludf.DUMMYFUNCTION("""COMPUTED_VALUE"""),"Breach,Cypher,Sova,Omen,Neon")</f>
        <v>Breach,Cypher,Sova,Omen,Neon</v>
      </c>
      <c r="I99" s="189">
        <f>IFERROR(__xludf.DUMMYFUNCTION("""COMPUTED_VALUE"""),13.0)</f>
        <v>13</v>
      </c>
      <c r="J99" s="189">
        <f>IFERROR(__xludf.DUMMYFUNCTION("""COMPUTED_VALUE"""),9.0)</f>
        <v>9</v>
      </c>
      <c r="K99" s="189">
        <f>IFERROR(__xludf.DUMMYFUNCTION("""COMPUTED_VALUE"""),7.0)</f>
        <v>7</v>
      </c>
      <c r="L99" s="189">
        <f>IFERROR(__xludf.DUMMYFUNCTION("""COMPUTED_VALUE"""),5.0)</f>
        <v>5</v>
      </c>
      <c r="M99" s="189">
        <f>IFERROR(__xludf.DUMMYFUNCTION("""COMPUTED_VALUE"""),1.0)</f>
        <v>1</v>
      </c>
      <c r="N99" s="189">
        <f>IFERROR(__xludf.DUMMYFUNCTION("""COMPUTED_VALUE"""),1.0)</f>
        <v>1</v>
      </c>
      <c r="O99" s="189">
        <f>IFERROR(__xludf.DUMMYFUNCTION("""COMPUTED_VALUE"""),7.0)</f>
        <v>7</v>
      </c>
      <c r="P99" s="189">
        <f>IFERROR(__xludf.DUMMYFUNCTION("""COMPUTED_VALUE"""),5.0)</f>
        <v>5</v>
      </c>
      <c r="Q99" s="189">
        <f>IFERROR(__xludf.DUMMYFUNCTION("""COMPUTED_VALUE"""),6.0)</f>
        <v>6</v>
      </c>
      <c r="R99" s="189">
        <f>IFERROR(__xludf.DUMMYFUNCTION("""COMPUTED_VALUE"""),4.0)</f>
        <v>4</v>
      </c>
      <c r="S99" s="189">
        <f>IFERROR(__xludf.DUMMYFUNCTION("""COMPUTED_VALUE"""),0.0)</f>
        <v>0</v>
      </c>
      <c r="T99" s="189">
        <f>IFERROR(__xludf.DUMMYFUNCTION("""COMPUTED_VALUE"""),0.0)</f>
        <v>0</v>
      </c>
      <c r="U99" s="189">
        <f>IFERROR(__xludf.DUMMYFUNCTION("""COMPUTED_VALUE"""),4.0)</f>
        <v>4</v>
      </c>
      <c r="V99" s="189">
        <f>IFERROR(__xludf.DUMMYFUNCTION("""COMPUTED_VALUE"""),6.0)</f>
        <v>6</v>
      </c>
      <c r="W99" s="189">
        <f>IFERROR(__xludf.DUMMYFUNCTION("""COMPUTED_VALUE"""),5.0)</f>
        <v>5</v>
      </c>
      <c r="X99" s="189">
        <f>IFERROR(__xludf.DUMMYFUNCTION("""COMPUTED_VALUE"""),7.0)</f>
        <v>7</v>
      </c>
      <c r="Y99" s="189" t="str">
        <f>IFERROR(__xludf.DUMMYFUNCTION("""COMPUTED_VALUE"""),"2025-07-21T00:00:00.000Z")</f>
        <v>2025-07-21T00:00:00.000Z</v>
      </c>
      <c r="Z99" s="189" t="str">
        <f>IFERROR(__xludf.DUMMYFUNCTION("""COMPUTED_VALUE"""),"Twisted Minds Esports_Sunset")</f>
        <v>Twisted Minds Esports_Sunset</v>
      </c>
    </row>
    <row r="100">
      <c r="A100" s="189">
        <f>IFERROR(__xludf.DUMMYFUNCTION("""COMPUTED_VALUE"""),210897.0)</f>
        <v>210897</v>
      </c>
      <c r="B100" s="189">
        <f>IFERROR(__xludf.DUMMYFUNCTION("""COMPUTED_VALUE"""),92755.0)</f>
        <v>92755</v>
      </c>
      <c r="C100" s="189" t="str">
        <f>IFERROR(__xludf.DUMMYFUNCTION("""COMPUTED_VALUE"""),"Challengers League 2025 NORTH EAST: Split 3 - Upper Swiss Phase")</f>
        <v>Challengers League 2025 NORTH EAST: Split 3 - Upper Swiss Phase</v>
      </c>
      <c r="D100" s="189" t="str">
        <f>IFERROR(__xludf.DUMMYFUNCTION("""COMPUTED_VALUE"""),"Lotus")</f>
        <v>Lotus</v>
      </c>
      <c r="E100" s="189" t="str">
        <f>IFERROR(__xludf.DUMMYFUNCTION("""COMPUTED_VALUE"""),"Team Liquid Academy")</f>
        <v>Team Liquid Academy</v>
      </c>
      <c r="F100" s="189" t="str">
        <f>IFERROR(__xludf.DUMMYFUNCTION("""COMPUTED_VALUE"""),"ESC Gaming")</f>
        <v>ESC Gaming</v>
      </c>
      <c r="G100" s="189" t="str">
        <f>IFERROR(__xludf.DUMMYFUNCTION("""COMPUTED_VALUE"""),"Breach,Cypher,Omen,Neon,Fade")</f>
        <v>Breach,Cypher,Omen,Neon,Fade</v>
      </c>
      <c r="H100" s="189" t="str">
        <f>IFERROR(__xludf.DUMMYFUNCTION("""COMPUTED_VALUE"""),"Raze,Viper,Omen,Fade,Vyse")</f>
        <v>Raze,Viper,Omen,Fade,Vyse</v>
      </c>
      <c r="I100" s="189">
        <f>IFERROR(__xludf.DUMMYFUNCTION("""COMPUTED_VALUE"""),14.0)</f>
        <v>14</v>
      </c>
      <c r="J100" s="189">
        <f>IFERROR(__xludf.DUMMYFUNCTION("""COMPUTED_VALUE"""),16.0)</f>
        <v>16</v>
      </c>
      <c r="K100" s="189">
        <f>IFERROR(__xludf.DUMMYFUNCTION("""COMPUTED_VALUE"""),9.0)</f>
        <v>9</v>
      </c>
      <c r="L100" s="189">
        <f>IFERROR(__xludf.DUMMYFUNCTION("""COMPUTED_VALUE"""),3.0)</f>
        <v>3</v>
      </c>
      <c r="M100" s="189">
        <f>IFERROR(__xludf.DUMMYFUNCTION("""COMPUTED_VALUE"""),1.0)</f>
        <v>1</v>
      </c>
      <c r="N100" s="189">
        <f>IFERROR(__xludf.DUMMYFUNCTION("""COMPUTED_VALUE"""),1.0)</f>
        <v>1</v>
      </c>
      <c r="O100" s="189">
        <f>IFERROR(__xludf.DUMMYFUNCTION("""COMPUTED_VALUE"""),4.0)</f>
        <v>4</v>
      </c>
      <c r="P100" s="189">
        <f>IFERROR(__xludf.DUMMYFUNCTION("""COMPUTED_VALUE"""),11.0)</f>
        <v>11</v>
      </c>
      <c r="Q100" s="189">
        <f>IFERROR(__xludf.DUMMYFUNCTION("""COMPUTED_VALUE"""),10.0)</f>
        <v>10</v>
      </c>
      <c r="R100" s="189">
        <f>IFERROR(__xludf.DUMMYFUNCTION("""COMPUTED_VALUE"""),5.0)</f>
        <v>5</v>
      </c>
      <c r="S100" s="189">
        <f>IFERROR(__xludf.DUMMYFUNCTION("""COMPUTED_VALUE"""),0.0)</f>
        <v>0</v>
      </c>
      <c r="T100" s="189">
        <f>IFERROR(__xludf.DUMMYFUNCTION("""COMPUTED_VALUE"""),0.0)</f>
        <v>0</v>
      </c>
      <c r="U100" s="189">
        <f>IFERROR(__xludf.DUMMYFUNCTION("""COMPUTED_VALUE"""),5.0)</f>
        <v>5</v>
      </c>
      <c r="V100" s="189">
        <f>IFERROR(__xludf.DUMMYFUNCTION("""COMPUTED_VALUE"""),10.0)</f>
        <v>10</v>
      </c>
      <c r="W100" s="189">
        <f>IFERROR(__xludf.DUMMYFUNCTION("""COMPUTED_VALUE"""),11.0)</f>
        <v>11</v>
      </c>
      <c r="X100" s="189">
        <f>IFERROR(__xludf.DUMMYFUNCTION("""COMPUTED_VALUE"""),4.0)</f>
        <v>4</v>
      </c>
      <c r="Y100" s="189" t="str">
        <f>IFERROR(__xludf.DUMMYFUNCTION("""COMPUTED_VALUE"""),"2025-07-21T00:00:00.000Z")</f>
        <v>2025-07-21T00:00:00.000Z</v>
      </c>
      <c r="Z100" s="189" t="str">
        <f>IFERROR(__xludf.DUMMYFUNCTION("""COMPUTED_VALUE"""),"Team Liquid Academy_Lotus")</f>
        <v>Team Liquid Academy_Lotus</v>
      </c>
    </row>
    <row r="101">
      <c r="A101" s="189">
        <f>IFERROR(__xludf.DUMMYFUNCTION("""COMPUTED_VALUE"""),210361.0)</f>
        <v>210361</v>
      </c>
      <c r="B101" s="189">
        <f>IFERROR(__xludf.DUMMYFUNCTION("""COMPUTED_VALUE"""),92557.0)</f>
        <v>92557</v>
      </c>
      <c r="C101" s="189" t="str">
        <f>IFERROR(__xludf.DUMMYFUNCTION("""COMPUTED_VALUE"""),"Challengers League 2025 MENA: Resilience - GPI - Split 2 - Playoffs")</f>
        <v>Challengers League 2025 MENA: Resilience - GPI - Split 2 - Playoffs</v>
      </c>
      <c r="D101" s="189" t="str">
        <f>IFERROR(__xludf.DUMMYFUNCTION("""COMPUTED_VALUE"""),"Lotus")</f>
        <v>Lotus</v>
      </c>
      <c r="E101" s="189" t="str">
        <f>IFERROR(__xludf.DUMMYFUNCTION("""COMPUTED_VALUE"""),"Twisted Minds Esports")</f>
        <v>Twisted Minds Esports</v>
      </c>
      <c r="F101" s="189" t="str">
        <f>IFERROR(__xludf.DUMMYFUNCTION("""COMPUTED_VALUE"""),"The Ultimates")</f>
        <v>The Ultimates</v>
      </c>
      <c r="G101" s="189" t="str">
        <f>IFERROR(__xludf.DUMMYFUNCTION("""COMPUTED_VALUE"""),"Raze,Killjoy,Viper,Omen,Fade")</f>
        <v>Raze,Killjoy,Viper,Omen,Fade</v>
      </c>
      <c r="H101" s="189" t="str">
        <f>IFERROR(__xludf.DUMMYFUNCTION("""COMPUTED_VALUE"""),"Omen,Yoru,Neon,Fade,Vyse")</f>
        <v>Omen,Yoru,Neon,Fade,Vyse</v>
      </c>
      <c r="I101" s="189">
        <f>IFERROR(__xludf.DUMMYFUNCTION("""COMPUTED_VALUE"""),13.0)</f>
        <v>13</v>
      </c>
      <c r="J101" s="189">
        <f>IFERROR(__xludf.DUMMYFUNCTION("""COMPUTED_VALUE"""),9.0)</f>
        <v>9</v>
      </c>
      <c r="K101" s="189">
        <f>IFERROR(__xludf.DUMMYFUNCTION("""COMPUTED_VALUE"""),6.0)</f>
        <v>6</v>
      </c>
      <c r="L101" s="189">
        <f>IFERROR(__xludf.DUMMYFUNCTION("""COMPUTED_VALUE"""),6.0)</f>
        <v>6</v>
      </c>
      <c r="M101" s="189">
        <f>IFERROR(__xludf.DUMMYFUNCTION("""COMPUTED_VALUE"""),1.0)</f>
        <v>1</v>
      </c>
      <c r="N101" s="189">
        <f>IFERROR(__xludf.DUMMYFUNCTION("""COMPUTED_VALUE"""),0.0)</f>
        <v>0</v>
      </c>
      <c r="O101" s="189">
        <f>IFERROR(__xludf.DUMMYFUNCTION("""COMPUTED_VALUE"""),7.0)</f>
        <v>7</v>
      </c>
      <c r="P101" s="189">
        <f>IFERROR(__xludf.DUMMYFUNCTION("""COMPUTED_VALUE"""),3.0)</f>
        <v>3</v>
      </c>
      <c r="Q101" s="189">
        <f>IFERROR(__xludf.DUMMYFUNCTION("""COMPUTED_VALUE"""),6.0)</f>
        <v>6</v>
      </c>
      <c r="R101" s="189">
        <f>IFERROR(__xludf.DUMMYFUNCTION("""COMPUTED_VALUE"""),6.0)</f>
        <v>6</v>
      </c>
      <c r="S101" s="189">
        <f>IFERROR(__xludf.DUMMYFUNCTION("""COMPUTED_VALUE"""),1.0)</f>
        <v>1</v>
      </c>
      <c r="T101" s="189">
        <f>IFERROR(__xludf.DUMMYFUNCTION("""COMPUTED_VALUE"""),0.0)</f>
        <v>0</v>
      </c>
      <c r="U101" s="189">
        <f>IFERROR(__xludf.DUMMYFUNCTION("""COMPUTED_VALUE"""),6.0)</f>
        <v>6</v>
      </c>
      <c r="V101" s="189">
        <f>IFERROR(__xludf.DUMMYFUNCTION("""COMPUTED_VALUE"""),6.0)</f>
        <v>6</v>
      </c>
      <c r="W101" s="189">
        <f>IFERROR(__xludf.DUMMYFUNCTION("""COMPUTED_VALUE"""),3.0)</f>
        <v>3</v>
      </c>
      <c r="X101" s="189">
        <f>IFERROR(__xludf.DUMMYFUNCTION("""COMPUTED_VALUE"""),7.0)</f>
        <v>7</v>
      </c>
      <c r="Y101" s="189" t="str">
        <f>IFERROR(__xludf.DUMMYFUNCTION("""COMPUTED_VALUE"""),"2025-07-21T00:00:00.000Z")</f>
        <v>2025-07-21T00:00:00.000Z</v>
      </c>
      <c r="Z101" s="189" t="str">
        <f>IFERROR(__xludf.DUMMYFUNCTION("""COMPUTED_VALUE"""),"Twisted Minds Esports_Lotus")</f>
        <v>Twisted Minds Esports_Lotus</v>
      </c>
    </row>
    <row r="102">
      <c r="A102" s="189">
        <f>IFERROR(__xludf.DUMMYFUNCTION("""COMPUTED_VALUE"""),210360.0)</f>
        <v>210360</v>
      </c>
      <c r="B102" s="189">
        <f>IFERROR(__xludf.DUMMYFUNCTION("""COMPUTED_VALUE"""),92557.0)</f>
        <v>92557</v>
      </c>
      <c r="C102" s="189" t="str">
        <f>IFERROR(__xludf.DUMMYFUNCTION("""COMPUTED_VALUE"""),"Challengers League 2025 MENA: Resilience - GPI - Split 2 - Playoffs")</f>
        <v>Challengers League 2025 MENA: Resilience - GPI - Split 2 - Playoffs</v>
      </c>
      <c r="D102" s="189" t="str">
        <f>IFERROR(__xludf.DUMMYFUNCTION("""COMPUTED_VALUE"""),"Ascent")</f>
        <v>Ascent</v>
      </c>
      <c r="E102" s="189" t="str">
        <f>IFERROR(__xludf.DUMMYFUNCTION("""COMPUTED_VALUE"""),"Twisted Minds Esports")</f>
        <v>Twisted Minds Esports</v>
      </c>
      <c r="F102" s="189" t="str">
        <f>IFERROR(__xludf.DUMMYFUNCTION("""COMPUTED_VALUE"""),"The Ultimates")</f>
        <v>The Ultimates</v>
      </c>
      <c r="G102" s="189" t="str">
        <f>IFERROR(__xludf.DUMMYFUNCTION("""COMPUTED_VALUE"""),"Cypher,Sova,Omen,Yoru,Deadlock")</f>
        <v>Cypher,Sova,Omen,Yoru,Deadlock</v>
      </c>
      <c r="H102" s="189" t="str">
        <f>IFERROR(__xludf.DUMMYFUNCTION("""COMPUTED_VALUE"""),"Cypher,Sova,Omen,Yoru,Iso")</f>
        <v>Cypher,Sova,Omen,Yoru,Iso</v>
      </c>
      <c r="I102" s="189">
        <f>IFERROR(__xludf.DUMMYFUNCTION("""COMPUTED_VALUE"""),5.0)</f>
        <v>5</v>
      </c>
      <c r="J102" s="189">
        <f>IFERROR(__xludf.DUMMYFUNCTION("""COMPUTED_VALUE"""),13.0)</f>
        <v>13</v>
      </c>
      <c r="K102" s="189">
        <f>IFERROR(__xludf.DUMMYFUNCTION("""COMPUTED_VALUE"""),5.0)</f>
        <v>5</v>
      </c>
      <c r="L102" s="189">
        <f>IFERROR(__xludf.DUMMYFUNCTION("""COMPUTED_VALUE"""),7.0)</f>
        <v>7</v>
      </c>
      <c r="M102" s="189">
        <f>IFERROR(__xludf.DUMMYFUNCTION("""COMPUTED_VALUE"""),0.0)</f>
        <v>0</v>
      </c>
      <c r="N102" s="189">
        <f>IFERROR(__xludf.DUMMYFUNCTION("""COMPUTED_VALUE"""),0.0)</f>
        <v>0</v>
      </c>
      <c r="O102" s="189">
        <f>IFERROR(__xludf.DUMMYFUNCTION("""COMPUTED_VALUE"""),0.0)</f>
        <v>0</v>
      </c>
      <c r="P102" s="189">
        <f>IFERROR(__xludf.DUMMYFUNCTION("""COMPUTED_VALUE"""),6.0)</f>
        <v>6</v>
      </c>
      <c r="Q102" s="189">
        <f>IFERROR(__xludf.DUMMYFUNCTION("""COMPUTED_VALUE"""),5.0)</f>
        <v>5</v>
      </c>
      <c r="R102" s="189">
        <f>IFERROR(__xludf.DUMMYFUNCTION("""COMPUTED_VALUE"""),7.0)</f>
        <v>7</v>
      </c>
      <c r="S102" s="189">
        <f>IFERROR(__xludf.DUMMYFUNCTION("""COMPUTED_VALUE"""),1.0)</f>
        <v>1</v>
      </c>
      <c r="T102" s="189">
        <f>IFERROR(__xludf.DUMMYFUNCTION("""COMPUTED_VALUE"""),1.0)</f>
        <v>1</v>
      </c>
      <c r="U102" s="189">
        <f>IFERROR(__xludf.DUMMYFUNCTION("""COMPUTED_VALUE"""),7.0)</f>
        <v>7</v>
      </c>
      <c r="V102" s="189">
        <f>IFERROR(__xludf.DUMMYFUNCTION("""COMPUTED_VALUE"""),5.0)</f>
        <v>5</v>
      </c>
      <c r="W102" s="189">
        <f>IFERROR(__xludf.DUMMYFUNCTION("""COMPUTED_VALUE"""),6.0)</f>
        <v>6</v>
      </c>
      <c r="X102" s="189">
        <f>IFERROR(__xludf.DUMMYFUNCTION("""COMPUTED_VALUE"""),0.0)</f>
        <v>0</v>
      </c>
      <c r="Y102" s="189" t="str">
        <f>IFERROR(__xludf.DUMMYFUNCTION("""COMPUTED_VALUE"""),"2025-07-21T00:00:00.000Z")</f>
        <v>2025-07-21T00:00:00.000Z</v>
      </c>
      <c r="Z102" s="189" t="str">
        <f>IFERROR(__xludf.DUMMYFUNCTION("""COMPUTED_VALUE"""),"Twisted Minds Esports_Ascent")</f>
        <v>Twisted Minds Esports_Ascent</v>
      </c>
    </row>
    <row r="103">
      <c r="A103" s="189">
        <f>IFERROR(__xludf.DUMMYFUNCTION("""COMPUTED_VALUE"""),210756.0)</f>
        <v>210756</v>
      </c>
      <c r="B103" s="189">
        <f>IFERROR(__xludf.DUMMYFUNCTION("""COMPUTED_VALUE"""),92708.0)</f>
        <v>92708</v>
      </c>
      <c r="C103" s="189" t="str">
        <f>IFERROR(__xludf.DUMMYFUNCTION("""COMPUTED_VALUE"""),"Challengers League 2025 NORTH EAST: Split 3 - Upper Swiss Phase")</f>
        <v>Challengers League 2025 NORTH EAST: Split 3 - Upper Swiss Phase</v>
      </c>
      <c r="D103" s="189" t="str">
        <f>IFERROR(__xludf.DUMMYFUNCTION("""COMPUTED_VALUE"""),"Bind")</f>
        <v>Bind</v>
      </c>
      <c r="E103" s="189" t="str">
        <f>IFERROR(__xludf.DUMMYFUNCTION("""COMPUTED_VALUE"""),"Boars Gaming")</f>
        <v>Boars Gaming</v>
      </c>
      <c r="F103" s="189" t="str">
        <f>IFERROR(__xludf.DUMMYFUNCTION("""COMPUTED_VALUE"""),"Enterprise Esports")</f>
        <v>Enterprise Esports</v>
      </c>
      <c r="G103" s="189" t="str">
        <f>IFERROR(__xludf.DUMMYFUNCTION("""COMPUTED_VALUE"""),"Raze,Astra,Gekko,Deadlock,Vyse")</f>
        <v>Raze,Astra,Gekko,Deadlock,Vyse</v>
      </c>
      <c r="H103" s="189" t="str">
        <f>IFERROR(__xludf.DUMMYFUNCTION("""COMPUTED_VALUE"""),"Raze,Viper,Brimstone,Yoru,Fade")</f>
        <v>Raze,Viper,Brimstone,Yoru,Fade</v>
      </c>
      <c r="I103" s="189">
        <f>IFERROR(__xludf.DUMMYFUNCTION("""COMPUTED_VALUE"""),10.0)</f>
        <v>10</v>
      </c>
      <c r="J103" s="189">
        <f>IFERROR(__xludf.DUMMYFUNCTION("""COMPUTED_VALUE"""),13.0)</f>
        <v>13</v>
      </c>
      <c r="K103" s="189">
        <f>IFERROR(__xludf.DUMMYFUNCTION("""COMPUTED_VALUE"""),7.0)</f>
        <v>7</v>
      </c>
      <c r="L103" s="189">
        <f>IFERROR(__xludf.DUMMYFUNCTION("""COMPUTED_VALUE"""),5.0)</f>
        <v>5</v>
      </c>
      <c r="M103" s="189">
        <f>IFERROR(__xludf.DUMMYFUNCTION("""COMPUTED_VALUE"""),1.0)</f>
        <v>1</v>
      </c>
      <c r="N103" s="189">
        <f>IFERROR(__xludf.DUMMYFUNCTION("""COMPUTED_VALUE"""),1.0)</f>
        <v>1</v>
      </c>
      <c r="O103" s="189">
        <f>IFERROR(__xludf.DUMMYFUNCTION("""COMPUTED_VALUE"""),7.0)</f>
        <v>7</v>
      </c>
      <c r="P103" s="189">
        <f>IFERROR(__xludf.DUMMYFUNCTION("""COMPUTED_VALUE"""),5.0)</f>
        <v>5</v>
      </c>
      <c r="Q103" s="189">
        <f>IFERROR(__xludf.DUMMYFUNCTION("""COMPUTED_VALUE"""),3.0)</f>
        <v>3</v>
      </c>
      <c r="R103" s="189">
        <f>IFERROR(__xludf.DUMMYFUNCTION("""COMPUTED_VALUE"""),8.0)</f>
        <v>8</v>
      </c>
      <c r="S103" s="189">
        <f>IFERROR(__xludf.DUMMYFUNCTION("""COMPUTED_VALUE"""),0.0)</f>
        <v>0</v>
      </c>
      <c r="T103" s="189">
        <f>IFERROR(__xludf.DUMMYFUNCTION("""COMPUTED_VALUE"""),0.0)</f>
        <v>0</v>
      </c>
      <c r="U103" s="189">
        <f>IFERROR(__xludf.DUMMYFUNCTION("""COMPUTED_VALUE"""),8.0)</f>
        <v>8</v>
      </c>
      <c r="V103" s="189">
        <f>IFERROR(__xludf.DUMMYFUNCTION("""COMPUTED_VALUE"""),3.0)</f>
        <v>3</v>
      </c>
      <c r="W103" s="189">
        <f>IFERROR(__xludf.DUMMYFUNCTION("""COMPUTED_VALUE"""),5.0)</f>
        <v>5</v>
      </c>
      <c r="X103" s="189">
        <f>IFERROR(__xludf.DUMMYFUNCTION("""COMPUTED_VALUE"""),7.0)</f>
        <v>7</v>
      </c>
      <c r="Y103" s="189" t="str">
        <f>IFERROR(__xludf.DUMMYFUNCTION("""COMPUTED_VALUE"""),"2025-07-21T00:00:00.000Z")</f>
        <v>2025-07-21T00:00:00.000Z</v>
      </c>
      <c r="Z103" s="189" t="str">
        <f>IFERROR(__xludf.DUMMYFUNCTION("""COMPUTED_VALUE"""),"Boars Gaming_Bind")</f>
        <v>Boars Gaming_Bind</v>
      </c>
    </row>
    <row r="104">
      <c r="A104" s="189">
        <f>IFERROR(__xludf.DUMMYFUNCTION("""COMPUTED_VALUE"""),210359.0)</f>
        <v>210359</v>
      </c>
      <c r="B104" s="189">
        <f>IFERROR(__xludf.DUMMYFUNCTION("""COMPUTED_VALUE"""),92557.0)</f>
        <v>92557</v>
      </c>
      <c r="C104" s="189" t="str">
        <f>IFERROR(__xludf.DUMMYFUNCTION("""COMPUTED_VALUE"""),"Challengers League 2025 MENA: Resilience - GPI - Split 2 - Playoffs")</f>
        <v>Challengers League 2025 MENA: Resilience - GPI - Split 2 - Playoffs</v>
      </c>
      <c r="D104" s="189" t="str">
        <f>IFERROR(__xludf.DUMMYFUNCTION("""COMPUTED_VALUE"""),"Corrode")</f>
        <v>Corrode</v>
      </c>
      <c r="E104" s="189" t="str">
        <f>IFERROR(__xludf.DUMMYFUNCTION("""COMPUTED_VALUE"""),"Twisted Minds Esports")</f>
        <v>Twisted Minds Esports</v>
      </c>
      <c r="F104" s="189" t="str">
        <f>IFERROR(__xludf.DUMMYFUNCTION("""COMPUTED_VALUE"""),"The Ultimates")</f>
        <v>The Ultimates</v>
      </c>
      <c r="G104" s="189" t="str">
        <f>IFERROR(__xludf.DUMMYFUNCTION("""COMPUTED_VALUE"""),"Omen,Yoru,Chamber,Fade,Vyse")</f>
        <v>Omen,Yoru,Chamber,Fade,Vyse</v>
      </c>
      <c r="H104" s="189" t="str">
        <f>IFERROR(__xludf.DUMMYFUNCTION("""COMPUTED_VALUE"""),"Cypher,Omen,Yoru,Fade,Iso")</f>
        <v>Cypher,Omen,Yoru,Fade,Iso</v>
      </c>
      <c r="I104" s="189">
        <f>IFERROR(__xludf.DUMMYFUNCTION("""COMPUTED_VALUE"""),14.0)</f>
        <v>14</v>
      </c>
      <c r="J104" s="189">
        <f>IFERROR(__xludf.DUMMYFUNCTION("""COMPUTED_VALUE"""),12.0)</f>
        <v>12</v>
      </c>
      <c r="K104" s="189">
        <f>IFERROR(__xludf.DUMMYFUNCTION("""COMPUTED_VALUE"""),6.0)</f>
        <v>6</v>
      </c>
      <c r="L104" s="189">
        <f>IFERROR(__xludf.DUMMYFUNCTION("""COMPUTED_VALUE"""),6.0)</f>
        <v>6</v>
      </c>
      <c r="M104" s="189">
        <f>IFERROR(__xludf.DUMMYFUNCTION("""COMPUTED_VALUE"""),1.0)</f>
        <v>1</v>
      </c>
      <c r="N104" s="189">
        <f>IFERROR(__xludf.DUMMYFUNCTION("""COMPUTED_VALUE"""),1.0)</f>
        <v>1</v>
      </c>
      <c r="O104" s="189">
        <f>IFERROR(__xludf.DUMMYFUNCTION("""COMPUTED_VALUE"""),7.0)</f>
        <v>7</v>
      </c>
      <c r="P104" s="189">
        <f>IFERROR(__xludf.DUMMYFUNCTION("""COMPUTED_VALUE"""),6.0)</f>
        <v>6</v>
      </c>
      <c r="Q104" s="189">
        <f>IFERROR(__xludf.DUMMYFUNCTION("""COMPUTED_VALUE"""),7.0)</f>
        <v>7</v>
      </c>
      <c r="R104" s="189">
        <f>IFERROR(__xludf.DUMMYFUNCTION("""COMPUTED_VALUE"""),6.0)</f>
        <v>6</v>
      </c>
      <c r="S104" s="189">
        <f>IFERROR(__xludf.DUMMYFUNCTION("""COMPUTED_VALUE"""),0.0)</f>
        <v>0</v>
      </c>
      <c r="T104" s="189">
        <f>IFERROR(__xludf.DUMMYFUNCTION("""COMPUTED_VALUE"""),0.0)</f>
        <v>0</v>
      </c>
      <c r="U104" s="189">
        <f>IFERROR(__xludf.DUMMYFUNCTION("""COMPUTED_VALUE"""),6.0)</f>
        <v>6</v>
      </c>
      <c r="V104" s="189">
        <f>IFERROR(__xludf.DUMMYFUNCTION("""COMPUTED_VALUE"""),7.0)</f>
        <v>7</v>
      </c>
      <c r="W104" s="189">
        <f>IFERROR(__xludf.DUMMYFUNCTION("""COMPUTED_VALUE"""),6.0)</f>
        <v>6</v>
      </c>
      <c r="X104" s="189">
        <f>IFERROR(__xludf.DUMMYFUNCTION("""COMPUTED_VALUE"""),7.0)</f>
        <v>7</v>
      </c>
      <c r="Y104" s="189" t="str">
        <f>IFERROR(__xludf.DUMMYFUNCTION("""COMPUTED_VALUE"""),"2025-07-21T00:00:00.000Z")</f>
        <v>2025-07-21T00:00:00.000Z</v>
      </c>
      <c r="Z104" s="189" t="str">
        <f>IFERROR(__xludf.DUMMYFUNCTION("""COMPUTED_VALUE"""),"Twisted Minds Esports_Corrode")</f>
        <v>Twisted Minds Esports_Corrode</v>
      </c>
    </row>
    <row r="105">
      <c r="A105" s="189">
        <f>IFERROR(__xludf.DUMMYFUNCTION("""COMPUTED_VALUE"""),210755.0)</f>
        <v>210755</v>
      </c>
      <c r="B105" s="189">
        <f>IFERROR(__xludf.DUMMYFUNCTION("""COMPUTED_VALUE"""),92708.0)</f>
        <v>92708</v>
      </c>
      <c r="C105" s="189" t="str">
        <f>IFERROR(__xludf.DUMMYFUNCTION("""COMPUTED_VALUE"""),"Challengers League 2025 NORTH EAST: Split 3 - Upper Swiss Phase")</f>
        <v>Challengers League 2025 NORTH EAST: Split 3 - Upper Swiss Phase</v>
      </c>
      <c r="D105" s="189" t="str">
        <f>IFERROR(__xludf.DUMMYFUNCTION("""COMPUTED_VALUE"""),"Lotus")</f>
        <v>Lotus</v>
      </c>
      <c r="E105" s="189" t="str">
        <f>IFERROR(__xludf.DUMMYFUNCTION("""COMPUTED_VALUE"""),"Boars Gaming")</f>
        <v>Boars Gaming</v>
      </c>
      <c r="F105" s="189" t="str">
        <f>IFERROR(__xludf.DUMMYFUNCTION("""COMPUTED_VALUE"""),"Enterprise Esports")</f>
        <v>Enterprise Esports</v>
      </c>
      <c r="G105" s="189" t="str">
        <f>IFERROR(__xludf.DUMMYFUNCTION("""COMPUTED_VALUE"""),"Breach,Cypher,Omen,Neon,Fade")</f>
        <v>Breach,Cypher,Omen,Neon,Fade</v>
      </c>
      <c r="H105" s="189" t="str">
        <f>IFERROR(__xludf.DUMMYFUNCTION("""COMPUTED_VALUE"""),"Breach,Cypher,Omen,Neon,Fade")</f>
        <v>Breach,Cypher,Omen,Neon,Fade</v>
      </c>
      <c r="I105" s="189">
        <f>IFERROR(__xludf.DUMMYFUNCTION("""COMPUTED_VALUE"""),13.0)</f>
        <v>13</v>
      </c>
      <c r="J105" s="189">
        <f>IFERROR(__xludf.DUMMYFUNCTION("""COMPUTED_VALUE"""),11.0)</f>
        <v>11</v>
      </c>
      <c r="K105" s="189">
        <f>IFERROR(__xludf.DUMMYFUNCTION("""COMPUTED_VALUE"""),8.0)</f>
        <v>8</v>
      </c>
      <c r="L105" s="189">
        <f>IFERROR(__xludf.DUMMYFUNCTION("""COMPUTED_VALUE"""),4.0)</f>
        <v>4</v>
      </c>
      <c r="M105" s="189">
        <f>IFERROR(__xludf.DUMMYFUNCTION("""COMPUTED_VALUE"""),1.0)</f>
        <v>1</v>
      </c>
      <c r="N105" s="189">
        <f>IFERROR(__xludf.DUMMYFUNCTION("""COMPUTED_VALUE"""),1.0)</f>
        <v>1</v>
      </c>
      <c r="O105" s="189">
        <f>IFERROR(__xludf.DUMMYFUNCTION("""COMPUTED_VALUE"""),8.0)</f>
        <v>8</v>
      </c>
      <c r="P105" s="189">
        <f>IFERROR(__xludf.DUMMYFUNCTION("""COMPUTED_VALUE"""),4.0)</f>
        <v>4</v>
      </c>
      <c r="Q105" s="189">
        <f>IFERROR(__xludf.DUMMYFUNCTION("""COMPUTED_VALUE"""),5.0)</f>
        <v>5</v>
      </c>
      <c r="R105" s="189">
        <f>IFERROR(__xludf.DUMMYFUNCTION("""COMPUTED_VALUE"""),7.0)</f>
        <v>7</v>
      </c>
      <c r="S105" s="189">
        <f>IFERROR(__xludf.DUMMYFUNCTION("""COMPUTED_VALUE"""),0.0)</f>
        <v>0</v>
      </c>
      <c r="T105" s="189">
        <f>IFERROR(__xludf.DUMMYFUNCTION("""COMPUTED_VALUE"""),0.0)</f>
        <v>0</v>
      </c>
      <c r="U105" s="189">
        <f>IFERROR(__xludf.DUMMYFUNCTION("""COMPUTED_VALUE"""),7.0)</f>
        <v>7</v>
      </c>
      <c r="V105" s="189">
        <f>IFERROR(__xludf.DUMMYFUNCTION("""COMPUTED_VALUE"""),5.0)</f>
        <v>5</v>
      </c>
      <c r="W105" s="189">
        <f>IFERROR(__xludf.DUMMYFUNCTION("""COMPUTED_VALUE"""),4.0)</f>
        <v>4</v>
      </c>
      <c r="X105" s="189">
        <f>IFERROR(__xludf.DUMMYFUNCTION("""COMPUTED_VALUE"""),8.0)</f>
        <v>8</v>
      </c>
      <c r="Y105" s="189" t="str">
        <f>IFERROR(__xludf.DUMMYFUNCTION("""COMPUTED_VALUE"""),"2025-07-21T00:00:00.000Z")</f>
        <v>2025-07-21T00:00:00.000Z</v>
      </c>
      <c r="Z105" s="189" t="str">
        <f>IFERROR(__xludf.DUMMYFUNCTION("""COMPUTED_VALUE"""),"Boars Gaming_Lotus")</f>
        <v>Boars Gaming_Lotus</v>
      </c>
    </row>
    <row r="106">
      <c r="A106" s="189">
        <f>IFERROR(__xludf.DUMMYFUNCTION("""COMPUTED_VALUE"""),210754.0)</f>
        <v>210754</v>
      </c>
      <c r="B106" s="189">
        <f>IFERROR(__xludf.DUMMYFUNCTION("""COMPUTED_VALUE"""),92708.0)</f>
        <v>92708</v>
      </c>
      <c r="C106" s="189" t="str">
        <f>IFERROR(__xludf.DUMMYFUNCTION("""COMPUTED_VALUE"""),"Challengers League 2025 NORTH EAST: Split 3 - Upper Swiss Phase")</f>
        <v>Challengers League 2025 NORTH EAST: Split 3 - Upper Swiss Phase</v>
      </c>
      <c r="D106" s="189" t="str">
        <f>IFERROR(__xludf.DUMMYFUNCTION("""COMPUTED_VALUE"""),"Corrode")</f>
        <v>Corrode</v>
      </c>
      <c r="E106" s="189" t="str">
        <f>IFERROR(__xludf.DUMMYFUNCTION("""COMPUTED_VALUE"""),"Boars Gaming")</f>
        <v>Boars Gaming</v>
      </c>
      <c r="F106" s="189" t="str">
        <f>IFERROR(__xludf.DUMMYFUNCTION("""COMPUTED_VALUE"""),"Enterprise Esports")</f>
        <v>Enterprise Esports</v>
      </c>
      <c r="G106" s="189" t="str">
        <f>IFERROR(__xludf.DUMMYFUNCTION("""COMPUTED_VALUE"""),"Omen,Yoru,Chamber,Neon,Fade")</f>
        <v>Omen,Yoru,Chamber,Neon,Fade</v>
      </c>
      <c r="H106" s="189" t="str">
        <f>IFERROR(__xludf.DUMMYFUNCTION("""COMPUTED_VALUE"""),"Sova,Viper,Omen,Yoru,Fade")</f>
        <v>Sova,Viper,Omen,Yoru,Fade</v>
      </c>
      <c r="I106" s="189">
        <f>IFERROR(__xludf.DUMMYFUNCTION("""COMPUTED_VALUE"""),9.0)</f>
        <v>9</v>
      </c>
      <c r="J106" s="189">
        <f>IFERROR(__xludf.DUMMYFUNCTION("""COMPUTED_VALUE"""),13.0)</f>
        <v>13</v>
      </c>
      <c r="K106" s="189">
        <f>IFERROR(__xludf.DUMMYFUNCTION("""COMPUTED_VALUE"""),3.0)</f>
        <v>3</v>
      </c>
      <c r="L106" s="189">
        <f>IFERROR(__xludf.DUMMYFUNCTION("""COMPUTED_VALUE"""),9.0)</f>
        <v>9</v>
      </c>
      <c r="M106" s="189">
        <f>IFERROR(__xludf.DUMMYFUNCTION("""COMPUTED_VALUE"""),1.0)</f>
        <v>1</v>
      </c>
      <c r="N106" s="189">
        <f>IFERROR(__xludf.DUMMYFUNCTION("""COMPUTED_VALUE"""),1.0)</f>
        <v>1</v>
      </c>
      <c r="O106" s="189">
        <f>IFERROR(__xludf.DUMMYFUNCTION("""COMPUTED_VALUE"""),3.0)</f>
        <v>3</v>
      </c>
      <c r="P106" s="189">
        <f>IFERROR(__xludf.DUMMYFUNCTION("""COMPUTED_VALUE"""),9.0)</f>
        <v>9</v>
      </c>
      <c r="Q106" s="189">
        <f>IFERROR(__xludf.DUMMYFUNCTION("""COMPUTED_VALUE"""),6.0)</f>
        <v>6</v>
      </c>
      <c r="R106" s="189">
        <f>IFERROR(__xludf.DUMMYFUNCTION("""COMPUTED_VALUE"""),4.0)</f>
        <v>4</v>
      </c>
      <c r="S106" s="189">
        <f>IFERROR(__xludf.DUMMYFUNCTION("""COMPUTED_VALUE"""),0.0)</f>
        <v>0</v>
      </c>
      <c r="T106" s="189">
        <f>IFERROR(__xludf.DUMMYFUNCTION("""COMPUTED_VALUE"""),0.0)</f>
        <v>0</v>
      </c>
      <c r="U106" s="189">
        <f>IFERROR(__xludf.DUMMYFUNCTION("""COMPUTED_VALUE"""),4.0)</f>
        <v>4</v>
      </c>
      <c r="V106" s="189">
        <f>IFERROR(__xludf.DUMMYFUNCTION("""COMPUTED_VALUE"""),6.0)</f>
        <v>6</v>
      </c>
      <c r="W106" s="189">
        <f>IFERROR(__xludf.DUMMYFUNCTION("""COMPUTED_VALUE"""),9.0)</f>
        <v>9</v>
      </c>
      <c r="X106" s="189">
        <f>IFERROR(__xludf.DUMMYFUNCTION("""COMPUTED_VALUE"""),3.0)</f>
        <v>3</v>
      </c>
      <c r="Y106" s="189" t="str">
        <f>IFERROR(__xludf.DUMMYFUNCTION("""COMPUTED_VALUE"""),"2025-07-21T00:00:00.000Z")</f>
        <v>2025-07-21T00:00:00.000Z</v>
      </c>
      <c r="Z106" s="189" t="str">
        <f>IFERROR(__xludf.DUMMYFUNCTION("""COMPUTED_VALUE"""),"Boars Gaming_Corrode")</f>
        <v>Boars Gaming_Corrode</v>
      </c>
    </row>
    <row r="107">
      <c r="A107" s="189">
        <f>IFERROR(__xludf.DUMMYFUNCTION("""COMPUTED_VALUE"""),210744.0)</f>
        <v>210744</v>
      </c>
      <c r="B107" s="189">
        <f>IFERROR(__xludf.DUMMYFUNCTION("""COMPUTED_VALUE"""),92704.0)</f>
        <v>92704</v>
      </c>
      <c r="C107" s="189" t="str">
        <f>IFERROR(__xludf.DUMMYFUNCTION("""COMPUTED_VALUE"""),"Challengers League 2025 NORTH EAST: Split 3 - Upper Swiss Phase")</f>
        <v>Challengers League 2025 NORTH EAST: Split 3 - Upper Swiss Phase</v>
      </c>
      <c r="D107" s="189" t="str">
        <f>IFERROR(__xludf.DUMMYFUNCTION("""COMPUTED_VALUE"""),"Ascent")</f>
        <v>Ascent</v>
      </c>
      <c r="E107" s="189" t="str">
        <f>IFERROR(__xludf.DUMMYFUNCTION("""COMPUTED_VALUE"""),"děti ulice")</f>
        <v>děti ulice</v>
      </c>
      <c r="F107" s="189" t="str">
        <f>IFERROR(__xludf.DUMMYFUNCTION("""COMPUTED_VALUE"""),"Metizport")</f>
        <v>Metizport</v>
      </c>
      <c r="G107" s="189" t="str">
        <f>IFERROR(__xludf.DUMMYFUNCTION("""COMPUTED_VALUE"""),"Sova,Killjoy,Omen,Jett,KAY/O")</f>
        <v>Sova,Killjoy,Omen,Jett,KAY/O</v>
      </c>
      <c r="H107" s="189" t="str">
        <f>IFERROR(__xludf.DUMMYFUNCTION("""COMPUTED_VALUE"""),"Cypher,Sova,Omen,Jett,KAY/O")</f>
        <v>Cypher,Sova,Omen,Jett,KAY/O</v>
      </c>
      <c r="I107" s="189">
        <f>IFERROR(__xludf.DUMMYFUNCTION("""COMPUTED_VALUE"""),12.0)</f>
        <v>12</v>
      </c>
      <c r="J107" s="189">
        <f>IFERROR(__xludf.DUMMYFUNCTION("""COMPUTED_VALUE"""),14.0)</f>
        <v>14</v>
      </c>
      <c r="K107" s="189">
        <f>IFERROR(__xludf.DUMMYFUNCTION("""COMPUTED_VALUE"""),5.0)</f>
        <v>5</v>
      </c>
      <c r="L107" s="189">
        <f>IFERROR(__xludf.DUMMYFUNCTION("""COMPUTED_VALUE"""),7.0)</f>
        <v>7</v>
      </c>
      <c r="M107" s="189">
        <f>IFERROR(__xludf.DUMMYFUNCTION("""COMPUTED_VALUE"""),1.0)</f>
        <v>1</v>
      </c>
      <c r="N107" s="189">
        <f>IFERROR(__xludf.DUMMYFUNCTION("""COMPUTED_VALUE"""),0.0)</f>
        <v>0</v>
      </c>
      <c r="O107" s="189">
        <f>IFERROR(__xludf.DUMMYFUNCTION("""COMPUTED_VALUE"""),7.0)</f>
        <v>7</v>
      </c>
      <c r="P107" s="189">
        <f>IFERROR(__xludf.DUMMYFUNCTION("""COMPUTED_VALUE"""),6.0)</f>
        <v>6</v>
      </c>
      <c r="Q107" s="189">
        <f>IFERROR(__xludf.DUMMYFUNCTION("""COMPUTED_VALUE"""),5.0)</f>
        <v>5</v>
      </c>
      <c r="R107" s="189">
        <f>IFERROR(__xludf.DUMMYFUNCTION("""COMPUTED_VALUE"""),8.0)</f>
        <v>8</v>
      </c>
      <c r="S107" s="189">
        <f>IFERROR(__xludf.DUMMYFUNCTION("""COMPUTED_VALUE"""),1.0)</f>
        <v>1</v>
      </c>
      <c r="T107" s="189">
        <f>IFERROR(__xludf.DUMMYFUNCTION("""COMPUTED_VALUE"""),0.0)</f>
        <v>0</v>
      </c>
      <c r="U107" s="189">
        <f>IFERROR(__xludf.DUMMYFUNCTION("""COMPUTED_VALUE"""),8.0)</f>
        <v>8</v>
      </c>
      <c r="V107" s="189">
        <f>IFERROR(__xludf.DUMMYFUNCTION("""COMPUTED_VALUE"""),5.0)</f>
        <v>5</v>
      </c>
      <c r="W107" s="189">
        <f>IFERROR(__xludf.DUMMYFUNCTION("""COMPUTED_VALUE"""),6.0)</f>
        <v>6</v>
      </c>
      <c r="X107" s="189">
        <f>IFERROR(__xludf.DUMMYFUNCTION("""COMPUTED_VALUE"""),7.0)</f>
        <v>7</v>
      </c>
      <c r="Y107" s="189" t="str">
        <f>IFERROR(__xludf.DUMMYFUNCTION("""COMPUTED_VALUE"""),"2025-07-20T00:00:00.000Z")</f>
        <v>2025-07-20T00:00:00.000Z</v>
      </c>
      <c r="Z107" s="189" t="str">
        <f>IFERROR(__xludf.DUMMYFUNCTION("""COMPUTED_VALUE"""),"děti ulice_Ascent")</f>
        <v>děti ulice_Ascent</v>
      </c>
    </row>
    <row r="108">
      <c r="A108" s="189">
        <f>IFERROR(__xludf.DUMMYFUNCTION("""COMPUTED_VALUE"""),208401.0)</f>
        <v>208401</v>
      </c>
      <c r="B108" s="189">
        <f>IFERROR(__xludf.DUMMYFUNCTION("""COMPUTED_VALUE"""),91782.0)</f>
        <v>91782</v>
      </c>
      <c r="C108" s="189" t="str">
        <f>IFERROR(__xludf.DUMMYFUNCTION("""COMPUTED_VALUE"""),"Challengers League 2025 Türkiye Birlik: Split 3 - Group Stage")</f>
        <v>Challengers League 2025 Türkiye Birlik: Split 3 - Group Stage</v>
      </c>
      <c r="D108" s="189" t="str">
        <f>IFERROR(__xludf.DUMMYFUNCTION("""COMPUTED_VALUE"""),"Lotus")</f>
        <v>Lotus</v>
      </c>
      <c r="E108" s="189" t="str">
        <f>IFERROR(__xludf.DUMMYFUNCTION("""COMPUTED_VALUE"""),"ULF Esports")</f>
        <v>ULF Esports</v>
      </c>
      <c r="F108" s="189" t="str">
        <f>IFERROR(__xludf.DUMMYFUNCTION("""COMPUTED_VALUE"""),"Misa Esports")</f>
        <v>Misa Esports</v>
      </c>
      <c r="G108" s="189" t="str">
        <f>IFERROR(__xludf.DUMMYFUNCTION("""COMPUTED_VALUE"""),"Raze,Omen,Yoru,Fade,Vyse")</f>
        <v>Raze,Omen,Yoru,Fade,Vyse</v>
      </c>
      <c r="H108" s="189" t="str">
        <f>IFERROR(__xludf.DUMMYFUNCTION("""COMPUTED_VALUE"""),"Raze,Viper,Omen,Fade,Vyse")</f>
        <v>Raze,Viper,Omen,Fade,Vyse</v>
      </c>
      <c r="I108" s="189">
        <f>IFERROR(__xludf.DUMMYFUNCTION("""COMPUTED_VALUE"""),13.0)</f>
        <v>13</v>
      </c>
      <c r="J108" s="189">
        <f>IFERROR(__xludf.DUMMYFUNCTION("""COMPUTED_VALUE"""),1.0)</f>
        <v>1</v>
      </c>
      <c r="K108" s="189">
        <f>IFERROR(__xludf.DUMMYFUNCTION("""COMPUTED_VALUE"""),11.0)</f>
        <v>11</v>
      </c>
      <c r="L108" s="189">
        <f>IFERROR(__xludf.DUMMYFUNCTION("""COMPUTED_VALUE"""),1.0)</f>
        <v>1</v>
      </c>
      <c r="M108" s="189">
        <f>IFERROR(__xludf.DUMMYFUNCTION("""COMPUTED_VALUE"""),1.0)</f>
        <v>1</v>
      </c>
      <c r="N108" s="189">
        <f>IFERROR(__xludf.DUMMYFUNCTION("""COMPUTED_VALUE"""),1.0)</f>
        <v>1</v>
      </c>
      <c r="O108" s="189">
        <f>IFERROR(__xludf.DUMMYFUNCTION("""COMPUTED_VALUE"""),11.0)</f>
        <v>11</v>
      </c>
      <c r="P108" s="189">
        <f>IFERROR(__xludf.DUMMYFUNCTION("""COMPUTED_VALUE"""),1.0)</f>
        <v>1</v>
      </c>
      <c r="Q108" s="189">
        <f>IFERROR(__xludf.DUMMYFUNCTION("""COMPUTED_VALUE"""),2.0)</f>
        <v>2</v>
      </c>
      <c r="R108" s="189">
        <f>IFERROR(__xludf.DUMMYFUNCTION("""COMPUTED_VALUE"""),0.0)</f>
        <v>0</v>
      </c>
      <c r="S108" s="189">
        <f>IFERROR(__xludf.DUMMYFUNCTION("""COMPUTED_VALUE"""),0.0)</f>
        <v>0</v>
      </c>
      <c r="T108" s="189">
        <f>IFERROR(__xludf.DUMMYFUNCTION("""COMPUTED_VALUE"""),0.0)</f>
        <v>0</v>
      </c>
      <c r="U108" s="189">
        <f>IFERROR(__xludf.DUMMYFUNCTION("""COMPUTED_VALUE"""),0.0)</f>
        <v>0</v>
      </c>
      <c r="V108" s="189">
        <f>IFERROR(__xludf.DUMMYFUNCTION("""COMPUTED_VALUE"""),2.0)</f>
        <v>2</v>
      </c>
      <c r="W108" s="189">
        <f>IFERROR(__xludf.DUMMYFUNCTION("""COMPUTED_VALUE"""),1.0)</f>
        <v>1</v>
      </c>
      <c r="X108" s="189">
        <f>IFERROR(__xludf.DUMMYFUNCTION("""COMPUTED_VALUE"""),11.0)</f>
        <v>11</v>
      </c>
      <c r="Y108" s="189" t="str">
        <f>IFERROR(__xludf.DUMMYFUNCTION("""COMPUTED_VALUE"""),"2025-07-20T00:00:00.000Z")</f>
        <v>2025-07-20T00:00:00.000Z</v>
      </c>
      <c r="Z108" s="189" t="str">
        <f>IFERROR(__xludf.DUMMYFUNCTION("""COMPUTED_VALUE"""),"ULF Esports_Lotus")</f>
        <v>ULF Esports_Lotus</v>
      </c>
    </row>
    <row r="109">
      <c r="A109" s="189">
        <f>IFERROR(__xludf.DUMMYFUNCTION("""COMPUTED_VALUE"""),210743.0)</f>
        <v>210743</v>
      </c>
      <c r="B109" s="189">
        <f>IFERROR(__xludf.DUMMYFUNCTION("""COMPUTED_VALUE"""),92704.0)</f>
        <v>92704</v>
      </c>
      <c r="C109" s="189" t="str">
        <f>IFERROR(__xludf.DUMMYFUNCTION("""COMPUTED_VALUE"""),"Challengers League 2025 NORTH EAST: Split 3 - Upper Swiss Phase")</f>
        <v>Challengers League 2025 NORTH EAST: Split 3 - Upper Swiss Phase</v>
      </c>
      <c r="D109" s="189" t="str">
        <f>IFERROR(__xludf.DUMMYFUNCTION("""COMPUTED_VALUE"""),"Icebox")</f>
        <v>Icebox</v>
      </c>
      <c r="E109" s="189" t="str">
        <f>IFERROR(__xludf.DUMMYFUNCTION("""COMPUTED_VALUE"""),"děti ulice")</f>
        <v>děti ulice</v>
      </c>
      <c r="F109" s="189" t="str">
        <f>IFERROR(__xludf.DUMMYFUNCTION("""COMPUTED_VALUE"""),"Metizport")</f>
        <v>Metizport</v>
      </c>
      <c r="G109" s="189" t="str">
        <f>IFERROR(__xludf.DUMMYFUNCTION("""COMPUTED_VALUE"""),"Sova,Killjoy,Viper,Reyna,Jett")</f>
        <v>Sova,Killjoy,Viper,Reyna,Jett</v>
      </c>
      <c r="H109" s="189" t="str">
        <f>IFERROR(__xludf.DUMMYFUNCTION("""COMPUTED_VALUE"""),"Sova,Killjoy,Viper,Jett,Harbor")</f>
        <v>Sova,Killjoy,Viper,Jett,Harbor</v>
      </c>
      <c r="I109" s="189">
        <f>IFERROR(__xludf.DUMMYFUNCTION("""COMPUTED_VALUE"""),17.0)</f>
        <v>17</v>
      </c>
      <c r="J109" s="189">
        <f>IFERROR(__xludf.DUMMYFUNCTION("""COMPUTED_VALUE"""),15.0)</f>
        <v>15</v>
      </c>
      <c r="K109" s="189">
        <f>IFERROR(__xludf.DUMMYFUNCTION("""COMPUTED_VALUE"""),6.0)</f>
        <v>6</v>
      </c>
      <c r="L109" s="189">
        <f>IFERROR(__xludf.DUMMYFUNCTION("""COMPUTED_VALUE"""),6.0)</f>
        <v>6</v>
      </c>
      <c r="M109" s="189">
        <f>IFERROR(__xludf.DUMMYFUNCTION("""COMPUTED_VALUE"""),1.0)</f>
        <v>1</v>
      </c>
      <c r="N109" s="189">
        <f>IFERROR(__xludf.DUMMYFUNCTION("""COMPUTED_VALUE"""),0.0)</f>
        <v>0</v>
      </c>
      <c r="O109" s="189">
        <f>IFERROR(__xludf.DUMMYFUNCTION("""COMPUTED_VALUE"""),10.0)</f>
        <v>10</v>
      </c>
      <c r="P109" s="189">
        <f>IFERROR(__xludf.DUMMYFUNCTION("""COMPUTED_VALUE"""),6.0)</f>
        <v>6</v>
      </c>
      <c r="Q109" s="189">
        <f>IFERROR(__xludf.DUMMYFUNCTION("""COMPUTED_VALUE"""),7.0)</f>
        <v>7</v>
      </c>
      <c r="R109" s="189">
        <f>IFERROR(__xludf.DUMMYFUNCTION("""COMPUTED_VALUE"""),9.0)</f>
        <v>9</v>
      </c>
      <c r="S109" s="189">
        <f>IFERROR(__xludf.DUMMYFUNCTION("""COMPUTED_VALUE"""),1.0)</f>
        <v>1</v>
      </c>
      <c r="T109" s="189">
        <f>IFERROR(__xludf.DUMMYFUNCTION("""COMPUTED_VALUE"""),0.0)</f>
        <v>0</v>
      </c>
      <c r="U109" s="189">
        <f>IFERROR(__xludf.DUMMYFUNCTION("""COMPUTED_VALUE"""),9.0)</f>
        <v>9</v>
      </c>
      <c r="V109" s="189">
        <f>IFERROR(__xludf.DUMMYFUNCTION("""COMPUTED_VALUE"""),7.0)</f>
        <v>7</v>
      </c>
      <c r="W109" s="189">
        <f>IFERROR(__xludf.DUMMYFUNCTION("""COMPUTED_VALUE"""),6.0)</f>
        <v>6</v>
      </c>
      <c r="X109" s="189">
        <f>IFERROR(__xludf.DUMMYFUNCTION("""COMPUTED_VALUE"""),10.0)</f>
        <v>10</v>
      </c>
      <c r="Y109" s="189" t="str">
        <f>IFERROR(__xludf.DUMMYFUNCTION("""COMPUTED_VALUE"""),"2025-07-20T00:00:00.000Z")</f>
        <v>2025-07-20T00:00:00.000Z</v>
      </c>
      <c r="Z109" s="189" t="str">
        <f>IFERROR(__xludf.DUMMYFUNCTION("""COMPUTED_VALUE"""),"děti ulice_Icebox")</f>
        <v>děti ulice_Icebox</v>
      </c>
    </row>
    <row r="110">
      <c r="A110" s="189">
        <f>IFERROR(__xludf.DUMMYFUNCTION("""COMPUTED_VALUE"""),208400.0)</f>
        <v>208400</v>
      </c>
      <c r="B110" s="189">
        <f>IFERROR(__xludf.DUMMYFUNCTION("""COMPUTED_VALUE"""),91782.0)</f>
        <v>91782</v>
      </c>
      <c r="C110" s="189" t="str">
        <f>IFERROR(__xludf.DUMMYFUNCTION("""COMPUTED_VALUE"""),"Challengers League 2025 Türkiye Birlik: Split 3 - Group Stage")</f>
        <v>Challengers League 2025 Türkiye Birlik: Split 3 - Group Stage</v>
      </c>
      <c r="D110" s="189" t="str">
        <f>IFERROR(__xludf.DUMMYFUNCTION("""COMPUTED_VALUE"""),"Ascent")</f>
        <v>Ascent</v>
      </c>
      <c r="E110" s="189" t="str">
        <f>IFERROR(__xludf.DUMMYFUNCTION("""COMPUTED_VALUE"""),"ULF Esports")</f>
        <v>ULF Esports</v>
      </c>
      <c r="F110" s="189" t="str">
        <f>IFERROR(__xludf.DUMMYFUNCTION("""COMPUTED_VALUE"""),"Misa Esports")</f>
        <v>Misa Esports</v>
      </c>
      <c r="G110" s="189" t="str">
        <f>IFERROR(__xludf.DUMMYFUNCTION("""COMPUTED_VALUE"""),"Cypher,Sova,Omen,Jett,Deadlock")</f>
        <v>Cypher,Sova,Omen,Jett,Deadlock</v>
      </c>
      <c r="H110" s="189" t="str">
        <f>IFERROR(__xludf.DUMMYFUNCTION("""COMPUTED_VALUE"""),"Sova,Omen,Yoru,Deadlock,Vyse")</f>
        <v>Sova,Omen,Yoru,Deadlock,Vyse</v>
      </c>
      <c r="I110" s="189">
        <f>IFERROR(__xludf.DUMMYFUNCTION("""COMPUTED_VALUE"""),13.0)</f>
        <v>13</v>
      </c>
      <c r="J110" s="189">
        <f>IFERROR(__xludf.DUMMYFUNCTION("""COMPUTED_VALUE"""),9.0)</f>
        <v>9</v>
      </c>
      <c r="K110" s="189">
        <f>IFERROR(__xludf.DUMMYFUNCTION("""COMPUTED_VALUE"""),3.0)</f>
        <v>3</v>
      </c>
      <c r="L110" s="189">
        <f>IFERROR(__xludf.DUMMYFUNCTION("""COMPUTED_VALUE"""),9.0)</f>
        <v>9</v>
      </c>
      <c r="M110" s="189">
        <f>IFERROR(__xludf.DUMMYFUNCTION("""COMPUTED_VALUE"""),1.0)</f>
        <v>1</v>
      </c>
      <c r="N110" s="189">
        <f>IFERROR(__xludf.DUMMYFUNCTION("""COMPUTED_VALUE"""),0.0)</f>
        <v>0</v>
      </c>
      <c r="O110" s="189">
        <f>IFERROR(__xludf.DUMMYFUNCTION("""COMPUTED_VALUE"""),10.0)</f>
        <v>10</v>
      </c>
      <c r="P110" s="189">
        <f>IFERROR(__xludf.DUMMYFUNCTION("""COMPUTED_VALUE"""),0.0)</f>
        <v>0</v>
      </c>
      <c r="Q110" s="189">
        <f>IFERROR(__xludf.DUMMYFUNCTION("""COMPUTED_VALUE"""),3.0)</f>
        <v>3</v>
      </c>
      <c r="R110" s="189">
        <f>IFERROR(__xludf.DUMMYFUNCTION("""COMPUTED_VALUE"""),9.0)</f>
        <v>9</v>
      </c>
      <c r="S110" s="189">
        <f>IFERROR(__xludf.DUMMYFUNCTION("""COMPUTED_VALUE"""),1.0)</f>
        <v>1</v>
      </c>
      <c r="T110" s="189">
        <f>IFERROR(__xludf.DUMMYFUNCTION("""COMPUTED_VALUE"""),0.0)</f>
        <v>0</v>
      </c>
      <c r="U110" s="189">
        <f>IFERROR(__xludf.DUMMYFUNCTION("""COMPUTED_VALUE"""),9.0)</f>
        <v>9</v>
      </c>
      <c r="V110" s="189">
        <f>IFERROR(__xludf.DUMMYFUNCTION("""COMPUTED_VALUE"""),3.0)</f>
        <v>3</v>
      </c>
      <c r="W110" s="189">
        <f>IFERROR(__xludf.DUMMYFUNCTION("""COMPUTED_VALUE"""),0.0)</f>
        <v>0</v>
      </c>
      <c r="X110" s="189">
        <f>IFERROR(__xludf.DUMMYFUNCTION("""COMPUTED_VALUE"""),10.0)</f>
        <v>10</v>
      </c>
      <c r="Y110" s="189" t="str">
        <f>IFERROR(__xludf.DUMMYFUNCTION("""COMPUTED_VALUE"""),"2025-07-20T00:00:00.000Z")</f>
        <v>2025-07-20T00:00:00.000Z</v>
      </c>
      <c r="Z110" s="189" t="str">
        <f>IFERROR(__xludf.DUMMYFUNCTION("""COMPUTED_VALUE"""),"ULF Esports_Ascent")</f>
        <v>ULF Esports_Ascent</v>
      </c>
    </row>
    <row r="111">
      <c r="A111" s="189">
        <f>IFERROR(__xludf.DUMMYFUNCTION("""COMPUTED_VALUE"""),210742.0)</f>
        <v>210742</v>
      </c>
      <c r="B111" s="189">
        <f>IFERROR(__xludf.DUMMYFUNCTION("""COMPUTED_VALUE"""),92704.0)</f>
        <v>92704</v>
      </c>
      <c r="C111" s="189" t="str">
        <f>IFERROR(__xludf.DUMMYFUNCTION("""COMPUTED_VALUE"""),"Challengers League 2025 NORTH EAST: Split 3 - Upper Swiss Phase")</f>
        <v>Challengers League 2025 NORTH EAST: Split 3 - Upper Swiss Phase</v>
      </c>
      <c r="D111" s="189" t="str">
        <f>IFERROR(__xludf.DUMMYFUNCTION("""COMPUTED_VALUE"""),"Haven")</f>
        <v>Haven</v>
      </c>
      <c r="E111" s="189" t="str">
        <f>IFERROR(__xludf.DUMMYFUNCTION("""COMPUTED_VALUE"""),"děti ulice")</f>
        <v>děti ulice</v>
      </c>
      <c r="F111" s="189" t="str">
        <f>IFERROR(__xludf.DUMMYFUNCTION("""COMPUTED_VALUE"""),"Metizport")</f>
        <v>Metizport</v>
      </c>
      <c r="G111" s="189" t="str">
        <f>IFERROR(__xludf.DUMMYFUNCTION("""COMPUTED_VALUE"""),"Cypher,Sova,Omen,Yoru,Iso")</f>
        <v>Cypher,Sova,Omen,Yoru,Iso</v>
      </c>
      <c r="H111" s="189" t="str">
        <f>IFERROR(__xludf.DUMMYFUNCTION("""COMPUTED_VALUE"""),"Sova,Killjoy,Viper,Omen,Neon")</f>
        <v>Sova,Killjoy,Viper,Omen,Neon</v>
      </c>
      <c r="I111" s="189">
        <f>IFERROR(__xludf.DUMMYFUNCTION("""COMPUTED_VALUE"""),6.0)</f>
        <v>6</v>
      </c>
      <c r="J111" s="189">
        <f>IFERROR(__xludf.DUMMYFUNCTION("""COMPUTED_VALUE"""),13.0)</f>
        <v>13</v>
      </c>
      <c r="K111" s="189">
        <f>IFERROR(__xludf.DUMMYFUNCTION("""COMPUTED_VALUE"""),3.0)</f>
        <v>3</v>
      </c>
      <c r="L111" s="189">
        <f>IFERROR(__xludf.DUMMYFUNCTION("""COMPUTED_VALUE"""),9.0)</f>
        <v>9</v>
      </c>
      <c r="M111" s="189">
        <f>IFERROR(__xludf.DUMMYFUNCTION("""COMPUTED_VALUE"""),0.0)</f>
        <v>0</v>
      </c>
      <c r="N111" s="189">
        <f>IFERROR(__xludf.DUMMYFUNCTION("""COMPUTED_VALUE"""),1.0)</f>
        <v>1</v>
      </c>
      <c r="O111" s="189">
        <f>IFERROR(__xludf.DUMMYFUNCTION("""COMPUTED_VALUE"""),3.0)</f>
        <v>3</v>
      </c>
      <c r="P111" s="189">
        <f>IFERROR(__xludf.DUMMYFUNCTION("""COMPUTED_VALUE"""),4.0)</f>
        <v>4</v>
      </c>
      <c r="Q111" s="189">
        <f>IFERROR(__xludf.DUMMYFUNCTION("""COMPUTED_VALUE"""),3.0)</f>
        <v>3</v>
      </c>
      <c r="R111" s="189">
        <f>IFERROR(__xludf.DUMMYFUNCTION("""COMPUTED_VALUE"""),9.0)</f>
        <v>9</v>
      </c>
      <c r="S111" s="189">
        <f>IFERROR(__xludf.DUMMYFUNCTION("""COMPUTED_VALUE"""),0.0)</f>
        <v>0</v>
      </c>
      <c r="T111" s="189">
        <f>IFERROR(__xludf.DUMMYFUNCTION("""COMPUTED_VALUE"""),1.0)</f>
        <v>1</v>
      </c>
      <c r="U111" s="189">
        <f>IFERROR(__xludf.DUMMYFUNCTION("""COMPUTED_VALUE"""),9.0)</f>
        <v>9</v>
      </c>
      <c r="V111" s="189">
        <f>IFERROR(__xludf.DUMMYFUNCTION("""COMPUTED_VALUE"""),3.0)</f>
        <v>3</v>
      </c>
      <c r="W111" s="189">
        <f>IFERROR(__xludf.DUMMYFUNCTION("""COMPUTED_VALUE"""),4.0)</f>
        <v>4</v>
      </c>
      <c r="X111" s="189">
        <f>IFERROR(__xludf.DUMMYFUNCTION("""COMPUTED_VALUE"""),3.0)</f>
        <v>3</v>
      </c>
      <c r="Y111" s="189" t="str">
        <f>IFERROR(__xludf.DUMMYFUNCTION("""COMPUTED_VALUE"""),"2025-07-20T00:00:00.000Z")</f>
        <v>2025-07-20T00:00:00.000Z</v>
      </c>
      <c r="Z111" s="189" t="str">
        <f>IFERROR(__xludf.DUMMYFUNCTION("""COMPUTED_VALUE"""),"děti ulice_Haven")</f>
        <v>děti ulice_Haven</v>
      </c>
    </row>
    <row r="112">
      <c r="A112" s="189">
        <f>IFERROR(__xludf.DUMMYFUNCTION("""COMPUTED_VALUE"""),209522.0)</f>
        <v>209522</v>
      </c>
      <c r="B112" s="189">
        <f>IFERROR(__xludf.DUMMYFUNCTION("""COMPUTED_VALUE"""),92187.0)</f>
        <v>92187</v>
      </c>
      <c r="C112" s="189" t="str">
        <f>IFERROR(__xludf.DUMMYFUNCTION("""COMPUTED_VALUE"""),"Challengers League 2025 DACH: Evolution Stage 3 - Group Stage")</f>
        <v>Challengers League 2025 DACH: Evolution Stage 3 - Group Stage</v>
      </c>
      <c r="D112" s="189" t="str">
        <f>IFERROR(__xludf.DUMMYFUNCTION("""COMPUTED_VALUE"""),"Ascent")</f>
        <v>Ascent</v>
      </c>
      <c r="E112" s="189" t="str">
        <f>IFERROR(__xludf.DUMMYFUNCTION("""COMPUTED_VALUE"""),"Eintracht Frankfurt")</f>
        <v>Eintracht Frankfurt</v>
      </c>
      <c r="F112" s="189" t="str">
        <f>IFERROR(__xludf.DUMMYFUNCTION("""COMPUTED_VALUE"""),"6GPA")</f>
        <v>6GPA</v>
      </c>
      <c r="G112" s="189" t="str">
        <f>IFERROR(__xludf.DUMMYFUNCTION("""COMPUTED_VALUE"""),"Cypher,Sova,Omen,Jett,KAY/O")</f>
        <v>Cypher,Sova,Omen,Jett,KAY/O</v>
      </c>
      <c r="H112" s="189" t="str">
        <f>IFERROR(__xludf.DUMMYFUNCTION("""COMPUTED_VALUE"""),"Sova,Omen,Yoru,Chamber,Vyse")</f>
        <v>Sova,Omen,Yoru,Chamber,Vyse</v>
      </c>
      <c r="I112" s="189">
        <f>IFERROR(__xludf.DUMMYFUNCTION("""COMPUTED_VALUE"""),12.0)</f>
        <v>12</v>
      </c>
      <c r="J112" s="189">
        <f>IFERROR(__xludf.DUMMYFUNCTION("""COMPUTED_VALUE"""),14.0)</f>
        <v>14</v>
      </c>
      <c r="K112" s="189">
        <f>IFERROR(__xludf.DUMMYFUNCTION("""COMPUTED_VALUE"""),6.0)</f>
        <v>6</v>
      </c>
      <c r="L112" s="189">
        <f>IFERROR(__xludf.DUMMYFUNCTION("""COMPUTED_VALUE"""),6.0)</f>
        <v>6</v>
      </c>
      <c r="M112" s="189">
        <f>IFERROR(__xludf.DUMMYFUNCTION("""COMPUTED_VALUE"""),1.0)</f>
        <v>1</v>
      </c>
      <c r="N112" s="189">
        <f>IFERROR(__xludf.DUMMYFUNCTION("""COMPUTED_VALUE"""),0.0)</f>
        <v>0</v>
      </c>
      <c r="O112" s="189">
        <f>IFERROR(__xludf.DUMMYFUNCTION("""COMPUTED_VALUE"""),6.0)</f>
        <v>6</v>
      </c>
      <c r="P112" s="189">
        <f>IFERROR(__xludf.DUMMYFUNCTION("""COMPUTED_VALUE"""),7.0)</f>
        <v>7</v>
      </c>
      <c r="Q112" s="189">
        <f>IFERROR(__xludf.DUMMYFUNCTION("""COMPUTED_VALUE"""),6.0)</f>
        <v>6</v>
      </c>
      <c r="R112" s="189">
        <f>IFERROR(__xludf.DUMMYFUNCTION("""COMPUTED_VALUE"""),7.0)</f>
        <v>7</v>
      </c>
      <c r="S112" s="189">
        <f>IFERROR(__xludf.DUMMYFUNCTION("""COMPUTED_VALUE"""),1.0)</f>
        <v>1</v>
      </c>
      <c r="T112" s="189">
        <f>IFERROR(__xludf.DUMMYFUNCTION("""COMPUTED_VALUE"""),0.0)</f>
        <v>0</v>
      </c>
      <c r="U112" s="189">
        <f>IFERROR(__xludf.DUMMYFUNCTION("""COMPUTED_VALUE"""),7.0)</f>
        <v>7</v>
      </c>
      <c r="V112" s="189">
        <f>IFERROR(__xludf.DUMMYFUNCTION("""COMPUTED_VALUE"""),6.0)</f>
        <v>6</v>
      </c>
      <c r="W112" s="189">
        <f>IFERROR(__xludf.DUMMYFUNCTION("""COMPUTED_VALUE"""),7.0)</f>
        <v>7</v>
      </c>
      <c r="X112" s="189">
        <f>IFERROR(__xludf.DUMMYFUNCTION("""COMPUTED_VALUE"""),6.0)</f>
        <v>6</v>
      </c>
      <c r="Y112" s="189" t="str">
        <f>IFERROR(__xludf.DUMMYFUNCTION("""COMPUTED_VALUE"""),"2025-07-20T00:00:00.000Z")</f>
        <v>2025-07-20T00:00:00.000Z</v>
      </c>
      <c r="Z112" s="189" t="str">
        <f>IFERROR(__xludf.DUMMYFUNCTION("""COMPUTED_VALUE"""),"Eintracht Frankfurt_Ascent")</f>
        <v>Eintracht Frankfurt_Ascent</v>
      </c>
    </row>
    <row r="113">
      <c r="A113" s="189">
        <f>IFERROR(__xludf.DUMMYFUNCTION("""COMPUTED_VALUE"""),209521.0)</f>
        <v>209521</v>
      </c>
      <c r="B113" s="189">
        <f>IFERROR(__xludf.DUMMYFUNCTION("""COMPUTED_VALUE"""),92187.0)</f>
        <v>92187</v>
      </c>
      <c r="C113" s="189" t="str">
        <f>IFERROR(__xludf.DUMMYFUNCTION("""COMPUTED_VALUE"""),"Challengers League 2025 DACH: Evolution Stage 3 - Group Stage")</f>
        <v>Challengers League 2025 DACH: Evolution Stage 3 - Group Stage</v>
      </c>
      <c r="D113" s="189" t="str">
        <f>IFERROR(__xludf.DUMMYFUNCTION("""COMPUTED_VALUE"""),"Lotus")</f>
        <v>Lotus</v>
      </c>
      <c r="E113" s="189" t="str">
        <f>IFERROR(__xludf.DUMMYFUNCTION("""COMPUTED_VALUE"""),"Eintracht Frankfurt")</f>
        <v>Eintracht Frankfurt</v>
      </c>
      <c r="F113" s="189" t="str">
        <f>IFERROR(__xludf.DUMMYFUNCTION("""COMPUTED_VALUE"""),"6GPA")</f>
        <v>6GPA</v>
      </c>
      <c r="G113" s="189" t="str">
        <f>IFERROR(__xludf.DUMMYFUNCTION("""COMPUTED_VALUE"""),"Cypher,Viper,Omen,Yoru,Fade")</f>
        <v>Cypher,Viper,Omen,Yoru,Fade</v>
      </c>
      <c r="H113" s="189" t="str">
        <f>IFERROR(__xludf.DUMMYFUNCTION("""COMPUTED_VALUE"""),"Raze,Cypher,Omen,Fade,Iso")</f>
        <v>Raze,Cypher,Omen,Fade,Iso</v>
      </c>
      <c r="I113" s="189">
        <f>IFERROR(__xludf.DUMMYFUNCTION("""COMPUTED_VALUE"""),9.0)</f>
        <v>9</v>
      </c>
      <c r="J113" s="189">
        <f>IFERROR(__xludf.DUMMYFUNCTION("""COMPUTED_VALUE"""),13.0)</f>
        <v>13</v>
      </c>
      <c r="K113" s="189">
        <f>IFERROR(__xludf.DUMMYFUNCTION("""COMPUTED_VALUE"""),7.0)</f>
        <v>7</v>
      </c>
      <c r="L113" s="189">
        <f>IFERROR(__xludf.DUMMYFUNCTION("""COMPUTED_VALUE"""),5.0)</f>
        <v>5</v>
      </c>
      <c r="M113" s="189">
        <f>IFERROR(__xludf.DUMMYFUNCTION("""COMPUTED_VALUE"""),1.0)</f>
        <v>1</v>
      </c>
      <c r="N113" s="189">
        <f>IFERROR(__xludf.DUMMYFUNCTION("""COMPUTED_VALUE"""),1.0)</f>
        <v>1</v>
      </c>
      <c r="O113" s="189">
        <f>IFERROR(__xludf.DUMMYFUNCTION("""COMPUTED_VALUE"""),7.0)</f>
        <v>7</v>
      </c>
      <c r="P113" s="189">
        <f>IFERROR(__xludf.DUMMYFUNCTION("""COMPUTED_VALUE"""),5.0)</f>
        <v>5</v>
      </c>
      <c r="Q113" s="189">
        <f>IFERROR(__xludf.DUMMYFUNCTION("""COMPUTED_VALUE"""),2.0)</f>
        <v>2</v>
      </c>
      <c r="R113" s="189">
        <f>IFERROR(__xludf.DUMMYFUNCTION("""COMPUTED_VALUE"""),8.0)</f>
        <v>8</v>
      </c>
      <c r="S113" s="189">
        <f>IFERROR(__xludf.DUMMYFUNCTION("""COMPUTED_VALUE"""),0.0)</f>
        <v>0</v>
      </c>
      <c r="T113" s="189">
        <f>IFERROR(__xludf.DUMMYFUNCTION("""COMPUTED_VALUE"""),0.0)</f>
        <v>0</v>
      </c>
      <c r="U113" s="189">
        <f>IFERROR(__xludf.DUMMYFUNCTION("""COMPUTED_VALUE"""),8.0)</f>
        <v>8</v>
      </c>
      <c r="V113" s="189">
        <f>IFERROR(__xludf.DUMMYFUNCTION("""COMPUTED_VALUE"""),2.0)</f>
        <v>2</v>
      </c>
      <c r="W113" s="189">
        <f>IFERROR(__xludf.DUMMYFUNCTION("""COMPUTED_VALUE"""),5.0)</f>
        <v>5</v>
      </c>
      <c r="X113" s="189">
        <f>IFERROR(__xludf.DUMMYFUNCTION("""COMPUTED_VALUE"""),7.0)</f>
        <v>7</v>
      </c>
      <c r="Y113" s="189" t="str">
        <f>IFERROR(__xludf.DUMMYFUNCTION("""COMPUTED_VALUE"""),"2025-07-20T00:00:00.000Z")</f>
        <v>2025-07-20T00:00:00.000Z</v>
      </c>
      <c r="Z113" s="189" t="str">
        <f>IFERROR(__xludf.DUMMYFUNCTION("""COMPUTED_VALUE"""),"Eintracht Frankfurt_Lotus")</f>
        <v>Eintracht Frankfurt_Lotus</v>
      </c>
    </row>
    <row r="114">
      <c r="A114" s="189">
        <f>IFERROR(__xludf.DUMMYFUNCTION("""COMPUTED_VALUE"""),210752.0)</f>
        <v>210752</v>
      </c>
      <c r="B114" s="189">
        <f>IFERROR(__xludf.DUMMYFUNCTION("""COMPUTED_VALUE"""),92707.0)</f>
        <v>92707</v>
      </c>
      <c r="C114" s="189" t="str">
        <f>IFERROR(__xludf.DUMMYFUNCTION("""COMPUTED_VALUE"""),"Challengers League 2025 NORTH EAST: Split 3 - Upper Swiss Phase")</f>
        <v>Challengers League 2025 NORTH EAST: Split 3 - Upper Swiss Phase</v>
      </c>
      <c r="D114" s="189" t="str">
        <f>IFERROR(__xludf.DUMMYFUNCTION("""COMPUTED_VALUE"""),"Corrode")</f>
        <v>Corrode</v>
      </c>
      <c r="E114" s="189" t="str">
        <f>IFERROR(__xludf.DUMMYFUNCTION("""COMPUTED_VALUE"""),"Team Liquid Academy")</f>
        <v>Team Liquid Academy</v>
      </c>
      <c r="F114" s="189" t="str">
        <f>IFERROR(__xludf.DUMMYFUNCTION("""COMPUTED_VALUE"""),"BONK")</f>
        <v>BONK</v>
      </c>
      <c r="G114" s="189" t="str">
        <f>IFERROR(__xludf.DUMMYFUNCTION("""COMPUTED_VALUE"""),"Cypher,Phoenix,Omen,Yoru,Fade")</f>
        <v>Cypher,Phoenix,Omen,Yoru,Fade</v>
      </c>
      <c r="H114" s="189" t="str">
        <f>IFERROR(__xludf.DUMMYFUNCTION("""COMPUTED_VALUE"""),"Omen,Jett,Yoru,Fade,Vyse")</f>
        <v>Omen,Jett,Yoru,Fade,Vyse</v>
      </c>
      <c r="I114" s="189">
        <f>IFERROR(__xludf.DUMMYFUNCTION("""COMPUTED_VALUE"""),13.0)</f>
        <v>13</v>
      </c>
      <c r="J114" s="189">
        <f>IFERROR(__xludf.DUMMYFUNCTION("""COMPUTED_VALUE"""),5.0)</f>
        <v>5</v>
      </c>
      <c r="K114" s="189">
        <f>IFERROR(__xludf.DUMMYFUNCTION("""COMPUTED_VALUE"""),10.0)</f>
        <v>10</v>
      </c>
      <c r="L114" s="189">
        <f>IFERROR(__xludf.DUMMYFUNCTION("""COMPUTED_VALUE"""),2.0)</f>
        <v>2</v>
      </c>
      <c r="M114" s="189">
        <f>IFERROR(__xludf.DUMMYFUNCTION("""COMPUTED_VALUE"""),0.0)</f>
        <v>0</v>
      </c>
      <c r="N114" s="189">
        <f>IFERROR(__xludf.DUMMYFUNCTION("""COMPUTED_VALUE"""),1.0)</f>
        <v>1</v>
      </c>
      <c r="O114" s="189">
        <f>IFERROR(__xludf.DUMMYFUNCTION("""COMPUTED_VALUE"""),3.0)</f>
        <v>3</v>
      </c>
      <c r="P114" s="189">
        <f>IFERROR(__xludf.DUMMYFUNCTION("""COMPUTED_VALUE"""),3.0)</f>
        <v>3</v>
      </c>
      <c r="Q114" s="189">
        <f>IFERROR(__xludf.DUMMYFUNCTION("""COMPUTED_VALUE"""),10.0)</f>
        <v>10</v>
      </c>
      <c r="R114" s="189">
        <f>IFERROR(__xludf.DUMMYFUNCTION("""COMPUTED_VALUE"""),2.0)</f>
        <v>2</v>
      </c>
      <c r="S114" s="189">
        <f>IFERROR(__xludf.DUMMYFUNCTION("""COMPUTED_VALUE"""),0.0)</f>
        <v>0</v>
      </c>
      <c r="T114" s="189">
        <f>IFERROR(__xludf.DUMMYFUNCTION("""COMPUTED_VALUE"""),1.0)</f>
        <v>1</v>
      </c>
      <c r="U114" s="189">
        <f>IFERROR(__xludf.DUMMYFUNCTION("""COMPUTED_VALUE"""),2.0)</f>
        <v>2</v>
      </c>
      <c r="V114" s="189">
        <f>IFERROR(__xludf.DUMMYFUNCTION("""COMPUTED_VALUE"""),10.0)</f>
        <v>10</v>
      </c>
      <c r="W114" s="189">
        <f>IFERROR(__xludf.DUMMYFUNCTION("""COMPUTED_VALUE"""),3.0)</f>
        <v>3</v>
      </c>
      <c r="X114" s="189">
        <f>IFERROR(__xludf.DUMMYFUNCTION("""COMPUTED_VALUE"""),3.0)</f>
        <v>3</v>
      </c>
      <c r="Y114" s="189" t="str">
        <f>IFERROR(__xludf.DUMMYFUNCTION("""COMPUTED_VALUE"""),"2025-07-20T00:00:00.000Z")</f>
        <v>2025-07-20T00:00:00.000Z</v>
      </c>
      <c r="Z114" s="189" t="str">
        <f>IFERROR(__xludf.DUMMYFUNCTION("""COMPUTED_VALUE"""),"Team Liquid Academy_Corrode")</f>
        <v>Team Liquid Academy_Corrode</v>
      </c>
    </row>
    <row r="115">
      <c r="A115" s="189">
        <f>IFERROR(__xludf.DUMMYFUNCTION("""COMPUTED_VALUE"""),210751.0)</f>
        <v>210751</v>
      </c>
      <c r="B115" s="189">
        <f>IFERROR(__xludf.DUMMYFUNCTION("""COMPUTED_VALUE"""),92707.0)</f>
        <v>92707</v>
      </c>
      <c r="C115" s="189" t="str">
        <f>IFERROR(__xludf.DUMMYFUNCTION("""COMPUTED_VALUE"""),"Challengers League 2025 NORTH EAST: Split 3 - Upper Swiss Phase")</f>
        <v>Challengers League 2025 NORTH EAST: Split 3 - Upper Swiss Phase</v>
      </c>
      <c r="D115" s="189" t="str">
        <f>IFERROR(__xludf.DUMMYFUNCTION("""COMPUTED_VALUE"""),"Icebox")</f>
        <v>Icebox</v>
      </c>
      <c r="E115" s="189" t="str">
        <f>IFERROR(__xludf.DUMMYFUNCTION("""COMPUTED_VALUE"""),"Team Liquid Academy")</f>
        <v>Team Liquid Academy</v>
      </c>
      <c r="F115" s="189" t="str">
        <f>IFERROR(__xludf.DUMMYFUNCTION("""COMPUTED_VALUE"""),"BONK")</f>
        <v>BONK</v>
      </c>
      <c r="G115" s="189" t="str">
        <f>IFERROR(__xludf.DUMMYFUNCTION("""COMPUTED_VALUE"""),"Sova,Killjoy,Viper,Sage,Gekko")</f>
        <v>Sova,Killjoy,Viper,Sage,Gekko</v>
      </c>
      <c r="H115" s="189" t="str">
        <f>IFERROR(__xludf.DUMMYFUNCTION("""COMPUTED_VALUE"""),"Sova,Killjoy,Viper,Reyna,Jett")</f>
        <v>Sova,Killjoy,Viper,Reyna,Jett</v>
      </c>
      <c r="I115" s="189">
        <f>IFERROR(__xludf.DUMMYFUNCTION("""COMPUTED_VALUE"""),13.0)</f>
        <v>13</v>
      </c>
      <c r="J115" s="189">
        <f>IFERROR(__xludf.DUMMYFUNCTION("""COMPUTED_VALUE"""),9.0)</f>
        <v>9</v>
      </c>
      <c r="K115" s="189">
        <f>IFERROR(__xludf.DUMMYFUNCTION("""COMPUTED_VALUE"""),5.0)</f>
        <v>5</v>
      </c>
      <c r="L115" s="189">
        <f>IFERROR(__xludf.DUMMYFUNCTION("""COMPUTED_VALUE"""),7.0)</f>
        <v>7</v>
      </c>
      <c r="M115" s="189">
        <f>IFERROR(__xludf.DUMMYFUNCTION("""COMPUTED_VALUE"""),0.0)</f>
        <v>0</v>
      </c>
      <c r="N115" s="189">
        <f>IFERROR(__xludf.DUMMYFUNCTION("""COMPUTED_VALUE"""),1.0)</f>
        <v>1</v>
      </c>
      <c r="O115" s="189">
        <f>IFERROR(__xludf.DUMMYFUNCTION("""COMPUTED_VALUE"""),5.0)</f>
        <v>5</v>
      </c>
      <c r="P115" s="189">
        <f>IFERROR(__xludf.DUMMYFUNCTION("""COMPUTED_VALUE"""),7.0)</f>
        <v>7</v>
      </c>
      <c r="Q115" s="189">
        <f>IFERROR(__xludf.DUMMYFUNCTION("""COMPUTED_VALUE"""),8.0)</f>
        <v>8</v>
      </c>
      <c r="R115" s="189">
        <f>IFERROR(__xludf.DUMMYFUNCTION("""COMPUTED_VALUE"""),2.0)</f>
        <v>2</v>
      </c>
      <c r="S115" s="189">
        <f>IFERROR(__xludf.DUMMYFUNCTION("""COMPUTED_VALUE"""),0.0)</f>
        <v>0</v>
      </c>
      <c r="T115" s="189">
        <f>IFERROR(__xludf.DUMMYFUNCTION("""COMPUTED_VALUE"""),1.0)</f>
        <v>1</v>
      </c>
      <c r="U115" s="189">
        <f>IFERROR(__xludf.DUMMYFUNCTION("""COMPUTED_VALUE"""),2.0)</f>
        <v>2</v>
      </c>
      <c r="V115" s="189">
        <f>IFERROR(__xludf.DUMMYFUNCTION("""COMPUTED_VALUE"""),8.0)</f>
        <v>8</v>
      </c>
      <c r="W115" s="189">
        <f>IFERROR(__xludf.DUMMYFUNCTION("""COMPUTED_VALUE"""),7.0)</f>
        <v>7</v>
      </c>
      <c r="X115" s="189">
        <f>IFERROR(__xludf.DUMMYFUNCTION("""COMPUTED_VALUE"""),5.0)</f>
        <v>5</v>
      </c>
      <c r="Y115" s="189" t="str">
        <f>IFERROR(__xludf.DUMMYFUNCTION("""COMPUTED_VALUE"""),"2025-07-20T00:00:00.000Z")</f>
        <v>2025-07-20T00:00:00.000Z</v>
      </c>
      <c r="Z115" s="189" t="str">
        <f>IFERROR(__xludf.DUMMYFUNCTION("""COMPUTED_VALUE"""),"Team Liquid Academy_Icebox")</f>
        <v>Team Liquid Academy_Icebox</v>
      </c>
    </row>
    <row r="116">
      <c r="A116" s="189">
        <f>IFERROR(__xludf.DUMMYFUNCTION("""COMPUTED_VALUE"""),209531.0)</f>
        <v>209531</v>
      </c>
      <c r="B116" s="189">
        <f>IFERROR(__xludf.DUMMYFUNCTION("""COMPUTED_VALUE"""),92190.0)</f>
        <v>92190</v>
      </c>
      <c r="C116" s="189" t="str">
        <f>IFERROR(__xludf.DUMMYFUNCTION("""COMPUTED_VALUE"""),"Challengers League 2025 DACH: Evolution Stage 3 - Group Stage")</f>
        <v>Challengers League 2025 DACH: Evolution Stage 3 - Group Stage</v>
      </c>
      <c r="D116" s="189" t="str">
        <f>IFERROR(__xludf.DUMMYFUNCTION("""COMPUTED_VALUE"""),"Icebox")</f>
        <v>Icebox</v>
      </c>
      <c r="E116" s="189" t="str">
        <f>IFERROR(__xludf.DUMMYFUNCTION("""COMPUTED_VALUE"""),"MOUZ")</f>
        <v>MOUZ</v>
      </c>
      <c r="F116" s="189" t="str">
        <f>IFERROR(__xludf.DUMMYFUNCTION("""COMPUTED_VALUE"""),"FOKUS")</f>
        <v>FOKUS</v>
      </c>
      <c r="G116" s="189" t="str">
        <f>IFERROR(__xludf.DUMMYFUNCTION("""COMPUTED_VALUE"""),"Sova,Killjoy,Viper,Jett,KAY/O")</f>
        <v>Sova,Killjoy,Viper,Jett,KAY/O</v>
      </c>
      <c r="H116" s="189" t="str">
        <f>IFERROR(__xludf.DUMMYFUNCTION("""COMPUTED_VALUE"""),"Sova,Killjoy,Viper,Reyna,Jett")</f>
        <v>Sova,Killjoy,Viper,Reyna,Jett</v>
      </c>
      <c r="I116" s="189">
        <f>IFERROR(__xludf.DUMMYFUNCTION("""COMPUTED_VALUE"""),13.0)</f>
        <v>13</v>
      </c>
      <c r="J116" s="189">
        <f>IFERROR(__xludf.DUMMYFUNCTION("""COMPUTED_VALUE"""),9.0)</f>
        <v>9</v>
      </c>
      <c r="K116" s="189">
        <f>IFERROR(__xludf.DUMMYFUNCTION("""COMPUTED_VALUE"""),8.0)</f>
        <v>8</v>
      </c>
      <c r="L116" s="189">
        <f>IFERROR(__xludf.DUMMYFUNCTION("""COMPUTED_VALUE"""),4.0)</f>
        <v>4</v>
      </c>
      <c r="M116" s="189">
        <f>IFERROR(__xludf.DUMMYFUNCTION("""COMPUTED_VALUE"""),0.0)</f>
        <v>0</v>
      </c>
      <c r="N116" s="189">
        <f>IFERROR(__xludf.DUMMYFUNCTION("""COMPUTED_VALUE"""),0.0)</f>
        <v>0</v>
      </c>
      <c r="O116" s="189">
        <f>IFERROR(__xludf.DUMMYFUNCTION("""COMPUTED_VALUE"""),5.0)</f>
        <v>5</v>
      </c>
      <c r="P116" s="189">
        <f>IFERROR(__xludf.DUMMYFUNCTION("""COMPUTED_VALUE"""),5.0)</f>
        <v>5</v>
      </c>
      <c r="Q116" s="189">
        <f>IFERROR(__xludf.DUMMYFUNCTION("""COMPUTED_VALUE"""),8.0)</f>
        <v>8</v>
      </c>
      <c r="R116" s="189">
        <f>IFERROR(__xludf.DUMMYFUNCTION("""COMPUTED_VALUE"""),4.0)</f>
        <v>4</v>
      </c>
      <c r="S116" s="189">
        <f>IFERROR(__xludf.DUMMYFUNCTION("""COMPUTED_VALUE"""),1.0)</f>
        <v>1</v>
      </c>
      <c r="T116" s="189">
        <f>IFERROR(__xludf.DUMMYFUNCTION("""COMPUTED_VALUE"""),1.0)</f>
        <v>1</v>
      </c>
      <c r="U116" s="189">
        <f>IFERROR(__xludf.DUMMYFUNCTION("""COMPUTED_VALUE"""),4.0)</f>
        <v>4</v>
      </c>
      <c r="V116" s="189">
        <f>IFERROR(__xludf.DUMMYFUNCTION("""COMPUTED_VALUE"""),8.0)</f>
        <v>8</v>
      </c>
      <c r="W116" s="189">
        <f>IFERROR(__xludf.DUMMYFUNCTION("""COMPUTED_VALUE"""),5.0)</f>
        <v>5</v>
      </c>
      <c r="X116" s="189">
        <f>IFERROR(__xludf.DUMMYFUNCTION("""COMPUTED_VALUE"""),5.0)</f>
        <v>5</v>
      </c>
      <c r="Y116" s="189" t="str">
        <f>IFERROR(__xludf.DUMMYFUNCTION("""COMPUTED_VALUE"""),"2025-07-19T00:00:00.000Z")</f>
        <v>2025-07-19T00:00:00.000Z</v>
      </c>
      <c r="Z116" s="189" t="str">
        <f>IFERROR(__xludf.DUMMYFUNCTION("""COMPUTED_VALUE"""),"MOUZ_Icebox")</f>
        <v>MOUZ_Icebox</v>
      </c>
    </row>
    <row r="117">
      <c r="A117" s="189">
        <f>IFERROR(__xludf.DUMMYFUNCTION("""COMPUTED_VALUE"""),209530.0)</f>
        <v>209530</v>
      </c>
      <c r="B117" s="189">
        <f>IFERROR(__xludf.DUMMYFUNCTION("""COMPUTED_VALUE"""),92190.0)</f>
        <v>92190</v>
      </c>
      <c r="C117" s="189" t="str">
        <f>IFERROR(__xludf.DUMMYFUNCTION("""COMPUTED_VALUE"""),"Challengers League 2025 DACH: Evolution Stage 3 - Group Stage")</f>
        <v>Challengers League 2025 DACH: Evolution Stage 3 - Group Stage</v>
      </c>
      <c r="D117" s="189" t="str">
        <f>IFERROR(__xludf.DUMMYFUNCTION("""COMPUTED_VALUE"""),"Lotus")</f>
        <v>Lotus</v>
      </c>
      <c r="E117" s="189" t="str">
        <f>IFERROR(__xludf.DUMMYFUNCTION("""COMPUTED_VALUE"""),"MOUZ")</f>
        <v>MOUZ</v>
      </c>
      <c r="F117" s="189" t="str">
        <f>IFERROR(__xludf.DUMMYFUNCTION("""COMPUTED_VALUE"""),"FOKUS")</f>
        <v>FOKUS</v>
      </c>
      <c r="G117" s="189" t="str">
        <f>IFERROR(__xludf.DUMMYFUNCTION("""COMPUTED_VALUE"""),"Cypher,Omen,Yoru,Neon,Fade")</f>
        <v>Cypher,Omen,Yoru,Neon,Fade</v>
      </c>
      <c r="H117" s="189" t="str">
        <f>IFERROR(__xludf.DUMMYFUNCTION("""COMPUTED_VALUE"""),"Breach,Sova,Viper,Omen,Neon")</f>
        <v>Breach,Sova,Viper,Omen,Neon</v>
      </c>
      <c r="I117" s="189">
        <f>IFERROR(__xludf.DUMMYFUNCTION("""COMPUTED_VALUE"""),13.0)</f>
        <v>13</v>
      </c>
      <c r="J117" s="189">
        <f>IFERROR(__xludf.DUMMYFUNCTION("""COMPUTED_VALUE"""),9.0)</f>
        <v>9</v>
      </c>
      <c r="K117" s="189">
        <f>IFERROR(__xludf.DUMMYFUNCTION("""COMPUTED_VALUE"""),6.0)</f>
        <v>6</v>
      </c>
      <c r="L117" s="189">
        <f>IFERROR(__xludf.DUMMYFUNCTION("""COMPUTED_VALUE"""),6.0)</f>
        <v>6</v>
      </c>
      <c r="M117" s="189">
        <f>IFERROR(__xludf.DUMMYFUNCTION("""COMPUTED_VALUE"""),0.0)</f>
        <v>0</v>
      </c>
      <c r="N117" s="189">
        <f>IFERROR(__xludf.DUMMYFUNCTION("""COMPUTED_VALUE"""),1.0)</f>
        <v>1</v>
      </c>
      <c r="O117" s="189">
        <f>IFERROR(__xludf.DUMMYFUNCTION("""COMPUTED_VALUE"""),7.0)</f>
        <v>7</v>
      </c>
      <c r="P117" s="189">
        <f>IFERROR(__xludf.DUMMYFUNCTION("""COMPUTED_VALUE"""),3.0)</f>
        <v>3</v>
      </c>
      <c r="Q117" s="189">
        <f>IFERROR(__xludf.DUMMYFUNCTION("""COMPUTED_VALUE"""),6.0)</f>
        <v>6</v>
      </c>
      <c r="R117" s="189">
        <f>IFERROR(__xludf.DUMMYFUNCTION("""COMPUTED_VALUE"""),6.0)</f>
        <v>6</v>
      </c>
      <c r="S117" s="189">
        <f>IFERROR(__xludf.DUMMYFUNCTION("""COMPUTED_VALUE"""),0.0)</f>
        <v>0</v>
      </c>
      <c r="T117" s="189">
        <f>IFERROR(__xludf.DUMMYFUNCTION("""COMPUTED_VALUE"""),1.0)</f>
        <v>1</v>
      </c>
      <c r="U117" s="189">
        <f>IFERROR(__xludf.DUMMYFUNCTION("""COMPUTED_VALUE"""),6.0)</f>
        <v>6</v>
      </c>
      <c r="V117" s="189">
        <f>IFERROR(__xludf.DUMMYFUNCTION("""COMPUTED_VALUE"""),6.0)</f>
        <v>6</v>
      </c>
      <c r="W117" s="189">
        <f>IFERROR(__xludf.DUMMYFUNCTION("""COMPUTED_VALUE"""),3.0)</f>
        <v>3</v>
      </c>
      <c r="X117" s="189">
        <f>IFERROR(__xludf.DUMMYFUNCTION("""COMPUTED_VALUE"""),7.0)</f>
        <v>7</v>
      </c>
      <c r="Y117" s="189" t="str">
        <f>IFERROR(__xludf.DUMMYFUNCTION("""COMPUTED_VALUE"""),"2025-07-19T00:00:00.000Z")</f>
        <v>2025-07-19T00:00:00.000Z</v>
      </c>
      <c r="Z117" s="189" t="str">
        <f>IFERROR(__xludf.DUMMYFUNCTION("""COMPUTED_VALUE"""),"MOUZ_Lotus")</f>
        <v>MOUZ_Lotus</v>
      </c>
    </row>
    <row r="118">
      <c r="A118" s="189">
        <f>IFERROR(__xludf.DUMMYFUNCTION("""COMPUTED_VALUE"""),210563.0)</f>
        <v>210563</v>
      </c>
      <c r="B118" s="189">
        <f>IFERROR(__xludf.DUMMYFUNCTION("""COMPUTED_VALUE"""),92624.0)</f>
        <v>92624</v>
      </c>
      <c r="C118" s="189" t="str">
        <f>IFERROR(__xludf.DUMMYFUNCTION("""COMPUTED_VALUE"""),"Challengers 2025: France Revolution Split 3 - Group Stage")</f>
        <v>Challengers 2025: France Revolution Split 3 - Group Stage</v>
      </c>
      <c r="D118" s="189" t="str">
        <f>IFERROR(__xludf.DUMMYFUNCTION("""COMPUTED_VALUE"""),"Sunset")</f>
        <v>Sunset</v>
      </c>
      <c r="E118" s="189" t="str">
        <f>IFERROR(__xludf.DUMMYFUNCTION("""COMPUTED_VALUE"""),"Joblife")</f>
        <v>Joblife</v>
      </c>
      <c r="F118" s="189" t="str">
        <f>IFERROR(__xludf.DUMMYFUNCTION("""COMPUTED_VALUE"""),"KCORP Blue Stars")</f>
        <v>KCORP Blue Stars</v>
      </c>
      <c r="G118" s="189" t="str">
        <f>IFERROR(__xludf.DUMMYFUNCTION("""COMPUTED_VALUE"""),"Breach,Cypher,Sova,Omen,Neon")</f>
        <v>Breach,Cypher,Sova,Omen,Neon</v>
      </c>
      <c r="H118" s="189" t="str">
        <f>IFERROR(__xludf.DUMMYFUNCTION("""COMPUTED_VALUE"""),"Killjoy,Omen,Astra,Neon,Fade")</f>
        <v>Killjoy,Omen,Astra,Neon,Fade</v>
      </c>
      <c r="I118" s="189">
        <f>IFERROR(__xludf.DUMMYFUNCTION("""COMPUTED_VALUE"""),13.0)</f>
        <v>13</v>
      </c>
      <c r="J118" s="189">
        <f>IFERROR(__xludf.DUMMYFUNCTION("""COMPUTED_VALUE"""),11.0)</f>
        <v>11</v>
      </c>
      <c r="K118" s="189">
        <f>IFERROR(__xludf.DUMMYFUNCTION("""COMPUTED_VALUE"""),5.0)</f>
        <v>5</v>
      </c>
      <c r="L118" s="189">
        <f>IFERROR(__xludf.DUMMYFUNCTION("""COMPUTED_VALUE"""),7.0)</f>
        <v>7</v>
      </c>
      <c r="M118" s="189">
        <f>IFERROR(__xludf.DUMMYFUNCTION("""COMPUTED_VALUE"""),1.0)</f>
        <v>1</v>
      </c>
      <c r="N118" s="189">
        <f>IFERROR(__xludf.DUMMYFUNCTION("""COMPUTED_VALUE"""),1.0)</f>
        <v>1</v>
      </c>
      <c r="O118" s="189">
        <f>IFERROR(__xludf.DUMMYFUNCTION("""COMPUTED_VALUE"""),8.0)</f>
        <v>8</v>
      </c>
      <c r="P118" s="189">
        <f>IFERROR(__xludf.DUMMYFUNCTION("""COMPUTED_VALUE"""),4.0)</f>
        <v>4</v>
      </c>
      <c r="Q118" s="189">
        <f>IFERROR(__xludf.DUMMYFUNCTION("""COMPUTED_VALUE"""),5.0)</f>
        <v>5</v>
      </c>
      <c r="R118" s="189">
        <f>IFERROR(__xludf.DUMMYFUNCTION("""COMPUTED_VALUE"""),7.0)</f>
        <v>7</v>
      </c>
      <c r="S118" s="189">
        <f>IFERROR(__xludf.DUMMYFUNCTION("""COMPUTED_VALUE"""),0.0)</f>
        <v>0</v>
      </c>
      <c r="T118" s="189">
        <f>IFERROR(__xludf.DUMMYFUNCTION("""COMPUTED_VALUE"""),0.0)</f>
        <v>0</v>
      </c>
      <c r="U118" s="189">
        <f>IFERROR(__xludf.DUMMYFUNCTION("""COMPUTED_VALUE"""),7.0)</f>
        <v>7</v>
      </c>
      <c r="V118" s="189">
        <f>IFERROR(__xludf.DUMMYFUNCTION("""COMPUTED_VALUE"""),5.0)</f>
        <v>5</v>
      </c>
      <c r="W118" s="189">
        <f>IFERROR(__xludf.DUMMYFUNCTION("""COMPUTED_VALUE"""),4.0)</f>
        <v>4</v>
      </c>
      <c r="X118" s="189">
        <f>IFERROR(__xludf.DUMMYFUNCTION("""COMPUTED_VALUE"""),8.0)</f>
        <v>8</v>
      </c>
      <c r="Y118" s="189" t="str">
        <f>IFERROR(__xludf.DUMMYFUNCTION("""COMPUTED_VALUE"""),"2025-07-19T00:00:00.000Z")</f>
        <v>2025-07-19T00:00:00.000Z</v>
      </c>
      <c r="Z118" s="189" t="str">
        <f>IFERROR(__xludf.DUMMYFUNCTION("""COMPUTED_VALUE"""),"Joblife_Sunset")</f>
        <v>Joblife_Sunset</v>
      </c>
    </row>
    <row r="119">
      <c r="A119" s="189">
        <f>IFERROR(__xludf.DUMMYFUNCTION("""COMPUTED_VALUE"""),210562.0)</f>
        <v>210562</v>
      </c>
      <c r="B119" s="189">
        <f>IFERROR(__xludf.DUMMYFUNCTION("""COMPUTED_VALUE"""),92624.0)</f>
        <v>92624</v>
      </c>
      <c r="C119" s="189" t="str">
        <f>IFERROR(__xludf.DUMMYFUNCTION("""COMPUTED_VALUE"""),"Challengers 2025: France Revolution Split 3 - Group Stage")</f>
        <v>Challengers 2025: France Revolution Split 3 - Group Stage</v>
      </c>
      <c r="D119" s="189" t="str">
        <f>IFERROR(__xludf.DUMMYFUNCTION("""COMPUTED_VALUE"""),"Haven")</f>
        <v>Haven</v>
      </c>
      <c r="E119" s="189" t="str">
        <f>IFERROR(__xludf.DUMMYFUNCTION("""COMPUTED_VALUE"""),"Joblife")</f>
        <v>Joblife</v>
      </c>
      <c r="F119" s="189" t="str">
        <f>IFERROR(__xludf.DUMMYFUNCTION("""COMPUTED_VALUE"""),"KCORP Blue Stars")</f>
        <v>KCORP Blue Stars</v>
      </c>
      <c r="G119" s="189" t="str">
        <f>IFERROR(__xludf.DUMMYFUNCTION("""COMPUTED_VALUE"""),"Breach,Cypher,Sova,Omen,Jett")</f>
        <v>Breach,Cypher,Sova,Omen,Jett</v>
      </c>
      <c r="H119" s="189" t="str">
        <f>IFERROR(__xludf.DUMMYFUNCTION("""COMPUTED_VALUE"""),"Sova,Omen,Neon,Fade,Vyse")</f>
        <v>Sova,Omen,Neon,Fade,Vyse</v>
      </c>
      <c r="I119" s="189">
        <f>IFERROR(__xludf.DUMMYFUNCTION("""COMPUTED_VALUE"""),13.0)</f>
        <v>13</v>
      </c>
      <c r="J119" s="189">
        <f>IFERROR(__xludf.DUMMYFUNCTION("""COMPUTED_VALUE"""),6.0)</f>
        <v>6</v>
      </c>
      <c r="K119" s="189">
        <f>IFERROR(__xludf.DUMMYFUNCTION("""COMPUTED_VALUE"""),9.0)</f>
        <v>9</v>
      </c>
      <c r="L119" s="189">
        <f>IFERROR(__xludf.DUMMYFUNCTION("""COMPUTED_VALUE"""),3.0)</f>
        <v>3</v>
      </c>
      <c r="M119" s="189">
        <f>IFERROR(__xludf.DUMMYFUNCTION("""COMPUTED_VALUE"""),1.0)</f>
        <v>1</v>
      </c>
      <c r="N119" s="189">
        <f>IFERROR(__xludf.DUMMYFUNCTION("""COMPUTED_VALUE"""),1.0)</f>
        <v>1</v>
      </c>
      <c r="O119" s="189">
        <f>IFERROR(__xludf.DUMMYFUNCTION("""COMPUTED_VALUE"""),9.0)</f>
        <v>9</v>
      </c>
      <c r="P119" s="189">
        <f>IFERROR(__xludf.DUMMYFUNCTION("""COMPUTED_VALUE"""),3.0)</f>
        <v>3</v>
      </c>
      <c r="Q119" s="189">
        <f>IFERROR(__xludf.DUMMYFUNCTION("""COMPUTED_VALUE"""),4.0)</f>
        <v>4</v>
      </c>
      <c r="R119" s="189">
        <f>IFERROR(__xludf.DUMMYFUNCTION("""COMPUTED_VALUE"""),3.0)</f>
        <v>3</v>
      </c>
      <c r="S119" s="189">
        <f>IFERROR(__xludf.DUMMYFUNCTION("""COMPUTED_VALUE"""),0.0)</f>
        <v>0</v>
      </c>
      <c r="T119" s="189">
        <f>IFERROR(__xludf.DUMMYFUNCTION("""COMPUTED_VALUE"""),0.0)</f>
        <v>0</v>
      </c>
      <c r="U119" s="189">
        <f>IFERROR(__xludf.DUMMYFUNCTION("""COMPUTED_VALUE"""),3.0)</f>
        <v>3</v>
      </c>
      <c r="V119" s="189">
        <f>IFERROR(__xludf.DUMMYFUNCTION("""COMPUTED_VALUE"""),4.0)</f>
        <v>4</v>
      </c>
      <c r="W119" s="189">
        <f>IFERROR(__xludf.DUMMYFUNCTION("""COMPUTED_VALUE"""),3.0)</f>
        <v>3</v>
      </c>
      <c r="X119" s="189">
        <f>IFERROR(__xludf.DUMMYFUNCTION("""COMPUTED_VALUE"""),9.0)</f>
        <v>9</v>
      </c>
      <c r="Y119" s="189" t="str">
        <f>IFERROR(__xludf.DUMMYFUNCTION("""COMPUTED_VALUE"""),"2025-07-19T00:00:00.000Z")</f>
        <v>2025-07-19T00:00:00.000Z</v>
      </c>
      <c r="Z119" s="189" t="str">
        <f>IFERROR(__xludf.DUMMYFUNCTION("""COMPUTED_VALUE"""),"Joblife_Haven")</f>
        <v>Joblife_Haven</v>
      </c>
    </row>
    <row r="120">
      <c r="A120" s="189">
        <f>IFERROR(__xludf.DUMMYFUNCTION("""COMPUTED_VALUE"""),210355.0)</f>
        <v>210355</v>
      </c>
      <c r="B120" s="189">
        <f>IFERROR(__xludf.DUMMYFUNCTION("""COMPUTED_VALUE"""),92555.0)</f>
        <v>92555</v>
      </c>
      <c r="C120" s="189" t="str">
        <f>IFERROR(__xludf.DUMMYFUNCTION("""COMPUTED_VALUE"""),"Challengers League 2025 MENA: Resilience - GPI - Split 2 - Playoffs")</f>
        <v>Challengers League 2025 MENA: Resilience - GPI - Split 2 - Playoffs</v>
      </c>
      <c r="D120" s="189" t="str">
        <f>IFERROR(__xludf.DUMMYFUNCTION("""COMPUTED_VALUE"""),"Haven")</f>
        <v>Haven</v>
      </c>
      <c r="E120" s="189" t="str">
        <f>IFERROR(__xludf.DUMMYFUNCTION("""COMPUTED_VALUE"""),"The Ultimates")</f>
        <v>The Ultimates</v>
      </c>
      <c r="F120" s="189" t="str">
        <f>IFERROR(__xludf.DUMMYFUNCTION("""COMPUTED_VALUE"""),"RvN")</f>
        <v>RvN</v>
      </c>
      <c r="G120" s="189" t="str">
        <f>IFERROR(__xludf.DUMMYFUNCTION("""COMPUTED_VALUE"""),"Breach,Cypher,Sova,Omen,Neon")</f>
        <v>Breach,Cypher,Sova,Omen,Neon</v>
      </c>
      <c r="H120" s="189" t="str">
        <f>IFERROR(__xludf.DUMMYFUNCTION("""COMPUTED_VALUE"""),"Sova,Killjoy,Viper,Omen,Neon")</f>
        <v>Sova,Killjoy,Viper,Omen,Neon</v>
      </c>
      <c r="I120" s="189">
        <f>IFERROR(__xludf.DUMMYFUNCTION("""COMPUTED_VALUE"""),13.0)</f>
        <v>13</v>
      </c>
      <c r="J120" s="189">
        <f>IFERROR(__xludf.DUMMYFUNCTION("""COMPUTED_VALUE"""),7.0)</f>
        <v>7</v>
      </c>
      <c r="K120" s="189">
        <f>IFERROR(__xludf.DUMMYFUNCTION("""COMPUTED_VALUE"""),10.0)</f>
        <v>10</v>
      </c>
      <c r="L120" s="189">
        <f>IFERROR(__xludf.DUMMYFUNCTION("""COMPUTED_VALUE"""),2.0)</f>
        <v>2</v>
      </c>
      <c r="M120" s="189">
        <f>IFERROR(__xludf.DUMMYFUNCTION("""COMPUTED_VALUE"""),1.0)</f>
        <v>1</v>
      </c>
      <c r="N120" s="189">
        <f>IFERROR(__xludf.DUMMYFUNCTION("""COMPUTED_VALUE"""),0.0)</f>
        <v>0</v>
      </c>
      <c r="O120" s="189">
        <f>IFERROR(__xludf.DUMMYFUNCTION("""COMPUTED_VALUE"""),10.0)</f>
        <v>10</v>
      </c>
      <c r="P120" s="189">
        <f>IFERROR(__xludf.DUMMYFUNCTION("""COMPUTED_VALUE"""),2.0)</f>
        <v>2</v>
      </c>
      <c r="Q120" s="189">
        <f>IFERROR(__xludf.DUMMYFUNCTION("""COMPUTED_VALUE"""),3.0)</f>
        <v>3</v>
      </c>
      <c r="R120" s="189">
        <f>IFERROR(__xludf.DUMMYFUNCTION("""COMPUTED_VALUE"""),5.0)</f>
        <v>5</v>
      </c>
      <c r="S120" s="189">
        <f>IFERROR(__xludf.DUMMYFUNCTION("""COMPUTED_VALUE"""),1.0)</f>
        <v>1</v>
      </c>
      <c r="T120" s="189">
        <f>IFERROR(__xludf.DUMMYFUNCTION("""COMPUTED_VALUE"""),0.0)</f>
        <v>0</v>
      </c>
      <c r="U120" s="189">
        <f>IFERROR(__xludf.DUMMYFUNCTION("""COMPUTED_VALUE"""),5.0)</f>
        <v>5</v>
      </c>
      <c r="V120" s="189">
        <f>IFERROR(__xludf.DUMMYFUNCTION("""COMPUTED_VALUE"""),3.0)</f>
        <v>3</v>
      </c>
      <c r="W120" s="189">
        <f>IFERROR(__xludf.DUMMYFUNCTION("""COMPUTED_VALUE"""),2.0)</f>
        <v>2</v>
      </c>
      <c r="X120" s="189">
        <f>IFERROR(__xludf.DUMMYFUNCTION("""COMPUTED_VALUE"""),10.0)</f>
        <v>10</v>
      </c>
      <c r="Y120" s="189" t="str">
        <f>IFERROR(__xludf.DUMMYFUNCTION("""COMPUTED_VALUE"""),"2025-07-15T00:00:00.000Z")</f>
        <v>2025-07-15T00:00:00.000Z</v>
      </c>
      <c r="Z120" s="189" t="str">
        <f>IFERROR(__xludf.DUMMYFUNCTION("""COMPUTED_VALUE"""),"The Ultimates_Haven")</f>
        <v>The Ultimates_Haven</v>
      </c>
    </row>
    <row r="121">
      <c r="A121" s="189">
        <f>IFERROR(__xludf.DUMMYFUNCTION("""COMPUTED_VALUE"""),210354.0)</f>
        <v>210354</v>
      </c>
      <c r="B121" s="189">
        <f>IFERROR(__xludf.DUMMYFUNCTION("""COMPUTED_VALUE"""),92555.0)</f>
        <v>92555</v>
      </c>
      <c r="C121" s="189" t="str">
        <f>IFERROR(__xludf.DUMMYFUNCTION("""COMPUTED_VALUE"""),"Challengers League 2025 MENA: Resilience - GPI - Split 2 - Playoffs")</f>
        <v>Challengers League 2025 MENA: Resilience - GPI - Split 2 - Playoffs</v>
      </c>
      <c r="D121" s="189" t="str">
        <f>IFERROR(__xludf.DUMMYFUNCTION("""COMPUTED_VALUE"""),"Icebox")</f>
        <v>Icebox</v>
      </c>
      <c r="E121" s="189" t="str">
        <f>IFERROR(__xludf.DUMMYFUNCTION("""COMPUTED_VALUE"""),"The Ultimates")</f>
        <v>The Ultimates</v>
      </c>
      <c r="F121" s="189" t="str">
        <f>IFERROR(__xludf.DUMMYFUNCTION("""COMPUTED_VALUE"""),"RvN")</f>
        <v>RvN</v>
      </c>
      <c r="G121" s="189" t="str">
        <f>IFERROR(__xludf.DUMMYFUNCTION("""COMPUTED_VALUE"""),"Reyna,Omen,KAY/O,Harbor,Gekko")</f>
        <v>Reyna,Omen,KAY/O,Harbor,Gekko</v>
      </c>
      <c r="H121" s="189" t="str">
        <f>IFERROR(__xludf.DUMMYFUNCTION("""COMPUTED_VALUE"""),"Sova,Killjoy,Viper,Jett,Harbor")</f>
        <v>Sova,Killjoy,Viper,Jett,Harbor</v>
      </c>
      <c r="I121" s="189">
        <f>IFERROR(__xludf.DUMMYFUNCTION("""COMPUTED_VALUE"""),13.0)</f>
        <v>13</v>
      </c>
      <c r="J121" s="189">
        <f>IFERROR(__xludf.DUMMYFUNCTION("""COMPUTED_VALUE"""),5.0)</f>
        <v>5</v>
      </c>
      <c r="K121" s="189">
        <f>IFERROR(__xludf.DUMMYFUNCTION("""COMPUTED_VALUE"""),8.0)</f>
        <v>8</v>
      </c>
      <c r="L121" s="189">
        <f>IFERROR(__xludf.DUMMYFUNCTION("""COMPUTED_VALUE"""),4.0)</f>
        <v>4</v>
      </c>
      <c r="M121" s="189">
        <f>IFERROR(__xludf.DUMMYFUNCTION("""COMPUTED_VALUE"""),0.0)</f>
        <v>0</v>
      </c>
      <c r="N121" s="189">
        <f>IFERROR(__xludf.DUMMYFUNCTION("""COMPUTED_VALUE"""),1.0)</f>
        <v>1</v>
      </c>
      <c r="O121" s="189">
        <f>IFERROR(__xludf.DUMMYFUNCTION("""COMPUTED_VALUE"""),5.0)</f>
        <v>5</v>
      </c>
      <c r="P121" s="189">
        <f>IFERROR(__xludf.DUMMYFUNCTION("""COMPUTED_VALUE"""),1.0)</f>
        <v>1</v>
      </c>
      <c r="Q121" s="189">
        <f>IFERROR(__xludf.DUMMYFUNCTION("""COMPUTED_VALUE"""),8.0)</f>
        <v>8</v>
      </c>
      <c r="R121" s="189">
        <f>IFERROR(__xludf.DUMMYFUNCTION("""COMPUTED_VALUE"""),4.0)</f>
        <v>4</v>
      </c>
      <c r="S121" s="189">
        <f>IFERROR(__xludf.DUMMYFUNCTION("""COMPUTED_VALUE"""),0.0)</f>
        <v>0</v>
      </c>
      <c r="T121" s="189">
        <f>IFERROR(__xludf.DUMMYFUNCTION("""COMPUTED_VALUE"""),1.0)</f>
        <v>1</v>
      </c>
      <c r="U121" s="189">
        <f>IFERROR(__xludf.DUMMYFUNCTION("""COMPUTED_VALUE"""),4.0)</f>
        <v>4</v>
      </c>
      <c r="V121" s="189">
        <f>IFERROR(__xludf.DUMMYFUNCTION("""COMPUTED_VALUE"""),8.0)</f>
        <v>8</v>
      </c>
      <c r="W121" s="189">
        <f>IFERROR(__xludf.DUMMYFUNCTION("""COMPUTED_VALUE"""),1.0)</f>
        <v>1</v>
      </c>
      <c r="X121" s="189">
        <f>IFERROR(__xludf.DUMMYFUNCTION("""COMPUTED_VALUE"""),5.0)</f>
        <v>5</v>
      </c>
      <c r="Y121" s="189" t="str">
        <f>IFERROR(__xludf.DUMMYFUNCTION("""COMPUTED_VALUE"""),"2025-07-15T00:00:00.000Z")</f>
        <v>2025-07-15T00:00:00.000Z</v>
      </c>
      <c r="Z121" s="189" t="str">
        <f>IFERROR(__xludf.DUMMYFUNCTION("""COMPUTED_VALUE"""),"The Ultimates_Icebox")</f>
        <v>The Ultimates_Icebox</v>
      </c>
    </row>
    <row r="122">
      <c r="A122" s="189">
        <f>IFERROR(__xludf.DUMMYFUNCTION("""COMPUTED_VALUE"""),210097.0)</f>
        <v>210097</v>
      </c>
      <c r="B122" s="189">
        <f>IFERROR(__xludf.DUMMYFUNCTION("""COMPUTED_VALUE"""),92404.0)</f>
        <v>92404</v>
      </c>
      <c r="C122" s="189" t="str">
        <f>IFERROR(__xludf.DUMMYFUNCTION("""COMPUTED_VALUE"""),"Challengers League 2025 MENA: Resilience - GPI - Split 2 - Playoffs")</f>
        <v>Challengers League 2025 MENA: Resilience - GPI - Split 2 - Playoffs</v>
      </c>
      <c r="D122" s="189" t="str">
        <f>IFERROR(__xludf.DUMMYFUNCTION("""COMPUTED_VALUE"""),"Bind")</f>
        <v>Bind</v>
      </c>
      <c r="E122" s="189" t="str">
        <f>IFERROR(__xludf.DUMMYFUNCTION("""COMPUTED_VALUE"""),"Twisted Minds Esports")</f>
        <v>Twisted Minds Esports</v>
      </c>
      <c r="F122" s="189" t="str">
        <f>IFERROR(__xludf.DUMMYFUNCTION("""COMPUTED_VALUE"""),"AlQadsiah Esports")</f>
        <v>AlQadsiah Esports</v>
      </c>
      <c r="G122" s="189" t="str">
        <f>IFERROR(__xludf.DUMMYFUNCTION("""COMPUTED_VALUE"""),"Raze,Viper,Brimstone,Yoru,Fade")</f>
        <v>Raze,Viper,Brimstone,Yoru,Fade</v>
      </c>
      <c r="H122" s="189" t="str">
        <f>IFERROR(__xludf.DUMMYFUNCTION("""COMPUTED_VALUE"""),"Raze,Viper,Brimstone,Skye,Deadlock")</f>
        <v>Raze,Viper,Brimstone,Skye,Deadlock</v>
      </c>
      <c r="I122" s="189">
        <f>IFERROR(__xludf.DUMMYFUNCTION("""COMPUTED_VALUE"""),13.0)</f>
        <v>13</v>
      </c>
      <c r="J122" s="189">
        <f>IFERROR(__xludf.DUMMYFUNCTION("""COMPUTED_VALUE"""),7.0)</f>
        <v>7</v>
      </c>
      <c r="K122" s="189">
        <f>IFERROR(__xludf.DUMMYFUNCTION("""COMPUTED_VALUE"""),6.0)</f>
        <v>6</v>
      </c>
      <c r="L122" s="189">
        <f>IFERROR(__xludf.DUMMYFUNCTION("""COMPUTED_VALUE"""),6.0)</f>
        <v>6</v>
      </c>
      <c r="M122" s="189">
        <f>IFERROR(__xludf.DUMMYFUNCTION("""COMPUTED_VALUE"""),1.0)</f>
        <v>1</v>
      </c>
      <c r="N122" s="189">
        <f>IFERROR(__xludf.DUMMYFUNCTION("""COMPUTED_VALUE"""),1.0)</f>
        <v>1</v>
      </c>
      <c r="O122" s="189">
        <f>IFERROR(__xludf.DUMMYFUNCTION("""COMPUTED_VALUE"""),7.0)</f>
        <v>7</v>
      </c>
      <c r="P122" s="189">
        <f>IFERROR(__xludf.DUMMYFUNCTION("""COMPUTED_VALUE"""),1.0)</f>
        <v>1</v>
      </c>
      <c r="Q122" s="189">
        <f>IFERROR(__xludf.DUMMYFUNCTION("""COMPUTED_VALUE"""),6.0)</f>
        <v>6</v>
      </c>
      <c r="R122" s="189">
        <f>IFERROR(__xludf.DUMMYFUNCTION("""COMPUTED_VALUE"""),6.0)</f>
        <v>6</v>
      </c>
      <c r="S122" s="189">
        <f>IFERROR(__xludf.DUMMYFUNCTION("""COMPUTED_VALUE"""),0.0)</f>
        <v>0</v>
      </c>
      <c r="T122" s="189">
        <f>IFERROR(__xludf.DUMMYFUNCTION("""COMPUTED_VALUE"""),0.0)</f>
        <v>0</v>
      </c>
      <c r="U122" s="189">
        <f>IFERROR(__xludf.DUMMYFUNCTION("""COMPUTED_VALUE"""),6.0)</f>
        <v>6</v>
      </c>
      <c r="V122" s="189">
        <f>IFERROR(__xludf.DUMMYFUNCTION("""COMPUTED_VALUE"""),6.0)</f>
        <v>6</v>
      </c>
      <c r="W122" s="189">
        <f>IFERROR(__xludf.DUMMYFUNCTION("""COMPUTED_VALUE"""),1.0)</f>
        <v>1</v>
      </c>
      <c r="X122" s="189">
        <f>IFERROR(__xludf.DUMMYFUNCTION("""COMPUTED_VALUE"""),7.0)</f>
        <v>7</v>
      </c>
      <c r="Y122" s="189" t="str">
        <f>IFERROR(__xludf.DUMMYFUNCTION("""COMPUTED_VALUE"""),"2025-07-15T00:00:00.000Z")</f>
        <v>2025-07-15T00:00:00.000Z</v>
      </c>
      <c r="Z122" s="189" t="str">
        <f>IFERROR(__xludf.DUMMYFUNCTION("""COMPUTED_VALUE"""),"Twisted Minds Esports_Bind")</f>
        <v>Twisted Minds Esports_Bind</v>
      </c>
    </row>
    <row r="123">
      <c r="A123" s="189">
        <f>IFERROR(__xludf.DUMMYFUNCTION("""COMPUTED_VALUE"""),210353.0)</f>
        <v>210353</v>
      </c>
      <c r="B123" s="189">
        <f>IFERROR(__xludf.DUMMYFUNCTION("""COMPUTED_VALUE"""),92555.0)</f>
        <v>92555</v>
      </c>
      <c r="C123" s="189" t="str">
        <f>IFERROR(__xludf.DUMMYFUNCTION("""COMPUTED_VALUE"""),"Challengers League 2025 MENA: Resilience - GPI - Split 2 - Playoffs")</f>
        <v>Challengers League 2025 MENA: Resilience - GPI - Split 2 - Playoffs</v>
      </c>
      <c r="D123" s="189" t="str">
        <f>IFERROR(__xludf.DUMMYFUNCTION("""COMPUTED_VALUE"""),"Sunset")</f>
        <v>Sunset</v>
      </c>
      <c r="E123" s="189" t="str">
        <f>IFERROR(__xludf.DUMMYFUNCTION("""COMPUTED_VALUE"""),"The Ultimates")</f>
        <v>The Ultimates</v>
      </c>
      <c r="F123" s="189" t="str">
        <f>IFERROR(__xludf.DUMMYFUNCTION("""COMPUTED_VALUE"""),"RvN")</f>
        <v>RvN</v>
      </c>
      <c r="G123" s="189" t="str">
        <f>IFERROR(__xludf.DUMMYFUNCTION("""COMPUTED_VALUE"""),"Breach,Cypher,Sova,Omen,Neon")</f>
        <v>Breach,Cypher,Sova,Omen,Neon</v>
      </c>
      <c r="H123" s="189" t="str">
        <f>IFERROR(__xludf.DUMMYFUNCTION("""COMPUTED_VALUE"""),"Breach,Cypher,Sova,Omen,Neon")</f>
        <v>Breach,Cypher,Sova,Omen,Neon</v>
      </c>
      <c r="I123" s="189">
        <f>IFERROR(__xludf.DUMMYFUNCTION("""COMPUTED_VALUE"""),10.0)</f>
        <v>10</v>
      </c>
      <c r="J123" s="189">
        <f>IFERROR(__xludf.DUMMYFUNCTION("""COMPUTED_VALUE"""),13.0)</f>
        <v>13</v>
      </c>
      <c r="K123" s="189">
        <f>IFERROR(__xludf.DUMMYFUNCTION("""COMPUTED_VALUE"""),9.0)</f>
        <v>9</v>
      </c>
      <c r="L123" s="189">
        <f>IFERROR(__xludf.DUMMYFUNCTION("""COMPUTED_VALUE"""),3.0)</f>
        <v>3</v>
      </c>
      <c r="M123" s="189">
        <f>IFERROR(__xludf.DUMMYFUNCTION("""COMPUTED_VALUE"""),0.0)</f>
        <v>0</v>
      </c>
      <c r="N123" s="189">
        <f>IFERROR(__xludf.DUMMYFUNCTION("""COMPUTED_VALUE"""),1.0)</f>
        <v>1</v>
      </c>
      <c r="O123" s="189">
        <f>IFERROR(__xludf.DUMMYFUNCTION("""COMPUTED_VALUE"""),1.0)</f>
        <v>1</v>
      </c>
      <c r="P123" s="189">
        <f>IFERROR(__xludf.DUMMYFUNCTION("""COMPUTED_VALUE"""),10.0)</f>
        <v>10</v>
      </c>
      <c r="Q123" s="189">
        <f>IFERROR(__xludf.DUMMYFUNCTION("""COMPUTED_VALUE"""),9.0)</f>
        <v>9</v>
      </c>
      <c r="R123" s="189">
        <f>IFERROR(__xludf.DUMMYFUNCTION("""COMPUTED_VALUE"""),3.0)</f>
        <v>3</v>
      </c>
      <c r="S123" s="189">
        <f>IFERROR(__xludf.DUMMYFUNCTION("""COMPUTED_VALUE"""),0.0)</f>
        <v>0</v>
      </c>
      <c r="T123" s="189">
        <f>IFERROR(__xludf.DUMMYFUNCTION("""COMPUTED_VALUE"""),1.0)</f>
        <v>1</v>
      </c>
      <c r="U123" s="189">
        <f>IFERROR(__xludf.DUMMYFUNCTION("""COMPUTED_VALUE"""),3.0)</f>
        <v>3</v>
      </c>
      <c r="V123" s="189">
        <f>IFERROR(__xludf.DUMMYFUNCTION("""COMPUTED_VALUE"""),9.0)</f>
        <v>9</v>
      </c>
      <c r="W123" s="189">
        <f>IFERROR(__xludf.DUMMYFUNCTION("""COMPUTED_VALUE"""),10.0)</f>
        <v>10</v>
      </c>
      <c r="X123" s="189">
        <f>IFERROR(__xludf.DUMMYFUNCTION("""COMPUTED_VALUE"""),1.0)</f>
        <v>1</v>
      </c>
      <c r="Y123" s="189" t="str">
        <f>IFERROR(__xludf.DUMMYFUNCTION("""COMPUTED_VALUE"""),"2025-07-15T00:00:00.000Z")</f>
        <v>2025-07-15T00:00:00.000Z</v>
      </c>
      <c r="Z123" s="189" t="str">
        <f>IFERROR(__xludf.DUMMYFUNCTION("""COMPUTED_VALUE"""),"The Ultimates_Sunset")</f>
        <v>The Ultimates_Sunset</v>
      </c>
    </row>
    <row r="124">
      <c r="A124" s="189">
        <f>IFERROR(__xludf.DUMMYFUNCTION("""COMPUTED_VALUE"""),210096.0)</f>
        <v>210096</v>
      </c>
      <c r="B124" s="189">
        <f>IFERROR(__xludf.DUMMYFUNCTION("""COMPUTED_VALUE"""),92404.0)</f>
        <v>92404</v>
      </c>
      <c r="C124" s="189" t="str">
        <f>IFERROR(__xludf.DUMMYFUNCTION("""COMPUTED_VALUE"""),"Challengers League 2025 MENA: Resilience - GPI - Split 2 - Playoffs")</f>
        <v>Challengers League 2025 MENA: Resilience - GPI - Split 2 - Playoffs</v>
      </c>
      <c r="D124" s="189" t="str">
        <f>IFERROR(__xludf.DUMMYFUNCTION("""COMPUTED_VALUE"""),"Corrode")</f>
        <v>Corrode</v>
      </c>
      <c r="E124" s="189" t="str">
        <f>IFERROR(__xludf.DUMMYFUNCTION("""COMPUTED_VALUE"""),"Twisted Minds Esports")</f>
        <v>Twisted Minds Esports</v>
      </c>
      <c r="F124" s="189" t="str">
        <f>IFERROR(__xludf.DUMMYFUNCTION("""COMPUTED_VALUE"""),"AlQadsiah Esports")</f>
        <v>AlQadsiah Esports</v>
      </c>
      <c r="G124" s="189" t="str">
        <f>IFERROR(__xludf.DUMMYFUNCTION("""COMPUTED_VALUE"""),"Omen,Yoru,Chamber,Fade,Vyse")</f>
        <v>Omen,Yoru,Chamber,Fade,Vyse</v>
      </c>
      <c r="H124" s="189" t="str">
        <f>IFERROR(__xludf.DUMMYFUNCTION("""COMPUTED_VALUE"""),"Viper,Omen,Yoru,Chamber,Fade")</f>
        <v>Viper,Omen,Yoru,Chamber,Fade</v>
      </c>
      <c r="I124" s="189">
        <f>IFERROR(__xludf.DUMMYFUNCTION("""COMPUTED_VALUE"""),13.0)</f>
        <v>13</v>
      </c>
      <c r="J124" s="189">
        <f>IFERROR(__xludf.DUMMYFUNCTION("""COMPUTED_VALUE"""),5.0)</f>
        <v>5</v>
      </c>
      <c r="K124" s="189">
        <f>IFERROR(__xludf.DUMMYFUNCTION("""COMPUTED_VALUE"""),7.0)</f>
        <v>7</v>
      </c>
      <c r="L124" s="189">
        <f>IFERROR(__xludf.DUMMYFUNCTION("""COMPUTED_VALUE"""),5.0)</f>
        <v>5</v>
      </c>
      <c r="M124" s="189">
        <f>IFERROR(__xludf.DUMMYFUNCTION("""COMPUTED_VALUE"""),1.0)</f>
        <v>1</v>
      </c>
      <c r="N124" s="189">
        <f>IFERROR(__xludf.DUMMYFUNCTION("""COMPUTED_VALUE"""),1.0)</f>
        <v>1</v>
      </c>
      <c r="O124" s="189">
        <f>IFERROR(__xludf.DUMMYFUNCTION("""COMPUTED_VALUE"""),7.0)</f>
        <v>7</v>
      </c>
      <c r="P124" s="189">
        <f>IFERROR(__xludf.DUMMYFUNCTION("""COMPUTED_VALUE"""),5.0)</f>
        <v>5</v>
      </c>
      <c r="Q124" s="189">
        <f>IFERROR(__xludf.DUMMYFUNCTION("""COMPUTED_VALUE"""),6.0)</f>
        <v>6</v>
      </c>
      <c r="R124" s="189">
        <f>IFERROR(__xludf.DUMMYFUNCTION("""COMPUTED_VALUE"""),0.0)</f>
        <v>0</v>
      </c>
      <c r="S124" s="189">
        <f>IFERROR(__xludf.DUMMYFUNCTION("""COMPUTED_VALUE"""),0.0)</f>
        <v>0</v>
      </c>
      <c r="T124" s="189">
        <f>IFERROR(__xludf.DUMMYFUNCTION("""COMPUTED_VALUE"""),0.0)</f>
        <v>0</v>
      </c>
      <c r="U124" s="189">
        <f>IFERROR(__xludf.DUMMYFUNCTION("""COMPUTED_VALUE"""),0.0)</f>
        <v>0</v>
      </c>
      <c r="V124" s="189">
        <f>IFERROR(__xludf.DUMMYFUNCTION("""COMPUTED_VALUE"""),6.0)</f>
        <v>6</v>
      </c>
      <c r="W124" s="189">
        <f>IFERROR(__xludf.DUMMYFUNCTION("""COMPUTED_VALUE"""),5.0)</f>
        <v>5</v>
      </c>
      <c r="X124" s="189">
        <f>IFERROR(__xludf.DUMMYFUNCTION("""COMPUTED_VALUE"""),7.0)</f>
        <v>7</v>
      </c>
      <c r="Y124" s="189" t="str">
        <f>IFERROR(__xludf.DUMMYFUNCTION("""COMPUTED_VALUE"""),"2025-07-15T00:00:00.000Z")</f>
        <v>2025-07-15T00:00:00.000Z</v>
      </c>
      <c r="Z124" s="189" t="str">
        <f>IFERROR(__xludf.DUMMYFUNCTION("""COMPUTED_VALUE"""),"Twisted Minds Esports_Corrode")</f>
        <v>Twisted Minds Esports_Corrode</v>
      </c>
    </row>
    <row r="125">
      <c r="A125" s="189">
        <f>IFERROR(__xludf.DUMMYFUNCTION("""COMPUTED_VALUE"""),207566.0)</f>
        <v>207566</v>
      </c>
      <c r="B125" s="189">
        <f>IFERROR(__xludf.DUMMYFUNCTION("""COMPUTED_VALUE"""),91449.0)</f>
        <v>91449</v>
      </c>
      <c r="C125" s="189" t="str">
        <f>IFERROR(__xludf.DUMMYFUNCTION("""COMPUTED_VALUE"""),"Challengers League 2025 Spain Rising: Split 3 - Group Stage")</f>
        <v>Challengers League 2025 Spain Rising: Split 3 - Group Stage</v>
      </c>
      <c r="D125" s="189" t="str">
        <f>IFERROR(__xludf.DUMMYFUNCTION("""COMPUTED_VALUE"""),"Haven")</f>
        <v>Haven</v>
      </c>
      <c r="E125" s="189" t="str">
        <f>IFERROR(__xludf.DUMMYFUNCTION("""COMPUTED_VALUE"""),"DNSTY")</f>
        <v>DNSTY</v>
      </c>
      <c r="F125" s="189" t="str">
        <f>IFERROR(__xludf.DUMMYFUNCTION("""COMPUTED_VALUE"""),"ZETA Gaming")</f>
        <v>ZETA Gaming</v>
      </c>
      <c r="G125" s="189" t="str">
        <f>IFERROR(__xludf.DUMMYFUNCTION("""COMPUTED_VALUE"""),"Sova,Killjoy,Viper,Omen,Neon")</f>
        <v>Sova,Killjoy,Viper,Omen,Neon</v>
      </c>
      <c r="H125" s="189" t="str">
        <f>IFERROR(__xludf.DUMMYFUNCTION("""COMPUTED_VALUE"""),"Viper,Omen,Yoru,Fade,Vyse")</f>
        <v>Viper,Omen,Yoru,Fade,Vyse</v>
      </c>
      <c r="I125" s="189">
        <f>IFERROR(__xludf.DUMMYFUNCTION("""COMPUTED_VALUE"""),13.0)</f>
        <v>13</v>
      </c>
      <c r="J125" s="189">
        <f>IFERROR(__xludf.DUMMYFUNCTION("""COMPUTED_VALUE"""),11.0)</f>
        <v>11</v>
      </c>
      <c r="K125" s="189">
        <f>IFERROR(__xludf.DUMMYFUNCTION("""COMPUTED_VALUE"""),4.0)</f>
        <v>4</v>
      </c>
      <c r="L125" s="189">
        <f>IFERROR(__xludf.DUMMYFUNCTION("""COMPUTED_VALUE"""),8.0)</f>
        <v>8</v>
      </c>
      <c r="M125" s="189">
        <f>IFERROR(__xludf.DUMMYFUNCTION("""COMPUTED_VALUE"""),1.0)</f>
        <v>1</v>
      </c>
      <c r="N125" s="189">
        <f>IFERROR(__xludf.DUMMYFUNCTION("""COMPUTED_VALUE"""),1.0)</f>
        <v>1</v>
      </c>
      <c r="O125" s="189">
        <f>IFERROR(__xludf.DUMMYFUNCTION("""COMPUTED_VALUE"""),9.0)</f>
        <v>9</v>
      </c>
      <c r="P125" s="189">
        <f>IFERROR(__xludf.DUMMYFUNCTION("""COMPUTED_VALUE"""),3.0)</f>
        <v>3</v>
      </c>
      <c r="Q125" s="189">
        <f>IFERROR(__xludf.DUMMYFUNCTION("""COMPUTED_VALUE"""),4.0)</f>
        <v>4</v>
      </c>
      <c r="R125" s="189">
        <f>IFERROR(__xludf.DUMMYFUNCTION("""COMPUTED_VALUE"""),8.0)</f>
        <v>8</v>
      </c>
      <c r="S125" s="189">
        <f>IFERROR(__xludf.DUMMYFUNCTION("""COMPUTED_VALUE"""),0.0)</f>
        <v>0</v>
      </c>
      <c r="T125" s="189">
        <f>IFERROR(__xludf.DUMMYFUNCTION("""COMPUTED_VALUE"""),0.0)</f>
        <v>0</v>
      </c>
      <c r="U125" s="189">
        <f>IFERROR(__xludf.DUMMYFUNCTION("""COMPUTED_VALUE"""),8.0)</f>
        <v>8</v>
      </c>
      <c r="V125" s="189">
        <f>IFERROR(__xludf.DUMMYFUNCTION("""COMPUTED_VALUE"""),4.0)</f>
        <v>4</v>
      </c>
      <c r="W125" s="189">
        <f>IFERROR(__xludf.DUMMYFUNCTION("""COMPUTED_VALUE"""),3.0)</f>
        <v>3</v>
      </c>
      <c r="X125" s="189">
        <f>IFERROR(__xludf.DUMMYFUNCTION("""COMPUTED_VALUE"""),9.0)</f>
        <v>9</v>
      </c>
      <c r="Y125" s="189" t="str">
        <f>IFERROR(__xludf.DUMMYFUNCTION("""COMPUTED_VALUE"""),"2025-07-14T00:00:00.000Z")</f>
        <v>2025-07-14T00:00:00.000Z</v>
      </c>
      <c r="Z125" s="189" t="str">
        <f>IFERROR(__xludf.DUMMYFUNCTION("""COMPUTED_VALUE"""),"DNSTY_Haven")</f>
        <v>DNSTY_Haven</v>
      </c>
    </row>
    <row r="126">
      <c r="A126" s="189">
        <f>IFERROR(__xludf.DUMMYFUNCTION("""COMPUTED_VALUE"""),207565.0)</f>
        <v>207565</v>
      </c>
      <c r="B126" s="189">
        <f>IFERROR(__xludf.DUMMYFUNCTION("""COMPUTED_VALUE"""),91449.0)</f>
        <v>91449</v>
      </c>
      <c r="C126" s="189" t="str">
        <f>IFERROR(__xludf.DUMMYFUNCTION("""COMPUTED_VALUE"""),"Challengers League 2025 Spain Rising: Split 3 - Group Stage")</f>
        <v>Challengers League 2025 Spain Rising: Split 3 - Group Stage</v>
      </c>
      <c r="D126" s="189" t="str">
        <f>IFERROR(__xludf.DUMMYFUNCTION("""COMPUTED_VALUE"""),"Sunset")</f>
        <v>Sunset</v>
      </c>
      <c r="E126" s="189" t="str">
        <f>IFERROR(__xludf.DUMMYFUNCTION("""COMPUTED_VALUE"""),"DNSTY")</f>
        <v>DNSTY</v>
      </c>
      <c r="F126" s="189" t="str">
        <f>IFERROR(__xludf.DUMMYFUNCTION("""COMPUTED_VALUE"""),"ZETA Gaming")</f>
        <v>ZETA Gaming</v>
      </c>
      <c r="G126" s="189" t="str">
        <f>IFERROR(__xludf.DUMMYFUNCTION("""COMPUTED_VALUE"""),"Sova,Viper,Omen,Neon,Deadlock")</f>
        <v>Sova,Viper,Omen,Neon,Deadlock</v>
      </c>
      <c r="H126" s="189" t="str">
        <f>IFERROR(__xludf.DUMMYFUNCTION("""COMPUTED_VALUE"""),"Cypher,Sova,Omen,KAY/O,Neon")</f>
        <v>Cypher,Sova,Omen,KAY/O,Neon</v>
      </c>
      <c r="I126" s="189">
        <f>IFERROR(__xludf.DUMMYFUNCTION("""COMPUTED_VALUE"""),13.0)</f>
        <v>13</v>
      </c>
      <c r="J126" s="189">
        <f>IFERROR(__xludf.DUMMYFUNCTION("""COMPUTED_VALUE"""),2.0)</f>
        <v>2</v>
      </c>
      <c r="K126" s="189">
        <f>IFERROR(__xludf.DUMMYFUNCTION("""COMPUTED_VALUE"""),10.0)</f>
        <v>10</v>
      </c>
      <c r="L126" s="189">
        <f>IFERROR(__xludf.DUMMYFUNCTION("""COMPUTED_VALUE"""),2.0)</f>
        <v>2</v>
      </c>
      <c r="M126" s="189">
        <f>IFERROR(__xludf.DUMMYFUNCTION("""COMPUTED_VALUE"""),1.0)</f>
        <v>1</v>
      </c>
      <c r="N126" s="189">
        <f>IFERROR(__xludf.DUMMYFUNCTION("""COMPUTED_VALUE"""),1.0)</f>
        <v>1</v>
      </c>
      <c r="O126" s="189">
        <f>IFERROR(__xludf.DUMMYFUNCTION("""COMPUTED_VALUE"""),10.0)</f>
        <v>10</v>
      </c>
      <c r="P126" s="189">
        <f>IFERROR(__xludf.DUMMYFUNCTION("""COMPUTED_VALUE"""),2.0)</f>
        <v>2</v>
      </c>
      <c r="Q126" s="189">
        <f>IFERROR(__xludf.DUMMYFUNCTION("""COMPUTED_VALUE"""),3.0)</f>
        <v>3</v>
      </c>
      <c r="R126" s="189">
        <f>IFERROR(__xludf.DUMMYFUNCTION("""COMPUTED_VALUE"""),0.0)</f>
        <v>0</v>
      </c>
      <c r="S126" s="189">
        <f>IFERROR(__xludf.DUMMYFUNCTION("""COMPUTED_VALUE"""),0.0)</f>
        <v>0</v>
      </c>
      <c r="T126" s="189">
        <f>IFERROR(__xludf.DUMMYFUNCTION("""COMPUTED_VALUE"""),0.0)</f>
        <v>0</v>
      </c>
      <c r="U126" s="189">
        <f>IFERROR(__xludf.DUMMYFUNCTION("""COMPUTED_VALUE"""),0.0)</f>
        <v>0</v>
      </c>
      <c r="V126" s="189">
        <f>IFERROR(__xludf.DUMMYFUNCTION("""COMPUTED_VALUE"""),3.0)</f>
        <v>3</v>
      </c>
      <c r="W126" s="189">
        <f>IFERROR(__xludf.DUMMYFUNCTION("""COMPUTED_VALUE"""),2.0)</f>
        <v>2</v>
      </c>
      <c r="X126" s="189">
        <f>IFERROR(__xludf.DUMMYFUNCTION("""COMPUTED_VALUE"""),10.0)</f>
        <v>10</v>
      </c>
      <c r="Y126" s="189" t="str">
        <f>IFERROR(__xludf.DUMMYFUNCTION("""COMPUTED_VALUE"""),"2025-07-14T00:00:00.000Z")</f>
        <v>2025-07-14T00:00:00.000Z</v>
      </c>
      <c r="Z126" s="189" t="str">
        <f>IFERROR(__xludf.DUMMYFUNCTION("""COMPUTED_VALUE"""),"DNSTY_Sunset")</f>
        <v>DNSTY_Sunset</v>
      </c>
    </row>
    <row r="127">
      <c r="A127" s="189">
        <f>IFERROR(__xludf.DUMMYFUNCTION("""COMPUTED_VALUE"""),207564.0)</f>
        <v>207564</v>
      </c>
      <c r="B127" s="189">
        <f>IFERROR(__xludf.DUMMYFUNCTION("""COMPUTED_VALUE"""),91449.0)</f>
        <v>91449</v>
      </c>
      <c r="C127" s="189" t="str">
        <f>IFERROR(__xludf.DUMMYFUNCTION("""COMPUTED_VALUE"""),"Challengers League 2025 Spain Rising: Split 3 - Group Stage")</f>
        <v>Challengers League 2025 Spain Rising: Split 3 - Group Stage</v>
      </c>
      <c r="D127" s="189" t="str">
        <f>IFERROR(__xludf.DUMMYFUNCTION("""COMPUTED_VALUE"""),"Lotus")</f>
        <v>Lotus</v>
      </c>
      <c r="E127" s="189" t="str">
        <f>IFERROR(__xludf.DUMMYFUNCTION("""COMPUTED_VALUE"""),"DNSTY")</f>
        <v>DNSTY</v>
      </c>
      <c r="F127" s="189" t="str">
        <f>IFERROR(__xludf.DUMMYFUNCTION("""COMPUTED_VALUE"""),"ZETA Gaming")</f>
        <v>ZETA Gaming</v>
      </c>
      <c r="G127" s="189" t="str">
        <f>IFERROR(__xludf.DUMMYFUNCTION("""COMPUTED_VALUE"""),"Raze,Killjoy,Viper,Omen,Fade")</f>
        <v>Raze,Killjoy,Viper,Omen,Fade</v>
      </c>
      <c r="H127" s="189" t="str">
        <f>IFERROR(__xludf.DUMMYFUNCTION("""COMPUTED_VALUE"""),"Raze,Omen,Yoru,Fade,Vyse")</f>
        <v>Raze,Omen,Yoru,Fade,Vyse</v>
      </c>
      <c r="I127" s="189">
        <f>IFERROR(__xludf.DUMMYFUNCTION("""COMPUTED_VALUE"""),8.0)</f>
        <v>8</v>
      </c>
      <c r="J127" s="189">
        <f>IFERROR(__xludf.DUMMYFUNCTION("""COMPUTED_VALUE"""),13.0)</f>
        <v>13</v>
      </c>
      <c r="K127" s="189">
        <f>IFERROR(__xludf.DUMMYFUNCTION("""COMPUTED_VALUE"""),2.0)</f>
        <v>2</v>
      </c>
      <c r="L127" s="189">
        <f>IFERROR(__xludf.DUMMYFUNCTION("""COMPUTED_VALUE"""),10.0)</f>
        <v>10</v>
      </c>
      <c r="M127" s="189">
        <f>IFERROR(__xludf.DUMMYFUNCTION("""COMPUTED_VALUE"""),0.0)</f>
        <v>0</v>
      </c>
      <c r="N127" s="189">
        <f>IFERROR(__xludf.DUMMYFUNCTION("""COMPUTED_VALUE"""),1.0)</f>
        <v>1</v>
      </c>
      <c r="O127" s="189">
        <f>IFERROR(__xludf.DUMMYFUNCTION("""COMPUTED_VALUE"""),2.0)</f>
        <v>2</v>
      </c>
      <c r="P127" s="189">
        <f>IFERROR(__xludf.DUMMYFUNCTION("""COMPUTED_VALUE"""),10.0)</f>
        <v>10</v>
      </c>
      <c r="Q127" s="189">
        <f>IFERROR(__xludf.DUMMYFUNCTION("""COMPUTED_VALUE"""),6.0)</f>
        <v>6</v>
      </c>
      <c r="R127" s="189">
        <f>IFERROR(__xludf.DUMMYFUNCTION("""COMPUTED_VALUE"""),3.0)</f>
        <v>3</v>
      </c>
      <c r="S127" s="189">
        <f>IFERROR(__xludf.DUMMYFUNCTION("""COMPUTED_VALUE"""),0.0)</f>
        <v>0</v>
      </c>
      <c r="T127" s="189">
        <f>IFERROR(__xludf.DUMMYFUNCTION("""COMPUTED_VALUE"""),1.0)</f>
        <v>1</v>
      </c>
      <c r="U127" s="189">
        <f>IFERROR(__xludf.DUMMYFUNCTION("""COMPUTED_VALUE"""),3.0)</f>
        <v>3</v>
      </c>
      <c r="V127" s="189">
        <f>IFERROR(__xludf.DUMMYFUNCTION("""COMPUTED_VALUE"""),6.0)</f>
        <v>6</v>
      </c>
      <c r="W127" s="189">
        <f>IFERROR(__xludf.DUMMYFUNCTION("""COMPUTED_VALUE"""),10.0)</f>
        <v>10</v>
      </c>
      <c r="X127" s="189">
        <f>IFERROR(__xludf.DUMMYFUNCTION("""COMPUTED_VALUE"""),2.0)</f>
        <v>2</v>
      </c>
      <c r="Y127" s="189" t="str">
        <f>IFERROR(__xludf.DUMMYFUNCTION("""COMPUTED_VALUE"""),"2025-07-14T00:00:00.000Z")</f>
        <v>2025-07-14T00:00:00.000Z</v>
      </c>
      <c r="Z127" s="189" t="str">
        <f>IFERROR(__xludf.DUMMYFUNCTION("""COMPUTED_VALUE"""),"DNSTY_Lotus")</f>
        <v>DNSTY_Lotus</v>
      </c>
    </row>
    <row r="128">
      <c r="A128" s="189">
        <f>IFERROR(__xludf.DUMMYFUNCTION("""COMPUTED_VALUE"""),209295.0)</f>
        <v>209295</v>
      </c>
      <c r="B128" s="189">
        <f>IFERROR(__xludf.DUMMYFUNCTION("""COMPUTED_VALUE"""),92095.0)</f>
        <v>92095</v>
      </c>
      <c r="C128" s="189" t="str">
        <f>IFERROR(__xludf.DUMMYFUNCTION("""COMPUTED_VALUE"""),"Challengers League 2025 MENA: Resilience - GPI - Split 2 - Playoffs")</f>
        <v>Challengers League 2025 MENA: Resilience - GPI - Split 2 - Playoffs</v>
      </c>
      <c r="D128" s="189" t="str">
        <f>IFERROR(__xludf.DUMMYFUNCTION("""COMPUTED_VALUE"""),"Ascent")</f>
        <v>Ascent</v>
      </c>
      <c r="E128" s="189" t="str">
        <f>IFERROR(__xludf.DUMMYFUNCTION("""COMPUTED_VALUE"""),"The Ultimates")</f>
        <v>The Ultimates</v>
      </c>
      <c r="F128" s="189" t="str">
        <f>IFERROR(__xludf.DUMMYFUNCTION("""COMPUTED_VALUE"""),"Twisted Minds Esports")</f>
        <v>Twisted Minds Esports</v>
      </c>
      <c r="G128" s="189" t="str">
        <f>IFERROR(__xludf.DUMMYFUNCTION("""COMPUTED_VALUE"""),"Cypher,Sova,Omen,Yoru,Deadlock")</f>
        <v>Cypher,Sova,Omen,Yoru,Deadlock</v>
      </c>
      <c r="H128" s="189" t="str">
        <f>IFERROR(__xludf.DUMMYFUNCTION("""COMPUTED_VALUE"""),"Cypher,Sova,Omen,Yoru,Deadlock")</f>
        <v>Cypher,Sova,Omen,Yoru,Deadlock</v>
      </c>
      <c r="I128" s="189">
        <f>IFERROR(__xludf.DUMMYFUNCTION("""COMPUTED_VALUE"""),6.0)</f>
        <v>6</v>
      </c>
      <c r="J128" s="189">
        <f>IFERROR(__xludf.DUMMYFUNCTION("""COMPUTED_VALUE"""),13.0)</f>
        <v>13</v>
      </c>
      <c r="K128" s="189">
        <f>IFERROR(__xludf.DUMMYFUNCTION("""COMPUTED_VALUE"""),3.0)</f>
        <v>3</v>
      </c>
      <c r="L128" s="189">
        <f>IFERROR(__xludf.DUMMYFUNCTION("""COMPUTED_VALUE"""),9.0)</f>
        <v>9</v>
      </c>
      <c r="M128" s="189">
        <f>IFERROR(__xludf.DUMMYFUNCTION("""COMPUTED_VALUE"""),0.0)</f>
        <v>0</v>
      </c>
      <c r="N128" s="189">
        <f>IFERROR(__xludf.DUMMYFUNCTION("""COMPUTED_VALUE"""),0.0)</f>
        <v>0</v>
      </c>
      <c r="O128" s="189">
        <f>IFERROR(__xludf.DUMMYFUNCTION("""COMPUTED_VALUE"""),3.0)</f>
        <v>3</v>
      </c>
      <c r="P128" s="189">
        <f>IFERROR(__xludf.DUMMYFUNCTION("""COMPUTED_VALUE"""),9.0)</f>
        <v>9</v>
      </c>
      <c r="Q128" s="189">
        <f>IFERROR(__xludf.DUMMYFUNCTION("""COMPUTED_VALUE"""),3.0)</f>
        <v>3</v>
      </c>
      <c r="R128" s="189">
        <f>IFERROR(__xludf.DUMMYFUNCTION("""COMPUTED_VALUE"""),4.0)</f>
        <v>4</v>
      </c>
      <c r="S128" s="189">
        <f>IFERROR(__xludf.DUMMYFUNCTION("""COMPUTED_VALUE"""),1.0)</f>
        <v>1</v>
      </c>
      <c r="T128" s="189">
        <f>IFERROR(__xludf.DUMMYFUNCTION("""COMPUTED_VALUE"""),1.0)</f>
        <v>1</v>
      </c>
      <c r="U128" s="189">
        <f>IFERROR(__xludf.DUMMYFUNCTION("""COMPUTED_VALUE"""),4.0)</f>
        <v>4</v>
      </c>
      <c r="V128" s="189">
        <f>IFERROR(__xludf.DUMMYFUNCTION("""COMPUTED_VALUE"""),3.0)</f>
        <v>3</v>
      </c>
      <c r="W128" s="189">
        <f>IFERROR(__xludf.DUMMYFUNCTION("""COMPUTED_VALUE"""),9.0)</f>
        <v>9</v>
      </c>
      <c r="X128" s="189">
        <f>IFERROR(__xludf.DUMMYFUNCTION("""COMPUTED_VALUE"""),3.0)</f>
        <v>3</v>
      </c>
      <c r="Y128" s="189" t="str">
        <f>IFERROR(__xludf.DUMMYFUNCTION("""COMPUTED_VALUE"""),"2025-07-14T00:00:00.000Z")</f>
        <v>2025-07-14T00:00:00.000Z</v>
      </c>
      <c r="Z128" s="189" t="str">
        <f>IFERROR(__xludf.DUMMYFUNCTION("""COMPUTED_VALUE"""),"The Ultimates_Ascent")</f>
        <v>The Ultimates_Ascent</v>
      </c>
    </row>
    <row r="129">
      <c r="A129" s="189">
        <f>IFERROR(__xludf.DUMMYFUNCTION("""COMPUTED_VALUE"""),209294.0)</f>
        <v>209294</v>
      </c>
      <c r="B129" s="189">
        <f>IFERROR(__xludf.DUMMYFUNCTION("""COMPUTED_VALUE"""),92095.0)</f>
        <v>92095</v>
      </c>
      <c r="C129" s="189" t="str">
        <f>IFERROR(__xludf.DUMMYFUNCTION("""COMPUTED_VALUE"""),"Challengers League 2025 MENA: Resilience - GPI - Split 2 - Playoffs")</f>
        <v>Challengers League 2025 MENA: Resilience - GPI - Split 2 - Playoffs</v>
      </c>
      <c r="D129" s="189" t="str">
        <f>IFERROR(__xludf.DUMMYFUNCTION("""COMPUTED_VALUE"""),"Haven")</f>
        <v>Haven</v>
      </c>
      <c r="E129" s="189" t="str">
        <f>IFERROR(__xludf.DUMMYFUNCTION("""COMPUTED_VALUE"""),"The Ultimates")</f>
        <v>The Ultimates</v>
      </c>
      <c r="F129" s="189" t="str">
        <f>IFERROR(__xludf.DUMMYFUNCTION("""COMPUTED_VALUE"""),"Twisted Minds Esports")</f>
        <v>Twisted Minds Esports</v>
      </c>
      <c r="G129" s="189" t="str">
        <f>IFERROR(__xludf.DUMMYFUNCTION("""COMPUTED_VALUE"""),"Breach,Cypher,Sova,Omen,Neon")</f>
        <v>Breach,Cypher,Sova,Omen,Neon</v>
      </c>
      <c r="H129" s="189" t="str">
        <f>IFERROR(__xludf.DUMMYFUNCTION("""COMPUTED_VALUE"""),"Breach,Cypher,Sova,Omen,Jett")</f>
        <v>Breach,Cypher,Sova,Omen,Jett</v>
      </c>
      <c r="I129" s="189">
        <f>IFERROR(__xludf.DUMMYFUNCTION("""COMPUTED_VALUE"""),13.0)</f>
        <v>13</v>
      </c>
      <c r="J129" s="189">
        <f>IFERROR(__xludf.DUMMYFUNCTION("""COMPUTED_VALUE"""),6.0)</f>
        <v>6</v>
      </c>
      <c r="K129" s="189">
        <f>IFERROR(__xludf.DUMMYFUNCTION("""COMPUTED_VALUE"""),9.0)</f>
        <v>9</v>
      </c>
      <c r="L129" s="189">
        <f>IFERROR(__xludf.DUMMYFUNCTION("""COMPUTED_VALUE"""),3.0)</f>
        <v>3</v>
      </c>
      <c r="M129" s="189">
        <f>IFERROR(__xludf.DUMMYFUNCTION("""COMPUTED_VALUE"""),1.0)</f>
        <v>1</v>
      </c>
      <c r="N129" s="189">
        <f>IFERROR(__xludf.DUMMYFUNCTION("""COMPUTED_VALUE"""),0.0)</f>
        <v>0</v>
      </c>
      <c r="O129" s="189">
        <f>IFERROR(__xludf.DUMMYFUNCTION("""COMPUTED_VALUE"""),9.0)</f>
        <v>9</v>
      </c>
      <c r="P129" s="189">
        <f>IFERROR(__xludf.DUMMYFUNCTION("""COMPUTED_VALUE"""),3.0)</f>
        <v>3</v>
      </c>
      <c r="Q129" s="189">
        <f>IFERROR(__xludf.DUMMYFUNCTION("""COMPUTED_VALUE"""),4.0)</f>
        <v>4</v>
      </c>
      <c r="R129" s="189">
        <f>IFERROR(__xludf.DUMMYFUNCTION("""COMPUTED_VALUE"""),3.0)</f>
        <v>3</v>
      </c>
      <c r="S129" s="189">
        <f>IFERROR(__xludf.DUMMYFUNCTION("""COMPUTED_VALUE"""),1.0)</f>
        <v>1</v>
      </c>
      <c r="T129" s="189">
        <f>IFERROR(__xludf.DUMMYFUNCTION("""COMPUTED_VALUE"""),0.0)</f>
        <v>0</v>
      </c>
      <c r="U129" s="189">
        <f>IFERROR(__xludf.DUMMYFUNCTION("""COMPUTED_VALUE"""),3.0)</f>
        <v>3</v>
      </c>
      <c r="V129" s="189">
        <f>IFERROR(__xludf.DUMMYFUNCTION("""COMPUTED_VALUE"""),4.0)</f>
        <v>4</v>
      </c>
      <c r="W129" s="189">
        <f>IFERROR(__xludf.DUMMYFUNCTION("""COMPUTED_VALUE"""),3.0)</f>
        <v>3</v>
      </c>
      <c r="X129" s="189">
        <f>IFERROR(__xludf.DUMMYFUNCTION("""COMPUTED_VALUE"""),9.0)</f>
        <v>9</v>
      </c>
      <c r="Y129" s="189" t="str">
        <f>IFERROR(__xludf.DUMMYFUNCTION("""COMPUTED_VALUE"""),"2025-07-14T00:00:00.000Z")</f>
        <v>2025-07-14T00:00:00.000Z</v>
      </c>
      <c r="Z129" s="189" t="str">
        <f>IFERROR(__xludf.DUMMYFUNCTION("""COMPUTED_VALUE"""),"The Ultimates_Haven")</f>
        <v>The Ultimates_Haven</v>
      </c>
    </row>
    <row r="130">
      <c r="A130" s="189">
        <f>IFERROR(__xludf.DUMMYFUNCTION("""COMPUTED_VALUE"""),210104.0)</f>
        <v>210104</v>
      </c>
      <c r="B130" s="189">
        <f>IFERROR(__xludf.DUMMYFUNCTION("""COMPUTED_VALUE"""),92408.0)</f>
        <v>92408</v>
      </c>
      <c r="C130" s="189" t="str">
        <f>IFERROR(__xludf.DUMMYFUNCTION("""COMPUTED_VALUE"""),"Challengers League 2025 NORTH EAST: Split 3 - Upper Swiss Phase")</f>
        <v>Challengers League 2025 NORTH EAST: Split 3 - Upper Swiss Phase</v>
      </c>
      <c r="D130" s="189" t="str">
        <f>IFERROR(__xludf.DUMMYFUNCTION("""COMPUTED_VALUE"""),"Lotus")</f>
        <v>Lotus</v>
      </c>
      <c r="E130" s="189" t="str">
        <f>IFERROR(__xludf.DUMMYFUNCTION("""COMPUTED_VALUE"""),"Team Liquid Academy")</f>
        <v>Team Liquid Academy</v>
      </c>
      <c r="F130" s="189" t="str">
        <f>IFERROR(__xludf.DUMMYFUNCTION("""COMPUTED_VALUE"""),"Boars Gaming")</f>
        <v>Boars Gaming</v>
      </c>
      <c r="G130" s="189" t="str">
        <f>IFERROR(__xludf.DUMMYFUNCTION("""COMPUTED_VALUE"""),"Raze,Viper,Omen,Fade,Vyse")</f>
        <v>Raze,Viper,Omen,Fade,Vyse</v>
      </c>
      <c r="H130" s="189" t="str">
        <f>IFERROR(__xludf.DUMMYFUNCTION("""COMPUTED_VALUE"""),"Breach,Cypher,Omen,Neon,Fade")</f>
        <v>Breach,Cypher,Omen,Neon,Fade</v>
      </c>
      <c r="I130" s="189">
        <f>IFERROR(__xludf.DUMMYFUNCTION("""COMPUTED_VALUE"""),7.0)</f>
        <v>7</v>
      </c>
      <c r="J130" s="189">
        <f>IFERROR(__xludf.DUMMYFUNCTION("""COMPUTED_VALUE"""),13.0)</f>
        <v>13</v>
      </c>
      <c r="K130" s="189">
        <f>IFERROR(__xludf.DUMMYFUNCTION("""COMPUTED_VALUE"""),7.0)</f>
        <v>7</v>
      </c>
      <c r="L130" s="189">
        <f>IFERROR(__xludf.DUMMYFUNCTION("""COMPUTED_VALUE"""),5.0)</f>
        <v>5</v>
      </c>
      <c r="M130" s="189">
        <f>IFERROR(__xludf.DUMMYFUNCTION("""COMPUTED_VALUE"""),0.0)</f>
        <v>0</v>
      </c>
      <c r="N130" s="189">
        <f>IFERROR(__xludf.DUMMYFUNCTION("""COMPUTED_VALUE"""),1.0)</f>
        <v>1</v>
      </c>
      <c r="O130" s="189">
        <f>IFERROR(__xludf.DUMMYFUNCTION("""COMPUTED_VALUE"""),0.0)</f>
        <v>0</v>
      </c>
      <c r="P130" s="189">
        <f>IFERROR(__xludf.DUMMYFUNCTION("""COMPUTED_VALUE"""),8.0)</f>
        <v>8</v>
      </c>
      <c r="Q130" s="189">
        <f>IFERROR(__xludf.DUMMYFUNCTION("""COMPUTED_VALUE"""),7.0)</f>
        <v>7</v>
      </c>
      <c r="R130" s="189">
        <f>IFERROR(__xludf.DUMMYFUNCTION("""COMPUTED_VALUE"""),5.0)</f>
        <v>5</v>
      </c>
      <c r="S130" s="189">
        <f>IFERROR(__xludf.DUMMYFUNCTION("""COMPUTED_VALUE"""),0.0)</f>
        <v>0</v>
      </c>
      <c r="T130" s="189">
        <f>IFERROR(__xludf.DUMMYFUNCTION("""COMPUTED_VALUE"""),1.0)</f>
        <v>1</v>
      </c>
      <c r="U130" s="189">
        <f>IFERROR(__xludf.DUMMYFUNCTION("""COMPUTED_VALUE"""),5.0)</f>
        <v>5</v>
      </c>
      <c r="V130" s="189">
        <f>IFERROR(__xludf.DUMMYFUNCTION("""COMPUTED_VALUE"""),7.0)</f>
        <v>7</v>
      </c>
      <c r="W130" s="189">
        <f>IFERROR(__xludf.DUMMYFUNCTION("""COMPUTED_VALUE"""),8.0)</f>
        <v>8</v>
      </c>
      <c r="X130" s="189">
        <f>IFERROR(__xludf.DUMMYFUNCTION("""COMPUTED_VALUE"""),0.0)</f>
        <v>0</v>
      </c>
      <c r="Y130" s="189" t="str">
        <f>IFERROR(__xludf.DUMMYFUNCTION("""COMPUTED_VALUE"""),"2025-07-14T00:00:00.000Z")</f>
        <v>2025-07-14T00:00:00.000Z</v>
      </c>
      <c r="Z130" s="189" t="str">
        <f>IFERROR(__xludf.DUMMYFUNCTION("""COMPUTED_VALUE"""),"Team Liquid Academy_Lotus")</f>
        <v>Team Liquid Academy_Lotus</v>
      </c>
    </row>
    <row r="131">
      <c r="A131" s="189">
        <f>IFERROR(__xludf.DUMMYFUNCTION("""COMPUTED_VALUE"""),210103.0)</f>
        <v>210103</v>
      </c>
      <c r="B131" s="189">
        <f>IFERROR(__xludf.DUMMYFUNCTION("""COMPUTED_VALUE"""),92407.0)</f>
        <v>92407</v>
      </c>
      <c r="C131" s="189" t="str">
        <f>IFERROR(__xludf.DUMMYFUNCTION("""COMPUTED_VALUE"""),"Challengers League 2025 NORTH EAST: Split 3 - Upper Swiss Phase")</f>
        <v>Challengers League 2025 NORTH EAST: Split 3 - Upper Swiss Phase</v>
      </c>
      <c r="D131" s="189" t="str">
        <f>IFERROR(__xludf.DUMMYFUNCTION("""COMPUTED_VALUE"""),"Ascent")</f>
        <v>Ascent</v>
      </c>
      <c r="E131" s="189" t="str">
        <f>IFERROR(__xludf.DUMMYFUNCTION("""COMPUTED_VALUE"""),"Enterprise Esports")</f>
        <v>Enterprise Esports</v>
      </c>
      <c r="F131" s="189" t="str">
        <f>IFERROR(__xludf.DUMMYFUNCTION("""COMPUTED_VALUE"""),"MANIA Esports")</f>
        <v>MANIA Esports</v>
      </c>
      <c r="G131" s="189" t="str">
        <f>IFERROR(__xludf.DUMMYFUNCTION("""COMPUTED_VALUE"""),"Cypher,Sova,Omen,Jett,KAY/O")</f>
        <v>Cypher,Sova,Omen,Jett,KAY/O</v>
      </c>
      <c r="H131" s="189" t="str">
        <f>IFERROR(__xludf.DUMMYFUNCTION("""COMPUTED_VALUE"""),"Cypher,Sova,Omen,Yoru,Deadlock")</f>
        <v>Cypher,Sova,Omen,Yoru,Deadlock</v>
      </c>
      <c r="I131" s="189">
        <f>IFERROR(__xludf.DUMMYFUNCTION("""COMPUTED_VALUE"""),13.0)</f>
        <v>13</v>
      </c>
      <c r="J131" s="189">
        <f>IFERROR(__xludf.DUMMYFUNCTION("""COMPUTED_VALUE"""),7.0)</f>
        <v>7</v>
      </c>
      <c r="K131" s="189">
        <f>IFERROR(__xludf.DUMMYFUNCTION("""COMPUTED_VALUE"""),7.0)</f>
        <v>7</v>
      </c>
      <c r="L131" s="189">
        <f>IFERROR(__xludf.DUMMYFUNCTION("""COMPUTED_VALUE"""),5.0)</f>
        <v>5</v>
      </c>
      <c r="M131" s="189">
        <f>IFERROR(__xludf.DUMMYFUNCTION("""COMPUTED_VALUE"""),1.0)</f>
        <v>1</v>
      </c>
      <c r="N131" s="189">
        <f>IFERROR(__xludf.DUMMYFUNCTION("""COMPUTED_VALUE"""),1.0)</f>
        <v>1</v>
      </c>
      <c r="O131" s="189">
        <f>IFERROR(__xludf.DUMMYFUNCTION("""COMPUTED_VALUE"""),6.0)</f>
        <v>6</v>
      </c>
      <c r="P131" s="189">
        <f>IFERROR(__xludf.DUMMYFUNCTION("""COMPUTED_VALUE"""),2.0)</f>
        <v>2</v>
      </c>
      <c r="Q131" s="189">
        <f>IFERROR(__xludf.DUMMYFUNCTION("""COMPUTED_VALUE"""),7.0)</f>
        <v>7</v>
      </c>
      <c r="R131" s="189">
        <f>IFERROR(__xludf.DUMMYFUNCTION("""COMPUTED_VALUE"""),5.0)</f>
        <v>5</v>
      </c>
      <c r="S131" s="189">
        <f>IFERROR(__xludf.DUMMYFUNCTION("""COMPUTED_VALUE"""),0.0)</f>
        <v>0</v>
      </c>
      <c r="T131" s="189">
        <f>IFERROR(__xludf.DUMMYFUNCTION("""COMPUTED_VALUE"""),0.0)</f>
        <v>0</v>
      </c>
      <c r="U131" s="189">
        <f>IFERROR(__xludf.DUMMYFUNCTION("""COMPUTED_VALUE"""),5.0)</f>
        <v>5</v>
      </c>
      <c r="V131" s="189">
        <f>IFERROR(__xludf.DUMMYFUNCTION("""COMPUTED_VALUE"""),7.0)</f>
        <v>7</v>
      </c>
      <c r="W131" s="189">
        <f>IFERROR(__xludf.DUMMYFUNCTION("""COMPUTED_VALUE"""),2.0)</f>
        <v>2</v>
      </c>
      <c r="X131" s="189">
        <f>IFERROR(__xludf.DUMMYFUNCTION("""COMPUTED_VALUE"""),6.0)</f>
        <v>6</v>
      </c>
      <c r="Y131" s="189" t="str">
        <f>IFERROR(__xludf.DUMMYFUNCTION("""COMPUTED_VALUE"""),"2025-07-14T00:00:00.000Z")</f>
        <v>2025-07-14T00:00:00.000Z</v>
      </c>
      <c r="Z131" s="189" t="str">
        <f>IFERROR(__xludf.DUMMYFUNCTION("""COMPUTED_VALUE"""),"Enterprise Esports_Ascent")</f>
        <v>Enterprise Esports_Ascent</v>
      </c>
    </row>
    <row r="132">
      <c r="A132" s="189">
        <f>IFERROR(__xludf.DUMMYFUNCTION("""COMPUTED_VALUE"""),209293.0)</f>
        <v>209293</v>
      </c>
      <c r="B132" s="189">
        <f>IFERROR(__xludf.DUMMYFUNCTION("""COMPUTED_VALUE"""),92095.0)</f>
        <v>92095</v>
      </c>
      <c r="C132" s="189" t="str">
        <f>IFERROR(__xludf.DUMMYFUNCTION("""COMPUTED_VALUE"""),"Challengers League 2025 MENA: Resilience - GPI - Split 2 - Playoffs")</f>
        <v>Challengers League 2025 MENA: Resilience - GPI - Split 2 - Playoffs</v>
      </c>
      <c r="D132" s="189" t="str">
        <f>IFERROR(__xludf.DUMMYFUNCTION("""COMPUTED_VALUE"""),"Lotus")</f>
        <v>Lotus</v>
      </c>
      <c r="E132" s="189" t="str">
        <f>IFERROR(__xludf.DUMMYFUNCTION("""COMPUTED_VALUE"""),"The Ultimates")</f>
        <v>The Ultimates</v>
      </c>
      <c r="F132" s="189" t="str">
        <f>IFERROR(__xludf.DUMMYFUNCTION("""COMPUTED_VALUE"""),"Twisted Minds Esports")</f>
        <v>Twisted Minds Esports</v>
      </c>
      <c r="G132" s="189" t="str">
        <f>IFERROR(__xludf.DUMMYFUNCTION("""COMPUTED_VALUE"""),"Breach,Cypher,Sova,Omen,Neon")</f>
        <v>Breach,Cypher,Sova,Omen,Neon</v>
      </c>
      <c r="H132" s="189" t="str">
        <f>IFERROR(__xludf.DUMMYFUNCTION("""COMPUTED_VALUE"""),"Raze,Killjoy,Viper,Omen,Fade")</f>
        <v>Raze,Killjoy,Viper,Omen,Fade</v>
      </c>
      <c r="I132" s="189">
        <f>IFERROR(__xludf.DUMMYFUNCTION("""COMPUTED_VALUE"""),6.0)</f>
        <v>6</v>
      </c>
      <c r="J132" s="189">
        <f>IFERROR(__xludf.DUMMYFUNCTION("""COMPUTED_VALUE"""),13.0)</f>
        <v>13</v>
      </c>
      <c r="K132" s="189">
        <f>IFERROR(__xludf.DUMMYFUNCTION("""COMPUTED_VALUE"""),4.0)</f>
        <v>4</v>
      </c>
      <c r="L132" s="189">
        <f>IFERROR(__xludf.DUMMYFUNCTION("""COMPUTED_VALUE"""),8.0)</f>
        <v>8</v>
      </c>
      <c r="M132" s="189">
        <f>IFERROR(__xludf.DUMMYFUNCTION("""COMPUTED_VALUE"""),0.0)</f>
        <v>0</v>
      </c>
      <c r="N132" s="189">
        <f>IFERROR(__xludf.DUMMYFUNCTION("""COMPUTED_VALUE"""),0.0)</f>
        <v>0</v>
      </c>
      <c r="O132" s="189">
        <f>IFERROR(__xludf.DUMMYFUNCTION("""COMPUTED_VALUE"""),4.0)</f>
        <v>4</v>
      </c>
      <c r="P132" s="189">
        <f>IFERROR(__xludf.DUMMYFUNCTION("""COMPUTED_VALUE"""),8.0)</f>
        <v>8</v>
      </c>
      <c r="Q132" s="189">
        <f>IFERROR(__xludf.DUMMYFUNCTION("""COMPUTED_VALUE"""),2.0)</f>
        <v>2</v>
      </c>
      <c r="R132" s="189">
        <f>IFERROR(__xludf.DUMMYFUNCTION("""COMPUTED_VALUE"""),5.0)</f>
        <v>5</v>
      </c>
      <c r="S132" s="189">
        <f>IFERROR(__xludf.DUMMYFUNCTION("""COMPUTED_VALUE"""),1.0)</f>
        <v>1</v>
      </c>
      <c r="T132" s="189">
        <f>IFERROR(__xludf.DUMMYFUNCTION("""COMPUTED_VALUE"""),1.0)</f>
        <v>1</v>
      </c>
      <c r="U132" s="189">
        <f>IFERROR(__xludf.DUMMYFUNCTION("""COMPUTED_VALUE"""),5.0)</f>
        <v>5</v>
      </c>
      <c r="V132" s="189">
        <f>IFERROR(__xludf.DUMMYFUNCTION("""COMPUTED_VALUE"""),2.0)</f>
        <v>2</v>
      </c>
      <c r="W132" s="189">
        <f>IFERROR(__xludf.DUMMYFUNCTION("""COMPUTED_VALUE"""),8.0)</f>
        <v>8</v>
      </c>
      <c r="X132" s="189">
        <f>IFERROR(__xludf.DUMMYFUNCTION("""COMPUTED_VALUE"""),4.0)</f>
        <v>4</v>
      </c>
      <c r="Y132" s="189" t="str">
        <f>IFERROR(__xludf.DUMMYFUNCTION("""COMPUTED_VALUE"""),"2025-07-14T00:00:00.000Z")</f>
        <v>2025-07-14T00:00:00.000Z</v>
      </c>
      <c r="Z132" s="189" t="str">
        <f>IFERROR(__xludf.DUMMYFUNCTION("""COMPUTED_VALUE"""),"The Ultimates_Lotus")</f>
        <v>The Ultimates_Lotus</v>
      </c>
    </row>
    <row r="133">
      <c r="A133" s="189">
        <f>IFERROR(__xludf.DUMMYFUNCTION("""COMPUTED_VALUE"""),209857.0)</f>
        <v>209857</v>
      </c>
      <c r="B133" s="189">
        <f>IFERROR(__xludf.DUMMYFUNCTION("""COMPUTED_VALUE"""),92319.0)</f>
        <v>92319</v>
      </c>
      <c r="C133" s="189" t="str">
        <f>IFERROR(__xludf.DUMMYFUNCTION("""COMPUTED_VALUE"""),"Challengers League 2025 NORTH EAST: Split 3 - Upper Swiss Phase")</f>
        <v>Challengers League 2025 NORTH EAST: Split 3 - Upper Swiss Phase</v>
      </c>
      <c r="D133" s="189" t="str">
        <f>IFERROR(__xludf.DUMMYFUNCTION("""COMPUTED_VALUE"""),"Sunset")</f>
        <v>Sunset</v>
      </c>
      <c r="E133" s="189" t="str">
        <f>IFERROR(__xludf.DUMMYFUNCTION("""COMPUTED_VALUE"""),"Enterprise Esports")</f>
        <v>Enterprise Esports</v>
      </c>
      <c r="F133" s="189" t="str">
        <f>IFERROR(__xludf.DUMMYFUNCTION("""COMPUTED_VALUE"""),"Metizport")</f>
        <v>Metizport</v>
      </c>
      <c r="G133" s="189" t="str">
        <f>IFERROR(__xludf.DUMMYFUNCTION("""COMPUTED_VALUE"""),"Cypher,Sova,Omen,KAY/O,Neon")</f>
        <v>Cypher,Sova,Omen,KAY/O,Neon</v>
      </c>
      <c r="H133" s="189" t="str">
        <f>IFERROR(__xludf.DUMMYFUNCTION("""COMPUTED_VALUE"""),"Breach,Cypher,Sova,Omen,Neon")</f>
        <v>Breach,Cypher,Sova,Omen,Neon</v>
      </c>
      <c r="I133" s="189">
        <f>IFERROR(__xludf.DUMMYFUNCTION("""COMPUTED_VALUE"""),4.0)</f>
        <v>4</v>
      </c>
      <c r="J133" s="189">
        <f>IFERROR(__xludf.DUMMYFUNCTION("""COMPUTED_VALUE"""),13.0)</f>
        <v>13</v>
      </c>
      <c r="K133" s="189">
        <f>IFERROR(__xludf.DUMMYFUNCTION("""COMPUTED_VALUE"""),4.0)</f>
        <v>4</v>
      </c>
      <c r="L133" s="189">
        <f>IFERROR(__xludf.DUMMYFUNCTION("""COMPUTED_VALUE"""),8.0)</f>
        <v>8</v>
      </c>
      <c r="M133" s="189">
        <f>IFERROR(__xludf.DUMMYFUNCTION("""COMPUTED_VALUE"""),0.0)</f>
        <v>0</v>
      </c>
      <c r="N133" s="189">
        <f>IFERROR(__xludf.DUMMYFUNCTION("""COMPUTED_VALUE"""),1.0)</f>
        <v>1</v>
      </c>
      <c r="O133" s="189">
        <f>IFERROR(__xludf.DUMMYFUNCTION("""COMPUTED_VALUE"""),0.0)</f>
        <v>0</v>
      </c>
      <c r="P133" s="189">
        <f>IFERROR(__xludf.DUMMYFUNCTION("""COMPUTED_VALUE"""),5.0)</f>
        <v>5</v>
      </c>
      <c r="Q133" s="189">
        <f>IFERROR(__xludf.DUMMYFUNCTION("""COMPUTED_VALUE"""),4.0)</f>
        <v>4</v>
      </c>
      <c r="R133" s="189">
        <f>IFERROR(__xludf.DUMMYFUNCTION("""COMPUTED_VALUE"""),8.0)</f>
        <v>8</v>
      </c>
      <c r="S133" s="189">
        <f>IFERROR(__xludf.DUMMYFUNCTION("""COMPUTED_VALUE"""),0.0)</f>
        <v>0</v>
      </c>
      <c r="T133" s="189">
        <f>IFERROR(__xludf.DUMMYFUNCTION("""COMPUTED_VALUE"""),1.0)</f>
        <v>1</v>
      </c>
      <c r="U133" s="189">
        <f>IFERROR(__xludf.DUMMYFUNCTION("""COMPUTED_VALUE"""),8.0)</f>
        <v>8</v>
      </c>
      <c r="V133" s="189">
        <f>IFERROR(__xludf.DUMMYFUNCTION("""COMPUTED_VALUE"""),4.0)</f>
        <v>4</v>
      </c>
      <c r="W133" s="189">
        <f>IFERROR(__xludf.DUMMYFUNCTION("""COMPUTED_VALUE"""),5.0)</f>
        <v>5</v>
      </c>
      <c r="X133" s="189">
        <f>IFERROR(__xludf.DUMMYFUNCTION("""COMPUTED_VALUE"""),0.0)</f>
        <v>0</v>
      </c>
      <c r="Y133" s="189" t="str">
        <f>IFERROR(__xludf.DUMMYFUNCTION("""COMPUTED_VALUE"""),"2025-07-14T00:00:00.000Z")</f>
        <v>2025-07-14T00:00:00.000Z</v>
      </c>
      <c r="Z133" s="189" t="str">
        <f>IFERROR(__xludf.DUMMYFUNCTION("""COMPUTED_VALUE"""),"Enterprise Esports_Sunset")</f>
        <v>Enterprise Esports_Sunset</v>
      </c>
    </row>
    <row r="134">
      <c r="A134" s="189">
        <f>IFERROR(__xludf.DUMMYFUNCTION("""COMPUTED_VALUE"""),209864.0)</f>
        <v>209864</v>
      </c>
      <c r="B134" s="189">
        <f>IFERROR(__xludf.DUMMYFUNCTION("""COMPUTED_VALUE"""),92326.0)</f>
        <v>92326</v>
      </c>
      <c r="C134" s="189" t="str">
        <f>IFERROR(__xludf.DUMMYFUNCTION("""COMPUTED_VALUE"""),"Challengers League 2025 NORTH EAST: Split 3 - Upper Swiss Phase")</f>
        <v>Challengers League 2025 NORTH EAST: Split 3 - Upper Swiss Phase</v>
      </c>
      <c r="D134" s="189" t="str">
        <f>IFERROR(__xludf.DUMMYFUNCTION("""COMPUTED_VALUE"""),"Haven")</f>
        <v>Haven</v>
      </c>
      <c r="E134" s="189" t="str">
        <f>IFERROR(__xludf.DUMMYFUNCTION("""COMPUTED_VALUE"""),"Boars Gaming")</f>
        <v>Boars Gaming</v>
      </c>
      <c r="F134" s="189" t="str">
        <f>IFERROR(__xludf.DUMMYFUNCTION("""COMPUTED_VALUE"""),"Easties")</f>
        <v>Easties</v>
      </c>
      <c r="G134" s="189" t="str">
        <f>IFERROR(__xludf.DUMMYFUNCTION("""COMPUTED_VALUE"""),"Breach,Cypher,Sova,Omen,Neon")</f>
        <v>Breach,Cypher,Sova,Omen,Neon</v>
      </c>
      <c r="H134" s="189" t="str">
        <f>IFERROR(__xludf.DUMMYFUNCTION("""COMPUTED_VALUE"""),"Sova,Killjoy,Viper,Omen,Yoru")</f>
        <v>Sova,Killjoy,Viper,Omen,Yoru</v>
      </c>
      <c r="I134" s="189">
        <f>IFERROR(__xludf.DUMMYFUNCTION("""COMPUTED_VALUE"""),13.0)</f>
        <v>13</v>
      </c>
      <c r="J134" s="189">
        <f>IFERROR(__xludf.DUMMYFUNCTION("""COMPUTED_VALUE"""),2.0)</f>
        <v>2</v>
      </c>
      <c r="K134" s="189">
        <f>IFERROR(__xludf.DUMMYFUNCTION("""COMPUTED_VALUE"""),10.0)</f>
        <v>10</v>
      </c>
      <c r="L134" s="189">
        <f>IFERROR(__xludf.DUMMYFUNCTION("""COMPUTED_VALUE"""),2.0)</f>
        <v>2</v>
      </c>
      <c r="M134" s="189">
        <f>IFERROR(__xludf.DUMMYFUNCTION("""COMPUTED_VALUE"""),1.0)</f>
        <v>1</v>
      </c>
      <c r="N134" s="189">
        <f>IFERROR(__xludf.DUMMYFUNCTION("""COMPUTED_VALUE"""),1.0)</f>
        <v>1</v>
      </c>
      <c r="O134" s="189">
        <f>IFERROR(__xludf.DUMMYFUNCTION("""COMPUTED_VALUE"""),10.0)</f>
        <v>10</v>
      </c>
      <c r="P134" s="189">
        <f>IFERROR(__xludf.DUMMYFUNCTION("""COMPUTED_VALUE"""),2.0)</f>
        <v>2</v>
      </c>
      <c r="Q134" s="189">
        <f>IFERROR(__xludf.DUMMYFUNCTION("""COMPUTED_VALUE"""),3.0)</f>
        <v>3</v>
      </c>
      <c r="R134" s="189">
        <f>IFERROR(__xludf.DUMMYFUNCTION("""COMPUTED_VALUE"""),0.0)</f>
        <v>0</v>
      </c>
      <c r="S134" s="189">
        <f>IFERROR(__xludf.DUMMYFUNCTION("""COMPUTED_VALUE"""),0.0)</f>
        <v>0</v>
      </c>
      <c r="T134" s="189">
        <f>IFERROR(__xludf.DUMMYFUNCTION("""COMPUTED_VALUE"""),0.0)</f>
        <v>0</v>
      </c>
      <c r="U134" s="189">
        <f>IFERROR(__xludf.DUMMYFUNCTION("""COMPUTED_VALUE"""),0.0)</f>
        <v>0</v>
      </c>
      <c r="V134" s="189">
        <f>IFERROR(__xludf.DUMMYFUNCTION("""COMPUTED_VALUE"""),3.0)</f>
        <v>3</v>
      </c>
      <c r="W134" s="189">
        <f>IFERROR(__xludf.DUMMYFUNCTION("""COMPUTED_VALUE"""),2.0)</f>
        <v>2</v>
      </c>
      <c r="X134" s="189">
        <f>IFERROR(__xludf.DUMMYFUNCTION("""COMPUTED_VALUE"""),10.0)</f>
        <v>10</v>
      </c>
      <c r="Y134" s="189" t="str">
        <f>IFERROR(__xludf.DUMMYFUNCTION("""COMPUTED_VALUE"""),"2025-07-14T00:00:00.000Z")</f>
        <v>2025-07-14T00:00:00.000Z</v>
      </c>
      <c r="Z134" s="189" t="str">
        <f>IFERROR(__xludf.DUMMYFUNCTION("""COMPUTED_VALUE"""),"Boars Gaming_Haven")</f>
        <v>Boars Gaming_Haven</v>
      </c>
    </row>
    <row r="135">
      <c r="A135" s="189">
        <f>IFERROR(__xludf.DUMMYFUNCTION("""COMPUTED_VALUE"""),209860.0)</f>
        <v>209860</v>
      </c>
      <c r="B135" s="189">
        <f>IFERROR(__xludf.DUMMYFUNCTION("""COMPUTED_VALUE"""),92322.0)</f>
        <v>92322</v>
      </c>
      <c r="C135" s="189" t="str">
        <f>IFERROR(__xludf.DUMMYFUNCTION("""COMPUTED_VALUE"""),"Challengers League 2025 NORTH EAST: Split 3 - Upper Swiss Phase")</f>
        <v>Challengers League 2025 NORTH EAST: Split 3 - Upper Swiss Phase</v>
      </c>
      <c r="D135" s="189" t="str">
        <f>IFERROR(__xludf.DUMMYFUNCTION("""COMPUTED_VALUE"""),"Lotus")</f>
        <v>Lotus</v>
      </c>
      <c r="E135" s="189" t="str">
        <f>IFERROR(__xludf.DUMMYFUNCTION("""COMPUTED_VALUE"""),"Team Liquid Academy")</f>
        <v>Team Liquid Academy</v>
      </c>
      <c r="F135" s="189" t="str">
        <f>IFERROR(__xludf.DUMMYFUNCTION("""COMPUTED_VALUE"""),"Formulation Gaming")</f>
        <v>Formulation Gaming</v>
      </c>
      <c r="G135" s="189" t="str">
        <f>IFERROR(__xludf.DUMMYFUNCTION("""COMPUTED_VALUE"""),"Raze,Viper,Omen,Fade,Vyse")</f>
        <v>Raze,Viper,Omen,Fade,Vyse</v>
      </c>
      <c r="H135" s="189" t="str">
        <f>IFERROR(__xludf.DUMMYFUNCTION("""COMPUTED_VALUE"""),"Cypher,Omen,Neon,Fade,Deadlock")</f>
        <v>Cypher,Omen,Neon,Fade,Deadlock</v>
      </c>
      <c r="I135" s="189">
        <f>IFERROR(__xludf.DUMMYFUNCTION("""COMPUTED_VALUE"""),9.0)</f>
        <v>9</v>
      </c>
      <c r="J135" s="189">
        <f>IFERROR(__xludf.DUMMYFUNCTION("""COMPUTED_VALUE"""),13.0)</f>
        <v>13</v>
      </c>
      <c r="K135" s="189">
        <f>IFERROR(__xludf.DUMMYFUNCTION("""COMPUTED_VALUE"""),4.0)</f>
        <v>4</v>
      </c>
      <c r="L135" s="189">
        <f>IFERROR(__xludf.DUMMYFUNCTION("""COMPUTED_VALUE"""),8.0)</f>
        <v>8</v>
      </c>
      <c r="M135" s="189">
        <f>IFERROR(__xludf.DUMMYFUNCTION("""COMPUTED_VALUE"""),0.0)</f>
        <v>0</v>
      </c>
      <c r="N135" s="189">
        <f>IFERROR(__xludf.DUMMYFUNCTION("""COMPUTED_VALUE"""),0.0)</f>
        <v>0</v>
      </c>
      <c r="O135" s="189">
        <f>IFERROR(__xludf.DUMMYFUNCTION("""COMPUTED_VALUE"""),5.0)</f>
        <v>5</v>
      </c>
      <c r="P135" s="189">
        <f>IFERROR(__xludf.DUMMYFUNCTION("""COMPUTED_VALUE"""),5.0)</f>
        <v>5</v>
      </c>
      <c r="Q135" s="189">
        <f>IFERROR(__xludf.DUMMYFUNCTION("""COMPUTED_VALUE"""),4.0)</f>
        <v>4</v>
      </c>
      <c r="R135" s="189">
        <f>IFERROR(__xludf.DUMMYFUNCTION("""COMPUTED_VALUE"""),8.0)</f>
        <v>8</v>
      </c>
      <c r="S135" s="189">
        <f>IFERROR(__xludf.DUMMYFUNCTION("""COMPUTED_VALUE"""),1.0)</f>
        <v>1</v>
      </c>
      <c r="T135" s="189">
        <f>IFERROR(__xludf.DUMMYFUNCTION("""COMPUTED_VALUE"""),1.0)</f>
        <v>1</v>
      </c>
      <c r="U135" s="189">
        <f>IFERROR(__xludf.DUMMYFUNCTION("""COMPUTED_VALUE"""),8.0)</f>
        <v>8</v>
      </c>
      <c r="V135" s="189">
        <f>IFERROR(__xludf.DUMMYFUNCTION("""COMPUTED_VALUE"""),4.0)</f>
        <v>4</v>
      </c>
      <c r="W135" s="189">
        <f>IFERROR(__xludf.DUMMYFUNCTION("""COMPUTED_VALUE"""),5.0)</f>
        <v>5</v>
      </c>
      <c r="X135" s="189">
        <f>IFERROR(__xludf.DUMMYFUNCTION("""COMPUTED_VALUE"""),5.0)</f>
        <v>5</v>
      </c>
      <c r="Y135" s="189" t="str">
        <f>IFERROR(__xludf.DUMMYFUNCTION("""COMPUTED_VALUE"""),"2025-07-14T00:00:00.000Z")</f>
        <v>2025-07-14T00:00:00.000Z</v>
      </c>
      <c r="Z135" s="189" t="str">
        <f>IFERROR(__xludf.DUMMYFUNCTION("""COMPUTED_VALUE"""),"Team Liquid Academy_Lotus")</f>
        <v>Team Liquid Academy_Lotus</v>
      </c>
    </row>
    <row r="136">
      <c r="A136" s="189">
        <f>IFERROR(__xludf.DUMMYFUNCTION("""COMPUTED_VALUE"""),208389.0)</f>
        <v>208389</v>
      </c>
      <c r="B136" s="189">
        <f>IFERROR(__xludf.DUMMYFUNCTION("""COMPUTED_VALUE"""),91778.0)</f>
        <v>91778</v>
      </c>
      <c r="C136" s="189" t="str">
        <f>IFERROR(__xludf.DUMMYFUNCTION("""COMPUTED_VALUE"""),"Challengers League 2025 Türkiye Birlik: Split 3 - Group Stage")</f>
        <v>Challengers League 2025 Türkiye Birlik: Split 3 - Group Stage</v>
      </c>
      <c r="D136" s="189" t="str">
        <f>IFERROR(__xludf.DUMMYFUNCTION("""COMPUTED_VALUE"""),"Lotus")</f>
        <v>Lotus</v>
      </c>
      <c r="E136" s="189" t="str">
        <f>IFERROR(__xludf.DUMMYFUNCTION("""COMPUTED_VALUE"""),"BBL PCIFIC")</f>
        <v>BBL PCIFIC</v>
      </c>
      <c r="F136" s="189" t="str">
        <f>IFERROR(__xludf.DUMMYFUNCTION("""COMPUTED_VALUE"""),"Galatasaray Esports")</f>
        <v>Galatasaray Esports</v>
      </c>
      <c r="G136" s="189" t="str">
        <f>IFERROR(__xludf.DUMMYFUNCTION("""COMPUTED_VALUE"""),"Raze,Omen,Yoru,Fade,Vyse")</f>
        <v>Raze,Omen,Yoru,Fade,Vyse</v>
      </c>
      <c r="H136" s="189" t="str">
        <f>IFERROR(__xludf.DUMMYFUNCTION("""COMPUTED_VALUE"""),"Breach,Raze,Viper,Omen,Fade")</f>
        <v>Breach,Raze,Viper,Omen,Fade</v>
      </c>
      <c r="I136" s="189">
        <f>IFERROR(__xludf.DUMMYFUNCTION("""COMPUTED_VALUE"""),13.0)</f>
        <v>13</v>
      </c>
      <c r="J136" s="189">
        <f>IFERROR(__xludf.DUMMYFUNCTION("""COMPUTED_VALUE"""),9.0)</f>
        <v>9</v>
      </c>
      <c r="K136" s="189">
        <f>IFERROR(__xludf.DUMMYFUNCTION("""COMPUTED_VALUE"""),7.0)</f>
        <v>7</v>
      </c>
      <c r="L136" s="189">
        <f>IFERROR(__xludf.DUMMYFUNCTION("""COMPUTED_VALUE"""),5.0)</f>
        <v>5</v>
      </c>
      <c r="M136" s="189">
        <f>IFERROR(__xludf.DUMMYFUNCTION("""COMPUTED_VALUE"""),0.0)</f>
        <v>0</v>
      </c>
      <c r="N136" s="189">
        <f>IFERROR(__xludf.DUMMYFUNCTION("""COMPUTED_VALUE"""),1.0)</f>
        <v>1</v>
      </c>
      <c r="O136" s="189">
        <f>IFERROR(__xludf.DUMMYFUNCTION("""COMPUTED_VALUE"""),6.0)</f>
        <v>6</v>
      </c>
      <c r="P136" s="189">
        <f>IFERROR(__xludf.DUMMYFUNCTION("""COMPUTED_VALUE"""),4.0)</f>
        <v>4</v>
      </c>
      <c r="Q136" s="189">
        <f>IFERROR(__xludf.DUMMYFUNCTION("""COMPUTED_VALUE"""),7.0)</f>
        <v>7</v>
      </c>
      <c r="R136" s="189">
        <f>IFERROR(__xludf.DUMMYFUNCTION("""COMPUTED_VALUE"""),5.0)</f>
        <v>5</v>
      </c>
      <c r="S136" s="189">
        <f>IFERROR(__xludf.DUMMYFUNCTION("""COMPUTED_VALUE"""),0.0)</f>
        <v>0</v>
      </c>
      <c r="T136" s="189">
        <f>IFERROR(__xludf.DUMMYFUNCTION("""COMPUTED_VALUE"""),1.0)</f>
        <v>1</v>
      </c>
      <c r="U136" s="189">
        <f>IFERROR(__xludf.DUMMYFUNCTION("""COMPUTED_VALUE"""),5.0)</f>
        <v>5</v>
      </c>
      <c r="V136" s="189">
        <f>IFERROR(__xludf.DUMMYFUNCTION("""COMPUTED_VALUE"""),7.0)</f>
        <v>7</v>
      </c>
      <c r="W136" s="189">
        <f>IFERROR(__xludf.DUMMYFUNCTION("""COMPUTED_VALUE"""),4.0)</f>
        <v>4</v>
      </c>
      <c r="X136" s="189">
        <f>IFERROR(__xludf.DUMMYFUNCTION("""COMPUTED_VALUE"""),6.0)</f>
        <v>6</v>
      </c>
      <c r="Y136" s="189" t="str">
        <f>IFERROR(__xludf.DUMMYFUNCTION("""COMPUTED_VALUE"""),"2025-07-13T00:00:00.000Z")</f>
        <v>2025-07-13T00:00:00.000Z</v>
      </c>
      <c r="Z136" s="189" t="str">
        <f>IFERROR(__xludf.DUMMYFUNCTION("""COMPUTED_VALUE"""),"BBL PCIFIC_Lotus")</f>
        <v>BBL PCIFIC_Lotus</v>
      </c>
    </row>
    <row r="137">
      <c r="A137" s="189">
        <f>IFERROR(__xludf.DUMMYFUNCTION("""COMPUTED_VALUE"""),208388.0)</f>
        <v>208388</v>
      </c>
      <c r="B137" s="189">
        <f>IFERROR(__xludf.DUMMYFUNCTION("""COMPUTED_VALUE"""),91778.0)</f>
        <v>91778</v>
      </c>
      <c r="C137" s="189" t="str">
        <f>IFERROR(__xludf.DUMMYFUNCTION("""COMPUTED_VALUE"""),"Challengers League 2025 Türkiye Birlik: Split 3 - Group Stage")</f>
        <v>Challengers League 2025 Türkiye Birlik: Split 3 - Group Stage</v>
      </c>
      <c r="D137" s="189" t="str">
        <f>IFERROR(__xludf.DUMMYFUNCTION("""COMPUTED_VALUE"""),"Sunset")</f>
        <v>Sunset</v>
      </c>
      <c r="E137" s="189" t="str">
        <f>IFERROR(__xludf.DUMMYFUNCTION("""COMPUTED_VALUE"""),"BBL PCIFIC")</f>
        <v>BBL PCIFIC</v>
      </c>
      <c r="F137" s="189" t="str">
        <f>IFERROR(__xludf.DUMMYFUNCTION("""COMPUTED_VALUE"""),"Galatasaray Esports")</f>
        <v>Galatasaray Esports</v>
      </c>
      <c r="G137" s="189" t="str">
        <f>IFERROR(__xludf.DUMMYFUNCTION("""COMPUTED_VALUE"""),"Breach,Cypher,Sova,Omen,Neon")</f>
        <v>Breach,Cypher,Sova,Omen,Neon</v>
      </c>
      <c r="H137" s="189" t="str">
        <f>IFERROR(__xludf.DUMMYFUNCTION("""COMPUTED_VALUE"""),"Cypher,Sova,Viper,Omen,Waylay")</f>
        <v>Cypher,Sova,Viper,Omen,Waylay</v>
      </c>
      <c r="I137" s="189">
        <f>IFERROR(__xludf.DUMMYFUNCTION("""COMPUTED_VALUE"""),14.0)</f>
        <v>14</v>
      </c>
      <c r="J137" s="189">
        <f>IFERROR(__xludf.DUMMYFUNCTION("""COMPUTED_VALUE"""),12.0)</f>
        <v>12</v>
      </c>
      <c r="K137" s="189">
        <f>IFERROR(__xludf.DUMMYFUNCTION("""COMPUTED_VALUE"""),6.0)</f>
        <v>6</v>
      </c>
      <c r="L137" s="189">
        <f>IFERROR(__xludf.DUMMYFUNCTION("""COMPUTED_VALUE"""),6.0)</f>
        <v>6</v>
      </c>
      <c r="M137" s="189">
        <f>IFERROR(__xludf.DUMMYFUNCTION("""COMPUTED_VALUE"""),0.0)</f>
        <v>0</v>
      </c>
      <c r="N137" s="189">
        <f>IFERROR(__xludf.DUMMYFUNCTION("""COMPUTED_VALUE"""),0.0)</f>
        <v>0</v>
      </c>
      <c r="O137" s="189">
        <f>IFERROR(__xludf.DUMMYFUNCTION("""COMPUTED_VALUE"""),7.0)</f>
        <v>7</v>
      </c>
      <c r="P137" s="189">
        <f>IFERROR(__xludf.DUMMYFUNCTION("""COMPUTED_VALUE"""),6.0)</f>
        <v>6</v>
      </c>
      <c r="Q137" s="189">
        <f>IFERROR(__xludf.DUMMYFUNCTION("""COMPUTED_VALUE"""),7.0)</f>
        <v>7</v>
      </c>
      <c r="R137" s="189">
        <f>IFERROR(__xludf.DUMMYFUNCTION("""COMPUTED_VALUE"""),6.0)</f>
        <v>6</v>
      </c>
      <c r="S137" s="189">
        <f>IFERROR(__xludf.DUMMYFUNCTION("""COMPUTED_VALUE"""),1.0)</f>
        <v>1</v>
      </c>
      <c r="T137" s="189">
        <f>IFERROR(__xludf.DUMMYFUNCTION("""COMPUTED_VALUE"""),1.0)</f>
        <v>1</v>
      </c>
      <c r="U137" s="189">
        <f>IFERROR(__xludf.DUMMYFUNCTION("""COMPUTED_VALUE"""),6.0)</f>
        <v>6</v>
      </c>
      <c r="V137" s="189">
        <f>IFERROR(__xludf.DUMMYFUNCTION("""COMPUTED_VALUE"""),7.0)</f>
        <v>7</v>
      </c>
      <c r="W137" s="189">
        <f>IFERROR(__xludf.DUMMYFUNCTION("""COMPUTED_VALUE"""),6.0)</f>
        <v>6</v>
      </c>
      <c r="X137" s="189">
        <f>IFERROR(__xludf.DUMMYFUNCTION("""COMPUTED_VALUE"""),7.0)</f>
        <v>7</v>
      </c>
      <c r="Y137" s="189" t="str">
        <f>IFERROR(__xludf.DUMMYFUNCTION("""COMPUTED_VALUE"""),"2025-07-13T00:00:00.000Z")</f>
        <v>2025-07-13T00:00:00.000Z</v>
      </c>
      <c r="Z137" s="189" t="str">
        <f>IFERROR(__xludf.DUMMYFUNCTION("""COMPUTED_VALUE"""),"BBL PCIFIC_Sunset")</f>
        <v>BBL PCIFIC_Sunset</v>
      </c>
    </row>
    <row r="138">
      <c r="A138" s="189">
        <f>IFERROR(__xludf.DUMMYFUNCTION("""COMPUTED_VALUE"""),209540.0)</f>
        <v>209540</v>
      </c>
      <c r="B138" s="189">
        <f>IFERROR(__xludf.DUMMYFUNCTION("""COMPUTED_VALUE"""),92193.0)</f>
        <v>92193</v>
      </c>
      <c r="C138" s="189" t="str">
        <f>IFERROR(__xludf.DUMMYFUNCTION("""COMPUTED_VALUE"""),"Challengers 2025: France Revolution Split 3 - Group Stage")</f>
        <v>Challengers 2025: France Revolution Split 3 - Group Stage</v>
      </c>
      <c r="D138" s="189" t="str">
        <f>IFERROR(__xludf.DUMMYFUNCTION("""COMPUTED_VALUE"""),"Ascent")</f>
        <v>Ascent</v>
      </c>
      <c r="E138" s="189" t="str">
        <f>IFERROR(__xludf.DUMMYFUNCTION("""COMPUTED_VALUE"""),"Mandatory")</f>
        <v>Mandatory</v>
      </c>
      <c r="F138" s="189" t="str">
        <f>IFERROR(__xludf.DUMMYFUNCTION("""COMPUTED_VALUE"""),"F9 EICAR")</f>
        <v>F9 EICAR</v>
      </c>
      <c r="G138" s="189" t="str">
        <f>IFERROR(__xludf.DUMMYFUNCTION("""COMPUTED_VALUE"""),"Sova,Viper,Omen,Yoru,Deadlock")</f>
        <v>Sova,Viper,Omen,Yoru,Deadlock</v>
      </c>
      <c r="H138" s="189" t="str">
        <f>IFERROR(__xludf.DUMMYFUNCTION("""COMPUTED_VALUE"""),"Cypher,Sova,Omen,Yoru,Deadlock")</f>
        <v>Cypher,Sova,Omen,Yoru,Deadlock</v>
      </c>
      <c r="I138" s="189">
        <f>IFERROR(__xludf.DUMMYFUNCTION("""COMPUTED_VALUE"""),14.0)</f>
        <v>14</v>
      </c>
      <c r="J138" s="189">
        <f>IFERROR(__xludf.DUMMYFUNCTION("""COMPUTED_VALUE"""),12.0)</f>
        <v>12</v>
      </c>
      <c r="K138" s="189">
        <f>IFERROR(__xludf.DUMMYFUNCTION("""COMPUTED_VALUE"""),7.0)</f>
        <v>7</v>
      </c>
      <c r="L138" s="189">
        <f>IFERROR(__xludf.DUMMYFUNCTION("""COMPUTED_VALUE"""),5.0)</f>
        <v>5</v>
      </c>
      <c r="M138" s="189">
        <f>IFERROR(__xludf.DUMMYFUNCTION("""COMPUTED_VALUE"""),1.0)</f>
        <v>1</v>
      </c>
      <c r="N138" s="189">
        <f>IFERROR(__xludf.DUMMYFUNCTION("""COMPUTED_VALUE"""),0.0)</f>
        <v>0</v>
      </c>
      <c r="O138" s="189">
        <f>IFERROR(__xludf.DUMMYFUNCTION("""COMPUTED_VALUE"""),6.0)</f>
        <v>6</v>
      </c>
      <c r="P138" s="189">
        <f>IFERROR(__xludf.DUMMYFUNCTION("""COMPUTED_VALUE"""),7.0)</f>
        <v>7</v>
      </c>
      <c r="Q138" s="189">
        <f>IFERROR(__xludf.DUMMYFUNCTION("""COMPUTED_VALUE"""),8.0)</f>
        <v>8</v>
      </c>
      <c r="R138" s="189">
        <f>IFERROR(__xludf.DUMMYFUNCTION("""COMPUTED_VALUE"""),5.0)</f>
        <v>5</v>
      </c>
      <c r="S138" s="189">
        <f>IFERROR(__xludf.DUMMYFUNCTION("""COMPUTED_VALUE"""),1.0)</f>
        <v>1</v>
      </c>
      <c r="T138" s="189">
        <f>IFERROR(__xludf.DUMMYFUNCTION("""COMPUTED_VALUE"""),0.0)</f>
        <v>0</v>
      </c>
      <c r="U138" s="189">
        <f>IFERROR(__xludf.DUMMYFUNCTION("""COMPUTED_VALUE"""),5.0)</f>
        <v>5</v>
      </c>
      <c r="V138" s="189">
        <f>IFERROR(__xludf.DUMMYFUNCTION("""COMPUTED_VALUE"""),8.0)</f>
        <v>8</v>
      </c>
      <c r="W138" s="189">
        <f>IFERROR(__xludf.DUMMYFUNCTION("""COMPUTED_VALUE"""),7.0)</f>
        <v>7</v>
      </c>
      <c r="X138" s="189">
        <f>IFERROR(__xludf.DUMMYFUNCTION("""COMPUTED_VALUE"""),6.0)</f>
        <v>6</v>
      </c>
      <c r="Y138" s="189" t="str">
        <f>IFERROR(__xludf.DUMMYFUNCTION("""COMPUTED_VALUE"""),"2025-07-13T00:00:00.000Z")</f>
        <v>2025-07-13T00:00:00.000Z</v>
      </c>
      <c r="Z138" s="189" t="str">
        <f>IFERROR(__xludf.DUMMYFUNCTION("""COMPUTED_VALUE"""),"Mandatory_Ascent")</f>
        <v>Mandatory_Ascent</v>
      </c>
    </row>
    <row r="139">
      <c r="A139" s="189">
        <f>IFERROR(__xludf.DUMMYFUNCTION("""COMPUTED_VALUE"""),209528.0)</f>
        <v>209528</v>
      </c>
      <c r="B139" s="189">
        <f>IFERROR(__xludf.DUMMYFUNCTION("""COMPUTED_VALUE"""),92189.0)</f>
        <v>92189</v>
      </c>
      <c r="C139" s="189" t="str">
        <f>IFERROR(__xludf.DUMMYFUNCTION("""COMPUTED_VALUE"""),"Challengers League 2025 DACH: Evolution Stage 3 - Group Stage")</f>
        <v>Challengers League 2025 DACH: Evolution Stage 3 - Group Stage</v>
      </c>
      <c r="D139" s="189" t="str">
        <f>IFERROR(__xludf.DUMMYFUNCTION("""COMPUTED_VALUE"""),"Icebox")</f>
        <v>Icebox</v>
      </c>
      <c r="E139" s="189" t="str">
        <f>IFERROR(__xludf.DUMMYFUNCTION("""COMPUTED_VALUE"""),"MOUZ")</f>
        <v>MOUZ</v>
      </c>
      <c r="F139" s="189" t="str">
        <f>IFERROR(__xludf.DUMMYFUNCTION("""COMPUTED_VALUE"""),"RIZON")</f>
        <v>RIZON</v>
      </c>
      <c r="G139" s="189" t="str">
        <f>IFERROR(__xludf.DUMMYFUNCTION("""COMPUTED_VALUE"""),"Sova,Killjoy,Viper,Jett,KAY/O")</f>
        <v>Sova,Killjoy,Viper,Jett,KAY/O</v>
      </c>
      <c r="H139" s="189" t="str">
        <f>IFERROR(__xludf.DUMMYFUNCTION("""COMPUTED_VALUE"""),"Sova,Killjoy,Viper,Neon,Gekko")</f>
        <v>Sova,Killjoy,Viper,Neon,Gekko</v>
      </c>
      <c r="I139" s="189">
        <f>IFERROR(__xludf.DUMMYFUNCTION("""COMPUTED_VALUE"""),13.0)</f>
        <v>13</v>
      </c>
      <c r="J139" s="189">
        <f>IFERROR(__xludf.DUMMYFUNCTION("""COMPUTED_VALUE"""),6.0)</f>
        <v>6</v>
      </c>
      <c r="K139" s="189">
        <f>IFERROR(__xludf.DUMMYFUNCTION("""COMPUTED_VALUE"""),7.0)</f>
        <v>7</v>
      </c>
      <c r="L139" s="189">
        <f>IFERROR(__xludf.DUMMYFUNCTION("""COMPUTED_VALUE"""),5.0)</f>
        <v>5</v>
      </c>
      <c r="M139" s="189">
        <f>IFERROR(__xludf.DUMMYFUNCTION("""COMPUTED_VALUE"""),1.0)</f>
        <v>1</v>
      </c>
      <c r="N139" s="189">
        <f>IFERROR(__xludf.DUMMYFUNCTION("""COMPUTED_VALUE"""),0.0)</f>
        <v>0</v>
      </c>
      <c r="O139" s="189">
        <f>IFERROR(__xludf.DUMMYFUNCTION("""COMPUTED_VALUE"""),6.0)</f>
        <v>6</v>
      </c>
      <c r="P139" s="189">
        <f>IFERROR(__xludf.DUMMYFUNCTION("""COMPUTED_VALUE"""),1.0)</f>
        <v>1</v>
      </c>
      <c r="Q139" s="189">
        <f>IFERROR(__xludf.DUMMYFUNCTION("""COMPUTED_VALUE"""),7.0)</f>
        <v>7</v>
      </c>
      <c r="R139" s="189">
        <f>IFERROR(__xludf.DUMMYFUNCTION("""COMPUTED_VALUE"""),5.0)</f>
        <v>5</v>
      </c>
      <c r="S139" s="189">
        <f>IFERROR(__xludf.DUMMYFUNCTION("""COMPUTED_VALUE"""),1.0)</f>
        <v>1</v>
      </c>
      <c r="T139" s="189">
        <f>IFERROR(__xludf.DUMMYFUNCTION("""COMPUTED_VALUE"""),0.0)</f>
        <v>0</v>
      </c>
      <c r="U139" s="189">
        <f>IFERROR(__xludf.DUMMYFUNCTION("""COMPUTED_VALUE"""),5.0)</f>
        <v>5</v>
      </c>
      <c r="V139" s="189">
        <f>IFERROR(__xludf.DUMMYFUNCTION("""COMPUTED_VALUE"""),7.0)</f>
        <v>7</v>
      </c>
      <c r="W139" s="189">
        <f>IFERROR(__xludf.DUMMYFUNCTION("""COMPUTED_VALUE"""),1.0)</f>
        <v>1</v>
      </c>
      <c r="X139" s="189">
        <f>IFERROR(__xludf.DUMMYFUNCTION("""COMPUTED_VALUE"""),6.0)</f>
        <v>6</v>
      </c>
      <c r="Y139" s="189" t="str">
        <f>IFERROR(__xludf.DUMMYFUNCTION("""COMPUTED_VALUE"""),"2025-07-13T00:00:00.000Z")</f>
        <v>2025-07-13T00:00:00.000Z</v>
      </c>
      <c r="Z139" s="189" t="str">
        <f>IFERROR(__xludf.DUMMYFUNCTION("""COMPUTED_VALUE"""),"MOUZ_Icebox")</f>
        <v>MOUZ_Icebox</v>
      </c>
    </row>
    <row r="140">
      <c r="A140" s="189">
        <f>IFERROR(__xludf.DUMMYFUNCTION("""COMPUTED_VALUE"""),209539.0)</f>
        <v>209539</v>
      </c>
      <c r="B140" s="189">
        <f>IFERROR(__xludf.DUMMYFUNCTION("""COMPUTED_VALUE"""),92193.0)</f>
        <v>92193</v>
      </c>
      <c r="C140" s="189" t="str">
        <f>IFERROR(__xludf.DUMMYFUNCTION("""COMPUTED_VALUE"""),"Challengers 2025: France Revolution Split 3 - Group Stage")</f>
        <v>Challengers 2025: France Revolution Split 3 - Group Stage</v>
      </c>
      <c r="D140" s="189" t="str">
        <f>IFERROR(__xludf.DUMMYFUNCTION("""COMPUTED_VALUE"""),"Haven")</f>
        <v>Haven</v>
      </c>
      <c r="E140" s="189" t="str">
        <f>IFERROR(__xludf.DUMMYFUNCTION("""COMPUTED_VALUE"""),"Mandatory")</f>
        <v>Mandatory</v>
      </c>
      <c r="F140" s="189" t="str">
        <f>IFERROR(__xludf.DUMMYFUNCTION("""COMPUTED_VALUE"""),"F9 EICAR")</f>
        <v>F9 EICAR</v>
      </c>
      <c r="G140" s="189" t="str">
        <f>IFERROR(__xludf.DUMMYFUNCTION("""COMPUTED_VALUE"""),"Cypher,Sova,Omen,Yoru,Iso")</f>
        <v>Cypher,Sova,Omen,Yoru,Iso</v>
      </c>
      <c r="H140" s="189" t="str">
        <f>IFERROR(__xludf.DUMMYFUNCTION("""COMPUTED_VALUE"""),"Breach,Cypher,Sova,Omen,Jett")</f>
        <v>Breach,Cypher,Sova,Omen,Jett</v>
      </c>
      <c r="I140" s="189">
        <f>IFERROR(__xludf.DUMMYFUNCTION("""COMPUTED_VALUE"""),13.0)</f>
        <v>13</v>
      </c>
      <c r="J140" s="189">
        <f>IFERROR(__xludf.DUMMYFUNCTION("""COMPUTED_VALUE"""),7.0)</f>
        <v>7</v>
      </c>
      <c r="K140" s="189">
        <f>IFERROR(__xludf.DUMMYFUNCTION("""COMPUTED_VALUE"""),7.0)</f>
        <v>7</v>
      </c>
      <c r="L140" s="189">
        <f>IFERROR(__xludf.DUMMYFUNCTION("""COMPUTED_VALUE"""),5.0)</f>
        <v>5</v>
      </c>
      <c r="M140" s="189">
        <f>IFERROR(__xludf.DUMMYFUNCTION("""COMPUTED_VALUE"""),0.0)</f>
        <v>0</v>
      </c>
      <c r="N140" s="189">
        <f>IFERROR(__xludf.DUMMYFUNCTION("""COMPUTED_VALUE"""),1.0)</f>
        <v>1</v>
      </c>
      <c r="O140" s="189">
        <f>IFERROR(__xludf.DUMMYFUNCTION("""COMPUTED_VALUE"""),7.0)</f>
        <v>7</v>
      </c>
      <c r="P140" s="189">
        <f>IFERROR(__xludf.DUMMYFUNCTION("""COMPUTED_VALUE"""),5.0)</f>
        <v>5</v>
      </c>
      <c r="Q140" s="189">
        <f>IFERROR(__xludf.DUMMYFUNCTION("""COMPUTED_VALUE"""),6.0)</f>
        <v>6</v>
      </c>
      <c r="R140" s="189">
        <f>IFERROR(__xludf.DUMMYFUNCTION("""COMPUTED_VALUE"""),2.0)</f>
        <v>2</v>
      </c>
      <c r="S140" s="189">
        <f>IFERROR(__xludf.DUMMYFUNCTION("""COMPUTED_VALUE"""),0.0)</f>
        <v>0</v>
      </c>
      <c r="T140" s="189">
        <f>IFERROR(__xludf.DUMMYFUNCTION("""COMPUTED_VALUE"""),1.0)</f>
        <v>1</v>
      </c>
      <c r="U140" s="189">
        <f>IFERROR(__xludf.DUMMYFUNCTION("""COMPUTED_VALUE"""),2.0)</f>
        <v>2</v>
      </c>
      <c r="V140" s="189">
        <f>IFERROR(__xludf.DUMMYFUNCTION("""COMPUTED_VALUE"""),6.0)</f>
        <v>6</v>
      </c>
      <c r="W140" s="189">
        <f>IFERROR(__xludf.DUMMYFUNCTION("""COMPUTED_VALUE"""),5.0)</f>
        <v>5</v>
      </c>
      <c r="X140" s="189">
        <f>IFERROR(__xludf.DUMMYFUNCTION("""COMPUTED_VALUE"""),7.0)</f>
        <v>7</v>
      </c>
      <c r="Y140" s="189" t="str">
        <f>IFERROR(__xludf.DUMMYFUNCTION("""COMPUTED_VALUE"""),"2025-07-13T00:00:00.000Z")</f>
        <v>2025-07-13T00:00:00.000Z</v>
      </c>
      <c r="Z140" s="189" t="str">
        <f>IFERROR(__xludf.DUMMYFUNCTION("""COMPUTED_VALUE"""),"Mandatory_Haven")</f>
        <v>Mandatory_Haven</v>
      </c>
    </row>
    <row r="141">
      <c r="A141" s="189">
        <f>IFERROR(__xludf.DUMMYFUNCTION("""COMPUTED_VALUE"""),209527.0)</f>
        <v>209527</v>
      </c>
      <c r="B141" s="189">
        <f>IFERROR(__xludf.DUMMYFUNCTION("""COMPUTED_VALUE"""),92189.0)</f>
        <v>92189</v>
      </c>
      <c r="C141" s="189" t="str">
        <f>IFERROR(__xludf.DUMMYFUNCTION("""COMPUTED_VALUE"""),"Challengers League 2025 DACH: Evolution Stage 3 - Group Stage")</f>
        <v>Challengers League 2025 DACH: Evolution Stage 3 - Group Stage</v>
      </c>
      <c r="D141" s="189" t="str">
        <f>IFERROR(__xludf.DUMMYFUNCTION("""COMPUTED_VALUE"""),"Haven")</f>
        <v>Haven</v>
      </c>
      <c r="E141" s="189" t="str">
        <f>IFERROR(__xludf.DUMMYFUNCTION("""COMPUTED_VALUE"""),"MOUZ")</f>
        <v>MOUZ</v>
      </c>
      <c r="F141" s="189" t="str">
        <f>IFERROR(__xludf.DUMMYFUNCTION("""COMPUTED_VALUE"""),"RIZON")</f>
        <v>RIZON</v>
      </c>
      <c r="G141" s="189" t="str">
        <f>IFERROR(__xludf.DUMMYFUNCTION("""COMPUTED_VALUE"""),"Cypher,Sova,Omen,Yoru,Iso")</f>
        <v>Cypher,Sova,Omen,Yoru,Iso</v>
      </c>
      <c r="H141" s="189" t="str">
        <f>IFERROR(__xludf.DUMMYFUNCTION("""COMPUTED_VALUE"""),"Sova,Killjoy,Viper,Omen,Neon")</f>
        <v>Sova,Killjoy,Viper,Omen,Neon</v>
      </c>
      <c r="I141" s="189">
        <f>IFERROR(__xludf.DUMMYFUNCTION("""COMPUTED_VALUE"""),13.0)</f>
        <v>13</v>
      </c>
      <c r="J141" s="189">
        <f>IFERROR(__xludf.DUMMYFUNCTION("""COMPUTED_VALUE"""),3.0)</f>
        <v>3</v>
      </c>
      <c r="K141" s="189">
        <f>IFERROR(__xludf.DUMMYFUNCTION("""COMPUTED_VALUE"""),9.0)</f>
        <v>9</v>
      </c>
      <c r="L141" s="189">
        <f>IFERROR(__xludf.DUMMYFUNCTION("""COMPUTED_VALUE"""),3.0)</f>
        <v>3</v>
      </c>
      <c r="M141" s="189">
        <f>IFERROR(__xludf.DUMMYFUNCTION("""COMPUTED_VALUE"""),1.0)</f>
        <v>1</v>
      </c>
      <c r="N141" s="189">
        <f>IFERROR(__xludf.DUMMYFUNCTION("""COMPUTED_VALUE"""),1.0)</f>
        <v>1</v>
      </c>
      <c r="O141" s="189">
        <f>IFERROR(__xludf.DUMMYFUNCTION("""COMPUTED_VALUE"""),4.0)</f>
        <v>4</v>
      </c>
      <c r="P141" s="189">
        <f>IFERROR(__xludf.DUMMYFUNCTION("""COMPUTED_VALUE"""),0.0)</f>
        <v>0</v>
      </c>
      <c r="Q141" s="189">
        <f>IFERROR(__xludf.DUMMYFUNCTION("""COMPUTED_VALUE"""),9.0)</f>
        <v>9</v>
      </c>
      <c r="R141" s="189">
        <f>IFERROR(__xludf.DUMMYFUNCTION("""COMPUTED_VALUE"""),3.0)</f>
        <v>3</v>
      </c>
      <c r="S141" s="189">
        <f>IFERROR(__xludf.DUMMYFUNCTION("""COMPUTED_VALUE"""),0.0)</f>
        <v>0</v>
      </c>
      <c r="T141" s="189">
        <f>IFERROR(__xludf.DUMMYFUNCTION("""COMPUTED_VALUE"""),0.0)</f>
        <v>0</v>
      </c>
      <c r="U141" s="189">
        <f>IFERROR(__xludf.DUMMYFUNCTION("""COMPUTED_VALUE"""),3.0)</f>
        <v>3</v>
      </c>
      <c r="V141" s="189">
        <f>IFERROR(__xludf.DUMMYFUNCTION("""COMPUTED_VALUE"""),9.0)</f>
        <v>9</v>
      </c>
      <c r="W141" s="189">
        <f>IFERROR(__xludf.DUMMYFUNCTION("""COMPUTED_VALUE"""),0.0)</f>
        <v>0</v>
      </c>
      <c r="X141" s="189">
        <f>IFERROR(__xludf.DUMMYFUNCTION("""COMPUTED_VALUE"""),4.0)</f>
        <v>4</v>
      </c>
      <c r="Y141" s="189" t="str">
        <f>IFERROR(__xludf.DUMMYFUNCTION("""COMPUTED_VALUE"""),"2025-07-13T00:00:00.000Z")</f>
        <v>2025-07-13T00:00:00.000Z</v>
      </c>
      <c r="Z141" s="189" t="str">
        <f>IFERROR(__xludf.DUMMYFUNCTION("""COMPUTED_VALUE"""),"MOUZ_Haven")</f>
        <v>MOUZ_Haven</v>
      </c>
    </row>
    <row r="142">
      <c r="A142" s="189">
        <f>IFERROR(__xludf.DUMMYFUNCTION("""COMPUTED_VALUE"""),209347.0)</f>
        <v>209347</v>
      </c>
      <c r="B142" s="189">
        <f>IFERROR(__xludf.DUMMYFUNCTION("""COMPUTED_VALUE"""),92127.0)</f>
        <v>92127</v>
      </c>
      <c r="C142" s="189" t="str">
        <f>IFERROR(__xludf.DUMMYFUNCTION("""COMPUTED_VALUE"""),"Challengers League 2025 NORTH EAST: Split 3 - Upper Swiss Phase")</f>
        <v>Challengers League 2025 NORTH EAST: Split 3 - Upper Swiss Phase</v>
      </c>
      <c r="D142" s="189" t="str">
        <f>IFERROR(__xludf.DUMMYFUNCTION("""COMPUTED_VALUE"""),"Ascent")</f>
        <v>Ascent</v>
      </c>
      <c r="E142" s="189" t="str">
        <f>IFERROR(__xludf.DUMMYFUNCTION("""COMPUTED_VALUE"""),"Team Liquid Academy")</f>
        <v>Team Liquid Academy</v>
      </c>
      <c r="F142" s="189" t="str">
        <f>IFERROR(__xludf.DUMMYFUNCTION("""COMPUTED_VALUE"""),"Easties")</f>
        <v>Easties</v>
      </c>
      <c r="G142" s="189" t="str">
        <f>IFERROR(__xludf.DUMMYFUNCTION("""COMPUTED_VALUE"""),"Sova,Omen,Yoru,Vyse,Waylay")</f>
        <v>Sova,Omen,Yoru,Vyse,Waylay</v>
      </c>
      <c r="H142" s="189" t="str">
        <f>IFERROR(__xludf.DUMMYFUNCTION("""COMPUTED_VALUE"""),"Cypher,Sova,Omen,Yoru,Deadlock")</f>
        <v>Cypher,Sova,Omen,Yoru,Deadlock</v>
      </c>
      <c r="I142" s="189">
        <f>IFERROR(__xludf.DUMMYFUNCTION("""COMPUTED_VALUE"""),13.0)</f>
        <v>13</v>
      </c>
      <c r="J142" s="189">
        <f>IFERROR(__xludf.DUMMYFUNCTION("""COMPUTED_VALUE"""),0.0)</f>
        <v>0</v>
      </c>
      <c r="K142" s="189">
        <f>IFERROR(__xludf.DUMMYFUNCTION("""COMPUTED_VALUE"""),12.0)</f>
        <v>12</v>
      </c>
      <c r="L142" s="189">
        <f>IFERROR(__xludf.DUMMYFUNCTION("""COMPUTED_VALUE"""),0.0)</f>
        <v>0</v>
      </c>
      <c r="M142" s="189">
        <f>IFERROR(__xludf.DUMMYFUNCTION("""COMPUTED_VALUE"""),1.0)</f>
        <v>1</v>
      </c>
      <c r="N142" s="189">
        <f>IFERROR(__xludf.DUMMYFUNCTION("""COMPUTED_VALUE"""),1.0)</f>
        <v>1</v>
      </c>
      <c r="O142" s="189">
        <f>IFERROR(__xludf.DUMMYFUNCTION("""COMPUTED_VALUE"""),1.0)</f>
        <v>1</v>
      </c>
      <c r="P142" s="189">
        <f>IFERROR(__xludf.DUMMYFUNCTION("""COMPUTED_VALUE"""),0.0)</f>
        <v>0</v>
      </c>
      <c r="Q142" s="189">
        <f>IFERROR(__xludf.DUMMYFUNCTION("""COMPUTED_VALUE"""),12.0)</f>
        <v>12</v>
      </c>
      <c r="R142" s="189">
        <f>IFERROR(__xludf.DUMMYFUNCTION("""COMPUTED_VALUE"""),0.0)</f>
        <v>0</v>
      </c>
      <c r="S142" s="189">
        <f>IFERROR(__xludf.DUMMYFUNCTION("""COMPUTED_VALUE"""),0.0)</f>
        <v>0</v>
      </c>
      <c r="T142" s="189">
        <f>IFERROR(__xludf.DUMMYFUNCTION("""COMPUTED_VALUE"""),0.0)</f>
        <v>0</v>
      </c>
      <c r="U142" s="189">
        <f>IFERROR(__xludf.DUMMYFUNCTION("""COMPUTED_VALUE"""),0.0)</f>
        <v>0</v>
      </c>
      <c r="V142" s="189">
        <f>IFERROR(__xludf.DUMMYFUNCTION("""COMPUTED_VALUE"""),12.0)</f>
        <v>12</v>
      </c>
      <c r="W142" s="189">
        <f>IFERROR(__xludf.DUMMYFUNCTION("""COMPUTED_VALUE"""),0.0)</f>
        <v>0</v>
      </c>
      <c r="X142" s="189">
        <f>IFERROR(__xludf.DUMMYFUNCTION("""COMPUTED_VALUE"""),1.0)</f>
        <v>1</v>
      </c>
      <c r="Y142" s="189" t="str">
        <f>IFERROR(__xludf.DUMMYFUNCTION("""COMPUTED_VALUE"""),"2025-07-13T00:00:00.000Z")</f>
        <v>2025-07-13T00:00:00.000Z</v>
      </c>
      <c r="Z142" s="189" t="str">
        <f>IFERROR(__xludf.DUMMYFUNCTION("""COMPUTED_VALUE"""),"Team Liquid Academy_Ascent")</f>
        <v>Team Liquid Academy_Ascent</v>
      </c>
    </row>
    <row r="143">
      <c r="A143" s="189">
        <f>IFERROR(__xludf.DUMMYFUNCTION("""COMPUTED_VALUE"""),209544.0)</f>
        <v>209544</v>
      </c>
      <c r="B143" s="189">
        <f>IFERROR(__xludf.DUMMYFUNCTION("""COMPUTED_VALUE"""),92194.0)</f>
        <v>92194</v>
      </c>
      <c r="C143" s="189" t="str">
        <f>IFERROR(__xludf.DUMMYFUNCTION("""COMPUTED_VALUE"""),"Challengers 2025: France Revolution Split 3 - Group Stage")</f>
        <v>Challengers 2025: France Revolution Split 3 - Group Stage</v>
      </c>
      <c r="D143" s="189" t="str">
        <f>IFERROR(__xludf.DUMMYFUNCTION("""COMPUTED_VALUE"""),"Ascent")</f>
        <v>Ascent</v>
      </c>
      <c r="E143" s="189" t="str">
        <f>IFERROR(__xludf.DUMMYFUNCTION("""COMPUTED_VALUE"""),"Joblife")</f>
        <v>Joblife</v>
      </c>
      <c r="F143" s="189" t="str">
        <f>IFERROR(__xludf.DUMMYFUNCTION("""COMPUTED_VALUE"""),"Hide On Bush")</f>
        <v>Hide On Bush</v>
      </c>
      <c r="G143" s="189" t="str">
        <f>IFERROR(__xludf.DUMMYFUNCTION("""COMPUTED_VALUE"""),"Sova,Killjoy,Omen,Jett,KAY/O")</f>
        <v>Sova,Killjoy,Omen,Jett,KAY/O</v>
      </c>
      <c r="H143" s="189" t="str">
        <f>IFERROR(__xludf.DUMMYFUNCTION("""COMPUTED_VALUE"""),"Sova,Omen,Yoru,Chamber,Vyse")</f>
        <v>Sova,Omen,Yoru,Chamber,Vyse</v>
      </c>
      <c r="I143" s="189">
        <f>IFERROR(__xludf.DUMMYFUNCTION("""COMPUTED_VALUE"""),10.0)</f>
        <v>10</v>
      </c>
      <c r="J143" s="189">
        <f>IFERROR(__xludf.DUMMYFUNCTION("""COMPUTED_VALUE"""),13.0)</f>
        <v>13</v>
      </c>
      <c r="K143" s="189">
        <f>IFERROR(__xludf.DUMMYFUNCTION("""COMPUTED_VALUE"""),7.0)</f>
        <v>7</v>
      </c>
      <c r="L143" s="189">
        <f>IFERROR(__xludf.DUMMYFUNCTION("""COMPUTED_VALUE"""),5.0)</f>
        <v>5</v>
      </c>
      <c r="M143" s="189">
        <f>IFERROR(__xludf.DUMMYFUNCTION("""COMPUTED_VALUE"""),1.0)</f>
        <v>1</v>
      </c>
      <c r="N143" s="189">
        <f>IFERROR(__xludf.DUMMYFUNCTION("""COMPUTED_VALUE"""),1.0)</f>
        <v>1</v>
      </c>
      <c r="O143" s="189">
        <f>IFERROR(__xludf.DUMMYFUNCTION("""COMPUTED_VALUE"""),3.0)</f>
        <v>3</v>
      </c>
      <c r="P143" s="189">
        <f>IFERROR(__xludf.DUMMYFUNCTION("""COMPUTED_VALUE"""),8.0)</f>
        <v>8</v>
      </c>
      <c r="Q143" s="189">
        <f>IFERROR(__xludf.DUMMYFUNCTION("""COMPUTED_VALUE"""),7.0)</f>
        <v>7</v>
      </c>
      <c r="R143" s="189">
        <f>IFERROR(__xludf.DUMMYFUNCTION("""COMPUTED_VALUE"""),5.0)</f>
        <v>5</v>
      </c>
      <c r="S143" s="189">
        <f>IFERROR(__xludf.DUMMYFUNCTION("""COMPUTED_VALUE"""),0.0)</f>
        <v>0</v>
      </c>
      <c r="T143" s="189">
        <f>IFERROR(__xludf.DUMMYFUNCTION("""COMPUTED_VALUE"""),0.0)</f>
        <v>0</v>
      </c>
      <c r="U143" s="189">
        <f>IFERROR(__xludf.DUMMYFUNCTION("""COMPUTED_VALUE"""),5.0)</f>
        <v>5</v>
      </c>
      <c r="V143" s="189">
        <f>IFERROR(__xludf.DUMMYFUNCTION("""COMPUTED_VALUE"""),7.0)</f>
        <v>7</v>
      </c>
      <c r="W143" s="189">
        <f>IFERROR(__xludf.DUMMYFUNCTION("""COMPUTED_VALUE"""),8.0)</f>
        <v>8</v>
      </c>
      <c r="X143" s="189">
        <f>IFERROR(__xludf.DUMMYFUNCTION("""COMPUTED_VALUE"""),3.0)</f>
        <v>3</v>
      </c>
      <c r="Y143" s="189" t="str">
        <f>IFERROR(__xludf.DUMMYFUNCTION("""COMPUTED_VALUE"""),"2025-07-12T00:00:00.000Z")</f>
        <v>2025-07-12T00:00:00.000Z</v>
      </c>
      <c r="Z143" s="189" t="str">
        <f>IFERROR(__xludf.DUMMYFUNCTION("""COMPUTED_VALUE"""),"Joblife_Ascent")</f>
        <v>Joblife_Ascent</v>
      </c>
    </row>
    <row r="144">
      <c r="A144" s="189">
        <f>IFERROR(__xludf.DUMMYFUNCTION("""COMPUTED_VALUE"""),209543.0)</f>
        <v>209543</v>
      </c>
      <c r="B144" s="189">
        <f>IFERROR(__xludf.DUMMYFUNCTION("""COMPUTED_VALUE"""),92194.0)</f>
        <v>92194</v>
      </c>
      <c r="C144" s="189" t="str">
        <f>IFERROR(__xludf.DUMMYFUNCTION("""COMPUTED_VALUE"""),"Challengers 2025: France Revolution Split 3 - Group Stage")</f>
        <v>Challengers 2025: France Revolution Split 3 - Group Stage</v>
      </c>
      <c r="D144" s="189" t="str">
        <f>IFERROR(__xludf.DUMMYFUNCTION("""COMPUTED_VALUE"""),"Haven")</f>
        <v>Haven</v>
      </c>
      <c r="E144" s="189" t="str">
        <f>IFERROR(__xludf.DUMMYFUNCTION("""COMPUTED_VALUE"""),"Joblife")</f>
        <v>Joblife</v>
      </c>
      <c r="F144" s="189" t="str">
        <f>IFERROR(__xludf.DUMMYFUNCTION("""COMPUTED_VALUE"""),"Hide On Bush")</f>
        <v>Hide On Bush</v>
      </c>
      <c r="G144" s="189" t="str">
        <f>IFERROR(__xludf.DUMMYFUNCTION("""COMPUTED_VALUE"""),"Breach,Cypher,Sova,Omen,Jett")</f>
        <v>Breach,Cypher,Sova,Omen,Jett</v>
      </c>
      <c r="H144" s="189" t="str">
        <f>IFERROR(__xludf.DUMMYFUNCTION("""COMPUTED_VALUE"""),"Breach,Cypher,Sova,Omen,Jett")</f>
        <v>Breach,Cypher,Sova,Omen,Jett</v>
      </c>
      <c r="I144" s="189">
        <f>IFERROR(__xludf.DUMMYFUNCTION("""COMPUTED_VALUE"""),13.0)</f>
        <v>13</v>
      </c>
      <c r="J144" s="189">
        <f>IFERROR(__xludf.DUMMYFUNCTION("""COMPUTED_VALUE"""),9.0)</f>
        <v>9</v>
      </c>
      <c r="K144" s="189">
        <f>IFERROR(__xludf.DUMMYFUNCTION("""COMPUTED_VALUE"""),6.0)</f>
        <v>6</v>
      </c>
      <c r="L144" s="189">
        <f>IFERROR(__xludf.DUMMYFUNCTION("""COMPUTED_VALUE"""),6.0)</f>
        <v>6</v>
      </c>
      <c r="M144" s="189">
        <f>IFERROR(__xludf.DUMMYFUNCTION("""COMPUTED_VALUE"""),0.0)</f>
        <v>0</v>
      </c>
      <c r="N144" s="189">
        <f>IFERROR(__xludf.DUMMYFUNCTION("""COMPUTED_VALUE"""),0.0)</f>
        <v>0</v>
      </c>
      <c r="O144" s="189">
        <f>IFERROR(__xludf.DUMMYFUNCTION("""COMPUTED_VALUE"""),7.0)</f>
        <v>7</v>
      </c>
      <c r="P144" s="189">
        <f>IFERROR(__xludf.DUMMYFUNCTION("""COMPUTED_VALUE"""),3.0)</f>
        <v>3</v>
      </c>
      <c r="Q144" s="189">
        <f>IFERROR(__xludf.DUMMYFUNCTION("""COMPUTED_VALUE"""),6.0)</f>
        <v>6</v>
      </c>
      <c r="R144" s="189">
        <f>IFERROR(__xludf.DUMMYFUNCTION("""COMPUTED_VALUE"""),6.0)</f>
        <v>6</v>
      </c>
      <c r="S144" s="189">
        <f>IFERROR(__xludf.DUMMYFUNCTION("""COMPUTED_VALUE"""),1.0)</f>
        <v>1</v>
      </c>
      <c r="T144" s="189">
        <f>IFERROR(__xludf.DUMMYFUNCTION("""COMPUTED_VALUE"""),1.0)</f>
        <v>1</v>
      </c>
      <c r="U144" s="189">
        <f>IFERROR(__xludf.DUMMYFUNCTION("""COMPUTED_VALUE"""),6.0)</f>
        <v>6</v>
      </c>
      <c r="V144" s="189">
        <f>IFERROR(__xludf.DUMMYFUNCTION("""COMPUTED_VALUE"""),6.0)</f>
        <v>6</v>
      </c>
      <c r="W144" s="189">
        <f>IFERROR(__xludf.DUMMYFUNCTION("""COMPUTED_VALUE"""),3.0)</f>
        <v>3</v>
      </c>
      <c r="X144" s="189">
        <f>IFERROR(__xludf.DUMMYFUNCTION("""COMPUTED_VALUE"""),7.0)</f>
        <v>7</v>
      </c>
      <c r="Y144" s="189" t="str">
        <f>IFERROR(__xludf.DUMMYFUNCTION("""COMPUTED_VALUE"""),"2025-07-12T00:00:00.000Z")</f>
        <v>2025-07-12T00:00:00.000Z</v>
      </c>
      <c r="Z144" s="189" t="str">
        <f>IFERROR(__xludf.DUMMYFUNCTION("""COMPUTED_VALUE"""),"Joblife_Haven")</f>
        <v>Joblife_Haven</v>
      </c>
    </row>
    <row r="145">
      <c r="A145" s="189">
        <f>IFERROR(__xludf.DUMMYFUNCTION("""COMPUTED_VALUE"""),209513.0)</f>
        <v>209513</v>
      </c>
      <c r="B145" s="189">
        <f>IFERROR(__xludf.DUMMYFUNCTION("""COMPUTED_VALUE"""),92184.0)</f>
        <v>92184</v>
      </c>
      <c r="C145" s="189" t="str">
        <f>IFERROR(__xludf.DUMMYFUNCTION("""COMPUTED_VALUE"""),"Challengers League 2025 DACH: Evolution Stage 3 - Group Stage")</f>
        <v>Challengers League 2025 DACH: Evolution Stage 3 - Group Stage</v>
      </c>
      <c r="D145" s="189" t="str">
        <f>IFERROR(__xludf.DUMMYFUNCTION("""COMPUTED_VALUE"""),"Ascent")</f>
        <v>Ascent</v>
      </c>
      <c r="E145" s="189" t="str">
        <f>IFERROR(__xludf.DUMMYFUNCTION("""COMPUTED_VALUE"""),"Eintracht Frankfurt")</f>
        <v>Eintracht Frankfurt</v>
      </c>
      <c r="F145" s="189" t="str">
        <f>IFERROR(__xludf.DUMMYFUNCTION("""COMPUTED_VALUE"""),"CGN Esports")</f>
        <v>CGN Esports</v>
      </c>
      <c r="G145" s="189" t="str">
        <f>IFERROR(__xludf.DUMMYFUNCTION("""COMPUTED_VALUE"""),"Cypher,Sova,Omen,Jett,KAY/O")</f>
        <v>Cypher,Sova,Omen,Jett,KAY/O</v>
      </c>
      <c r="H145" s="189" t="str">
        <f>IFERROR(__xludf.DUMMYFUNCTION("""COMPUTED_VALUE"""),"Cypher,Sova,Omen,Yoru,Deadlock")</f>
        <v>Cypher,Sova,Omen,Yoru,Deadlock</v>
      </c>
      <c r="I145" s="189">
        <f>IFERROR(__xludf.DUMMYFUNCTION("""COMPUTED_VALUE"""),13.0)</f>
        <v>13</v>
      </c>
      <c r="J145" s="189">
        <f>IFERROR(__xludf.DUMMYFUNCTION("""COMPUTED_VALUE"""),3.0)</f>
        <v>3</v>
      </c>
      <c r="K145" s="189">
        <f>IFERROR(__xludf.DUMMYFUNCTION("""COMPUTED_VALUE"""),10.0)</f>
        <v>10</v>
      </c>
      <c r="L145" s="189">
        <f>IFERROR(__xludf.DUMMYFUNCTION("""COMPUTED_VALUE"""),2.0)</f>
        <v>2</v>
      </c>
      <c r="M145" s="189">
        <f>IFERROR(__xludf.DUMMYFUNCTION("""COMPUTED_VALUE"""),1.0)</f>
        <v>1</v>
      </c>
      <c r="N145" s="189">
        <f>IFERROR(__xludf.DUMMYFUNCTION("""COMPUTED_VALUE"""),1.0)</f>
        <v>1</v>
      </c>
      <c r="O145" s="189">
        <f>IFERROR(__xludf.DUMMYFUNCTION("""COMPUTED_VALUE"""),3.0)</f>
        <v>3</v>
      </c>
      <c r="P145" s="189">
        <f>IFERROR(__xludf.DUMMYFUNCTION("""COMPUTED_VALUE"""),1.0)</f>
        <v>1</v>
      </c>
      <c r="Q145" s="189">
        <f>IFERROR(__xludf.DUMMYFUNCTION("""COMPUTED_VALUE"""),10.0)</f>
        <v>10</v>
      </c>
      <c r="R145" s="189">
        <f>IFERROR(__xludf.DUMMYFUNCTION("""COMPUTED_VALUE"""),2.0)</f>
        <v>2</v>
      </c>
      <c r="S145" s="189">
        <f>IFERROR(__xludf.DUMMYFUNCTION("""COMPUTED_VALUE"""),0.0)</f>
        <v>0</v>
      </c>
      <c r="T145" s="189">
        <f>IFERROR(__xludf.DUMMYFUNCTION("""COMPUTED_VALUE"""),0.0)</f>
        <v>0</v>
      </c>
      <c r="U145" s="189">
        <f>IFERROR(__xludf.DUMMYFUNCTION("""COMPUTED_VALUE"""),2.0)</f>
        <v>2</v>
      </c>
      <c r="V145" s="189">
        <f>IFERROR(__xludf.DUMMYFUNCTION("""COMPUTED_VALUE"""),10.0)</f>
        <v>10</v>
      </c>
      <c r="W145" s="189">
        <f>IFERROR(__xludf.DUMMYFUNCTION("""COMPUTED_VALUE"""),1.0)</f>
        <v>1</v>
      </c>
      <c r="X145" s="189">
        <f>IFERROR(__xludf.DUMMYFUNCTION("""COMPUTED_VALUE"""),3.0)</f>
        <v>3</v>
      </c>
      <c r="Y145" s="189" t="str">
        <f>IFERROR(__xludf.DUMMYFUNCTION("""COMPUTED_VALUE"""),"2025-07-12T00:00:00.000Z")</f>
        <v>2025-07-12T00:00:00.000Z</v>
      </c>
      <c r="Z145" s="189" t="str">
        <f>IFERROR(__xludf.DUMMYFUNCTION("""COMPUTED_VALUE"""),"Eintracht Frankfurt_Ascent")</f>
        <v>Eintracht Frankfurt_Ascent</v>
      </c>
    </row>
    <row r="146">
      <c r="A146" s="189">
        <f>IFERROR(__xludf.DUMMYFUNCTION("""COMPUTED_VALUE"""),209542.0)</f>
        <v>209542</v>
      </c>
      <c r="B146" s="189">
        <f>IFERROR(__xludf.DUMMYFUNCTION("""COMPUTED_VALUE"""),92194.0)</f>
        <v>92194</v>
      </c>
      <c r="C146" s="189" t="str">
        <f>IFERROR(__xludf.DUMMYFUNCTION("""COMPUTED_VALUE"""),"Challengers 2025: France Revolution Split 3 - Group Stage")</f>
        <v>Challengers 2025: France Revolution Split 3 - Group Stage</v>
      </c>
      <c r="D146" s="189" t="str">
        <f>IFERROR(__xludf.DUMMYFUNCTION("""COMPUTED_VALUE"""),"Bind")</f>
        <v>Bind</v>
      </c>
      <c r="E146" s="189" t="str">
        <f>IFERROR(__xludf.DUMMYFUNCTION("""COMPUTED_VALUE"""),"Joblife")</f>
        <v>Joblife</v>
      </c>
      <c r="F146" s="189" t="str">
        <f>IFERROR(__xludf.DUMMYFUNCTION("""COMPUTED_VALUE"""),"Hide On Bush")</f>
        <v>Hide On Bush</v>
      </c>
      <c r="G146" s="189" t="str">
        <f>IFERROR(__xludf.DUMMYFUNCTION("""COMPUTED_VALUE"""),"Raze,Viper,Brimstone,Skye,Gekko")</f>
        <v>Raze,Viper,Brimstone,Skye,Gekko</v>
      </c>
      <c r="H146" s="189" t="str">
        <f>IFERROR(__xludf.DUMMYFUNCTION("""COMPUTED_VALUE"""),"Brimstone,Yoru,Chamber,Fade,Deadlock")</f>
        <v>Brimstone,Yoru,Chamber,Fade,Deadlock</v>
      </c>
      <c r="I146" s="189">
        <f>IFERROR(__xludf.DUMMYFUNCTION("""COMPUTED_VALUE"""),8.0)</f>
        <v>8</v>
      </c>
      <c r="J146" s="189">
        <f>IFERROR(__xludf.DUMMYFUNCTION("""COMPUTED_VALUE"""),13.0)</f>
        <v>13</v>
      </c>
      <c r="K146" s="189">
        <f>IFERROR(__xludf.DUMMYFUNCTION("""COMPUTED_VALUE"""),7.0)</f>
        <v>7</v>
      </c>
      <c r="L146" s="189">
        <f>IFERROR(__xludf.DUMMYFUNCTION("""COMPUTED_VALUE"""),5.0)</f>
        <v>5</v>
      </c>
      <c r="M146" s="189">
        <f>IFERROR(__xludf.DUMMYFUNCTION("""COMPUTED_VALUE"""),1.0)</f>
        <v>1</v>
      </c>
      <c r="N146" s="189">
        <f>IFERROR(__xludf.DUMMYFUNCTION("""COMPUTED_VALUE"""),0.0)</f>
        <v>0</v>
      </c>
      <c r="O146" s="189">
        <f>IFERROR(__xludf.DUMMYFUNCTION("""COMPUTED_VALUE"""),7.0)</f>
        <v>7</v>
      </c>
      <c r="P146" s="189">
        <f>IFERROR(__xludf.DUMMYFUNCTION("""COMPUTED_VALUE"""),5.0)</f>
        <v>5</v>
      </c>
      <c r="Q146" s="189">
        <f>IFERROR(__xludf.DUMMYFUNCTION("""COMPUTED_VALUE"""),1.0)</f>
        <v>1</v>
      </c>
      <c r="R146" s="189">
        <f>IFERROR(__xludf.DUMMYFUNCTION("""COMPUTED_VALUE"""),8.0)</f>
        <v>8</v>
      </c>
      <c r="S146" s="189">
        <f>IFERROR(__xludf.DUMMYFUNCTION("""COMPUTED_VALUE"""),1.0)</f>
        <v>1</v>
      </c>
      <c r="T146" s="189">
        <f>IFERROR(__xludf.DUMMYFUNCTION("""COMPUTED_VALUE"""),0.0)</f>
        <v>0</v>
      </c>
      <c r="U146" s="189">
        <f>IFERROR(__xludf.DUMMYFUNCTION("""COMPUTED_VALUE"""),8.0)</f>
        <v>8</v>
      </c>
      <c r="V146" s="189">
        <f>IFERROR(__xludf.DUMMYFUNCTION("""COMPUTED_VALUE"""),1.0)</f>
        <v>1</v>
      </c>
      <c r="W146" s="189">
        <f>IFERROR(__xludf.DUMMYFUNCTION("""COMPUTED_VALUE"""),5.0)</f>
        <v>5</v>
      </c>
      <c r="X146" s="189">
        <f>IFERROR(__xludf.DUMMYFUNCTION("""COMPUTED_VALUE"""),7.0)</f>
        <v>7</v>
      </c>
      <c r="Y146" s="189" t="str">
        <f>IFERROR(__xludf.DUMMYFUNCTION("""COMPUTED_VALUE"""),"2025-07-12T00:00:00.000Z")</f>
        <v>2025-07-12T00:00:00.000Z</v>
      </c>
      <c r="Z146" s="189" t="str">
        <f>IFERROR(__xludf.DUMMYFUNCTION("""COMPUTED_VALUE"""),"Joblife_Bind")</f>
        <v>Joblife_Bind</v>
      </c>
    </row>
    <row r="147">
      <c r="A147" s="189">
        <f>IFERROR(__xludf.DUMMYFUNCTION("""COMPUTED_VALUE"""),209512.0)</f>
        <v>209512</v>
      </c>
      <c r="B147" s="189">
        <f>IFERROR(__xludf.DUMMYFUNCTION("""COMPUTED_VALUE"""),92184.0)</f>
        <v>92184</v>
      </c>
      <c r="C147" s="189" t="str">
        <f>IFERROR(__xludf.DUMMYFUNCTION("""COMPUTED_VALUE"""),"Challengers League 2025 DACH: Evolution Stage 3 - Group Stage")</f>
        <v>Challengers League 2025 DACH: Evolution Stage 3 - Group Stage</v>
      </c>
      <c r="D147" s="189" t="str">
        <f>IFERROR(__xludf.DUMMYFUNCTION("""COMPUTED_VALUE"""),"Lotus")</f>
        <v>Lotus</v>
      </c>
      <c r="E147" s="189" t="str">
        <f>IFERROR(__xludf.DUMMYFUNCTION("""COMPUTED_VALUE"""),"Eintracht Frankfurt")</f>
        <v>Eintracht Frankfurt</v>
      </c>
      <c r="F147" s="189" t="str">
        <f>IFERROR(__xludf.DUMMYFUNCTION("""COMPUTED_VALUE"""),"CGN Esports")</f>
        <v>CGN Esports</v>
      </c>
      <c r="G147" s="189" t="str">
        <f>IFERROR(__xludf.DUMMYFUNCTION("""COMPUTED_VALUE"""),"Cypher,Viper,Omen,Yoru,Fade")</f>
        <v>Cypher,Viper,Omen,Yoru,Fade</v>
      </c>
      <c r="H147" s="189" t="str">
        <f>IFERROR(__xludf.DUMMYFUNCTION("""COMPUTED_VALUE"""),"Raze,Viper,Omen,Neon,Fade")</f>
        <v>Raze,Viper,Omen,Neon,Fade</v>
      </c>
      <c r="I147" s="189">
        <f>IFERROR(__xludf.DUMMYFUNCTION("""COMPUTED_VALUE"""),13.0)</f>
        <v>13</v>
      </c>
      <c r="J147" s="189">
        <f>IFERROR(__xludf.DUMMYFUNCTION("""COMPUTED_VALUE"""),9.0)</f>
        <v>9</v>
      </c>
      <c r="K147" s="189">
        <f>IFERROR(__xludf.DUMMYFUNCTION("""COMPUTED_VALUE"""),5.0)</f>
        <v>5</v>
      </c>
      <c r="L147" s="189">
        <f>IFERROR(__xludf.DUMMYFUNCTION("""COMPUTED_VALUE"""),7.0)</f>
        <v>7</v>
      </c>
      <c r="M147" s="189">
        <f>IFERROR(__xludf.DUMMYFUNCTION("""COMPUTED_VALUE"""),1.0)</f>
        <v>1</v>
      </c>
      <c r="N147" s="189">
        <f>IFERROR(__xludf.DUMMYFUNCTION("""COMPUTED_VALUE"""),1.0)</f>
        <v>1</v>
      </c>
      <c r="O147" s="189">
        <f>IFERROR(__xludf.DUMMYFUNCTION("""COMPUTED_VALUE"""),5.0)</f>
        <v>5</v>
      </c>
      <c r="P147" s="189">
        <f>IFERROR(__xludf.DUMMYFUNCTION("""COMPUTED_VALUE"""),7.0)</f>
        <v>7</v>
      </c>
      <c r="Q147" s="189">
        <f>IFERROR(__xludf.DUMMYFUNCTION("""COMPUTED_VALUE"""),8.0)</f>
        <v>8</v>
      </c>
      <c r="R147" s="189">
        <f>IFERROR(__xludf.DUMMYFUNCTION("""COMPUTED_VALUE"""),2.0)</f>
        <v>2</v>
      </c>
      <c r="S147" s="189">
        <f>IFERROR(__xludf.DUMMYFUNCTION("""COMPUTED_VALUE"""),0.0)</f>
        <v>0</v>
      </c>
      <c r="T147" s="189">
        <f>IFERROR(__xludf.DUMMYFUNCTION("""COMPUTED_VALUE"""),0.0)</f>
        <v>0</v>
      </c>
      <c r="U147" s="189">
        <f>IFERROR(__xludf.DUMMYFUNCTION("""COMPUTED_VALUE"""),2.0)</f>
        <v>2</v>
      </c>
      <c r="V147" s="189">
        <f>IFERROR(__xludf.DUMMYFUNCTION("""COMPUTED_VALUE"""),8.0)</f>
        <v>8</v>
      </c>
      <c r="W147" s="189">
        <f>IFERROR(__xludf.DUMMYFUNCTION("""COMPUTED_VALUE"""),7.0)</f>
        <v>7</v>
      </c>
      <c r="X147" s="189">
        <f>IFERROR(__xludf.DUMMYFUNCTION("""COMPUTED_VALUE"""),5.0)</f>
        <v>5</v>
      </c>
      <c r="Y147" s="189" t="str">
        <f>IFERROR(__xludf.DUMMYFUNCTION("""COMPUTED_VALUE"""),"2025-07-12T00:00:00.000Z")</f>
        <v>2025-07-12T00:00:00.000Z</v>
      </c>
      <c r="Z147" s="189" t="str">
        <f>IFERROR(__xludf.DUMMYFUNCTION("""COMPUTED_VALUE"""),"Eintracht Frankfurt_Lotus")</f>
        <v>Eintracht Frankfurt_Lotus</v>
      </c>
    </row>
    <row r="148">
      <c r="A148" s="189">
        <f>IFERROR(__xludf.DUMMYFUNCTION("""COMPUTED_VALUE"""),209342.0)</f>
        <v>209342</v>
      </c>
      <c r="B148" s="189">
        <f>IFERROR(__xludf.DUMMYFUNCTION("""COMPUTED_VALUE"""),92122.0)</f>
        <v>92122</v>
      </c>
      <c r="C148" s="189" t="str">
        <f>IFERROR(__xludf.DUMMYFUNCTION("""COMPUTED_VALUE"""),"Challengers League 2025 NORTH EAST: Split 3 - Upper Swiss Phase")</f>
        <v>Challengers League 2025 NORTH EAST: Split 3 - Upper Swiss Phase</v>
      </c>
      <c r="D148" s="189" t="str">
        <f>IFERROR(__xludf.DUMMYFUNCTION("""COMPUTED_VALUE"""),"Ascent")</f>
        <v>Ascent</v>
      </c>
      <c r="E148" s="189" t="str">
        <f>IFERROR(__xludf.DUMMYFUNCTION("""COMPUTED_VALUE"""),"Enterprise Esports")</f>
        <v>Enterprise Esports</v>
      </c>
      <c r="F148" s="189" t="str">
        <f>IFERROR(__xludf.DUMMYFUNCTION("""COMPUTED_VALUE"""),"děti ulice")</f>
        <v>děti ulice</v>
      </c>
      <c r="G148" s="189" t="str">
        <f>IFERROR(__xludf.DUMMYFUNCTION("""COMPUTED_VALUE"""),"Cypher,Sova,Omen,Jett,KAY/O")</f>
        <v>Cypher,Sova,Omen,Jett,KAY/O</v>
      </c>
      <c r="H148" s="189" t="str">
        <f>IFERROR(__xludf.DUMMYFUNCTION("""COMPUTED_VALUE"""),"Sova,Killjoy,Omen,Jett,KAY/O")</f>
        <v>Sova,Killjoy,Omen,Jett,KAY/O</v>
      </c>
      <c r="I148" s="189">
        <f>IFERROR(__xludf.DUMMYFUNCTION("""COMPUTED_VALUE"""),13.0)</f>
        <v>13</v>
      </c>
      <c r="J148" s="189">
        <f>IFERROR(__xludf.DUMMYFUNCTION("""COMPUTED_VALUE"""),8.0)</f>
        <v>8</v>
      </c>
      <c r="K148" s="189">
        <f>IFERROR(__xludf.DUMMYFUNCTION("""COMPUTED_VALUE"""),9.0)</f>
        <v>9</v>
      </c>
      <c r="L148" s="189">
        <f>IFERROR(__xludf.DUMMYFUNCTION("""COMPUTED_VALUE"""),3.0)</f>
        <v>3</v>
      </c>
      <c r="M148" s="189">
        <f>IFERROR(__xludf.DUMMYFUNCTION("""COMPUTED_VALUE"""),0.0)</f>
        <v>0</v>
      </c>
      <c r="N148" s="189">
        <f>IFERROR(__xludf.DUMMYFUNCTION("""COMPUTED_VALUE"""),1.0)</f>
        <v>1</v>
      </c>
      <c r="O148" s="189">
        <f>IFERROR(__xludf.DUMMYFUNCTION("""COMPUTED_VALUE"""),4.0)</f>
        <v>4</v>
      </c>
      <c r="P148" s="189">
        <f>IFERROR(__xludf.DUMMYFUNCTION("""COMPUTED_VALUE"""),5.0)</f>
        <v>5</v>
      </c>
      <c r="Q148" s="189">
        <f>IFERROR(__xludf.DUMMYFUNCTION("""COMPUTED_VALUE"""),9.0)</f>
        <v>9</v>
      </c>
      <c r="R148" s="189">
        <f>IFERROR(__xludf.DUMMYFUNCTION("""COMPUTED_VALUE"""),3.0)</f>
        <v>3</v>
      </c>
      <c r="S148" s="189">
        <f>IFERROR(__xludf.DUMMYFUNCTION("""COMPUTED_VALUE"""),0.0)</f>
        <v>0</v>
      </c>
      <c r="T148" s="189">
        <f>IFERROR(__xludf.DUMMYFUNCTION("""COMPUTED_VALUE"""),1.0)</f>
        <v>1</v>
      </c>
      <c r="U148" s="189">
        <f>IFERROR(__xludf.DUMMYFUNCTION("""COMPUTED_VALUE"""),3.0)</f>
        <v>3</v>
      </c>
      <c r="V148" s="189">
        <f>IFERROR(__xludf.DUMMYFUNCTION("""COMPUTED_VALUE"""),9.0)</f>
        <v>9</v>
      </c>
      <c r="W148" s="189">
        <f>IFERROR(__xludf.DUMMYFUNCTION("""COMPUTED_VALUE"""),5.0)</f>
        <v>5</v>
      </c>
      <c r="X148" s="189">
        <f>IFERROR(__xludf.DUMMYFUNCTION("""COMPUTED_VALUE"""),4.0)</f>
        <v>4</v>
      </c>
      <c r="Y148" s="189" t="str">
        <f>IFERROR(__xludf.DUMMYFUNCTION("""COMPUTED_VALUE"""),"2025-07-12T00:00:00.000Z")</f>
        <v>2025-07-12T00:00:00.000Z</v>
      </c>
      <c r="Z148" s="189" t="str">
        <f>IFERROR(__xludf.DUMMYFUNCTION("""COMPUTED_VALUE"""),"Enterprise Esports_Ascent")</f>
        <v>Enterprise Esports_Ascent</v>
      </c>
    </row>
    <row r="149">
      <c r="A149" s="189">
        <f>IFERROR(__xludf.DUMMYFUNCTION("""COMPUTED_VALUE"""),207530.0)</f>
        <v>207530</v>
      </c>
      <c r="B149" s="189">
        <f>IFERROR(__xludf.DUMMYFUNCTION("""COMPUTED_VALUE"""),91437.0)</f>
        <v>91437</v>
      </c>
      <c r="C149" s="189" t="str">
        <f>IFERROR(__xludf.DUMMYFUNCTION("""COMPUTED_VALUE"""),"Challengers League 2025 Spain Rising: Split 3 - Group Stage")</f>
        <v>Challengers League 2025 Spain Rising: Split 3 - Group Stage</v>
      </c>
      <c r="D149" s="189" t="str">
        <f>IFERROR(__xludf.DUMMYFUNCTION("""COMPUTED_VALUE"""),"Ascent")</f>
        <v>Ascent</v>
      </c>
      <c r="E149" s="189" t="str">
        <f>IFERROR(__xludf.DUMMYFUNCTION("""COMPUTED_VALUE"""),"KOI Fénix")</f>
        <v>KOI Fénix</v>
      </c>
      <c r="F149" s="189" t="str">
        <f>IFERROR(__xludf.DUMMYFUNCTION("""COMPUTED_VALUE"""),"UCAM Esports Club")</f>
        <v>UCAM Esports Club</v>
      </c>
      <c r="G149" s="189" t="str">
        <f>IFERROR(__xludf.DUMMYFUNCTION("""COMPUTED_VALUE"""),"Sova,Omen,Yoru,Chamber,Vyse")</f>
        <v>Sova,Omen,Yoru,Chamber,Vyse</v>
      </c>
      <c r="H149" s="189" t="str">
        <f>IFERROR(__xludf.DUMMYFUNCTION("""COMPUTED_VALUE"""),"Cypher,Sova,Omen,Jett,KAY/O")</f>
        <v>Cypher,Sova,Omen,Jett,KAY/O</v>
      </c>
      <c r="I149" s="189">
        <f>IFERROR(__xludf.DUMMYFUNCTION("""COMPUTED_VALUE"""),14.0)</f>
        <v>14</v>
      </c>
      <c r="J149" s="189">
        <f>IFERROR(__xludf.DUMMYFUNCTION("""COMPUTED_VALUE"""),12.0)</f>
        <v>12</v>
      </c>
      <c r="K149" s="189">
        <f>IFERROR(__xludf.DUMMYFUNCTION("""COMPUTED_VALUE"""),5.0)</f>
        <v>5</v>
      </c>
      <c r="L149" s="189">
        <f>IFERROR(__xludf.DUMMYFUNCTION("""COMPUTED_VALUE"""),7.0)</f>
        <v>7</v>
      </c>
      <c r="M149" s="189">
        <f>IFERROR(__xludf.DUMMYFUNCTION("""COMPUTED_VALUE"""),1.0)</f>
        <v>1</v>
      </c>
      <c r="N149" s="189">
        <f>IFERROR(__xludf.DUMMYFUNCTION("""COMPUTED_VALUE"""),0.0)</f>
        <v>0</v>
      </c>
      <c r="O149" s="189">
        <f>IFERROR(__xludf.DUMMYFUNCTION("""COMPUTED_VALUE"""),6.0)</f>
        <v>6</v>
      </c>
      <c r="P149" s="189">
        <f>IFERROR(__xludf.DUMMYFUNCTION("""COMPUTED_VALUE"""),7.0)</f>
        <v>7</v>
      </c>
      <c r="Q149" s="189">
        <f>IFERROR(__xludf.DUMMYFUNCTION("""COMPUTED_VALUE"""),8.0)</f>
        <v>8</v>
      </c>
      <c r="R149" s="189">
        <f>IFERROR(__xludf.DUMMYFUNCTION("""COMPUTED_VALUE"""),5.0)</f>
        <v>5</v>
      </c>
      <c r="S149" s="189">
        <f>IFERROR(__xludf.DUMMYFUNCTION("""COMPUTED_VALUE"""),1.0)</f>
        <v>1</v>
      </c>
      <c r="T149" s="189">
        <f>IFERROR(__xludf.DUMMYFUNCTION("""COMPUTED_VALUE"""),0.0)</f>
        <v>0</v>
      </c>
      <c r="U149" s="189">
        <f>IFERROR(__xludf.DUMMYFUNCTION("""COMPUTED_VALUE"""),5.0)</f>
        <v>5</v>
      </c>
      <c r="V149" s="189">
        <f>IFERROR(__xludf.DUMMYFUNCTION("""COMPUTED_VALUE"""),8.0)</f>
        <v>8</v>
      </c>
      <c r="W149" s="189">
        <f>IFERROR(__xludf.DUMMYFUNCTION("""COMPUTED_VALUE"""),7.0)</f>
        <v>7</v>
      </c>
      <c r="X149" s="189">
        <f>IFERROR(__xludf.DUMMYFUNCTION("""COMPUTED_VALUE"""),6.0)</f>
        <v>6</v>
      </c>
      <c r="Y149" s="189" t="str">
        <f>IFERROR(__xludf.DUMMYFUNCTION("""COMPUTED_VALUE"""),"2025-07-08T00:00:00.000Z")</f>
        <v>2025-07-08T00:00:00.000Z</v>
      </c>
      <c r="Z149" s="189" t="str">
        <f>IFERROR(__xludf.DUMMYFUNCTION("""COMPUTED_VALUE"""),"KOI Fénix_Ascent")</f>
        <v>KOI Fénix_Ascent</v>
      </c>
    </row>
    <row r="150">
      <c r="A150" s="189">
        <f>IFERROR(__xludf.DUMMYFUNCTION("""COMPUTED_VALUE"""),207529.0)</f>
        <v>207529</v>
      </c>
      <c r="B150" s="189">
        <f>IFERROR(__xludf.DUMMYFUNCTION("""COMPUTED_VALUE"""),91437.0)</f>
        <v>91437</v>
      </c>
      <c r="C150" s="189" t="str">
        <f>IFERROR(__xludf.DUMMYFUNCTION("""COMPUTED_VALUE"""),"Challengers League 2025 Spain Rising: Split 3 - Group Stage")</f>
        <v>Challengers League 2025 Spain Rising: Split 3 - Group Stage</v>
      </c>
      <c r="D150" s="189" t="str">
        <f>IFERROR(__xludf.DUMMYFUNCTION("""COMPUTED_VALUE"""),"Lotus")</f>
        <v>Lotus</v>
      </c>
      <c r="E150" s="189" t="str">
        <f>IFERROR(__xludf.DUMMYFUNCTION("""COMPUTED_VALUE"""),"KOI Fénix")</f>
        <v>KOI Fénix</v>
      </c>
      <c r="F150" s="189" t="str">
        <f>IFERROR(__xludf.DUMMYFUNCTION("""COMPUTED_VALUE"""),"UCAM Esports Club")</f>
        <v>UCAM Esports Club</v>
      </c>
      <c r="G150" s="189" t="str">
        <f>IFERROR(__xludf.DUMMYFUNCTION("""COMPUTED_VALUE"""),"Breach,Sova,Killjoy,Omen,Neon")</f>
        <v>Breach,Sova,Killjoy,Omen,Neon</v>
      </c>
      <c r="H150" s="189" t="str">
        <f>IFERROR(__xludf.DUMMYFUNCTION("""COMPUTED_VALUE"""),"Breach,Cypher,Sova,Omen,Neon")</f>
        <v>Breach,Cypher,Sova,Omen,Neon</v>
      </c>
      <c r="I150" s="189">
        <f>IFERROR(__xludf.DUMMYFUNCTION("""COMPUTED_VALUE"""),13.0)</f>
        <v>13</v>
      </c>
      <c r="J150" s="189">
        <f>IFERROR(__xludf.DUMMYFUNCTION("""COMPUTED_VALUE"""),11.0)</f>
        <v>11</v>
      </c>
      <c r="K150" s="189">
        <f>IFERROR(__xludf.DUMMYFUNCTION("""COMPUTED_VALUE"""),6.0)</f>
        <v>6</v>
      </c>
      <c r="L150" s="189">
        <f>IFERROR(__xludf.DUMMYFUNCTION("""COMPUTED_VALUE"""),6.0)</f>
        <v>6</v>
      </c>
      <c r="M150" s="189">
        <f>IFERROR(__xludf.DUMMYFUNCTION("""COMPUTED_VALUE"""),0.0)</f>
        <v>0</v>
      </c>
      <c r="N150" s="189">
        <f>IFERROR(__xludf.DUMMYFUNCTION("""COMPUTED_VALUE"""),1.0)</f>
        <v>1</v>
      </c>
      <c r="O150" s="189">
        <f>IFERROR(__xludf.DUMMYFUNCTION("""COMPUTED_VALUE"""),7.0)</f>
        <v>7</v>
      </c>
      <c r="P150" s="189">
        <f>IFERROR(__xludf.DUMMYFUNCTION("""COMPUTED_VALUE"""),5.0)</f>
        <v>5</v>
      </c>
      <c r="Q150" s="189">
        <f>IFERROR(__xludf.DUMMYFUNCTION("""COMPUTED_VALUE"""),6.0)</f>
        <v>6</v>
      </c>
      <c r="R150" s="189">
        <f>IFERROR(__xludf.DUMMYFUNCTION("""COMPUTED_VALUE"""),6.0)</f>
        <v>6</v>
      </c>
      <c r="S150" s="189">
        <f>IFERROR(__xludf.DUMMYFUNCTION("""COMPUTED_VALUE"""),0.0)</f>
        <v>0</v>
      </c>
      <c r="T150" s="189">
        <f>IFERROR(__xludf.DUMMYFUNCTION("""COMPUTED_VALUE"""),1.0)</f>
        <v>1</v>
      </c>
      <c r="U150" s="189">
        <f>IFERROR(__xludf.DUMMYFUNCTION("""COMPUTED_VALUE"""),6.0)</f>
        <v>6</v>
      </c>
      <c r="V150" s="189">
        <f>IFERROR(__xludf.DUMMYFUNCTION("""COMPUTED_VALUE"""),6.0)</f>
        <v>6</v>
      </c>
      <c r="W150" s="189">
        <f>IFERROR(__xludf.DUMMYFUNCTION("""COMPUTED_VALUE"""),5.0)</f>
        <v>5</v>
      </c>
      <c r="X150" s="189">
        <f>IFERROR(__xludf.DUMMYFUNCTION("""COMPUTED_VALUE"""),7.0)</f>
        <v>7</v>
      </c>
      <c r="Y150" s="189" t="str">
        <f>IFERROR(__xludf.DUMMYFUNCTION("""COMPUTED_VALUE"""),"2025-07-08T00:00:00.000Z")</f>
        <v>2025-07-08T00:00:00.000Z</v>
      </c>
      <c r="Z150" s="189" t="str">
        <f>IFERROR(__xludf.DUMMYFUNCTION("""COMPUTED_VALUE"""),"KOI Fénix_Lotus")</f>
        <v>KOI Fénix_Lotus</v>
      </c>
    </row>
    <row r="151">
      <c r="A151" s="189">
        <f>IFERROR(__xludf.DUMMYFUNCTION("""COMPUTED_VALUE"""),207528.0)</f>
        <v>207528</v>
      </c>
      <c r="B151" s="189">
        <f>IFERROR(__xludf.DUMMYFUNCTION("""COMPUTED_VALUE"""),91437.0)</f>
        <v>91437</v>
      </c>
      <c r="C151" s="189" t="str">
        <f>IFERROR(__xludf.DUMMYFUNCTION("""COMPUTED_VALUE"""),"Challengers League 2025 Spain Rising: Split 3 - Group Stage")</f>
        <v>Challengers League 2025 Spain Rising: Split 3 - Group Stage</v>
      </c>
      <c r="D151" s="189" t="str">
        <f>IFERROR(__xludf.DUMMYFUNCTION("""COMPUTED_VALUE"""),"Bind")</f>
        <v>Bind</v>
      </c>
      <c r="E151" s="189" t="str">
        <f>IFERROR(__xludf.DUMMYFUNCTION("""COMPUTED_VALUE"""),"KOI Fénix")</f>
        <v>KOI Fénix</v>
      </c>
      <c r="F151" s="189" t="str">
        <f>IFERROR(__xludf.DUMMYFUNCTION("""COMPUTED_VALUE"""),"UCAM Esports Club")</f>
        <v>UCAM Esports Club</v>
      </c>
      <c r="G151" s="189" t="str">
        <f>IFERROR(__xludf.DUMMYFUNCTION("""COMPUTED_VALUE"""),"Yoru,Astra,Gekko,Deadlock,Vyse")</f>
        <v>Yoru,Astra,Gekko,Deadlock,Vyse</v>
      </c>
      <c r="H151" s="189" t="str">
        <f>IFERROR(__xludf.DUMMYFUNCTION("""COMPUTED_VALUE"""),"Raze,Cypher,Brimstone,Skye,Gekko")</f>
        <v>Raze,Cypher,Brimstone,Skye,Gekko</v>
      </c>
      <c r="I151" s="189">
        <f>IFERROR(__xludf.DUMMYFUNCTION("""COMPUTED_VALUE"""),12.0)</f>
        <v>12</v>
      </c>
      <c r="J151" s="189">
        <f>IFERROR(__xludf.DUMMYFUNCTION("""COMPUTED_VALUE"""),14.0)</f>
        <v>14</v>
      </c>
      <c r="K151" s="189">
        <f>IFERROR(__xludf.DUMMYFUNCTION("""COMPUTED_VALUE"""),5.0)</f>
        <v>5</v>
      </c>
      <c r="L151" s="189">
        <f>IFERROR(__xludf.DUMMYFUNCTION("""COMPUTED_VALUE"""),7.0)</f>
        <v>7</v>
      </c>
      <c r="M151" s="189">
        <f>IFERROR(__xludf.DUMMYFUNCTION("""COMPUTED_VALUE"""),0.0)</f>
        <v>0</v>
      </c>
      <c r="N151" s="189">
        <f>IFERROR(__xludf.DUMMYFUNCTION("""COMPUTED_VALUE"""),0.0)</f>
        <v>0</v>
      </c>
      <c r="O151" s="189">
        <f>IFERROR(__xludf.DUMMYFUNCTION("""COMPUTED_VALUE"""),5.0)</f>
        <v>5</v>
      </c>
      <c r="P151" s="189">
        <f>IFERROR(__xludf.DUMMYFUNCTION("""COMPUTED_VALUE"""),8.0)</f>
        <v>8</v>
      </c>
      <c r="Q151" s="189">
        <f>IFERROR(__xludf.DUMMYFUNCTION("""COMPUTED_VALUE"""),7.0)</f>
        <v>7</v>
      </c>
      <c r="R151" s="189">
        <f>IFERROR(__xludf.DUMMYFUNCTION("""COMPUTED_VALUE"""),6.0)</f>
        <v>6</v>
      </c>
      <c r="S151" s="189">
        <f>IFERROR(__xludf.DUMMYFUNCTION("""COMPUTED_VALUE"""),1.0)</f>
        <v>1</v>
      </c>
      <c r="T151" s="189">
        <f>IFERROR(__xludf.DUMMYFUNCTION("""COMPUTED_VALUE"""),1.0)</f>
        <v>1</v>
      </c>
      <c r="U151" s="189">
        <f>IFERROR(__xludf.DUMMYFUNCTION("""COMPUTED_VALUE"""),6.0)</f>
        <v>6</v>
      </c>
      <c r="V151" s="189">
        <f>IFERROR(__xludf.DUMMYFUNCTION("""COMPUTED_VALUE"""),7.0)</f>
        <v>7</v>
      </c>
      <c r="W151" s="189">
        <f>IFERROR(__xludf.DUMMYFUNCTION("""COMPUTED_VALUE"""),8.0)</f>
        <v>8</v>
      </c>
      <c r="X151" s="189">
        <f>IFERROR(__xludf.DUMMYFUNCTION("""COMPUTED_VALUE"""),5.0)</f>
        <v>5</v>
      </c>
      <c r="Y151" s="189" t="str">
        <f>IFERROR(__xludf.DUMMYFUNCTION("""COMPUTED_VALUE"""),"2025-07-08T00:00:00.000Z")</f>
        <v>2025-07-08T00:00:00.000Z</v>
      </c>
      <c r="Z151" s="189" t="str">
        <f>IFERROR(__xludf.DUMMYFUNCTION("""COMPUTED_VALUE"""),"KOI Fénix_Bind")</f>
        <v>KOI Fénix_Bind</v>
      </c>
    </row>
    <row r="152">
      <c r="A152" s="189">
        <f>IFERROR(__xludf.DUMMYFUNCTION("""COMPUTED_VALUE"""),209298.0)</f>
        <v>209298</v>
      </c>
      <c r="B152" s="189">
        <f>IFERROR(__xludf.DUMMYFUNCTION("""COMPUTED_VALUE"""),92096.0)</f>
        <v>92096</v>
      </c>
      <c r="C152" s="189" t="str">
        <f>IFERROR(__xludf.DUMMYFUNCTION("""COMPUTED_VALUE"""),"Challengers League 2025 NORTH EAST: Split 3 - Lower Swiss Phase")</f>
        <v>Challengers League 2025 NORTH EAST: Split 3 - Lower Swiss Phase</v>
      </c>
      <c r="D152" s="189" t="str">
        <f>IFERROR(__xludf.DUMMYFUNCTION("""COMPUTED_VALUE"""),"Sunset")</f>
        <v>Sunset</v>
      </c>
      <c r="E152" s="189" t="str">
        <f>IFERROR(__xludf.DUMMYFUNCTION("""COMPUTED_VALUE"""),"děti ulice")</f>
        <v>děti ulice</v>
      </c>
      <c r="F152" s="189" t="str">
        <f>IFERROR(__xludf.DUMMYFUNCTION("""COMPUTED_VALUE"""),"ACEGEAR TEMPEST")</f>
        <v>ACEGEAR TEMPEST</v>
      </c>
      <c r="G152" s="189" t="str">
        <f>IFERROR(__xludf.DUMMYFUNCTION("""COMPUTED_VALUE"""),"Raze,Viper,Skye,Astra,Gekko")</f>
        <v>Raze,Viper,Skye,Astra,Gekko</v>
      </c>
      <c r="H152" s="189" t="str">
        <f>IFERROR(__xludf.DUMMYFUNCTION("""COMPUTED_VALUE"""),"Breach,Raze,Cypher,Sova,Omen")</f>
        <v>Breach,Raze,Cypher,Sova,Omen</v>
      </c>
      <c r="I152" s="189">
        <f>IFERROR(__xludf.DUMMYFUNCTION("""COMPUTED_VALUE"""),13.0)</f>
        <v>13</v>
      </c>
      <c r="J152" s="189">
        <f>IFERROR(__xludf.DUMMYFUNCTION("""COMPUTED_VALUE"""),7.0)</f>
        <v>7</v>
      </c>
      <c r="K152" s="189">
        <f>IFERROR(__xludf.DUMMYFUNCTION("""COMPUTED_VALUE"""),11.0)</f>
        <v>11</v>
      </c>
      <c r="L152" s="189">
        <f>IFERROR(__xludf.DUMMYFUNCTION("""COMPUTED_VALUE"""),1.0)</f>
        <v>1</v>
      </c>
      <c r="M152" s="189">
        <f>IFERROR(__xludf.DUMMYFUNCTION("""COMPUTED_VALUE"""),1.0)</f>
        <v>1</v>
      </c>
      <c r="N152" s="189">
        <f>IFERROR(__xludf.DUMMYFUNCTION("""COMPUTED_VALUE"""),0.0)</f>
        <v>0</v>
      </c>
      <c r="O152" s="189">
        <f>IFERROR(__xludf.DUMMYFUNCTION("""COMPUTED_VALUE"""),11.0)</f>
        <v>11</v>
      </c>
      <c r="P152" s="189">
        <f>IFERROR(__xludf.DUMMYFUNCTION("""COMPUTED_VALUE"""),1.0)</f>
        <v>1</v>
      </c>
      <c r="Q152" s="189">
        <f>IFERROR(__xludf.DUMMYFUNCTION("""COMPUTED_VALUE"""),2.0)</f>
        <v>2</v>
      </c>
      <c r="R152" s="189">
        <f>IFERROR(__xludf.DUMMYFUNCTION("""COMPUTED_VALUE"""),6.0)</f>
        <v>6</v>
      </c>
      <c r="S152" s="189">
        <f>IFERROR(__xludf.DUMMYFUNCTION("""COMPUTED_VALUE"""),1.0)</f>
        <v>1</v>
      </c>
      <c r="T152" s="189">
        <f>IFERROR(__xludf.DUMMYFUNCTION("""COMPUTED_VALUE"""),0.0)</f>
        <v>0</v>
      </c>
      <c r="U152" s="189">
        <f>IFERROR(__xludf.DUMMYFUNCTION("""COMPUTED_VALUE"""),6.0)</f>
        <v>6</v>
      </c>
      <c r="V152" s="189">
        <f>IFERROR(__xludf.DUMMYFUNCTION("""COMPUTED_VALUE"""),2.0)</f>
        <v>2</v>
      </c>
      <c r="W152" s="189">
        <f>IFERROR(__xludf.DUMMYFUNCTION("""COMPUTED_VALUE"""),1.0)</f>
        <v>1</v>
      </c>
      <c r="X152" s="189">
        <f>IFERROR(__xludf.DUMMYFUNCTION("""COMPUTED_VALUE"""),11.0)</f>
        <v>11</v>
      </c>
      <c r="Y152" s="189" t="str">
        <f>IFERROR(__xludf.DUMMYFUNCTION("""COMPUTED_VALUE"""),"2025-07-07T00:00:00.000Z")</f>
        <v>2025-07-07T00:00:00.000Z</v>
      </c>
      <c r="Z152" s="189" t="str">
        <f>IFERROR(__xludf.DUMMYFUNCTION("""COMPUTED_VALUE"""),"děti ulice_Sunset")</f>
        <v>děti ulice_Sunset</v>
      </c>
    </row>
    <row r="153">
      <c r="A153" s="189">
        <f>IFERROR(__xludf.DUMMYFUNCTION("""COMPUTED_VALUE"""),209297.0)</f>
        <v>209297</v>
      </c>
      <c r="B153" s="189">
        <f>IFERROR(__xludf.DUMMYFUNCTION("""COMPUTED_VALUE"""),92096.0)</f>
        <v>92096</v>
      </c>
      <c r="C153" s="189" t="str">
        <f>IFERROR(__xludf.DUMMYFUNCTION("""COMPUTED_VALUE"""),"Challengers League 2025 NORTH EAST: Split 3 - Lower Swiss Phase")</f>
        <v>Challengers League 2025 NORTH EAST: Split 3 - Lower Swiss Phase</v>
      </c>
      <c r="D153" s="189" t="str">
        <f>IFERROR(__xludf.DUMMYFUNCTION("""COMPUTED_VALUE"""),"Split")</f>
        <v>Split</v>
      </c>
      <c r="E153" s="189" t="str">
        <f>IFERROR(__xludf.DUMMYFUNCTION("""COMPUTED_VALUE"""),"děti ulice")</f>
        <v>děti ulice</v>
      </c>
      <c r="F153" s="189" t="str">
        <f>IFERROR(__xludf.DUMMYFUNCTION("""COMPUTED_VALUE"""),"ACEGEAR TEMPEST")</f>
        <v>ACEGEAR TEMPEST</v>
      </c>
      <c r="G153" s="189" t="str">
        <f>IFERROR(__xludf.DUMMYFUNCTION("""COMPUTED_VALUE"""),"Raze,Viper,Yoru,Astra,Fade")</f>
        <v>Raze,Viper,Yoru,Astra,Fade</v>
      </c>
      <c r="H153" s="189" t="str">
        <f>IFERROR(__xludf.DUMMYFUNCTION("""COMPUTED_VALUE"""),"Raze,Viper,Yoru,Astra,Fade")</f>
        <v>Raze,Viper,Yoru,Astra,Fade</v>
      </c>
      <c r="I153" s="189">
        <f>IFERROR(__xludf.DUMMYFUNCTION("""COMPUTED_VALUE"""),13.0)</f>
        <v>13</v>
      </c>
      <c r="J153" s="189">
        <f>IFERROR(__xludf.DUMMYFUNCTION("""COMPUTED_VALUE"""),5.0)</f>
        <v>5</v>
      </c>
      <c r="K153" s="189">
        <f>IFERROR(__xludf.DUMMYFUNCTION("""COMPUTED_VALUE"""),8.0)</f>
        <v>8</v>
      </c>
      <c r="L153" s="189">
        <f>IFERROR(__xludf.DUMMYFUNCTION("""COMPUTED_VALUE"""),4.0)</f>
        <v>4</v>
      </c>
      <c r="M153" s="189">
        <f>IFERROR(__xludf.DUMMYFUNCTION("""COMPUTED_VALUE"""),1.0)</f>
        <v>1</v>
      </c>
      <c r="N153" s="189">
        <f>IFERROR(__xludf.DUMMYFUNCTION("""COMPUTED_VALUE"""),1.0)</f>
        <v>1</v>
      </c>
      <c r="O153" s="189">
        <f>IFERROR(__xludf.DUMMYFUNCTION("""COMPUTED_VALUE"""),8.0)</f>
        <v>8</v>
      </c>
      <c r="P153" s="189">
        <f>IFERROR(__xludf.DUMMYFUNCTION("""COMPUTED_VALUE"""),4.0)</f>
        <v>4</v>
      </c>
      <c r="Q153" s="189">
        <f>IFERROR(__xludf.DUMMYFUNCTION("""COMPUTED_VALUE"""),5.0)</f>
        <v>5</v>
      </c>
      <c r="R153" s="189">
        <f>IFERROR(__xludf.DUMMYFUNCTION("""COMPUTED_VALUE"""),1.0)</f>
        <v>1</v>
      </c>
      <c r="S153" s="189">
        <f>IFERROR(__xludf.DUMMYFUNCTION("""COMPUTED_VALUE"""),0.0)</f>
        <v>0</v>
      </c>
      <c r="T153" s="189">
        <f>IFERROR(__xludf.DUMMYFUNCTION("""COMPUTED_VALUE"""),0.0)</f>
        <v>0</v>
      </c>
      <c r="U153" s="189">
        <f>IFERROR(__xludf.DUMMYFUNCTION("""COMPUTED_VALUE"""),1.0)</f>
        <v>1</v>
      </c>
      <c r="V153" s="189">
        <f>IFERROR(__xludf.DUMMYFUNCTION("""COMPUTED_VALUE"""),5.0)</f>
        <v>5</v>
      </c>
      <c r="W153" s="189">
        <f>IFERROR(__xludf.DUMMYFUNCTION("""COMPUTED_VALUE"""),4.0)</f>
        <v>4</v>
      </c>
      <c r="X153" s="189">
        <f>IFERROR(__xludf.DUMMYFUNCTION("""COMPUTED_VALUE"""),8.0)</f>
        <v>8</v>
      </c>
      <c r="Y153" s="189" t="str">
        <f>IFERROR(__xludf.DUMMYFUNCTION("""COMPUTED_VALUE"""),"2025-07-07T00:00:00.000Z")</f>
        <v>2025-07-07T00:00:00.000Z</v>
      </c>
      <c r="Z153" s="189" t="str">
        <f>IFERROR(__xludf.DUMMYFUNCTION("""COMPUTED_VALUE"""),"děti ulice_Split")</f>
        <v>děti ulice_Split</v>
      </c>
    </row>
    <row r="154">
      <c r="A154" s="189">
        <f>IFERROR(__xludf.DUMMYFUNCTION("""COMPUTED_VALUE"""),209296.0)</f>
        <v>209296</v>
      </c>
      <c r="B154" s="189">
        <f>IFERROR(__xludf.DUMMYFUNCTION("""COMPUTED_VALUE"""),92096.0)</f>
        <v>92096</v>
      </c>
      <c r="C154" s="189" t="str">
        <f>IFERROR(__xludf.DUMMYFUNCTION("""COMPUTED_VALUE"""),"Challengers League 2025 NORTH EAST: Split 3 - Lower Swiss Phase")</f>
        <v>Challengers League 2025 NORTH EAST: Split 3 - Lower Swiss Phase</v>
      </c>
      <c r="D154" s="189" t="str">
        <f>IFERROR(__xludf.DUMMYFUNCTION("""COMPUTED_VALUE"""),"Lotus")</f>
        <v>Lotus</v>
      </c>
      <c r="E154" s="189" t="str">
        <f>IFERROR(__xludf.DUMMYFUNCTION("""COMPUTED_VALUE"""),"děti ulice")</f>
        <v>děti ulice</v>
      </c>
      <c r="F154" s="189" t="str">
        <f>IFERROR(__xludf.DUMMYFUNCTION("""COMPUTED_VALUE"""),"ACEGEAR TEMPEST")</f>
        <v>ACEGEAR TEMPEST</v>
      </c>
      <c r="G154" s="189" t="str">
        <f>IFERROR(__xludf.DUMMYFUNCTION("""COMPUTED_VALUE"""),"Sova,Viper,Omen,Yoru,Fade")</f>
        <v>Sova,Viper,Omen,Yoru,Fade</v>
      </c>
      <c r="H154" s="189" t="str">
        <f>IFERROR(__xludf.DUMMYFUNCTION("""COMPUTED_VALUE"""),"Raze,Viper,Omen,Fade,Vyse")</f>
        <v>Raze,Viper,Omen,Fade,Vyse</v>
      </c>
      <c r="I154" s="189">
        <f>IFERROR(__xludf.DUMMYFUNCTION("""COMPUTED_VALUE"""),11.0)</f>
        <v>11</v>
      </c>
      <c r="J154" s="189">
        <f>IFERROR(__xludf.DUMMYFUNCTION("""COMPUTED_VALUE"""),13.0)</f>
        <v>13</v>
      </c>
      <c r="K154" s="189">
        <f>IFERROR(__xludf.DUMMYFUNCTION("""COMPUTED_VALUE"""),6.0)</f>
        <v>6</v>
      </c>
      <c r="L154" s="189">
        <f>IFERROR(__xludf.DUMMYFUNCTION("""COMPUTED_VALUE"""),6.0)</f>
        <v>6</v>
      </c>
      <c r="M154" s="189">
        <f>IFERROR(__xludf.DUMMYFUNCTION("""COMPUTED_VALUE"""),1.0)</f>
        <v>1</v>
      </c>
      <c r="N154" s="189">
        <f>IFERROR(__xludf.DUMMYFUNCTION("""COMPUTED_VALUE"""),0.0)</f>
        <v>0</v>
      </c>
      <c r="O154" s="189">
        <f>IFERROR(__xludf.DUMMYFUNCTION("""COMPUTED_VALUE"""),6.0)</f>
        <v>6</v>
      </c>
      <c r="P154" s="189">
        <f>IFERROR(__xludf.DUMMYFUNCTION("""COMPUTED_VALUE"""),6.0)</f>
        <v>6</v>
      </c>
      <c r="Q154" s="189">
        <f>IFERROR(__xludf.DUMMYFUNCTION("""COMPUTED_VALUE"""),5.0)</f>
        <v>5</v>
      </c>
      <c r="R154" s="189">
        <f>IFERROR(__xludf.DUMMYFUNCTION("""COMPUTED_VALUE"""),7.0)</f>
        <v>7</v>
      </c>
      <c r="S154" s="189">
        <f>IFERROR(__xludf.DUMMYFUNCTION("""COMPUTED_VALUE"""),1.0)</f>
        <v>1</v>
      </c>
      <c r="T154" s="189">
        <f>IFERROR(__xludf.DUMMYFUNCTION("""COMPUTED_VALUE"""),0.0)</f>
        <v>0</v>
      </c>
      <c r="U154" s="189">
        <f>IFERROR(__xludf.DUMMYFUNCTION("""COMPUTED_VALUE"""),7.0)</f>
        <v>7</v>
      </c>
      <c r="V154" s="189">
        <f>IFERROR(__xludf.DUMMYFUNCTION("""COMPUTED_VALUE"""),5.0)</f>
        <v>5</v>
      </c>
      <c r="W154" s="189">
        <f>IFERROR(__xludf.DUMMYFUNCTION("""COMPUTED_VALUE"""),6.0)</f>
        <v>6</v>
      </c>
      <c r="X154" s="189">
        <f>IFERROR(__xludf.DUMMYFUNCTION("""COMPUTED_VALUE"""),6.0)</f>
        <v>6</v>
      </c>
      <c r="Y154" s="189" t="str">
        <f>IFERROR(__xludf.DUMMYFUNCTION("""COMPUTED_VALUE"""),"2025-07-07T00:00:00.000Z")</f>
        <v>2025-07-07T00:00:00.000Z</v>
      </c>
      <c r="Z154" s="189" t="str">
        <f>IFERROR(__xludf.DUMMYFUNCTION("""COMPUTED_VALUE"""),"děti ulice_Lotus")</f>
        <v>děti ulice_Lotus</v>
      </c>
    </row>
    <row r="155">
      <c r="A155" s="189">
        <f>IFERROR(__xludf.DUMMYFUNCTION("""COMPUTED_VALUE"""),208378.0)</f>
        <v>208378</v>
      </c>
      <c r="B155" s="189">
        <f>IFERROR(__xludf.DUMMYFUNCTION("""COMPUTED_VALUE"""),91774.0)</f>
        <v>91774</v>
      </c>
      <c r="C155" s="189" t="str">
        <f>IFERROR(__xludf.DUMMYFUNCTION("""COMPUTED_VALUE"""),"Challengers League 2025 Türkiye Birlik: Split 3 - Group Stage")</f>
        <v>Challengers League 2025 Türkiye Birlik: Split 3 - Group Stage</v>
      </c>
      <c r="D155" s="189" t="str">
        <f>IFERROR(__xludf.DUMMYFUNCTION("""COMPUTED_VALUE"""),"Sunset")</f>
        <v>Sunset</v>
      </c>
      <c r="E155" s="189" t="str">
        <f>IFERROR(__xludf.DUMMYFUNCTION("""COMPUTED_VALUE"""),"ULF Esports")</f>
        <v>ULF Esports</v>
      </c>
      <c r="F155" s="189" t="str">
        <f>IFERROR(__xludf.DUMMYFUNCTION("""COMPUTED_VALUE"""),"Galakticos")</f>
        <v>Galakticos</v>
      </c>
      <c r="G155" s="189" t="str">
        <f>IFERROR(__xludf.DUMMYFUNCTION("""COMPUTED_VALUE"""),"Breach,Sova,Omen,Neon,Vyse")</f>
        <v>Breach,Sova,Omen,Neon,Vyse</v>
      </c>
      <c r="H155" s="189" t="str">
        <f>IFERROR(__xludf.DUMMYFUNCTION("""COMPUTED_VALUE"""),"Breach,Raze,Cypher,Omen,Neon")</f>
        <v>Breach,Raze,Cypher,Omen,Neon</v>
      </c>
      <c r="I155" s="189">
        <f>IFERROR(__xludf.DUMMYFUNCTION("""COMPUTED_VALUE"""),13.0)</f>
        <v>13</v>
      </c>
      <c r="J155" s="189">
        <f>IFERROR(__xludf.DUMMYFUNCTION("""COMPUTED_VALUE"""),5.0)</f>
        <v>5</v>
      </c>
      <c r="K155" s="189">
        <f>IFERROR(__xludf.DUMMYFUNCTION("""COMPUTED_VALUE"""),9.0)</f>
        <v>9</v>
      </c>
      <c r="L155" s="189">
        <f>IFERROR(__xludf.DUMMYFUNCTION("""COMPUTED_VALUE"""),3.0)</f>
        <v>3</v>
      </c>
      <c r="M155" s="189">
        <f>IFERROR(__xludf.DUMMYFUNCTION("""COMPUTED_VALUE"""),1.0)</f>
        <v>1</v>
      </c>
      <c r="N155" s="189">
        <f>IFERROR(__xludf.DUMMYFUNCTION("""COMPUTED_VALUE"""),0.0)</f>
        <v>0</v>
      </c>
      <c r="O155" s="189">
        <f>IFERROR(__xludf.DUMMYFUNCTION("""COMPUTED_VALUE"""),9.0)</f>
        <v>9</v>
      </c>
      <c r="P155" s="189">
        <f>IFERROR(__xludf.DUMMYFUNCTION("""COMPUTED_VALUE"""),3.0)</f>
        <v>3</v>
      </c>
      <c r="Q155" s="189">
        <f>IFERROR(__xludf.DUMMYFUNCTION("""COMPUTED_VALUE"""),4.0)</f>
        <v>4</v>
      </c>
      <c r="R155" s="189">
        <f>IFERROR(__xludf.DUMMYFUNCTION("""COMPUTED_VALUE"""),2.0)</f>
        <v>2</v>
      </c>
      <c r="S155" s="189">
        <f>IFERROR(__xludf.DUMMYFUNCTION("""COMPUTED_VALUE"""),1.0)</f>
        <v>1</v>
      </c>
      <c r="T155" s="189">
        <f>IFERROR(__xludf.DUMMYFUNCTION("""COMPUTED_VALUE"""),0.0)</f>
        <v>0</v>
      </c>
      <c r="U155" s="189">
        <f>IFERROR(__xludf.DUMMYFUNCTION("""COMPUTED_VALUE"""),2.0)</f>
        <v>2</v>
      </c>
      <c r="V155" s="189">
        <f>IFERROR(__xludf.DUMMYFUNCTION("""COMPUTED_VALUE"""),4.0)</f>
        <v>4</v>
      </c>
      <c r="W155" s="189">
        <f>IFERROR(__xludf.DUMMYFUNCTION("""COMPUTED_VALUE"""),3.0)</f>
        <v>3</v>
      </c>
      <c r="X155" s="189">
        <f>IFERROR(__xludf.DUMMYFUNCTION("""COMPUTED_VALUE"""),9.0)</f>
        <v>9</v>
      </c>
      <c r="Y155" s="189" t="str">
        <f>IFERROR(__xludf.DUMMYFUNCTION("""COMPUTED_VALUE"""),"2025-07-06T00:00:00.000Z")</f>
        <v>2025-07-06T00:00:00.000Z</v>
      </c>
      <c r="Z155" s="189" t="str">
        <f>IFERROR(__xludf.DUMMYFUNCTION("""COMPUTED_VALUE"""),"ULF Esports_Sunset")</f>
        <v>ULF Esports_Sunset</v>
      </c>
    </row>
    <row r="156">
      <c r="A156" s="189">
        <f>IFERROR(__xludf.DUMMYFUNCTION("""COMPUTED_VALUE"""),209285.0)</f>
        <v>209285</v>
      </c>
      <c r="B156" s="189">
        <f>IFERROR(__xludf.DUMMYFUNCTION("""COMPUTED_VALUE"""),92092.0)</f>
        <v>92092</v>
      </c>
      <c r="C156" s="189" t="str">
        <f>IFERROR(__xludf.DUMMYFUNCTION("""COMPUTED_VALUE"""),"Challengers League 2025 NORTH EAST: Split 3 - Lower Swiss Phase")</f>
        <v>Challengers League 2025 NORTH EAST: Split 3 - Lower Swiss Phase</v>
      </c>
      <c r="D156" s="189" t="str">
        <f>IFERROR(__xludf.DUMMYFUNCTION("""COMPUTED_VALUE"""),"Lotus")</f>
        <v>Lotus</v>
      </c>
      <c r="E156" s="189" t="str">
        <f>IFERROR(__xludf.DUMMYFUNCTION("""COMPUTED_VALUE"""),"Boars Gaming")</f>
        <v>Boars Gaming</v>
      </c>
      <c r="F156" s="189" t="str">
        <f>IFERROR(__xludf.DUMMYFUNCTION("""COMPUTED_VALUE"""),"Twisted Saints Esports")</f>
        <v>Twisted Saints Esports</v>
      </c>
      <c r="G156" s="189" t="str">
        <f>IFERROR(__xludf.DUMMYFUNCTION("""COMPUTED_VALUE"""),"Breach,Cypher,Omen,Neon,Fade")</f>
        <v>Breach,Cypher,Omen,Neon,Fade</v>
      </c>
      <c r="H156" s="189" t="str">
        <f>IFERROR(__xludf.DUMMYFUNCTION("""COMPUTED_VALUE"""),"Raze,Killjoy,Viper,Omen,Fade")</f>
        <v>Raze,Killjoy,Viper,Omen,Fade</v>
      </c>
      <c r="I156" s="189">
        <f>IFERROR(__xludf.DUMMYFUNCTION("""COMPUTED_VALUE"""),13.0)</f>
        <v>13</v>
      </c>
      <c r="J156" s="189">
        <f>IFERROR(__xludf.DUMMYFUNCTION("""COMPUTED_VALUE"""),7.0)</f>
        <v>7</v>
      </c>
      <c r="K156" s="189">
        <f>IFERROR(__xludf.DUMMYFUNCTION("""COMPUTED_VALUE"""),10.0)</f>
        <v>10</v>
      </c>
      <c r="L156" s="189">
        <f>IFERROR(__xludf.DUMMYFUNCTION("""COMPUTED_VALUE"""),2.0)</f>
        <v>2</v>
      </c>
      <c r="M156" s="189">
        <f>IFERROR(__xludf.DUMMYFUNCTION("""COMPUTED_VALUE"""),1.0)</f>
        <v>1</v>
      </c>
      <c r="N156" s="189">
        <f>IFERROR(__xludf.DUMMYFUNCTION("""COMPUTED_VALUE"""),0.0)</f>
        <v>0</v>
      </c>
      <c r="O156" s="189">
        <f>IFERROR(__xludf.DUMMYFUNCTION("""COMPUTED_VALUE"""),10.0)</f>
        <v>10</v>
      </c>
      <c r="P156" s="189">
        <f>IFERROR(__xludf.DUMMYFUNCTION("""COMPUTED_VALUE"""),2.0)</f>
        <v>2</v>
      </c>
      <c r="Q156" s="189">
        <f>IFERROR(__xludf.DUMMYFUNCTION("""COMPUTED_VALUE"""),3.0)</f>
        <v>3</v>
      </c>
      <c r="R156" s="189">
        <f>IFERROR(__xludf.DUMMYFUNCTION("""COMPUTED_VALUE"""),5.0)</f>
        <v>5</v>
      </c>
      <c r="S156" s="189">
        <f>IFERROR(__xludf.DUMMYFUNCTION("""COMPUTED_VALUE"""),1.0)</f>
        <v>1</v>
      </c>
      <c r="T156" s="189">
        <f>IFERROR(__xludf.DUMMYFUNCTION("""COMPUTED_VALUE"""),0.0)</f>
        <v>0</v>
      </c>
      <c r="U156" s="189">
        <f>IFERROR(__xludf.DUMMYFUNCTION("""COMPUTED_VALUE"""),5.0)</f>
        <v>5</v>
      </c>
      <c r="V156" s="189">
        <f>IFERROR(__xludf.DUMMYFUNCTION("""COMPUTED_VALUE"""),3.0)</f>
        <v>3</v>
      </c>
      <c r="W156" s="189">
        <f>IFERROR(__xludf.DUMMYFUNCTION("""COMPUTED_VALUE"""),2.0)</f>
        <v>2</v>
      </c>
      <c r="X156" s="189">
        <f>IFERROR(__xludf.DUMMYFUNCTION("""COMPUTED_VALUE"""),10.0)</f>
        <v>10</v>
      </c>
      <c r="Y156" s="189" t="str">
        <f>IFERROR(__xludf.DUMMYFUNCTION("""COMPUTED_VALUE"""),"2025-07-06T00:00:00.000Z")</f>
        <v>2025-07-06T00:00:00.000Z</v>
      </c>
      <c r="Z156" s="189" t="str">
        <f>IFERROR(__xludf.DUMMYFUNCTION("""COMPUTED_VALUE"""),"Boars Gaming_Lotus")</f>
        <v>Boars Gaming_Lotus</v>
      </c>
    </row>
    <row r="157">
      <c r="A157" s="189">
        <f>IFERROR(__xludf.DUMMYFUNCTION("""COMPUTED_VALUE"""),208377.0)</f>
        <v>208377</v>
      </c>
      <c r="B157" s="189">
        <f>IFERROR(__xludf.DUMMYFUNCTION("""COMPUTED_VALUE"""),91774.0)</f>
        <v>91774</v>
      </c>
      <c r="C157" s="189" t="str">
        <f>IFERROR(__xludf.DUMMYFUNCTION("""COMPUTED_VALUE"""),"Challengers League 2025 Türkiye Birlik: Split 3 - Group Stage")</f>
        <v>Challengers League 2025 Türkiye Birlik: Split 3 - Group Stage</v>
      </c>
      <c r="D157" s="189" t="str">
        <f>IFERROR(__xludf.DUMMYFUNCTION("""COMPUTED_VALUE"""),"Lotus")</f>
        <v>Lotus</v>
      </c>
      <c r="E157" s="189" t="str">
        <f>IFERROR(__xludf.DUMMYFUNCTION("""COMPUTED_VALUE"""),"ULF Esports")</f>
        <v>ULF Esports</v>
      </c>
      <c r="F157" s="189" t="str">
        <f>IFERROR(__xludf.DUMMYFUNCTION("""COMPUTED_VALUE"""),"Galakticos")</f>
        <v>Galakticos</v>
      </c>
      <c r="G157" s="189" t="str">
        <f>IFERROR(__xludf.DUMMYFUNCTION("""COMPUTED_VALUE"""),"Raze,Omen,Yoru,Fade,Vyse")</f>
        <v>Raze,Omen,Yoru,Fade,Vyse</v>
      </c>
      <c r="H157" s="189" t="str">
        <f>IFERROR(__xludf.DUMMYFUNCTION("""COMPUTED_VALUE"""),"Breach,Cypher,Sova,Omen,Neon")</f>
        <v>Breach,Cypher,Sova,Omen,Neon</v>
      </c>
      <c r="I157" s="189">
        <f>IFERROR(__xludf.DUMMYFUNCTION("""COMPUTED_VALUE"""),11.0)</f>
        <v>11</v>
      </c>
      <c r="J157" s="189">
        <f>IFERROR(__xludf.DUMMYFUNCTION("""COMPUTED_VALUE"""),13.0)</f>
        <v>13</v>
      </c>
      <c r="K157" s="189">
        <f>IFERROR(__xludf.DUMMYFUNCTION("""COMPUTED_VALUE"""),6.0)</f>
        <v>6</v>
      </c>
      <c r="L157" s="189">
        <f>IFERROR(__xludf.DUMMYFUNCTION("""COMPUTED_VALUE"""),6.0)</f>
        <v>6</v>
      </c>
      <c r="M157" s="189">
        <f>IFERROR(__xludf.DUMMYFUNCTION("""COMPUTED_VALUE"""),1.0)</f>
        <v>1</v>
      </c>
      <c r="N157" s="189">
        <f>IFERROR(__xludf.DUMMYFUNCTION("""COMPUTED_VALUE"""),0.0)</f>
        <v>0</v>
      </c>
      <c r="O157" s="189">
        <f>IFERROR(__xludf.DUMMYFUNCTION("""COMPUTED_VALUE"""),6.0)</f>
        <v>6</v>
      </c>
      <c r="P157" s="189">
        <f>IFERROR(__xludf.DUMMYFUNCTION("""COMPUTED_VALUE"""),6.0)</f>
        <v>6</v>
      </c>
      <c r="Q157" s="189">
        <f>IFERROR(__xludf.DUMMYFUNCTION("""COMPUTED_VALUE"""),5.0)</f>
        <v>5</v>
      </c>
      <c r="R157" s="189">
        <f>IFERROR(__xludf.DUMMYFUNCTION("""COMPUTED_VALUE"""),7.0)</f>
        <v>7</v>
      </c>
      <c r="S157" s="189">
        <f>IFERROR(__xludf.DUMMYFUNCTION("""COMPUTED_VALUE"""),1.0)</f>
        <v>1</v>
      </c>
      <c r="T157" s="189">
        <f>IFERROR(__xludf.DUMMYFUNCTION("""COMPUTED_VALUE"""),0.0)</f>
        <v>0</v>
      </c>
      <c r="U157" s="189">
        <f>IFERROR(__xludf.DUMMYFUNCTION("""COMPUTED_VALUE"""),7.0)</f>
        <v>7</v>
      </c>
      <c r="V157" s="189">
        <f>IFERROR(__xludf.DUMMYFUNCTION("""COMPUTED_VALUE"""),5.0)</f>
        <v>5</v>
      </c>
      <c r="W157" s="189">
        <f>IFERROR(__xludf.DUMMYFUNCTION("""COMPUTED_VALUE"""),6.0)</f>
        <v>6</v>
      </c>
      <c r="X157" s="189">
        <f>IFERROR(__xludf.DUMMYFUNCTION("""COMPUTED_VALUE"""),6.0)</f>
        <v>6</v>
      </c>
      <c r="Y157" s="189" t="str">
        <f>IFERROR(__xludf.DUMMYFUNCTION("""COMPUTED_VALUE"""),"2025-07-06T00:00:00.000Z")</f>
        <v>2025-07-06T00:00:00.000Z</v>
      </c>
      <c r="Z157" s="189" t="str">
        <f>IFERROR(__xludf.DUMMYFUNCTION("""COMPUTED_VALUE"""),"ULF Esports_Lotus")</f>
        <v>ULF Esports_Lotus</v>
      </c>
    </row>
    <row r="158">
      <c r="A158" s="189">
        <f>IFERROR(__xludf.DUMMYFUNCTION("""COMPUTED_VALUE"""),209279.0)</f>
        <v>209279</v>
      </c>
      <c r="B158" s="189">
        <f>IFERROR(__xludf.DUMMYFUNCTION("""COMPUTED_VALUE"""),92090.0)</f>
        <v>92090</v>
      </c>
      <c r="C158" s="189" t="str">
        <f>IFERROR(__xludf.DUMMYFUNCTION("""COMPUTED_VALUE"""),"Challengers 2025: France Revolution Split 3 - Group Stage")</f>
        <v>Challengers 2025: France Revolution Split 3 - Group Stage</v>
      </c>
      <c r="D158" s="189" t="str">
        <f>IFERROR(__xludf.DUMMYFUNCTION("""COMPUTED_VALUE"""),"Icebox")</f>
        <v>Icebox</v>
      </c>
      <c r="E158" s="189" t="str">
        <f>IFERROR(__xludf.DUMMYFUNCTION("""COMPUTED_VALUE"""),"Joblife")</f>
        <v>Joblife</v>
      </c>
      <c r="F158" s="189" t="str">
        <f>IFERROR(__xludf.DUMMYFUNCTION("""COMPUTED_VALUE"""),"BLX CORP")</f>
        <v>BLX CORP</v>
      </c>
      <c r="G158" s="189" t="str">
        <f>IFERROR(__xludf.DUMMYFUNCTION("""COMPUTED_VALUE"""),"Sova,Killjoy,Viper,Jett,KAY/O")</f>
        <v>Sova,Killjoy,Viper,Jett,KAY/O</v>
      </c>
      <c r="H158" s="189" t="str">
        <f>IFERROR(__xludf.DUMMYFUNCTION("""COMPUTED_VALUE"""),"Killjoy,Viper,Jett,KAY/O,Gekko")</f>
        <v>Killjoy,Viper,Jett,KAY/O,Gekko</v>
      </c>
      <c r="I158" s="189">
        <f>IFERROR(__xludf.DUMMYFUNCTION("""COMPUTED_VALUE"""),13.0)</f>
        <v>13</v>
      </c>
      <c r="J158" s="189">
        <f>IFERROR(__xludf.DUMMYFUNCTION("""COMPUTED_VALUE"""),6.0)</f>
        <v>6</v>
      </c>
      <c r="K158" s="189">
        <f>IFERROR(__xludf.DUMMYFUNCTION("""COMPUTED_VALUE"""),6.0)</f>
        <v>6</v>
      </c>
      <c r="L158" s="189">
        <f>IFERROR(__xludf.DUMMYFUNCTION("""COMPUTED_VALUE"""),6.0)</f>
        <v>6</v>
      </c>
      <c r="M158" s="189">
        <f>IFERROR(__xludf.DUMMYFUNCTION("""COMPUTED_VALUE"""),1.0)</f>
        <v>1</v>
      </c>
      <c r="N158" s="189">
        <f>IFERROR(__xludf.DUMMYFUNCTION("""COMPUTED_VALUE"""),0.0)</f>
        <v>0</v>
      </c>
      <c r="O158" s="189">
        <f>IFERROR(__xludf.DUMMYFUNCTION("""COMPUTED_VALUE"""),7.0)</f>
        <v>7</v>
      </c>
      <c r="P158" s="189">
        <f>IFERROR(__xludf.DUMMYFUNCTION("""COMPUTED_VALUE"""),0.0)</f>
        <v>0</v>
      </c>
      <c r="Q158" s="189">
        <f>IFERROR(__xludf.DUMMYFUNCTION("""COMPUTED_VALUE"""),6.0)</f>
        <v>6</v>
      </c>
      <c r="R158" s="189">
        <f>IFERROR(__xludf.DUMMYFUNCTION("""COMPUTED_VALUE"""),6.0)</f>
        <v>6</v>
      </c>
      <c r="S158" s="189">
        <f>IFERROR(__xludf.DUMMYFUNCTION("""COMPUTED_VALUE"""),1.0)</f>
        <v>1</v>
      </c>
      <c r="T158" s="189">
        <f>IFERROR(__xludf.DUMMYFUNCTION("""COMPUTED_VALUE"""),0.0)</f>
        <v>0</v>
      </c>
      <c r="U158" s="189">
        <f>IFERROR(__xludf.DUMMYFUNCTION("""COMPUTED_VALUE"""),6.0)</f>
        <v>6</v>
      </c>
      <c r="V158" s="189">
        <f>IFERROR(__xludf.DUMMYFUNCTION("""COMPUTED_VALUE"""),6.0)</f>
        <v>6</v>
      </c>
      <c r="W158" s="189">
        <f>IFERROR(__xludf.DUMMYFUNCTION("""COMPUTED_VALUE"""),0.0)</f>
        <v>0</v>
      </c>
      <c r="X158" s="189">
        <f>IFERROR(__xludf.DUMMYFUNCTION("""COMPUTED_VALUE"""),7.0)</f>
        <v>7</v>
      </c>
      <c r="Y158" s="189" t="str">
        <f>IFERROR(__xludf.DUMMYFUNCTION("""COMPUTED_VALUE"""),"2025-07-06T00:00:00.000Z")</f>
        <v>2025-07-06T00:00:00.000Z</v>
      </c>
      <c r="Z158" s="189" t="str">
        <f>IFERROR(__xludf.DUMMYFUNCTION("""COMPUTED_VALUE"""),"Joblife_Icebox")</f>
        <v>Joblife_Icebox</v>
      </c>
    </row>
    <row r="159">
      <c r="A159" s="189">
        <f>IFERROR(__xludf.DUMMYFUNCTION("""COMPUTED_VALUE"""),209284.0)</f>
        <v>209284</v>
      </c>
      <c r="B159" s="189">
        <f>IFERROR(__xludf.DUMMYFUNCTION("""COMPUTED_VALUE"""),92092.0)</f>
        <v>92092</v>
      </c>
      <c r="C159" s="189" t="str">
        <f>IFERROR(__xludf.DUMMYFUNCTION("""COMPUTED_VALUE"""),"Challengers League 2025 NORTH EAST: Split 3 - Lower Swiss Phase")</f>
        <v>Challengers League 2025 NORTH EAST: Split 3 - Lower Swiss Phase</v>
      </c>
      <c r="D159" s="189" t="str">
        <f>IFERROR(__xludf.DUMMYFUNCTION("""COMPUTED_VALUE"""),"Sunset")</f>
        <v>Sunset</v>
      </c>
      <c r="E159" s="189" t="str">
        <f>IFERROR(__xludf.DUMMYFUNCTION("""COMPUTED_VALUE"""),"Boars Gaming")</f>
        <v>Boars Gaming</v>
      </c>
      <c r="F159" s="189" t="str">
        <f>IFERROR(__xludf.DUMMYFUNCTION("""COMPUTED_VALUE"""),"Twisted Saints Esports")</f>
        <v>Twisted Saints Esports</v>
      </c>
      <c r="G159" s="189" t="str">
        <f>IFERROR(__xludf.DUMMYFUNCTION("""COMPUTED_VALUE"""),"Cypher,Sova,Omen,KAY/O,Neon")</f>
        <v>Cypher,Sova,Omen,KAY/O,Neon</v>
      </c>
      <c r="H159" s="189" t="str">
        <f>IFERROR(__xludf.DUMMYFUNCTION("""COMPUTED_VALUE"""),"Sova,Viper,Omen,Neon,Deadlock")</f>
        <v>Sova,Viper,Omen,Neon,Deadlock</v>
      </c>
      <c r="I159" s="189">
        <f>IFERROR(__xludf.DUMMYFUNCTION("""COMPUTED_VALUE"""),13.0)</f>
        <v>13</v>
      </c>
      <c r="J159" s="189">
        <f>IFERROR(__xludf.DUMMYFUNCTION("""COMPUTED_VALUE"""),10.0)</f>
        <v>10</v>
      </c>
      <c r="K159" s="189">
        <f>IFERROR(__xludf.DUMMYFUNCTION("""COMPUTED_VALUE"""),7.0)</f>
        <v>7</v>
      </c>
      <c r="L159" s="189">
        <f>IFERROR(__xludf.DUMMYFUNCTION("""COMPUTED_VALUE"""),5.0)</f>
        <v>5</v>
      </c>
      <c r="M159" s="189">
        <f>IFERROR(__xludf.DUMMYFUNCTION("""COMPUTED_VALUE"""),0.0)</f>
        <v>0</v>
      </c>
      <c r="N159" s="189">
        <f>IFERROR(__xludf.DUMMYFUNCTION("""COMPUTED_VALUE"""),0.0)</f>
        <v>0</v>
      </c>
      <c r="O159" s="189">
        <f>IFERROR(__xludf.DUMMYFUNCTION("""COMPUTED_VALUE"""),7.0)</f>
        <v>7</v>
      </c>
      <c r="P159" s="189">
        <f>IFERROR(__xludf.DUMMYFUNCTION("""COMPUTED_VALUE"""),5.0)</f>
        <v>5</v>
      </c>
      <c r="Q159" s="189">
        <f>IFERROR(__xludf.DUMMYFUNCTION("""COMPUTED_VALUE"""),6.0)</f>
        <v>6</v>
      </c>
      <c r="R159" s="189">
        <f>IFERROR(__xludf.DUMMYFUNCTION("""COMPUTED_VALUE"""),5.0)</f>
        <v>5</v>
      </c>
      <c r="S159" s="189">
        <f>IFERROR(__xludf.DUMMYFUNCTION("""COMPUTED_VALUE"""),1.0)</f>
        <v>1</v>
      </c>
      <c r="T159" s="189">
        <f>IFERROR(__xludf.DUMMYFUNCTION("""COMPUTED_VALUE"""),1.0)</f>
        <v>1</v>
      </c>
      <c r="U159" s="189">
        <f>IFERROR(__xludf.DUMMYFUNCTION("""COMPUTED_VALUE"""),5.0)</f>
        <v>5</v>
      </c>
      <c r="V159" s="189">
        <f>IFERROR(__xludf.DUMMYFUNCTION("""COMPUTED_VALUE"""),6.0)</f>
        <v>6</v>
      </c>
      <c r="W159" s="189">
        <f>IFERROR(__xludf.DUMMYFUNCTION("""COMPUTED_VALUE"""),5.0)</f>
        <v>5</v>
      </c>
      <c r="X159" s="189">
        <f>IFERROR(__xludf.DUMMYFUNCTION("""COMPUTED_VALUE"""),7.0)</f>
        <v>7</v>
      </c>
      <c r="Y159" s="189" t="str">
        <f>IFERROR(__xludf.DUMMYFUNCTION("""COMPUTED_VALUE"""),"2025-07-06T00:00:00.000Z")</f>
        <v>2025-07-06T00:00:00.000Z</v>
      </c>
      <c r="Z159" s="189" t="str">
        <f>IFERROR(__xludf.DUMMYFUNCTION("""COMPUTED_VALUE"""),"Boars Gaming_Sunset")</f>
        <v>Boars Gaming_Sunset</v>
      </c>
    </row>
    <row r="160">
      <c r="A160" s="189">
        <f>IFERROR(__xludf.DUMMYFUNCTION("""COMPUTED_VALUE"""),208376.0)</f>
        <v>208376</v>
      </c>
      <c r="B160" s="189">
        <f>IFERROR(__xludf.DUMMYFUNCTION("""COMPUTED_VALUE"""),91774.0)</f>
        <v>91774</v>
      </c>
      <c r="C160" s="189" t="str">
        <f>IFERROR(__xludf.DUMMYFUNCTION("""COMPUTED_VALUE"""),"Challengers League 2025 Türkiye Birlik: Split 3 - Group Stage")</f>
        <v>Challengers League 2025 Türkiye Birlik: Split 3 - Group Stage</v>
      </c>
      <c r="D160" s="189" t="str">
        <f>IFERROR(__xludf.DUMMYFUNCTION("""COMPUTED_VALUE"""),"Haven")</f>
        <v>Haven</v>
      </c>
      <c r="E160" s="189" t="str">
        <f>IFERROR(__xludf.DUMMYFUNCTION("""COMPUTED_VALUE"""),"ULF Esports")</f>
        <v>ULF Esports</v>
      </c>
      <c r="F160" s="189" t="str">
        <f>IFERROR(__xludf.DUMMYFUNCTION("""COMPUTED_VALUE"""),"Galakticos")</f>
        <v>Galakticos</v>
      </c>
      <c r="G160" s="189" t="str">
        <f>IFERROR(__xludf.DUMMYFUNCTION("""COMPUTED_VALUE"""),"Sova,Viper,Omen,Neon,Vyse")</f>
        <v>Sova,Viper,Omen,Neon,Vyse</v>
      </c>
      <c r="H160" s="189" t="str">
        <f>IFERROR(__xludf.DUMMYFUNCTION("""COMPUTED_VALUE"""),"Breach,Cypher,Sova,Omen,Neon")</f>
        <v>Breach,Cypher,Sova,Omen,Neon</v>
      </c>
      <c r="I160" s="189">
        <f>IFERROR(__xludf.DUMMYFUNCTION("""COMPUTED_VALUE"""),13.0)</f>
        <v>13</v>
      </c>
      <c r="J160" s="189">
        <f>IFERROR(__xludf.DUMMYFUNCTION("""COMPUTED_VALUE"""),11.0)</f>
        <v>11</v>
      </c>
      <c r="K160" s="189">
        <f>IFERROR(__xludf.DUMMYFUNCTION("""COMPUTED_VALUE"""),7.0)</f>
        <v>7</v>
      </c>
      <c r="L160" s="189">
        <f>IFERROR(__xludf.DUMMYFUNCTION("""COMPUTED_VALUE"""),5.0)</f>
        <v>5</v>
      </c>
      <c r="M160" s="189">
        <f>IFERROR(__xludf.DUMMYFUNCTION("""COMPUTED_VALUE"""),1.0)</f>
        <v>1</v>
      </c>
      <c r="N160" s="189">
        <f>IFERROR(__xludf.DUMMYFUNCTION("""COMPUTED_VALUE"""),0.0)</f>
        <v>0</v>
      </c>
      <c r="O160" s="189">
        <f>IFERROR(__xludf.DUMMYFUNCTION("""COMPUTED_VALUE"""),7.0)</f>
        <v>7</v>
      </c>
      <c r="P160" s="189">
        <f>IFERROR(__xludf.DUMMYFUNCTION("""COMPUTED_VALUE"""),5.0)</f>
        <v>5</v>
      </c>
      <c r="Q160" s="189">
        <f>IFERROR(__xludf.DUMMYFUNCTION("""COMPUTED_VALUE"""),6.0)</f>
        <v>6</v>
      </c>
      <c r="R160" s="189">
        <f>IFERROR(__xludf.DUMMYFUNCTION("""COMPUTED_VALUE"""),6.0)</f>
        <v>6</v>
      </c>
      <c r="S160" s="189">
        <f>IFERROR(__xludf.DUMMYFUNCTION("""COMPUTED_VALUE"""),1.0)</f>
        <v>1</v>
      </c>
      <c r="T160" s="189">
        <f>IFERROR(__xludf.DUMMYFUNCTION("""COMPUTED_VALUE"""),0.0)</f>
        <v>0</v>
      </c>
      <c r="U160" s="189">
        <f>IFERROR(__xludf.DUMMYFUNCTION("""COMPUTED_VALUE"""),6.0)</f>
        <v>6</v>
      </c>
      <c r="V160" s="189">
        <f>IFERROR(__xludf.DUMMYFUNCTION("""COMPUTED_VALUE"""),6.0)</f>
        <v>6</v>
      </c>
      <c r="W160" s="189">
        <f>IFERROR(__xludf.DUMMYFUNCTION("""COMPUTED_VALUE"""),5.0)</f>
        <v>5</v>
      </c>
      <c r="X160" s="189">
        <f>IFERROR(__xludf.DUMMYFUNCTION("""COMPUTED_VALUE"""),7.0)</f>
        <v>7</v>
      </c>
      <c r="Y160" s="189" t="str">
        <f>IFERROR(__xludf.DUMMYFUNCTION("""COMPUTED_VALUE"""),"2025-07-06T00:00:00.000Z")</f>
        <v>2025-07-06T00:00:00.000Z</v>
      </c>
      <c r="Z160" s="189" t="str">
        <f>IFERROR(__xludf.DUMMYFUNCTION("""COMPUTED_VALUE"""),"ULF Esports_Haven")</f>
        <v>ULF Esports_Haven</v>
      </c>
    </row>
    <row r="161">
      <c r="A161" s="189">
        <f>IFERROR(__xludf.DUMMYFUNCTION("""COMPUTED_VALUE"""),209278.0)</f>
        <v>209278</v>
      </c>
      <c r="B161" s="189">
        <f>IFERROR(__xludf.DUMMYFUNCTION("""COMPUTED_VALUE"""),92090.0)</f>
        <v>92090</v>
      </c>
      <c r="C161" s="189" t="str">
        <f>IFERROR(__xludf.DUMMYFUNCTION("""COMPUTED_VALUE"""),"Challengers 2025: France Revolution Split 3 - Group Stage")</f>
        <v>Challengers 2025: France Revolution Split 3 - Group Stage</v>
      </c>
      <c r="D161" s="189" t="str">
        <f>IFERROR(__xludf.DUMMYFUNCTION("""COMPUTED_VALUE"""),"Lotus")</f>
        <v>Lotus</v>
      </c>
      <c r="E161" s="189" t="str">
        <f>IFERROR(__xludf.DUMMYFUNCTION("""COMPUTED_VALUE"""),"Joblife")</f>
        <v>Joblife</v>
      </c>
      <c r="F161" s="189" t="str">
        <f>IFERROR(__xludf.DUMMYFUNCTION("""COMPUTED_VALUE"""),"BLX CORP")</f>
        <v>BLX CORP</v>
      </c>
      <c r="G161" s="189" t="str">
        <f>IFERROR(__xludf.DUMMYFUNCTION("""COMPUTED_VALUE"""),"Raze,Killjoy,Viper,Omen,Fade")</f>
        <v>Raze,Killjoy,Viper,Omen,Fade</v>
      </c>
      <c r="H161" s="189" t="str">
        <f>IFERROR(__xludf.DUMMYFUNCTION("""COMPUTED_VALUE"""),"Raze,Viper,Omen,Fade,Iso")</f>
        <v>Raze,Viper,Omen,Fade,Iso</v>
      </c>
      <c r="I161" s="189">
        <f>IFERROR(__xludf.DUMMYFUNCTION("""COMPUTED_VALUE"""),13.0)</f>
        <v>13</v>
      </c>
      <c r="J161" s="189">
        <f>IFERROR(__xludf.DUMMYFUNCTION("""COMPUTED_VALUE"""),8.0)</f>
        <v>8</v>
      </c>
      <c r="K161" s="189">
        <f>IFERROR(__xludf.DUMMYFUNCTION("""COMPUTED_VALUE"""),8.0)</f>
        <v>8</v>
      </c>
      <c r="L161" s="189">
        <f>IFERROR(__xludf.DUMMYFUNCTION("""COMPUTED_VALUE"""),4.0)</f>
        <v>4</v>
      </c>
      <c r="M161" s="189">
        <f>IFERROR(__xludf.DUMMYFUNCTION("""COMPUTED_VALUE"""),1.0)</f>
        <v>1</v>
      </c>
      <c r="N161" s="189">
        <f>IFERROR(__xludf.DUMMYFUNCTION("""COMPUTED_VALUE"""),1.0)</f>
        <v>1</v>
      </c>
      <c r="O161" s="189">
        <f>IFERROR(__xludf.DUMMYFUNCTION("""COMPUTED_VALUE"""),8.0)</f>
        <v>8</v>
      </c>
      <c r="P161" s="189">
        <f>IFERROR(__xludf.DUMMYFUNCTION("""COMPUTED_VALUE"""),4.0)</f>
        <v>4</v>
      </c>
      <c r="Q161" s="189">
        <f>IFERROR(__xludf.DUMMYFUNCTION("""COMPUTED_VALUE"""),5.0)</f>
        <v>5</v>
      </c>
      <c r="R161" s="189">
        <f>IFERROR(__xludf.DUMMYFUNCTION("""COMPUTED_VALUE"""),4.0)</f>
        <v>4</v>
      </c>
      <c r="S161" s="189">
        <f>IFERROR(__xludf.DUMMYFUNCTION("""COMPUTED_VALUE"""),0.0)</f>
        <v>0</v>
      </c>
      <c r="T161" s="189">
        <f>IFERROR(__xludf.DUMMYFUNCTION("""COMPUTED_VALUE"""),0.0)</f>
        <v>0</v>
      </c>
      <c r="U161" s="189">
        <f>IFERROR(__xludf.DUMMYFUNCTION("""COMPUTED_VALUE"""),4.0)</f>
        <v>4</v>
      </c>
      <c r="V161" s="189">
        <f>IFERROR(__xludf.DUMMYFUNCTION("""COMPUTED_VALUE"""),5.0)</f>
        <v>5</v>
      </c>
      <c r="W161" s="189">
        <f>IFERROR(__xludf.DUMMYFUNCTION("""COMPUTED_VALUE"""),4.0)</f>
        <v>4</v>
      </c>
      <c r="X161" s="189">
        <f>IFERROR(__xludf.DUMMYFUNCTION("""COMPUTED_VALUE"""),8.0)</f>
        <v>8</v>
      </c>
      <c r="Y161" s="189" t="str">
        <f>IFERROR(__xludf.DUMMYFUNCTION("""COMPUTED_VALUE"""),"2025-07-06T00:00:00.000Z")</f>
        <v>2025-07-06T00:00:00.000Z</v>
      </c>
      <c r="Z161" s="189" t="str">
        <f>IFERROR(__xludf.DUMMYFUNCTION("""COMPUTED_VALUE"""),"Joblife_Lotus")</f>
        <v>Joblife_Lotus</v>
      </c>
    </row>
    <row r="162">
      <c r="A162" s="189">
        <f>IFERROR(__xludf.DUMMYFUNCTION("""COMPUTED_VALUE"""),209276.0)</f>
        <v>209276</v>
      </c>
      <c r="B162" s="189">
        <f>IFERROR(__xludf.DUMMYFUNCTION("""COMPUTED_VALUE"""),92089.0)</f>
        <v>92089</v>
      </c>
      <c r="C162" s="189" t="str">
        <f>IFERROR(__xludf.DUMMYFUNCTION("""COMPUTED_VALUE"""),"Challengers 2025: France Revolution Split 3 - Group Stage")</f>
        <v>Challengers 2025: France Revolution Split 3 - Group Stage</v>
      </c>
      <c r="D162" s="189" t="str">
        <f>IFERROR(__xludf.DUMMYFUNCTION("""COMPUTED_VALUE"""),"Lotus")</f>
        <v>Lotus</v>
      </c>
      <c r="E162" s="189" t="str">
        <f>IFERROR(__xludf.DUMMYFUNCTION("""COMPUTED_VALUE"""),"Mandatory")</f>
        <v>Mandatory</v>
      </c>
      <c r="F162" s="189" t="str">
        <f>IFERROR(__xludf.DUMMYFUNCTION("""COMPUTED_VALUE"""),"WIP Esports")</f>
        <v>WIP Esports</v>
      </c>
      <c r="G162" s="189" t="str">
        <f>IFERROR(__xludf.DUMMYFUNCTION("""COMPUTED_VALUE"""),"Cypher,Sova,Omen,Yoru,Deadlock")</f>
        <v>Cypher,Sova,Omen,Yoru,Deadlock</v>
      </c>
      <c r="H162" s="189" t="str">
        <f>IFERROR(__xludf.DUMMYFUNCTION("""COMPUTED_VALUE"""),"Cypher,Omen,Yoru,Fade,Iso")</f>
        <v>Cypher,Omen,Yoru,Fade,Iso</v>
      </c>
      <c r="I162" s="189">
        <f>IFERROR(__xludf.DUMMYFUNCTION("""COMPUTED_VALUE"""),14.0)</f>
        <v>14</v>
      </c>
      <c r="J162" s="189">
        <f>IFERROR(__xludf.DUMMYFUNCTION("""COMPUTED_VALUE"""),12.0)</f>
        <v>12</v>
      </c>
      <c r="K162" s="189">
        <f>IFERROR(__xludf.DUMMYFUNCTION("""COMPUTED_VALUE"""),5.0)</f>
        <v>5</v>
      </c>
      <c r="L162" s="189">
        <f>IFERROR(__xludf.DUMMYFUNCTION("""COMPUTED_VALUE"""),7.0)</f>
        <v>7</v>
      </c>
      <c r="M162" s="189">
        <f>IFERROR(__xludf.DUMMYFUNCTION("""COMPUTED_VALUE"""),0.0)</f>
        <v>0</v>
      </c>
      <c r="N162" s="189">
        <f>IFERROR(__xludf.DUMMYFUNCTION("""COMPUTED_VALUE"""),1.0)</f>
        <v>1</v>
      </c>
      <c r="O162" s="189">
        <f>IFERROR(__xludf.DUMMYFUNCTION("""COMPUTED_VALUE"""),6.0)</f>
        <v>6</v>
      </c>
      <c r="P162" s="189">
        <f>IFERROR(__xludf.DUMMYFUNCTION("""COMPUTED_VALUE"""),7.0)</f>
        <v>7</v>
      </c>
      <c r="Q162" s="189">
        <f>IFERROR(__xludf.DUMMYFUNCTION("""COMPUTED_VALUE"""),8.0)</f>
        <v>8</v>
      </c>
      <c r="R162" s="189">
        <f>IFERROR(__xludf.DUMMYFUNCTION("""COMPUTED_VALUE"""),5.0)</f>
        <v>5</v>
      </c>
      <c r="S162" s="189">
        <f>IFERROR(__xludf.DUMMYFUNCTION("""COMPUTED_VALUE"""),0.0)</f>
        <v>0</v>
      </c>
      <c r="T162" s="189">
        <f>IFERROR(__xludf.DUMMYFUNCTION("""COMPUTED_VALUE"""),1.0)</f>
        <v>1</v>
      </c>
      <c r="U162" s="189">
        <f>IFERROR(__xludf.DUMMYFUNCTION("""COMPUTED_VALUE"""),5.0)</f>
        <v>5</v>
      </c>
      <c r="V162" s="189">
        <f>IFERROR(__xludf.DUMMYFUNCTION("""COMPUTED_VALUE"""),8.0)</f>
        <v>8</v>
      </c>
      <c r="W162" s="189">
        <f>IFERROR(__xludf.DUMMYFUNCTION("""COMPUTED_VALUE"""),7.0)</f>
        <v>7</v>
      </c>
      <c r="X162" s="189">
        <f>IFERROR(__xludf.DUMMYFUNCTION("""COMPUTED_VALUE"""),6.0)</f>
        <v>6</v>
      </c>
      <c r="Y162" s="189" t="str">
        <f>IFERROR(__xludf.DUMMYFUNCTION("""COMPUTED_VALUE"""),"2025-07-06T00:00:00.000Z")</f>
        <v>2025-07-06T00:00:00.000Z</v>
      </c>
      <c r="Z162" s="189" t="str">
        <f>IFERROR(__xludf.DUMMYFUNCTION("""COMPUTED_VALUE"""),"Mandatory_Lotus")</f>
        <v>Mandatory_Lotus</v>
      </c>
    </row>
    <row r="163">
      <c r="A163" s="189">
        <f>IFERROR(__xludf.DUMMYFUNCTION("""COMPUTED_VALUE"""),209075.0)</f>
        <v>209075</v>
      </c>
      <c r="B163" s="189">
        <f>IFERROR(__xludf.DUMMYFUNCTION("""COMPUTED_VALUE"""),92019.0)</f>
        <v>92019</v>
      </c>
      <c r="C163" s="189" t="str">
        <f>IFERROR(__xludf.DUMMYFUNCTION("""COMPUTED_VALUE"""),"Challengers League 2025 NORTH EAST: Split 3 - Lower Swiss Phase")</f>
        <v>Challengers League 2025 NORTH EAST: Split 3 - Lower Swiss Phase</v>
      </c>
      <c r="D163" s="189" t="str">
        <f>IFERROR(__xludf.DUMMYFUNCTION("""COMPUTED_VALUE"""),"Lotus")</f>
        <v>Lotus</v>
      </c>
      <c r="E163" s="189" t="str">
        <f>IFERROR(__xludf.DUMMYFUNCTION("""COMPUTED_VALUE"""),"Team Liquid Academy")</f>
        <v>Team Liquid Academy</v>
      </c>
      <c r="F163" s="189" t="str">
        <f>IFERROR(__xludf.DUMMYFUNCTION("""COMPUTED_VALUE"""),"Twisted Saints Esports")</f>
        <v>Twisted Saints Esports</v>
      </c>
      <c r="G163" s="189" t="str">
        <f>IFERROR(__xludf.DUMMYFUNCTION("""COMPUTED_VALUE"""),"Raze,Viper,Omen,Fade,Vyse")</f>
        <v>Raze,Viper,Omen,Fade,Vyse</v>
      </c>
      <c r="H163" s="189" t="str">
        <f>IFERROR(__xludf.DUMMYFUNCTION("""COMPUTED_VALUE"""),"Raze,Killjoy,Viper,Omen,Fade")</f>
        <v>Raze,Killjoy,Viper,Omen,Fade</v>
      </c>
      <c r="I163" s="189">
        <f>IFERROR(__xludf.DUMMYFUNCTION("""COMPUTED_VALUE"""),13.0)</f>
        <v>13</v>
      </c>
      <c r="J163" s="189">
        <f>IFERROR(__xludf.DUMMYFUNCTION("""COMPUTED_VALUE"""),3.0)</f>
        <v>3</v>
      </c>
      <c r="K163" s="189">
        <f>IFERROR(__xludf.DUMMYFUNCTION("""COMPUTED_VALUE"""),9.0)</f>
        <v>9</v>
      </c>
      <c r="L163" s="189">
        <f>IFERROR(__xludf.DUMMYFUNCTION("""COMPUTED_VALUE"""),3.0)</f>
        <v>3</v>
      </c>
      <c r="M163" s="189">
        <f>IFERROR(__xludf.DUMMYFUNCTION("""COMPUTED_VALUE"""),0.0)</f>
        <v>0</v>
      </c>
      <c r="N163" s="189">
        <f>IFERROR(__xludf.DUMMYFUNCTION("""COMPUTED_VALUE"""),1.0)</f>
        <v>1</v>
      </c>
      <c r="O163" s="189">
        <f>IFERROR(__xludf.DUMMYFUNCTION("""COMPUTED_VALUE"""),9.0)</f>
        <v>9</v>
      </c>
      <c r="P163" s="189">
        <f>IFERROR(__xludf.DUMMYFUNCTION("""COMPUTED_VALUE"""),3.0)</f>
        <v>3</v>
      </c>
      <c r="Q163" s="189">
        <f>IFERROR(__xludf.DUMMYFUNCTION("""COMPUTED_VALUE"""),4.0)</f>
        <v>4</v>
      </c>
      <c r="R163" s="189">
        <f>IFERROR(__xludf.DUMMYFUNCTION("""COMPUTED_VALUE"""),0.0)</f>
        <v>0</v>
      </c>
      <c r="S163" s="189">
        <f>IFERROR(__xludf.DUMMYFUNCTION("""COMPUTED_VALUE"""),0.0)</f>
        <v>0</v>
      </c>
      <c r="T163" s="189">
        <f>IFERROR(__xludf.DUMMYFUNCTION("""COMPUTED_VALUE"""),1.0)</f>
        <v>1</v>
      </c>
      <c r="U163" s="189">
        <f>IFERROR(__xludf.DUMMYFUNCTION("""COMPUTED_VALUE"""),0.0)</f>
        <v>0</v>
      </c>
      <c r="V163" s="189">
        <f>IFERROR(__xludf.DUMMYFUNCTION("""COMPUTED_VALUE"""),4.0)</f>
        <v>4</v>
      </c>
      <c r="W163" s="189">
        <f>IFERROR(__xludf.DUMMYFUNCTION("""COMPUTED_VALUE"""),3.0)</f>
        <v>3</v>
      </c>
      <c r="X163" s="189">
        <f>IFERROR(__xludf.DUMMYFUNCTION("""COMPUTED_VALUE"""),9.0)</f>
        <v>9</v>
      </c>
      <c r="Y163" s="189" t="str">
        <f>IFERROR(__xludf.DUMMYFUNCTION("""COMPUTED_VALUE"""),"2025-07-06T00:00:00.000Z")</f>
        <v>2025-07-06T00:00:00.000Z</v>
      </c>
      <c r="Z163" s="189" t="str">
        <f>IFERROR(__xludf.DUMMYFUNCTION("""COMPUTED_VALUE"""),"Team Liquid Academy_Lotus")</f>
        <v>Team Liquid Academy_Lotus</v>
      </c>
    </row>
    <row r="164">
      <c r="A164" s="189">
        <f>IFERROR(__xludf.DUMMYFUNCTION("""COMPUTED_VALUE"""),209275.0)</f>
        <v>209275</v>
      </c>
      <c r="B164" s="189">
        <f>IFERROR(__xludf.DUMMYFUNCTION("""COMPUTED_VALUE"""),92089.0)</f>
        <v>92089</v>
      </c>
      <c r="C164" s="189" t="str">
        <f>IFERROR(__xludf.DUMMYFUNCTION("""COMPUTED_VALUE"""),"Challengers 2025: France Revolution Split 3 - Group Stage")</f>
        <v>Challengers 2025: France Revolution Split 3 - Group Stage</v>
      </c>
      <c r="D164" s="189" t="str">
        <f>IFERROR(__xludf.DUMMYFUNCTION("""COMPUTED_VALUE"""),"Split")</f>
        <v>Split</v>
      </c>
      <c r="E164" s="189" t="str">
        <f>IFERROR(__xludf.DUMMYFUNCTION("""COMPUTED_VALUE"""),"Mandatory")</f>
        <v>Mandatory</v>
      </c>
      <c r="F164" s="189" t="str">
        <f>IFERROR(__xludf.DUMMYFUNCTION("""COMPUTED_VALUE"""),"WIP Esports")</f>
        <v>WIP Esports</v>
      </c>
      <c r="G164" s="189" t="str">
        <f>IFERROR(__xludf.DUMMYFUNCTION("""COMPUTED_VALUE"""),"Breach,Raze,Viper,Omen,Yoru")</f>
        <v>Breach,Raze,Viper,Omen,Yoru</v>
      </c>
      <c r="H164" s="189" t="str">
        <f>IFERROR(__xludf.DUMMYFUNCTION("""COMPUTED_VALUE"""),"Raze,Viper,Omen,Yoru,Fade")</f>
        <v>Raze,Viper,Omen,Yoru,Fade</v>
      </c>
      <c r="I164" s="189">
        <f>IFERROR(__xludf.DUMMYFUNCTION("""COMPUTED_VALUE"""),15.0)</f>
        <v>15</v>
      </c>
      <c r="J164" s="189">
        <f>IFERROR(__xludf.DUMMYFUNCTION("""COMPUTED_VALUE"""),13.0)</f>
        <v>13</v>
      </c>
      <c r="K164" s="189">
        <f>IFERROR(__xludf.DUMMYFUNCTION("""COMPUTED_VALUE"""),6.0)</f>
        <v>6</v>
      </c>
      <c r="L164" s="189">
        <f>IFERROR(__xludf.DUMMYFUNCTION("""COMPUTED_VALUE"""),6.0)</f>
        <v>6</v>
      </c>
      <c r="M164" s="189">
        <f>IFERROR(__xludf.DUMMYFUNCTION("""COMPUTED_VALUE"""),1.0)</f>
        <v>1</v>
      </c>
      <c r="N164" s="189">
        <f>IFERROR(__xludf.DUMMYFUNCTION("""COMPUTED_VALUE"""),1.0)</f>
        <v>1</v>
      </c>
      <c r="O164" s="189">
        <f>IFERROR(__xludf.DUMMYFUNCTION("""COMPUTED_VALUE"""),8.0)</f>
        <v>8</v>
      </c>
      <c r="P164" s="189">
        <f>IFERROR(__xludf.DUMMYFUNCTION("""COMPUTED_VALUE"""),6.0)</f>
        <v>6</v>
      </c>
      <c r="Q164" s="189">
        <f>IFERROR(__xludf.DUMMYFUNCTION("""COMPUTED_VALUE"""),7.0)</f>
        <v>7</v>
      </c>
      <c r="R164" s="189">
        <f>IFERROR(__xludf.DUMMYFUNCTION("""COMPUTED_VALUE"""),7.0)</f>
        <v>7</v>
      </c>
      <c r="S164" s="189">
        <f>IFERROR(__xludf.DUMMYFUNCTION("""COMPUTED_VALUE"""),0.0)</f>
        <v>0</v>
      </c>
      <c r="T164" s="189">
        <f>IFERROR(__xludf.DUMMYFUNCTION("""COMPUTED_VALUE"""),0.0)</f>
        <v>0</v>
      </c>
      <c r="U164" s="189">
        <f>IFERROR(__xludf.DUMMYFUNCTION("""COMPUTED_VALUE"""),7.0)</f>
        <v>7</v>
      </c>
      <c r="V164" s="189">
        <f>IFERROR(__xludf.DUMMYFUNCTION("""COMPUTED_VALUE"""),7.0)</f>
        <v>7</v>
      </c>
      <c r="W164" s="189">
        <f>IFERROR(__xludf.DUMMYFUNCTION("""COMPUTED_VALUE"""),6.0)</f>
        <v>6</v>
      </c>
      <c r="X164" s="189">
        <f>IFERROR(__xludf.DUMMYFUNCTION("""COMPUTED_VALUE"""),8.0)</f>
        <v>8</v>
      </c>
      <c r="Y164" s="189" t="str">
        <f>IFERROR(__xludf.DUMMYFUNCTION("""COMPUTED_VALUE"""),"2025-07-06T00:00:00.000Z")</f>
        <v>2025-07-06T00:00:00.000Z</v>
      </c>
      <c r="Z164" s="189" t="str">
        <f>IFERROR(__xludf.DUMMYFUNCTION("""COMPUTED_VALUE"""),"Mandatory_Split")</f>
        <v>Mandatory_Split</v>
      </c>
    </row>
    <row r="165">
      <c r="A165" s="189">
        <f>IFERROR(__xludf.DUMMYFUNCTION("""COMPUTED_VALUE"""),209074.0)</f>
        <v>209074</v>
      </c>
      <c r="B165" s="189">
        <f>IFERROR(__xludf.DUMMYFUNCTION("""COMPUTED_VALUE"""),92019.0)</f>
        <v>92019</v>
      </c>
      <c r="C165" s="189" t="str">
        <f>IFERROR(__xludf.DUMMYFUNCTION("""COMPUTED_VALUE"""),"Challengers League 2025 NORTH EAST: Split 3 - Lower Swiss Phase")</f>
        <v>Challengers League 2025 NORTH EAST: Split 3 - Lower Swiss Phase</v>
      </c>
      <c r="D165" s="189" t="str">
        <f>IFERROR(__xludf.DUMMYFUNCTION("""COMPUTED_VALUE"""),"Split")</f>
        <v>Split</v>
      </c>
      <c r="E165" s="189" t="str">
        <f>IFERROR(__xludf.DUMMYFUNCTION("""COMPUTED_VALUE"""),"Team Liquid Academy")</f>
        <v>Team Liquid Academy</v>
      </c>
      <c r="F165" s="189" t="str">
        <f>IFERROR(__xludf.DUMMYFUNCTION("""COMPUTED_VALUE"""),"Twisted Saints Esports")</f>
        <v>Twisted Saints Esports</v>
      </c>
      <c r="G165" s="189" t="str">
        <f>IFERROR(__xludf.DUMMYFUNCTION("""COMPUTED_VALUE"""),"Viper,Yoru,Astra,Fade,Vyse")</f>
        <v>Viper,Yoru,Astra,Fade,Vyse</v>
      </c>
      <c r="H165" s="189" t="str">
        <f>IFERROR(__xludf.DUMMYFUNCTION("""COMPUTED_VALUE"""),"Breach,Raze,Viper,Omen,Fade")</f>
        <v>Breach,Raze,Viper,Omen,Fade</v>
      </c>
      <c r="I165" s="189">
        <f>IFERROR(__xludf.DUMMYFUNCTION("""COMPUTED_VALUE"""),9.0)</f>
        <v>9</v>
      </c>
      <c r="J165" s="189">
        <f>IFERROR(__xludf.DUMMYFUNCTION("""COMPUTED_VALUE"""),13.0)</f>
        <v>13</v>
      </c>
      <c r="K165" s="189">
        <f>IFERROR(__xludf.DUMMYFUNCTION("""COMPUTED_VALUE"""),2.0)</f>
        <v>2</v>
      </c>
      <c r="L165" s="189">
        <f>IFERROR(__xludf.DUMMYFUNCTION("""COMPUTED_VALUE"""),10.0)</f>
        <v>10</v>
      </c>
      <c r="M165" s="189">
        <f>IFERROR(__xludf.DUMMYFUNCTION("""COMPUTED_VALUE"""),0.0)</f>
        <v>0</v>
      </c>
      <c r="N165" s="189">
        <f>IFERROR(__xludf.DUMMYFUNCTION("""COMPUTED_VALUE"""),1.0)</f>
        <v>1</v>
      </c>
      <c r="O165" s="189">
        <f>IFERROR(__xludf.DUMMYFUNCTION("""COMPUTED_VALUE"""),2.0)</f>
        <v>2</v>
      </c>
      <c r="P165" s="189">
        <f>IFERROR(__xludf.DUMMYFUNCTION("""COMPUTED_VALUE"""),10.0)</f>
        <v>10</v>
      </c>
      <c r="Q165" s="189">
        <f>IFERROR(__xludf.DUMMYFUNCTION("""COMPUTED_VALUE"""),7.0)</f>
        <v>7</v>
      </c>
      <c r="R165" s="189">
        <f>IFERROR(__xludf.DUMMYFUNCTION("""COMPUTED_VALUE"""),3.0)</f>
        <v>3</v>
      </c>
      <c r="S165" s="189">
        <f>IFERROR(__xludf.DUMMYFUNCTION("""COMPUTED_VALUE"""),0.0)</f>
        <v>0</v>
      </c>
      <c r="T165" s="189">
        <f>IFERROR(__xludf.DUMMYFUNCTION("""COMPUTED_VALUE"""),1.0)</f>
        <v>1</v>
      </c>
      <c r="U165" s="189">
        <f>IFERROR(__xludf.DUMMYFUNCTION("""COMPUTED_VALUE"""),3.0)</f>
        <v>3</v>
      </c>
      <c r="V165" s="189">
        <f>IFERROR(__xludf.DUMMYFUNCTION("""COMPUTED_VALUE"""),7.0)</f>
        <v>7</v>
      </c>
      <c r="W165" s="189">
        <f>IFERROR(__xludf.DUMMYFUNCTION("""COMPUTED_VALUE"""),10.0)</f>
        <v>10</v>
      </c>
      <c r="X165" s="189">
        <f>IFERROR(__xludf.DUMMYFUNCTION("""COMPUTED_VALUE"""),2.0)</f>
        <v>2</v>
      </c>
      <c r="Y165" s="189" t="str">
        <f>IFERROR(__xludf.DUMMYFUNCTION("""COMPUTED_VALUE"""),"2025-07-06T00:00:00.000Z")</f>
        <v>2025-07-06T00:00:00.000Z</v>
      </c>
      <c r="Z165" s="189" t="str">
        <f>IFERROR(__xludf.DUMMYFUNCTION("""COMPUTED_VALUE"""),"Team Liquid Academy_Split")</f>
        <v>Team Liquid Academy_Split</v>
      </c>
    </row>
    <row r="166">
      <c r="A166" s="189">
        <f>IFERROR(__xludf.DUMMYFUNCTION("""COMPUTED_VALUE"""),209073.0)</f>
        <v>209073</v>
      </c>
      <c r="B166" s="189">
        <f>IFERROR(__xludf.DUMMYFUNCTION("""COMPUTED_VALUE"""),92019.0)</f>
        <v>92019</v>
      </c>
      <c r="C166" s="189" t="str">
        <f>IFERROR(__xludf.DUMMYFUNCTION("""COMPUTED_VALUE"""),"Challengers League 2025 NORTH EAST: Split 3 - Lower Swiss Phase")</f>
        <v>Challengers League 2025 NORTH EAST: Split 3 - Lower Swiss Phase</v>
      </c>
      <c r="D166" s="189" t="str">
        <f>IFERROR(__xludf.DUMMYFUNCTION("""COMPUTED_VALUE"""),"Ascent")</f>
        <v>Ascent</v>
      </c>
      <c r="E166" s="189" t="str">
        <f>IFERROR(__xludf.DUMMYFUNCTION("""COMPUTED_VALUE"""),"Team Liquid Academy")</f>
        <v>Team Liquid Academy</v>
      </c>
      <c r="F166" s="189" t="str">
        <f>IFERROR(__xludf.DUMMYFUNCTION("""COMPUTED_VALUE"""),"Twisted Saints Esports")</f>
        <v>Twisted Saints Esports</v>
      </c>
      <c r="G166" s="189" t="str">
        <f>IFERROR(__xludf.DUMMYFUNCTION("""COMPUTED_VALUE"""),"Sova,Omen,Yoru,Vyse,Waylay")</f>
        <v>Sova,Omen,Yoru,Vyse,Waylay</v>
      </c>
      <c r="H166" s="189" t="str">
        <f>IFERROR(__xludf.DUMMYFUNCTION("""COMPUTED_VALUE"""),"Sova,Killjoy,Omen,Jett,KAY/O")</f>
        <v>Sova,Killjoy,Omen,Jett,KAY/O</v>
      </c>
      <c r="I166" s="189">
        <f>IFERROR(__xludf.DUMMYFUNCTION("""COMPUTED_VALUE"""),13.0)</f>
        <v>13</v>
      </c>
      <c r="J166" s="189">
        <f>IFERROR(__xludf.DUMMYFUNCTION("""COMPUTED_VALUE"""),5.0)</f>
        <v>5</v>
      </c>
      <c r="K166" s="189">
        <f>IFERROR(__xludf.DUMMYFUNCTION("""COMPUTED_VALUE"""),8.0)</f>
        <v>8</v>
      </c>
      <c r="L166" s="189">
        <f>IFERROR(__xludf.DUMMYFUNCTION("""COMPUTED_VALUE"""),4.0)</f>
        <v>4</v>
      </c>
      <c r="M166" s="189">
        <f>IFERROR(__xludf.DUMMYFUNCTION("""COMPUTED_VALUE"""),1.0)</f>
        <v>1</v>
      </c>
      <c r="N166" s="189">
        <f>IFERROR(__xludf.DUMMYFUNCTION("""COMPUTED_VALUE"""),1.0)</f>
        <v>1</v>
      </c>
      <c r="O166" s="189">
        <f>IFERROR(__xludf.DUMMYFUNCTION("""COMPUTED_VALUE"""),8.0)</f>
        <v>8</v>
      </c>
      <c r="P166" s="189">
        <f>IFERROR(__xludf.DUMMYFUNCTION("""COMPUTED_VALUE"""),4.0)</f>
        <v>4</v>
      </c>
      <c r="Q166" s="189">
        <f>IFERROR(__xludf.DUMMYFUNCTION("""COMPUTED_VALUE"""),5.0)</f>
        <v>5</v>
      </c>
      <c r="R166" s="189">
        <f>IFERROR(__xludf.DUMMYFUNCTION("""COMPUTED_VALUE"""),1.0)</f>
        <v>1</v>
      </c>
      <c r="S166" s="189">
        <f>IFERROR(__xludf.DUMMYFUNCTION("""COMPUTED_VALUE"""),0.0)</f>
        <v>0</v>
      </c>
      <c r="T166" s="189">
        <f>IFERROR(__xludf.DUMMYFUNCTION("""COMPUTED_VALUE"""),0.0)</f>
        <v>0</v>
      </c>
      <c r="U166" s="189">
        <f>IFERROR(__xludf.DUMMYFUNCTION("""COMPUTED_VALUE"""),1.0)</f>
        <v>1</v>
      </c>
      <c r="V166" s="189">
        <f>IFERROR(__xludf.DUMMYFUNCTION("""COMPUTED_VALUE"""),5.0)</f>
        <v>5</v>
      </c>
      <c r="W166" s="189">
        <f>IFERROR(__xludf.DUMMYFUNCTION("""COMPUTED_VALUE"""),4.0)</f>
        <v>4</v>
      </c>
      <c r="X166" s="189">
        <f>IFERROR(__xludf.DUMMYFUNCTION("""COMPUTED_VALUE"""),8.0)</f>
        <v>8</v>
      </c>
      <c r="Y166" s="189" t="str">
        <f>IFERROR(__xludf.DUMMYFUNCTION("""COMPUTED_VALUE"""),"2025-07-06T00:00:00.000Z")</f>
        <v>2025-07-06T00:00:00.000Z</v>
      </c>
      <c r="Z166" s="189" t="str">
        <f>IFERROR(__xludf.DUMMYFUNCTION("""COMPUTED_VALUE"""),"Team Liquid Academy_Ascent")</f>
        <v>Team Liquid Academy_Ascent</v>
      </c>
    </row>
    <row r="167">
      <c r="A167" s="189">
        <f>IFERROR(__xludf.DUMMYFUNCTION("""COMPUTED_VALUE"""),209080.0)</f>
        <v>209080</v>
      </c>
      <c r="B167" s="189">
        <f>IFERROR(__xludf.DUMMYFUNCTION("""COMPUTED_VALUE"""),92022.0)</f>
        <v>92022</v>
      </c>
      <c r="C167" s="189" t="str">
        <f>IFERROR(__xludf.DUMMYFUNCTION("""COMPUTED_VALUE"""),"Challengers League 2025 NORTH EAST: Split 3 - Lower Swiss Phase")</f>
        <v>Challengers League 2025 NORTH EAST: Split 3 - Lower Swiss Phase</v>
      </c>
      <c r="D167" s="189" t="str">
        <f>IFERROR(__xludf.DUMMYFUNCTION("""COMPUTED_VALUE"""),"Haven")</f>
        <v>Haven</v>
      </c>
      <c r="E167" s="189" t="str">
        <f>IFERROR(__xludf.DUMMYFUNCTION("""COMPUTED_VALUE"""),"Boars Gaming")</f>
        <v>Boars Gaming</v>
      </c>
      <c r="F167" s="189" t="str">
        <f>IFERROR(__xludf.DUMMYFUNCTION("""COMPUTED_VALUE"""),"MIR")</f>
        <v>MIR</v>
      </c>
      <c r="G167" s="189" t="str">
        <f>IFERROR(__xludf.DUMMYFUNCTION("""COMPUTED_VALUE"""),"Breach,Cypher,Sova,Omen,Neon")</f>
        <v>Breach,Cypher,Sova,Omen,Neon</v>
      </c>
      <c r="H167" s="189" t="str">
        <f>IFERROR(__xludf.DUMMYFUNCTION("""COMPUTED_VALUE"""),"Sova,Killjoy,Viper,Omen,Neon")</f>
        <v>Sova,Killjoy,Viper,Omen,Neon</v>
      </c>
      <c r="I167" s="189">
        <f>IFERROR(__xludf.DUMMYFUNCTION("""COMPUTED_VALUE"""),13.0)</f>
        <v>13</v>
      </c>
      <c r="J167" s="189">
        <f>IFERROR(__xludf.DUMMYFUNCTION("""COMPUTED_VALUE"""),11.0)</f>
        <v>11</v>
      </c>
      <c r="K167" s="189">
        <f>IFERROR(__xludf.DUMMYFUNCTION("""COMPUTED_VALUE"""),8.0)</f>
        <v>8</v>
      </c>
      <c r="L167" s="189">
        <f>IFERROR(__xludf.DUMMYFUNCTION("""COMPUTED_VALUE"""),4.0)</f>
        <v>4</v>
      </c>
      <c r="M167" s="189">
        <f>IFERROR(__xludf.DUMMYFUNCTION("""COMPUTED_VALUE"""),0.0)</f>
        <v>0</v>
      </c>
      <c r="N167" s="189">
        <f>IFERROR(__xludf.DUMMYFUNCTION("""COMPUTED_VALUE"""),1.0)</f>
        <v>1</v>
      </c>
      <c r="O167" s="189">
        <f>IFERROR(__xludf.DUMMYFUNCTION("""COMPUTED_VALUE"""),5.0)</f>
        <v>5</v>
      </c>
      <c r="P167" s="189">
        <f>IFERROR(__xludf.DUMMYFUNCTION("""COMPUTED_VALUE"""),7.0)</f>
        <v>7</v>
      </c>
      <c r="Q167" s="189">
        <f>IFERROR(__xludf.DUMMYFUNCTION("""COMPUTED_VALUE"""),8.0)</f>
        <v>8</v>
      </c>
      <c r="R167" s="189">
        <f>IFERROR(__xludf.DUMMYFUNCTION("""COMPUTED_VALUE"""),4.0)</f>
        <v>4</v>
      </c>
      <c r="S167" s="189">
        <f>IFERROR(__xludf.DUMMYFUNCTION("""COMPUTED_VALUE"""),0.0)</f>
        <v>0</v>
      </c>
      <c r="T167" s="189">
        <f>IFERROR(__xludf.DUMMYFUNCTION("""COMPUTED_VALUE"""),1.0)</f>
        <v>1</v>
      </c>
      <c r="U167" s="189">
        <f>IFERROR(__xludf.DUMMYFUNCTION("""COMPUTED_VALUE"""),4.0)</f>
        <v>4</v>
      </c>
      <c r="V167" s="189">
        <f>IFERROR(__xludf.DUMMYFUNCTION("""COMPUTED_VALUE"""),8.0)</f>
        <v>8</v>
      </c>
      <c r="W167" s="189">
        <f>IFERROR(__xludf.DUMMYFUNCTION("""COMPUTED_VALUE"""),7.0)</f>
        <v>7</v>
      </c>
      <c r="X167" s="189">
        <f>IFERROR(__xludf.DUMMYFUNCTION("""COMPUTED_VALUE"""),5.0)</f>
        <v>5</v>
      </c>
      <c r="Y167" s="189" t="str">
        <f>IFERROR(__xludf.DUMMYFUNCTION("""COMPUTED_VALUE"""),"2025-07-06T00:00:00.000Z")</f>
        <v>2025-07-06T00:00:00.000Z</v>
      </c>
      <c r="Z167" s="189" t="str">
        <f>IFERROR(__xludf.DUMMYFUNCTION("""COMPUTED_VALUE"""),"Boars Gaming_Haven")</f>
        <v>Boars Gaming_Haven</v>
      </c>
    </row>
    <row r="168">
      <c r="A168" s="189">
        <f>IFERROR(__xludf.DUMMYFUNCTION("""COMPUTED_VALUE"""),209081.0)</f>
        <v>209081</v>
      </c>
      <c r="B168" s="189">
        <f>IFERROR(__xludf.DUMMYFUNCTION("""COMPUTED_VALUE"""),92023.0)</f>
        <v>92023</v>
      </c>
      <c r="C168" s="189" t="str">
        <f>IFERROR(__xludf.DUMMYFUNCTION("""COMPUTED_VALUE"""),"Challengers League 2025 NORTH EAST: Split 3 - Lower Swiss Phase")</f>
        <v>Challengers League 2025 NORTH EAST: Split 3 - Lower Swiss Phase</v>
      </c>
      <c r="D168" s="189" t="str">
        <f>IFERROR(__xludf.DUMMYFUNCTION("""COMPUTED_VALUE"""),"Haven")</f>
        <v>Haven</v>
      </c>
      <c r="E168" s="189" t="str">
        <f>IFERROR(__xludf.DUMMYFUNCTION("""COMPUTED_VALUE"""),"děti ulice")</f>
        <v>děti ulice</v>
      </c>
      <c r="F168" s="189" t="str">
        <f>IFERROR(__xludf.DUMMYFUNCTION("""COMPUTED_VALUE"""),"MANIA Esports")</f>
        <v>MANIA Esports</v>
      </c>
      <c r="G168" s="189" t="str">
        <f>IFERROR(__xludf.DUMMYFUNCTION("""COMPUTED_VALUE"""),"Breach,Cypher,Sova,Omen,Jett")</f>
        <v>Breach,Cypher,Sova,Omen,Jett</v>
      </c>
      <c r="H168" s="189" t="str">
        <f>IFERROR(__xludf.DUMMYFUNCTION("""COMPUTED_VALUE"""),"Cypher,Sova,Omen,Yoru,Iso")</f>
        <v>Cypher,Sova,Omen,Yoru,Iso</v>
      </c>
      <c r="I168" s="189">
        <f>IFERROR(__xludf.DUMMYFUNCTION("""COMPUTED_VALUE"""),9.0)</f>
        <v>9</v>
      </c>
      <c r="J168" s="189">
        <f>IFERROR(__xludf.DUMMYFUNCTION("""COMPUTED_VALUE"""),13.0)</f>
        <v>13</v>
      </c>
      <c r="K168" s="189">
        <f>IFERROR(__xludf.DUMMYFUNCTION("""COMPUTED_VALUE"""),5.0)</f>
        <v>5</v>
      </c>
      <c r="L168" s="189">
        <f>IFERROR(__xludf.DUMMYFUNCTION("""COMPUTED_VALUE"""),7.0)</f>
        <v>7</v>
      </c>
      <c r="M168" s="189">
        <f>IFERROR(__xludf.DUMMYFUNCTION("""COMPUTED_VALUE"""),1.0)</f>
        <v>1</v>
      </c>
      <c r="N168" s="189">
        <f>IFERROR(__xludf.DUMMYFUNCTION("""COMPUTED_VALUE"""),1.0)</f>
        <v>1</v>
      </c>
      <c r="O168" s="189">
        <f>IFERROR(__xludf.DUMMYFUNCTION("""COMPUTED_VALUE"""),5.0)</f>
        <v>5</v>
      </c>
      <c r="P168" s="189">
        <f>IFERROR(__xludf.DUMMYFUNCTION("""COMPUTED_VALUE"""),7.0)</f>
        <v>7</v>
      </c>
      <c r="Q168" s="189">
        <f>IFERROR(__xludf.DUMMYFUNCTION("""COMPUTED_VALUE"""),4.0)</f>
        <v>4</v>
      </c>
      <c r="R168" s="189">
        <f>IFERROR(__xludf.DUMMYFUNCTION("""COMPUTED_VALUE"""),6.0)</f>
        <v>6</v>
      </c>
      <c r="S168" s="189">
        <f>IFERROR(__xludf.DUMMYFUNCTION("""COMPUTED_VALUE"""),0.0)</f>
        <v>0</v>
      </c>
      <c r="T168" s="189">
        <f>IFERROR(__xludf.DUMMYFUNCTION("""COMPUTED_VALUE"""),0.0)</f>
        <v>0</v>
      </c>
      <c r="U168" s="189">
        <f>IFERROR(__xludf.DUMMYFUNCTION("""COMPUTED_VALUE"""),6.0)</f>
        <v>6</v>
      </c>
      <c r="V168" s="189">
        <f>IFERROR(__xludf.DUMMYFUNCTION("""COMPUTED_VALUE"""),4.0)</f>
        <v>4</v>
      </c>
      <c r="W168" s="189">
        <f>IFERROR(__xludf.DUMMYFUNCTION("""COMPUTED_VALUE"""),7.0)</f>
        <v>7</v>
      </c>
      <c r="X168" s="189">
        <f>IFERROR(__xludf.DUMMYFUNCTION("""COMPUTED_VALUE"""),5.0)</f>
        <v>5</v>
      </c>
      <c r="Y168" s="189" t="str">
        <f>IFERROR(__xludf.DUMMYFUNCTION("""COMPUTED_VALUE"""),"2025-07-06T00:00:00.000Z")</f>
        <v>2025-07-06T00:00:00.000Z</v>
      </c>
      <c r="Z168" s="189" t="str">
        <f>IFERROR(__xludf.DUMMYFUNCTION("""COMPUTED_VALUE"""),"děti ulice_Haven")</f>
        <v>děti ulice_Haven</v>
      </c>
    </row>
    <row r="169">
      <c r="A169" s="189">
        <f>IFERROR(__xludf.DUMMYFUNCTION("""COMPUTED_VALUE"""),206636.0)</f>
        <v>206636</v>
      </c>
      <c r="B169" s="189">
        <f>IFERROR(__xludf.DUMMYFUNCTION("""COMPUTED_VALUE"""),91112.0)</f>
        <v>91112</v>
      </c>
      <c r="C169" s="189" t="str">
        <f>IFERROR(__xludf.DUMMYFUNCTION("""COMPUTED_VALUE"""),"A1 eSports Cup #8")</f>
        <v>A1 eSports Cup #8</v>
      </c>
      <c r="D169" s="189" t="str">
        <f>IFERROR(__xludf.DUMMYFUNCTION("""COMPUTED_VALUE"""),"Sunset")</f>
        <v>Sunset</v>
      </c>
      <c r="E169" s="189" t="str">
        <f>IFERROR(__xludf.DUMMYFUNCTION("""COMPUTED_VALUE"""),"Eintracht Frankfurt")</f>
        <v>Eintracht Frankfurt</v>
      </c>
      <c r="F169" s="189" t="str">
        <f>IFERROR(__xludf.DUMMYFUNCTION("""COMPUTED_VALUE"""),"MOUZ")</f>
        <v>MOUZ</v>
      </c>
      <c r="G169" s="189" t="str">
        <f>IFERROR(__xludf.DUMMYFUNCTION("""COMPUTED_VALUE"""),"Cypher,Sova,Omen,KAY/O,Neon")</f>
        <v>Cypher,Sova,Omen,KAY/O,Neon</v>
      </c>
      <c r="H169" s="189" t="str">
        <f>IFERROR(__xludf.DUMMYFUNCTION("""COMPUTED_VALUE"""),"Breach,Sova,Omen,Neon,Vyse")</f>
        <v>Breach,Sova,Omen,Neon,Vyse</v>
      </c>
      <c r="I169" s="189">
        <f>IFERROR(__xludf.DUMMYFUNCTION("""COMPUTED_VALUE"""),13.0)</f>
        <v>13</v>
      </c>
      <c r="J169" s="189">
        <f>IFERROR(__xludf.DUMMYFUNCTION("""COMPUTED_VALUE"""),8.0)</f>
        <v>8</v>
      </c>
      <c r="K169" s="189">
        <f>IFERROR(__xludf.DUMMYFUNCTION("""COMPUTED_VALUE"""),7.0)</f>
        <v>7</v>
      </c>
      <c r="L169" s="189">
        <f>IFERROR(__xludf.DUMMYFUNCTION("""COMPUTED_VALUE"""),5.0)</f>
        <v>5</v>
      </c>
      <c r="M169" s="189">
        <f>IFERROR(__xludf.DUMMYFUNCTION("""COMPUTED_VALUE"""),0.0)</f>
        <v>0</v>
      </c>
      <c r="N169" s="189">
        <f>IFERROR(__xludf.DUMMYFUNCTION("""COMPUTED_VALUE"""),0.0)</f>
        <v>0</v>
      </c>
      <c r="O169" s="189">
        <f>IFERROR(__xludf.DUMMYFUNCTION("""COMPUTED_VALUE"""),6.0)</f>
        <v>6</v>
      </c>
      <c r="P169" s="189">
        <f>IFERROR(__xludf.DUMMYFUNCTION("""COMPUTED_VALUE"""),3.0)</f>
        <v>3</v>
      </c>
      <c r="Q169" s="189">
        <f>IFERROR(__xludf.DUMMYFUNCTION("""COMPUTED_VALUE"""),7.0)</f>
        <v>7</v>
      </c>
      <c r="R169" s="189">
        <f>IFERROR(__xludf.DUMMYFUNCTION("""COMPUTED_VALUE"""),5.0)</f>
        <v>5</v>
      </c>
      <c r="S169" s="189">
        <f>IFERROR(__xludf.DUMMYFUNCTION("""COMPUTED_VALUE"""),1.0)</f>
        <v>1</v>
      </c>
      <c r="T169" s="189">
        <f>IFERROR(__xludf.DUMMYFUNCTION("""COMPUTED_VALUE"""),1.0)</f>
        <v>1</v>
      </c>
      <c r="U169" s="189">
        <f>IFERROR(__xludf.DUMMYFUNCTION("""COMPUTED_VALUE"""),5.0)</f>
        <v>5</v>
      </c>
      <c r="V169" s="189">
        <f>IFERROR(__xludf.DUMMYFUNCTION("""COMPUTED_VALUE"""),7.0)</f>
        <v>7</v>
      </c>
      <c r="W169" s="189">
        <f>IFERROR(__xludf.DUMMYFUNCTION("""COMPUTED_VALUE"""),3.0)</f>
        <v>3</v>
      </c>
      <c r="X169" s="189">
        <f>IFERROR(__xludf.DUMMYFUNCTION("""COMPUTED_VALUE"""),6.0)</f>
        <v>6</v>
      </c>
      <c r="Y169" s="189" t="str">
        <f>IFERROR(__xludf.DUMMYFUNCTION("""COMPUTED_VALUE"""),"2025-07-05T00:00:00.000Z")</f>
        <v>2025-07-05T00:00:00.000Z</v>
      </c>
      <c r="Z169" s="189" t="str">
        <f>IFERROR(__xludf.DUMMYFUNCTION("""COMPUTED_VALUE"""),"Eintracht Frankfurt_Sunset")</f>
        <v>Eintracht Frankfurt_Sunset</v>
      </c>
    </row>
    <row r="170">
      <c r="A170" s="189">
        <f>IFERROR(__xludf.DUMMYFUNCTION("""COMPUTED_VALUE"""),206635.0)</f>
        <v>206635</v>
      </c>
      <c r="B170" s="189">
        <f>IFERROR(__xludf.DUMMYFUNCTION("""COMPUTED_VALUE"""),91112.0)</f>
        <v>91112</v>
      </c>
      <c r="C170" s="189" t="str">
        <f>IFERROR(__xludf.DUMMYFUNCTION("""COMPUTED_VALUE"""),"A1 eSports Cup #8")</f>
        <v>A1 eSports Cup #8</v>
      </c>
      <c r="D170" s="189" t="str">
        <f>IFERROR(__xludf.DUMMYFUNCTION("""COMPUTED_VALUE"""),"Ascent")</f>
        <v>Ascent</v>
      </c>
      <c r="E170" s="189" t="str">
        <f>IFERROR(__xludf.DUMMYFUNCTION("""COMPUTED_VALUE"""),"Eintracht Frankfurt")</f>
        <v>Eintracht Frankfurt</v>
      </c>
      <c r="F170" s="189" t="str">
        <f>IFERROR(__xludf.DUMMYFUNCTION("""COMPUTED_VALUE"""),"MOUZ")</f>
        <v>MOUZ</v>
      </c>
      <c r="G170" s="189" t="str">
        <f>IFERROR(__xludf.DUMMYFUNCTION("""COMPUTED_VALUE"""),"Cypher,Sova,Omen,Jett,KAY/O")</f>
        <v>Cypher,Sova,Omen,Jett,KAY/O</v>
      </c>
      <c r="H170" s="189" t="str">
        <f>IFERROR(__xludf.DUMMYFUNCTION("""COMPUTED_VALUE"""),"Sova,Phoenix,Omen,Yoru,Vyse")</f>
        <v>Sova,Phoenix,Omen,Yoru,Vyse</v>
      </c>
      <c r="I170" s="189">
        <f>IFERROR(__xludf.DUMMYFUNCTION("""COMPUTED_VALUE"""),13.0)</f>
        <v>13</v>
      </c>
      <c r="J170" s="189">
        <f>IFERROR(__xludf.DUMMYFUNCTION("""COMPUTED_VALUE"""),8.0)</f>
        <v>8</v>
      </c>
      <c r="K170" s="189">
        <f>IFERROR(__xludf.DUMMYFUNCTION("""COMPUTED_VALUE"""),7.0)</f>
        <v>7</v>
      </c>
      <c r="L170" s="189">
        <f>IFERROR(__xludf.DUMMYFUNCTION("""COMPUTED_VALUE"""),5.0)</f>
        <v>5</v>
      </c>
      <c r="M170" s="189">
        <f>IFERROR(__xludf.DUMMYFUNCTION("""COMPUTED_VALUE"""),0.0)</f>
        <v>0</v>
      </c>
      <c r="N170" s="189">
        <f>IFERROR(__xludf.DUMMYFUNCTION("""COMPUTED_VALUE"""),1.0)</f>
        <v>1</v>
      </c>
      <c r="O170" s="189">
        <f>IFERROR(__xludf.DUMMYFUNCTION("""COMPUTED_VALUE"""),7.0)</f>
        <v>7</v>
      </c>
      <c r="P170" s="189">
        <f>IFERROR(__xludf.DUMMYFUNCTION("""COMPUTED_VALUE"""),5.0)</f>
        <v>5</v>
      </c>
      <c r="Q170" s="189">
        <f>IFERROR(__xludf.DUMMYFUNCTION("""COMPUTED_VALUE"""),6.0)</f>
        <v>6</v>
      </c>
      <c r="R170" s="189">
        <f>IFERROR(__xludf.DUMMYFUNCTION("""COMPUTED_VALUE"""),3.0)</f>
        <v>3</v>
      </c>
      <c r="S170" s="189">
        <f>IFERROR(__xludf.DUMMYFUNCTION("""COMPUTED_VALUE"""),0.0)</f>
        <v>0</v>
      </c>
      <c r="T170" s="189">
        <f>IFERROR(__xludf.DUMMYFUNCTION("""COMPUTED_VALUE"""),1.0)</f>
        <v>1</v>
      </c>
      <c r="U170" s="189">
        <f>IFERROR(__xludf.DUMMYFUNCTION("""COMPUTED_VALUE"""),3.0)</f>
        <v>3</v>
      </c>
      <c r="V170" s="189">
        <f>IFERROR(__xludf.DUMMYFUNCTION("""COMPUTED_VALUE"""),6.0)</f>
        <v>6</v>
      </c>
      <c r="W170" s="189">
        <f>IFERROR(__xludf.DUMMYFUNCTION("""COMPUTED_VALUE"""),5.0)</f>
        <v>5</v>
      </c>
      <c r="X170" s="189">
        <f>IFERROR(__xludf.DUMMYFUNCTION("""COMPUTED_VALUE"""),7.0)</f>
        <v>7</v>
      </c>
      <c r="Y170" s="189" t="str">
        <f>IFERROR(__xludf.DUMMYFUNCTION("""COMPUTED_VALUE"""),"2025-07-05T00:00:00.000Z")</f>
        <v>2025-07-05T00:00:00.000Z</v>
      </c>
      <c r="Z170" s="189" t="str">
        <f>IFERROR(__xludf.DUMMYFUNCTION("""COMPUTED_VALUE"""),"Eintracht Frankfurt_Ascent")</f>
        <v>Eintracht Frankfurt_Ascent</v>
      </c>
    </row>
    <row r="171">
      <c r="A171" s="189">
        <f>IFERROR(__xludf.DUMMYFUNCTION("""COMPUTED_VALUE"""),209059.0)</f>
        <v>209059</v>
      </c>
      <c r="B171" s="189">
        <f>IFERROR(__xludf.DUMMYFUNCTION("""COMPUTED_VALUE"""),92009.0)</f>
        <v>92009</v>
      </c>
      <c r="C171" s="189" t="str">
        <f>IFERROR(__xludf.DUMMYFUNCTION("""COMPUTED_VALUE"""),"Challengers League 2025 NORTH EAST: Split 3 - Lower Swiss Phase")</f>
        <v>Challengers League 2025 NORTH EAST: Split 3 - Lower Swiss Phase</v>
      </c>
      <c r="D171" s="189" t="str">
        <f>IFERROR(__xludf.DUMMYFUNCTION("""COMPUTED_VALUE"""),"Lotus")</f>
        <v>Lotus</v>
      </c>
      <c r="E171" s="189" t="str">
        <f>IFERROR(__xludf.DUMMYFUNCTION("""COMPUTED_VALUE"""),"děti ulice")</f>
        <v>děti ulice</v>
      </c>
      <c r="F171" s="189" t="str">
        <f>IFERROR(__xludf.DUMMYFUNCTION("""COMPUTED_VALUE"""),"Extreme Gaming")</f>
        <v>Extreme Gaming</v>
      </c>
      <c r="G171" s="189" t="str">
        <f>IFERROR(__xludf.DUMMYFUNCTION("""COMPUTED_VALUE"""),"Sova,Viper,Omen,Yoru,Fade")</f>
        <v>Sova,Viper,Omen,Yoru,Fade</v>
      </c>
      <c r="H171" s="189" t="str">
        <f>IFERROR(__xludf.DUMMYFUNCTION("""COMPUTED_VALUE"""),"Raze,Killjoy,Viper,Omen,Fade")</f>
        <v>Raze,Killjoy,Viper,Omen,Fade</v>
      </c>
      <c r="I171" s="189">
        <f>IFERROR(__xludf.DUMMYFUNCTION("""COMPUTED_VALUE"""),13.0)</f>
        <v>13</v>
      </c>
      <c r="J171" s="189">
        <f>IFERROR(__xludf.DUMMYFUNCTION("""COMPUTED_VALUE"""),15.0)</f>
        <v>15</v>
      </c>
      <c r="K171" s="189">
        <f>IFERROR(__xludf.DUMMYFUNCTION("""COMPUTED_VALUE"""),10.0)</f>
        <v>10</v>
      </c>
      <c r="L171" s="189">
        <f>IFERROR(__xludf.DUMMYFUNCTION("""COMPUTED_VALUE"""),2.0)</f>
        <v>2</v>
      </c>
      <c r="M171" s="189">
        <f>IFERROR(__xludf.DUMMYFUNCTION("""COMPUTED_VALUE"""),1.0)</f>
        <v>1</v>
      </c>
      <c r="N171" s="189">
        <f>IFERROR(__xludf.DUMMYFUNCTION("""COMPUTED_VALUE"""),1.0)</f>
        <v>1</v>
      </c>
      <c r="O171" s="189">
        <f>IFERROR(__xludf.DUMMYFUNCTION("""COMPUTED_VALUE"""),11.0)</f>
        <v>11</v>
      </c>
      <c r="P171" s="189">
        <f>IFERROR(__xludf.DUMMYFUNCTION("""COMPUTED_VALUE"""),3.0)</f>
        <v>3</v>
      </c>
      <c r="Q171" s="189">
        <f>IFERROR(__xludf.DUMMYFUNCTION("""COMPUTED_VALUE"""),2.0)</f>
        <v>2</v>
      </c>
      <c r="R171" s="189">
        <f>IFERROR(__xludf.DUMMYFUNCTION("""COMPUTED_VALUE"""),12.0)</f>
        <v>12</v>
      </c>
      <c r="S171" s="189">
        <f>IFERROR(__xludf.DUMMYFUNCTION("""COMPUTED_VALUE"""),0.0)</f>
        <v>0</v>
      </c>
      <c r="T171" s="189">
        <f>IFERROR(__xludf.DUMMYFUNCTION("""COMPUTED_VALUE"""),0.0)</f>
        <v>0</v>
      </c>
      <c r="U171" s="189">
        <f>IFERROR(__xludf.DUMMYFUNCTION("""COMPUTED_VALUE"""),12.0)</f>
        <v>12</v>
      </c>
      <c r="V171" s="189">
        <f>IFERROR(__xludf.DUMMYFUNCTION("""COMPUTED_VALUE"""),2.0)</f>
        <v>2</v>
      </c>
      <c r="W171" s="189">
        <f>IFERROR(__xludf.DUMMYFUNCTION("""COMPUTED_VALUE"""),3.0)</f>
        <v>3</v>
      </c>
      <c r="X171" s="189">
        <f>IFERROR(__xludf.DUMMYFUNCTION("""COMPUTED_VALUE"""),11.0)</f>
        <v>11</v>
      </c>
      <c r="Y171" s="189" t="str">
        <f>IFERROR(__xludf.DUMMYFUNCTION("""COMPUTED_VALUE"""),"2025-07-05T00:00:00.000Z")</f>
        <v>2025-07-05T00:00:00.000Z</v>
      </c>
      <c r="Z171" s="189" t="str">
        <f>IFERROR(__xludf.DUMMYFUNCTION("""COMPUTED_VALUE"""),"děti ulice_Lotus")</f>
        <v>děti ulice_Lotus</v>
      </c>
    </row>
    <row r="172">
      <c r="A172" s="189">
        <f>IFERROR(__xludf.DUMMYFUNCTION("""COMPUTED_VALUE"""),209060.0)</f>
        <v>209060</v>
      </c>
      <c r="B172" s="189">
        <f>IFERROR(__xludf.DUMMYFUNCTION("""COMPUTED_VALUE"""),92010.0)</f>
        <v>92010</v>
      </c>
      <c r="C172" s="189" t="str">
        <f>IFERROR(__xludf.DUMMYFUNCTION("""COMPUTED_VALUE"""),"Challengers League 2025 NORTH EAST: Split 3 - Lower Swiss Phase")</f>
        <v>Challengers League 2025 NORTH EAST: Split 3 - Lower Swiss Phase</v>
      </c>
      <c r="D172" s="189" t="str">
        <f>IFERROR(__xludf.DUMMYFUNCTION("""COMPUTED_VALUE"""),"Lotus")</f>
        <v>Lotus</v>
      </c>
      <c r="E172" s="189" t="str">
        <f>IFERROR(__xludf.DUMMYFUNCTION("""COMPUTED_VALUE"""),"Team Liquid Academy")</f>
        <v>Team Liquid Academy</v>
      </c>
      <c r="F172" s="189" t="str">
        <f>IFERROR(__xludf.DUMMYFUNCTION("""COMPUTED_VALUE"""),"MANIA Esports")</f>
        <v>MANIA Esports</v>
      </c>
      <c r="G172" s="189" t="str">
        <f>IFERROR(__xludf.DUMMYFUNCTION("""COMPUTED_VALUE"""),"Raze,Viper,Omen,Fade,Vyse")</f>
        <v>Raze,Viper,Omen,Fade,Vyse</v>
      </c>
      <c r="H172" s="189" t="str">
        <f>IFERROR(__xludf.DUMMYFUNCTION("""COMPUTED_VALUE"""),"Raze,Killjoy,Viper,Omen,Fade")</f>
        <v>Raze,Killjoy,Viper,Omen,Fade</v>
      </c>
      <c r="I172" s="189">
        <f>IFERROR(__xludf.DUMMYFUNCTION("""COMPUTED_VALUE"""),13.0)</f>
        <v>13</v>
      </c>
      <c r="J172" s="189">
        <f>IFERROR(__xludf.DUMMYFUNCTION("""COMPUTED_VALUE"""),2.0)</f>
        <v>2</v>
      </c>
      <c r="K172" s="189">
        <f>IFERROR(__xludf.DUMMYFUNCTION("""COMPUTED_VALUE"""),10.0)</f>
        <v>10</v>
      </c>
      <c r="L172" s="189">
        <f>IFERROR(__xludf.DUMMYFUNCTION("""COMPUTED_VALUE"""),2.0)</f>
        <v>2</v>
      </c>
      <c r="M172" s="189">
        <f>IFERROR(__xludf.DUMMYFUNCTION("""COMPUTED_VALUE"""),1.0)</f>
        <v>1</v>
      </c>
      <c r="N172" s="189">
        <f>IFERROR(__xludf.DUMMYFUNCTION("""COMPUTED_VALUE"""),1.0)</f>
        <v>1</v>
      </c>
      <c r="O172" s="189">
        <f>IFERROR(__xludf.DUMMYFUNCTION("""COMPUTED_VALUE"""),10.0)</f>
        <v>10</v>
      </c>
      <c r="P172" s="189">
        <f>IFERROR(__xludf.DUMMYFUNCTION("""COMPUTED_VALUE"""),2.0)</f>
        <v>2</v>
      </c>
      <c r="Q172" s="189">
        <f>IFERROR(__xludf.DUMMYFUNCTION("""COMPUTED_VALUE"""),3.0)</f>
        <v>3</v>
      </c>
      <c r="R172" s="189">
        <f>IFERROR(__xludf.DUMMYFUNCTION("""COMPUTED_VALUE"""),0.0)</f>
        <v>0</v>
      </c>
      <c r="S172" s="189">
        <f>IFERROR(__xludf.DUMMYFUNCTION("""COMPUTED_VALUE"""),0.0)</f>
        <v>0</v>
      </c>
      <c r="T172" s="189">
        <f>IFERROR(__xludf.DUMMYFUNCTION("""COMPUTED_VALUE"""),0.0)</f>
        <v>0</v>
      </c>
      <c r="U172" s="189">
        <f>IFERROR(__xludf.DUMMYFUNCTION("""COMPUTED_VALUE"""),0.0)</f>
        <v>0</v>
      </c>
      <c r="V172" s="189">
        <f>IFERROR(__xludf.DUMMYFUNCTION("""COMPUTED_VALUE"""),3.0)</f>
        <v>3</v>
      </c>
      <c r="W172" s="189">
        <f>IFERROR(__xludf.DUMMYFUNCTION("""COMPUTED_VALUE"""),2.0)</f>
        <v>2</v>
      </c>
      <c r="X172" s="189">
        <f>IFERROR(__xludf.DUMMYFUNCTION("""COMPUTED_VALUE"""),10.0)</f>
        <v>10</v>
      </c>
      <c r="Y172" s="189" t="str">
        <f>IFERROR(__xludf.DUMMYFUNCTION("""COMPUTED_VALUE"""),"2025-07-05T00:00:00.000Z")</f>
        <v>2025-07-05T00:00:00.000Z</v>
      </c>
      <c r="Z172" s="189" t="str">
        <f>IFERROR(__xludf.DUMMYFUNCTION("""COMPUTED_VALUE"""),"Team Liquid Academy_Lotus")</f>
        <v>Team Liquid Academy_Lotus</v>
      </c>
    </row>
    <row r="173">
      <c r="A173" s="189">
        <f>IFERROR(__xludf.DUMMYFUNCTION("""COMPUTED_VALUE"""),208369.0)</f>
        <v>208369</v>
      </c>
      <c r="B173" s="189">
        <f>IFERROR(__xludf.DUMMYFUNCTION("""COMPUTED_VALUE"""),91771.0)</f>
        <v>91771</v>
      </c>
      <c r="C173" s="189" t="str">
        <f>IFERROR(__xludf.DUMMYFUNCTION("""COMPUTED_VALUE"""),"Challengers League 2025 Türkiye Birlik: Split 3 - Group Stage")</f>
        <v>Challengers League 2025 Türkiye Birlik: Split 3 - Group Stage</v>
      </c>
      <c r="D173" s="189" t="str">
        <f>IFERROR(__xludf.DUMMYFUNCTION("""COMPUTED_VALUE"""),"Haven")</f>
        <v>Haven</v>
      </c>
      <c r="E173" s="189" t="str">
        <f>IFERROR(__xludf.DUMMYFUNCTION("""COMPUTED_VALUE"""),"BBL PCIFIC")</f>
        <v>BBL PCIFIC</v>
      </c>
      <c r="F173" s="189" t="str">
        <f>IFERROR(__xludf.DUMMYFUNCTION("""COMPUTED_VALUE"""),"Papara SuperMassive")</f>
        <v>Papara SuperMassive</v>
      </c>
      <c r="G173" s="189" t="str">
        <f>IFERROR(__xludf.DUMMYFUNCTION("""COMPUTED_VALUE"""),"Breach,Cypher,Sova,Omen,Jett")</f>
        <v>Breach,Cypher,Sova,Omen,Jett</v>
      </c>
      <c r="H173" s="189" t="str">
        <f>IFERROR(__xludf.DUMMYFUNCTION("""COMPUTED_VALUE"""),"Breach,Cypher,Sova,Omen,Neon")</f>
        <v>Breach,Cypher,Sova,Omen,Neon</v>
      </c>
      <c r="I173" s="189">
        <f>IFERROR(__xludf.DUMMYFUNCTION("""COMPUTED_VALUE"""),10.0)</f>
        <v>10</v>
      </c>
      <c r="J173" s="189">
        <f>IFERROR(__xludf.DUMMYFUNCTION("""COMPUTED_VALUE"""),13.0)</f>
        <v>13</v>
      </c>
      <c r="K173" s="189">
        <f>IFERROR(__xludf.DUMMYFUNCTION("""COMPUTED_VALUE"""),8.0)</f>
        <v>8</v>
      </c>
      <c r="L173" s="189">
        <f>IFERROR(__xludf.DUMMYFUNCTION("""COMPUTED_VALUE"""),4.0)</f>
        <v>4</v>
      </c>
      <c r="M173" s="189">
        <f>IFERROR(__xludf.DUMMYFUNCTION("""COMPUTED_VALUE"""),0.0)</f>
        <v>0</v>
      </c>
      <c r="N173" s="189">
        <f>IFERROR(__xludf.DUMMYFUNCTION("""COMPUTED_VALUE"""),1.0)</f>
        <v>1</v>
      </c>
      <c r="O173" s="189">
        <f>IFERROR(__xludf.DUMMYFUNCTION("""COMPUTED_VALUE"""),2.0)</f>
        <v>2</v>
      </c>
      <c r="P173" s="189">
        <f>IFERROR(__xludf.DUMMYFUNCTION("""COMPUTED_VALUE"""),9.0)</f>
        <v>9</v>
      </c>
      <c r="Q173" s="189">
        <f>IFERROR(__xludf.DUMMYFUNCTION("""COMPUTED_VALUE"""),8.0)</f>
        <v>8</v>
      </c>
      <c r="R173" s="189">
        <f>IFERROR(__xludf.DUMMYFUNCTION("""COMPUTED_VALUE"""),4.0)</f>
        <v>4</v>
      </c>
      <c r="S173" s="189">
        <f>IFERROR(__xludf.DUMMYFUNCTION("""COMPUTED_VALUE"""),0.0)</f>
        <v>0</v>
      </c>
      <c r="T173" s="189">
        <f>IFERROR(__xludf.DUMMYFUNCTION("""COMPUTED_VALUE"""),1.0)</f>
        <v>1</v>
      </c>
      <c r="U173" s="189">
        <f>IFERROR(__xludf.DUMMYFUNCTION("""COMPUTED_VALUE"""),4.0)</f>
        <v>4</v>
      </c>
      <c r="V173" s="189">
        <f>IFERROR(__xludf.DUMMYFUNCTION("""COMPUTED_VALUE"""),8.0)</f>
        <v>8</v>
      </c>
      <c r="W173" s="189">
        <f>IFERROR(__xludf.DUMMYFUNCTION("""COMPUTED_VALUE"""),9.0)</f>
        <v>9</v>
      </c>
      <c r="X173" s="189">
        <f>IFERROR(__xludf.DUMMYFUNCTION("""COMPUTED_VALUE"""),2.0)</f>
        <v>2</v>
      </c>
      <c r="Y173" s="189" t="str">
        <f>IFERROR(__xludf.DUMMYFUNCTION("""COMPUTED_VALUE"""),"2025-07-05T00:00:00.000Z")</f>
        <v>2025-07-05T00:00:00.000Z</v>
      </c>
      <c r="Z173" s="189" t="str">
        <f>IFERROR(__xludf.DUMMYFUNCTION("""COMPUTED_VALUE"""),"BBL PCIFIC_Haven")</f>
        <v>BBL PCIFIC_Haven</v>
      </c>
    </row>
    <row r="174">
      <c r="A174" s="189">
        <f>IFERROR(__xludf.DUMMYFUNCTION("""COMPUTED_VALUE"""),208368.0)</f>
        <v>208368</v>
      </c>
      <c r="B174" s="189">
        <f>IFERROR(__xludf.DUMMYFUNCTION("""COMPUTED_VALUE"""),91771.0)</f>
        <v>91771</v>
      </c>
      <c r="C174" s="189" t="str">
        <f>IFERROR(__xludf.DUMMYFUNCTION("""COMPUTED_VALUE"""),"Challengers League 2025 Türkiye Birlik: Split 3 - Group Stage")</f>
        <v>Challengers League 2025 Türkiye Birlik: Split 3 - Group Stage</v>
      </c>
      <c r="D174" s="189" t="str">
        <f>IFERROR(__xludf.DUMMYFUNCTION("""COMPUTED_VALUE"""),"Lotus")</f>
        <v>Lotus</v>
      </c>
      <c r="E174" s="189" t="str">
        <f>IFERROR(__xludf.DUMMYFUNCTION("""COMPUTED_VALUE"""),"BBL PCIFIC")</f>
        <v>BBL PCIFIC</v>
      </c>
      <c r="F174" s="189" t="str">
        <f>IFERROR(__xludf.DUMMYFUNCTION("""COMPUTED_VALUE"""),"Papara SuperMassive")</f>
        <v>Papara SuperMassive</v>
      </c>
      <c r="G174" s="189" t="str">
        <f>IFERROR(__xludf.DUMMYFUNCTION("""COMPUTED_VALUE"""),"Breach,Cypher,Sova,Omen,Neon")</f>
        <v>Breach,Cypher,Sova,Omen,Neon</v>
      </c>
      <c r="H174" s="189" t="str">
        <f>IFERROR(__xludf.DUMMYFUNCTION("""COMPUTED_VALUE"""),"Raze,Viper,Omen,Fade,Vyse")</f>
        <v>Raze,Viper,Omen,Fade,Vyse</v>
      </c>
      <c r="I174" s="189">
        <f>IFERROR(__xludf.DUMMYFUNCTION("""COMPUTED_VALUE"""),1.0)</f>
        <v>1</v>
      </c>
      <c r="J174" s="189">
        <f>IFERROR(__xludf.DUMMYFUNCTION("""COMPUTED_VALUE"""),13.0)</f>
        <v>13</v>
      </c>
      <c r="K174" s="189">
        <f>IFERROR(__xludf.DUMMYFUNCTION("""COMPUTED_VALUE"""),1.0)</f>
        <v>1</v>
      </c>
      <c r="L174" s="189">
        <f>IFERROR(__xludf.DUMMYFUNCTION("""COMPUTED_VALUE"""),11.0)</f>
        <v>11</v>
      </c>
      <c r="M174" s="189">
        <f>IFERROR(__xludf.DUMMYFUNCTION("""COMPUTED_VALUE"""),0.0)</f>
        <v>0</v>
      </c>
      <c r="N174" s="189">
        <f>IFERROR(__xludf.DUMMYFUNCTION("""COMPUTED_VALUE"""),0.0)</f>
        <v>0</v>
      </c>
      <c r="O174" s="189">
        <f>IFERROR(__xludf.DUMMYFUNCTION("""COMPUTED_VALUE"""),0.0)</f>
        <v>0</v>
      </c>
      <c r="P174" s="189">
        <f>IFERROR(__xludf.DUMMYFUNCTION("""COMPUTED_VALUE"""),2.0)</f>
        <v>2</v>
      </c>
      <c r="Q174" s="189">
        <f>IFERROR(__xludf.DUMMYFUNCTION("""COMPUTED_VALUE"""),1.0)</f>
        <v>1</v>
      </c>
      <c r="R174" s="189">
        <f>IFERROR(__xludf.DUMMYFUNCTION("""COMPUTED_VALUE"""),11.0)</f>
        <v>11</v>
      </c>
      <c r="S174" s="189">
        <f>IFERROR(__xludf.DUMMYFUNCTION("""COMPUTED_VALUE"""),1.0)</f>
        <v>1</v>
      </c>
      <c r="T174" s="189">
        <f>IFERROR(__xludf.DUMMYFUNCTION("""COMPUTED_VALUE"""),1.0)</f>
        <v>1</v>
      </c>
      <c r="U174" s="189">
        <f>IFERROR(__xludf.DUMMYFUNCTION("""COMPUTED_VALUE"""),11.0)</f>
        <v>11</v>
      </c>
      <c r="V174" s="189">
        <f>IFERROR(__xludf.DUMMYFUNCTION("""COMPUTED_VALUE"""),1.0)</f>
        <v>1</v>
      </c>
      <c r="W174" s="189">
        <f>IFERROR(__xludf.DUMMYFUNCTION("""COMPUTED_VALUE"""),2.0)</f>
        <v>2</v>
      </c>
      <c r="X174" s="189">
        <f>IFERROR(__xludf.DUMMYFUNCTION("""COMPUTED_VALUE"""),0.0)</f>
        <v>0</v>
      </c>
      <c r="Y174" s="189" t="str">
        <f>IFERROR(__xludf.DUMMYFUNCTION("""COMPUTED_VALUE"""),"2025-07-05T00:00:00.000Z")</f>
        <v>2025-07-05T00:00:00.000Z</v>
      </c>
      <c r="Z174" s="189" t="str">
        <f>IFERROR(__xludf.DUMMYFUNCTION("""COMPUTED_VALUE"""),"BBL PCIFIC_Lotus")</f>
        <v>BBL PCIFIC_Lotus</v>
      </c>
    </row>
    <row r="175">
      <c r="A175" s="189">
        <f>IFERROR(__xludf.DUMMYFUNCTION("""COMPUTED_VALUE"""),208367.0)</f>
        <v>208367</v>
      </c>
      <c r="B175" s="189">
        <f>IFERROR(__xludf.DUMMYFUNCTION("""COMPUTED_VALUE"""),91771.0)</f>
        <v>91771</v>
      </c>
      <c r="C175" s="189" t="str">
        <f>IFERROR(__xludf.DUMMYFUNCTION("""COMPUTED_VALUE"""),"Challengers League 2025 Türkiye Birlik: Split 3 - Group Stage")</f>
        <v>Challengers League 2025 Türkiye Birlik: Split 3 - Group Stage</v>
      </c>
      <c r="D175" s="189" t="str">
        <f>IFERROR(__xludf.DUMMYFUNCTION("""COMPUTED_VALUE"""),"Pearl")</f>
        <v>Pearl</v>
      </c>
      <c r="E175" s="189" t="str">
        <f>IFERROR(__xludf.DUMMYFUNCTION("""COMPUTED_VALUE"""),"BBL PCIFIC")</f>
        <v>BBL PCIFIC</v>
      </c>
      <c r="F175" s="189" t="str">
        <f>IFERROR(__xludf.DUMMYFUNCTION("""COMPUTED_VALUE"""),"Papara SuperMassive")</f>
        <v>Papara SuperMassive</v>
      </c>
      <c r="G175" s="189" t="str">
        <f>IFERROR(__xludf.DUMMYFUNCTION("""COMPUTED_VALUE"""),"Cypher,Sova,Yoru,Astra,Neon")</f>
        <v>Cypher,Sova,Yoru,Astra,Neon</v>
      </c>
      <c r="H175" s="189" t="str">
        <f>IFERROR(__xludf.DUMMYFUNCTION("""COMPUTED_VALUE"""),"Raze,Yoru,Astra,Fade,Vyse")</f>
        <v>Raze,Yoru,Astra,Fade,Vyse</v>
      </c>
      <c r="I175" s="189">
        <f>IFERROR(__xludf.DUMMYFUNCTION("""COMPUTED_VALUE"""),13.0)</f>
        <v>13</v>
      </c>
      <c r="J175" s="189">
        <f>IFERROR(__xludf.DUMMYFUNCTION("""COMPUTED_VALUE"""),6.0)</f>
        <v>6</v>
      </c>
      <c r="K175" s="189">
        <f>IFERROR(__xludf.DUMMYFUNCTION("""COMPUTED_VALUE"""),10.0)</f>
        <v>10</v>
      </c>
      <c r="L175" s="189">
        <f>IFERROR(__xludf.DUMMYFUNCTION("""COMPUTED_VALUE"""),2.0)</f>
        <v>2</v>
      </c>
      <c r="M175" s="189">
        <f>IFERROR(__xludf.DUMMYFUNCTION("""COMPUTED_VALUE"""),0.0)</f>
        <v>0</v>
      </c>
      <c r="N175" s="189">
        <f>IFERROR(__xludf.DUMMYFUNCTION("""COMPUTED_VALUE"""),1.0)</f>
        <v>1</v>
      </c>
      <c r="O175" s="189">
        <f>IFERROR(__xludf.DUMMYFUNCTION("""COMPUTED_VALUE"""),3.0)</f>
        <v>3</v>
      </c>
      <c r="P175" s="189">
        <f>IFERROR(__xludf.DUMMYFUNCTION("""COMPUTED_VALUE"""),4.0)</f>
        <v>4</v>
      </c>
      <c r="Q175" s="189">
        <f>IFERROR(__xludf.DUMMYFUNCTION("""COMPUTED_VALUE"""),10.0)</f>
        <v>10</v>
      </c>
      <c r="R175" s="189">
        <f>IFERROR(__xludf.DUMMYFUNCTION("""COMPUTED_VALUE"""),2.0)</f>
        <v>2</v>
      </c>
      <c r="S175" s="189">
        <f>IFERROR(__xludf.DUMMYFUNCTION("""COMPUTED_VALUE"""),0.0)</f>
        <v>0</v>
      </c>
      <c r="T175" s="189">
        <f>IFERROR(__xludf.DUMMYFUNCTION("""COMPUTED_VALUE"""),1.0)</f>
        <v>1</v>
      </c>
      <c r="U175" s="189">
        <f>IFERROR(__xludf.DUMMYFUNCTION("""COMPUTED_VALUE"""),2.0)</f>
        <v>2</v>
      </c>
      <c r="V175" s="189">
        <f>IFERROR(__xludf.DUMMYFUNCTION("""COMPUTED_VALUE"""),10.0)</f>
        <v>10</v>
      </c>
      <c r="W175" s="189">
        <f>IFERROR(__xludf.DUMMYFUNCTION("""COMPUTED_VALUE"""),4.0)</f>
        <v>4</v>
      </c>
      <c r="X175" s="189">
        <f>IFERROR(__xludf.DUMMYFUNCTION("""COMPUTED_VALUE"""),3.0)</f>
        <v>3</v>
      </c>
      <c r="Y175" s="189" t="str">
        <f>IFERROR(__xludf.DUMMYFUNCTION("""COMPUTED_VALUE"""),"2025-07-05T00:00:00.000Z")</f>
        <v>2025-07-05T00:00:00.000Z</v>
      </c>
      <c r="Z175" s="189" t="str">
        <f>IFERROR(__xludf.DUMMYFUNCTION("""COMPUTED_VALUE"""),"BBL PCIFIC_Pearl")</f>
        <v>BBL PCIFIC_Pearl</v>
      </c>
    </row>
    <row r="176">
      <c r="A176" s="189">
        <f>IFERROR(__xludf.DUMMYFUNCTION("""COMPUTED_VALUE"""),209044.0)</f>
        <v>209044</v>
      </c>
      <c r="B176" s="189">
        <f>IFERROR(__xludf.DUMMYFUNCTION("""COMPUTED_VALUE"""),92000.0)</f>
        <v>92000</v>
      </c>
      <c r="C176" s="189" t="str">
        <f>IFERROR(__xludf.DUMMYFUNCTION("""COMPUTED_VALUE"""),"Challengers League 2025 NORTH EAST: Split 3 - Lower Swiss Phase")</f>
        <v>Challengers League 2025 NORTH EAST: Split 3 - Lower Swiss Phase</v>
      </c>
      <c r="D176" s="189" t="str">
        <f>IFERROR(__xludf.DUMMYFUNCTION("""COMPUTED_VALUE"""),"Lotus")</f>
        <v>Lotus</v>
      </c>
      <c r="E176" s="189" t="str">
        <f>IFERROR(__xludf.DUMMYFUNCTION("""COMPUTED_VALUE"""),"Team Liquid Academy")</f>
        <v>Team Liquid Academy</v>
      </c>
      <c r="F176" s="189" t="str">
        <f>IFERROR(__xludf.DUMMYFUNCTION("""COMPUTED_VALUE"""),"FULL BOX 200")</f>
        <v>FULL BOX 200</v>
      </c>
      <c r="G176" s="189" t="str">
        <f>IFERROR(__xludf.DUMMYFUNCTION("""COMPUTED_VALUE"""),"Raze,Viper,Omen,Fade,Vyse")</f>
        <v>Raze,Viper,Omen,Fade,Vyse</v>
      </c>
      <c r="H176" s="189" t="str">
        <f>IFERROR(__xludf.DUMMYFUNCTION("""COMPUTED_VALUE"""),"Breach,Killjoy,Omen,Neon,Fade")</f>
        <v>Breach,Killjoy,Omen,Neon,Fade</v>
      </c>
      <c r="I176" s="189">
        <f>IFERROR(__xludf.DUMMYFUNCTION("""COMPUTED_VALUE"""),16.0)</f>
        <v>16</v>
      </c>
      <c r="J176" s="189">
        <f>IFERROR(__xludf.DUMMYFUNCTION("""COMPUTED_VALUE"""),14.0)</f>
        <v>14</v>
      </c>
      <c r="K176" s="189">
        <f>IFERROR(__xludf.DUMMYFUNCTION("""COMPUTED_VALUE"""),3.0)</f>
        <v>3</v>
      </c>
      <c r="L176" s="189">
        <f>IFERROR(__xludf.DUMMYFUNCTION("""COMPUTED_VALUE"""),9.0)</f>
        <v>9</v>
      </c>
      <c r="M176" s="189">
        <f>IFERROR(__xludf.DUMMYFUNCTION("""COMPUTED_VALUE"""),1.0)</f>
        <v>1</v>
      </c>
      <c r="N176" s="189">
        <f>IFERROR(__xludf.DUMMYFUNCTION("""COMPUTED_VALUE"""),0.0)</f>
        <v>0</v>
      </c>
      <c r="O176" s="189">
        <f>IFERROR(__xludf.DUMMYFUNCTION("""COMPUTED_VALUE"""),11.0)</f>
        <v>11</v>
      </c>
      <c r="P176" s="189">
        <f>IFERROR(__xludf.DUMMYFUNCTION("""COMPUTED_VALUE"""),4.0)</f>
        <v>4</v>
      </c>
      <c r="Q176" s="189">
        <f>IFERROR(__xludf.DUMMYFUNCTION("""COMPUTED_VALUE"""),5.0)</f>
        <v>5</v>
      </c>
      <c r="R176" s="189">
        <f>IFERROR(__xludf.DUMMYFUNCTION("""COMPUTED_VALUE"""),10.0)</f>
        <v>10</v>
      </c>
      <c r="S176" s="189">
        <f>IFERROR(__xludf.DUMMYFUNCTION("""COMPUTED_VALUE"""),1.0)</f>
        <v>1</v>
      </c>
      <c r="T176" s="189">
        <f>IFERROR(__xludf.DUMMYFUNCTION("""COMPUTED_VALUE"""),0.0)</f>
        <v>0</v>
      </c>
      <c r="U176" s="189">
        <f>IFERROR(__xludf.DUMMYFUNCTION("""COMPUTED_VALUE"""),10.0)</f>
        <v>10</v>
      </c>
      <c r="V176" s="189">
        <f>IFERROR(__xludf.DUMMYFUNCTION("""COMPUTED_VALUE"""),5.0)</f>
        <v>5</v>
      </c>
      <c r="W176" s="189">
        <f>IFERROR(__xludf.DUMMYFUNCTION("""COMPUTED_VALUE"""),4.0)</f>
        <v>4</v>
      </c>
      <c r="X176" s="189">
        <f>IFERROR(__xludf.DUMMYFUNCTION("""COMPUTED_VALUE"""),11.0)</f>
        <v>11</v>
      </c>
      <c r="Y176" s="189" t="str">
        <f>IFERROR(__xludf.DUMMYFUNCTION("""COMPUTED_VALUE"""),"2025-07-05T00:00:00.000Z")</f>
        <v>2025-07-05T00:00:00.000Z</v>
      </c>
      <c r="Z176" s="189" t="str">
        <f>IFERROR(__xludf.DUMMYFUNCTION("""COMPUTED_VALUE"""),"Team Liquid Academy_Lotus")</f>
        <v>Team Liquid Academy_Lotus</v>
      </c>
    </row>
    <row r="177">
      <c r="A177" s="189">
        <f>IFERROR(__xludf.DUMMYFUNCTION("""COMPUTED_VALUE"""),209041.0)</f>
        <v>209041</v>
      </c>
      <c r="B177" s="189">
        <f>IFERROR(__xludf.DUMMYFUNCTION("""COMPUTED_VALUE"""),91999.0)</f>
        <v>91999</v>
      </c>
      <c r="C177" s="189" t="str">
        <f>IFERROR(__xludf.DUMMYFUNCTION("""COMPUTED_VALUE"""),"Challengers League 2025 NORTH EAST: Split 3 - Lower Swiss Phase")</f>
        <v>Challengers League 2025 NORTH EAST: Split 3 - Lower Swiss Phase</v>
      </c>
      <c r="D177" s="189" t="str">
        <f>IFERROR(__xludf.DUMMYFUNCTION("""COMPUTED_VALUE"""),"Haven")</f>
        <v>Haven</v>
      </c>
      <c r="E177" s="189" t="str">
        <f>IFERROR(__xludf.DUMMYFUNCTION("""COMPUTED_VALUE"""),"děti ulice")</f>
        <v>děti ulice</v>
      </c>
      <c r="F177" s="189" t="str">
        <f>IFERROR(__xludf.DUMMYFUNCTION("""COMPUTED_VALUE"""),"CTRL Esports")</f>
        <v>CTRL Esports</v>
      </c>
      <c r="G177" s="189" t="str">
        <f>IFERROR(__xludf.DUMMYFUNCTION("""COMPUTED_VALUE"""),"Breach,Cypher,Sova,Omen,Jett")</f>
        <v>Breach,Cypher,Sova,Omen,Jett</v>
      </c>
      <c r="H177" s="189" t="str">
        <f>IFERROR(__xludf.DUMMYFUNCTION("""COMPUTED_VALUE"""),"Breach,Cypher,Sova,Omen,Neon")</f>
        <v>Breach,Cypher,Sova,Omen,Neon</v>
      </c>
      <c r="I177" s="189">
        <f>IFERROR(__xludf.DUMMYFUNCTION("""COMPUTED_VALUE"""),13.0)</f>
        <v>13</v>
      </c>
      <c r="J177" s="189">
        <f>IFERROR(__xludf.DUMMYFUNCTION("""COMPUTED_VALUE"""),3.0)</f>
        <v>3</v>
      </c>
      <c r="K177" s="189">
        <f>IFERROR(__xludf.DUMMYFUNCTION("""COMPUTED_VALUE"""),9.0)</f>
        <v>9</v>
      </c>
      <c r="L177" s="189">
        <f>IFERROR(__xludf.DUMMYFUNCTION("""COMPUTED_VALUE"""),3.0)</f>
        <v>3</v>
      </c>
      <c r="M177" s="189">
        <f>IFERROR(__xludf.DUMMYFUNCTION("""COMPUTED_VALUE"""),1.0)</f>
        <v>1</v>
      </c>
      <c r="N177" s="189">
        <f>IFERROR(__xludf.DUMMYFUNCTION("""COMPUTED_VALUE"""),1.0)</f>
        <v>1</v>
      </c>
      <c r="O177" s="189">
        <f>IFERROR(__xludf.DUMMYFUNCTION("""COMPUTED_VALUE"""),9.0)</f>
        <v>9</v>
      </c>
      <c r="P177" s="189">
        <f>IFERROR(__xludf.DUMMYFUNCTION("""COMPUTED_VALUE"""),3.0)</f>
        <v>3</v>
      </c>
      <c r="Q177" s="189">
        <f>IFERROR(__xludf.DUMMYFUNCTION("""COMPUTED_VALUE"""),4.0)</f>
        <v>4</v>
      </c>
      <c r="R177" s="189">
        <f>IFERROR(__xludf.DUMMYFUNCTION("""COMPUTED_VALUE"""),0.0)</f>
        <v>0</v>
      </c>
      <c r="S177" s="189">
        <f>IFERROR(__xludf.DUMMYFUNCTION("""COMPUTED_VALUE"""),0.0)</f>
        <v>0</v>
      </c>
      <c r="T177" s="189">
        <f>IFERROR(__xludf.DUMMYFUNCTION("""COMPUTED_VALUE"""),0.0)</f>
        <v>0</v>
      </c>
      <c r="U177" s="189">
        <f>IFERROR(__xludf.DUMMYFUNCTION("""COMPUTED_VALUE"""),0.0)</f>
        <v>0</v>
      </c>
      <c r="V177" s="189">
        <f>IFERROR(__xludf.DUMMYFUNCTION("""COMPUTED_VALUE"""),4.0)</f>
        <v>4</v>
      </c>
      <c r="W177" s="189">
        <f>IFERROR(__xludf.DUMMYFUNCTION("""COMPUTED_VALUE"""),3.0)</f>
        <v>3</v>
      </c>
      <c r="X177" s="189">
        <f>IFERROR(__xludf.DUMMYFUNCTION("""COMPUTED_VALUE"""),9.0)</f>
        <v>9</v>
      </c>
      <c r="Y177" s="189" t="str">
        <f>IFERROR(__xludf.DUMMYFUNCTION("""COMPUTED_VALUE"""),"2025-07-05T00:00:00.000Z")</f>
        <v>2025-07-05T00:00:00.000Z</v>
      </c>
      <c r="Z177" s="189" t="str">
        <f>IFERROR(__xludf.DUMMYFUNCTION("""COMPUTED_VALUE"""),"děti ulice_Haven")</f>
        <v>děti ulice_Haven</v>
      </c>
    </row>
    <row r="178">
      <c r="A178" s="189">
        <f>IFERROR(__xludf.DUMMYFUNCTION("""COMPUTED_VALUE"""),207551.0)</f>
        <v>207551</v>
      </c>
      <c r="B178" s="189">
        <f>IFERROR(__xludf.DUMMYFUNCTION("""COMPUTED_VALUE"""),91444.0)</f>
        <v>91444</v>
      </c>
      <c r="C178" s="189" t="str">
        <f>IFERROR(__xludf.DUMMYFUNCTION("""COMPUTED_VALUE"""),"Challengers League 2025 Spain Rising: Split 3 - Group Stage")</f>
        <v>Challengers League 2025 Spain Rising: Split 3 - Group Stage</v>
      </c>
      <c r="D178" s="189" t="str">
        <f>IFERROR(__xludf.DUMMYFUNCTION("""COMPUTED_VALUE"""),"Lotus")</f>
        <v>Lotus</v>
      </c>
      <c r="E178" s="189" t="str">
        <f>IFERROR(__xludf.DUMMYFUNCTION("""COMPUTED_VALUE"""),"DNSTY")</f>
        <v>DNSTY</v>
      </c>
      <c r="F178" s="189" t="str">
        <f>IFERROR(__xludf.DUMMYFUNCTION("""COMPUTED_VALUE"""),"FALKE ESPORTS")</f>
        <v>FALKE ESPORTS</v>
      </c>
      <c r="G178" s="189" t="str">
        <f>IFERROR(__xludf.DUMMYFUNCTION("""COMPUTED_VALUE"""),"Raze,Killjoy,Viper,Omen,Fade")</f>
        <v>Raze,Killjoy,Viper,Omen,Fade</v>
      </c>
      <c r="H178" s="189" t="str">
        <f>IFERROR(__xludf.DUMMYFUNCTION("""COMPUTED_VALUE"""),"Breach,Cypher,Sova,Omen,Yoru")</f>
        <v>Breach,Cypher,Sova,Omen,Yoru</v>
      </c>
      <c r="I178" s="189">
        <f>IFERROR(__xludf.DUMMYFUNCTION("""COMPUTED_VALUE"""),13.0)</f>
        <v>13</v>
      </c>
      <c r="J178" s="189">
        <f>IFERROR(__xludf.DUMMYFUNCTION("""COMPUTED_VALUE"""),8.0)</f>
        <v>8</v>
      </c>
      <c r="K178" s="189">
        <f>IFERROR(__xludf.DUMMYFUNCTION("""COMPUTED_VALUE"""),9.0)</f>
        <v>9</v>
      </c>
      <c r="L178" s="189">
        <f>IFERROR(__xludf.DUMMYFUNCTION("""COMPUTED_VALUE"""),3.0)</f>
        <v>3</v>
      </c>
      <c r="M178" s="189">
        <f>IFERROR(__xludf.DUMMYFUNCTION("""COMPUTED_VALUE"""),0.0)</f>
        <v>0</v>
      </c>
      <c r="N178" s="189">
        <f>IFERROR(__xludf.DUMMYFUNCTION("""COMPUTED_VALUE"""),1.0)</f>
        <v>1</v>
      </c>
      <c r="O178" s="189">
        <f>IFERROR(__xludf.DUMMYFUNCTION("""COMPUTED_VALUE"""),9.0)</f>
        <v>9</v>
      </c>
      <c r="P178" s="189">
        <f>IFERROR(__xludf.DUMMYFUNCTION("""COMPUTED_VALUE"""),3.0)</f>
        <v>3</v>
      </c>
      <c r="Q178" s="189">
        <f>IFERROR(__xludf.DUMMYFUNCTION("""COMPUTED_VALUE"""),4.0)</f>
        <v>4</v>
      </c>
      <c r="R178" s="189">
        <f>IFERROR(__xludf.DUMMYFUNCTION("""COMPUTED_VALUE"""),5.0)</f>
        <v>5</v>
      </c>
      <c r="S178" s="189">
        <f>IFERROR(__xludf.DUMMYFUNCTION("""COMPUTED_VALUE"""),0.0)</f>
        <v>0</v>
      </c>
      <c r="T178" s="189">
        <f>IFERROR(__xludf.DUMMYFUNCTION("""COMPUTED_VALUE"""),1.0)</f>
        <v>1</v>
      </c>
      <c r="U178" s="189">
        <f>IFERROR(__xludf.DUMMYFUNCTION("""COMPUTED_VALUE"""),5.0)</f>
        <v>5</v>
      </c>
      <c r="V178" s="189">
        <f>IFERROR(__xludf.DUMMYFUNCTION("""COMPUTED_VALUE"""),4.0)</f>
        <v>4</v>
      </c>
      <c r="W178" s="189">
        <f>IFERROR(__xludf.DUMMYFUNCTION("""COMPUTED_VALUE"""),3.0)</f>
        <v>3</v>
      </c>
      <c r="X178" s="189">
        <f>IFERROR(__xludf.DUMMYFUNCTION("""COMPUTED_VALUE"""),9.0)</f>
        <v>9</v>
      </c>
      <c r="Y178" s="189" t="str">
        <f>IFERROR(__xludf.DUMMYFUNCTION("""COMPUTED_VALUE"""),"2025-07-01T00:00:00.000Z")</f>
        <v>2025-07-01T00:00:00.000Z</v>
      </c>
      <c r="Z178" s="189" t="str">
        <f>IFERROR(__xludf.DUMMYFUNCTION("""COMPUTED_VALUE"""),"DNSTY_Lotus")</f>
        <v>DNSTY_Lotus</v>
      </c>
    </row>
    <row r="179">
      <c r="A179" s="189">
        <f>IFERROR(__xludf.DUMMYFUNCTION("""COMPUTED_VALUE"""),207550.0)</f>
        <v>207550</v>
      </c>
      <c r="B179" s="189">
        <f>IFERROR(__xludf.DUMMYFUNCTION("""COMPUTED_VALUE"""),91444.0)</f>
        <v>91444</v>
      </c>
      <c r="C179" s="189" t="str">
        <f>IFERROR(__xludf.DUMMYFUNCTION("""COMPUTED_VALUE"""),"Challengers League 2025 Spain Rising: Split 3 - Group Stage")</f>
        <v>Challengers League 2025 Spain Rising: Split 3 - Group Stage</v>
      </c>
      <c r="D179" s="189" t="str">
        <f>IFERROR(__xludf.DUMMYFUNCTION("""COMPUTED_VALUE"""),"Icebox")</f>
        <v>Icebox</v>
      </c>
      <c r="E179" s="189" t="str">
        <f>IFERROR(__xludf.DUMMYFUNCTION("""COMPUTED_VALUE"""),"DNSTY")</f>
        <v>DNSTY</v>
      </c>
      <c r="F179" s="189" t="str">
        <f>IFERROR(__xludf.DUMMYFUNCTION("""COMPUTED_VALUE"""),"FALKE ESPORTS")</f>
        <v>FALKE ESPORTS</v>
      </c>
      <c r="G179" s="189" t="str">
        <f>IFERROR(__xludf.DUMMYFUNCTION("""COMPUTED_VALUE"""),"Sova,Killjoy,Viper,Jett,Harbor")</f>
        <v>Sova,Killjoy,Viper,Jett,Harbor</v>
      </c>
      <c r="H179" s="189" t="str">
        <f>IFERROR(__xludf.DUMMYFUNCTION("""COMPUTED_VALUE"""),"Sova,Killjoy,Viper,Sage,Omen")</f>
        <v>Sova,Killjoy,Viper,Sage,Omen</v>
      </c>
      <c r="I179" s="189">
        <f>IFERROR(__xludf.DUMMYFUNCTION("""COMPUTED_VALUE"""),4.0)</f>
        <v>4</v>
      </c>
      <c r="J179" s="189">
        <f>IFERROR(__xludf.DUMMYFUNCTION("""COMPUTED_VALUE"""),13.0)</f>
        <v>13</v>
      </c>
      <c r="K179" s="189">
        <f>IFERROR(__xludf.DUMMYFUNCTION("""COMPUTED_VALUE"""),4.0)</f>
        <v>4</v>
      </c>
      <c r="L179" s="189">
        <f>IFERROR(__xludf.DUMMYFUNCTION("""COMPUTED_VALUE"""),8.0)</f>
        <v>8</v>
      </c>
      <c r="M179" s="189">
        <f>IFERROR(__xludf.DUMMYFUNCTION("""COMPUTED_VALUE"""),1.0)</f>
        <v>1</v>
      </c>
      <c r="N179" s="189">
        <f>IFERROR(__xludf.DUMMYFUNCTION("""COMPUTED_VALUE"""),0.0)</f>
        <v>0</v>
      </c>
      <c r="O179" s="189">
        <f>IFERROR(__xludf.DUMMYFUNCTION("""COMPUTED_VALUE"""),4.0)</f>
        <v>4</v>
      </c>
      <c r="P179" s="189">
        <f>IFERROR(__xludf.DUMMYFUNCTION("""COMPUTED_VALUE"""),8.0)</f>
        <v>8</v>
      </c>
      <c r="Q179" s="189">
        <f>IFERROR(__xludf.DUMMYFUNCTION("""COMPUTED_VALUE"""),0.0)</f>
        <v>0</v>
      </c>
      <c r="R179" s="189">
        <f>IFERROR(__xludf.DUMMYFUNCTION("""COMPUTED_VALUE"""),5.0)</f>
        <v>5</v>
      </c>
      <c r="S179" s="189">
        <f>IFERROR(__xludf.DUMMYFUNCTION("""COMPUTED_VALUE"""),1.0)</f>
        <v>1</v>
      </c>
      <c r="T179" s="189">
        <f>IFERROR(__xludf.DUMMYFUNCTION("""COMPUTED_VALUE"""),0.0)</f>
        <v>0</v>
      </c>
      <c r="U179" s="189">
        <f>IFERROR(__xludf.DUMMYFUNCTION("""COMPUTED_VALUE"""),5.0)</f>
        <v>5</v>
      </c>
      <c r="V179" s="189">
        <f>IFERROR(__xludf.DUMMYFUNCTION("""COMPUTED_VALUE"""),0.0)</f>
        <v>0</v>
      </c>
      <c r="W179" s="189">
        <f>IFERROR(__xludf.DUMMYFUNCTION("""COMPUTED_VALUE"""),8.0)</f>
        <v>8</v>
      </c>
      <c r="X179" s="189">
        <f>IFERROR(__xludf.DUMMYFUNCTION("""COMPUTED_VALUE"""),4.0)</f>
        <v>4</v>
      </c>
      <c r="Y179" s="189" t="str">
        <f>IFERROR(__xludf.DUMMYFUNCTION("""COMPUTED_VALUE"""),"2025-07-01T00:00:00.000Z")</f>
        <v>2025-07-01T00:00:00.000Z</v>
      </c>
      <c r="Z179" s="189" t="str">
        <f>IFERROR(__xludf.DUMMYFUNCTION("""COMPUTED_VALUE"""),"DNSTY_Icebox")</f>
        <v>DNSTY_Icebox</v>
      </c>
    </row>
    <row r="180">
      <c r="A180" s="189">
        <f>IFERROR(__xludf.DUMMYFUNCTION("""COMPUTED_VALUE"""),207549.0)</f>
        <v>207549</v>
      </c>
      <c r="B180" s="189">
        <f>IFERROR(__xludf.DUMMYFUNCTION("""COMPUTED_VALUE"""),91444.0)</f>
        <v>91444</v>
      </c>
      <c r="C180" s="189" t="str">
        <f>IFERROR(__xludf.DUMMYFUNCTION("""COMPUTED_VALUE"""),"Challengers League 2025 Spain Rising: Split 3 - Group Stage")</f>
        <v>Challengers League 2025 Spain Rising: Split 3 - Group Stage</v>
      </c>
      <c r="D180" s="189" t="str">
        <f>IFERROR(__xludf.DUMMYFUNCTION("""COMPUTED_VALUE"""),"Sunset")</f>
        <v>Sunset</v>
      </c>
      <c r="E180" s="189" t="str">
        <f>IFERROR(__xludf.DUMMYFUNCTION("""COMPUTED_VALUE"""),"DNSTY")</f>
        <v>DNSTY</v>
      </c>
      <c r="F180" s="189" t="str">
        <f>IFERROR(__xludf.DUMMYFUNCTION("""COMPUTED_VALUE"""),"FALKE ESPORTS")</f>
        <v>FALKE ESPORTS</v>
      </c>
      <c r="G180" s="189" t="str">
        <f>IFERROR(__xludf.DUMMYFUNCTION("""COMPUTED_VALUE"""),"Sova,Viper,Omen,Neon,Deadlock")</f>
        <v>Sova,Viper,Omen,Neon,Deadlock</v>
      </c>
      <c r="H180" s="189" t="str">
        <f>IFERROR(__xludf.DUMMYFUNCTION("""COMPUTED_VALUE"""),"Sova,Viper,Omen,Yoru,Chamber")</f>
        <v>Sova,Viper,Omen,Yoru,Chamber</v>
      </c>
      <c r="I180" s="189">
        <f>IFERROR(__xludf.DUMMYFUNCTION("""COMPUTED_VALUE"""),13.0)</f>
        <v>13</v>
      </c>
      <c r="J180" s="189">
        <f>IFERROR(__xludf.DUMMYFUNCTION("""COMPUTED_VALUE"""),4.0)</f>
        <v>4</v>
      </c>
      <c r="K180" s="189">
        <f>IFERROR(__xludf.DUMMYFUNCTION("""COMPUTED_VALUE"""),10.0)</f>
        <v>10</v>
      </c>
      <c r="L180" s="189">
        <f>IFERROR(__xludf.DUMMYFUNCTION("""COMPUTED_VALUE"""),2.0)</f>
        <v>2</v>
      </c>
      <c r="M180" s="189">
        <f>IFERROR(__xludf.DUMMYFUNCTION("""COMPUTED_VALUE"""),1.0)</f>
        <v>1</v>
      </c>
      <c r="N180" s="189">
        <f>IFERROR(__xludf.DUMMYFUNCTION("""COMPUTED_VALUE"""),1.0)</f>
        <v>1</v>
      </c>
      <c r="O180" s="189">
        <f>IFERROR(__xludf.DUMMYFUNCTION("""COMPUTED_VALUE"""),3.0)</f>
        <v>3</v>
      </c>
      <c r="P180" s="189">
        <f>IFERROR(__xludf.DUMMYFUNCTION("""COMPUTED_VALUE"""),2.0)</f>
        <v>2</v>
      </c>
      <c r="Q180" s="189">
        <f>IFERROR(__xludf.DUMMYFUNCTION("""COMPUTED_VALUE"""),10.0)</f>
        <v>10</v>
      </c>
      <c r="R180" s="189">
        <f>IFERROR(__xludf.DUMMYFUNCTION("""COMPUTED_VALUE"""),2.0)</f>
        <v>2</v>
      </c>
      <c r="S180" s="189">
        <f>IFERROR(__xludf.DUMMYFUNCTION("""COMPUTED_VALUE"""),0.0)</f>
        <v>0</v>
      </c>
      <c r="T180" s="189">
        <f>IFERROR(__xludf.DUMMYFUNCTION("""COMPUTED_VALUE"""),0.0)</f>
        <v>0</v>
      </c>
      <c r="U180" s="189">
        <f>IFERROR(__xludf.DUMMYFUNCTION("""COMPUTED_VALUE"""),2.0)</f>
        <v>2</v>
      </c>
      <c r="V180" s="189">
        <f>IFERROR(__xludf.DUMMYFUNCTION("""COMPUTED_VALUE"""),10.0)</f>
        <v>10</v>
      </c>
      <c r="W180" s="189">
        <f>IFERROR(__xludf.DUMMYFUNCTION("""COMPUTED_VALUE"""),2.0)</f>
        <v>2</v>
      </c>
      <c r="X180" s="189">
        <f>IFERROR(__xludf.DUMMYFUNCTION("""COMPUTED_VALUE"""),3.0)</f>
        <v>3</v>
      </c>
      <c r="Y180" s="189" t="str">
        <f>IFERROR(__xludf.DUMMYFUNCTION("""COMPUTED_VALUE"""),"2025-07-01T00:00:00.000Z")</f>
        <v>2025-07-01T00:00:00.000Z</v>
      </c>
      <c r="Z180" s="189" t="str">
        <f>IFERROR(__xludf.DUMMYFUNCTION("""COMPUTED_VALUE"""),"DNSTY_Sunset")</f>
        <v>DNSTY_Sunset</v>
      </c>
    </row>
    <row r="181">
      <c r="A181" s="189">
        <f>IFERROR(__xludf.DUMMYFUNCTION("""COMPUTED_VALUE"""),207517.0)</f>
        <v>207517</v>
      </c>
      <c r="B181" s="189">
        <f>IFERROR(__xludf.DUMMYFUNCTION("""COMPUTED_VALUE"""),91433.0)</f>
        <v>91433</v>
      </c>
      <c r="C181" s="189" t="str">
        <f>IFERROR(__xludf.DUMMYFUNCTION("""COMPUTED_VALUE"""),"Challengers League 2025 Spain Rising: Split 3 - Group Stage")</f>
        <v>Challengers League 2025 Spain Rising: Split 3 - Group Stage</v>
      </c>
      <c r="D181" s="189" t="str">
        <f>IFERROR(__xludf.DUMMYFUNCTION("""COMPUTED_VALUE"""),"Lotus")</f>
        <v>Lotus</v>
      </c>
      <c r="E181" s="189" t="str">
        <f>IFERROR(__xludf.DUMMYFUNCTION("""COMPUTED_VALUE"""),"KOI Fénix")</f>
        <v>KOI Fénix</v>
      </c>
      <c r="F181" s="189" t="str">
        <f>IFERROR(__xludf.DUMMYFUNCTION("""COMPUTED_VALUE"""),"Ramboot Club")</f>
        <v>Ramboot Club</v>
      </c>
      <c r="G181" s="189" t="str">
        <f>IFERROR(__xludf.DUMMYFUNCTION("""COMPUTED_VALUE"""),"Breach,Sova,Killjoy,Omen,Neon")</f>
        <v>Breach,Sova,Killjoy,Omen,Neon</v>
      </c>
      <c r="H181" s="189" t="str">
        <f>IFERROR(__xludf.DUMMYFUNCTION("""COMPUTED_VALUE"""),"Viper,Omen,Chamber,Neon,Fade")</f>
        <v>Viper,Omen,Chamber,Neon,Fade</v>
      </c>
      <c r="I181" s="189">
        <f>IFERROR(__xludf.DUMMYFUNCTION("""COMPUTED_VALUE"""),13.0)</f>
        <v>13</v>
      </c>
      <c r="J181" s="189">
        <f>IFERROR(__xludf.DUMMYFUNCTION("""COMPUTED_VALUE"""),6.0)</f>
        <v>6</v>
      </c>
      <c r="K181" s="189">
        <f>IFERROR(__xludf.DUMMYFUNCTION("""COMPUTED_VALUE"""),7.0)</f>
        <v>7</v>
      </c>
      <c r="L181" s="189">
        <f>IFERROR(__xludf.DUMMYFUNCTION("""COMPUTED_VALUE"""),5.0)</f>
        <v>5</v>
      </c>
      <c r="M181" s="189">
        <f>IFERROR(__xludf.DUMMYFUNCTION("""COMPUTED_VALUE"""),0.0)</f>
        <v>0</v>
      </c>
      <c r="N181" s="189">
        <f>IFERROR(__xludf.DUMMYFUNCTION("""COMPUTED_VALUE"""),1.0)</f>
        <v>1</v>
      </c>
      <c r="O181" s="189">
        <f>IFERROR(__xludf.DUMMYFUNCTION("""COMPUTED_VALUE"""),6.0)</f>
        <v>6</v>
      </c>
      <c r="P181" s="189">
        <f>IFERROR(__xludf.DUMMYFUNCTION("""COMPUTED_VALUE"""),1.0)</f>
        <v>1</v>
      </c>
      <c r="Q181" s="189">
        <f>IFERROR(__xludf.DUMMYFUNCTION("""COMPUTED_VALUE"""),7.0)</f>
        <v>7</v>
      </c>
      <c r="R181" s="189">
        <f>IFERROR(__xludf.DUMMYFUNCTION("""COMPUTED_VALUE"""),5.0)</f>
        <v>5</v>
      </c>
      <c r="S181" s="189">
        <f>IFERROR(__xludf.DUMMYFUNCTION("""COMPUTED_VALUE"""),0.0)</f>
        <v>0</v>
      </c>
      <c r="T181" s="189">
        <f>IFERROR(__xludf.DUMMYFUNCTION("""COMPUTED_VALUE"""),1.0)</f>
        <v>1</v>
      </c>
      <c r="U181" s="189">
        <f>IFERROR(__xludf.DUMMYFUNCTION("""COMPUTED_VALUE"""),5.0)</f>
        <v>5</v>
      </c>
      <c r="V181" s="189">
        <f>IFERROR(__xludf.DUMMYFUNCTION("""COMPUTED_VALUE"""),7.0)</f>
        <v>7</v>
      </c>
      <c r="W181" s="189">
        <f>IFERROR(__xludf.DUMMYFUNCTION("""COMPUTED_VALUE"""),1.0)</f>
        <v>1</v>
      </c>
      <c r="X181" s="189">
        <f>IFERROR(__xludf.DUMMYFUNCTION("""COMPUTED_VALUE"""),6.0)</f>
        <v>6</v>
      </c>
      <c r="Y181" s="189" t="str">
        <f>IFERROR(__xludf.DUMMYFUNCTION("""COMPUTED_VALUE"""),"2025-06-30T00:00:00.000Z")</f>
        <v>2025-06-30T00:00:00.000Z</v>
      </c>
      <c r="Z181" s="189" t="str">
        <f>IFERROR(__xludf.DUMMYFUNCTION("""COMPUTED_VALUE"""),"KOI Fénix_Lotus")</f>
        <v>KOI Fénix_Lotus</v>
      </c>
    </row>
    <row r="182">
      <c r="A182" s="189">
        <f>IFERROR(__xludf.DUMMYFUNCTION("""COMPUTED_VALUE"""),207516.0)</f>
        <v>207516</v>
      </c>
      <c r="B182" s="189">
        <f>IFERROR(__xludf.DUMMYFUNCTION("""COMPUTED_VALUE"""),91433.0)</f>
        <v>91433</v>
      </c>
      <c r="C182" s="189" t="str">
        <f>IFERROR(__xludf.DUMMYFUNCTION("""COMPUTED_VALUE"""),"Challengers League 2025 Spain Rising: Split 3 - Group Stage")</f>
        <v>Challengers League 2025 Spain Rising: Split 3 - Group Stage</v>
      </c>
      <c r="D182" s="189" t="str">
        <f>IFERROR(__xludf.DUMMYFUNCTION("""COMPUTED_VALUE"""),"Split")</f>
        <v>Split</v>
      </c>
      <c r="E182" s="189" t="str">
        <f>IFERROR(__xludf.DUMMYFUNCTION("""COMPUTED_VALUE"""),"KOI Fénix")</f>
        <v>KOI Fénix</v>
      </c>
      <c r="F182" s="189" t="str">
        <f>IFERROR(__xludf.DUMMYFUNCTION("""COMPUTED_VALUE"""),"Ramboot Club")</f>
        <v>Ramboot Club</v>
      </c>
      <c r="G182" s="189" t="str">
        <f>IFERROR(__xludf.DUMMYFUNCTION("""COMPUTED_VALUE"""),"Breach,Raze,Sage,Omen,Jett")</f>
        <v>Breach,Raze,Sage,Omen,Jett</v>
      </c>
      <c r="H182" s="189" t="str">
        <f>IFERROR(__xludf.DUMMYFUNCTION("""COMPUTED_VALUE"""),"Raze,Viper,Omen,Yoru,Fade")</f>
        <v>Raze,Viper,Omen,Yoru,Fade</v>
      </c>
      <c r="I182" s="189">
        <f>IFERROR(__xludf.DUMMYFUNCTION("""COMPUTED_VALUE"""),13.0)</f>
        <v>13</v>
      </c>
      <c r="J182" s="189">
        <f>IFERROR(__xludf.DUMMYFUNCTION("""COMPUTED_VALUE"""),7.0)</f>
        <v>7</v>
      </c>
      <c r="K182" s="189">
        <f>IFERROR(__xludf.DUMMYFUNCTION("""COMPUTED_VALUE"""),6.0)</f>
        <v>6</v>
      </c>
      <c r="L182" s="189">
        <f>IFERROR(__xludf.DUMMYFUNCTION("""COMPUTED_VALUE"""),6.0)</f>
        <v>6</v>
      </c>
      <c r="M182" s="189">
        <f>IFERROR(__xludf.DUMMYFUNCTION("""COMPUTED_VALUE"""),1.0)</f>
        <v>1</v>
      </c>
      <c r="N182" s="189">
        <f>IFERROR(__xludf.DUMMYFUNCTION("""COMPUTED_VALUE"""),1.0)</f>
        <v>1</v>
      </c>
      <c r="O182" s="189">
        <f>IFERROR(__xludf.DUMMYFUNCTION("""COMPUTED_VALUE"""),7.0)</f>
        <v>7</v>
      </c>
      <c r="P182" s="189">
        <f>IFERROR(__xludf.DUMMYFUNCTION("""COMPUTED_VALUE"""),1.0)</f>
        <v>1</v>
      </c>
      <c r="Q182" s="189">
        <f>IFERROR(__xludf.DUMMYFUNCTION("""COMPUTED_VALUE"""),6.0)</f>
        <v>6</v>
      </c>
      <c r="R182" s="189">
        <f>IFERROR(__xludf.DUMMYFUNCTION("""COMPUTED_VALUE"""),6.0)</f>
        <v>6</v>
      </c>
      <c r="S182" s="189">
        <f>IFERROR(__xludf.DUMMYFUNCTION("""COMPUTED_VALUE"""),0.0)</f>
        <v>0</v>
      </c>
      <c r="T182" s="189">
        <f>IFERROR(__xludf.DUMMYFUNCTION("""COMPUTED_VALUE"""),0.0)</f>
        <v>0</v>
      </c>
      <c r="U182" s="189">
        <f>IFERROR(__xludf.DUMMYFUNCTION("""COMPUTED_VALUE"""),6.0)</f>
        <v>6</v>
      </c>
      <c r="V182" s="189">
        <f>IFERROR(__xludf.DUMMYFUNCTION("""COMPUTED_VALUE"""),6.0)</f>
        <v>6</v>
      </c>
      <c r="W182" s="189">
        <f>IFERROR(__xludf.DUMMYFUNCTION("""COMPUTED_VALUE"""),1.0)</f>
        <v>1</v>
      </c>
      <c r="X182" s="189">
        <f>IFERROR(__xludf.DUMMYFUNCTION("""COMPUTED_VALUE"""),7.0)</f>
        <v>7</v>
      </c>
      <c r="Y182" s="189" t="str">
        <f>IFERROR(__xludf.DUMMYFUNCTION("""COMPUTED_VALUE"""),"2025-06-30T00:00:00.000Z")</f>
        <v>2025-06-30T00:00:00.000Z</v>
      </c>
      <c r="Z182" s="189" t="str">
        <f>IFERROR(__xludf.DUMMYFUNCTION("""COMPUTED_VALUE"""),"KOI Fénix_Split")</f>
        <v>KOI Fénix_Split</v>
      </c>
    </row>
    <row r="183">
      <c r="A183" s="189">
        <f>IFERROR(__xludf.DUMMYFUNCTION("""COMPUTED_VALUE"""),208062.0)</f>
        <v>208062</v>
      </c>
      <c r="B183" s="189">
        <f>IFERROR(__xludf.DUMMYFUNCTION("""COMPUTED_VALUE"""),91668.0)</f>
        <v>91668</v>
      </c>
      <c r="C183" s="189" t="str">
        <f>IFERROR(__xludf.DUMMYFUNCTION("""COMPUTED_VALUE"""),"Challengers League 2025 NORTH EAST: Split 3 - East Qualifier")</f>
        <v>Challengers League 2025 NORTH EAST: Split 3 - East Qualifier</v>
      </c>
      <c r="D183" s="189" t="str">
        <f>IFERROR(__xludf.DUMMYFUNCTION("""COMPUTED_VALUE"""),"Lotus")</f>
        <v>Lotus</v>
      </c>
      <c r="E183" s="189" t="str">
        <f>IFERROR(__xludf.DUMMYFUNCTION("""COMPUTED_VALUE"""),"Boars Gaming")</f>
        <v>Boars Gaming</v>
      </c>
      <c r="F183" s="189" t="str">
        <f>IFERROR(__xludf.DUMMYFUNCTION("""COMPUTED_VALUE"""),"Easties")</f>
        <v>Easties</v>
      </c>
      <c r="G183" s="189" t="str">
        <f>IFERROR(__xludf.DUMMYFUNCTION("""COMPUTED_VALUE"""),"Breach,Cypher,Omen,Neon,Fade")</f>
        <v>Breach,Cypher,Omen,Neon,Fade</v>
      </c>
      <c r="H183" s="189" t="str">
        <f>IFERROR(__xludf.DUMMYFUNCTION("""COMPUTED_VALUE"""),"Omen,Chamber,Neon,Fade,Clove")</f>
        <v>Omen,Chamber,Neon,Fade,Clove</v>
      </c>
      <c r="I183" s="189">
        <f>IFERROR(__xludf.DUMMYFUNCTION("""COMPUTED_VALUE"""),13.0)</f>
        <v>13</v>
      </c>
      <c r="J183" s="189">
        <f>IFERROR(__xludf.DUMMYFUNCTION("""COMPUTED_VALUE"""),11.0)</f>
        <v>11</v>
      </c>
      <c r="K183" s="189">
        <f>IFERROR(__xludf.DUMMYFUNCTION("""COMPUTED_VALUE"""),7.0)</f>
        <v>7</v>
      </c>
      <c r="L183" s="189">
        <f>IFERROR(__xludf.DUMMYFUNCTION("""COMPUTED_VALUE"""),5.0)</f>
        <v>5</v>
      </c>
      <c r="M183" s="189">
        <f>IFERROR(__xludf.DUMMYFUNCTION("""COMPUTED_VALUE"""),0.0)</f>
        <v>0</v>
      </c>
      <c r="N183" s="189">
        <f>IFERROR(__xludf.DUMMYFUNCTION("""COMPUTED_VALUE"""),1.0)</f>
        <v>1</v>
      </c>
      <c r="O183" s="189">
        <f>IFERROR(__xludf.DUMMYFUNCTION("""COMPUTED_VALUE"""),7.0)</f>
        <v>7</v>
      </c>
      <c r="P183" s="189">
        <f>IFERROR(__xludf.DUMMYFUNCTION("""COMPUTED_VALUE"""),5.0)</f>
        <v>5</v>
      </c>
      <c r="Q183" s="189">
        <f>IFERROR(__xludf.DUMMYFUNCTION("""COMPUTED_VALUE"""),6.0)</f>
        <v>6</v>
      </c>
      <c r="R183" s="189">
        <f>IFERROR(__xludf.DUMMYFUNCTION("""COMPUTED_VALUE"""),6.0)</f>
        <v>6</v>
      </c>
      <c r="S183" s="189">
        <f>IFERROR(__xludf.DUMMYFUNCTION("""COMPUTED_VALUE"""),0.0)</f>
        <v>0</v>
      </c>
      <c r="T183" s="189">
        <f>IFERROR(__xludf.DUMMYFUNCTION("""COMPUTED_VALUE"""),1.0)</f>
        <v>1</v>
      </c>
      <c r="U183" s="189">
        <f>IFERROR(__xludf.DUMMYFUNCTION("""COMPUTED_VALUE"""),6.0)</f>
        <v>6</v>
      </c>
      <c r="V183" s="189">
        <f>IFERROR(__xludf.DUMMYFUNCTION("""COMPUTED_VALUE"""),6.0)</f>
        <v>6</v>
      </c>
      <c r="W183" s="189">
        <f>IFERROR(__xludf.DUMMYFUNCTION("""COMPUTED_VALUE"""),5.0)</f>
        <v>5</v>
      </c>
      <c r="X183" s="189">
        <f>IFERROR(__xludf.DUMMYFUNCTION("""COMPUTED_VALUE"""),7.0)</f>
        <v>7</v>
      </c>
      <c r="Y183" s="189" t="str">
        <f>IFERROR(__xludf.DUMMYFUNCTION("""COMPUTED_VALUE"""),"2025-06-29T00:00:00.000Z")</f>
        <v>2025-06-29T00:00:00.000Z</v>
      </c>
      <c r="Z183" s="189" t="str">
        <f>IFERROR(__xludf.DUMMYFUNCTION("""COMPUTED_VALUE"""),"Boars Gaming_Lotus")</f>
        <v>Boars Gaming_Lotus</v>
      </c>
    </row>
    <row r="184">
      <c r="A184" s="189">
        <f>IFERROR(__xludf.DUMMYFUNCTION("""COMPUTED_VALUE"""),207510.0)</f>
        <v>207510</v>
      </c>
      <c r="B184" s="189">
        <f>IFERROR(__xludf.DUMMYFUNCTION("""COMPUTED_VALUE"""),91431.0)</f>
        <v>91431</v>
      </c>
      <c r="C184" s="189" t="str">
        <f>IFERROR(__xludf.DUMMYFUNCTION("""COMPUTED_VALUE"""),"Challengers League 2025 DACH: Evolution Stage 3 - Group Stage")</f>
        <v>Challengers League 2025 DACH: Evolution Stage 3 - Group Stage</v>
      </c>
      <c r="D184" s="189" t="str">
        <f>IFERROR(__xludf.DUMMYFUNCTION("""COMPUTED_VALUE"""),"Icebox")</f>
        <v>Icebox</v>
      </c>
      <c r="E184" s="189" t="str">
        <f>IFERROR(__xludf.DUMMYFUNCTION("""COMPUTED_VALUE"""),"Eintracht Frankfurt")</f>
        <v>Eintracht Frankfurt</v>
      </c>
      <c r="F184" s="189" t="str">
        <f>IFERROR(__xludf.DUMMYFUNCTION("""COMPUTED_VALUE"""),"ALTERNATE aTTaX")</f>
        <v>ALTERNATE aTTaX</v>
      </c>
      <c r="G184" s="189" t="str">
        <f>IFERROR(__xludf.DUMMYFUNCTION("""COMPUTED_VALUE"""),"Sova,Killjoy,Viper,Sage,Jett")</f>
        <v>Sova,Killjoy,Viper,Sage,Jett</v>
      </c>
      <c r="H184" s="189" t="str">
        <f>IFERROR(__xludf.DUMMYFUNCTION("""COMPUTED_VALUE"""),"Sova,Killjoy,Viper,Reyna,Jett")</f>
        <v>Sova,Killjoy,Viper,Reyna,Jett</v>
      </c>
      <c r="I184" s="189">
        <f>IFERROR(__xludf.DUMMYFUNCTION("""COMPUTED_VALUE"""),17.0)</f>
        <v>17</v>
      </c>
      <c r="J184" s="189">
        <f>IFERROR(__xludf.DUMMYFUNCTION("""COMPUTED_VALUE"""),15.0)</f>
        <v>15</v>
      </c>
      <c r="K184" s="189">
        <f>IFERROR(__xludf.DUMMYFUNCTION("""COMPUTED_VALUE"""),7.0)</f>
        <v>7</v>
      </c>
      <c r="L184" s="189">
        <f>IFERROR(__xludf.DUMMYFUNCTION("""COMPUTED_VALUE"""),5.0)</f>
        <v>5</v>
      </c>
      <c r="M184" s="189">
        <f>IFERROR(__xludf.DUMMYFUNCTION("""COMPUTED_VALUE"""),0.0)</f>
        <v>0</v>
      </c>
      <c r="N184" s="189">
        <f>IFERROR(__xludf.DUMMYFUNCTION("""COMPUTED_VALUE"""),1.0)</f>
        <v>1</v>
      </c>
      <c r="O184" s="189">
        <f>IFERROR(__xludf.DUMMYFUNCTION("""COMPUTED_VALUE"""),9.0)</f>
        <v>9</v>
      </c>
      <c r="P184" s="189">
        <f>IFERROR(__xludf.DUMMYFUNCTION("""COMPUTED_VALUE"""),7.0)</f>
        <v>7</v>
      </c>
      <c r="Q184" s="189">
        <f>IFERROR(__xludf.DUMMYFUNCTION("""COMPUTED_VALUE"""),8.0)</f>
        <v>8</v>
      </c>
      <c r="R184" s="189">
        <f>IFERROR(__xludf.DUMMYFUNCTION("""COMPUTED_VALUE"""),8.0)</f>
        <v>8</v>
      </c>
      <c r="S184" s="189">
        <f>IFERROR(__xludf.DUMMYFUNCTION("""COMPUTED_VALUE"""),0.0)</f>
        <v>0</v>
      </c>
      <c r="T184" s="189">
        <f>IFERROR(__xludf.DUMMYFUNCTION("""COMPUTED_VALUE"""),1.0)</f>
        <v>1</v>
      </c>
      <c r="U184" s="189">
        <f>IFERROR(__xludf.DUMMYFUNCTION("""COMPUTED_VALUE"""),8.0)</f>
        <v>8</v>
      </c>
      <c r="V184" s="189">
        <f>IFERROR(__xludf.DUMMYFUNCTION("""COMPUTED_VALUE"""),8.0)</f>
        <v>8</v>
      </c>
      <c r="W184" s="189">
        <f>IFERROR(__xludf.DUMMYFUNCTION("""COMPUTED_VALUE"""),7.0)</f>
        <v>7</v>
      </c>
      <c r="X184" s="189">
        <f>IFERROR(__xludf.DUMMYFUNCTION("""COMPUTED_VALUE"""),9.0)</f>
        <v>9</v>
      </c>
      <c r="Y184" s="189" t="str">
        <f>IFERROR(__xludf.DUMMYFUNCTION("""COMPUTED_VALUE"""),"2025-06-28T00:00:00.000Z")</f>
        <v>2025-06-28T00:00:00.000Z</v>
      </c>
      <c r="Z184" s="189" t="str">
        <f>IFERROR(__xludf.DUMMYFUNCTION("""COMPUTED_VALUE"""),"Eintracht Frankfurt_Icebox")</f>
        <v>Eintracht Frankfurt_Icebox</v>
      </c>
    </row>
    <row r="185">
      <c r="A185" s="189">
        <f>IFERROR(__xludf.DUMMYFUNCTION("""COMPUTED_VALUE"""),207509.0)</f>
        <v>207509</v>
      </c>
      <c r="B185" s="189">
        <f>IFERROR(__xludf.DUMMYFUNCTION("""COMPUTED_VALUE"""),91431.0)</f>
        <v>91431</v>
      </c>
      <c r="C185" s="189" t="str">
        <f>IFERROR(__xludf.DUMMYFUNCTION("""COMPUTED_VALUE"""),"Challengers League 2025 DACH: Evolution Stage 3 - Group Stage")</f>
        <v>Challengers League 2025 DACH: Evolution Stage 3 - Group Stage</v>
      </c>
      <c r="D185" s="189" t="str">
        <f>IFERROR(__xludf.DUMMYFUNCTION("""COMPUTED_VALUE"""),"Haven")</f>
        <v>Haven</v>
      </c>
      <c r="E185" s="189" t="str">
        <f>IFERROR(__xludf.DUMMYFUNCTION("""COMPUTED_VALUE"""),"Eintracht Frankfurt")</f>
        <v>Eintracht Frankfurt</v>
      </c>
      <c r="F185" s="189" t="str">
        <f>IFERROR(__xludf.DUMMYFUNCTION("""COMPUTED_VALUE"""),"ALTERNATE aTTaX")</f>
        <v>ALTERNATE aTTaX</v>
      </c>
      <c r="G185" s="189" t="str">
        <f>IFERROR(__xludf.DUMMYFUNCTION("""COMPUTED_VALUE"""),"Cypher,Sova,Omen,Yoru,Neon")</f>
        <v>Cypher,Sova,Omen,Yoru,Neon</v>
      </c>
      <c r="H185" s="189" t="str">
        <f>IFERROR(__xludf.DUMMYFUNCTION("""COMPUTED_VALUE"""),"Sova,Killjoy,Viper,Omen,Neon")</f>
        <v>Sova,Killjoy,Viper,Omen,Neon</v>
      </c>
      <c r="I185" s="189">
        <f>IFERROR(__xludf.DUMMYFUNCTION("""COMPUTED_VALUE"""),8.0)</f>
        <v>8</v>
      </c>
      <c r="J185" s="189">
        <f>IFERROR(__xludf.DUMMYFUNCTION("""COMPUTED_VALUE"""),13.0)</f>
        <v>13</v>
      </c>
      <c r="K185" s="189">
        <f>IFERROR(__xludf.DUMMYFUNCTION("""COMPUTED_VALUE"""),5.0)</f>
        <v>5</v>
      </c>
      <c r="L185" s="189">
        <f>IFERROR(__xludf.DUMMYFUNCTION("""COMPUTED_VALUE"""),7.0)</f>
        <v>7</v>
      </c>
      <c r="M185" s="189">
        <f>IFERROR(__xludf.DUMMYFUNCTION("""COMPUTED_VALUE"""),0.0)</f>
        <v>0</v>
      </c>
      <c r="N185" s="189">
        <f>IFERROR(__xludf.DUMMYFUNCTION("""COMPUTED_VALUE"""),0.0)</f>
        <v>0</v>
      </c>
      <c r="O185" s="189">
        <f>IFERROR(__xludf.DUMMYFUNCTION("""COMPUTED_VALUE"""),5.0)</f>
        <v>5</v>
      </c>
      <c r="P185" s="189">
        <f>IFERROR(__xludf.DUMMYFUNCTION("""COMPUTED_VALUE"""),7.0)</f>
        <v>7</v>
      </c>
      <c r="Q185" s="189">
        <f>IFERROR(__xludf.DUMMYFUNCTION("""COMPUTED_VALUE"""),3.0)</f>
        <v>3</v>
      </c>
      <c r="R185" s="189">
        <f>IFERROR(__xludf.DUMMYFUNCTION("""COMPUTED_VALUE"""),6.0)</f>
        <v>6</v>
      </c>
      <c r="S185" s="189">
        <f>IFERROR(__xludf.DUMMYFUNCTION("""COMPUTED_VALUE"""),1.0)</f>
        <v>1</v>
      </c>
      <c r="T185" s="189">
        <f>IFERROR(__xludf.DUMMYFUNCTION("""COMPUTED_VALUE"""),1.0)</f>
        <v>1</v>
      </c>
      <c r="U185" s="189">
        <f>IFERROR(__xludf.DUMMYFUNCTION("""COMPUTED_VALUE"""),6.0)</f>
        <v>6</v>
      </c>
      <c r="V185" s="189">
        <f>IFERROR(__xludf.DUMMYFUNCTION("""COMPUTED_VALUE"""),3.0)</f>
        <v>3</v>
      </c>
      <c r="W185" s="189">
        <f>IFERROR(__xludf.DUMMYFUNCTION("""COMPUTED_VALUE"""),7.0)</f>
        <v>7</v>
      </c>
      <c r="X185" s="189">
        <f>IFERROR(__xludf.DUMMYFUNCTION("""COMPUTED_VALUE"""),5.0)</f>
        <v>5</v>
      </c>
      <c r="Y185" s="189" t="str">
        <f>IFERROR(__xludf.DUMMYFUNCTION("""COMPUTED_VALUE"""),"2025-06-28T00:00:00.000Z")</f>
        <v>2025-06-28T00:00:00.000Z</v>
      </c>
      <c r="Z185" s="189" t="str">
        <f>IFERROR(__xludf.DUMMYFUNCTION("""COMPUTED_VALUE"""),"Eintracht Frankfurt_Haven")</f>
        <v>Eintracht Frankfurt_Haven</v>
      </c>
    </row>
    <row r="186">
      <c r="A186" s="189">
        <f>IFERROR(__xludf.DUMMYFUNCTION("""COMPUTED_VALUE"""),207508.0)</f>
        <v>207508</v>
      </c>
      <c r="B186" s="189">
        <f>IFERROR(__xludf.DUMMYFUNCTION("""COMPUTED_VALUE"""),91431.0)</f>
        <v>91431</v>
      </c>
      <c r="C186" s="189" t="str">
        <f>IFERROR(__xludf.DUMMYFUNCTION("""COMPUTED_VALUE"""),"Challengers League 2025 DACH: Evolution Stage 3 - Group Stage")</f>
        <v>Challengers League 2025 DACH: Evolution Stage 3 - Group Stage</v>
      </c>
      <c r="D186" s="189" t="str">
        <f>IFERROR(__xludf.DUMMYFUNCTION("""COMPUTED_VALUE"""),"Lotus")</f>
        <v>Lotus</v>
      </c>
      <c r="E186" s="189" t="str">
        <f>IFERROR(__xludf.DUMMYFUNCTION("""COMPUTED_VALUE"""),"Eintracht Frankfurt")</f>
        <v>Eintracht Frankfurt</v>
      </c>
      <c r="F186" s="189" t="str">
        <f>IFERROR(__xludf.DUMMYFUNCTION("""COMPUTED_VALUE"""),"ALTERNATE aTTaX")</f>
        <v>ALTERNATE aTTaX</v>
      </c>
      <c r="G186" s="189" t="str">
        <f>IFERROR(__xludf.DUMMYFUNCTION("""COMPUTED_VALUE"""),"Cypher,Viper,Omen,Yoru,Fade")</f>
        <v>Cypher,Viper,Omen,Yoru,Fade</v>
      </c>
      <c r="H186" s="189" t="str">
        <f>IFERROR(__xludf.DUMMYFUNCTION("""COMPUTED_VALUE"""),"Raze,Killjoy,Viper,Omen,Fade")</f>
        <v>Raze,Killjoy,Viper,Omen,Fade</v>
      </c>
      <c r="I186" s="189">
        <f>IFERROR(__xludf.DUMMYFUNCTION("""COMPUTED_VALUE"""),13.0)</f>
        <v>13</v>
      </c>
      <c r="J186" s="189">
        <f>IFERROR(__xludf.DUMMYFUNCTION("""COMPUTED_VALUE"""),7.0)</f>
        <v>7</v>
      </c>
      <c r="K186" s="189">
        <f>IFERROR(__xludf.DUMMYFUNCTION("""COMPUTED_VALUE"""),7.0)</f>
        <v>7</v>
      </c>
      <c r="L186" s="189">
        <f>IFERROR(__xludf.DUMMYFUNCTION("""COMPUTED_VALUE"""),5.0)</f>
        <v>5</v>
      </c>
      <c r="M186" s="189">
        <f>IFERROR(__xludf.DUMMYFUNCTION("""COMPUTED_VALUE"""),1.0)</f>
        <v>1</v>
      </c>
      <c r="N186" s="189">
        <f>IFERROR(__xludf.DUMMYFUNCTION("""COMPUTED_VALUE"""),0.0)</f>
        <v>0</v>
      </c>
      <c r="O186" s="189">
        <f>IFERROR(__xludf.DUMMYFUNCTION("""COMPUTED_VALUE"""),7.0)</f>
        <v>7</v>
      </c>
      <c r="P186" s="189">
        <f>IFERROR(__xludf.DUMMYFUNCTION("""COMPUTED_VALUE"""),5.0)</f>
        <v>5</v>
      </c>
      <c r="Q186" s="189">
        <f>IFERROR(__xludf.DUMMYFUNCTION("""COMPUTED_VALUE"""),6.0)</f>
        <v>6</v>
      </c>
      <c r="R186" s="189">
        <f>IFERROR(__xludf.DUMMYFUNCTION("""COMPUTED_VALUE"""),2.0)</f>
        <v>2</v>
      </c>
      <c r="S186" s="189">
        <f>IFERROR(__xludf.DUMMYFUNCTION("""COMPUTED_VALUE"""),1.0)</f>
        <v>1</v>
      </c>
      <c r="T186" s="189">
        <f>IFERROR(__xludf.DUMMYFUNCTION("""COMPUTED_VALUE"""),0.0)</f>
        <v>0</v>
      </c>
      <c r="U186" s="189">
        <f>IFERROR(__xludf.DUMMYFUNCTION("""COMPUTED_VALUE"""),2.0)</f>
        <v>2</v>
      </c>
      <c r="V186" s="189">
        <f>IFERROR(__xludf.DUMMYFUNCTION("""COMPUTED_VALUE"""),6.0)</f>
        <v>6</v>
      </c>
      <c r="W186" s="189">
        <f>IFERROR(__xludf.DUMMYFUNCTION("""COMPUTED_VALUE"""),5.0)</f>
        <v>5</v>
      </c>
      <c r="X186" s="189">
        <f>IFERROR(__xludf.DUMMYFUNCTION("""COMPUTED_VALUE"""),7.0)</f>
        <v>7</v>
      </c>
      <c r="Y186" s="189" t="str">
        <f>IFERROR(__xludf.DUMMYFUNCTION("""COMPUTED_VALUE"""),"2025-06-28T00:00:00.000Z")</f>
        <v>2025-06-28T00:00:00.000Z</v>
      </c>
      <c r="Z186" s="189" t="str">
        <f>IFERROR(__xludf.DUMMYFUNCTION("""COMPUTED_VALUE"""),"Eintracht Frankfurt_Lotus")</f>
        <v>Eintracht Frankfurt_Lotus</v>
      </c>
    </row>
    <row r="187">
      <c r="A187" s="189">
        <f>IFERROR(__xludf.DUMMYFUNCTION("""COMPUTED_VALUE"""),205625.0)</f>
        <v>205625</v>
      </c>
      <c r="B187" s="189">
        <f>IFERROR(__xludf.DUMMYFUNCTION("""COMPUTED_VALUE"""),90707.0)</f>
        <v>90707</v>
      </c>
      <c r="C187" s="189" t="str">
        <f>IFERROR(__xludf.DUMMYFUNCTION("""COMPUTED_VALUE"""),"Challengers League 2025 MENA: Resilience - GPI - Split 2 - Group Stage")</f>
        <v>Challengers League 2025 MENA: Resilience - GPI - Split 2 - Group Stage</v>
      </c>
      <c r="D187" s="189" t="str">
        <f>IFERROR(__xludf.DUMMYFUNCTION("""COMPUTED_VALUE"""),"Lotus")</f>
        <v>Lotus</v>
      </c>
      <c r="E187" s="189" t="str">
        <f>IFERROR(__xludf.DUMMYFUNCTION("""COMPUTED_VALUE"""),"Twisted Minds Esports")</f>
        <v>Twisted Minds Esports</v>
      </c>
      <c r="F187" s="189" t="str">
        <f>IFERROR(__xludf.DUMMYFUNCTION("""COMPUTED_VALUE"""),"VillianArc")</f>
        <v>VillianArc</v>
      </c>
      <c r="G187" s="189" t="str">
        <f>IFERROR(__xludf.DUMMYFUNCTION("""COMPUTED_VALUE"""),"Raze,Killjoy,Viper,Omen,Fade")</f>
        <v>Raze,Killjoy,Viper,Omen,Fade</v>
      </c>
      <c r="H187" s="189" t="str">
        <f>IFERROR(__xludf.DUMMYFUNCTION("""COMPUTED_VALUE"""),"Raze,Omen,Yoru,Fade,Vyse")</f>
        <v>Raze,Omen,Yoru,Fade,Vyse</v>
      </c>
      <c r="I187" s="189">
        <f>IFERROR(__xludf.DUMMYFUNCTION("""COMPUTED_VALUE"""),13.0)</f>
        <v>13</v>
      </c>
      <c r="J187" s="189">
        <f>IFERROR(__xludf.DUMMYFUNCTION("""COMPUTED_VALUE"""),6.0)</f>
        <v>6</v>
      </c>
      <c r="K187" s="189">
        <f>IFERROR(__xludf.DUMMYFUNCTION("""COMPUTED_VALUE"""),6.0)</f>
        <v>6</v>
      </c>
      <c r="L187" s="189">
        <f>IFERROR(__xludf.DUMMYFUNCTION("""COMPUTED_VALUE"""),6.0)</f>
        <v>6</v>
      </c>
      <c r="M187" s="189">
        <f>IFERROR(__xludf.DUMMYFUNCTION("""COMPUTED_VALUE"""),1.0)</f>
        <v>1</v>
      </c>
      <c r="N187" s="189">
        <f>IFERROR(__xludf.DUMMYFUNCTION("""COMPUTED_VALUE"""),0.0)</f>
        <v>0</v>
      </c>
      <c r="O187" s="189">
        <f>IFERROR(__xludf.DUMMYFUNCTION("""COMPUTED_VALUE"""),7.0)</f>
        <v>7</v>
      </c>
      <c r="P187" s="189">
        <f>IFERROR(__xludf.DUMMYFUNCTION("""COMPUTED_VALUE"""),0.0)</f>
        <v>0</v>
      </c>
      <c r="Q187" s="189">
        <f>IFERROR(__xludf.DUMMYFUNCTION("""COMPUTED_VALUE"""),6.0)</f>
        <v>6</v>
      </c>
      <c r="R187" s="189">
        <f>IFERROR(__xludf.DUMMYFUNCTION("""COMPUTED_VALUE"""),6.0)</f>
        <v>6</v>
      </c>
      <c r="S187" s="189">
        <f>IFERROR(__xludf.DUMMYFUNCTION("""COMPUTED_VALUE"""),1.0)</f>
        <v>1</v>
      </c>
      <c r="T187" s="189">
        <f>IFERROR(__xludf.DUMMYFUNCTION("""COMPUTED_VALUE"""),0.0)</f>
        <v>0</v>
      </c>
      <c r="U187" s="189">
        <f>IFERROR(__xludf.DUMMYFUNCTION("""COMPUTED_VALUE"""),6.0)</f>
        <v>6</v>
      </c>
      <c r="V187" s="189">
        <f>IFERROR(__xludf.DUMMYFUNCTION("""COMPUTED_VALUE"""),6.0)</f>
        <v>6</v>
      </c>
      <c r="W187" s="189">
        <f>IFERROR(__xludf.DUMMYFUNCTION("""COMPUTED_VALUE"""),0.0)</f>
        <v>0</v>
      </c>
      <c r="X187" s="189">
        <f>IFERROR(__xludf.DUMMYFUNCTION("""COMPUTED_VALUE"""),7.0)</f>
        <v>7</v>
      </c>
      <c r="Y187" s="189" t="str">
        <f>IFERROR(__xludf.DUMMYFUNCTION("""COMPUTED_VALUE"""),"2025-06-28T00:00:00.000Z")</f>
        <v>2025-06-28T00:00:00.000Z</v>
      </c>
      <c r="Z187" s="189" t="str">
        <f>IFERROR(__xludf.DUMMYFUNCTION("""COMPUTED_VALUE"""),"Twisted Minds Esports_Lotus")</f>
        <v>Twisted Minds Esports_Lotus</v>
      </c>
    </row>
    <row r="188">
      <c r="A188" s="189">
        <f>IFERROR(__xludf.DUMMYFUNCTION("""COMPUTED_VALUE"""),205624.0)</f>
        <v>205624</v>
      </c>
      <c r="B188" s="189">
        <f>IFERROR(__xludf.DUMMYFUNCTION("""COMPUTED_VALUE"""),90707.0)</f>
        <v>90707</v>
      </c>
      <c r="C188" s="189" t="str">
        <f>IFERROR(__xludf.DUMMYFUNCTION("""COMPUTED_VALUE"""),"Challengers League 2025 MENA: Resilience - GPI - Split 2 - Group Stage")</f>
        <v>Challengers League 2025 MENA: Resilience - GPI - Split 2 - Group Stage</v>
      </c>
      <c r="D188" s="189" t="str">
        <f>IFERROR(__xludf.DUMMYFUNCTION("""COMPUTED_VALUE"""),"Icebox")</f>
        <v>Icebox</v>
      </c>
      <c r="E188" s="189" t="str">
        <f>IFERROR(__xludf.DUMMYFUNCTION("""COMPUTED_VALUE"""),"Twisted Minds Esports")</f>
        <v>Twisted Minds Esports</v>
      </c>
      <c r="F188" s="189" t="str">
        <f>IFERROR(__xludf.DUMMYFUNCTION("""COMPUTED_VALUE"""),"VillianArc")</f>
        <v>VillianArc</v>
      </c>
      <c r="G188" s="189" t="str">
        <f>IFERROR(__xludf.DUMMYFUNCTION("""COMPUTED_VALUE"""),"Sova,Killjoy,Viper,Jett,Harbor")</f>
        <v>Sova,Killjoy,Viper,Jett,Harbor</v>
      </c>
      <c r="H188" s="189" t="str">
        <f>IFERROR(__xludf.DUMMYFUNCTION("""COMPUTED_VALUE"""),"Sova,Killjoy,Viper,Reyna,Omen")</f>
        <v>Sova,Killjoy,Viper,Reyna,Omen</v>
      </c>
      <c r="I188" s="189">
        <f>IFERROR(__xludf.DUMMYFUNCTION("""COMPUTED_VALUE"""),13.0)</f>
        <v>13</v>
      </c>
      <c r="J188" s="189">
        <f>IFERROR(__xludf.DUMMYFUNCTION("""COMPUTED_VALUE"""),4.0)</f>
        <v>4</v>
      </c>
      <c r="K188" s="189">
        <f>IFERROR(__xludf.DUMMYFUNCTION("""COMPUTED_VALUE"""),10.0)</f>
        <v>10</v>
      </c>
      <c r="L188" s="189">
        <f>IFERROR(__xludf.DUMMYFUNCTION("""COMPUTED_VALUE"""),2.0)</f>
        <v>2</v>
      </c>
      <c r="M188" s="189">
        <f>IFERROR(__xludf.DUMMYFUNCTION("""COMPUTED_VALUE"""),0.0)</f>
        <v>0</v>
      </c>
      <c r="N188" s="189">
        <f>IFERROR(__xludf.DUMMYFUNCTION("""COMPUTED_VALUE"""),1.0)</f>
        <v>1</v>
      </c>
      <c r="O188" s="189">
        <f>IFERROR(__xludf.DUMMYFUNCTION("""COMPUTED_VALUE"""),3.0)</f>
        <v>3</v>
      </c>
      <c r="P188" s="189">
        <f>IFERROR(__xludf.DUMMYFUNCTION("""COMPUTED_VALUE"""),2.0)</f>
        <v>2</v>
      </c>
      <c r="Q188" s="189">
        <f>IFERROR(__xludf.DUMMYFUNCTION("""COMPUTED_VALUE"""),10.0)</f>
        <v>10</v>
      </c>
      <c r="R188" s="189">
        <f>IFERROR(__xludf.DUMMYFUNCTION("""COMPUTED_VALUE"""),2.0)</f>
        <v>2</v>
      </c>
      <c r="S188" s="189">
        <f>IFERROR(__xludf.DUMMYFUNCTION("""COMPUTED_VALUE"""),0.0)</f>
        <v>0</v>
      </c>
      <c r="T188" s="189">
        <f>IFERROR(__xludf.DUMMYFUNCTION("""COMPUTED_VALUE"""),1.0)</f>
        <v>1</v>
      </c>
      <c r="U188" s="189">
        <f>IFERROR(__xludf.DUMMYFUNCTION("""COMPUTED_VALUE"""),2.0)</f>
        <v>2</v>
      </c>
      <c r="V188" s="189">
        <f>IFERROR(__xludf.DUMMYFUNCTION("""COMPUTED_VALUE"""),10.0)</f>
        <v>10</v>
      </c>
      <c r="W188" s="189">
        <f>IFERROR(__xludf.DUMMYFUNCTION("""COMPUTED_VALUE"""),2.0)</f>
        <v>2</v>
      </c>
      <c r="X188" s="189">
        <f>IFERROR(__xludf.DUMMYFUNCTION("""COMPUTED_VALUE"""),3.0)</f>
        <v>3</v>
      </c>
      <c r="Y188" s="189" t="str">
        <f>IFERROR(__xludf.DUMMYFUNCTION("""COMPUTED_VALUE"""),"2025-06-28T00:00:00.000Z")</f>
        <v>2025-06-28T00:00:00.000Z</v>
      </c>
      <c r="Z188" s="189" t="str">
        <f>IFERROR(__xludf.DUMMYFUNCTION("""COMPUTED_VALUE"""),"Twisted Minds Esports_Icebox")</f>
        <v>Twisted Minds Esports_Icebox</v>
      </c>
    </row>
    <row r="189">
      <c r="A189" s="189">
        <f>IFERROR(__xludf.DUMMYFUNCTION("""COMPUTED_VALUE"""),208061.0)</f>
        <v>208061</v>
      </c>
      <c r="B189" s="189">
        <f>IFERROR(__xludf.DUMMYFUNCTION("""COMPUTED_VALUE"""),91667.0)</f>
        <v>91667</v>
      </c>
      <c r="C189" s="189" t="str">
        <f>IFERROR(__xludf.DUMMYFUNCTION("""COMPUTED_VALUE"""),"Challengers League 2025 NORTH EAST: Split 3 - East Qualifier")</f>
        <v>Challengers League 2025 NORTH EAST: Split 3 - East Qualifier</v>
      </c>
      <c r="D189" s="189" t="str">
        <f>IFERROR(__xludf.DUMMYFUNCTION("""COMPUTED_VALUE"""),"Sunset")</f>
        <v>Sunset</v>
      </c>
      <c r="E189" s="189" t="str">
        <f>IFERROR(__xludf.DUMMYFUNCTION("""COMPUTED_VALUE"""),"Boars Gaming")</f>
        <v>Boars Gaming</v>
      </c>
      <c r="F189" s="189" t="str">
        <f>IFERROR(__xludf.DUMMYFUNCTION("""COMPUTED_VALUE"""),"FULL BOX 200")</f>
        <v>FULL BOX 200</v>
      </c>
      <c r="G189" s="189" t="str">
        <f>IFERROR(__xludf.DUMMYFUNCTION("""COMPUTED_VALUE"""),"Cypher,Sova,Omen,KAY/O,Neon")</f>
        <v>Cypher,Sova,Omen,KAY/O,Neon</v>
      </c>
      <c r="H189" s="189" t="str">
        <f>IFERROR(__xludf.DUMMYFUNCTION("""COMPUTED_VALUE"""),"Breach,Cypher,Sova,Omen,Neon")</f>
        <v>Breach,Cypher,Sova,Omen,Neon</v>
      </c>
      <c r="I189" s="189">
        <f>IFERROR(__xludf.DUMMYFUNCTION("""COMPUTED_VALUE"""),13.0)</f>
        <v>13</v>
      </c>
      <c r="J189" s="189">
        <f>IFERROR(__xludf.DUMMYFUNCTION("""COMPUTED_VALUE"""),9.0)</f>
        <v>9</v>
      </c>
      <c r="K189" s="189">
        <f>IFERROR(__xludf.DUMMYFUNCTION("""COMPUTED_VALUE"""),7.0)</f>
        <v>7</v>
      </c>
      <c r="L189" s="189">
        <f>IFERROR(__xludf.DUMMYFUNCTION("""COMPUTED_VALUE"""),5.0)</f>
        <v>5</v>
      </c>
      <c r="M189" s="189">
        <f>IFERROR(__xludf.DUMMYFUNCTION("""COMPUTED_VALUE"""),1.0)</f>
        <v>1</v>
      </c>
      <c r="N189" s="189">
        <f>IFERROR(__xludf.DUMMYFUNCTION("""COMPUTED_VALUE"""),0.0)</f>
        <v>0</v>
      </c>
      <c r="O189" s="189">
        <f>IFERROR(__xludf.DUMMYFUNCTION("""COMPUTED_VALUE"""),7.0)</f>
        <v>7</v>
      </c>
      <c r="P189" s="189">
        <f>IFERROR(__xludf.DUMMYFUNCTION("""COMPUTED_VALUE"""),5.0)</f>
        <v>5</v>
      </c>
      <c r="Q189" s="189">
        <f>IFERROR(__xludf.DUMMYFUNCTION("""COMPUTED_VALUE"""),6.0)</f>
        <v>6</v>
      </c>
      <c r="R189" s="189">
        <f>IFERROR(__xludf.DUMMYFUNCTION("""COMPUTED_VALUE"""),4.0)</f>
        <v>4</v>
      </c>
      <c r="S189" s="189">
        <f>IFERROR(__xludf.DUMMYFUNCTION("""COMPUTED_VALUE"""),1.0)</f>
        <v>1</v>
      </c>
      <c r="T189" s="189">
        <f>IFERROR(__xludf.DUMMYFUNCTION("""COMPUTED_VALUE"""),0.0)</f>
        <v>0</v>
      </c>
      <c r="U189" s="189">
        <f>IFERROR(__xludf.DUMMYFUNCTION("""COMPUTED_VALUE"""),4.0)</f>
        <v>4</v>
      </c>
      <c r="V189" s="189">
        <f>IFERROR(__xludf.DUMMYFUNCTION("""COMPUTED_VALUE"""),6.0)</f>
        <v>6</v>
      </c>
      <c r="W189" s="189">
        <f>IFERROR(__xludf.DUMMYFUNCTION("""COMPUTED_VALUE"""),5.0)</f>
        <v>5</v>
      </c>
      <c r="X189" s="189">
        <f>IFERROR(__xludf.DUMMYFUNCTION("""COMPUTED_VALUE"""),7.0)</f>
        <v>7</v>
      </c>
      <c r="Y189" s="189" t="str">
        <f>IFERROR(__xludf.DUMMYFUNCTION("""COMPUTED_VALUE"""),"2025-06-28T00:00:00.000Z")</f>
        <v>2025-06-28T00:00:00.000Z</v>
      </c>
      <c r="Z189" s="189" t="str">
        <f>IFERROR(__xludf.DUMMYFUNCTION("""COMPUTED_VALUE"""),"Boars Gaming_Sunset")</f>
        <v>Boars Gaming_Sunset</v>
      </c>
    </row>
    <row r="190">
      <c r="A190" s="189">
        <f>IFERROR(__xludf.DUMMYFUNCTION("""COMPUTED_VALUE"""),208033.0)</f>
        <v>208033</v>
      </c>
      <c r="B190" s="189">
        <f>IFERROR(__xludf.DUMMYFUNCTION("""COMPUTED_VALUE"""),91657.0)</f>
        <v>91657</v>
      </c>
      <c r="C190" s="189" t="str">
        <f>IFERROR(__xludf.DUMMYFUNCTION("""COMPUTED_VALUE"""),"Challengers League 2025 NORTH EAST: Split 3 - East Qualifier")</f>
        <v>Challengers League 2025 NORTH EAST: Split 3 - East Qualifier</v>
      </c>
      <c r="D190" s="189" t="str">
        <f>IFERROR(__xludf.DUMMYFUNCTION("""COMPUTED_VALUE"""),"Sunset")</f>
        <v>Sunset</v>
      </c>
      <c r="E190" s="189" t="str">
        <f>IFERROR(__xludf.DUMMYFUNCTION("""COMPUTED_VALUE"""),"Boars Gaming")</f>
        <v>Boars Gaming</v>
      </c>
      <c r="F190" s="189" t="str">
        <f>IFERROR(__xludf.DUMMYFUNCTION("""COMPUTED_VALUE"""),"STORMBORN GG")</f>
        <v>STORMBORN GG</v>
      </c>
      <c r="G190" s="189" t="str">
        <f>IFERROR(__xludf.DUMMYFUNCTION("""COMPUTED_VALUE"""),"Cypher,Sova,Omen,KAY/O,Neon")</f>
        <v>Cypher,Sova,Omen,KAY/O,Neon</v>
      </c>
      <c r="H190" s="189" t="str">
        <f>IFERROR(__xludf.DUMMYFUNCTION("""COMPUTED_VALUE"""),"Raze,Cypher,Sova,Omen,Yoru")</f>
        <v>Raze,Cypher,Sova,Omen,Yoru</v>
      </c>
      <c r="I190" s="189">
        <f>IFERROR(__xludf.DUMMYFUNCTION("""COMPUTED_VALUE"""),13.0)</f>
        <v>13</v>
      </c>
      <c r="J190" s="189">
        <f>IFERROR(__xludf.DUMMYFUNCTION("""COMPUTED_VALUE"""),7.0)</f>
        <v>7</v>
      </c>
      <c r="K190" s="189">
        <f>IFERROR(__xludf.DUMMYFUNCTION("""COMPUTED_VALUE"""),7.0)</f>
        <v>7</v>
      </c>
      <c r="L190" s="189">
        <f>IFERROR(__xludf.DUMMYFUNCTION("""COMPUTED_VALUE"""),5.0)</f>
        <v>5</v>
      </c>
      <c r="M190" s="189">
        <f>IFERROR(__xludf.DUMMYFUNCTION("""COMPUTED_VALUE"""),0.0)</f>
        <v>0</v>
      </c>
      <c r="N190" s="189">
        <f>IFERROR(__xludf.DUMMYFUNCTION("""COMPUTED_VALUE"""),1.0)</f>
        <v>1</v>
      </c>
      <c r="O190" s="189">
        <f>IFERROR(__xludf.DUMMYFUNCTION("""COMPUTED_VALUE"""),7.0)</f>
        <v>7</v>
      </c>
      <c r="P190" s="189">
        <f>IFERROR(__xludf.DUMMYFUNCTION("""COMPUTED_VALUE"""),5.0)</f>
        <v>5</v>
      </c>
      <c r="Q190" s="189">
        <f>IFERROR(__xludf.DUMMYFUNCTION("""COMPUTED_VALUE"""),6.0)</f>
        <v>6</v>
      </c>
      <c r="R190" s="189">
        <f>IFERROR(__xludf.DUMMYFUNCTION("""COMPUTED_VALUE"""),2.0)</f>
        <v>2</v>
      </c>
      <c r="S190" s="189">
        <f>IFERROR(__xludf.DUMMYFUNCTION("""COMPUTED_VALUE"""),0.0)</f>
        <v>0</v>
      </c>
      <c r="T190" s="189">
        <f>IFERROR(__xludf.DUMMYFUNCTION("""COMPUTED_VALUE"""),1.0)</f>
        <v>1</v>
      </c>
      <c r="U190" s="189">
        <f>IFERROR(__xludf.DUMMYFUNCTION("""COMPUTED_VALUE"""),2.0)</f>
        <v>2</v>
      </c>
      <c r="V190" s="189">
        <f>IFERROR(__xludf.DUMMYFUNCTION("""COMPUTED_VALUE"""),6.0)</f>
        <v>6</v>
      </c>
      <c r="W190" s="189">
        <f>IFERROR(__xludf.DUMMYFUNCTION("""COMPUTED_VALUE"""),5.0)</f>
        <v>5</v>
      </c>
      <c r="X190" s="189">
        <f>IFERROR(__xludf.DUMMYFUNCTION("""COMPUTED_VALUE"""),7.0)</f>
        <v>7</v>
      </c>
      <c r="Y190" s="189" t="str">
        <f>IFERROR(__xludf.DUMMYFUNCTION("""COMPUTED_VALUE"""),"2025-06-27T00:00:00.000Z")</f>
        <v>2025-06-27T00:00:00.000Z</v>
      </c>
      <c r="Z190" s="189" t="str">
        <f>IFERROR(__xludf.DUMMYFUNCTION("""COMPUTED_VALUE"""),"Boars Gaming_Sunset")</f>
        <v>Boars Gaming_Sunset</v>
      </c>
    </row>
    <row r="191">
      <c r="A191" s="189">
        <f>IFERROR(__xludf.DUMMYFUNCTION("""COMPUTED_VALUE"""),208032.0)</f>
        <v>208032</v>
      </c>
      <c r="B191" s="189">
        <f>IFERROR(__xludf.DUMMYFUNCTION("""COMPUTED_VALUE"""),91657.0)</f>
        <v>91657</v>
      </c>
      <c r="C191" s="189" t="str">
        <f>IFERROR(__xludf.DUMMYFUNCTION("""COMPUTED_VALUE"""),"Challengers League 2025 NORTH EAST: Split 3 - East Qualifier")</f>
        <v>Challengers League 2025 NORTH EAST: Split 3 - East Qualifier</v>
      </c>
      <c r="D191" s="189" t="str">
        <f>IFERROR(__xludf.DUMMYFUNCTION("""COMPUTED_VALUE"""),"Haven")</f>
        <v>Haven</v>
      </c>
      <c r="E191" s="189" t="str">
        <f>IFERROR(__xludf.DUMMYFUNCTION("""COMPUTED_VALUE"""),"Boars Gaming")</f>
        <v>Boars Gaming</v>
      </c>
      <c r="F191" s="189" t="str">
        <f>IFERROR(__xludf.DUMMYFUNCTION("""COMPUTED_VALUE"""),"STORMBORN GG")</f>
        <v>STORMBORN GG</v>
      </c>
      <c r="G191" s="189" t="str">
        <f>IFERROR(__xludf.DUMMYFUNCTION("""COMPUTED_VALUE"""),"Breach,Cypher,Sova,Omen,Neon")</f>
        <v>Breach,Cypher,Sova,Omen,Neon</v>
      </c>
      <c r="H191" s="189" t="str">
        <f>IFERROR(__xludf.DUMMYFUNCTION("""COMPUTED_VALUE"""),"Cypher,Sova,Reyna,Omen,Jett")</f>
        <v>Cypher,Sova,Reyna,Omen,Jett</v>
      </c>
      <c r="I191" s="189">
        <f>IFERROR(__xludf.DUMMYFUNCTION("""COMPUTED_VALUE"""),13.0)</f>
        <v>13</v>
      </c>
      <c r="J191" s="189">
        <f>IFERROR(__xludf.DUMMYFUNCTION("""COMPUTED_VALUE"""),4.0)</f>
        <v>4</v>
      </c>
      <c r="K191" s="189">
        <f>IFERROR(__xludf.DUMMYFUNCTION("""COMPUTED_VALUE"""),8.0)</f>
        <v>8</v>
      </c>
      <c r="L191" s="189">
        <f>IFERROR(__xludf.DUMMYFUNCTION("""COMPUTED_VALUE"""),4.0)</f>
        <v>4</v>
      </c>
      <c r="M191" s="189">
        <f>IFERROR(__xludf.DUMMYFUNCTION("""COMPUTED_VALUE"""),1.0)</f>
        <v>1</v>
      </c>
      <c r="N191" s="189">
        <f>IFERROR(__xludf.DUMMYFUNCTION("""COMPUTED_VALUE"""),1.0)</f>
        <v>1</v>
      </c>
      <c r="O191" s="189">
        <f>IFERROR(__xludf.DUMMYFUNCTION("""COMPUTED_VALUE"""),8.0)</f>
        <v>8</v>
      </c>
      <c r="P191" s="189">
        <f>IFERROR(__xludf.DUMMYFUNCTION("""COMPUTED_VALUE"""),4.0)</f>
        <v>4</v>
      </c>
      <c r="Q191" s="189">
        <f>IFERROR(__xludf.DUMMYFUNCTION("""COMPUTED_VALUE"""),5.0)</f>
        <v>5</v>
      </c>
      <c r="R191" s="189">
        <f>IFERROR(__xludf.DUMMYFUNCTION("""COMPUTED_VALUE"""),0.0)</f>
        <v>0</v>
      </c>
      <c r="S191" s="189">
        <f>IFERROR(__xludf.DUMMYFUNCTION("""COMPUTED_VALUE"""),0.0)</f>
        <v>0</v>
      </c>
      <c r="T191" s="189">
        <f>IFERROR(__xludf.DUMMYFUNCTION("""COMPUTED_VALUE"""),0.0)</f>
        <v>0</v>
      </c>
      <c r="U191" s="189">
        <f>IFERROR(__xludf.DUMMYFUNCTION("""COMPUTED_VALUE"""),0.0)</f>
        <v>0</v>
      </c>
      <c r="V191" s="189">
        <f>IFERROR(__xludf.DUMMYFUNCTION("""COMPUTED_VALUE"""),5.0)</f>
        <v>5</v>
      </c>
      <c r="W191" s="189">
        <f>IFERROR(__xludf.DUMMYFUNCTION("""COMPUTED_VALUE"""),4.0)</f>
        <v>4</v>
      </c>
      <c r="X191" s="189">
        <f>IFERROR(__xludf.DUMMYFUNCTION("""COMPUTED_VALUE"""),8.0)</f>
        <v>8</v>
      </c>
      <c r="Y191" s="189" t="str">
        <f>IFERROR(__xludf.DUMMYFUNCTION("""COMPUTED_VALUE"""),"2025-06-27T00:00:00.000Z")</f>
        <v>2025-06-27T00:00:00.000Z</v>
      </c>
      <c r="Z191" s="189" t="str">
        <f>IFERROR(__xludf.DUMMYFUNCTION("""COMPUTED_VALUE"""),"Boars Gaming_Haven")</f>
        <v>Boars Gaming_Haven</v>
      </c>
    </row>
    <row r="192">
      <c r="A192" s="189">
        <f>IFERROR(__xludf.DUMMYFUNCTION("""COMPUTED_VALUE"""),208031.0)</f>
        <v>208031</v>
      </c>
      <c r="B192" s="189">
        <f>IFERROR(__xludf.DUMMYFUNCTION("""COMPUTED_VALUE"""),91657.0)</f>
        <v>91657</v>
      </c>
      <c r="C192" s="189" t="str">
        <f>IFERROR(__xludf.DUMMYFUNCTION("""COMPUTED_VALUE"""),"Challengers League 2025 NORTH EAST: Split 3 - East Qualifier")</f>
        <v>Challengers League 2025 NORTH EAST: Split 3 - East Qualifier</v>
      </c>
      <c r="D192" s="189" t="str">
        <f>IFERROR(__xludf.DUMMYFUNCTION("""COMPUTED_VALUE"""),"Ascent")</f>
        <v>Ascent</v>
      </c>
      <c r="E192" s="189" t="str">
        <f>IFERROR(__xludf.DUMMYFUNCTION("""COMPUTED_VALUE"""),"Boars Gaming")</f>
        <v>Boars Gaming</v>
      </c>
      <c r="F192" s="189" t="str">
        <f>IFERROR(__xludf.DUMMYFUNCTION("""COMPUTED_VALUE"""),"STORMBORN GG")</f>
        <v>STORMBORN GG</v>
      </c>
      <c r="G192" s="189" t="str">
        <f>IFERROR(__xludf.DUMMYFUNCTION("""COMPUTED_VALUE"""),"Cypher,Sage,Omen,Yoru,Fade")</f>
        <v>Cypher,Sage,Omen,Yoru,Fade</v>
      </c>
      <c r="H192" s="189" t="str">
        <f>IFERROR(__xludf.DUMMYFUNCTION("""COMPUTED_VALUE"""),"Cypher,Sova,Phoenix,Omen,Jett")</f>
        <v>Cypher,Sova,Phoenix,Omen,Jett</v>
      </c>
      <c r="I192" s="189">
        <f>IFERROR(__xludf.DUMMYFUNCTION("""COMPUTED_VALUE"""),9.0)</f>
        <v>9</v>
      </c>
      <c r="J192" s="189">
        <f>IFERROR(__xludf.DUMMYFUNCTION("""COMPUTED_VALUE"""),13.0)</f>
        <v>13</v>
      </c>
      <c r="K192" s="189">
        <f>IFERROR(__xludf.DUMMYFUNCTION("""COMPUTED_VALUE"""),8.0)</f>
        <v>8</v>
      </c>
      <c r="L192" s="189">
        <f>IFERROR(__xludf.DUMMYFUNCTION("""COMPUTED_VALUE"""),4.0)</f>
        <v>4</v>
      </c>
      <c r="M192" s="189">
        <f>IFERROR(__xludf.DUMMYFUNCTION("""COMPUTED_VALUE"""),0.0)</f>
        <v>0</v>
      </c>
      <c r="N192" s="189">
        <f>IFERROR(__xludf.DUMMYFUNCTION("""COMPUTED_VALUE"""),1.0)</f>
        <v>1</v>
      </c>
      <c r="O192" s="189">
        <f>IFERROR(__xludf.DUMMYFUNCTION("""COMPUTED_VALUE"""),1.0)</f>
        <v>1</v>
      </c>
      <c r="P192" s="189">
        <f>IFERROR(__xludf.DUMMYFUNCTION("""COMPUTED_VALUE"""),9.0)</f>
        <v>9</v>
      </c>
      <c r="Q192" s="189">
        <f>IFERROR(__xludf.DUMMYFUNCTION("""COMPUTED_VALUE"""),8.0)</f>
        <v>8</v>
      </c>
      <c r="R192" s="189">
        <f>IFERROR(__xludf.DUMMYFUNCTION("""COMPUTED_VALUE"""),4.0)</f>
        <v>4</v>
      </c>
      <c r="S192" s="189">
        <f>IFERROR(__xludf.DUMMYFUNCTION("""COMPUTED_VALUE"""),0.0)</f>
        <v>0</v>
      </c>
      <c r="T192" s="189">
        <f>IFERROR(__xludf.DUMMYFUNCTION("""COMPUTED_VALUE"""),1.0)</f>
        <v>1</v>
      </c>
      <c r="U192" s="189">
        <f>IFERROR(__xludf.DUMMYFUNCTION("""COMPUTED_VALUE"""),4.0)</f>
        <v>4</v>
      </c>
      <c r="V192" s="189">
        <f>IFERROR(__xludf.DUMMYFUNCTION("""COMPUTED_VALUE"""),8.0)</f>
        <v>8</v>
      </c>
      <c r="W192" s="189">
        <f>IFERROR(__xludf.DUMMYFUNCTION("""COMPUTED_VALUE"""),9.0)</f>
        <v>9</v>
      </c>
      <c r="X192" s="189">
        <f>IFERROR(__xludf.DUMMYFUNCTION("""COMPUTED_VALUE"""),1.0)</f>
        <v>1</v>
      </c>
      <c r="Y192" s="189" t="str">
        <f>IFERROR(__xludf.DUMMYFUNCTION("""COMPUTED_VALUE"""),"2025-06-27T00:00:00.000Z")</f>
        <v>2025-06-27T00:00:00.000Z</v>
      </c>
      <c r="Z192" s="189" t="str">
        <f>IFERROR(__xludf.DUMMYFUNCTION("""COMPUTED_VALUE"""),"Boars Gaming_Ascent")</f>
        <v>Boars Gaming_Ascent</v>
      </c>
    </row>
    <row r="193">
      <c r="A193" s="189">
        <f>IFERROR(__xludf.DUMMYFUNCTION("""COMPUTED_VALUE"""),204952.0)</f>
        <v>204952</v>
      </c>
      <c r="B193" s="189">
        <f>IFERROR(__xludf.DUMMYFUNCTION("""COMPUTED_VALUE"""),90469.0)</f>
        <v>90469</v>
      </c>
      <c r="C193" s="189" t="str">
        <f>IFERROR(__xludf.DUMMYFUNCTION("""COMPUTED_VALUE"""),"Challengers League 2025 MENA: Resilience - GPI - Split 2 - Group Stage")</f>
        <v>Challengers League 2025 MENA: Resilience - GPI - Split 2 - Group Stage</v>
      </c>
      <c r="D193" s="189" t="str">
        <f>IFERROR(__xludf.DUMMYFUNCTION("""COMPUTED_VALUE"""),"Lotus")</f>
        <v>Lotus</v>
      </c>
      <c r="E193" s="189" t="str">
        <f>IFERROR(__xludf.DUMMYFUNCTION("""COMPUTED_VALUE"""),"Twisted Minds Esports")</f>
        <v>Twisted Minds Esports</v>
      </c>
      <c r="F193" s="189" t="str">
        <f>IFERROR(__xludf.DUMMYFUNCTION("""COMPUTED_VALUE"""),"Fraggerz")</f>
        <v>Fraggerz</v>
      </c>
      <c r="G193" s="189" t="str">
        <f>IFERROR(__xludf.DUMMYFUNCTION("""COMPUTED_VALUE"""),"Raze,Killjoy,Viper,Omen,Fade")</f>
        <v>Raze,Killjoy,Viper,Omen,Fade</v>
      </c>
      <c r="H193" s="189" t="str">
        <f>IFERROR(__xludf.DUMMYFUNCTION("""COMPUTED_VALUE"""),"Breach,Omen,Jett,Skye,Vyse")</f>
        <v>Breach,Omen,Jett,Skye,Vyse</v>
      </c>
      <c r="I193" s="189">
        <f>IFERROR(__xludf.DUMMYFUNCTION("""COMPUTED_VALUE"""),13.0)</f>
        <v>13</v>
      </c>
      <c r="J193" s="189">
        <f>IFERROR(__xludf.DUMMYFUNCTION("""COMPUTED_VALUE"""),4.0)</f>
        <v>4</v>
      </c>
      <c r="K193" s="189">
        <f>IFERROR(__xludf.DUMMYFUNCTION("""COMPUTED_VALUE"""),8.0)</f>
        <v>8</v>
      </c>
      <c r="L193" s="189">
        <f>IFERROR(__xludf.DUMMYFUNCTION("""COMPUTED_VALUE"""),4.0)</f>
        <v>4</v>
      </c>
      <c r="M193" s="189">
        <f>IFERROR(__xludf.DUMMYFUNCTION("""COMPUTED_VALUE"""),1.0)</f>
        <v>1</v>
      </c>
      <c r="N193" s="189">
        <f>IFERROR(__xludf.DUMMYFUNCTION("""COMPUTED_VALUE"""),1.0)</f>
        <v>1</v>
      </c>
      <c r="O193" s="189">
        <f>IFERROR(__xludf.DUMMYFUNCTION("""COMPUTED_VALUE"""),8.0)</f>
        <v>8</v>
      </c>
      <c r="P193" s="189">
        <f>IFERROR(__xludf.DUMMYFUNCTION("""COMPUTED_VALUE"""),4.0)</f>
        <v>4</v>
      </c>
      <c r="Q193" s="189">
        <f>IFERROR(__xludf.DUMMYFUNCTION("""COMPUTED_VALUE"""),5.0)</f>
        <v>5</v>
      </c>
      <c r="R193" s="189">
        <f>IFERROR(__xludf.DUMMYFUNCTION("""COMPUTED_VALUE"""),0.0)</f>
        <v>0</v>
      </c>
      <c r="S193" s="189">
        <f>IFERROR(__xludf.DUMMYFUNCTION("""COMPUTED_VALUE"""),0.0)</f>
        <v>0</v>
      </c>
      <c r="T193" s="189">
        <f>IFERROR(__xludf.DUMMYFUNCTION("""COMPUTED_VALUE"""),0.0)</f>
        <v>0</v>
      </c>
      <c r="U193" s="189">
        <f>IFERROR(__xludf.DUMMYFUNCTION("""COMPUTED_VALUE"""),0.0)</f>
        <v>0</v>
      </c>
      <c r="V193" s="189">
        <f>IFERROR(__xludf.DUMMYFUNCTION("""COMPUTED_VALUE"""),5.0)</f>
        <v>5</v>
      </c>
      <c r="W193" s="189">
        <f>IFERROR(__xludf.DUMMYFUNCTION("""COMPUTED_VALUE"""),4.0)</f>
        <v>4</v>
      </c>
      <c r="X193" s="189">
        <f>IFERROR(__xludf.DUMMYFUNCTION("""COMPUTED_VALUE"""),8.0)</f>
        <v>8</v>
      </c>
      <c r="Y193" s="189" t="str">
        <f>IFERROR(__xludf.DUMMYFUNCTION("""COMPUTED_VALUE"""),"2025-06-22T00:00:00.000Z")</f>
        <v>2025-06-22T00:00:00.000Z</v>
      </c>
      <c r="Z193" s="189" t="str">
        <f>IFERROR(__xludf.DUMMYFUNCTION("""COMPUTED_VALUE"""),"Twisted Minds Esports_Lotus")</f>
        <v>Twisted Minds Esports_Lotus</v>
      </c>
    </row>
    <row r="194">
      <c r="A194" s="189">
        <f>IFERROR(__xludf.DUMMYFUNCTION("""COMPUTED_VALUE"""),204951.0)</f>
        <v>204951</v>
      </c>
      <c r="B194" s="189">
        <f>IFERROR(__xludf.DUMMYFUNCTION("""COMPUTED_VALUE"""),90469.0)</f>
        <v>90469</v>
      </c>
      <c r="C194" s="189" t="str">
        <f>IFERROR(__xludf.DUMMYFUNCTION("""COMPUTED_VALUE"""),"Challengers League 2025 MENA: Resilience - GPI - Split 2 - Group Stage")</f>
        <v>Challengers League 2025 MENA: Resilience - GPI - Split 2 - Group Stage</v>
      </c>
      <c r="D194" s="189" t="str">
        <f>IFERROR(__xludf.DUMMYFUNCTION("""COMPUTED_VALUE"""),"Haven")</f>
        <v>Haven</v>
      </c>
      <c r="E194" s="189" t="str">
        <f>IFERROR(__xludf.DUMMYFUNCTION("""COMPUTED_VALUE"""),"Twisted Minds Esports")</f>
        <v>Twisted Minds Esports</v>
      </c>
      <c r="F194" s="189" t="str">
        <f>IFERROR(__xludf.DUMMYFUNCTION("""COMPUTED_VALUE"""),"Fraggerz")</f>
        <v>Fraggerz</v>
      </c>
      <c r="G194" s="189" t="str">
        <f>IFERROR(__xludf.DUMMYFUNCTION("""COMPUTED_VALUE"""),"Breach,Cypher,Sova,Omen,Jett")</f>
        <v>Breach,Cypher,Sova,Omen,Jett</v>
      </c>
      <c r="H194" s="189" t="str">
        <f>IFERROR(__xludf.DUMMYFUNCTION("""COMPUTED_VALUE"""),"Raze,Cypher,Sova,Omen,Jett")</f>
        <v>Raze,Cypher,Sova,Omen,Jett</v>
      </c>
      <c r="I194" s="189">
        <f>IFERROR(__xludf.DUMMYFUNCTION("""COMPUTED_VALUE"""),13.0)</f>
        <v>13</v>
      </c>
      <c r="J194" s="189">
        <f>IFERROR(__xludf.DUMMYFUNCTION("""COMPUTED_VALUE"""),7.0)</f>
        <v>7</v>
      </c>
      <c r="K194" s="189">
        <f>IFERROR(__xludf.DUMMYFUNCTION("""COMPUTED_VALUE"""),7.0)</f>
        <v>7</v>
      </c>
      <c r="L194" s="189">
        <f>IFERROR(__xludf.DUMMYFUNCTION("""COMPUTED_VALUE"""),5.0)</f>
        <v>5</v>
      </c>
      <c r="M194" s="189">
        <f>IFERROR(__xludf.DUMMYFUNCTION("""COMPUTED_VALUE"""),0.0)</f>
        <v>0</v>
      </c>
      <c r="N194" s="189">
        <f>IFERROR(__xludf.DUMMYFUNCTION("""COMPUTED_VALUE"""),1.0)</f>
        <v>1</v>
      </c>
      <c r="O194" s="189">
        <f>IFERROR(__xludf.DUMMYFUNCTION("""COMPUTED_VALUE"""),6.0)</f>
        <v>6</v>
      </c>
      <c r="P194" s="189">
        <f>IFERROR(__xludf.DUMMYFUNCTION("""COMPUTED_VALUE"""),2.0)</f>
        <v>2</v>
      </c>
      <c r="Q194" s="189">
        <f>IFERROR(__xludf.DUMMYFUNCTION("""COMPUTED_VALUE"""),7.0)</f>
        <v>7</v>
      </c>
      <c r="R194" s="189">
        <f>IFERROR(__xludf.DUMMYFUNCTION("""COMPUTED_VALUE"""),5.0)</f>
        <v>5</v>
      </c>
      <c r="S194" s="189">
        <f>IFERROR(__xludf.DUMMYFUNCTION("""COMPUTED_VALUE"""),0.0)</f>
        <v>0</v>
      </c>
      <c r="T194" s="189">
        <f>IFERROR(__xludf.DUMMYFUNCTION("""COMPUTED_VALUE"""),1.0)</f>
        <v>1</v>
      </c>
      <c r="U194" s="189">
        <f>IFERROR(__xludf.DUMMYFUNCTION("""COMPUTED_VALUE"""),5.0)</f>
        <v>5</v>
      </c>
      <c r="V194" s="189">
        <f>IFERROR(__xludf.DUMMYFUNCTION("""COMPUTED_VALUE"""),7.0)</f>
        <v>7</v>
      </c>
      <c r="W194" s="189">
        <f>IFERROR(__xludf.DUMMYFUNCTION("""COMPUTED_VALUE"""),2.0)</f>
        <v>2</v>
      </c>
      <c r="X194" s="189">
        <f>IFERROR(__xludf.DUMMYFUNCTION("""COMPUTED_VALUE"""),6.0)</f>
        <v>6</v>
      </c>
      <c r="Y194" s="189" t="str">
        <f>IFERROR(__xludf.DUMMYFUNCTION("""COMPUTED_VALUE"""),"2025-06-22T00:00:00.000Z")</f>
        <v>2025-06-22T00:00:00.000Z</v>
      </c>
      <c r="Z194" s="189" t="str">
        <f>IFERROR(__xludf.DUMMYFUNCTION("""COMPUTED_VALUE"""),"Twisted Minds Esports_Haven")</f>
        <v>Twisted Minds Esports_Haven</v>
      </c>
    </row>
    <row r="195">
      <c r="A195" s="189">
        <f>IFERROR(__xludf.DUMMYFUNCTION("""COMPUTED_VALUE"""),207311.0)</f>
        <v>207311</v>
      </c>
      <c r="B195" s="189">
        <f>IFERROR(__xludf.DUMMYFUNCTION("""COMPUTED_VALUE"""),91356.0)</f>
        <v>91356</v>
      </c>
      <c r="C195" s="189" t="str">
        <f>IFERROR(__xludf.DUMMYFUNCTION("""COMPUTED_VALUE"""),"Saudi eLeague 2025: Major 2 - Playoffs")</f>
        <v>Saudi eLeague 2025: Major 2 - Playoffs</v>
      </c>
      <c r="D195" s="189" t="str">
        <f>IFERROR(__xludf.DUMMYFUNCTION("""COMPUTED_VALUE"""),"Sunset")</f>
        <v>Sunset</v>
      </c>
      <c r="E195" s="189" t="str">
        <f>IFERROR(__xludf.DUMMYFUNCTION("""COMPUTED_VALUE"""),"The Ultimates")</f>
        <v>The Ultimates</v>
      </c>
      <c r="F195" s="189" t="str">
        <f>IFERROR(__xludf.DUMMYFUNCTION("""COMPUTED_VALUE"""),"Twisted Minds Esports")</f>
        <v>Twisted Minds Esports</v>
      </c>
      <c r="G195" s="189" t="str">
        <f>IFERROR(__xludf.DUMMYFUNCTION("""COMPUTED_VALUE"""),"Breach,Raze,Cypher,Omen,Fade")</f>
        <v>Breach,Raze,Cypher,Omen,Fade</v>
      </c>
      <c r="H195" s="189" t="str">
        <f>IFERROR(__xludf.DUMMYFUNCTION("""COMPUTED_VALUE"""),"Breach,Cypher,Sova,Omen,Neon")</f>
        <v>Breach,Cypher,Sova,Omen,Neon</v>
      </c>
      <c r="I195" s="189">
        <f>IFERROR(__xludf.DUMMYFUNCTION("""COMPUTED_VALUE"""),9.0)</f>
        <v>9</v>
      </c>
      <c r="J195" s="189">
        <f>IFERROR(__xludf.DUMMYFUNCTION("""COMPUTED_VALUE"""),13.0)</f>
        <v>13</v>
      </c>
      <c r="K195" s="189">
        <f>IFERROR(__xludf.DUMMYFUNCTION("""COMPUTED_VALUE"""),4.0)</f>
        <v>4</v>
      </c>
      <c r="L195" s="189">
        <f>IFERROR(__xludf.DUMMYFUNCTION("""COMPUTED_VALUE"""),8.0)</f>
        <v>8</v>
      </c>
      <c r="M195" s="189">
        <f>IFERROR(__xludf.DUMMYFUNCTION("""COMPUTED_VALUE"""),1.0)</f>
        <v>1</v>
      </c>
      <c r="N195" s="189">
        <f>IFERROR(__xludf.DUMMYFUNCTION("""COMPUTED_VALUE"""),1.0)</f>
        <v>1</v>
      </c>
      <c r="O195" s="189">
        <f>IFERROR(__xludf.DUMMYFUNCTION("""COMPUTED_VALUE"""),5.0)</f>
        <v>5</v>
      </c>
      <c r="P195" s="189">
        <f>IFERROR(__xludf.DUMMYFUNCTION("""COMPUTED_VALUE"""),5.0)</f>
        <v>5</v>
      </c>
      <c r="Q195" s="189">
        <f>IFERROR(__xludf.DUMMYFUNCTION("""COMPUTED_VALUE"""),4.0)</f>
        <v>4</v>
      </c>
      <c r="R195" s="189">
        <f>IFERROR(__xludf.DUMMYFUNCTION("""COMPUTED_VALUE"""),8.0)</f>
        <v>8</v>
      </c>
      <c r="S195" s="189">
        <f>IFERROR(__xludf.DUMMYFUNCTION("""COMPUTED_VALUE"""),0.0)</f>
        <v>0</v>
      </c>
      <c r="T195" s="189">
        <f>IFERROR(__xludf.DUMMYFUNCTION("""COMPUTED_VALUE"""),0.0)</f>
        <v>0</v>
      </c>
      <c r="U195" s="189">
        <f>IFERROR(__xludf.DUMMYFUNCTION("""COMPUTED_VALUE"""),8.0)</f>
        <v>8</v>
      </c>
      <c r="V195" s="189">
        <f>IFERROR(__xludf.DUMMYFUNCTION("""COMPUTED_VALUE"""),4.0)</f>
        <v>4</v>
      </c>
      <c r="W195" s="189">
        <f>IFERROR(__xludf.DUMMYFUNCTION("""COMPUTED_VALUE"""),5.0)</f>
        <v>5</v>
      </c>
      <c r="X195" s="189">
        <f>IFERROR(__xludf.DUMMYFUNCTION("""COMPUTED_VALUE"""),5.0)</f>
        <v>5</v>
      </c>
      <c r="Y195" s="189" t="str">
        <f>IFERROR(__xludf.DUMMYFUNCTION("""COMPUTED_VALUE"""),"2025-06-19T00:00:00.000Z")</f>
        <v>2025-06-19T00:00:00.000Z</v>
      </c>
      <c r="Z195" s="189" t="str">
        <f>IFERROR(__xludf.DUMMYFUNCTION("""COMPUTED_VALUE"""),"The Ultimates_Sunset")</f>
        <v>The Ultimates_Sunset</v>
      </c>
    </row>
    <row r="196">
      <c r="A196" s="189">
        <f>IFERROR(__xludf.DUMMYFUNCTION("""COMPUTED_VALUE"""),207310.0)</f>
        <v>207310</v>
      </c>
      <c r="B196" s="189">
        <f>IFERROR(__xludf.DUMMYFUNCTION("""COMPUTED_VALUE"""),91356.0)</f>
        <v>91356</v>
      </c>
      <c r="C196" s="189" t="str">
        <f>IFERROR(__xludf.DUMMYFUNCTION("""COMPUTED_VALUE"""),"Saudi eLeague 2025: Major 2 - Playoffs")</f>
        <v>Saudi eLeague 2025: Major 2 - Playoffs</v>
      </c>
      <c r="D196" s="189" t="str">
        <f>IFERROR(__xludf.DUMMYFUNCTION("""COMPUTED_VALUE"""),"Ascent")</f>
        <v>Ascent</v>
      </c>
      <c r="E196" s="189" t="str">
        <f>IFERROR(__xludf.DUMMYFUNCTION("""COMPUTED_VALUE"""),"The Ultimates")</f>
        <v>The Ultimates</v>
      </c>
      <c r="F196" s="189" t="str">
        <f>IFERROR(__xludf.DUMMYFUNCTION("""COMPUTED_VALUE"""),"Twisted Minds Esports")</f>
        <v>Twisted Minds Esports</v>
      </c>
      <c r="G196" s="189" t="str">
        <f>IFERROR(__xludf.DUMMYFUNCTION("""COMPUTED_VALUE"""),"Cypher,Sova,Omen,Yoru,Deadlock")</f>
        <v>Cypher,Sova,Omen,Yoru,Deadlock</v>
      </c>
      <c r="H196" s="189" t="str">
        <f>IFERROR(__xludf.DUMMYFUNCTION("""COMPUTED_VALUE"""),"Cypher,Sova,Omen,Yoru,Deadlock")</f>
        <v>Cypher,Sova,Omen,Yoru,Deadlock</v>
      </c>
      <c r="I196" s="189">
        <f>IFERROR(__xludf.DUMMYFUNCTION("""COMPUTED_VALUE"""),8.0)</f>
        <v>8</v>
      </c>
      <c r="J196" s="189">
        <f>IFERROR(__xludf.DUMMYFUNCTION("""COMPUTED_VALUE"""),13.0)</f>
        <v>13</v>
      </c>
      <c r="K196" s="189">
        <f>IFERROR(__xludf.DUMMYFUNCTION("""COMPUTED_VALUE"""),4.0)</f>
        <v>4</v>
      </c>
      <c r="L196" s="189">
        <f>IFERROR(__xludf.DUMMYFUNCTION("""COMPUTED_VALUE"""),8.0)</f>
        <v>8</v>
      </c>
      <c r="M196" s="189">
        <f>IFERROR(__xludf.DUMMYFUNCTION("""COMPUTED_VALUE"""),1.0)</f>
        <v>1</v>
      </c>
      <c r="N196" s="189">
        <f>IFERROR(__xludf.DUMMYFUNCTION("""COMPUTED_VALUE"""),0.0)</f>
        <v>0</v>
      </c>
      <c r="O196" s="189">
        <f>IFERROR(__xludf.DUMMYFUNCTION("""COMPUTED_VALUE"""),4.0)</f>
        <v>4</v>
      </c>
      <c r="P196" s="189">
        <f>IFERROR(__xludf.DUMMYFUNCTION("""COMPUTED_VALUE"""),5.0)</f>
        <v>5</v>
      </c>
      <c r="Q196" s="189">
        <f>IFERROR(__xludf.DUMMYFUNCTION("""COMPUTED_VALUE"""),4.0)</f>
        <v>4</v>
      </c>
      <c r="R196" s="189">
        <f>IFERROR(__xludf.DUMMYFUNCTION("""COMPUTED_VALUE"""),8.0)</f>
        <v>8</v>
      </c>
      <c r="S196" s="189">
        <f>IFERROR(__xludf.DUMMYFUNCTION("""COMPUTED_VALUE"""),1.0)</f>
        <v>1</v>
      </c>
      <c r="T196" s="189">
        <f>IFERROR(__xludf.DUMMYFUNCTION("""COMPUTED_VALUE"""),0.0)</f>
        <v>0</v>
      </c>
      <c r="U196" s="189">
        <f>IFERROR(__xludf.DUMMYFUNCTION("""COMPUTED_VALUE"""),8.0)</f>
        <v>8</v>
      </c>
      <c r="V196" s="189">
        <f>IFERROR(__xludf.DUMMYFUNCTION("""COMPUTED_VALUE"""),4.0)</f>
        <v>4</v>
      </c>
      <c r="W196" s="189">
        <f>IFERROR(__xludf.DUMMYFUNCTION("""COMPUTED_VALUE"""),5.0)</f>
        <v>5</v>
      </c>
      <c r="X196" s="189">
        <f>IFERROR(__xludf.DUMMYFUNCTION("""COMPUTED_VALUE"""),4.0)</f>
        <v>4</v>
      </c>
      <c r="Y196" s="189" t="str">
        <f>IFERROR(__xludf.DUMMYFUNCTION("""COMPUTED_VALUE"""),"2025-06-19T00:00:00.000Z")</f>
        <v>2025-06-19T00:00:00.000Z</v>
      </c>
      <c r="Z196" s="189" t="str">
        <f>IFERROR(__xludf.DUMMYFUNCTION("""COMPUTED_VALUE"""),"The Ultimates_Ascent")</f>
        <v>The Ultimates_Ascent</v>
      </c>
    </row>
    <row r="197">
      <c r="A197" s="189">
        <f>IFERROR(__xludf.DUMMYFUNCTION("""COMPUTED_VALUE"""),207309.0)</f>
        <v>207309</v>
      </c>
      <c r="B197" s="189">
        <f>IFERROR(__xludf.DUMMYFUNCTION("""COMPUTED_VALUE"""),91356.0)</f>
        <v>91356</v>
      </c>
      <c r="C197" s="189" t="str">
        <f>IFERROR(__xludf.DUMMYFUNCTION("""COMPUTED_VALUE"""),"Saudi eLeague 2025: Major 2 - Playoffs")</f>
        <v>Saudi eLeague 2025: Major 2 - Playoffs</v>
      </c>
      <c r="D197" s="189" t="str">
        <f>IFERROR(__xludf.DUMMYFUNCTION("""COMPUTED_VALUE"""),"Icebox")</f>
        <v>Icebox</v>
      </c>
      <c r="E197" s="189" t="str">
        <f>IFERROR(__xludf.DUMMYFUNCTION("""COMPUTED_VALUE"""),"The Ultimates")</f>
        <v>The Ultimates</v>
      </c>
      <c r="F197" s="189" t="str">
        <f>IFERROR(__xludf.DUMMYFUNCTION("""COMPUTED_VALUE"""),"Twisted Minds Esports")</f>
        <v>Twisted Minds Esports</v>
      </c>
      <c r="G197" s="189" t="str">
        <f>IFERROR(__xludf.DUMMYFUNCTION("""COMPUTED_VALUE"""),"Reyna,Omen,KAY/O,Harbor,Gekko")</f>
        <v>Reyna,Omen,KAY/O,Harbor,Gekko</v>
      </c>
      <c r="H197" s="189" t="str">
        <f>IFERROR(__xludf.DUMMYFUNCTION("""COMPUTED_VALUE"""),"Sova,Killjoy,Viper,Jett,Harbor")</f>
        <v>Sova,Killjoy,Viper,Jett,Harbor</v>
      </c>
      <c r="I197" s="189">
        <f>IFERROR(__xludf.DUMMYFUNCTION("""COMPUTED_VALUE"""),13.0)</f>
        <v>13</v>
      </c>
      <c r="J197" s="189">
        <f>IFERROR(__xludf.DUMMYFUNCTION("""COMPUTED_VALUE"""),4.0)</f>
        <v>4</v>
      </c>
      <c r="K197" s="189">
        <f>IFERROR(__xludf.DUMMYFUNCTION("""COMPUTED_VALUE"""),10.0)</f>
        <v>10</v>
      </c>
      <c r="L197" s="189">
        <f>IFERROR(__xludf.DUMMYFUNCTION("""COMPUTED_VALUE"""),2.0)</f>
        <v>2</v>
      </c>
      <c r="M197" s="189">
        <f>IFERROR(__xludf.DUMMYFUNCTION("""COMPUTED_VALUE"""),0.0)</f>
        <v>0</v>
      </c>
      <c r="N197" s="189">
        <f>IFERROR(__xludf.DUMMYFUNCTION("""COMPUTED_VALUE"""),1.0)</f>
        <v>1</v>
      </c>
      <c r="O197" s="189">
        <f>IFERROR(__xludf.DUMMYFUNCTION("""COMPUTED_VALUE"""),3.0)</f>
        <v>3</v>
      </c>
      <c r="P197" s="189">
        <f>IFERROR(__xludf.DUMMYFUNCTION("""COMPUTED_VALUE"""),2.0)</f>
        <v>2</v>
      </c>
      <c r="Q197" s="189">
        <f>IFERROR(__xludf.DUMMYFUNCTION("""COMPUTED_VALUE"""),10.0)</f>
        <v>10</v>
      </c>
      <c r="R197" s="189">
        <f>IFERROR(__xludf.DUMMYFUNCTION("""COMPUTED_VALUE"""),2.0)</f>
        <v>2</v>
      </c>
      <c r="S197" s="189">
        <f>IFERROR(__xludf.DUMMYFUNCTION("""COMPUTED_VALUE"""),0.0)</f>
        <v>0</v>
      </c>
      <c r="T197" s="189">
        <f>IFERROR(__xludf.DUMMYFUNCTION("""COMPUTED_VALUE"""),1.0)</f>
        <v>1</v>
      </c>
      <c r="U197" s="189">
        <f>IFERROR(__xludf.DUMMYFUNCTION("""COMPUTED_VALUE"""),2.0)</f>
        <v>2</v>
      </c>
      <c r="V197" s="189">
        <f>IFERROR(__xludf.DUMMYFUNCTION("""COMPUTED_VALUE"""),10.0)</f>
        <v>10</v>
      </c>
      <c r="W197" s="189">
        <f>IFERROR(__xludf.DUMMYFUNCTION("""COMPUTED_VALUE"""),2.0)</f>
        <v>2</v>
      </c>
      <c r="X197" s="189">
        <f>IFERROR(__xludf.DUMMYFUNCTION("""COMPUTED_VALUE"""),3.0)</f>
        <v>3</v>
      </c>
      <c r="Y197" s="189" t="str">
        <f>IFERROR(__xludf.DUMMYFUNCTION("""COMPUTED_VALUE"""),"2025-06-19T00:00:00.000Z")</f>
        <v>2025-06-19T00:00:00.000Z</v>
      </c>
      <c r="Z197" s="189" t="str">
        <f>IFERROR(__xludf.DUMMYFUNCTION("""COMPUTED_VALUE"""),"The Ultimates_Icebox")</f>
        <v>The Ultimates_Icebox</v>
      </c>
    </row>
    <row r="198">
      <c r="A198" s="189">
        <f>IFERROR(__xludf.DUMMYFUNCTION("""COMPUTED_VALUE"""),207515.0)</f>
        <v>207515</v>
      </c>
      <c r="B198" s="189">
        <f>IFERROR(__xludf.DUMMYFUNCTION("""COMPUTED_VALUE"""),91432.0)</f>
        <v>91432</v>
      </c>
      <c r="C198" s="189" t="str">
        <f>IFERROR(__xludf.DUMMYFUNCTION("""COMPUTED_VALUE"""),"BtcTurk GameFest - Stage 2")</f>
        <v>BtcTurk GameFest - Stage 2</v>
      </c>
      <c r="D198" s="189" t="str">
        <f>IFERROR(__xludf.DUMMYFUNCTION("""COMPUTED_VALUE"""),"Haven")</f>
        <v>Haven</v>
      </c>
      <c r="E198" s="189" t="str">
        <f>IFERROR(__xludf.DUMMYFUNCTION("""COMPUTED_VALUE"""),"BBL PCIFIC")</f>
        <v>BBL PCIFIC</v>
      </c>
      <c r="F198" s="189" t="str">
        <f>IFERROR(__xludf.DUMMYFUNCTION("""COMPUTED_VALUE"""),"Eternal Fire")</f>
        <v>Eternal Fire</v>
      </c>
      <c r="G198" s="189" t="str">
        <f>IFERROR(__xludf.DUMMYFUNCTION("""COMPUTED_VALUE"""),"Breach,Cypher,Sova,Omen,Jett")</f>
        <v>Breach,Cypher,Sova,Omen,Jett</v>
      </c>
      <c r="H198" s="189" t="str">
        <f>IFERROR(__xludf.DUMMYFUNCTION("""COMPUTED_VALUE"""),"Cypher,Sova,Omen,Yoru,Iso")</f>
        <v>Cypher,Sova,Omen,Yoru,Iso</v>
      </c>
      <c r="I198" s="189">
        <f>IFERROR(__xludf.DUMMYFUNCTION("""COMPUTED_VALUE"""),13.0)</f>
        <v>13</v>
      </c>
      <c r="J198" s="189">
        <f>IFERROR(__xludf.DUMMYFUNCTION("""COMPUTED_VALUE"""),11.0)</f>
        <v>11</v>
      </c>
      <c r="K198" s="189">
        <f>IFERROR(__xludf.DUMMYFUNCTION("""COMPUTED_VALUE"""),5.0)</f>
        <v>5</v>
      </c>
      <c r="L198" s="189">
        <f>IFERROR(__xludf.DUMMYFUNCTION("""COMPUTED_VALUE"""),7.0)</f>
        <v>7</v>
      </c>
      <c r="M198" s="189">
        <f>IFERROR(__xludf.DUMMYFUNCTION("""COMPUTED_VALUE"""),0.0)</f>
        <v>0</v>
      </c>
      <c r="N198" s="189">
        <f>IFERROR(__xludf.DUMMYFUNCTION("""COMPUTED_VALUE"""),1.0)</f>
        <v>1</v>
      </c>
      <c r="O198" s="189">
        <f>IFERROR(__xludf.DUMMYFUNCTION("""COMPUTED_VALUE"""),5.0)</f>
        <v>5</v>
      </c>
      <c r="P198" s="189">
        <f>IFERROR(__xludf.DUMMYFUNCTION("""COMPUTED_VALUE"""),7.0)</f>
        <v>7</v>
      </c>
      <c r="Q198" s="189">
        <f>IFERROR(__xludf.DUMMYFUNCTION("""COMPUTED_VALUE"""),8.0)</f>
        <v>8</v>
      </c>
      <c r="R198" s="189">
        <f>IFERROR(__xludf.DUMMYFUNCTION("""COMPUTED_VALUE"""),4.0)</f>
        <v>4</v>
      </c>
      <c r="S198" s="189">
        <f>IFERROR(__xludf.DUMMYFUNCTION("""COMPUTED_VALUE"""),0.0)</f>
        <v>0</v>
      </c>
      <c r="T198" s="189">
        <f>IFERROR(__xludf.DUMMYFUNCTION("""COMPUTED_VALUE"""),1.0)</f>
        <v>1</v>
      </c>
      <c r="U198" s="189">
        <f>IFERROR(__xludf.DUMMYFUNCTION("""COMPUTED_VALUE"""),4.0)</f>
        <v>4</v>
      </c>
      <c r="V198" s="189">
        <f>IFERROR(__xludf.DUMMYFUNCTION("""COMPUTED_VALUE"""),8.0)</f>
        <v>8</v>
      </c>
      <c r="W198" s="189">
        <f>IFERROR(__xludf.DUMMYFUNCTION("""COMPUTED_VALUE"""),7.0)</f>
        <v>7</v>
      </c>
      <c r="X198" s="189">
        <f>IFERROR(__xludf.DUMMYFUNCTION("""COMPUTED_VALUE"""),5.0)</f>
        <v>5</v>
      </c>
      <c r="Y198" s="189" t="str">
        <f>IFERROR(__xludf.DUMMYFUNCTION("""COMPUTED_VALUE"""),"2025-06-19T00:00:00.000Z")</f>
        <v>2025-06-19T00:00:00.000Z</v>
      </c>
      <c r="Z198" s="189" t="str">
        <f>IFERROR(__xludf.DUMMYFUNCTION("""COMPUTED_VALUE"""),"BBL PCIFIC_Haven")</f>
        <v>BBL PCIFIC_Haven</v>
      </c>
    </row>
    <row r="199">
      <c r="A199" s="189">
        <f>IFERROR(__xludf.DUMMYFUNCTION("""COMPUTED_VALUE"""),207308.0)</f>
        <v>207308</v>
      </c>
      <c r="B199" s="189">
        <f>IFERROR(__xludf.DUMMYFUNCTION("""COMPUTED_VALUE"""),91356.0)</f>
        <v>91356</v>
      </c>
      <c r="C199" s="189" t="str">
        <f>IFERROR(__xludf.DUMMYFUNCTION("""COMPUTED_VALUE"""),"Saudi eLeague 2025: Major 2 - Playoffs")</f>
        <v>Saudi eLeague 2025: Major 2 - Playoffs</v>
      </c>
      <c r="D199" s="189" t="str">
        <f>IFERROR(__xludf.DUMMYFUNCTION("""COMPUTED_VALUE"""),"Split")</f>
        <v>Split</v>
      </c>
      <c r="E199" s="189" t="str">
        <f>IFERROR(__xludf.DUMMYFUNCTION("""COMPUTED_VALUE"""),"The Ultimates")</f>
        <v>The Ultimates</v>
      </c>
      <c r="F199" s="189" t="str">
        <f>IFERROR(__xludf.DUMMYFUNCTION("""COMPUTED_VALUE"""),"Twisted Minds Esports")</f>
        <v>Twisted Minds Esports</v>
      </c>
      <c r="G199" s="189" t="str">
        <f>IFERROR(__xludf.DUMMYFUNCTION("""COMPUTED_VALUE"""),"Breach,Raze,Cypher,Omen,Skye")</f>
        <v>Breach,Raze,Cypher,Omen,Skye</v>
      </c>
      <c r="H199" s="189" t="str">
        <f>IFERROR(__xludf.DUMMYFUNCTION("""COMPUTED_VALUE"""),"Raze,Viper,Omen,Yoru,Fade")</f>
        <v>Raze,Viper,Omen,Yoru,Fade</v>
      </c>
      <c r="I199" s="189">
        <f>IFERROR(__xludf.DUMMYFUNCTION("""COMPUTED_VALUE"""),11.0)</f>
        <v>11</v>
      </c>
      <c r="J199" s="189">
        <f>IFERROR(__xludf.DUMMYFUNCTION("""COMPUTED_VALUE"""),13.0)</f>
        <v>13</v>
      </c>
      <c r="K199" s="189">
        <f>IFERROR(__xludf.DUMMYFUNCTION("""COMPUTED_VALUE"""),8.0)</f>
        <v>8</v>
      </c>
      <c r="L199" s="189">
        <f>IFERROR(__xludf.DUMMYFUNCTION("""COMPUTED_VALUE"""),4.0)</f>
        <v>4</v>
      </c>
      <c r="M199" s="189">
        <f>IFERROR(__xludf.DUMMYFUNCTION("""COMPUTED_VALUE"""),1.0)</f>
        <v>1</v>
      </c>
      <c r="N199" s="189">
        <f>IFERROR(__xludf.DUMMYFUNCTION("""COMPUTED_VALUE"""),0.0)</f>
        <v>0</v>
      </c>
      <c r="O199" s="189">
        <f>IFERROR(__xludf.DUMMYFUNCTION("""COMPUTED_VALUE"""),3.0)</f>
        <v>3</v>
      </c>
      <c r="P199" s="189">
        <f>IFERROR(__xludf.DUMMYFUNCTION("""COMPUTED_VALUE"""),9.0)</f>
        <v>9</v>
      </c>
      <c r="Q199" s="189">
        <f>IFERROR(__xludf.DUMMYFUNCTION("""COMPUTED_VALUE"""),8.0)</f>
        <v>8</v>
      </c>
      <c r="R199" s="189">
        <f>IFERROR(__xludf.DUMMYFUNCTION("""COMPUTED_VALUE"""),4.0)</f>
        <v>4</v>
      </c>
      <c r="S199" s="189">
        <f>IFERROR(__xludf.DUMMYFUNCTION("""COMPUTED_VALUE"""),1.0)</f>
        <v>1</v>
      </c>
      <c r="T199" s="189">
        <f>IFERROR(__xludf.DUMMYFUNCTION("""COMPUTED_VALUE"""),0.0)</f>
        <v>0</v>
      </c>
      <c r="U199" s="189">
        <f>IFERROR(__xludf.DUMMYFUNCTION("""COMPUTED_VALUE"""),4.0)</f>
        <v>4</v>
      </c>
      <c r="V199" s="189">
        <f>IFERROR(__xludf.DUMMYFUNCTION("""COMPUTED_VALUE"""),8.0)</f>
        <v>8</v>
      </c>
      <c r="W199" s="189">
        <f>IFERROR(__xludf.DUMMYFUNCTION("""COMPUTED_VALUE"""),9.0)</f>
        <v>9</v>
      </c>
      <c r="X199" s="189">
        <f>IFERROR(__xludf.DUMMYFUNCTION("""COMPUTED_VALUE"""),3.0)</f>
        <v>3</v>
      </c>
      <c r="Y199" s="189" t="str">
        <f>IFERROR(__xludf.DUMMYFUNCTION("""COMPUTED_VALUE"""),"2025-06-19T00:00:00.000Z")</f>
        <v>2025-06-19T00:00:00.000Z</v>
      </c>
      <c r="Z199" s="189" t="str">
        <f>IFERROR(__xludf.DUMMYFUNCTION("""COMPUTED_VALUE"""),"The Ultimates_Split")</f>
        <v>The Ultimates_Split</v>
      </c>
    </row>
    <row r="200">
      <c r="A200" s="189">
        <f>IFERROR(__xludf.DUMMYFUNCTION("""COMPUTED_VALUE"""),207514.0)</f>
        <v>207514</v>
      </c>
      <c r="B200" s="189">
        <f>IFERROR(__xludf.DUMMYFUNCTION("""COMPUTED_VALUE"""),91432.0)</f>
        <v>91432</v>
      </c>
      <c r="C200" s="189" t="str">
        <f>IFERROR(__xludf.DUMMYFUNCTION("""COMPUTED_VALUE"""),"BtcTurk GameFest - Stage 2")</f>
        <v>BtcTurk GameFest - Stage 2</v>
      </c>
      <c r="D200" s="189" t="str">
        <f>IFERROR(__xludf.DUMMYFUNCTION("""COMPUTED_VALUE"""),"Split")</f>
        <v>Split</v>
      </c>
      <c r="E200" s="189" t="str">
        <f>IFERROR(__xludf.DUMMYFUNCTION("""COMPUTED_VALUE"""),"BBL PCIFIC")</f>
        <v>BBL PCIFIC</v>
      </c>
      <c r="F200" s="189" t="str">
        <f>IFERROR(__xludf.DUMMYFUNCTION("""COMPUTED_VALUE"""),"Eternal Fire")</f>
        <v>Eternal Fire</v>
      </c>
      <c r="G200" s="189" t="str">
        <f>IFERROR(__xludf.DUMMYFUNCTION("""COMPUTED_VALUE"""),"Raze,Viper,Omen,Yoru,Fade")</f>
        <v>Raze,Viper,Omen,Yoru,Fade</v>
      </c>
      <c r="H200" s="189" t="str">
        <f>IFERROR(__xludf.DUMMYFUNCTION("""COMPUTED_VALUE"""),"Raze,Viper,Omen,Yoru,Fade")</f>
        <v>Raze,Viper,Omen,Yoru,Fade</v>
      </c>
      <c r="I200" s="189">
        <f>IFERROR(__xludf.DUMMYFUNCTION("""COMPUTED_VALUE"""),13.0)</f>
        <v>13</v>
      </c>
      <c r="J200" s="189">
        <f>IFERROR(__xludf.DUMMYFUNCTION("""COMPUTED_VALUE"""),9.0)</f>
        <v>9</v>
      </c>
      <c r="K200" s="189">
        <f>IFERROR(__xludf.DUMMYFUNCTION("""COMPUTED_VALUE"""),7.0)</f>
        <v>7</v>
      </c>
      <c r="L200" s="189">
        <f>IFERROR(__xludf.DUMMYFUNCTION("""COMPUTED_VALUE"""),5.0)</f>
        <v>5</v>
      </c>
      <c r="M200" s="189">
        <f>IFERROR(__xludf.DUMMYFUNCTION("""COMPUTED_VALUE"""),1.0)</f>
        <v>1</v>
      </c>
      <c r="N200" s="189">
        <f>IFERROR(__xludf.DUMMYFUNCTION("""COMPUTED_VALUE"""),0.0)</f>
        <v>0</v>
      </c>
      <c r="O200" s="189">
        <f>IFERROR(__xludf.DUMMYFUNCTION("""COMPUTED_VALUE"""),6.0)</f>
        <v>6</v>
      </c>
      <c r="P200" s="189">
        <f>IFERROR(__xludf.DUMMYFUNCTION("""COMPUTED_VALUE"""),4.0)</f>
        <v>4</v>
      </c>
      <c r="Q200" s="189">
        <f>IFERROR(__xludf.DUMMYFUNCTION("""COMPUTED_VALUE"""),7.0)</f>
        <v>7</v>
      </c>
      <c r="R200" s="189">
        <f>IFERROR(__xludf.DUMMYFUNCTION("""COMPUTED_VALUE"""),5.0)</f>
        <v>5</v>
      </c>
      <c r="S200" s="189">
        <f>IFERROR(__xludf.DUMMYFUNCTION("""COMPUTED_VALUE"""),1.0)</f>
        <v>1</v>
      </c>
      <c r="T200" s="189">
        <f>IFERROR(__xludf.DUMMYFUNCTION("""COMPUTED_VALUE"""),0.0)</f>
        <v>0</v>
      </c>
      <c r="U200" s="189">
        <f>IFERROR(__xludf.DUMMYFUNCTION("""COMPUTED_VALUE"""),5.0)</f>
        <v>5</v>
      </c>
      <c r="V200" s="189">
        <f>IFERROR(__xludf.DUMMYFUNCTION("""COMPUTED_VALUE"""),7.0)</f>
        <v>7</v>
      </c>
      <c r="W200" s="189">
        <f>IFERROR(__xludf.DUMMYFUNCTION("""COMPUTED_VALUE"""),4.0)</f>
        <v>4</v>
      </c>
      <c r="X200" s="189">
        <f>IFERROR(__xludf.DUMMYFUNCTION("""COMPUTED_VALUE"""),6.0)</f>
        <v>6</v>
      </c>
      <c r="Y200" s="189" t="str">
        <f>IFERROR(__xludf.DUMMYFUNCTION("""COMPUTED_VALUE"""),"2025-06-19T00:00:00.000Z")</f>
        <v>2025-06-19T00:00:00.000Z</v>
      </c>
      <c r="Z200" s="189" t="str">
        <f>IFERROR(__xludf.DUMMYFUNCTION("""COMPUTED_VALUE"""),"BBL PCIFIC_Split")</f>
        <v>BBL PCIFIC_Split</v>
      </c>
    </row>
    <row r="201">
      <c r="A201" s="189">
        <f>IFERROR(__xludf.DUMMYFUNCTION("""COMPUTED_VALUE"""),207307.0)</f>
        <v>207307</v>
      </c>
      <c r="B201" s="189">
        <f>IFERROR(__xludf.DUMMYFUNCTION("""COMPUTED_VALUE"""),91356.0)</f>
        <v>91356</v>
      </c>
      <c r="C201" s="189" t="str">
        <f>IFERROR(__xludf.DUMMYFUNCTION("""COMPUTED_VALUE"""),"Saudi eLeague 2025: Major 2 - Playoffs")</f>
        <v>Saudi eLeague 2025: Major 2 - Playoffs</v>
      </c>
      <c r="D201" s="189" t="str">
        <f>IFERROR(__xludf.DUMMYFUNCTION("""COMPUTED_VALUE"""),"Haven")</f>
        <v>Haven</v>
      </c>
      <c r="E201" s="189" t="str">
        <f>IFERROR(__xludf.DUMMYFUNCTION("""COMPUTED_VALUE"""),"The Ultimates")</f>
        <v>The Ultimates</v>
      </c>
      <c r="F201" s="189" t="str">
        <f>IFERROR(__xludf.DUMMYFUNCTION("""COMPUTED_VALUE"""),"Twisted Minds Esports")</f>
        <v>Twisted Minds Esports</v>
      </c>
      <c r="G201" s="189" t="str">
        <f>IFERROR(__xludf.DUMMYFUNCTION("""COMPUTED_VALUE"""),"Breach,Cypher,Sova,Omen,Neon")</f>
        <v>Breach,Cypher,Sova,Omen,Neon</v>
      </c>
      <c r="H201" s="189" t="str">
        <f>IFERROR(__xludf.DUMMYFUNCTION("""COMPUTED_VALUE"""),"Breach,Cypher,Sova,Omen,Jett")</f>
        <v>Breach,Cypher,Sova,Omen,Jett</v>
      </c>
      <c r="I201" s="189">
        <f>IFERROR(__xludf.DUMMYFUNCTION("""COMPUTED_VALUE"""),14.0)</f>
        <v>14</v>
      </c>
      <c r="J201" s="189">
        <f>IFERROR(__xludf.DUMMYFUNCTION("""COMPUTED_VALUE"""),12.0)</f>
        <v>12</v>
      </c>
      <c r="K201" s="189">
        <f>IFERROR(__xludf.DUMMYFUNCTION("""COMPUTED_VALUE"""),8.0)</f>
        <v>8</v>
      </c>
      <c r="L201" s="189">
        <f>IFERROR(__xludf.DUMMYFUNCTION("""COMPUTED_VALUE"""),4.0)</f>
        <v>4</v>
      </c>
      <c r="M201" s="189">
        <f>IFERROR(__xludf.DUMMYFUNCTION("""COMPUTED_VALUE"""),1.0)</f>
        <v>1</v>
      </c>
      <c r="N201" s="189">
        <f>IFERROR(__xludf.DUMMYFUNCTION("""COMPUTED_VALUE"""),1.0)</f>
        <v>1</v>
      </c>
      <c r="O201" s="189">
        <f>IFERROR(__xludf.DUMMYFUNCTION("""COMPUTED_VALUE"""),5.0)</f>
        <v>5</v>
      </c>
      <c r="P201" s="189">
        <f>IFERROR(__xludf.DUMMYFUNCTION("""COMPUTED_VALUE"""),8.0)</f>
        <v>8</v>
      </c>
      <c r="Q201" s="189">
        <f>IFERROR(__xludf.DUMMYFUNCTION("""COMPUTED_VALUE"""),9.0)</f>
        <v>9</v>
      </c>
      <c r="R201" s="189">
        <f>IFERROR(__xludf.DUMMYFUNCTION("""COMPUTED_VALUE"""),4.0)</f>
        <v>4</v>
      </c>
      <c r="S201" s="189">
        <f>IFERROR(__xludf.DUMMYFUNCTION("""COMPUTED_VALUE"""),0.0)</f>
        <v>0</v>
      </c>
      <c r="T201" s="189">
        <f>IFERROR(__xludf.DUMMYFUNCTION("""COMPUTED_VALUE"""),0.0)</f>
        <v>0</v>
      </c>
      <c r="U201" s="189">
        <f>IFERROR(__xludf.DUMMYFUNCTION("""COMPUTED_VALUE"""),4.0)</f>
        <v>4</v>
      </c>
      <c r="V201" s="189">
        <f>IFERROR(__xludf.DUMMYFUNCTION("""COMPUTED_VALUE"""),9.0)</f>
        <v>9</v>
      </c>
      <c r="W201" s="189">
        <f>IFERROR(__xludf.DUMMYFUNCTION("""COMPUTED_VALUE"""),8.0)</f>
        <v>8</v>
      </c>
      <c r="X201" s="189">
        <f>IFERROR(__xludf.DUMMYFUNCTION("""COMPUTED_VALUE"""),5.0)</f>
        <v>5</v>
      </c>
      <c r="Y201" s="189" t="str">
        <f>IFERROR(__xludf.DUMMYFUNCTION("""COMPUTED_VALUE"""),"2025-06-19T00:00:00.000Z")</f>
        <v>2025-06-19T00:00:00.000Z</v>
      </c>
      <c r="Z201" s="189" t="str">
        <f>IFERROR(__xludf.DUMMYFUNCTION("""COMPUTED_VALUE"""),"The Ultimates_Haven")</f>
        <v>The Ultimates_Haven</v>
      </c>
    </row>
    <row r="202">
      <c r="A202" s="189">
        <f>IFERROR(__xludf.DUMMYFUNCTION("""COMPUTED_VALUE"""),207513.0)</f>
        <v>207513</v>
      </c>
      <c r="B202" s="189">
        <f>IFERROR(__xludf.DUMMYFUNCTION("""COMPUTED_VALUE"""),91432.0)</f>
        <v>91432</v>
      </c>
      <c r="C202" s="189" t="str">
        <f>IFERROR(__xludf.DUMMYFUNCTION("""COMPUTED_VALUE"""),"BtcTurk GameFest - Stage 2")</f>
        <v>BtcTurk GameFest - Stage 2</v>
      </c>
      <c r="D202" s="189" t="str">
        <f>IFERROR(__xludf.DUMMYFUNCTION("""COMPUTED_VALUE"""),"Icebox")</f>
        <v>Icebox</v>
      </c>
      <c r="E202" s="189" t="str">
        <f>IFERROR(__xludf.DUMMYFUNCTION("""COMPUTED_VALUE"""),"BBL PCIFIC")</f>
        <v>BBL PCIFIC</v>
      </c>
      <c r="F202" s="189" t="str">
        <f>IFERROR(__xludf.DUMMYFUNCTION("""COMPUTED_VALUE"""),"Eternal Fire")</f>
        <v>Eternal Fire</v>
      </c>
      <c r="G202" s="189" t="str">
        <f>IFERROR(__xludf.DUMMYFUNCTION("""COMPUTED_VALUE"""),"Sova,Killjoy,Viper,Jett,Gekko")</f>
        <v>Sova,Killjoy,Viper,Jett,Gekko</v>
      </c>
      <c r="H202" s="189" t="str">
        <f>IFERROR(__xludf.DUMMYFUNCTION("""COMPUTED_VALUE"""),"Sova,Killjoy,Viper,Omen,Jett")</f>
        <v>Sova,Killjoy,Viper,Omen,Jett</v>
      </c>
      <c r="I202" s="189">
        <f>IFERROR(__xludf.DUMMYFUNCTION("""COMPUTED_VALUE"""),8.0)</f>
        <v>8</v>
      </c>
      <c r="J202" s="189">
        <f>IFERROR(__xludf.DUMMYFUNCTION("""COMPUTED_VALUE"""),13.0)</f>
        <v>13</v>
      </c>
      <c r="K202" s="189">
        <f>IFERROR(__xludf.DUMMYFUNCTION("""COMPUTED_VALUE"""),5.0)</f>
        <v>5</v>
      </c>
      <c r="L202" s="189">
        <f>IFERROR(__xludf.DUMMYFUNCTION("""COMPUTED_VALUE"""),7.0)</f>
        <v>7</v>
      </c>
      <c r="M202" s="189">
        <f>IFERROR(__xludf.DUMMYFUNCTION("""COMPUTED_VALUE"""),1.0)</f>
        <v>1</v>
      </c>
      <c r="N202" s="189">
        <f>IFERROR(__xludf.DUMMYFUNCTION("""COMPUTED_VALUE"""),0.0)</f>
        <v>0</v>
      </c>
      <c r="O202" s="189">
        <f>IFERROR(__xludf.DUMMYFUNCTION("""COMPUTED_VALUE"""),5.0)</f>
        <v>5</v>
      </c>
      <c r="P202" s="189">
        <f>IFERROR(__xludf.DUMMYFUNCTION("""COMPUTED_VALUE"""),7.0)</f>
        <v>7</v>
      </c>
      <c r="Q202" s="189">
        <f>IFERROR(__xludf.DUMMYFUNCTION("""COMPUTED_VALUE"""),3.0)</f>
        <v>3</v>
      </c>
      <c r="R202" s="189">
        <f>IFERROR(__xludf.DUMMYFUNCTION("""COMPUTED_VALUE"""),6.0)</f>
        <v>6</v>
      </c>
      <c r="S202" s="189">
        <f>IFERROR(__xludf.DUMMYFUNCTION("""COMPUTED_VALUE"""),1.0)</f>
        <v>1</v>
      </c>
      <c r="T202" s="189">
        <f>IFERROR(__xludf.DUMMYFUNCTION("""COMPUTED_VALUE"""),0.0)</f>
        <v>0</v>
      </c>
      <c r="U202" s="189">
        <f>IFERROR(__xludf.DUMMYFUNCTION("""COMPUTED_VALUE"""),6.0)</f>
        <v>6</v>
      </c>
      <c r="V202" s="189">
        <f>IFERROR(__xludf.DUMMYFUNCTION("""COMPUTED_VALUE"""),3.0)</f>
        <v>3</v>
      </c>
      <c r="W202" s="189">
        <f>IFERROR(__xludf.DUMMYFUNCTION("""COMPUTED_VALUE"""),7.0)</f>
        <v>7</v>
      </c>
      <c r="X202" s="189">
        <f>IFERROR(__xludf.DUMMYFUNCTION("""COMPUTED_VALUE"""),5.0)</f>
        <v>5</v>
      </c>
      <c r="Y202" s="189" t="str">
        <f>IFERROR(__xludf.DUMMYFUNCTION("""COMPUTED_VALUE"""),"2025-06-19T00:00:00.000Z")</f>
        <v>2025-06-19T00:00:00.000Z</v>
      </c>
      <c r="Z202" s="189" t="str">
        <f>IFERROR(__xludf.DUMMYFUNCTION("""COMPUTED_VALUE"""),"BBL PCIFIC_Icebox")</f>
        <v>BBL PCIFIC_Icebox</v>
      </c>
    </row>
    <row r="203">
      <c r="A203" s="189">
        <f>IFERROR(__xludf.DUMMYFUNCTION("""COMPUTED_VALUE"""),207512.0)</f>
        <v>207512</v>
      </c>
      <c r="B203" s="189">
        <f>IFERROR(__xludf.DUMMYFUNCTION("""COMPUTED_VALUE"""),91432.0)</f>
        <v>91432</v>
      </c>
      <c r="C203" s="189" t="str">
        <f>IFERROR(__xludf.DUMMYFUNCTION("""COMPUTED_VALUE"""),"BtcTurk GameFest - Stage 2")</f>
        <v>BtcTurk GameFest - Stage 2</v>
      </c>
      <c r="D203" s="189" t="str">
        <f>IFERROR(__xludf.DUMMYFUNCTION("""COMPUTED_VALUE"""),"Sunset")</f>
        <v>Sunset</v>
      </c>
      <c r="E203" s="189" t="str">
        <f>IFERROR(__xludf.DUMMYFUNCTION("""COMPUTED_VALUE"""),"BBL PCIFIC")</f>
        <v>BBL PCIFIC</v>
      </c>
      <c r="F203" s="189" t="str">
        <f>IFERROR(__xludf.DUMMYFUNCTION("""COMPUTED_VALUE"""),"Eternal Fire")</f>
        <v>Eternal Fire</v>
      </c>
      <c r="G203" s="189" t="str">
        <f>IFERROR(__xludf.DUMMYFUNCTION("""COMPUTED_VALUE"""),"Breach,Cypher,Sova,Omen,Neon")</f>
        <v>Breach,Cypher,Sova,Omen,Neon</v>
      </c>
      <c r="H203" s="189" t="str">
        <f>IFERROR(__xludf.DUMMYFUNCTION("""COMPUTED_VALUE"""),"Cypher,Sova,Omen,Yoru,Iso")</f>
        <v>Cypher,Sova,Omen,Yoru,Iso</v>
      </c>
      <c r="I203" s="189">
        <f>IFERROR(__xludf.DUMMYFUNCTION("""COMPUTED_VALUE"""),4.0)</f>
        <v>4</v>
      </c>
      <c r="J203" s="189">
        <f>IFERROR(__xludf.DUMMYFUNCTION("""COMPUTED_VALUE"""),13.0)</f>
        <v>13</v>
      </c>
      <c r="K203" s="189">
        <f>IFERROR(__xludf.DUMMYFUNCTION("""COMPUTED_VALUE"""),2.0)</f>
        <v>2</v>
      </c>
      <c r="L203" s="189">
        <f>IFERROR(__xludf.DUMMYFUNCTION("""COMPUTED_VALUE"""),10.0)</f>
        <v>10</v>
      </c>
      <c r="M203" s="189">
        <f>IFERROR(__xludf.DUMMYFUNCTION("""COMPUTED_VALUE"""),0.0)</f>
        <v>0</v>
      </c>
      <c r="N203" s="189">
        <f>IFERROR(__xludf.DUMMYFUNCTION("""COMPUTED_VALUE"""),0.0)</f>
        <v>0</v>
      </c>
      <c r="O203" s="189">
        <f>IFERROR(__xludf.DUMMYFUNCTION("""COMPUTED_VALUE"""),2.0)</f>
        <v>2</v>
      </c>
      <c r="P203" s="189">
        <f>IFERROR(__xludf.DUMMYFUNCTION("""COMPUTED_VALUE"""),10.0)</f>
        <v>10</v>
      </c>
      <c r="Q203" s="189">
        <f>IFERROR(__xludf.DUMMYFUNCTION("""COMPUTED_VALUE"""),2.0)</f>
        <v>2</v>
      </c>
      <c r="R203" s="189">
        <f>IFERROR(__xludf.DUMMYFUNCTION("""COMPUTED_VALUE"""),3.0)</f>
        <v>3</v>
      </c>
      <c r="S203" s="189">
        <f>IFERROR(__xludf.DUMMYFUNCTION("""COMPUTED_VALUE"""),1.0)</f>
        <v>1</v>
      </c>
      <c r="T203" s="189">
        <f>IFERROR(__xludf.DUMMYFUNCTION("""COMPUTED_VALUE"""),1.0)</f>
        <v>1</v>
      </c>
      <c r="U203" s="189">
        <f>IFERROR(__xludf.DUMMYFUNCTION("""COMPUTED_VALUE"""),3.0)</f>
        <v>3</v>
      </c>
      <c r="V203" s="189">
        <f>IFERROR(__xludf.DUMMYFUNCTION("""COMPUTED_VALUE"""),2.0)</f>
        <v>2</v>
      </c>
      <c r="W203" s="189">
        <f>IFERROR(__xludf.DUMMYFUNCTION("""COMPUTED_VALUE"""),10.0)</f>
        <v>10</v>
      </c>
      <c r="X203" s="189">
        <f>IFERROR(__xludf.DUMMYFUNCTION("""COMPUTED_VALUE"""),2.0)</f>
        <v>2</v>
      </c>
      <c r="Y203" s="189" t="str">
        <f>IFERROR(__xludf.DUMMYFUNCTION("""COMPUTED_VALUE"""),"2025-06-19T00:00:00.000Z")</f>
        <v>2025-06-19T00:00:00.000Z</v>
      </c>
      <c r="Z203" s="189" t="str">
        <f>IFERROR(__xludf.DUMMYFUNCTION("""COMPUTED_VALUE"""),"BBL PCIFIC_Sunset")</f>
        <v>BBL PCIFIC_Sunset</v>
      </c>
    </row>
    <row r="204">
      <c r="A204" s="189">
        <f>IFERROR(__xludf.DUMMYFUNCTION("""COMPUTED_VALUE"""),207511.0)</f>
        <v>207511</v>
      </c>
      <c r="B204" s="189">
        <f>IFERROR(__xludf.DUMMYFUNCTION("""COMPUTED_VALUE"""),91432.0)</f>
        <v>91432</v>
      </c>
      <c r="C204" s="189" t="str">
        <f>IFERROR(__xludf.DUMMYFUNCTION("""COMPUTED_VALUE"""),"BtcTurk GameFest - Stage 2")</f>
        <v>BtcTurk GameFest - Stage 2</v>
      </c>
      <c r="D204" s="189" t="str">
        <f>IFERROR(__xludf.DUMMYFUNCTION("""COMPUTED_VALUE"""),"Lotus")</f>
        <v>Lotus</v>
      </c>
      <c r="E204" s="189" t="str">
        <f>IFERROR(__xludf.DUMMYFUNCTION("""COMPUTED_VALUE"""),"BBL PCIFIC")</f>
        <v>BBL PCIFIC</v>
      </c>
      <c r="F204" s="189" t="str">
        <f>IFERROR(__xludf.DUMMYFUNCTION("""COMPUTED_VALUE"""),"Eternal Fire")</f>
        <v>Eternal Fire</v>
      </c>
      <c r="G204" s="189" t="str">
        <f>IFERROR(__xludf.DUMMYFUNCTION("""COMPUTED_VALUE"""),"Breach,Cypher,Sova,Omen,Neon")</f>
        <v>Breach,Cypher,Sova,Omen,Neon</v>
      </c>
      <c r="H204" s="189" t="str">
        <f>IFERROR(__xludf.DUMMYFUNCTION("""COMPUTED_VALUE"""),"Viper,Omen,Yoru,Fade,Iso")</f>
        <v>Viper,Omen,Yoru,Fade,Iso</v>
      </c>
      <c r="I204" s="189">
        <f>IFERROR(__xludf.DUMMYFUNCTION("""COMPUTED_VALUE"""),13.0)</f>
        <v>13</v>
      </c>
      <c r="J204" s="189">
        <f>IFERROR(__xludf.DUMMYFUNCTION("""COMPUTED_VALUE"""),9.0)</f>
        <v>9</v>
      </c>
      <c r="K204" s="189">
        <f>IFERROR(__xludf.DUMMYFUNCTION("""COMPUTED_VALUE"""),6.0)</f>
        <v>6</v>
      </c>
      <c r="L204" s="189">
        <f>IFERROR(__xludf.DUMMYFUNCTION("""COMPUTED_VALUE"""),6.0)</f>
        <v>6</v>
      </c>
      <c r="M204" s="189">
        <f>IFERROR(__xludf.DUMMYFUNCTION("""COMPUTED_VALUE"""),0.0)</f>
        <v>0</v>
      </c>
      <c r="N204" s="189">
        <f>IFERROR(__xludf.DUMMYFUNCTION("""COMPUTED_VALUE"""),1.0)</f>
        <v>1</v>
      </c>
      <c r="O204" s="189">
        <f>IFERROR(__xludf.DUMMYFUNCTION("""COMPUTED_VALUE"""),6.0)</f>
        <v>6</v>
      </c>
      <c r="P204" s="189">
        <f>IFERROR(__xludf.DUMMYFUNCTION("""COMPUTED_VALUE"""),6.0)</f>
        <v>6</v>
      </c>
      <c r="Q204" s="189">
        <f>IFERROR(__xludf.DUMMYFUNCTION("""COMPUTED_VALUE"""),7.0)</f>
        <v>7</v>
      </c>
      <c r="R204" s="189">
        <f>IFERROR(__xludf.DUMMYFUNCTION("""COMPUTED_VALUE"""),3.0)</f>
        <v>3</v>
      </c>
      <c r="S204" s="189">
        <f>IFERROR(__xludf.DUMMYFUNCTION("""COMPUTED_VALUE"""),0.0)</f>
        <v>0</v>
      </c>
      <c r="T204" s="189">
        <f>IFERROR(__xludf.DUMMYFUNCTION("""COMPUTED_VALUE"""),1.0)</f>
        <v>1</v>
      </c>
      <c r="U204" s="189">
        <f>IFERROR(__xludf.DUMMYFUNCTION("""COMPUTED_VALUE"""),3.0)</f>
        <v>3</v>
      </c>
      <c r="V204" s="189">
        <f>IFERROR(__xludf.DUMMYFUNCTION("""COMPUTED_VALUE"""),7.0)</f>
        <v>7</v>
      </c>
      <c r="W204" s="189">
        <f>IFERROR(__xludf.DUMMYFUNCTION("""COMPUTED_VALUE"""),6.0)</f>
        <v>6</v>
      </c>
      <c r="X204" s="189">
        <f>IFERROR(__xludf.DUMMYFUNCTION("""COMPUTED_VALUE"""),6.0)</f>
        <v>6</v>
      </c>
      <c r="Y204" s="189" t="str">
        <f>IFERROR(__xludf.DUMMYFUNCTION("""COMPUTED_VALUE"""),"2025-06-19T00:00:00.000Z")</f>
        <v>2025-06-19T00:00:00.000Z</v>
      </c>
      <c r="Z204" s="189" t="str">
        <f>IFERROR(__xludf.DUMMYFUNCTION("""COMPUTED_VALUE"""),"BBL PCIFIC_Lotus")</f>
        <v>BBL PCIFIC_Lotus</v>
      </c>
    </row>
    <row r="205">
      <c r="A205" s="189">
        <f>IFERROR(__xludf.DUMMYFUNCTION("""COMPUTED_VALUE"""),206696.0)</f>
        <v>206696</v>
      </c>
      <c r="B205" s="189">
        <f>IFERROR(__xludf.DUMMYFUNCTION("""COMPUTED_VALUE"""),91132.0)</f>
        <v>91132</v>
      </c>
      <c r="C205" s="189" t="str">
        <f>IFERROR(__xludf.DUMMYFUNCTION("""COMPUTED_VALUE"""),"BtcTurk GameFest - Stage 2")</f>
        <v>BtcTurk GameFest - Stage 2</v>
      </c>
      <c r="D205" s="189" t="str">
        <f>IFERROR(__xludf.DUMMYFUNCTION("""COMPUTED_VALUE"""),"Split")</f>
        <v>Split</v>
      </c>
      <c r="E205" s="189" t="str">
        <f>IFERROR(__xludf.DUMMYFUNCTION("""COMPUTED_VALUE"""),"BBL PCIFIC")</f>
        <v>BBL PCIFIC</v>
      </c>
      <c r="F205" s="189" t="str">
        <f>IFERROR(__xludf.DUMMYFUNCTION("""COMPUTED_VALUE"""),"ULF Esports")</f>
        <v>ULF Esports</v>
      </c>
      <c r="G205" s="189" t="str">
        <f>IFERROR(__xludf.DUMMYFUNCTION("""COMPUTED_VALUE"""),"Raze,Viper,Omen,Yoru,Fade")</f>
        <v>Raze,Viper,Omen,Yoru,Fade</v>
      </c>
      <c r="H205" s="189" t="str">
        <f>IFERROR(__xludf.DUMMYFUNCTION("""COMPUTED_VALUE"""),"Raze,Viper,Omen,Yoru,Fade")</f>
        <v>Raze,Viper,Omen,Yoru,Fade</v>
      </c>
      <c r="I205" s="189">
        <f>IFERROR(__xludf.DUMMYFUNCTION("""COMPUTED_VALUE"""),4.0)</f>
        <v>4</v>
      </c>
      <c r="J205" s="189">
        <f>IFERROR(__xludf.DUMMYFUNCTION("""COMPUTED_VALUE"""),13.0)</f>
        <v>13</v>
      </c>
      <c r="K205" s="189">
        <f>IFERROR(__xludf.DUMMYFUNCTION("""COMPUTED_VALUE"""),2.0)</f>
        <v>2</v>
      </c>
      <c r="L205" s="189">
        <f>IFERROR(__xludf.DUMMYFUNCTION("""COMPUTED_VALUE"""),10.0)</f>
        <v>10</v>
      </c>
      <c r="M205" s="189">
        <f>IFERROR(__xludf.DUMMYFUNCTION("""COMPUTED_VALUE"""),0.0)</f>
        <v>0</v>
      </c>
      <c r="N205" s="189">
        <f>IFERROR(__xludf.DUMMYFUNCTION("""COMPUTED_VALUE"""),0.0)</f>
        <v>0</v>
      </c>
      <c r="O205" s="189">
        <f>IFERROR(__xludf.DUMMYFUNCTION("""COMPUTED_VALUE"""),2.0)</f>
        <v>2</v>
      </c>
      <c r="P205" s="189">
        <f>IFERROR(__xludf.DUMMYFUNCTION("""COMPUTED_VALUE"""),3.0)</f>
        <v>3</v>
      </c>
      <c r="Q205" s="189">
        <f>IFERROR(__xludf.DUMMYFUNCTION("""COMPUTED_VALUE"""),2.0)</f>
        <v>2</v>
      </c>
      <c r="R205" s="189">
        <f>IFERROR(__xludf.DUMMYFUNCTION("""COMPUTED_VALUE"""),10.0)</f>
        <v>10</v>
      </c>
      <c r="S205" s="189">
        <f>IFERROR(__xludf.DUMMYFUNCTION("""COMPUTED_VALUE"""),1.0)</f>
        <v>1</v>
      </c>
      <c r="T205" s="189">
        <f>IFERROR(__xludf.DUMMYFUNCTION("""COMPUTED_VALUE"""),1.0)</f>
        <v>1</v>
      </c>
      <c r="U205" s="189">
        <f>IFERROR(__xludf.DUMMYFUNCTION("""COMPUTED_VALUE"""),10.0)</f>
        <v>10</v>
      </c>
      <c r="V205" s="189">
        <f>IFERROR(__xludf.DUMMYFUNCTION("""COMPUTED_VALUE"""),2.0)</f>
        <v>2</v>
      </c>
      <c r="W205" s="189">
        <f>IFERROR(__xludf.DUMMYFUNCTION("""COMPUTED_VALUE"""),3.0)</f>
        <v>3</v>
      </c>
      <c r="X205" s="189">
        <f>IFERROR(__xludf.DUMMYFUNCTION("""COMPUTED_VALUE"""),2.0)</f>
        <v>2</v>
      </c>
      <c r="Y205" s="189" t="str">
        <f>IFERROR(__xludf.DUMMYFUNCTION("""COMPUTED_VALUE"""),"2025-06-18T00:00:00.000Z")</f>
        <v>2025-06-18T00:00:00.000Z</v>
      </c>
      <c r="Z205" s="189" t="str">
        <f>IFERROR(__xludf.DUMMYFUNCTION("""COMPUTED_VALUE"""),"BBL PCIFIC_Split")</f>
        <v>BBL PCIFIC_Split</v>
      </c>
    </row>
    <row r="206">
      <c r="A206" s="189">
        <f>IFERROR(__xludf.DUMMYFUNCTION("""COMPUTED_VALUE"""),207251.0)</f>
        <v>207251</v>
      </c>
      <c r="B206" s="189">
        <f>IFERROR(__xludf.DUMMYFUNCTION("""COMPUTED_VALUE"""),91337.0)</f>
        <v>91337</v>
      </c>
      <c r="C206" s="189" t="str">
        <f>IFERROR(__xludf.DUMMYFUNCTION("""COMPUTED_VALUE"""),"Saudi eLeague 2025: Major 2 - Playoffs")</f>
        <v>Saudi eLeague 2025: Major 2 - Playoffs</v>
      </c>
      <c r="D206" s="189" t="str">
        <f>IFERROR(__xludf.DUMMYFUNCTION("""COMPUTED_VALUE"""),"Split")</f>
        <v>Split</v>
      </c>
      <c r="E206" s="189" t="str">
        <f>IFERROR(__xludf.DUMMYFUNCTION("""COMPUTED_VALUE"""),"Twisted Minds Esports")</f>
        <v>Twisted Minds Esports</v>
      </c>
      <c r="F206" s="189" t="str">
        <f>IFERROR(__xludf.DUMMYFUNCTION("""COMPUTED_VALUE"""),"AlQadsiah Esports")</f>
        <v>AlQadsiah Esports</v>
      </c>
      <c r="G206" s="189" t="str">
        <f>IFERROR(__xludf.DUMMYFUNCTION("""COMPUTED_VALUE"""),"Raze,Viper,Omen,Yoru,Fade")</f>
        <v>Raze,Viper,Omen,Yoru,Fade</v>
      </c>
      <c r="H206" s="189" t="str">
        <f>IFERROR(__xludf.DUMMYFUNCTION("""COMPUTED_VALUE"""),"Breach,Raze,Viper,Omen,Fade")</f>
        <v>Breach,Raze,Viper,Omen,Fade</v>
      </c>
      <c r="I206" s="189">
        <f>IFERROR(__xludf.DUMMYFUNCTION("""COMPUTED_VALUE"""),16.0)</f>
        <v>16</v>
      </c>
      <c r="J206" s="189">
        <f>IFERROR(__xludf.DUMMYFUNCTION("""COMPUTED_VALUE"""),14.0)</f>
        <v>14</v>
      </c>
      <c r="K206" s="189">
        <f>IFERROR(__xludf.DUMMYFUNCTION("""COMPUTED_VALUE"""),4.0)</f>
        <v>4</v>
      </c>
      <c r="L206" s="189">
        <f>IFERROR(__xludf.DUMMYFUNCTION("""COMPUTED_VALUE"""),8.0)</f>
        <v>8</v>
      </c>
      <c r="M206" s="189">
        <f>IFERROR(__xludf.DUMMYFUNCTION("""COMPUTED_VALUE"""),0.0)</f>
        <v>0</v>
      </c>
      <c r="N206" s="189">
        <f>IFERROR(__xludf.DUMMYFUNCTION("""COMPUTED_VALUE"""),0.0)</f>
        <v>0</v>
      </c>
      <c r="O206" s="189">
        <f>IFERROR(__xludf.DUMMYFUNCTION("""COMPUTED_VALUE"""),10.0)</f>
        <v>10</v>
      </c>
      <c r="P206" s="189">
        <f>IFERROR(__xludf.DUMMYFUNCTION("""COMPUTED_VALUE"""),5.0)</f>
        <v>5</v>
      </c>
      <c r="Q206" s="189">
        <f>IFERROR(__xludf.DUMMYFUNCTION("""COMPUTED_VALUE"""),6.0)</f>
        <v>6</v>
      </c>
      <c r="R206" s="189">
        <f>IFERROR(__xludf.DUMMYFUNCTION("""COMPUTED_VALUE"""),9.0)</f>
        <v>9</v>
      </c>
      <c r="S206" s="189">
        <f>IFERROR(__xludf.DUMMYFUNCTION("""COMPUTED_VALUE"""),1.0)</f>
        <v>1</v>
      </c>
      <c r="T206" s="189">
        <f>IFERROR(__xludf.DUMMYFUNCTION("""COMPUTED_VALUE"""),1.0)</f>
        <v>1</v>
      </c>
      <c r="U206" s="189">
        <f>IFERROR(__xludf.DUMMYFUNCTION("""COMPUTED_VALUE"""),9.0)</f>
        <v>9</v>
      </c>
      <c r="V206" s="189">
        <f>IFERROR(__xludf.DUMMYFUNCTION("""COMPUTED_VALUE"""),6.0)</f>
        <v>6</v>
      </c>
      <c r="W206" s="189">
        <f>IFERROR(__xludf.DUMMYFUNCTION("""COMPUTED_VALUE"""),5.0)</f>
        <v>5</v>
      </c>
      <c r="X206" s="189">
        <f>IFERROR(__xludf.DUMMYFUNCTION("""COMPUTED_VALUE"""),10.0)</f>
        <v>10</v>
      </c>
      <c r="Y206" s="189" t="str">
        <f>IFERROR(__xludf.DUMMYFUNCTION("""COMPUTED_VALUE"""),"2025-06-18T00:00:00.000Z")</f>
        <v>2025-06-18T00:00:00.000Z</v>
      </c>
      <c r="Z206" s="189" t="str">
        <f>IFERROR(__xludf.DUMMYFUNCTION("""COMPUTED_VALUE"""),"Twisted Minds Esports_Split")</f>
        <v>Twisted Minds Esports_Split</v>
      </c>
    </row>
    <row r="207">
      <c r="A207" s="189">
        <f>IFERROR(__xludf.DUMMYFUNCTION("""COMPUTED_VALUE"""),206695.0)</f>
        <v>206695</v>
      </c>
      <c r="B207" s="189">
        <f>IFERROR(__xludf.DUMMYFUNCTION("""COMPUTED_VALUE"""),91132.0)</f>
        <v>91132</v>
      </c>
      <c r="C207" s="189" t="str">
        <f>IFERROR(__xludf.DUMMYFUNCTION("""COMPUTED_VALUE"""),"BtcTurk GameFest - Stage 2")</f>
        <v>BtcTurk GameFest - Stage 2</v>
      </c>
      <c r="D207" s="189" t="str">
        <f>IFERROR(__xludf.DUMMYFUNCTION("""COMPUTED_VALUE"""),"Lotus")</f>
        <v>Lotus</v>
      </c>
      <c r="E207" s="189" t="str">
        <f>IFERROR(__xludf.DUMMYFUNCTION("""COMPUTED_VALUE"""),"BBL PCIFIC")</f>
        <v>BBL PCIFIC</v>
      </c>
      <c r="F207" s="189" t="str">
        <f>IFERROR(__xludf.DUMMYFUNCTION("""COMPUTED_VALUE"""),"ULF Esports")</f>
        <v>ULF Esports</v>
      </c>
      <c r="G207" s="189" t="str">
        <f>IFERROR(__xludf.DUMMYFUNCTION("""COMPUTED_VALUE"""),"Breach,Cypher,Sova,Omen,Neon")</f>
        <v>Breach,Cypher,Sova,Omen,Neon</v>
      </c>
      <c r="H207" s="189" t="str">
        <f>IFERROR(__xludf.DUMMYFUNCTION("""COMPUTED_VALUE"""),"Raze,Omen,Yoru,Fade,Vyse")</f>
        <v>Raze,Omen,Yoru,Fade,Vyse</v>
      </c>
      <c r="I207" s="189">
        <f>IFERROR(__xludf.DUMMYFUNCTION("""COMPUTED_VALUE"""),9.0)</f>
        <v>9</v>
      </c>
      <c r="J207" s="189">
        <f>IFERROR(__xludf.DUMMYFUNCTION("""COMPUTED_VALUE"""),13.0)</f>
        <v>13</v>
      </c>
      <c r="K207" s="189">
        <f>IFERROR(__xludf.DUMMYFUNCTION("""COMPUTED_VALUE"""),6.0)</f>
        <v>6</v>
      </c>
      <c r="L207" s="189">
        <f>IFERROR(__xludf.DUMMYFUNCTION("""COMPUTED_VALUE"""),6.0)</f>
        <v>6</v>
      </c>
      <c r="M207" s="189">
        <f>IFERROR(__xludf.DUMMYFUNCTION("""COMPUTED_VALUE"""),0.0)</f>
        <v>0</v>
      </c>
      <c r="N207" s="189">
        <f>IFERROR(__xludf.DUMMYFUNCTION("""COMPUTED_VALUE"""),1.0)</f>
        <v>1</v>
      </c>
      <c r="O207" s="189">
        <f>IFERROR(__xludf.DUMMYFUNCTION("""COMPUTED_VALUE"""),6.0)</f>
        <v>6</v>
      </c>
      <c r="P207" s="189">
        <f>IFERROR(__xludf.DUMMYFUNCTION("""COMPUTED_VALUE"""),6.0)</f>
        <v>6</v>
      </c>
      <c r="Q207" s="189">
        <f>IFERROR(__xludf.DUMMYFUNCTION("""COMPUTED_VALUE"""),3.0)</f>
        <v>3</v>
      </c>
      <c r="R207" s="189">
        <f>IFERROR(__xludf.DUMMYFUNCTION("""COMPUTED_VALUE"""),7.0)</f>
        <v>7</v>
      </c>
      <c r="S207" s="189">
        <f>IFERROR(__xludf.DUMMYFUNCTION("""COMPUTED_VALUE"""),0.0)</f>
        <v>0</v>
      </c>
      <c r="T207" s="189">
        <f>IFERROR(__xludf.DUMMYFUNCTION("""COMPUTED_VALUE"""),1.0)</f>
        <v>1</v>
      </c>
      <c r="U207" s="189">
        <f>IFERROR(__xludf.DUMMYFUNCTION("""COMPUTED_VALUE"""),7.0)</f>
        <v>7</v>
      </c>
      <c r="V207" s="189">
        <f>IFERROR(__xludf.DUMMYFUNCTION("""COMPUTED_VALUE"""),3.0)</f>
        <v>3</v>
      </c>
      <c r="W207" s="189">
        <f>IFERROR(__xludf.DUMMYFUNCTION("""COMPUTED_VALUE"""),6.0)</f>
        <v>6</v>
      </c>
      <c r="X207" s="189">
        <f>IFERROR(__xludf.DUMMYFUNCTION("""COMPUTED_VALUE"""),6.0)</f>
        <v>6</v>
      </c>
      <c r="Y207" s="189" t="str">
        <f>IFERROR(__xludf.DUMMYFUNCTION("""COMPUTED_VALUE"""),"2025-06-18T00:00:00.000Z")</f>
        <v>2025-06-18T00:00:00.000Z</v>
      </c>
      <c r="Z207" s="189" t="str">
        <f>IFERROR(__xludf.DUMMYFUNCTION("""COMPUTED_VALUE"""),"BBL PCIFIC_Lotus")</f>
        <v>BBL PCIFIC_Lotus</v>
      </c>
    </row>
    <row r="208">
      <c r="A208" s="189">
        <f>IFERROR(__xludf.DUMMYFUNCTION("""COMPUTED_VALUE"""),207250.0)</f>
        <v>207250</v>
      </c>
      <c r="B208" s="189">
        <f>IFERROR(__xludf.DUMMYFUNCTION("""COMPUTED_VALUE"""),91337.0)</f>
        <v>91337</v>
      </c>
      <c r="C208" s="189" t="str">
        <f>IFERROR(__xludf.DUMMYFUNCTION("""COMPUTED_VALUE"""),"Saudi eLeague 2025: Major 2 - Playoffs")</f>
        <v>Saudi eLeague 2025: Major 2 - Playoffs</v>
      </c>
      <c r="D208" s="189" t="str">
        <f>IFERROR(__xludf.DUMMYFUNCTION("""COMPUTED_VALUE"""),"Icebox")</f>
        <v>Icebox</v>
      </c>
      <c r="E208" s="189" t="str">
        <f>IFERROR(__xludf.DUMMYFUNCTION("""COMPUTED_VALUE"""),"Twisted Minds Esports")</f>
        <v>Twisted Minds Esports</v>
      </c>
      <c r="F208" s="189" t="str">
        <f>IFERROR(__xludf.DUMMYFUNCTION("""COMPUTED_VALUE"""),"AlQadsiah Esports")</f>
        <v>AlQadsiah Esports</v>
      </c>
      <c r="G208" s="189" t="str">
        <f>IFERROR(__xludf.DUMMYFUNCTION("""COMPUTED_VALUE"""),"Sova,Killjoy,Viper,Jett,Harbor")</f>
        <v>Sova,Killjoy,Viper,Jett,Harbor</v>
      </c>
      <c r="H208" s="189" t="str">
        <f>IFERROR(__xludf.DUMMYFUNCTION("""COMPUTED_VALUE"""),"Sova,Killjoy,Viper,Jett,Gekko")</f>
        <v>Sova,Killjoy,Viper,Jett,Gekko</v>
      </c>
      <c r="I208" s="189">
        <f>IFERROR(__xludf.DUMMYFUNCTION("""COMPUTED_VALUE"""),13.0)</f>
        <v>13</v>
      </c>
      <c r="J208" s="189">
        <f>IFERROR(__xludf.DUMMYFUNCTION("""COMPUTED_VALUE"""),8.0)</f>
        <v>8</v>
      </c>
      <c r="K208" s="189">
        <f>IFERROR(__xludf.DUMMYFUNCTION("""COMPUTED_VALUE"""),9.0)</f>
        <v>9</v>
      </c>
      <c r="L208" s="189">
        <f>IFERROR(__xludf.DUMMYFUNCTION("""COMPUTED_VALUE"""),3.0)</f>
        <v>3</v>
      </c>
      <c r="M208" s="189">
        <f>IFERROR(__xludf.DUMMYFUNCTION("""COMPUTED_VALUE"""),0.0)</f>
        <v>0</v>
      </c>
      <c r="N208" s="189">
        <f>IFERROR(__xludf.DUMMYFUNCTION("""COMPUTED_VALUE"""),1.0)</f>
        <v>1</v>
      </c>
      <c r="O208" s="189">
        <f>IFERROR(__xludf.DUMMYFUNCTION("""COMPUTED_VALUE"""),4.0)</f>
        <v>4</v>
      </c>
      <c r="P208" s="189">
        <f>IFERROR(__xludf.DUMMYFUNCTION("""COMPUTED_VALUE"""),5.0)</f>
        <v>5</v>
      </c>
      <c r="Q208" s="189">
        <f>IFERROR(__xludf.DUMMYFUNCTION("""COMPUTED_VALUE"""),9.0)</f>
        <v>9</v>
      </c>
      <c r="R208" s="189">
        <f>IFERROR(__xludf.DUMMYFUNCTION("""COMPUTED_VALUE"""),3.0)</f>
        <v>3</v>
      </c>
      <c r="S208" s="189">
        <f>IFERROR(__xludf.DUMMYFUNCTION("""COMPUTED_VALUE"""),0.0)</f>
        <v>0</v>
      </c>
      <c r="T208" s="189">
        <f>IFERROR(__xludf.DUMMYFUNCTION("""COMPUTED_VALUE"""),1.0)</f>
        <v>1</v>
      </c>
      <c r="U208" s="189">
        <f>IFERROR(__xludf.DUMMYFUNCTION("""COMPUTED_VALUE"""),3.0)</f>
        <v>3</v>
      </c>
      <c r="V208" s="189">
        <f>IFERROR(__xludf.DUMMYFUNCTION("""COMPUTED_VALUE"""),9.0)</f>
        <v>9</v>
      </c>
      <c r="W208" s="189">
        <f>IFERROR(__xludf.DUMMYFUNCTION("""COMPUTED_VALUE"""),5.0)</f>
        <v>5</v>
      </c>
      <c r="X208" s="189">
        <f>IFERROR(__xludf.DUMMYFUNCTION("""COMPUTED_VALUE"""),4.0)</f>
        <v>4</v>
      </c>
      <c r="Y208" s="189" t="str">
        <f>IFERROR(__xludf.DUMMYFUNCTION("""COMPUTED_VALUE"""),"2025-06-18T00:00:00.000Z")</f>
        <v>2025-06-18T00:00:00.000Z</v>
      </c>
      <c r="Z208" s="189" t="str">
        <f>IFERROR(__xludf.DUMMYFUNCTION("""COMPUTED_VALUE"""),"Twisted Minds Esports_Icebox")</f>
        <v>Twisted Minds Esports_Icebox</v>
      </c>
    </row>
    <row r="209">
      <c r="A209" s="189">
        <f>IFERROR(__xludf.DUMMYFUNCTION("""COMPUTED_VALUE"""),206633.0)</f>
        <v>206633</v>
      </c>
      <c r="B209" s="189">
        <f>IFERROR(__xludf.DUMMYFUNCTION("""COMPUTED_VALUE"""),91111.0)</f>
        <v>91111</v>
      </c>
      <c r="C209" s="189" t="str">
        <f>IFERROR(__xludf.DUMMYFUNCTION("""COMPUTED_VALUE"""),"A1 eSports Cup #8")</f>
        <v>A1 eSports Cup #8</v>
      </c>
      <c r="D209" s="189" t="str">
        <f>IFERROR(__xludf.DUMMYFUNCTION("""COMPUTED_VALUE"""),"Icebox")</f>
        <v>Icebox</v>
      </c>
      <c r="E209" s="189" t="str">
        <f>IFERROR(__xludf.DUMMYFUNCTION("""COMPUTED_VALUE"""),"MOUZ")</f>
        <v>MOUZ</v>
      </c>
      <c r="F209" s="189" t="str">
        <f>IFERROR(__xludf.DUMMYFUNCTION("""COMPUTED_VALUE"""),"CGN Esports")</f>
        <v>CGN Esports</v>
      </c>
      <c r="G209" s="189" t="str">
        <f>IFERROR(__xludf.DUMMYFUNCTION("""COMPUTED_VALUE"""),"Sova,Killjoy,Viper,Jett,KAY/O")</f>
        <v>Sova,Killjoy,Viper,Jett,KAY/O</v>
      </c>
      <c r="H209" s="189" t="str">
        <f>IFERROR(__xludf.DUMMYFUNCTION("""COMPUTED_VALUE"""),"Sova,Killjoy,Viper,Jett,KAY/O")</f>
        <v>Sova,Killjoy,Viper,Jett,KAY/O</v>
      </c>
      <c r="I209" s="189">
        <f>IFERROR(__xludf.DUMMYFUNCTION("""COMPUTED_VALUE"""),13.0)</f>
        <v>13</v>
      </c>
      <c r="J209" s="189">
        <f>IFERROR(__xludf.DUMMYFUNCTION("""COMPUTED_VALUE"""),4.0)</f>
        <v>4</v>
      </c>
      <c r="K209" s="189">
        <f>IFERROR(__xludf.DUMMYFUNCTION("""COMPUTED_VALUE"""),8.0)</f>
        <v>8</v>
      </c>
      <c r="L209" s="189">
        <f>IFERROR(__xludf.DUMMYFUNCTION("""COMPUTED_VALUE"""),4.0)</f>
        <v>4</v>
      </c>
      <c r="M209" s="189">
        <f>IFERROR(__xludf.DUMMYFUNCTION("""COMPUTED_VALUE"""),1.0)</f>
        <v>1</v>
      </c>
      <c r="N209" s="189">
        <f>IFERROR(__xludf.DUMMYFUNCTION("""COMPUTED_VALUE"""),1.0)</f>
        <v>1</v>
      </c>
      <c r="O209" s="189">
        <f>IFERROR(__xludf.DUMMYFUNCTION("""COMPUTED_VALUE"""),5.0)</f>
        <v>5</v>
      </c>
      <c r="P209" s="189">
        <f>IFERROR(__xludf.DUMMYFUNCTION("""COMPUTED_VALUE"""),0.0)</f>
        <v>0</v>
      </c>
      <c r="Q209" s="189">
        <f>IFERROR(__xludf.DUMMYFUNCTION("""COMPUTED_VALUE"""),8.0)</f>
        <v>8</v>
      </c>
      <c r="R209" s="189">
        <f>IFERROR(__xludf.DUMMYFUNCTION("""COMPUTED_VALUE"""),4.0)</f>
        <v>4</v>
      </c>
      <c r="S209" s="189">
        <f>IFERROR(__xludf.DUMMYFUNCTION("""COMPUTED_VALUE"""),0.0)</f>
        <v>0</v>
      </c>
      <c r="T209" s="189">
        <f>IFERROR(__xludf.DUMMYFUNCTION("""COMPUTED_VALUE"""),0.0)</f>
        <v>0</v>
      </c>
      <c r="U209" s="189">
        <f>IFERROR(__xludf.DUMMYFUNCTION("""COMPUTED_VALUE"""),4.0)</f>
        <v>4</v>
      </c>
      <c r="V209" s="189">
        <f>IFERROR(__xludf.DUMMYFUNCTION("""COMPUTED_VALUE"""),8.0)</f>
        <v>8</v>
      </c>
      <c r="W209" s="189">
        <f>IFERROR(__xludf.DUMMYFUNCTION("""COMPUTED_VALUE"""),0.0)</f>
        <v>0</v>
      </c>
      <c r="X209" s="189">
        <f>IFERROR(__xludf.DUMMYFUNCTION("""COMPUTED_VALUE"""),5.0)</f>
        <v>5</v>
      </c>
      <c r="Y209" s="189" t="str">
        <f>IFERROR(__xludf.DUMMYFUNCTION("""COMPUTED_VALUE"""),"2025-06-17T00:00:00.000Z")</f>
        <v>2025-06-17T00:00:00.000Z</v>
      </c>
      <c r="Z209" s="189" t="str">
        <f>IFERROR(__xludf.DUMMYFUNCTION("""COMPUTED_VALUE"""),"MOUZ_Icebox")</f>
        <v>MOUZ_Icebox</v>
      </c>
    </row>
    <row r="210">
      <c r="A210" s="189">
        <f>IFERROR(__xludf.DUMMYFUNCTION("""COMPUTED_VALUE"""),206632.0)</f>
        <v>206632</v>
      </c>
      <c r="B210" s="189">
        <f>IFERROR(__xludf.DUMMYFUNCTION("""COMPUTED_VALUE"""),91111.0)</f>
        <v>91111</v>
      </c>
      <c r="C210" s="189" t="str">
        <f>IFERROR(__xludf.DUMMYFUNCTION("""COMPUTED_VALUE"""),"A1 eSports Cup #8")</f>
        <v>A1 eSports Cup #8</v>
      </c>
      <c r="D210" s="189" t="str">
        <f>IFERROR(__xludf.DUMMYFUNCTION("""COMPUTED_VALUE"""),"Pearl")</f>
        <v>Pearl</v>
      </c>
      <c r="E210" s="189" t="str">
        <f>IFERROR(__xludf.DUMMYFUNCTION("""COMPUTED_VALUE"""),"MOUZ")</f>
        <v>MOUZ</v>
      </c>
      <c r="F210" s="189" t="str">
        <f>IFERROR(__xludf.DUMMYFUNCTION("""COMPUTED_VALUE"""),"CGN Esports")</f>
        <v>CGN Esports</v>
      </c>
      <c r="G210" s="189" t="str">
        <f>IFERROR(__xludf.DUMMYFUNCTION("""COMPUTED_VALUE"""),"Yoru,Astra,KAY/O,Fade,Vyse")</f>
        <v>Yoru,Astra,KAY/O,Fade,Vyse</v>
      </c>
      <c r="H210" s="189" t="str">
        <f>IFERROR(__xludf.DUMMYFUNCTION("""COMPUTED_VALUE"""),"Cypher,Sova,Yoru,Astra,KAY/O")</f>
        <v>Cypher,Sova,Yoru,Astra,KAY/O</v>
      </c>
      <c r="I210" s="189">
        <f>IFERROR(__xludf.DUMMYFUNCTION("""COMPUTED_VALUE"""),13.0)</f>
        <v>13</v>
      </c>
      <c r="J210" s="189">
        <f>IFERROR(__xludf.DUMMYFUNCTION("""COMPUTED_VALUE"""),8.0)</f>
        <v>8</v>
      </c>
      <c r="K210" s="189">
        <f>IFERROR(__xludf.DUMMYFUNCTION("""COMPUTED_VALUE"""),7.0)</f>
        <v>7</v>
      </c>
      <c r="L210" s="189">
        <f>IFERROR(__xludf.DUMMYFUNCTION("""COMPUTED_VALUE"""),5.0)</f>
        <v>5</v>
      </c>
      <c r="M210" s="189">
        <f>IFERROR(__xludf.DUMMYFUNCTION("""COMPUTED_VALUE"""),1.0)</f>
        <v>1</v>
      </c>
      <c r="N210" s="189">
        <f>IFERROR(__xludf.DUMMYFUNCTION("""COMPUTED_VALUE"""),1.0)</f>
        <v>1</v>
      </c>
      <c r="O210" s="189">
        <f>IFERROR(__xludf.DUMMYFUNCTION("""COMPUTED_VALUE"""),6.0)</f>
        <v>6</v>
      </c>
      <c r="P210" s="189">
        <f>IFERROR(__xludf.DUMMYFUNCTION("""COMPUTED_VALUE"""),3.0)</f>
        <v>3</v>
      </c>
      <c r="Q210" s="189">
        <f>IFERROR(__xludf.DUMMYFUNCTION("""COMPUTED_VALUE"""),7.0)</f>
        <v>7</v>
      </c>
      <c r="R210" s="189">
        <f>IFERROR(__xludf.DUMMYFUNCTION("""COMPUTED_VALUE"""),5.0)</f>
        <v>5</v>
      </c>
      <c r="S210" s="189">
        <f>IFERROR(__xludf.DUMMYFUNCTION("""COMPUTED_VALUE"""),0.0)</f>
        <v>0</v>
      </c>
      <c r="T210" s="189">
        <f>IFERROR(__xludf.DUMMYFUNCTION("""COMPUTED_VALUE"""),0.0)</f>
        <v>0</v>
      </c>
      <c r="U210" s="189">
        <f>IFERROR(__xludf.DUMMYFUNCTION("""COMPUTED_VALUE"""),5.0)</f>
        <v>5</v>
      </c>
      <c r="V210" s="189">
        <f>IFERROR(__xludf.DUMMYFUNCTION("""COMPUTED_VALUE"""),7.0)</f>
        <v>7</v>
      </c>
      <c r="W210" s="189">
        <f>IFERROR(__xludf.DUMMYFUNCTION("""COMPUTED_VALUE"""),3.0)</f>
        <v>3</v>
      </c>
      <c r="X210" s="189">
        <f>IFERROR(__xludf.DUMMYFUNCTION("""COMPUTED_VALUE"""),6.0)</f>
        <v>6</v>
      </c>
      <c r="Y210" s="189" t="str">
        <f>IFERROR(__xludf.DUMMYFUNCTION("""COMPUTED_VALUE"""),"2025-06-17T00:00:00.000Z")</f>
        <v>2025-06-17T00:00:00.000Z</v>
      </c>
      <c r="Z210" s="189" t="str">
        <f>IFERROR(__xludf.DUMMYFUNCTION("""COMPUTED_VALUE"""),"MOUZ_Pearl")</f>
        <v>MOUZ_Pearl</v>
      </c>
    </row>
    <row r="211">
      <c r="A211" s="189">
        <f>IFERROR(__xludf.DUMMYFUNCTION("""COMPUTED_VALUE"""),204947.0)</f>
        <v>204947</v>
      </c>
      <c r="B211" s="189">
        <f>IFERROR(__xludf.DUMMYFUNCTION("""COMPUTED_VALUE"""),90467.0)</f>
        <v>90467</v>
      </c>
      <c r="C211" s="189" t="str">
        <f>IFERROR(__xludf.DUMMYFUNCTION("""COMPUTED_VALUE"""),"Challengers League 2025 MENA: Resilience - GPI - Split 2 - Group Stage")</f>
        <v>Challengers League 2025 MENA: Resilience - GPI - Split 2 - Group Stage</v>
      </c>
      <c r="D211" s="189" t="str">
        <f>IFERROR(__xludf.DUMMYFUNCTION("""COMPUTED_VALUE"""),"Sunset")</f>
        <v>Sunset</v>
      </c>
      <c r="E211" s="189" t="str">
        <f>IFERROR(__xludf.DUMMYFUNCTION("""COMPUTED_VALUE"""),"The Ultimates")</f>
        <v>The Ultimates</v>
      </c>
      <c r="F211" s="189" t="str">
        <f>IFERROR(__xludf.DUMMYFUNCTION("""COMPUTED_VALUE"""),"RvN")</f>
        <v>RvN</v>
      </c>
      <c r="G211" s="189" t="str">
        <f>IFERROR(__xludf.DUMMYFUNCTION("""COMPUTED_VALUE"""),"Breach,Raze,Cypher,Omen,Fade")</f>
        <v>Breach,Raze,Cypher,Omen,Fade</v>
      </c>
      <c r="H211" s="189" t="str">
        <f>IFERROR(__xludf.DUMMYFUNCTION("""COMPUTED_VALUE"""),"Breach,Cypher,Sova,Omen,Neon")</f>
        <v>Breach,Cypher,Sova,Omen,Neon</v>
      </c>
      <c r="I211" s="189">
        <f>IFERROR(__xludf.DUMMYFUNCTION("""COMPUTED_VALUE"""),10.0)</f>
        <v>10</v>
      </c>
      <c r="J211" s="189">
        <f>IFERROR(__xludf.DUMMYFUNCTION("""COMPUTED_VALUE"""),13.0)</f>
        <v>13</v>
      </c>
      <c r="K211" s="189">
        <f>IFERROR(__xludf.DUMMYFUNCTION("""COMPUTED_VALUE"""),4.0)</f>
        <v>4</v>
      </c>
      <c r="L211" s="189">
        <f>IFERROR(__xludf.DUMMYFUNCTION("""COMPUTED_VALUE"""),8.0)</f>
        <v>8</v>
      </c>
      <c r="M211" s="189">
        <f>IFERROR(__xludf.DUMMYFUNCTION("""COMPUTED_VALUE"""),1.0)</f>
        <v>1</v>
      </c>
      <c r="N211" s="189">
        <f>IFERROR(__xludf.DUMMYFUNCTION("""COMPUTED_VALUE"""),0.0)</f>
        <v>0</v>
      </c>
      <c r="O211" s="189">
        <f>IFERROR(__xludf.DUMMYFUNCTION("""COMPUTED_VALUE"""),6.0)</f>
        <v>6</v>
      </c>
      <c r="P211" s="189">
        <f>IFERROR(__xludf.DUMMYFUNCTION("""COMPUTED_VALUE"""),5.0)</f>
        <v>5</v>
      </c>
      <c r="Q211" s="189">
        <f>IFERROR(__xludf.DUMMYFUNCTION("""COMPUTED_VALUE"""),4.0)</f>
        <v>4</v>
      </c>
      <c r="R211" s="189">
        <f>IFERROR(__xludf.DUMMYFUNCTION("""COMPUTED_VALUE"""),8.0)</f>
        <v>8</v>
      </c>
      <c r="S211" s="189">
        <f>IFERROR(__xludf.DUMMYFUNCTION("""COMPUTED_VALUE"""),1.0)</f>
        <v>1</v>
      </c>
      <c r="T211" s="189">
        <f>IFERROR(__xludf.DUMMYFUNCTION("""COMPUTED_VALUE"""),0.0)</f>
        <v>0</v>
      </c>
      <c r="U211" s="189">
        <f>IFERROR(__xludf.DUMMYFUNCTION("""COMPUTED_VALUE"""),8.0)</f>
        <v>8</v>
      </c>
      <c r="V211" s="189">
        <f>IFERROR(__xludf.DUMMYFUNCTION("""COMPUTED_VALUE"""),4.0)</f>
        <v>4</v>
      </c>
      <c r="W211" s="189">
        <f>IFERROR(__xludf.DUMMYFUNCTION("""COMPUTED_VALUE"""),5.0)</f>
        <v>5</v>
      </c>
      <c r="X211" s="189">
        <f>IFERROR(__xludf.DUMMYFUNCTION("""COMPUTED_VALUE"""),6.0)</f>
        <v>6</v>
      </c>
      <c r="Y211" s="189" t="str">
        <f>IFERROR(__xludf.DUMMYFUNCTION("""COMPUTED_VALUE"""),"2025-06-14T00:00:00.000Z")</f>
        <v>2025-06-14T00:00:00.000Z</v>
      </c>
      <c r="Z211" s="189" t="str">
        <f>IFERROR(__xludf.DUMMYFUNCTION("""COMPUTED_VALUE"""),"The Ultimates_Sunset")</f>
        <v>The Ultimates_Sunset</v>
      </c>
    </row>
    <row r="212">
      <c r="A212" s="189">
        <f>IFERROR(__xludf.DUMMYFUNCTION("""COMPUTED_VALUE"""),204946.0)</f>
        <v>204946</v>
      </c>
      <c r="B212" s="189">
        <f>IFERROR(__xludf.DUMMYFUNCTION("""COMPUTED_VALUE"""),90467.0)</f>
        <v>90467</v>
      </c>
      <c r="C212" s="189" t="str">
        <f>IFERROR(__xludf.DUMMYFUNCTION("""COMPUTED_VALUE"""),"Challengers League 2025 MENA: Resilience - GPI - Split 2 - Group Stage")</f>
        <v>Challengers League 2025 MENA: Resilience - GPI - Split 2 - Group Stage</v>
      </c>
      <c r="D212" s="189" t="str">
        <f>IFERROR(__xludf.DUMMYFUNCTION("""COMPUTED_VALUE"""),"Icebox")</f>
        <v>Icebox</v>
      </c>
      <c r="E212" s="189" t="str">
        <f>IFERROR(__xludf.DUMMYFUNCTION("""COMPUTED_VALUE"""),"The Ultimates")</f>
        <v>The Ultimates</v>
      </c>
      <c r="F212" s="189" t="str">
        <f>IFERROR(__xludf.DUMMYFUNCTION("""COMPUTED_VALUE"""),"RvN")</f>
        <v>RvN</v>
      </c>
      <c r="G212" s="189" t="str">
        <f>IFERROR(__xludf.DUMMYFUNCTION("""COMPUTED_VALUE"""),"Reyna,Omen,KAY/O,Harbor,Gekko")</f>
        <v>Reyna,Omen,KAY/O,Harbor,Gekko</v>
      </c>
      <c r="H212" s="189" t="str">
        <f>IFERROR(__xludf.DUMMYFUNCTION("""COMPUTED_VALUE"""),"Sova,Killjoy,Viper,Jett,Harbor")</f>
        <v>Sova,Killjoy,Viper,Jett,Harbor</v>
      </c>
      <c r="I212" s="189">
        <f>IFERROR(__xludf.DUMMYFUNCTION("""COMPUTED_VALUE"""),13.0)</f>
        <v>13</v>
      </c>
      <c r="J212" s="189">
        <f>IFERROR(__xludf.DUMMYFUNCTION("""COMPUTED_VALUE"""),8.0)</f>
        <v>8</v>
      </c>
      <c r="K212" s="189">
        <f>IFERROR(__xludf.DUMMYFUNCTION("""COMPUTED_VALUE"""),7.0)</f>
        <v>7</v>
      </c>
      <c r="L212" s="189">
        <f>IFERROR(__xludf.DUMMYFUNCTION("""COMPUTED_VALUE"""),5.0)</f>
        <v>5</v>
      </c>
      <c r="M212" s="189">
        <f>IFERROR(__xludf.DUMMYFUNCTION("""COMPUTED_VALUE"""),1.0)</f>
        <v>1</v>
      </c>
      <c r="N212" s="189">
        <f>IFERROR(__xludf.DUMMYFUNCTION("""COMPUTED_VALUE"""),0.0)</f>
        <v>0</v>
      </c>
      <c r="O212" s="189">
        <f>IFERROR(__xludf.DUMMYFUNCTION("""COMPUTED_VALUE"""),6.0)</f>
        <v>6</v>
      </c>
      <c r="P212" s="189">
        <f>IFERROR(__xludf.DUMMYFUNCTION("""COMPUTED_VALUE"""),3.0)</f>
        <v>3</v>
      </c>
      <c r="Q212" s="189">
        <f>IFERROR(__xludf.DUMMYFUNCTION("""COMPUTED_VALUE"""),7.0)</f>
        <v>7</v>
      </c>
      <c r="R212" s="189">
        <f>IFERROR(__xludf.DUMMYFUNCTION("""COMPUTED_VALUE"""),5.0)</f>
        <v>5</v>
      </c>
      <c r="S212" s="189">
        <f>IFERROR(__xludf.DUMMYFUNCTION("""COMPUTED_VALUE"""),1.0)</f>
        <v>1</v>
      </c>
      <c r="T212" s="189">
        <f>IFERROR(__xludf.DUMMYFUNCTION("""COMPUTED_VALUE"""),0.0)</f>
        <v>0</v>
      </c>
      <c r="U212" s="189">
        <f>IFERROR(__xludf.DUMMYFUNCTION("""COMPUTED_VALUE"""),5.0)</f>
        <v>5</v>
      </c>
      <c r="V212" s="189">
        <f>IFERROR(__xludf.DUMMYFUNCTION("""COMPUTED_VALUE"""),7.0)</f>
        <v>7</v>
      </c>
      <c r="W212" s="189">
        <f>IFERROR(__xludf.DUMMYFUNCTION("""COMPUTED_VALUE"""),3.0)</f>
        <v>3</v>
      </c>
      <c r="X212" s="189">
        <f>IFERROR(__xludf.DUMMYFUNCTION("""COMPUTED_VALUE"""),6.0)</f>
        <v>6</v>
      </c>
      <c r="Y212" s="189" t="str">
        <f>IFERROR(__xludf.DUMMYFUNCTION("""COMPUTED_VALUE"""),"2025-06-14T00:00:00.000Z")</f>
        <v>2025-06-14T00:00:00.000Z</v>
      </c>
      <c r="Z212" s="189" t="str">
        <f>IFERROR(__xludf.DUMMYFUNCTION("""COMPUTED_VALUE"""),"The Ultimates_Icebox")</f>
        <v>The Ultimates_Icebox</v>
      </c>
    </row>
    <row r="213">
      <c r="A213" s="189">
        <f>IFERROR(__xludf.DUMMYFUNCTION("""COMPUTED_VALUE"""),204945.0)</f>
        <v>204945</v>
      </c>
      <c r="B213" s="189">
        <f>IFERROR(__xludf.DUMMYFUNCTION("""COMPUTED_VALUE"""),90467.0)</f>
        <v>90467</v>
      </c>
      <c r="C213" s="189" t="str">
        <f>IFERROR(__xludf.DUMMYFUNCTION("""COMPUTED_VALUE"""),"Challengers League 2025 MENA: Resilience - GPI - Split 2 - Group Stage")</f>
        <v>Challengers League 2025 MENA: Resilience - GPI - Split 2 - Group Stage</v>
      </c>
      <c r="D213" s="189" t="str">
        <f>IFERROR(__xludf.DUMMYFUNCTION("""COMPUTED_VALUE"""),"Lotus")</f>
        <v>Lotus</v>
      </c>
      <c r="E213" s="189" t="str">
        <f>IFERROR(__xludf.DUMMYFUNCTION("""COMPUTED_VALUE"""),"The Ultimates")</f>
        <v>The Ultimates</v>
      </c>
      <c r="F213" s="189" t="str">
        <f>IFERROR(__xludf.DUMMYFUNCTION("""COMPUTED_VALUE"""),"RvN")</f>
        <v>RvN</v>
      </c>
      <c r="G213" s="189" t="str">
        <f>IFERROR(__xludf.DUMMYFUNCTION("""COMPUTED_VALUE"""),"Breach,Viper,Omen,Neon,Fade")</f>
        <v>Breach,Viper,Omen,Neon,Fade</v>
      </c>
      <c r="H213" s="189" t="str">
        <f>IFERROR(__xludf.DUMMYFUNCTION("""COMPUTED_VALUE"""),"Breach,Cypher,Omen,Neon,Fade")</f>
        <v>Breach,Cypher,Omen,Neon,Fade</v>
      </c>
      <c r="I213" s="189">
        <f>IFERROR(__xludf.DUMMYFUNCTION("""COMPUTED_VALUE"""),11.0)</f>
        <v>11</v>
      </c>
      <c r="J213" s="189">
        <f>IFERROR(__xludf.DUMMYFUNCTION("""COMPUTED_VALUE"""),13.0)</f>
        <v>13</v>
      </c>
      <c r="K213" s="189">
        <f>IFERROR(__xludf.DUMMYFUNCTION("""COMPUTED_VALUE"""),4.0)</f>
        <v>4</v>
      </c>
      <c r="L213" s="189">
        <f>IFERROR(__xludf.DUMMYFUNCTION("""COMPUTED_VALUE"""),8.0)</f>
        <v>8</v>
      </c>
      <c r="M213" s="189">
        <f>IFERROR(__xludf.DUMMYFUNCTION("""COMPUTED_VALUE"""),0.0)</f>
        <v>0</v>
      </c>
      <c r="N213" s="189">
        <f>IFERROR(__xludf.DUMMYFUNCTION("""COMPUTED_VALUE"""),1.0)</f>
        <v>1</v>
      </c>
      <c r="O213" s="189">
        <f>IFERROR(__xludf.DUMMYFUNCTION("""COMPUTED_VALUE"""),7.0)</f>
        <v>7</v>
      </c>
      <c r="P213" s="189">
        <f>IFERROR(__xludf.DUMMYFUNCTION("""COMPUTED_VALUE"""),5.0)</f>
        <v>5</v>
      </c>
      <c r="Q213" s="189">
        <f>IFERROR(__xludf.DUMMYFUNCTION("""COMPUTED_VALUE"""),4.0)</f>
        <v>4</v>
      </c>
      <c r="R213" s="189">
        <f>IFERROR(__xludf.DUMMYFUNCTION("""COMPUTED_VALUE"""),8.0)</f>
        <v>8</v>
      </c>
      <c r="S213" s="189">
        <f>IFERROR(__xludf.DUMMYFUNCTION("""COMPUTED_VALUE"""),0.0)</f>
        <v>0</v>
      </c>
      <c r="T213" s="189">
        <f>IFERROR(__xludf.DUMMYFUNCTION("""COMPUTED_VALUE"""),1.0)</f>
        <v>1</v>
      </c>
      <c r="U213" s="189">
        <f>IFERROR(__xludf.DUMMYFUNCTION("""COMPUTED_VALUE"""),8.0)</f>
        <v>8</v>
      </c>
      <c r="V213" s="189">
        <f>IFERROR(__xludf.DUMMYFUNCTION("""COMPUTED_VALUE"""),4.0)</f>
        <v>4</v>
      </c>
      <c r="W213" s="189">
        <f>IFERROR(__xludf.DUMMYFUNCTION("""COMPUTED_VALUE"""),5.0)</f>
        <v>5</v>
      </c>
      <c r="X213" s="189">
        <f>IFERROR(__xludf.DUMMYFUNCTION("""COMPUTED_VALUE"""),7.0)</f>
        <v>7</v>
      </c>
      <c r="Y213" s="189" t="str">
        <f>IFERROR(__xludf.DUMMYFUNCTION("""COMPUTED_VALUE"""),"2025-06-14T00:00:00.000Z")</f>
        <v>2025-06-14T00:00:00.000Z</v>
      </c>
      <c r="Z213" s="189" t="str">
        <f>IFERROR(__xludf.DUMMYFUNCTION("""COMPUTED_VALUE"""),"The Ultimates_Lotus")</f>
        <v>The Ultimates_Lotus</v>
      </c>
    </row>
    <row r="214">
      <c r="A214" s="189">
        <f>IFERROR(__xludf.DUMMYFUNCTION("""COMPUTED_VALUE"""),206693.0)</f>
        <v>206693</v>
      </c>
      <c r="B214" s="189">
        <f>IFERROR(__xludf.DUMMYFUNCTION("""COMPUTED_VALUE"""),91131.0)</f>
        <v>91131</v>
      </c>
      <c r="C214" s="189" t="str">
        <f>IFERROR(__xludf.DUMMYFUNCTION("""COMPUTED_VALUE"""),"BtcTurk GameFest - Stage 2")</f>
        <v>BtcTurk GameFest - Stage 2</v>
      </c>
      <c r="D214" s="189" t="str">
        <f>IFERROR(__xludf.DUMMYFUNCTION("""COMPUTED_VALUE"""),"Sunset")</f>
        <v>Sunset</v>
      </c>
      <c r="E214" s="189" t="str">
        <f>IFERROR(__xludf.DUMMYFUNCTION("""COMPUTED_VALUE"""),"ULF Esports")</f>
        <v>ULF Esports</v>
      </c>
      <c r="F214" s="189" t="str">
        <f>IFERROR(__xludf.DUMMYFUNCTION("""COMPUTED_VALUE"""),"Eternal Fire")</f>
        <v>Eternal Fire</v>
      </c>
      <c r="G214" s="189" t="str">
        <f>IFERROR(__xludf.DUMMYFUNCTION("""COMPUTED_VALUE"""),"Breach,Sova,Omen,Neon,Vyse")</f>
        <v>Breach,Sova,Omen,Neon,Vyse</v>
      </c>
      <c r="H214" s="189" t="str">
        <f>IFERROR(__xludf.DUMMYFUNCTION("""COMPUTED_VALUE"""),"Cypher,Sova,Omen,Yoru,Iso")</f>
        <v>Cypher,Sova,Omen,Yoru,Iso</v>
      </c>
      <c r="I214" s="189">
        <f>IFERROR(__xludf.DUMMYFUNCTION("""COMPUTED_VALUE"""),13.0)</f>
        <v>13</v>
      </c>
      <c r="J214" s="189">
        <f>IFERROR(__xludf.DUMMYFUNCTION("""COMPUTED_VALUE"""),9.0)</f>
        <v>9</v>
      </c>
      <c r="K214" s="189">
        <f>IFERROR(__xludf.DUMMYFUNCTION("""COMPUTED_VALUE"""),7.0)</f>
        <v>7</v>
      </c>
      <c r="L214" s="189">
        <f>IFERROR(__xludf.DUMMYFUNCTION("""COMPUTED_VALUE"""),5.0)</f>
        <v>5</v>
      </c>
      <c r="M214" s="189">
        <f>IFERROR(__xludf.DUMMYFUNCTION("""COMPUTED_VALUE"""),1.0)</f>
        <v>1</v>
      </c>
      <c r="N214" s="189">
        <f>IFERROR(__xludf.DUMMYFUNCTION("""COMPUTED_VALUE"""),1.0)</f>
        <v>1</v>
      </c>
      <c r="O214" s="189">
        <f>IFERROR(__xludf.DUMMYFUNCTION("""COMPUTED_VALUE"""),7.0)</f>
        <v>7</v>
      </c>
      <c r="P214" s="189">
        <f>IFERROR(__xludf.DUMMYFUNCTION("""COMPUTED_VALUE"""),5.0)</f>
        <v>5</v>
      </c>
      <c r="Q214" s="189">
        <f>IFERROR(__xludf.DUMMYFUNCTION("""COMPUTED_VALUE"""),6.0)</f>
        <v>6</v>
      </c>
      <c r="R214" s="189">
        <f>IFERROR(__xludf.DUMMYFUNCTION("""COMPUTED_VALUE"""),4.0)</f>
        <v>4</v>
      </c>
      <c r="S214" s="189">
        <f>IFERROR(__xludf.DUMMYFUNCTION("""COMPUTED_VALUE"""),0.0)</f>
        <v>0</v>
      </c>
      <c r="T214" s="189">
        <f>IFERROR(__xludf.DUMMYFUNCTION("""COMPUTED_VALUE"""),0.0)</f>
        <v>0</v>
      </c>
      <c r="U214" s="189">
        <f>IFERROR(__xludf.DUMMYFUNCTION("""COMPUTED_VALUE"""),4.0)</f>
        <v>4</v>
      </c>
      <c r="V214" s="189">
        <f>IFERROR(__xludf.DUMMYFUNCTION("""COMPUTED_VALUE"""),6.0)</f>
        <v>6</v>
      </c>
      <c r="W214" s="189">
        <f>IFERROR(__xludf.DUMMYFUNCTION("""COMPUTED_VALUE"""),5.0)</f>
        <v>5</v>
      </c>
      <c r="X214" s="189">
        <f>IFERROR(__xludf.DUMMYFUNCTION("""COMPUTED_VALUE"""),7.0)</f>
        <v>7</v>
      </c>
      <c r="Y214" s="189" t="str">
        <f>IFERROR(__xludf.DUMMYFUNCTION("""COMPUTED_VALUE"""),"2025-06-12T00:00:00.000Z")</f>
        <v>2025-06-12T00:00:00.000Z</v>
      </c>
      <c r="Z214" s="189" t="str">
        <f>IFERROR(__xludf.DUMMYFUNCTION("""COMPUTED_VALUE"""),"ULF Esports_Sunset")</f>
        <v>ULF Esports_Sunset</v>
      </c>
    </row>
    <row r="215">
      <c r="A215" s="189">
        <f>IFERROR(__xludf.DUMMYFUNCTION("""COMPUTED_VALUE"""),205852.0)</f>
        <v>205852</v>
      </c>
      <c r="B215" s="189">
        <f>IFERROR(__xludf.DUMMYFUNCTION("""COMPUTED_VALUE"""),90797.0)</f>
        <v>90797</v>
      </c>
      <c r="C215" s="189" t="str">
        <f>IFERROR(__xludf.DUMMYFUNCTION("""COMPUTED_VALUE"""),"A1 eSports Cup #8")</f>
        <v>A1 eSports Cup #8</v>
      </c>
      <c r="D215" s="189" t="str">
        <f>IFERROR(__xludf.DUMMYFUNCTION("""COMPUTED_VALUE"""),"Split")</f>
        <v>Split</v>
      </c>
      <c r="E215" s="189" t="str">
        <f>IFERROR(__xludf.DUMMYFUNCTION("""COMPUTED_VALUE"""),"Eintracht Frankfurt")</f>
        <v>Eintracht Frankfurt</v>
      </c>
      <c r="F215" s="189" t="str">
        <f>IFERROR(__xludf.DUMMYFUNCTION("""COMPUTED_VALUE"""),"MOUZ")</f>
        <v>MOUZ</v>
      </c>
      <c r="G215" s="189" t="str">
        <f>IFERROR(__xludf.DUMMYFUNCTION("""COMPUTED_VALUE"""),"Raze,Viper,Yoru,Astra,Fade")</f>
        <v>Raze,Viper,Yoru,Astra,Fade</v>
      </c>
      <c r="H215" s="189" t="str">
        <f>IFERROR(__xludf.DUMMYFUNCTION("""COMPUTED_VALUE"""),"Raze,Viper,Yoru,Astra,Fade")</f>
        <v>Raze,Viper,Yoru,Astra,Fade</v>
      </c>
      <c r="I215" s="189">
        <f>IFERROR(__xludf.DUMMYFUNCTION("""COMPUTED_VALUE"""),13.0)</f>
        <v>13</v>
      </c>
      <c r="J215" s="189">
        <f>IFERROR(__xludf.DUMMYFUNCTION("""COMPUTED_VALUE"""),4.0)</f>
        <v>4</v>
      </c>
      <c r="K215" s="189">
        <f>IFERROR(__xludf.DUMMYFUNCTION("""COMPUTED_VALUE"""),10.0)</f>
        <v>10</v>
      </c>
      <c r="L215" s="189">
        <f>IFERROR(__xludf.DUMMYFUNCTION("""COMPUTED_VALUE"""),2.0)</f>
        <v>2</v>
      </c>
      <c r="M215" s="189">
        <f>IFERROR(__xludf.DUMMYFUNCTION("""COMPUTED_VALUE"""),1.0)</f>
        <v>1</v>
      </c>
      <c r="N215" s="189">
        <f>IFERROR(__xludf.DUMMYFUNCTION("""COMPUTED_VALUE"""),1.0)</f>
        <v>1</v>
      </c>
      <c r="O215" s="189">
        <f>IFERROR(__xludf.DUMMYFUNCTION("""COMPUTED_VALUE"""),3.0)</f>
        <v>3</v>
      </c>
      <c r="P215" s="189">
        <f>IFERROR(__xludf.DUMMYFUNCTION("""COMPUTED_VALUE"""),2.0)</f>
        <v>2</v>
      </c>
      <c r="Q215" s="189">
        <f>IFERROR(__xludf.DUMMYFUNCTION("""COMPUTED_VALUE"""),10.0)</f>
        <v>10</v>
      </c>
      <c r="R215" s="189">
        <f>IFERROR(__xludf.DUMMYFUNCTION("""COMPUTED_VALUE"""),2.0)</f>
        <v>2</v>
      </c>
      <c r="S215" s="189">
        <f>IFERROR(__xludf.DUMMYFUNCTION("""COMPUTED_VALUE"""),0.0)</f>
        <v>0</v>
      </c>
      <c r="T215" s="189">
        <f>IFERROR(__xludf.DUMMYFUNCTION("""COMPUTED_VALUE"""),0.0)</f>
        <v>0</v>
      </c>
      <c r="U215" s="189">
        <f>IFERROR(__xludf.DUMMYFUNCTION("""COMPUTED_VALUE"""),2.0)</f>
        <v>2</v>
      </c>
      <c r="V215" s="189">
        <f>IFERROR(__xludf.DUMMYFUNCTION("""COMPUTED_VALUE"""),10.0)</f>
        <v>10</v>
      </c>
      <c r="W215" s="189">
        <f>IFERROR(__xludf.DUMMYFUNCTION("""COMPUTED_VALUE"""),2.0)</f>
        <v>2</v>
      </c>
      <c r="X215" s="189">
        <f>IFERROR(__xludf.DUMMYFUNCTION("""COMPUTED_VALUE"""),3.0)</f>
        <v>3</v>
      </c>
      <c r="Y215" s="189" t="str">
        <f>IFERROR(__xludf.DUMMYFUNCTION("""COMPUTED_VALUE"""),"2025-06-12T00:00:00.000Z")</f>
        <v>2025-06-12T00:00:00.000Z</v>
      </c>
      <c r="Z215" s="189" t="str">
        <f>IFERROR(__xludf.DUMMYFUNCTION("""COMPUTED_VALUE"""),"Eintracht Frankfurt_Split")</f>
        <v>Eintracht Frankfurt_Split</v>
      </c>
    </row>
    <row r="216">
      <c r="A216" s="189">
        <f>IFERROR(__xludf.DUMMYFUNCTION("""COMPUTED_VALUE"""),206692.0)</f>
        <v>206692</v>
      </c>
      <c r="B216" s="189">
        <f>IFERROR(__xludf.DUMMYFUNCTION("""COMPUTED_VALUE"""),91131.0)</f>
        <v>91131</v>
      </c>
      <c r="C216" s="189" t="str">
        <f>IFERROR(__xludf.DUMMYFUNCTION("""COMPUTED_VALUE"""),"BtcTurk GameFest - Stage 2")</f>
        <v>BtcTurk GameFest - Stage 2</v>
      </c>
      <c r="D216" s="189" t="str">
        <f>IFERROR(__xludf.DUMMYFUNCTION("""COMPUTED_VALUE"""),"Ascent")</f>
        <v>Ascent</v>
      </c>
      <c r="E216" s="189" t="str">
        <f>IFERROR(__xludf.DUMMYFUNCTION("""COMPUTED_VALUE"""),"ULF Esports")</f>
        <v>ULF Esports</v>
      </c>
      <c r="F216" s="189" t="str">
        <f>IFERROR(__xludf.DUMMYFUNCTION("""COMPUTED_VALUE"""),"Eternal Fire")</f>
        <v>Eternal Fire</v>
      </c>
      <c r="G216" s="189" t="str">
        <f>IFERROR(__xludf.DUMMYFUNCTION("""COMPUTED_VALUE"""),"Cypher,Sova,Omen,Yoru,Neon")</f>
        <v>Cypher,Sova,Omen,Yoru,Neon</v>
      </c>
      <c r="H216" s="189" t="str">
        <f>IFERROR(__xludf.DUMMYFUNCTION("""COMPUTED_VALUE"""),"Cypher,Sova,Omen,Yoru,Iso")</f>
        <v>Cypher,Sova,Omen,Yoru,Iso</v>
      </c>
      <c r="I216" s="189">
        <f>IFERROR(__xludf.DUMMYFUNCTION("""COMPUTED_VALUE"""),13.0)</f>
        <v>13</v>
      </c>
      <c r="J216" s="189">
        <f>IFERROR(__xludf.DUMMYFUNCTION("""COMPUTED_VALUE"""),8.0)</f>
        <v>8</v>
      </c>
      <c r="K216" s="189">
        <f>IFERROR(__xludf.DUMMYFUNCTION("""COMPUTED_VALUE"""),5.0)</f>
        <v>5</v>
      </c>
      <c r="L216" s="189">
        <f>IFERROR(__xludf.DUMMYFUNCTION("""COMPUTED_VALUE"""),7.0)</f>
        <v>7</v>
      </c>
      <c r="M216" s="189">
        <f>IFERROR(__xludf.DUMMYFUNCTION("""COMPUTED_VALUE"""),1.0)</f>
        <v>1</v>
      </c>
      <c r="N216" s="189">
        <f>IFERROR(__xludf.DUMMYFUNCTION("""COMPUTED_VALUE"""),1.0)</f>
        <v>1</v>
      </c>
      <c r="O216" s="189">
        <f>IFERROR(__xludf.DUMMYFUNCTION("""COMPUTED_VALUE"""),5.0)</f>
        <v>5</v>
      </c>
      <c r="P216" s="189">
        <f>IFERROR(__xludf.DUMMYFUNCTION("""COMPUTED_VALUE"""),7.0)</f>
        <v>7</v>
      </c>
      <c r="Q216" s="189">
        <f>IFERROR(__xludf.DUMMYFUNCTION("""COMPUTED_VALUE"""),8.0)</f>
        <v>8</v>
      </c>
      <c r="R216" s="189">
        <f>IFERROR(__xludf.DUMMYFUNCTION("""COMPUTED_VALUE"""),1.0)</f>
        <v>1</v>
      </c>
      <c r="S216" s="189">
        <f>IFERROR(__xludf.DUMMYFUNCTION("""COMPUTED_VALUE"""),0.0)</f>
        <v>0</v>
      </c>
      <c r="T216" s="189">
        <f>IFERROR(__xludf.DUMMYFUNCTION("""COMPUTED_VALUE"""),0.0)</f>
        <v>0</v>
      </c>
      <c r="U216" s="189">
        <f>IFERROR(__xludf.DUMMYFUNCTION("""COMPUTED_VALUE"""),1.0)</f>
        <v>1</v>
      </c>
      <c r="V216" s="189">
        <f>IFERROR(__xludf.DUMMYFUNCTION("""COMPUTED_VALUE"""),8.0)</f>
        <v>8</v>
      </c>
      <c r="W216" s="189">
        <f>IFERROR(__xludf.DUMMYFUNCTION("""COMPUTED_VALUE"""),7.0)</f>
        <v>7</v>
      </c>
      <c r="X216" s="189">
        <f>IFERROR(__xludf.DUMMYFUNCTION("""COMPUTED_VALUE"""),5.0)</f>
        <v>5</v>
      </c>
      <c r="Y216" s="189" t="str">
        <f>IFERROR(__xludf.DUMMYFUNCTION("""COMPUTED_VALUE"""),"2025-06-12T00:00:00.000Z")</f>
        <v>2025-06-12T00:00:00.000Z</v>
      </c>
      <c r="Z216" s="189" t="str">
        <f>IFERROR(__xludf.DUMMYFUNCTION("""COMPUTED_VALUE"""),"ULF Esports_Ascent")</f>
        <v>ULF Esports_Ascent</v>
      </c>
    </row>
    <row r="217">
      <c r="A217" s="189">
        <f>IFERROR(__xludf.DUMMYFUNCTION("""COMPUTED_VALUE"""),205851.0)</f>
        <v>205851</v>
      </c>
      <c r="B217" s="189">
        <f>IFERROR(__xludf.DUMMYFUNCTION("""COMPUTED_VALUE"""),90797.0)</f>
        <v>90797</v>
      </c>
      <c r="C217" s="189" t="str">
        <f>IFERROR(__xludf.DUMMYFUNCTION("""COMPUTED_VALUE"""),"A1 eSports Cup #8")</f>
        <v>A1 eSports Cup #8</v>
      </c>
      <c r="D217" s="189" t="str">
        <f>IFERROR(__xludf.DUMMYFUNCTION("""COMPUTED_VALUE"""),"Sunset")</f>
        <v>Sunset</v>
      </c>
      <c r="E217" s="189" t="str">
        <f>IFERROR(__xludf.DUMMYFUNCTION("""COMPUTED_VALUE"""),"Eintracht Frankfurt")</f>
        <v>Eintracht Frankfurt</v>
      </c>
      <c r="F217" s="189" t="str">
        <f>IFERROR(__xludf.DUMMYFUNCTION("""COMPUTED_VALUE"""),"MOUZ")</f>
        <v>MOUZ</v>
      </c>
      <c r="G217" s="189" t="str">
        <f>IFERROR(__xludf.DUMMYFUNCTION("""COMPUTED_VALUE"""),"Cypher,Sova,Omen,KAY/O,Neon")</f>
        <v>Cypher,Sova,Omen,KAY/O,Neon</v>
      </c>
      <c r="H217" s="189" t="str">
        <f>IFERROR(__xludf.DUMMYFUNCTION("""COMPUTED_VALUE"""),"Breach,Sova,Omen,Neon,Vyse")</f>
        <v>Breach,Sova,Omen,Neon,Vyse</v>
      </c>
      <c r="I217" s="189">
        <f>IFERROR(__xludf.DUMMYFUNCTION("""COMPUTED_VALUE"""),13.0)</f>
        <v>13</v>
      </c>
      <c r="J217" s="189">
        <f>IFERROR(__xludf.DUMMYFUNCTION("""COMPUTED_VALUE"""),11.0)</f>
        <v>11</v>
      </c>
      <c r="K217" s="189">
        <f>IFERROR(__xludf.DUMMYFUNCTION("""COMPUTED_VALUE"""),8.0)</f>
        <v>8</v>
      </c>
      <c r="L217" s="189">
        <f>IFERROR(__xludf.DUMMYFUNCTION("""COMPUTED_VALUE"""),4.0)</f>
        <v>4</v>
      </c>
      <c r="M217" s="189">
        <f>IFERROR(__xludf.DUMMYFUNCTION("""COMPUTED_VALUE"""),1.0)</f>
        <v>1</v>
      </c>
      <c r="N217" s="189">
        <f>IFERROR(__xludf.DUMMYFUNCTION("""COMPUTED_VALUE"""),0.0)</f>
        <v>0</v>
      </c>
      <c r="O217" s="189">
        <f>IFERROR(__xludf.DUMMYFUNCTION("""COMPUTED_VALUE"""),8.0)</f>
        <v>8</v>
      </c>
      <c r="P217" s="189">
        <f>IFERROR(__xludf.DUMMYFUNCTION("""COMPUTED_VALUE"""),4.0)</f>
        <v>4</v>
      </c>
      <c r="Q217" s="189">
        <f>IFERROR(__xludf.DUMMYFUNCTION("""COMPUTED_VALUE"""),5.0)</f>
        <v>5</v>
      </c>
      <c r="R217" s="189">
        <f>IFERROR(__xludf.DUMMYFUNCTION("""COMPUTED_VALUE"""),7.0)</f>
        <v>7</v>
      </c>
      <c r="S217" s="189">
        <f>IFERROR(__xludf.DUMMYFUNCTION("""COMPUTED_VALUE"""),1.0)</f>
        <v>1</v>
      </c>
      <c r="T217" s="189">
        <f>IFERROR(__xludf.DUMMYFUNCTION("""COMPUTED_VALUE"""),0.0)</f>
        <v>0</v>
      </c>
      <c r="U217" s="189">
        <f>IFERROR(__xludf.DUMMYFUNCTION("""COMPUTED_VALUE"""),7.0)</f>
        <v>7</v>
      </c>
      <c r="V217" s="189">
        <f>IFERROR(__xludf.DUMMYFUNCTION("""COMPUTED_VALUE"""),5.0)</f>
        <v>5</v>
      </c>
      <c r="W217" s="189">
        <f>IFERROR(__xludf.DUMMYFUNCTION("""COMPUTED_VALUE"""),4.0)</f>
        <v>4</v>
      </c>
      <c r="X217" s="189">
        <f>IFERROR(__xludf.DUMMYFUNCTION("""COMPUTED_VALUE"""),8.0)</f>
        <v>8</v>
      </c>
      <c r="Y217" s="189" t="str">
        <f>IFERROR(__xludf.DUMMYFUNCTION("""COMPUTED_VALUE"""),"2025-06-12T00:00:00.000Z")</f>
        <v>2025-06-12T00:00:00.000Z</v>
      </c>
      <c r="Z217" s="189" t="str">
        <f>IFERROR(__xludf.DUMMYFUNCTION("""COMPUTED_VALUE"""),"Eintracht Frankfurt_Sunset")</f>
        <v>Eintracht Frankfurt_Sunset</v>
      </c>
    </row>
    <row r="218">
      <c r="A218" s="189">
        <f>IFERROR(__xludf.DUMMYFUNCTION("""COMPUTED_VALUE"""),206690.0)</f>
        <v>206690</v>
      </c>
      <c r="B218" s="189">
        <f>IFERROR(__xludf.DUMMYFUNCTION("""COMPUTED_VALUE"""),91130.0)</f>
        <v>91130</v>
      </c>
      <c r="C218" s="189" t="str">
        <f>IFERROR(__xludf.DUMMYFUNCTION("""COMPUTED_VALUE"""),"BtcTurk GameFest - Stage 2")</f>
        <v>BtcTurk GameFest - Stage 2</v>
      </c>
      <c r="D218" s="189" t="str">
        <f>IFERROR(__xludf.DUMMYFUNCTION("""COMPUTED_VALUE"""),"Lotus")</f>
        <v>Lotus</v>
      </c>
      <c r="E218" s="189" t="str">
        <f>IFERROR(__xludf.DUMMYFUNCTION("""COMPUTED_VALUE"""),"BBL PCIFIC")</f>
        <v>BBL PCIFIC</v>
      </c>
      <c r="F218" s="189" t="str">
        <f>IFERROR(__xludf.DUMMYFUNCTION("""COMPUTED_VALUE"""),"Papara SuperMassive")</f>
        <v>Papara SuperMassive</v>
      </c>
      <c r="G218" s="189" t="str">
        <f>IFERROR(__xludf.DUMMYFUNCTION("""COMPUTED_VALUE"""),"Breach,Cypher,Sova,Omen,Neon")</f>
        <v>Breach,Cypher,Sova,Omen,Neon</v>
      </c>
      <c r="H218" s="189" t="str">
        <f>IFERROR(__xludf.DUMMYFUNCTION("""COMPUTED_VALUE"""),"Raze,Viper,Omen,Fade,Vyse")</f>
        <v>Raze,Viper,Omen,Fade,Vyse</v>
      </c>
      <c r="I218" s="189">
        <f>IFERROR(__xludf.DUMMYFUNCTION("""COMPUTED_VALUE"""),13.0)</f>
        <v>13</v>
      </c>
      <c r="J218" s="189">
        <f>IFERROR(__xludf.DUMMYFUNCTION("""COMPUTED_VALUE"""),8.0)</f>
        <v>8</v>
      </c>
      <c r="K218" s="189">
        <f>IFERROR(__xludf.DUMMYFUNCTION("""COMPUTED_VALUE"""),8.0)</f>
        <v>8</v>
      </c>
      <c r="L218" s="189">
        <f>IFERROR(__xludf.DUMMYFUNCTION("""COMPUTED_VALUE"""),4.0)</f>
        <v>4</v>
      </c>
      <c r="M218" s="189">
        <f>IFERROR(__xludf.DUMMYFUNCTION("""COMPUTED_VALUE"""),1.0)</f>
        <v>1</v>
      </c>
      <c r="N218" s="189">
        <f>IFERROR(__xludf.DUMMYFUNCTION("""COMPUTED_VALUE"""),1.0)</f>
        <v>1</v>
      </c>
      <c r="O218" s="189">
        <f>IFERROR(__xludf.DUMMYFUNCTION("""COMPUTED_VALUE"""),5.0)</f>
        <v>5</v>
      </c>
      <c r="P218" s="189">
        <f>IFERROR(__xludf.DUMMYFUNCTION("""COMPUTED_VALUE"""),4.0)</f>
        <v>4</v>
      </c>
      <c r="Q218" s="189">
        <f>IFERROR(__xludf.DUMMYFUNCTION("""COMPUTED_VALUE"""),8.0)</f>
        <v>8</v>
      </c>
      <c r="R218" s="189">
        <f>IFERROR(__xludf.DUMMYFUNCTION("""COMPUTED_VALUE"""),4.0)</f>
        <v>4</v>
      </c>
      <c r="S218" s="189">
        <f>IFERROR(__xludf.DUMMYFUNCTION("""COMPUTED_VALUE"""),0.0)</f>
        <v>0</v>
      </c>
      <c r="T218" s="189">
        <f>IFERROR(__xludf.DUMMYFUNCTION("""COMPUTED_VALUE"""),0.0)</f>
        <v>0</v>
      </c>
      <c r="U218" s="189">
        <f>IFERROR(__xludf.DUMMYFUNCTION("""COMPUTED_VALUE"""),4.0)</f>
        <v>4</v>
      </c>
      <c r="V218" s="189">
        <f>IFERROR(__xludf.DUMMYFUNCTION("""COMPUTED_VALUE"""),8.0)</f>
        <v>8</v>
      </c>
      <c r="W218" s="189">
        <f>IFERROR(__xludf.DUMMYFUNCTION("""COMPUTED_VALUE"""),4.0)</f>
        <v>4</v>
      </c>
      <c r="X218" s="189">
        <f>IFERROR(__xludf.DUMMYFUNCTION("""COMPUTED_VALUE"""),5.0)</f>
        <v>5</v>
      </c>
      <c r="Y218" s="189" t="str">
        <f>IFERROR(__xludf.DUMMYFUNCTION("""COMPUTED_VALUE"""),"2025-06-12T00:00:00.000Z")</f>
        <v>2025-06-12T00:00:00.000Z</v>
      </c>
      <c r="Z218" s="189" t="str">
        <f>IFERROR(__xludf.DUMMYFUNCTION("""COMPUTED_VALUE"""),"BBL PCIFIC_Lotus")</f>
        <v>BBL PCIFIC_Lotus</v>
      </c>
    </row>
    <row r="219">
      <c r="A219" s="189">
        <f>IFERROR(__xludf.DUMMYFUNCTION("""COMPUTED_VALUE"""),205850.0)</f>
        <v>205850</v>
      </c>
      <c r="B219" s="189">
        <f>IFERROR(__xludf.DUMMYFUNCTION("""COMPUTED_VALUE"""),90797.0)</f>
        <v>90797</v>
      </c>
      <c r="C219" s="189" t="str">
        <f>IFERROR(__xludf.DUMMYFUNCTION("""COMPUTED_VALUE"""),"A1 eSports Cup #8")</f>
        <v>A1 eSports Cup #8</v>
      </c>
      <c r="D219" s="189" t="str">
        <f>IFERROR(__xludf.DUMMYFUNCTION("""COMPUTED_VALUE"""),"Lotus")</f>
        <v>Lotus</v>
      </c>
      <c r="E219" s="189" t="str">
        <f>IFERROR(__xludf.DUMMYFUNCTION("""COMPUTED_VALUE"""),"Eintracht Frankfurt")</f>
        <v>Eintracht Frankfurt</v>
      </c>
      <c r="F219" s="189" t="str">
        <f>IFERROR(__xludf.DUMMYFUNCTION("""COMPUTED_VALUE"""),"MOUZ")</f>
        <v>MOUZ</v>
      </c>
      <c r="G219" s="189" t="str">
        <f>IFERROR(__xludf.DUMMYFUNCTION("""COMPUTED_VALUE"""),"Cypher,Viper,Omen,Yoru,Fade")</f>
        <v>Cypher,Viper,Omen,Yoru,Fade</v>
      </c>
      <c r="H219" s="189" t="str">
        <f>IFERROR(__xludf.DUMMYFUNCTION("""COMPUTED_VALUE"""),"Breach,Cypher,Omen,Yoru,Fade")</f>
        <v>Breach,Cypher,Omen,Yoru,Fade</v>
      </c>
      <c r="I219" s="189">
        <f>IFERROR(__xludf.DUMMYFUNCTION("""COMPUTED_VALUE"""),9.0)</f>
        <v>9</v>
      </c>
      <c r="J219" s="189">
        <f>IFERROR(__xludf.DUMMYFUNCTION("""COMPUTED_VALUE"""),13.0)</f>
        <v>13</v>
      </c>
      <c r="K219" s="189">
        <f>IFERROR(__xludf.DUMMYFUNCTION("""COMPUTED_VALUE"""),6.0)</f>
        <v>6</v>
      </c>
      <c r="L219" s="189">
        <f>IFERROR(__xludf.DUMMYFUNCTION("""COMPUTED_VALUE"""),6.0)</f>
        <v>6</v>
      </c>
      <c r="M219" s="189">
        <f>IFERROR(__xludf.DUMMYFUNCTION("""COMPUTED_VALUE"""),0.0)</f>
        <v>0</v>
      </c>
      <c r="N219" s="189">
        <f>IFERROR(__xludf.DUMMYFUNCTION("""COMPUTED_VALUE"""),1.0)</f>
        <v>1</v>
      </c>
      <c r="O219" s="189">
        <f>IFERROR(__xludf.DUMMYFUNCTION("""COMPUTED_VALUE"""),6.0)</f>
        <v>6</v>
      </c>
      <c r="P219" s="189">
        <f>IFERROR(__xludf.DUMMYFUNCTION("""COMPUTED_VALUE"""),6.0)</f>
        <v>6</v>
      </c>
      <c r="Q219" s="189">
        <f>IFERROR(__xludf.DUMMYFUNCTION("""COMPUTED_VALUE"""),3.0)</f>
        <v>3</v>
      </c>
      <c r="R219" s="189">
        <f>IFERROR(__xludf.DUMMYFUNCTION("""COMPUTED_VALUE"""),7.0)</f>
        <v>7</v>
      </c>
      <c r="S219" s="189">
        <f>IFERROR(__xludf.DUMMYFUNCTION("""COMPUTED_VALUE"""),0.0)</f>
        <v>0</v>
      </c>
      <c r="T219" s="189">
        <f>IFERROR(__xludf.DUMMYFUNCTION("""COMPUTED_VALUE"""),1.0)</f>
        <v>1</v>
      </c>
      <c r="U219" s="189">
        <f>IFERROR(__xludf.DUMMYFUNCTION("""COMPUTED_VALUE"""),7.0)</f>
        <v>7</v>
      </c>
      <c r="V219" s="189">
        <f>IFERROR(__xludf.DUMMYFUNCTION("""COMPUTED_VALUE"""),3.0)</f>
        <v>3</v>
      </c>
      <c r="W219" s="189">
        <f>IFERROR(__xludf.DUMMYFUNCTION("""COMPUTED_VALUE"""),6.0)</f>
        <v>6</v>
      </c>
      <c r="X219" s="189">
        <f>IFERROR(__xludf.DUMMYFUNCTION("""COMPUTED_VALUE"""),6.0)</f>
        <v>6</v>
      </c>
      <c r="Y219" s="189" t="str">
        <f>IFERROR(__xludf.DUMMYFUNCTION("""COMPUTED_VALUE"""),"2025-06-12T00:00:00.000Z")</f>
        <v>2025-06-12T00:00:00.000Z</v>
      </c>
      <c r="Z219" s="189" t="str">
        <f>IFERROR(__xludf.DUMMYFUNCTION("""COMPUTED_VALUE"""),"Eintracht Frankfurt_Lotus")</f>
        <v>Eintracht Frankfurt_Lotus</v>
      </c>
    </row>
    <row r="220">
      <c r="A220" s="189">
        <f>IFERROR(__xludf.DUMMYFUNCTION("""COMPUTED_VALUE"""),206689.0)</f>
        <v>206689</v>
      </c>
      <c r="B220" s="189">
        <f>IFERROR(__xludf.DUMMYFUNCTION("""COMPUTED_VALUE"""),91130.0)</f>
        <v>91130</v>
      </c>
      <c r="C220" s="189" t="str">
        <f>IFERROR(__xludf.DUMMYFUNCTION("""COMPUTED_VALUE"""),"BtcTurk GameFest - Stage 2")</f>
        <v>BtcTurk GameFest - Stage 2</v>
      </c>
      <c r="D220" s="189" t="str">
        <f>IFERROR(__xludf.DUMMYFUNCTION("""COMPUTED_VALUE"""),"Pearl")</f>
        <v>Pearl</v>
      </c>
      <c r="E220" s="189" t="str">
        <f>IFERROR(__xludf.DUMMYFUNCTION("""COMPUTED_VALUE"""),"BBL PCIFIC")</f>
        <v>BBL PCIFIC</v>
      </c>
      <c r="F220" s="189" t="str">
        <f>IFERROR(__xludf.DUMMYFUNCTION("""COMPUTED_VALUE"""),"Papara SuperMassive")</f>
        <v>Papara SuperMassive</v>
      </c>
      <c r="G220" s="189" t="str">
        <f>IFERROR(__xludf.DUMMYFUNCTION("""COMPUTED_VALUE"""),"Cypher,Sova,Yoru,Astra,Neon")</f>
        <v>Cypher,Sova,Yoru,Astra,Neon</v>
      </c>
      <c r="H220" s="189" t="str">
        <f>IFERROR(__xludf.DUMMYFUNCTION("""COMPUTED_VALUE"""),"Raze,Yoru,Astra,Fade,Vyse")</f>
        <v>Raze,Yoru,Astra,Fade,Vyse</v>
      </c>
      <c r="I220" s="189">
        <f>IFERROR(__xludf.DUMMYFUNCTION("""COMPUTED_VALUE"""),13.0)</f>
        <v>13</v>
      </c>
      <c r="J220" s="189">
        <f>IFERROR(__xludf.DUMMYFUNCTION("""COMPUTED_VALUE"""),8.0)</f>
        <v>8</v>
      </c>
      <c r="K220" s="189">
        <f>IFERROR(__xludf.DUMMYFUNCTION("""COMPUTED_VALUE"""),6.0)</f>
        <v>6</v>
      </c>
      <c r="L220" s="189">
        <f>IFERROR(__xludf.DUMMYFUNCTION("""COMPUTED_VALUE"""),6.0)</f>
        <v>6</v>
      </c>
      <c r="M220" s="189">
        <f>IFERROR(__xludf.DUMMYFUNCTION("""COMPUTED_VALUE"""),1.0)</f>
        <v>1</v>
      </c>
      <c r="N220" s="189">
        <f>IFERROR(__xludf.DUMMYFUNCTION("""COMPUTED_VALUE"""),1.0)</f>
        <v>1</v>
      </c>
      <c r="O220" s="189">
        <f>IFERROR(__xludf.DUMMYFUNCTION("""COMPUTED_VALUE"""),7.0)</f>
        <v>7</v>
      </c>
      <c r="P220" s="189">
        <f>IFERROR(__xludf.DUMMYFUNCTION("""COMPUTED_VALUE"""),2.0)</f>
        <v>2</v>
      </c>
      <c r="Q220" s="189">
        <f>IFERROR(__xludf.DUMMYFUNCTION("""COMPUTED_VALUE"""),6.0)</f>
        <v>6</v>
      </c>
      <c r="R220" s="189">
        <f>IFERROR(__xludf.DUMMYFUNCTION("""COMPUTED_VALUE"""),6.0)</f>
        <v>6</v>
      </c>
      <c r="S220" s="189">
        <f>IFERROR(__xludf.DUMMYFUNCTION("""COMPUTED_VALUE"""),0.0)</f>
        <v>0</v>
      </c>
      <c r="T220" s="189">
        <f>IFERROR(__xludf.DUMMYFUNCTION("""COMPUTED_VALUE"""),0.0)</f>
        <v>0</v>
      </c>
      <c r="U220" s="189">
        <f>IFERROR(__xludf.DUMMYFUNCTION("""COMPUTED_VALUE"""),6.0)</f>
        <v>6</v>
      </c>
      <c r="V220" s="189">
        <f>IFERROR(__xludf.DUMMYFUNCTION("""COMPUTED_VALUE"""),6.0)</f>
        <v>6</v>
      </c>
      <c r="W220" s="189">
        <f>IFERROR(__xludf.DUMMYFUNCTION("""COMPUTED_VALUE"""),2.0)</f>
        <v>2</v>
      </c>
      <c r="X220" s="189">
        <f>IFERROR(__xludf.DUMMYFUNCTION("""COMPUTED_VALUE"""),7.0)</f>
        <v>7</v>
      </c>
      <c r="Y220" s="189" t="str">
        <f>IFERROR(__xludf.DUMMYFUNCTION("""COMPUTED_VALUE"""),"2025-06-12T00:00:00.000Z")</f>
        <v>2025-06-12T00:00:00.000Z</v>
      </c>
      <c r="Z220" s="189" t="str">
        <f>IFERROR(__xludf.DUMMYFUNCTION("""COMPUTED_VALUE"""),"BBL PCIFIC_Pearl")</f>
        <v>BBL PCIFIC_Pearl</v>
      </c>
    </row>
    <row r="221">
      <c r="A221" s="189">
        <f>IFERROR(__xludf.DUMMYFUNCTION("""COMPUTED_VALUE"""),206625.0)</f>
        <v>206625</v>
      </c>
      <c r="B221" s="189">
        <f>IFERROR(__xludf.DUMMYFUNCTION("""COMPUTED_VALUE"""),91108.0)</f>
        <v>91108</v>
      </c>
      <c r="C221" s="189" t="str">
        <f>IFERROR(__xludf.DUMMYFUNCTION("""COMPUTED_VALUE"""),"A1 eSports Cup #8")</f>
        <v>A1 eSports Cup #8</v>
      </c>
      <c r="D221" s="189" t="str">
        <f>IFERROR(__xludf.DUMMYFUNCTION("""COMPUTED_VALUE"""),"Split")</f>
        <v>Split</v>
      </c>
      <c r="E221" s="189" t="str">
        <f>IFERROR(__xludf.DUMMYFUNCTION("""COMPUTED_VALUE"""),"MOUZ")</f>
        <v>MOUZ</v>
      </c>
      <c r="F221" s="189" t="str">
        <f>IFERROR(__xludf.DUMMYFUNCTION("""COMPUTED_VALUE"""),"ALTERNATE aTTaX")</f>
        <v>ALTERNATE aTTaX</v>
      </c>
      <c r="G221" s="189" t="str">
        <f>IFERROR(__xludf.DUMMYFUNCTION("""COMPUTED_VALUE"""),"Raze,Viper,Yoru,Astra,Fade")</f>
        <v>Raze,Viper,Yoru,Astra,Fade</v>
      </c>
      <c r="H221" s="189" t="str">
        <f>IFERROR(__xludf.DUMMYFUNCTION("""COMPUTED_VALUE"""),"Raze,Omen,Yoru,Fade,Clove")</f>
        <v>Raze,Omen,Yoru,Fade,Clove</v>
      </c>
      <c r="I221" s="189">
        <f>IFERROR(__xludf.DUMMYFUNCTION("""COMPUTED_VALUE"""),13.0)</f>
        <v>13</v>
      </c>
      <c r="J221" s="189">
        <f>IFERROR(__xludf.DUMMYFUNCTION("""COMPUTED_VALUE"""),1.0)</f>
        <v>1</v>
      </c>
      <c r="K221" s="189">
        <f>IFERROR(__xludf.DUMMYFUNCTION("""COMPUTED_VALUE"""),11.0)</f>
        <v>11</v>
      </c>
      <c r="L221" s="189">
        <f>IFERROR(__xludf.DUMMYFUNCTION("""COMPUTED_VALUE"""),1.0)</f>
        <v>1</v>
      </c>
      <c r="M221" s="189">
        <f>IFERROR(__xludf.DUMMYFUNCTION("""COMPUTED_VALUE"""),1.0)</f>
        <v>1</v>
      </c>
      <c r="N221" s="189">
        <f>IFERROR(__xludf.DUMMYFUNCTION("""COMPUTED_VALUE"""),1.0)</f>
        <v>1</v>
      </c>
      <c r="O221" s="189">
        <f>IFERROR(__xludf.DUMMYFUNCTION("""COMPUTED_VALUE"""),11.0)</f>
        <v>11</v>
      </c>
      <c r="P221" s="189">
        <f>IFERROR(__xludf.DUMMYFUNCTION("""COMPUTED_VALUE"""),1.0)</f>
        <v>1</v>
      </c>
      <c r="Q221" s="189">
        <f>IFERROR(__xludf.DUMMYFUNCTION("""COMPUTED_VALUE"""),2.0)</f>
        <v>2</v>
      </c>
      <c r="R221" s="189">
        <f>IFERROR(__xludf.DUMMYFUNCTION("""COMPUTED_VALUE"""),0.0)</f>
        <v>0</v>
      </c>
      <c r="S221" s="189">
        <f>IFERROR(__xludf.DUMMYFUNCTION("""COMPUTED_VALUE"""),0.0)</f>
        <v>0</v>
      </c>
      <c r="T221" s="189">
        <f>IFERROR(__xludf.DUMMYFUNCTION("""COMPUTED_VALUE"""),0.0)</f>
        <v>0</v>
      </c>
      <c r="U221" s="189">
        <f>IFERROR(__xludf.DUMMYFUNCTION("""COMPUTED_VALUE"""),0.0)</f>
        <v>0</v>
      </c>
      <c r="V221" s="189">
        <f>IFERROR(__xludf.DUMMYFUNCTION("""COMPUTED_VALUE"""),2.0)</f>
        <v>2</v>
      </c>
      <c r="W221" s="189">
        <f>IFERROR(__xludf.DUMMYFUNCTION("""COMPUTED_VALUE"""),1.0)</f>
        <v>1</v>
      </c>
      <c r="X221" s="189">
        <f>IFERROR(__xludf.DUMMYFUNCTION("""COMPUTED_VALUE"""),11.0)</f>
        <v>11</v>
      </c>
      <c r="Y221" s="189" t="str">
        <f>IFERROR(__xludf.DUMMYFUNCTION("""COMPUTED_VALUE"""),"2025-06-05T00:00:00.000Z")</f>
        <v>2025-06-05T00:00:00.000Z</v>
      </c>
      <c r="Z221" s="189" t="str">
        <f>IFERROR(__xludf.DUMMYFUNCTION("""COMPUTED_VALUE"""),"MOUZ_Split")</f>
        <v>MOUZ_Split</v>
      </c>
    </row>
    <row r="222">
      <c r="A222" s="189">
        <f>IFERROR(__xludf.DUMMYFUNCTION("""COMPUTED_VALUE"""),206624.0)</f>
        <v>206624</v>
      </c>
      <c r="B222" s="189">
        <f>IFERROR(__xludf.DUMMYFUNCTION("""COMPUTED_VALUE"""),91108.0)</f>
        <v>91108</v>
      </c>
      <c r="C222" s="189" t="str">
        <f>IFERROR(__xludf.DUMMYFUNCTION("""COMPUTED_VALUE"""),"A1 eSports Cup #8")</f>
        <v>A1 eSports Cup #8</v>
      </c>
      <c r="D222" s="189" t="str">
        <f>IFERROR(__xludf.DUMMYFUNCTION("""COMPUTED_VALUE"""),"Haven")</f>
        <v>Haven</v>
      </c>
      <c r="E222" s="189" t="str">
        <f>IFERROR(__xludf.DUMMYFUNCTION("""COMPUTED_VALUE"""),"MOUZ")</f>
        <v>MOUZ</v>
      </c>
      <c r="F222" s="189" t="str">
        <f>IFERROR(__xludf.DUMMYFUNCTION("""COMPUTED_VALUE"""),"ALTERNATE aTTaX")</f>
        <v>ALTERNATE aTTaX</v>
      </c>
      <c r="G222" s="189" t="str">
        <f>IFERROR(__xludf.DUMMYFUNCTION("""COMPUTED_VALUE"""),"Cypher,Sova,Omen,Yoru,Iso")</f>
        <v>Cypher,Sova,Omen,Yoru,Iso</v>
      </c>
      <c r="H222" s="189" t="str">
        <f>IFERROR(__xludf.DUMMYFUNCTION("""COMPUTED_VALUE"""),"Breach,Cypher,Sova,Omen,Neon")</f>
        <v>Breach,Cypher,Sova,Omen,Neon</v>
      </c>
      <c r="I222" s="189">
        <f>IFERROR(__xludf.DUMMYFUNCTION("""COMPUTED_VALUE"""),13.0)</f>
        <v>13</v>
      </c>
      <c r="J222" s="189">
        <f>IFERROR(__xludf.DUMMYFUNCTION("""COMPUTED_VALUE"""),5.0)</f>
        <v>5</v>
      </c>
      <c r="K222" s="189">
        <f>IFERROR(__xludf.DUMMYFUNCTION("""COMPUTED_VALUE"""),9.0)</f>
        <v>9</v>
      </c>
      <c r="L222" s="189">
        <f>IFERROR(__xludf.DUMMYFUNCTION("""COMPUTED_VALUE"""),3.0)</f>
        <v>3</v>
      </c>
      <c r="M222" s="189">
        <f>IFERROR(__xludf.DUMMYFUNCTION("""COMPUTED_VALUE"""),0.0)</f>
        <v>0</v>
      </c>
      <c r="N222" s="189">
        <f>IFERROR(__xludf.DUMMYFUNCTION("""COMPUTED_VALUE"""),1.0)</f>
        <v>1</v>
      </c>
      <c r="O222" s="189">
        <f>IFERROR(__xludf.DUMMYFUNCTION("""COMPUTED_VALUE"""),4.0)</f>
        <v>4</v>
      </c>
      <c r="P222" s="189">
        <f>IFERROR(__xludf.DUMMYFUNCTION("""COMPUTED_VALUE"""),2.0)</f>
        <v>2</v>
      </c>
      <c r="Q222" s="189">
        <f>IFERROR(__xludf.DUMMYFUNCTION("""COMPUTED_VALUE"""),9.0)</f>
        <v>9</v>
      </c>
      <c r="R222" s="189">
        <f>IFERROR(__xludf.DUMMYFUNCTION("""COMPUTED_VALUE"""),3.0)</f>
        <v>3</v>
      </c>
      <c r="S222" s="189">
        <f>IFERROR(__xludf.DUMMYFUNCTION("""COMPUTED_VALUE"""),0.0)</f>
        <v>0</v>
      </c>
      <c r="T222" s="189">
        <f>IFERROR(__xludf.DUMMYFUNCTION("""COMPUTED_VALUE"""),1.0)</f>
        <v>1</v>
      </c>
      <c r="U222" s="189">
        <f>IFERROR(__xludf.DUMMYFUNCTION("""COMPUTED_VALUE"""),3.0)</f>
        <v>3</v>
      </c>
      <c r="V222" s="189">
        <f>IFERROR(__xludf.DUMMYFUNCTION("""COMPUTED_VALUE"""),9.0)</f>
        <v>9</v>
      </c>
      <c r="W222" s="189">
        <f>IFERROR(__xludf.DUMMYFUNCTION("""COMPUTED_VALUE"""),2.0)</f>
        <v>2</v>
      </c>
      <c r="X222" s="189">
        <f>IFERROR(__xludf.DUMMYFUNCTION("""COMPUTED_VALUE"""),4.0)</f>
        <v>4</v>
      </c>
      <c r="Y222" s="189" t="str">
        <f>IFERROR(__xludf.DUMMYFUNCTION("""COMPUTED_VALUE"""),"2025-06-05T00:00:00.000Z")</f>
        <v>2025-06-05T00:00:00.000Z</v>
      </c>
      <c r="Z222" s="189" t="str">
        <f>IFERROR(__xludf.DUMMYFUNCTION("""COMPUTED_VALUE"""),"MOUZ_Haven")</f>
        <v>MOUZ_Haven</v>
      </c>
    </row>
    <row r="223">
      <c r="A223" s="189">
        <f>IFERROR(__xludf.DUMMYFUNCTION("""COMPUTED_VALUE"""),206623.0)</f>
        <v>206623</v>
      </c>
      <c r="B223" s="189">
        <f>IFERROR(__xludf.DUMMYFUNCTION("""COMPUTED_VALUE"""),91108.0)</f>
        <v>91108</v>
      </c>
      <c r="C223" s="189" t="str">
        <f>IFERROR(__xludf.DUMMYFUNCTION("""COMPUTED_VALUE"""),"A1 eSports Cup #8")</f>
        <v>A1 eSports Cup #8</v>
      </c>
      <c r="D223" s="189" t="str">
        <f>IFERROR(__xludf.DUMMYFUNCTION("""COMPUTED_VALUE"""),"Lotus")</f>
        <v>Lotus</v>
      </c>
      <c r="E223" s="189" t="str">
        <f>IFERROR(__xludf.DUMMYFUNCTION("""COMPUTED_VALUE"""),"MOUZ")</f>
        <v>MOUZ</v>
      </c>
      <c r="F223" s="189" t="str">
        <f>IFERROR(__xludf.DUMMYFUNCTION("""COMPUTED_VALUE"""),"ALTERNATE aTTaX")</f>
        <v>ALTERNATE aTTaX</v>
      </c>
      <c r="G223" s="189" t="str">
        <f>IFERROR(__xludf.DUMMYFUNCTION("""COMPUTED_VALUE"""),"Breach,Cypher,Omen,Yoru,Fade")</f>
        <v>Breach,Cypher,Omen,Yoru,Fade</v>
      </c>
      <c r="H223" s="189" t="str">
        <f>IFERROR(__xludf.DUMMYFUNCTION("""COMPUTED_VALUE"""),"Phoenix,Omen,Jett,Deadlock,Iso")</f>
        <v>Phoenix,Omen,Jett,Deadlock,Iso</v>
      </c>
      <c r="I223" s="189">
        <f>IFERROR(__xludf.DUMMYFUNCTION("""COMPUTED_VALUE"""),7.0)</f>
        <v>7</v>
      </c>
      <c r="J223" s="189">
        <f>IFERROR(__xludf.DUMMYFUNCTION("""COMPUTED_VALUE"""),13.0)</f>
        <v>13</v>
      </c>
      <c r="K223" s="189">
        <f>IFERROR(__xludf.DUMMYFUNCTION("""COMPUTED_VALUE"""),4.0)</f>
        <v>4</v>
      </c>
      <c r="L223" s="189">
        <f>IFERROR(__xludf.DUMMYFUNCTION("""COMPUTED_VALUE"""),8.0)</f>
        <v>8</v>
      </c>
      <c r="M223" s="189">
        <f>IFERROR(__xludf.DUMMYFUNCTION("""COMPUTED_VALUE"""),1.0)</f>
        <v>1</v>
      </c>
      <c r="N223" s="189">
        <f>IFERROR(__xludf.DUMMYFUNCTION("""COMPUTED_VALUE"""),0.0)</f>
        <v>0</v>
      </c>
      <c r="O223" s="189">
        <f>IFERROR(__xludf.DUMMYFUNCTION("""COMPUTED_VALUE"""),3.0)</f>
        <v>3</v>
      </c>
      <c r="P223" s="189">
        <f>IFERROR(__xludf.DUMMYFUNCTION("""COMPUTED_VALUE"""),5.0)</f>
        <v>5</v>
      </c>
      <c r="Q223" s="189">
        <f>IFERROR(__xludf.DUMMYFUNCTION("""COMPUTED_VALUE"""),4.0)</f>
        <v>4</v>
      </c>
      <c r="R223" s="189">
        <f>IFERROR(__xludf.DUMMYFUNCTION("""COMPUTED_VALUE"""),8.0)</f>
        <v>8</v>
      </c>
      <c r="S223" s="189">
        <f>IFERROR(__xludf.DUMMYFUNCTION("""COMPUTED_VALUE"""),1.0)</f>
        <v>1</v>
      </c>
      <c r="T223" s="189">
        <f>IFERROR(__xludf.DUMMYFUNCTION("""COMPUTED_VALUE"""),0.0)</f>
        <v>0</v>
      </c>
      <c r="U223" s="189">
        <f>IFERROR(__xludf.DUMMYFUNCTION("""COMPUTED_VALUE"""),8.0)</f>
        <v>8</v>
      </c>
      <c r="V223" s="189">
        <f>IFERROR(__xludf.DUMMYFUNCTION("""COMPUTED_VALUE"""),4.0)</f>
        <v>4</v>
      </c>
      <c r="W223" s="189">
        <f>IFERROR(__xludf.DUMMYFUNCTION("""COMPUTED_VALUE"""),5.0)</f>
        <v>5</v>
      </c>
      <c r="X223" s="189">
        <f>IFERROR(__xludf.DUMMYFUNCTION("""COMPUTED_VALUE"""),3.0)</f>
        <v>3</v>
      </c>
      <c r="Y223" s="189" t="str">
        <f>IFERROR(__xludf.DUMMYFUNCTION("""COMPUTED_VALUE"""),"2025-06-05T00:00:00.000Z")</f>
        <v>2025-06-05T00:00:00.000Z</v>
      </c>
      <c r="Z223" s="189" t="str">
        <f>IFERROR(__xludf.DUMMYFUNCTION("""COMPUTED_VALUE"""),"MOUZ_Lotus")</f>
        <v>MOUZ_Lotus</v>
      </c>
    </row>
    <row r="224">
      <c r="A224" s="189">
        <f>IFERROR(__xludf.DUMMYFUNCTION("""COMPUTED_VALUE"""),204726.0)</f>
        <v>204726</v>
      </c>
      <c r="B224" s="189">
        <f>IFERROR(__xludf.DUMMYFUNCTION("""COMPUTED_VALUE"""),90395.0)</f>
        <v>90395</v>
      </c>
      <c r="C224" s="189" t="str">
        <f>IFERROR(__xludf.DUMMYFUNCTION("""COMPUTED_VALUE"""),"A1 eSports Cup #8")</f>
        <v>A1 eSports Cup #8</v>
      </c>
      <c r="D224" s="189" t="str">
        <f>IFERROR(__xludf.DUMMYFUNCTION("""COMPUTED_VALUE"""),"Sunset")</f>
        <v>Sunset</v>
      </c>
      <c r="E224" s="189" t="str">
        <f>IFERROR(__xludf.DUMMYFUNCTION("""COMPUTED_VALUE"""),"MOUZ")</f>
        <v>MOUZ</v>
      </c>
      <c r="F224" s="189" t="str">
        <f>IFERROR(__xludf.DUMMYFUNCTION("""COMPUTED_VALUE"""),"RIZON")</f>
        <v>RIZON</v>
      </c>
      <c r="G224" s="189" t="str">
        <f>IFERROR(__xludf.DUMMYFUNCTION("""COMPUTED_VALUE"""),"Breach,Sova,Omen,Neon,Vyse")</f>
        <v>Breach,Sova,Omen,Neon,Vyse</v>
      </c>
      <c r="H224" s="189" t="str">
        <f>IFERROR(__xludf.DUMMYFUNCTION("""COMPUTED_VALUE"""),"Cypher,Sova,Omen,Yoru,Deadlock")</f>
        <v>Cypher,Sova,Omen,Yoru,Deadlock</v>
      </c>
      <c r="I224" s="189">
        <f>IFERROR(__xludf.DUMMYFUNCTION("""COMPUTED_VALUE"""),14.0)</f>
        <v>14</v>
      </c>
      <c r="J224" s="189">
        <f>IFERROR(__xludf.DUMMYFUNCTION("""COMPUTED_VALUE"""),12.0)</f>
        <v>12</v>
      </c>
      <c r="K224" s="189">
        <f>IFERROR(__xludf.DUMMYFUNCTION("""COMPUTED_VALUE"""),6.0)</f>
        <v>6</v>
      </c>
      <c r="L224" s="189">
        <f>IFERROR(__xludf.DUMMYFUNCTION("""COMPUTED_VALUE"""),6.0)</f>
        <v>6</v>
      </c>
      <c r="M224" s="189">
        <f>IFERROR(__xludf.DUMMYFUNCTION("""COMPUTED_VALUE"""),0.0)</f>
        <v>0</v>
      </c>
      <c r="N224" s="189">
        <f>IFERROR(__xludf.DUMMYFUNCTION("""COMPUTED_VALUE"""),0.0)</f>
        <v>0</v>
      </c>
      <c r="O224" s="189">
        <f>IFERROR(__xludf.DUMMYFUNCTION("""COMPUTED_VALUE"""),7.0)</f>
        <v>7</v>
      </c>
      <c r="P224" s="189">
        <f>IFERROR(__xludf.DUMMYFUNCTION("""COMPUTED_VALUE"""),6.0)</f>
        <v>6</v>
      </c>
      <c r="Q224" s="189">
        <f>IFERROR(__xludf.DUMMYFUNCTION("""COMPUTED_VALUE"""),7.0)</f>
        <v>7</v>
      </c>
      <c r="R224" s="189">
        <f>IFERROR(__xludf.DUMMYFUNCTION("""COMPUTED_VALUE"""),6.0)</f>
        <v>6</v>
      </c>
      <c r="S224" s="189">
        <f>IFERROR(__xludf.DUMMYFUNCTION("""COMPUTED_VALUE"""),1.0)</f>
        <v>1</v>
      </c>
      <c r="T224" s="189">
        <f>IFERROR(__xludf.DUMMYFUNCTION("""COMPUTED_VALUE"""),1.0)</f>
        <v>1</v>
      </c>
      <c r="U224" s="189">
        <f>IFERROR(__xludf.DUMMYFUNCTION("""COMPUTED_VALUE"""),6.0)</f>
        <v>6</v>
      </c>
      <c r="V224" s="189">
        <f>IFERROR(__xludf.DUMMYFUNCTION("""COMPUTED_VALUE"""),7.0)</f>
        <v>7</v>
      </c>
      <c r="W224" s="189">
        <f>IFERROR(__xludf.DUMMYFUNCTION("""COMPUTED_VALUE"""),6.0)</f>
        <v>6</v>
      </c>
      <c r="X224" s="189">
        <f>IFERROR(__xludf.DUMMYFUNCTION("""COMPUTED_VALUE"""),7.0)</f>
        <v>7</v>
      </c>
      <c r="Y224" s="189" t="str">
        <f>IFERROR(__xludf.DUMMYFUNCTION("""COMPUTED_VALUE"""),"2025-05-29T00:00:00.000Z")</f>
        <v>2025-05-29T00:00:00.000Z</v>
      </c>
      <c r="Z224" s="189" t="str">
        <f>IFERROR(__xludf.DUMMYFUNCTION("""COMPUTED_VALUE"""),"MOUZ_Sunset")</f>
        <v>MOUZ_Sunset</v>
      </c>
    </row>
    <row r="225">
      <c r="A225" s="189">
        <f>IFERROR(__xludf.DUMMYFUNCTION("""COMPUTED_VALUE"""),204725.0)</f>
        <v>204725</v>
      </c>
      <c r="B225" s="189">
        <f>IFERROR(__xludf.DUMMYFUNCTION("""COMPUTED_VALUE"""),90395.0)</f>
        <v>90395</v>
      </c>
      <c r="C225" s="189" t="str">
        <f>IFERROR(__xludf.DUMMYFUNCTION("""COMPUTED_VALUE"""),"A1 eSports Cup #8")</f>
        <v>A1 eSports Cup #8</v>
      </c>
      <c r="D225" s="189" t="str">
        <f>IFERROR(__xludf.DUMMYFUNCTION("""COMPUTED_VALUE"""),"Lotus")</f>
        <v>Lotus</v>
      </c>
      <c r="E225" s="189" t="str">
        <f>IFERROR(__xludf.DUMMYFUNCTION("""COMPUTED_VALUE"""),"MOUZ")</f>
        <v>MOUZ</v>
      </c>
      <c r="F225" s="189" t="str">
        <f>IFERROR(__xludf.DUMMYFUNCTION("""COMPUTED_VALUE"""),"RIZON")</f>
        <v>RIZON</v>
      </c>
      <c r="G225" s="189" t="str">
        <f>IFERROR(__xludf.DUMMYFUNCTION("""COMPUTED_VALUE"""),"Breach,Cypher,Omen,Yoru,Fade")</f>
        <v>Breach,Cypher,Omen,Yoru,Fade</v>
      </c>
      <c r="H225" s="189" t="str">
        <f>IFERROR(__xludf.DUMMYFUNCTION("""COMPUTED_VALUE"""),"Cypher,Omen,Yoru,Fade,Iso")</f>
        <v>Cypher,Omen,Yoru,Fade,Iso</v>
      </c>
      <c r="I225" s="189">
        <f>IFERROR(__xludf.DUMMYFUNCTION("""COMPUTED_VALUE"""),13.0)</f>
        <v>13</v>
      </c>
      <c r="J225" s="189">
        <f>IFERROR(__xludf.DUMMYFUNCTION("""COMPUTED_VALUE"""),7.0)</f>
        <v>7</v>
      </c>
      <c r="K225" s="189">
        <f>IFERROR(__xludf.DUMMYFUNCTION("""COMPUTED_VALUE"""),6.0)</f>
        <v>6</v>
      </c>
      <c r="L225" s="189">
        <f>IFERROR(__xludf.DUMMYFUNCTION("""COMPUTED_VALUE"""),6.0)</f>
        <v>6</v>
      </c>
      <c r="M225" s="189">
        <f>IFERROR(__xludf.DUMMYFUNCTION("""COMPUTED_VALUE"""),0.0)</f>
        <v>0</v>
      </c>
      <c r="N225" s="189">
        <f>IFERROR(__xludf.DUMMYFUNCTION("""COMPUTED_VALUE"""),0.0)</f>
        <v>0</v>
      </c>
      <c r="O225" s="189">
        <f>IFERROR(__xludf.DUMMYFUNCTION("""COMPUTED_VALUE"""),7.0)</f>
        <v>7</v>
      </c>
      <c r="P225" s="189">
        <f>IFERROR(__xludf.DUMMYFUNCTION("""COMPUTED_VALUE"""),1.0)</f>
        <v>1</v>
      </c>
      <c r="Q225" s="189">
        <f>IFERROR(__xludf.DUMMYFUNCTION("""COMPUTED_VALUE"""),6.0)</f>
        <v>6</v>
      </c>
      <c r="R225" s="189">
        <f>IFERROR(__xludf.DUMMYFUNCTION("""COMPUTED_VALUE"""),6.0)</f>
        <v>6</v>
      </c>
      <c r="S225" s="189">
        <f>IFERROR(__xludf.DUMMYFUNCTION("""COMPUTED_VALUE"""),1.0)</f>
        <v>1</v>
      </c>
      <c r="T225" s="189">
        <f>IFERROR(__xludf.DUMMYFUNCTION("""COMPUTED_VALUE"""),1.0)</f>
        <v>1</v>
      </c>
      <c r="U225" s="189">
        <f>IFERROR(__xludf.DUMMYFUNCTION("""COMPUTED_VALUE"""),6.0)</f>
        <v>6</v>
      </c>
      <c r="V225" s="189">
        <f>IFERROR(__xludf.DUMMYFUNCTION("""COMPUTED_VALUE"""),6.0)</f>
        <v>6</v>
      </c>
      <c r="W225" s="189">
        <f>IFERROR(__xludf.DUMMYFUNCTION("""COMPUTED_VALUE"""),1.0)</f>
        <v>1</v>
      </c>
      <c r="X225" s="189">
        <f>IFERROR(__xludf.DUMMYFUNCTION("""COMPUTED_VALUE"""),7.0)</f>
        <v>7</v>
      </c>
      <c r="Y225" s="189" t="str">
        <f>IFERROR(__xludf.DUMMYFUNCTION("""COMPUTED_VALUE"""),"2025-05-29T00:00:00.000Z")</f>
        <v>2025-05-29T00:00:00.000Z</v>
      </c>
      <c r="Z225" s="189" t="str">
        <f>IFERROR(__xludf.DUMMYFUNCTION("""COMPUTED_VALUE"""),"MOUZ_Lotus")</f>
        <v>MOUZ_Lotus</v>
      </c>
    </row>
    <row r="226">
      <c r="A226" s="189">
        <f>IFERROR(__xludf.DUMMYFUNCTION("""COMPUTED_VALUE"""),204723.0)</f>
        <v>204723</v>
      </c>
      <c r="B226" s="189">
        <f>IFERROR(__xludf.DUMMYFUNCTION("""COMPUTED_VALUE"""),90394.0)</f>
        <v>90394</v>
      </c>
      <c r="C226" s="189" t="str">
        <f>IFERROR(__xludf.DUMMYFUNCTION("""COMPUTED_VALUE"""),"A1 eSports Cup #8")</f>
        <v>A1 eSports Cup #8</v>
      </c>
      <c r="D226" s="189" t="str">
        <f>IFERROR(__xludf.DUMMYFUNCTION("""COMPUTED_VALUE"""),"Haven")</f>
        <v>Haven</v>
      </c>
      <c r="E226" s="189" t="str">
        <f>IFERROR(__xludf.DUMMYFUNCTION("""COMPUTED_VALUE"""),"Eintracht Frankfurt")</f>
        <v>Eintracht Frankfurt</v>
      </c>
      <c r="F226" s="189" t="str">
        <f>IFERROR(__xludf.DUMMYFUNCTION("""COMPUTED_VALUE"""),"XPERION NXT")</f>
        <v>XPERION NXT</v>
      </c>
      <c r="G226" s="189" t="str">
        <f>IFERROR(__xludf.DUMMYFUNCTION("""COMPUTED_VALUE"""),"Breach,Cypher,Sova,Omen,Jett")</f>
        <v>Breach,Cypher,Sova,Omen,Jett</v>
      </c>
      <c r="H226" s="189" t="str">
        <f>IFERROR(__xludf.DUMMYFUNCTION("""COMPUTED_VALUE"""),"Breach,Cypher,Sova,Omen,Neon")</f>
        <v>Breach,Cypher,Sova,Omen,Neon</v>
      </c>
      <c r="I226" s="189">
        <f>IFERROR(__xludf.DUMMYFUNCTION("""COMPUTED_VALUE"""),13.0)</f>
        <v>13</v>
      </c>
      <c r="J226" s="189">
        <f>IFERROR(__xludf.DUMMYFUNCTION("""COMPUTED_VALUE"""),11.0)</f>
        <v>11</v>
      </c>
      <c r="K226" s="189">
        <f>IFERROR(__xludf.DUMMYFUNCTION("""COMPUTED_VALUE"""),8.0)</f>
        <v>8</v>
      </c>
      <c r="L226" s="189">
        <f>IFERROR(__xludf.DUMMYFUNCTION("""COMPUTED_VALUE"""),4.0)</f>
        <v>4</v>
      </c>
      <c r="M226" s="189">
        <f>IFERROR(__xludf.DUMMYFUNCTION("""COMPUTED_VALUE"""),0.0)</f>
        <v>0</v>
      </c>
      <c r="N226" s="189">
        <f>IFERROR(__xludf.DUMMYFUNCTION("""COMPUTED_VALUE"""),1.0)</f>
        <v>1</v>
      </c>
      <c r="O226" s="189">
        <f>IFERROR(__xludf.DUMMYFUNCTION("""COMPUTED_VALUE"""),5.0)</f>
        <v>5</v>
      </c>
      <c r="P226" s="189">
        <f>IFERROR(__xludf.DUMMYFUNCTION("""COMPUTED_VALUE"""),7.0)</f>
        <v>7</v>
      </c>
      <c r="Q226" s="189">
        <f>IFERROR(__xludf.DUMMYFUNCTION("""COMPUTED_VALUE"""),8.0)</f>
        <v>8</v>
      </c>
      <c r="R226" s="189">
        <f>IFERROR(__xludf.DUMMYFUNCTION("""COMPUTED_VALUE"""),4.0)</f>
        <v>4</v>
      </c>
      <c r="S226" s="189">
        <f>IFERROR(__xludf.DUMMYFUNCTION("""COMPUTED_VALUE"""),0.0)</f>
        <v>0</v>
      </c>
      <c r="T226" s="189">
        <f>IFERROR(__xludf.DUMMYFUNCTION("""COMPUTED_VALUE"""),1.0)</f>
        <v>1</v>
      </c>
      <c r="U226" s="189">
        <f>IFERROR(__xludf.DUMMYFUNCTION("""COMPUTED_VALUE"""),4.0)</f>
        <v>4</v>
      </c>
      <c r="V226" s="189">
        <f>IFERROR(__xludf.DUMMYFUNCTION("""COMPUTED_VALUE"""),8.0)</f>
        <v>8</v>
      </c>
      <c r="W226" s="189">
        <f>IFERROR(__xludf.DUMMYFUNCTION("""COMPUTED_VALUE"""),7.0)</f>
        <v>7</v>
      </c>
      <c r="X226" s="189">
        <f>IFERROR(__xludf.DUMMYFUNCTION("""COMPUTED_VALUE"""),5.0)</f>
        <v>5</v>
      </c>
      <c r="Y226" s="189" t="str">
        <f>IFERROR(__xludf.DUMMYFUNCTION("""COMPUTED_VALUE"""),"2025-05-27T00:00:00.000Z")</f>
        <v>2025-05-27T00:00:00.000Z</v>
      </c>
      <c r="Z226" s="189" t="str">
        <f>IFERROR(__xludf.DUMMYFUNCTION("""COMPUTED_VALUE"""),"Eintracht Frankfurt_Haven")</f>
        <v>Eintracht Frankfurt_Haven</v>
      </c>
    </row>
    <row r="227">
      <c r="A227" s="189">
        <f>IFERROR(__xludf.DUMMYFUNCTION("""COMPUTED_VALUE"""),204722.0)</f>
        <v>204722</v>
      </c>
      <c r="B227" s="189">
        <f>IFERROR(__xludf.DUMMYFUNCTION("""COMPUTED_VALUE"""),90394.0)</f>
        <v>90394</v>
      </c>
      <c r="C227" s="189" t="str">
        <f>IFERROR(__xludf.DUMMYFUNCTION("""COMPUTED_VALUE"""),"A1 eSports Cup #8")</f>
        <v>A1 eSports Cup #8</v>
      </c>
      <c r="D227" s="189" t="str">
        <f>IFERROR(__xludf.DUMMYFUNCTION("""COMPUTED_VALUE"""),"Lotus")</f>
        <v>Lotus</v>
      </c>
      <c r="E227" s="189" t="str">
        <f>IFERROR(__xludf.DUMMYFUNCTION("""COMPUTED_VALUE"""),"Eintracht Frankfurt")</f>
        <v>Eintracht Frankfurt</v>
      </c>
      <c r="F227" s="189" t="str">
        <f>IFERROR(__xludf.DUMMYFUNCTION("""COMPUTED_VALUE"""),"XPERION NXT")</f>
        <v>XPERION NXT</v>
      </c>
      <c r="G227" s="189" t="str">
        <f>IFERROR(__xludf.DUMMYFUNCTION("""COMPUTED_VALUE"""),"Cypher,Viper,Omen,Yoru,Fade")</f>
        <v>Cypher,Viper,Omen,Yoru,Fade</v>
      </c>
      <c r="H227" s="189" t="str">
        <f>IFERROR(__xludf.DUMMYFUNCTION("""COMPUTED_VALUE"""),"Breach,Cypher,Omen,Neon,Fade")</f>
        <v>Breach,Cypher,Omen,Neon,Fade</v>
      </c>
      <c r="I227" s="189">
        <f>IFERROR(__xludf.DUMMYFUNCTION("""COMPUTED_VALUE"""),13.0)</f>
        <v>13</v>
      </c>
      <c r="J227" s="189">
        <f>IFERROR(__xludf.DUMMYFUNCTION("""COMPUTED_VALUE"""),7.0)</f>
        <v>7</v>
      </c>
      <c r="K227" s="189">
        <f>IFERROR(__xludf.DUMMYFUNCTION("""COMPUTED_VALUE"""),8.0)</f>
        <v>8</v>
      </c>
      <c r="L227" s="189">
        <f>IFERROR(__xludf.DUMMYFUNCTION("""COMPUTED_VALUE"""),4.0)</f>
        <v>4</v>
      </c>
      <c r="M227" s="189">
        <f>IFERROR(__xludf.DUMMYFUNCTION("""COMPUTED_VALUE"""),1.0)</f>
        <v>1</v>
      </c>
      <c r="N227" s="189">
        <f>IFERROR(__xludf.DUMMYFUNCTION("""COMPUTED_VALUE"""),0.0)</f>
        <v>0</v>
      </c>
      <c r="O227" s="189">
        <f>IFERROR(__xludf.DUMMYFUNCTION("""COMPUTED_VALUE"""),5.0)</f>
        <v>5</v>
      </c>
      <c r="P227" s="189">
        <f>IFERROR(__xludf.DUMMYFUNCTION("""COMPUTED_VALUE"""),3.0)</f>
        <v>3</v>
      </c>
      <c r="Q227" s="189">
        <f>IFERROR(__xludf.DUMMYFUNCTION("""COMPUTED_VALUE"""),8.0)</f>
        <v>8</v>
      </c>
      <c r="R227" s="189">
        <f>IFERROR(__xludf.DUMMYFUNCTION("""COMPUTED_VALUE"""),4.0)</f>
        <v>4</v>
      </c>
      <c r="S227" s="189">
        <f>IFERROR(__xludf.DUMMYFUNCTION("""COMPUTED_VALUE"""),1.0)</f>
        <v>1</v>
      </c>
      <c r="T227" s="189">
        <f>IFERROR(__xludf.DUMMYFUNCTION("""COMPUTED_VALUE"""),0.0)</f>
        <v>0</v>
      </c>
      <c r="U227" s="189">
        <f>IFERROR(__xludf.DUMMYFUNCTION("""COMPUTED_VALUE"""),4.0)</f>
        <v>4</v>
      </c>
      <c r="V227" s="189">
        <f>IFERROR(__xludf.DUMMYFUNCTION("""COMPUTED_VALUE"""),8.0)</f>
        <v>8</v>
      </c>
      <c r="W227" s="189">
        <f>IFERROR(__xludf.DUMMYFUNCTION("""COMPUTED_VALUE"""),3.0)</f>
        <v>3</v>
      </c>
      <c r="X227" s="189">
        <f>IFERROR(__xludf.DUMMYFUNCTION("""COMPUTED_VALUE"""),5.0)</f>
        <v>5</v>
      </c>
      <c r="Y227" s="189" t="str">
        <f>IFERROR(__xludf.DUMMYFUNCTION("""COMPUTED_VALUE"""),"2025-05-27T00:00:00.000Z")</f>
        <v>2025-05-27T00:00:00.000Z</v>
      </c>
      <c r="Z227" s="189" t="str">
        <f>IFERROR(__xludf.DUMMYFUNCTION("""COMPUTED_VALUE"""),"Eintracht Frankfurt_Lotus")</f>
        <v>Eintracht Frankfurt_Lotus</v>
      </c>
    </row>
    <row r="228">
      <c r="A228" s="189">
        <f>IFERROR(__xludf.DUMMYFUNCTION("""COMPUTED_VALUE"""),212692.0)</f>
        <v>212692</v>
      </c>
      <c r="B228" s="189">
        <f>IFERROR(__xludf.DUMMYFUNCTION("""COMPUTED_VALUE"""),93676.0)</f>
        <v>93676</v>
      </c>
      <c r="C228" s="189" t="str">
        <f>IFERROR(__xludf.DUMMYFUNCTION("""COMPUTED_VALUE"""),"Challengers 2025: Spain Rising Finals - Playoffs")</f>
        <v>Challengers 2025: Spain Rising Finals - Playoffs</v>
      </c>
      <c r="D228" s="189" t="str">
        <f>IFERROR(__xludf.DUMMYFUNCTION("""COMPUTED_VALUE"""),"Ascent")</f>
        <v>Ascent</v>
      </c>
      <c r="E228" s="189" t="str">
        <f>IFERROR(__xludf.DUMMYFUNCTION("""COMPUTED_VALUE"""),"DNSTY")</f>
        <v>DNSTY</v>
      </c>
      <c r="F228" s="189" t="str">
        <f>IFERROR(__xludf.DUMMYFUNCTION("""COMPUTED_VALUE"""),"KOI Fénix")</f>
        <v>KOI Fénix</v>
      </c>
      <c r="G228" s="189" t="str">
        <f>IFERROR(__xludf.DUMMYFUNCTION("""COMPUTED_VALUE"""),"Sova,Killjoy,Omen,Jett,KAY/O")</f>
        <v>Sova,Killjoy,Omen,Jett,KAY/O</v>
      </c>
      <c r="H228" s="189" t="str">
        <f>IFERROR(__xludf.DUMMYFUNCTION("""COMPUTED_VALUE"""),"Sova,Omen,Yoru,Chamber,Vyse")</f>
        <v>Sova,Omen,Yoru,Chamber,Vyse</v>
      </c>
      <c r="I228" s="189">
        <f>IFERROR(__xludf.DUMMYFUNCTION("""COMPUTED_VALUE"""),13.0)</f>
        <v>13</v>
      </c>
      <c r="J228" s="189">
        <f>IFERROR(__xludf.DUMMYFUNCTION("""COMPUTED_VALUE"""),6.0)</f>
        <v>6</v>
      </c>
      <c r="K228" s="189">
        <f>IFERROR(__xludf.DUMMYFUNCTION("""COMPUTED_VALUE"""),7.0)</f>
        <v>7</v>
      </c>
      <c r="L228" s="189">
        <f>IFERROR(__xludf.DUMMYFUNCTION("""COMPUTED_VALUE"""),5.0)</f>
        <v>5</v>
      </c>
      <c r="M228" s="189">
        <f>IFERROR(__xludf.DUMMYFUNCTION("""COMPUTED_VALUE"""),1.0)</f>
        <v>1</v>
      </c>
      <c r="N228" s="189">
        <f>IFERROR(__xludf.DUMMYFUNCTION("""COMPUTED_VALUE"""),0.0)</f>
        <v>0</v>
      </c>
      <c r="O228" s="189">
        <f>IFERROR(__xludf.DUMMYFUNCTION("""COMPUTED_VALUE"""),6.0)</f>
        <v>6</v>
      </c>
      <c r="P228" s="189">
        <f>IFERROR(__xludf.DUMMYFUNCTION("""COMPUTED_VALUE"""),1.0)</f>
        <v>1</v>
      </c>
      <c r="Q228" s="189">
        <f>IFERROR(__xludf.DUMMYFUNCTION("""COMPUTED_VALUE"""),7.0)</f>
        <v>7</v>
      </c>
      <c r="R228" s="189">
        <f>IFERROR(__xludf.DUMMYFUNCTION("""COMPUTED_VALUE"""),5.0)</f>
        <v>5</v>
      </c>
      <c r="S228" s="189">
        <f>IFERROR(__xludf.DUMMYFUNCTION("""COMPUTED_VALUE"""),1.0)</f>
        <v>1</v>
      </c>
      <c r="T228" s="189">
        <f>IFERROR(__xludf.DUMMYFUNCTION("""COMPUTED_VALUE"""),0.0)</f>
        <v>0</v>
      </c>
      <c r="U228" s="189">
        <f>IFERROR(__xludf.DUMMYFUNCTION("""COMPUTED_VALUE"""),5.0)</f>
        <v>5</v>
      </c>
      <c r="V228" s="189">
        <f>IFERROR(__xludf.DUMMYFUNCTION("""COMPUTED_VALUE"""),7.0)</f>
        <v>7</v>
      </c>
      <c r="W228" s="189">
        <f>IFERROR(__xludf.DUMMYFUNCTION("""COMPUTED_VALUE"""),1.0)</f>
        <v>1</v>
      </c>
      <c r="X228" s="189">
        <f>IFERROR(__xludf.DUMMYFUNCTION("""COMPUTED_VALUE"""),6.0)</f>
        <v>6</v>
      </c>
      <c r="Y228" s="189" t="str">
        <f>IFERROR(__xludf.DUMMYFUNCTION("""COMPUTED_VALUE"""),"2025-08-20T00:00:00.000Z")</f>
        <v>2025-08-20T00:00:00.000Z</v>
      </c>
      <c r="Z228" s="189" t="str">
        <f>IFERROR(__xludf.DUMMYFUNCTION("""COMPUTED_VALUE"""),"DNSTY_Ascent")</f>
        <v>DNSTY_Ascent</v>
      </c>
    </row>
    <row r="229">
      <c r="A229" s="189">
        <f>IFERROR(__xludf.DUMMYFUNCTION("""COMPUTED_VALUE"""),212691.0)</f>
        <v>212691</v>
      </c>
      <c r="B229" s="189">
        <f>IFERROR(__xludf.DUMMYFUNCTION("""COMPUTED_VALUE"""),93676.0)</f>
        <v>93676</v>
      </c>
      <c r="C229" s="189" t="str">
        <f>IFERROR(__xludf.DUMMYFUNCTION("""COMPUTED_VALUE"""),"Challengers 2025: Spain Rising Finals - Playoffs")</f>
        <v>Challengers 2025: Spain Rising Finals - Playoffs</v>
      </c>
      <c r="D229" s="189" t="str">
        <f>IFERROR(__xludf.DUMMYFUNCTION("""COMPUTED_VALUE"""),"Haven")</f>
        <v>Haven</v>
      </c>
      <c r="E229" s="189" t="str">
        <f>IFERROR(__xludf.DUMMYFUNCTION("""COMPUTED_VALUE"""),"DNSTY")</f>
        <v>DNSTY</v>
      </c>
      <c r="F229" s="189" t="str">
        <f>IFERROR(__xludf.DUMMYFUNCTION("""COMPUTED_VALUE"""),"KOI Fénix")</f>
        <v>KOI Fénix</v>
      </c>
      <c r="G229" s="189" t="str">
        <f>IFERROR(__xludf.DUMMYFUNCTION("""COMPUTED_VALUE"""),"Sova,Killjoy,Viper,Omen,Neon")</f>
        <v>Sova,Killjoy,Viper,Omen,Neon</v>
      </c>
      <c r="H229" s="189" t="str">
        <f>IFERROR(__xludf.DUMMYFUNCTION("""COMPUTED_VALUE"""),"Breach,Cypher,Sova,Omen,Neon")</f>
        <v>Breach,Cypher,Sova,Omen,Neon</v>
      </c>
      <c r="I229" s="189">
        <f>IFERROR(__xludf.DUMMYFUNCTION("""COMPUTED_VALUE"""),13.0)</f>
        <v>13</v>
      </c>
      <c r="J229" s="189">
        <f>IFERROR(__xludf.DUMMYFUNCTION("""COMPUTED_VALUE"""),10.0)</f>
        <v>10</v>
      </c>
      <c r="K229" s="189">
        <f>IFERROR(__xludf.DUMMYFUNCTION("""COMPUTED_VALUE"""),3.0)</f>
        <v>3</v>
      </c>
      <c r="L229" s="189">
        <f>IFERROR(__xludf.DUMMYFUNCTION("""COMPUTED_VALUE"""),9.0)</f>
        <v>9</v>
      </c>
      <c r="M229" s="189">
        <f>IFERROR(__xludf.DUMMYFUNCTION("""COMPUTED_VALUE"""),1.0)</f>
        <v>1</v>
      </c>
      <c r="N229" s="189">
        <f>IFERROR(__xludf.DUMMYFUNCTION("""COMPUTED_VALUE"""),0.0)</f>
        <v>0</v>
      </c>
      <c r="O229" s="189">
        <f>IFERROR(__xludf.DUMMYFUNCTION("""COMPUTED_VALUE"""),10.0)</f>
        <v>10</v>
      </c>
      <c r="P229" s="189">
        <f>IFERROR(__xludf.DUMMYFUNCTION("""COMPUTED_VALUE"""),1.0)</f>
        <v>1</v>
      </c>
      <c r="Q229" s="189">
        <f>IFERROR(__xludf.DUMMYFUNCTION("""COMPUTED_VALUE"""),3.0)</f>
        <v>3</v>
      </c>
      <c r="R229" s="189">
        <f>IFERROR(__xludf.DUMMYFUNCTION("""COMPUTED_VALUE"""),9.0)</f>
        <v>9</v>
      </c>
      <c r="S229" s="189">
        <f>IFERROR(__xludf.DUMMYFUNCTION("""COMPUTED_VALUE"""),1.0)</f>
        <v>1</v>
      </c>
      <c r="T229" s="189">
        <f>IFERROR(__xludf.DUMMYFUNCTION("""COMPUTED_VALUE"""),0.0)</f>
        <v>0</v>
      </c>
      <c r="U229" s="189">
        <f>IFERROR(__xludf.DUMMYFUNCTION("""COMPUTED_VALUE"""),9.0)</f>
        <v>9</v>
      </c>
      <c r="V229" s="189">
        <f>IFERROR(__xludf.DUMMYFUNCTION("""COMPUTED_VALUE"""),3.0)</f>
        <v>3</v>
      </c>
      <c r="W229" s="189">
        <f>IFERROR(__xludf.DUMMYFUNCTION("""COMPUTED_VALUE"""),1.0)</f>
        <v>1</v>
      </c>
      <c r="X229" s="189">
        <f>IFERROR(__xludf.DUMMYFUNCTION("""COMPUTED_VALUE"""),10.0)</f>
        <v>10</v>
      </c>
      <c r="Y229" s="189" t="str">
        <f>IFERROR(__xludf.DUMMYFUNCTION("""COMPUTED_VALUE"""),"2025-08-20T00:00:00.000Z")</f>
        <v>2025-08-20T00:00:00.000Z</v>
      </c>
      <c r="Z229" s="189" t="str">
        <f>IFERROR(__xludf.DUMMYFUNCTION("""COMPUTED_VALUE"""),"DNSTY_Haven")</f>
        <v>DNSTY_Haven</v>
      </c>
    </row>
    <row r="230">
      <c r="A230" s="189">
        <f>IFERROR(__xludf.DUMMYFUNCTION("""COMPUTED_VALUE"""),212690.0)</f>
        <v>212690</v>
      </c>
      <c r="B230" s="189">
        <f>IFERROR(__xludf.DUMMYFUNCTION("""COMPUTED_VALUE"""),93676.0)</f>
        <v>93676</v>
      </c>
      <c r="C230" s="189" t="str">
        <f>IFERROR(__xludf.DUMMYFUNCTION("""COMPUTED_VALUE"""),"Challengers 2025: Spain Rising Finals - Playoffs")</f>
        <v>Challengers 2025: Spain Rising Finals - Playoffs</v>
      </c>
      <c r="D230" s="189" t="str">
        <f>IFERROR(__xludf.DUMMYFUNCTION("""COMPUTED_VALUE"""),"Bind")</f>
        <v>Bind</v>
      </c>
      <c r="E230" s="189" t="str">
        <f>IFERROR(__xludf.DUMMYFUNCTION("""COMPUTED_VALUE"""),"DNSTY")</f>
        <v>DNSTY</v>
      </c>
      <c r="F230" s="189" t="str">
        <f>IFERROR(__xludf.DUMMYFUNCTION("""COMPUTED_VALUE"""),"KOI Fénix")</f>
        <v>KOI Fénix</v>
      </c>
      <c r="G230" s="189" t="str">
        <f>IFERROR(__xludf.DUMMYFUNCTION("""COMPUTED_VALUE"""),"Raze,Viper,Brimstone,Yoru,Fade")</f>
        <v>Raze,Viper,Brimstone,Yoru,Fade</v>
      </c>
      <c r="H230" s="189" t="str">
        <f>IFERROR(__xludf.DUMMYFUNCTION("""COMPUTED_VALUE"""),"Yoru,Astra,Gekko,Deadlock,Vyse")</f>
        <v>Yoru,Astra,Gekko,Deadlock,Vyse</v>
      </c>
      <c r="I230" s="189">
        <f>IFERROR(__xludf.DUMMYFUNCTION("""COMPUTED_VALUE"""),8.0)</f>
        <v>8</v>
      </c>
      <c r="J230" s="189">
        <f>IFERROR(__xludf.DUMMYFUNCTION("""COMPUTED_VALUE"""),13.0)</f>
        <v>13</v>
      </c>
      <c r="K230" s="189">
        <f>IFERROR(__xludf.DUMMYFUNCTION("""COMPUTED_VALUE"""),4.0)</f>
        <v>4</v>
      </c>
      <c r="L230" s="189">
        <f>IFERROR(__xludf.DUMMYFUNCTION("""COMPUTED_VALUE"""),8.0)</f>
        <v>8</v>
      </c>
      <c r="M230" s="189">
        <f>IFERROR(__xludf.DUMMYFUNCTION("""COMPUTED_VALUE"""),0.0)</f>
        <v>0</v>
      </c>
      <c r="N230" s="189">
        <f>IFERROR(__xludf.DUMMYFUNCTION("""COMPUTED_VALUE"""),0.0)</f>
        <v>0</v>
      </c>
      <c r="O230" s="189">
        <f>IFERROR(__xludf.DUMMYFUNCTION("""COMPUTED_VALUE"""),4.0)</f>
        <v>4</v>
      </c>
      <c r="P230" s="189">
        <f>IFERROR(__xludf.DUMMYFUNCTION("""COMPUTED_VALUE"""),5.0)</f>
        <v>5</v>
      </c>
      <c r="Q230" s="189">
        <f>IFERROR(__xludf.DUMMYFUNCTION("""COMPUTED_VALUE"""),4.0)</f>
        <v>4</v>
      </c>
      <c r="R230" s="189">
        <f>IFERROR(__xludf.DUMMYFUNCTION("""COMPUTED_VALUE"""),8.0)</f>
        <v>8</v>
      </c>
      <c r="S230" s="189">
        <f>IFERROR(__xludf.DUMMYFUNCTION("""COMPUTED_VALUE"""),1.0)</f>
        <v>1</v>
      </c>
      <c r="T230" s="189">
        <f>IFERROR(__xludf.DUMMYFUNCTION("""COMPUTED_VALUE"""),1.0)</f>
        <v>1</v>
      </c>
      <c r="U230" s="189">
        <f>IFERROR(__xludf.DUMMYFUNCTION("""COMPUTED_VALUE"""),8.0)</f>
        <v>8</v>
      </c>
      <c r="V230" s="189">
        <f>IFERROR(__xludf.DUMMYFUNCTION("""COMPUTED_VALUE"""),4.0)</f>
        <v>4</v>
      </c>
      <c r="W230" s="189">
        <f>IFERROR(__xludf.DUMMYFUNCTION("""COMPUTED_VALUE"""),5.0)</f>
        <v>5</v>
      </c>
      <c r="X230" s="189">
        <f>IFERROR(__xludf.DUMMYFUNCTION("""COMPUTED_VALUE"""),4.0)</f>
        <v>4</v>
      </c>
      <c r="Y230" s="189" t="str">
        <f>IFERROR(__xludf.DUMMYFUNCTION("""COMPUTED_VALUE"""),"2025-08-20T00:00:00.000Z")</f>
        <v>2025-08-20T00:00:00.000Z</v>
      </c>
      <c r="Z230" s="189" t="str">
        <f>IFERROR(__xludf.DUMMYFUNCTION("""COMPUTED_VALUE"""),"DNSTY_Bind")</f>
        <v>DNSTY_Bind</v>
      </c>
    </row>
    <row r="231">
      <c r="A231" s="189">
        <f>IFERROR(__xludf.DUMMYFUNCTION("""COMPUTED_VALUE"""),213558.0)</f>
        <v>213558</v>
      </c>
      <c r="B231" s="189">
        <f>IFERROR(__xludf.DUMMYFUNCTION("""COMPUTED_VALUE"""),93971.0)</f>
        <v>93971</v>
      </c>
      <c r="C231" s="189" t="str">
        <f>IFERROR(__xludf.DUMMYFUNCTION("""COMPUTED_VALUE"""),"Challengers League 2025 MENA: Resilience - LAN Finals - Main Event")</f>
        <v>Challengers League 2025 MENA: Resilience - LAN Finals - Main Event</v>
      </c>
      <c r="D231" s="189" t="str">
        <f>IFERROR(__xludf.DUMMYFUNCTION("""COMPUTED_VALUE"""),"Icebox")</f>
        <v>Icebox</v>
      </c>
      <c r="E231" s="189" t="str">
        <f>IFERROR(__xludf.DUMMYFUNCTION("""COMPUTED_VALUE"""),"Twisted Minds Esports")</f>
        <v>Twisted Minds Esports</v>
      </c>
      <c r="F231" s="189" t="str">
        <f>IFERROR(__xludf.DUMMYFUNCTION("""COMPUTED_VALUE"""),"The Ultimates")</f>
        <v>The Ultimates</v>
      </c>
      <c r="G231" s="189" t="str">
        <f>IFERROR(__xludf.DUMMYFUNCTION("""COMPUTED_VALUE"""),"Sova,Killjoy,Viper,Omen,Jett")</f>
        <v>Sova,Killjoy,Viper,Omen,Jett</v>
      </c>
      <c r="H231" s="189" t="str">
        <f>IFERROR(__xludf.DUMMYFUNCTION("""COMPUTED_VALUE"""),"Reyna,Omen,KAY/O,Harbor,Gekko")</f>
        <v>Reyna,Omen,KAY/O,Harbor,Gekko</v>
      </c>
      <c r="I231" s="189">
        <f>IFERROR(__xludf.DUMMYFUNCTION("""COMPUTED_VALUE"""),13.0)</f>
        <v>13</v>
      </c>
      <c r="J231" s="189">
        <f>IFERROR(__xludf.DUMMYFUNCTION("""COMPUTED_VALUE"""),3.0)</f>
        <v>3</v>
      </c>
      <c r="K231" s="189">
        <f>IFERROR(__xludf.DUMMYFUNCTION("""COMPUTED_VALUE"""),11.0)</f>
        <v>11</v>
      </c>
      <c r="L231" s="189">
        <f>IFERROR(__xludf.DUMMYFUNCTION("""COMPUTED_VALUE"""),1.0)</f>
        <v>1</v>
      </c>
      <c r="M231" s="189">
        <f>IFERROR(__xludf.DUMMYFUNCTION("""COMPUTED_VALUE"""),0.0)</f>
        <v>0</v>
      </c>
      <c r="N231" s="189">
        <f>IFERROR(__xludf.DUMMYFUNCTION("""COMPUTED_VALUE"""),0.0)</f>
        <v>0</v>
      </c>
      <c r="O231" s="189">
        <f>IFERROR(__xludf.DUMMYFUNCTION("""COMPUTED_VALUE"""),2.0)</f>
        <v>2</v>
      </c>
      <c r="P231" s="189">
        <f>IFERROR(__xludf.DUMMYFUNCTION("""COMPUTED_VALUE"""),2.0)</f>
        <v>2</v>
      </c>
      <c r="Q231" s="189">
        <f>IFERROR(__xludf.DUMMYFUNCTION("""COMPUTED_VALUE"""),11.0)</f>
        <v>11</v>
      </c>
      <c r="R231" s="189">
        <f>IFERROR(__xludf.DUMMYFUNCTION("""COMPUTED_VALUE"""),1.0)</f>
        <v>1</v>
      </c>
      <c r="S231" s="189">
        <f>IFERROR(__xludf.DUMMYFUNCTION("""COMPUTED_VALUE"""),1.0)</f>
        <v>1</v>
      </c>
      <c r="T231" s="189">
        <f>IFERROR(__xludf.DUMMYFUNCTION("""COMPUTED_VALUE"""),1.0)</f>
        <v>1</v>
      </c>
      <c r="U231" s="189">
        <f>IFERROR(__xludf.DUMMYFUNCTION("""COMPUTED_VALUE"""),1.0)</f>
        <v>1</v>
      </c>
      <c r="V231" s="189">
        <f>IFERROR(__xludf.DUMMYFUNCTION("""COMPUTED_VALUE"""),11.0)</f>
        <v>11</v>
      </c>
      <c r="W231" s="189">
        <f>IFERROR(__xludf.DUMMYFUNCTION("""COMPUTED_VALUE"""),2.0)</f>
        <v>2</v>
      </c>
      <c r="X231" s="189">
        <f>IFERROR(__xludf.DUMMYFUNCTION("""COMPUTED_VALUE"""),2.0)</f>
        <v>2</v>
      </c>
      <c r="Y231" s="189" t="str">
        <f>IFERROR(__xludf.DUMMYFUNCTION("""COMPUTED_VALUE"""),"2025-08-20T00:00:00.000Z")</f>
        <v>2025-08-20T00:00:00.000Z</v>
      </c>
      <c r="Z231" s="189" t="str">
        <f>IFERROR(__xludf.DUMMYFUNCTION("""COMPUTED_VALUE"""),"Twisted Minds Esports_Icebox")</f>
        <v>Twisted Minds Esports_Icebox</v>
      </c>
    </row>
    <row r="232">
      <c r="A232" s="189">
        <f>IFERROR(__xludf.DUMMYFUNCTION("""COMPUTED_VALUE"""),212689.0)</f>
        <v>212689</v>
      </c>
      <c r="B232" s="189">
        <f>IFERROR(__xludf.DUMMYFUNCTION("""COMPUTED_VALUE"""),93676.0)</f>
        <v>93676</v>
      </c>
      <c r="C232" s="189" t="str">
        <f>IFERROR(__xludf.DUMMYFUNCTION("""COMPUTED_VALUE"""),"Challengers 2025: Spain Rising Finals - Playoffs")</f>
        <v>Challengers 2025: Spain Rising Finals - Playoffs</v>
      </c>
      <c r="D232" s="189" t="str">
        <f>IFERROR(__xludf.DUMMYFUNCTION("""COMPUTED_VALUE"""),"Sunset")</f>
        <v>Sunset</v>
      </c>
      <c r="E232" s="189" t="str">
        <f>IFERROR(__xludf.DUMMYFUNCTION("""COMPUTED_VALUE"""),"DNSTY")</f>
        <v>DNSTY</v>
      </c>
      <c r="F232" s="189" t="str">
        <f>IFERROR(__xludf.DUMMYFUNCTION("""COMPUTED_VALUE"""),"KOI Fénix")</f>
        <v>KOI Fénix</v>
      </c>
      <c r="G232" s="189" t="str">
        <f>IFERROR(__xludf.DUMMYFUNCTION("""COMPUTED_VALUE"""),"Sova,Viper,Omen,Neon,Deadlock")</f>
        <v>Sova,Viper,Omen,Neon,Deadlock</v>
      </c>
      <c r="H232" s="189" t="str">
        <f>IFERROR(__xludf.DUMMYFUNCTION("""COMPUTED_VALUE"""),"Breach,Sage,Omen,Neon,Gekko")</f>
        <v>Breach,Sage,Omen,Neon,Gekko</v>
      </c>
      <c r="I232" s="189">
        <f>IFERROR(__xludf.DUMMYFUNCTION("""COMPUTED_VALUE"""),13.0)</f>
        <v>13</v>
      </c>
      <c r="J232" s="189">
        <f>IFERROR(__xludf.DUMMYFUNCTION("""COMPUTED_VALUE"""),11.0)</f>
        <v>11</v>
      </c>
      <c r="K232" s="189">
        <f>IFERROR(__xludf.DUMMYFUNCTION("""COMPUTED_VALUE"""),3.0)</f>
        <v>3</v>
      </c>
      <c r="L232" s="189">
        <f>IFERROR(__xludf.DUMMYFUNCTION("""COMPUTED_VALUE"""),9.0)</f>
        <v>9</v>
      </c>
      <c r="M232" s="189">
        <f>IFERROR(__xludf.DUMMYFUNCTION("""COMPUTED_VALUE"""),1.0)</f>
        <v>1</v>
      </c>
      <c r="N232" s="189">
        <f>IFERROR(__xludf.DUMMYFUNCTION("""COMPUTED_VALUE"""),1.0)</f>
        <v>1</v>
      </c>
      <c r="O232" s="189">
        <f>IFERROR(__xludf.DUMMYFUNCTION("""COMPUTED_VALUE"""),3.0)</f>
        <v>3</v>
      </c>
      <c r="P232" s="189">
        <f>IFERROR(__xludf.DUMMYFUNCTION("""COMPUTED_VALUE"""),9.0)</f>
        <v>9</v>
      </c>
      <c r="Q232" s="189">
        <f>IFERROR(__xludf.DUMMYFUNCTION("""COMPUTED_VALUE"""),10.0)</f>
        <v>10</v>
      </c>
      <c r="R232" s="189">
        <f>IFERROR(__xludf.DUMMYFUNCTION("""COMPUTED_VALUE"""),2.0)</f>
        <v>2</v>
      </c>
      <c r="S232" s="189">
        <f>IFERROR(__xludf.DUMMYFUNCTION("""COMPUTED_VALUE"""),0.0)</f>
        <v>0</v>
      </c>
      <c r="T232" s="189">
        <f>IFERROR(__xludf.DUMMYFUNCTION("""COMPUTED_VALUE"""),0.0)</f>
        <v>0</v>
      </c>
      <c r="U232" s="189">
        <f>IFERROR(__xludf.DUMMYFUNCTION("""COMPUTED_VALUE"""),2.0)</f>
        <v>2</v>
      </c>
      <c r="V232" s="189">
        <f>IFERROR(__xludf.DUMMYFUNCTION("""COMPUTED_VALUE"""),10.0)</f>
        <v>10</v>
      </c>
      <c r="W232" s="189">
        <f>IFERROR(__xludf.DUMMYFUNCTION("""COMPUTED_VALUE"""),9.0)</f>
        <v>9</v>
      </c>
      <c r="X232" s="189">
        <f>IFERROR(__xludf.DUMMYFUNCTION("""COMPUTED_VALUE"""),3.0)</f>
        <v>3</v>
      </c>
      <c r="Y232" s="189" t="str">
        <f>IFERROR(__xludf.DUMMYFUNCTION("""COMPUTED_VALUE"""),"2025-08-20T00:00:00.000Z")</f>
        <v>2025-08-20T00:00:00.000Z</v>
      </c>
      <c r="Z232" s="189" t="str">
        <f>IFERROR(__xludf.DUMMYFUNCTION("""COMPUTED_VALUE"""),"DNSTY_Sunset")</f>
        <v>DNSTY_Sunset</v>
      </c>
    </row>
    <row r="233">
      <c r="A233" s="189">
        <f>IFERROR(__xludf.DUMMYFUNCTION("""COMPUTED_VALUE"""),213557.0)</f>
        <v>213557</v>
      </c>
      <c r="B233" s="189">
        <f>IFERROR(__xludf.DUMMYFUNCTION("""COMPUTED_VALUE"""),93971.0)</f>
        <v>93971</v>
      </c>
      <c r="C233" s="189" t="str">
        <f>IFERROR(__xludf.DUMMYFUNCTION("""COMPUTED_VALUE"""),"Challengers League 2025 MENA: Resilience - LAN Finals - Main Event")</f>
        <v>Challengers League 2025 MENA: Resilience - LAN Finals - Main Event</v>
      </c>
      <c r="D233" s="189" t="str">
        <f>IFERROR(__xludf.DUMMYFUNCTION("""COMPUTED_VALUE"""),"Bind")</f>
        <v>Bind</v>
      </c>
      <c r="E233" s="189" t="str">
        <f>IFERROR(__xludf.DUMMYFUNCTION("""COMPUTED_VALUE"""),"Twisted Minds Esports")</f>
        <v>Twisted Minds Esports</v>
      </c>
      <c r="F233" s="189" t="str">
        <f>IFERROR(__xludf.DUMMYFUNCTION("""COMPUTED_VALUE"""),"The Ultimates")</f>
        <v>The Ultimates</v>
      </c>
      <c r="G233" s="189" t="str">
        <f>IFERROR(__xludf.DUMMYFUNCTION("""COMPUTED_VALUE"""),"Raze,Viper,Brimstone,Yoru,Fade")</f>
        <v>Raze,Viper,Brimstone,Yoru,Fade</v>
      </c>
      <c r="H233" s="189" t="str">
        <f>IFERROR(__xludf.DUMMYFUNCTION("""COMPUTED_VALUE"""),"Raze,Viper,Omen,Fade,Gekko")</f>
        <v>Raze,Viper,Omen,Fade,Gekko</v>
      </c>
      <c r="I233" s="189">
        <f>IFERROR(__xludf.DUMMYFUNCTION("""COMPUTED_VALUE"""),13.0)</f>
        <v>13</v>
      </c>
      <c r="J233" s="189">
        <f>IFERROR(__xludf.DUMMYFUNCTION("""COMPUTED_VALUE"""),3.0)</f>
        <v>3</v>
      </c>
      <c r="K233" s="189">
        <f>IFERROR(__xludf.DUMMYFUNCTION("""COMPUTED_VALUE"""),9.0)</f>
        <v>9</v>
      </c>
      <c r="L233" s="189">
        <f>IFERROR(__xludf.DUMMYFUNCTION("""COMPUTED_VALUE"""),3.0)</f>
        <v>3</v>
      </c>
      <c r="M233" s="189">
        <f>IFERROR(__xludf.DUMMYFUNCTION("""COMPUTED_VALUE"""),1.0)</f>
        <v>1</v>
      </c>
      <c r="N233" s="189">
        <f>IFERROR(__xludf.DUMMYFUNCTION("""COMPUTED_VALUE"""),1.0)</f>
        <v>1</v>
      </c>
      <c r="O233" s="189">
        <f>IFERROR(__xludf.DUMMYFUNCTION("""COMPUTED_VALUE"""),9.0)</f>
        <v>9</v>
      </c>
      <c r="P233" s="189">
        <f>IFERROR(__xludf.DUMMYFUNCTION("""COMPUTED_VALUE"""),3.0)</f>
        <v>3</v>
      </c>
      <c r="Q233" s="189">
        <f>IFERROR(__xludf.DUMMYFUNCTION("""COMPUTED_VALUE"""),4.0)</f>
        <v>4</v>
      </c>
      <c r="R233" s="189">
        <f>IFERROR(__xludf.DUMMYFUNCTION("""COMPUTED_VALUE"""),0.0)</f>
        <v>0</v>
      </c>
      <c r="S233" s="189">
        <f>IFERROR(__xludf.DUMMYFUNCTION("""COMPUTED_VALUE"""),0.0)</f>
        <v>0</v>
      </c>
      <c r="T233" s="189">
        <f>IFERROR(__xludf.DUMMYFUNCTION("""COMPUTED_VALUE"""),0.0)</f>
        <v>0</v>
      </c>
      <c r="U233" s="189">
        <f>IFERROR(__xludf.DUMMYFUNCTION("""COMPUTED_VALUE"""),0.0)</f>
        <v>0</v>
      </c>
      <c r="V233" s="189">
        <f>IFERROR(__xludf.DUMMYFUNCTION("""COMPUTED_VALUE"""),4.0)</f>
        <v>4</v>
      </c>
      <c r="W233" s="189">
        <f>IFERROR(__xludf.DUMMYFUNCTION("""COMPUTED_VALUE"""),3.0)</f>
        <v>3</v>
      </c>
      <c r="X233" s="189">
        <f>IFERROR(__xludf.DUMMYFUNCTION("""COMPUTED_VALUE"""),9.0)</f>
        <v>9</v>
      </c>
      <c r="Y233" s="189" t="str">
        <f>IFERROR(__xludf.DUMMYFUNCTION("""COMPUTED_VALUE"""),"2025-08-20T00:00:00.000Z")</f>
        <v>2025-08-20T00:00:00.000Z</v>
      </c>
      <c r="Z233" s="189" t="str">
        <f>IFERROR(__xludf.DUMMYFUNCTION("""COMPUTED_VALUE"""),"Twisted Minds Esports_Bind")</f>
        <v>Twisted Minds Esports_Bind</v>
      </c>
    </row>
    <row r="234">
      <c r="A234" s="189">
        <f>IFERROR(__xludf.DUMMYFUNCTION("""COMPUTED_VALUE"""),212688.0)</f>
        <v>212688</v>
      </c>
      <c r="B234" s="189">
        <f>IFERROR(__xludf.DUMMYFUNCTION("""COMPUTED_VALUE"""),93676.0)</f>
        <v>93676</v>
      </c>
      <c r="C234" s="189" t="str">
        <f>IFERROR(__xludf.DUMMYFUNCTION("""COMPUTED_VALUE"""),"Challengers 2025: Spain Rising Finals - Playoffs")</f>
        <v>Challengers 2025: Spain Rising Finals - Playoffs</v>
      </c>
      <c r="D234" s="189" t="str">
        <f>IFERROR(__xludf.DUMMYFUNCTION("""COMPUTED_VALUE"""),"Lotus")</f>
        <v>Lotus</v>
      </c>
      <c r="E234" s="189" t="str">
        <f>IFERROR(__xludf.DUMMYFUNCTION("""COMPUTED_VALUE"""),"DNSTY")</f>
        <v>DNSTY</v>
      </c>
      <c r="F234" s="189" t="str">
        <f>IFERROR(__xludf.DUMMYFUNCTION("""COMPUTED_VALUE"""),"KOI Fénix")</f>
        <v>KOI Fénix</v>
      </c>
      <c r="G234" s="189" t="str">
        <f>IFERROR(__xludf.DUMMYFUNCTION("""COMPUTED_VALUE"""),"Raze,Killjoy,Viper,Omen,Fade")</f>
        <v>Raze,Killjoy,Viper,Omen,Fade</v>
      </c>
      <c r="H234" s="189" t="str">
        <f>IFERROR(__xludf.DUMMYFUNCTION("""COMPUTED_VALUE"""),"Breach,Sova,Killjoy,Omen,Neon")</f>
        <v>Breach,Sova,Killjoy,Omen,Neon</v>
      </c>
      <c r="I234" s="189">
        <f>IFERROR(__xludf.DUMMYFUNCTION("""COMPUTED_VALUE"""),11.0)</f>
        <v>11</v>
      </c>
      <c r="J234" s="189">
        <f>IFERROR(__xludf.DUMMYFUNCTION("""COMPUTED_VALUE"""),13.0)</f>
        <v>13</v>
      </c>
      <c r="K234" s="189">
        <f>IFERROR(__xludf.DUMMYFUNCTION("""COMPUTED_VALUE"""),6.0)</f>
        <v>6</v>
      </c>
      <c r="L234" s="189">
        <f>IFERROR(__xludf.DUMMYFUNCTION("""COMPUTED_VALUE"""),6.0)</f>
        <v>6</v>
      </c>
      <c r="M234" s="189">
        <f>IFERROR(__xludf.DUMMYFUNCTION("""COMPUTED_VALUE"""),0.0)</f>
        <v>0</v>
      </c>
      <c r="N234" s="189">
        <f>IFERROR(__xludf.DUMMYFUNCTION("""COMPUTED_VALUE"""),1.0)</f>
        <v>1</v>
      </c>
      <c r="O234" s="189">
        <f>IFERROR(__xludf.DUMMYFUNCTION("""COMPUTED_VALUE"""),6.0)</f>
        <v>6</v>
      </c>
      <c r="P234" s="189">
        <f>IFERROR(__xludf.DUMMYFUNCTION("""COMPUTED_VALUE"""),6.0)</f>
        <v>6</v>
      </c>
      <c r="Q234" s="189">
        <f>IFERROR(__xludf.DUMMYFUNCTION("""COMPUTED_VALUE"""),5.0)</f>
        <v>5</v>
      </c>
      <c r="R234" s="189">
        <f>IFERROR(__xludf.DUMMYFUNCTION("""COMPUTED_VALUE"""),7.0)</f>
        <v>7</v>
      </c>
      <c r="S234" s="189">
        <f>IFERROR(__xludf.DUMMYFUNCTION("""COMPUTED_VALUE"""),0.0)</f>
        <v>0</v>
      </c>
      <c r="T234" s="189">
        <f>IFERROR(__xludf.DUMMYFUNCTION("""COMPUTED_VALUE"""),1.0)</f>
        <v>1</v>
      </c>
      <c r="U234" s="189">
        <f>IFERROR(__xludf.DUMMYFUNCTION("""COMPUTED_VALUE"""),7.0)</f>
        <v>7</v>
      </c>
      <c r="V234" s="189">
        <f>IFERROR(__xludf.DUMMYFUNCTION("""COMPUTED_VALUE"""),5.0)</f>
        <v>5</v>
      </c>
      <c r="W234" s="189">
        <f>IFERROR(__xludf.DUMMYFUNCTION("""COMPUTED_VALUE"""),6.0)</f>
        <v>6</v>
      </c>
      <c r="X234" s="189">
        <f>IFERROR(__xludf.DUMMYFUNCTION("""COMPUTED_VALUE"""),6.0)</f>
        <v>6</v>
      </c>
      <c r="Y234" s="189" t="str">
        <f>IFERROR(__xludf.DUMMYFUNCTION("""COMPUTED_VALUE"""),"2025-08-20T00:00:00.000Z")</f>
        <v>2025-08-20T00:00:00.000Z</v>
      </c>
      <c r="Z234" s="189" t="str">
        <f>IFERROR(__xludf.DUMMYFUNCTION("""COMPUTED_VALUE"""),"DNSTY_Lotus")</f>
        <v>DNSTY_Lotus</v>
      </c>
    </row>
    <row r="235">
      <c r="A235" s="189">
        <f>IFERROR(__xludf.DUMMYFUNCTION("""COMPUTED_VALUE"""),213556.0)</f>
        <v>213556</v>
      </c>
      <c r="B235" s="189">
        <f>IFERROR(__xludf.DUMMYFUNCTION("""COMPUTED_VALUE"""),93971.0)</f>
        <v>93971</v>
      </c>
      <c r="C235" s="189" t="str">
        <f>IFERROR(__xludf.DUMMYFUNCTION("""COMPUTED_VALUE"""),"Challengers League 2025 MENA: Resilience - LAN Finals - Main Event")</f>
        <v>Challengers League 2025 MENA: Resilience - LAN Finals - Main Event</v>
      </c>
      <c r="D235" s="189" t="str">
        <f>IFERROR(__xludf.DUMMYFUNCTION("""COMPUTED_VALUE"""),"Haven")</f>
        <v>Haven</v>
      </c>
      <c r="E235" s="189" t="str">
        <f>IFERROR(__xludf.DUMMYFUNCTION("""COMPUTED_VALUE"""),"Twisted Minds Esports")</f>
        <v>Twisted Minds Esports</v>
      </c>
      <c r="F235" s="189" t="str">
        <f>IFERROR(__xludf.DUMMYFUNCTION("""COMPUTED_VALUE"""),"The Ultimates")</f>
        <v>The Ultimates</v>
      </c>
      <c r="G235" s="189" t="str">
        <f>IFERROR(__xludf.DUMMYFUNCTION("""COMPUTED_VALUE"""),"Sova,Killjoy,Viper,Omen,Neon")</f>
        <v>Sova,Killjoy,Viper,Omen,Neon</v>
      </c>
      <c r="H235" s="189" t="str">
        <f>IFERROR(__xludf.DUMMYFUNCTION("""COMPUTED_VALUE"""),"Breach,Cypher,Sova,Omen,Neon")</f>
        <v>Breach,Cypher,Sova,Omen,Neon</v>
      </c>
      <c r="I235" s="189">
        <f>IFERROR(__xludf.DUMMYFUNCTION("""COMPUTED_VALUE"""),13.0)</f>
        <v>13</v>
      </c>
      <c r="J235" s="189">
        <f>IFERROR(__xludf.DUMMYFUNCTION("""COMPUTED_VALUE"""),11.0)</f>
        <v>11</v>
      </c>
      <c r="K235" s="189">
        <f>IFERROR(__xludf.DUMMYFUNCTION("""COMPUTED_VALUE"""),5.0)</f>
        <v>5</v>
      </c>
      <c r="L235" s="189">
        <f>IFERROR(__xludf.DUMMYFUNCTION("""COMPUTED_VALUE"""),7.0)</f>
        <v>7</v>
      </c>
      <c r="M235" s="189">
        <f>IFERROR(__xludf.DUMMYFUNCTION("""COMPUTED_VALUE"""),1.0)</f>
        <v>1</v>
      </c>
      <c r="N235" s="189">
        <f>IFERROR(__xludf.DUMMYFUNCTION("""COMPUTED_VALUE"""),0.0)</f>
        <v>0</v>
      </c>
      <c r="O235" s="189">
        <f>IFERROR(__xludf.DUMMYFUNCTION("""COMPUTED_VALUE"""),5.0)</f>
        <v>5</v>
      </c>
      <c r="P235" s="189">
        <f>IFERROR(__xludf.DUMMYFUNCTION("""COMPUTED_VALUE"""),7.0)</f>
        <v>7</v>
      </c>
      <c r="Q235" s="189">
        <f>IFERROR(__xludf.DUMMYFUNCTION("""COMPUTED_VALUE"""),8.0)</f>
        <v>8</v>
      </c>
      <c r="R235" s="189">
        <f>IFERROR(__xludf.DUMMYFUNCTION("""COMPUTED_VALUE"""),4.0)</f>
        <v>4</v>
      </c>
      <c r="S235" s="189">
        <f>IFERROR(__xludf.DUMMYFUNCTION("""COMPUTED_VALUE"""),1.0)</f>
        <v>1</v>
      </c>
      <c r="T235" s="189">
        <f>IFERROR(__xludf.DUMMYFUNCTION("""COMPUTED_VALUE"""),0.0)</f>
        <v>0</v>
      </c>
      <c r="U235" s="189">
        <f>IFERROR(__xludf.DUMMYFUNCTION("""COMPUTED_VALUE"""),4.0)</f>
        <v>4</v>
      </c>
      <c r="V235" s="189">
        <f>IFERROR(__xludf.DUMMYFUNCTION("""COMPUTED_VALUE"""),8.0)</f>
        <v>8</v>
      </c>
      <c r="W235" s="189">
        <f>IFERROR(__xludf.DUMMYFUNCTION("""COMPUTED_VALUE"""),7.0)</f>
        <v>7</v>
      </c>
      <c r="X235" s="189">
        <f>IFERROR(__xludf.DUMMYFUNCTION("""COMPUTED_VALUE"""),5.0)</f>
        <v>5</v>
      </c>
      <c r="Y235" s="189" t="str">
        <f>IFERROR(__xludf.DUMMYFUNCTION("""COMPUTED_VALUE"""),"2025-08-20T00:00:00.000Z")</f>
        <v>2025-08-20T00:00:00.000Z</v>
      </c>
      <c r="Z235" s="189" t="str">
        <f>IFERROR(__xludf.DUMMYFUNCTION("""COMPUTED_VALUE"""),"Twisted Minds Esports_Haven")</f>
        <v>Twisted Minds Esports_Haven</v>
      </c>
    </row>
    <row r="236">
      <c r="A236" s="189">
        <f>IFERROR(__xludf.DUMMYFUNCTION("""COMPUTED_VALUE"""),213535.0)</f>
        <v>213535</v>
      </c>
      <c r="B236" s="189">
        <f>IFERROR(__xludf.DUMMYFUNCTION("""COMPUTED_VALUE"""),93965.0)</f>
        <v>93965</v>
      </c>
      <c r="C236" s="189" t="str">
        <f>IFERROR(__xludf.DUMMYFUNCTION("""COMPUTED_VALUE"""),"Challengers League 2025 MENA: Resilience - LAN Finals - Main Event")</f>
        <v>Challengers League 2025 MENA: Resilience - LAN Finals - Main Event</v>
      </c>
      <c r="D236" s="189" t="str">
        <f>IFERROR(__xludf.DUMMYFUNCTION("""COMPUTED_VALUE"""),"Lotus")</f>
        <v>Lotus</v>
      </c>
      <c r="E236" s="189" t="str">
        <f>IFERROR(__xludf.DUMMYFUNCTION("""COMPUTED_VALUE"""),"Twisted Minds Esports")</f>
        <v>Twisted Minds Esports</v>
      </c>
      <c r="F236" s="189" t="str">
        <f>IFERROR(__xludf.DUMMYFUNCTION("""COMPUTED_VALUE"""),"GAMAX eSports")</f>
        <v>GAMAX eSports</v>
      </c>
      <c r="G236" s="189" t="str">
        <f>IFERROR(__xludf.DUMMYFUNCTION("""COMPUTED_VALUE"""),"Raze,Killjoy,Viper,Omen,Fade")</f>
        <v>Raze,Killjoy,Viper,Omen,Fade</v>
      </c>
      <c r="H236" s="189" t="str">
        <f>IFERROR(__xludf.DUMMYFUNCTION("""COMPUTED_VALUE"""),"Raze,Omen,Yoru,Fade,Vyse")</f>
        <v>Raze,Omen,Yoru,Fade,Vyse</v>
      </c>
      <c r="I236" s="189">
        <f>IFERROR(__xludf.DUMMYFUNCTION("""COMPUTED_VALUE"""),13.0)</f>
        <v>13</v>
      </c>
      <c r="J236" s="189">
        <f>IFERROR(__xludf.DUMMYFUNCTION("""COMPUTED_VALUE"""),10.0)</f>
        <v>10</v>
      </c>
      <c r="K236" s="189">
        <f>IFERROR(__xludf.DUMMYFUNCTION("""COMPUTED_VALUE"""),6.0)</f>
        <v>6</v>
      </c>
      <c r="L236" s="189">
        <f>IFERROR(__xludf.DUMMYFUNCTION("""COMPUTED_VALUE"""),6.0)</f>
        <v>6</v>
      </c>
      <c r="M236" s="189">
        <f>IFERROR(__xludf.DUMMYFUNCTION("""COMPUTED_VALUE"""),1.0)</f>
        <v>1</v>
      </c>
      <c r="N236" s="189">
        <f>IFERROR(__xludf.DUMMYFUNCTION("""COMPUTED_VALUE"""),0.0)</f>
        <v>0</v>
      </c>
      <c r="O236" s="189">
        <f>IFERROR(__xludf.DUMMYFUNCTION("""COMPUTED_VALUE"""),6.0)</f>
        <v>6</v>
      </c>
      <c r="P236" s="189">
        <f>IFERROR(__xludf.DUMMYFUNCTION("""COMPUTED_VALUE"""),6.0)</f>
        <v>6</v>
      </c>
      <c r="Q236" s="189">
        <f>IFERROR(__xludf.DUMMYFUNCTION("""COMPUTED_VALUE"""),7.0)</f>
        <v>7</v>
      </c>
      <c r="R236" s="189">
        <f>IFERROR(__xludf.DUMMYFUNCTION("""COMPUTED_VALUE"""),4.0)</f>
        <v>4</v>
      </c>
      <c r="S236" s="189">
        <f>IFERROR(__xludf.DUMMYFUNCTION("""COMPUTED_VALUE"""),1.0)</f>
        <v>1</v>
      </c>
      <c r="T236" s="189">
        <f>IFERROR(__xludf.DUMMYFUNCTION("""COMPUTED_VALUE"""),0.0)</f>
        <v>0</v>
      </c>
      <c r="U236" s="189">
        <f>IFERROR(__xludf.DUMMYFUNCTION("""COMPUTED_VALUE"""),4.0)</f>
        <v>4</v>
      </c>
      <c r="V236" s="189">
        <f>IFERROR(__xludf.DUMMYFUNCTION("""COMPUTED_VALUE"""),7.0)</f>
        <v>7</v>
      </c>
      <c r="W236" s="189">
        <f>IFERROR(__xludf.DUMMYFUNCTION("""COMPUTED_VALUE"""),6.0)</f>
        <v>6</v>
      </c>
      <c r="X236" s="189">
        <f>IFERROR(__xludf.DUMMYFUNCTION("""COMPUTED_VALUE"""),6.0)</f>
        <v>6</v>
      </c>
      <c r="Y236" s="189" t="str">
        <f>IFERROR(__xludf.DUMMYFUNCTION("""COMPUTED_VALUE"""),"2025-08-19T00:00:00.000Z")</f>
        <v>2025-08-19T00:00:00.000Z</v>
      </c>
      <c r="Z236" s="189" t="str">
        <f>IFERROR(__xludf.DUMMYFUNCTION("""COMPUTED_VALUE"""),"Twisted Minds Esports_Lotus")</f>
        <v>Twisted Minds Esports_Lotus</v>
      </c>
    </row>
    <row r="237">
      <c r="A237" s="189">
        <f>IFERROR(__xludf.DUMMYFUNCTION("""COMPUTED_VALUE"""),213534.0)</f>
        <v>213534</v>
      </c>
      <c r="B237" s="189">
        <f>IFERROR(__xludf.DUMMYFUNCTION("""COMPUTED_VALUE"""),93965.0)</f>
        <v>93965</v>
      </c>
      <c r="C237" s="189" t="str">
        <f>IFERROR(__xludf.DUMMYFUNCTION("""COMPUTED_VALUE"""),"Challengers League 2025 MENA: Resilience - LAN Finals - Main Event")</f>
        <v>Challengers League 2025 MENA: Resilience - LAN Finals - Main Event</v>
      </c>
      <c r="D237" s="189" t="str">
        <f>IFERROR(__xludf.DUMMYFUNCTION("""COMPUTED_VALUE"""),"Ascent")</f>
        <v>Ascent</v>
      </c>
      <c r="E237" s="189" t="str">
        <f>IFERROR(__xludf.DUMMYFUNCTION("""COMPUTED_VALUE"""),"Twisted Minds Esports")</f>
        <v>Twisted Minds Esports</v>
      </c>
      <c r="F237" s="189" t="str">
        <f>IFERROR(__xludf.DUMMYFUNCTION("""COMPUTED_VALUE"""),"GAMAX eSports")</f>
        <v>GAMAX eSports</v>
      </c>
      <c r="G237" s="189" t="str">
        <f>IFERROR(__xludf.DUMMYFUNCTION("""COMPUTED_VALUE"""),"Sova,Omen,Yoru,Chamber,Vyse")</f>
        <v>Sova,Omen,Yoru,Chamber,Vyse</v>
      </c>
      <c r="H237" s="189" t="str">
        <f>IFERROR(__xludf.DUMMYFUNCTION("""COMPUTED_VALUE"""),"Cypher,Sova,Omen,Jett,Yoru")</f>
        <v>Cypher,Sova,Omen,Jett,Yoru</v>
      </c>
      <c r="I237" s="189">
        <f>IFERROR(__xludf.DUMMYFUNCTION("""COMPUTED_VALUE"""),13.0)</f>
        <v>13</v>
      </c>
      <c r="J237" s="189">
        <f>IFERROR(__xludf.DUMMYFUNCTION("""COMPUTED_VALUE"""),9.0)</f>
        <v>9</v>
      </c>
      <c r="K237" s="189">
        <f>IFERROR(__xludf.DUMMYFUNCTION("""COMPUTED_VALUE"""),9.0)</f>
        <v>9</v>
      </c>
      <c r="L237" s="189">
        <f>IFERROR(__xludf.DUMMYFUNCTION("""COMPUTED_VALUE"""),3.0)</f>
        <v>3</v>
      </c>
      <c r="M237" s="189">
        <f>IFERROR(__xludf.DUMMYFUNCTION("""COMPUTED_VALUE"""),0.0)</f>
        <v>0</v>
      </c>
      <c r="N237" s="189">
        <f>IFERROR(__xludf.DUMMYFUNCTION("""COMPUTED_VALUE"""),0.0)</f>
        <v>0</v>
      </c>
      <c r="O237" s="189">
        <f>IFERROR(__xludf.DUMMYFUNCTION("""COMPUTED_VALUE"""),4.0)</f>
        <v>4</v>
      </c>
      <c r="P237" s="189">
        <f>IFERROR(__xludf.DUMMYFUNCTION("""COMPUTED_VALUE"""),6.0)</f>
        <v>6</v>
      </c>
      <c r="Q237" s="189">
        <f>IFERROR(__xludf.DUMMYFUNCTION("""COMPUTED_VALUE"""),9.0)</f>
        <v>9</v>
      </c>
      <c r="R237" s="189">
        <f>IFERROR(__xludf.DUMMYFUNCTION("""COMPUTED_VALUE"""),3.0)</f>
        <v>3</v>
      </c>
      <c r="S237" s="189">
        <f>IFERROR(__xludf.DUMMYFUNCTION("""COMPUTED_VALUE"""),1.0)</f>
        <v>1</v>
      </c>
      <c r="T237" s="189">
        <f>IFERROR(__xludf.DUMMYFUNCTION("""COMPUTED_VALUE"""),1.0)</f>
        <v>1</v>
      </c>
      <c r="U237" s="189">
        <f>IFERROR(__xludf.DUMMYFUNCTION("""COMPUTED_VALUE"""),3.0)</f>
        <v>3</v>
      </c>
      <c r="V237" s="189">
        <f>IFERROR(__xludf.DUMMYFUNCTION("""COMPUTED_VALUE"""),9.0)</f>
        <v>9</v>
      </c>
      <c r="W237" s="189">
        <f>IFERROR(__xludf.DUMMYFUNCTION("""COMPUTED_VALUE"""),6.0)</f>
        <v>6</v>
      </c>
      <c r="X237" s="189">
        <f>IFERROR(__xludf.DUMMYFUNCTION("""COMPUTED_VALUE"""),4.0)</f>
        <v>4</v>
      </c>
      <c r="Y237" s="189" t="str">
        <f>IFERROR(__xludf.DUMMYFUNCTION("""COMPUTED_VALUE"""),"2025-08-19T00:00:00.000Z")</f>
        <v>2025-08-19T00:00:00.000Z</v>
      </c>
      <c r="Z237" s="189" t="str">
        <f>IFERROR(__xludf.DUMMYFUNCTION("""COMPUTED_VALUE"""),"Twisted Minds Esports_Ascent")</f>
        <v>Twisted Minds Esports_Ascent</v>
      </c>
    </row>
    <row r="238">
      <c r="A238" s="189">
        <f>IFERROR(__xludf.DUMMYFUNCTION("""COMPUTED_VALUE"""),213532.0)</f>
        <v>213532</v>
      </c>
      <c r="B238" s="189">
        <f>IFERROR(__xludf.DUMMYFUNCTION("""COMPUTED_VALUE"""),93964.0)</f>
        <v>93964</v>
      </c>
      <c r="C238" s="189" t="str">
        <f>IFERROR(__xludf.DUMMYFUNCTION("""COMPUTED_VALUE"""),"Challengers League 2025 MENA: Resilience - LAN Finals - Main Event")</f>
        <v>Challengers League 2025 MENA: Resilience - LAN Finals - Main Event</v>
      </c>
      <c r="D238" s="189" t="str">
        <f>IFERROR(__xludf.DUMMYFUNCTION("""COMPUTED_VALUE"""),"Bind")</f>
        <v>Bind</v>
      </c>
      <c r="E238" s="189" t="str">
        <f>IFERROR(__xludf.DUMMYFUNCTION("""COMPUTED_VALUE"""),"The Ultimates")</f>
        <v>The Ultimates</v>
      </c>
      <c r="F238" s="189" t="str">
        <f>IFERROR(__xludf.DUMMYFUNCTION("""COMPUTED_VALUE"""),"GAMAX eSports")</f>
        <v>GAMAX eSports</v>
      </c>
      <c r="G238" s="189" t="str">
        <f>IFERROR(__xludf.DUMMYFUNCTION("""COMPUTED_VALUE"""),"Raze,Viper,Omen,Fade,Gekko")</f>
        <v>Raze,Viper,Omen,Fade,Gekko</v>
      </c>
      <c r="H238" s="189" t="str">
        <f>IFERROR(__xludf.DUMMYFUNCTION("""COMPUTED_VALUE"""),"Raze,Viper,Brimstone,Skye,Gekko")</f>
        <v>Raze,Viper,Brimstone,Skye,Gekko</v>
      </c>
      <c r="I238" s="189">
        <f>IFERROR(__xludf.DUMMYFUNCTION("""COMPUTED_VALUE"""),13.0)</f>
        <v>13</v>
      </c>
      <c r="J238" s="189">
        <f>IFERROR(__xludf.DUMMYFUNCTION("""COMPUTED_VALUE"""),7.0)</f>
        <v>7</v>
      </c>
      <c r="K238" s="189">
        <f>IFERROR(__xludf.DUMMYFUNCTION("""COMPUTED_VALUE"""),7.0)</f>
        <v>7</v>
      </c>
      <c r="L238" s="189">
        <f>IFERROR(__xludf.DUMMYFUNCTION("""COMPUTED_VALUE"""),5.0)</f>
        <v>5</v>
      </c>
      <c r="M238" s="189">
        <f>IFERROR(__xludf.DUMMYFUNCTION("""COMPUTED_VALUE"""),1.0)</f>
        <v>1</v>
      </c>
      <c r="N238" s="189">
        <f>IFERROR(__xludf.DUMMYFUNCTION("""COMPUTED_VALUE"""),0.0)</f>
        <v>0</v>
      </c>
      <c r="O238" s="189">
        <f>IFERROR(__xludf.DUMMYFUNCTION("""COMPUTED_VALUE"""),7.0)</f>
        <v>7</v>
      </c>
      <c r="P238" s="189">
        <f>IFERROR(__xludf.DUMMYFUNCTION("""COMPUTED_VALUE"""),5.0)</f>
        <v>5</v>
      </c>
      <c r="Q238" s="189">
        <f>IFERROR(__xludf.DUMMYFUNCTION("""COMPUTED_VALUE"""),6.0)</f>
        <v>6</v>
      </c>
      <c r="R238" s="189">
        <f>IFERROR(__xludf.DUMMYFUNCTION("""COMPUTED_VALUE"""),2.0)</f>
        <v>2</v>
      </c>
      <c r="S238" s="189">
        <f>IFERROR(__xludf.DUMMYFUNCTION("""COMPUTED_VALUE"""),1.0)</f>
        <v>1</v>
      </c>
      <c r="T238" s="189">
        <f>IFERROR(__xludf.DUMMYFUNCTION("""COMPUTED_VALUE"""),0.0)</f>
        <v>0</v>
      </c>
      <c r="U238" s="189">
        <f>IFERROR(__xludf.DUMMYFUNCTION("""COMPUTED_VALUE"""),2.0)</f>
        <v>2</v>
      </c>
      <c r="V238" s="189">
        <f>IFERROR(__xludf.DUMMYFUNCTION("""COMPUTED_VALUE"""),6.0)</f>
        <v>6</v>
      </c>
      <c r="W238" s="189">
        <f>IFERROR(__xludf.DUMMYFUNCTION("""COMPUTED_VALUE"""),5.0)</f>
        <v>5</v>
      </c>
      <c r="X238" s="189">
        <f>IFERROR(__xludf.DUMMYFUNCTION("""COMPUTED_VALUE"""),7.0)</f>
        <v>7</v>
      </c>
      <c r="Y238" s="189" t="str">
        <f>IFERROR(__xludf.DUMMYFUNCTION("""COMPUTED_VALUE"""),"2025-08-19T00:00:00.000Z")</f>
        <v>2025-08-19T00:00:00.000Z</v>
      </c>
      <c r="Z238" s="189" t="str">
        <f>IFERROR(__xludf.DUMMYFUNCTION("""COMPUTED_VALUE"""),"The Ultimates_Bind")</f>
        <v>The Ultimates_Bind</v>
      </c>
    </row>
    <row r="239">
      <c r="A239" s="189">
        <f>IFERROR(__xludf.DUMMYFUNCTION("""COMPUTED_VALUE"""),213531.0)</f>
        <v>213531</v>
      </c>
      <c r="B239" s="189">
        <f>IFERROR(__xludf.DUMMYFUNCTION("""COMPUTED_VALUE"""),93964.0)</f>
        <v>93964</v>
      </c>
      <c r="C239" s="189" t="str">
        <f>IFERROR(__xludf.DUMMYFUNCTION("""COMPUTED_VALUE"""),"Challengers League 2025 MENA: Resilience - LAN Finals - Main Event")</f>
        <v>Challengers League 2025 MENA: Resilience - LAN Finals - Main Event</v>
      </c>
      <c r="D239" s="189" t="str">
        <f>IFERROR(__xludf.DUMMYFUNCTION("""COMPUTED_VALUE"""),"Haven")</f>
        <v>Haven</v>
      </c>
      <c r="E239" s="189" t="str">
        <f>IFERROR(__xludf.DUMMYFUNCTION("""COMPUTED_VALUE"""),"The Ultimates")</f>
        <v>The Ultimates</v>
      </c>
      <c r="F239" s="189" t="str">
        <f>IFERROR(__xludf.DUMMYFUNCTION("""COMPUTED_VALUE"""),"GAMAX eSports")</f>
        <v>GAMAX eSports</v>
      </c>
      <c r="G239" s="189" t="str">
        <f>IFERROR(__xludf.DUMMYFUNCTION("""COMPUTED_VALUE"""),"Breach,Cypher,Sova,Omen,Neon")</f>
        <v>Breach,Cypher,Sova,Omen,Neon</v>
      </c>
      <c r="H239" s="189" t="str">
        <f>IFERROR(__xludf.DUMMYFUNCTION("""COMPUTED_VALUE"""),"Cypher,Sova,Omen,Yoru,Iso")</f>
        <v>Cypher,Sova,Omen,Yoru,Iso</v>
      </c>
      <c r="I239" s="189">
        <f>IFERROR(__xludf.DUMMYFUNCTION("""COMPUTED_VALUE"""),13.0)</f>
        <v>13</v>
      </c>
      <c r="J239" s="189">
        <f>IFERROR(__xludf.DUMMYFUNCTION("""COMPUTED_VALUE"""),10.0)</f>
        <v>10</v>
      </c>
      <c r="K239" s="189">
        <f>IFERROR(__xludf.DUMMYFUNCTION("""COMPUTED_VALUE"""),5.0)</f>
        <v>5</v>
      </c>
      <c r="L239" s="189">
        <f>IFERROR(__xludf.DUMMYFUNCTION("""COMPUTED_VALUE"""),7.0)</f>
        <v>7</v>
      </c>
      <c r="M239" s="189">
        <f>IFERROR(__xludf.DUMMYFUNCTION("""COMPUTED_VALUE"""),1.0)</f>
        <v>1</v>
      </c>
      <c r="N239" s="189">
        <f>IFERROR(__xludf.DUMMYFUNCTION("""COMPUTED_VALUE"""),0.0)</f>
        <v>0</v>
      </c>
      <c r="O239" s="189">
        <f>IFERROR(__xludf.DUMMYFUNCTION("""COMPUTED_VALUE"""),5.0)</f>
        <v>5</v>
      </c>
      <c r="P239" s="189">
        <f>IFERROR(__xludf.DUMMYFUNCTION("""COMPUTED_VALUE"""),7.0)</f>
        <v>7</v>
      </c>
      <c r="Q239" s="189">
        <f>IFERROR(__xludf.DUMMYFUNCTION("""COMPUTED_VALUE"""),8.0)</f>
        <v>8</v>
      </c>
      <c r="R239" s="189">
        <f>IFERROR(__xludf.DUMMYFUNCTION("""COMPUTED_VALUE"""),3.0)</f>
        <v>3</v>
      </c>
      <c r="S239" s="189">
        <f>IFERROR(__xludf.DUMMYFUNCTION("""COMPUTED_VALUE"""),1.0)</f>
        <v>1</v>
      </c>
      <c r="T239" s="189">
        <f>IFERROR(__xludf.DUMMYFUNCTION("""COMPUTED_VALUE"""),0.0)</f>
        <v>0</v>
      </c>
      <c r="U239" s="189">
        <f>IFERROR(__xludf.DUMMYFUNCTION("""COMPUTED_VALUE"""),3.0)</f>
        <v>3</v>
      </c>
      <c r="V239" s="189">
        <f>IFERROR(__xludf.DUMMYFUNCTION("""COMPUTED_VALUE"""),8.0)</f>
        <v>8</v>
      </c>
      <c r="W239" s="189">
        <f>IFERROR(__xludf.DUMMYFUNCTION("""COMPUTED_VALUE"""),7.0)</f>
        <v>7</v>
      </c>
      <c r="X239" s="189">
        <f>IFERROR(__xludf.DUMMYFUNCTION("""COMPUTED_VALUE"""),5.0)</f>
        <v>5</v>
      </c>
      <c r="Y239" s="189" t="str">
        <f>IFERROR(__xludf.DUMMYFUNCTION("""COMPUTED_VALUE"""),"2025-08-19T00:00:00.000Z")</f>
        <v>2025-08-19T00:00:00.000Z</v>
      </c>
      <c r="Z239" s="189" t="str">
        <f>IFERROR(__xludf.DUMMYFUNCTION("""COMPUTED_VALUE"""),"The Ultimates_Haven")</f>
        <v>The Ultimates_Haven</v>
      </c>
    </row>
    <row r="240">
      <c r="A240" s="189">
        <f>IFERROR(__xludf.DUMMYFUNCTION("""COMPUTED_VALUE"""),213502.0)</f>
        <v>213502</v>
      </c>
      <c r="B240" s="189">
        <f>IFERROR(__xludf.DUMMYFUNCTION("""COMPUTED_VALUE"""),93955.0)</f>
        <v>93955</v>
      </c>
      <c r="C240" s="189" t="str">
        <f>IFERROR(__xludf.DUMMYFUNCTION("""COMPUTED_VALUE"""),"Challengers League 2025 MENA: Resilience - LAN Finals - Main Event")</f>
        <v>Challengers League 2025 MENA: Resilience - LAN Finals - Main Event</v>
      </c>
      <c r="D240" s="189" t="str">
        <f>IFERROR(__xludf.DUMMYFUNCTION("""COMPUTED_VALUE"""),"Corrode")</f>
        <v>Corrode</v>
      </c>
      <c r="E240" s="189" t="str">
        <f>IFERROR(__xludf.DUMMYFUNCTION("""COMPUTED_VALUE"""),"The Ultimates")</f>
        <v>The Ultimates</v>
      </c>
      <c r="F240" s="189" t="str">
        <f>IFERROR(__xludf.DUMMYFUNCTION("""COMPUTED_VALUE"""),"Team RA'AD")</f>
        <v>Team RA'AD</v>
      </c>
      <c r="G240" s="189" t="str">
        <f>IFERROR(__xludf.DUMMYFUNCTION("""COMPUTED_VALUE"""),"Viper,Omen,Neon,Fade,Vyse")</f>
        <v>Viper,Omen,Neon,Fade,Vyse</v>
      </c>
      <c r="H240" s="189" t="str">
        <f>IFERROR(__xludf.DUMMYFUNCTION("""COMPUTED_VALUE"""),"Sage,Omen,Yoru,Fade,Vyse")</f>
        <v>Sage,Omen,Yoru,Fade,Vyse</v>
      </c>
      <c r="I240" s="189">
        <f>IFERROR(__xludf.DUMMYFUNCTION("""COMPUTED_VALUE"""),13.0)</f>
        <v>13</v>
      </c>
      <c r="J240" s="189">
        <f>IFERROR(__xludf.DUMMYFUNCTION("""COMPUTED_VALUE"""),9.0)</f>
        <v>9</v>
      </c>
      <c r="K240" s="189">
        <f>IFERROR(__xludf.DUMMYFUNCTION("""COMPUTED_VALUE"""),4.0)</f>
        <v>4</v>
      </c>
      <c r="L240" s="189">
        <f>IFERROR(__xludf.DUMMYFUNCTION("""COMPUTED_VALUE"""),8.0)</f>
        <v>8</v>
      </c>
      <c r="M240" s="189">
        <f>IFERROR(__xludf.DUMMYFUNCTION("""COMPUTED_VALUE"""),1.0)</f>
        <v>1</v>
      </c>
      <c r="N240" s="189">
        <f>IFERROR(__xludf.DUMMYFUNCTION("""COMPUTED_VALUE"""),1.0)</f>
        <v>1</v>
      </c>
      <c r="O240" s="189">
        <f>IFERROR(__xludf.DUMMYFUNCTION("""COMPUTED_VALUE"""),9.0)</f>
        <v>9</v>
      </c>
      <c r="P240" s="189">
        <f>IFERROR(__xludf.DUMMYFUNCTION("""COMPUTED_VALUE"""),1.0)</f>
        <v>1</v>
      </c>
      <c r="Q240" s="189">
        <f>IFERROR(__xludf.DUMMYFUNCTION("""COMPUTED_VALUE"""),4.0)</f>
        <v>4</v>
      </c>
      <c r="R240" s="189">
        <f>IFERROR(__xludf.DUMMYFUNCTION("""COMPUTED_VALUE"""),8.0)</f>
        <v>8</v>
      </c>
      <c r="S240" s="189">
        <f>IFERROR(__xludf.DUMMYFUNCTION("""COMPUTED_VALUE"""),0.0)</f>
        <v>0</v>
      </c>
      <c r="T240" s="189">
        <f>IFERROR(__xludf.DUMMYFUNCTION("""COMPUTED_VALUE"""),0.0)</f>
        <v>0</v>
      </c>
      <c r="U240" s="189">
        <f>IFERROR(__xludf.DUMMYFUNCTION("""COMPUTED_VALUE"""),8.0)</f>
        <v>8</v>
      </c>
      <c r="V240" s="189">
        <f>IFERROR(__xludf.DUMMYFUNCTION("""COMPUTED_VALUE"""),4.0)</f>
        <v>4</v>
      </c>
      <c r="W240" s="189">
        <f>IFERROR(__xludf.DUMMYFUNCTION("""COMPUTED_VALUE"""),1.0)</f>
        <v>1</v>
      </c>
      <c r="X240" s="189">
        <f>IFERROR(__xludf.DUMMYFUNCTION("""COMPUTED_VALUE"""),9.0)</f>
        <v>9</v>
      </c>
      <c r="Y240" s="189" t="str">
        <f>IFERROR(__xludf.DUMMYFUNCTION("""COMPUTED_VALUE"""),"2025-08-18T00:00:00.000Z")</f>
        <v>2025-08-18T00:00:00.000Z</v>
      </c>
      <c r="Z240" s="189" t="str">
        <f>IFERROR(__xludf.DUMMYFUNCTION("""COMPUTED_VALUE"""),"The Ultimates_Corrode")</f>
        <v>The Ultimates_Corrode</v>
      </c>
    </row>
    <row r="241">
      <c r="A241" s="189">
        <f>IFERROR(__xludf.DUMMYFUNCTION("""COMPUTED_VALUE"""),213501.0)</f>
        <v>213501</v>
      </c>
      <c r="B241" s="189">
        <f>IFERROR(__xludf.DUMMYFUNCTION("""COMPUTED_VALUE"""),93955.0)</f>
        <v>93955</v>
      </c>
      <c r="C241" s="189" t="str">
        <f>IFERROR(__xludf.DUMMYFUNCTION("""COMPUTED_VALUE"""),"Challengers League 2025 MENA: Resilience - LAN Finals - Main Event")</f>
        <v>Challengers League 2025 MENA: Resilience - LAN Finals - Main Event</v>
      </c>
      <c r="D241" s="189" t="str">
        <f>IFERROR(__xludf.DUMMYFUNCTION("""COMPUTED_VALUE"""),"Icebox")</f>
        <v>Icebox</v>
      </c>
      <c r="E241" s="189" t="str">
        <f>IFERROR(__xludf.DUMMYFUNCTION("""COMPUTED_VALUE"""),"The Ultimates")</f>
        <v>The Ultimates</v>
      </c>
      <c r="F241" s="189" t="str">
        <f>IFERROR(__xludf.DUMMYFUNCTION("""COMPUTED_VALUE"""),"Team RA'AD")</f>
        <v>Team RA'AD</v>
      </c>
      <c r="G241" s="189" t="str">
        <f>IFERROR(__xludf.DUMMYFUNCTION("""COMPUTED_VALUE"""),"Reyna,Omen,KAY/O,Harbor,Gekko")</f>
        <v>Reyna,Omen,KAY/O,Harbor,Gekko</v>
      </c>
      <c r="H241" s="189" t="str">
        <f>IFERROR(__xludf.DUMMYFUNCTION("""COMPUTED_VALUE"""),"Sova,Killjoy,Viper,Sage,Gekko")</f>
        <v>Sova,Killjoy,Viper,Sage,Gekko</v>
      </c>
      <c r="I241" s="189">
        <f>IFERROR(__xludf.DUMMYFUNCTION("""COMPUTED_VALUE"""),8.0)</f>
        <v>8</v>
      </c>
      <c r="J241" s="189">
        <f>IFERROR(__xludf.DUMMYFUNCTION("""COMPUTED_VALUE"""),13.0)</f>
        <v>13</v>
      </c>
      <c r="K241" s="189">
        <f>IFERROR(__xludf.DUMMYFUNCTION("""COMPUTED_VALUE"""),6.0)</f>
        <v>6</v>
      </c>
      <c r="L241" s="189">
        <f>IFERROR(__xludf.DUMMYFUNCTION("""COMPUTED_VALUE"""),6.0)</f>
        <v>6</v>
      </c>
      <c r="M241" s="189">
        <f>IFERROR(__xludf.DUMMYFUNCTION("""COMPUTED_VALUE"""),1.0)</f>
        <v>1</v>
      </c>
      <c r="N241" s="189">
        <f>IFERROR(__xludf.DUMMYFUNCTION("""COMPUTED_VALUE"""),1.0)</f>
        <v>1</v>
      </c>
      <c r="O241" s="189">
        <f>IFERROR(__xludf.DUMMYFUNCTION("""COMPUTED_VALUE"""),6.0)</f>
        <v>6</v>
      </c>
      <c r="P241" s="189">
        <f>IFERROR(__xludf.DUMMYFUNCTION("""COMPUTED_VALUE"""),6.0)</f>
        <v>6</v>
      </c>
      <c r="Q241" s="189">
        <f>IFERROR(__xludf.DUMMYFUNCTION("""COMPUTED_VALUE"""),2.0)</f>
        <v>2</v>
      </c>
      <c r="R241" s="189">
        <f>IFERROR(__xludf.DUMMYFUNCTION("""COMPUTED_VALUE"""),7.0)</f>
        <v>7</v>
      </c>
      <c r="S241" s="189">
        <f>IFERROR(__xludf.DUMMYFUNCTION("""COMPUTED_VALUE"""),0.0)</f>
        <v>0</v>
      </c>
      <c r="T241" s="189">
        <f>IFERROR(__xludf.DUMMYFUNCTION("""COMPUTED_VALUE"""),0.0)</f>
        <v>0</v>
      </c>
      <c r="U241" s="189">
        <f>IFERROR(__xludf.DUMMYFUNCTION("""COMPUTED_VALUE"""),7.0)</f>
        <v>7</v>
      </c>
      <c r="V241" s="189">
        <f>IFERROR(__xludf.DUMMYFUNCTION("""COMPUTED_VALUE"""),2.0)</f>
        <v>2</v>
      </c>
      <c r="W241" s="189">
        <f>IFERROR(__xludf.DUMMYFUNCTION("""COMPUTED_VALUE"""),6.0)</f>
        <v>6</v>
      </c>
      <c r="X241" s="189">
        <f>IFERROR(__xludf.DUMMYFUNCTION("""COMPUTED_VALUE"""),6.0)</f>
        <v>6</v>
      </c>
      <c r="Y241" s="189" t="str">
        <f>IFERROR(__xludf.DUMMYFUNCTION("""COMPUTED_VALUE"""),"2025-08-18T00:00:00.000Z")</f>
        <v>2025-08-18T00:00:00.000Z</v>
      </c>
      <c r="Z241" s="189" t="str">
        <f>IFERROR(__xludf.DUMMYFUNCTION("""COMPUTED_VALUE"""),"The Ultimates_Icebox")</f>
        <v>The Ultimates_Icebox</v>
      </c>
    </row>
    <row r="242">
      <c r="A242" s="189">
        <f>IFERROR(__xludf.DUMMYFUNCTION("""COMPUTED_VALUE"""),213500.0)</f>
        <v>213500</v>
      </c>
      <c r="B242" s="189">
        <f>IFERROR(__xludf.DUMMYFUNCTION("""COMPUTED_VALUE"""),93955.0)</f>
        <v>93955</v>
      </c>
      <c r="C242" s="189" t="str">
        <f>IFERROR(__xludf.DUMMYFUNCTION("""COMPUTED_VALUE"""),"Challengers League 2025 MENA: Resilience - LAN Finals - Main Event")</f>
        <v>Challengers League 2025 MENA: Resilience - LAN Finals - Main Event</v>
      </c>
      <c r="D242" s="189" t="str">
        <f>IFERROR(__xludf.DUMMYFUNCTION("""COMPUTED_VALUE"""),"Lotus")</f>
        <v>Lotus</v>
      </c>
      <c r="E242" s="189" t="str">
        <f>IFERROR(__xludf.DUMMYFUNCTION("""COMPUTED_VALUE"""),"The Ultimates")</f>
        <v>The Ultimates</v>
      </c>
      <c r="F242" s="189" t="str">
        <f>IFERROR(__xludf.DUMMYFUNCTION("""COMPUTED_VALUE"""),"Team RA'AD")</f>
        <v>Team RA'AD</v>
      </c>
      <c r="G242" s="189" t="str">
        <f>IFERROR(__xludf.DUMMYFUNCTION("""COMPUTED_VALUE"""),"Breach,Viper,Omen,Neon,Fade")</f>
        <v>Breach,Viper,Omen,Neon,Fade</v>
      </c>
      <c r="H242" s="189" t="str">
        <f>IFERROR(__xludf.DUMMYFUNCTION("""COMPUTED_VALUE"""),"Raze,Omen,Yoru,Fade,Vyse")</f>
        <v>Raze,Omen,Yoru,Fade,Vyse</v>
      </c>
      <c r="I242" s="189">
        <f>IFERROR(__xludf.DUMMYFUNCTION("""COMPUTED_VALUE"""),15.0)</f>
        <v>15</v>
      </c>
      <c r="J242" s="189">
        <f>IFERROR(__xludf.DUMMYFUNCTION("""COMPUTED_VALUE"""),13.0)</f>
        <v>13</v>
      </c>
      <c r="K242" s="189">
        <f>IFERROR(__xludf.DUMMYFUNCTION("""COMPUTED_VALUE"""),6.0)</f>
        <v>6</v>
      </c>
      <c r="L242" s="189">
        <f>IFERROR(__xludf.DUMMYFUNCTION("""COMPUTED_VALUE"""),6.0)</f>
        <v>6</v>
      </c>
      <c r="M242" s="189">
        <f>IFERROR(__xludf.DUMMYFUNCTION("""COMPUTED_VALUE"""),1.0)</f>
        <v>1</v>
      </c>
      <c r="N242" s="189">
        <f>IFERROR(__xludf.DUMMYFUNCTION("""COMPUTED_VALUE"""),1.0)</f>
        <v>1</v>
      </c>
      <c r="O242" s="189">
        <f>IFERROR(__xludf.DUMMYFUNCTION("""COMPUTED_VALUE"""),8.0)</f>
        <v>8</v>
      </c>
      <c r="P242" s="189">
        <f>IFERROR(__xludf.DUMMYFUNCTION("""COMPUTED_VALUE"""),6.0)</f>
        <v>6</v>
      </c>
      <c r="Q242" s="189">
        <f>IFERROR(__xludf.DUMMYFUNCTION("""COMPUTED_VALUE"""),7.0)</f>
        <v>7</v>
      </c>
      <c r="R242" s="189">
        <f>IFERROR(__xludf.DUMMYFUNCTION("""COMPUTED_VALUE"""),7.0)</f>
        <v>7</v>
      </c>
      <c r="S242" s="189">
        <f>IFERROR(__xludf.DUMMYFUNCTION("""COMPUTED_VALUE"""),0.0)</f>
        <v>0</v>
      </c>
      <c r="T242" s="189">
        <f>IFERROR(__xludf.DUMMYFUNCTION("""COMPUTED_VALUE"""),0.0)</f>
        <v>0</v>
      </c>
      <c r="U242" s="189">
        <f>IFERROR(__xludf.DUMMYFUNCTION("""COMPUTED_VALUE"""),7.0)</f>
        <v>7</v>
      </c>
      <c r="V242" s="189">
        <f>IFERROR(__xludf.DUMMYFUNCTION("""COMPUTED_VALUE"""),7.0)</f>
        <v>7</v>
      </c>
      <c r="W242" s="189">
        <f>IFERROR(__xludf.DUMMYFUNCTION("""COMPUTED_VALUE"""),6.0)</f>
        <v>6</v>
      </c>
      <c r="X242" s="189">
        <f>IFERROR(__xludf.DUMMYFUNCTION("""COMPUTED_VALUE"""),8.0)</f>
        <v>8</v>
      </c>
      <c r="Y242" s="189" t="str">
        <f>IFERROR(__xludf.DUMMYFUNCTION("""COMPUTED_VALUE"""),"2025-08-18T00:00:00.000Z")</f>
        <v>2025-08-18T00:00:00.000Z</v>
      </c>
      <c r="Z242" s="189" t="str">
        <f>IFERROR(__xludf.DUMMYFUNCTION("""COMPUTED_VALUE"""),"The Ultimates_Lotus")</f>
        <v>The Ultimates_Lotus</v>
      </c>
    </row>
    <row r="243">
      <c r="A243" s="189">
        <f>IFERROR(__xludf.DUMMYFUNCTION("""COMPUTED_VALUE"""),212063.0)</f>
        <v>212063</v>
      </c>
      <c r="B243" s="189">
        <f>IFERROR(__xludf.DUMMYFUNCTION("""COMPUTED_VALUE"""),93451.0)</f>
        <v>93451</v>
      </c>
      <c r="C243" s="189" t="str">
        <f>IFERROR(__xludf.DUMMYFUNCTION("""COMPUTED_VALUE"""),"Challengers League 2025 NORTH EAST: Split 3 - Playoffs")</f>
        <v>Challengers League 2025 NORTH EAST: Split 3 - Playoffs</v>
      </c>
      <c r="D243" s="189" t="str">
        <f>IFERROR(__xludf.DUMMYFUNCTION("""COMPUTED_VALUE"""),"Haven")</f>
        <v>Haven</v>
      </c>
      <c r="E243" s="189" t="str">
        <f>IFERROR(__xludf.DUMMYFUNCTION("""COMPUTED_VALUE"""),"Team Liquid Academy")</f>
        <v>Team Liquid Academy</v>
      </c>
      <c r="F243" s="189" t="str">
        <f>IFERROR(__xludf.DUMMYFUNCTION("""COMPUTED_VALUE"""),"Enterprise Esports")</f>
        <v>Enterprise Esports</v>
      </c>
      <c r="G243" s="189" t="str">
        <f>IFERROR(__xludf.DUMMYFUNCTION("""COMPUTED_VALUE"""),"Cypher,Sova,Omen,Yoru,Iso")</f>
        <v>Cypher,Sova,Omen,Yoru,Iso</v>
      </c>
      <c r="H243" s="189" t="str">
        <f>IFERROR(__xludf.DUMMYFUNCTION("""COMPUTED_VALUE"""),"Sova,Killjoy,Viper,Omen,Neon")</f>
        <v>Sova,Killjoy,Viper,Omen,Neon</v>
      </c>
      <c r="I243" s="189">
        <f>IFERROR(__xludf.DUMMYFUNCTION("""COMPUTED_VALUE"""),2.0)</f>
        <v>2</v>
      </c>
      <c r="J243" s="189">
        <f>IFERROR(__xludf.DUMMYFUNCTION("""COMPUTED_VALUE"""),13.0)</f>
        <v>13</v>
      </c>
      <c r="K243" s="189">
        <f>IFERROR(__xludf.DUMMYFUNCTION("""COMPUTED_VALUE"""),2.0)</f>
        <v>2</v>
      </c>
      <c r="L243" s="189">
        <f>IFERROR(__xludf.DUMMYFUNCTION("""COMPUTED_VALUE"""),10.0)</f>
        <v>10</v>
      </c>
      <c r="M243" s="189">
        <f>IFERROR(__xludf.DUMMYFUNCTION("""COMPUTED_VALUE"""),0.0)</f>
        <v>0</v>
      </c>
      <c r="N243" s="189">
        <f>IFERROR(__xludf.DUMMYFUNCTION("""COMPUTED_VALUE"""),0.0)</f>
        <v>0</v>
      </c>
      <c r="O243" s="189">
        <f>IFERROR(__xludf.DUMMYFUNCTION("""COMPUTED_VALUE"""),0.0)</f>
        <v>0</v>
      </c>
      <c r="P243" s="189">
        <f>IFERROR(__xludf.DUMMYFUNCTION("""COMPUTED_VALUE"""),3.0)</f>
        <v>3</v>
      </c>
      <c r="Q243" s="189">
        <f>IFERROR(__xludf.DUMMYFUNCTION("""COMPUTED_VALUE"""),2.0)</f>
        <v>2</v>
      </c>
      <c r="R243" s="189">
        <f>IFERROR(__xludf.DUMMYFUNCTION("""COMPUTED_VALUE"""),10.0)</f>
        <v>10</v>
      </c>
      <c r="S243" s="189">
        <f>IFERROR(__xludf.DUMMYFUNCTION("""COMPUTED_VALUE"""),1.0)</f>
        <v>1</v>
      </c>
      <c r="T243" s="189">
        <f>IFERROR(__xludf.DUMMYFUNCTION("""COMPUTED_VALUE"""),1.0)</f>
        <v>1</v>
      </c>
      <c r="U243" s="189">
        <f>IFERROR(__xludf.DUMMYFUNCTION("""COMPUTED_VALUE"""),10.0)</f>
        <v>10</v>
      </c>
      <c r="V243" s="189">
        <f>IFERROR(__xludf.DUMMYFUNCTION("""COMPUTED_VALUE"""),2.0)</f>
        <v>2</v>
      </c>
      <c r="W243" s="189">
        <f>IFERROR(__xludf.DUMMYFUNCTION("""COMPUTED_VALUE"""),3.0)</f>
        <v>3</v>
      </c>
      <c r="X243" s="189">
        <f>IFERROR(__xludf.DUMMYFUNCTION("""COMPUTED_VALUE"""),0.0)</f>
        <v>0</v>
      </c>
      <c r="Y243" s="189" t="str">
        <f>IFERROR(__xludf.DUMMYFUNCTION("""COMPUTED_VALUE"""),"2025-08-17T00:00:00.000Z")</f>
        <v>2025-08-17T00:00:00.000Z</v>
      </c>
      <c r="Z243" s="189" t="str">
        <f>IFERROR(__xludf.DUMMYFUNCTION("""COMPUTED_VALUE"""),"Team Liquid Academy_Haven")</f>
        <v>Team Liquid Academy_Haven</v>
      </c>
    </row>
    <row r="244">
      <c r="A244" s="189">
        <f>IFERROR(__xludf.DUMMYFUNCTION("""COMPUTED_VALUE"""),212838.0)</f>
        <v>212838</v>
      </c>
      <c r="B244" s="189">
        <f>IFERROR(__xludf.DUMMYFUNCTION("""COMPUTED_VALUE"""),93720.0)</f>
        <v>93720</v>
      </c>
      <c r="C244" s="189" t="str">
        <f>IFERROR(__xludf.DUMMYFUNCTION("""COMPUTED_VALUE"""),"Challengers 2025: Türkiye Birlik Split 3 - Playoffs")</f>
        <v>Challengers 2025: Türkiye Birlik Split 3 - Playoffs</v>
      </c>
      <c r="D244" s="189" t="str">
        <f>IFERROR(__xludf.DUMMYFUNCTION("""COMPUTED_VALUE"""),"Lotus")</f>
        <v>Lotus</v>
      </c>
      <c r="E244" s="189" t="str">
        <f>IFERROR(__xludf.DUMMYFUNCTION("""COMPUTED_VALUE"""),"ULF Esports")</f>
        <v>ULF Esports</v>
      </c>
      <c r="F244" s="189" t="str">
        <f>IFERROR(__xludf.DUMMYFUNCTION("""COMPUTED_VALUE"""),"BBL PCIFIC")</f>
        <v>BBL PCIFIC</v>
      </c>
      <c r="G244" s="189" t="str">
        <f>IFERROR(__xludf.DUMMYFUNCTION("""COMPUTED_VALUE"""),"Raze,Omen,Yoru,Fade,Vyse")</f>
        <v>Raze,Omen,Yoru,Fade,Vyse</v>
      </c>
      <c r="H244" s="189" t="str">
        <f>IFERROR(__xludf.DUMMYFUNCTION("""COMPUTED_VALUE"""),"Raze,Omen,Yoru,Fade,Vyse")</f>
        <v>Raze,Omen,Yoru,Fade,Vyse</v>
      </c>
      <c r="I244" s="189">
        <f>IFERROR(__xludf.DUMMYFUNCTION("""COMPUTED_VALUE"""),5.0)</f>
        <v>5</v>
      </c>
      <c r="J244" s="189">
        <f>IFERROR(__xludf.DUMMYFUNCTION("""COMPUTED_VALUE"""),13.0)</f>
        <v>13</v>
      </c>
      <c r="K244" s="189">
        <f>IFERROR(__xludf.DUMMYFUNCTION("""COMPUTED_VALUE"""),4.0)</f>
        <v>4</v>
      </c>
      <c r="L244" s="189">
        <f>IFERROR(__xludf.DUMMYFUNCTION("""COMPUTED_VALUE"""),8.0)</f>
        <v>8</v>
      </c>
      <c r="M244" s="189">
        <f>IFERROR(__xludf.DUMMYFUNCTION("""COMPUTED_VALUE"""),0.0)</f>
        <v>0</v>
      </c>
      <c r="N244" s="189">
        <f>IFERROR(__xludf.DUMMYFUNCTION("""COMPUTED_VALUE"""),1.0)</f>
        <v>1</v>
      </c>
      <c r="O244" s="189">
        <f>IFERROR(__xludf.DUMMYFUNCTION("""COMPUTED_VALUE"""),4.0)</f>
        <v>4</v>
      </c>
      <c r="P244" s="189">
        <f>IFERROR(__xludf.DUMMYFUNCTION("""COMPUTED_VALUE"""),8.0)</f>
        <v>8</v>
      </c>
      <c r="Q244" s="189">
        <f>IFERROR(__xludf.DUMMYFUNCTION("""COMPUTED_VALUE"""),1.0)</f>
        <v>1</v>
      </c>
      <c r="R244" s="189">
        <f>IFERROR(__xludf.DUMMYFUNCTION("""COMPUTED_VALUE"""),5.0)</f>
        <v>5</v>
      </c>
      <c r="S244" s="189">
        <f>IFERROR(__xludf.DUMMYFUNCTION("""COMPUTED_VALUE"""),0.0)</f>
        <v>0</v>
      </c>
      <c r="T244" s="189">
        <f>IFERROR(__xludf.DUMMYFUNCTION("""COMPUTED_VALUE"""),1.0)</f>
        <v>1</v>
      </c>
      <c r="U244" s="189">
        <f>IFERROR(__xludf.DUMMYFUNCTION("""COMPUTED_VALUE"""),5.0)</f>
        <v>5</v>
      </c>
      <c r="V244" s="189">
        <f>IFERROR(__xludf.DUMMYFUNCTION("""COMPUTED_VALUE"""),1.0)</f>
        <v>1</v>
      </c>
      <c r="W244" s="189">
        <f>IFERROR(__xludf.DUMMYFUNCTION("""COMPUTED_VALUE"""),8.0)</f>
        <v>8</v>
      </c>
      <c r="X244" s="189">
        <f>IFERROR(__xludf.DUMMYFUNCTION("""COMPUTED_VALUE"""),4.0)</f>
        <v>4</v>
      </c>
      <c r="Y244" s="189" t="str">
        <f>IFERROR(__xludf.DUMMYFUNCTION("""COMPUTED_VALUE"""),"2025-08-17T00:00:00.000Z")</f>
        <v>2025-08-17T00:00:00.000Z</v>
      </c>
      <c r="Z244" s="189" t="str">
        <f>IFERROR(__xludf.DUMMYFUNCTION("""COMPUTED_VALUE"""),"ULF Esports_Lotus")</f>
        <v>ULF Esports_Lotus</v>
      </c>
    </row>
    <row r="245">
      <c r="A245" s="189">
        <f>IFERROR(__xludf.DUMMYFUNCTION("""COMPUTED_VALUE"""),212062.0)</f>
        <v>212062</v>
      </c>
      <c r="B245" s="189">
        <f>IFERROR(__xludf.DUMMYFUNCTION("""COMPUTED_VALUE"""),93451.0)</f>
        <v>93451</v>
      </c>
      <c r="C245" s="189" t="str">
        <f>IFERROR(__xludf.DUMMYFUNCTION("""COMPUTED_VALUE"""),"Challengers League 2025 NORTH EAST: Split 3 - Playoffs")</f>
        <v>Challengers League 2025 NORTH EAST: Split 3 - Playoffs</v>
      </c>
      <c r="D245" s="189" t="str">
        <f>IFERROR(__xludf.DUMMYFUNCTION("""COMPUTED_VALUE"""),"Corrode")</f>
        <v>Corrode</v>
      </c>
      <c r="E245" s="189" t="str">
        <f>IFERROR(__xludf.DUMMYFUNCTION("""COMPUTED_VALUE"""),"Team Liquid Academy")</f>
        <v>Team Liquid Academy</v>
      </c>
      <c r="F245" s="189" t="str">
        <f>IFERROR(__xludf.DUMMYFUNCTION("""COMPUTED_VALUE"""),"Enterprise Esports")</f>
        <v>Enterprise Esports</v>
      </c>
      <c r="G245" s="189" t="str">
        <f>IFERROR(__xludf.DUMMYFUNCTION("""COMPUTED_VALUE"""),"Cypher,Phoenix,Omen,Yoru,Fade")</f>
        <v>Cypher,Phoenix,Omen,Yoru,Fade</v>
      </c>
      <c r="H245" s="189" t="str">
        <f>IFERROR(__xludf.DUMMYFUNCTION("""COMPUTED_VALUE"""),"Sova,Viper,Omen,Yoru,Fade")</f>
        <v>Sova,Viper,Omen,Yoru,Fade</v>
      </c>
      <c r="I245" s="189">
        <f>IFERROR(__xludf.DUMMYFUNCTION("""COMPUTED_VALUE"""),6.0)</f>
        <v>6</v>
      </c>
      <c r="J245" s="189">
        <f>IFERROR(__xludf.DUMMYFUNCTION("""COMPUTED_VALUE"""),13.0)</f>
        <v>13</v>
      </c>
      <c r="K245" s="189">
        <f>IFERROR(__xludf.DUMMYFUNCTION("""COMPUTED_VALUE"""),3.0)</f>
        <v>3</v>
      </c>
      <c r="L245" s="189">
        <f>IFERROR(__xludf.DUMMYFUNCTION("""COMPUTED_VALUE"""),9.0)</f>
        <v>9</v>
      </c>
      <c r="M245" s="189">
        <f>IFERROR(__xludf.DUMMYFUNCTION("""COMPUTED_VALUE"""),0.0)</f>
        <v>0</v>
      </c>
      <c r="N245" s="189">
        <f>IFERROR(__xludf.DUMMYFUNCTION("""COMPUTED_VALUE"""),0.0)</f>
        <v>0</v>
      </c>
      <c r="O245" s="189">
        <f>IFERROR(__xludf.DUMMYFUNCTION("""COMPUTED_VALUE"""),3.0)</f>
        <v>3</v>
      </c>
      <c r="P245" s="189">
        <f>IFERROR(__xludf.DUMMYFUNCTION("""COMPUTED_VALUE"""),9.0)</f>
        <v>9</v>
      </c>
      <c r="Q245" s="189">
        <f>IFERROR(__xludf.DUMMYFUNCTION("""COMPUTED_VALUE"""),3.0)</f>
        <v>3</v>
      </c>
      <c r="R245" s="189">
        <f>IFERROR(__xludf.DUMMYFUNCTION("""COMPUTED_VALUE"""),4.0)</f>
        <v>4</v>
      </c>
      <c r="S245" s="189">
        <f>IFERROR(__xludf.DUMMYFUNCTION("""COMPUTED_VALUE"""),1.0)</f>
        <v>1</v>
      </c>
      <c r="T245" s="189">
        <f>IFERROR(__xludf.DUMMYFUNCTION("""COMPUTED_VALUE"""),1.0)</f>
        <v>1</v>
      </c>
      <c r="U245" s="189">
        <f>IFERROR(__xludf.DUMMYFUNCTION("""COMPUTED_VALUE"""),4.0)</f>
        <v>4</v>
      </c>
      <c r="V245" s="189">
        <f>IFERROR(__xludf.DUMMYFUNCTION("""COMPUTED_VALUE"""),3.0)</f>
        <v>3</v>
      </c>
      <c r="W245" s="189">
        <f>IFERROR(__xludf.DUMMYFUNCTION("""COMPUTED_VALUE"""),9.0)</f>
        <v>9</v>
      </c>
      <c r="X245" s="189">
        <f>IFERROR(__xludf.DUMMYFUNCTION("""COMPUTED_VALUE"""),3.0)</f>
        <v>3</v>
      </c>
      <c r="Y245" s="189" t="str">
        <f>IFERROR(__xludf.DUMMYFUNCTION("""COMPUTED_VALUE"""),"2025-08-17T00:00:00.000Z")</f>
        <v>2025-08-17T00:00:00.000Z</v>
      </c>
      <c r="Z245" s="189" t="str">
        <f>IFERROR(__xludf.DUMMYFUNCTION("""COMPUTED_VALUE"""),"Team Liquid Academy_Corrode")</f>
        <v>Team Liquid Academy_Corrode</v>
      </c>
    </row>
    <row r="246">
      <c r="A246" s="189">
        <f>IFERROR(__xludf.DUMMYFUNCTION("""COMPUTED_VALUE"""),212837.0)</f>
        <v>212837</v>
      </c>
      <c r="B246" s="189">
        <f>IFERROR(__xludf.DUMMYFUNCTION("""COMPUTED_VALUE"""),93720.0)</f>
        <v>93720</v>
      </c>
      <c r="C246" s="189" t="str">
        <f>IFERROR(__xludf.DUMMYFUNCTION("""COMPUTED_VALUE"""),"Challengers 2025: Türkiye Birlik Split 3 - Playoffs")</f>
        <v>Challengers 2025: Türkiye Birlik Split 3 - Playoffs</v>
      </c>
      <c r="D246" s="189" t="str">
        <f>IFERROR(__xludf.DUMMYFUNCTION("""COMPUTED_VALUE"""),"Sunset")</f>
        <v>Sunset</v>
      </c>
      <c r="E246" s="189" t="str">
        <f>IFERROR(__xludf.DUMMYFUNCTION("""COMPUTED_VALUE"""),"ULF Esports")</f>
        <v>ULF Esports</v>
      </c>
      <c r="F246" s="189" t="str">
        <f>IFERROR(__xludf.DUMMYFUNCTION("""COMPUTED_VALUE"""),"BBL PCIFIC")</f>
        <v>BBL PCIFIC</v>
      </c>
      <c r="G246" s="189" t="str">
        <f>IFERROR(__xludf.DUMMYFUNCTION("""COMPUTED_VALUE"""),"Breach,Sova,Omen,Neon,Vyse")</f>
        <v>Breach,Sova,Omen,Neon,Vyse</v>
      </c>
      <c r="H246" s="189" t="str">
        <f>IFERROR(__xludf.DUMMYFUNCTION("""COMPUTED_VALUE"""),"Cypher,Sova,Omen,Yoru,Neon")</f>
        <v>Cypher,Sova,Omen,Yoru,Neon</v>
      </c>
      <c r="I246" s="189">
        <f>IFERROR(__xludf.DUMMYFUNCTION("""COMPUTED_VALUE"""),8.0)</f>
        <v>8</v>
      </c>
      <c r="J246" s="189">
        <f>IFERROR(__xludf.DUMMYFUNCTION("""COMPUTED_VALUE"""),13.0)</f>
        <v>13</v>
      </c>
      <c r="K246" s="189">
        <f>IFERROR(__xludf.DUMMYFUNCTION("""COMPUTED_VALUE"""),6.0)</f>
        <v>6</v>
      </c>
      <c r="L246" s="189">
        <f>IFERROR(__xludf.DUMMYFUNCTION("""COMPUTED_VALUE"""),6.0)</f>
        <v>6</v>
      </c>
      <c r="M246" s="189">
        <f>IFERROR(__xludf.DUMMYFUNCTION("""COMPUTED_VALUE"""),1.0)</f>
        <v>1</v>
      </c>
      <c r="N246" s="189">
        <f>IFERROR(__xludf.DUMMYFUNCTION("""COMPUTED_VALUE"""),0.0)</f>
        <v>0</v>
      </c>
      <c r="O246" s="189">
        <f>IFERROR(__xludf.DUMMYFUNCTION("""COMPUTED_VALUE"""),2.0)</f>
        <v>2</v>
      </c>
      <c r="P246" s="189">
        <f>IFERROR(__xludf.DUMMYFUNCTION("""COMPUTED_VALUE"""),7.0)</f>
        <v>7</v>
      </c>
      <c r="Q246" s="189">
        <f>IFERROR(__xludf.DUMMYFUNCTION("""COMPUTED_VALUE"""),6.0)</f>
        <v>6</v>
      </c>
      <c r="R246" s="189">
        <f>IFERROR(__xludf.DUMMYFUNCTION("""COMPUTED_VALUE"""),6.0)</f>
        <v>6</v>
      </c>
      <c r="S246" s="189">
        <f>IFERROR(__xludf.DUMMYFUNCTION("""COMPUTED_VALUE"""),1.0)</f>
        <v>1</v>
      </c>
      <c r="T246" s="189">
        <f>IFERROR(__xludf.DUMMYFUNCTION("""COMPUTED_VALUE"""),0.0)</f>
        <v>0</v>
      </c>
      <c r="U246" s="189">
        <f>IFERROR(__xludf.DUMMYFUNCTION("""COMPUTED_VALUE"""),6.0)</f>
        <v>6</v>
      </c>
      <c r="V246" s="189">
        <f>IFERROR(__xludf.DUMMYFUNCTION("""COMPUTED_VALUE"""),6.0)</f>
        <v>6</v>
      </c>
      <c r="W246" s="189">
        <f>IFERROR(__xludf.DUMMYFUNCTION("""COMPUTED_VALUE"""),7.0)</f>
        <v>7</v>
      </c>
      <c r="X246" s="189">
        <f>IFERROR(__xludf.DUMMYFUNCTION("""COMPUTED_VALUE"""),2.0)</f>
        <v>2</v>
      </c>
      <c r="Y246" s="189" t="str">
        <f>IFERROR(__xludf.DUMMYFUNCTION("""COMPUTED_VALUE"""),"2025-08-17T00:00:00.000Z")</f>
        <v>2025-08-17T00:00:00.000Z</v>
      </c>
      <c r="Z246" s="189" t="str">
        <f>IFERROR(__xludf.DUMMYFUNCTION("""COMPUTED_VALUE"""),"ULF Esports_Sunset")</f>
        <v>ULF Esports_Sunset</v>
      </c>
    </row>
    <row r="247">
      <c r="A247" s="189">
        <f>IFERROR(__xludf.DUMMYFUNCTION("""COMPUTED_VALUE"""),212061.0)</f>
        <v>212061</v>
      </c>
      <c r="B247" s="189">
        <f>IFERROR(__xludf.DUMMYFUNCTION("""COMPUTED_VALUE"""),93451.0)</f>
        <v>93451</v>
      </c>
      <c r="C247" s="189" t="str">
        <f>IFERROR(__xludf.DUMMYFUNCTION("""COMPUTED_VALUE"""),"Challengers League 2025 NORTH EAST: Split 3 - Playoffs")</f>
        <v>Challengers League 2025 NORTH EAST: Split 3 - Playoffs</v>
      </c>
      <c r="D247" s="189" t="str">
        <f>IFERROR(__xludf.DUMMYFUNCTION("""COMPUTED_VALUE"""),"Ascent")</f>
        <v>Ascent</v>
      </c>
      <c r="E247" s="189" t="str">
        <f>IFERROR(__xludf.DUMMYFUNCTION("""COMPUTED_VALUE"""),"Team Liquid Academy")</f>
        <v>Team Liquid Academy</v>
      </c>
      <c r="F247" s="189" t="str">
        <f>IFERROR(__xludf.DUMMYFUNCTION("""COMPUTED_VALUE"""),"Enterprise Esports")</f>
        <v>Enterprise Esports</v>
      </c>
      <c r="G247" s="189" t="str">
        <f>IFERROR(__xludf.DUMMYFUNCTION("""COMPUTED_VALUE"""),"Sova,Omen,Yoru,Vyse,Waylay")</f>
        <v>Sova,Omen,Yoru,Vyse,Waylay</v>
      </c>
      <c r="H247" s="189" t="str">
        <f>IFERROR(__xludf.DUMMYFUNCTION("""COMPUTED_VALUE"""),"Cypher,Sova,Omen,Jett,KAY/O")</f>
        <v>Cypher,Sova,Omen,Jett,KAY/O</v>
      </c>
      <c r="I247" s="189">
        <f>IFERROR(__xludf.DUMMYFUNCTION("""COMPUTED_VALUE"""),5.0)</f>
        <v>5</v>
      </c>
      <c r="J247" s="189">
        <f>IFERROR(__xludf.DUMMYFUNCTION("""COMPUTED_VALUE"""),13.0)</f>
        <v>13</v>
      </c>
      <c r="K247" s="189">
        <f>IFERROR(__xludf.DUMMYFUNCTION("""COMPUTED_VALUE"""),4.0)</f>
        <v>4</v>
      </c>
      <c r="L247" s="189">
        <f>IFERROR(__xludf.DUMMYFUNCTION("""COMPUTED_VALUE"""),8.0)</f>
        <v>8</v>
      </c>
      <c r="M247" s="189">
        <f>IFERROR(__xludf.DUMMYFUNCTION("""COMPUTED_VALUE"""),0.0)</f>
        <v>0</v>
      </c>
      <c r="N247" s="189">
        <f>IFERROR(__xludf.DUMMYFUNCTION("""COMPUTED_VALUE"""),1.0)</f>
        <v>1</v>
      </c>
      <c r="O247" s="189">
        <f>IFERROR(__xludf.DUMMYFUNCTION("""COMPUTED_VALUE"""),1.0)</f>
        <v>1</v>
      </c>
      <c r="P247" s="189">
        <f>IFERROR(__xludf.DUMMYFUNCTION("""COMPUTED_VALUE"""),5.0)</f>
        <v>5</v>
      </c>
      <c r="Q247" s="189">
        <f>IFERROR(__xludf.DUMMYFUNCTION("""COMPUTED_VALUE"""),4.0)</f>
        <v>4</v>
      </c>
      <c r="R247" s="189">
        <f>IFERROR(__xludf.DUMMYFUNCTION("""COMPUTED_VALUE"""),8.0)</f>
        <v>8</v>
      </c>
      <c r="S247" s="189">
        <f>IFERROR(__xludf.DUMMYFUNCTION("""COMPUTED_VALUE"""),0.0)</f>
        <v>0</v>
      </c>
      <c r="T247" s="189">
        <f>IFERROR(__xludf.DUMMYFUNCTION("""COMPUTED_VALUE"""),1.0)</f>
        <v>1</v>
      </c>
      <c r="U247" s="189">
        <f>IFERROR(__xludf.DUMMYFUNCTION("""COMPUTED_VALUE"""),8.0)</f>
        <v>8</v>
      </c>
      <c r="V247" s="189">
        <f>IFERROR(__xludf.DUMMYFUNCTION("""COMPUTED_VALUE"""),4.0)</f>
        <v>4</v>
      </c>
      <c r="W247" s="189">
        <f>IFERROR(__xludf.DUMMYFUNCTION("""COMPUTED_VALUE"""),5.0)</f>
        <v>5</v>
      </c>
      <c r="X247" s="189">
        <f>IFERROR(__xludf.DUMMYFUNCTION("""COMPUTED_VALUE"""),1.0)</f>
        <v>1</v>
      </c>
      <c r="Y247" s="189" t="str">
        <f>IFERROR(__xludf.DUMMYFUNCTION("""COMPUTED_VALUE"""),"2025-08-17T00:00:00.000Z")</f>
        <v>2025-08-17T00:00:00.000Z</v>
      </c>
      <c r="Z247" s="189" t="str">
        <f>IFERROR(__xludf.DUMMYFUNCTION("""COMPUTED_VALUE"""),"Team Liquid Academy_Ascent")</f>
        <v>Team Liquid Academy_Ascent</v>
      </c>
    </row>
    <row r="248">
      <c r="A248" s="189">
        <f>IFERROR(__xludf.DUMMYFUNCTION("""COMPUTED_VALUE"""),212836.0)</f>
        <v>212836</v>
      </c>
      <c r="B248" s="189">
        <f>IFERROR(__xludf.DUMMYFUNCTION("""COMPUTED_VALUE"""),93720.0)</f>
        <v>93720</v>
      </c>
      <c r="C248" s="189" t="str">
        <f>IFERROR(__xludf.DUMMYFUNCTION("""COMPUTED_VALUE"""),"Challengers 2025: Türkiye Birlik Split 3 - Playoffs")</f>
        <v>Challengers 2025: Türkiye Birlik Split 3 - Playoffs</v>
      </c>
      <c r="D248" s="189" t="str">
        <f>IFERROR(__xludf.DUMMYFUNCTION("""COMPUTED_VALUE"""),"Haven")</f>
        <v>Haven</v>
      </c>
      <c r="E248" s="189" t="str">
        <f>IFERROR(__xludf.DUMMYFUNCTION("""COMPUTED_VALUE"""),"ULF Esports")</f>
        <v>ULF Esports</v>
      </c>
      <c r="F248" s="189" t="str">
        <f>IFERROR(__xludf.DUMMYFUNCTION("""COMPUTED_VALUE"""),"BBL PCIFIC")</f>
        <v>BBL PCIFIC</v>
      </c>
      <c r="G248" s="189" t="str">
        <f>IFERROR(__xludf.DUMMYFUNCTION("""COMPUTED_VALUE"""),"Breach,Cypher,Sova,Omen,Neon")</f>
        <v>Breach,Cypher,Sova,Omen,Neon</v>
      </c>
      <c r="H248" s="189" t="str">
        <f>IFERROR(__xludf.DUMMYFUNCTION("""COMPUTED_VALUE"""),"Breach,Cypher,Sova,Omen,Jett")</f>
        <v>Breach,Cypher,Sova,Omen,Jett</v>
      </c>
      <c r="I248" s="189">
        <f>IFERROR(__xludf.DUMMYFUNCTION("""COMPUTED_VALUE"""),8.0)</f>
        <v>8</v>
      </c>
      <c r="J248" s="189">
        <f>IFERROR(__xludf.DUMMYFUNCTION("""COMPUTED_VALUE"""),13.0)</f>
        <v>13</v>
      </c>
      <c r="K248" s="189">
        <f>IFERROR(__xludf.DUMMYFUNCTION("""COMPUTED_VALUE"""),2.0)</f>
        <v>2</v>
      </c>
      <c r="L248" s="189">
        <f>IFERROR(__xludf.DUMMYFUNCTION("""COMPUTED_VALUE"""),10.0)</f>
        <v>10</v>
      </c>
      <c r="M248" s="189">
        <f>IFERROR(__xludf.DUMMYFUNCTION("""COMPUTED_VALUE"""),1.0)</f>
        <v>1</v>
      </c>
      <c r="N248" s="189">
        <f>IFERROR(__xludf.DUMMYFUNCTION("""COMPUTED_VALUE"""),0.0)</f>
        <v>0</v>
      </c>
      <c r="O248" s="189">
        <f>IFERROR(__xludf.DUMMYFUNCTION("""COMPUTED_VALUE"""),6.0)</f>
        <v>6</v>
      </c>
      <c r="P248" s="189">
        <f>IFERROR(__xludf.DUMMYFUNCTION("""COMPUTED_VALUE"""),3.0)</f>
        <v>3</v>
      </c>
      <c r="Q248" s="189">
        <f>IFERROR(__xludf.DUMMYFUNCTION("""COMPUTED_VALUE"""),2.0)</f>
        <v>2</v>
      </c>
      <c r="R248" s="189">
        <f>IFERROR(__xludf.DUMMYFUNCTION("""COMPUTED_VALUE"""),10.0)</f>
        <v>10</v>
      </c>
      <c r="S248" s="189">
        <f>IFERROR(__xludf.DUMMYFUNCTION("""COMPUTED_VALUE"""),1.0)</f>
        <v>1</v>
      </c>
      <c r="T248" s="189">
        <f>IFERROR(__xludf.DUMMYFUNCTION("""COMPUTED_VALUE"""),0.0)</f>
        <v>0</v>
      </c>
      <c r="U248" s="189">
        <f>IFERROR(__xludf.DUMMYFUNCTION("""COMPUTED_VALUE"""),10.0)</f>
        <v>10</v>
      </c>
      <c r="V248" s="189">
        <f>IFERROR(__xludf.DUMMYFUNCTION("""COMPUTED_VALUE"""),2.0)</f>
        <v>2</v>
      </c>
      <c r="W248" s="189">
        <f>IFERROR(__xludf.DUMMYFUNCTION("""COMPUTED_VALUE"""),3.0)</f>
        <v>3</v>
      </c>
      <c r="X248" s="189">
        <f>IFERROR(__xludf.DUMMYFUNCTION("""COMPUTED_VALUE"""),6.0)</f>
        <v>6</v>
      </c>
      <c r="Y248" s="189" t="str">
        <f>IFERROR(__xludf.DUMMYFUNCTION("""COMPUTED_VALUE"""),"2025-08-17T00:00:00.000Z")</f>
        <v>2025-08-17T00:00:00.000Z</v>
      </c>
      <c r="Z248" s="189" t="str">
        <f>IFERROR(__xludf.DUMMYFUNCTION("""COMPUTED_VALUE"""),"ULF Esports_Haven")</f>
        <v>ULF Esports_Haven</v>
      </c>
    </row>
    <row r="249">
      <c r="A249" s="189">
        <f>IFERROR(__xludf.DUMMYFUNCTION("""COMPUTED_VALUE"""),212070.0)</f>
        <v>212070</v>
      </c>
      <c r="B249" s="189">
        <f>IFERROR(__xludf.DUMMYFUNCTION("""COMPUTED_VALUE"""),93452.0)</f>
        <v>93452</v>
      </c>
      <c r="C249" s="189" t="str">
        <f>IFERROR(__xludf.DUMMYFUNCTION("""COMPUTED_VALUE"""),"Challengers League 2025 NORTH EAST: Split 3 - Playoffs")</f>
        <v>Challengers League 2025 NORTH EAST: Split 3 - Playoffs</v>
      </c>
      <c r="D249" s="189" t="str">
        <f>IFERROR(__xludf.DUMMYFUNCTION("""COMPUTED_VALUE"""),"Bind")</f>
        <v>Bind</v>
      </c>
      <c r="E249" s="189" t="str">
        <f>IFERROR(__xludf.DUMMYFUNCTION("""COMPUTED_VALUE"""),"Team Liquid Academy")</f>
        <v>Team Liquid Academy</v>
      </c>
      <c r="F249" s="189" t="str">
        <f>IFERROR(__xludf.DUMMYFUNCTION("""COMPUTED_VALUE"""),"děti ulice")</f>
        <v>děti ulice</v>
      </c>
      <c r="G249" s="189" t="str">
        <f>IFERROR(__xludf.DUMMYFUNCTION("""COMPUTED_VALUE"""),"Yoru,Astra,Gekko,Deadlock,Waylay")</f>
        <v>Yoru,Astra,Gekko,Deadlock,Waylay</v>
      </c>
      <c r="H249" s="189" t="str">
        <f>IFERROR(__xludf.DUMMYFUNCTION("""COMPUTED_VALUE"""),"Raze,Viper,Brimstone,Yoru,Fade")</f>
        <v>Raze,Viper,Brimstone,Yoru,Fade</v>
      </c>
      <c r="I249" s="189">
        <f>IFERROR(__xludf.DUMMYFUNCTION("""COMPUTED_VALUE"""),13.0)</f>
        <v>13</v>
      </c>
      <c r="J249" s="189">
        <f>IFERROR(__xludf.DUMMYFUNCTION("""COMPUTED_VALUE"""),8.0)</f>
        <v>8</v>
      </c>
      <c r="K249" s="189">
        <f>IFERROR(__xludf.DUMMYFUNCTION("""COMPUTED_VALUE"""),5.0)</f>
        <v>5</v>
      </c>
      <c r="L249" s="189">
        <f>IFERROR(__xludf.DUMMYFUNCTION("""COMPUTED_VALUE"""),7.0)</f>
        <v>7</v>
      </c>
      <c r="M249" s="189">
        <f>IFERROR(__xludf.DUMMYFUNCTION("""COMPUTED_VALUE"""),1.0)</f>
        <v>1</v>
      </c>
      <c r="N249" s="189">
        <f>IFERROR(__xludf.DUMMYFUNCTION("""COMPUTED_VALUE"""),0.0)</f>
        <v>0</v>
      </c>
      <c r="O249" s="189">
        <f>IFERROR(__xludf.DUMMYFUNCTION("""COMPUTED_VALUE"""),8.0)</f>
        <v>8</v>
      </c>
      <c r="P249" s="189">
        <f>IFERROR(__xludf.DUMMYFUNCTION("""COMPUTED_VALUE"""),1.0)</f>
        <v>1</v>
      </c>
      <c r="Q249" s="189">
        <f>IFERROR(__xludf.DUMMYFUNCTION("""COMPUTED_VALUE"""),5.0)</f>
        <v>5</v>
      </c>
      <c r="R249" s="189">
        <f>IFERROR(__xludf.DUMMYFUNCTION("""COMPUTED_VALUE"""),7.0)</f>
        <v>7</v>
      </c>
      <c r="S249" s="189">
        <f>IFERROR(__xludf.DUMMYFUNCTION("""COMPUTED_VALUE"""),1.0)</f>
        <v>1</v>
      </c>
      <c r="T249" s="189">
        <f>IFERROR(__xludf.DUMMYFUNCTION("""COMPUTED_VALUE"""),0.0)</f>
        <v>0</v>
      </c>
      <c r="U249" s="189">
        <f>IFERROR(__xludf.DUMMYFUNCTION("""COMPUTED_VALUE"""),7.0)</f>
        <v>7</v>
      </c>
      <c r="V249" s="189">
        <f>IFERROR(__xludf.DUMMYFUNCTION("""COMPUTED_VALUE"""),5.0)</f>
        <v>5</v>
      </c>
      <c r="W249" s="189">
        <f>IFERROR(__xludf.DUMMYFUNCTION("""COMPUTED_VALUE"""),1.0)</f>
        <v>1</v>
      </c>
      <c r="X249" s="189">
        <f>IFERROR(__xludf.DUMMYFUNCTION("""COMPUTED_VALUE"""),8.0)</f>
        <v>8</v>
      </c>
      <c r="Y249" s="189" t="str">
        <f>IFERROR(__xludf.DUMMYFUNCTION("""COMPUTED_VALUE"""),"2025-08-16T00:00:00.000Z")</f>
        <v>2025-08-16T00:00:00.000Z</v>
      </c>
      <c r="Z249" s="189" t="str">
        <f>IFERROR(__xludf.DUMMYFUNCTION("""COMPUTED_VALUE"""),"Team Liquid Academy_Bind")</f>
        <v>Team Liquid Academy_Bind</v>
      </c>
    </row>
    <row r="250">
      <c r="A250" s="189">
        <f>IFERROR(__xludf.DUMMYFUNCTION("""COMPUTED_VALUE"""),212069.0)</f>
        <v>212069</v>
      </c>
      <c r="B250" s="189">
        <f>IFERROR(__xludf.DUMMYFUNCTION("""COMPUTED_VALUE"""),93452.0)</f>
        <v>93452</v>
      </c>
      <c r="C250" s="189" t="str">
        <f>IFERROR(__xludf.DUMMYFUNCTION("""COMPUTED_VALUE"""),"Challengers League 2025 NORTH EAST: Split 3 - Playoffs")</f>
        <v>Challengers League 2025 NORTH EAST: Split 3 - Playoffs</v>
      </c>
      <c r="D250" s="189" t="str">
        <f>IFERROR(__xludf.DUMMYFUNCTION("""COMPUTED_VALUE"""),"Sunset")</f>
        <v>Sunset</v>
      </c>
      <c r="E250" s="189" t="str">
        <f>IFERROR(__xludf.DUMMYFUNCTION("""COMPUTED_VALUE"""),"Team Liquid Academy")</f>
        <v>Team Liquid Academy</v>
      </c>
      <c r="F250" s="189" t="str">
        <f>IFERROR(__xludf.DUMMYFUNCTION("""COMPUTED_VALUE"""),"děti ulice")</f>
        <v>děti ulice</v>
      </c>
      <c r="G250" s="189" t="str">
        <f>IFERROR(__xludf.DUMMYFUNCTION("""COMPUTED_VALUE"""),"Sova,Omen,Yoru,Vyse,Waylay")</f>
        <v>Sova,Omen,Yoru,Vyse,Waylay</v>
      </c>
      <c r="H250" s="189" t="str">
        <f>IFERROR(__xludf.DUMMYFUNCTION("""COMPUTED_VALUE"""),"Cypher,Sova,Omen,Yoru,Neon")</f>
        <v>Cypher,Sova,Omen,Yoru,Neon</v>
      </c>
      <c r="I250" s="189">
        <f>IFERROR(__xludf.DUMMYFUNCTION("""COMPUTED_VALUE"""),13.0)</f>
        <v>13</v>
      </c>
      <c r="J250" s="189">
        <f>IFERROR(__xludf.DUMMYFUNCTION("""COMPUTED_VALUE"""),5.0)</f>
        <v>5</v>
      </c>
      <c r="K250" s="189">
        <f>IFERROR(__xludf.DUMMYFUNCTION("""COMPUTED_VALUE"""),8.0)</f>
        <v>8</v>
      </c>
      <c r="L250" s="189">
        <f>IFERROR(__xludf.DUMMYFUNCTION("""COMPUTED_VALUE"""),4.0)</f>
        <v>4</v>
      </c>
      <c r="M250" s="189">
        <f>IFERROR(__xludf.DUMMYFUNCTION("""COMPUTED_VALUE"""),1.0)</f>
        <v>1</v>
      </c>
      <c r="N250" s="189">
        <f>IFERROR(__xludf.DUMMYFUNCTION("""COMPUTED_VALUE"""),1.0)</f>
        <v>1</v>
      </c>
      <c r="O250" s="189">
        <f>IFERROR(__xludf.DUMMYFUNCTION("""COMPUTED_VALUE"""),8.0)</f>
        <v>8</v>
      </c>
      <c r="P250" s="189">
        <f>IFERROR(__xludf.DUMMYFUNCTION("""COMPUTED_VALUE"""),4.0)</f>
        <v>4</v>
      </c>
      <c r="Q250" s="189">
        <f>IFERROR(__xludf.DUMMYFUNCTION("""COMPUTED_VALUE"""),5.0)</f>
        <v>5</v>
      </c>
      <c r="R250" s="189">
        <f>IFERROR(__xludf.DUMMYFUNCTION("""COMPUTED_VALUE"""),1.0)</f>
        <v>1</v>
      </c>
      <c r="S250" s="189">
        <f>IFERROR(__xludf.DUMMYFUNCTION("""COMPUTED_VALUE"""),0.0)</f>
        <v>0</v>
      </c>
      <c r="T250" s="189">
        <f>IFERROR(__xludf.DUMMYFUNCTION("""COMPUTED_VALUE"""),0.0)</f>
        <v>0</v>
      </c>
      <c r="U250" s="189">
        <f>IFERROR(__xludf.DUMMYFUNCTION("""COMPUTED_VALUE"""),1.0)</f>
        <v>1</v>
      </c>
      <c r="V250" s="189">
        <f>IFERROR(__xludf.DUMMYFUNCTION("""COMPUTED_VALUE"""),5.0)</f>
        <v>5</v>
      </c>
      <c r="W250" s="189">
        <f>IFERROR(__xludf.DUMMYFUNCTION("""COMPUTED_VALUE"""),4.0)</f>
        <v>4</v>
      </c>
      <c r="X250" s="189">
        <f>IFERROR(__xludf.DUMMYFUNCTION("""COMPUTED_VALUE"""),8.0)</f>
        <v>8</v>
      </c>
      <c r="Y250" s="189" t="str">
        <f>IFERROR(__xludf.DUMMYFUNCTION("""COMPUTED_VALUE"""),"2025-08-16T00:00:00.000Z")</f>
        <v>2025-08-16T00:00:00.000Z</v>
      </c>
      <c r="Z250" s="189" t="str">
        <f>IFERROR(__xludf.DUMMYFUNCTION("""COMPUTED_VALUE"""),"Team Liquid Academy_Sunset")</f>
        <v>Team Liquid Academy_Sunset</v>
      </c>
    </row>
    <row r="251">
      <c r="A251" s="189">
        <f>IFERROR(__xludf.DUMMYFUNCTION("""COMPUTED_VALUE"""),212722.0)</f>
        <v>212722</v>
      </c>
      <c r="B251" s="189">
        <f>IFERROR(__xludf.DUMMYFUNCTION("""COMPUTED_VALUE"""),93686.0)</f>
        <v>93686</v>
      </c>
      <c r="C251" s="189" t="str">
        <f>IFERROR(__xludf.DUMMYFUNCTION("""COMPUTED_VALUE"""),"Challengers 2025: France Revolution Split 3 - Playoffs")</f>
        <v>Challengers 2025: France Revolution Split 3 - Playoffs</v>
      </c>
      <c r="D251" s="189" t="str">
        <f>IFERROR(__xludf.DUMMYFUNCTION("""COMPUTED_VALUE"""),"Haven")</f>
        <v>Haven</v>
      </c>
      <c r="E251" s="189" t="str">
        <f>IFERROR(__xludf.DUMMYFUNCTION("""COMPUTED_VALUE"""),"Mandatory")</f>
        <v>Mandatory</v>
      </c>
      <c r="F251" s="189" t="str">
        <f>IFERROR(__xludf.DUMMYFUNCTION("""COMPUTED_VALUE"""),"Joblife")</f>
        <v>Joblife</v>
      </c>
      <c r="G251" s="189" t="str">
        <f>IFERROR(__xludf.DUMMYFUNCTION("""COMPUTED_VALUE"""),"Cypher,Sova,Omen,Yoru,Iso")</f>
        <v>Cypher,Sova,Omen,Yoru,Iso</v>
      </c>
      <c r="H251" s="189" t="str">
        <f>IFERROR(__xludf.DUMMYFUNCTION("""COMPUTED_VALUE"""),"Breach,Cypher,Sova,Omen,Jett")</f>
        <v>Breach,Cypher,Sova,Omen,Jett</v>
      </c>
      <c r="I251" s="189">
        <f>IFERROR(__xludf.DUMMYFUNCTION("""COMPUTED_VALUE"""),7.0)</f>
        <v>7</v>
      </c>
      <c r="J251" s="189">
        <f>IFERROR(__xludf.DUMMYFUNCTION("""COMPUTED_VALUE"""),13.0)</f>
        <v>13</v>
      </c>
      <c r="K251" s="189">
        <f>IFERROR(__xludf.DUMMYFUNCTION("""COMPUTED_VALUE"""),4.0)</f>
        <v>4</v>
      </c>
      <c r="L251" s="189">
        <f>IFERROR(__xludf.DUMMYFUNCTION("""COMPUTED_VALUE"""),8.0)</f>
        <v>8</v>
      </c>
      <c r="M251" s="189">
        <f>IFERROR(__xludf.DUMMYFUNCTION("""COMPUTED_VALUE"""),0.0)</f>
        <v>0</v>
      </c>
      <c r="N251" s="189">
        <f>IFERROR(__xludf.DUMMYFUNCTION("""COMPUTED_VALUE"""),0.0)</f>
        <v>0</v>
      </c>
      <c r="O251" s="189">
        <f>IFERROR(__xludf.DUMMYFUNCTION("""COMPUTED_VALUE"""),3.0)</f>
        <v>3</v>
      </c>
      <c r="P251" s="189">
        <f>IFERROR(__xludf.DUMMYFUNCTION("""COMPUTED_VALUE"""),5.0)</f>
        <v>5</v>
      </c>
      <c r="Q251" s="189">
        <f>IFERROR(__xludf.DUMMYFUNCTION("""COMPUTED_VALUE"""),4.0)</f>
        <v>4</v>
      </c>
      <c r="R251" s="189">
        <f>IFERROR(__xludf.DUMMYFUNCTION("""COMPUTED_VALUE"""),8.0)</f>
        <v>8</v>
      </c>
      <c r="S251" s="189">
        <f>IFERROR(__xludf.DUMMYFUNCTION("""COMPUTED_VALUE"""),1.0)</f>
        <v>1</v>
      </c>
      <c r="T251" s="189">
        <f>IFERROR(__xludf.DUMMYFUNCTION("""COMPUTED_VALUE"""),1.0)</f>
        <v>1</v>
      </c>
      <c r="U251" s="189">
        <f>IFERROR(__xludf.DUMMYFUNCTION("""COMPUTED_VALUE"""),8.0)</f>
        <v>8</v>
      </c>
      <c r="V251" s="189">
        <f>IFERROR(__xludf.DUMMYFUNCTION("""COMPUTED_VALUE"""),4.0)</f>
        <v>4</v>
      </c>
      <c r="W251" s="189">
        <f>IFERROR(__xludf.DUMMYFUNCTION("""COMPUTED_VALUE"""),5.0)</f>
        <v>5</v>
      </c>
      <c r="X251" s="189">
        <f>IFERROR(__xludf.DUMMYFUNCTION("""COMPUTED_VALUE"""),3.0)</f>
        <v>3</v>
      </c>
      <c r="Y251" s="189" t="str">
        <f>IFERROR(__xludf.DUMMYFUNCTION("""COMPUTED_VALUE"""),"2025-08-16T00:00:00.000Z")</f>
        <v>2025-08-16T00:00:00.000Z</v>
      </c>
      <c r="Z251" s="189" t="str">
        <f>IFERROR(__xludf.DUMMYFUNCTION("""COMPUTED_VALUE"""),"Mandatory_Haven")</f>
        <v>Mandatory_Haven</v>
      </c>
    </row>
    <row r="252">
      <c r="A252" s="189">
        <f>IFERROR(__xludf.DUMMYFUNCTION("""COMPUTED_VALUE"""),212068.0)</f>
        <v>212068</v>
      </c>
      <c r="B252" s="189">
        <f>IFERROR(__xludf.DUMMYFUNCTION("""COMPUTED_VALUE"""),93452.0)</f>
        <v>93452</v>
      </c>
      <c r="C252" s="189" t="str">
        <f>IFERROR(__xludf.DUMMYFUNCTION("""COMPUTED_VALUE"""),"Challengers League 2025 NORTH EAST: Split 3 - Playoffs")</f>
        <v>Challengers League 2025 NORTH EAST: Split 3 - Playoffs</v>
      </c>
      <c r="D252" s="189" t="str">
        <f>IFERROR(__xludf.DUMMYFUNCTION("""COMPUTED_VALUE"""),"Lotus")</f>
        <v>Lotus</v>
      </c>
      <c r="E252" s="189" t="str">
        <f>IFERROR(__xludf.DUMMYFUNCTION("""COMPUTED_VALUE"""),"Team Liquid Academy")</f>
        <v>Team Liquid Academy</v>
      </c>
      <c r="F252" s="189" t="str">
        <f>IFERROR(__xludf.DUMMYFUNCTION("""COMPUTED_VALUE"""),"děti ulice")</f>
        <v>děti ulice</v>
      </c>
      <c r="G252" s="189" t="str">
        <f>IFERROR(__xludf.DUMMYFUNCTION("""COMPUTED_VALUE"""),"Cypher,Omen,Neon,Fade,Iso")</f>
        <v>Cypher,Omen,Neon,Fade,Iso</v>
      </c>
      <c r="H252" s="189" t="str">
        <f>IFERROR(__xludf.DUMMYFUNCTION("""COMPUTED_VALUE"""),"Raze,Omen,Yoru,Fade,Vyse")</f>
        <v>Raze,Omen,Yoru,Fade,Vyse</v>
      </c>
      <c r="I252" s="189">
        <f>IFERROR(__xludf.DUMMYFUNCTION("""COMPUTED_VALUE"""),10.0)</f>
        <v>10</v>
      </c>
      <c r="J252" s="189">
        <f>IFERROR(__xludf.DUMMYFUNCTION("""COMPUTED_VALUE"""),13.0)</f>
        <v>13</v>
      </c>
      <c r="K252" s="189">
        <f>IFERROR(__xludf.DUMMYFUNCTION("""COMPUTED_VALUE"""),6.0)</f>
        <v>6</v>
      </c>
      <c r="L252" s="189">
        <f>IFERROR(__xludf.DUMMYFUNCTION("""COMPUTED_VALUE"""),6.0)</f>
        <v>6</v>
      </c>
      <c r="M252" s="189">
        <f>IFERROR(__xludf.DUMMYFUNCTION("""COMPUTED_VALUE"""),1.0)</f>
        <v>1</v>
      </c>
      <c r="N252" s="189">
        <f>IFERROR(__xludf.DUMMYFUNCTION("""COMPUTED_VALUE"""),1.0)</f>
        <v>1</v>
      </c>
      <c r="O252" s="189">
        <f>IFERROR(__xludf.DUMMYFUNCTION("""COMPUTED_VALUE"""),4.0)</f>
        <v>4</v>
      </c>
      <c r="P252" s="189">
        <f>IFERROR(__xludf.DUMMYFUNCTION("""COMPUTED_VALUE"""),7.0)</f>
        <v>7</v>
      </c>
      <c r="Q252" s="189">
        <f>IFERROR(__xludf.DUMMYFUNCTION("""COMPUTED_VALUE"""),6.0)</f>
        <v>6</v>
      </c>
      <c r="R252" s="189">
        <f>IFERROR(__xludf.DUMMYFUNCTION("""COMPUTED_VALUE"""),6.0)</f>
        <v>6</v>
      </c>
      <c r="S252" s="189">
        <f>IFERROR(__xludf.DUMMYFUNCTION("""COMPUTED_VALUE"""),0.0)</f>
        <v>0</v>
      </c>
      <c r="T252" s="189">
        <f>IFERROR(__xludf.DUMMYFUNCTION("""COMPUTED_VALUE"""),0.0)</f>
        <v>0</v>
      </c>
      <c r="U252" s="189">
        <f>IFERROR(__xludf.DUMMYFUNCTION("""COMPUTED_VALUE"""),6.0)</f>
        <v>6</v>
      </c>
      <c r="V252" s="189">
        <f>IFERROR(__xludf.DUMMYFUNCTION("""COMPUTED_VALUE"""),6.0)</f>
        <v>6</v>
      </c>
      <c r="W252" s="189">
        <f>IFERROR(__xludf.DUMMYFUNCTION("""COMPUTED_VALUE"""),7.0)</f>
        <v>7</v>
      </c>
      <c r="X252" s="189">
        <f>IFERROR(__xludf.DUMMYFUNCTION("""COMPUTED_VALUE"""),4.0)</f>
        <v>4</v>
      </c>
      <c r="Y252" s="189" t="str">
        <f>IFERROR(__xludf.DUMMYFUNCTION("""COMPUTED_VALUE"""),"2025-08-16T00:00:00.000Z")</f>
        <v>2025-08-16T00:00:00.000Z</v>
      </c>
      <c r="Z252" s="189" t="str">
        <f>IFERROR(__xludf.DUMMYFUNCTION("""COMPUTED_VALUE"""),"Team Liquid Academy_Lotus")</f>
        <v>Team Liquid Academy_Lotus</v>
      </c>
    </row>
    <row r="253">
      <c r="A253" s="189">
        <f>IFERROR(__xludf.DUMMYFUNCTION("""COMPUTED_VALUE"""),212721.0)</f>
        <v>212721</v>
      </c>
      <c r="B253" s="189">
        <f>IFERROR(__xludf.DUMMYFUNCTION("""COMPUTED_VALUE"""),93686.0)</f>
        <v>93686</v>
      </c>
      <c r="C253" s="189" t="str">
        <f>IFERROR(__xludf.DUMMYFUNCTION("""COMPUTED_VALUE"""),"Challengers 2025: France Revolution Split 3 - Playoffs")</f>
        <v>Challengers 2025: France Revolution Split 3 - Playoffs</v>
      </c>
      <c r="D253" s="189" t="str">
        <f>IFERROR(__xludf.DUMMYFUNCTION("""COMPUTED_VALUE"""),"Ascent")</f>
        <v>Ascent</v>
      </c>
      <c r="E253" s="189" t="str">
        <f>IFERROR(__xludf.DUMMYFUNCTION("""COMPUTED_VALUE"""),"Mandatory")</f>
        <v>Mandatory</v>
      </c>
      <c r="F253" s="189" t="str">
        <f>IFERROR(__xludf.DUMMYFUNCTION("""COMPUTED_VALUE"""),"Joblife")</f>
        <v>Joblife</v>
      </c>
      <c r="G253" s="189" t="str">
        <f>IFERROR(__xludf.DUMMYFUNCTION("""COMPUTED_VALUE"""),"Sova,Viper,Omen,Yoru,Deadlock")</f>
        <v>Sova,Viper,Omen,Yoru,Deadlock</v>
      </c>
      <c r="H253" s="189" t="str">
        <f>IFERROR(__xludf.DUMMYFUNCTION("""COMPUTED_VALUE"""),"Cypher,Sova,Omen,Yoru,Chamber")</f>
        <v>Cypher,Sova,Omen,Yoru,Chamber</v>
      </c>
      <c r="I253" s="189">
        <f>IFERROR(__xludf.DUMMYFUNCTION("""COMPUTED_VALUE"""),7.0)</f>
        <v>7</v>
      </c>
      <c r="J253" s="189">
        <f>IFERROR(__xludf.DUMMYFUNCTION("""COMPUTED_VALUE"""),13.0)</f>
        <v>13</v>
      </c>
      <c r="K253" s="189">
        <f>IFERROR(__xludf.DUMMYFUNCTION("""COMPUTED_VALUE"""),5.0)</f>
        <v>5</v>
      </c>
      <c r="L253" s="189">
        <f>IFERROR(__xludf.DUMMYFUNCTION("""COMPUTED_VALUE"""),7.0)</f>
        <v>7</v>
      </c>
      <c r="M253" s="189">
        <f>IFERROR(__xludf.DUMMYFUNCTION("""COMPUTED_VALUE"""),1.0)</f>
        <v>1</v>
      </c>
      <c r="N253" s="189">
        <f>IFERROR(__xludf.DUMMYFUNCTION("""COMPUTED_VALUE"""),1.0)</f>
        <v>1</v>
      </c>
      <c r="O253" s="189">
        <f>IFERROR(__xludf.DUMMYFUNCTION("""COMPUTED_VALUE"""),5.0)</f>
        <v>5</v>
      </c>
      <c r="P253" s="189">
        <f>IFERROR(__xludf.DUMMYFUNCTION("""COMPUTED_VALUE"""),7.0)</f>
        <v>7</v>
      </c>
      <c r="Q253" s="189">
        <f>IFERROR(__xludf.DUMMYFUNCTION("""COMPUTED_VALUE"""),2.0)</f>
        <v>2</v>
      </c>
      <c r="R253" s="189">
        <f>IFERROR(__xludf.DUMMYFUNCTION("""COMPUTED_VALUE"""),6.0)</f>
        <v>6</v>
      </c>
      <c r="S253" s="189">
        <f>IFERROR(__xludf.DUMMYFUNCTION("""COMPUTED_VALUE"""),0.0)</f>
        <v>0</v>
      </c>
      <c r="T253" s="189">
        <f>IFERROR(__xludf.DUMMYFUNCTION("""COMPUTED_VALUE"""),0.0)</f>
        <v>0</v>
      </c>
      <c r="U253" s="189">
        <f>IFERROR(__xludf.DUMMYFUNCTION("""COMPUTED_VALUE"""),6.0)</f>
        <v>6</v>
      </c>
      <c r="V253" s="189">
        <f>IFERROR(__xludf.DUMMYFUNCTION("""COMPUTED_VALUE"""),2.0)</f>
        <v>2</v>
      </c>
      <c r="W253" s="189">
        <f>IFERROR(__xludf.DUMMYFUNCTION("""COMPUTED_VALUE"""),7.0)</f>
        <v>7</v>
      </c>
      <c r="X253" s="189">
        <f>IFERROR(__xludf.DUMMYFUNCTION("""COMPUTED_VALUE"""),5.0)</f>
        <v>5</v>
      </c>
      <c r="Y253" s="189" t="str">
        <f>IFERROR(__xludf.DUMMYFUNCTION("""COMPUTED_VALUE"""),"2025-08-16T00:00:00.000Z")</f>
        <v>2025-08-16T00:00:00.000Z</v>
      </c>
      <c r="Z253" s="189" t="str">
        <f>IFERROR(__xludf.DUMMYFUNCTION("""COMPUTED_VALUE"""),"Mandatory_Ascent")</f>
        <v>Mandatory_Ascent</v>
      </c>
    </row>
    <row r="254">
      <c r="A254" s="189">
        <f>IFERROR(__xludf.DUMMYFUNCTION("""COMPUTED_VALUE"""),213390.0)</f>
        <v>213390</v>
      </c>
      <c r="B254" s="189">
        <f>IFERROR(__xludf.DUMMYFUNCTION("""COMPUTED_VALUE"""),93910.0)</f>
        <v>93910</v>
      </c>
      <c r="C254" s="189" t="str">
        <f>IFERROR(__xludf.DUMMYFUNCTION("""COMPUTED_VALUE"""),"Challengers League 2025 DACH: Evolution Stage 3 - Playoffs")</f>
        <v>Challengers League 2025 DACH: Evolution Stage 3 - Playoffs</v>
      </c>
      <c r="D254" s="189" t="str">
        <f>IFERROR(__xludf.DUMMYFUNCTION("""COMPUTED_VALUE"""),"Corrode")</f>
        <v>Corrode</v>
      </c>
      <c r="E254" s="189" t="str">
        <f>IFERROR(__xludf.DUMMYFUNCTION("""COMPUTED_VALUE"""),"MOUZ")</f>
        <v>MOUZ</v>
      </c>
      <c r="F254" s="189" t="str">
        <f>IFERROR(__xludf.DUMMYFUNCTION("""COMPUTED_VALUE"""),"Eintracht Frankfurt")</f>
        <v>Eintracht Frankfurt</v>
      </c>
      <c r="G254" s="189" t="str">
        <f>IFERROR(__xludf.DUMMYFUNCTION("""COMPUTED_VALUE"""),"Omen,Yoru,Chamber,Neon,Fade")</f>
        <v>Omen,Yoru,Chamber,Neon,Fade</v>
      </c>
      <c r="H254" s="189" t="str">
        <f>IFERROR(__xludf.DUMMYFUNCTION("""COMPUTED_VALUE"""),"Viper,Phoenix,Omen,Fade,Waylay")</f>
        <v>Viper,Phoenix,Omen,Fade,Waylay</v>
      </c>
      <c r="I254" s="189">
        <f>IFERROR(__xludf.DUMMYFUNCTION("""COMPUTED_VALUE"""),13.0)</f>
        <v>13</v>
      </c>
      <c r="J254" s="189">
        <f>IFERROR(__xludf.DUMMYFUNCTION("""COMPUTED_VALUE"""),6.0)</f>
        <v>6</v>
      </c>
      <c r="K254" s="189">
        <f>IFERROR(__xludf.DUMMYFUNCTION("""COMPUTED_VALUE"""),9.0)</f>
        <v>9</v>
      </c>
      <c r="L254" s="189">
        <f>IFERROR(__xludf.DUMMYFUNCTION("""COMPUTED_VALUE"""),3.0)</f>
        <v>3</v>
      </c>
      <c r="M254" s="189">
        <f>IFERROR(__xludf.DUMMYFUNCTION("""COMPUTED_VALUE"""),0.0)</f>
        <v>0</v>
      </c>
      <c r="N254" s="189">
        <f>IFERROR(__xludf.DUMMYFUNCTION("""COMPUTED_VALUE"""),0.0)</f>
        <v>0</v>
      </c>
      <c r="O254" s="189">
        <f>IFERROR(__xludf.DUMMYFUNCTION("""COMPUTED_VALUE"""),4.0)</f>
        <v>4</v>
      </c>
      <c r="P254" s="189">
        <f>IFERROR(__xludf.DUMMYFUNCTION("""COMPUTED_VALUE"""),3.0)</f>
        <v>3</v>
      </c>
      <c r="Q254" s="189">
        <f>IFERROR(__xludf.DUMMYFUNCTION("""COMPUTED_VALUE"""),9.0)</f>
        <v>9</v>
      </c>
      <c r="R254" s="189">
        <f>IFERROR(__xludf.DUMMYFUNCTION("""COMPUTED_VALUE"""),3.0)</f>
        <v>3</v>
      </c>
      <c r="S254" s="189">
        <f>IFERROR(__xludf.DUMMYFUNCTION("""COMPUTED_VALUE"""),1.0)</f>
        <v>1</v>
      </c>
      <c r="T254" s="189">
        <f>IFERROR(__xludf.DUMMYFUNCTION("""COMPUTED_VALUE"""),1.0)</f>
        <v>1</v>
      </c>
      <c r="U254" s="189">
        <f>IFERROR(__xludf.DUMMYFUNCTION("""COMPUTED_VALUE"""),3.0)</f>
        <v>3</v>
      </c>
      <c r="V254" s="189">
        <f>IFERROR(__xludf.DUMMYFUNCTION("""COMPUTED_VALUE"""),9.0)</f>
        <v>9</v>
      </c>
      <c r="W254" s="189">
        <f>IFERROR(__xludf.DUMMYFUNCTION("""COMPUTED_VALUE"""),3.0)</f>
        <v>3</v>
      </c>
      <c r="X254" s="189">
        <f>IFERROR(__xludf.DUMMYFUNCTION("""COMPUTED_VALUE"""),4.0)</f>
        <v>4</v>
      </c>
      <c r="Y254" s="189" t="str">
        <f>IFERROR(__xludf.DUMMYFUNCTION("""COMPUTED_VALUE"""),"2025-08-16T00:00:00.000Z")</f>
        <v>2025-08-16T00:00:00.000Z</v>
      </c>
      <c r="Z254" s="189" t="str">
        <f>IFERROR(__xludf.DUMMYFUNCTION("""COMPUTED_VALUE"""),"MOUZ_Corrode")</f>
        <v>MOUZ_Corrode</v>
      </c>
    </row>
    <row r="255">
      <c r="A255" s="189">
        <f>IFERROR(__xludf.DUMMYFUNCTION("""COMPUTED_VALUE"""),212720.0)</f>
        <v>212720</v>
      </c>
      <c r="B255" s="189">
        <f>IFERROR(__xludf.DUMMYFUNCTION("""COMPUTED_VALUE"""),93686.0)</f>
        <v>93686</v>
      </c>
      <c r="C255" s="189" t="str">
        <f>IFERROR(__xludf.DUMMYFUNCTION("""COMPUTED_VALUE"""),"Challengers 2025: France Revolution Split 3 - Playoffs")</f>
        <v>Challengers 2025: France Revolution Split 3 - Playoffs</v>
      </c>
      <c r="D255" s="189" t="str">
        <f>IFERROR(__xludf.DUMMYFUNCTION("""COMPUTED_VALUE"""),"Icebox")</f>
        <v>Icebox</v>
      </c>
      <c r="E255" s="189" t="str">
        <f>IFERROR(__xludf.DUMMYFUNCTION("""COMPUTED_VALUE"""),"Mandatory")</f>
        <v>Mandatory</v>
      </c>
      <c r="F255" s="189" t="str">
        <f>IFERROR(__xludf.DUMMYFUNCTION("""COMPUTED_VALUE"""),"Joblife")</f>
        <v>Joblife</v>
      </c>
      <c r="G255" s="189" t="str">
        <f>IFERROR(__xludf.DUMMYFUNCTION("""COMPUTED_VALUE"""),"Sova,Killjoy,Viper,Omen,Gekko")</f>
        <v>Sova,Killjoy,Viper,Omen,Gekko</v>
      </c>
      <c r="H255" s="189" t="str">
        <f>IFERROR(__xludf.DUMMYFUNCTION("""COMPUTED_VALUE"""),"Sova,Killjoy,Viper,Sage,Jett")</f>
        <v>Sova,Killjoy,Viper,Sage,Jett</v>
      </c>
      <c r="I255" s="189">
        <f>IFERROR(__xludf.DUMMYFUNCTION("""COMPUTED_VALUE"""),4.0)</f>
        <v>4</v>
      </c>
      <c r="J255" s="189">
        <f>IFERROR(__xludf.DUMMYFUNCTION("""COMPUTED_VALUE"""),13.0)</f>
        <v>13</v>
      </c>
      <c r="K255" s="189">
        <f>IFERROR(__xludf.DUMMYFUNCTION("""COMPUTED_VALUE"""),2.0)</f>
        <v>2</v>
      </c>
      <c r="L255" s="189">
        <f>IFERROR(__xludf.DUMMYFUNCTION("""COMPUTED_VALUE"""),10.0)</f>
        <v>10</v>
      </c>
      <c r="M255" s="189">
        <f>IFERROR(__xludf.DUMMYFUNCTION("""COMPUTED_VALUE"""),0.0)</f>
        <v>0</v>
      </c>
      <c r="N255" s="189">
        <f>IFERROR(__xludf.DUMMYFUNCTION("""COMPUTED_VALUE"""),0.0)</f>
        <v>0</v>
      </c>
      <c r="O255" s="189">
        <f>IFERROR(__xludf.DUMMYFUNCTION("""COMPUTED_VALUE"""),2.0)</f>
        <v>2</v>
      </c>
      <c r="P255" s="189">
        <f>IFERROR(__xludf.DUMMYFUNCTION("""COMPUTED_VALUE"""),3.0)</f>
        <v>3</v>
      </c>
      <c r="Q255" s="189">
        <f>IFERROR(__xludf.DUMMYFUNCTION("""COMPUTED_VALUE"""),2.0)</f>
        <v>2</v>
      </c>
      <c r="R255" s="189">
        <f>IFERROR(__xludf.DUMMYFUNCTION("""COMPUTED_VALUE"""),10.0)</f>
        <v>10</v>
      </c>
      <c r="S255" s="189">
        <f>IFERROR(__xludf.DUMMYFUNCTION("""COMPUTED_VALUE"""),1.0)</f>
        <v>1</v>
      </c>
      <c r="T255" s="189">
        <f>IFERROR(__xludf.DUMMYFUNCTION("""COMPUTED_VALUE"""),1.0)</f>
        <v>1</v>
      </c>
      <c r="U255" s="189">
        <f>IFERROR(__xludf.DUMMYFUNCTION("""COMPUTED_VALUE"""),10.0)</f>
        <v>10</v>
      </c>
      <c r="V255" s="189">
        <f>IFERROR(__xludf.DUMMYFUNCTION("""COMPUTED_VALUE"""),2.0)</f>
        <v>2</v>
      </c>
      <c r="W255" s="189">
        <f>IFERROR(__xludf.DUMMYFUNCTION("""COMPUTED_VALUE"""),3.0)</f>
        <v>3</v>
      </c>
      <c r="X255" s="189">
        <f>IFERROR(__xludf.DUMMYFUNCTION("""COMPUTED_VALUE"""),2.0)</f>
        <v>2</v>
      </c>
      <c r="Y255" s="189" t="str">
        <f>IFERROR(__xludf.DUMMYFUNCTION("""COMPUTED_VALUE"""),"2025-08-16T00:00:00.000Z")</f>
        <v>2025-08-16T00:00:00.000Z</v>
      </c>
      <c r="Z255" s="189" t="str">
        <f>IFERROR(__xludf.DUMMYFUNCTION("""COMPUTED_VALUE"""),"Mandatory_Icebox")</f>
        <v>Mandatory_Icebox</v>
      </c>
    </row>
    <row r="256">
      <c r="A256" s="189">
        <f>IFERROR(__xludf.DUMMYFUNCTION("""COMPUTED_VALUE"""),212067.0)</f>
        <v>212067</v>
      </c>
      <c r="B256" s="189">
        <f>IFERROR(__xludf.DUMMYFUNCTION("""COMPUTED_VALUE"""),93452.0)</f>
        <v>93452</v>
      </c>
      <c r="C256" s="189" t="str">
        <f>IFERROR(__xludf.DUMMYFUNCTION("""COMPUTED_VALUE"""),"Challengers League 2025 NORTH EAST: Split 3 - Playoffs")</f>
        <v>Challengers League 2025 NORTH EAST: Split 3 - Playoffs</v>
      </c>
      <c r="D256" s="189" t="str">
        <f>IFERROR(__xludf.DUMMYFUNCTION("""COMPUTED_VALUE"""),"Corrode")</f>
        <v>Corrode</v>
      </c>
      <c r="E256" s="189" t="str">
        <f>IFERROR(__xludf.DUMMYFUNCTION("""COMPUTED_VALUE"""),"Team Liquid Academy")</f>
        <v>Team Liquid Academy</v>
      </c>
      <c r="F256" s="189" t="str">
        <f>IFERROR(__xludf.DUMMYFUNCTION("""COMPUTED_VALUE"""),"děti ulice")</f>
        <v>děti ulice</v>
      </c>
      <c r="G256" s="189" t="str">
        <f>IFERROR(__xludf.DUMMYFUNCTION("""COMPUTED_VALUE"""),"Cypher,Phoenix,Omen,Yoru,Fade")</f>
        <v>Cypher,Phoenix,Omen,Yoru,Fade</v>
      </c>
      <c r="H256" s="189" t="str">
        <f>IFERROR(__xludf.DUMMYFUNCTION("""COMPUTED_VALUE"""),"Viper,Omen,Chamber,Neon,Fade")</f>
        <v>Viper,Omen,Chamber,Neon,Fade</v>
      </c>
      <c r="I256" s="189">
        <f>IFERROR(__xludf.DUMMYFUNCTION("""COMPUTED_VALUE"""),15.0)</f>
        <v>15</v>
      </c>
      <c r="J256" s="189">
        <f>IFERROR(__xludf.DUMMYFUNCTION("""COMPUTED_VALUE"""),13.0)</f>
        <v>13</v>
      </c>
      <c r="K256" s="189">
        <f>IFERROR(__xludf.DUMMYFUNCTION("""COMPUTED_VALUE"""),5.0)</f>
        <v>5</v>
      </c>
      <c r="L256" s="189">
        <f>IFERROR(__xludf.DUMMYFUNCTION("""COMPUTED_VALUE"""),7.0)</f>
        <v>7</v>
      </c>
      <c r="M256" s="189">
        <f>IFERROR(__xludf.DUMMYFUNCTION("""COMPUTED_VALUE"""),0.0)</f>
        <v>0</v>
      </c>
      <c r="N256" s="189">
        <f>IFERROR(__xludf.DUMMYFUNCTION("""COMPUTED_VALUE"""),1.0)</f>
        <v>1</v>
      </c>
      <c r="O256" s="189">
        <f>IFERROR(__xludf.DUMMYFUNCTION("""COMPUTED_VALUE"""),6.0)</f>
        <v>6</v>
      </c>
      <c r="P256" s="189">
        <f>IFERROR(__xludf.DUMMYFUNCTION("""COMPUTED_VALUE"""),8.0)</f>
        <v>8</v>
      </c>
      <c r="Q256" s="189">
        <f>IFERROR(__xludf.DUMMYFUNCTION("""COMPUTED_VALUE"""),9.0)</f>
        <v>9</v>
      </c>
      <c r="R256" s="189">
        <f>IFERROR(__xludf.DUMMYFUNCTION("""COMPUTED_VALUE"""),5.0)</f>
        <v>5</v>
      </c>
      <c r="S256" s="189">
        <f>IFERROR(__xludf.DUMMYFUNCTION("""COMPUTED_VALUE"""),0.0)</f>
        <v>0</v>
      </c>
      <c r="T256" s="189">
        <f>IFERROR(__xludf.DUMMYFUNCTION("""COMPUTED_VALUE"""),1.0)</f>
        <v>1</v>
      </c>
      <c r="U256" s="189">
        <f>IFERROR(__xludf.DUMMYFUNCTION("""COMPUTED_VALUE"""),5.0)</f>
        <v>5</v>
      </c>
      <c r="V256" s="189">
        <f>IFERROR(__xludf.DUMMYFUNCTION("""COMPUTED_VALUE"""),9.0)</f>
        <v>9</v>
      </c>
      <c r="W256" s="189">
        <f>IFERROR(__xludf.DUMMYFUNCTION("""COMPUTED_VALUE"""),8.0)</f>
        <v>8</v>
      </c>
      <c r="X256" s="189">
        <f>IFERROR(__xludf.DUMMYFUNCTION("""COMPUTED_VALUE"""),6.0)</f>
        <v>6</v>
      </c>
      <c r="Y256" s="189" t="str">
        <f>IFERROR(__xludf.DUMMYFUNCTION("""COMPUTED_VALUE"""),"2025-08-16T00:00:00.000Z")</f>
        <v>2025-08-16T00:00:00.000Z</v>
      </c>
      <c r="Z256" s="189" t="str">
        <f>IFERROR(__xludf.DUMMYFUNCTION("""COMPUTED_VALUE"""),"Team Liquid Academy_Corrode")</f>
        <v>Team Liquid Academy_Corrode</v>
      </c>
    </row>
    <row r="257">
      <c r="A257" s="189">
        <f>IFERROR(__xludf.DUMMYFUNCTION("""COMPUTED_VALUE"""),213389.0)</f>
        <v>213389</v>
      </c>
      <c r="B257" s="189">
        <f>IFERROR(__xludf.DUMMYFUNCTION("""COMPUTED_VALUE"""),93910.0)</f>
        <v>93910</v>
      </c>
      <c r="C257" s="189" t="str">
        <f>IFERROR(__xludf.DUMMYFUNCTION("""COMPUTED_VALUE"""),"Challengers League 2025 DACH: Evolution Stage 3 - Playoffs")</f>
        <v>Challengers League 2025 DACH: Evolution Stage 3 - Playoffs</v>
      </c>
      <c r="D257" s="189" t="str">
        <f>IFERROR(__xludf.DUMMYFUNCTION("""COMPUTED_VALUE"""),"Icebox")</f>
        <v>Icebox</v>
      </c>
      <c r="E257" s="189" t="str">
        <f>IFERROR(__xludf.DUMMYFUNCTION("""COMPUTED_VALUE"""),"MOUZ")</f>
        <v>MOUZ</v>
      </c>
      <c r="F257" s="189" t="str">
        <f>IFERROR(__xludf.DUMMYFUNCTION("""COMPUTED_VALUE"""),"Eintracht Frankfurt")</f>
        <v>Eintracht Frankfurt</v>
      </c>
      <c r="G257" s="189" t="str">
        <f>IFERROR(__xludf.DUMMYFUNCTION("""COMPUTED_VALUE"""),"Sova,Killjoy,Viper,Jett,KAY/O")</f>
        <v>Sova,Killjoy,Viper,Jett,KAY/O</v>
      </c>
      <c r="H257" s="189" t="str">
        <f>IFERROR(__xludf.DUMMYFUNCTION("""COMPUTED_VALUE"""),"Sova,Killjoy,Viper,Sage,Jett")</f>
        <v>Sova,Killjoy,Viper,Sage,Jett</v>
      </c>
      <c r="I257" s="189">
        <f>IFERROR(__xludf.DUMMYFUNCTION("""COMPUTED_VALUE"""),13.0)</f>
        <v>13</v>
      </c>
      <c r="J257" s="189">
        <f>IFERROR(__xludf.DUMMYFUNCTION("""COMPUTED_VALUE"""),8.0)</f>
        <v>8</v>
      </c>
      <c r="K257" s="189">
        <f>IFERROR(__xludf.DUMMYFUNCTION("""COMPUTED_VALUE"""),8.0)</f>
        <v>8</v>
      </c>
      <c r="L257" s="189">
        <f>IFERROR(__xludf.DUMMYFUNCTION("""COMPUTED_VALUE"""),4.0)</f>
        <v>4</v>
      </c>
      <c r="M257" s="189">
        <f>IFERROR(__xludf.DUMMYFUNCTION("""COMPUTED_VALUE"""),1.0)</f>
        <v>1</v>
      </c>
      <c r="N257" s="189">
        <f>IFERROR(__xludf.DUMMYFUNCTION("""COMPUTED_VALUE"""),1.0)</f>
        <v>1</v>
      </c>
      <c r="O257" s="189">
        <f>IFERROR(__xludf.DUMMYFUNCTION("""COMPUTED_VALUE"""),5.0)</f>
        <v>5</v>
      </c>
      <c r="P257" s="189">
        <f>IFERROR(__xludf.DUMMYFUNCTION("""COMPUTED_VALUE"""),4.0)</f>
        <v>4</v>
      </c>
      <c r="Q257" s="189">
        <f>IFERROR(__xludf.DUMMYFUNCTION("""COMPUTED_VALUE"""),8.0)</f>
        <v>8</v>
      </c>
      <c r="R257" s="189">
        <f>IFERROR(__xludf.DUMMYFUNCTION("""COMPUTED_VALUE"""),4.0)</f>
        <v>4</v>
      </c>
      <c r="S257" s="189">
        <f>IFERROR(__xludf.DUMMYFUNCTION("""COMPUTED_VALUE"""),0.0)</f>
        <v>0</v>
      </c>
      <c r="T257" s="189">
        <f>IFERROR(__xludf.DUMMYFUNCTION("""COMPUTED_VALUE"""),0.0)</f>
        <v>0</v>
      </c>
      <c r="U257" s="189">
        <f>IFERROR(__xludf.DUMMYFUNCTION("""COMPUTED_VALUE"""),4.0)</f>
        <v>4</v>
      </c>
      <c r="V257" s="189">
        <f>IFERROR(__xludf.DUMMYFUNCTION("""COMPUTED_VALUE"""),8.0)</f>
        <v>8</v>
      </c>
      <c r="W257" s="189">
        <f>IFERROR(__xludf.DUMMYFUNCTION("""COMPUTED_VALUE"""),4.0)</f>
        <v>4</v>
      </c>
      <c r="X257" s="189">
        <f>IFERROR(__xludf.DUMMYFUNCTION("""COMPUTED_VALUE"""),5.0)</f>
        <v>5</v>
      </c>
      <c r="Y257" s="189" t="str">
        <f>IFERROR(__xludf.DUMMYFUNCTION("""COMPUTED_VALUE"""),"2025-08-16T00:00:00.000Z")</f>
        <v>2025-08-16T00:00:00.000Z</v>
      </c>
      <c r="Z257" s="189" t="str">
        <f>IFERROR(__xludf.DUMMYFUNCTION("""COMPUTED_VALUE"""),"MOUZ_Icebox")</f>
        <v>MOUZ_Icebox</v>
      </c>
    </row>
    <row r="258">
      <c r="A258" s="189">
        <f>IFERROR(__xludf.DUMMYFUNCTION("""COMPUTED_VALUE"""),212066.0)</f>
        <v>212066</v>
      </c>
      <c r="B258" s="189">
        <f>IFERROR(__xludf.DUMMYFUNCTION("""COMPUTED_VALUE"""),93452.0)</f>
        <v>93452</v>
      </c>
      <c r="C258" s="189" t="str">
        <f>IFERROR(__xludf.DUMMYFUNCTION("""COMPUTED_VALUE"""),"Challengers League 2025 NORTH EAST: Split 3 - Playoffs")</f>
        <v>Challengers League 2025 NORTH EAST: Split 3 - Playoffs</v>
      </c>
      <c r="D258" s="189" t="str">
        <f>IFERROR(__xludf.DUMMYFUNCTION("""COMPUTED_VALUE"""),"Haven")</f>
        <v>Haven</v>
      </c>
      <c r="E258" s="189" t="str">
        <f>IFERROR(__xludf.DUMMYFUNCTION("""COMPUTED_VALUE"""),"Team Liquid Academy")</f>
        <v>Team Liquid Academy</v>
      </c>
      <c r="F258" s="189" t="str">
        <f>IFERROR(__xludf.DUMMYFUNCTION("""COMPUTED_VALUE"""),"děti ulice")</f>
        <v>děti ulice</v>
      </c>
      <c r="G258" s="189" t="str">
        <f>IFERROR(__xludf.DUMMYFUNCTION("""COMPUTED_VALUE"""),"Cypher,Sova,Omen,Yoru,Iso")</f>
        <v>Cypher,Sova,Omen,Yoru,Iso</v>
      </c>
      <c r="H258" s="189" t="str">
        <f>IFERROR(__xludf.DUMMYFUNCTION("""COMPUTED_VALUE"""),"Cypher,Sova,Omen,Yoru,Iso")</f>
        <v>Cypher,Sova,Omen,Yoru,Iso</v>
      </c>
      <c r="I258" s="189">
        <f>IFERROR(__xludf.DUMMYFUNCTION("""COMPUTED_VALUE"""),11.0)</f>
        <v>11</v>
      </c>
      <c r="J258" s="189">
        <f>IFERROR(__xludf.DUMMYFUNCTION("""COMPUTED_VALUE"""),13.0)</f>
        <v>13</v>
      </c>
      <c r="K258" s="189">
        <f>IFERROR(__xludf.DUMMYFUNCTION("""COMPUTED_VALUE"""),5.0)</f>
        <v>5</v>
      </c>
      <c r="L258" s="189">
        <f>IFERROR(__xludf.DUMMYFUNCTION("""COMPUTED_VALUE"""),7.0)</f>
        <v>7</v>
      </c>
      <c r="M258" s="189">
        <f>IFERROR(__xludf.DUMMYFUNCTION("""COMPUTED_VALUE"""),0.0)</f>
        <v>0</v>
      </c>
      <c r="N258" s="189">
        <f>IFERROR(__xludf.DUMMYFUNCTION("""COMPUTED_VALUE"""),0.0)</f>
        <v>0</v>
      </c>
      <c r="O258" s="189">
        <f>IFERROR(__xludf.DUMMYFUNCTION("""COMPUTED_VALUE"""),5.0)</f>
        <v>5</v>
      </c>
      <c r="P258" s="189">
        <f>IFERROR(__xludf.DUMMYFUNCTION("""COMPUTED_VALUE"""),7.0)</f>
        <v>7</v>
      </c>
      <c r="Q258" s="189">
        <f>IFERROR(__xludf.DUMMYFUNCTION("""COMPUTED_VALUE"""),6.0)</f>
        <v>6</v>
      </c>
      <c r="R258" s="189">
        <f>IFERROR(__xludf.DUMMYFUNCTION("""COMPUTED_VALUE"""),6.0)</f>
        <v>6</v>
      </c>
      <c r="S258" s="189">
        <f>IFERROR(__xludf.DUMMYFUNCTION("""COMPUTED_VALUE"""),1.0)</f>
        <v>1</v>
      </c>
      <c r="T258" s="189">
        <f>IFERROR(__xludf.DUMMYFUNCTION("""COMPUTED_VALUE"""),1.0)</f>
        <v>1</v>
      </c>
      <c r="U258" s="189">
        <f>IFERROR(__xludf.DUMMYFUNCTION("""COMPUTED_VALUE"""),6.0)</f>
        <v>6</v>
      </c>
      <c r="V258" s="189">
        <f>IFERROR(__xludf.DUMMYFUNCTION("""COMPUTED_VALUE"""),6.0)</f>
        <v>6</v>
      </c>
      <c r="W258" s="189">
        <f>IFERROR(__xludf.DUMMYFUNCTION("""COMPUTED_VALUE"""),7.0)</f>
        <v>7</v>
      </c>
      <c r="X258" s="189">
        <f>IFERROR(__xludf.DUMMYFUNCTION("""COMPUTED_VALUE"""),5.0)</f>
        <v>5</v>
      </c>
      <c r="Y258" s="189" t="str">
        <f>IFERROR(__xludf.DUMMYFUNCTION("""COMPUTED_VALUE"""),"2025-08-16T00:00:00.000Z")</f>
        <v>2025-08-16T00:00:00.000Z</v>
      </c>
      <c r="Z258" s="189" t="str">
        <f>IFERROR(__xludf.DUMMYFUNCTION("""COMPUTED_VALUE"""),"Team Liquid Academy_Haven")</f>
        <v>Team Liquid Academy_Haven</v>
      </c>
    </row>
    <row r="259">
      <c r="A259" s="189">
        <f>IFERROR(__xludf.DUMMYFUNCTION("""COMPUTED_VALUE"""),213388.0)</f>
        <v>213388</v>
      </c>
      <c r="B259" s="189">
        <f>IFERROR(__xludf.DUMMYFUNCTION("""COMPUTED_VALUE"""),93910.0)</f>
        <v>93910</v>
      </c>
      <c r="C259" s="189" t="str">
        <f>IFERROR(__xludf.DUMMYFUNCTION("""COMPUTED_VALUE"""),"Challengers League 2025 DACH: Evolution Stage 3 - Playoffs")</f>
        <v>Challengers League 2025 DACH: Evolution Stage 3 - Playoffs</v>
      </c>
      <c r="D259" s="189" t="str">
        <f>IFERROR(__xludf.DUMMYFUNCTION("""COMPUTED_VALUE"""),"Bind")</f>
        <v>Bind</v>
      </c>
      <c r="E259" s="189" t="str">
        <f>IFERROR(__xludf.DUMMYFUNCTION("""COMPUTED_VALUE"""),"MOUZ")</f>
        <v>MOUZ</v>
      </c>
      <c r="F259" s="189" t="str">
        <f>IFERROR(__xludf.DUMMYFUNCTION("""COMPUTED_VALUE"""),"Eintracht Frankfurt")</f>
        <v>Eintracht Frankfurt</v>
      </c>
      <c r="G259" s="189" t="str">
        <f>IFERROR(__xludf.DUMMYFUNCTION("""COMPUTED_VALUE"""),"Raze,Viper,Brimstone,Yoru,Fade")</f>
        <v>Raze,Viper,Brimstone,Yoru,Fade</v>
      </c>
      <c r="H259" s="189" t="str">
        <f>IFERROR(__xludf.DUMMYFUNCTION("""COMPUTED_VALUE"""),"Raze,Viper,Brimstone,Fade,Gekko")</f>
        <v>Raze,Viper,Brimstone,Fade,Gekko</v>
      </c>
      <c r="I259" s="189">
        <f>IFERROR(__xludf.DUMMYFUNCTION("""COMPUTED_VALUE"""),14.0)</f>
        <v>14</v>
      </c>
      <c r="J259" s="189">
        <f>IFERROR(__xludf.DUMMYFUNCTION("""COMPUTED_VALUE"""),12.0)</f>
        <v>12</v>
      </c>
      <c r="K259" s="189">
        <f>IFERROR(__xludf.DUMMYFUNCTION("""COMPUTED_VALUE"""),5.0)</f>
        <v>5</v>
      </c>
      <c r="L259" s="189">
        <f>IFERROR(__xludf.DUMMYFUNCTION("""COMPUTED_VALUE"""),7.0)</f>
        <v>7</v>
      </c>
      <c r="M259" s="189">
        <f>IFERROR(__xludf.DUMMYFUNCTION("""COMPUTED_VALUE"""),0.0)</f>
        <v>0</v>
      </c>
      <c r="N259" s="189">
        <f>IFERROR(__xludf.DUMMYFUNCTION("""COMPUTED_VALUE"""),0.0)</f>
        <v>0</v>
      </c>
      <c r="O259" s="189">
        <f>IFERROR(__xludf.DUMMYFUNCTION("""COMPUTED_VALUE"""),8.0)</f>
        <v>8</v>
      </c>
      <c r="P259" s="189">
        <f>IFERROR(__xludf.DUMMYFUNCTION("""COMPUTED_VALUE"""),5.0)</f>
        <v>5</v>
      </c>
      <c r="Q259" s="189">
        <f>IFERROR(__xludf.DUMMYFUNCTION("""COMPUTED_VALUE"""),6.0)</f>
        <v>6</v>
      </c>
      <c r="R259" s="189">
        <f>IFERROR(__xludf.DUMMYFUNCTION("""COMPUTED_VALUE"""),7.0)</f>
        <v>7</v>
      </c>
      <c r="S259" s="189">
        <f>IFERROR(__xludf.DUMMYFUNCTION("""COMPUTED_VALUE"""),1.0)</f>
        <v>1</v>
      </c>
      <c r="T259" s="189">
        <f>IFERROR(__xludf.DUMMYFUNCTION("""COMPUTED_VALUE"""),1.0)</f>
        <v>1</v>
      </c>
      <c r="U259" s="189">
        <f>IFERROR(__xludf.DUMMYFUNCTION("""COMPUTED_VALUE"""),7.0)</f>
        <v>7</v>
      </c>
      <c r="V259" s="189">
        <f>IFERROR(__xludf.DUMMYFUNCTION("""COMPUTED_VALUE"""),6.0)</f>
        <v>6</v>
      </c>
      <c r="W259" s="189">
        <f>IFERROR(__xludf.DUMMYFUNCTION("""COMPUTED_VALUE"""),5.0)</f>
        <v>5</v>
      </c>
      <c r="X259" s="189">
        <f>IFERROR(__xludf.DUMMYFUNCTION("""COMPUTED_VALUE"""),8.0)</f>
        <v>8</v>
      </c>
      <c r="Y259" s="189" t="str">
        <f>IFERROR(__xludf.DUMMYFUNCTION("""COMPUTED_VALUE"""),"2025-08-16T00:00:00.000Z")</f>
        <v>2025-08-16T00:00:00.000Z</v>
      </c>
      <c r="Z259" s="189" t="str">
        <f>IFERROR(__xludf.DUMMYFUNCTION("""COMPUTED_VALUE"""),"MOUZ_Bind")</f>
        <v>MOUZ_Bind</v>
      </c>
    </row>
    <row r="260">
      <c r="A260" s="189">
        <f>IFERROR(__xludf.DUMMYFUNCTION("""COMPUTED_VALUE"""),212729.0)</f>
        <v>212729</v>
      </c>
      <c r="B260" s="189">
        <f>IFERROR(__xludf.DUMMYFUNCTION("""COMPUTED_VALUE"""),93687.0)</f>
        <v>93687</v>
      </c>
      <c r="C260" s="189" t="str">
        <f>IFERROR(__xludf.DUMMYFUNCTION("""COMPUTED_VALUE"""),"Challengers 2025: France Revolution Split 3 - Playoffs")</f>
        <v>Challengers 2025: France Revolution Split 3 - Playoffs</v>
      </c>
      <c r="D260" s="189" t="str">
        <f>IFERROR(__xludf.DUMMYFUNCTION("""COMPUTED_VALUE"""),"Ascent")</f>
        <v>Ascent</v>
      </c>
      <c r="E260" s="189" t="str">
        <f>IFERROR(__xludf.DUMMYFUNCTION("""COMPUTED_VALUE"""),"Mandatory")</f>
        <v>Mandatory</v>
      </c>
      <c r="F260" s="189" t="str">
        <f>IFERROR(__xludf.DUMMYFUNCTION("""COMPUTED_VALUE"""),"Team Valiant")</f>
        <v>Team Valiant</v>
      </c>
      <c r="G260" s="189" t="str">
        <f>IFERROR(__xludf.DUMMYFUNCTION("""COMPUTED_VALUE"""),"Sova,Viper,Omen,Yoru,Deadlock")</f>
        <v>Sova,Viper,Omen,Yoru,Deadlock</v>
      </c>
      <c r="H260" s="189" t="str">
        <f>IFERROR(__xludf.DUMMYFUNCTION("""COMPUTED_VALUE"""),"Cypher,Sova,Omen,Jett,KAY/O")</f>
        <v>Cypher,Sova,Omen,Jett,KAY/O</v>
      </c>
      <c r="I260" s="189">
        <f>IFERROR(__xludf.DUMMYFUNCTION("""COMPUTED_VALUE"""),13.0)</f>
        <v>13</v>
      </c>
      <c r="J260" s="189">
        <f>IFERROR(__xludf.DUMMYFUNCTION("""COMPUTED_VALUE"""),2.0)</f>
        <v>2</v>
      </c>
      <c r="K260" s="189">
        <f>IFERROR(__xludf.DUMMYFUNCTION("""COMPUTED_VALUE"""),10.0)</f>
        <v>10</v>
      </c>
      <c r="L260" s="189">
        <f>IFERROR(__xludf.DUMMYFUNCTION("""COMPUTED_VALUE"""),2.0)</f>
        <v>2</v>
      </c>
      <c r="M260" s="189">
        <f>IFERROR(__xludf.DUMMYFUNCTION("""COMPUTED_VALUE"""),1.0)</f>
        <v>1</v>
      </c>
      <c r="N260" s="189">
        <f>IFERROR(__xludf.DUMMYFUNCTION("""COMPUTED_VALUE"""),1.0)</f>
        <v>1</v>
      </c>
      <c r="O260" s="189">
        <f>IFERROR(__xludf.DUMMYFUNCTION("""COMPUTED_VALUE"""),10.0)</f>
        <v>10</v>
      </c>
      <c r="P260" s="189">
        <f>IFERROR(__xludf.DUMMYFUNCTION("""COMPUTED_VALUE"""),2.0)</f>
        <v>2</v>
      </c>
      <c r="Q260" s="189">
        <f>IFERROR(__xludf.DUMMYFUNCTION("""COMPUTED_VALUE"""),3.0)</f>
        <v>3</v>
      </c>
      <c r="R260" s="189">
        <f>IFERROR(__xludf.DUMMYFUNCTION("""COMPUTED_VALUE"""),0.0)</f>
        <v>0</v>
      </c>
      <c r="S260" s="189">
        <f>IFERROR(__xludf.DUMMYFUNCTION("""COMPUTED_VALUE"""),0.0)</f>
        <v>0</v>
      </c>
      <c r="T260" s="189">
        <f>IFERROR(__xludf.DUMMYFUNCTION("""COMPUTED_VALUE"""),0.0)</f>
        <v>0</v>
      </c>
      <c r="U260" s="189">
        <f>IFERROR(__xludf.DUMMYFUNCTION("""COMPUTED_VALUE"""),0.0)</f>
        <v>0</v>
      </c>
      <c r="V260" s="189">
        <f>IFERROR(__xludf.DUMMYFUNCTION("""COMPUTED_VALUE"""),3.0)</f>
        <v>3</v>
      </c>
      <c r="W260" s="189">
        <f>IFERROR(__xludf.DUMMYFUNCTION("""COMPUTED_VALUE"""),2.0)</f>
        <v>2</v>
      </c>
      <c r="X260" s="189">
        <f>IFERROR(__xludf.DUMMYFUNCTION("""COMPUTED_VALUE"""),10.0)</f>
        <v>10</v>
      </c>
      <c r="Y260" s="189" t="str">
        <f>IFERROR(__xludf.DUMMYFUNCTION("""COMPUTED_VALUE"""),"2025-08-12T00:00:00.000Z")</f>
        <v>2025-08-12T00:00:00.000Z</v>
      </c>
      <c r="Z260" s="189" t="str">
        <f>IFERROR(__xludf.DUMMYFUNCTION("""COMPUTED_VALUE"""),"Mandatory_Ascent")</f>
        <v>Mandatory_Ascent</v>
      </c>
    </row>
    <row r="261">
      <c r="A261" s="189">
        <f>IFERROR(__xludf.DUMMYFUNCTION("""COMPUTED_VALUE"""),212728.0)</f>
        <v>212728</v>
      </c>
      <c r="B261" s="189">
        <f>IFERROR(__xludf.DUMMYFUNCTION("""COMPUTED_VALUE"""),93687.0)</f>
        <v>93687</v>
      </c>
      <c r="C261" s="189" t="str">
        <f>IFERROR(__xludf.DUMMYFUNCTION("""COMPUTED_VALUE"""),"Challengers 2025: France Revolution Split 3 - Playoffs")</f>
        <v>Challengers 2025: France Revolution Split 3 - Playoffs</v>
      </c>
      <c r="D261" s="189" t="str">
        <f>IFERROR(__xludf.DUMMYFUNCTION("""COMPUTED_VALUE"""),"Haven")</f>
        <v>Haven</v>
      </c>
      <c r="E261" s="189" t="str">
        <f>IFERROR(__xludf.DUMMYFUNCTION("""COMPUTED_VALUE"""),"Mandatory")</f>
        <v>Mandatory</v>
      </c>
      <c r="F261" s="189" t="str">
        <f>IFERROR(__xludf.DUMMYFUNCTION("""COMPUTED_VALUE"""),"Team Valiant")</f>
        <v>Team Valiant</v>
      </c>
      <c r="G261" s="189" t="str">
        <f>IFERROR(__xludf.DUMMYFUNCTION("""COMPUTED_VALUE"""),"Cypher,Sova,Omen,Yoru,Iso")</f>
        <v>Cypher,Sova,Omen,Yoru,Iso</v>
      </c>
      <c r="H261" s="189" t="str">
        <f>IFERROR(__xludf.DUMMYFUNCTION("""COMPUTED_VALUE"""),"Sova,Killjoy,Viper,Omen,Neon")</f>
        <v>Sova,Killjoy,Viper,Omen,Neon</v>
      </c>
      <c r="I261" s="189">
        <f>IFERROR(__xludf.DUMMYFUNCTION("""COMPUTED_VALUE"""),17.0)</f>
        <v>17</v>
      </c>
      <c r="J261" s="189">
        <f>IFERROR(__xludf.DUMMYFUNCTION("""COMPUTED_VALUE"""),15.0)</f>
        <v>15</v>
      </c>
      <c r="K261" s="189">
        <f>IFERROR(__xludf.DUMMYFUNCTION("""COMPUTED_VALUE"""),6.0)</f>
        <v>6</v>
      </c>
      <c r="L261" s="189">
        <f>IFERROR(__xludf.DUMMYFUNCTION("""COMPUTED_VALUE"""),6.0)</f>
        <v>6</v>
      </c>
      <c r="M261" s="189">
        <f>IFERROR(__xludf.DUMMYFUNCTION("""COMPUTED_VALUE"""),0.0)</f>
        <v>0</v>
      </c>
      <c r="N261" s="189">
        <f>IFERROR(__xludf.DUMMYFUNCTION("""COMPUTED_VALUE"""),1.0)</f>
        <v>1</v>
      </c>
      <c r="O261" s="189">
        <f>IFERROR(__xludf.DUMMYFUNCTION("""COMPUTED_VALUE"""),7.0)</f>
        <v>7</v>
      </c>
      <c r="P261" s="189">
        <f>IFERROR(__xludf.DUMMYFUNCTION("""COMPUTED_VALUE"""),9.0)</f>
        <v>9</v>
      </c>
      <c r="Q261" s="189">
        <f>IFERROR(__xludf.DUMMYFUNCTION("""COMPUTED_VALUE"""),10.0)</f>
        <v>10</v>
      </c>
      <c r="R261" s="189">
        <f>IFERROR(__xludf.DUMMYFUNCTION("""COMPUTED_VALUE"""),6.0)</f>
        <v>6</v>
      </c>
      <c r="S261" s="189">
        <f>IFERROR(__xludf.DUMMYFUNCTION("""COMPUTED_VALUE"""),0.0)</f>
        <v>0</v>
      </c>
      <c r="T261" s="189">
        <f>IFERROR(__xludf.DUMMYFUNCTION("""COMPUTED_VALUE"""),1.0)</f>
        <v>1</v>
      </c>
      <c r="U261" s="189">
        <f>IFERROR(__xludf.DUMMYFUNCTION("""COMPUTED_VALUE"""),6.0)</f>
        <v>6</v>
      </c>
      <c r="V261" s="189">
        <f>IFERROR(__xludf.DUMMYFUNCTION("""COMPUTED_VALUE"""),10.0)</f>
        <v>10</v>
      </c>
      <c r="W261" s="189">
        <f>IFERROR(__xludf.DUMMYFUNCTION("""COMPUTED_VALUE"""),9.0)</f>
        <v>9</v>
      </c>
      <c r="X261" s="189">
        <f>IFERROR(__xludf.DUMMYFUNCTION("""COMPUTED_VALUE"""),7.0)</f>
        <v>7</v>
      </c>
      <c r="Y261" s="189" t="str">
        <f>IFERROR(__xludf.DUMMYFUNCTION("""COMPUTED_VALUE"""),"2025-08-12T00:00:00.000Z")</f>
        <v>2025-08-12T00:00:00.000Z</v>
      </c>
      <c r="Z261" s="189" t="str">
        <f>IFERROR(__xludf.DUMMYFUNCTION("""COMPUTED_VALUE"""),"Mandatory_Haven")</f>
        <v>Mandatory_Haven</v>
      </c>
    </row>
    <row r="262">
      <c r="A262" s="189">
        <f>IFERROR(__xludf.DUMMYFUNCTION("""COMPUTED_VALUE"""),212727.0)</f>
        <v>212727</v>
      </c>
      <c r="B262" s="189">
        <f>IFERROR(__xludf.DUMMYFUNCTION("""COMPUTED_VALUE"""),93687.0)</f>
        <v>93687</v>
      </c>
      <c r="C262" s="189" t="str">
        <f>IFERROR(__xludf.DUMMYFUNCTION("""COMPUTED_VALUE"""),"Challengers 2025: France Revolution Split 3 - Playoffs")</f>
        <v>Challengers 2025: France Revolution Split 3 - Playoffs</v>
      </c>
      <c r="D262" s="189" t="str">
        <f>IFERROR(__xludf.DUMMYFUNCTION("""COMPUTED_VALUE"""),"Lotus")</f>
        <v>Lotus</v>
      </c>
      <c r="E262" s="189" t="str">
        <f>IFERROR(__xludf.DUMMYFUNCTION("""COMPUTED_VALUE"""),"Mandatory")</f>
        <v>Mandatory</v>
      </c>
      <c r="F262" s="189" t="str">
        <f>IFERROR(__xludf.DUMMYFUNCTION("""COMPUTED_VALUE"""),"Team Valiant")</f>
        <v>Team Valiant</v>
      </c>
      <c r="G262" s="189" t="str">
        <f>IFERROR(__xludf.DUMMYFUNCTION("""COMPUTED_VALUE"""),"Cypher,Sova,Omen,Yoru,Deadlock")</f>
        <v>Cypher,Sova,Omen,Yoru,Deadlock</v>
      </c>
      <c r="H262" s="189" t="str">
        <f>IFERROR(__xludf.DUMMYFUNCTION("""COMPUTED_VALUE"""),"Raze,Killjoy,Viper,Omen,Fade")</f>
        <v>Raze,Killjoy,Viper,Omen,Fade</v>
      </c>
      <c r="I262" s="189">
        <f>IFERROR(__xludf.DUMMYFUNCTION("""COMPUTED_VALUE"""),13.0)</f>
        <v>13</v>
      </c>
      <c r="J262" s="189">
        <f>IFERROR(__xludf.DUMMYFUNCTION("""COMPUTED_VALUE"""),8.0)</f>
        <v>8</v>
      </c>
      <c r="K262" s="189">
        <f>IFERROR(__xludf.DUMMYFUNCTION("""COMPUTED_VALUE"""),6.0)</f>
        <v>6</v>
      </c>
      <c r="L262" s="189">
        <f>IFERROR(__xludf.DUMMYFUNCTION("""COMPUTED_VALUE"""),6.0)</f>
        <v>6</v>
      </c>
      <c r="M262" s="189">
        <f>IFERROR(__xludf.DUMMYFUNCTION("""COMPUTED_VALUE"""),1.0)</f>
        <v>1</v>
      </c>
      <c r="N262" s="189">
        <f>IFERROR(__xludf.DUMMYFUNCTION("""COMPUTED_VALUE"""),0.0)</f>
        <v>0</v>
      </c>
      <c r="O262" s="189">
        <f>IFERROR(__xludf.DUMMYFUNCTION("""COMPUTED_VALUE"""),6.0)</f>
        <v>6</v>
      </c>
      <c r="P262" s="189">
        <f>IFERROR(__xludf.DUMMYFUNCTION("""COMPUTED_VALUE"""),6.0)</f>
        <v>6</v>
      </c>
      <c r="Q262" s="189">
        <f>IFERROR(__xludf.DUMMYFUNCTION("""COMPUTED_VALUE"""),7.0)</f>
        <v>7</v>
      </c>
      <c r="R262" s="189">
        <f>IFERROR(__xludf.DUMMYFUNCTION("""COMPUTED_VALUE"""),2.0)</f>
        <v>2</v>
      </c>
      <c r="S262" s="189">
        <f>IFERROR(__xludf.DUMMYFUNCTION("""COMPUTED_VALUE"""),1.0)</f>
        <v>1</v>
      </c>
      <c r="T262" s="189">
        <f>IFERROR(__xludf.DUMMYFUNCTION("""COMPUTED_VALUE"""),0.0)</f>
        <v>0</v>
      </c>
      <c r="U262" s="189">
        <f>IFERROR(__xludf.DUMMYFUNCTION("""COMPUTED_VALUE"""),2.0)</f>
        <v>2</v>
      </c>
      <c r="V262" s="189">
        <f>IFERROR(__xludf.DUMMYFUNCTION("""COMPUTED_VALUE"""),7.0)</f>
        <v>7</v>
      </c>
      <c r="W262" s="189">
        <f>IFERROR(__xludf.DUMMYFUNCTION("""COMPUTED_VALUE"""),6.0)</f>
        <v>6</v>
      </c>
      <c r="X262" s="189">
        <f>IFERROR(__xludf.DUMMYFUNCTION("""COMPUTED_VALUE"""),6.0)</f>
        <v>6</v>
      </c>
      <c r="Y262" s="189" t="str">
        <f>IFERROR(__xludf.DUMMYFUNCTION("""COMPUTED_VALUE"""),"2025-08-12T00:00:00.000Z")</f>
        <v>2025-08-12T00:00:00.000Z</v>
      </c>
      <c r="Z262" s="189" t="str">
        <f>IFERROR(__xludf.DUMMYFUNCTION("""COMPUTED_VALUE"""),"Mandatory_Lotus")</f>
        <v>Mandatory_Lotus</v>
      </c>
    </row>
    <row r="263">
      <c r="A263" s="189">
        <f>IFERROR(__xludf.DUMMYFUNCTION("""COMPUTED_VALUE"""),212726.0)</f>
        <v>212726</v>
      </c>
      <c r="B263" s="189">
        <f>IFERROR(__xludf.DUMMYFUNCTION("""COMPUTED_VALUE"""),93687.0)</f>
        <v>93687</v>
      </c>
      <c r="C263" s="189" t="str">
        <f>IFERROR(__xludf.DUMMYFUNCTION("""COMPUTED_VALUE"""),"Challengers 2025: France Revolution Split 3 - Playoffs")</f>
        <v>Challengers 2025: France Revolution Split 3 - Playoffs</v>
      </c>
      <c r="D263" s="189" t="str">
        <f>IFERROR(__xludf.DUMMYFUNCTION("""COMPUTED_VALUE"""),"Corrode")</f>
        <v>Corrode</v>
      </c>
      <c r="E263" s="189" t="str">
        <f>IFERROR(__xludf.DUMMYFUNCTION("""COMPUTED_VALUE"""),"Mandatory")</f>
        <v>Mandatory</v>
      </c>
      <c r="F263" s="189" t="str">
        <f>IFERROR(__xludf.DUMMYFUNCTION("""COMPUTED_VALUE"""),"Team Valiant")</f>
        <v>Team Valiant</v>
      </c>
      <c r="G263" s="189" t="str">
        <f>IFERROR(__xludf.DUMMYFUNCTION("""COMPUTED_VALUE"""),"Raze,Viper,Omen,Fade,Vyse")</f>
        <v>Raze,Viper,Omen,Fade,Vyse</v>
      </c>
      <c r="H263" s="189" t="str">
        <f>IFERROR(__xludf.DUMMYFUNCTION("""COMPUTED_VALUE"""),"Viper,Omen,Neon,Fade,Vyse")</f>
        <v>Viper,Omen,Neon,Fade,Vyse</v>
      </c>
      <c r="I263" s="189">
        <f>IFERROR(__xludf.DUMMYFUNCTION("""COMPUTED_VALUE"""),4.0)</f>
        <v>4</v>
      </c>
      <c r="J263" s="189">
        <f>IFERROR(__xludf.DUMMYFUNCTION("""COMPUTED_VALUE"""),13.0)</f>
        <v>13</v>
      </c>
      <c r="K263" s="189">
        <f>IFERROR(__xludf.DUMMYFUNCTION("""COMPUTED_VALUE"""),3.0)</f>
        <v>3</v>
      </c>
      <c r="L263" s="189">
        <f>IFERROR(__xludf.DUMMYFUNCTION("""COMPUTED_VALUE"""),9.0)</f>
        <v>9</v>
      </c>
      <c r="M263" s="189">
        <f>IFERROR(__xludf.DUMMYFUNCTION("""COMPUTED_VALUE"""),0.0)</f>
        <v>0</v>
      </c>
      <c r="N263" s="189">
        <f>IFERROR(__xludf.DUMMYFUNCTION("""COMPUTED_VALUE"""),0.0)</f>
        <v>0</v>
      </c>
      <c r="O263" s="189">
        <f>IFERROR(__xludf.DUMMYFUNCTION("""COMPUTED_VALUE"""),1.0)</f>
        <v>1</v>
      </c>
      <c r="P263" s="189">
        <f>IFERROR(__xludf.DUMMYFUNCTION("""COMPUTED_VALUE"""),4.0)</f>
        <v>4</v>
      </c>
      <c r="Q263" s="189">
        <f>IFERROR(__xludf.DUMMYFUNCTION("""COMPUTED_VALUE"""),3.0)</f>
        <v>3</v>
      </c>
      <c r="R263" s="189">
        <f>IFERROR(__xludf.DUMMYFUNCTION("""COMPUTED_VALUE"""),9.0)</f>
        <v>9</v>
      </c>
      <c r="S263" s="189">
        <f>IFERROR(__xludf.DUMMYFUNCTION("""COMPUTED_VALUE"""),1.0)</f>
        <v>1</v>
      </c>
      <c r="T263" s="189">
        <f>IFERROR(__xludf.DUMMYFUNCTION("""COMPUTED_VALUE"""),1.0)</f>
        <v>1</v>
      </c>
      <c r="U263" s="189">
        <f>IFERROR(__xludf.DUMMYFUNCTION("""COMPUTED_VALUE"""),9.0)</f>
        <v>9</v>
      </c>
      <c r="V263" s="189">
        <f>IFERROR(__xludf.DUMMYFUNCTION("""COMPUTED_VALUE"""),3.0)</f>
        <v>3</v>
      </c>
      <c r="W263" s="189">
        <f>IFERROR(__xludf.DUMMYFUNCTION("""COMPUTED_VALUE"""),4.0)</f>
        <v>4</v>
      </c>
      <c r="X263" s="189">
        <f>IFERROR(__xludf.DUMMYFUNCTION("""COMPUTED_VALUE"""),1.0)</f>
        <v>1</v>
      </c>
      <c r="Y263" s="189" t="str">
        <f>IFERROR(__xludf.DUMMYFUNCTION("""COMPUTED_VALUE"""),"2025-08-12T00:00:00.000Z")</f>
        <v>2025-08-12T00:00:00.000Z</v>
      </c>
      <c r="Z263" s="189" t="str">
        <f>IFERROR(__xludf.DUMMYFUNCTION("""COMPUTED_VALUE"""),"Mandatory_Corrode")</f>
        <v>Mandatory_Corrode</v>
      </c>
    </row>
    <row r="264">
      <c r="A264" s="189">
        <f>IFERROR(__xludf.DUMMYFUNCTION("""COMPUTED_VALUE"""),212725.0)</f>
        <v>212725</v>
      </c>
      <c r="B264" s="189">
        <f>IFERROR(__xludf.DUMMYFUNCTION("""COMPUTED_VALUE"""),93687.0)</f>
        <v>93687</v>
      </c>
      <c r="C264" s="189" t="str">
        <f>IFERROR(__xludf.DUMMYFUNCTION("""COMPUTED_VALUE"""),"Challengers 2025: France Revolution Split 3 - Playoffs")</f>
        <v>Challengers 2025: France Revolution Split 3 - Playoffs</v>
      </c>
      <c r="D264" s="189" t="str">
        <f>IFERROR(__xludf.DUMMYFUNCTION("""COMPUTED_VALUE"""),"Icebox")</f>
        <v>Icebox</v>
      </c>
      <c r="E264" s="189" t="str">
        <f>IFERROR(__xludf.DUMMYFUNCTION("""COMPUTED_VALUE"""),"Mandatory")</f>
        <v>Mandatory</v>
      </c>
      <c r="F264" s="189" t="str">
        <f>IFERROR(__xludf.DUMMYFUNCTION("""COMPUTED_VALUE"""),"Team Valiant")</f>
        <v>Team Valiant</v>
      </c>
      <c r="G264" s="189" t="str">
        <f>IFERROR(__xludf.DUMMYFUNCTION("""COMPUTED_VALUE"""),"Sova,Killjoy,Viper,Omen,Gekko")</f>
        <v>Sova,Killjoy,Viper,Omen,Gekko</v>
      </c>
      <c r="H264" s="189" t="str">
        <f>IFERROR(__xludf.DUMMYFUNCTION("""COMPUTED_VALUE"""),"Sova,Killjoy,Viper,Jett,KAY/O")</f>
        <v>Sova,Killjoy,Viper,Jett,KAY/O</v>
      </c>
      <c r="I264" s="189">
        <f>IFERROR(__xludf.DUMMYFUNCTION("""COMPUTED_VALUE"""),9.0)</f>
        <v>9</v>
      </c>
      <c r="J264" s="189">
        <f>IFERROR(__xludf.DUMMYFUNCTION("""COMPUTED_VALUE"""),13.0)</f>
        <v>13</v>
      </c>
      <c r="K264" s="189">
        <f>IFERROR(__xludf.DUMMYFUNCTION("""COMPUTED_VALUE"""),2.0)</f>
        <v>2</v>
      </c>
      <c r="L264" s="189">
        <f>IFERROR(__xludf.DUMMYFUNCTION("""COMPUTED_VALUE"""),10.0)</f>
        <v>10</v>
      </c>
      <c r="M264" s="189">
        <f>IFERROR(__xludf.DUMMYFUNCTION("""COMPUTED_VALUE"""),0.0)</f>
        <v>0</v>
      </c>
      <c r="N264" s="189">
        <f>IFERROR(__xludf.DUMMYFUNCTION("""COMPUTED_VALUE"""),1.0)</f>
        <v>1</v>
      </c>
      <c r="O264" s="189">
        <f>IFERROR(__xludf.DUMMYFUNCTION("""COMPUTED_VALUE"""),2.0)</f>
        <v>2</v>
      </c>
      <c r="P264" s="189">
        <f>IFERROR(__xludf.DUMMYFUNCTION("""COMPUTED_VALUE"""),10.0)</f>
        <v>10</v>
      </c>
      <c r="Q264" s="189">
        <f>IFERROR(__xludf.DUMMYFUNCTION("""COMPUTED_VALUE"""),7.0)</f>
        <v>7</v>
      </c>
      <c r="R264" s="189">
        <f>IFERROR(__xludf.DUMMYFUNCTION("""COMPUTED_VALUE"""),3.0)</f>
        <v>3</v>
      </c>
      <c r="S264" s="189">
        <f>IFERROR(__xludf.DUMMYFUNCTION("""COMPUTED_VALUE"""),0.0)</f>
        <v>0</v>
      </c>
      <c r="T264" s="189">
        <f>IFERROR(__xludf.DUMMYFUNCTION("""COMPUTED_VALUE"""),1.0)</f>
        <v>1</v>
      </c>
      <c r="U264" s="189">
        <f>IFERROR(__xludf.DUMMYFUNCTION("""COMPUTED_VALUE"""),3.0)</f>
        <v>3</v>
      </c>
      <c r="V264" s="189">
        <f>IFERROR(__xludf.DUMMYFUNCTION("""COMPUTED_VALUE"""),7.0)</f>
        <v>7</v>
      </c>
      <c r="W264" s="189">
        <f>IFERROR(__xludf.DUMMYFUNCTION("""COMPUTED_VALUE"""),10.0)</f>
        <v>10</v>
      </c>
      <c r="X264" s="189">
        <f>IFERROR(__xludf.DUMMYFUNCTION("""COMPUTED_VALUE"""),2.0)</f>
        <v>2</v>
      </c>
      <c r="Y264" s="189" t="str">
        <f>IFERROR(__xludf.DUMMYFUNCTION("""COMPUTED_VALUE"""),"2025-08-12T00:00:00.000Z")</f>
        <v>2025-08-12T00:00:00.000Z</v>
      </c>
      <c r="Z264" s="189" t="str">
        <f>IFERROR(__xludf.DUMMYFUNCTION("""COMPUTED_VALUE"""),"Mandatory_Icebox")</f>
        <v>Mandatory_Icebox</v>
      </c>
    </row>
    <row r="265">
      <c r="A265" s="189">
        <f>IFERROR(__xludf.DUMMYFUNCTION("""COMPUTED_VALUE"""),212232.0)</f>
        <v>212232</v>
      </c>
      <c r="B265" s="189">
        <f>IFERROR(__xludf.DUMMYFUNCTION("""COMPUTED_VALUE"""),93506.0)</f>
        <v>93506</v>
      </c>
      <c r="C265" s="189" t="str">
        <f>IFERROR(__xludf.DUMMYFUNCTION("""COMPUTED_VALUE"""),"Challengers 2025: Türkiye Birlik Split 3 - Playoffs")</f>
        <v>Challengers 2025: Türkiye Birlik Split 3 - Playoffs</v>
      </c>
      <c r="D265" s="189" t="str">
        <f>IFERROR(__xludf.DUMMYFUNCTION("""COMPUTED_VALUE"""),"Corrode")</f>
        <v>Corrode</v>
      </c>
      <c r="E265" s="189" t="str">
        <f>IFERROR(__xludf.DUMMYFUNCTION("""COMPUTED_VALUE"""),"ULF Esports")</f>
        <v>ULF Esports</v>
      </c>
      <c r="F265" s="189" t="str">
        <f>IFERROR(__xludf.DUMMYFUNCTION("""COMPUTED_VALUE"""),"BBL PCIFIC")</f>
        <v>BBL PCIFIC</v>
      </c>
      <c r="G265" s="189" t="str">
        <f>IFERROR(__xludf.DUMMYFUNCTION("""COMPUTED_VALUE"""),"Omen,KAY/O,Neon,Fade,Vyse")</f>
        <v>Omen,KAY/O,Neon,Fade,Vyse</v>
      </c>
      <c r="H265" s="189" t="str">
        <f>IFERROR(__xludf.DUMMYFUNCTION("""COMPUTED_VALUE"""),"Viper,Omen,Neon,Fade,Vyse")</f>
        <v>Viper,Omen,Neon,Fade,Vyse</v>
      </c>
      <c r="I265" s="189">
        <f>IFERROR(__xludf.DUMMYFUNCTION("""COMPUTED_VALUE"""),11.0)</f>
        <v>11</v>
      </c>
      <c r="J265" s="189">
        <f>IFERROR(__xludf.DUMMYFUNCTION("""COMPUTED_VALUE"""),13.0)</f>
        <v>13</v>
      </c>
      <c r="K265" s="189">
        <f>IFERROR(__xludf.DUMMYFUNCTION("""COMPUTED_VALUE"""),4.0)</f>
        <v>4</v>
      </c>
      <c r="L265" s="189">
        <f>IFERROR(__xludf.DUMMYFUNCTION("""COMPUTED_VALUE"""),8.0)</f>
        <v>8</v>
      </c>
      <c r="M265" s="189">
        <f>IFERROR(__xludf.DUMMYFUNCTION("""COMPUTED_VALUE"""),0.0)</f>
        <v>0</v>
      </c>
      <c r="N265" s="189">
        <f>IFERROR(__xludf.DUMMYFUNCTION("""COMPUTED_VALUE"""),0.0)</f>
        <v>0</v>
      </c>
      <c r="O265" s="189">
        <f>IFERROR(__xludf.DUMMYFUNCTION("""COMPUTED_VALUE"""),4.0)</f>
        <v>4</v>
      </c>
      <c r="P265" s="189">
        <f>IFERROR(__xludf.DUMMYFUNCTION("""COMPUTED_VALUE"""),8.0)</f>
        <v>8</v>
      </c>
      <c r="Q265" s="189">
        <f>IFERROR(__xludf.DUMMYFUNCTION("""COMPUTED_VALUE"""),7.0)</f>
        <v>7</v>
      </c>
      <c r="R265" s="189">
        <f>IFERROR(__xludf.DUMMYFUNCTION("""COMPUTED_VALUE"""),5.0)</f>
        <v>5</v>
      </c>
      <c r="S265" s="189">
        <f>IFERROR(__xludf.DUMMYFUNCTION("""COMPUTED_VALUE"""),1.0)</f>
        <v>1</v>
      </c>
      <c r="T265" s="189">
        <f>IFERROR(__xludf.DUMMYFUNCTION("""COMPUTED_VALUE"""),1.0)</f>
        <v>1</v>
      </c>
      <c r="U265" s="189">
        <f>IFERROR(__xludf.DUMMYFUNCTION("""COMPUTED_VALUE"""),5.0)</f>
        <v>5</v>
      </c>
      <c r="V265" s="189">
        <f>IFERROR(__xludf.DUMMYFUNCTION("""COMPUTED_VALUE"""),7.0)</f>
        <v>7</v>
      </c>
      <c r="W265" s="189">
        <f>IFERROR(__xludf.DUMMYFUNCTION("""COMPUTED_VALUE"""),8.0)</f>
        <v>8</v>
      </c>
      <c r="X265" s="189">
        <f>IFERROR(__xludf.DUMMYFUNCTION("""COMPUTED_VALUE"""),4.0)</f>
        <v>4</v>
      </c>
      <c r="Y265" s="189" t="str">
        <f>IFERROR(__xludf.DUMMYFUNCTION("""COMPUTED_VALUE"""),"2025-08-10T00:00:00.000Z")</f>
        <v>2025-08-10T00:00:00.000Z</v>
      </c>
      <c r="Z265" s="189" t="str">
        <f>IFERROR(__xludf.DUMMYFUNCTION("""COMPUTED_VALUE"""),"ULF Esports_Corrode")</f>
        <v>ULF Esports_Corrode</v>
      </c>
    </row>
    <row r="266">
      <c r="A266" s="189">
        <f>IFERROR(__xludf.DUMMYFUNCTION("""COMPUTED_VALUE"""),212231.0)</f>
        <v>212231</v>
      </c>
      <c r="B266" s="189">
        <f>IFERROR(__xludf.DUMMYFUNCTION("""COMPUTED_VALUE"""),93506.0)</f>
        <v>93506</v>
      </c>
      <c r="C266" s="189" t="str">
        <f>IFERROR(__xludf.DUMMYFUNCTION("""COMPUTED_VALUE"""),"Challengers 2025: Türkiye Birlik Split 3 - Playoffs")</f>
        <v>Challengers 2025: Türkiye Birlik Split 3 - Playoffs</v>
      </c>
      <c r="D266" s="189" t="str">
        <f>IFERROR(__xludf.DUMMYFUNCTION("""COMPUTED_VALUE"""),"Sunset")</f>
        <v>Sunset</v>
      </c>
      <c r="E266" s="189" t="str">
        <f>IFERROR(__xludf.DUMMYFUNCTION("""COMPUTED_VALUE"""),"ULF Esports")</f>
        <v>ULF Esports</v>
      </c>
      <c r="F266" s="189" t="str">
        <f>IFERROR(__xludf.DUMMYFUNCTION("""COMPUTED_VALUE"""),"BBL PCIFIC")</f>
        <v>BBL PCIFIC</v>
      </c>
      <c r="G266" s="189" t="str">
        <f>IFERROR(__xludf.DUMMYFUNCTION("""COMPUTED_VALUE"""),"Breach,Sova,Omen,Neon,Vyse")</f>
        <v>Breach,Sova,Omen,Neon,Vyse</v>
      </c>
      <c r="H266" s="189" t="str">
        <f>IFERROR(__xludf.DUMMYFUNCTION("""COMPUTED_VALUE"""),"Breach,Cypher,Sova,Omen,Neon")</f>
        <v>Breach,Cypher,Sova,Omen,Neon</v>
      </c>
      <c r="I266" s="189">
        <f>IFERROR(__xludf.DUMMYFUNCTION("""COMPUTED_VALUE"""),13.0)</f>
        <v>13</v>
      </c>
      <c r="J266" s="189">
        <f>IFERROR(__xludf.DUMMYFUNCTION("""COMPUTED_VALUE"""),11.0)</f>
        <v>11</v>
      </c>
      <c r="K266" s="189">
        <f>IFERROR(__xludf.DUMMYFUNCTION("""COMPUTED_VALUE"""),7.0)</f>
        <v>7</v>
      </c>
      <c r="L266" s="189">
        <f>IFERROR(__xludf.DUMMYFUNCTION("""COMPUTED_VALUE"""),5.0)</f>
        <v>5</v>
      </c>
      <c r="M266" s="189">
        <f>IFERROR(__xludf.DUMMYFUNCTION("""COMPUTED_VALUE"""),0.0)</f>
        <v>0</v>
      </c>
      <c r="N266" s="189">
        <f>IFERROR(__xludf.DUMMYFUNCTION("""COMPUTED_VALUE"""),1.0)</f>
        <v>1</v>
      </c>
      <c r="O266" s="189">
        <f>IFERROR(__xludf.DUMMYFUNCTION("""COMPUTED_VALUE"""),6.0)</f>
        <v>6</v>
      </c>
      <c r="P266" s="189">
        <f>IFERROR(__xludf.DUMMYFUNCTION("""COMPUTED_VALUE"""),6.0)</f>
        <v>6</v>
      </c>
      <c r="Q266" s="189">
        <f>IFERROR(__xludf.DUMMYFUNCTION("""COMPUTED_VALUE"""),7.0)</f>
        <v>7</v>
      </c>
      <c r="R266" s="189">
        <f>IFERROR(__xludf.DUMMYFUNCTION("""COMPUTED_VALUE"""),5.0)</f>
        <v>5</v>
      </c>
      <c r="S266" s="189">
        <f>IFERROR(__xludf.DUMMYFUNCTION("""COMPUTED_VALUE"""),0.0)</f>
        <v>0</v>
      </c>
      <c r="T266" s="189">
        <f>IFERROR(__xludf.DUMMYFUNCTION("""COMPUTED_VALUE"""),1.0)</f>
        <v>1</v>
      </c>
      <c r="U266" s="189">
        <f>IFERROR(__xludf.DUMMYFUNCTION("""COMPUTED_VALUE"""),5.0)</f>
        <v>5</v>
      </c>
      <c r="V266" s="189">
        <f>IFERROR(__xludf.DUMMYFUNCTION("""COMPUTED_VALUE"""),7.0)</f>
        <v>7</v>
      </c>
      <c r="W266" s="189">
        <f>IFERROR(__xludf.DUMMYFUNCTION("""COMPUTED_VALUE"""),6.0)</f>
        <v>6</v>
      </c>
      <c r="X266" s="189">
        <f>IFERROR(__xludf.DUMMYFUNCTION("""COMPUTED_VALUE"""),6.0)</f>
        <v>6</v>
      </c>
      <c r="Y266" s="189" t="str">
        <f>IFERROR(__xludf.DUMMYFUNCTION("""COMPUTED_VALUE"""),"2025-08-10T00:00:00.000Z")</f>
        <v>2025-08-10T00:00:00.000Z</v>
      </c>
      <c r="Z266" s="189" t="str">
        <f>IFERROR(__xludf.DUMMYFUNCTION("""COMPUTED_VALUE"""),"ULF Esports_Sunset")</f>
        <v>ULF Esports_Sunset</v>
      </c>
    </row>
    <row r="267">
      <c r="A267" s="189">
        <f>IFERROR(__xludf.DUMMYFUNCTION("""COMPUTED_VALUE"""),212230.0)</f>
        <v>212230</v>
      </c>
      <c r="B267" s="189">
        <f>IFERROR(__xludf.DUMMYFUNCTION("""COMPUTED_VALUE"""),93506.0)</f>
        <v>93506</v>
      </c>
      <c r="C267" s="189" t="str">
        <f>IFERROR(__xludf.DUMMYFUNCTION("""COMPUTED_VALUE"""),"Challengers 2025: Türkiye Birlik Split 3 - Playoffs")</f>
        <v>Challengers 2025: Türkiye Birlik Split 3 - Playoffs</v>
      </c>
      <c r="D267" s="189" t="str">
        <f>IFERROR(__xludf.DUMMYFUNCTION("""COMPUTED_VALUE"""),"Haven")</f>
        <v>Haven</v>
      </c>
      <c r="E267" s="189" t="str">
        <f>IFERROR(__xludf.DUMMYFUNCTION("""COMPUTED_VALUE"""),"ULF Esports")</f>
        <v>ULF Esports</v>
      </c>
      <c r="F267" s="189" t="str">
        <f>IFERROR(__xludf.DUMMYFUNCTION("""COMPUTED_VALUE"""),"BBL PCIFIC")</f>
        <v>BBL PCIFIC</v>
      </c>
      <c r="G267" s="189" t="str">
        <f>IFERROR(__xludf.DUMMYFUNCTION("""COMPUTED_VALUE"""),"Breach,Cypher,Sova,Omen,Neon")</f>
        <v>Breach,Cypher,Sova,Omen,Neon</v>
      </c>
      <c r="H267" s="189" t="str">
        <f>IFERROR(__xludf.DUMMYFUNCTION("""COMPUTED_VALUE"""),"Breach,Cypher,Sova,Omen,Jett")</f>
        <v>Breach,Cypher,Sova,Omen,Jett</v>
      </c>
      <c r="I267" s="189">
        <f>IFERROR(__xludf.DUMMYFUNCTION("""COMPUTED_VALUE"""),10.0)</f>
        <v>10</v>
      </c>
      <c r="J267" s="189">
        <f>IFERROR(__xludf.DUMMYFUNCTION("""COMPUTED_VALUE"""),13.0)</f>
        <v>13</v>
      </c>
      <c r="K267" s="189">
        <f>IFERROR(__xludf.DUMMYFUNCTION("""COMPUTED_VALUE"""),4.0)</f>
        <v>4</v>
      </c>
      <c r="L267" s="189">
        <f>IFERROR(__xludf.DUMMYFUNCTION("""COMPUTED_VALUE"""),8.0)</f>
        <v>8</v>
      </c>
      <c r="M267" s="189">
        <f>IFERROR(__xludf.DUMMYFUNCTION("""COMPUTED_VALUE"""),1.0)</f>
        <v>1</v>
      </c>
      <c r="N267" s="189">
        <f>IFERROR(__xludf.DUMMYFUNCTION("""COMPUTED_VALUE"""),0.0)</f>
        <v>0</v>
      </c>
      <c r="O267" s="189">
        <f>IFERROR(__xludf.DUMMYFUNCTION("""COMPUTED_VALUE"""),6.0)</f>
        <v>6</v>
      </c>
      <c r="P267" s="189">
        <f>IFERROR(__xludf.DUMMYFUNCTION("""COMPUTED_VALUE"""),5.0)</f>
        <v>5</v>
      </c>
      <c r="Q267" s="189">
        <f>IFERROR(__xludf.DUMMYFUNCTION("""COMPUTED_VALUE"""),4.0)</f>
        <v>4</v>
      </c>
      <c r="R267" s="189">
        <f>IFERROR(__xludf.DUMMYFUNCTION("""COMPUTED_VALUE"""),8.0)</f>
        <v>8</v>
      </c>
      <c r="S267" s="189">
        <f>IFERROR(__xludf.DUMMYFUNCTION("""COMPUTED_VALUE"""),1.0)</f>
        <v>1</v>
      </c>
      <c r="T267" s="189">
        <f>IFERROR(__xludf.DUMMYFUNCTION("""COMPUTED_VALUE"""),0.0)</f>
        <v>0</v>
      </c>
      <c r="U267" s="189">
        <f>IFERROR(__xludf.DUMMYFUNCTION("""COMPUTED_VALUE"""),8.0)</f>
        <v>8</v>
      </c>
      <c r="V267" s="189">
        <f>IFERROR(__xludf.DUMMYFUNCTION("""COMPUTED_VALUE"""),4.0)</f>
        <v>4</v>
      </c>
      <c r="W267" s="189">
        <f>IFERROR(__xludf.DUMMYFUNCTION("""COMPUTED_VALUE"""),5.0)</f>
        <v>5</v>
      </c>
      <c r="X267" s="189">
        <f>IFERROR(__xludf.DUMMYFUNCTION("""COMPUTED_VALUE"""),6.0)</f>
        <v>6</v>
      </c>
      <c r="Y267" s="189" t="str">
        <f>IFERROR(__xludf.DUMMYFUNCTION("""COMPUTED_VALUE"""),"2025-08-10T00:00:00.000Z")</f>
        <v>2025-08-10T00:00:00.000Z</v>
      </c>
      <c r="Z267" s="189" t="str">
        <f>IFERROR(__xludf.DUMMYFUNCTION("""COMPUTED_VALUE"""),"ULF Esports_Haven")</f>
        <v>ULF Esports_Haven</v>
      </c>
    </row>
    <row r="268">
      <c r="A268" s="189">
        <f>IFERROR(__xludf.DUMMYFUNCTION("""COMPUTED_VALUE"""),211981.0)</f>
        <v>211981</v>
      </c>
      <c r="B268" s="189">
        <f>IFERROR(__xludf.DUMMYFUNCTION("""COMPUTED_VALUE"""),93394.0)</f>
        <v>93394</v>
      </c>
      <c r="C268" s="189" t="str">
        <f>IFERROR(__xludf.DUMMYFUNCTION("""COMPUTED_VALUE"""),"Challengers 2025: France Revolution Split 3 - Playoffs")</f>
        <v>Challengers 2025: France Revolution Split 3 - Playoffs</v>
      </c>
      <c r="D268" s="189" t="str">
        <f>IFERROR(__xludf.DUMMYFUNCTION("""COMPUTED_VALUE"""),"Icebox")</f>
        <v>Icebox</v>
      </c>
      <c r="E268" s="189" t="str">
        <f>IFERROR(__xludf.DUMMYFUNCTION("""COMPUTED_VALUE"""),"Mandatory")</f>
        <v>Mandatory</v>
      </c>
      <c r="F268" s="189" t="str">
        <f>IFERROR(__xludf.DUMMYFUNCTION("""COMPUTED_VALUE"""),"KCORP Blue Stars")</f>
        <v>KCORP Blue Stars</v>
      </c>
      <c r="G268" s="189" t="str">
        <f>IFERROR(__xludf.DUMMYFUNCTION("""COMPUTED_VALUE"""),"Sova,Killjoy,Viper,Omen,Gekko")</f>
        <v>Sova,Killjoy,Viper,Omen,Gekko</v>
      </c>
      <c r="H268" s="189" t="str">
        <f>IFERROR(__xludf.DUMMYFUNCTION("""COMPUTED_VALUE"""),"Sova,Killjoy,Viper,Reyna,Gekko")</f>
        <v>Sova,Killjoy,Viper,Reyna,Gekko</v>
      </c>
      <c r="I268" s="189">
        <f>IFERROR(__xludf.DUMMYFUNCTION("""COMPUTED_VALUE"""),13.0)</f>
        <v>13</v>
      </c>
      <c r="J268" s="189">
        <f>IFERROR(__xludf.DUMMYFUNCTION("""COMPUTED_VALUE"""),10.0)</f>
        <v>10</v>
      </c>
      <c r="K268" s="189">
        <f>IFERROR(__xludf.DUMMYFUNCTION("""COMPUTED_VALUE"""),6.0)</f>
        <v>6</v>
      </c>
      <c r="L268" s="189">
        <f>IFERROR(__xludf.DUMMYFUNCTION("""COMPUTED_VALUE"""),6.0)</f>
        <v>6</v>
      </c>
      <c r="M268" s="189">
        <f>IFERROR(__xludf.DUMMYFUNCTION("""COMPUTED_VALUE"""),0.0)</f>
        <v>0</v>
      </c>
      <c r="N268" s="189">
        <f>IFERROR(__xludf.DUMMYFUNCTION("""COMPUTED_VALUE"""),1.0)</f>
        <v>1</v>
      </c>
      <c r="O268" s="189">
        <f>IFERROR(__xludf.DUMMYFUNCTION("""COMPUTED_VALUE"""),7.0)</f>
        <v>7</v>
      </c>
      <c r="P268" s="189">
        <f>IFERROR(__xludf.DUMMYFUNCTION("""COMPUTED_VALUE"""),4.0)</f>
        <v>4</v>
      </c>
      <c r="Q268" s="189">
        <f>IFERROR(__xludf.DUMMYFUNCTION("""COMPUTED_VALUE"""),6.0)</f>
        <v>6</v>
      </c>
      <c r="R268" s="189">
        <f>IFERROR(__xludf.DUMMYFUNCTION("""COMPUTED_VALUE"""),6.0)</f>
        <v>6</v>
      </c>
      <c r="S268" s="189">
        <f>IFERROR(__xludf.DUMMYFUNCTION("""COMPUTED_VALUE"""),0.0)</f>
        <v>0</v>
      </c>
      <c r="T268" s="189">
        <f>IFERROR(__xludf.DUMMYFUNCTION("""COMPUTED_VALUE"""),1.0)</f>
        <v>1</v>
      </c>
      <c r="U268" s="189">
        <f>IFERROR(__xludf.DUMMYFUNCTION("""COMPUTED_VALUE"""),6.0)</f>
        <v>6</v>
      </c>
      <c r="V268" s="189">
        <f>IFERROR(__xludf.DUMMYFUNCTION("""COMPUTED_VALUE"""),6.0)</f>
        <v>6</v>
      </c>
      <c r="W268" s="189">
        <f>IFERROR(__xludf.DUMMYFUNCTION("""COMPUTED_VALUE"""),4.0)</f>
        <v>4</v>
      </c>
      <c r="X268" s="189">
        <f>IFERROR(__xludf.DUMMYFUNCTION("""COMPUTED_VALUE"""),7.0)</f>
        <v>7</v>
      </c>
      <c r="Y268" s="189" t="str">
        <f>IFERROR(__xludf.DUMMYFUNCTION("""COMPUTED_VALUE"""),"2025-08-09T00:00:00.000Z")</f>
        <v>2025-08-09T00:00:00.000Z</v>
      </c>
      <c r="Z268" s="189" t="str">
        <f>IFERROR(__xludf.DUMMYFUNCTION("""COMPUTED_VALUE"""),"Mandatory_Icebox")</f>
        <v>Mandatory_Icebox</v>
      </c>
    </row>
    <row r="269">
      <c r="A269" s="189">
        <f>IFERROR(__xludf.DUMMYFUNCTION("""COMPUTED_VALUE"""),211980.0)</f>
        <v>211980</v>
      </c>
      <c r="B269" s="189">
        <f>IFERROR(__xludf.DUMMYFUNCTION("""COMPUTED_VALUE"""),93394.0)</f>
        <v>93394</v>
      </c>
      <c r="C269" s="189" t="str">
        <f>IFERROR(__xludf.DUMMYFUNCTION("""COMPUTED_VALUE"""),"Challengers 2025: France Revolution Split 3 - Playoffs")</f>
        <v>Challengers 2025: France Revolution Split 3 - Playoffs</v>
      </c>
      <c r="D269" s="189" t="str">
        <f>IFERROR(__xludf.DUMMYFUNCTION("""COMPUTED_VALUE"""),"Lotus")</f>
        <v>Lotus</v>
      </c>
      <c r="E269" s="189" t="str">
        <f>IFERROR(__xludf.DUMMYFUNCTION("""COMPUTED_VALUE"""),"Mandatory")</f>
        <v>Mandatory</v>
      </c>
      <c r="F269" s="189" t="str">
        <f>IFERROR(__xludf.DUMMYFUNCTION("""COMPUTED_VALUE"""),"KCORP Blue Stars")</f>
        <v>KCORP Blue Stars</v>
      </c>
      <c r="G269" s="189" t="str">
        <f>IFERROR(__xludf.DUMMYFUNCTION("""COMPUTED_VALUE"""),"Cypher,Sova,Omen,Yoru,Deadlock")</f>
        <v>Cypher,Sova,Omen,Yoru,Deadlock</v>
      </c>
      <c r="H269" s="189" t="str">
        <f>IFERROR(__xludf.DUMMYFUNCTION("""COMPUTED_VALUE"""),"Raze,Viper,Omen,Fade,Vyse")</f>
        <v>Raze,Viper,Omen,Fade,Vyse</v>
      </c>
      <c r="I269" s="189">
        <f>IFERROR(__xludf.DUMMYFUNCTION("""COMPUTED_VALUE"""),13.0)</f>
        <v>13</v>
      </c>
      <c r="J269" s="189">
        <f>IFERROR(__xludf.DUMMYFUNCTION("""COMPUTED_VALUE"""),1.0)</f>
        <v>1</v>
      </c>
      <c r="K269" s="189">
        <f>IFERROR(__xludf.DUMMYFUNCTION("""COMPUTED_VALUE"""),11.0)</f>
        <v>11</v>
      </c>
      <c r="L269" s="189">
        <f>IFERROR(__xludf.DUMMYFUNCTION("""COMPUTED_VALUE"""),1.0)</f>
        <v>1</v>
      </c>
      <c r="M269" s="189">
        <f>IFERROR(__xludf.DUMMYFUNCTION("""COMPUTED_VALUE"""),1.0)</f>
        <v>1</v>
      </c>
      <c r="N269" s="189">
        <f>IFERROR(__xludf.DUMMYFUNCTION("""COMPUTED_VALUE"""),1.0)</f>
        <v>1</v>
      </c>
      <c r="O269" s="189">
        <f>IFERROR(__xludf.DUMMYFUNCTION("""COMPUTED_VALUE"""),11.0)</f>
        <v>11</v>
      </c>
      <c r="P269" s="189">
        <f>IFERROR(__xludf.DUMMYFUNCTION("""COMPUTED_VALUE"""),1.0)</f>
        <v>1</v>
      </c>
      <c r="Q269" s="189">
        <f>IFERROR(__xludf.DUMMYFUNCTION("""COMPUTED_VALUE"""),2.0)</f>
        <v>2</v>
      </c>
      <c r="R269" s="189">
        <f>IFERROR(__xludf.DUMMYFUNCTION("""COMPUTED_VALUE"""),0.0)</f>
        <v>0</v>
      </c>
      <c r="S269" s="189">
        <f>IFERROR(__xludf.DUMMYFUNCTION("""COMPUTED_VALUE"""),0.0)</f>
        <v>0</v>
      </c>
      <c r="T269" s="189">
        <f>IFERROR(__xludf.DUMMYFUNCTION("""COMPUTED_VALUE"""),0.0)</f>
        <v>0</v>
      </c>
      <c r="U269" s="189">
        <f>IFERROR(__xludf.DUMMYFUNCTION("""COMPUTED_VALUE"""),0.0)</f>
        <v>0</v>
      </c>
      <c r="V269" s="189">
        <f>IFERROR(__xludf.DUMMYFUNCTION("""COMPUTED_VALUE"""),2.0)</f>
        <v>2</v>
      </c>
      <c r="W269" s="189">
        <f>IFERROR(__xludf.DUMMYFUNCTION("""COMPUTED_VALUE"""),1.0)</f>
        <v>1</v>
      </c>
      <c r="X269" s="189">
        <f>IFERROR(__xludf.DUMMYFUNCTION("""COMPUTED_VALUE"""),11.0)</f>
        <v>11</v>
      </c>
      <c r="Y269" s="189" t="str">
        <f>IFERROR(__xludf.DUMMYFUNCTION("""COMPUTED_VALUE"""),"2025-08-09T00:00:00.000Z")</f>
        <v>2025-08-09T00:00:00.000Z</v>
      </c>
      <c r="Z269" s="189" t="str">
        <f>IFERROR(__xludf.DUMMYFUNCTION("""COMPUTED_VALUE"""),"Mandatory_Lotus")</f>
        <v>Mandatory_Lotus</v>
      </c>
    </row>
    <row r="270">
      <c r="A270" s="189">
        <f>IFERROR(__xludf.DUMMYFUNCTION("""COMPUTED_VALUE"""),211957.0)</f>
        <v>211957</v>
      </c>
      <c r="B270" s="189">
        <f>IFERROR(__xludf.DUMMYFUNCTION("""COMPUTED_VALUE"""),93386.0)</f>
        <v>93386</v>
      </c>
      <c r="C270" s="189" t="str">
        <f>IFERROR(__xludf.DUMMYFUNCTION("""COMPUTED_VALUE"""),"Challengers League 2025 NORTH EAST: Split 3 - Playoffs")</f>
        <v>Challengers League 2025 NORTH EAST: Split 3 - Playoffs</v>
      </c>
      <c r="D270" s="189" t="str">
        <f>IFERROR(__xludf.DUMMYFUNCTION("""COMPUTED_VALUE"""),"Corrode")</f>
        <v>Corrode</v>
      </c>
      <c r="E270" s="189" t="str">
        <f>IFERROR(__xludf.DUMMYFUNCTION("""COMPUTED_VALUE"""),"Boars Gaming")</f>
        <v>Boars Gaming</v>
      </c>
      <c r="F270" s="189" t="str">
        <f>IFERROR(__xludf.DUMMYFUNCTION("""COMPUTED_VALUE"""),"Team Liquid Academy")</f>
        <v>Team Liquid Academy</v>
      </c>
      <c r="G270" s="189" t="str">
        <f>IFERROR(__xludf.DUMMYFUNCTION("""COMPUTED_VALUE"""),"Omen,Yoru,Chamber,Neon,Fade")</f>
        <v>Omen,Yoru,Chamber,Neon,Fade</v>
      </c>
      <c r="H270" s="189" t="str">
        <f>IFERROR(__xludf.DUMMYFUNCTION("""COMPUTED_VALUE"""),"Cypher,Phoenix,Omen,Yoru,Fade")</f>
        <v>Cypher,Phoenix,Omen,Yoru,Fade</v>
      </c>
      <c r="I270" s="189">
        <f>IFERROR(__xludf.DUMMYFUNCTION("""COMPUTED_VALUE"""),3.0)</f>
        <v>3</v>
      </c>
      <c r="J270" s="189">
        <f>IFERROR(__xludf.DUMMYFUNCTION("""COMPUTED_VALUE"""),13.0)</f>
        <v>13</v>
      </c>
      <c r="K270" s="189">
        <f>IFERROR(__xludf.DUMMYFUNCTION("""COMPUTED_VALUE"""),2.0)</f>
        <v>2</v>
      </c>
      <c r="L270" s="189">
        <f>IFERROR(__xludf.DUMMYFUNCTION("""COMPUTED_VALUE"""),10.0)</f>
        <v>10</v>
      </c>
      <c r="M270" s="189">
        <f>IFERROR(__xludf.DUMMYFUNCTION("""COMPUTED_VALUE"""),0.0)</f>
        <v>0</v>
      </c>
      <c r="N270" s="189">
        <f>IFERROR(__xludf.DUMMYFUNCTION("""COMPUTED_VALUE"""),0.0)</f>
        <v>0</v>
      </c>
      <c r="O270" s="189">
        <f>IFERROR(__xludf.DUMMYFUNCTION("""COMPUTED_VALUE"""),2.0)</f>
        <v>2</v>
      </c>
      <c r="P270" s="189">
        <f>IFERROR(__xludf.DUMMYFUNCTION("""COMPUTED_VALUE"""),10.0)</f>
        <v>10</v>
      </c>
      <c r="Q270" s="189">
        <f>IFERROR(__xludf.DUMMYFUNCTION("""COMPUTED_VALUE"""),1.0)</f>
        <v>1</v>
      </c>
      <c r="R270" s="189">
        <f>IFERROR(__xludf.DUMMYFUNCTION("""COMPUTED_VALUE"""),3.0)</f>
        <v>3</v>
      </c>
      <c r="S270" s="189">
        <f>IFERROR(__xludf.DUMMYFUNCTION("""COMPUTED_VALUE"""),1.0)</f>
        <v>1</v>
      </c>
      <c r="T270" s="189">
        <f>IFERROR(__xludf.DUMMYFUNCTION("""COMPUTED_VALUE"""),1.0)</f>
        <v>1</v>
      </c>
      <c r="U270" s="189">
        <f>IFERROR(__xludf.DUMMYFUNCTION("""COMPUTED_VALUE"""),3.0)</f>
        <v>3</v>
      </c>
      <c r="V270" s="189">
        <f>IFERROR(__xludf.DUMMYFUNCTION("""COMPUTED_VALUE"""),1.0)</f>
        <v>1</v>
      </c>
      <c r="W270" s="189">
        <f>IFERROR(__xludf.DUMMYFUNCTION("""COMPUTED_VALUE"""),10.0)</f>
        <v>10</v>
      </c>
      <c r="X270" s="189">
        <f>IFERROR(__xludf.DUMMYFUNCTION("""COMPUTED_VALUE"""),2.0)</f>
        <v>2</v>
      </c>
      <c r="Y270" s="189" t="str">
        <f>IFERROR(__xludf.DUMMYFUNCTION("""COMPUTED_VALUE"""),"2025-08-03T00:00:00.000Z")</f>
        <v>2025-08-03T00:00:00.000Z</v>
      </c>
      <c r="Z270" s="189" t="str">
        <f>IFERROR(__xludf.DUMMYFUNCTION("""COMPUTED_VALUE"""),"Boars Gaming_Corrode")</f>
        <v>Boars Gaming_Corrode</v>
      </c>
    </row>
    <row r="271">
      <c r="A271" s="189">
        <f>IFERROR(__xludf.DUMMYFUNCTION("""COMPUTED_VALUE"""),211956.0)</f>
        <v>211956</v>
      </c>
      <c r="B271" s="189">
        <f>IFERROR(__xludf.DUMMYFUNCTION("""COMPUTED_VALUE"""),93386.0)</f>
        <v>93386</v>
      </c>
      <c r="C271" s="189" t="str">
        <f>IFERROR(__xludf.DUMMYFUNCTION("""COMPUTED_VALUE"""),"Challengers League 2025 NORTH EAST: Split 3 - Playoffs")</f>
        <v>Challengers League 2025 NORTH EAST: Split 3 - Playoffs</v>
      </c>
      <c r="D271" s="189" t="str">
        <f>IFERROR(__xludf.DUMMYFUNCTION("""COMPUTED_VALUE"""),"Lotus")</f>
        <v>Lotus</v>
      </c>
      <c r="E271" s="189" t="str">
        <f>IFERROR(__xludf.DUMMYFUNCTION("""COMPUTED_VALUE"""),"Boars Gaming")</f>
        <v>Boars Gaming</v>
      </c>
      <c r="F271" s="189" t="str">
        <f>IFERROR(__xludf.DUMMYFUNCTION("""COMPUTED_VALUE"""),"Team Liquid Academy")</f>
        <v>Team Liquid Academy</v>
      </c>
      <c r="G271" s="189" t="str">
        <f>IFERROR(__xludf.DUMMYFUNCTION("""COMPUTED_VALUE"""),"Breach,Cypher,Omen,Neon,Fade")</f>
        <v>Breach,Cypher,Omen,Neon,Fade</v>
      </c>
      <c r="H271" s="189" t="str">
        <f>IFERROR(__xludf.DUMMYFUNCTION("""COMPUTED_VALUE"""),"Cypher,Omen,Neon,Fade,Iso")</f>
        <v>Cypher,Omen,Neon,Fade,Iso</v>
      </c>
      <c r="I271" s="189">
        <f>IFERROR(__xludf.DUMMYFUNCTION("""COMPUTED_VALUE"""),6.0)</f>
        <v>6</v>
      </c>
      <c r="J271" s="189">
        <f>IFERROR(__xludf.DUMMYFUNCTION("""COMPUTED_VALUE"""),13.0)</f>
        <v>13</v>
      </c>
      <c r="K271" s="189">
        <f>IFERROR(__xludf.DUMMYFUNCTION("""COMPUTED_VALUE"""),2.0)</f>
        <v>2</v>
      </c>
      <c r="L271" s="189">
        <f>IFERROR(__xludf.DUMMYFUNCTION("""COMPUTED_VALUE"""),10.0)</f>
        <v>10</v>
      </c>
      <c r="M271" s="189">
        <f>IFERROR(__xludf.DUMMYFUNCTION("""COMPUTED_VALUE"""),0.0)</f>
        <v>0</v>
      </c>
      <c r="N271" s="189">
        <f>IFERROR(__xludf.DUMMYFUNCTION("""COMPUTED_VALUE"""),1.0)</f>
        <v>1</v>
      </c>
      <c r="O271" s="189">
        <f>IFERROR(__xludf.DUMMYFUNCTION("""COMPUTED_VALUE"""),2.0)</f>
        <v>2</v>
      </c>
      <c r="P271" s="189">
        <f>IFERROR(__xludf.DUMMYFUNCTION("""COMPUTED_VALUE"""),10.0)</f>
        <v>10</v>
      </c>
      <c r="Q271" s="189">
        <f>IFERROR(__xludf.DUMMYFUNCTION("""COMPUTED_VALUE"""),4.0)</f>
        <v>4</v>
      </c>
      <c r="R271" s="189">
        <f>IFERROR(__xludf.DUMMYFUNCTION("""COMPUTED_VALUE"""),3.0)</f>
        <v>3</v>
      </c>
      <c r="S271" s="189">
        <f>IFERROR(__xludf.DUMMYFUNCTION("""COMPUTED_VALUE"""),0.0)</f>
        <v>0</v>
      </c>
      <c r="T271" s="189">
        <f>IFERROR(__xludf.DUMMYFUNCTION("""COMPUTED_VALUE"""),1.0)</f>
        <v>1</v>
      </c>
      <c r="U271" s="189">
        <f>IFERROR(__xludf.DUMMYFUNCTION("""COMPUTED_VALUE"""),3.0)</f>
        <v>3</v>
      </c>
      <c r="V271" s="189">
        <f>IFERROR(__xludf.DUMMYFUNCTION("""COMPUTED_VALUE"""),4.0)</f>
        <v>4</v>
      </c>
      <c r="W271" s="189">
        <f>IFERROR(__xludf.DUMMYFUNCTION("""COMPUTED_VALUE"""),10.0)</f>
        <v>10</v>
      </c>
      <c r="X271" s="189">
        <f>IFERROR(__xludf.DUMMYFUNCTION("""COMPUTED_VALUE"""),2.0)</f>
        <v>2</v>
      </c>
      <c r="Y271" s="189" t="str">
        <f>IFERROR(__xludf.DUMMYFUNCTION("""COMPUTED_VALUE"""),"2025-08-03T00:00:00.000Z")</f>
        <v>2025-08-03T00:00:00.000Z</v>
      </c>
      <c r="Z271" s="189" t="str">
        <f>IFERROR(__xludf.DUMMYFUNCTION("""COMPUTED_VALUE"""),"Boars Gaming_Lotus")</f>
        <v>Boars Gaming_Lotus</v>
      </c>
    </row>
    <row r="272">
      <c r="A272" s="189">
        <f>IFERROR(__xludf.DUMMYFUNCTION("""COMPUTED_VALUE"""),211599.0)</f>
        <v>211599</v>
      </c>
      <c r="B272" s="189">
        <f>IFERROR(__xludf.DUMMYFUNCTION("""COMPUTED_VALUE"""),93186.0)</f>
        <v>93186</v>
      </c>
      <c r="C272" s="189" t="str">
        <f>IFERROR(__xludf.DUMMYFUNCTION("""COMPUTED_VALUE"""),"Challengers League 2025 NORTH EAST: Split 3 - Playoffs")</f>
        <v>Challengers League 2025 NORTH EAST: Split 3 - Playoffs</v>
      </c>
      <c r="D272" s="189" t="str">
        <f>IFERROR(__xludf.DUMMYFUNCTION("""COMPUTED_VALUE"""),"Bind")</f>
        <v>Bind</v>
      </c>
      <c r="E272" s="189" t="str">
        <f>IFERROR(__xludf.DUMMYFUNCTION("""COMPUTED_VALUE"""),"Enterprise Esports")</f>
        <v>Enterprise Esports</v>
      </c>
      <c r="F272" s="189" t="str">
        <f>IFERROR(__xludf.DUMMYFUNCTION("""COMPUTED_VALUE"""),"děti ulice")</f>
        <v>děti ulice</v>
      </c>
      <c r="G272" s="189" t="str">
        <f>IFERROR(__xludf.DUMMYFUNCTION("""COMPUTED_VALUE"""),"Raze,Viper,Yoru,Astra,Fade")</f>
        <v>Raze,Viper,Yoru,Astra,Fade</v>
      </c>
      <c r="H272" s="189" t="str">
        <f>IFERROR(__xludf.DUMMYFUNCTION("""COMPUTED_VALUE"""),"Raze,Viper,Brimstone,Skye,Gekko")</f>
        <v>Raze,Viper,Brimstone,Skye,Gekko</v>
      </c>
      <c r="I272" s="189">
        <f>IFERROR(__xludf.DUMMYFUNCTION("""COMPUTED_VALUE"""),13.0)</f>
        <v>13</v>
      </c>
      <c r="J272" s="189">
        <f>IFERROR(__xludf.DUMMYFUNCTION("""COMPUTED_VALUE"""),3.0)</f>
        <v>3</v>
      </c>
      <c r="K272" s="189">
        <f>IFERROR(__xludf.DUMMYFUNCTION("""COMPUTED_VALUE"""),9.0)</f>
        <v>9</v>
      </c>
      <c r="L272" s="189">
        <f>IFERROR(__xludf.DUMMYFUNCTION("""COMPUTED_VALUE"""),3.0)</f>
        <v>3</v>
      </c>
      <c r="M272" s="189">
        <f>IFERROR(__xludf.DUMMYFUNCTION("""COMPUTED_VALUE"""),1.0)</f>
        <v>1</v>
      </c>
      <c r="N272" s="189">
        <f>IFERROR(__xludf.DUMMYFUNCTION("""COMPUTED_VALUE"""),1.0)</f>
        <v>1</v>
      </c>
      <c r="O272" s="189">
        <f>IFERROR(__xludf.DUMMYFUNCTION("""COMPUTED_VALUE"""),4.0)</f>
        <v>4</v>
      </c>
      <c r="P272" s="189">
        <f>IFERROR(__xludf.DUMMYFUNCTION("""COMPUTED_VALUE"""),0.0)</f>
        <v>0</v>
      </c>
      <c r="Q272" s="189">
        <f>IFERROR(__xludf.DUMMYFUNCTION("""COMPUTED_VALUE"""),9.0)</f>
        <v>9</v>
      </c>
      <c r="R272" s="189">
        <f>IFERROR(__xludf.DUMMYFUNCTION("""COMPUTED_VALUE"""),3.0)</f>
        <v>3</v>
      </c>
      <c r="S272" s="189">
        <f>IFERROR(__xludf.DUMMYFUNCTION("""COMPUTED_VALUE"""),0.0)</f>
        <v>0</v>
      </c>
      <c r="T272" s="189">
        <f>IFERROR(__xludf.DUMMYFUNCTION("""COMPUTED_VALUE"""),0.0)</f>
        <v>0</v>
      </c>
      <c r="U272" s="189">
        <f>IFERROR(__xludf.DUMMYFUNCTION("""COMPUTED_VALUE"""),3.0)</f>
        <v>3</v>
      </c>
      <c r="V272" s="189">
        <f>IFERROR(__xludf.DUMMYFUNCTION("""COMPUTED_VALUE"""),9.0)</f>
        <v>9</v>
      </c>
      <c r="W272" s="189">
        <f>IFERROR(__xludf.DUMMYFUNCTION("""COMPUTED_VALUE"""),0.0)</f>
        <v>0</v>
      </c>
      <c r="X272" s="189">
        <f>IFERROR(__xludf.DUMMYFUNCTION("""COMPUTED_VALUE"""),4.0)</f>
        <v>4</v>
      </c>
      <c r="Y272" s="189" t="str">
        <f>IFERROR(__xludf.DUMMYFUNCTION("""COMPUTED_VALUE"""),"2025-08-03T00:00:00.000Z")</f>
        <v>2025-08-03T00:00:00.000Z</v>
      </c>
      <c r="Z272" s="189" t="str">
        <f>IFERROR(__xludf.DUMMYFUNCTION("""COMPUTED_VALUE"""),"Enterprise Esports_Bind")</f>
        <v>Enterprise Esports_Bind</v>
      </c>
    </row>
    <row r="273">
      <c r="A273" s="189">
        <f>IFERROR(__xludf.DUMMYFUNCTION("""COMPUTED_VALUE"""),211598.0)</f>
        <v>211598</v>
      </c>
      <c r="B273" s="189">
        <f>IFERROR(__xludf.DUMMYFUNCTION("""COMPUTED_VALUE"""),93186.0)</f>
        <v>93186</v>
      </c>
      <c r="C273" s="189" t="str">
        <f>IFERROR(__xludf.DUMMYFUNCTION("""COMPUTED_VALUE"""),"Challengers League 2025 NORTH EAST: Split 3 - Playoffs")</f>
        <v>Challengers League 2025 NORTH EAST: Split 3 - Playoffs</v>
      </c>
      <c r="D273" s="189" t="str">
        <f>IFERROR(__xludf.DUMMYFUNCTION("""COMPUTED_VALUE"""),"Ascent")</f>
        <v>Ascent</v>
      </c>
      <c r="E273" s="189" t="str">
        <f>IFERROR(__xludf.DUMMYFUNCTION("""COMPUTED_VALUE"""),"Enterprise Esports")</f>
        <v>Enterprise Esports</v>
      </c>
      <c r="F273" s="189" t="str">
        <f>IFERROR(__xludf.DUMMYFUNCTION("""COMPUTED_VALUE"""),"děti ulice")</f>
        <v>děti ulice</v>
      </c>
      <c r="G273" s="189" t="str">
        <f>IFERROR(__xludf.DUMMYFUNCTION("""COMPUTED_VALUE"""),"Cypher,Sova,Omen,Jett,KAY/O")</f>
        <v>Cypher,Sova,Omen,Jett,KAY/O</v>
      </c>
      <c r="H273" s="189" t="str">
        <f>IFERROR(__xludf.DUMMYFUNCTION("""COMPUTED_VALUE"""),"Sova,Killjoy,Omen,Jett,KAY/O")</f>
        <v>Sova,Killjoy,Omen,Jett,KAY/O</v>
      </c>
      <c r="I273" s="189">
        <f>IFERROR(__xludf.DUMMYFUNCTION("""COMPUTED_VALUE"""),13.0)</f>
        <v>13</v>
      </c>
      <c r="J273" s="189">
        <f>IFERROR(__xludf.DUMMYFUNCTION("""COMPUTED_VALUE"""),6.0)</f>
        <v>6</v>
      </c>
      <c r="K273" s="189">
        <f>IFERROR(__xludf.DUMMYFUNCTION("""COMPUTED_VALUE"""),8.0)</f>
        <v>8</v>
      </c>
      <c r="L273" s="189">
        <f>IFERROR(__xludf.DUMMYFUNCTION("""COMPUTED_VALUE"""),4.0)</f>
        <v>4</v>
      </c>
      <c r="M273" s="189">
        <f>IFERROR(__xludf.DUMMYFUNCTION("""COMPUTED_VALUE"""),1.0)</f>
        <v>1</v>
      </c>
      <c r="N273" s="189">
        <f>IFERROR(__xludf.DUMMYFUNCTION("""COMPUTED_VALUE"""),1.0)</f>
        <v>1</v>
      </c>
      <c r="O273" s="189">
        <f>IFERROR(__xludf.DUMMYFUNCTION("""COMPUTED_VALUE"""),8.0)</f>
        <v>8</v>
      </c>
      <c r="P273" s="189">
        <f>IFERROR(__xludf.DUMMYFUNCTION("""COMPUTED_VALUE"""),4.0)</f>
        <v>4</v>
      </c>
      <c r="Q273" s="189">
        <f>IFERROR(__xludf.DUMMYFUNCTION("""COMPUTED_VALUE"""),5.0)</f>
        <v>5</v>
      </c>
      <c r="R273" s="189">
        <f>IFERROR(__xludf.DUMMYFUNCTION("""COMPUTED_VALUE"""),2.0)</f>
        <v>2</v>
      </c>
      <c r="S273" s="189">
        <f>IFERROR(__xludf.DUMMYFUNCTION("""COMPUTED_VALUE"""),0.0)</f>
        <v>0</v>
      </c>
      <c r="T273" s="189">
        <f>IFERROR(__xludf.DUMMYFUNCTION("""COMPUTED_VALUE"""),0.0)</f>
        <v>0</v>
      </c>
      <c r="U273" s="189">
        <f>IFERROR(__xludf.DUMMYFUNCTION("""COMPUTED_VALUE"""),2.0)</f>
        <v>2</v>
      </c>
      <c r="V273" s="189">
        <f>IFERROR(__xludf.DUMMYFUNCTION("""COMPUTED_VALUE"""),5.0)</f>
        <v>5</v>
      </c>
      <c r="W273" s="189">
        <f>IFERROR(__xludf.DUMMYFUNCTION("""COMPUTED_VALUE"""),4.0)</f>
        <v>4</v>
      </c>
      <c r="X273" s="189">
        <f>IFERROR(__xludf.DUMMYFUNCTION("""COMPUTED_VALUE"""),8.0)</f>
        <v>8</v>
      </c>
      <c r="Y273" s="189" t="str">
        <f>IFERROR(__xludf.DUMMYFUNCTION("""COMPUTED_VALUE"""),"2025-08-03T00:00:00.000Z")</f>
        <v>2025-08-03T00:00:00.000Z</v>
      </c>
      <c r="Z273" s="189" t="str">
        <f>IFERROR(__xludf.DUMMYFUNCTION("""COMPUTED_VALUE"""),"Enterprise Esports_Ascent")</f>
        <v>Enterprise Esports_Ascent</v>
      </c>
    </row>
    <row r="274">
      <c r="A274" s="189">
        <f>IFERROR(__xludf.DUMMYFUNCTION("""COMPUTED_VALUE"""),211597.0)</f>
        <v>211597</v>
      </c>
      <c r="B274" s="189">
        <f>IFERROR(__xludf.DUMMYFUNCTION("""COMPUTED_VALUE"""),93186.0)</f>
        <v>93186</v>
      </c>
      <c r="C274" s="189" t="str">
        <f>IFERROR(__xludf.DUMMYFUNCTION("""COMPUTED_VALUE"""),"Challengers League 2025 NORTH EAST: Split 3 - Playoffs")</f>
        <v>Challengers League 2025 NORTH EAST: Split 3 - Playoffs</v>
      </c>
      <c r="D274" s="189" t="str">
        <f>IFERROR(__xludf.DUMMYFUNCTION("""COMPUTED_VALUE"""),"Lotus")</f>
        <v>Lotus</v>
      </c>
      <c r="E274" s="189" t="str">
        <f>IFERROR(__xludf.DUMMYFUNCTION("""COMPUTED_VALUE"""),"Enterprise Esports")</f>
        <v>Enterprise Esports</v>
      </c>
      <c r="F274" s="189" t="str">
        <f>IFERROR(__xludf.DUMMYFUNCTION("""COMPUTED_VALUE"""),"děti ulice")</f>
        <v>děti ulice</v>
      </c>
      <c r="G274" s="189" t="str">
        <f>IFERROR(__xludf.DUMMYFUNCTION("""COMPUTED_VALUE"""),"Breach,Cypher,Omen,Neon,Fade")</f>
        <v>Breach,Cypher,Omen,Neon,Fade</v>
      </c>
      <c r="H274" s="189" t="str">
        <f>IFERROR(__xludf.DUMMYFUNCTION("""COMPUTED_VALUE"""),"Raze,Omen,Yoru,Fade,Vyse")</f>
        <v>Raze,Omen,Yoru,Fade,Vyse</v>
      </c>
      <c r="I274" s="189">
        <f>IFERROR(__xludf.DUMMYFUNCTION("""COMPUTED_VALUE"""),8.0)</f>
        <v>8</v>
      </c>
      <c r="J274" s="189">
        <f>IFERROR(__xludf.DUMMYFUNCTION("""COMPUTED_VALUE"""),13.0)</f>
        <v>13</v>
      </c>
      <c r="K274" s="189">
        <f>IFERROR(__xludf.DUMMYFUNCTION("""COMPUTED_VALUE"""),5.0)</f>
        <v>5</v>
      </c>
      <c r="L274" s="189">
        <f>IFERROR(__xludf.DUMMYFUNCTION("""COMPUTED_VALUE"""),7.0)</f>
        <v>7</v>
      </c>
      <c r="M274" s="189">
        <f>IFERROR(__xludf.DUMMYFUNCTION("""COMPUTED_VALUE"""),0.0)</f>
        <v>0</v>
      </c>
      <c r="N274" s="189">
        <f>IFERROR(__xludf.DUMMYFUNCTION("""COMPUTED_VALUE"""),0.0)</f>
        <v>0</v>
      </c>
      <c r="O274" s="189">
        <f>IFERROR(__xludf.DUMMYFUNCTION("""COMPUTED_VALUE"""),3.0)</f>
        <v>3</v>
      </c>
      <c r="P274" s="189">
        <f>IFERROR(__xludf.DUMMYFUNCTION("""COMPUTED_VALUE"""),6.0)</f>
        <v>6</v>
      </c>
      <c r="Q274" s="189">
        <f>IFERROR(__xludf.DUMMYFUNCTION("""COMPUTED_VALUE"""),5.0)</f>
        <v>5</v>
      </c>
      <c r="R274" s="189">
        <f>IFERROR(__xludf.DUMMYFUNCTION("""COMPUTED_VALUE"""),7.0)</f>
        <v>7</v>
      </c>
      <c r="S274" s="189">
        <f>IFERROR(__xludf.DUMMYFUNCTION("""COMPUTED_VALUE"""),1.0)</f>
        <v>1</v>
      </c>
      <c r="T274" s="189">
        <f>IFERROR(__xludf.DUMMYFUNCTION("""COMPUTED_VALUE"""),1.0)</f>
        <v>1</v>
      </c>
      <c r="U274" s="189">
        <f>IFERROR(__xludf.DUMMYFUNCTION("""COMPUTED_VALUE"""),7.0)</f>
        <v>7</v>
      </c>
      <c r="V274" s="189">
        <f>IFERROR(__xludf.DUMMYFUNCTION("""COMPUTED_VALUE"""),5.0)</f>
        <v>5</v>
      </c>
      <c r="W274" s="189">
        <f>IFERROR(__xludf.DUMMYFUNCTION("""COMPUTED_VALUE"""),6.0)</f>
        <v>6</v>
      </c>
      <c r="X274" s="189">
        <f>IFERROR(__xludf.DUMMYFUNCTION("""COMPUTED_VALUE"""),3.0)</f>
        <v>3</v>
      </c>
      <c r="Y274" s="189" t="str">
        <f>IFERROR(__xludf.DUMMYFUNCTION("""COMPUTED_VALUE"""),"2025-08-03T00:00:00.000Z")</f>
        <v>2025-08-03T00:00:00.000Z</v>
      </c>
      <c r="Z274" s="189" t="str">
        <f>IFERROR(__xludf.DUMMYFUNCTION("""COMPUTED_VALUE"""),"Enterprise Esports_Lotus")</f>
        <v>Enterprise Esports_Lotus</v>
      </c>
    </row>
    <row r="275">
      <c r="A275" s="189">
        <f>IFERROR(__xludf.DUMMYFUNCTION("""COMPUTED_VALUE"""),211222.0)</f>
        <v>211222</v>
      </c>
      <c r="B275" s="189">
        <f>IFERROR(__xludf.DUMMYFUNCTION("""COMPUTED_VALUE"""),92895.0)</f>
        <v>92895</v>
      </c>
      <c r="C275" s="189" t="str">
        <f>IFERROR(__xludf.DUMMYFUNCTION("""COMPUTED_VALUE"""),"Challengers League 2025 DACH: Evolution Stage 3 - Play-Ins")</f>
        <v>Challengers League 2025 DACH: Evolution Stage 3 - Play-Ins</v>
      </c>
      <c r="D275" s="189" t="str">
        <f>IFERROR(__xludf.DUMMYFUNCTION("""COMPUTED_VALUE"""),"Corrode")</f>
        <v>Corrode</v>
      </c>
      <c r="E275" s="189" t="str">
        <f>IFERROR(__xludf.DUMMYFUNCTION("""COMPUTED_VALUE"""),"MOUZ")</f>
        <v>MOUZ</v>
      </c>
      <c r="F275" s="189" t="str">
        <f>IFERROR(__xludf.DUMMYFUNCTION("""COMPUTED_VALUE"""),"RIZON")</f>
        <v>RIZON</v>
      </c>
      <c r="G275" s="189" t="str">
        <f>IFERROR(__xludf.DUMMYFUNCTION("""COMPUTED_VALUE"""),"Omen,Yoru,Chamber,Neon,Fade")</f>
        <v>Omen,Yoru,Chamber,Neon,Fade</v>
      </c>
      <c r="H275" s="189" t="str">
        <f>IFERROR(__xludf.DUMMYFUNCTION("""COMPUTED_VALUE"""),"Viper,Sage,Omen,Neon,Fade")</f>
        <v>Viper,Sage,Omen,Neon,Fade</v>
      </c>
      <c r="I275" s="189">
        <f>IFERROR(__xludf.DUMMYFUNCTION("""COMPUTED_VALUE"""),13.0)</f>
        <v>13</v>
      </c>
      <c r="J275" s="189">
        <f>IFERROR(__xludf.DUMMYFUNCTION("""COMPUTED_VALUE"""),8.0)</f>
        <v>8</v>
      </c>
      <c r="K275" s="189">
        <f>IFERROR(__xludf.DUMMYFUNCTION("""COMPUTED_VALUE"""),6.0)</f>
        <v>6</v>
      </c>
      <c r="L275" s="189">
        <f>IFERROR(__xludf.DUMMYFUNCTION("""COMPUTED_VALUE"""),6.0)</f>
        <v>6</v>
      </c>
      <c r="M275" s="189">
        <f>IFERROR(__xludf.DUMMYFUNCTION("""COMPUTED_VALUE"""),0.0)</f>
        <v>0</v>
      </c>
      <c r="N275" s="189">
        <f>IFERROR(__xludf.DUMMYFUNCTION("""COMPUTED_VALUE"""),1.0)</f>
        <v>1</v>
      </c>
      <c r="O275" s="189">
        <f>IFERROR(__xludf.DUMMYFUNCTION("""COMPUTED_VALUE"""),7.0)</f>
        <v>7</v>
      </c>
      <c r="P275" s="189">
        <f>IFERROR(__xludf.DUMMYFUNCTION("""COMPUTED_VALUE"""),2.0)</f>
        <v>2</v>
      </c>
      <c r="Q275" s="189">
        <f>IFERROR(__xludf.DUMMYFUNCTION("""COMPUTED_VALUE"""),6.0)</f>
        <v>6</v>
      </c>
      <c r="R275" s="189">
        <f>IFERROR(__xludf.DUMMYFUNCTION("""COMPUTED_VALUE"""),6.0)</f>
        <v>6</v>
      </c>
      <c r="S275" s="189">
        <f>IFERROR(__xludf.DUMMYFUNCTION("""COMPUTED_VALUE"""),0.0)</f>
        <v>0</v>
      </c>
      <c r="T275" s="189">
        <f>IFERROR(__xludf.DUMMYFUNCTION("""COMPUTED_VALUE"""),1.0)</f>
        <v>1</v>
      </c>
      <c r="U275" s="189">
        <f>IFERROR(__xludf.DUMMYFUNCTION("""COMPUTED_VALUE"""),6.0)</f>
        <v>6</v>
      </c>
      <c r="V275" s="189">
        <f>IFERROR(__xludf.DUMMYFUNCTION("""COMPUTED_VALUE"""),6.0)</f>
        <v>6</v>
      </c>
      <c r="W275" s="189">
        <f>IFERROR(__xludf.DUMMYFUNCTION("""COMPUTED_VALUE"""),2.0)</f>
        <v>2</v>
      </c>
      <c r="X275" s="189">
        <f>IFERROR(__xludf.DUMMYFUNCTION("""COMPUTED_VALUE"""),7.0)</f>
        <v>7</v>
      </c>
      <c r="Y275" s="189" t="str">
        <f>IFERROR(__xludf.DUMMYFUNCTION("""COMPUTED_VALUE"""),"2025-08-02T00:00:00.000Z")</f>
        <v>2025-08-02T00:00:00.000Z</v>
      </c>
      <c r="Z275" s="189" t="str">
        <f>IFERROR(__xludf.DUMMYFUNCTION("""COMPUTED_VALUE"""),"MOUZ_Corrode")</f>
        <v>MOUZ_Corrode</v>
      </c>
    </row>
    <row r="276">
      <c r="A276" s="189">
        <f>IFERROR(__xludf.DUMMYFUNCTION("""COMPUTED_VALUE"""),211221.0)</f>
        <v>211221</v>
      </c>
      <c r="B276" s="189">
        <f>IFERROR(__xludf.DUMMYFUNCTION("""COMPUTED_VALUE"""),92895.0)</f>
        <v>92895</v>
      </c>
      <c r="C276" s="189" t="str">
        <f>IFERROR(__xludf.DUMMYFUNCTION("""COMPUTED_VALUE"""),"Challengers League 2025 DACH: Evolution Stage 3 - Play-Ins")</f>
        <v>Challengers League 2025 DACH: Evolution Stage 3 - Play-Ins</v>
      </c>
      <c r="D276" s="189" t="str">
        <f>IFERROR(__xludf.DUMMYFUNCTION("""COMPUTED_VALUE"""),"Haven")</f>
        <v>Haven</v>
      </c>
      <c r="E276" s="189" t="str">
        <f>IFERROR(__xludf.DUMMYFUNCTION("""COMPUTED_VALUE"""),"MOUZ")</f>
        <v>MOUZ</v>
      </c>
      <c r="F276" s="189" t="str">
        <f>IFERROR(__xludf.DUMMYFUNCTION("""COMPUTED_VALUE"""),"RIZON")</f>
        <v>RIZON</v>
      </c>
      <c r="G276" s="189" t="str">
        <f>IFERROR(__xludf.DUMMYFUNCTION("""COMPUTED_VALUE"""),"Cypher,Sova,Omen,Yoru,Iso")</f>
        <v>Cypher,Sova,Omen,Yoru,Iso</v>
      </c>
      <c r="H276" s="189" t="str">
        <f>IFERROR(__xludf.DUMMYFUNCTION("""COMPUTED_VALUE"""),"Sova,Killjoy,Viper,Omen,Neon")</f>
        <v>Sova,Killjoy,Viper,Omen,Neon</v>
      </c>
      <c r="I276" s="189">
        <f>IFERROR(__xludf.DUMMYFUNCTION("""COMPUTED_VALUE"""),13.0)</f>
        <v>13</v>
      </c>
      <c r="J276" s="189">
        <f>IFERROR(__xludf.DUMMYFUNCTION("""COMPUTED_VALUE"""),10.0)</f>
        <v>10</v>
      </c>
      <c r="K276" s="189">
        <f>IFERROR(__xludf.DUMMYFUNCTION("""COMPUTED_VALUE"""),8.0)</f>
        <v>8</v>
      </c>
      <c r="L276" s="189">
        <f>IFERROR(__xludf.DUMMYFUNCTION("""COMPUTED_VALUE"""),4.0)</f>
        <v>4</v>
      </c>
      <c r="M276" s="189">
        <f>IFERROR(__xludf.DUMMYFUNCTION("""COMPUTED_VALUE"""),1.0)</f>
        <v>1</v>
      </c>
      <c r="N276" s="189">
        <f>IFERROR(__xludf.DUMMYFUNCTION("""COMPUTED_VALUE"""),0.0)</f>
        <v>0</v>
      </c>
      <c r="O276" s="189">
        <f>IFERROR(__xludf.DUMMYFUNCTION("""COMPUTED_VALUE"""),8.0)</f>
        <v>8</v>
      </c>
      <c r="P276" s="189">
        <f>IFERROR(__xludf.DUMMYFUNCTION("""COMPUTED_VALUE"""),4.0)</f>
        <v>4</v>
      </c>
      <c r="Q276" s="189">
        <f>IFERROR(__xludf.DUMMYFUNCTION("""COMPUTED_VALUE"""),5.0)</f>
        <v>5</v>
      </c>
      <c r="R276" s="189">
        <f>IFERROR(__xludf.DUMMYFUNCTION("""COMPUTED_VALUE"""),6.0)</f>
        <v>6</v>
      </c>
      <c r="S276" s="189">
        <f>IFERROR(__xludf.DUMMYFUNCTION("""COMPUTED_VALUE"""),1.0)</f>
        <v>1</v>
      </c>
      <c r="T276" s="189">
        <f>IFERROR(__xludf.DUMMYFUNCTION("""COMPUTED_VALUE"""),0.0)</f>
        <v>0</v>
      </c>
      <c r="U276" s="189">
        <f>IFERROR(__xludf.DUMMYFUNCTION("""COMPUTED_VALUE"""),6.0)</f>
        <v>6</v>
      </c>
      <c r="V276" s="189">
        <f>IFERROR(__xludf.DUMMYFUNCTION("""COMPUTED_VALUE"""),5.0)</f>
        <v>5</v>
      </c>
      <c r="W276" s="189">
        <f>IFERROR(__xludf.DUMMYFUNCTION("""COMPUTED_VALUE"""),4.0)</f>
        <v>4</v>
      </c>
      <c r="X276" s="189">
        <f>IFERROR(__xludf.DUMMYFUNCTION("""COMPUTED_VALUE"""),8.0)</f>
        <v>8</v>
      </c>
      <c r="Y276" s="189" t="str">
        <f>IFERROR(__xludf.DUMMYFUNCTION("""COMPUTED_VALUE"""),"2025-08-02T00:00:00.000Z")</f>
        <v>2025-08-02T00:00:00.000Z</v>
      </c>
      <c r="Z276" s="189" t="str">
        <f>IFERROR(__xludf.DUMMYFUNCTION("""COMPUTED_VALUE"""),"MOUZ_Haven")</f>
        <v>MOUZ_Haven</v>
      </c>
    </row>
    <row r="277">
      <c r="A277" s="189">
        <f>IFERROR(__xludf.DUMMYFUNCTION("""COMPUTED_VALUE"""),211234.0)</f>
        <v>211234</v>
      </c>
      <c r="B277" s="189">
        <f>IFERROR(__xludf.DUMMYFUNCTION("""COMPUTED_VALUE"""),92899.0)</f>
        <v>92899</v>
      </c>
      <c r="C277" s="189" t="str">
        <f>IFERROR(__xludf.DUMMYFUNCTION("""COMPUTED_VALUE"""),"Challengers League 2025 NORTH EAST: Split 3 - Playoffs")</f>
        <v>Challengers League 2025 NORTH EAST: Split 3 - Playoffs</v>
      </c>
      <c r="D277" s="189" t="str">
        <f>IFERROR(__xludf.DUMMYFUNCTION("""COMPUTED_VALUE"""),"Corrode")</f>
        <v>Corrode</v>
      </c>
      <c r="E277" s="189" t="str">
        <f>IFERROR(__xludf.DUMMYFUNCTION("""COMPUTED_VALUE"""),"Enterprise Esports")</f>
        <v>Enterprise Esports</v>
      </c>
      <c r="F277" s="189" t="str">
        <f>IFERROR(__xludf.DUMMYFUNCTION("""COMPUTED_VALUE"""),"Team Liquid Academy")</f>
        <v>Team Liquid Academy</v>
      </c>
      <c r="G277" s="189" t="str">
        <f>IFERROR(__xludf.DUMMYFUNCTION("""COMPUTED_VALUE"""),"Sova,Viper,Omen,Yoru,Fade")</f>
        <v>Sova,Viper,Omen,Yoru,Fade</v>
      </c>
      <c r="H277" s="189" t="str">
        <f>IFERROR(__xludf.DUMMYFUNCTION("""COMPUTED_VALUE"""),"Cypher,Phoenix,Omen,Yoru,Fade")</f>
        <v>Cypher,Phoenix,Omen,Yoru,Fade</v>
      </c>
      <c r="I277" s="189">
        <f>IFERROR(__xludf.DUMMYFUNCTION("""COMPUTED_VALUE"""),13.0)</f>
        <v>13</v>
      </c>
      <c r="J277" s="189">
        <f>IFERROR(__xludf.DUMMYFUNCTION("""COMPUTED_VALUE"""),11.0)</f>
        <v>11</v>
      </c>
      <c r="K277" s="189">
        <f>IFERROR(__xludf.DUMMYFUNCTION("""COMPUTED_VALUE"""),7.0)</f>
        <v>7</v>
      </c>
      <c r="L277" s="189">
        <f>IFERROR(__xludf.DUMMYFUNCTION("""COMPUTED_VALUE"""),5.0)</f>
        <v>5</v>
      </c>
      <c r="M277" s="189">
        <f>IFERROR(__xludf.DUMMYFUNCTION("""COMPUTED_VALUE"""),1.0)</f>
        <v>1</v>
      </c>
      <c r="N277" s="189">
        <f>IFERROR(__xludf.DUMMYFUNCTION("""COMPUTED_VALUE"""),0.0)</f>
        <v>0</v>
      </c>
      <c r="O277" s="189">
        <f>IFERROR(__xludf.DUMMYFUNCTION("""COMPUTED_VALUE"""),6.0)</f>
        <v>6</v>
      </c>
      <c r="P277" s="189">
        <f>IFERROR(__xludf.DUMMYFUNCTION("""COMPUTED_VALUE"""),6.0)</f>
        <v>6</v>
      </c>
      <c r="Q277" s="189">
        <f>IFERROR(__xludf.DUMMYFUNCTION("""COMPUTED_VALUE"""),7.0)</f>
        <v>7</v>
      </c>
      <c r="R277" s="189">
        <f>IFERROR(__xludf.DUMMYFUNCTION("""COMPUTED_VALUE"""),5.0)</f>
        <v>5</v>
      </c>
      <c r="S277" s="189">
        <f>IFERROR(__xludf.DUMMYFUNCTION("""COMPUTED_VALUE"""),1.0)</f>
        <v>1</v>
      </c>
      <c r="T277" s="189">
        <f>IFERROR(__xludf.DUMMYFUNCTION("""COMPUTED_VALUE"""),0.0)</f>
        <v>0</v>
      </c>
      <c r="U277" s="189">
        <f>IFERROR(__xludf.DUMMYFUNCTION("""COMPUTED_VALUE"""),5.0)</f>
        <v>5</v>
      </c>
      <c r="V277" s="189">
        <f>IFERROR(__xludf.DUMMYFUNCTION("""COMPUTED_VALUE"""),7.0)</f>
        <v>7</v>
      </c>
      <c r="W277" s="189">
        <f>IFERROR(__xludf.DUMMYFUNCTION("""COMPUTED_VALUE"""),6.0)</f>
        <v>6</v>
      </c>
      <c r="X277" s="189">
        <f>IFERROR(__xludf.DUMMYFUNCTION("""COMPUTED_VALUE"""),6.0)</f>
        <v>6</v>
      </c>
      <c r="Y277" s="189" t="str">
        <f>IFERROR(__xludf.DUMMYFUNCTION("""COMPUTED_VALUE"""),"2025-07-29T00:00:00.000Z")</f>
        <v>2025-07-29T00:00:00.000Z</v>
      </c>
      <c r="Z277" s="189" t="str">
        <f>IFERROR(__xludf.DUMMYFUNCTION("""COMPUTED_VALUE"""),"Enterprise Esports_Corrode")</f>
        <v>Enterprise Esports_Corrode</v>
      </c>
    </row>
    <row r="278">
      <c r="A278" s="189">
        <f>IFERROR(__xludf.DUMMYFUNCTION("""COMPUTED_VALUE"""),208425.0)</f>
        <v>208425</v>
      </c>
      <c r="B278" s="189">
        <f>IFERROR(__xludf.DUMMYFUNCTION("""COMPUTED_VALUE"""),91790.0)</f>
        <v>91790</v>
      </c>
      <c r="C278" s="189" t="str">
        <f>IFERROR(__xludf.DUMMYFUNCTION("""COMPUTED_VALUE"""),"Challengers League 2025 Türkiye Birlik: Split 3 - Group Stage")</f>
        <v>Challengers League 2025 Türkiye Birlik: Split 3 - Group Stage</v>
      </c>
      <c r="D278" s="189" t="str">
        <f>IFERROR(__xludf.DUMMYFUNCTION("""COMPUTED_VALUE"""),"Corrode")</f>
        <v>Corrode</v>
      </c>
      <c r="E278" s="189" t="str">
        <f>IFERROR(__xludf.DUMMYFUNCTION("""COMPUTED_VALUE"""),"BBL PCIFIC")</f>
        <v>BBL PCIFIC</v>
      </c>
      <c r="F278" s="189" t="str">
        <f>IFERROR(__xludf.DUMMYFUNCTION("""COMPUTED_VALUE"""),"Fenerbahçe Esports")</f>
        <v>Fenerbahçe Esports</v>
      </c>
      <c r="G278" s="189" t="str">
        <f>IFERROR(__xludf.DUMMYFUNCTION("""COMPUTED_VALUE"""),"Viper,Omen,Neon,Fade,Vyse")</f>
        <v>Viper,Omen,Neon,Fade,Vyse</v>
      </c>
      <c r="H278" s="189" t="str">
        <f>IFERROR(__xludf.DUMMYFUNCTION("""COMPUTED_VALUE"""),"Raze,Yoru,Astra,Fade,Vyse")</f>
        <v>Raze,Yoru,Astra,Fade,Vyse</v>
      </c>
      <c r="I278" s="189">
        <f>IFERROR(__xludf.DUMMYFUNCTION("""COMPUTED_VALUE"""),13.0)</f>
        <v>13</v>
      </c>
      <c r="J278" s="189">
        <f>IFERROR(__xludf.DUMMYFUNCTION("""COMPUTED_VALUE"""),6.0)</f>
        <v>6</v>
      </c>
      <c r="K278" s="189">
        <f>IFERROR(__xludf.DUMMYFUNCTION("""COMPUTED_VALUE"""),8.0)</f>
        <v>8</v>
      </c>
      <c r="L278" s="189">
        <f>IFERROR(__xludf.DUMMYFUNCTION("""COMPUTED_VALUE"""),4.0)</f>
        <v>4</v>
      </c>
      <c r="M278" s="189">
        <f>IFERROR(__xludf.DUMMYFUNCTION("""COMPUTED_VALUE"""),1.0)</f>
        <v>1</v>
      </c>
      <c r="N278" s="189">
        <f>IFERROR(__xludf.DUMMYFUNCTION("""COMPUTED_VALUE"""),1.0)</f>
        <v>1</v>
      </c>
      <c r="O278" s="189">
        <f>IFERROR(__xludf.DUMMYFUNCTION("""COMPUTED_VALUE"""),5.0)</f>
        <v>5</v>
      </c>
      <c r="P278" s="189">
        <f>IFERROR(__xludf.DUMMYFUNCTION("""COMPUTED_VALUE"""),2.0)</f>
        <v>2</v>
      </c>
      <c r="Q278" s="189">
        <f>IFERROR(__xludf.DUMMYFUNCTION("""COMPUTED_VALUE"""),8.0)</f>
        <v>8</v>
      </c>
      <c r="R278" s="189">
        <f>IFERROR(__xludf.DUMMYFUNCTION("""COMPUTED_VALUE"""),4.0)</f>
        <v>4</v>
      </c>
      <c r="S278" s="189">
        <f>IFERROR(__xludf.DUMMYFUNCTION("""COMPUTED_VALUE"""),0.0)</f>
        <v>0</v>
      </c>
      <c r="T278" s="189">
        <f>IFERROR(__xludf.DUMMYFUNCTION("""COMPUTED_VALUE"""),0.0)</f>
        <v>0</v>
      </c>
      <c r="U278" s="189">
        <f>IFERROR(__xludf.DUMMYFUNCTION("""COMPUTED_VALUE"""),4.0)</f>
        <v>4</v>
      </c>
      <c r="V278" s="189">
        <f>IFERROR(__xludf.DUMMYFUNCTION("""COMPUTED_VALUE"""),8.0)</f>
        <v>8</v>
      </c>
      <c r="W278" s="189">
        <f>IFERROR(__xludf.DUMMYFUNCTION("""COMPUTED_VALUE"""),2.0)</f>
        <v>2</v>
      </c>
      <c r="X278" s="189">
        <f>IFERROR(__xludf.DUMMYFUNCTION("""COMPUTED_VALUE"""),5.0)</f>
        <v>5</v>
      </c>
      <c r="Y278" s="189" t="str">
        <f>IFERROR(__xludf.DUMMYFUNCTION("""COMPUTED_VALUE"""),"2025-07-29T00:00:00.000Z")</f>
        <v>2025-07-29T00:00:00.000Z</v>
      </c>
      <c r="Z278" s="189" t="str">
        <f>IFERROR(__xludf.DUMMYFUNCTION("""COMPUTED_VALUE"""),"BBL PCIFIC_Corrode")</f>
        <v>BBL PCIFIC_Corrode</v>
      </c>
    </row>
    <row r="279">
      <c r="A279" s="189">
        <f>IFERROR(__xludf.DUMMYFUNCTION("""COMPUTED_VALUE"""),211233.0)</f>
        <v>211233</v>
      </c>
      <c r="B279" s="189">
        <f>IFERROR(__xludf.DUMMYFUNCTION("""COMPUTED_VALUE"""),92899.0)</f>
        <v>92899</v>
      </c>
      <c r="C279" s="189" t="str">
        <f>IFERROR(__xludf.DUMMYFUNCTION("""COMPUTED_VALUE"""),"Challengers League 2025 NORTH EAST: Split 3 - Playoffs")</f>
        <v>Challengers League 2025 NORTH EAST: Split 3 - Playoffs</v>
      </c>
      <c r="D279" s="189" t="str">
        <f>IFERROR(__xludf.DUMMYFUNCTION("""COMPUTED_VALUE"""),"Ascent")</f>
        <v>Ascent</v>
      </c>
      <c r="E279" s="189" t="str">
        <f>IFERROR(__xludf.DUMMYFUNCTION("""COMPUTED_VALUE"""),"Enterprise Esports")</f>
        <v>Enterprise Esports</v>
      </c>
      <c r="F279" s="189" t="str">
        <f>IFERROR(__xludf.DUMMYFUNCTION("""COMPUTED_VALUE"""),"Team Liquid Academy")</f>
        <v>Team Liquid Academy</v>
      </c>
      <c r="G279" s="189" t="str">
        <f>IFERROR(__xludf.DUMMYFUNCTION("""COMPUTED_VALUE"""),"Cypher,Sova,Omen,Jett,KAY/O")</f>
        <v>Cypher,Sova,Omen,Jett,KAY/O</v>
      </c>
      <c r="H279" s="189" t="str">
        <f>IFERROR(__xludf.DUMMYFUNCTION("""COMPUTED_VALUE"""),"Sova,Omen,Yoru,Vyse,Waylay")</f>
        <v>Sova,Omen,Yoru,Vyse,Waylay</v>
      </c>
      <c r="I279" s="189">
        <f>IFERROR(__xludf.DUMMYFUNCTION("""COMPUTED_VALUE"""),13.0)</f>
        <v>13</v>
      </c>
      <c r="J279" s="189">
        <f>IFERROR(__xludf.DUMMYFUNCTION("""COMPUTED_VALUE"""),10.0)</f>
        <v>10</v>
      </c>
      <c r="K279" s="189">
        <f>IFERROR(__xludf.DUMMYFUNCTION("""COMPUTED_VALUE"""),6.0)</f>
        <v>6</v>
      </c>
      <c r="L279" s="189">
        <f>IFERROR(__xludf.DUMMYFUNCTION("""COMPUTED_VALUE"""),6.0)</f>
        <v>6</v>
      </c>
      <c r="M279" s="189">
        <f>IFERROR(__xludf.DUMMYFUNCTION("""COMPUTED_VALUE"""),0.0)</f>
        <v>0</v>
      </c>
      <c r="N279" s="189">
        <f>IFERROR(__xludf.DUMMYFUNCTION("""COMPUTED_VALUE"""),1.0)</f>
        <v>1</v>
      </c>
      <c r="O279" s="189">
        <f>IFERROR(__xludf.DUMMYFUNCTION("""COMPUTED_VALUE"""),6.0)</f>
        <v>6</v>
      </c>
      <c r="P279" s="189">
        <f>IFERROR(__xludf.DUMMYFUNCTION("""COMPUTED_VALUE"""),6.0)</f>
        <v>6</v>
      </c>
      <c r="Q279" s="189">
        <f>IFERROR(__xludf.DUMMYFUNCTION("""COMPUTED_VALUE"""),7.0)</f>
        <v>7</v>
      </c>
      <c r="R279" s="189">
        <f>IFERROR(__xludf.DUMMYFUNCTION("""COMPUTED_VALUE"""),4.0)</f>
        <v>4</v>
      </c>
      <c r="S279" s="189">
        <f>IFERROR(__xludf.DUMMYFUNCTION("""COMPUTED_VALUE"""),0.0)</f>
        <v>0</v>
      </c>
      <c r="T279" s="189">
        <f>IFERROR(__xludf.DUMMYFUNCTION("""COMPUTED_VALUE"""),1.0)</f>
        <v>1</v>
      </c>
      <c r="U279" s="189">
        <f>IFERROR(__xludf.DUMMYFUNCTION("""COMPUTED_VALUE"""),4.0)</f>
        <v>4</v>
      </c>
      <c r="V279" s="189">
        <f>IFERROR(__xludf.DUMMYFUNCTION("""COMPUTED_VALUE"""),7.0)</f>
        <v>7</v>
      </c>
      <c r="W279" s="189">
        <f>IFERROR(__xludf.DUMMYFUNCTION("""COMPUTED_VALUE"""),6.0)</f>
        <v>6</v>
      </c>
      <c r="X279" s="189">
        <f>IFERROR(__xludf.DUMMYFUNCTION("""COMPUTED_VALUE"""),6.0)</f>
        <v>6</v>
      </c>
      <c r="Y279" s="189" t="str">
        <f>IFERROR(__xludf.DUMMYFUNCTION("""COMPUTED_VALUE"""),"2025-07-29T00:00:00.000Z")</f>
        <v>2025-07-29T00:00:00.000Z</v>
      </c>
      <c r="Z279" s="189" t="str">
        <f>IFERROR(__xludf.DUMMYFUNCTION("""COMPUTED_VALUE"""),"Enterprise Esports_Ascent")</f>
        <v>Enterprise Esports_Ascent</v>
      </c>
    </row>
    <row r="280">
      <c r="A280" s="189">
        <f>IFERROR(__xludf.DUMMYFUNCTION("""COMPUTED_VALUE"""),208424.0)</f>
        <v>208424</v>
      </c>
      <c r="B280" s="189">
        <f>IFERROR(__xludf.DUMMYFUNCTION("""COMPUTED_VALUE"""),91790.0)</f>
        <v>91790</v>
      </c>
      <c r="C280" s="189" t="str">
        <f>IFERROR(__xludf.DUMMYFUNCTION("""COMPUTED_VALUE"""),"Challengers League 2025 Türkiye Birlik: Split 3 - Group Stage")</f>
        <v>Challengers League 2025 Türkiye Birlik: Split 3 - Group Stage</v>
      </c>
      <c r="D280" s="189" t="str">
        <f>IFERROR(__xludf.DUMMYFUNCTION("""COMPUTED_VALUE"""),"Haven")</f>
        <v>Haven</v>
      </c>
      <c r="E280" s="189" t="str">
        <f>IFERROR(__xludf.DUMMYFUNCTION("""COMPUTED_VALUE"""),"BBL PCIFIC")</f>
        <v>BBL PCIFIC</v>
      </c>
      <c r="F280" s="189" t="str">
        <f>IFERROR(__xludf.DUMMYFUNCTION("""COMPUTED_VALUE"""),"Fenerbahçe Esports")</f>
        <v>Fenerbahçe Esports</v>
      </c>
      <c r="G280" s="189" t="str">
        <f>IFERROR(__xludf.DUMMYFUNCTION("""COMPUTED_VALUE"""),"Breach,Cypher,Sova,Omen,Jett")</f>
        <v>Breach,Cypher,Sova,Omen,Jett</v>
      </c>
      <c r="H280" s="189" t="str">
        <f>IFERROR(__xludf.DUMMYFUNCTION("""COMPUTED_VALUE"""),"Sova,Killjoy,Viper,Omen,Neon")</f>
        <v>Sova,Killjoy,Viper,Omen,Neon</v>
      </c>
      <c r="I280" s="189">
        <f>IFERROR(__xludf.DUMMYFUNCTION("""COMPUTED_VALUE"""),13.0)</f>
        <v>13</v>
      </c>
      <c r="J280" s="189">
        <f>IFERROR(__xludf.DUMMYFUNCTION("""COMPUTED_VALUE"""),9.0)</f>
        <v>9</v>
      </c>
      <c r="K280" s="189">
        <f>IFERROR(__xludf.DUMMYFUNCTION("""COMPUTED_VALUE"""),9.0)</f>
        <v>9</v>
      </c>
      <c r="L280" s="189">
        <f>IFERROR(__xludf.DUMMYFUNCTION("""COMPUTED_VALUE"""),3.0)</f>
        <v>3</v>
      </c>
      <c r="M280" s="189">
        <f>IFERROR(__xludf.DUMMYFUNCTION("""COMPUTED_VALUE"""),0.0)</f>
        <v>0</v>
      </c>
      <c r="N280" s="189">
        <f>IFERROR(__xludf.DUMMYFUNCTION("""COMPUTED_VALUE"""),0.0)</f>
        <v>0</v>
      </c>
      <c r="O280" s="189">
        <f>IFERROR(__xludf.DUMMYFUNCTION("""COMPUTED_VALUE"""),4.0)</f>
        <v>4</v>
      </c>
      <c r="P280" s="189">
        <f>IFERROR(__xludf.DUMMYFUNCTION("""COMPUTED_VALUE"""),6.0)</f>
        <v>6</v>
      </c>
      <c r="Q280" s="189">
        <f>IFERROR(__xludf.DUMMYFUNCTION("""COMPUTED_VALUE"""),9.0)</f>
        <v>9</v>
      </c>
      <c r="R280" s="189">
        <f>IFERROR(__xludf.DUMMYFUNCTION("""COMPUTED_VALUE"""),3.0)</f>
        <v>3</v>
      </c>
      <c r="S280" s="189">
        <f>IFERROR(__xludf.DUMMYFUNCTION("""COMPUTED_VALUE"""),1.0)</f>
        <v>1</v>
      </c>
      <c r="T280" s="189">
        <f>IFERROR(__xludf.DUMMYFUNCTION("""COMPUTED_VALUE"""),1.0)</f>
        <v>1</v>
      </c>
      <c r="U280" s="189">
        <f>IFERROR(__xludf.DUMMYFUNCTION("""COMPUTED_VALUE"""),3.0)</f>
        <v>3</v>
      </c>
      <c r="V280" s="189">
        <f>IFERROR(__xludf.DUMMYFUNCTION("""COMPUTED_VALUE"""),9.0)</f>
        <v>9</v>
      </c>
      <c r="W280" s="189">
        <f>IFERROR(__xludf.DUMMYFUNCTION("""COMPUTED_VALUE"""),6.0)</f>
        <v>6</v>
      </c>
      <c r="X280" s="189">
        <f>IFERROR(__xludf.DUMMYFUNCTION("""COMPUTED_VALUE"""),4.0)</f>
        <v>4</v>
      </c>
      <c r="Y280" s="189" t="str">
        <f>IFERROR(__xludf.DUMMYFUNCTION("""COMPUTED_VALUE"""),"2025-07-29T00:00:00.000Z")</f>
        <v>2025-07-29T00:00:00.000Z</v>
      </c>
      <c r="Z280" s="189" t="str">
        <f>IFERROR(__xludf.DUMMYFUNCTION("""COMPUTED_VALUE"""),"BBL PCIFIC_Haven")</f>
        <v>BBL PCIFIC_Haven</v>
      </c>
    </row>
    <row r="281">
      <c r="A281" s="189">
        <f>IFERROR(__xludf.DUMMYFUNCTION("""COMPUTED_VALUE"""),211217.0)</f>
        <v>211217</v>
      </c>
      <c r="B281" s="189">
        <f>IFERROR(__xludf.DUMMYFUNCTION("""COMPUTED_VALUE"""),92893.0)</f>
        <v>92893</v>
      </c>
      <c r="C281" s="189" t="str">
        <f>IFERROR(__xludf.DUMMYFUNCTION("""COMPUTED_VALUE"""),"Challengers League 2025 NORTH EAST: Split 3 - Playoffs")</f>
        <v>Challengers League 2025 NORTH EAST: Split 3 - Playoffs</v>
      </c>
      <c r="D281" s="189" t="str">
        <f>IFERROR(__xludf.DUMMYFUNCTION("""COMPUTED_VALUE"""),"Haven")</f>
        <v>Haven</v>
      </c>
      <c r="E281" s="189" t="str">
        <f>IFERROR(__xludf.DUMMYFUNCTION("""COMPUTED_VALUE"""),"Boars Gaming")</f>
        <v>Boars Gaming</v>
      </c>
      <c r="F281" s="189" t="str">
        <f>IFERROR(__xludf.DUMMYFUNCTION("""COMPUTED_VALUE"""),"děti ulice")</f>
        <v>děti ulice</v>
      </c>
      <c r="G281" s="189" t="str">
        <f>IFERROR(__xludf.DUMMYFUNCTION("""COMPUTED_VALUE"""),"Breach,Cypher,Sova,Omen,Neon")</f>
        <v>Breach,Cypher,Sova,Omen,Neon</v>
      </c>
      <c r="H281" s="189" t="str">
        <f>IFERROR(__xludf.DUMMYFUNCTION("""COMPUTED_VALUE"""),"Cypher,Sova,Omen,Yoru,Iso")</f>
        <v>Cypher,Sova,Omen,Yoru,Iso</v>
      </c>
      <c r="I281" s="189">
        <f>IFERROR(__xludf.DUMMYFUNCTION("""COMPUTED_VALUE"""),6.0)</f>
        <v>6</v>
      </c>
      <c r="J281" s="189">
        <f>IFERROR(__xludf.DUMMYFUNCTION("""COMPUTED_VALUE"""),13.0)</f>
        <v>13</v>
      </c>
      <c r="K281" s="189">
        <f>IFERROR(__xludf.DUMMYFUNCTION("""COMPUTED_VALUE"""),3.0)</f>
        <v>3</v>
      </c>
      <c r="L281" s="189">
        <f>IFERROR(__xludf.DUMMYFUNCTION("""COMPUTED_VALUE"""),9.0)</f>
        <v>9</v>
      </c>
      <c r="M281" s="189">
        <f>IFERROR(__xludf.DUMMYFUNCTION("""COMPUTED_VALUE"""),0.0)</f>
        <v>0</v>
      </c>
      <c r="N281" s="189">
        <f>IFERROR(__xludf.DUMMYFUNCTION("""COMPUTED_VALUE"""),0.0)</f>
        <v>0</v>
      </c>
      <c r="O281" s="189">
        <f>IFERROR(__xludf.DUMMYFUNCTION("""COMPUTED_VALUE"""),3.0)</f>
        <v>3</v>
      </c>
      <c r="P281" s="189">
        <f>IFERROR(__xludf.DUMMYFUNCTION("""COMPUTED_VALUE"""),4.0)</f>
        <v>4</v>
      </c>
      <c r="Q281" s="189">
        <f>IFERROR(__xludf.DUMMYFUNCTION("""COMPUTED_VALUE"""),3.0)</f>
        <v>3</v>
      </c>
      <c r="R281" s="189">
        <f>IFERROR(__xludf.DUMMYFUNCTION("""COMPUTED_VALUE"""),9.0)</f>
        <v>9</v>
      </c>
      <c r="S281" s="189">
        <f>IFERROR(__xludf.DUMMYFUNCTION("""COMPUTED_VALUE"""),1.0)</f>
        <v>1</v>
      </c>
      <c r="T281" s="189">
        <f>IFERROR(__xludf.DUMMYFUNCTION("""COMPUTED_VALUE"""),1.0)</f>
        <v>1</v>
      </c>
      <c r="U281" s="189">
        <f>IFERROR(__xludf.DUMMYFUNCTION("""COMPUTED_VALUE"""),9.0)</f>
        <v>9</v>
      </c>
      <c r="V281" s="189">
        <f>IFERROR(__xludf.DUMMYFUNCTION("""COMPUTED_VALUE"""),3.0)</f>
        <v>3</v>
      </c>
      <c r="W281" s="189">
        <f>IFERROR(__xludf.DUMMYFUNCTION("""COMPUTED_VALUE"""),4.0)</f>
        <v>4</v>
      </c>
      <c r="X281" s="189">
        <f>IFERROR(__xludf.DUMMYFUNCTION("""COMPUTED_VALUE"""),3.0)</f>
        <v>3</v>
      </c>
      <c r="Y281" s="189" t="str">
        <f>IFERROR(__xludf.DUMMYFUNCTION("""COMPUTED_VALUE"""),"2025-07-29T00:00:00.000Z")</f>
        <v>2025-07-29T00:00:00.000Z</v>
      </c>
      <c r="Z281" s="189" t="str">
        <f>IFERROR(__xludf.DUMMYFUNCTION("""COMPUTED_VALUE"""),"Boars Gaming_Haven")</f>
        <v>Boars Gaming_Haven</v>
      </c>
    </row>
    <row r="282">
      <c r="A282" s="189">
        <f>IFERROR(__xludf.DUMMYFUNCTION("""COMPUTED_VALUE"""),211216.0)</f>
        <v>211216</v>
      </c>
      <c r="B282" s="189">
        <f>IFERROR(__xludf.DUMMYFUNCTION("""COMPUTED_VALUE"""),92893.0)</f>
        <v>92893</v>
      </c>
      <c r="C282" s="189" t="str">
        <f>IFERROR(__xludf.DUMMYFUNCTION("""COMPUTED_VALUE"""),"Challengers League 2025 NORTH EAST: Split 3 - Playoffs")</f>
        <v>Challengers League 2025 NORTH EAST: Split 3 - Playoffs</v>
      </c>
      <c r="D282" s="189" t="str">
        <f>IFERROR(__xludf.DUMMYFUNCTION("""COMPUTED_VALUE"""),"Lotus")</f>
        <v>Lotus</v>
      </c>
      <c r="E282" s="189" t="str">
        <f>IFERROR(__xludf.DUMMYFUNCTION("""COMPUTED_VALUE"""),"Boars Gaming")</f>
        <v>Boars Gaming</v>
      </c>
      <c r="F282" s="189" t="str">
        <f>IFERROR(__xludf.DUMMYFUNCTION("""COMPUTED_VALUE"""),"děti ulice")</f>
        <v>děti ulice</v>
      </c>
      <c r="G282" s="189" t="str">
        <f>IFERROR(__xludf.DUMMYFUNCTION("""COMPUTED_VALUE"""),"Breach,Cypher,Omen,Neon,Fade")</f>
        <v>Breach,Cypher,Omen,Neon,Fade</v>
      </c>
      <c r="H282" s="189" t="str">
        <f>IFERROR(__xludf.DUMMYFUNCTION("""COMPUTED_VALUE"""),"Raze,Omen,Yoru,Fade,Vyse")</f>
        <v>Raze,Omen,Yoru,Fade,Vyse</v>
      </c>
      <c r="I282" s="189">
        <f>IFERROR(__xludf.DUMMYFUNCTION("""COMPUTED_VALUE"""),16.0)</f>
        <v>16</v>
      </c>
      <c r="J282" s="189">
        <f>IFERROR(__xludf.DUMMYFUNCTION("""COMPUTED_VALUE"""),18.0)</f>
        <v>18</v>
      </c>
      <c r="K282" s="189">
        <f>IFERROR(__xludf.DUMMYFUNCTION("""COMPUTED_VALUE"""),6.0)</f>
        <v>6</v>
      </c>
      <c r="L282" s="189">
        <f>IFERROR(__xludf.DUMMYFUNCTION("""COMPUTED_VALUE"""),6.0)</f>
        <v>6</v>
      </c>
      <c r="M282" s="189">
        <f>IFERROR(__xludf.DUMMYFUNCTION("""COMPUTED_VALUE"""),1.0)</f>
        <v>1</v>
      </c>
      <c r="N282" s="189">
        <f>IFERROR(__xludf.DUMMYFUNCTION("""COMPUTED_VALUE"""),1.0)</f>
        <v>1</v>
      </c>
      <c r="O282" s="189">
        <f>IFERROR(__xludf.DUMMYFUNCTION("""COMPUTED_VALUE"""),7.0)</f>
        <v>7</v>
      </c>
      <c r="P282" s="189">
        <f>IFERROR(__xludf.DUMMYFUNCTION("""COMPUTED_VALUE"""),10.0)</f>
        <v>10</v>
      </c>
      <c r="Q282" s="189">
        <f>IFERROR(__xludf.DUMMYFUNCTION("""COMPUTED_VALUE"""),9.0)</f>
        <v>9</v>
      </c>
      <c r="R282" s="189">
        <f>IFERROR(__xludf.DUMMYFUNCTION("""COMPUTED_VALUE"""),8.0)</f>
        <v>8</v>
      </c>
      <c r="S282" s="189">
        <f>IFERROR(__xludf.DUMMYFUNCTION("""COMPUTED_VALUE"""),0.0)</f>
        <v>0</v>
      </c>
      <c r="T282" s="189">
        <f>IFERROR(__xludf.DUMMYFUNCTION("""COMPUTED_VALUE"""),0.0)</f>
        <v>0</v>
      </c>
      <c r="U282" s="189">
        <f>IFERROR(__xludf.DUMMYFUNCTION("""COMPUTED_VALUE"""),8.0)</f>
        <v>8</v>
      </c>
      <c r="V282" s="189">
        <f>IFERROR(__xludf.DUMMYFUNCTION("""COMPUTED_VALUE"""),9.0)</f>
        <v>9</v>
      </c>
      <c r="W282" s="189">
        <f>IFERROR(__xludf.DUMMYFUNCTION("""COMPUTED_VALUE"""),10.0)</f>
        <v>10</v>
      </c>
      <c r="X282" s="189">
        <f>IFERROR(__xludf.DUMMYFUNCTION("""COMPUTED_VALUE"""),7.0)</f>
        <v>7</v>
      </c>
      <c r="Y282" s="189" t="str">
        <f>IFERROR(__xludf.DUMMYFUNCTION("""COMPUTED_VALUE"""),"2025-07-29T00:00:00.000Z")</f>
        <v>2025-07-29T00:00:00.000Z</v>
      </c>
      <c r="Z282" s="189" t="str">
        <f>IFERROR(__xludf.DUMMYFUNCTION("""COMPUTED_VALUE"""),"Boars Gaming_Lotus")</f>
        <v>Boars Gaming_Lotus</v>
      </c>
    </row>
    <row r="283">
      <c r="A283" s="189">
        <f>IFERROR(__xludf.DUMMYFUNCTION("""COMPUTED_VALUE"""),211215.0)</f>
        <v>211215</v>
      </c>
      <c r="B283" s="189">
        <f>IFERROR(__xludf.DUMMYFUNCTION("""COMPUTED_VALUE"""),92893.0)</f>
        <v>92893</v>
      </c>
      <c r="C283" s="189" t="str">
        <f>IFERROR(__xludf.DUMMYFUNCTION("""COMPUTED_VALUE"""),"Challengers League 2025 NORTH EAST: Split 3 - Playoffs")</f>
        <v>Challengers League 2025 NORTH EAST: Split 3 - Playoffs</v>
      </c>
      <c r="D283" s="189" t="str">
        <f>IFERROR(__xludf.DUMMYFUNCTION("""COMPUTED_VALUE"""),"Sunset")</f>
        <v>Sunset</v>
      </c>
      <c r="E283" s="189" t="str">
        <f>IFERROR(__xludf.DUMMYFUNCTION("""COMPUTED_VALUE"""),"Boars Gaming")</f>
        <v>Boars Gaming</v>
      </c>
      <c r="F283" s="189" t="str">
        <f>IFERROR(__xludf.DUMMYFUNCTION("""COMPUTED_VALUE"""),"děti ulice")</f>
        <v>děti ulice</v>
      </c>
      <c r="G283" s="189" t="str">
        <f>IFERROR(__xludf.DUMMYFUNCTION("""COMPUTED_VALUE"""),"Cypher,Sova,Omen,KAY/O,Neon")</f>
        <v>Cypher,Sova,Omen,KAY/O,Neon</v>
      </c>
      <c r="H283" s="189" t="str">
        <f>IFERROR(__xludf.DUMMYFUNCTION("""COMPUTED_VALUE"""),"Cypher,Sova,Omen,Yoru,Neon")</f>
        <v>Cypher,Sova,Omen,Yoru,Neon</v>
      </c>
      <c r="I283" s="189">
        <f>IFERROR(__xludf.DUMMYFUNCTION("""COMPUTED_VALUE"""),13.0)</f>
        <v>13</v>
      </c>
      <c r="J283" s="189">
        <f>IFERROR(__xludf.DUMMYFUNCTION("""COMPUTED_VALUE"""),6.0)</f>
        <v>6</v>
      </c>
      <c r="K283" s="189">
        <f>IFERROR(__xludf.DUMMYFUNCTION("""COMPUTED_VALUE"""),9.0)</f>
        <v>9</v>
      </c>
      <c r="L283" s="189">
        <f>IFERROR(__xludf.DUMMYFUNCTION("""COMPUTED_VALUE"""),3.0)</f>
        <v>3</v>
      </c>
      <c r="M283" s="189">
        <f>IFERROR(__xludf.DUMMYFUNCTION("""COMPUTED_VALUE"""),1.0)</f>
        <v>1</v>
      </c>
      <c r="N283" s="189">
        <f>IFERROR(__xludf.DUMMYFUNCTION("""COMPUTED_VALUE"""),0.0)</f>
        <v>0</v>
      </c>
      <c r="O283" s="189">
        <f>IFERROR(__xludf.DUMMYFUNCTION("""COMPUTED_VALUE"""),9.0)</f>
        <v>9</v>
      </c>
      <c r="P283" s="189">
        <f>IFERROR(__xludf.DUMMYFUNCTION("""COMPUTED_VALUE"""),3.0)</f>
        <v>3</v>
      </c>
      <c r="Q283" s="189">
        <f>IFERROR(__xludf.DUMMYFUNCTION("""COMPUTED_VALUE"""),4.0)</f>
        <v>4</v>
      </c>
      <c r="R283" s="189">
        <f>IFERROR(__xludf.DUMMYFUNCTION("""COMPUTED_VALUE"""),3.0)</f>
        <v>3</v>
      </c>
      <c r="S283" s="189">
        <f>IFERROR(__xludf.DUMMYFUNCTION("""COMPUTED_VALUE"""),1.0)</f>
        <v>1</v>
      </c>
      <c r="T283" s="189">
        <f>IFERROR(__xludf.DUMMYFUNCTION("""COMPUTED_VALUE"""),0.0)</f>
        <v>0</v>
      </c>
      <c r="U283" s="189">
        <f>IFERROR(__xludf.DUMMYFUNCTION("""COMPUTED_VALUE"""),3.0)</f>
        <v>3</v>
      </c>
      <c r="V283" s="189">
        <f>IFERROR(__xludf.DUMMYFUNCTION("""COMPUTED_VALUE"""),4.0)</f>
        <v>4</v>
      </c>
      <c r="W283" s="189">
        <f>IFERROR(__xludf.DUMMYFUNCTION("""COMPUTED_VALUE"""),3.0)</f>
        <v>3</v>
      </c>
      <c r="X283" s="189">
        <f>IFERROR(__xludf.DUMMYFUNCTION("""COMPUTED_VALUE"""),9.0)</f>
        <v>9</v>
      </c>
      <c r="Y283" s="189" t="str">
        <f>IFERROR(__xludf.DUMMYFUNCTION("""COMPUTED_VALUE"""),"2025-07-29T00:00:00.000Z")</f>
        <v>2025-07-29T00:00:00.000Z</v>
      </c>
      <c r="Z283" s="189" t="str">
        <f>IFERROR(__xludf.DUMMYFUNCTION("""COMPUTED_VALUE"""),"Boars Gaming_Sunset")</f>
        <v>Boars Gaming_Sunset</v>
      </c>
    </row>
    <row r="284">
      <c r="A284" s="189">
        <f>IFERROR(__xludf.DUMMYFUNCTION("""COMPUTED_VALUE"""),211254.0)</f>
        <v>211254</v>
      </c>
      <c r="B284" s="189">
        <f>IFERROR(__xludf.DUMMYFUNCTION("""COMPUTED_VALUE"""),92905.0)</f>
        <v>92905</v>
      </c>
      <c r="C284" s="189" t="str">
        <f>IFERROR(__xludf.DUMMYFUNCTION("""COMPUTED_VALUE"""),"Challengers League 2025 Spain Rising: Split 3 - Playoffs")</f>
        <v>Challengers League 2025 Spain Rising: Split 3 - Playoffs</v>
      </c>
      <c r="D284" s="189" t="str">
        <f>IFERROR(__xludf.DUMMYFUNCTION("""COMPUTED_VALUE"""),"Corrode")</f>
        <v>Corrode</v>
      </c>
      <c r="E284" s="189" t="str">
        <f>IFERROR(__xludf.DUMMYFUNCTION("""COMPUTED_VALUE"""),"KOI Fénix")</f>
        <v>KOI Fénix</v>
      </c>
      <c r="F284" s="189" t="str">
        <f>IFERROR(__xludf.DUMMYFUNCTION("""COMPUTED_VALUE"""),"Ramboot Club")</f>
        <v>Ramboot Club</v>
      </c>
      <c r="G284" s="189" t="str">
        <f>IFERROR(__xludf.DUMMYFUNCTION("""COMPUTED_VALUE"""),"Omen,Chamber,Neon,Fade,Vyse")</f>
        <v>Omen,Chamber,Neon,Fade,Vyse</v>
      </c>
      <c r="H284" s="189" t="str">
        <f>IFERROR(__xludf.DUMMYFUNCTION("""COMPUTED_VALUE"""),"Omen,Chamber,Neon,Fade,Vyse")</f>
        <v>Omen,Chamber,Neon,Fade,Vyse</v>
      </c>
      <c r="I284" s="189">
        <f>IFERROR(__xludf.DUMMYFUNCTION("""COMPUTED_VALUE"""),13.0)</f>
        <v>13</v>
      </c>
      <c r="J284" s="189">
        <f>IFERROR(__xludf.DUMMYFUNCTION("""COMPUTED_VALUE"""),11.0)</f>
        <v>11</v>
      </c>
      <c r="K284" s="189">
        <f>IFERROR(__xludf.DUMMYFUNCTION("""COMPUTED_VALUE"""),7.0)</f>
        <v>7</v>
      </c>
      <c r="L284" s="189">
        <f>IFERROR(__xludf.DUMMYFUNCTION("""COMPUTED_VALUE"""),5.0)</f>
        <v>5</v>
      </c>
      <c r="M284" s="189">
        <f>IFERROR(__xludf.DUMMYFUNCTION("""COMPUTED_VALUE"""),0.0)</f>
        <v>0</v>
      </c>
      <c r="N284" s="189">
        <f>IFERROR(__xludf.DUMMYFUNCTION("""COMPUTED_VALUE"""),1.0)</f>
        <v>1</v>
      </c>
      <c r="O284" s="189">
        <f>IFERROR(__xludf.DUMMYFUNCTION("""COMPUTED_VALUE"""),6.0)</f>
        <v>6</v>
      </c>
      <c r="P284" s="189">
        <f>IFERROR(__xludf.DUMMYFUNCTION("""COMPUTED_VALUE"""),6.0)</f>
        <v>6</v>
      </c>
      <c r="Q284" s="189">
        <f>IFERROR(__xludf.DUMMYFUNCTION("""COMPUTED_VALUE"""),7.0)</f>
        <v>7</v>
      </c>
      <c r="R284" s="189">
        <f>IFERROR(__xludf.DUMMYFUNCTION("""COMPUTED_VALUE"""),5.0)</f>
        <v>5</v>
      </c>
      <c r="S284" s="189">
        <f>IFERROR(__xludf.DUMMYFUNCTION("""COMPUTED_VALUE"""),0.0)</f>
        <v>0</v>
      </c>
      <c r="T284" s="189">
        <f>IFERROR(__xludf.DUMMYFUNCTION("""COMPUTED_VALUE"""),1.0)</f>
        <v>1</v>
      </c>
      <c r="U284" s="189">
        <f>IFERROR(__xludf.DUMMYFUNCTION("""COMPUTED_VALUE"""),5.0)</f>
        <v>5</v>
      </c>
      <c r="V284" s="189">
        <f>IFERROR(__xludf.DUMMYFUNCTION("""COMPUTED_VALUE"""),7.0)</f>
        <v>7</v>
      </c>
      <c r="W284" s="189">
        <f>IFERROR(__xludf.DUMMYFUNCTION("""COMPUTED_VALUE"""),6.0)</f>
        <v>6</v>
      </c>
      <c r="X284" s="189">
        <f>IFERROR(__xludf.DUMMYFUNCTION("""COMPUTED_VALUE"""),6.0)</f>
        <v>6</v>
      </c>
      <c r="Y284" s="189" t="str">
        <f>IFERROR(__xludf.DUMMYFUNCTION("""COMPUTED_VALUE"""),"2025-07-28T00:00:00.000Z")</f>
        <v>2025-07-28T00:00:00.000Z</v>
      </c>
      <c r="Z284" s="189" t="str">
        <f>IFERROR(__xludf.DUMMYFUNCTION("""COMPUTED_VALUE"""),"KOI Fénix_Corrode")</f>
        <v>KOI Fénix_Corrode</v>
      </c>
    </row>
    <row r="285">
      <c r="A285" s="189">
        <f>IFERROR(__xludf.DUMMYFUNCTION("""COMPUTED_VALUE"""),211253.0)</f>
        <v>211253</v>
      </c>
      <c r="B285" s="189">
        <f>IFERROR(__xludf.DUMMYFUNCTION("""COMPUTED_VALUE"""),92905.0)</f>
        <v>92905</v>
      </c>
      <c r="C285" s="189" t="str">
        <f>IFERROR(__xludf.DUMMYFUNCTION("""COMPUTED_VALUE"""),"Challengers League 2025 Spain Rising: Split 3 - Playoffs")</f>
        <v>Challengers League 2025 Spain Rising: Split 3 - Playoffs</v>
      </c>
      <c r="D285" s="189" t="str">
        <f>IFERROR(__xludf.DUMMYFUNCTION("""COMPUTED_VALUE"""),"Bind")</f>
        <v>Bind</v>
      </c>
      <c r="E285" s="189" t="str">
        <f>IFERROR(__xludf.DUMMYFUNCTION("""COMPUTED_VALUE"""),"KOI Fénix")</f>
        <v>KOI Fénix</v>
      </c>
      <c r="F285" s="189" t="str">
        <f>IFERROR(__xludf.DUMMYFUNCTION("""COMPUTED_VALUE"""),"Ramboot Club")</f>
        <v>Ramboot Club</v>
      </c>
      <c r="G285" s="189" t="str">
        <f>IFERROR(__xludf.DUMMYFUNCTION("""COMPUTED_VALUE"""),"Yoru,Astra,Gekko,Deadlock,Vyse")</f>
        <v>Yoru,Astra,Gekko,Deadlock,Vyse</v>
      </c>
      <c r="H285" s="189" t="str">
        <f>IFERROR(__xludf.DUMMYFUNCTION("""COMPUTED_VALUE"""),"Raze,Viper,Brimstone,Skye,Chamber")</f>
        <v>Raze,Viper,Brimstone,Skye,Chamber</v>
      </c>
      <c r="I285" s="189">
        <f>IFERROR(__xludf.DUMMYFUNCTION("""COMPUTED_VALUE"""),13.0)</f>
        <v>13</v>
      </c>
      <c r="J285" s="189">
        <f>IFERROR(__xludf.DUMMYFUNCTION("""COMPUTED_VALUE"""),7.0)</f>
        <v>7</v>
      </c>
      <c r="K285" s="189">
        <f>IFERROR(__xludf.DUMMYFUNCTION("""COMPUTED_VALUE"""),8.0)</f>
        <v>8</v>
      </c>
      <c r="L285" s="189">
        <f>IFERROR(__xludf.DUMMYFUNCTION("""COMPUTED_VALUE"""),4.0)</f>
        <v>4</v>
      </c>
      <c r="M285" s="189">
        <f>IFERROR(__xludf.DUMMYFUNCTION("""COMPUTED_VALUE"""),1.0)</f>
        <v>1</v>
      </c>
      <c r="N285" s="189">
        <f>IFERROR(__xludf.DUMMYFUNCTION("""COMPUTED_VALUE"""),1.0)</f>
        <v>1</v>
      </c>
      <c r="O285" s="189">
        <f>IFERROR(__xludf.DUMMYFUNCTION("""COMPUTED_VALUE"""),8.0)</f>
        <v>8</v>
      </c>
      <c r="P285" s="189">
        <f>IFERROR(__xludf.DUMMYFUNCTION("""COMPUTED_VALUE"""),4.0)</f>
        <v>4</v>
      </c>
      <c r="Q285" s="189">
        <f>IFERROR(__xludf.DUMMYFUNCTION("""COMPUTED_VALUE"""),5.0)</f>
        <v>5</v>
      </c>
      <c r="R285" s="189">
        <f>IFERROR(__xludf.DUMMYFUNCTION("""COMPUTED_VALUE"""),3.0)</f>
        <v>3</v>
      </c>
      <c r="S285" s="189">
        <f>IFERROR(__xludf.DUMMYFUNCTION("""COMPUTED_VALUE"""),0.0)</f>
        <v>0</v>
      </c>
      <c r="T285" s="189">
        <f>IFERROR(__xludf.DUMMYFUNCTION("""COMPUTED_VALUE"""),0.0)</f>
        <v>0</v>
      </c>
      <c r="U285" s="189">
        <f>IFERROR(__xludf.DUMMYFUNCTION("""COMPUTED_VALUE"""),3.0)</f>
        <v>3</v>
      </c>
      <c r="V285" s="189">
        <f>IFERROR(__xludf.DUMMYFUNCTION("""COMPUTED_VALUE"""),5.0)</f>
        <v>5</v>
      </c>
      <c r="W285" s="189">
        <f>IFERROR(__xludf.DUMMYFUNCTION("""COMPUTED_VALUE"""),4.0)</f>
        <v>4</v>
      </c>
      <c r="X285" s="189">
        <f>IFERROR(__xludf.DUMMYFUNCTION("""COMPUTED_VALUE"""),8.0)</f>
        <v>8</v>
      </c>
      <c r="Y285" s="189" t="str">
        <f>IFERROR(__xludf.DUMMYFUNCTION("""COMPUTED_VALUE"""),"2025-07-28T00:00:00.000Z")</f>
        <v>2025-07-28T00:00:00.000Z</v>
      </c>
      <c r="Z285" s="189" t="str">
        <f>IFERROR(__xludf.DUMMYFUNCTION("""COMPUTED_VALUE"""),"KOI Fénix_Bind")</f>
        <v>KOI Fénix_Bind</v>
      </c>
    </row>
    <row r="286">
      <c r="A286" s="189">
        <f>IFERROR(__xludf.DUMMYFUNCTION("""COMPUTED_VALUE"""),211252.0)</f>
        <v>211252</v>
      </c>
      <c r="B286" s="189">
        <f>IFERROR(__xludf.DUMMYFUNCTION("""COMPUTED_VALUE"""),92905.0)</f>
        <v>92905</v>
      </c>
      <c r="C286" s="189" t="str">
        <f>IFERROR(__xludf.DUMMYFUNCTION("""COMPUTED_VALUE"""),"Challengers League 2025 Spain Rising: Split 3 - Playoffs")</f>
        <v>Challengers League 2025 Spain Rising: Split 3 - Playoffs</v>
      </c>
      <c r="D286" s="189" t="str">
        <f>IFERROR(__xludf.DUMMYFUNCTION("""COMPUTED_VALUE"""),"Ascent")</f>
        <v>Ascent</v>
      </c>
      <c r="E286" s="189" t="str">
        <f>IFERROR(__xludf.DUMMYFUNCTION("""COMPUTED_VALUE"""),"KOI Fénix")</f>
        <v>KOI Fénix</v>
      </c>
      <c r="F286" s="189" t="str">
        <f>IFERROR(__xludf.DUMMYFUNCTION("""COMPUTED_VALUE"""),"Ramboot Club")</f>
        <v>Ramboot Club</v>
      </c>
      <c r="G286" s="189" t="str">
        <f>IFERROR(__xludf.DUMMYFUNCTION("""COMPUTED_VALUE"""),"Sova,Omen,Yoru,Chamber,Vyse")</f>
        <v>Sova,Omen,Yoru,Chamber,Vyse</v>
      </c>
      <c r="H286" s="189" t="str">
        <f>IFERROR(__xludf.DUMMYFUNCTION("""COMPUTED_VALUE"""),"Cypher,Sova,Omen,Jett,Yoru")</f>
        <v>Cypher,Sova,Omen,Jett,Yoru</v>
      </c>
      <c r="I286" s="189">
        <f>IFERROR(__xludf.DUMMYFUNCTION("""COMPUTED_VALUE"""),10.0)</f>
        <v>10</v>
      </c>
      <c r="J286" s="189">
        <f>IFERROR(__xludf.DUMMYFUNCTION("""COMPUTED_VALUE"""),13.0)</f>
        <v>13</v>
      </c>
      <c r="K286" s="189">
        <f>IFERROR(__xludf.DUMMYFUNCTION("""COMPUTED_VALUE"""),8.0)</f>
        <v>8</v>
      </c>
      <c r="L286" s="189">
        <f>IFERROR(__xludf.DUMMYFUNCTION("""COMPUTED_VALUE"""),4.0)</f>
        <v>4</v>
      </c>
      <c r="M286" s="189">
        <f>IFERROR(__xludf.DUMMYFUNCTION("""COMPUTED_VALUE"""),1.0)</f>
        <v>1</v>
      </c>
      <c r="N286" s="189">
        <f>IFERROR(__xludf.DUMMYFUNCTION("""COMPUTED_VALUE"""),1.0)</f>
        <v>1</v>
      </c>
      <c r="O286" s="189">
        <f>IFERROR(__xludf.DUMMYFUNCTION("""COMPUTED_VALUE"""),2.0)</f>
        <v>2</v>
      </c>
      <c r="P286" s="189">
        <f>IFERROR(__xludf.DUMMYFUNCTION("""COMPUTED_VALUE"""),9.0)</f>
        <v>9</v>
      </c>
      <c r="Q286" s="189">
        <f>IFERROR(__xludf.DUMMYFUNCTION("""COMPUTED_VALUE"""),8.0)</f>
        <v>8</v>
      </c>
      <c r="R286" s="189">
        <f>IFERROR(__xludf.DUMMYFUNCTION("""COMPUTED_VALUE"""),4.0)</f>
        <v>4</v>
      </c>
      <c r="S286" s="189">
        <f>IFERROR(__xludf.DUMMYFUNCTION("""COMPUTED_VALUE"""),0.0)</f>
        <v>0</v>
      </c>
      <c r="T286" s="189">
        <f>IFERROR(__xludf.DUMMYFUNCTION("""COMPUTED_VALUE"""),0.0)</f>
        <v>0</v>
      </c>
      <c r="U286" s="189">
        <f>IFERROR(__xludf.DUMMYFUNCTION("""COMPUTED_VALUE"""),4.0)</f>
        <v>4</v>
      </c>
      <c r="V286" s="189">
        <f>IFERROR(__xludf.DUMMYFUNCTION("""COMPUTED_VALUE"""),8.0)</f>
        <v>8</v>
      </c>
      <c r="W286" s="189">
        <f>IFERROR(__xludf.DUMMYFUNCTION("""COMPUTED_VALUE"""),9.0)</f>
        <v>9</v>
      </c>
      <c r="X286" s="189">
        <f>IFERROR(__xludf.DUMMYFUNCTION("""COMPUTED_VALUE"""),2.0)</f>
        <v>2</v>
      </c>
      <c r="Y286" s="189" t="str">
        <f>IFERROR(__xludf.DUMMYFUNCTION("""COMPUTED_VALUE"""),"2025-07-28T00:00:00.000Z")</f>
        <v>2025-07-28T00:00:00.000Z</v>
      </c>
      <c r="Z286" s="189" t="str">
        <f>IFERROR(__xludf.DUMMYFUNCTION("""COMPUTED_VALUE"""),"KOI Fénix_Ascent")</f>
        <v>KOI Fénix_Ascent</v>
      </c>
    </row>
    <row r="287">
      <c r="A287" s="189">
        <f>IFERROR(__xludf.DUMMYFUNCTION("""COMPUTED_VALUE"""),211251.0)</f>
        <v>211251</v>
      </c>
      <c r="B287" s="189">
        <f>IFERROR(__xludf.DUMMYFUNCTION("""COMPUTED_VALUE"""),92905.0)</f>
        <v>92905</v>
      </c>
      <c r="C287" s="189" t="str">
        <f>IFERROR(__xludf.DUMMYFUNCTION("""COMPUTED_VALUE"""),"Challengers League 2025 Spain Rising: Split 3 - Playoffs")</f>
        <v>Challengers League 2025 Spain Rising: Split 3 - Playoffs</v>
      </c>
      <c r="D287" s="189" t="str">
        <f>IFERROR(__xludf.DUMMYFUNCTION("""COMPUTED_VALUE"""),"Lotus")</f>
        <v>Lotus</v>
      </c>
      <c r="E287" s="189" t="str">
        <f>IFERROR(__xludf.DUMMYFUNCTION("""COMPUTED_VALUE"""),"KOI Fénix")</f>
        <v>KOI Fénix</v>
      </c>
      <c r="F287" s="189" t="str">
        <f>IFERROR(__xludf.DUMMYFUNCTION("""COMPUTED_VALUE"""),"Ramboot Club")</f>
        <v>Ramboot Club</v>
      </c>
      <c r="G287" s="189" t="str">
        <f>IFERROR(__xludf.DUMMYFUNCTION("""COMPUTED_VALUE"""),"Breach,Sova,Killjoy,Omen,Neon")</f>
        <v>Breach,Sova,Killjoy,Omen,Neon</v>
      </c>
      <c r="H287" s="189" t="str">
        <f>IFERROR(__xludf.DUMMYFUNCTION("""COMPUTED_VALUE"""),"Viper,Omen,Chamber,Neon,Fade")</f>
        <v>Viper,Omen,Chamber,Neon,Fade</v>
      </c>
      <c r="I287" s="189">
        <f>IFERROR(__xludf.DUMMYFUNCTION("""COMPUTED_VALUE"""),13.0)</f>
        <v>13</v>
      </c>
      <c r="J287" s="189">
        <f>IFERROR(__xludf.DUMMYFUNCTION("""COMPUTED_VALUE"""),6.0)</f>
        <v>6</v>
      </c>
      <c r="K287" s="189">
        <f>IFERROR(__xludf.DUMMYFUNCTION("""COMPUTED_VALUE"""),8.0)</f>
        <v>8</v>
      </c>
      <c r="L287" s="189">
        <f>IFERROR(__xludf.DUMMYFUNCTION("""COMPUTED_VALUE"""),4.0)</f>
        <v>4</v>
      </c>
      <c r="M287" s="189">
        <f>IFERROR(__xludf.DUMMYFUNCTION("""COMPUTED_VALUE"""),1.0)</f>
        <v>1</v>
      </c>
      <c r="N287" s="189">
        <f>IFERROR(__xludf.DUMMYFUNCTION("""COMPUTED_VALUE"""),0.0)</f>
        <v>0</v>
      </c>
      <c r="O287" s="189">
        <f>IFERROR(__xludf.DUMMYFUNCTION("""COMPUTED_VALUE"""),5.0)</f>
        <v>5</v>
      </c>
      <c r="P287" s="189">
        <f>IFERROR(__xludf.DUMMYFUNCTION("""COMPUTED_VALUE"""),2.0)</f>
        <v>2</v>
      </c>
      <c r="Q287" s="189">
        <f>IFERROR(__xludf.DUMMYFUNCTION("""COMPUTED_VALUE"""),8.0)</f>
        <v>8</v>
      </c>
      <c r="R287" s="189">
        <f>IFERROR(__xludf.DUMMYFUNCTION("""COMPUTED_VALUE"""),4.0)</f>
        <v>4</v>
      </c>
      <c r="S287" s="189">
        <f>IFERROR(__xludf.DUMMYFUNCTION("""COMPUTED_VALUE"""),1.0)</f>
        <v>1</v>
      </c>
      <c r="T287" s="189">
        <f>IFERROR(__xludf.DUMMYFUNCTION("""COMPUTED_VALUE"""),0.0)</f>
        <v>0</v>
      </c>
      <c r="U287" s="189">
        <f>IFERROR(__xludf.DUMMYFUNCTION("""COMPUTED_VALUE"""),4.0)</f>
        <v>4</v>
      </c>
      <c r="V287" s="189">
        <f>IFERROR(__xludf.DUMMYFUNCTION("""COMPUTED_VALUE"""),8.0)</f>
        <v>8</v>
      </c>
      <c r="W287" s="189">
        <f>IFERROR(__xludf.DUMMYFUNCTION("""COMPUTED_VALUE"""),2.0)</f>
        <v>2</v>
      </c>
      <c r="X287" s="189">
        <f>IFERROR(__xludf.DUMMYFUNCTION("""COMPUTED_VALUE"""),5.0)</f>
        <v>5</v>
      </c>
      <c r="Y287" s="189" t="str">
        <f>IFERROR(__xludf.DUMMYFUNCTION("""COMPUTED_VALUE"""),"2025-07-28T00:00:00.000Z")</f>
        <v>2025-07-28T00:00:00.000Z</v>
      </c>
      <c r="Z287" s="189" t="str">
        <f>IFERROR(__xludf.DUMMYFUNCTION("""COMPUTED_VALUE"""),"KOI Fénix_Lotus")</f>
        <v>KOI Fénix_Lotus</v>
      </c>
    </row>
    <row r="288">
      <c r="A288" s="189">
        <f>IFERROR(__xludf.DUMMYFUNCTION("""COMPUTED_VALUE"""),211058.0)</f>
        <v>211058</v>
      </c>
      <c r="B288" s="189">
        <f>IFERROR(__xludf.DUMMYFUNCTION("""COMPUTED_VALUE"""),92834.0)</f>
        <v>92834</v>
      </c>
      <c r="C288" s="189" t="str">
        <f>IFERROR(__xludf.DUMMYFUNCTION("""COMPUTED_VALUE"""),"Challengers League 2025 NORTH EAST: Split 3 - Playoffs")</f>
        <v>Challengers League 2025 NORTH EAST: Split 3 - Playoffs</v>
      </c>
      <c r="D288" s="189" t="str">
        <f>IFERROR(__xludf.DUMMYFUNCTION("""COMPUTED_VALUE"""),"Haven")</f>
        <v>Haven</v>
      </c>
      <c r="E288" s="189" t="str">
        <f>IFERROR(__xludf.DUMMYFUNCTION("""COMPUTED_VALUE"""),"Team Liquid Academy")</f>
        <v>Team Liquid Academy</v>
      </c>
      <c r="F288" s="189" t="str">
        <f>IFERROR(__xludf.DUMMYFUNCTION("""COMPUTED_VALUE"""),"Formulation Gaming")</f>
        <v>Formulation Gaming</v>
      </c>
      <c r="G288" s="189" t="str">
        <f>IFERROR(__xludf.DUMMYFUNCTION("""COMPUTED_VALUE"""),"Cypher,Sova,Omen,Yoru,Iso")</f>
        <v>Cypher,Sova,Omen,Yoru,Iso</v>
      </c>
      <c r="H288" s="189" t="str">
        <f>IFERROR(__xludf.DUMMYFUNCTION("""COMPUTED_VALUE"""),"Sova,Killjoy,Viper,Omen,Neon")</f>
        <v>Sova,Killjoy,Viper,Omen,Neon</v>
      </c>
      <c r="I288" s="189">
        <f>IFERROR(__xludf.DUMMYFUNCTION("""COMPUTED_VALUE"""),13.0)</f>
        <v>13</v>
      </c>
      <c r="J288" s="189">
        <f>IFERROR(__xludf.DUMMYFUNCTION("""COMPUTED_VALUE"""),6.0)</f>
        <v>6</v>
      </c>
      <c r="K288" s="189">
        <f>IFERROR(__xludf.DUMMYFUNCTION("""COMPUTED_VALUE"""),9.0)</f>
        <v>9</v>
      </c>
      <c r="L288" s="189">
        <f>IFERROR(__xludf.DUMMYFUNCTION("""COMPUTED_VALUE"""),3.0)</f>
        <v>3</v>
      </c>
      <c r="M288" s="189">
        <f>IFERROR(__xludf.DUMMYFUNCTION("""COMPUTED_VALUE"""),0.0)</f>
        <v>0</v>
      </c>
      <c r="N288" s="189">
        <f>IFERROR(__xludf.DUMMYFUNCTION("""COMPUTED_VALUE"""),1.0)</f>
        <v>1</v>
      </c>
      <c r="O288" s="189">
        <f>IFERROR(__xludf.DUMMYFUNCTION("""COMPUTED_VALUE"""),4.0)</f>
        <v>4</v>
      </c>
      <c r="P288" s="189">
        <f>IFERROR(__xludf.DUMMYFUNCTION("""COMPUTED_VALUE"""),3.0)</f>
        <v>3</v>
      </c>
      <c r="Q288" s="189">
        <f>IFERROR(__xludf.DUMMYFUNCTION("""COMPUTED_VALUE"""),9.0)</f>
        <v>9</v>
      </c>
      <c r="R288" s="189">
        <f>IFERROR(__xludf.DUMMYFUNCTION("""COMPUTED_VALUE"""),3.0)</f>
        <v>3</v>
      </c>
      <c r="S288" s="189">
        <f>IFERROR(__xludf.DUMMYFUNCTION("""COMPUTED_VALUE"""),0.0)</f>
        <v>0</v>
      </c>
      <c r="T288" s="189">
        <f>IFERROR(__xludf.DUMMYFUNCTION("""COMPUTED_VALUE"""),1.0)</f>
        <v>1</v>
      </c>
      <c r="U288" s="189">
        <f>IFERROR(__xludf.DUMMYFUNCTION("""COMPUTED_VALUE"""),3.0)</f>
        <v>3</v>
      </c>
      <c r="V288" s="189">
        <f>IFERROR(__xludf.DUMMYFUNCTION("""COMPUTED_VALUE"""),9.0)</f>
        <v>9</v>
      </c>
      <c r="W288" s="189">
        <f>IFERROR(__xludf.DUMMYFUNCTION("""COMPUTED_VALUE"""),3.0)</f>
        <v>3</v>
      </c>
      <c r="X288" s="189">
        <f>IFERROR(__xludf.DUMMYFUNCTION("""COMPUTED_VALUE"""),4.0)</f>
        <v>4</v>
      </c>
      <c r="Y288" s="189" t="str">
        <f>IFERROR(__xludf.DUMMYFUNCTION("""COMPUTED_VALUE"""),"2025-07-27T00:00:00.000Z")</f>
        <v>2025-07-27T00:00:00.000Z</v>
      </c>
      <c r="Z288" s="189" t="str">
        <f>IFERROR(__xludf.DUMMYFUNCTION("""COMPUTED_VALUE"""),"Team Liquid Academy_Haven")</f>
        <v>Team Liquid Academy_Haven</v>
      </c>
    </row>
    <row r="289">
      <c r="A289" s="189">
        <f>IFERROR(__xludf.DUMMYFUNCTION("""COMPUTED_VALUE"""),211057.0)</f>
        <v>211057</v>
      </c>
      <c r="B289" s="189">
        <f>IFERROR(__xludf.DUMMYFUNCTION("""COMPUTED_VALUE"""),92834.0)</f>
        <v>92834</v>
      </c>
      <c r="C289" s="189" t="str">
        <f>IFERROR(__xludf.DUMMYFUNCTION("""COMPUTED_VALUE"""),"Challengers League 2025 NORTH EAST: Split 3 - Playoffs")</f>
        <v>Challengers League 2025 NORTH EAST: Split 3 - Playoffs</v>
      </c>
      <c r="D289" s="189" t="str">
        <f>IFERROR(__xludf.DUMMYFUNCTION("""COMPUTED_VALUE"""),"Lotus")</f>
        <v>Lotus</v>
      </c>
      <c r="E289" s="189" t="str">
        <f>IFERROR(__xludf.DUMMYFUNCTION("""COMPUTED_VALUE"""),"Team Liquid Academy")</f>
        <v>Team Liquid Academy</v>
      </c>
      <c r="F289" s="189" t="str">
        <f>IFERROR(__xludf.DUMMYFUNCTION("""COMPUTED_VALUE"""),"Formulation Gaming")</f>
        <v>Formulation Gaming</v>
      </c>
      <c r="G289" s="189" t="str">
        <f>IFERROR(__xludf.DUMMYFUNCTION("""COMPUTED_VALUE"""),"Breach,Cypher,Omen,Neon,Fade")</f>
        <v>Breach,Cypher,Omen,Neon,Fade</v>
      </c>
      <c r="H289" s="189" t="str">
        <f>IFERROR(__xludf.DUMMYFUNCTION("""COMPUTED_VALUE"""),"Cypher,Omen,Neon,Fade,Deadlock")</f>
        <v>Cypher,Omen,Neon,Fade,Deadlock</v>
      </c>
      <c r="I289" s="189">
        <f>IFERROR(__xludf.DUMMYFUNCTION("""COMPUTED_VALUE"""),9.0)</f>
        <v>9</v>
      </c>
      <c r="J289" s="189">
        <f>IFERROR(__xludf.DUMMYFUNCTION("""COMPUTED_VALUE"""),13.0)</f>
        <v>13</v>
      </c>
      <c r="K289" s="189">
        <f>IFERROR(__xludf.DUMMYFUNCTION("""COMPUTED_VALUE"""),7.0)</f>
        <v>7</v>
      </c>
      <c r="L289" s="189">
        <f>IFERROR(__xludf.DUMMYFUNCTION("""COMPUTED_VALUE"""),5.0)</f>
        <v>5</v>
      </c>
      <c r="M289" s="189">
        <f>IFERROR(__xludf.DUMMYFUNCTION("""COMPUTED_VALUE"""),0.0)</f>
        <v>0</v>
      </c>
      <c r="N289" s="189">
        <f>IFERROR(__xludf.DUMMYFUNCTION("""COMPUTED_VALUE"""),0.0)</f>
        <v>0</v>
      </c>
      <c r="O289" s="189">
        <f>IFERROR(__xludf.DUMMYFUNCTION("""COMPUTED_VALUE"""),2.0)</f>
        <v>2</v>
      </c>
      <c r="P289" s="189">
        <f>IFERROR(__xludf.DUMMYFUNCTION("""COMPUTED_VALUE"""),8.0)</f>
        <v>8</v>
      </c>
      <c r="Q289" s="189">
        <f>IFERROR(__xludf.DUMMYFUNCTION("""COMPUTED_VALUE"""),7.0)</f>
        <v>7</v>
      </c>
      <c r="R289" s="189">
        <f>IFERROR(__xludf.DUMMYFUNCTION("""COMPUTED_VALUE"""),5.0)</f>
        <v>5</v>
      </c>
      <c r="S289" s="189">
        <f>IFERROR(__xludf.DUMMYFUNCTION("""COMPUTED_VALUE"""),1.0)</f>
        <v>1</v>
      </c>
      <c r="T289" s="189">
        <f>IFERROR(__xludf.DUMMYFUNCTION("""COMPUTED_VALUE"""),1.0)</f>
        <v>1</v>
      </c>
      <c r="U289" s="189">
        <f>IFERROR(__xludf.DUMMYFUNCTION("""COMPUTED_VALUE"""),5.0)</f>
        <v>5</v>
      </c>
      <c r="V289" s="189">
        <f>IFERROR(__xludf.DUMMYFUNCTION("""COMPUTED_VALUE"""),7.0)</f>
        <v>7</v>
      </c>
      <c r="W289" s="189">
        <f>IFERROR(__xludf.DUMMYFUNCTION("""COMPUTED_VALUE"""),8.0)</f>
        <v>8</v>
      </c>
      <c r="X289" s="189">
        <f>IFERROR(__xludf.DUMMYFUNCTION("""COMPUTED_VALUE"""),2.0)</f>
        <v>2</v>
      </c>
      <c r="Y289" s="189" t="str">
        <f>IFERROR(__xludf.DUMMYFUNCTION("""COMPUTED_VALUE"""),"2025-07-27T00:00:00.000Z")</f>
        <v>2025-07-27T00:00:00.000Z</v>
      </c>
      <c r="Z289" s="189" t="str">
        <f>IFERROR(__xludf.DUMMYFUNCTION("""COMPUTED_VALUE"""),"Team Liquid Academy_Lotus")</f>
        <v>Team Liquid Academy_Lotus</v>
      </c>
    </row>
    <row r="290">
      <c r="A290" s="189">
        <f>IFERROR(__xludf.DUMMYFUNCTION("""COMPUTED_VALUE"""),211056.0)</f>
        <v>211056</v>
      </c>
      <c r="B290" s="189">
        <f>IFERROR(__xludf.DUMMYFUNCTION("""COMPUTED_VALUE"""),92834.0)</f>
        <v>92834</v>
      </c>
      <c r="C290" s="189" t="str">
        <f>IFERROR(__xludf.DUMMYFUNCTION("""COMPUTED_VALUE"""),"Challengers League 2025 NORTH EAST: Split 3 - Playoffs")</f>
        <v>Challengers League 2025 NORTH EAST: Split 3 - Playoffs</v>
      </c>
      <c r="D290" s="189" t="str">
        <f>IFERROR(__xludf.DUMMYFUNCTION("""COMPUTED_VALUE"""),"Corrode")</f>
        <v>Corrode</v>
      </c>
      <c r="E290" s="189" t="str">
        <f>IFERROR(__xludf.DUMMYFUNCTION("""COMPUTED_VALUE"""),"Team Liquid Academy")</f>
        <v>Team Liquid Academy</v>
      </c>
      <c r="F290" s="189" t="str">
        <f>IFERROR(__xludf.DUMMYFUNCTION("""COMPUTED_VALUE"""),"Formulation Gaming")</f>
        <v>Formulation Gaming</v>
      </c>
      <c r="G290" s="189" t="str">
        <f>IFERROR(__xludf.DUMMYFUNCTION("""COMPUTED_VALUE"""),"Cypher,Phoenix,Omen,Yoru,Fade")</f>
        <v>Cypher,Phoenix,Omen,Yoru,Fade</v>
      </c>
      <c r="H290" s="189" t="str">
        <f>IFERROR(__xludf.DUMMYFUNCTION("""COMPUTED_VALUE"""),"Viper,Omen,Neon,Fade,Vyse")</f>
        <v>Viper,Omen,Neon,Fade,Vyse</v>
      </c>
      <c r="I290" s="189">
        <f>IFERROR(__xludf.DUMMYFUNCTION("""COMPUTED_VALUE"""),13.0)</f>
        <v>13</v>
      </c>
      <c r="J290" s="189">
        <f>IFERROR(__xludf.DUMMYFUNCTION("""COMPUTED_VALUE"""),8.0)</f>
        <v>8</v>
      </c>
      <c r="K290" s="189">
        <f>IFERROR(__xludf.DUMMYFUNCTION("""COMPUTED_VALUE"""),7.0)</f>
        <v>7</v>
      </c>
      <c r="L290" s="189">
        <f>IFERROR(__xludf.DUMMYFUNCTION("""COMPUTED_VALUE"""),5.0)</f>
        <v>5</v>
      </c>
      <c r="M290" s="189">
        <f>IFERROR(__xludf.DUMMYFUNCTION("""COMPUTED_VALUE"""),0.0)</f>
        <v>0</v>
      </c>
      <c r="N290" s="189">
        <f>IFERROR(__xludf.DUMMYFUNCTION("""COMPUTED_VALUE"""),0.0)</f>
        <v>0</v>
      </c>
      <c r="O290" s="189">
        <f>IFERROR(__xludf.DUMMYFUNCTION("""COMPUTED_VALUE"""),7.0)</f>
        <v>7</v>
      </c>
      <c r="P290" s="189">
        <f>IFERROR(__xludf.DUMMYFUNCTION("""COMPUTED_VALUE"""),5.0)</f>
        <v>5</v>
      </c>
      <c r="Q290" s="189">
        <f>IFERROR(__xludf.DUMMYFUNCTION("""COMPUTED_VALUE"""),6.0)</f>
        <v>6</v>
      </c>
      <c r="R290" s="189">
        <f>IFERROR(__xludf.DUMMYFUNCTION("""COMPUTED_VALUE"""),3.0)</f>
        <v>3</v>
      </c>
      <c r="S290" s="189">
        <f>IFERROR(__xludf.DUMMYFUNCTION("""COMPUTED_VALUE"""),1.0)</f>
        <v>1</v>
      </c>
      <c r="T290" s="189">
        <f>IFERROR(__xludf.DUMMYFUNCTION("""COMPUTED_VALUE"""),1.0)</f>
        <v>1</v>
      </c>
      <c r="U290" s="189">
        <f>IFERROR(__xludf.DUMMYFUNCTION("""COMPUTED_VALUE"""),3.0)</f>
        <v>3</v>
      </c>
      <c r="V290" s="189">
        <f>IFERROR(__xludf.DUMMYFUNCTION("""COMPUTED_VALUE"""),6.0)</f>
        <v>6</v>
      </c>
      <c r="W290" s="189">
        <f>IFERROR(__xludf.DUMMYFUNCTION("""COMPUTED_VALUE"""),5.0)</f>
        <v>5</v>
      </c>
      <c r="X290" s="189">
        <f>IFERROR(__xludf.DUMMYFUNCTION("""COMPUTED_VALUE"""),7.0)</f>
        <v>7</v>
      </c>
      <c r="Y290" s="189" t="str">
        <f>IFERROR(__xludf.DUMMYFUNCTION("""COMPUTED_VALUE"""),"2025-07-27T00:00:00.000Z")</f>
        <v>2025-07-27T00:00:00.000Z</v>
      </c>
      <c r="Z290" s="189" t="str">
        <f>IFERROR(__xludf.DUMMYFUNCTION("""COMPUTED_VALUE"""),"Team Liquid Academy_Corrode")</f>
        <v>Team Liquid Academy_Corrode</v>
      </c>
    </row>
    <row r="291">
      <c r="A291" s="189">
        <f>IFERROR(__xludf.DUMMYFUNCTION("""COMPUTED_VALUE"""),211055.0)</f>
        <v>211055</v>
      </c>
      <c r="B291" s="189">
        <f>IFERROR(__xludf.DUMMYFUNCTION("""COMPUTED_VALUE"""),92833.0)</f>
        <v>92833</v>
      </c>
      <c r="C291" s="189" t="str">
        <f>IFERROR(__xludf.DUMMYFUNCTION("""COMPUTED_VALUE"""),"Challengers League 2025 NORTH EAST: Split 3 - Playoffs")</f>
        <v>Challengers League 2025 NORTH EAST: Split 3 - Playoffs</v>
      </c>
      <c r="D291" s="189" t="str">
        <f>IFERROR(__xludf.DUMMYFUNCTION("""COMPUTED_VALUE"""),"Haven")</f>
        <v>Haven</v>
      </c>
      <c r="E291" s="189" t="str">
        <f>IFERROR(__xludf.DUMMYFUNCTION("""COMPUTED_VALUE"""),"Boars Gaming")</f>
        <v>Boars Gaming</v>
      </c>
      <c r="F291" s="189" t="str">
        <f>IFERROR(__xludf.DUMMYFUNCTION("""COMPUTED_VALUE"""),"Metizport")</f>
        <v>Metizport</v>
      </c>
      <c r="G291" s="189" t="str">
        <f>IFERROR(__xludf.DUMMYFUNCTION("""COMPUTED_VALUE"""),"Breach,Cypher,Sova,Omen,Neon")</f>
        <v>Breach,Cypher,Sova,Omen,Neon</v>
      </c>
      <c r="H291" s="189" t="str">
        <f>IFERROR(__xludf.DUMMYFUNCTION("""COMPUTED_VALUE"""),"Sova,Killjoy,Viper,Omen,Neon")</f>
        <v>Sova,Killjoy,Viper,Omen,Neon</v>
      </c>
      <c r="I291" s="189">
        <f>IFERROR(__xludf.DUMMYFUNCTION("""COMPUTED_VALUE"""),13.0)</f>
        <v>13</v>
      </c>
      <c r="J291" s="189">
        <f>IFERROR(__xludf.DUMMYFUNCTION("""COMPUTED_VALUE"""),2.0)</f>
        <v>2</v>
      </c>
      <c r="K291" s="189">
        <f>IFERROR(__xludf.DUMMYFUNCTION("""COMPUTED_VALUE"""),10.0)</f>
        <v>10</v>
      </c>
      <c r="L291" s="189">
        <f>IFERROR(__xludf.DUMMYFUNCTION("""COMPUTED_VALUE"""),2.0)</f>
        <v>2</v>
      </c>
      <c r="M291" s="189">
        <f>IFERROR(__xludf.DUMMYFUNCTION("""COMPUTED_VALUE"""),1.0)</f>
        <v>1</v>
      </c>
      <c r="N291" s="189">
        <f>IFERROR(__xludf.DUMMYFUNCTION("""COMPUTED_VALUE"""),1.0)</f>
        <v>1</v>
      </c>
      <c r="O291" s="189">
        <f>IFERROR(__xludf.DUMMYFUNCTION("""COMPUTED_VALUE"""),10.0)</f>
        <v>10</v>
      </c>
      <c r="P291" s="189">
        <f>IFERROR(__xludf.DUMMYFUNCTION("""COMPUTED_VALUE"""),2.0)</f>
        <v>2</v>
      </c>
      <c r="Q291" s="189">
        <f>IFERROR(__xludf.DUMMYFUNCTION("""COMPUTED_VALUE"""),3.0)</f>
        <v>3</v>
      </c>
      <c r="R291" s="189">
        <f>IFERROR(__xludf.DUMMYFUNCTION("""COMPUTED_VALUE"""),0.0)</f>
        <v>0</v>
      </c>
      <c r="S291" s="189">
        <f>IFERROR(__xludf.DUMMYFUNCTION("""COMPUTED_VALUE"""),0.0)</f>
        <v>0</v>
      </c>
      <c r="T291" s="189">
        <f>IFERROR(__xludf.DUMMYFUNCTION("""COMPUTED_VALUE"""),0.0)</f>
        <v>0</v>
      </c>
      <c r="U291" s="189">
        <f>IFERROR(__xludf.DUMMYFUNCTION("""COMPUTED_VALUE"""),0.0)</f>
        <v>0</v>
      </c>
      <c r="V291" s="189">
        <f>IFERROR(__xludf.DUMMYFUNCTION("""COMPUTED_VALUE"""),3.0)</f>
        <v>3</v>
      </c>
      <c r="W291" s="189">
        <f>IFERROR(__xludf.DUMMYFUNCTION("""COMPUTED_VALUE"""),2.0)</f>
        <v>2</v>
      </c>
      <c r="X291" s="189">
        <f>IFERROR(__xludf.DUMMYFUNCTION("""COMPUTED_VALUE"""),10.0)</f>
        <v>10</v>
      </c>
      <c r="Y291" s="189" t="str">
        <f>IFERROR(__xludf.DUMMYFUNCTION("""COMPUTED_VALUE"""),"2025-07-26T00:00:00.000Z")</f>
        <v>2025-07-26T00:00:00.000Z</v>
      </c>
      <c r="Z291" s="189" t="str">
        <f>IFERROR(__xludf.DUMMYFUNCTION("""COMPUTED_VALUE"""),"Boars Gaming_Haven")</f>
        <v>Boars Gaming_Haven</v>
      </c>
    </row>
    <row r="292">
      <c r="A292" s="189">
        <f>IFERROR(__xludf.DUMMYFUNCTION("""COMPUTED_VALUE"""),211054.0)</f>
        <v>211054</v>
      </c>
      <c r="B292" s="189">
        <f>IFERROR(__xludf.DUMMYFUNCTION("""COMPUTED_VALUE"""),92833.0)</f>
        <v>92833</v>
      </c>
      <c r="C292" s="189" t="str">
        <f>IFERROR(__xludf.DUMMYFUNCTION("""COMPUTED_VALUE"""),"Challengers League 2025 NORTH EAST: Split 3 - Playoffs")</f>
        <v>Challengers League 2025 NORTH EAST: Split 3 - Playoffs</v>
      </c>
      <c r="D292" s="189" t="str">
        <f>IFERROR(__xludf.DUMMYFUNCTION("""COMPUTED_VALUE"""),"Sunset")</f>
        <v>Sunset</v>
      </c>
      <c r="E292" s="189" t="str">
        <f>IFERROR(__xludf.DUMMYFUNCTION("""COMPUTED_VALUE"""),"Boars Gaming")</f>
        <v>Boars Gaming</v>
      </c>
      <c r="F292" s="189" t="str">
        <f>IFERROR(__xludf.DUMMYFUNCTION("""COMPUTED_VALUE"""),"Metizport")</f>
        <v>Metizport</v>
      </c>
      <c r="G292" s="189" t="str">
        <f>IFERROR(__xludf.DUMMYFUNCTION("""COMPUTED_VALUE"""),"Cypher,Sova,Omen,KAY/O,Neon")</f>
        <v>Cypher,Sova,Omen,KAY/O,Neon</v>
      </c>
      <c r="H292" s="189" t="str">
        <f>IFERROR(__xludf.DUMMYFUNCTION("""COMPUTED_VALUE"""),"Breach,Cypher,Sova,Omen,Neon")</f>
        <v>Breach,Cypher,Sova,Omen,Neon</v>
      </c>
      <c r="I292" s="189">
        <f>IFERROR(__xludf.DUMMYFUNCTION("""COMPUTED_VALUE"""),7.0)</f>
        <v>7</v>
      </c>
      <c r="J292" s="189">
        <f>IFERROR(__xludf.DUMMYFUNCTION("""COMPUTED_VALUE"""),13.0)</f>
        <v>13</v>
      </c>
      <c r="K292" s="189">
        <f>IFERROR(__xludf.DUMMYFUNCTION("""COMPUTED_VALUE"""),5.0)</f>
        <v>5</v>
      </c>
      <c r="L292" s="189">
        <f>IFERROR(__xludf.DUMMYFUNCTION("""COMPUTED_VALUE"""),7.0)</f>
        <v>7</v>
      </c>
      <c r="M292" s="189">
        <f>IFERROR(__xludf.DUMMYFUNCTION("""COMPUTED_VALUE"""),1.0)</f>
        <v>1</v>
      </c>
      <c r="N292" s="189">
        <f>IFERROR(__xludf.DUMMYFUNCTION("""COMPUTED_VALUE"""),0.0)</f>
        <v>0</v>
      </c>
      <c r="O292" s="189">
        <f>IFERROR(__xludf.DUMMYFUNCTION("""COMPUTED_VALUE"""),5.0)</f>
        <v>5</v>
      </c>
      <c r="P292" s="189">
        <f>IFERROR(__xludf.DUMMYFUNCTION("""COMPUTED_VALUE"""),7.0)</f>
        <v>7</v>
      </c>
      <c r="Q292" s="189">
        <f>IFERROR(__xludf.DUMMYFUNCTION("""COMPUTED_VALUE"""),2.0)</f>
        <v>2</v>
      </c>
      <c r="R292" s="189">
        <f>IFERROR(__xludf.DUMMYFUNCTION("""COMPUTED_VALUE"""),6.0)</f>
        <v>6</v>
      </c>
      <c r="S292" s="189">
        <f>IFERROR(__xludf.DUMMYFUNCTION("""COMPUTED_VALUE"""),1.0)</f>
        <v>1</v>
      </c>
      <c r="T292" s="189">
        <f>IFERROR(__xludf.DUMMYFUNCTION("""COMPUTED_VALUE"""),0.0)</f>
        <v>0</v>
      </c>
      <c r="U292" s="189">
        <f>IFERROR(__xludf.DUMMYFUNCTION("""COMPUTED_VALUE"""),6.0)</f>
        <v>6</v>
      </c>
      <c r="V292" s="189">
        <f>IFERROR(__xludf.DUMMYFUNCTION("""COMPUTED_VALUE"""),2.0)</f>
        <v>2</v>
      </c>
      <c r="W292" s="189">
        <f>IFERROR(__xludf.DUMMYFUNCTION("""COMPUTED_VALUE"""),7.0)</f>
        <v>7</v>
      </c>
      <c r="X292" s="189">
        <f>IFERROR(__xludf.DUMMYFUNCTION("""COMPUTED_VALUE"""),5.0)</f>
        <v>5</v>
      </c>
      <c r="Y292" s="189" t="str">
        <f>IFERROR(__xludf.DUMMYFUNCTION("""COMPUTED_VALUE"""),"2025-07-26T00:00:00.000Z")</f>
        <v>2025-07-26T00:00:00.000Z</v>
      </c>
      <c r="Z292" s="189" t="str">
        <f>IFERROR(__xludf.DUMMYFUNCTION("""COMPUTED_VALUE"""),"Boars Gaming_Sunset")</f>
        <v>Boars Gaming_Sunset</v>
      </c>
    </row>
    <row r="293">
      <c r="A293" s="189">
        <f>IFERROR(__xludf.DUMMYFUNCTION("""COMPUTED_VALUE"""),211053.0)</f>
        <v>211053</v>
      </c>
      <c r="B293" s="189">
        <f>IFERROR(__xludf.DUMMYFUNCTION("""COMPUTED_VALUE"""),92833.0)</f>
        <v>92833</v>
      </c>
      <c r="C293" s="189" t="str">
        <f>IFERROR(__xludf.DUMMYFUNCTION("""COMPUTED_VALUE"""),"Challengers League 2025 NORTH EAST: Split 3 - Playoffs")</f>
        <v>Challengers League 2025 NORTH EAST: Split 3 - Playoffs</v>
      </c>
      <c r="D293" s="189" t="str">
        <f>IFERROR(__xludf.DUMMYFUNCTION("""COMPUTED_VALUE"""),"Lotus")</f>
        <v>Lotus</v>
      </c>
      <c r="E293" s="189" t="str">
        <f>IFERROR(__xludf.DUMMYFUNCTION("""COMPUTED_VALUE"""),"Boars Gaming")</f>
        <v>Boars Gaming</v>
      </c>
      <c r="F293" s="189" t="str">
        <f>IFERROR(__xludf.DUMMYFUNCTION("""COMPUTED_VALUE"""),"Metizport")</f>
        <v>Metizport</v>
      </c>
      <c r="G293" s="189" t="str">
        <f>IFERROR(__xludf.DUMMYFUNCTION("""COMPUTED_VALUE"""),"Breach,Cypher,Omen,Neon,Fade")</f>
        <v>Breach,Cypher,Omen,Neon,Fade</v>
      </c>
      <c r="H293" s="189" t="str">
        <f>IFERROR(__xludf.DUMMYFUNCTION("""COMPUTED_VALUE"""),"Raze,Omen,Yoru,Fade,Vyse")</f>
        <v>Raze,Omen,Yoru,Fade,Vyse</v>
      </c>
      <c r="I293" s="189">
        <f>IFERROR(__xludf.DUMMYFUNCTION("""COMPUTED_VALUE"""),13.0)</f>
        <v>13</v>
      </c>
      <c r="J293" s="189">
        <f>IFERROR(__xludf.DUMMYFUNCTION("""COMPUTED_VALUE"""),5.0)</f>
        <v>5</v>
      </c>
      <c r="K293" s="189">
        <f>IFERROR(__xludf.DUMMYFUNCTION("""COMPUTED_VALUE"""),8.0)</f>
        <v>8</v>
      </c>
      <c r="L293" s="189">
        <f>IFERROR(__xludf.DUMMYFUNCTION("""COMPUTED_VALUE"""),4.0)</f>
        <v>4</v>
      </c>
      <c r="M293" s="189">
        <f>IFERROR(__xludf.DUMMYFUNCTION("""COMPUTED_VALUE"""),1.0)</f>
        <v>1</v>
      </c>
      <c r="N293" s="189">
        <f>IFERROR(__xludf.DUMMYFUNCTION("""COMPUTED_VALUE"""),0.0)</f>
        <v>0</v>
      </c>
      <c r="O293" s="189">
        <f>IFERROR(__xludf.DUMMYFUNCTION("""COMPUTED_VALUE"""),5.0)</f>
        <v>5</v>
      </c>
      <c r="P293" s="189">
        <f>IFERROR(__xludf.DUMMYFUNCTION("""COMPUTED_VALUE"""),1.0)</f>
        <v>1</v>
      </c>
      <c r="Q293" s="189">
        <f>IFERROR(__xludf.DUMMYFUNCTION("""COMPUTED_VALUE"""),8.0)</f>
        <v>8</v>
      </c>
      <c r="R293" s="189">
        <f>IFERROR(__xludf.DUMMYFUNCTION("""COMPUTED_VALUE"""),4.0)</f>
        <v>4</v>
      </c>
      <c r="S293" s="189">
        <f>IFERROR(__xludf.DUMMYFUNCTION("""COMPUTED_VALUE"""),1.0)</f>
        <v>1</v>
      </c>
      <c r="T293" s="189">
        <f>IFERROR(__xludf.DUMMYFUNCTION("""COMPUTED_VALUE"""),0.0)</f>
        <v>0</v>
      </c>
      <c r="U293" s="189">
        <f>IFERROR(__xludf.DUMMYFUNCTION("""COMPUTED_VALUE"""),4.0)</f>
        <v>4</v>
      </c>
      <c r="V293" s="189">
        <f>IFERROR(__xludf.DUMMYFUNCTION("""COMPUTED_VALUE"""),8.0)</f>
        <v>8</v>
      </c>
      <c r="W293" s="189">
        <f>IFERROR(__xludf.DUMMYFUNCTION("""COMPUTED_VALUE"""),1.0)</f>
        <v>1</v>
      </c>
      <c r="X293" s="189">
        <f>IFERROR(__xludf.DUMMYFUNCTION("""COMPUTED_VALUE"""),5.0)</f>
        <v>5</v>
      </c>
      <c r="Y293" s="189" t="str">
        <f>IFERROR(__xludf.DUMMYFUNCTION("""COMPUTED_VALUE"""),"2025-07-26T00:00:00.000Z")</f>
        <v>2025-07-26T00:00:00.000Z</v>
      </c>
      <c r="Z293" s="189" t="str">
        <f>IFERROR(__xludf.DUMMYFUNCTION("""COMPUTED_VALUE"""),"Boars Gaming_Lotus")</f>
        <v>Boars Gaming_Lotus</v>
      </c>
    </row>
    <row r="294">
      <c r="A294" s="189">
        <f>IFERROR(__xludf.DUMMYFUNCTION("""COMPUTED_VALUE"""),211051.0)</f>
        <v>211051</v>
      </c>
      <c r="B294" s="189">
        <f>IFERROR(__xludf.DUMMYFUNCTION("""COMPUTED_VALUE"""),92832.0)</f>
        <v>92832</v>
      </c>
      <c r="C294" s="189" t="str">
        <f>IFERROR(__xludf.DUMMYFUNCTION("""COMPUTED_VALUE"""),"Challengers League 2025 NORTH EAST: Split 3 - Playoffs")</f>
        <v>Challengers League 2025 NORTH EAST: Split 3 - Playoffs</v>
      </c>
      <c r="D294" s="189" t="str">
        <f>IFERROR(__xludf.DUMMYFUNCTION("""COMPUTED_VALUE"""),"Bind")</f>
        <v>Bind</v>
      </c>
      <c r="E294" s="189" t="str">
        <f>IFERROR(__xludf.DUMMYFUNCTION("""COMPUTED_VALUE"""),"děti ulice")</f>
        <v>děti ulice</v>
      </c>
      <c r="F294" s="189" t="str">
        <f>IFERROR(__xludf.DUMMYFUNCTION("""COMPUTED_VALUE"""),"FULL BOX 200")</f>
        <v>FULL BOX 200</v>
      </c>
      <c r="G294" s="189" t="str">
        <f>IFERROR(__xludf.DUMMYFUNCTION("""COMPUTED_VALUE"""),"Raze,Viper,Brimstone,Skye,Gekko")</f>
        <v>Raze,Viper,Brimstone,Skye,Gekko</v>
      </c>
      <c r="H294" s="189" t="str">
        <f>IFERROR(__xludf.DUMMYFUNCTION("""COMPUTED_VALUE"""),"Raze,Viper,Brimstone,Yoru,Fade")</f>
        <v>Raze,Viper,Brimstone,Yoru,Fade</v>
      </c>
      <c r="I294" s="189">
        <f>IFERROR(__xludf.DUMMYFUNCTION("""COMPUTED_VALUE"""),13.0)</f>
        <v>13</v>
      </c>
      <c r="J294" s="189">
        <f>IFERROR(__xludf.DUMMYFUNCTION("""COMPUTED_VALUE"""),5.0)</f>
        <v>5</v>
      </c>
      <c r="K294" s="189">
        <f>IFERROR(__xludf.DUMMYFUNCTION("""COMPUTED_VALUE"""),8.0)</f>
        <v>8</v>
      </c>
      <c r="L294" s="189">
        <f>IFERROR(__xludf.DUMMYFUNCTION("""COMPUTED_VALUE"""),4.0)</f>
        <v>4</v>
      </c>
      <c r="M294" s="189">
        <f>IFERROR(__xludf.DUMMYFUNCTION("""COMPUTED_VALUE"""),1.0)</f>
        <v>1</v>
      </c>
      <c r="N294" s="189">
        <f>IFERROR(__xludf.DUMMYFUNCTION("""COMPUTED_VALUE"""),1.0)</f>
        <v>1</v>
      </c>
      <c r="O294" s="189">
        <f>IFERROR(__xludf.DUMMYFUNCTION("""COMPUTED_VALUE"""),8.0)</f>
        <v>8</v>
      </c>
      <c r="P294" s="189">
        <f>IFERROR(__xludf.DUMMYFUNCTION("""COMPUTED_VALUE"""),4.0)</f>
        <v>4</v>
      </c>
      <c r="Q294" s="189">
        <f>IFERROR(__xludf.DUMMYFUNCTION("""COMPUTED_VALUE"""),5.0)</f>
        <v>5</v>
      </c>
      <c r="R294" s="189">
        <f>IFERROR(__xludf.DUMMYFUNCTION("""COMPUTED_VALUE"""),1.0)</f>
        <v>1</v>
      </c>
      <c r="S294" s="189">
        <f>IFERROR(__xludf.DUMMYFUNCTION("""COMPUTED_VALUE"""),0.0)</f>
        <v>0</v>
      </c>
      <c r="T294" s="189">
        <f>IFERROR(__xludf.DUMMYFUNCTION("""COMPUTED_VALUE"""),0.0)</f>
        <v>0</v>
      </c>
      <c r="U294" s="189">
        <f>IFERROR(__xludf.DUMMYFUNCTION("""COMPUTED_VALUE"""),1.0)</f>
        <v>1</v>
      </c>
      <c r="V294" s="189">
        <f>IFERROR(__xludf.DUMMYFUNCTION("""COMPUTED_VALUE"""),5.0)</f>
        <v>5</v>
      </c>
      <c r="W294" s="189">
        <f>IFERROR(__xludf.DUMMYFUNCTION("""COMPUTED_VALUE"""),4.0)</f>
        <v>4</v>
      </c>
      <c r="X294" s="189">
        <f>IFERROR(__xludf.DUMMYFUNCTION("""COMPUTED_VALUE"""),8.0)</f>
        <v>8</v>
      </c>
      <c r="Y294" s="189" t="str">
        <f>IFERROR(__xludf.DUMMYFUNCTION("""COMPUTED_VALUE"""),"2025-07-26T00:00:00.000Z")</f>
        <v>2025-07-26T00:00:00.000Z</v>
      </c>
      <c r="Z294" s="189" t="str">
        <f>IFERROR(__xludf.DUMMYFUNCTION("""COMPUTED_VALUE"""),"děti ulice_Bind")</f>
        <v>děti ulice_Bind</v>
      </c>
    </row>
    <row r="295">
      <c r="A295" s="189">
        <f>IFERROR(__xludf.DUMMYFUNCTION("""COMPUTED_VALUE"""),211050.0)</f>
        <v>211050</v>
      </c>
      <c r="B295" s="189">
        <f>IFERROR(__xludf.DUMMYFUNCTION("""COMPUTED_VALUE"""),92832.0)</f>
        <v>92832</v>
      </c>
      <c r="C295" s="189" t="str">
        <f>IFERROR(__xludf.DUMMYFUNCTION("""COMPUTED_VALUE"""),"Challengers League 2025 NORTH EAST: Split 3 - Playoffs")</f>
        <v>Challengers League 2025 NORTH EAST: Split 3 - Playoffs</v>
      </c>
      <c r="D295" s="189" t="str">
        <f>IFERROR(__xludf.DUMMYFUNCTION("""COMPUTED_VALUE"""),"Sunset")</f>
        <v>Sunset</v>
      </c>
      <c r="E295" s="189" t="str">
        <f>IFERROR(__xludf.DUMMYFUNCTION("""COMPUTED_VALUE"""),"děti ulice")</f>
        <v>děti ulice</v>
      </c>
      <c r="F295" s="189" t="str">
        <f>IFERROR(__xludf.DUMMYFUNCTION("""COMPUTED_VALUE"""),"FULL BOX 200")</f>
        <v>FULL BOX 200</v>
      </c>
      <c r="G295" s="189" t="str">
        <f>IFERROR(__xludf.DUMMYFUNCTION("""COMPUTED_VALUE"""),"Cypher,Sova,Omen,Yoru,Neon")</f>
        <v>Cypher,Sova,Omen,Yoru,Neon</v>
      </c>
      <c r="H295" s="189" t="str">
        <f>IFERROR(__xludf.DUMMYFUNCTION("""COMPUTED_VALUE"""),"Breach,Cypher,Sova,Omen,Neon")</f>
        <v>Breach,Cypher,Sova,Omen,Neon</v>
      </c>
      <c r="I295" s="189">
        <f>IFERROR(__xludf.DUMMYFUNCTION("""COMPUTED_VALUE"""),13.0)</f>
        <v>13</v>
      </c>
      <c r="J295" s="189">
        <f>IFERROR(__xludf.DUMMYFUNCTION("""COMPUTED_VALUE"""),8.0)</f>
        <v>8</v>
      </c>
      <c r="K295" s="189">
        <f>IFERROR(__xludf.DUMMYFUNCTION("""COMPUTED_VALUE"""),6.0)</f>
        <v>6</v>
      </c>
      <c r="L295" s="189">
        <f>IFERROR(__xludf.DUMMYFUNCTION("""COMPUTED_VALUE"""),6.0)</f>
        <v>6</v>
      </c>
      <c r="M295" s="189">
        <f>IFERROR(__xludf.DUMMYFUNCTION("""COMPUTED_VALUE"""),0.0)</f>
        <v>0</v>
      </c>
      <c r="N295" s="189">
        <f>IFERROR(__xludf.DUMMYFUNCTION("""COMPUTED_VALUE"""),1.0)</f>
        <v>1</v>
      </c>
      <c r="O295" s="189">
        <f>IFERROR(__xludf.DUMMYFUNCTION("""COMPUTED_VALUE"""),6.0)</f>
        <v>6</v>
      </c>
      <c r="P295" s="189">
        <f>IFERROR(__xludf.DUMMYFUNCTION("""COMPUTED_VALUE"""),6.0)</f>
        <v>6</v>
      </c>
      <c r="Q295" s="189">
        <f>IFERROR(__xludf.DUMMYFUNCTION("""COMPUTED_VALUE"""),7.0)</f>
        <v>7</v>
      </c>
      <c r="R295" s="189">
        <f>IFERROR(__xludf.DUMMYFUNCTION("""COMPUTED_VALUE"""),2.0)</f>
        <v>2</v>
      </c>
      <c r="S295" s="189">
        <f>IFERROR(__xludf.DUMMYFUNCTION("""COMPUTED_VALUE"""),0.0)</f>
        <v>0</v>
      </c>
      <c r="T295" s="189">
        <f>IFERROR(__xludf.DUMMYFUNCTION("""COMPUTED_VALUE"""),1.0)</f>
        <v>1</v>
      </c>
      <c r="U295" s="189">
        <f>IFERROR(__xludf.DUMMYFUNCTION("""COMPUTED_VALUE"""),2.0)</f>
        <v>2</v>
      </c>
      <c r="V295" s="189">
        <f>IFERROR(__xludf.DUMMYFUNCTION("""COMPUTED_VALUE"""),7.0)</f>
        <v>7</v>
      </c>
      <c r="W295" s="189">
        <f>IFERROR(__xludf.DUMMYFUNCTION("""COMPUTED_VALUE"""),6.0)</f>
        <v>6</v>
      </c>
      <c r="X295" s="189">
        <f>IFERROR(__xludf.DUMMYFUNCTION("""COMPUTED_VALUE"""),6.0)</f>
        <v>6</v>
      </c>
      <c r="Y295" s="189" t="str">
        <f>IFERROR(__xludf.DUMMYFUNCTION("""COMPUTED_VALUE"""),"2025-07-26T00:00:00.000Z")</f>
        <v>2025-07-26T00:00:00.000Z</v>
      </c>
      <c r="Z295" s="189" t="str">
        <f>IFERROR(__xludf.DUMMYFUNCTION("""COMPUTED_VALUE"""),"děti ulice_Sunset")</f>
        <v>děti ulice_Sunset</v>
      </c>
    </row>
    <row r="296">
      <c r="A296" s="189">
        <f>IFERROR(__xludf.DUMMYFUNCTION("""COMPUTED_VALUE"""),210905.0)</f>
        <v>210905</v>
      </c>
      <c r="B296" s="189">
        <f>IFERROR(__xludf.DUMMYFUNCTION("""COMPUTED_VALUE"""),92757.0)</f>
        <v>92757</v>
      </c>
      <c r="C296" s="189" t="str">
        <f>IFERROR(__xludf.DUMMYFUNCTION("""COMPUTED_VALUE"""),"Challengers League 2025 NORTH EAST: Split 3 - Upper Swiss Phase")</f>
        <v>Challengers League 2025 NORTH EAST: Split 3 - Upper Swiss Phase</v>
      </c>
      <c r="D296" s="189" t="str">
        <f>IFERROR(__xludf.DUMMYFUNCTION("""COMPUTED_VALUE"""),"Ascent")</f>
        <v>Ascent</v>
      </c>
      <c r="E296" s="189" t="str">
        <f>IFERROR(__xludf.DUMMYFUNCTION("""COMPUTED_VALUE"""),"děti ulice")</f>
        <v>děti ulice</v>
      </c>
      <c r="F296" s="189" t="str">
        <f>IFERROR(__xludf.DUMMYFUNCTION("""COMPUTED_VALUE"""),"Twisted Saints Esports")</f>
        <v>Twisted Saints Esports</v>
      </c>
      <c r="G296" s="189" t="str">
        <f>IFERROR(__xludf.DUMMYFUNCTION("""COMPUTED_VALUE"""),"Sova,Killjoy,Omen,Jett,KAY/O")</f>
        <v>Sova,Killjoy,Omen,Jett,KAY/O</v>
      </c>
      <c r="H296" s="189" t="str">
        <f>IFERROR(__xludf.DUMMYFUNCTION("""COMPUTED_VALUE"""),"Sova,Omen,Yoru,Chamber,Vyse")</f>
        <v>Sova,Omen,Yoru,Chamber,Vyse</v>
      </c>
      <c r="I296" s="189">
        <f>IFERROR(__xludf.DUMMYFUNCTION("""COMPUTED_VALUE"""),14.0)</f>
        <v>14</v>
      </c>
      <c r="J296" s="189">
        <f>IFERROR(__xludf.DUMMYFUNCTION("""COMPUTED_VALUE"""),12.0)</f>
        <v>12</v>
      </c>
      <c r="K296" s="189">
        <f>IFERROR(__xludf.DUMMYFUNCTION("""COMPUTED_VALUE"""),8.0)</f>
        <v>8</v>
      </c>
      <c r="L296" s="189">
        <f>IFERROR(__xludf.DUMMYFUNCTION("""COMPUTED_VALUE"""),4.0)</f>
        <v>4</v>
      </c>
      <c r="M296" s="189">
        <f>IFERROR(__xludf.DUMMYFUNCTION("""COMPUTED_VALUE"""),1.0)</f>
        <v>1</v>
      </c>
      <c r="N296" s="189">
        <f>IFERROR(__xludf.DUMMYFUNCTION("""COMPUTED_VALUE"""),1.0)</f>
        <v>1</v>
      </c>
      <c r="O296" s="189">
        <f>IFERROR(__xludf.DUMMYFUNCTION("""COMPUTED_VALUE"""),5.0)</f>
        <v>5</v>
      </c>
      <c r="P296" s="189">
        <f>IFERROR(__xludf.DUMMYFUNCTION("""COMPUTED_VALUE"""),8.0)</f>
        <v>8</v>
      </c>
      <c r="Q296" s="189">
        <f>IFERROR(__xludf.DUMMYFUNCTION("""COMPUTED_VALUE"""),9.0)</f>
        <v>9</v>
      </c>
      <c r="R296" s="189">
        <f>IFERROR(__xludf.DUMMYFUNCTION("""COMPUTED_VALUE"""),4.0)</f>
        <v>4</v>
      </c>
      <c r="S296" s="189">
        <f>IFERROR(__xludf.DUMMYFUNCTION("""COMPUTED_VALUE"""),0.0)</f>
        <v>0</v>
      </c>
      <c r="T296" s="189">
        <f>IFERROR(__xludf.DUMMYFUNCTION("""COMPUTED_VALUE"""),0.0)</f>
        <v>0</v>
      </c>
      <c r="U296" s="189">
        <f>IFERROR(__xludf.DUMMYFUNCTION("""COMPUTED_VALUE"""),4.0)</f>
        <v>4</v>
      </c>
      <c r="V296" s="189">
        <f>IFERROR(__xludf.DUMMYFUNCTION("""COMPUTED_VALUE"""),9.0)</f>
        <v>9</v>
      </c>
      <c r="W296" s="189">
        <f>IFERROR(__xludf.DUMMYFUNCTION("""COMPUTED_VALUE"""),8.0)</f>
        <v>8</v>
      </c>
      <c r="X296" s="189">
        <f>IFERROR(__xludf.DUMMYFUNCTION("""COMPUTED_VALUE"""),5.0)</f>
        <v>5</v>
      </c>
      <c r="Y296" s="189" t="str">
        <f>IFERROR(__xludf.DUMMYFUNCTION("""COMPUTED_VALUE"""),"2025-07-22T00:00:00.000Z")</f>
        <v>2025-07-22T00:00:00.000Z</v>
      </c>
      <c r="Z296" s="189" t="str">
        <f>IFERROR(__xludf.DUMMYFUNCTION("""COMPUTED_VALUE"""),"děti ulice_Ascent")</f>
        <v>děti ulice_Ascent</v>
      </c>
    </row>
    <row r="297">
      <c r="A297" s="189">
        <f>IFERROR(__xludf.DUMMYFUNCTION("""COMPUTED_VALUE"""),210904.0)</f>
        <v>210904</v>
      </c>
      <c r="B297" s="189">
        <f>IFERROR(__xludf.DUMMYFUNCTION("""COMPUTED_VALUE"""),92757.0)</f>
        <v>92757</v>
      </c>
      <c r="C297" s="189" t="str">
        <f>IFERROR(__xludf.DUMMYFUNCTION("""COMPUTED_VALUE"""),"Challengers League 2025 NORTH EAST: Split 3 - Upper Swiss Phase")</f>
        <v>Challengers League 2025 NORTH EAST: Split 3 - Upper Swiss Phase</v>
      </c>
      <c r="D297" s="189" t="str">
        <f>IFERROR(__xludf.DUMMYFUNCTION("""COMPUTED_VALUE"""),"Haven")</f>
        <v>Haven</v>
      </c>
      <c r="E297" s="189" t="str">
        <f>IFERROR(__xludf.DUMMYFUNCTION("""COMPUTED_VALUE"""),"děti ulice")</f>
        <v>děti ulice</v>
      </c>
      <c r="F297" s="189" t="str">
        <f>IFERROR(__xludf.DUMMYFUNCTION("""COMPUTED_VALUE"""),"Twisted Saints Esports")</f>
        <v>Twisted Saints Esports</v>
      </c>
      <c r="G297" s="189" t="str">
        <f>IFERROR(__xludf.DUMMYFUNCTION("""COMPUTED_VALUE"""),"Cypher,Sova,Omen,Yoru,Iso")</f>
        <v>Cypher,Sova,Omen,Yoru,Iso</v>
      </c>
      <c r="H297" s="189" t="str">
        <f>IFERROR(__xludf.DUMMYFUNCTION("""COMPUTED_VALUE"""),"Cypher,Sova,Omen,Yoru,Iso")</f>
        <v>Cypher,Sova,Omen,Yoru,Iso</v>
      </c>
      <c r="I297" s="189">
        <f>IFERROR(__xludf.DUMMYFUNCTION("""COMPUTED_VALUE"""),13.0)</f>
        <v>13</v>
      </c>
      <c r="J297" s="189">
        <f>IFERROR(__xludf.DUMMYFUNCTION("""COMPUTED_VALUE"""),9.0)</f>
        <v>9</v>
      </c>
      <c r="K297" s="189">
        <f>IFERROR(__xludf.DUMMYFUNCTION("""COMPUTED_VALUE"""),9.0)</f>
        <v>9</v>
      </c>
      <c r="L297" s="189">
        <f>IFERROR(__xludf.DUMMYFUNCTION("""COMPUTED_VALUE"""),3.0)</f>
        <v>3</v>
      </c>
      <c r="M297" s="189">
        <f>IFERROR(__xludf.DUMMYFUNCTION("""COMPUTED_VALUE"""),0.0)</f>
        <v>0</v>
      </c>
      <c r="N297" s="189">
        <f>IFERROR(__xludf.DUMMYFUNCTION("""COMPUTED_VALUE"""),0.0)</f>
        <v>0</v>
      </c>
      <c r="O297" s="189">
        <f>IFERROR(__xludf.DUMMYFUNCTION("""COMPUTED_VALUE"""),9.0)</f>
        <v>9</v>
      </c>
      <c r="P297" s="189">
        <f>IFERROR(__xludf.DUMMYFUNCTION("""COMPUTED_VALUE"""),3.0)</f>
        <v>3</v>
      </c>
      <c r="Q297" s="189">
        <f>IFERROR(__xludf.DUMMYFUNCTION("""COMPUTED_VALUE"""),4.0)</f>
        <v>4</v>
      </c>
      <c r="R297" s="189">
        <f>IFERROR(__xludf.DUMMYFUNCTION("""COMPUTED_VALUE"""),6.0)</f>
        <v>6</v>
      </c>
      <c r="S297" s="189">
        <f>IFERROR(__xludf.DUMMYFUNCTION("""COMPUTED_VALUE"""),1.0)</f>
        <v>1</v>
      </c>
      <c r="T297" s="189">
        <f>IFERROR(__xludf.DUMMYFUNCTION("""COMPUTED_VALUE"""),1.0)</f>
        <v>1</v>
      </c>
      <c r="U297" s="189">
        <f>IFERROR(__xludf.DUMMYFUNCTION("""COMPUTED_VALUE"""),6.0)</f>
        <v>6</v>
      </c>
      <c r="V297" s="189">
        <f>IFERROR(__xludf.DUMMYFUNCTION("""COMPUTED_VALUE"""),4.0)</f>
        <v>4</v>
      </c>
      <c r="W297" s="189">
        <f>IFERROR(__xludf.DUMMYFUNCTION("""COMPUTED_VALUE"""),3.0)</f>
        <v>3</v>
      </c>
      <c r="X297" s="189">
        <f>IFERROR(__xludf.DUMMYFUNCTION("""COMPUTED_VALUE"""),9.0)</f>
        <v>9</v>
      </c>
      <c r="Y297" s="189" t="str">
        <f>IFERROR(__xludf.DUMMYFUNCTION("""COMPUTED_VALUE"""),"2025-07-22T00:00:00.000Z")</f>
        <v>2025-07-22T00:00:00.000Z</v>
      </c>
      <c r="Z297" s="189" t="str">
        <f>IFERROR(__xludf.DUMMYFUNCTION("""COMPUTED_VALUE"""),"děti ulice_Haven")</f>
        <v>děti ulice_Haven</v>
      </c>
    </row>
    <row r="298">
      <c r="A298" s="189">
        <f>IFERROR(__xludf.DUMMYFUNCTION("""COMPUTED_VALUE"""),210903.0)</f>
        <v>210903</v>
      </c>
      <c r="B298" s="189">
        <f>IFERROR(__xludf.DUMMYFUNCTION("""COMPUTED_VALUE"""),92757.0)</f>
        <v>92757</v>
      </c>
      <c r="C298" s="189" t="str">
        <f>IFERROR(__xludf.DUMMYFUNCTION("""COMPUTED_VALUE"""),"Challengers League 2025 NORTH EAST: Split 3 - Upper Swiss Phase")</f>
        <v>Challengers League 2025 NORTH EAST: Split 3 - Upper Swiss Phase</v>
      </c>
      <c r="D298" s="189" t="str">
        <f>IFERROR(__xludf.DUMMYFUNCTION("""COMPUTED_VALUE"""),"Lotus")</f>
        <v>Lotus</v>
      </c>
      <c r="E298" s="189" t="str">
        <f>IFERROR(__xludf.DUMMYFUNCTION("""COMPUTED_VALUE"""),"děti ulice")</f>
        <v>děti ulice</v>
      </c>
      <c r="F298" s="189" t="str">
        <f>IFERROR(__xludf.DUMMYFUNCTION("""COMPUTED_VALUE"""),"Twisted Saints Esports")</f>
        <v>Twisted Saints Esports</v>
      </c>
      <c r="G298" s="189" t="str">
        <f>IFERROR(__xludf.DUMMYFUNCTION("""COMPUTED_VALUE"""),"Raze,Killjoy,Viper,Omen,Fade")</f>
        <v>Raze,Killjoy,Viper,Omen,Fade</v>
      </c>
      <c r="H298" s="189" t="str">
        <f>IFERROR(__xludf.DUMMYFUNCTION("""COMPUTED_VALUE"""),"Raze,Killjoy,Viper,Omen,Fade")</f>
        <v>Raze,Killjoy,Viper,Omen,Fade</v>
      </c>
      <c r="I298" s="189">
        <f>IFERROR(__xludf.DUMMYFUNCTION("""COMPUTED_VALUE"""),3.0)</f>
        <v>3</v>
      </c>
      <c r="J298" s="189">
        <f>IFERROR(__xludf.DUMMYFUNCTION("""COMPUTED_VALUE"""),13.0)</f>
        <v>13</v>
      </c>
      <c r="K298" s="189">
        <f>IFERROR(__xludf.DUMMYFUNCTION("""COMPUTED_VALUE"""),3.0)</f>
        <v>3</v>
      </c>
      <c r="L298" s="189">
        <f>IFERROR(__xludf.DUMMYFUNCTION("""COMPUTED_VALUE"""),9.0)</f>
        <v>9</v>
      </c>
      <c r="M298" s="189">
        <f>IFERROR(__xludf.DUMMYFUNCTION("""COMPUTED_VALUE"""),0.0)</f>
        <v>0</v>
      </c>
      <c r="N298" s="189">
        <f>IFERROR(__xludf.DUMMYFUNCTION("""COMPUTED_VALUE"""),0.0)</f>
        <v>0</v>
      </c>
      <c r="O298" s="189">
        <f>IFERROR(__xludf.DUMMYFUNCTION("""COMPUTED_VALUE"""),0.0)</f>
        <v>0</v>
      </c>
      <c r="P298" s="189">
        <f>IFERROR(__xludf.DUMMYFUNCTION("""COMPUTED_VALUE"""),4.0)</f>
        <v>4</v>
      </c>
      <c r="Q298" s="189">
        <f>IFERROR(__xludf.DUMMYFUNCTION("""COMPUTED_VALUE"""),3.0)</f>
        <v>3</v>
      </c>
      <c r="R298" s="189">
        <f>IFERROR(__xludf.DUMMYFUNCTION("""COMPUTED_VALUE"""),9.0)</f>
        <v>9</v>
      </c>
      <c r="S298" s="189">
        <f>IFERROR(__xludf.DUMMYFUNCTION("""COMPUTED_VALUE"""),1.0)</f>
        <v>1</v>
      </c>
      <c r="T298" s="189">
        <f>IFERROR(__xludf.DUMMYFUNCTION("""COMPUTED_VALUE"""),1.0)</f>
        <v>1</v>
      </c>
      <c r="U298" s="189">
        <f>IFERROR(__xludf.DUMMYFUNCTION("""COMPUTED_VALUE"""),9.0)</f>
        <v>9</v>
      </c>
      <c r="V298" s="189">
        <f>IFERROR(__xludf.DUMMYFUNCTION("""COMPUTED_VALUE"""),3.0)</f>
        <v>3</v>
      </c>
      <c r="W298" s="189">
        <f>IFERROR(__xludf.DUMMYFUNCTION("""COMPUTED_VALUE"""),4.0)</f>
        <v>4</v>
      </c>
      <c r="X298" s="189">
        <f>IFERROR(__xludf.DUMMYFUNCTION("""COMPUTED_VALUE"""),0.0)</f>
        <v>0</v>
      </c>
      <c r="Y298" s="189" t="str">
        <f>IFERROR(__xludf.DUMMYFUNCTION("""COMPUTED_VALUE"""),"2025-07-22T00:00:00.000Z")</f>
        <v>2025-07-22T00:00:00.000Z</v>
      </c>
      <c r="Z298" s="189" t="str">
        <f>IFERROR(__xludf.DUMMYFUNCTION("""COMPUTED_VALUE"""),"děti ulice_Lotus")</f>
        <v>děti ulice_Lotus</v>
      </c>
    </row>
    <row r="299">
      <c r="A299" s="189">
        <f>IFERROR(__xludf.DUMMYFUNCTION("""COMPUTED_VALUE"""),210901.0)</f>
        <v>210901</v>
      </c>
      <c r="B299" s="189">
        <f>IFERROR(__xludf.DUMMYFUNCTION("""COMPUTED_VALUE"""),92756.0)</f>
        <v>92756</v>
      </c>
      <c r="C299" s="189" t="str">
        <f>IFERROR(__xludf.DUMMYFUNCTION("""COMPUTED_VALUE"""),"Challengers League 2025 NORTH EAST: Split 3 - Upper Swiss Phase")</f>
        <v>Challengers League 2025 NORTH EAST: Split 3 - Upper Swiss Phase</v>
      </c>
      <c r="D299" s="189" t="str">
        <f>IFERROR(__xludf.DUMMYFUNCTION("""COMPUTED_VALUE"""),"Icebox")</f>
        <v>Icebox</v>
      </c>
      <c r="E299" s="189" t="str">
        <f>IFERROR(__xludf.DUMMYFUNCTION("""COMPUTED_VALUE"""),"Boars Gaming")</f>
        <v>Boars Gaming</v>
      </c>
      <c r="F299" s="189" t="str">
        <f>IFERROR(__xludf.DUMMYFUNCTION("""COMPUTED_VALUE"""),"Input Lag Enjoyer")</f>
        <v>Input Lag Enjoyer</v>
      </c>
      <c r="G299" s="189" t="str">
        <f>IFERROR(__xludf.DUMMYFUNCTION("""COMPUTED_VALUE"""),"Sova,Killjoy,Viper,Omen,Jett")</f>
        <v>Sova,Killjoy,Viper,Omen,Jett</v>
      </c>
      <c r="H299" s="189" t="str">
        <f>IFERROR(__xludf.DUMMYFUNCTION("""COMPUTED_VALUE"""),"Sova,Killjoy,Viper,Reyna,Jett")</f>
        <v>Sova,Killjoy,Viper,Reyna,Jett</v>
      </c>
      <c r="I299" s="189">
        <f>IFERROR(__xludf.DUMMYFUNCTION("""COMPUTED_VALUE"""),13.0)</f>
        <v>13</v>
      </c>
      <c r="J299" s="189">
        <f>IFERROR(__xludf.DUMMYFUNCTION("""COMPUTED_VALUE"""),9.0)</f>
        <v>9</v>
      </c>
      <c r="K299" s="189">
        <f>IFERROR(__xludf.DUMMYFUNCTION("""COMPUTED_VALUE"""),6.0)</f>
        <v>6</v>
      </c>
      <c r="L299" s="189">
        <f>IFERROR(__xludf.DUMMYFUNCTION("""COMPUTED_VALUE"""),6.0)</f>
        <v>6</v>
      </c>
      <c r="M299" s="189">
        <f>IFERROR(__xludf.DUMMYFUNCTION("""COMPUTED_VALUE"""),1.0)</f>
        <v>1</v>
      </c>
      <c r="N299" s="189">
        <f>IFERROR(__xludf.DUMMYFUNCTION("""COMPUTED_VALUE"""),1.0)</f>
        <v>1</v>
      </c>
      <c r="O299" s="189">
        <f>IFERROR(__xludf.DUMMYFUNCTION("""COMPUTED_VALUE"""),6.0)</f>
        <v>6</v>
      </c>
      <c r="P299" s="189">
        <f>IFERROR(__xludf.DUMMYFUNCTION("""COMPUTED_VALUE"""),6.0)</f>
        <v>6</v>
      </c>
      <c r="Q299" s="189">
        <f>IFERROR(__xludf.DUMMYFUNCTION("""COMPUTED_VALUE"""),7.0)</f>
        <v>7</v>
      </c>
      <c r="R299" s="189">
        <f>IFERROR(__xludf.DUMMYFUNCTION("""COMPUTED_VALUE"""),3.0)</f>
        <v>3</v>
      </c>
      <c r="S299" s="189">
        <f>IFERROR(__xludf.DUMMYFUNCTION("""COMPUTED_VALUE"""),0.0)</f>
        <v>0</v>
      </c>
      <c r="T299" s="189">
        <f>IFERROR(__xludf.DUMMYFUNCTION("""COMPUTED_VALUE"""),0.0)</f>
        <v>0</v>
      </c>
      <c r="U299" s="189">
        <f>IFERROR(__xludf.DUMMYFUNCTION("""COMPUTED_VALUE"""),3.0)</f>
        <v>3</v>
      </c>
      <c r="V299" s="189">
        <f>IFERROR(__xludf.DUMMYFUNCTION("""COMPUTED_VALUE"""),7.0)</f>
        <v>7</v>
      </c>
      <c r="W299" s="189">
        <f>IFERROR(__xludf.DUMMYFUNCTION("""COMPUTED_VALUE"""),6.0)</f>
        <v>6</v>
      </c>
      <c r="X299" s="189">
        <f>IFERROR(__xludf.DUMMYFUNCTION("""COMPUTED_VALUE"""),6.0)</f>
        <v>6</v>
      </c>
      <c r="Y299" s="189" t="str">
        <f>IFERROR(__xludf.DUMMYFUNCTION("""COMPUTED_VALUE"""),"2025-07-22T00:00:00.000Z")</f>
        <v>2025-07-22T00:00:00.000Z</v>
      </c>
      <c r="Z299" s="189" t="str">
        <f>IFERROR(__xludf.DUMMYFUNCTION("""COMPUTED_VALUE"""),"Boars Gaming_Icebox")</f>
        <v>Boars Gaming_Icebox</v>
      </c>
    </row>
    <row r="300">
      <c r="A300" s="189">
        <f>IFERROR(__xludf.DUMMYFUNCTION("""COMPUTED_VALUE"""),210900.0)</f>
        <v>210900</v>
      </c>
      <c r="B300" s="189">
        <f>IFERROR(__xludf.DUMMYFUNCTION("""COMPUTED_VALUE"""),92756.0)</f>
        <v>92756</v>
      </c>
      <c r="C300" s="189" t="str">
        <f>IFERROR(__xludf.DUMMYFUNCTION("""COMPUTED_VALUE"""),"Challengers League 2025 NORTH EAST: Split 3 - Upper Swiss Phase")</f>
        <v>Challengers League 2025 NORTH EAST: Split 3 - Upper Swiss Phase</v>
      </c>
      <c r="D300" s="189" t="str">
        <f>IFERROR(__xludf.DUMMYFUNCTION("""COMPUTED_VALUE"""),"Haven")</f>
        <v>Haven</v>
      </c>
      <c r="E300" s="189" t="str">
        <f>IFERROR(__xludf.DUMMYFUNCTION("""COMPUTED_VALUE"""),"Boars Gaming")</f>
        <v>Boars Gaming</v>
      </c>
      <c r="F300" s="189" t="str">
        <f>IFERROR(__xludf.DUMMYFUNCTION("""COMPUTED_VALUE"""),"Input Lag Enjoyer")</f>
        <v>Input Lag Enjoyer</v>
      </c>
      <c r="G300" s="189" t="str">
        <f>IFERROR(__xludf.DUMMYFUNCTION("""COMPUTED_VALUE"""),"Breach,Cypher,Sova,Omen,Neon")</f>
        <v>Breach,Cypher,Sova,Omen,Neon</v>
      </c>
      <c r="H300" s="189" t="str">
        <f>IFERROR(__xludf.DUMMYFUNCTION("""COMPUTED_VALUE"""),"Breach,Cypher,Sova,Omen,Jett")</f>
        <v>Breach,Cypher,Sova,Omen,Jett</v>
      </c>
      <c r="I300" s="189">
        <f>IFERROR(__xludf.DUMMYFUNCTION("""COMPUTED_VALUE"""),13.0)</f>
        <v>13</v>
      </c>
      <c r="J300" s="189">
        <f>IFERROR(__xludf.DUMMYFUNCTION("""COMPUTED_VALUE"""),11.0)</f>
        <v>11</v>
      </c>
      <c r="K300" s="189">
        <f>IFERROR(__xludf.DUMMYFUNCTION("""COMPUTED_VALUE"""),7.0)</f>
        <v>7</v>
      </c>
      <c r="L300" s="189">
        <f>IFERROR(__xludf.DUMMYFUNCTION("""COMPUTED_VALUE"""),5.0)</f>
        <v>5</v>
      </c>
      <c r="M300" s="189">
        <f>IFERROR(__xludf.DUMMYFUNCTION("""COMPUTED_VALUE"""),1.0)</f>
        <v>1</v>
      </c>
      <c r="N300" s="189">
        <f>IFERROR(__xludf.DUMMYFUNCTION("""COMPUTED_VALUE"""),0.0)</f>
        <v>0</v>
      </c>
      <c r="O300" s="189">
        <f>IFERROR(__xludf.DUMMYFUNCTION("""COMPUTED_VALUE"""),7.0)</f>
        <v>7</v>
      </c>
      <c r="P300" s="189">
        <f>IFERROR(__xludf.DUMMYFUNCTION("""COMPUTED_VALUE"""),5.0)</f>
        <v>5</v>
      </c>
      <c r="Q300" s="189">
        <f>IFERROR(__xludf.DUMMYFUNCTION("""COMPUTED_VALUE"""),6.0)</f>
        <v>6</v>
      </c>
      <c r="R300" s="189">
        <f>IFERROR(__xludf.DUMMYFUNCTION("""COMPUTED_VALUE"""),6.0)</f>
        <v>6</v>
      </c>
      <c r="S300" s="189">
        <f>IFERROR(__xludf.DUMMYFUNCTION("""COMPUTED_VALUE"""),1.0)</f>
        <v>1</v>
      </c>
      <c r="T300" s="189">
        <f>IFERROR(__xludf.DUMMYFUNCTION("""COMPUTED_VALUE"""),0.0)</f>
        <v>0</v>
      </c>
      <c r="U300" s="189">
        <f>IFERROR(__xludf.DUMMYFUNCTION("""COMPUTED_VALUE"""),6.0)</f>
        <v>6</v>
      </c>
      <c r="V300" s="189">
        <f>IFERROR(__xludf.DUMMYFUNCTION("""COMPUTED_VALUE"""),6.0)</f>
        <v>6</v>
      </c>
      <c r="W300" s="189">
        <f>IFERROR(__xludf.DUMMYFUNCTION("""COMPUTED_VALUE"""),5.0)</f>
        <v>5</v>
      </c>
      <c r="X300" s="189">
        <f>IFERROR(__xludf.DUMMYFUNCTION("""COMPUTED_VALUE"""),7.0)</f>
        <v>7</v>
      </c>
      <c r="Y300" s="189" t="str">
        <f>IFERROR(__xludf.DUMMYFUNCTION("""COMPUTED_VALUE"""),"2025-07-22T00:00:00.000Z")</f>
        <v>2025-07-22T00:00:00.000Z</v>
      </c>
      <c r="Z300" s="189" t="str">
        <f>IFERROR(__xludf.DUMMYFUNCTION("""COMPUTED_VALUE"""),"Boars Gaming_Haven")</f>
        <v>Boars Gaming_Haven</v>
      </c>
    </row>
    <row r="301">
      <c r="A301" s="189">
        <f>IFERROR(__xludf.DUMMYFUNCTION("""COMPUTED_VALUE"""),210362.0)</f>
        <v>210362</v>
      </c>
      <c r="B301" s="189">
        <f>IFERROR(__xludf.DUMMYFUNCTION("""COMPUTED_VALUE"""),92557.0)</f>
        <v>92557</v>
      </c>
      <c r="C301" s="189" t="str">
        <f>IFERROR(__xludf.DUMMYFUNCTION("""COMPUTED_VALUE"""),"Challengers League 2025 MENA: Resilience - GPI - Split 2 - Playoffs")</f>
        <v>Challengers League 2025 MENA: Resilience - GPI - Split 2 - Playoffs</v>
      </c>
      <c r="D301" s="189" t="str">
        <f>IFERROR(__xludf.DUMMYFUNCTION("""COMPUTED_VALUE"""),"Sunset")</f>
        <v>Sunset</v>
      </c>
      <c r="E301" s="189" t="str">
        <f>IFERROR(__xludf.DUMMYFUNCTION("""COMPUTED_VALUE"""),"The Ultimates")</f>
        <v>The Ultimates</v>
      </c>
      <c r="F301" s="189" t="str">
        <f>IFERROR(__xludf.DUMMYFUNCTION("""COMPUTED_VALUE"""),"Twisted Minds Esports")</f>
        <v>Twisted Minds Esports</v>
      </c>
      <c r="G301" s="189" t="str">
        <f>IFERROR(__xludf.DUMMYFUNCTION("""COMPUTED_VALUE"""),"Breach,Cypher,Sova,Omen,Neon")</f>
        <v>Breach,Cypher,Sova,Omen,Neon</v>
      </c>
      <c r="H301" s="189" t="str">
        <f>IFERROR(__xludf.DUMMYFUNCTION("""COMPUTED_VALUE"""),"Breach,Cypher,Omen,Neon,Fade")</f>
        <v>Breach,Cypher,Omen,Neon,Fade</v>
      </c>
      <c r="I301" s="189">
        <f>IFERROR(__xludf.DUMMYFUNCTION("""COMPUTED_VALUE"""),9.0)</f>
        <v>9</v>
      </c>
      <c r="J301" s="189">
        <f>IFERROR(__xludf.DUMMYFUNCTION("""COMPUTED_VALUE"""),13.0)</f>
        <v>13</v>
      </c>
      <c r="K301" s="189">
        <f>IFERROR(__xludf.DUMMYFUNCTION("""COMPUTED_VALUE"""),5.0)</f>
        <v>5</v>
      </c>
      <c r="L301" s="189">
        <f>IFERROR(__xludf.DUMMYFUNCTION("""COMPUTED_VALUE"""),7.0)</f>
        <v>7</v>
      </c>
      <c r="M301" s="189">
        <f>IFERROR(__xludf.DUMMYFUNCTION("""COMPUTED_VALUE"""),0.0)</f>
        <v>0</v>
      </c>
      <c r="N301" s="189">
        <f>IFERROR(__xludf.DUMMYFUNCTION("""COMPUTED_VALUE"""),0.0)</f>
        <v>0</v>
      </c>
      <c r="O301" s="189">
        <f>IFERROR(__xludf.DUMMYFUNCTION("""COMPUTED_VALUE"""),4.0)</f>
        <v>4</v>
      </c>
      <c r="P301" s="189">
        <f>IFERROR(__xludf.DUMMYFUNCTION("""COMPUTED_VALUE"""),6.0)</f>
        <v>6</v>
      </c>
      <c r="Q301" s="189">
        <f>IFERROR(__xludf.DUMMYFUNCTION("""COMPUTED_VALUE"""),5.0)</f>
        <v>5</v>
      </c>
      <c r="R301" s="189">
        <f>IFERROR(__xludf.DUMMYFUNCTION("""COMPUTED_VALUE"""),7.0)</f>
        <v>7</v>
      </c>
      <c r="S301" s="189">
        <f>IFERROR(__xludf.DUMMYFUNCTION("""COMPUTED_VALUE"""),1.0)</f>
        <v>1</v>
      </c>
      <c r="T301" s="189">
        <f>IFERROR(__xludf.DUMMYFUNCTION("""COMPUTED_VALUE"""),1.0)</f>
        <v>1</v>
      </c>
      <c r="U301" s="189">
        <f>IFERROR(__xludf.DUMMYFUNCTION("""COMPUTED_VALUE"""),7.0)</f>
        <v>7</v>
      </c>
      <c r="V301" s="189">
        <f>IFERROR(__xludf.DUMMYFUNCTION("""COMPUTED_VALUE"""),5.0)</f>
        <v>5</v>
      </c>
      <c r="W301" s="189">
        <f>IFERROR(__xludf.DUMMYFUNCTION("""COMPUTED_VALUE"""),6.0)</f>
        <v>6</v>
      </c>
      <c r="X301" s="189">
        <f>IFERROR(__xludf.DUMMYFUNCTION("""COMPUTED_VALUE"""),4.0)</f>
        <v>4</v>
      </c>
      <c r="Y301" s="189" t="str">
        <f>IFERROR(__xludf.DUMMYFUNCTION("""COMPUTED_VALUE"""),"2025-07-21T00:00:00.000Z")</f>
        <v>2025-07-21T00:00:00.000Z</v>
      </c>
      <c r="Z301" s="189" t="str">
        <f>IFERROR(__xludf.DUMMYFUNCTION("""COMPUTED_VALUE"""),"The Ultimates_Sunset")</f>
        <v>The Ultimates_Sunset</v>
      </c>
    </row>
    <row r="302">
      <c r="A302" s="189">
        <f>IFERROR(__xludf.DUMMYFUNCTION("""COMPUTED_VALUE"""),207571.0)</f>
        <v>207571</v>
      </c>
      <c r="B302" s="189">
        <f>IFERROR(__xludf.DUMMYFUNCTION("""COMPUTED_VALUE"""),91451.0)</f>
        <v>91451</v>
      </c>
      <c r="C302" s="189" t="str">
        <f>IFERROR(__xludf.DUMMYFUNCTION("""COMPUTED_VALUE"""),"Challengers League 2025 Spain Rising: Split 3 - Group Stage")</f>
        <v>Challengers League 2025 Spain Rising: Split 3 - Group Stage</v>
      </c>
      <c r="D302" s="189" t="str">
        <f>IFERROR(__xludf.DUMMYFUNCTION("""COMPUTED_VALUE"""),"Bind")</f>
        <v>Bind</v>
      </c>
      <c r="E302" s="189" t="str">
        <f>IFERROR(__xludf.DUMMYFUNCTION("""COMPUTED_VALUE"""),"DNSTY")</f>
        <v>DNSTY</v>
      </c>
      <c r="F302" s="189" t="str">
        <f>IFERROR(__xludf.DUMMYFUNCTION("""COMPUTED_VALUE"""),"Barça eSports")</f>
        <v>Barça eSports</v>
      </c>
      <c r="G302" s="189" t="str">
        <f>IFERROR(__xludf.DUMMYFUNCTION("""COMPUTED_VALUE"""),"Yoru,Astra,Gekko,Deadlock,Vyse")</f>
        <v>Yoru,Astra,Gekko,Deadlock,Vyse</v>
      </c>
      <c r="H302" s="189" t="str">
        <f>IFERROR(__xludf.DUMMYFUNCTION("""COMPUTED_VALUE"""),"Viper,Brimstone,Yoru,Fade,Gekko")</f>
        <v>Viper,Brimstone,Yoru,Fade,Gekko</v>
      </c>
      <c r="I302" s="189">
        <f>IFERROR(__xludf.DUMMYFUNCTION("""COMPUTED_VALUE"""),13.0)</f>
        <v>13</v>
      </c>
      <c r="J302" s="189">
        <f>IFERROR(__xludf.DUMMYFUNCTION("""COMPUTED_VALUE"""),8.0)</f>
        <v>8</v>
      </c>
      <c r="K302" s="189">
        <f>IFERROR(__xludf.DUMMYFUNCTION("""COMPUTED_VALUE"""),5.0)</f>
        <v>5</v>
      </c>
      <c r="L302" s="189">
        <f>IFERROR(__xludf.DUMMYFUNCTION("""COMPUTED_VALUE"""),7.0)</f>
        <v>7</v>
      </c>
      <c r="M302" s="189">
        <f>IFERROR(__xludf.DUMMYFUNCTION("""COMPUTED_VALUE"""),0.0)</f>
        <v>0</v>
      </c>
      <c r="N302" s="189">
        <f>IFERROR(__xludf.DUMMYFUNCTION("""COMPUTED_VALUE"""),1.0)</f>
        <v>1</v>
      </c>
      <c r="O302" s="189">
        <f>IFERROR(__xludf.DUMMYFUNCTION("""COMPUTED_VALUE"""),5.0)</f>
        <v>5</v>
      </c>
      <c r="P302" s="189">
        <f>IFERROR(__xludf.DUMMYFUNCTION("""COMPUTED_VALUE"""),7.0)</f>
        <v>7</v>
      </c>
      <c r="Q302" s="189">
        <f>IFERROR(__xludf.DUMMYFUNCTION("""COMPUTED_VALUE"""),8.0)</f>
        <v>8</v>
      </c>
      <c r="R302" s="189">
        <f>IFERROR(__xludf.DUMMYFUNCTION("""COMPUTED_VALUE"""),1.0)</f>
        <v>1</v>
      </c>
      <c r="S302" s="189">
        <f>IFERROR(__xludf.DUMMYFUNCTION("""COMPUTED_VALUE"""),0.0)</f>
        <v>0</v>
      </c>
      <c r="T302" s="189">
        <f>IFERROR(__xludf.DUMMYFUNCTION("""COMPUTED_VALUE"""),1.0)</f>
        <v>1</v>
      </c>
      <c r="U302" s="189">
        <f>IFERROR(__xludf.DUMMYFUNCTION("""COMPUTED_VALUE"""),1.0)</f>
        <v>1</v>
      </c>
      <c r="V302" s="189">
        <f>IFERROR(__xludf.DUMMYFUNCTION("""COMPUTED_VALUE"""),8.0)</f>
        <v>8</v>
      </c>
      <c r="W302" s="189">
        <f>IFERROR(__xludf.DUMMYFUNCTION("""COMPUTED_VALUE"""),7.0)</f>
        <v>7</v>
      </c>
      <c r="X302" s="189">
        <f>IFERROR(__xludf.DUMMYFUNCTION("""COMPUTED_VALUE"""),5.0)</f>
        <v>5</v>
      </c>
      <c r="Y302" s="189" t="str">
        <f>IFERROR(__xludf.DUMMYFUNCTION("""COMPUTED_VALUE"""),"2025-07-21T00:00:00.000Z")</f>
        <v>2025-07-21T00:00:00.000Z</v>
      </c>
      <c r="Z302" s="189" t="str">
        <f>IFERROR(__xludf.DUMMYFUNCTION("""COMPUTED_VALUE"""),"DNSTY_Bind")</f>
        <v>DNSTY_Bind</v>
      </c>
    </row>
    <row r="303">
      <c r="A303" s="189">
        <f>IFERROR(__xludf.DUMMYFUNCTION("""COMPUTED_VALUE"""),210361.0)</f>
        <v>210361</v>
      </c>
      <c r="B303" s="189">
        <f>IFERROR(__xludf.DUMMYFUNCTION("""COMPUTED_VALUE"""),92557.0)</f>
        <v>92557</v>
      </c>
      <c r="C303" s="189" t="str">
        <f>IFERROR(__xludf.DUMMYFUNCTION("""COMPUTED_VALUE"""),"Challengers League 2025 MENA: Resilience - GPI - Split 2 - Playoffs")</f>
        <v>Challengers League 2025 MENA: Resilience - GPI - Split 2 - Playoffs</v>
      </c>
      <c r="D303" s="189" t="str">
        <f>IFERROR(__xludf.DUMMYFUNCTION("""COMPUTED_VALUE"""),"Lotus")</f>
        <v>Lotus</v>
      </c>
      <c r="E303" s="189" t="str">
        <f>IFERROR(__xludf.DUMMYFUNCTION("""COMPUTED_VALUE"""),"The Ultimates")</f>
        <v>The Ultimates</v>
      </c>
      <c r="F303" s="189" t="str">
        <f>IFERROR(__xludf.DUMMYFUNCTION("""COMPUTED_VALUE"""),"Twisted Minds Esports")</f>
        <v>Twisted Minds Esports</v>
      </c>
      <c r="G303" s="189" t="str">
        <f>IFERROR(__xludf.DUMMYFUNCTION("""COMPUTED_VALUE"""),"Omen,Yoru,Neon,Fade,Vyse")</f>
        <v>Omen,Yoru,Neon,Fade,Vyse</v>
      </c>
      <c r="H303" s="189" t="str">
        <f>IFERROR(__xludf.DUMMYFUNCTION("""COMPUTED_VALUE"""),"Raze,Killjoy,Viper,Omen,Fade")</f>
        <v>Raze,Killjoy,Viper,Omen,Fade</v>
      </c>
      <c r="I303" s="189">
        <f>IFERROR(__xludf.DUMMYFUNCTION("""COMPUTED_VALUE"""),9.0)</f>
        <v>9</v>
      </c>
      <c r="J303" s="189">
        <f>IFERROR(__xludf.DUMMYFUNCTION("""COMPUTED_VALUE"""),13.0)</f>
        <v>13</v>
      </c>
      <c r="K303" s="189">
        <f>IFERROR(__xludf.DUMMYFUNCTION("""COMPUTED_VALUE"""),6.0)</f>
        <v>6</v>
      </c>
      <c r="L303" s="189">
        <f>IFERROR(__xludf.DUMMYFUNCTION("""COMPUTED_VALUE"""),6.0)</f>
        <v>6</v>
      </c>
      <c r="M303" s="189">
        <f>IFERROR(__xludf.DUMMYFUNCTION("""COMPUTED_VALUE"""),1.0)</f>
        <v>1</v>
      </c>
      <c r="N303" s="189">
        <f>IFERROR(__xludf.DUMMYFUNCTION("""COMPUTED_VALUE"""),0.0)</f>
        <v>0</v>
      </c>
      <c r="O303" s="189">
        <f>IFERROR(__xludf.DUMMYFUNCTION("""COMPUTED_VALUE"""),6.0)</f>
        <v>6</v>
      </c>
      <c r="P303" s="189">
        <f>IFERROR(__xludf.DUMMYFUNCTION("""COMPUTED_VALUE"""),6.0)</f>
        <v>6</v>
      </c>
      <c r="Q303" s="189">
        <f>IFERROR(__xludf.DUMMYFUNCTION("""COMPUTED_VALUE"""),3.0)</f>
        <v>3</v>
      </c>
      <c r="R303" s="189">
        <f>IFERROR(__xludf.DUMMYFUNCTION("""COMPUTED_VALUE"""),7.0)</f>
        <v>7</v>
      </c>
      <c r="S303" s="189">
        <f>IFERROR(__xludf.DUMMYFUNCTION("""COMPUTED_VALUE"""),1.0)</f>
        <v>1</v>
      </c>
      <c r="T303" s="189">
        <f>IFERROR(__xludf.DUMMYFUNCTION("""COMPUTED_VALUE"""),0.0)</f>
        <v>0</v>
      </c>
      <c r="U303" s="189">
        <f>IFERROR(__xludf.DUMMYFUNCTION("""COMPUTED_VALUE"""),7.0)</f>
        <v>7</v>
      </c>
      <c r="V303" s="189">
        <f>IFERROR(__xludf.DUMMYFUNCTION("""COMPUTED_VALUE"""),3.0)</f>
        <v>3</v>
      </c>
      <c r="W303" s="189">
        <f>IFERROR(__xludf.DUMMYFUNCTION("""COMPUTED_VALUE"""),6.0)</f>
        <v>6</v>
      </c>
      <c r="X303" s="189">
        <f>IFERROR(__xludf.DUMMYFUNCTION("""COMPUTED_VALUE"""),6.0)</f>
        <v>6</v>
      </c>
      <c r="Y303" s="189" t="str">
        <f>IFERROR(__xludf.DUMMYFUNCTION("""COMPUTED_VALUE"""),"2025-07-21T00:00:00.000Z")</f>
        <v>2025-07-21T00:00:00.000Z</v>
      </c>
      <c r="Z303" s="189" t="str">
        <f>IFERROR(__xludf.DUMMYFUNCTION("""COMPUTED_VALUE"""),"The Ultimates_Lotus")</f>
        <v>The Ultimates_Lotus</v>
      </c>
    </row>
    <row r="304">
      <c r="A304" s="189">
        <f>IFERROR(__xludf.DUMMYFUNCTION("""COMPUTED_VALUE"""),207570.0)</f>
        <v>207570</v>
      </c>
      <c r="B304" s="189">
        <f>IFERROR(__xludf.DUMMYFUNCTION("""COMPUTED_VALUE"""),91451.0)</f>
        <v>91451</v>
      </c>
      <c r="C304" s="189" t="str">
        <f>IFERROR(__xludf.DUMMYFUNCTION("""COMPUTED_VALUE"""),"Challengers League 2025 Spain Rising: Split 3 - Group Stage")</f>
        <v>Challengers League 2025 Spain Rising: Split 3 - Group Stage</v>
      </c>
      <c r="D304" s="189" t="str">
        <f>IFERROR(__xludf.DUMMYFUNCTION("""COMPUTED_VALUE"""),"Lotus")</f>
        <v>Lotus</v>
      </c>
      <c r="E304" s="189" t="str">
        <f>IFERROR(__xludf.DUMMYFUNCTION("""COMPUTED_VALUE"""),"DNSTY")</f>
        <v>DNSTY</v>
      </c>
      <c r="F304" s="189" t="str">
        <f>IFERROR(__xludf.DUMMYFUNCTION("""COMPUTED_VALUE"""),"Barça eSports")</f>
        <v>Barça eSports</v>
      </c>
      <c r="G304" s="189" t="str">
        <f>IFERROR(__xludf.DUMMYFUNCTION("""COMPUTED_VALUE"""),"Raze,Killjoy,Viper,Omen,Fade")</f>
        <v>Raze,Killjoy,Viper,Omen,Fade</v>
      </c>
      <c r="H304" s="189" t="str">
        <f>IFERROR(__xludf.DUMMYFUNCTION("""COMPUTED_VALUE"""),"Breach,Sova,Viper,Omen,Neon")</f>
        <v>Breach,Sova,Viper,Omen,Neon</v>
      </c>
      <c r="I304" s="189">
        <f>IFERROR(__xludf.DUMMYFUNCTION("""COMPUTED_VALUE"""),13.0)</f>
        <v>13</v>
      </c>
      <c r="J304" s="189">
        <f>IFERROR(__xludf.DUMMYFUNCTION("""COMPUTED_VALUE"""),6.0)</f>
        <v>6</v>
      </c>
      <c r="K304" s="189">
        <f>IFERROR(__xludf.DUMMYFUNCTION("""COMPUTED_VALUE"""),7.0)</f>
        <v>7</v>
      </c>
      <c r="L304" s="189">
        <f>IFERROR(__xludf.DUMMYFUNCTION("""COMPUTED_VALUE"""),5.0)</f>
        <v>5</v>
      </c>
      <c r="M304" s="189">
        <f>IFERROR(__xludf.DUMMYFUNCTION("""COMPUTED_VALUE"""),1.0)</f>
        <v>1</v>
      </c>
      <c r="N304" s="189">
        <f>IFERROR(__xludf.DUMMYFUNCTION("""COMPUTED_VALUE"""),1.0)</f>
        <v>1</v>
      </c>
      <c r="O304" s="189">
        <f>IFERROR(__xludf.DUMMYFUNCTION("""COMPUTED_VALUE"""),7.0)</f>
        <v>7</v>
      </c>
      <c r="P304" s="189">
        <f>IFERROR(__xludf.DUMMYFUNCTION("""COMPUTED_VALUE"""),5.0)</f>
        <v>5</v>
      </c>
      <c r="Q304" s="189">
        <f>IFERROR(__xludf.DUMMYFUNCTION("""COMPUTED_VALUE"""),6.0)</f>
        <v>6</v>
      </c>
      <c r="R304" s="189">
        <f>IFERROR(__xludf.DUMMYFUNCTION("""COMPUTED_VALUE"""),1.0)</f>
        <v>1</v>
      </c>
      <c r="S304" s="189">
        <f>IFERROR(__xludf.DUMMYFUNCTION("""COMPUTED_VALUE"""),0.0)</f>
        <v>0</v>
      </c>
      <c r="T304" s="189">
        <f>IFERROR(__xludf.DUMMYFUNCTION("""COMPUTED_VALUE"""),0.0)</f>
        <v>0</v>
      </c>
      <c r="U304" s="189">
        <f>IFERROR(__xludf.DUMMYFUNCTION("""COMPUTED_VALUE"""),1.0)</f>
        <v>1</v>
      </c>
      <c r="V304" s="189">
        <f>IFERROR(__xludf.DUMMYFUNCTION("""COMPUTED_VALUE"""),6.0)</f>
        <v>6</v>
      </c>
      <c r="W304" s="189">
        <f>IFERROR(__xludf.DUMMYFUNCTION("""COMPUTED_VALUE"""),5.0)</f>
        <v>5</v>
      </c>
      <c r="X304" s="189">
        <f>IFERROR(__xludf.DUMMYFUNCTION("""COMPUTED_VALUE"""),7.0)</f>
        <v>7</v>
      </c>
      <c r="Y304" s="189" t="str">
        <f>IFERROR(__xludf.DUMMYFUNCTION("""COMPUTED_VALUE"""),"2025-07-21T00:00:00.000Z")</f>
        <v>2025-07-21T00:00:00.000Z</v>
      </c>
      <c r="Z304" s="189" t="str">
        <f>IFERROR(__xludf.DUMMYFUNCTION("""COMPUTED_VALUE"""),"DNSTY_Lotus")</f>
        <v>DNSTY_Lotus</v>
      </c>
    </row>
    <row r="305">
      <c r="A305" s="189">
        <f>IFERROR(__xludf.DUMMYFUNCTION("""COMPUTED_VALUE"""),210360.0)</f>
        <v>210360</v>
      </c>
      <c r="B305" s="189">
        <f>IFERROR(__xludf.DUMMYFUNCTION("""COMPUTED_VALUE"""),92557.0)</f>
        <v>92557</v>
      </c>
      <c r="C305" s="189" t="str">
        <f>IFERROR(__xludf.DUMMYFUNCTION("""COMPUTED_VALUE"""),"Challengers League 2025 MENA: Resilience - GPI - Split 2 - Playoffs")</f>
        <v>Challengers League 2025 MENA: Resilience - GPI - Split 2 - Playoffs</v>
      </c>
      <c r="D305" s="189" t="str">
        <f>IFERROR(__xludf.DUMMYFUNCTION("""COMPUTED_VALUE"""),"Ascent")</f>
        <v>Ascent</v>
      </c>
      <c r="E305" s="189" t="str">
        <f>IFERROR(__xludf.DUMMYFUNCTION("""COMPUTED_VALUE"""),"The Ultimates")</f>
        <v>The Ultimates</v>
      </c>
      <c r="F305" s="189" t="str">
        <f>IFERROR(__xludf.DUMMYFUNCTION("""COMPUTED_VALUE"""),"Twisted Minds Esports")</f>
        <v>Twisted Minds Esports</v>
      </c>
      <c r="G305" s="189" t="str">
        <f>IFERROR(__xludf.DUMMYFUNCTION("""COMPUTED_VALUE"""),"Cypher,Sova,Omen,Yoru,Iso")</f>
        <v>Cypher,Sova,Omen,Yoru,Iso</v>
      </c>
      <c r="H305" s="189" t="str">
        <f>IFERROR(__xludf.DUMMYFUNCTION("""COMPUTED_VALUE"""),"Cypher,Sova,Omen,Yoru,Deadlock")</f>
        <v>Cypher,Sova,Omen,Yoru,Deadlock</v>
      </c>
      <c r="I305" s="189">
        <f>IFERROR(__xludf.DUMMYFUNCTION("""COMPUTED_VALUE"""),13.0)</f>
        <v>13</v>
      </c>
      <c r="J305" s="189">
        <f>IFERROR(__xludf.DUMMYFUNCTION("""COMPUTED_VALUE"""),5.0)</f>
        <v>5</v>
      </c>
      <c r="K305" s="189">
        <f>IFERROR(__xludf.DUMMYFUNCTION("""COMPUTED_VALUE"""),7.0)</f>
        <v>7</v>
      </c>
      <c r="L305" s="189">
        <f>IFERROR(__xludf.DUMMYFUNCTION("""COMPUTED_VALUE"""),5.0)</f>
        <v>5</v>
      </c>
      <c r="M305" s="189">
        <f>IFERROR(__xludf.DUMMYFUNCTION("""COMPUTED_VALUE"""),1.0)</f>
        <v>1</v>
      </c>
      <c r="N305" s="189">
        <f>IFERROR(__xludf.DUMMYFUNCTION("""COMPUTED_VALUE"""),1.0)</f>
        <v>1</v>
      </c>
      <c r="O305" s="189">
        <f>IFERROR(__xludf.DUMMYFUNCTION("""COMPUTED_VALUE"""),7.0)</f>
        <v>7</v>
      </c>
      <c r="P305" s="189">
        <f>IFERROR(__xludf.DUMMYFUNCTION("""COMPUTED_VALUE"""),5.0)</f>
        <v>5</v>
      </c>
      <c r="Q305" s="189">
        <f>IFERROR(__xludf.DUMMYFUNCTION("""COMPUTED_VALUE"""),6.0)</f>
        <v>6</v>
      </c>
      <c r="R305" s="189">
        <f>IFERROR(__xludf.DUMMYFUNCTION("""COMPUTED_VALUE"""),0.0)</f>
        <v>0</v>
      </c>
      <c r="S305" s="189">
        <f>IFERROR(__xludf.DUMMYFUNCTION("""COMPUTED_VALUE"""),0.0)</f>
        <v>0</v>
      </c>
      <c r="T305" s="189">
        <f>IFERROR(__xludf.DUMMYFUNCTION("""COMPUTED_VALUE"""),0.0)</f>
        <v>0</v>
      </c>
      <c r="U305" s="189">
        <f>IFERROR(__xludf.DUMMYFUNCTION("""COMPUTED_VALUE"""),0.0)</f>
        <v>0</v>
      </c>
      <c r="V305" s="189">
        <f>IFERROR(__xludf.DUMMYFUNCTION("""COMPUTED_VALUE"""),6.0)</f>
        <v>6</v>
      </c>
      <c r="W305" s="189">
        <f>IFERROR(__xludf.DUMMYFUNCTION("""COMPUTED_VALUE"""),5.0)</f>
        <v>5</v>
      </c>
      <c r="X305" s="189">
        <f>IFERROR(__xludf.DUMMYFUNCTION("""COMPUTED_VALUE"""),7.0)</f>
        <v>7</v>
      </c>
      <c r="Y305" s="189" t="str">
        <f>IFERROR(__xludf.DUMMYFUNCTION("""COMPUTED_VALUE"""),"2025-07-21T00:00:00.000Z")</f>
        <v>2025-07-21T00:00:00.000Z</v>
      </c>
      <c r="Z305" s="189" t="str">
        <f>IFERROR(__xludf.DUMMYFUNCTION("""COMPUTED_VALUE"""),"The Ultimates_Ascent")</f>
        <v>The Ultimates_Ascent</v>
      </c>
    </row>
    <row r="306">
      <c r="A306" s="189">
        <f>IFERROR(__xludf.DUMMYFUNCTION("""COMPUTED_VALUE"""),210756.0)</f>
        <v>210756</v>
      </c>
      <c r="B306" s="189">
        <f>IFERROR(__xludf.DUMMYFUNCTION("""COMPUTED_VALUE"""),92708.0)</f>
        <v>92708</v>
      </c>
      <c r="C306" s="189" t="str">
        <f>IFERROR(__xludf.DUMMYFUNCTION("""COMPUTED_VALUE"""),"Challengers League 2025 NORTH EAST: Split 3 - Upper Swiss Phase")</f>
        <v>Challengers League 2025 NORTH EAST: Split 3 - Upper Swiss Phase</v>
      </c>
      <c r="D306" s="189" t="str">
        <f>IFERROR(__xludf.DUMMYFUNCTION("""COMPUTED_VALUE"""),"Bind")</f>
        <v>Bind</v>
      </c>
      <c r="E306" s="189" t="str">
        <f>IFERROR(__xludf.DUMMYFUNCTION("""COMPUTED_VALUE"""),"Enterprise Esports")</f>
        <v>Enterprise Esports</v>
      </c>
      <c r="F306" s="189" t="str">
        <f>IFERROR(__xludf.DUMMYFUNCTION("""COMPUTED_VALUE"""),"Boars Gaming")</f>
        <v>Boars Gaming</v>
      </c>
      <c r="G306" s="189" t="str">
        <f>IFERROR(__xludf.DUMMYFUNCTION("""COMPUTED_VALUE"""),"Raze,Viper,Brimstone,Yoru,Fade")</f>
        <v>Raze,Viper,Brimstone,Yoru,Fade</v>
      </c>
      <c r="H306" s="189" t="str">
        <f>IFERROR(__xludf.DUMMYFUNCTION("""COMPUTED_VALUE"""),"Raze,Astra,Gekko,Deadlock,Vyse")</f>
        <v>Raze,Astra,Gekko,Deadlock,Vyse</v>
      </c>
      <c r="I306" s="189">
        <f>IFERROR(__xludf.DUMMYFUNCTION("""COMPUTED_VALUE"""),13.0)</f>
        <v>13</v>
      </c>
      <c r="J306" s="189">
        <f>IFERROR(__xludf.DUMMYFUNCTION("""COMPUTED_VALUE"""),10.0)</f>
        <v>10</v>
      </c>
      <c r="K306" s="189">
        <f>IFERROR(__xludf.DUMMYFUNCTION("""COMPUTED_VALUE"""),5.0)</f>
        <v>5</v>
      </c>
      <c r="L306" s="189">
        <f>IFERROR(__xludf.DUMMYFUNCTION("""COMPUTED_VALUE"""),7.0)</f>
        <v>7</v>
      </c>
      <c r="M306" s="189">
        <f>IFERROR(__xludf.DUMMYFUNCTION("""COMPUTED_VALUE"""),0.0)</f>
        <v>0</v>
      </c>
      <c r="N306" s="189">
        <f>IFERROR(__xludf.DUMMYFUNCTION("""COMPUTED_VALUE"""),0.0)</f>
        <v>0</v>
      </c>
      <c r="O306" s="189">
        <f>IFERROR(__xludf.DUMMYFUNCTION("""COMPUTED_VALUE"""),8.0)</f>
        <v>8</v>
      </c>
      <c r="P306" s="189">
        <f>IFERROR(__xludf.DUMMYFUNCTION("""COMPUTED_VALUE"""),3.0)</f>
        <v>3</v>
      </c>
      <c r="Q306" s="189">
        <f>IFERROR(__xludf.DUMMYFUNCTION("""COMPUTED_VALUE"""),5.0)</f>
        <v>5</v>
      </c>
      <c r="R306" s="189">
        <f>IFERROR(__xludf.DUMMYFUNCTION("""COMPUTED_VALUE"""),7.0)</f>
        <v>7</v>
      </c>
      <c r="S306" s="189">
        <f>IFERROR(__xludf.DUMMYFUNCTION("""COMPUTED_VALUE"""),1.0)</f>
        <v>1</v>
      </c>
      <c r="T306" s="189">
        <f>IFERROR(__xludf.DUMMYFUNCTION("""COMPUTED_VALUE"""),1.0)</f>
        <v>1</v>
      </c>
      <c r="U306" s="189">
        <f>IFERROR(__xludf.DUMMYFUNCTION("""COMPUTED_VALUE"""),7.0)</f>
        <v>7</v>
      </c>
      <c r="V306" s="189">
        <f>IFERROR(__xludf.DUMMYFUNCTION("""COMPUTED_VALUE"""),5.0)</f>
        <v>5</v>
      </c>
      <c r="W306" s="189">
        <f>IFERROR(__xludf.DUMMYFUNCTION("""COMPUTED_VALUE"""),3.0)</f>
        <v>3</v>
      </c>
      <c r="X306" s="189">
        <f>IFERROR(__xludf.DUMMYFUNCTION("""COMPUTED_VALUE"""),8.0)</f>
        <v>8</v>
      </c>
      <c r="Y306" s="189" t="str">
        <f>IFERROR(__xludf.DUMMYFUNCTION("""COMPUTED_VALUE"""),"2025-07-21T00:00:00.000Z")</f>
        <v>2025-07-21T00:00:00.000Z</v>
      </c>
      <c r="Z306" s="189" t="str">
        <f>IFERROR(__xludf.DUMMYFUNCTION("""COMPUTED_VALUE"""),"Enterprise Esports_Bind")</f>
        <v>Enterprise Esports_Bind</v>
      </c>
    </row>
    <row r="307">
      <c r="A307" s="189">
        <f>IFERROR(__xludf.DUMMYFUNCTION("""COMPUTED_VALUE"""),210359.0)</f>
        <v>210359</v>
      </c>
      <c r="B307" s="189">
        <f>IFERROR(__xludf.DUMMYFUNCTION("""COMPUTED_VALUE"""),92557.0)</f>
        <v>92557</v>
      </c>
      <c r="C307" s="189" t="str">
        <f>IFERROR(__xludf.DUMMYFUNCTION("""COMPUTED_VALUE"""),"Challengers League 2025 MENA: Resilience - GPI - Split 2 - Playoffs")</f>
        <v>Challengers League 2025 MENA: Resilience - GPI - Split 2 - Playoffs</v>
      </c>
      <c r="D307" s="189" t="str">
        <f>IFERROR(__xludf.DUMMYFUNCTION("""COMPUTED_VALUE"""),"Corrode")</f>
        <v>Corrode</v>
      </c>
      <c r="E307" s="189" t="str">
        <f>IFERROR(__xludf.DUMMYFUNCTION("""COMPUTED_VALUE"""),"The Ultimates")</f>
        <v>The Ultimates</v>
      </c>
      <c r="F307" s="189" t="str">
        <f>IFERROR(__xludf.DUMMYFUNCTION("""COMPUTED_VALUE"""),"Twisted Minds Esports")</f>
        <v>Twisted Minds Esports</v>
      </c>
      <c r="G307" s="189" t="str">
        <f>IFERROR(__xludf.DUMMYFUNCTION("""COMPUTED_VALUE"""),"Cypher,Omen,Yoru,Fade,Iso")</f>
        <v>Cypher,Omen,Yoru,Fade,Iso</v>
      </c>
      <c r="H307" s="189" t="str">
        <f>IFERROR(__xludf.DUMMYFUNCTION("""COMPUTED_VALUE"""),"Omen,Yoru,Chamber,Fade,Vyse")</f>
        <v>Omen,Yoru,Chamber,Fade,Vyse</v>
      </c>
      <c r="I307" s="189">
        <f>IFERROR(__xludf.DUMMYFUNCTION("""COMPUTED_VALUE"""),12.0)</f>
        <v>12</v>
      </c>
      <c r="J307" s="189">
        <f>IFERROR(__xludf.DUMMYFUNCTION("""COMPUTED_VALUE"""),14.0)</f>
        <v>14</v>
      </c>
      <c r="K307" s="189">
        <f>IFERROR(__xludf.DUMMYFUNCTION("""COMPUTED_VALUE"""),6.0)</f>
        <v>6</v>
      </c>
      <c r="L307" s="189">
        <f>IFERROR(__xludf.DUMMYFUNCTION("""COMPUTED_VALUE"""),6.0)</f>
        <v>6</v>
      </c>
      <c r="M307" s="189">
        <f>IFERROR(__xludf.DUMMYFUNCTION("""COMPUTED_VALUE"""),0.0)</f>
        <v>0</v>
      </c>
      <c r="N307" s="189">
        <f>IFERROR(__xludf.DUMMYFUNCTION("""COMPUTED_VALUE"""),0.0)</f>
        <v>0</v>
      </c>
      <c r="O307" s="189">
        <f>IFERROR(__xludf.DUMMYFUNCTION("""COMPUTED_VALUE"""),6.0)</f>
        <v>6</v>
      </c>
      <c r="P307" s="189">
        <f>IFERROR(__xludf.DUMMYFUNCTION("""COMPUTED_VALUE"""),7.0)</f>
        <v>7</v>
      </c>
      <c r="Q307" s="189">
        <f>IFERROR(__xludf.DUMMYFUNCTION("""COMPUTED_VALUE"""),6.0)</f>
        <v>6</v>
      </c>
      <c r="R307" s="189">
        <f>IFERROR(__xludf.DUMMYFUNCTION("""COMPUTED_VALUE"""),7.0)</f>
        <v>7</v>
      </c>
      <c r="S307" s="189">
        <f>IFERROR(__xludf.DUMMYFUNCTION("""COMPUTED_VALUE"""),1.0)</f>
        <v>1</v>
      </c>
      <c r="T307" s="189">
        <f>IFERROR(__xludf.DUMMYFUNCTION("""COMPUTED_VALUE"""),1.0)</f>
        <v>1</v>
      </c>
      <c r="U307" s="189">
        <f>IFERROR(__xludf.DUMMYFUNCTION("""COMPUTED_VALUE"""),7.0)</f>
        <v>7</v>
      </c>
      <c r="V307" s="189">
        <f>IFERROR(__xludf.DUMMYFUNCTION("""COMPUTED_VALUE"""),6.0)</f>
        <v>6</v>
      </c>
      <c r="W307" s="189">
        <f>IFERROR(__xludf.DUMMYFUNCTION("""COMPUTED_VALUE"""),7.0)</f>
        <v>7</v>
      </c>
      <c r="X307" s="189">
        <f>IFERROR(__xludf.DUMMYFUNCTION("""COMPUTED_VALUE"""),6.0)</f>
        <v>6</v>
      </c>
      <c r="Y307" s="189" t="str">
        <f>IFERROR(__xludf.DUMMYFUNCTION("""COMPUTED_VALUE"""),"2025-07-21T00:00:00.000Z")</f>
        <v>2025-07-21T00:00:00.000Z</v>
      </c>
      <c r="Z307" s="189" t="str">
        <f>IFERROR(__xludf.DUMMYFUNCTION("""COMPUTED_VALUE"""),"The Ultimates_Corrode")</f>
        <v>The Ultimates_Corrode</v>
      </c>
    </row>
    <row r="308">
      <c r="A308" s="189">
        <f>IFERROR(__xludf.DUMMYFUNCTION("""COMPUTED_VALUE"""),210755.0)</f>
        <v>210755</v>
      </c>
      <c r="B308" s="189">
        <f>IFERROR(__xludf.DUMMYFUNCTION("""COMPUTED_VALUE"""),92708.0)</f>
        <v>92708</v>
      </c>
      <c r="C308" s="189" t="str">
        <f>IFERROR(__xludf.DUMMYFUNCTION("""COMPUTED_VALUE"""),"Challengers League 2025 NORTH EAST: Split 3 - Upper Swiss Phase")</f>
        <v>Challengers League 2025 NORTH EAST: Split 3 - Upper Swiss Phase</v>
      </c>
      <c r="D308" s="189" t="str">
        <f>IFERROR(__xludf.DUMMYFUNCTION("""COMPUTED_VALUE"""),"Lotus")</f>
        <v>Lotus</v>
      </c>
      <c r="E308" s="189" t="str">
        <f>IFERROR(__xludf.DUMMYFUNCTION("""COMPUTED_VALUE"""),"Enterprise Esports")</f>
        <v>Enterprise Esports</v>
      </c>
      <c r="F308" s="189" t="str">
        <f>IFERROR(__xludf.DUMMYFUNCTION("""COMPUTED_VALUE"""),"Boars Gaming")</f>
        <v>Boars Gaming</v>
      </c>
      <c r="G308" s="189" t="str">
        <f>IFERROR(__xludf.DUMMYFUNCTION("""COMPUTED_VALUE"""),"Breach,Cypher,Omen,Neon,Fade")</f>
        <v>Breach,Cypher,Omen,Neon,Fade</v>
      </c>
      <c r="H308" s="189" t="str">
        <f>IFERROR(__xludf.DUMMYFUNCTION("""COMPUTED_VALUE"""),"Breach,Cypher,Omen,Neon,Fade")</f>
        <v>Breach,Cypher,Omen,Neon,Fade</v>
      </c>
      <c r="I308" s="189">
        <f>IFERROR(__xludf.DUMMYFUNCTION("""COMPUTED_VALUE"""),11.0)</f>
        <v>11</v>
      </c>
      <c r="J308" s="189">
        <f>IFERROR(__xludf.DUMMYFUNCTION("""COMPUTED_VALUE"""),13.0)</f>
        <v>13</v>
      </c>
      <c r="K308" s="189">
        <f>IFERROR(__xludf.DUMMYFUNCTION("""COMPUTED_VALUE"""),4.0)</f>
        <v>4</v>
      </c>
      <c r="L308" s="189">
        <f>IFERROR(__xludf.DUMMYFUNCTION("""COMPUTED_VALUE"""),8.0)</f>
        <v>8</v>
      </c>
      <c r="M308" s="189">
        <f>IFERROR(__xludf.DUMMYFUNCTION("""COMPUTED_VALUE"""),0.0)</f>
        <v>0</v>
      </c>
      <c r="N308" s="189">
        <f>IFERROR(__xludf.DUMMYFUNCTION("""COMPUTED_VALUE"""),0.0)</f>
        <v>0</v>
      </c>
      <c r="O308" s="189">
        <f>IFERROR(__xludf.DUMMYFUNCTION("""COMPUTED_VALUE"""),7.0)</f>
        <v>7</v>
      </c>
      <c r="P308" s="189">
        <f>IFERROR(__xludf.DUMMYFUNCTION("""COMPUTED_VALUE"""),5.0)</f>
        <v>5</v>
      </c>
      <c r="Q308" s="189">
        <f>IFERROR(__xludf.DUMMYFUNCTION("""COMPUTED_VALUE"""),4.0)</f>
        <v>4</v>
      </c>
      <c r="R308" s="189">
        <f>IFERROR(__xludf.DUMMYFUNCTION("""COMPUTED_VALUE"""),8.0)</f>
        <v>8</v>
      </c>
      <c r="S308" s="189">
        <f>IFERROR(__xludf.DUMMYFUNCTION("""COMPUTED_VALUE"""),1.0)</f>
        <v>1</v>
      </c>
      <c r="T308" s="189">
        <f>IFERROR(__xludf.DUMMYFUNCTION("""COMPUTED_VALUE"""),1.0)</f>
        <v>1</v>
      </c>
      <c r="U308" s="189">
        <f>IFERROR(__xludf.DUMMYFUNCTION("""COMPUTED_VALUE"""),8.0)</f>
        <v>8</v>
      </c>
      <c r="V308" s="189">
        <f>IFERROR(__xludf.DUMMYFUNCTION("""COMPUTED_VALUE"""),4.0)</f>
        <v>4</v>
      </c>
      <c r="W308" s="189">
        <f>IFERROR(__xludf.DUMMYFUNCTION("""COMPUTED_VALUE"""),5.0)</f>
        <v>5</v>
      </c>
      <c r="X308" s="189">
        <f>IFERROR(__xludf.DUMMYFUNCTION("""COMPUTED_VALUE"""),7.0)</f>
        <v>7</v>
      </c>
      <c r="Y308" s="189" t="str">
        <f>IFERROR(__xludf.DUMMYFUNCTION("""COMPUTED_VALUE"""),"2025-07-21T00:00:00.000Z")</f>
        <v>2025-07-21T00:00:00.000Z</v>
      </c>
      <c r="Z308" s="189" t="str">
        <f>IFERROR(__xludf.DUMMYFUNCTION("""COMPUTED_VALUE"""),"Enterprise Esports_Lotus")</f>
        <v>Enterprise Esports_Lotus</v>
      </c>
    </row>
    <row r="309">
      <c r="A309" s="189">
        <f>IFERROR(__xludf.DUMMYFUNCTION("""COMPUTED_VALUE"""),210754.0)</f>
        <v>210754</v>
      </c>
      <c r="B309" s="189">
        <f>IFERROR(__xludf.DUMMYFUNCTION("""COMPUTED_VALUE"""),92708.0)</f>
        <v>92708</v>
      </c>
      <c r="C309" s="189" t="str">
        <f>IFERROR(__xludf.DUMMYFUNCTION("""COMPUTED_VALUE"""),"Challengers League 2025 NORTH EAST: Split 3 - Upper Swiss Phase")</f>
        <v>Challengers League 2025 NORTH EAST: Split 3 - Upper Swiss Phase</v>
      </c>
      <c r="D309" s="189" t="str">
        <f>IFERROR(__xludf.DUMMYFUNCTION("""COMPUTED_VALUE"""),"Corrode")</f>
        <v>Corrode</v>
      </c>
      <c r="E309" s="189" t="str">
        <f>IFERROR(__xludf.DUMMYFUNCTION("""COMPUTED_VALUE"""),"Enterprise Esports")</f>
        <v>Enterprise Esports</v>
      </c>
      <c r="F309" s="189" t="str">
        <f>IFERROR(__xludf.DUMMYFUNCTION("""COMPUTED_VALUE"""),"Boars Gaming")</f>
        <v>Boars Gaming</v>
      </c>
      <c r="G309" s="189" t="str">
        <f>IFERROR(__xludf.DUMMYFUNCTION("""COMPUTED_VALUE"""),"Sova,Viper,Omen,Yoru,Fade")</f>
        <v>Sova,Viper,Omen,Yoru,Fade</v>
      </c>
      <c r="H309" s="189" t="str">
        <f>IFERROR(__xludf.DUMMYFUNCTION("""COMPUTED_VALUE"""),"Omen,Yoru,Chamber,Neon,Fade")</f>
        <v>Omen,Yoru,Chamber,Neon,Fade</v>
      </c>
      <c r="I309" s="189">
        <f>IFERROR(__xludf.DUMMYFUNCTION("""COMPUTED_VALUE"""),13.0)</f>
        <v>13</v>
      </c>
      <c r="J309" s="189">
        <f>IFERROR(__xludf.DUMMYFUNCTION("""COMPUTED_VALUE"""),9.0)</f>
        <v>9</v>
      </c>
      <c r="K309" s="189">
        <f>IFERROR(__xludf.DUMMYFUNCTION("""COMPUTED_VALUE"""),9.0)</f>
        <v>9</v>
      </c>
      <c r="L309" s="189">
        <f>IFERROR(__xludf.DUMMYFUNCTION("""COMPUTED_VALUE"""),3.0)</f>
        <v>3</v>
      </c>
      <c r="M309" s="189">
        <f>IFERROR(__xludf.DUMMYFUNCTION("""COMPUTED_VALUE"""),0.0)</f>
        <v>0</v>
      </c>
      <c r="N309" s="189">
        <f>IFERROR(__xludf.DUMMYFUNCTION("""COMPUTED_VALUE"""),0.0)</f>
        <v>0</v>
      </c>
      <c r="O309" s="189">
        <f>IFERROR(__xludf.DUMMYFUNCTION("""COMPUTED_VALUE"""),4.0)</f>
        <v>4</v>
      </c>
      <c r="P309" s="189">
        <f>IFERROR(__xludf.DUMMYFUNCTION("""COMPUTED_VALUE"""),6.0)</f>
        <v>6</v>
      </c>
      <c r="Q309" s="189">
        <f>IFERROR(__xludf.DUMMYFUNCTION("""COMPUTED_VALUE"""),9.0)</f>
        <v>9</v>
      </c>
      <c r="R309" s="189">
        <f>IFERROR(__xludf.DUMMYFUNCTION("""COMPUTED_VALUE"""),3.0)</f>
        <v>3</v>
      </c>
      <c r="S309" s="189">
        <f>IFERROR(__xludf.DUMMYFUNCTION("""COMPUTED_VALUE"""),1.0)</f>
        <v>1</v>
      </c>
      <c r="T309" s="189">
        <f>IFERROR(__xludf.DUMMYFUNCTION("""COMPUTED_VALUE"""),1.0)</f>
        <v>1</v>
      </c>
      <c r="U309" s="189">
        <f>IFERROR(__xludf.DUMMYFUNCTION("""COMPUTED_VALUE"""),3.0)</f>
        <v>3</v>
      </c>
      <c r="V309" s="189">
        <f>IFERROR(__xludf.DUMMYFUNCTION("""COMPUTED_VALUE"""),9.0)</f>
        <v>9</v>
      </c>
      <c r="W309" s="189">
        <f>IFERROR(__xludf.DUMMYFUNCTION("""COMPUTED_VALUE"""),6.0)</f>
        <v>6</v>
      </c>
      <c r="X309" s="189">
        <f>IFERROR(__xludf.DUMMYFUNCTION("""COMPUTED_VALUE"""),4.0)</f>
        <v>4</v>
      </c>
      <c r="Y309" s="189" t="str">
        <f>IFERROR(__xludf.DUMMYFUNCTION("""COMPUTED_VALUE"""),"2025-07-21T00:00:00.000Z")</f>
        <v>2025-07-21T00:00:00.000Z</v>
      </c>
      <c r="Z309" s="189" t="str">
        <f>IFERROR(__xludf.DUMMYFUNCTION("""COMPUTED_VALUE"""),"Enterprise Esports_Corrode")</f>
        <v>Enterprise Esports_Corrode</v>
      </c>
    </row>
    <row r="310">
      <c r="A310" s="189">
        <f>IFERROR(__xludf.DUMMYFUNCTION("""COMPUTED_VALUE"""),210558.0)</f>
        <v>210558</v>
      </c>
      <c r="B310" s="189">
        <f>IFERROR(__xludf.DUMMYFUNCTION("""COMPUTED_VALUE"""),92622.0)</f>
        <v>92622</v>
      </c>
      <c r="C310" s="189" t="str">
        <f>IFERROR(__xludf.DUMMYFUNCTION("""COMPUTED_VALUE"""),"Challengers 2025: France Revolution Split 3 - Group Stage")</f>
        <v>Challengers 2025: France Revolution Split 3 - Group Stage</v>
      </c>
      <c r="D310" s="189" t="str">
        <f>IFERROR(__xludf.DUMMYFUNCTION("""COMPUTED_VALUE"""),"Lotus")</f>
        <v>Lotus</v>
      </c>
      <c r="E310" s="189" t="str">
        <f>IFERROR(__xludf.DUMMYFUNCTION("""COMPUTED_VALUE"""),"Mandatory")</f>
        <v>Mandatory</v>
      </c>
      <c r="F310" s="189" t="str">
        <f>IFERROR(__xludf.DUMMYFUNCTION("""COMPUTED_VALUE"""),"Team Valiant")</f>
        <v>Team Valiant</v>
      </c>
      <c r="G310" s="189" t="str">
        <f>IFERROR(__xludf.DUMMYFUNCTION("""COMPUTED_VALUE"""),"Cypher,Sova,Omen,Yoru,Deadlock")</f>
        <v>Cypher,Sova,Omen,Yoru,Deadlock</v>
      </c>
      <c r="H310" s="189" t="str">
        <f>IFERROR(__xludf.DUMMYFUNCTION("""COMPUTED_VALUE"""),"Raze,Killjoy,Viper,Omen,Fade")</f>
        <v>Raze,Killjoy,Viper,Omen,Fade</v>
      </c>
      <c r="I310" s="189">
        <f>IFERROR(__xludf.DUMMYFUNCTION("""COMPUTED_VALUE"""),2.0)</f>
        <v>2</v>
      </c>
      <c r="J310" s="189">
        <f>IFERROR(__xludf.DUMMYFUNCTION("""COMPUTED_VALUE"""),13.0)</f>
        <v>13</v>
      </c>
      <c r="K310" s="189">
        <f>IFERROR(__xludf.DUMMYFUNCTION("""COMPUTED_VALUE"""),2.0)</f>
        <v>2</v>
      </c>
      <c r="L310" s="189">
        <f>IFERROR(__xludf.DUMMYFUNCTION("""COMPUTED_VALUE"""),10.0)</f>
        <v>10</v>
      </c>
      <c r="M310" s="189">
        <f>IFERROR(__xludf.DUMMYFUNCTION("""COMPUTED_VALUE"""),0.0)</f>
        <v>0</v>
      </c>
      <c r="N310" s="189">
        <f>IFERROR(__xludf.DUMMYFUNCTION("""COMPUTED_VALUE"""),0.0)</f>
        <v>0</v>
      </c>
      <c r="O310" s="189">
        <f>IFERROR(__xludf.DUMMYFUNCTION("""COMPUTED_VALUE"""),2.0)</f>
        <v>2</v>
      </c>
      <c r="P310" s="189">
        <f>IFERROR(__xludf.DUMMYFUNCTION("""COMPUTED_VALUE"""),10.0)</f>
        <v>10</v>
      </c>
      <c r="Q310" s="189">
        <f>IFERROR(__xludf.DUMMYFUNCTION("""COMPUTED_VALUE"""),0.0)</f>
        <v>0</v>
      </c>
      <c r="R310" s="189">
        <f>IFERROR(__xludf.DUMMYFUNCTION("""COMPUTED_VALUE"""),3.0)</f>
        <v>3</v>
      </c>
      <c r="S310" s="189">
        <f>IFERROR(__xludf.DUMMYFUNCTION("""COMPUTED_VALUE"""),1.0)</f>
        <v>1</v>
      </c>
      <c r="T310" s="189">
        <f>IFERROR(__xludf.DUMMYFUNCTION("""COMPUTED_VALUE"""),1.0)</f>
        <v>1</v>
      </c>
      <c r="U310" s="189">
        <f>IFERROR(__xludf.DUMMYFUNCTION("""COMPUTED_VALUE"""),3.0)</f>
        <v>3</v>
      </c>
      <c r="V310" s="189">
        <f>IFERROR(__xludf.DUMMYFUNCTION("""COMPUTED_VALUE"""),0.0)</f>
        <v>0</v>
      </c>
      <c r="W310" s="189">
        <f>IFERROR(__xludf.DUMMYFUNCTION("""COMPUTED_VALUE"""),10.0)</f>
        <v>10</v>
      </c>
      <c r="X310" s="189">
        <f>IFERROR(__xludf.DUMMYFUNCTION("""COMPUTED_VALUE"""),2.0)</f>
        <v>2</v>
      </c>
      <c r="Y310" s="189" t="str">
        <f>IFERROR(__xludf.DUMMYFUNCTION("""COMPUTED_VALUE"""),"2025-07-20T00:00:00.000Z")</f>
        <v>2025-07-20T00:00:00.000Z</v>
      </c>
      <c r="Z310" s="189" t="str">
        <f>IFERROR(__xludf.DUMMYFUNCTION("""COMPUTED_VALUE"""),"Mandatory_Lotus")</f>
        <v>Mandatory_Lotus</v>
      </c>
    </row>
    <row r="311">
      <c r="A311" s="189">
        <f>IFERROR(__xludf.DUMMYFUNCTION("""COMPUTED_VALUE"""),210357.0)</f>
        <v>210357</v>
      </c>
      <c r="B311" s="189">
        <f>IFERROR(__xludf.DUMMYFUNCTION("""COMPUTED_VALUE"""),92556.0)</f>
        <v>92556</v>
      </c>
      <c r="C311" s="189" t="str">
        <f>IFERROR(__xludf.DUMMYFUNCTION("""COMPUTED_VALUE"""),"Challengers League 2025 MENA: Resilience - GPI - Split 2 - Playoffs")</f>
        <v>Challengers League 2025 MENA: Resilience - GPI - Split 2 - Playoffs</v>
      </c>
      <c r="D311" s="189" t="str">
        <f>IFERROR(__xludf.DUMMYFUNCTION("""COMPUTED_VALUE"""),"Corrode")</f>
        <v>Corrode</v>
      </c>
      <c r="E311" s="189" t="str">
        <f>IFERROR(__xludf.DUMMYFUNCTION("""COMPUTED_VALUE"""),"The Ultimates")</f>
        <v>The Ultimates</v>
      </c>
      <c r="F311" s="189" t="str">
        <f>IFERROR(__xludf.DUMMYFUNCTION("""COMPUTED_VALUE"""),"AlQadsiah Esports")</f>
        <v>AlQadsiah Esports</v>
      </c>
      <c r="G311" s="189" t="str">
        <f>IFERROR(__xludf.DUMMYFUNCTION("""COMPUTED_VALUE"""),"Cypher,Omen,Yoru,Fade,Iso")</f>
        <v>Cypher,Omen,Yoru,Fade,Iso</v>
      </c>
      <c r="H311" s="189" t="str">
        <f>IFERROR(__xludf.DUMMYFUNCTION("""COMPUTED_VALUE"""),"Viper,Omen,Yoru,Chamber,Fade")</f>
        <v>Viper,Omen,Yoru,Chamber,Fade</v>
      </c>
      <c r="I311" s="189">
        <f>IFERROR(__xludf.DUMMYFUNCTION("""COMPUTED_VALUE"""),13.0)</f>
        <v>13</v>
      </c>
      <c r="J311" s="189">
        <f>IFERROR(__xludf.DUMMYFUNCTION("""COMPUTED_VALUE"""),7.0)</f>
        <v>7</v>
      </c>
      <c r="K311" s="189">
        <f>IFERROR(__xludf.DUMMYFUNCTION("""COMPUTED_VALUE"""),7.0)</f>
        <v>7</v>
      </c>
      <c r="L311" s="189">
        <f>IFERROR(__xludf.DUMMYFUNCTION("""COMPUTED_VALUE"""),5.0)</f>
        <v>5</v>
      </c>
      <c r="M311" s="189">
        <f>IFERROR(__xludf.DUMMYFUNCTION("""COMPUTED_VALUE"""),1.0)</f>
        <v>1</v>
      </c>
      <c r="N311" s="189">
        <f>IFERROR(__xludf.DUMMYFUNCTION("""COMPUTED_VALUE"""),1.0)</f>
        <v>1</v>
      </c>
      <c r="O311" s="189">
        <f>IFERROR(__xludf.DUMMYFUNCTION("""COMPUTED_VALUE"""),7.0)</f>
        <v>7</v>
      </c>
      <c r="P311" s="189">
        <f>IFERROR(__xludf.DUMMYFUNCTION("""COMPUTED_VALUE"""),5.0)</f>
        <v>5</v>
      </c>
      <c r="Q311" s="189">
        <f>IFERROR(__xludf.DUMMYFUNCTION("""COMPUTED_VALUE"""),6.0)</f>
        <v>6</v>
      </c>
      <c r="R311" s="189">
        <f>IFERROR(__xludf.DUMMYFUNCTION("""COMPUTED_VALUE"""),2.0)</f>
        <v>2</v>
      </c>
      <c r="S311" s="189">
        <f>IFERROR(__xludf.DUMMYFUNCTION("""COMPUTED_VALUE"""),0.0)</f>
        <v>0</v>
      </c>
      <c r="T311" s="189">
        <f>IFERROR(__xludf.DUMMYFUNCTION("""COMPUTED_VALUE"""),0.0)</f>
        <v>0</v>
      </c>
      <c r="U311" s="189">
        <f>IFERROR(__xludf.DUMMYFUNCTION("""COMPUTED_VALUE"""),2.0)</f>
        <v>2</v>
      </c>
      <c r="V311" s="189">
        <f>IFERROR(__xludf.DUMMYFUNCTION("""COMPUTED_VALUE"""),6.0)</f>
        <v>6</v>
      </c>
      <c r="W311" s="189">
        <f>IFERROR(__xludf.DUMMYFUNCTION("""COMPUTED_VALUE"""),5.0)</f>
        <v>5</v>
      </c>
      <c r="X311" s="189">
        <f>IFERROR(__xludf.DUMMYFUNCTION("""COMPUTED_VALUE"""),7.0)</f>
        <v>7</v>
      </c>
      <c r="Y311" s="189" t="str">
        <f>IFERROR(__xludf.DUMMYFUNCTION("""COMPUTED_VALUE"""),"2025-07-20T00:00:00.000Z")</f>
        <v>2025-07-20T00:00:00.000Z</v>
      </c>
      <c r="Z311" s="189" t="str">
        <f>IFERROR(__xludf.DUMMYFUNCTION("""COMPUTED_VALUE"""),"The Ultimates_Corrode")</f>
        <v>The Ultimates_Corrode</v>
      </c>
    </row>
    <row r="312">
      <c r="A312" s="189">
        <f>IFERROR(__xludf.DUMMYFUNCTION("""COMPUTED_VALUE"""),207544.0)</f>
        <v>207544</v>
      </c>
      <c r="B312" s="189">
        <f>IFERROR(__xludf.DUMMYFUNCTION("""COMPUTED_VALUE"""),91442.0)</f>
        <v>91442</v>
      </c>
      <c r="C312" s="189" t="str">
        <f>IFERROR(__xludf.DUMMYFUNCTION("""COMPUTED_VALUE"""),"Challengers League 2025 Spain Rising: Split 3 - Group Stage")</f>
        <v>Challengers League 2025 Spain Rising: Split 3 - Group Stage</v>
      </c>
      <c r="D312" s="189" t="str">
        <f>IFERROR(__xludf.DUMMYFUNCTION("""COMPUTED_VALUE"""),"Corrode")</f>
        <v>Corrode</v>
      </c>
      <c r="E312" s="189" t="str">
        <f>IFERROR(__xludf.DUMMYFUNCTION("""COMPUTED_VALUE"""),"KOI Fénix")</f>
        <v>KOI Fénix</v>
      </c>
      <c r="F312" s="189" t="str">
        <f>IFERROR(__xludf.DUMMYFUNCTION("""COMPUTED_VALUE"""),"KPI Gaming")</f>
        <v>KPI Gaming</v>
      </c>
      <c r="G312" s="189" t="str">
        <f>IFERROR(__xludf.DUMMYFUNCTION("""COMPUTED_VALUE"""),"Omen,Jett,Yoru,Chamber,Fade")</f>
        <v>Omen,Jett,Yoru,Chamber,Fade</v>
      </c>
      <c r="H312" s="189" t="str">
        <f>IFERROR(__xludf.DUMMYFUNCTION("""COMPUTED_VALUE"""),"Viper,Omen,Yoru,Fade,Deadlock")</f>
        <v>Viper,Omen,Yoru,Fade,Deadlock</v>
      </c>
      <c r="I312" s="189">
        <f>IFERROR(__xludf.DUMMYFUNCTION("""COMPUTED_VALUE"""),13.0)</f>
        <v>13</v>
      </c>
      <c r="J312" s="189">
        <f>IFERROR(__xludf.DUMMYFUNCTION("""COMPUTED_VALUE"""),6.0)</f>
        <v>6</v>
      </c>
      <c r="K312" s="189">
        <f>IFERROR(__xludf.DUMMYFUNCTION("""COMPUTED_VALUE"""),8.0)</f>
        <v>8</v>
      </c>
      <c r="L312" s="189">
        <f>IFERROR(__xludf.DUMMYFUNCTION("""COMPUTED_VALUE"""),4.0)</f>
        <v>4</v>
      </c>
      <c r="M312" s="189">
        <f>IFERROR(__xludf.DUMMYFUNCTION("""COMPUTED_VALUE"""),1.0)</f>
        <v>1</v>
      </c>
      <c r="N312" s="189">
        <f>IFERROR(__xludf.DUMMYFUNCTION("""COMPUTED_VALUE"""),1.0)</f>
        <v>1</v>
      </c>
      <c r="O312" s="189">
        <f>IFERROR(__xludf.DUMMYFUNCTION("""COMPUTED_VALUE"""),5.0)</f>
        <v>5</v>
      </c>
      <c r="P312" s="189">
        <f>IFERROR(__xludf.DUMMYFUNCTION("""COMPUTED_VALUE"""),2.0)</f>
        <v>2</v>
      </c>
      <c r="Q312" s="189">
        <f>IFERROR(__xludf.DUMMYFUNCTION("""COMPUTED_VALUE"""),8.0)</f>
        <v>8</v>
      </c>
      <c r="R312" s="189">
        <f>IFERROR(__xludf.DUMMYFUNCTION("""COMPUTED_VALUE"""),4.0)</f>
        <v>4</v>
      </c>
      <c r="S312" s="189">
        <f>IFERROR(__xludf.DUMMYFUNCTION("""COMPUTED_VALUE"""),0.0)</f>
        <v>0</v>
      </c>
      <c r="T312" s="189">
        <f>IFERROR(__xludf.DUMMYFUNCTION("""COMPUTED_VALUE"""),0.0)</f>
        <v>0</v>
      </c>
      <c r="U312" s="189">
        <f>IFERROR(__xludf.DUMMYFUNCTION("""COMPUTED_VALUE"""),4.0)</f>
        <v>4</v>
      </c>
      <c r="V312" s="189">
        <f>IFERROR(__xludf.DUMMYFUNCTION("""COMPUTED_VALUE"""),8.0)</f>
        <v>8</v>
      </c>
      <c r="W312" s="189">
        <f>IFERROR(__xludf.DUMMYFUNCTION("""COMPUTED_VALUE"""),2.0)</f>
        <v>2</v>
      </c>
      <c r="X312" s="189">
        <f>IFERROR(__xludf.DUMMYFUNCTION("""COMPUTED_VALUE"""),5.0)</f>
        <v>5</v>
      </c>
      <c r="Y312" s="189" t="str">
        <f>IFERROR(__xludf.DUMMYFUNCTION("""COMPUTED_VALUE"""),"2025-07-20T00:00:00.000Z")</f>
        <v>2025-07-20T00:00:00.000Z</v>
      </c>
      <c r="Z312" s="189" t="str">
        <f>IFERROR(__xludf.DUMMYFUNCTION("""COMPUTED_VALUE"""),"KOI Fénix_Corrode")</f>
        <v>KOI Fénix_Corrode</v>
      </c>
    </row>
    <row r="313">
      <c r="A313" s="189">
        <f>IFERROR(__xludf.DUMMYFUNCTION("""COMPUTED_VALUE"""),210557.0)</f>
        <v>210557</v>
      </c>
      <c r="B313" s="189">
        <f>IFERROR(__xludf.DUMMYFUNCTION("""COMPUTED_VALUE"""),92622.0)</f>
        <v>92622</v>
      </c>
      <c r="C313" s="189" t="str">
        <f>IFERROR(__xludf.DUMMYFUNCTION("""COMPUTED_VALUE"""),"Challengers 2025: France Revolution Split 3 - Group Stage")</f>
        <v>Challengers 2025: France Revolution Split 3 - Group Stage</v>
      </c>
      <c r="D313" s="189" t="str">
        <f>IFERROR(__xludf.DUMMYFUNCTION("""COMPUTED_VALUE"""),"Ascent")</f>
        <v>Ascent</v>
      </c>
      <c r="E313" s="189" t="str">
        <f>IFERROR(__xludf.DUMMYFUNCTION("""COMPUTED_VALUE"""),"Mandatory")</f>
        <v>Mandatory</v>
      </c>
      <c r="F313" s="189" t="str">
        <f>IFERROR(__xludf.DUMMYFUNCTION("""COMPUTED_VALUE"""),"Team Valiant")</f>
        <v>Team Valiant</v>
      </c>
      <c r="G313" s="189" t="str">
        <f>IFERROR(__xludf.DUMMYFUNCTION("""COMPUTED_VALUE"""),"Sova,Viper,Omen,Yoru,Deadlock")</f>
        <v>Sova,Viper,Omen,Yoru,Deadlock</v>
      </c>
      <c r="H313" s="189" t="str">
        <f>IFERROR(__xludf.DUMMYFUNCTION("""COMPUTED_VALUE"""),"Cypher,Sova,Omen,Jett,KAY/O")</f>
        <v>Cypher,Sova,Omen,Jett,KAY/O</v>
      </c>
      <c r="I313" s="189">
        <f>IFERROR(__xludf.DUMMYFUNCTION("""COMPUTED_VALUE"""),10.0)</f>
        <v>10</v>
      </c>
      <c r="J313" s="189">
        <f>IFERROR(__xludf.DUMMYFUNCTION("""COMPUTED_VALUE"""),13.0)</f>
        <v>13</v>
      </c>
      <c r="K313" s="189">
        <f>IFERROR(__xludf.DUMMYFUNCTION("""COMPUTED_VALUE"""),6.0)</f>
        <v>6</v>
      </c>
      <c r="L313" s="189">
        <f>IFERROR(__xludf.DUMMYFUNCTION("""COMPUTED_VALUE"""),6.0)</f>
        <v>6</v>
      </c>
      <c r="M313" s="189">
        <f>IFERROR(__xludf.DUMMYFUNCTION("""COMPUTED_VALUE"""),0.0)</f>
        <v>0</v>
      </c>
      <c r="N313" s="189">
        <f>IFERROR(__xludf.DUMMYFUNCTION("""COMPUTED_VALUE"""),0.0)</f>
        <v>0</v>
      </c>
      <c r="O313" s="189">
        <f>IFERROR(__xludf.DUMMYFUNCTION("""COMPUTED_VALUE"""),6.0)</f>
        <v>6</v>
      </c>
      <c r="P313" s="189">
        <f>IFERROR(__xludf.DUMMYFUNCTION("""COMPUTED_VALUE"""),6.0)</f>
        <v>6</v>
      </c>
      <c r="Q313" s="189">
        <f>IFERROR(__xludf.DUMMYFUNCTION("""COMPUTED_VALUE"""),4.0)</f>
        <v>4</v>
      </c>
      <c r="R313" s="189">
        <f>IFERROR(__xludf.DUMMYFUNCTION("""COMPUTED_VALUE"""),7.0)</f>
        <v>7</v>
      </c>
      <c r="S313" s="189">
        <f>IFERROR(__xludf.DUMMYFUNCTION("""COMPUTED_VALUE"""),1.0)</f>
        <v>1</v>
      </c>
      <c r="T313" s="189">
        <f>IFERROR(__xludf.DUMMYFUNCTION("""COMPUTED_VALUE"""),1.0)</f>
        <v>1</v>
      </c>
      <c r="U313" s="189">
        <f>IFERROR(__xludf.DUMMYFUNCTION("""COMPUTED_VALUE"""),7.0)</f>
        <v>7</v>
      </c>
      <c r="V313" s="189">
        <f>IFERROR(__xludf.DUMMYFUNCTION("""COMPUTED_VALUE"""),4.0)</f>
        <v>4</v>
      </c>
      <c r="W313" s="189">
        <f>IFERROR(__xludf.DUMMYFUNCTION("""COMPUTED_VALUE"""),6.0)</f>
        <v>6</v>
      </c>
      <c r="X313" s="189">
        <f>IFERROR(__xludf.DUMMYFUNCTION("""COMPUTED_VALUE"""),6.0)</f>
        <v>6</v>
      </c>
      <c r="Y313" s="189" t="str">
        <f>IFERROR(__xludf.DUMMYFUNCTION("""COMPUTED_VALUE"""),"2025-07-20T00:00:00.000Z")</f>
        <v>2025-07-20T00:00:00.000Z</v>
      </c>
      <c r="Z313" s="189" t="str">
        <f>IFERROR(__xludf.DUMMYFUNCTION("""COMPUTED_VALUE"""),"Mandatory_Ascent")</f>
        <v>Mandatory_Ascent</v>
      </c>
    </row>
    <row r="314">
      <c r="A314" s="189">
        <f>IFERROR(__xludf.DUMMYFUNCTION("""COMPUTED_VALUE"""),210356.0)</f>
        <v>210356</v>
      </c>
      <c r="B314" s="189">
        <f>IFERROR(__xludf.DUMMYFUNCTION("""COMPUTED_VALUE"""),92556.0)</f>
        <v>92556</v>
      </c>
      <c r="C314" s="189" t="str">
        <f>IFERROR(__xludf.DUMMYFUNCTION("""COMPUTED_VALUE"""),"Challengers League 2025 MENA: Resilience - GPI - Split 2 - Playoffs")</f>
        <v>Challengers League 2025 MENA: Resilience - GPI - Split 2 - Playoffs</v>
      </c>
      <c r="D314" s="189" t="str">
        <f>IFERROR(__xludf.DUMMYFUNCTION("""COMPUTED_VALUE"""),"Haven")</f>
        <v>Haven</v>
      </c>
      <c r="E314" s="189" t="str">
        <f>IFERROR(__xludf.DUMMYFUNCTION("""COMPUTED_VALUE"""),"The Ultimates")</f>
        <v>The Ultimates</v>
      </c>
      <c r="F314" s="189" t="str">
        <f>IFERROR(__xludf.DUMMYFUNCTION("""COMPUTED_VALUE"""),"AlQadsiah Esports")</f>
        <v>AlQadsiah Esports</v>
      </c>
      <c r="G314" s="189" t="str">
        <f>IFERROR(__xludf.DUMMYFUNCTION("""COMPUTED_VALUE"""),"Breach,Cypher,Sova,Omen,Neon")</f>
        <v>Breach,Cypher,Sova,Omen,Neon</v>
      </c>
      <c r="H314" s="189" t="str">
        <f>IFERROR(__xludf.DUMMYFUNCTION("""COMPUTED_VALUE"""),"Breach,Cypher,Sova,Omen,Yoru")</f>
        <v>Breach,Cypher,Sova,Omen,Yoru</v>
      </c>
      <c r="I314" s="189">
        <f>IFERROR(__xludf.DUMMYFUNCTION("""COMPUTED_VALUE"""),13.0)</f>
        <v>13</v>
      </c>
      <c r="J314" s="189">
        <f>IFERROR(__xludf.DUMMYFUNCTION("""COMPUTED_VALUE"""),9.0)</f>
        <v>9</v>
      </c>
      <c r="K314" s="189">
        <f>IFERROR(__xludf.DUMMYFUNCTION("""COMPUTED_VALUE"""),6.0)</f>
        <v>6</v>
      </c>
      <c r="L314" s="189">
        <f>IFERROR(__xludf.DUMMYFUNCTION("""COMPUTED_VALUE"""),6.0)</f>
        <v>6</v>
      </c>
      <c r="M314" s="189">
        <f>IFERROR(__xludf.DUMMYFUNCTION("""COMPUTED_VALUE"""),1.0)</f>
        <v>1</v>
      </c>
      <c r="N314" s="189">
        <f>IFERROR(__xludf.DUMMYFUNCTION("""COMPUTED_VALUE"""),0.0)</f>
        <v>0</v>
      </c>
      <c r="O314" s="189">
        <f>IFERROR(__xludf.DUMMYFUNCTION("""COMPUTED_VALUE"""),7.0)</f>
        <v>7</v>
      </c>
      <c r="P314" s="189">
        <f>IFERROR(__xludf.DUMMYFUNCTION("""COMPUTED_VALUE"""),3.0)</f>
        <v>3</v>
      </c>
      <c r="Q314" s="189">
        <f>IFERROR(__xludf.DUMMYFUNCTION("""COMPUTED_VALUE"""),6.0)</f>
        <v>6</v>
      </c>
      <c r="R314" s="189">
        <f>IFERROR(__xludf.DUMMYFUNCTION("""COMPUTED_VALUE"""),6.0)</f>
        <v>6</v>
      </c>
      <c r="S314" s="189">
        <f>IFERROR(__xludf.DUMMYFUNCTION("""COMPUTED_VALUE"""),1.0)</f>
        <v>1</v>
      </c>
      <c r="T314" s="189">
        <f>IFERROR(__xludf.DUMMYFUNCTION("""COMPUTED_VALUE"""),0.0)</f>
        <v>0</v>
      </c>
      <c r="U314" s="189">
        <f>IFERROR(__xludf.DUMMYFUNCTION("""COMPUTED_VALUE"""),6.0)</f>
        <v>6</v>
      </c>
      <c r="V314" s="189">
        <f>IFERROR(__xludf.DUMMYFUNCTION("""COMPUTED_VALUE"""),6.0)</f>
        <v>6</v>
      </c>
      <c r="W314" s="189">
        <f>IFERROR(__xludf.DUMMYFUNCTION("""COMPUTED_VALUE"""),3.0)</f>
        <v>3</v>
      </c>
      <c r="X314" s="189">
        <f>IFERROR(__xludf.DUMMYFUNCTION("""COMPUTED_VALUE"""),7.0)</f>
        <v>7</v>
      </c>
      <c r="Y314" s="189" t="str">
        <f>IFERROR(__xludf.DUMMYFUNCTION("""COMPUTED_VALUE"""),"2025-07-20T00:00:00.000Z")</f>
        <v>2025-07-20T00:00:00.000Z</v>
      </c>
      <c r="Z314" s="189" t="str">
        <f>IFERROR(__xludf.DUMMYFUNCTION("""COMPUTED_VALUE"""),"The Ultimates_Haven")</f>
        <v>The Ultimates_Haven</v>
      </c>
    </row>
    <row r="315">
      <c r="A315" s="189">
        <f>IFERROR(__xludf.DUMMYFUNCTION("""COMPUTED_VALUE"""),207543.0)</f>
        <v>207543</v>
      </c>
      <c r="B315" s="189">
        <f>IFERROR(__xludf.DUMMYFUNCTION("""COMPUTED_VALUE"""),91442.0)</f>
        <v>91442</v>
      </c>
      <c r="C315" s="189" t="str">
        <f>IFERROR(__xludf.DUMMYFUNCTION("""COMPUTED_VALUE"""),"Challengers League 2025 Spain Rising: Split 3 - Group Stage")</f>
        <v>Challengers League 2025 Spain Rising: Split 3 - Group Stage</v>
      </c>
      <c r="D315" s="189" t="str">
        <f>IFERROR(__xludf.DUMMYFUNCTION("""COMPUTED_VALUE"""),"Lotus")</f>
        <v>Lotus</v>
      </c>
      <c r="E315" s="189" t="str">
        <f>IFERROR(__xludf.DUMMYFUNCTION("""COMPUTED_VALUE"""),"KOI Fénix")</f>
        <v>KOI Fénix</v>
      </c>
      <c r="F315" s="189" t="str">
        <f>IFERROR(__xludf.DUMMYFUNCTION("""COMPUTED_VALUE"""),"KPI Gaming")</f>
        <v>KPI Gaming</v>
      </c>
      <c r="G315" s="189" t="str">
        <f>IFERROR(__xludf.DUMMYFUNCTION("""COMPUTED_VALUE"""),"Breach,Sova,Killjoy,Omen,Neon")</f>
        <v>Breach,Sova,Killjoy,Omen,Neon</v>
      </c>
      <c r="H315" s="189" t="str">
        <f>IFERROR(__xludf.DUMMYFUNCTION("""COMPUTED_VALUE"""),"Cypher,Omen,Yoru,Neon,Fade")</f>
        <v>Cypher,Omen,Yoru,Neon,Fade</v>
      </c>
      <c r="I315" s="189">
        <f>IFERROR(__xludf.DUMMYFUNCTION("""COMPUTED_VALUE"""),15.0)</f>
        <v>15</v>
      </c>
      <c r="J315" s="189">
        <f>IFERROR(__xludf.DUMMYFUNCTION("""COMPUTED_VALUE"""),13.0)</f>
        <v>13</v>
      </c>
      <c r="K315" s="189">
        <f>IFERROR(__xludf.DUMMYFUNCTION("""COMPUTED_VALUE"""),6.0)</f>
        <v>6</v>
      </c>
      <c r="L315" s="189">
        <f>IFERROR(__xludf.DUMMYFUNCTION("""COMPUTED_VALUE"""),6.0)</f>
        <v>6</v>
      </c>
      <c r="M315" s="189">
        <f>IFERROR(__xludf.DUMMYFUNCTION("""COMPUTED_VALUE"""),0.0)</f>
        <v>0</v>
      </c>
      <c r="N315" s="189">
        <f>IFERROR(__xludf.DUMMYFUNCTION("""COMPUTED_VALUE"""),0.0)</f>
        <v>0</v>
      </c>
      <c r="O315" s="189">
        <f>IFERROR(__xludf.DUMMYFUNCTION("""COMPUTED_VALUE"""),7.0)</f>
        <v>7</v>
      </c>
      <c r="P315" s="189">
        <f>IFERROR(__xludf.DUMMYFUNCTION("""COMPUTED_VALUE"""),7.0)</f>
        <v>7</v>
      </c>
      <c r="Q315" s="189">
        <f>IFERROR(__xludf.DUMMYFUNCTION("""COMPUTED_VALUE"""),8.0)</f>
        <v>8</v>
      </c>
      <c r="R315" s="189">
        <f>IFERROR(__xludf.DUMMYFUNCTION("""COMPUTED_VALUE"""),6.0)</f>
        <v>6</v>
      </c>
      <c r="S315" s="189">
        <f>IFERROR(__xludf.DUMMYFUNCTION("""COMPUTED_VALUE"""),1.0)</f>
        <v>1</v>
      </c>
      <c r="T315" s="189">
        <f>IFERROR(__xludf.DUMMYFUNCTION("""COMPUTED_VALUE"""),1.0)</f>
        <v>1</v>
      </c>
      <c r="U315" s="189">
        <f>IFERROR(__xludf.DUMMYFUNCTION("""COMPUTED_VALUE"""),6.0)</f>
        <v>6</v>
      </c>
      <c r="V315" s="189">
        <f>IFERROR(__xludf.DUMMYFUNCTION("""COMPUTED_VALUE"""),8.0)</f>
        <v>8</v>
      </c>
      <c r="W315" s="189">
        <f>IFERROR(__xludf.DUMMYFUNCTION("""COMPUTED_VALUE"""),7.0)</f>
        <v>7</v>
      </c>
      <c r="X315" s="189">
        <f>IFERROR(__xludf.DUMMYFUNCTION("""COMPUTED_VALUE"""),7.0)</f>
        <v>7</v>
      </c>
      <c r="Y315" s="189" t="str">
        <f>IFERROR(__xludf.DUMMYFUNCTION("""COMPUTED_VALUE"""),"2025-07-20T00:00:00.000Z")</f>
        <v>2025-07-20T00:00:00.000Z</v>
      </c>
      <c r="Z315" s="189" t="str">
        <f>IFERROR(__xludf.DUMMYFUNCTION("""COMPUTED_VALUE"""),"KOI Fénix_Lotus")</f>
        <v>KOI Fénix_Lotus</v>
      </c>
    </row>
    <row r="316">
      <c r="A316" s="189">
        <f>IFERROR(__xludf.DUMMYFUNCTION("""COMPUTED_VALUE"""),208398.0)</f>
        <v>208398</v>
      </c>
      <c r="B316" s="189">
        <f>IFERROR(__xludf.DUMMYFUNCTION("""COMPUTED_VALUE"""),91781.0)</f>
        <v>91781</v>
      </c>
      <c r="C316" s="189" t="str">
        <f>IFERROR(__xludf.DUMMYFUNCTION("""COMPUTED_VALUE"""),"Challengers League 2025 Türkiye Birlik: Split 3 - Group Stage")</f>
        <v>Challengers League 2025 Türkiye Birlik: Split 3 - Group Stage</v>
      </c>
      <c r="D316" s="189" t="str">
        <f>IFERROR(__xludf.DUMMYFUNCTION("""COMPUTED_VALUE"""),"Ascent")</f>
        <v>Ascent</v>
      </c>
      <c r="E316" s="189" t="str">
        <f>IFERROR(__xludf.DUMMYFUNCTION("""COMPUTED_VALUE"""),"BBL PCIFIC")</f>
        <v>BBL PCIFIC</v>
      </c>
      <c r="F316" s="189" t="str">
        <f>IFERROR(__xludf.DUMMYFUNCTION("""COMPUTED_VALUE"""),"Fire Flux Esports")</f>
        <v>Fire Flux Esports</v>
      </c>
      <c r="G316" s="189" t="str">
        <f>IFERROR(__xludf.DUMMYFUNCTION("""COMPUTED_VALUE"""),"Cypher,Sova,Omen,Jett,Deadlock")</f>
        <v>Cypher,Sova,Omen,Jett,Deadlock</v>
      </c>
      <c r="H316" s="189" t="str">
        <f>IFERROR(__xludf.DUMMYFUNCTION("""COMPUTED_VALUE"""),"Cypher,Sova,Omen,Jett,KAY/O")</f>
        <v>Cypher,Sova,Omen,Jett,KAY/O</v>
      </c>
      <c r="I316" s="189">
        <f>IFERROR(__xludf.DUMMYFUNCTION("""COMPUTED_VALUE"""),13.0)</f>
        <v>13</v>
      </c>
      <c r="J316" s="189">
        <f>IFERROR(__xludf.DUMMYFUNCTION("""COMPUTED_VALUE"""),3.0)</f>
        <v>3</v>
      </c>
      <c r="K316" s="189">
        <f>IFERROR(__xludf.DUMMYFUNCTION("""COMPUTED_VALUE"""),9.0)</f>
        <v>9</v>
      </c>
      <c r="L316" s="189">
        <f>IFERROR(__xludf.DUMMYFUNCTION("""COMPUTED_VALUE"""),3.0)</f>
        <v>3</v>
      </c>
      <c r="M316" s="189">
        <f>IFERROR(__xludf.DUMMYFUNCTION("""COMPUTED_VALUE"""),1.0)</f>
        <v>1</v>
      </c>
      <c r="N316" s="189">
        <f>IFERROR(__xludf.DUMMYFUNCTION("""COMPUTED_VALUE"""),0.0)</f>
        <v>0</v>
      </c>
      <c r="O316" s="189">
        <f>IFERROR(__xludf.DUMMYFUNCTION("""COMPUTED_VALUE"""),4.0)</f>
        <v>4</v>
      </c>
      <c r="P316" s="189">
        <f>IFERROR(__xludf.DUMMYFUNCTION("""COMPUTED_VALUE"""),0.0)</f>
        <v>0</v>
      </c>
      <c r="Q316" s="189">
        <f>IFERROR(__xludf.DUMMYFUNCTION("""COMPUTED_VALUE"""),9.0)</f>
        <v>9</v>
      </c>
      <c r="R316" s="189">
        <f>IFERROR(__xludf.DUMMYFUNCTION("""COMPUTED_VALUE"""),3.0)</f>
        <v>3</v>
      </c>
      <c r="S316" s="189">
        <f>IFERROR(__xludf.DUMMYFUNCTION("""COMPUTED_VALUE"""),1.0)</f>
        <v>1</v>
      </c>
      <c r="T316" s="189">
        <f>IFERROR(__xludf.DUMMYFUNCTION("""COMPUTED_VALUE"""),0.0)</f>
        <v>0</v>
      </c>
      <c r="U316" s="189">
        <f>IFERROR(__xludf.DUMMYFUNCTION("""COMPUTED_VALUE"""),3.0)</f>
        <v>3</v>
      </c>
      <c r="V316" s="189">
        <f>IFERROR(__xludf.DUMMYFUNCTION("""COMPUTED_VALUE"""),9.0)</f>
        <v>9</v>
      </c>
      <c r="W316" s="189">
        <f>IFERROR(__xludf.DUMMYFUNCTION("""COMPUTED_VALUE"""),0.0)</f>
        <v>0</v>
      </c>
      <c r="X316" s="189">
        <f>IFERROR(__xludf.DUMMYFUNCTION("""COMPUTED_VALUE"""),4.0)</f>
        <v>4</v>
      </c>
      <c r="Y316" s="189" t="str">
        <f>IFERROR(__xludf.DUMMYFUNCTION("""COMPUTED_VALUE"""),"2025-07-20T00:00:00.000Z")</f>
        <v>2025-07-20T00:00:00.000Z</v>
      </c>
      <c r="Z316" s="189" t="str">
        <f>IFERROR(__xludf.DUMMYFUNCTION("""COMPUTED_VALUE"""),"BBL PCIFIC_Ascent")</f>
        <v>BBL PCIFIC_Ascent</v>
      </c>
    </row>
    <row r="317">
      <c r="A317" s="189">
        <f>IFERROR(__xludf.DUMMYFUNCTION("""COMPUTED_VALUE"""),210556.0)</f>
        <v>210556</v>
      </c>
      <c r="B317" s="189">
        <f>IFERROR(__xludf.DUMMYFUNCTION("""COMPUTED_VALUE"""),92622.0)</f>
        <v>92622</v>
      </c>
      <c r="C317" s="189" t="str">
        <f>IFERROR(__xludf.DUMMYFUNCTION("""COMPUTED_VALUE"""),"Challengers 2025: France Revolution Split 3 - Group Stage")</f>
        <v>Challengers 2025: France Revolution Split 3 - Group Stage</v>
      </c>
      <c r="D317" s="189" t="str">
        <f>IFERROR(__xludf.DUMMYFUNCTION("""COMPUTED_VALUE"""),"Haven")</f>
        <v>Haven</v>
      </c>
      <c r="E317" s="189" t="str">
        <f>IFERROR(__xludf.DUMMYFUNCTION("""COMPUTED_VALUE"""),"Mandatory")</f>
        <v>Mandatory</v>
      </c>
      <c r="F317" s="189" t="str">
        <f>IFERROR(__xludf.DUMMYFUNCTION("""COMPUTED_VALUE"""),"Team Valiant")</f>
        <v>Team Valiant</v>
      </c>
      <c r="G317" s="189" t="str">
        <f>IFERROR(__xludf.DUMMYFUNCTION("""COMPUTED_VALUE"""),"Cypher,Sova,Omen,Yoru,Iso")</f>
        <v>Cypher,Sova,Omen,Yoru,Iso</v>
      </c>
      <c r="H317" s="189" t="str">
        <f>IFERROR(__xludf.DUMMYFUNCTION("""COMPUTED_VALUE"""),"Sova,Viper,Omen,Neon,Vyse")</f>
        <v>Sova,Viper,Omen,Neon,Vyse</v>
      </c>
      <c r="I317" s="189">
        <f>IFERROR(__xludf.DUMMYFUNCTION("""COMPUTED_VALUE"""),14.0)</f>
        <v>14</v>
      </c>
      <c r="J317" s="189">
        <f>IFERROR(__xludf.DUMMYFUNCTION("""COMPUTED_VALUE"""),12.0)</f>
        <v>12</v>
      </c>
      <c r="K317" s="189">
        <f>IFERROR(__xludf.DUMMYFUNCTION("""COMPUTED_VALUE"""),7.0)</f>
        <v>7</v>
      </c>
      <c r="L317" s="189">
        <f>IFERROR(__xludf.DUMMYFUNCTION("""COMPUTED_VALUE"""),5.0)</f>
        <v>5</v>
      </c>
      <c r="M317" s="189">
        <f>IFERROR(__xludf.DUMMYFUNCTION("""COMPUTED_VALUE"""),1.0)</f>
        <v>1</v>
      </c>
      <c r="N317" s="189">
        <f>IFERROR(__xludf.DUMMYFUNCTION("""COMPUTED_VALUE"""),0.0)</f>
        <v>0</v>
      </c>
      <c r="O317" s="189">
        <f>IFERROR(__xludf.DUMMYFUNCTION("""COMPUTED_VALUE"""),6.0)</f>
        <v>6</v>
      </c>
      <c r="P317" s="189">
        <f>IFERROR(__xludf.DUMMYFUNCTION("""COMPUTED_VALUE"""),7.0)</f>
        <v>7</v>
      </c>
      <c r="Q317" s="189">
        <f>IFERROR(__xludf.DUMMYFUNCTION("""COMPUTED_VALUE"""),8.0)</f>
        <v>8</v>
      </c>
      <c r="R317" s="189">
        <f>IFERROR(__xludf.DUMMYFUNCTION("""COMPUTED_VALUE"""),5.0)</f>
        <v>5</v>
      </c>
      <c r="S317" s="189">
        <f>IFERROR(__xludf.DUMMYFUNCTION("""COMPUTED_VALUE"""),1.0)</f>
        <v>1</v>
      </c>
      <c r="T317" s="189">
        <f>IFERROR(__xludf.DUMMYFUNCTION("""COMPUTED_VALUE"""),0.0)</f>
        <v>0</v>
      </c>
      <c r="U317" s="189">
        <f>IFERROR(__xludf.DUMMYFUNCTION("""COMPUTED_VALUE"""),5.0)</f>
        <v>5</v>
      </c>
      <c r="V317" s="189">
        <f>IFERROR(__xludf.DUMMYFUNCTION("""COMPUTED_VALUE"""),8.0)</f>
        <v>8</v>
      </c>
      <c r="W317" s="189">
        <f>IFERROR(__xludf.DUMMYFUNCTION("""COMPUTED_VALUE"""),7.0)</f>
        <v>7</v>
      </c>
      <c r="X317" s="189">
        <f>IFERROR(__xludf.DUMMYFUNCTION("""COMPUTED_VALUE"""),6.0)</f>
        <v>6</v>
      </c>
      <c r="Y317" s="189" t="str">
        <f>IFERROR(__xludf.DUMMYFUNCTION("""COMPUTED_VALUE"""),"2025-07-20T00:00:00.000Z")</f>
        <v>2025-07-20T00:00:00.000Z</v>
      </c>
      <c r="Z317" s="189" t="str">
        <f>IFERROR(__xludf.DUMMYFUNCTION("""COMPUTED_VALUE"""),"Mandatory_Haven")</f>
        <v>Mandatory_Haven</v>
      </c>
    </row>
    <row r="318">
      <c r="A318" s="189">
        <f>IFERROR(__xludf.DUMMYFUNCTION("""COMPUTED_VALUE"""),208397.0)</f>
        <v>208397</v>
      </c>
      <c r="B318" s="189">
        <f>IFERROR(__xludf.DUMMYFUNCTION("""COMPUTED_VALUE"""),91781.0)</f>
        <v>91781</v>
      </c>
      <c r="C318" s="189" t="str">
        <f>IFERROR(__xludf.DUMMYFUNCTION("""COMPUTED_VALUE"""),"Challengers League 2025 Türkiye Birlik: Split 3 - Group Stage")</f>
        <v>Challengers League 2025 Türkiye Birlik: Split 3 - Group Stage</v>
      </c>
      <c r="D318" s="189" t="str">
        <f>IFERROR(__xludf.DUMMYFUNCTION("""COMPUTED_VALUE"""),"Lotus")</f>
        <v>Lotus</v>
      </c>
      <c r="E318" s="189" t="str">
        <f>IFERROR(__xludf.DUMMYFUNCTION("""COMPUTED_VALUE"""),"BBL PCIFIC")</f>
        <v>BBL PCIFIC</v>
      </c>
      <c r="F318" s="189" t="str">
        <f>IFERROR(__xludf.DUMMYFUNCTION("""COMPUTED_VALUE"""),"Fire Flux Esports")</f>
        <v>Fire Flux Esports</v>
      </c>
      <c r="G318" s="189" t="str">
        <f>IFERROR(__xludf.DUMMYFUNCTION("""COMPUTED_VALUE"""),"Raze,Omen,Yoru,Fade,Vyse")</f>
        <v>Raze,Omen,Yoru,Fade,Vyse</v>
      </c>
      <c r="H318" s="189" t="str">
        <f>IFERROR(__xludf.DUMMYFUNCTION("""COMPUTED_VALUE"""),"Viper,Omen,Neon,Fade,Vyse")</f>
        <v>Viper,Omen,Neon,Fade,Vyse</v>
      </c>
      <c r="I318" s="189">
        <f>IFERROR(__xludf.DUMMYFUNCTION("""COMPUTED_VALUE"""),13.0)</f>
        <v>13</v>
      </c>
      <c r="J318" s="189">
        <f>IFERROR(__xludf.DUMMYFUNCTION("""COMPUTED_VALUE"""),8.0)</f>
        <v>8</v>
      </c>
      <c r="K318" s="189">
        <f>IFERROR(__xludf.DUMMYFUNCTION("""COMPUTED_VALUE"""),7.0)</f>
        <v>7</v>
      </c>
      <c r="L318" s="189">
        <f>IFERROR(__xludf.DUMMYFUNCTION("""COMPUTED_VALUE"""),5.0)</f>
        <v>5</v>
      </c>
      <c r="M318" s="189">
        <f>IFERROR(__xludf.DUMMYFUNCTION("""COMPUTED_VALUE"""),1.0)</f>
        <v>1</v>
      </c>
      <c r="N318" s="189">
        <f>IFERROR(__xludf.DUMMYFUNCTION("""COMPUTED_VALUE"""),0.0)</f>
        <v>0</v>
      </c>
      <c r="O318" s="189">
        <f>IFERROR(__xludf.DUMMYFUNCTION("""COMPUTED_VALUE"""),6.0)</f>
        <v>6</v>
      </c>
      <c r="P318" s="189">
        <f>IFERROR(__xludf.DUMMYFUNCTION("""COMPUTED_VALUE"""),3.0)</f>
        <v>3</v>
      </c>
      <c r="Q318" s="189">
        <f>IFERROR(__xludf.DUMMYFUNCTION("""COMPUTED_VALUE"""),7.0)</f>
        <v>7</v>
      </c>
      <c r="R318" s="189">
        <f>IFERROR(__xludf.DUMMYFUNCTION("""COMPUTED_VALUE"""),5.0)</f>
        <v>5</v>
      </c>
      <c r="S318" s="189">
        <f>IFERROR(__xludf.DUMMYFUNCTION("""COMPUTED_VALUE"""),1.0)</f>
        <v>1</v>
      </c>
      <c r="T318" s="189">
        <f>IFERROR(__xludf.DUMMYFUNCTION("""COMPUTED_VALUE"""),0.0)</f>
        <v>0</v>
      </c>
      <c r="U318" s="189">
        <f>IFERROR(__xludf.DUMMYFUNCTION("""COMPUTED_VALUE"""),5.0)</f>
        <v>5</v>
      </c>
      <c r="V318" s="189">
        <f>IFERROR(__xludf.DUMMYFUNCTION("""COMPUTED_VALUE"""),7.0)</f>
        <v>7</v>
      </c>
      <c r="W318" s="189">
        <f>IFERROR(__xludf.DUMMYFUNCTION("""COMPUTED_VALUE"""),3.0)</f>
        <v>3</v>
      </c>
      <c r="X318" s="189">
        <f>IFERROR(__xludf.DUMMYFUNCTION("""COMPUTED_VALUE"""),6.0)</f>
        <v>6</v>
      </c>
      <c r="Y318" s="189" t="str">
        <f>IFERROR(__xludf.DUMMYFUNCTION("""COMPUTED_VALUE"""),"2025-07-20T00:00:00.000Z")</f>
        <v>2025-07-20T00:00:00.000Z</v>
      </c>
      <c r="Z318" s="189" t="str">
        <f>IFERROR(__xludf.DUMMYFUNCTION("""COMPUTED_VALUE"""),"BBL PCIFIC_Lotus")</f>
        <v>BBL PCIFIC_Lotus</v>
      </c>
    </row>
    <row r="319">
      <c r="A319" s="189">
        <f>IFERROR(__xludf.DUMMYFUNCTION("""COMPUTED_VALUE"""),209295.0)</f>
        <v>209295</v>
      </c>
      <c r="B319" s="189">
        <f>IFERROR(__xludf.DUMMYFUNCTION("""COMPUTED_VALUE"""),92095.0)</f>
        <v>92095</v>
      </c>
      <c r="C319" s="189" t="str">
        <f>IFERROR(__xludf.DUMMYFUNCTION("""COMPUTED_VALUE"""),"Challengers League 2025 MENA: Resilience - GPI - Split 2 - Playoffs")</f>
        <v>Challengers League 2025 MENA: Resilience - GPI - Split 2 - Playoffs</v>
      </c>
      <c r="D319" s="189" t="str">
        <f>IFERROR(__xludf.DUMMYFUNCTION("""COMPUTED_VALUE"""),"Ascent")</f>
        <v>Ascent</v>
      </c>
      <c r="E319" s="189" t="str">
        <f>IFERROR(__xludf.DUMMYFUNCTION("""COMPUTED_VALUE"""),"Twisted Minds Esports")</f>
        <v>Twisted Minds Esports</v>
      </c>
      <c r="F319" s="189" t="str">
        <f>IFERROR(__xludf.DUMMYFUNCTION("""COMPUTED_VALUE"""),"The Ultimates")</f>
        <v>The Ultimates</v>
      </c>
      <c r="G319" s="189" t="str">
        <f>IFERROR(__xludf.DUMMYFUNCTION("""COMPUTED_VALUE"""),"Cypher,Sova,Omen,Yoru,Deadlock")</f>
        <v>Cypher,Sova,Omen,Yoru,Deadlock</v>
      </c>
      <c r="H319" s="189" t="str">
        <f>IFERROR(__xludf.DUMMYFUNCTION("""COMPUTED_VALUE"""),"Cypher,Sova,Omen,Yoru,Deadlock")</f>
        <v>Cypher,Sova,Omen,Yoru,Deadlock</v>
      </c>
      <c r="I319" s="189">
        <f>IFERROR(__xludf.DUMMYFUNCTION("""COMPUTED_VALUE"""),13.0)</f>
        <v>13</v>
      </c>
      <c r="J319" s="189">
        <f>IFERROR(__xludf.DUMMYFUNCTION("""COMPUTED_VALUE"""),6.0)</f>
        <v>6</v>
      </c>
      <c r="K319" s="189">
        <f>IFERROR(__xludf.DUMMYFUNCTION("""COMPUTED_VALUE"""),9.0)</f>
        <v>9</v>
      </c>
      <c r="L319" s="189">
        <f>IFERROR(__xludf.DUMMYFUNCTION("""COMPUTED_VALUE"""),3.0)</f>
        <v>3</v>
      </c>
      <c r="M319" s="189">
        <f>IFERROR(__xludf.DUMMYFUNCTION("""COMPUTED_VALUE"""),1.0)</f>
        <v>1</v>
      </c>
      <c r="N319" s="189">
        <f>IFERROR(__xludf.DUMMYFUNCTION("""COMPUTED_VALUE"""),1.0)</f>
        <v>1</v>
      </c>
      <c r="O319" s="189">
        <f>IFERROR(__xludf.DUMMYFUNCTION("""COMPUTED_VALUE"""),4.0)</f>
        <v>4</v>
      </c>
      <c r="P319" s="189">
        <f>IFERROR(__xludf.DUMMYFUNCTION("""COMPUTED_VALUE"""),3.0)</f>
        <v>3</v>
      </c>
      <c r="Q319" s="189">
        <f>IFERROR(__xludf.DUMMYFUNCTION("""COMPUTED_VALUE"""),9.0)</f>
        <v>9</v>
      </c>
      <c r="R319" s="189">
        <f>IFERROR(__xludf.DUMMYFUNCTION("""COMPUTED_VALUE"""),3.0)</f>
        <v>3</v>
      </c>
      <c r="S319" s="189">
        <f>IFERROR(__xludf.DUMMYFUNCTION("""COMPUTED_VALUE"""),0.0)</f>
        <v>0</v>
      </c>
      <c r="T319" s="189">
        <f>IFERROR(__xludf.DUMMYFUNCTION("""COMPUTED_VALUE"""),0.0)</f>
        <v>0</v>
      </c>
      <c r="U319" s="189">
        <f>IFERROR(__xludf.DUMMYFUNCTION("""COMPUTED_VALUE"""),3.0)</f>
        <v>3</v>
      </c>
      <c r="V319" s="189">
        <f>IFERROR(__xludf.DUMMYFUNCTION("""COMPUTED_VALUE"""),9.0)</f>
        <v>9</v>
      </c>
      <c r="W319" s="189">
        <f>IFERROR(__xludf.DUMMYFUNCTION("""COMPUTED_VALUE"""),3.0)</f>
        <v>3</v>
      </c>
      <c r="X319" s="189">
        <f>IFERROR(__xludf.DUMMYFUNCTION("""COMPUTED_VALUE"""),4.0)</f>
        <v>4</v>
      </c>
      <c r="Y319" s="189" t="str">
        <f>IFERROR(__xludf.DUMMYFUNCTION("""COMPUTED_VALUE"""),"2025-07-14T00:00:00.000Z")</f>
        <v>2025-07-14T00:00:00.000Z</v>
      </c>
      <c r="Z319" s="189" t="str">
        <f>IFERROR(__xludf.DUMMYFUNCTION("""COMPUTED_VALUE"""),"Twisted Minds Esports_Ascent")</f>
        <v>Twisted Minds Esports_Ascent</v>
      </c>
    </row>
    <row r="320">
      <c r="A320" s="189">
        <f>IFERROR(__xludf.DUMMYFUNCTION("""COMPUTED_VALUE"""),209294.0)</f>
        <v>209294</v>
      </c>
      <c r="B320" s="189">
        <f>IFERROR(__xludf.DUMMYFUNCTION("""COMPUTED_VALUE"""),92095.0)</f>
        <v>92095</v>
      </c>
      <c r="C320" s="189" t="str">
        <f>IFERROR(__xludf.DUMMYFUNCTION("""COMPUTED_VALUE"""),"Challengers League 2025 MENA: Resilience - GPI - Split 2 - Playoffs")</f>
        <v>Challengers League 2025 MENA: Resilience - GPI - Split 2 - Playoffs</v>
      </c>
      <c r="D320" s="189" t="str">
        <f>IFERROR(__xludf.DUMMYFUNCTION("""COMPUTED_VALUE"""),"Haven")</f>
        <v>Haven</v>
      </c>
      <c r="E320" s="189" t="str">
        <f>IFERROR(__xludf.DUMMYFUNCTION("""COMPUTED_VALUE"""),"Twisted Minds Esports")</f>
        <v>Twisted Minds Esports</v>
      </c>
      <c r="F320" s="189" t="str">
        <f>IFERROR(__xludf.DUMMYFUNCTION("""COMPUTED_VALUE"""),"The Ultimates")</f>
        <v>The Ultimates</v>
      </c>
      <c r="G320" s="189" t="str">
        <f>IFERROR(__xludf.DUMMYFUNCTION("""COMPUTED_VALUE"""),"Breach,Cypher,Sova,Omen,Jett")</f>
        <v>Breach,Cypher,Sova,Omen,Jett</v>
      </c>
      <c r="H320" s="189" t="str">
        <f>IFERROR(__xludf.DUMMYFUNCTION("""COMPUTED_VALUE"""),"Breach,Cypher,Sova,Omen,Neon")</f>
        <v>Breach,Cypher,Sova,Omen,Neon</v>
      </c>
      <c r="I320" s="189">
        <f>IFERROR(__xludf.DUMMYFUNCTION("""COMPUTED_VALUE"""),6.0)</f>
        <v>6</v>
      </c>
      <c r="J320" s="189">
        <f>IFERROR(__xludf.DUMMYFUNCTION("""COMPUTED_VALUE"""),13.0)</f>
        <v>13</v>
      </c>
      <c r="K320" s="189">
        <f>IFERROR(__xludf.DUMMYFUNCTION("""COMPUTED_VALUE"""),3.0)</f>
        <v>3</v>
      </c>
      <c r="L320" s="189">
        <f>IFERROR(__xludf.DUMMYFUNCTION("""COMPUTED_VALUE"""),9.0)</f>
        <v>9</v>
      </c>
      <c r="M320" s="189">
        <f>IFERROR(__xludf.DUMMYFUNCTION("""COMPUTED_VALUE"""),1.0)</f>
        <v>1</v>
      </c>
      <c r="N320" s="189">
        <f>IFERROR(__xludf.DUMMYFUNCTION("""COMPUTED_VALUE"""),0.0)</f>
        <v>0</v>
      </c>
      <c r="O320" s="189">
        <f>IFERROR(__xludf.DUMMYFUNCTION("""COMPUTED_VALUE"""),3.0)</f>
        <v>3</v>
      </c>
      <c r="P320" s="189">
        <f>IFERROR(__xludf.DUMMYFUNCTION("""COMPUTED_VALUE"""),4.0)</f>
        <v>4</v>
      </c>
      <c r="Q320" s="189">
        <f>IFERROR(__xludf.DUMMYFUNCTION("""COMPUTED_VALUE"""),3.0)</f>
        <v>3</v>
      </c>
      <c r="R320" s="189">
        <f>IFERROR(__xludf.DUMMYFUNCTION("""COMPUTED_VALUE"""),9.0)</f>
        <v>9</v>
      </c>
      <c r="S320" s="189">
        <f>IFERROR(__xludf.DUMMYFUNCTION("""COMPUTED_VALUE"""),1.0)</f>
        <v>1</v>
      </c>
      <c r="T320" s="189">
        <f>IFERROR(__xludf.DUMMYFUNCTION("""COMPUTED_VALUE"""),0.0)</f>
        <v>0</v>
      </c>
      <c r="U320" s="189">
        <f>IFERROR(__xludf.DUMMYFUNCTION("""COMPUTED_VALUE"""),9.0)</f>
        <v>9</v>
      </c>
      <c r="V320" s="189">
        <f>IFERROR(__xludf.DUMMYFUNCTION("""COMPUTED_VALUE"""),3.0)</f>
        <v>3</v>
      </c>
      <c r="W320" s="189">
        <f>IFERROR(__xludf.DUMMYFUNCTION("""COMPUTED_VALUE"""),4.0)</f>
        <v>4</v>
      </c>
      <c r="X320" s="189">
        <f>IFERROR(__xludf.DUMMYFUNCTION("""COMPUTED_VALUE"""),3.0)</f>
        <v>3</v>
      </c>
      <c r="Y320" s="189" t="str">
        <f>IFERROR(__xludf.DUMMYFUNCTION("""COMPUTED_VALUE"""),"2025-07-14T00:00:00.000Z")</f>
        <v>2025-07-14T00:00:00.000Z</v>
      </c>
      <c r="Z320" s="189" t="str">
        <f>IFERROR(__xludf.DUMMYFUNCTION("""COMPUTED_VALUE"""),"Twisted Minds Esports_Haven")</f>
        <v>Twisted Minds Esports_Haven</v>
      </c>
    </row>
    <row r="321">
      <c r="A321" s="189">
        <f>IFERROR(__xludf.DUMMYFUNCTION("""COMPUTED_VALUE"""),210102.0)</f>
        <v>210102</v>
      </c>
      <c r="B321" s="189">
        <f>IFERROR(__xludf.DUMMYFUNCTION("""COMPUTED_VALUE"""),92406.0)</f>
        <v>92406</v>
      </c>
      <c r="C321" s="189" t="str">
        <f>IFERROR(__xludf.DUMMYFUNCTION("""COMPUTED_VALUE"""),"Challengers League 2025 NORTH EAST: Split 3 - Upper Swiss Phase")</f>
        <v>Challengers League 2025 NORTH EAST: Split 3 - Upper Swiss Phase</v>
      </c>
      <c r="D321" s="189" t="str">
        <f>IFERROR(__xludf.DUMMYFUNCTION("""COMPUTED_VALUE"""),"Lotus")</f>
        <v>Lotus</v>
      </c>
      <c r="E321" s="189" t="str">
        <f>IFERROR(__xludf.DUMMYFUNCTION("""COMPUTED_VALUE"""),"děti ulice")</f>
        <v>děti ulice</v>
      </c>
      <c r="F321" s="189" t="str">
        <f>IFERROR(__xludf.DUMMYFUNCTION("""COMPUTED_VALUE"""),"ESC Gaming")</f>
        <v>ESC Gaming</v>
      </c>
      <c r="G321" s="189" t="str">
        <f>IFERROR(__xludf.DUMMYFUNCTION("""COMPUTED_VALUE"""),"Raze,Killjoy,Viper,Omen,Fade")</f>
        <v>Raze,Killjoy,Viper,Omen,Fade</v>
      </c>
      <c r="H321" s="189" t="str">
        <f>IFERROR(__xludf.DUMMYFUNCTION("""COMPUTED_VALUE"""),"Breach,Sova,Viper,Omen,Neon")</f>
        <v>Breach,Sova,Viper,Omen,Neon</v>
      </c>
      <c r="I321" s="189">
        <f>IFERROR(__xludf.DUMMYFUNCTION("""COMPUTED_VALUE"""),16.0)</f>
        <v>16</v>
      </c>
      <c r="J321" s="189">
        <f>IFERROR(__xludf.DUMMYFUNCTION("""COMPUTED_VALUE"""),14.0)</f>
        <v>14</v>
      </c>
      <c r="K321" s="189">
        <f>IFERROR(__xludf.DUMMYFUNCTION("""COMPUTED_VALUE"""),4.0)</f>
        <v>4</v>
      </c>
      <c r="L321" s="189">
        <f>IFERROR(__xludf.DUMMYFUNCTION("""COMPUTED_VALUE"""),8.0)</f>
        <v>8</v>
      </c>
      <c r="M321" s="189">
        <f>IFERROR(__xludf.DUMMYFUNCTION("""COMPUTED_VALUE"""),0.0)</f>
        <v>0</v>
      </c>
      <c r="N321" s="189">
        <f>IFERROR(__xludf.DUMMYFUNCTION("""COMPUTED_VALUE"""),0.0)</f>
        <v>0</v>
      </c>
      <c r="O321" s="189">
        <f>IFERROR(__xludf.DUMMYFUNCTION("""COMPUTED_VALUE"""),9.0)</f>
        <v>9</v>
      </c>
      <c r="P321" s="189">
        <f>IFERROR(__xludf.DUMMYFUNCTION("""COMPUTED_VALUE"""),6.0)</f>
        <v>6</v>
      </c>
      <c r="Q321" s="189">
        <f>IFERROR(__xludf.DUMMYFUNCTION("""COMPUTED_VALUE"""),7.0)</f>
        <v>7</v>
      </c>
      <c r="R321" s="189">
        <f>IFERROR(__xludf.DUMMYFUNCTION("""COMPUTED_VALUE"""),8.0)</f>
        <v>8</v>
      </c>
      <c r="S321" s="189">
        <f>IFERROR(__xludf.DUMMYFUNCTION("""COMPUTED_VALUE"""),1.0)</f>
        <v>1</v>
      </c>
      <c r="T321" s="189">
        <f>IFERROR(__xludf.DUMMYFUNCTION("""COMPUTED_VALUE"""),1.0)</f>
        <v>1</v>
      </c>
      <c r="U321" s="189">
        <f>IFERROR(__xludf.DUMMYFUNCTION("""COMPUTED_VALUE"""),8.0)</f>
        <v>8</v>
      </c>
      <c r="V321" s="189">
        <f>IFERROR(__xludf.DUMMYFUNCTION("""COMPUTED_VALUE"""),7.0)</f>
        <v>7</v>
      </c>
      <c r="W321" s="189">
        <f>IFERROR(__xludf.DUMMYFUNCTION("""COMPUTED_VALUE"""),6.0)</f>
        <v>6</v>
      </c>
      <c r="X321" s="189">
        <f>IFERROR(__xludf.DUMMYFUNCTION("""COMPUTED_VALUE"""),9.0)</f>
        <v>9</v>
      </c>
      <c r="Y321" s="189" t="str">
        <f>IFERROR(__xludf.DUMMYFUNCTION("""COMPUTED_VALUE"""),"2025-07-14T00:00:00.000Z")</f>
        <v>2025-07-14T00:00:00.000Z</v>
      </c>
      <c r="Z321" s="189" t="str">
        <f>IFERROR(__xludf.DUMMYFUNCTION("""COMPUTED_VALUE"""),"děti ulice_Lotus")</f>
        <v>děti ulice_Lotus</v>
      </c>
    </row>
    <row r="322">
      <c r="A322" s="189">
        <f>IFERROR(__xludf.DUMMYFUNCTION("""COMPUTED_VALUE"""),210104.0)</f>
        <v>210104</v>
      </c>
      <c r="B322" s="189">
        <f>IFERROR(__xludf.DUMMYFUNCTION("""COMPUTED_VALUE"""),92408.0)</f>
        <v>92408</v>
      </c>
      <c r="C322" s="189" t="str">
        <f>IFERROR(__xludf.DUMMYFUNCTION("""COMPUTED_VALUE"""),"Challengers League 2025 NORTH EAST: Split 3 - Upper Swiss Phase")</f>
        <v>Challengers League 2025 NORTH EAST: Split 3 - Upper Swiss Phase</v>
      </c>
      <c r="D322" s="189" t="str">
        <f>IFERROR(__xludf.DUMMYFUNCTION("""COMPUTED_VALUE"""),"Lotus")</f>
        <v>Lotus</v>
      </c>
      <c r="E322" s="189" t="str">
        <f>IFERROR(__xludf.DUMMYFUNCTION("""COMPUTED_VALUE"""),"Boars Gaming")</f>
        <v>Boars Gaming</v>
      </c>
      <c r="F322" s="189" t="str">
        <f>IFERROR(__xludf.DUMMYFUNCTION("""COMPUTED_VALUE"""),"Team Liquid Academy")</f>
        <v>Team Liquid Academy</v>
      </c>
      <c r="G322" s="189" t="str">
        <f>IFERROR(__xludf.DUMMYFUNCTION("""COMPUTED_VALUE"""),"Breach,Cypher,Omen,Neon,Fade")</f>
        <v>Breach,Cypher,Omen,Neon,Fade</v>
      </c>
      <c r="H322" s="189" t="str">
        <f>IFERROR(__xludf.DUMMYFUNCTION("""COMPUTED_VALUE"""),"Raze,Viper,Omen,Fade,Vyse")</f>
        <v>Raze,Viper,Omen,Fade,Vyse</v>
      </c>
      <c r="I322" s="189">
        <f>IFERROR(__xludf.DUMMYFUNCTION("""COMPUTED_VALUE"""),13.0)</f>
        <v>13</v>
      </c>
      <c r="J322" s="189">
        <f>IFERROR(__xludf.DUMMYFUNCTION("""COMPUTED_VALUE"""),7.0)</f>
        <v>7</v>
      </c>
      <c r="K322" s="189">
        <f>IFERROR(__xludf.DUMMYFUNCTION("""COMPUTED_VALUE"""),5.0)</f>
        <v>5</v>
      </c>
      <c r="L322" s="189">
        <f>IFERROR(__xludf.DUMMYFUNCTION("""COMPUTED_VALUE"""),7.0)</f>
        <v>7</v>
      </c>
      <c r="M322" s="189">
        <f>IFERROR(__xludf.DUMMYFUNCTION("""COMPUTED_VALUE"""),0.0)</f>
        <v>0</v>
      </c>
      <c r="N322" s="189">
        <f>IFERROR(__xludf.DUMMYFUNCTION("""COMPUTED_VALUE"""),1.0)</f>
        <v>1</v>
      </c>
      <c r="O322" s="189">
        <f>IFERROR(__xludf.DUMMYFUNCTION("""COMPUTED_VALUE"""),5.0)</f>
        <v>5</v>
      </c>
      <c r="P322" s="189">
        <f>IFERROR(__xludf.DUMMYFUNCTION("""COMPUTED_VALUE"""),7.0)</f>
        <v>7</v>
      </c>
      <c r="Q322" s="189">
        <f>IFERROR(__xludf.DUMMYFUNCTION("""COMPUTED_VALUE"""),8.0)</f>
        <v>8</v>
      </c>
      <c r="R322" s="189">
        <f>IFERROR(__xludf.DUMMYFUNCTION("""COMPUTED_VALUE"""),0.0)</f>
        <v>0</v>
      </c>
      <c r="S322" s="189">
        <f>IFERROR(__xludf.DUMMYFUNCTION("""COMPUTED_VALUE"""),0.0)</f>
        <v>0</v>
      </c>
      <c r="T322" s="189">
        <f>IFERROR(__xludf.DUMMYFUNCTION("""COMPUTED_VALUE"""),1.0)</f>
        <v>1</v>
      </c>
      <c r="U322" s="189">
        <f>IFERROR(__xludf.DUMMYFUNCTION("""COMPUTED_VALUE"""),0.0)</f>
        <v>0</v>
      </c>
      <c r="V322" s="189">
        <f>IFERROR(__xludf.DUMMYFUNCTION("""COMPUTED_VALUE"""),8.0)</f>
        <v>8</v>
      </c>
      <c r="W322" s="189">
        <f>IFERROR(__xludf.DUMMYFUNCTION("""COMPUTED_VALUE"""),7.0)</f>
        <v>7</v>
      </c>
      <c r="X322" s="189">
        <f>IFERROR(__xludf.DUMMYFUNCTION("""COMPUTED_VALUE"""),5.0)</f>
        <v>5</v>
      </c>
      <c r="Y322" s="189" t="str">
        <f>IFERROR(__xludf.DUMMYFUNCTION("""COMPUTED_VALUE"""),"2025-07-14T00:00:00.000Z")</f>
        <v>2025-07-14T00:00:00.000Z</v>
      </c>
      <c r="Z322" s="189" t="str">
        <f>IFERROR(__xludf.DUMMYFUNCTION("""COMPUTED_VALUE"""),"Boars Gaming_Lotus")</f>
        <v>Boars Gaming_Lotus</v>
      </c>
    </row>
    <row r="323">
      <c r="A323" s="189">
        <f>IFERROR(__xludf.DUMMYFUNCTION("""COMPUTED_VALUE"""),209293.0)</f>
        <v>209293</v>
      </c>
      <c r="B323" s="189">
        <f>IFERROR(__xludf.DUMMYFUNCTION("""COMPUTED_VALUE"""),92095.0)</f>
        <v>92095</v>
      </c>
      <c r="C323" s="189" t="str">
        <f>IFERROR(__xludf.DUMMYFUNCTION("""COMPUTED_VALUE"""),"Challengers League 2025 MENA: Resilience - GPI - Split 2 - Playoffs")</f>
        <v>Challengers League 2025 MENA: Resilience - GPI - Split 2 - Playoffs</v>
      </c>
      <c r="D323" s="189" t="str">
        <f>IFERROR(__xludf.DUMMYFUNCTION("""COMPUTED_VALUE"""),"Lotus")</f>
        <v>Lotus</v>
      </c>
      <c r="E323" s="189" t="str">
        <f>IFERROR(__xludf.DUMMYFUNCTION("""COMPUTED_VALUE"""),"Twisted Minds Esports")</f>
        <v>Twisted Minds Esports</v>
      </c>
      <c r="F323" s="189" t="str">
        <f>IFERROR(__xludf.DUMMYFUNCTION("""COMPUTED_VALUE"""),"The Ultimates")</f>
        <v>The Ultimates</v>
      </c>
      <c r="G323" s="189" t="str">
        <f>IFERROR(__xludf.DUMMYFUNCTION("""COMPUTED_VALUE"""),"Raze,Killjoy,Viper,Omen,Fade")</f>
        <v>Raze,Killjoy,Viper,Omen,Fade</v>
      </c>
      <c r="H323" s="189" t="str">
        <f>IFERROR(__xludf.DUMMYFUNCTION("""COMPUTED_VALUE"""),"Breach,Cypher,Sova,Omen,Neon")</f>
        <v>Breach,Cypher,Sova,Omen,Neon</v>
      </c>
      <c r="I323" s="189">
        <f>IFERROR(__xludf.DUMMYFUNCTION("""COMPUTED_VALUE"""),13.0)</f>
        <v>13</v>
      </c>
      <c r="J323" s="189">
        <f>IFERROR(__xludf.DUMMYFUNCTION("""COMPUTED_VALUE"""),6.0)</f>
        <v>6</v>
      </c>
      <c r="K323" s="189">
        <f>IFERROR(__xludf.DUMMYFUNCTION("""COMPUTED_VALUE"""),8.0)</f>
        <v>8</v>
      </c>
      <c r="L323" s="189">
        <f>IFERROR(__xludf.DUMMYFUNCTION("""COMPUTED_VALUE"""),4.0)</f>
        <v>4</v>
      </c>
      <c r="M323" s="189">
        <f>IFERROR(__xludf.DUMMYFUNCTION("""COMPUTED_VALUE"""),1.0)</f>
        <v>1</v>
      </c>
      <c r="N323" s="189">
        <f>IFERROR(__xludf.DUMMYFUNCTION("""COMPUTED_VALUE"""),1.0)</f>
        <v>1</v>
      </c>
      <c r="O323" s="189">
        <f>IFERROR(__xludf.DUMMYFUNCTION("""COMPUTED_VALUE"""),5.0)</f>
        <v>5</v>
      </c>
      <c r="P323" s="189">
        <f>IFERROR(__xludf.DUMMYFUNCTION("""COMPUTED_VALUE"""),2.0)</f>
        <v>2</v>
      </c>
      <c r="Q323" s="189">
        <f>IFERROR(__xludf.DUMMYFUNCTION("""COMPUTED_VALUE"""),8.0)</f>
        <v>8</v>
      </c>
      <c r="R323" s="189">
        <f>IFERROR(__xludf.DUMMYFUNCTION("""COMPUTED_VALUE"""),4.0)</f>
        <v>4</v>
      </c>
      <c r="S323" s="189">
        <f>IFERROR(__xludf.DUMMYFUNCTION("""COMPUTED_VALUE"""),0.0)</f>
        <v>0</v>
      </c>
      <c r="T323" s="189">
        <f>IFERROR(__xludf.DUMMYFUNCTION("""COMPUTED_VALUE"""),0.0)</f>
        <v>0</v>
      </c>
      <c r="U323" s="189">
        <f>IFERROR(__xludf.DUMMYFUNCTION("""COMPUTED_VALUE"""),4.0)</f>
        <v>4</v>
      </c>
      <c r="V323" s="189">
        <f>IFERROR(__xludf.DUMMYFUNCTION("""COMPUTED_VALUE"""),8.0)</f>
        <v>8</v>
      </c>
      <c r="W323" s="189">
        <f>IFERROR(__xludf.DUMMYFUNCTION("""COMPUTED_VALUE"""),2.0)</f>
        <v>2</v>
      </c>
      <c r="X323" s="189">
        <f>IFERROR(__xludf.DUMMYFUNCTION("""COMPUTED_VALUE"""),5.0)</f>
        <v>5</v>
      </c>
      <c r="Y323" s="189" t="str">
        <f>IFERROR(__xludf.DUMMYFUNCTION("""COMPUTED_VALUE"""),"2025-07-14T00:00:00.000Z")</f>
        <v>2025-07-14T00:00:00.000Z</v>
      </c>
      <c r="Z323" s="189" t="str">
        <f>IFERROR(__xludf.DUMMYFUNCTION("""COMPUTED_VALUE"""),"Twisted Minds Esports_Lotus")</f>
        <v>Twisted Minds Esports_Lotus</v>
      </c>
    </row>
    <row r="324">
      <c r="A324" s="189">
        <f>IFERROR(__xludf.DUMMYFUNCTION("""COMPUTED_VALUE"""),209861.0)</f>
        <v>209861</v>
      </c>
      <c r="B324" s="189">
        <f>IFERROR(__xludf.DUMMYFUNCTION("""COMPUTED_VALUE"""),92323.0)</f>
        <v>92323</v>
      </c>
      <c r="C324" s="189" t="str">
        <f>IFERROR(__xludf.DUMMYFUNCTION("""COMPUTED_VALUE"""),"Challengers League 2025 NORTH EAST: Split 3 - Upper Swiss Phase")</f>
        <v>Challengers League 2025 NORTH EAST: Split 3 - Upper Swiss Phase</v>
      </c>
      <c r="D324" s="189" t="str">
        <f>IFERROR(__xludf.DUMMYFUNCTION("""COMPUTED_VALUE"""),"Ascent")</f>
        <v>Ascent</v>
      </c>
      <c r="E324" s="189" t="str">
        <f>IFERROR(__xludf.DUMMYFUNCTION("""COMPUTED_VALUE"""),"děti ulice")</f>
        <v>děti ulice</v>
      </c>
      <c r="F324" s="189" t="str">
        <f>IFERROR(__xludf.DUMMYFUNCTION("""COMPUTED_VALUE"""),"Bitfix Gaming")</f>
        <v>Bitfix Gaming</v>
      </c>
      <c r="G324" s="189" t="str">
        <f>IFERROR(__xludf.DUMMYFUNCTION("""COMPUTED_VALUE"""),"Sova,Killjoy,Omen,Jett,KAY/O")</f>
        <v>Sova,Killjoy,Omen,Jett,KAY/O</v>
      </c>
      <c r="H324" s="189" t="str">
        <f>IFERROR(__xludf.DUMMYFUNCTION("""COMPUTED_VALUE"""),"Cypher,Sova,Omen,Yoru,Deadlock")</f>
        <v>Cypher,Sova,Omen,Yoru,Deadlock</v>
      </c>
      <c r="I324" s="189">
        <f>IFERROR(__xludf.DUMMYFUNCTION("""COMPUTED_VALUE"""),13.0)</f>
        <v>13</v>
      </c>
      <c r="J324" s="189">
        <f>IFERROR(__xludf.DUMMYFUNCTION("""COMPUTED_VALUE"""),5.0)</f>
        <v>5</v>
      </c>
      <c r="K324" s="189">
        <f>IFERROR(__xludf.DUMMYFUNCTION("""COMPUTED_VALUE"""),9.0)</f>
        <v>9</v>
      </c>
      <c r="L324" s="189">
        <f>IFERROR(__xludf.DUMMYFUNCTION("""COMPUTED_VALUE"""),3.0)</f>
        <v>3</v>
      </c>
      <c r="M324" s="189">
        <f>IFERROR(__xludf.DUMMYFUNCTION("""COMPUTED_VALUE"""),0.0)</f>
        <v>0</v>
      </c>
      <c r="N324" s="189">
        <f>IFERROR(__xludf.DUMMYFUNCTION("""COMPUTED_VALUE"""),1.0)</f>
        <v>1</v>
      </c>
      <c r="O324" s="189">
        <f>IFERROR(__xludf.DUMMYFUNCTION("""COMPUTED_VALUE"""),4.0)</f>
        <v>4</v>
      </c>
      <c r="P324" s="189">
        <f>IFERROR(__xludf.DUMMYFUNCTION("""COMPUTED_VALUE"""),2.0)</f>
        <v>2</v>
      </c>
      <c r="Q324" s="189">
        <f>IFERROR(__xludf.DUMMYFUNCTION("""COMPUTED_VALUE"""),9.0)</f>
        <v>9</v>
      </c>
      <c r="R324" s="189">
        <f>IFERROR(__xludf.DUMMYFUNCTION("""COMPUTED_VALUE"""),3.0)</f>
        <v>3</v>
      </c>
      <c r="S324" s="189">
        <f>IFERROR(__xludf.DUMMYFUNCTION("""COMPUTED_VALUE"""),0.0)</f>
        <v>0</v>
      </c>
      <c r="T324" s="189">
        <f>IFERROR(__xludf.DUMMYFUNCTION("""COMPUTED_VALUE"""),1.0)</f>
        <v>1</v>
      </c>
      <c r="U324" s="189">
        <f>IFERROR(__xludf.DUMMYFUNCTION("""COMPUTED_VALUE"""),3.0)</f>
        <v>3</v>
      </c>
      <c r="V324" s="189">
        <f>IFERROR(__xludf.DUMMYFUNCTION("""COMPUTED_VALUE"""),9.0)</f>
        <v>9</v>
      </c>
      <c r="W324" s="189">
        <f>IFERROR(__xludf.DUMMYFUNCTION("""COMPUTED_VALUE"""),2.0)</f>
        <v>2</v>
      </c>
      <c r="X324" s="189">
        <f>IFERROR(__xludf.DUMMYFUNCTION("""COMPUTED_VALUE"""),4.0)</f>
        <v>4</v>
      </c>
      <c r="Y324" s="189" t="str">
        <f>IFERROR(__xludf.DUMMYFUNCTION("""COMPUTED_VALUE"""),"2025-07-14T00:00:00.000Z")</f>
        <v>2025-07-14T00:00:00.000Z</v>
      </c>
      <c r="Z324" s="189" t="str">
        <f>IFERROR(__xludf.DUMMYFUNCTION("""COMPUTED_VALUE"""),"děti ulice_Ascent")</f>
        <v>děti ulice_Ascent</v>
      </c>
    </row>
    <row r="325">
      <c r="A325" s="189">
        <f>IFERROR(__xludf.DUMMYFUNCTION("""COMPUTED_VALUE"""),209348.0)</f>
        <v>209348</v>
      </c>
      <c r="B325" s="189">
        <f>IFERROR(__xludf.DUMMYFUNCTION("""COMPUTED_VALUE"""),92128.0)</f>
        <v>92128</v>
      </c>
      <c r="C325" s="189" t="str">
        <f>IFERROR(__xludf.DUMMYFUNCTION("""COMPUTED_VALUE"""),"Challengers League 2025 NORTH EAST: Split 3 - Upper Swiss Phase")</f>
        <v>Challengers League 2025 NORTH EAST: Split 3 - Upper Swiss Phase</v>
      </c>
      <c r="D325" s="189" t="str">
        <f>IFERROR(__xludf.DUMMYFUNCTION("""COMPUTED_VALUE"""),"Sunset")</f>
        <v>Sunset</v>
      </c>
      <c r="E325" s="189" t="str">
        <f>IFERROR(__xludf.DUMMYFUNCTION("""COMPUTED_VALUE"""),"Boars Gaming")</f>
        <v>Boars Gaming</v>
      </c>
      <c r="F325" s="189" t="str">
        <f>IFERROR(__xludf.DUMMYFUNCTION("""COMPUTED_VALUE"""),"Formulation Gaming")</f>
        <v>Formulation Gaming</v>
      </c>
      <c r="G325" s="189" t="str">
        <f>IFERROR(__xludf.DUMMYFUNCTION("""COMPUTED_VALUE"""),"Cypher,Sova,Omen,KAY/O,Neon")</f>
        <v>Cypher,Sova,Omen,KAY/O,Neon</v>
      </c>
      <c r="H325" s="189" t="str">
        <f>IFERROR(__xludf.DUMMYFUNCTION("""COMPUTED_VALUE"""),"Cypher,Sova,Viper,Omen,Neon")</f>
        <v>Cypher,Sova,Viper,Omen,Neon</v>
      </c>
      <c r="I325" s="189">
        <f>IFERROR(__xludf.DUMMYFUNCTION("""COMPUTED_VALUE"""),2.0)</f>
        <v>2</v>
      </c>
      <c r="J325" s="189">
        <f>IFERROR(__xludf.DUMMYFUNCTION("""COMPUTED_VALUE"""),13.0)</f>
        <v>13</v>
      </c>
      <c r="K325" s="189">
        <f>IFERROR(__xludf.DUMMYFUNCTION("""COMPUTED_VALUE"""),2.0)</f>
        <v>2</v>
      </c>
      <c r="L325" s="189">
        <f>IFERROR(__xludf.DUMMYFUNCTION("""COMPUTED_VALUE"""),10.0)</f>
        <v>10</v>
      </c>
      <c r="M325" s="189">
        <f>IFERROR(__xludf.DUMMYFUNCTION("""COMPUTED_VALUE"""),0.0)</f>
        <v>0</v>
      </c>
      <c r="N325" s="189">
        <f>IFERROR(__xludf.DUMMYFUNCTION("""COMPUTED_VALUE"""),0.0)</f>
        <v>0</v>
      </c>
      <c r="O325" s="189">
        <f>IFERROR(__xludf.DUMMYFUNCTION("""COMPUTED_VALUE"""),2.0)</f>
        <v>2</v>
      </c>
      <c r="P325" s="189">
        <f>IFERROR(__xludf.DUMMYFUNCTION("""COMPUTED_VALUE"""),10.0)</f>
        <v>10</v>
      </c>
      <c r="Q325" s="189">
        <f>IFERROR(__xludf.DUMMYFUNCTION("""COMPUTED_VALUE"""),0.0)</f>
        <v>0</v>
      </c>
      <c r="R325" s="189">
        <f>IFERROR(__xludf.DUMMYFUNCTION("""COMPUTED_VALUE"""),3.0)</f>
        <v>3</v>
      </c>
      <c r="S325" s="189">
        <f>IFERROR(__xludf.DUMMYFUNCTION("""COMPUTED_VALUE"""),1.0)</f>
        <v>1</v>
      </c>
      <c r="T325" s="189">
        <f>IFERROR(__xludf.DUMMYFUNCTION("""COMPUTED_VALUE"""),1.0)</f>
        <v>1</v>
      </c>
      <c r="U325" s="189">
        <f>IFERROR(__xludf.DUMMYFUNCTION("""COMPUTED_VALUE"""),3.0)</f>
        <v>3</v>
      </c>
      <c r="V325" s="189">
        <f>IFERROR(__xludf.DUMMYFUNCTION("""COMPUTED_VALUE"""),0.0)</f>
        <v>0</v>
      </c>
      <c r="W325" s="189">
        <f>IFERROR(__xludf.DUMMYFUNCTION("""COMPUTED_VALUE"""),10.0)</f>
        <v>10</v>
      </c>
      <c r="X325" s="189">
        <f>IFERROR(__xludf.DUMMYFUNCTION("""COMPUTED_VALUE"""),2.0)</f>
        <v>2</v>
      </c>
      <c r="Y325" s="189" t="str">
        <f>IFERROR(__xludf.DUMMYFUNCTION("""COMPUTED_VALUE"""),"2025-07-13T00:00:00.000Z")</f>
        <v>2025-07-13T00:00:00.000Z</v>
      </c>
      <c r="Z325" s="189" t="str">
        <f>IFERROR(__xludf.DUMMYFUNCTION("""COMPUTED_VALUE"""),"Boars Gaming_Sunset")</f>
        <v>Boars Gaming_Sunset</v>
      </c>
    </row>
    <row r="326">
      <c r="A326" s="189">
        <f>IFERROR(__xludf.DUMMYFUNCTION("""COMPUTED_VALUE"""),208380.0)</f>
        <v>208380</v>
      </c>
      <c r="B326" s="189">
        <f>IFERROR(__xludf.DUMMYFUNCTION("""COMPUTED_VALUE"""),91775.0)</f>
        <v>91775</v>
      </c>
      <c r="C326" s="189" t="str">
        <f>IFERROR(__xludf.DUMMYFUNCTION("""COMPUTED_VALUE"""),"Challengers League 2025 Türkiye Birlik: Split 3 - Group Stage")</f>
        <v>Challengers League 2025 Türkiye Birlik: Split 3 - Group Stage</v>
      </c>
      <c r="D326" s="189" t="str">
        <f>IFERROR(__xludf.DUMMYFUNCTION("""COMPUTED_VALUE"""),"Pearl")</f>
        <v>Pearl</v>
      </c>
      <c r="E326" s="189" t="str">
        <f>IFERROR(__xludf.DUMMYFUNCTION("""COMPUTED_VALUE"""),"ULF Esports")</f>
        <v>ULF Esports</v>
      </c>
      <c r="F326" s="189" t="str">
        <f>IFERROR(__xludf.DUMMYFUNCTION("""COMPUTED_VALUE"""),"Eternal Fire")</f>
        <v>Eternal Fire</v>
      </c>
      <c r="G326" s="189" t="str">
        <f>IFERROR(__xludf.DUMMYFUNCTION("""COMPUTED_VALUE"""),"Cypher,Sova,Yoru,Astra,Neon")</f>
        <v>Cypher,Sova,Yoru,Astra,Neon</v>
      </c>
      <c r="H326" s="189" t="str">
        <f>IFERROR(__xludf.DUMMYFUNCTION("""COMPUTED_VALUE"""),"Cypher,Sova,Yoru,Astra,Iso")</f>
        <v>Cypher,Sova,Yoru,Astra,Iso</v>
      </c>
      <c r="I326" s="189">
        <f>IFERROR(__xludf.DUMMYFUNCTION("""COMPUTED_VALUE"""),13.0)</f>
        <v>13</v>
      </c>
      <c r="J326" s="189">
        <f>IFERROR(__xludf.DUMMYFUNCTION("""COMPUTED_VALUE"""),8.0)</f>
        <v>8</v>
      </c>
      <c r="K326" s="189">
        <f>IFERROR(__xludf.DUMMYFUNCTION("""COMPUTED_VALUE"""),6.0)</f>
        <v>6</v>
      </c>
      <c r="L326" s="189">
        <f>IFERROR(__xludf.DUMMYFUNCTION("""COMPUTED_VALUE"""),6.0)</f>
        <v>6</v>
      </c>
      <c r="M326" s="189">
        <f>IFERROR(__xludf.DUMMYFUNCTION("""COMPUTED_VALUE"""),0.0)</f>
        <v>0</v>
      </c>
      <c r="N326" s="189">
        <f>IFERROR(__xludf.DUMMYFUNCTION("""COMPUTED_VALUE"""),1.0)</f>
        <v>1</v>
      </c>
      <c r="O326" s="189">
        <f>IFERROR(__xludf.DUMMYFUNCTION("""COMPUTED_VALUE"""),6.0)</f>
        <v>6</v>
      </c>
      <c r="P326" s="189">
        <f>IFERROR(__xludf.DUMMYFUNCTION("""COMPUTED_VALUE"""),6.0)</f>
        <v>6</v>
      </c>
      <c r="Q326" s="189">
        <f>IFERROR(__xludf.DUMMYFUNCTION("""COMPUTED_VALUE"""),7.0)</f>
        <v>7</v>
      </c>
      <c r="R326" s="189">
        <f>IFERROR(__xludf.DUMMYFUNCTION("""COMPUTED_VALUE"""),2.0)</f>
        <v>2</v>
      </c>
      <c r="S326" s="189">
        <f>IFERROR(__xludf.DUMMYFUNCTION("""COMPUTED_VALUE"""),0.0)</f>
        <v>0</v>
      </c>
      <c r="T326" s="189">
        <f>IFERROR(__xludf.DUMMYFUNCTION("""COMPUTED_VALUE"""),1.0)</f>
        <v>1</v>
      </c>
      <c r="U326" s="189">
        <f>IFERROR(__xludf.DUMMYFUNCTION("""COMPUTED_VALUE"""),2.0)</f>
        <v>2</v>
      </c>
      <c r="V326" s="189">
        <f>IFERROR(__xludf.DUMMYFUNCTION("""COMPUTED_VALUE"""),7.0)</f>
        <v>7</v>
      </c>
      <c r="W326" s="189">
        <f>IFERROR(__xludf.DUMMYFUNCTION("""COMPUTED_VALUE"""),6.0)</f>
        <v>6</v>
      </c>
      <c r="X326" s="189">
        <f>IFERROR(__xludf.DUMMYFUNCTION("""COMPUTED_VALUE"""),6.0)</f>
        <v>6</v>
      </c>
      <c r="Y326" s="189" t="str">
        <f>IFERROR(__xludf.DUMMYFUNCTION("""COMPUTED_VALUE"""),"2025-07-12T00:00:00.000Z")</f>
        <v>2025-07-12T00:00:00.000Z</v>
      </c>
      <c r="Z326" s="189" t="str">
        <f>IFERROR(__xludf.DUMMYFUNCTION("""COMPUTED_VALUE"""),"ULF Esports_Pearl")</f>
        <v>ULF Esports_Pearl</v>
      </c>
    </row>
    <row r="327">
      <c r="A327" s="189">
        <f>IFERROR(__xludf.DUMMYFUNCTION("""COMPUTED_VALUE"""),208379.0)</f>
        <v>208379</v>
      </c>
      <c r="B327" s="189">
        <f>IFERROR(__xludf.DUMMYFUNCTION("""COMPUTED_VALUE"""),91775.0)</f>
        <v>91775</v>
      </c>
      <c r="C327" s="189" t="str">
        <f>IFERROR(__xludf.DUMMYFUNCTION("""COMPUTED_VALUE"""),"Challengers League 2025 Türkiye Birlik: Split 3 - Group Stage")</f>
        <v>Challengers League 2025 Türkiye Birlik: Split 3 - Group Stage</v>
      </c>
      <c r="D327" s="189" t="str">
        <f>IFERROR(__xludf.DUMMYFUNCTION("""COMPUTED_VALUE"""),"Lotus")</f>
        <v>Lotus</v>
      </c>
      <c r="E327" s="189" t="str">
        <f>IFERROR(__xludf.DUMMYFUNCTION("""COMPUTED_VALUE"""),"ULF Esports")</f>
        <v>ULF Esports</v>
      </c>
      <c r="F327" s="189" t="str">
        <f>IFERROR(__xludf.DUMMYFUNCTION("""COMPUTED_VALUE"""),"Eternal Fire")</f>
        <v>Eternal Fire</v>
      </c>
      <c r="G327" s="189" t="str">
        <f>IFERROR(__xludf.DUMMYFUNCTION("""COMPUTED_VALUE"""),"Raze,Omen,Yoru,Fade,Vyse")</f>
        <v>Raze,Omen,Yoru,Fade,Vyse</v>
      </c>
      <c r="H327" s="189" t="str">
        <f>IFERROR(__xludf.DUMMYFUNCTION("""COMPUTED_VALUE"""),"Viper,Omen,Yoru,Fade,Iso")</f>
        <v>Viper,Omen,Yoru,Fade,Iso</v>
      </c>
      <c r="I327" s="189">
        <f>IFERROR(__xludf.DUMMYFUNCTION("""COMPUTED_VALUE"""),13.0)</f>
        <v>13</v>
      </c>
      <c r="J327" s="189">
        <f>IFERROR(__xludf.DUMMYFUNCTION("""COMPUTED_VALUE"""),3.0)</f>
        <v>3</v>
      </c>
      <c r="K327" s="189">
        <f>IFERROR(__xludf.DUMMYFUNCTION("""COMPUTED_VALUE"""),10.0)</f>
        <v>10</v>
      </c>
      <c r="L327" s="189">
        <f>IFERROR(__xludf.DUMMYFUNCTION("""COMPUTED_VALUE"""),2.0)</f>
        <v>2</v>
      </c>
      <c r="M327" s="189">
        <f>IFERROR(__xludf.DUMMYFUNCTION("""COMPUTED_VALUE"""),0.0)</f>
        <v>0</v>
      </c>
      <c r="N327" s="189">
        <f>IFERROR(__xludf.DUMMYFUNCTION("""COMPUTED_VALUE"""),1.0)</f>
        <v>1</v>
      </c>
      <c r="O327" s="189">
        <f>IFERROR(__xludf.DUMMYFUNCTION("""COMPUTED_VALUE"""),10.0)</f>
        <v>10</v>
      </c>
      <c r="P327" s="189">
        <f>IFERROR(__xludf.DUMMYFUNCTION("""COMPUTED_VALUE"""),2.0)</f>
        <v>2</v>
      </c>
      <c r="Q327" s="189">
        <f>IFERROR(__xludf.DUMMYFUNCTION("""COMPUTED_VALUE"""),3.0)</f>
        <v>3</v>
      </c>
      <c r="R327" s="189">
        <f>IFERROR(__xludf.DUMMYFUNCTION("""COMPUTED_VALUE"""),1.0)</f>
        <v>1</v>
      </c>
      <c r="S327" s="189">
        <f>IFERROR(__xludf.DUMMYFUNCTION("""COMPUTED_VALUE"""),0.0)</f>
        <v>0</v>
      </c>
      <c r="T327" s="189">
        <f>IFERROR(__xludf.DUMMYFUNCTION("""COMPUTED_VALUE"""),1.0)</f>
        <v>1</v>
      </c>
      <c r="U327" s="189">
        <f>IFERROR(__xludf.DUMMYFUNCTION("""COMPUTED_VALUE"""),1.0)</f>
        <v>1</v>
      </c>
      <c r="V327" s="189">
        <f>IFERROR(__xludf.DUMMYFUNCTION("""COMPUTED_VALUE"""),3.0)</f>
        <v>3</v>
      </c>
      <c r="W327" s="189">
        <f>IFERROR(__xludf.DUMMYFUNCTION("""COMPUTED_VALUE"""),2.0)</f>
        <v>2</v>
      </c>
      <c r="X327" s="189">
        <f>IFERROR(__xludf.DUMMYFUNCTION("""COMPUTED_VALUE"""),10.0)</f>
        <v>10</v>
      </c>
      <c r="Y327" s="189" t="str">
        <f>IFERROR(__xludf.DUMMYFUNCTION("""COMPUTED_VALUE"""),"2025-07-12T00:00:00.000Z")</f>
        <v>2025-07-12T00:00:00.000Z</v>
      </c>
      <c r="Z327" s="189" t="str">
        <f>IFERROR(__xludf.DUMMYFUNCTION("""COMPUTED_VALUE"""),"ULF Esports_Lotus")</f>
        <v>ULF Esports_Lotus</v>
      </c>
    </row>
    <row r="328">
      <c r="A328" s="189">
        <f>IFERROR(__xludf.DUMMYFUNCTION("""COMPUTED_VALUE"""),209342.0)</f>
        <v>209342</v>
      </c>
      <c r="B328" s="189">
        <f>IFERROR(__xludf.DUMMYFUNCTION("""COMPUTED_VALUE"""),92122.0)</f>
        <v>92122</v>
      </c>
      <c r="C328" s="189" t="str">
        <f>IFERROR(__xludf.DUMMYFUNCTION("""COMPUTED_VALUE"""),"Challengers League 2025 NORTH EAST: Split 3 - Upper Swiss Phase")</f>
        <v>Challengers League 2025 NORTH EAST: Split 3 - Upper Swiss Phase</v>
      </c>
      <c r="D328" s="189" t="str">
        <f>IFERROR(__xludf.DUMMYFUNCTION("""COMPUTED_VALUE"""),"Ascent")</f>
        <v>Ascent</v>
      </c>
      <c r="E328" s="189" t="str">
        <f>IFERROR(__xludf.DUMMYFUNCTION("""COMPUTED_VALUE"""),"děti ulice")</f>
        <v>děti ulice</v>
      </c>
      <c r="F328" s="189" t="str">
        <f>IFERROR(__xludf.DUMMYFUNCTION("""COMPUTED_VALUE"""),"Enterprise Esports")</f>
        <v>Enterprise Esports</v>
      </c>
      <c r="G328" s="189" t="str">
        <f>IFERROR(__xludf.DUMMYFUNCTION("""COMPUTED_VALUE"""),"Sova,Killjoy,Omen,Jett,KAY/O")</f>
        <v>Sova,Killjoy,Omen,Jett,KAY/O</v>
      </c>
      <c r="H328" s="189" t="str">
        <f>IFERROR(__xludf.DUMMYFUNCTION("""COMPUTED_VALUE"""),"Cypher,Sova,Omen,Jett,KAY/O")</f>
        <v>Cypher,Sova,Omen,Jett,KAY/O</v>
      </c>
      <c r="I328" s="189">
        <f>IFERROR(__xludf.DUMMYFUNCTION("""COMPUTED_VALUE"""),8.0)</f>
        <v>8</v>
      </c>
      <c r="J328" s="189">
        <f>IFERROR(__xludf.DUMMYFUNCTION("""COMPUTED_VALUE"""),13.0)</f>
        <v>13</v>
      </c>
      <c r="K328" s="189">
        <f>IFERROR(__xludf.DUMMYFUNCTION("""COMPUTED_VALUE"""),3.0)</f>
        <v>3</v>
      </c>
      <c r="L328" s="189">
        <f>IFERROR(__xludf.DUMMYFUNCTION("""COMPUTED_VALUE"""),9.0)</f>
        <v>9</v>
      </c>
      <c r="M328" s="189">
        <f>IFERROR(__xludf.DUMMYFUNCTION("""COMPUTED_VALUE"""),0.0)</f>
        <v>0</v>
      </c>
      <c r="N328" s="189">
        <f>IFERROR(__xludf.DUMMYFUNCTION("""COMPUTED_VALUE"""),1.0)</f>
        <v>1</v>
      </c>
      <c r="O328" s="189">
        <f>IFERROR(__xludf.DUMMYFUNCTION("""COMPUTED_VALUE"""),3.0)</f>
        <v>3</v>
      </c>
      <c r="P328" s="189">
        <f>IFERROR(__xludf.DUMMYFUNCTION("""COMPUTED_VALUE"""),9.0)</f>
        <v>9</v>
      </c>
      <c r="Q328" s="189">
        <f>IFERROR(__xludf.DUMMYFUNCTION("""COMPUTED_VALUE"""),5.0)</f>
        <v>5</v>
      </c>
      <c r="R328" s="189">
        <f>IFERROR(__xludf.DUMMYFUNCTION("""COMPUTED_VALUE"""),4.0)</f>
        <v>4</v>
      </c>
      <c r="S328" s="189">
        <f>IFERROR(__xludf.DUMMYFUNCTION("""COMPUTED_VALUE"""),0.0)</f>
        <v>0</v>
      </c>
      <c r="T328" s="189">
        <f>IFERROR(__xludf.DUMMYFUNCTION("""COMPUTED_VALUE"""),1.0)</f>
        <v>1</v>
      </c>
      <c r="U328" s="189">
        <f>IFERROR(__xludf.DUMMYFUNCTION("""COMPUTED_VALUE"""),4.0)</f>
        <v>4</v>
      </c>
      <c r="V328" s="189">
        <f>IFERROR(__xludf.DUMMYFUNCTION("""COMPUTED_VALUE"""),5.0)</f>
        <v>5</v>
      </c>
      <c r="W328" s="189">
        <f>IFERROR(__xludf.DUMMYFUNCTION("""COMPUTED_VALUE"""),9.0)</f>
        <v>9</v>
      </c>
      <c r="X328" s="189">
        <f>IFERROR(__xludf.DUMMYFUNCTION("""COMPUTED_VALUE"""),3.0)</f>
        <v>3</v>
      </c>
      <c r="Y328" s="189" t="str">
        <f>IFERROR(__xludf.DUMMYFUNCTION("""COMPUTED_VALUE"""),"2025-07-12T00:00:00.000Z")</f>
        <v>2025-07-12T00:00:00.000Z</v>
      </c>
      <c r="Z328" s="189" t="str">
        <f>IFERROR(__xludf.DUMMYFUNCTION("""COMPUTED_VALUE"""),"děti ulice_Ascent")</f>
        <v>děti ulice_Ascent</v>
      </c>
    </row>
    <row r="329">
      <c r="A329" s="189">
        <f>IFERROR(__xludf.DUMMYFUNCTION("""COMPUTED_VALUE"""),207559.0)</f>
        <v>207559</v>
      </c>
      <c r="B329" s="189">
        <f>IFERROR(__xludf.DUMMYFUNCTION("""COMPUTED_VALUE"""),91447.0)</f>
        <v>91447</v>
      </c>
      <c r="C329" s="189" t="str">
        <f>IFERROR(__xludf.DUMMYFUNCTION("""COMPUTED_VALUE"""),"Challengers League 2025 Spain Rising: Split 3 - Group Stage")</f>
        <v>Challengers League 2025 Spain Rising: Split 3 - Group Stage</v>
      </c>
      <c r="D329" s="189" t="str">
        <f>IFERROR(__xludf.DUMMYFUNCTION("""COMPUTED_VALUE"""),"Ascent")</f>
        <v>Ascent</v>
      </c>
      <c r="E329" s="189" t="str">
        <f>IFERROR(__xludf.DUMMYFUNCTION("""COMPUTED_VALUE"""),"DNSTY")</f>
        <v>DNSTY</v>
      </c>
      <c r="F329" s="189" t="str">
        <f>IFERROR(__xludf.DUMMYFUNCTION("""COMPUTED_VALUE"""),"HGE Esports")</f>
        <v>HGE Esports</v>
      </c>
      <c r="G329" s="189" t="str">
        <f>IFERROR(__xludf.DUMMYFUNCTION("""COMPUTED_VALUE"""),"Sova,Killjoy,Omen,Jett,KAY/O")</f>
        <v>Sova,Killjoy,Omen,Jett,KAY/O</v>
      </c>
      <c r="H329" s="189" t="str">
        <f>IFERROR(__xludf.DUMMYFUNCTION("""COMPUTED_VALUE"""),"Sova,Omen,Yoru,Chamber,Vyse")</f>
        <v>Sova,Omen,Yoru,Chamber,Vyse</v>
      </c>
      <c r="I329" s="189">
        <f>IFERROR(__xludf.DUMMYFUNCTION("""COMPUTED_VALUE"""),13.0)</f>
        <v>13</v>
      </c>
      <c r="J329" s="189">
        <f>IFERROR(__xludf.DUMMYFUNCTION("""COMPUTED_VALUE"""),3.0)</f>
        <v>3</v>
      </c>
      <c r="K329" s="189">
        <f>IFERROR(__xludf.DUMMYFUNCTION("""COMPUTED_VALUE"""),11.0)</f>
        <v>11</v>
      </c>
      <c r="L329" s="189">
        <f>IFERROR(__xludf.DUMMYFUNCTION("""COMPUTED_VALUE"""),1.0)</f>
        <v>1</v>
      </c>
      <c r="M329" s="189">
        <f>IFERROR(__xludf.DUMMYFUNCTION("""COMPUTED_VALUE"""),0.0)</f>
        <v>0</v>
      </c>
      <c r="N329" s="189">
        <f>IFERROR(__xludf.DUMMYFUNCTION("""COMPUTED_VALUE"""),1.0)</f>
        <v>1</v>
      </c>
      <c r="O329" s="189">
        <f>IFERROR(__xludf.DUMMYFUNCTION("""COMPUTED_VALUE"""),2.0)</f>
        <v>2</v>
      </c>
      <c r="P329" s="189">
        <f>IFERROR(__xludf.DUMMYFUNCTION("""COMPUTED_VALUE"""),2.0)</f>
        <v>2</v>
      </c>
      <c r="Q329" s="189">
        <f>IFERROR(__xludf.DUMMYFUNCTION("""COMPUTED_VALUE"""),11.0)</f>
        <v>11</v>
      </c>
      <c r="R329" s="189">
        <f>IFERROR(__xludf.DUMMYFUNCTION("""COMPUTED_VALUE"""),1.0)</f>
        <v>1</v>
      </c>
      <c r="S329" s="189">
        <f>IFERROR(__xludf.DUMMYFUNCTION("""COMPUTED_VALUE"""),0.0)</f>
        <v>0</v>
      </c>
      <c r="T329" s="189">
        <f>IFERROR(__xludf.DUMMYFUNCTION("""COMPUTED_VALUE"""),1.0)</f>
        <v>1</v>
      </c>
      <c r="U329" s="189">
        <f>IFERROR(__xludf.DUMMYFUNCTION("""COMPUTED_VALUE"""),1.0)</f>
        <v>1</v>
      </c>
      <c r="V329" s="189">
        <f>IFERROR(__xludf.DUMMYFUNCTION("""COMPUTED_VALUE"""),11.0)</f>
        <v>11</v>
      </c>
      <c r="W329" s="189">
        <f>IFERROR(__xludf.DUMMYFUNCTION("""COMPUTED_VALUE"""),2.0)</f>
        <v>2</v>
      </c>
      <c r="X329" s="189">
        <f>IFERROR(__xludf.DUMMYFUNCTION("""COMPUTED_VALUE"""),2.0)</f>
        <v>2</v>
      </c>
      <c r="Y329" s="189" t="str">
        <f>IFERROR(__xludf.DUMMYFUNCTION("""COMPUTED_VALUE"""),"2025-07-09T00:00:00.000Z")</f>
        <v>2025-07-09T00:00:00.000Z</v>
      </c>
      <c r="Z329" s="189" t="str">
        <f>IFERROR(__xludf.DUMMYFUNCTION("""COMPUTED_VALUE"""),"DNSTY_Ascent")</f>
        <v>DNSTY_Ascent</v>
      </c>
    </row>
    <row r="330">
      <c r="A330" s="189">
        <f>IFERROR(__xludf.DUMMYFUNCTION("""COMPUTED_VALUE"""),207558.0)</f>
        <v>207558</v>
      </c>
      <c r="B330" s="189">
        <f>IFERROR(__xludf.DUMMYFUNCTION("""COMPUTED_VALUE"""),91447.0)</f>
        <v>91447</v>
      </c>
      <c r="C330" s="189" t="str">
        <f>IFERROR(__xludf.DUMMYFUNCTION("""COMPUTED_VALUE"""),"Challengers League 2025 Spain Rising: Split 3 - Group Stage")</f>
        <v>Challengers League 2025 Spain Rising: Split 3 - Group Stage</v>
      </c>
      <c r="D330" s="189" t="str">
        <f>IFERROR(__xludf.DUMMYFUNCTION("""COMPUTED_VALUE"""),"Lotus")</f>
        <v>Lotus</v>
      </c>
      <c r="E330" s="189" t="str">
        <f>IFERROR(__xludf.DUMMYFUNCTION("""COMPUTED_VALUE"""),"DNSTY")</f>
        <v>DNSTY</v>
      </c>
      <c r="F330" s="189" t="str">
        <f>IFERROR(__xludf.DUMMYFUNCTION("""COMPUTED_VALUE"""),"HGE Esports")</f>
        <v>HGE Esports</v>
      </c>
      <c r="G330" s="189" t="str">
        <f>IFERROR(__xludf.DUMMYFUNCTION("""COMPUTED_VALUE"""),"Raze,Killjoy,Viper,Omen,Fade")</f>
        <v>Raze,Killjoy,Viper,Omen,Fade</v>
      </c>
      <c r="H330" s="189" t="str">
        <f>IFERROR(__xludf.DUMMYFUNCTION("""COMPUTED_VALUE"""),"Breach,Cypher,Omen,Neon,Fade")</f>
        <v>Breach,Cypher,Omen,Neon,Fade</v>
      </c>
      <c r="I330" s="189">
        <f>IFERROR(__xludf.DUMMYFUNCTION("""COMPUTED_VALUE"""),13.0)</f>
        <v>13</v>
      </c>
      <c r="J330" s="189">
        <f>IFERROR(__xludf.DUMMYFUNCTION("""COMPUTED_VALUE"""),4.0)</f>
        <v>4</v>
      </c>
      <c r="K330" s="189">
        <f>IFERROR(__xludf.DUMMYFUNCTION("""COMPUTED_VALUE"""),10.0)</f>
        <v>10</v>
      </c>
      <c r="L330" s="189">
        <f>IFERROR(__xludf.DUMMYFUNCTION("""COMPUTED_VALUE"""),2.0)</f>
        <v>2</v>
      </c>
      <c r="M330" s="189">
        <f>IFERROR(__xludf.DUMMYFUNCTION("""COMPUTED_VALUE"""),0.0)</f>
        <v>0</v>
      </c>
      <c r="N330" s="189">
        <f>IFERROR(__xludf.DUMMYFUNCTION("""COMPUTED_VALUE"""),0.0)</f>
        <v>0</v>
      </c>
      <c r="O330" s="189">
        <f>IFERROR(__xludf.DUMMYFUNCTION("""COMPUTED_VALUE"""),3.0)</f>
        <v>3</v>
      </c>
      <c r="P330" s="189">
        <f>IFERROR(__xludf.DUMMYFUNCTION("""COMPUTED_VALUE"""),2.0)</f>
        <v>2</v>
      </c>
      <c r="Q330" s="189">
        <f>IFERROR(__xludf.DUMMYFUNCTION("""COMPUTED_VALUE"""),10.0)</f>
        <v>10</v>
      </c>
      <c r="R330" s="189">
        <f>IFERROR(__xludf.DUMMYFUNCTION("""COMPUTED_VALUE"""),2.0)</f>
        <v>2</v>
      </c>
      <c r="S330" s="189">
        <f>IFERROR(__xludf.DUMMYFUNCTION("""COMPUTED_VALUE"""),1.0)</f>
        <v>1</v>
      </c>
      <c r="T330" s="189">
        <f>IFERROR(__xludf.DUMMYFUNCTION("""COMPUTED_VALUE"""),1.0)</f>
        <v>1</v>
      </c>
      <c r="U330" s="189">
        <f>IFERROR(__xludf.DUMMYFUNCTION("""COMPUTED_VALUE"""),2.0)</f>
        <v>2</v>
      </c>
      <c r="V330" s="189">
        <f>IFERROR(__xludf.DUMMYFUNCTION("""COMPUTED_VALUE"""),10.0)</f>
        <v>10</v>
      </c>
      <c r="W330" s="189">
        <f>IFERROR(__xludf.DUMMYFUNCTION("""COMPUTED_VALUE"""),2.0)</f>
        <v>2</v>
      </c>
      <c r="X330" s="189">
        <f>IFERROR(__xludf.DUMMYFUNCTION("""COMPUTED_VALUE"""),3.0)</f>
        <v>3</v>
      </c>
      <c r="Y330" s="189" t="str">
        <f>IFERROR(__xludf.DUMMYFUNCTION("""COMPUTED_VALUE"""),"2025-07-09T00:00:00.000Z")</f>
        <v>2025-07-09T00:00:00.000Z</v>
      </c>
      <c r="Z330" s="189" t="str">
        <f>IFERROR(__xludf.DUMMYFUNCTION("""COMPUTED_VALUE"""),"DNSTY_Lotus")</f>
        <v>DNSTY_Lotus</v>
      </c>
    </row>
    <row r="331">
      <c r="A331" s="189">
        <f>IFERROR(__xludf.DUMMYFUNCTION("""COMPUTED_VALUE"""),209340.0)</f>
        <v>209340</v>
      </c>
      <c r="B331" s="189">
        <f>IFERROR(__xludf.DUMMYFUNCTION("""COMPUTED_VALUE"""),92121.0)</f>
        <v>92121</v>
      </c>
      <c r="C331" s="189" t="str">
        <f>IFERROR(__xludf.DUMMYFUNCTION("""COMPUTED_VALUE"""),"Challengers League 2025 NORTH EAST: Split 3 - Lower Swiss Phase")</f>
        <v>Challengers League 2025 NORTH EAST: Split 3 - Lower Swiss Phase</v>
      </c>
      <c r="D331" s="189" t="str">
        <f>IFERROR(__xludf.DUMMYFUNCTION("""COMPUTED_VALUE"""),"Lotus")</f>
        <v>Lotus</v>
      </c>
      <c r="E331" s="189" t="str">
        <f>IFERROR(__xludf.DUMMYFUNCTION("""COMPUTED_VALUE"""),"děti ulice")</f>
        <v>děti ulice</v>
      </c>
      <c r="F331" s="189" t="str">
        <f>IFERROR(__xludf.DUMMYFUNCTION("""COMPUTED_VALUE"""),"FULL BOX 200")</f>
        <v>FULL BOX 200</v>
      </c>
      <c r="G331" s="189" t="str">
        <f>IFERROR(__xludf.DUMMYFUNCTION("""COMPUTED_VALUE"""),"Breach,Sova,Viper,Omen,Neon")</f>
        <v>Breach,Sova,Viper,Omen,Neon</v>
      </c>
      <c r="H331" s="189" t="str">
        <f>IFERROR(__xludf.DUMMYFUNCTION("""COMPUTED_VALUE"""),"Breach,Killjoy,Omen,Neon,Fade")</f>
        <v>Breach,Killjoy,Omen,Neon,Fade</v>
      </c>
      <c r="I331" s="189">
        <f>IFERROR(__xludf.DUMMYFUNCTION("""COMPUTED_VALUE"""),11.0)</f>
        <v>11</v>
      </c>
      <c r="J331" s="189">
        <f>IFERROR(__xludf.DUMMYFUNCTION("""COMPUTED_VALUE"""),13.0)</f>
        <v>13</v>
      </c>
      <c r="K331" s="189">
        <f>IFERROR(__xludf.DUMMYFUNCTION("""COMPUTED_VALUE"""),7.0)</f>
        <v>7</v>
      </c>
      <c r="L331" s="189">
        <f>IFERROR(__xludf.DUMMYFUNCTION("""COMPUTED_VALUE"""),5.0)</f>
        <v>5</v>
      </c>
      <c r="M331" s="189">
        <f>IFERROR(__xludf.DUMMYFUNCTION("""COMPUTED_VALUE"""),1.0)</f>
        <v>1</v>
      </c>
      <c r="N331" s="189">
        <f>IFERROR(__xludf.DUMMYFUNCTION("""COMPUTED_VALUE"""),0.0)</f>
        <v>0</v>
      </c>
      <c r="O331" s="189">
        <f>IFERROR(__xludf.DUMMYFUNCTION("""COMPUTED_VALUE"""),7.0)</f>
        <v>7</v>
      </c>
      <c r="P331" s="189">
        <f>IFERROR(__xludf.DUMMYFUNCTION("""COMPUTED_VALUE"""),5.0)</f>
        <v>5</v>
      </c>
      <c r="Q331" s="189">
        <f>IFERROR(__xludf.DUMMYFUNCTION("""COMPUTED_VALUE"""),4.0)</f>
        <v>4</v>
      </c>
      <c r="R331" s="189">
        <f>IFERROR(__xludf.DUMMYFUNCTION("""COMPUTED_VALUE"""),8.0)</f>
        <v>8</v>
      </c>
      <c r="S331" s="189">
        <f>IFERROR(__xludf.DUMMYFUNCTION("""COMPUTED_VALUE"""),1.0)</f>
        <v>1</v>
      </c>
      <c r="T331" s="189">
        <f>IFERROR(__xludf.DUMMYFUNCTION("""COMPUTED_VALUE"""),0.0)</f>
        <v>0</v>
      </c>
      <c r="U331" s="189">
        <f>IFERROR(__xludf.DUMMYFUNCTION("""COMPUTED_VALUE"""),8.0)</f>
        <v>8</v>
      </c>
      <c r="V331" s="189">
        <f>IFERROR(__xludf.DUMMYFUNCTION("""COMPUTED_VALUE"""),4.0)</f>
        <v>4</v>
      </c>
      <c r="W331" s="189">
        <f>IFERROR(__xludf.DUMMYFUNCTION("""COMPUTED_VALUE"""),5.0)</f>
        <v>5</v>
      </c>
      <c r="X331" s="189">
        <f>IFERROR(__xludf.DUMMYFUNCTION("""COMPUTED_VALUE"""),7.0)</f>
        <v>7</v>
      </c>
      <c r="Y331" s="189" t="str">
        <f>IFERROR(__xludf.DUMMYFUNCTION("""COMPUTED_VALUE"""),"2025-07-07T00:00:00.000Z")</f>
        <v>2025-07-07T00:00:00.000Z</v>
      </c>
      <c r="Z331" s="189" t="str">
        <f>IFERROR(__xludf.DUMMYFUNCTION("""COMPUTED_VALUE"""),"děti ulice_Lotus")</f>
        <v>děti ulice_Lotus</v>
      </c>
    </row>
    <row r="332">
      <c r="A332" s="189">
        <f>IFERROR(__xludf.DUMMYFUNCTION("""COMPUTED_VALUE"""),209339.0)</f>
        <v>209339</v>
      </c>
      <c r="B332" s="189">
        <f>IFERROR(__xludf.DUMMYFUNCTION("""COMPUTED_VALUE"""),92121.0)</f>
        <v>92121</v>
      </c>
      <c r="C332" s="189" t="str">
        <f>IFERROR(__xludf.DUMMYFUNCTION("""COMPUTED_VALUE"""),"Challengers League 2025 NORTH EAST: Split 3 - Lower Swiss Phase")</f>
        <v>Challengers League 2025 NORTH EAST: Split 3 - Lower Swiss Phase</v>
      </c>
      <c r="D332" s="189" t="str">
        <f>IFERROR(__xludf.DUMMYFUNCTION("""COMPUTED_VALUE"""),"Split")</f>
        <v>Split</v>
      </c>
      <c r="E332" s="189" t="str">
        <f>IFERROR(__xludf.DUMMYFUNCTION("""COMPUTED_VALUE"""),"děti ulice")</f>
        <v>děti ulice</v>
      </c>
      <c r="F332" s="189" t="str">
        <f>IFERROR(__xludf.DUMMYFUNCTION("""COMPUTED_VALUE"""),"FULL BOX 200")</f>
        <v>FULL BOX 200</v>
      </c>
      <c r="G332" s="189" t="str">
        <f>IFERROR(__xludf.DUMMYFUNCTION("""COMPUTED_VALUE"""),"Raze,Viper,Yoru,Astra,Fade")</f>
        <v>Raze,Viper,Yoru,Astra,Fade</v>
      </c>
      <c r="H332" s="189" t="str">
        <f>IFERROR(__xludf.DUMMYFUNCTION("""COMPUTED_VALUE"""),"Viper,Sage,Omen,Yoru,Fade")</f>
        <v>Viper,Sage,Omen,Yoru,Fade</v>
      </c>
      <c r="I332" s="189">
        <f>IFERROR(__xludf.DUMMYFUNCTION("""COMPUTED_VALUE"""),11.0)</f>
        <v>11</v>
      </c>
      <c r="J332" s="189">
        <f>IFERROR(__xludf.DUMMYFUNCTION("""COMPUTED_VALUE"""),13.0)</f>
        <v>13</v>
      </c>
      <c r="K332" s="189">
        <f>IFERROR(__xludf.DUMMYFUNCTION("""COMPUTED_VALUE"""),2.0)</f>
        <v>2</v>
      </c>
      <c r="L332" s="189">
        <f>IFERROR(__xludf.DUMMYFUNCTION("""COMPUTED_VALUE"""),10.0)</f>
        <v>10</v>
      </c>
      <c r="M332" s="189">
        <f>IFERROR(__xludf.DUMMYFUNCTION("""COMPUTED_VALUE"""),0.0)</f>
        <v>0</v>
      </c>
      <c r="N332" s="189">
        <f>IFERROR(__xludf.DUMMYFUNCTION("""COMPUTED_VALUE"""),0.0)</f>
        <v>0</v>
      </c>
      <c r="O332" s="189">
        <f>IFERROR(__xludf.DUMMYFUNCTION("""COMPUTED_VALUE"""),2.0)</f>
        <v>2</v>
      </c>
      <c r="P332" s="189">
        <f>IFERROR(__xludf.DUMMYFUNCTION("""COMPUTED_VALUE"""),10.0)</f>
        <v>10</v>
      </c>
      <c r="Q332" s="189">
        <f>IFERROR(__xludf.DUMMYFUNCTION("""COMPUTED_VALUE"""),9.0)</f>
        <v>9</v>
      </c>
      <c r="R332" s="189">
        <f>IFERROR(__xludf.DUMMYFUNCTION("""COMPUTED_VALUE"""),3.0)</f>
        <v>3</v>
      </c>
      <c r="S332" s="189">
        <f>IFERROR(__xludf.DUMMYFUNCTION("""COMPUTED_VALUE"""),1.0)</f>
        <v>1</v>
      </c>
      <c r="T332" s="189">
        <f>IFERROR(__xludf.DUMMYFUNCTION("""COMPUTED_VALUE"""),1.0)</f>
        <v>1</v>
      </c>
      <c r="U332" s="189">
        <f>IFERROR(__xludf.DUMMYFUNCTION("""COMPUTED_VALUE"""),3.0)</f>
        <v>3</v>
      </c>
      <c r="V332" s="189">
        <f>IFERROR(__xludf.DUMMYFUNCTION("""COMPUTED_VALUE"""),9.0)</f>
        <v>9</v>
      </c>
      <c r="W332" s="189">
        <f>IFERROR(__xludf.DUMMYFUNCTION("""COMPUTED_VALUE"""),10.0)</f>
        <v>10</v>
      </c>
      <c r="X332" s="189">
        <f>IFERROR(__xludf.DUMMYFUNCTION("""COMPUTED_VALUE"""),2.0)</f>
        <v>2</v>
      </c>
      <c r="Y332" s="189" t="str">
        <f>IFERROR(__xludf.DUMMYFUNCTION("""COMPUTED_VALUE"""),"2025-07-07T00:00:00.000Z")</f>
        <v>2025-07-07T00:00:00.000Z</v>
      </c>
      <c r="Z332" s="189" t="str">
        <f>IFERROR(__xludf.DUMMYFUNCTION("""COMPUTED_VALUE"""),"děti ulice_Split")</f>
        <v>děti ulice_Split</v>
      </c>
    </row>
    <row r="333">
      <c r="A333" s="189">
        <f>IFERROR(__xludf.DUMMYFUNCTION("""COMPUTED_VALUE"""),208432.0)</f>
        <v>208432</v>
      </c>
      <c r="B333" s="189">
        <f>IFERROR(__xludf.DUMMYFUNCTION("""COMPUTED_VALUE"""),91792.0)</f>
        <v>91792</v>
      </c>
      <c r="C333" s="189" t="str">
        <f>IFERROR(__xludf.DUMMYFUNCTION("""COMPUTED_VALUE"""),"Challengers League 2025 DACH: Evolution Stage 3 - Group Stage")</f>
        <v>Challengers League 2025 DACH: Evolution Stage 3 - Group Stage</v>
      </c>
      <c r="D333" s="189" t="str">
        <f>IFERROR(__xludf.DUMMYFUNCTION("""COMPUTED_VALUE"""),"Haven")</f>
        <v>Haven</v>
      </c>
      <c r="E333" s="189" t="str">
        <f>IFERROR(__xludf.DUMMYFUNCTION("""COMPUTED_VALUE"""),"MOUZ")</f>
        <v>MOUZ</v>
      </c>
      <c r="F333" s="189" t="str">
        <f>IFERROR(__xludf.DUMMYFUNCTION("""COMPUTED_VALUE"""),"XPERION NXT")</f>
        <v>XPERION NXT</v>
      </c>
      <c r="G333" s="189" t="str">
        <f>IFERROR(__xludf.DUMMYFUNCTION("""COMPUTED_VALUE"""),"Cypher,Sova,Omen,Yoru,Iso")</f>
        <v>Cypher,Sova,Omen,Yoru,Iso</v>
      </c>
      <c r="H333" s="189" t="str">
        <f>IFERROR(__xludf.DUMMYFUNCTION("""COMPUTED_VALUE"""),"Breach,Cypher,Sova,Omen,Neon")</f>
        <v>Breach,Cypher,Sova,Omen,Neon</v>
      </c>
      <c r="I333" s="189">
        <f>IFERROR(__xludf.DUMMYFUNCTION("""COMPUTED_VALUE"""),13.0)</f>
        <v>13</v>
      </c>
      <c r="J333" s="189">
        <f>IFERROR(__xludf.DUMMYFUNCTION("""COMPUTED_VALUE"""),7.0)</f>
        <v>7</v>
      </c>
      <c r="K333" s="189">
        <f>IFERROR(__xludf.DUMMYFUNCTION("""COMPUTED_VALUE"""),7.0)</f>
        <v>7</v>
      </c>
      <c r="L333" s="189">
        <f>IFERROR(__xludf.DUMMYFUNCTION("""COMPUTED_VALUE"""),5.0)</f>
        <v>5</v>
      </c>
      <c r="M333" s="189">
        <f>IFERROR(__xludf.DUMMYFUNCTION("""COMPUTED_VALUE"""),1.0)</f>
        <v>1</v>
      </c>
      <c r="N333" s="189">
        <f>IFERROR(__xludf.DUMMYFUNCTION("""COMPUTED_VALUE"""),1.0)</f>
        <v>1</v>
      </c>
      <c r="O333" s="189">
        <f>IFERROR(__xludf.DUMMYFUNCTION("""COMPUTED_VALUE"""),6.0)</f>
        <v>6</v>
      </c>
      <c r="P333" s="189">
        <f>IFERROR(__xludf.DUMMYFUNCTION("""COMPUTED_VALUE"""),2.0)</f>
        <v>2</v>
      </c>
      <c r="Q333" s="189">
        <f>IFERROR(__xludf.DUMMYFUNCTION("""COMPUTED_VALUE"""),7.0)</f>
        <v>7</v>
      </c>
      <c r="R333" s="189">
        <f>IFERROR(__xludf.DUMMYFUNCTION("""COMPUTED_VALUE"""),5.0)</f>
        <v>5</v>
      </c>
      <c r="S333" s="189">
        <f>IFERROR(__xludf.DUMMYFUNCTION("""COMPUTED_VALUE"""),0.0)</f>
        <v>0</v>
      </c>
      <c r="T333" s="189">
        <f>IFERROR(__xludf.DUMMYFUNCTION("""COMPUTED_VALUE"""),0.0)</f>
        <v>0</v>
      </c>
      <c r="U333" s="189">
        <f>IFERROR(__xludf.DUMMYFUNCTION("""COMPUTED_VALUE"""),5.0)</f>
        <v>5</v>
      </c>
      <c r="V333" s="189">
        <f>IFERROR(__xludf.DUMMYFUNCTION("""COMPUTED_VALUE"""),7.0)</f>
        <v>7</v>
      </c>
      <c r="W333" s="189">
        <f>IFERROR(__xludf.DUMMYFUNCTION("""COMPUTED_VALUE"""),2.0)</f>
        <v>2</v>
      </c>
      <c r="X333" s="189">
        <f>IFERROR(__xludf.DUMMYFUNCTION("""COMPUTED_VALUE"""),6.0)</f>
        <v>6</v>
      </c>
      <c r="Y333" s="189" t="str">
        <f>IFERROR(__xludf.DUMMYFUNCTION("""COMPUTED_VALUE"""),"2025-07-06T00:00:00.000Z")</f>
        <v>2025-07-06T00:00:00.000Z</v>
      </c>
      <c r="Z333" s="189" t="str">
        <f>IFERROR(__xludf.DUMMYFUNCTION("""COMPUTED_VALUE"""),"MOUZ_Haven")</f>
        <v>MOUZ_Haven</v>
      </c>
    </row>
    <row r="334">
      <c r="A334" s="189">
        <f>IFERROR(__xludf.DUMMYFUNCTION("""COMPUTED_VALUE"""),208431.0)</f>
        <v>208431</v>
      </c>
      <c r="B334" s="189">
        <f>IFERROR(__xludf.DUMMYFUNCTION("""COMPUTED_VALUE"""),91792.0)</f>
        <v>91792</v>
      </c>
      <c r="C334" s="189" t="str">
        <f>IFERROR(__xludf.DUMMYFUNCTION("""COMPUTED_VALUE"""),"Challengers League 2025 DACH: Evolution Stage 3 - Group Stage")</f>
        <v>Challengers League 2025 DACH: Evolution Stage 3 - Group Stage</v>
      </c>
      <c r="D334" s="189" t="str">
        <f>IFERROR(__xludf.DUMMYFUNCTION("""COMPUTED_VALUE"""),"Split")</f>
        <v>Split</v>
      </c>
      <c r="E334" s="189" t="str">
        <f>IFERROR(__xludf.DUMMYFUNCTION("""COMPUTED_VALUE"""),"MOUZ")</f>
        <v>MOUZ</v>
      </c>
      <c r="F334" s="189" t="str">
        <f>IFERROR(__xludf.DUMMYFUNCTION("""COMPUTED_VALUE"""),"XPERION NXT")</f>
        <v>XPERION NXT</v>
      </c>
      <c r="G334" s="189" t="str">
        <f>IFERROR(__xludf.DUMMYFUNCTION("""COMPUTED_VALUE"""),"Raze,Viper,Yoru,Astra,Fade")</f>
        <v>Raze,Viper,Yoru,Astra,Fade</v>
      </c>
      <c r="H334" s="189" t="str">
        <f>IFERROR(__xludf.DUMMYFUNCTION("""COMPUTED_VALUE"""),"Raze,Viper,Omen,Yoru,Fade")</f>
        <v>Raze,Viper,Omen,Yoru,Fade</v>
      </c>
      <c r="I334" s="189">
        <f>IFERROR(__xludf.DUMMYFUNCTION("""COMPUTED_VALUE"""),11.0)</f>
        <v>11</v>
      </c>
      <c r="J334" s="189">
        <f>IFERROR(__xludf.DUMMYFUNCTION("""COMPUTED_VALUE"""),13.0)</f>
        <v>13</v>
      </c>
      <c r="K334" s="189">
        <f>IFERROR(__xludf.DUMMYFUNCTION("""COMPUTED_VALUE"""),7.0)</f>
        <v>7</v>
      </c>
      <c r="L334" s="189">
        <f>IFERROR(__xludf.DUMMYFUNCTION("""COMPUTED_VALUE"""),5.0)</f>
        <v>5</v>
      </c>
      <c r="M334" s="189">
        <f>IFERROR(__xludf.DUMMYFUNCTION("""COMPUTED_VALUE"""),0.0)</f>
        <v>0</v>
      </c>
      <c r="N334" s="189">
        <f>IFERROR(__xludf.DUMMYFUNCTION("""COMPUTED_VALUE"""),1.0)</f>
        <v>1</v>
      </c>
      <c r="O334" s="189">
        <f>IFERROR(__xludf.DUMMYFUNCTION("""COMPUTED_VALUE"""),4.0)</f>
        <v>4</v>
      </c>
      <c r="P334" s="189">
        <f>IFERROR(__xludf.DUMMYFUNCTION("""COMPUTED_VALUE"""),8.0)</f>
        <v>8</v>
      </c>
      <c r="Q334" s="189">
        <f>IFERROR(__xludf.DUMMYFUNCTION("""COMPUTED_VALUE"""),7.0)</f>
        <v>7</v>
      </c>
      <c r="R334" s="189">
        <f>IFERROR(__xludf.DUMMYFUNCTION("""COMPUTED_VALUE"""),5.0)</f>
        <v>5</v>
      </c>
      <c r="S334" s="189">
        <f>IFERROR(__xludf.DUMMYFUNCTION("""COMPUTED_VALUE"""),0.0)</f>
        <v>0</v>
      </c>
      <c r="T334" s="189">
        <f>IFERROR(__xludf.DUMMYFUNCTION("""COMPUTED_VALUE"""),1.0)</f>
        <v>1</v>
      </c>
      <c r="U334" s="189">
        <f>IFERROR(__xludf.DUMMYFUNCTION("""COMPUTED_VALUE"""),5.0)</f>
        <v>5</v>
      </c>
      <c r="V334" s="189">
        <f>IFERROR(__xludf.DUMMYFUNCTION("""COMPUTED_VALUE"""),7.0)</f>
        <v>7</v>
      </c>
      <c r="W334" s="189">
        <f>IFERROR(__xludf.DUMMYFUNCTION("""COMPUTED_VALUE"""),8.0)</f>
        <v>8</v>
      </c>
      <c r="X334" s="189">
        <f>IFERROR(__xludf.DUMMYFUNCTION("""COMPUTED_VALUE"""),4.0)</f>
        <v>4</v>
      </c>
      <c r="Y334" s="189" t="str">
        <f>IFERROR(__xludf.DUMMYFUNCTION("""COMPUTED_VALUE"""),"2025-07-06T00:00:00.000Z")</f>
        <v>2025-07-06T00:00:00.000Z</v>
      </c>
      <c r="Z334" s="189" t="str">
        <f>IFERROR(__xludf.DUMMYFUNCTION("""COMPUTED_VALUE"""),"MOUZ_Split")</f>
        <v>MOUZ_Split</v>
      </c>
    </row>
    <row r="335">
      <c r="A335" s="189">
        <f>IFERROR(__xludf.DUMMYFUNCTION("""COMPUTED_VALUE"""),208430.0)</f>
        <v>208430</v>
      </c>
      <c r="B335" s="189">
        <f>IFERROR(__xludf.DUMMYFUNCTION("""COMPUTED_VALUE"""),91792.0)</f>
        <v>91792</v>
      </c>
      <c r="C335" s="189" t="str">
        <f>IFERROR(__xludf.DUMMYFUNCTION("""COMPUTED_VALUE"""),"Challengers League 2025 DACH: Evolution Stage 3 - Group Stage")</f>
        <v>Challengers League 2025 DACH: Evolution Stage 3 - Group Stage</v>
      </c>
      <c r="D335" s="189" t="str">
        <f>IFERROR(__xludf.DUMMYFUNCTION("""COMPUTED_VALUE"""),"Icebox")</f>
        <v>Icebox</v>
      </c>
      <c r="E335" s="189" t="str">
        <f>IFERROR(__xludf.DUMMYFUNCTION("""COMPUTED_VALUE"""),"MOUZ")</f>
        <v>MOUZ</v>
      </c>
      <c r="F335" s="189" t="str">
        <f>IFERROR(__xludf.DUMMYFUNCTION("""COMPUTED_VALUE"""),"XPERION NXT")</f>
        <v>XPERION NXT</v>
      </c>
      <c r="G335" s="189" t="str">
        <f>IFERROR(__xludf.DUMMYFUNCTION("""COMPUTED_VALUE"""),"Sova,Killjoy,Viper,Jett,KAY/O")</f>
        <v>Sova,Killjoy,Viper,Jett,KAY/O</v>
      </c>
      <c r="H335" s="189" t="str">
        <f>IFERROR(__xludf.DUMMYFUNCTION("""COMPUTED_VALUE"""),"Killjoy,Viper,Omen,KAY/O,Gekko")</f>
        <v>Killjoy,Viper,Omen,KAY/O,Gekko</v>
      </c>
      <c r="I335" s="189">
        <f>IFERROR(__xludf.DUMMYFUNCTION("""COMPUTED_VALUE"""),13.0)</f>
        <v>13</v>
      </c>
      <c r="J335" s="189">
        <f>IFERROR(__xludf.DUMMYFUNCTION("""COMPUTED_VALUE"""),8.0)</f>
        <v>8</v>
      </c>
      <c r="K335" s="189">
        <f>IFERROR(__xludf.DUMMYFUNCTION("""COMPUTED_VALUE"""),6.0)</f>
        <v>6</v>
      </c>
      <c r="L335" s="189">
        <f>IFERROR(__xludf.DUMMYFUNCTION("""COMPUTED_VALUE"""),6.0)</f>
        <v>6</v>
      </c>
      <c r="M335" s="189">
        <f>IFERROR(__xludf.DUMMYFUNCTION("""COMPUTED_VALUE"""),0.0)</f>
        <v>0</v>
      </c>
      <c r="N335" s="189">
        <f>IFERROR(__xludf.DUMMYFUNCTION("""COMPUTED_VALUE"""),1.0)</f>
        <v>1</v>
      </c>
      <c r="O335" s="189">
        <f>IFERROR(__xludf.DUMMYFUNCTION("""COMPUTED_VALUE"""),6.0)</f>
        <v>6</v>
      </c>
      <c r="P335" s="189">
        <f>IFERROR(__xludf.DUMMYFUNCTION("""COMPUTED_VALUE"""),6.0)</f>
        <v>6</v>
      </c>
      <c r="Q335" s="189">
        <f>IFERROR(__xludf.DUMMYFUNCTION("""COMPUTED_VALUE"""),7.0)</f>
        <v>7</v>
      </c>
      <c r="R335" s="189">
        <f>IFERROR(__xludf.DUMMYFUNCTION("""COMPUTED_VALUE"""),2.0)</f>
        <v>2</v>
      </c>
      <c r="S335" s="189">
        <f>IFERROR(__xludf.DUMMYFUNCTION("""COMPUTED_VALUE"""),0.0)</f>
        <v>0</v>
      </c>
      <c r="T335" s="189">
        <f>IFERROR(__xludf.DUMMYFUNCTION("""COMPUTED_VALUE"""),1.0)</f>
        <v>1</v>
      </c>
      <c r="U335" s="189">
        <f>IFERROR(__xludf.DUMMYFUNCTION("""COMPUTED_VALUE"""),2.0)</f>
        <v>2</v>
      </c>
      <c r="V335" s="189">
        <f>IFERROR(__xludf.DUMMYFUNCTION("""COMPUTED_VALUE"""),7.0)</f>
        <v>7</v>
      </c>
      <c r="W335" s="189">
        <f>IFERROR(__xludf.DUMMYFUNCTION("""COMPUTED_VALUE"""),6.0)</f>
        <v>6</v>
      </c>
      <c r="X335" s="189">
        <f>IFERROR(__xludf.DUMMYFUNCTION("""COMPUTED_VALUE"""),6.0)</f>
        <v>6</v>
      </c>
      <c r="Y335" s="189" t="str">
        <f>IFERROR(__xludf.DUMMYFUNCTION("""COMPUTED_VALUE"""),"2025-07-06T00:00:00.000Z")</f>
        <v>2025-07-06T00:00:00.000Z</v>
      </c>
      <c r="Z335" s="189" t="str">
        <f>IFERROR(__xludf.DUMMYFUNCTION("""COMPUTED_VALUE"""),"MOUZ_Icebox")</f>
        <v>MOUZ_Icebox</v>
      </c>
    </row>
    <row r="336">
      <c r="A336" s="189">
        <f>IFERROR(__xludf.DUMMYFUNCTION("""COMPUTED_VALUE"""),206636.0)</f>
        <v>206636</v>
      </c>
      <c r="B336" s="189">
        <f>IFERROR(__xludf.DUMMYFUNCTION("""COMPUTED_VALUE"""),91112.0)</f>
        <v>91112</v>
      </c>
      <c r="C336" s="189" t="str">
        <f>IFERROR(__xludf.DUMMYFUNCTION("""COMPUTED_VALUE"""),"A1 eSports Cup #8")</f>
        <v>A1 eSports Cup #8</v>
      </c>
      <c r="D336" s="189" t="str">
        <f>IFERROR(__xludf.DUMMYFUNCTION("""COMPUTED_VALUE"""),"Sunset")</f>
        <v>Sunset</v>
      </c>
      <c r="E336" s="189" t="str">
        <f>IFERROR(__xludf.DUMMYFUNCTION("""COMPUTED_VALUE"""),"MOUZ")</f>
        <v>MOUZ</v>
      </c>
      <c r="F336" s="189" t="str">
        <f>IFERROR(__xludf.DUMMYFUNCTION("""COMPUTED_VALUE"""),"Eintracht Frankfurt")</f>
        <v>Eintracht Frankfurt</v>
      </c>
      <c r="G336" s="189" t="str">
        <f>IFERROR(__xludf.DUMMYFUNCTION("""COMPUTED_VALUE"""),"Breach,Sova,Omen,Neon,Vyse")</f>
        <v>Breach,Sova,Omen,Neon,Vyse</v>
      </c>
      <c r="H336" s="189" t="str">
        <f>IFERROR(__xludf.DUMMYFUNCTION("""COMPUTED_VALUE"""),"Cypher,Sova,Omen,KAY/O,Neon")</f>
        <v>Cypher,Sova,Omen,KAY/O,Neon</v>
      </c>
      <c r="I336" s="189">
        <f>IFERROR(__xludf.DUMMYFUNCTION("""COMPUTED_VALUE"""),8.0)</f>
        <v>8</v>
      </c>
      <c r="J336" s="189">
        <f>IFERROR(__xludf.DUMMYFUNCTION("""COMPUTED_VALUE"""),13.0)</f>
        <v>13</v>
      </c>
      <c r="K336" s="189">
        <f>IFERROR(__xludf.DUMMYFUNCTION("""COMPUTED_VALUE"""),5.0)</f>
        <v>5</v>
      </c>
      <c r="L336" s="189">
        <f>IFERROR(__xludf.DUMMYFUNCTION("""COMPUTED_VALUE"""),7.0)</f>
        <v>7</v>
      </c>
      <c r="M336" s="189">
        <f>IFERROR(__xludf.DUMMYFUNCTION("""COMPUTED_VALUE"""),1.0)</f>
        <v>1</v>
      </c>
      <c r="N336" s="189">
        <f>IFERROR(__xludf.DUMMYFUNCTION("""COMPUTED_VALUE"""),1.0)</f>
        <v>1</v>
      </c>
      <c r="O336" s="189">
        <f>IFERROR(__xludf.DUMMYFUNCTION("""COMPUTED_VALUE"""),5.0)</f>
        <v>5</v>
      </c>
      <c r="P336" s="189">
        <f>IFERROR(__xludf.DUMMYFUNCTION("""COMPUTED_VALUE"""),7.0)</f>
        <v>7</v>
      </c>
      <c r="Q336" s="189">
        <f>IFERROR(__xludf.DUMMYFUNCTION("""COMPUTED_VALUE"""),3.0)</f>
        <v>3</v>
      </c>
      <c r="R336" s="189">
        <f>IFERROR(__xludf.DUMMYFUNCTION("""COMPUTED_VALUE"""),6.0)</f>
        <v>6</v>
      </c>
      <c r="S336" s="189">
        <f>IFERROR(__xludf.DUMMYFUNCTION("""COMPUTED_VALUE"""),0.0)</f>
        <v>0</v>
      </c>
      <c r="T336" s="189">
        <f>IFERROR(__xludf.DUMMYFUNCTION("""COMPUTED_VALUE"""),0.0)</f>
        <v>0</v>
      </c>
      <c r="U336" s="189">
        <f>IFERROR(__xludf.DUMMYFUNCTION("""COMPUTED_VALUE"""),6.0)</f>
        <v>6</v>
      </c>
      <c r="V336" s="189">
        <f>IFERROR(__xludf.DUMMYFUNCTION("""COMPUTED_VALUE"""),3.0)</f>
        <v>3</v>
      </c>
      <c r="W336" s="189">
        <f>IFERROR(__xludf.DUMMYFUNCTION("""COMPUTED_VALUE"""),7.0)</f>
        <v>7</v>
      </c>
      <c r="X336" s="189">
        <f>IFERROR(__xludf.DUMMYFUNCTION("""COMPUTED_VALUE"""),5.0)</f>
        <v>5</v>
      </c>
      <c r="Y336" s="189" t="str">
        <f>IFERROR(__xludf.DUMMYFUNCTION("""COMPUTED_VALUE"""),"2025-07-05T00:00:00.000Z")</f>
        <v>2025-07-05T00:00:00.000Z</v>
      </c>
      <c r="Z336" s="189" t="str">
        <f>IFERROR(__xludf.DUMMYFUNCTION("""COMPUTED_VALUE"""),"MOUZ_Sunset")</f>
        <v>MOUZ_Sunset</v>
      </c>
    </row>
    <row r="337">
      <c r="A337" s="189">
        <f>IFERROR(__xludf.DUMMYFUNCTION("""COMPUTED_VALUE"""),206635.0)</f>
        <v>206635</v>
      </c>
      <c r="B337" s="189">
        <f>IFERROR(__xludf.DUMMYFUNCTION("""COMPUTED_VALUE"""),91112.0)</f>
        <v>91112</v>
      </c>
      <c r="C337" s="189" t="str">
        <f>IFERROR(__xludf.DUMMYFUNCTION("""COMPUTED_VALUE"""),"A1 eSports Cup #8")</f>
        <v>A1 eSports Cup #8</v>
      </c>
      <c r="D337" s="189" t="str">
        <f>IFERROR(__xludf.DUMMYFUNCTION("""COMPUTED_VALUE"""),"Ascent")</f>
        <v>Ascent</v>
      </c>
      <c r="E337" s="189" t="str">
        <f>IFERROR(__xludf.DUMMYFUNCTION("""COMPUTED_VALUE"""),"MOUZ")</f>
        <v>MOUZ</v>
      </c>
      <c r="F337" s="189" t="str">
        <f>IFERROR(__xludf.DUMMYFUNCTION("""COMPUTED_VALUE"""),"Eintracht Frankfurt")</f>
        <v>Eintracht Frankfurt</v>
      </c>
      <c r="G337" s="189" t="str">
        <f>IFERROR(__xludf.DUMMYFUNCTION("""COMPUTED_VALUE"""),"Sova,Phoenix,Omen,Yoru,Vyse")</f>
        <v>Sova,Phoenix,Omen,Yoru,Vyse</v>
      </c>
      <c r="H337" s="189" t="str">
        <f>IFERROR(__xludf.DUMMYFUNCTION("""COMPUTED_VALUE"""),"Cypher,Sova,Omen,Jett,KAY/O")</f>
        <v>Cypher,Sova,Omen,Jett,KAY/O</v>
      </c>
      <c r="I337" s="189">
        <f>IFERROR(__xludf.DUMMYFUNCTION("""COMPUTED_VALUE"""),8.0)</f>
        <v>8</v>
      </c>
      <c r="J337" s="189">
        <f>IFERROR(__xludf.DUMMYFUNCTION("""COMPUTED_VALUE"""),13.0)</f>
        <v>13</v>
      </c>
      <c r="K337" s="189">
        <f>IFERROR(__xludf.DUMMYFUNCTION("""COMPUTED_VALUE"""),5.0)</f>
        <v>5</v>
      </c>
      <c r="L337" s="189">
        <f>IFERROR(__xludf.DUMMYFUNCTION("""COMPUTED_VALUE"""),7.0)</f>
        <v>7</v>
      </c>
      <c r="M337" s="189">
        <f>IFERROR(__xludf.DUMMYFUNCTION("""COMPUTED_VALUE"""),0.0)</f>
        <v>0</v>
      </c>
      <c r="N337" s="189">
        <f>IFERROR(__xludf.DUMMYFUNCTION("""COMPUTED_VALUE"""),1.0)</f>
        <v>1</v>
      </c>
      <c r="O337" s="189">
        <f>IFERROR(__xludf.DUMMYFUNCTION("""COMPUTED_VALUE"""),3.0)</f>
        <v>3</v>
      </c>
      <c r="P337" s="189">
        <f>IFERROR(__xludf.DUMMYFUNCTION("""COMPUTED_VALUE"""),6.0)</f>
        <v>6</v>
      </c>
      <c r="Q337" s="189">
        <f>IFERROR(__xludf.DUMMYFUNCTION("""COMPUTED_VALUE"""),5.0)</f>
        <v>5</v>
      </c>
      <c r="R337" s="189">
        <f>IFERROR(__xludf.DUMMYFUNCTION("""COMPUTED_VALUE"""),7.0)</f>
        <v>7</v>
      </c>
      <c r="S337" s="189">
        <f>IFERROR(__xludf.DUMMYFUNCTION("""COMPUTED_VALUE"""),0.0)</f>
        <v>0</v>
      </c>
      <c r="T337" s="189">
        <f>IFERROR(__xludf.DUMMYFUNCTION("""COMPUTED_VALUE"""),1.0)</f>
        <v>1</v>
      </c>
      <c r="U337" s="189">
        <f>IFERROR(__xludf.DUMMYFUNCTION("""COMPUTED_VALUE"""),7.0)</f>
        <v>7</v>
      </c>
      <c r="V337" s="189">
        <f>IFERROR(__xludf.DUMMYFUNCTION("""COMPUTED_VALUE"""),5.0)</f>
        <v>5</v>
      </c>
      <c r="W337" s="189">
        <f>IFERROR(__xludf.DUMMYFUNCTION("""COMPUTED_VALUE"""),6.0)</f>
        <v>6</v>
      </c>
      <c r="X337" s="189">
        <f>IFERROR(__xludf.DUMMYFUNCTION("""COMPUTED_VALUE"""),3.0)</f>
        <v>3</v>
      </c>
      <c r="Y337" s="189" t="str">
        <f>IFERROR(__xludf.DUMMYFUNCTION("""COMPUTED_VALUE"""),"2025-07-05T00:00:00.000Z")</f>
        <v>2025-07-05T00:00:00.000Z</v>
      </c>
      <c r="Z337" s="189" t="str">
        <f>IFERROR(__xludf.DUMMYFUNCTION("""COMPUTED_VALUE"""),"MOUZ_Ascent")</f>
        <v>MOUZ_Ascent</v>
      </c>
    </row>
    <row r="338">
      <c r="A338" s="189">
        <f>IFERROR(__xludf.DUMMYFUNCTION("""COMPUTED_VALUE"""),209062.0)</f>
        <v>209062</v>
      </c>
      <c r="B338" s="189">
        <f>IFERROR(__xludf.DUMMYFUNCTION("""COMPUTED_VALUE"""),92012.0)</f>
        <v>92012</v>
      </c>
      <c r="C338" s="189" t="str">
        <f>IFERROR(__xludf.DUMMYFUNCTION("""COMPUTED_VALUE"""),"Challengers League 2025 NORTH EAST: Split 3 - Lower Swiss Phase")</f>
        <v>Challengers League 2025 NORTH EAST: Split 3 - Lower Swiss Phase</v>
      </c>
      <c r="D338" s="189" t="str">
        <f>IFERROR(__xludf.DUMMYFUNCTION("""COMPUTED_VALUE"""),"Sunset")</f>
        <v>Sunset</v>
      </c>
      <c r="E338" s="189" t="str">
        <f>IFERROR(__xludf.DUMMYFUNCTION("""COMPUTED_VALUE"""),"Boars Gaming")</f>
        <v>Boars Gaming</v>
      </c>
      <c r="F338" s="189" t="str">
        <f>IFERROR(__xludf.DUMMYFUNCTION("""COMPUTED_VALUE"""),"Formulation Gaming")</f>
        <v>Formulation Gaming</v>
      </c>
      <c r="G338" s="189" t="str">
        <f>IFERROR(__xludf.DUMMYFUNCTION("""COMPUTED_VALUE"""),"Cypher,Sova,Omen,KAY/O,Neon")</f>
        <v>Cypher,Sova,Omen,KAY/O,Neon</v>
      </c>
      <c r="H338" s="189" t="str">
        <f>IFERROR(__xludf.DUMMYFUNCTION("""COMPUTED_VALUE"""),"Cypher,Sova,Viper,Omen,Neon")</f>
        <v>Cypher,Sova,Viper,Omen,Neon</v>
      </c>
      <c r="I338" s="189">
        <f>IFERROR(__xludf.DUMMYFUNCTION("""COMPUTED_VALUE"""),7.0)</f>
        <v>7</v>
      </c>
      <c r="J338" s="189">
        <f>IFERROR(__xludf.DUMMYFUNCTION("""COMPUTED_VALUE"""),13.0)</f>
        <v>13</v>
      </c>
      <c r="K338" s="189">
        <f>IFERROR(__xludf.DUMMYFUNCTION("""COMPUTED_VALUE"""),6.0)</f>
        <v>6</v>
      </c>
      <c r="L338" s="189">
        <f>IFERROR(__xludf.DUMMYFUNCTION("""COMPUTED_VALUE"""),6.0)</f>
        <v>6</v>
      </c>
      <c r="M338" s="189">
        <f>IFERROR(__xludf.DUMMYFUNCTION("""COMPUTED_VALUE"""),0.0)</f>
        <v>0</v>
      </c>
      <c r="N338" s="189">
        <f>IFERROR(__xludf.DUMMYFUNCTION("""COMPUTED_VALUE"""),0.0)</f>
        <v>0</v>
      </c>
      <c r="O338" s="189">
        <f>IFERROR(__xludf.DUMMYFUNCTION("""COMPUTED_VALUE"""),6.0)</f>
        <v>6</v>
      </c>
      <c r="P338" s="189">
        <f>IFERROR(__xludf.DUMMYFUNCTION("""COMPUTED_VALUE"""),6.0)</f>
        <v>6</v>
      </c>
      <c r="Q338" s="189">
        <f>IFERROR(__xludf.DUMMYFUNCTION("""COMPUTED_VALUE"""),1.0)</f>
        <v>1</v>
      </c>
      <c r="R338" s="189">
        <f>IFERROR(__xludf.DUMMYFUNCTION("""COMPUTED_VALUE"""),7.0)</f>
        <v>7</v>
      </c>
      <c r="S338" s="189">
        <f>IFERROR(__xludf.DUMMYFUNCTION("""COMPUTED_VALUE"""),1.0)</f>
        <v>1</v>
      </c>
      <c r="T338" s="189">
        <f>IFERROR(__xludf.DUMMYFUNCTION("""COMPUTED_VALUE"""),1.0)</f>
        <v>1</v>
      </c>
      <c r="U338" s="189">
        <f>IFERROR(__xludf.DUMMYFUNCTION("""COMPUTED_VALUE"""),7.0)</f>
        <v>7</v>
      </c>
      <c r="V338" s="189">
        <f>IFERROR(__xludf.DUMMYFUNCTION("""COMPUTED_VALUE"""),1.0)</f>
        <v>1</v>
      </c>
      <c r="W338" s="189">
        <f>IFERROR(__xludf.DUMMYFUNCTION("""COMPUTED_VALUE"""),6.0)</f>
        <v>6</v>
      </c>
      <c r="X338" s="189">
        <f>IFERROR(__xludf.DUMMYFUNCTION("""COMPUTED_VALUE"""),6.0)</f>
        <v>6</v>
      </c>
      <c r="Y338" s="189" t="str">
        <f>IFERROR(__xludf.DUMMYFUNCTION("""COMPUTED_VALUE"""),"2025-07-05T00:00:00.000Z")</f>
        <v>2025-07-05T00:00:00.000Z</v>
      </c>
      <c r="Z338" s="189" t="str">
        <f>IFERROR(__xludf.DUMMYFUNCTION("""COMPUTED_VALUE"""),"Boars Gaming_Sunset")</f>
        <v>Boars Gaming_Sunset</v>
      </c>
    </row>
    <row r="339">
      <c r="A339" s="189">
        <f>IFERROR(__xludf.DUMMYFUNCTION("""COMPUTED_VALUE"""),209057.0)</f>
        <v>209057</v>
      </c>
      <c r="B339" s="189">
        <f>IFERROR(__xludf.DUMMYFUNCTION("""COMPUTED_VALUE"""),92007.0)</f>
        <v>92007</v>
      </c>
      <c r="C339" s="189" t="str">
        <f>IFERROR(__xludf.DUMMYFUNCTION("""COMPUTED_VALUE"""),"Challengers League 2025 NORTH EAST: Split 3 - Lower Swiss Phase")</f>
        <v>Challengers League 2025 NORTH EAST: Split 3 - Lower Swiss Phase</v>
      </c>
      <c r="D339" s="189" t="str">
        <f>IFERROR(__xludf.DUMMYFUNCTION("""COMPUTED_VALUE"""),"Sunset")</f>
        <v>Sunset</v>
      </c>
      <c r="E339" s="189" t="str">
        <f>IFERROR(__xludf.DUMMYFUNCTION("""COMPUTED_VALUE"""),"Boars Gaming")</f>
        <v>Boars Gaming</v>
      </c>
      <c r="F339" s="189" t="str">
        <f>IFERROR(__xludf.DUMMYFUNCTION("""COMPUTED_VALUE"""),"Metizport")</f>
        <v>Metizport</v>
      </c>
      <c r="G339" s="189" t="str">
        <f>IFERROR(__xludf.DUMMYFUNCTION("""COMPUTED_VALUE"""),"Cypher,Sova,Omen,KAY/O,Neon")</f>
        <v>Cypher,Sova,Omen,KAY/O,Neon</v>
      </c>
      <c r="H339" s="189" t="str">
        <f>IFERROR(__xludf.DUMMYFUNCTION("""COMPUTED_VALUE"""),"Sova,Viper,Omen,Neon,Deadlock")</f>
        <v>Sova,Viper,Omen,Neon,Deadlock</v>
      </c>
      <c r="I339" s="189">
        <f>IFERROR(__xludf.DUMMYFUNCTION("""COMPUTED_VALUE"""),13.0)</f>
        <v>13</v>
      </c>
      <c r="J339" s="189">
        <f>IFERROR(__xludf.DUMMYFUNCTION("""COMPUTED_VALUE"""),8.0)</f>
        <v>8</v>
      </c>
      <c r="K339" s="189">
        <f>IFERROR(__xludf.DUMMYFUNCTION("""COMPUTED_VALUE"""),5.0)</f>
        <v>5</v>
      </c>
      <c r="L339" s="189">
        <f>IFERROR(__xludf.DUMMYFUNCTION("""COMPUTED_VALUE"""),7.0)</f>
        <v>7</v>
      </c>
      <c r="M339" s="189">
        <f>IFERROR(__xludf.DUMMYFUNCTION("""COMPUTED_VALUE"""),1.0)</f>
        <v>1</v>
      </c>
      <c r="N339" s="189">
        <f>IFERROR(__xludf.DUMMYFUNCTION("""COMPUTED_VALUE"""),1.0)</f>
        <v>1</v>
      </c>
      <c r="O339" s="189">
        <f>IFERROR(__xludf.DUMMYFUNCTION("""COMPUTED_VALUE"""),5.0)</f>
        <v>5</v>
      </c>
      <c r="P339" s="189">
        <f>IFERROR(__xludf.DUMMYFUNCTION("""COMPUTED_VALUE"""),7.0)</f>
        <v>7</v>
      </c>
      <c r="Q339" s="189">
        <f>IFERROR(__xludf.DUMMYFUNCTION("""COMPUTED_VALUE"""),8.0)</f>
        <v>8</v>
      </c>
      <c r="R339" s="189">
        <f>IFERROR(__xludf.DUMMYFUNCTION("""COMPUTED_VALUE"""),1.0)</f>
        <v>1</v>
      </c>
      <c r="S339" s="189">
        <f>IFERROR(__xludf.DUMMYFUNCTION("""COMPUTED_VALUE"""),0.0)</f>
        <v>0</v>
      </c>
      <c r="T339" s="189">
        <f>IFERROR(__xludf.DUMMYFUNCTION("""COMPUTED_VALUE"""),0.0)</f>
        <v>0</v>
      </c>
      <c r="U339" s="189">
        <f>IFERROR(__xludf.DUMMYFUNCTION("""COMPUTED_VALUE"""),1.0)</f>
        <v>1</v>
      </c>
      <c r="V339" s="189">
        <f>IFERROR(__xludf.DUMMYFUNCTION("""COMPUTED_VALUE"""),8.0)</f>
        <v>8</v>
      </c>
      <c r="W339" s="189">
        <f>IFERROR(__xludf.DUMMYFUNCTION("""COMPUTED_VALUE"""),7.0)</f>
        <v>7</v>
      </c>
      <c r="X339" s="189">
        <f>IFERROR(__xludf.DUMMYFUNCTION("""COMPUTED_VALUE"""),5.0)</f>
        <v>5</v>
      </c>
      <c r="Y339" s="189" t="str">
        <f>IFERROR(__xludf.DUMMYFUNCTION("""COMPUTED_VALUE"""),"2025-07-05T00:00:00.000Z")</f>
        <v>2025-07-05T00:00:00.000Z</v>
      </c>
      <c r="Z339" s="189" t="str">
        <f>IFERROR(__xludf.DUMMYFUNCTION("""COMPUTED_VALUE"""),"Boars Gaming_Sunset")</f>
        <v>Boars Gaming_Sunset</v>
      </c>
    </row>
    <row r="340">
      <c r="A340" s="189">
        <f>IFERROR(__xludf.DUMMYFUNCTION("""COMPUTED_VALUE"""),207524.0)</f>
        <v>207524</v>
      </c>
      <c r="B340" s="189">
        <f>IFERROR(__xludf.DUMMYFUNCTION("""COMPUTED_VALUE"""),91435.0)</f>
        <v>91435</v>
      </c>
      <c r="C340" s="189" t="str">
        <f>IFERROR(__xludf.DUMMYFUNCTION("""COMPUTED_VALUE"""),"Challengers League 2025 Spain Rising: Split 3 - Group Stage")</f>
        <v>Challengers League 2025 Spain Rising: Split 3 - Group Stage</v>
      </c>
      <c r="D340" s="189" t="str">
        <f>IFERROR(__xludf.DUMMYFUNCTION("""COMPUTED_VALUE"""),"Ascent")</f>
        <v>Ascent</v>
      </c>
      <c r="E340" s="189" t="str">
        <f>IFERROR(__xludf.DUMMYFUNCTION("""COMPUTED_VALUE"""),"KOI Fénix")</f>
        <v>KOI Fénix</v>
      </c>
      <c r="F340" s="189" t="str">
        <f>IFERROR(__xludf.DUMMYFUNCTION("""COMPUTED_VALUE"""),"NOVO Esports")</f>
        <v>NOVO Esports</v>
      </c>
      <c r="G340" s="189" t="str">
        <f>IFERROR(__xludf.DUMMYFUNCTION("""COMPUTED_VALUE"""),"Sova,Omen,Yoru,Chamber,Vyse")</f>
        <v>Sova,Omen,Yoru,Chamber,Vyse</v>
      </c>
      <c r="H340" s="189" t="str">
        <f>IFERROR(__xludf.DUMMYFUNCTION("""COMPUTED_VALUE"""),"Sova,Killjoy,Omen,Jett,KAY/O")</f>
        <v>Sova,Killjoy,Omen,Jett,KAY/O</v>
      </c>
      <c r="I340" s="189">
        <f>IFERROR(__xludf.DUMMYFUNCTION("""COMPUTED_VALUE"""),13.0)</f>
        <v>13</v>
      </c>
      <c r="J340" s="189">
        <f>IFERROR(__xludf.DUMMYFUNCTION("""COMPUTED_VALUE"""),7.0)</f>
        <v>7</v>
      </c>
      <c r="K340" s="189">
        <f>IFERROR(__xludf.DUMMYFUNCTION("""COMPUTED_VALUE"""),8.0)</f>
        <v>8</v>
      </c>
      <c r="L340" s="189">
        <f>IFERROR(__xludf.DUMMYFUNCTION("""COMPUTED_VALUE"""),4.0)</f>
        <v>4</v>
      </c>
      <c r="M340" s="189">
        <f>IFERROR(__xludf.DUMMYFUNCTION("""COMPUTED_VALUE"""),0.0)</f>
        <v>0</v>
      </c>
      <c r="N340" s="189">
        <f>IFERROR(__xludf.DUMMYFUNCTION("""COMPUTED_VALUE"""),1.0)</f>
        <v>1</v>
      </c>
      <c r="O340" s="189">
        <f>IFERROR(__xludf.DUMMYFUNCTION("""COMPUTED_VALUE"""),5.0)</f>
        <v>5</v>
      </c>
      <c r="P340" s="189">
        <f>IFERROR(__xludf.DUMMYFUNCTION("""COMPUTED_VALUE"""),3.0)</f>
        <v>3</v>
      </c>
      <c r="Q340" s="189">
        <f>IFERROR(__xludf.DUMMYFUNCTION("""COMPUTED_VALUE"""),8.0)</f>
        <v>8</v>
      </c>
      <c r="R340" s="189">
        <f>IFERROR(__xludf.DUMMYFUNCTION("""COMPUTED_VALUE"""),4.0)</f>
        <v>4</v>
      </c>
      <c r="S340" s="189">
        <f>IFERROR(__xludf.DUMMYFUNCTION("""COMPUTED_VALUE"""),0.0)</f>
        <v>0</v>
      </c>
      <c r="T340" s="189">
        <f>IFERROR(__xludf.DUMMYFUNCTION("""COMPUTED_VALUE"""),1.0)</f>
        <v>1</v>
      </c>
      <c r="U340" s="189">
        <f>IFERROR(__xludf.DUMMYFUNCTION("""COMPUTED_VALUE"""),4.0)</f>
        <v>4</v>
      </c>
      <c r="V340" s="189">
        <f>IFERROR(__xludf.DUMMYFUNCTION("""COMPUTED_VALUE"""),8.0)</f>
        <v>8</v>
      </c>
      <c r="W340" s="189">
        <f>IFERROR(__xludf.DUMMYFUNCTION("""COMPUTED_VALUE"""),3.0)</f>
        <v>3</v>
      </c>
      <c r="X340" s="189">
        <f>IFERROR(__xludf.DUMMYFUNCTION("""COMPUTED_VALUE"""),5.0)</f>
        <v>5</v>
      </c>
      <c r="Y340" s="189" t="str">
        <f>IFERROR(__xludf.DUMMYFUNCTION("""COMPUTED_VALUE"""),"2025-07-02T00:00:00.000Z")</f>
        <v>2025-07-02T00:00:00.000Z</v>
      </c>
      <c r="Z340" s="189" t="str">
        <f>IFERROR(__xludf.DUMMYFUNCTION("""COMPUTED_VALUE"""),"KOI Fénix_Ascent")</f>
        <v>KOI Fénix_Ascent</v>
      </c>
    </row>
    <row r="341">
      <c r="A341" s="189">
        <f>IFERROR(__xludf.DUMMYFUNCTION("""COMPUTED_VALUE"""),207523.0)</f>
        <v>207523</v>
      </c>
      <c r="B341" s="189">
        <f>IFERROR(__xludf.DUMMYFUNCTION("""COMPUTED_VALUE"""),91435.0)</f>
        <v>91435</v>
      </c>
      <c r="C341" s="189" t="str">
        <f>IFERROR(__xludf.DUMMYFUNCTION("""COMPUTED_VALUE"""),"Challengers League 2025 Spain Rising: Split 3 - Group Stage")</f>
        <v>Challengers League 2025 Spain Rising: Split 3 - Group Stage</v>
      </c>
      <c r="D341" s="189" t="str">
        <f>IFERROR(__xludf.DUMMYFUNCTION("""COMPUTED_VALUE"""),"Split")</f>
        <v>Split</v>
      </c>
      <c r="E341" s="189" t="str">
        <f>IFERROR(__xludf.DUMMYFUNCTION("""COMPUTED_VALUE"""),"KOI Fénix")</f>
        <v>KOI Fénix</v>
      </c>
      <c r="F341" s="189" t="str">
        <f>IFERROR(__xludf.DUMMYFUNCTION("""COMPUTED_VALUE"""),"NOVO Esports")</f>
        <v>NOVO Esports</v>
      </c>
      <c r="G341" s="189" t="str">
        <f>IFERROR(__xludf.DUMMYFUNCTION("""COMPUTED_VALUE"""),"Breach,Raze,Sage,Omen,Jett")</f>
        <v>Breach,Raze,Sage,Omen,Jett</v>
      </c>
      <c r="H341" s="189" t="str">
        <f>IFERROR(__xludf.DUMMYFUNCTION("""COMPUTED_VALUE"""),"Breach,Raze,Cypher,Omen,Skye")</f>
        <v>Breach,Raze,Cypher,Omen,Skye</v>
      </c>
      <c r="I341" s="189">
        <f>IFERROR(__xludf.DUMMYFUNCTION("""COMPUTED_VALUE"""),13.0)</f>
        <v>13</v>
      </c>
      <c r="J341" s="189">
        <f>IFERROR(__xludf.DUMMYFUNCTION("""COMPUTED_VALUE"""),9.0)</f>
        <v>9</v>
      </c>
      <c r="K341" s="189">
        <f>IFERROR(__xludf.DUMMYFUNCTION("""COMPUTED_VALUE"""),6.0)</f>
        <v>6</v>
      </c>
      <c r="L341" s="189">
        <f>IFERROR(__xludf.DUMMYFUNCTION("""COMPUTED_VALUE"""),6.0)</f>
        <v>6</v>
      </c>
      <c r="M341" s="189">
        <f>IFERROR(__xludf.DUMMYFUNCTION("""COMPUTED_VALUE"""),1.0)</f>
        <v>1</v>
      </c>
      <c r="N341" s="189">
        <f>IFERROR(__xludf.DUMMYFUNCTION("""COMPUTED_VALUE"""),1.0)</f>
        <v>1</v>
      </c>
      <c r="O341" s="189">
        <f>IFERROR(__xludf.DUMMYFUNCTION("""COMPUTED_VALUE"""),7.0)</f>
        <v>7</v>
      </c>
      <c r="P341" s="189">
        <f>IFERROR(__xludf.DUMMYFUNCTION("""COMPUTED_VALUE"""),3.0)</f>
        <v>3</v>
      </c>
      <c r="Q341" s="189">
        <f>IFERROR(__xludf.DUMMYFUNCTION("""COMPUTED_VALUE"""),6.0)</f>
        <v>6</v>
      </c>
      <c r="R341" s="189">
        <f>IFERROR(__xludf.DUMMYFUNCTION("""COMPUTED_VALUE"""),6.0)</f>
        <v>6</v>
      </c>
      <c r="S341" s="189">
        <f>IFERROR(__xludf.DUMMYFUNCTION("""COMPUTED_VALUE"""),0.0)</f>
        <v>0</v>
      </c>
      <c r="T341" s="189">
        <f>IFERROR(__xludf.DUMMYFUNCTION("""COMPUTED_VALUE"""),0.0)</f>
        <v>0</v>
      </c>
      <c r="U341" s="189">
        <f>IFERROR(__xludf.DUMMYFUNCTION("""COMPUTED_VALUE"""),6.0)</f>
        <v>6</v>
      </c>
      <c r="V341" s="189">
        <f>IFERROR(__xludf.DUMMYFUNCTION("""COMPUTED_VALUE"""),6.0)</f>
        <v>6</v>
      </c>
      <c r="W341" s="189">
        <f>IFERROR(__xludf.DUMMYFUNCTION("""COMPUTED_VALUE"""),3.0)</f>
        <v>3</v>
      </c>
      <c r="X341" s="189">
        <f>IFERROR(__xludf.DUMMYFUNCTION("""COMPUTED_VALUE"""),7.0)</f>
        <v>7</v>
      </c>
      <c r="Y341" s="189" t="str">
        <f>IFERROR(__xludf.DUMMYFUNCTION("""COMPUTED_VALUE"""),"2025-07-02T00:00:00.000Z")</f>
        <v>2025-07-02T00:00:00.000Z</v>
      </c>
      <c r="Z341" s="189" t="str">
        <f>IFERROR(__xludf.DUMMYFUNCTION("""COMPUTED_VALUE"""),"KOI Fénix_Split")</f>
        <v>KOI Fénix_Split</v>
      </c>
    </row>
    <row r="342">
      <c r="A342" s="189">
        <f>IFERROR(__xludf.DUMMYFUNCTION("""COMPUTED_VALUE"""),207522.0)</f>
        <v>207522</v>
      </c>
      <c r="B342" s="189">
        <f>IFERROR(__xludf.DUMMYFUNCTION("""COMPUTED_VALUE"""),91435.0)</f>
        <v>91435</v>
      </c>
      <c r="C342" s="189" t="str">
        <f>IFERROR(__xludf.DUMMYFUNCTION("""COMPUTED_VALUE"""),"Challengers League 2025 Spain Rising: Split 3 - Group Stage")</f>
        <v>Challengers League 2025 Spain Rising: Split 3 - Group Stage</v>
      </c>
      <c r="D342" s="189" t="str">
        <f>IFERROR(__xludf.DUMMYFUNCTION("""COMPUTED_VALUE"""),"Lotus")</f>
        <v>Lotus</v>
      </c>
      <c r="E342" s="189" t="str">
        <f>IFERROR(__xludf.DUMMYFUNCTION("""COMPUTED_VALUE"""),"KOI Fénix")</f>
        <v>KOI Fénix</v>
      </c>
      <c r="F342" s="189" t="str">
        <f>IFERROR(__xludf.DUMMYFUNCTION("""COMPUTED_VALUE"""),"NOVO Esports")</f>
        <v>NOVO Esports</v>
      </c>
      <c r="G342" s="189" t="str">
        <f>IFERROR(__xludf.DUMMYFUNCTION("""COMPUTED_VALUE"""),"Breach,Sova,Killjoy,Omen,Neon")</f>
        <v>Breach,Sova,Killjoy,Omen,Neon</v>
      </c>
      <c r="H342" s="189" t="str">
        <f>IFERROR(__xludf.DUMMYFUNCTION("""COMPUTED_VALUE"""),"Raze,Viper,Omen,Fade,Vyse")</f>
        <v>Raze,Viper,Omen,Fade,Vyse</v>
      </c>
      <c r="I342" s="189">
        <f>IFERROR(__xludf.DUMMYFUNCTION("""COMPUTED_VALUE"""),9.0)</f>
        <v>9</v>
      </c>
      <c r="J342" s="189">
        <f>IFERROR(__xludf.DUMMYFUNCTION("""COMPUTED_VALUE"""),13.0)</f>
        <v>13</v>
      </c>
      <c r="K342" s="189">
        <f>IFERROR(__xludf.DUMMYFUNCTION("""COMPUTED_VALUE"""),5.0)</f>
        <v>5</v>
      </c>
      <c r="L342" s="189">
        <f>IFERROR(__xludf.DUMMYFUNCTION("""COMPUTED_VALUE"""),7.0)</f>
        <v>7</v>
      </c>
      <c r="M342" s="189">
        <f>IFERROR(__xludf.DUMMYFUNCTION("""COMPUTED_VALUE"""),1.0)</f>
        <v>1</v>
      </c>
      <c r="N342" s="189">
        <f>IFERROR(__xludf.DUMMYFUNCTION("""COMPUTED_VALUE"""),0.0)</f>
        <v>0</v>
      </c>
      <c r="O342" s="189">
        <f>IFERROR(__xludf.DUMMYFUNCTION("""COMPUTED_VALUE"""),4.0)</f>
        <v>4</v>
      </c>
      <c r="P342" s="189">
        <f>IFERROR(__xludf.DUMMYFUNCTION("""COMPUTED_VALUE"""),6.0)</f>
        <v>6</v>
      </c>
      <c r="Q342" s="189">
        <f>IFERROR(__xludf.DUMMYFUNCTION("""COMPUTED_VALUE"""),5.0)</f>
        <v>5</v>
      </c>
      <c r="R342" s="189">
        <f>IFERROR(__xludf.DUMMYFUNCTION("""COMPUTED_VALUE"""),7.0)</f>
        <v>7</v>
      </c>
      <c r="S342" s="189">
        <f>IFERROR(__xludf.DUMMYFUNCTION("""COMPUTED_VALUE"""),1.0)</f>
        <v>1</v>
      </c>
      <c r="T342" s="189">
        <f>IFERROR(__xludf.DUMMYFUNCTION("""COMPUTED_VALUE"""),0.0)</f>
        <v>0</v>
      </c>
      <c r="U342" s="189">
        <f>IFERROR(__xludf.DUMMYFUNCTION("""COMPUTED_VALUE"""),7.0)</f>
        <v>7</v>
      </c>
      <c r="V342" s="189">
        <f>IFERROR(__xludf.DUMMYFUNCTION("""COMPUTED_VALUE"""),5.0)</f>
        <v>5</v>
      </c>
      <c r="W342" s="189">
        <f>IFERROR(__xludf.DUMMYFUNCTION("""COMPUTED_VALUE"""),6.0)</f>
        <v>6</v>
      </c>
      <c r="X342" s="189">
        <f>IFERROR(__xludf.DUMMYFUNCTION("""COMPUTED_VALUE"""),4.0)</f>
        <v>4</v>
      </c>
      <c r="Y342" s="189" t="str">
        <f>IFERROR(__xludf.DUMMYFUNCTION("""COMPUTED_VALUE"""),"2025-07-02T00:00:00.000Z")</f>
        <v>2025-07-02T00:00:00.000Z</v>
      </c>
      <c r="Z342" s="189" t="str">
        <f>IFERROR(__xludf.DUMMYFUNCTION("""COMPUTED_VALUE"""),"KOI Fénix_Lotus")</f>
        <v>KOI Fénix_Lotus</v>
      </c>
    </row>
    <row r="343">
      <c r="A343" s="189">
        <f>IFERROR(__xludf.DUMMYFUNCTION("""COMPUTED_VALUE"""),207805.0)</f>
        <v>207805</v>
      </c>
      <c r="B343" s="189">
        <f>IFERROR(__xludf.DUMMYFUNCTION("""COMPUTED_VALUE"""),91581.0)</f>
        <v>91581</v>
      </c>
      <c r="C343" s="189" t="str">
        <f>IFERROR(__xludf.DUMMYFUNCTION("""COMPUTED_VALUE"""),"BtcTurk GameFest - Stage 3")</f>
        <v>BtcTurk GameFest - Stage 3</v>
      </c>
      <c r="D343" s="189" t="str">
        <f>IFERROR(__xludf.DUMMYFUNCTION("""COMPUTED_VALUE"""),"Sunset")</f>
        <v>Sunset</v>
      </c>
      <c r="E343" s="189" t="str">
        <f>IFERROR(__xludf.DUMMYFUNCTION("""COMPUTED_VALUE"""),"BBL PCIFIC")</f>
        <v>BBL PCIFIC</v>
      </c>
      <c r="F343" s="189" t="str">
        <f>IFERROR(__xludf.DUMMYFUNCTION("""COMPUTED_VALUE"""),"Gentle Mates")</f>
        <v>Gentle Mates</v>
      </c>
      <c r="G343" s="189" t="str">
        <f>IFERROR(__xludf.DUMMYFUNCTION("""COMPUTED_VALUE"""),"Breach,Cypher,Sova,Omen,Neon")</f>
        <v>Breach,Cypher,Sova,Omen,Neon</v>
      </c>
      <c r="H343" s="189" t="str">
        <f>IFERROR(__xludf.DUMMYFUNCTION("""COMPUTED_VALUE"""),"Cypher,Sova,Viper,Omen,Neon")</f>
        <v>Cypher,Sova,Viper,Omen,Neon</v>
      </c>
      <c r="I343" s="189">
        <f>IFERROR(__xludf.DUMMYFUNCTION("""COMPUTED_VALUE"""),11.0)</f>
        <v>11</v>
      </c>
      <c r="J343" s="189">
        <f>IFERROR(__xludf.DUMMYFUNCTION("""COMPUTED_VALUE"""),13.0)</f>
        <v>13</v>
      </c>
      <c r="K343" s="189">
        <f>IFERROR(__xludf.DUMMYFUNCTION("""COMPUTED_VALUE"""),8.0)</f>
        <v>8</v>
      </c>
      <c r="L343" s="189">
        <f>IFERROR(__xludf.DUMMYFUNCTION("""COMPUTED_VALUE"""),4.0)</f>
        <v>4</v>
      </c>
      <c r="M343" s="189">
        <f>IFERROR(__xludf.DUMMYFUNCTION("""COMPUTED_VALUE"""),1.0)</f>
        <v>1</v>
      </c>
      <c r="N343" s="189">
        <f>IFERROR(__xludf.DUMMYFUNCTION("""COMPUTED_VALUE"""),0.0)</f>
        <v>0</v>
      </c>
      <c r="O343" s="189">
        <f>IFERROR(__xludf.DUMMYFUNCTION("""COMPUTED_VALUE"""),8.0)</f>
        <v>8</v>
      </c>
      <c r="P343" s="189">
        <f>IFERROR(__xludf.DUMMYFUNCTION("""COMPUTED_VALUE"""),4.0)</f>
        <v>4</v>
      </c>
      <c r="Q343" s="189">
        <f>IFERROR(__xludf.DUMMYFUNCTION("""COMPUTED_VALUE"""),3.0)</f>
        <v>3</v>
      </c>
      <c r="R343" s="189">
        <f>IFERROR(__xludf.DUMMYFUNCTION("""COMPUTED_VALUE"""),9.0)</f>
        <v>9</v>
      </c>
      <c r="S343" s="189">
        <f>IFERROR(__xludf.DUMMYFUNCTION("""COMPUTED_VALUE"""),1.0)</f>
        <v>1</v>
      </c>
      <c r="T343" s="189">
        <f>IFERROR(__xludf.DUMMYFUNCTION("""COMPUTED_VALUE"""),0.0)</f>
        <v>0</v>
      </c>
      <c r="U343" s="189">
        <f>IFERROR(__xludf.DUMMYFUNCTION("""COMPUTED_VALUE"""),9.0)</f>
        <v>9</v>
      </c>
      <c r="V343" s="189">
        <f>IFERROR(__xludf.DUMMYFUNCTION("""COMPUTED_VALUE"""),3.0)</f>
        <v>3</v>
      </c>
      <c r="W343" s="189">
        <f>IFERROR(__xludf.DUMMYFUNCTION("""COMPUTED_VALUE"""),4.0)</f>
        <v>4</v>
      </c>
      <c r="X343" s="189">
        <f>IFERROR(__xludf.DUMMYFUNCTION("""COMPUTED_VALUE"""),8.0)</f>
        <v>8</v>
      </c>
      <c r="Y343" s="189" t="str">
        <f>IFERROR(__xludf.DUMMYFUNCTION("""COMPUTED_VALUE"""),"2025-06-28T00:00:00.000Z")</f>
        <v>2025-06-28T00:00:00.000Z</v>
      </c>
      <c r="Z343" s="189" t="str">
        <f>IFERROR(__xludf.DUMMYFUNCTION("""COMPUTED_VALUE"""),"BBL PCIFIC_Sunset")</f>
        <v>BBL PCIFIC_Sunset</v>
      </c>
    </row>
    <row r="344">
      <c r="A344" s="189">
        <f>IFERROR(__xludf.DUMMYFUNCTION("""COMPUTED_VALUE"""),207804.0)</f>
        <v>207804</v>
      </c>
      <c r="B344" s="189">
        <f>IFERROR(__xludf.DUMMYFUNCTION("""COMPUTED_VALUE"""),91581.0)</f>
        <v>91581</v>
      </c>
      <c r="C344" s="189" t="str">
        <f>IFERROR(__xludf.DUMMYFUNCTION("""COMPUTED_VALUE"""),"BtcTurk GameFest - Stage 3")</f>
        <v>BtcTurk GameFest - Stage 3</v>
      </c>
      <c r="D344" s="189" t="str">
        <f>IFERROR(__xludf.DUMMYFUNCTION("""COMPUTED_VALUE"""),"Haven")</f>
        <v>Haven</v>
      </c>
      <c r="E344" s="189" t="str">
        <f>IFERROR(__xludf.DUMMYFUNCTION("""COMPUTED_VALUE"""),"BBL PCIFIC")</f>
        <v>BBL PCIFIC</v>
      </c>
      <c r="F344" s="189" t="str">
        <f>IFERROR(__xludf.DUMMYFUNCTION("""COMPUTED_VALUE"""),"Gentle Mates")</f>
        <v>Gentle Mates</v>
      </c>
      <c r="G344" s="189" t="str">
        <f>IFERROR(__xludf.DUMMYFUNCTION("""COMPUTED_VALUE"""),"Breach,Cypher,Sova,Omen,Jett")</f>
        <v>Breach,Cypher,Sova,Omen,Jett</v>
      </c>
      <c r="H344" s="189" t="str">
        <f>IFERROR(__xludf.DUMMYFUNCTION("""COMPUTED_VALUE"""),"Sova,Killjoy,Viper,Omen,Neon")</f>
        <v>Sova,Killjoy,Viper,Omen,Neon</v>
      </c>
      <c r="I344" s="189">
        <f>IFERROR(__xludf.DUMMYFUNCTION("""COMPUTED_VALUE"""),13.0)</f>
        <v>13</v>
      </c>
      <c r="J344" s="189">
        <f>IFERROR(__xludf.DUMMYFUNCTION("""COMPUTED_VALUE"""),11.0)</f>
        <v>11</v>
      </c>
      <c r="K344" s="189">
        <f>IFERROR(__xludf.DUMMYFUNCTION("""COMPUTED_VALUE"""),9.0)</f>
        <v>9</v>
      </c>
      <c r="L344" s="189">
        <f>IFERROR(__xludf.DUMMYFUNCTION("""COMPUTED_VALUE"""),3.0)</f>
        <v>3</v>
      </c>
      <c r="M344" s="189">
        <f>IFERROR(__xludf.DUMMYFUNCTION("""COMPUTED_VALUE"""),1.0)</f>
        <v>1</v>
      </c>
      <c r="N344" s="189">
        <f>IFERROR(__xludf.DUMMYFUNCTION("""COMPUTED_VALUE"""),0.0)</f>
        <v>0</v>
      </c>
      <c r="O344" s="189">
        <f>IFERROR(__xludf.DUMMYFUNCTION("""COMPUTED_VALUE"""),9.0)</f>
        <v>9</v>
      </c>
      <c r="P344" s="189">
        <f>IFERROR(__xludf.DUMMYFUNCTION("""COMPUTED_VALUE"""),3.0)</f>
        <v>3</v>
      </c>
      <c r="Q344" s="189">
        <f>IFERROR(__xludf.DUMMYFUNCTION("""COMPUTED_VALUE"""),4.0)</f>
        <v>4</v>
      </c>
      <c r="R344" s="189">
        <f>IFERROR(__xludf.DUMMYFUNCTION("""COMPUTED_VALUE"""),8.0)</f>
        <v>8</v>
      </c>
      <c r="S344" s="189">
        <f>IFERROR(__xludf.DUMMYFUNCTION("""COMPUTED_VALUE"""),1.0)</f>
        <v>1</v>
      </c>
      <c r="T344" s="189">
        <f>IFERROR(__xludf.DUMMYFUNCTION("""COMPUTED_VALUE"""),0.0)</f>
        <v>0</v>
      </c>
      <c r="U344" s="189">
        <f>IFERROR(__xludf.DUMMYFUNCTION("""COMPUTED_VALUE"""),8.0)</f>
        <v>8</v>
      </c>
      <c r="V344" s="189">
        <f>IFERROR(__xludf.DUMMYFUNCTION("""COMPUTED_VALUE"""),4.0)</f>
        <v>4</v>
      </c>
      <c r="W344" s="189">
        <f>IFERROR(__xludf.DUMMYFUNCTION("""COMPUTED_VALUE"""),3.0)</f>
        <v>3</v>
      </c>
      <c r="X344" s="189">
        <f>IFERROR(__xludf.DUMMYFUNCTION("""COMPUTED_VALUE"""),9.0)</f>
        <v>9</v>
      </c>
      <c r="Y344" s="189" t="str">
        <f>IFERROR(__xludf.DUMMYFUNCTION("""COMPUTED_VALUE"""),"2025-06-28T00:00:00.000Z")</f>
        <v>2025-06-28T00:00:00.000Z</v>
      </c>
      <c r="Z344" s="189" t="str">
        <f>IFERROR(__xludf.DUMMYFUNCTION("""COMPUTED_VALUE"""),"BBL PCIFIC_Haven")</f>
        <v>BBL PCIFIC_Haven</v>
      </c>
    </row>
    <row r="345">
      <c r="A345" s="189">
        <f>IFERROR(__xludf.DUMMYFUNCTION("""COMPUTED_VALUE"""),207803.0)</f>
        <v>207803</v>
      </c>
      <c r="B345" s="189">
        <f>IFERROR(__xludf.DUMMYFUNCTION("""COMPUTED_VALUE"""),91581.0)</f>
        <v>91581</v>
      </c>
      <c r="C345" s="189" t="str">
        <f>IFERROR(__xludf.DUMMYFUNCTION("""COMPUTED_VALUE"""),"BtcTurk GameFest - Stage 3")</f>
        <v>BtcTurk GameFest - Stage 3</v>
      </c>
      <c r="D345" s="189" t="str">
        <f>IFERROR(__xludf.DUMMYFUNCTION("""COMPUTED_VALUE"""),"Lotus")</f>
        <v>Lotus</v>
      </c>
      <c r="E345" s="189" t="str">
        <f>IFERROR(__xludf.DUMMYFUNCTION("""COMPUTED_VALUE"""),"BBL PCIFIC")</f>
        <v>BBL PCIFIC</v>
      </c>
      <c r="F345" s="189" t="str">
        <f>IFERROR(__xludf.DUMMYFUNCTION("""COMPUTED_VALUE"""),"Gentle Mates")</f>
        <v>Gentle Mates</v>
      </c>
      <c r="G345" s="189" t="str">
        <f>IFERROR(__xludf.DUMMYFUNCTION("""COMPUTED_VALUE"""),"Breach,Cypher,Sova,Omen,Neon")</f>
        <v>Breach,Cypher,Sova,Omen,Neon</v>
      </c>
      <c r="H345" s="189" t="str">
        <f>IFERROR(__xludf.DUMMYFUNCTION("""COMPUTED_VALUE"""),"Viper,Omen,Yoru,Chamber,Fade")</f>
        <v>Viper,Omen,Yoru,Chamber,Fade</v>
      </c>
      <c r="I345" s="189">
        <f>IFERROR(__xludf.DUMMYFUNCTION("""COMPUTED_VALUE"""),7.0)</f>
        <v>7</v>
      </c>
      <c r="J345" s="189">
        <f>IFERROR(__xludf.DUMMYFUNCTION("""COMPUTED_VALUE"""),13.0)</f>
        <v>13</v>
      </c>
      <c r="K345" s="189">
        <f>IFERROR(__xludf.DUMMYFUNCTION("""COMPUTED_VALUE"""),5.0)</f>
        <v>5</v>
      </c>
      <c r="L345" s="189">
        <f>IFERROR(__xludf.DUMMYFUNCTION("""COMPUTED_VALUE"""),7.0)</f>
        <v>7</v>
      </c>
      <c r="M345" s="189">
        <f>IFERROR(__xludf.DUMMYFUNCTION("""COMPUTED_VALUE"""),0.0)</f>
        <v>0</v>
      </c>
      <c r="N345" s="189">
        <f>IFERROR(__xludf.DUMMYFUNCTION("""COMPUTED_VALUE"""),0.0)</f>
        <v>0</v>
      </c>
      <c r="O345" s="189">
        <f>IFERROR(__xludf.DUMMYFUNCTION("""COMPUTED_VALUE"""),2.0)</f>
        <v>2</v>
      </c>
      <c r="P345" s="189">
        <f>IFERROR(__xludf.DUMMYFUNCTION("""COMPUTED_VALUE"""),6.0)</f>
        <v>6</v>
      </c>
      <c r="Q345" s="189">
        <f>IFERROR(__xludf.DUMMYFUNCTION("""COMPUTED_VALUE"""),5.0)</f>
        <v>5</v>
      </c>
      <c r="R345" s="189">
        <f>IFERROR(__xludf.DUMMYFUNCTION("""COMPUTED_VALUE"""),7.0)</f>
        <v>7</v>
      </c>
      <c r="S345" s="189">
        <f>IFERROR(__xludf.DUMMYFUNCTION("""COMPUTED_VALUE"""),1.0)</f>
        <v>1</v>
      </c>
      <c r="T345" s="189">
        <f>IFERROR(__xludf.DUMMYFUNCTION("""COMPUTED_VALUE"""),1.0)</f>
        <v>1</v>
      </c>
      <c r="U345" s="189">
        <f>IFERROR(__xludf.DUMMYFUNCTION("""COMPUTED_VALUE"""),7.0)</f>
        <v>7</v>
      </c>
      <c r="V345" s="189">
        <f>IFERROR(__xludf.DUMMYFUNCTION("""COMPUTED_VALUE"""),5.0)</f>
        <v>5</v>
      </c>
      <c r="W345" s="189">
        <f>IFERROR(__xludf.DUMMYFUNCTION("""COMPUTED_VALUE"""),6.0)</f>
        <v>6</v>
      </c>
      <c r="X345" s="189">
        <f>IFERROR(__xludf.DUMMYFUNCTION("""COMPUTED_VALUE"""),2.0)</f>
        <v>2</v>
      </c>
      <c r="Y345" s="189" t="str">
        <f>IFERROR(__xludf.DUMMYFUNCTION("""COMPUTED_VALUE"""),"2025-06-28T00:00:00.000Z")</f>
        <v>2025-06-28T00:00:00.000Z</v>
      </c>
      <c r="Z345" s="189" t="str">
        <f>IFERROR(__xludf.DUMMYFUNCTION("""COMPUTED_VALUE"""),"BBL PCIFIC_Lotus")</f>
        <v>BBL PCIFIC_Lotus</v>
      </c>
    </row>
    <row r="346">
      <c r="A346" s="189">
        <f>IFERROR(__xludf.DUMMYFUNCTION("""COMPUTED_VALUE"""),207801.0)</f>
        <v>207801</v>
      </c>
      <c r="B346" s="189">
        <f>IFERROR(__xludf.DUMMYFUNCTION("""COMPUTED_VALUE"""),91580.0)</f>
        <v>91580</v>
      </c>
      <c r="C346" s="189" t="str">
        <f>IFERROR(__xludf.DUMMYFUNCTION("""COMPUTED_VALUE"""),"BtcTurk GameFest - Stage 3")</f>
        <v>BtcTurk GameFest - Stage 3</v>
      </c>
      <c r="D346" s="189" t="str">
        <f>IFERROR(__xludf.DUMMYFUNCTION("""COMPUTED_VALUE"""),"Icebox")</f>
        <v>Icebox</v>
      </c>
      <c r="E346" s="189" t="str">
        <f>IFERROR(__xludf.DUMMYFUNCTION("""COMPUTED_VALUE"""),"ULF Esports")</f>
        <v>ULF Esports</v>
      </c>
      <c r="F346" s="189" t="str">
        <f>IFERROR(__xludf.DUMMYFUNCTION("""COMPUTED_VALUE"""),"Natus Vincere")</f>
        <v>Natus Vincere</v>
      </c>
      <c r="G346" s="189" t="str">
        <f>IFERROR(__xludf.DUMMYFUNCTION("""COMPUTED_VALUE"""),"Sova,Killjoy,Viper,Omen,Jett")</f>
        <v>Sova,Killjoy,Viper,Omen,Jett</v>
      </c>
      <c r="H346" s="189" t="str">
        <f>IFERROR(__xludf.DUMMYFUNCTION("""COMPUTED_VALUE"""),"Sova,Killjoy,Viper,Sage,Jett")</f>
        <v>Sova,Killjoy,Viper,Sage,Jett</v>
      </c>
      <c r="I346" s="189">
        <f>IFERROR(__xludf.DUMMYFUNCTION("""COMPUTED_VALUE"""),7.0)</f>
        <v>7</v>
      </c>
      <c r="J346" s="189">
        <f>IFERROR(__xludf.DUMMYFUNCTION("""COMPUTED_VALUE"""),13.0)</f>
        <v>13</v>
      </c>
      <c r="K346" s="189">
        <f>IFERROR(__xludf.DUMMYFUNCTION("""COMPUTED_VALUE"""),4.0)</f>
        <v>4</v>
      </c>
      <c r="L346" s="189">
        <f>IFERROR(__xludf.DUMMYFUNCTION("""COMPUTED_VALUE"""),8.0)</f>
        <v>8</v>
      </c>
      <c r="M346" s="189">
        <f>IFERROR(__xludf.DUMMYFUNCTION("""COMPUTED_VALUE"""),0.0)</f>
        <v>0</v>
      </c>
      <c r="N346" s="189">
        <f>IFERROR(__xludf.DUMMYFUNCTION("""COMPUTED_VALUE"""),1.0)</f>
        <v>1</v>
      </c>
      <c r="O346" s="189">
        <f>IFERROR(__xludf.DUMMYFUNCTION("""COMPUTED_VALUE"""),4.0)</f>
        <v>4</v>
      </c>
      <c r="P346" s="189">
        <f>IFERROR(__xludf.DUMMYFUNCTION("""COMPUTED_VALUE"""),8.0)</f>
        <v>8</v>
      </c>
      <c r="Q346" s="189">
        <f>IFERROR(__xludf.DUMMYFUNCTION("""COMPUTED_VALUE"""),3.0)</f>
        <v>3</v>
      </c>
      <c r="R346" s="189">
        <f>IFERROR(__xludf.DUMMYFUNCTION("""COMPUTED_VALUE"""),5.0)</f>
        <v>5</v>
      </c>
      <c r="S346" s="189">
        <f>IFERROR(__xludf.DUMMYFUNCTION("""COMPUTED_VALUE"""),0.0)</f>
        <v>0</v>
      </c>
      <c r="T346" s="189">
        <f>IFERROR(__xludf.DUMMYFUNCTION("""COMPUTED_VALUE"""),1.0)</f>
        <v>1</v>
      </c>
      <c r="U346" s="189">
        <f>IFERROR(__xludf.DUMMYFUNCTION("""COMPUTED_VALUE"""),5.0)</f>
        <v>5</v>
      </c>
      <c r="V346" s="189">
        <f>IFERROR(__xludf.DUMMYFUNCTION("""COMPUTED_VALUE"""),3.0)</f>
        <v>3</v>
      </c>
      <c r="W346" s="189">
        <f>IFERROR(__xludf.DUMMYFUNCTION("""COMPUTED_VALUE"""),8.0)</f>
        <v>8</v>
      </c>
      <c r="X346" s="189">
        <f>IFERROR(__xludf.DUMMYFUNCTION("""COMPUTED_VALUE"""),4.0)</f>
        <v>4</v>
      </c>
      <c r="Y346" s="189" t="str">
        <f>IFERROR(__xludf.DUMMYFUNCTION("""COMPUTED_VALUE"""),"2025-06-28T00:00:00.000Z")</f>
        <v>2025-06-28T00:00:00.000Z</v>
      </c>
      <c r="Z346" s="189" t="str">
        <f>IFERROR(__xludf.DUMMYFUNCTION("""COMPUTED_VALUE"""),"ULF Esports_Icebox")</f>
        <v>ULF Esports_Icebox</v>
      </c>
    </row>
    <row r="347">
      <c r="A347" s="189">
        <f>IFERROR(__xludf.DUMMYFUNCTION("""COMPUTED_VALUE"""),208057.0)</f>
        <v>208057</v>
      </c>
      <c r="B347" s="189">
        <f>IFERROR(__xludf.DUMMYFUNCTION("""COMPUTED_VALUE"""),91665.0)</f>
        <v>91665</v>
      </c>
      <c r="C347" s="189" t="str">
        <f>IFERROR(__xludf.DUMMYFUNCTION("""COMPUTED_VALUE"""),"Challengers League 2025 NORTH EAST: Split 3 - East Qualifier")</f>
        <v>Challengers League 2025 NORTH EAST: Split 3 - East Qualifier</v>
      </c>
      <c r="D347" s="189" t="str">
        <f>IFERROR(__xludf.DUMMYFUNCTION("""COMPUTED_VALUE"""),"Pearl")</f>
        <v>Pearl</v>
      </c>
      <c r="E347" s="189" t="str">
        <f>IFERROR(__xludf.DUMMYFUNCTION("""COMPUTED_VALUE"""),"Boars Gaming")</f>
        <v>Boars Gaming</v>
      </c>
      <c r="F347" s="189" t="str">
        <f>IFERROR(__xludf.DUMMYFUNCTION("""COMPUTED_VALUE"""),"Easties")</f>
        <v>Easties</v>
      </c>
      <c r="G347" s="189" t="str">
        <f>IFERROR(__xludf.DUMMYFUNCTION("""COMPUTED_VALUE"""),"Cypher,Sova,Astra,KAY/O,Neon")</f>
        <v>Cypher,Sova,Astra,KAY/O,Neon</v>
      </c>
      <c r="H347" s="189" t="str">
        <f>IFERROR(__xludf.DUMMYFUNCTION("""COMPUTED_VALUE"""),"Cypher,Sova,Astra,KAY/O,Neon")</f>
        <v>Cypher,Sova,Astra,KAY/O,Neon</v>
      </c>
      <c r="I347" s="189">
        <f>IFERROR(__xludf.DUMMYFUNCTION("""COMPUTED_VALUE"""),13.0)</f>
        <v>13</v>
      </c>
      <c r="J347" s="189">
        <f>IFERROR(__xludf.DUMMYFUNCTION("""COMPUTED_VALUE"""),6.0)</f>
        <v>6</v>
      </c>
      <c r="K347" s="189">
        <f>IFERROR(__xludf.DUMMYFUNCTION("""COMPUTED_VALUE"""),8.0)</f>
        <v>8</v>
      </c>
      <c r="L347" s="189">
        <f>IFERROR(__xludf.DUMMYFUNCTION("""COMPUTED_VALUE"""),4.0)</f>
        <v>4</v>
      </c>
      <c r="M347" s="189">
        <f>IFERROR(__xludf.DUMMYFUNCTION("""COMPUTED_VALUE"""),1.0)</f>
        <v>1</v>
      </c>
      <c r="N347" s="189">
        <f>IFERROR(__xludf.DUMMYFUNCTION("""COMPUTED_VALUE"""),0.0)</f>
        <v>0</v>
      </c>
      <c r="O347" s="189">
        <f>IFERROR(__xludf.DUMMYFUNCTION("""COMPUTED_VALUE"""),8.0)</f>
        <v>8</v>
      </c>
      <c r="P347" s="189">
        <f>IFERROR(__xludf.DUMMYFUNCTION("""COMPUTED_VALUE"""),4.0)</f>
        <v>4</v>
      </c>
      <c r="Q347" s="189">
        <f>IFERROR(__xludf.DUMMYFUNCTION("""COMPUTED_VALUE"""),5.0)</f>
        <v>5</v>
      </c>
      <c r="R347" s="189">
        <f>IFERROR(__xludf.DUMMYFUNCTION("""COMPUTED_VALUE"""),2.0)</f>
        <v>2</v>
      </c>
      <c r="S347" s="189">
        <f>IFERROR(__xludf.DUMMYFUNCTION("""COMPUTED_VALUE"""),1.0)</f>
        <v>1</v>
      </c>
      <c r="T347" s="189">
        <f>IFERROR(__xludf.DUMMYFUNCTION("""COMPUTED_VALUE"""),0.0)</f>
        <v>0</v>
      </c>
      <c r="U347" s="189">
        <f>IFERROR(__xludf.DUMMYFUNCTION("""COMPUTED_VALUE"""),2.0)</f>
        <v>2</v>
      </c>
      <c r="V347" s="189">
        <f>IFERROR(__xludf.DUMMYFUNCTION("""COMPUTED_VALUE"""),5.0)</f>
        <v>5</v>
      </c>
      <c r="W347" s="189">
        <f>IFERROR(__xludf.DUMMYFUNCTION("""COMPUTED_VALUE"""),4.0)</f>
        <v>4</v>
      </c>
      <c r="X347" s="189">
        <f>IFERROR(__xludf.DUMMYFUNCTION("""COMPUTED_VALUE"""),8.0)</f>
        <v>8</v>
      </c>
      <c r="Y347" s="189" t="str">
        <f>IFERROR(__xludf.DUMMYFUNCTION("""COMPUTED_VALUE"""),"2025-06-28T00:00:00.000Z")</f>
        <v>2025-06-28T00:00:00.000Z</v>
      </c>
      <c r="Z347" s="189" t="str">
        <f>IFERROR(__xludf.DUMMYFUNCTION("""COMPUTED_VALUE"""),"Boars Gaming_Pearl")</f>
        <v>Boars Gaming_Pearl</v>
      </c>
    </row>
    <row r="348">
      <c r="A348" s="189">
        <f>IFERROR(__xludf.DUMMYFUNCTION("""COMPUTED_VALUE"""),207800.0)</f>
        <v>207800</v>
      </c>
      <c r="B348" s="189">
        <f>IFERROR(__xludf.DUMMYFUNCTION("""COMPUTED_VALUE"""),91580.0)</f>
        <v>91580</v>
      </c>
      <c r="C348" s="189" t="str">
        <f>IFERROR(__xludf.DUMMYFUNCTION("""COMPUTED_VALUE"""),"BtcTurk GameFest - Stage 3")</f>
        <v>BtcTurk GameFest - Stage 3</v>
      </c>
      <c r="D348" s="189" t="str">
        <f>IFERROR(__xludf.DUMMYFUNCTION("""COMPUTED_VALUE"""),"Sunset")</f>
        <v>Sunset</v>
      </c>
      <c r="E348" s="189" t="str">
        <f>IFERROR(__xludf.DUMMYFUNCTION("""COMPUTED_VALUE"""),"ULF Esports")</f>
        <v>ULF Esports</v>
      </c>
      <c r="F348" s="189" t="str">
        <f>IFERROR(__xludf.DUMMYFUNCTION("""COMPUTED_VALUE"""),"Natus Vincere")</f>
        <v>Natus Vincere</v>
      </c>
      <c r="G348" s="189" t="str">
        <f>IFERROR(__xludf.DUMMYFUNCTION("""COMPUTED_VALUE"""),"Breach,Sova,Omen,Neon,Vyse")</f>
        <v>Breach,Sova,Omen,Neon,Vyse</v>
      </c>
      <c r="H348" s="189" t="str">
        <f>IFERROR(__xludf.DUMMYFUNCTION("""COMPUTED_VALUE"""),"Cypher,Sova,Omen,KAY/O,Neon")</f>
        <v>Cypher,Sova,Omen,KAY/O,Neon</v>
      </c>
      <c r="I348" s="189">
        <f>IFERROR(__xludf.DUMMYFUNCTION("""COMPUTED_VALUE"""),3.0)</f>
        <v>3</v>
      </c>
      <c r="J348" s="189">
        <f>IFERROR(__xludf.DUMMYFUNCTION("""COMPUTED_VALUE"""),13.0)</f>
        <v>13</v>
      </c>
      <c r="K348" s="189">
        <f>IFERROR(__xludf.DUMMYFUNCTION("""COMPUTED_VALUE"""),3.0)</f>
        <v>3</v>
      </c>
      <c r="L348" s="189">
        <f>IFERROR(__xludf.DUMMYFUNCTION("""COMPUTED_VALUE"""),9.0)</f>
        <v>9</v>
      </c>
      <c r="M348" s="189">
        <f>IFERROR(__xludf.DUMMYFUNCTION("""COMPUTED_VALUE"""),0.0)</f>
        <v>0</v>
      </c>
      <c r="N348" s="189">
        <f>IFERROR(__xludf.DUMMYFUNCTION("""COMPUTED_VALUE"""),0.0)</f>
        <v>0</v>
      </c>
      <c r="O348" s="189">
        <f>IFERROR(__xludf.DUMMYFUNCTION("""COMPUTED_VALUE"""),3.0)</f>
        <v>3</v>
      </c>
      <c r="P348" s="189">
        <f>IFERROR(__xludf.DUMMYFUNCTION("""COMPUTED_VALUE"""),9.0)</f>
        <v>9</v>
      </c>
      <c r="Q348" s="189">
        <f>IFERROR(__xludf.DUMMYFUNCTION("""COMPUTED_VALUE"""),0.0)</f>
        <v>0</v>
      </c>
      <c r="R348" s="189">
        <f>IFERROR(__xludf.DUMMYFUNCTION("""COMPUTED_VALUE"""),4.0)</f>
        <v>4</v>
      </c>
      <c r="S348" s="189">
        <f>IFERROR(__xludf.DUMMYFUNCTION("""COMPUTED_VALUE"""),1.0)</f>
        <v>1</v>
      </c>
      <c r="T348" s="189">
        <f>IFERROR(__xludf.DUMMYFUNCTION("""COMPUTED_VALUE"""),1.0)</f>
        <v>1</v>
      </c>
      <c r="U348" s="189">
        <f>IFERROR(__xludf.DUMMYFUNCTION("""COMPUTED_VALUE"""),4.0)</f>
        <v>4</v>
      </c>
      <c r="V348" s="189">
        <f>IFERROR(__xludf.DUMMYFUNCTION("""COMPUTED_VALUE"""),0.0)</f>
        <v>0</v>
      </c>
      <c r="W348" s="189">
        <f>IFERROR(__xludf.DUMMYFUNCTION("""COMPUTED_VALUE"""),9.0)</f>
        <v>9</v>
      </c>
      <c r="X348" s="189">
        <f>IFERROR(__xludf.DUMMYFUNCTION("""COMPUTED_VALUE"""),3.0)</f>
        <v>3</v>
      </c>
      <c r="Y348" s="189" t="str">
        <f>IFERROR(__xludf.DUMMYFUNCTION("""COMPUTED_VALUE"""),"2025-06-28T00:00:00.000Z")</f>
        <v>2025-06-28T00:00:00.000Z</v>
      </c>
      <c r="Z348" s="189" t="str">
        <f>IFERROR(__xludf.DUMMYFUNCTION("""COMPUTED_VALUE"""),"ULF Esports_Sunset")</f>
        <v>ULF Esports_Sunset</v>
      </c>
    </row>
    <row r="349">
      <c r="A349" s="189">
        <f>IFERROR(__xludf.DUMMYFUNCTION("""COMPUTED_VALUE"""),208056.0)</f>
        <v>208056</v>
      </c>
      <c r="B349" s="189">
        <f>IFERROR(__xludf.DUMMYFUNCTION("""COMPUTED_VALUE"""),91665.0)</f>
        <v>91665</v>
      </c>
      <c r="C349" s="189" t="str">
        <f>IFERROR(__xludf.DUMMYFUNCTION("""COMPUTED_VALUE"""),"Challengers League 2025 NORTH EAST: Split 3 - East Qualifier")</f>
        <v>Challengers League 2025 NORTH EAST: Split 3 - East Qualifier</v>
      </c>
      <c r="D349" s="189" t="str">
        <f>IFERROR(__xludf.DUMMYFUNCTION("""COMPUTED_VALUE"""),"Split")</f>
        <v>Split</v>
      </c>
      <c r="E349" s="189" t="str">
        <f>IFERROR(__xludf.DUMMYFUNCTION("""COMPUTED_VALUE"""),"Boars Gaming")</f>
        <v>Boars Gaming</v>
      </c>
      <c r="F349" s="189" t="str">
        <f>IFERROR(__xludf.DUMMYFUNCTION("""COMPUTED_VALUE"""),"Easties")</f>
        <v>Easties</v>
      </c>
      <c r="G349" s="189" t="str">
        <f>IFERROR(__xludf.DUMMYFUNCTION("""COMPUTED_VALUE"""),"Breach,Cypher,Omen,Neon,Tejo")</f>
        <v>Breach,Cypher,Omen,Neon,Tejo</v>
      </c>
      <c r="H349" s="189" t="str">
        <f>IFERROR(__xludf.DUMMYFUNCTION("""COMPUTED_VALUE"""),"Viper,Omen,Yoru,Fade,Vyse")</f>
        <v>Viper,Omen,Yoru,Fade,Vyse</v>
      </c>
      <c r="I349" s="189">
        <f>IFERROR(__xludf.DUMMYFUNCTION("""COMPUTED_VALUE"""),13.0)</f>
        <v>13</v>
      </c>
      <c r="J349" s="189">
        <f>IFERROR(__xludf.DUMMYFUNCTION("""COMPUTED_VALUE"""),15.0)</f>
        <v>15</v>
      </c>
      <c r="K349" s="189">
        <f>IFERROR(__xludf.DUMMYFUNCTION("""COMPUTED_VALUE"""),7.0)</f>
        <v>7</v>
      </c>
      <c r="L349" s="189">
        <f>IFERROR(__xludf.DUMMYFUNCTION("""COMPUTED_VALUE"""),5.0)</f>
        <v>5</v>
      </c>
      <c r="M349" s="189">
        <f>IFERROR(__xludf.DUMMYFUNCTION("""COMPUTED_VALUE"""),0.0)</f>
        <v>0</v>
      </c>
      <c r="N349" s="189">
        <f>IFERROR(__xludf.DUMMYFUNCTION("""COMPUTED_VALUE"""),1.0)</f>
        <v>1</v>
      </c>
      <c r="O349" s="189">
        <f>IFERROR(__xludf.DUMMYFUNCTION("""COMPUTED_VALUE"""),7.0)</f>
        <v>7</v>
      </c>
      <c r="P349" s="189">
        <f>IFERROR(__xludf.DUMMYFUNCTION("""COMPUTED_VALUE"""),7.0)</f>
        <v>7</v>
      </c>
      <c r="Q349" s="189">
        <f>IFERROR(__xludf.DUMMYFUNCTION("""COMPUTED_VALUE"""),6.0)</f>
        <v>6</v>
      </c>
      <c r="R349" s="189">
        <f>IFERROR(__xludf.DUMMYFUNCTION("""COMPUTED_VALUE"""),8.0)</f>
        <v>8</v>
      </c>
      <c r="S349" s="189">
        <f>IFERROR(__xludf.DUMMYFUNCTION("""COMPUTED_VALUE"""),0.0)</f>
        <v>0</v>
      </c>
      <c r="T349" s="189">
        <f>IFERROR(__xludf.DUMMYFUNCTION("""COMPUTED_VALUE"""),1.0)</f>
        <v>1</v>
      </c>
      <c r="U349" s="189">
        <f>IFERROR(__xludf.DUMMYFUNCTION("""COMPUTED_VALUE"""),8.0)</f>
        <v>8</v>
      </c>
      <c r="V349" s="189">
        <f>IFERROR(__xludf.DUMMYFUNCTION("""COMPUTED_VALUE"""),6.0)</f>
        <v>6</v>
      </c>
      <c r="W349" s="189">
        <f>IFERROR(__xludf.DUMMYFUNCTION("""COMPUTED_VALUE"""),7.0)</f>
        <v>7</v>
      </c>
      <c r="X349" s="189">
        <f>IFERROR(__xludf.DUMMYFUNCTION("""COMPUTED_VALUE"""),7.0)</f>
        <v>7</v>
      </c>
      <c r="Y349" s="189" t="str">
        <f>IFERROR(__xludf.DUMMYFUNCTION("""COMPUTED_VALUE"""),"2025-06-28T00:00:00.000Z")</f>
        <v>2025-06-28T00:00:00.000Z</v>
      </c>
      <c r="Z349" s="189" t="str">
        <f>IFERROR(__xludf.DUMMYFUNCTION("""COMPUTED_VALUE"""),"Boars Gaming_Split")</f>
        <v>Boars Gaming_Split</v>
      </c>
    </row>
    <row r="350">
      <c r="A350" s="189">
        <f>IFERROR(__xludf.DUMMYFUNCTION("""COMPUTED_VALUE"""),208055.0)</f>
        <v>208055</v>
      </c>
      <c r="B350" s="189">
        <f>IFERROR(__xludf.DUMMYFUNCTION("""COMPUTED_VALUE"""),91665.0)</f>
        <v>91665</v>
      </c>
      <c r="C350" s="189" t="str">
        <f>IFERROR(__xludf.DUMMYFUNCTION("""COMPUTED_VALUE"""),"Challengers League 2025 NORTH EAST: Split 3 - East Qualifier")</f>
        <v>Challengers League 2025 NORTH EAST: Split 3 - East Qualifier</v>
      </c>
      <c r="D350" s="189" t="str">
        <f>IFERROR(__xludf.DUMMYFUNCTION("""COMPUTED_VALUE"""),"Lotus")</f>
        <v>Lotus</v>
      </c>
      <c r="E350" s="189" t="str">
        <f>IFERROR(__xludf.DUMMYFUNCTION("""COMPUTED_VALUE"""),"Boars Gaming")</f>
        <v>Boars Gaming</v>
      </c>
      <c r="F350" s="189" t="str">
        <f>IFERROR(__xludf.DUMMYFUNCTION("""COMPUTED_VALUE"""),"Easties")</f>
        <v>Easties</v>
      </c>
      <c r="G350" s="189" t="str">
        <f>IFERROR(__xludf.DUMMYFUNCTION("""COMPUTED_VALUE"""),"Breach,Cypher,Omen,Neon,Fade")</f>
        <v>Breach,Cypher,Omen,Neon,Fade</v>
      </c>
      <c r="H350" s="189" t="str">
        <f>IFERROR(__xludf.DUMMYFUNCTION("""COMPUTED_VALUE"""),"Breach,Sova,Viper,Omen,Neon")</f>
        <v>Breach,Sova,Viper,Omen,Neon</v>
      </c>
      <c r="I350" s="189">
        <f>IFERROR(__xludf.DUMMYFUNCTION("""COMPUTED_VALUE"""),13.0)</f>
        <v>13</v>
      </c>
      <c r="J350" s="189">
        <f>IFERROR(__xludf.DUMMYFUNCTION("""COMPUTED_VALUE"""),9.0)</f>
        <v>9</v>
      </c>
      <c r="K350" s="189">
        <f>IFERROR(__xludf.DUMMYFUNCTION("""COMPUTED_VALUE"""),7.0)</f>
        <v>7</v>
      </c>
      <c r="L350" s="189">
        <f>IFERROR(__xludf.DUMMYFUNCTION("""COMPUTED_VALUE"""),5.0)</f>
        <v>5</v>
      </c>
      <c r="M350" s="189">
        <f>IFERROR(__xludf.DUMMYFUNCTION("""COMPUTED_VALUE"""),0.0)</f>
        <v>0</v>
      </c>
      <c r="N350" s="189">
        <f>IFERROR(__xludf.DUMMYFUNCTION("""COMPUTED_VALUE"""),1.0)</f>
        <v>1</v>
      </c>
      <c r="O350" s="189">
        <f>IFERROR(__xludf.DUMMYFUNCTION("""COMPUTED_VALUE"""),7.0)</f>
        <v>7</v>
      </c>
      <c r="P350" s="189">
        <f>IFERROR(__xludf.DUMMYFUNCTION("""COMPUTED_VALUE"""),5.0)</f>
        <v>5</v>
      </c>
      <c r="Q350" s="189">
        <f>IFERROR(__xludf.DUMMYFUNCTION("""COMPUTED_VALUE"""),6.0)</f>
        <v>6</v>
      </c>
      <c r="R350" s="189">
        <f>IFERROR(__xludf.DUMMYFUNCTION("""COMPUTED_VALUE"""),4.0)</f>
        <v>4</v>
      </c>
      <c r="S350" s="189">
        <f>IFERROR(__xludf.DUMMYFUNCTION("""COMPUTED_VALUE"""),0.0)</f>
        <v>0</v>
      </c>
      <c r="T350" s="189">
        <f>IFERROR(__xludf.DUMMYFUNCTION("""COMPUTED_VALUE"""),1.0)</f>
        <v>1</v>
      </c>
      <c r="U350" s="189">
        <f>IFERROR(__xludf.DUMMYFUNCTION("""COMPUTED_VALUE"""),4.0)</f>
        <v>4</v>
      </c>
      <c r="V350" s="189">
        <f>IFERROR(__xludf.DUMMYFUNCTION("""COMPUTED_VALUE"""),6.0)</f>
        <v>6</v>
      </c>
      <c r="W350" s="189">
        <f>IFERROR(__xludf.DUMMYFUNCTION("""COMPUTED_VALUE"""),5.0)</f>
        <v>5</v>
      </c>
      <c r="X350" s="189">
        <f>IFERROR(__xludf.DUMMYFUNCTION("""COMPUTED_VALUE"""),7.0)</f>
        <v>7</v>
      </c>
      <c r="Y350" s="189" t="str">
        <f>IFERROR(__xludf.DUMMYFUNCTION("""COMPUTED_VALUE"""),"2025-06-28T00:00:00.000Z")</f>
        <v>2025-06-28T00:00:00.000Z</v>
      </c>
      <c r="Z350" s="189" t="str">
        <f>IFERROR(__xludf.DUMMYFUNCTION("""COMPUTED_VALUE"""),"Boars Gaming_Lotus")</f>
        <v>Boars Gaming_Lotus</v>
      </c>
    </row>
    <row r="351">
      <c r="A351" s="189">
        <f>IFERROR(__xludf.DUMMYFUNCTION("""COMPUTED_VALUE"""),208047.0)</f>
        <v>208047</v>
      </c>
      <c r="B351" s="189">
        <f>IFERROR(__xludf.DUMMYFUNCTION("""COMPUTED_VALUE"""),91662.0)</f>
        <v>91662</v>
      </c>
      <c r="C351" s="189" t="str">
        <f>IFERROR(__xludf.DUMMYFUNCTION("""COMPUTED_VALUE"""),"Challengers League 2025 NORTH EAST: Split 3 - East Qualifier")</f>
        <v>Challengers League 2025 NORTH EAST: Split 3 - East Qualifier</v>
      </c>
      <c r="D351" s="189" t="str">
        <f>IFERROR(__xludf.DUMMYFUNCTION("""COMPUTED_VALUE"""),"Haven")</f>
        <v>Haven</v>
      </c>
      <c r="E351" s="189" t="str">
        <f>IFERROR(__xludf.DUMMYFUNCTION("""COMPUTED_VALUE"""),"Boars Gaming")</f>
        <v>Boars Gaming</v>
      </c>
      <c r="F351" s="189" t="str">
        <f>IFERROR(__xludf.DUMMYFUNCTION("""COMPUTED_VALUE"""),"UNIWAY")</f>
        <v>UNIWAY</v>
      </c>
      <c r="G351" s="189" t="str">
        <f>IFERROR(__xludf.DUMMYFUNCTION("""COMPUTED_VALUE"""),"Breach,Cypher,Sova,Omen,Neon")</f>
        <v>Breach,Cypher,Sova,Omen,Neon</v>
      </c>
      <c r="H351" s="189" t="str">
        <f>IFERROR(__xludf.DUMMYFUNCTION("""COMPUTED_VALUE"""),"Breach,Sova,Killjoy,Omen,Waylay")</f>
        <v>Breach,Sova,Killjoy,Omen,Waylay</v>
      </c>
      <c r="I351" s="189">
        <f>IFERROR(__xludf.DUMMYFUNCTION("""COMPUTED_VALUE"""),13.0)</f>
        <v>13</v>
      </c>
      <c r="J351" s="189">
        <f>IFERROR(__xludf.DUMMYFUNCTION("""COMPUTED_VALUE"""),3.0)</f>
        <v>3</v>
      </c>
      <c r="K351" s="189">
        <f>IFERROR(__xludf.DUMMYFUNCTION("""COMPUTED_VALUE"""),9.0)</f>
        <v>9</v>
      </c>
      <c r="L351" s="189">
        <f>IFERROR(__xludf.DUMMYFUNCTION("""COMPUTED_VALUE"""),3.0)</f>
        <v>3</v>
      </c>
      <c r="M351" s="189">
        <f>IFERROR(__xludf.DUMMYFUNCTION("""COMPUTED_VALUE"""),0.0)</f>
        <v>0</v>
      </c>
      <c r="N351" s="189">
        <f>IFERROR(__xludf.DUMMYFUNCTION("""COMPUTED_VALUE"""),1.0)</f>
        <v>1</v>
      </c>
      <c r="O351" s="189">
        <f>IFERROR(__xludf.DUMMYFUNCTION("""COMPUTED_VALUE"""),9.0)</f>
        <v>9</v>
      </c>
      <c r="P351" s="189">
        <f>IFERROR(__xludf.DUMMYFUNCTION("""COMPUTED_VALUE"""),3.0)</f>
        <v>3</v>
      </c>
      <c r="Q351" s="189">
        <f>IFERROR(__xludf.DUMMYFUNCTION("""COMPUTED_VALUE"""),4.0)</f>
        <v>4</v>
      </c>
      <c r="R351" s="189">
        <f>IFERROR(__xludf.DUMMYFUNCTION("""COMPUTED_VALUE"""),0.0)</f>
        <v>0</v>
      </c>
      <c r="S351" s="189">
        <f>IFERROR(__xludf.DUMMYFUNCTION("""COMPUTED_VALUE"""),0.0)</f>
        <v>0</v>
      </c>
      <c r="T351" s="189">
        <f>IFERROR(__xludf.DUMMYFUNCTION("""COMPUTED_VALUE"""),1.0)</f>
        <v>1</v>
      </c>
      <c r="U351" s="189">
        <f>IFERROR(__xludf.DUMMYFUNCTION("""COMPUTED_VALUE"""),0.0)</f>
        <v>0</v>
      </c>
      <c r="V351" s="189">
        <f>IFERROR(__xludf.DUMMYFUNCTION("""COMPUTED_VALUE"""),4.0)</f>
        <v>4</v>
      </c>
      <c r="W351" s="189">
        <f>IFERROR(__xludf.DUMMYFUNCTION("""COMPUTED_VALUE"""),3.0)</f>
        <v>3</v>
      </c>
      <c r="X351" s="189">
        <f>IFERROR(__xludf.DUMMYFUNCTION("""COMPUTED_VALUE"""),9.0)</f>
        <v>9</v>
      </c>
      <c r="Y351" s="189" t="str">
        <f>IFERROR(__xludf.DUMMYFUNCTION("""COMPUTED_VALUE"""),"2025-06-27T00:00:00.000Z")</f>
        <v>2025-06-27T00:00:00.000Z</v>
      </c>
      <c r="Z351" s="189" t="str">
        <f>IFERROR(__xludf.DUMMYFUNCTION("""COMPUTED_VALUE"""),"Boars Gaming_Haven")</f>
        <v>Boars Gaming_Haven</v>
      </c>
    </row>
    <row r="352">
      <c r="A352" s="189">
        <f>IFERROR(__xludf.DUMMYFUNCTION("""COMPUTED_VALUE"""),208046.0)</f>
        <v>208046</v>
      </c>
      <c r="B352" s="189">
        <f>IFERROR(__xludf.DUMMYFUNCTION("""COMPUTED_VALUE"""),91662.0)</f>
        <v>91662</v>
      </c>
      <c r="C352" s="189" t="str">
        <f>IFERROR(__xludf.DUMMYFUNCTION("""COMPUTED_VALUE"""),"Challengers League 2025 NORTH EAST: Split 3 - East Qualifier")</f>
        <v>Challengers League 2025 NORTH EAST: Split 3 - East Qualifier</v>
      </c>
      <c r="D352" s="189" t="str">
        <f>IFERROR(__xludf.DUMMYFUNCTION("""COMPUTED_VALUE"""),"Lotus")</f>
        <v>Lotus</v>
      </c>
      <c r="E352" s="189" t="str">
        <f>IFERROR(__xludf.DUMMYFUNCTION("""COMPUTED_VALUE"""),"Boars Gaming")</f>
        <v>Boars Gaming</v>
      </c>
      <c r="F352" s="189" t="str">
        <f>IFERROR(__xludf.DUMMYFUNCTION("""COMPUTED_VALUE"""),"UNIWAY")</f>
        <v>UNIWAY</v>
      </c>
      <c r="G352" s="189" t="str">
        <f>IFERROR(__xludf.DUMMYFUNCTION("""COMPUTED_VALUE"""),"Breach,Cypher,Omen,Neon,Fade")</f>
        <v>Breach,Cypher,Omen,Neon,Fade</v>
      </c>
      <c r="H352" s="189" t="str">
        <f>IFERROR(__xludf.DUMMYFUNCTION("""COMPUTED_VALUE"""),"Breach,Raze,Omen,Fade,Clove")</f>
        <v>Breach,Raze,Omen,Fade,Clove</v>
      </c>
      <c r="I352" s="189">
        <f>IFERROR(__xludf.DUMMYFUNCTION("""COMPUTED_VALUE"""),14.0)</f>
        <v>14</v>
      </c>
      <c r="J352" s="189">
        <f>IFERROR(__xludf.DUMMYFUNCTION("""COMPUTED_VALUE"""),12.0)</f>
        <v>12</v>
      </c>
      <c r="K352" s="189">
        <f>IFERROR(__xludf.DUMMYFUNCTION("""COMPUTED_VALUE"""),4.0)</f>
        <v>4</v>
      </c>
      <c r="L352" s="189">
        <f>IFERROR(__xludf.DUMMYFUNCTION("""COMPUTED_VALUE"""),8.0)</f>
        <v>8</v>
      </c>
      <c r="M352" s="189">
        <f>IFERROR(__xludf.DUMMYFUNCTION("""COMPUTED_VALUE"""),0.0)</f>
        <v>0</v>
      </c>
      <c r="N352" s="189">
        <f>IFERROR(__xludf.DUMMYFUNCTION("""COMPUTED_VALUE"""),0.0)</f>
        <v>0</v>
      </c>
      <c r="O352" s="189">
        <f>IFERROR(__xludf.DUMMYFUNCTION("""COMPUTED_VALUE"""),9.0)</f>
        <v>9</v>
      </c>
      <c r="P352" s="189">
        <f>IFERROR(__xludf.DUMMYFUNCTION("""COMPUTED_VALUE"""),4.0)</f>
        <v>4</v>
      </c>
      <c r="Q352" s="189">
        <f>IFERROR(__xludf.DUMMYFUNCTION("""COMPUTED_VALUE"""),5.0)</f>
        <v>5</v>
      </c>
      <c r="R352" s="189">
        <f>IFERROR(__xludf.DUMMYFUNCTION("""COMPUTED_VALUE"""),8.0)</f>
        <v>8</v>
      </c>
      <c r="S352" s="189">
        <f>IFERROR(__xludf.DUMMYFUNCTION("""COMPUTED_VALUE"""),1.0)</f>
        <v>1</v>
      </c>
      <c r="T352" s="189">
        <f>IFERROR(__xludf.DUMMYFUNCTION("""COMPUTED_VALUE"""),1.0)</f>
        <v>1</v>
      </c>
      <c r="U352" s="189">
        <f>IFERROR(__xludf.DUMMYFUNCTION("""COMPUTED_VALUE"""),8.0)</f>
        <v>8</v>
      </c>
      <c r="V352" s="189">
        <f>IFERROR(__xludf.DUMMYFUNCTION("""COMPUTED_VALUE"""),5.0)</f>
        <v>5</v>
      </c>
      <c r="W352" s="189">
        <f>IFERROR(__xludf.DUMMYFUNCTION("""COMPUTED_VALUE"""),4.0)</f>
        <v>4</v>
      </c>
      <c r="X352" s="189">
        <f>IFERROR(__xludf.DUMMYFUNCTION("""COMPUTED_VALUE"""),9.0)</f>
        <v>9</v>
      </c>
      <c r="Y352" s="189" t="str">
        <f>IFERROR(__xludf.DUMMYFUNCTION("""COMPUTED_VALUE"""),"2025-06-27T00:00:00.000Z")</f>
        <v>2025-06-27T00:00:00.000Z</v>
      </c>
      <c r="Z352" s="189" t="str">
        <f>IFERROR(__xludf.DUMMYFUNCTION("""COMPUTED_VALUE"""),"Boars Gaming_Lotus")</f>
        <v>Boars Gaming_Lotus</v>
      </c>
    </row>
    <row r="353">
      <c r="A353" s="189">
        <f>IFERROR(__xludf.DUMMYFUNCTION("""COMPUTED_VALUE"""),207311.0)</f>
        <v>207311</v>
      </c>
      <c r="B353" s="189">
        <f>IFERROR(__xludf.DUMMYFUNCTION("""COMPUTED_VALUE"""),91356.0)</f>
        <v>91356</v>
      </c>
      <c r="C353" s="189" t="str">
        <f>IFERROR(__xludf.DUMMYFUNCTION("""COMPUTED_VALUE"""),"Saudi eLeague 2025: Major 2 - Playoffs")</f>
        <v>Saudi eLeague 2025: Major 2 - Playoffs</v>
      </c>
      <c r="D353" s="189" t="str">
        <f>IFERROR(__xludf.DUMMYFUNCTION("""COMPUTED_VALUE"""),"Sunset")</f>
        <v>Sunset</v>
      </c>
      <c r="E353" s="189" t="str">
        <f>IFERROR(__xludf.DUMMYFUNCTION("""COMPUTED_VALUE"""),"Twisted Minds Esports")</f>
        <v>Twisted Minds Esports</v>
      </c>
      <c r="F353" s="189" t="str">
        <f>IFERROR(__xludf.DUMMYFUNCTION("""COMPUTED_VALUE"""),"The Ultimates")</f>
        <v>The Ultimates</v>
      </c>
      <c r="G353" s="189" t="str">
        <f>IFERROR(__xludf.DUMMYFUNCTION("""COMPUTED_VALUE"""),"Breach,Cypher,Sova,Omen,Neon")</f>
        <v>Breach,Cypher,Sova,Omen,Neon</v>
      </c>
      <c r="H353" s="189" t="str">
        <f>IFERROR(__xludf.DUMMYFUNCTION("""COMPUTED_VALUE"""),"Breach,Raze,Cypher,Omen,Fade")</f>
        <v>Breach,Raze,Cypher,Omen,Fade</v>
      </c>
      <c r="I353" s="189">
        <f>IFERROR(__xludf.DUMMYFUNCTION("""COMPUTED_VALUE"""),13.0)</f>
        <v>13</v>
      </c>
      <c r="J353" s="189">
        <f>IFERROR(__xludf.DUMMYFUNCTION("""COMPUTED_VALUE"""),9.0)</f>
        <v>9</v>
      </c>
      <c r="K353" s="189">
        <f>IFERROR(__xludf.DUMMYFUNCTION("""COMPUTED_VALUE"""),8.0)</f>
        <v>8</v>
      </c>
      <c r="L353" s="189">
        <f>IFERROR(__xludf.DUMMYFUNCTION("""COMPUTED_VALUE"""),4.0)</f>
        <v>4</v>
      </c>
      <c r="M353" s="189">
        <f>IFERROR(__xludf.DUMMYFUNCTION("""COMPUTED_VALUE"""),0.0)</f>
        <v>0</v>
      </c>
      <c r="N353" s="189">
        <f>IFERROR(__xludf.DUMMYFUNCTION("""COMPUTED_VALUE"""),0.0)</f>
        <v>0</v>
      </c>
      <c r="O353" s="189">
        <f>IFERROR(__xludf.DUMMYFUNCTION("""COMPUTED_VALUE"""),8.0)</f>
        <v>8</v>
      </c>
      <c r="P353" s="189">
        <f>IFERROR(__xludf.DUMMYFUNCTION("""COMPUTED_VALUE"""),4.0)</f>
        <v>4</v>
      </c>
      <c r="Q353" s="189">
        <f>IFERROR(__xludf.DUMMYFUNCTION("""COMPUTED_VALUE"""),5.0)</f>
        <v>5</v>
      </c>
      <c r="R353" s="189">
        <f>IFERROR(__xludf.DUMMYFUNCTION("""COMPUTED_VALUE"""),5.0)</f>
        <v>5</v>
      </c>
      <c r="S353" s="189">
        <f>IFERROR(__xludf.DUMMYFUNCTION("""COMPUTED_VALUE"""),1.0)</f>
        <v>1</v>
      </c>
      <c r="T353" s="189">
        <f>IFERROR(__xludf.DUMMYFUNCTION("""COMPUTED_VALUE"""),1.0)</f>
        <v>1</v>
      </c>
      <c r="U353" s="189">
        <f>IFERROR(__xludf.DUMMYFUNCTION("""COMPUTED_VALUE"""),5.0)</f>
        <v>5</v>
      </c>
      <c r="V353" s="189">
        <f>IFERROR(__xludf.DUMMYFUNCTION("""COMPUTED_VALUE"""),5.0)</f>
        <v>5</v>
      </c>
      <c r="W353" s="189">
        <f>IFERROR(__xludf.DUMMYFUNCTION("""COMPUTED_VALUE"""),4.0)</f>
        <v>4</v>
      </c>
      <c r="X353" s="189">
        <f>IFERROR(__xludf.DUMMYFUNCTION("""COMPUTED_VALUE"""),8.0)</f>
        <v>8</v>
      </c>
      <c r="Y353" s="189" t="str">
        <f>IFERROR(__xludf.DUMMYFUNCTION("""COMPUTED_VALUE"""),"2025-06-19T00:00:00.000Z")</f>
        <v>2025-06-19T00:00:00.000Z</v>
      </c>
      <c r="Z353" s="189" t="str">
        <f>IFERROR(__xludf.DUMMYFUNCTION("""COMPUTED_VALUE"""),"Twisted Minds Esports_Sunset")</f>
        <v>Twisted Minds Esports_Sunset</v>
      </c>
    </row>
    <row r="354">
      <c r="A354" s="189">
        <f>IFERROR(__xludf.DUMMYFUNCTION("""COMPUTED_VALUE"""),207310.0)</f>
        <v>207310</v>
      </c>
      <c r="B354" s="189">
        <f>IFERROR(__xludf.DUMMYFUNCTION("""COMPUTED_VALUE"""),91356.0)</f>
        <v>91356</v>
      </c>
      <c r="C354" s="189" t="str">
        <f>IFERROR(__xludf.DUMMYFUNCTION("""COMPUTED_VALUE"""),"Saudi eLeague 2025: Major 2 - Playoffs")</f>
        <v>Saudi eLeague 2025: Major 2 - Playoffs</v>
      </c>
      <c r="D354" s="189" t="str">
        <f>IFERROR(__xludf.DUMMYFUNCTION("""COMPUTED_VALUE"""),"Ascent")</f>
        <v>Ascent</v>
      </c>
      <c r="E354" s="189" t="str">
        <f>IFERROR(__xludf.DUMMYFUNCTION("""COMPUTED_VALUE"""),"Twisted Minds Esports")</f>
        <v>Twisted Minds Esports</v>
      </c>
      <c r="F354" s="189" t="str">
        <f>IFERROR(__xludf.DUMMYFUNCTION("""COMPUTED_VALUE"""),"The Ultimates")</f>
        <v>The Ultimates</v>
      </c>
      <c r="G354" s="189" t="str">
        <f>IFERROR(__xludf.DUMMYFUNCTION("""COMPUTED_VALUE"""),"Cypher,Sova,Omen,Yoru,Deadlock")</f>
        <v>Cypher,Sova,Omen,Yoru,Deadlock</v>
      </c>
      <c r="H354" s="189" t="str">
        <f>IFERROR(__xludf.DUMMYFUNCTION("""COMPUTED_VALUE"""),"Cypher,Sova,Omen,Yoru,Deadlock")</f>
        <v>Cypher,Sova,Omen,Yoru,Deadlock</v>
      </c>
      <c r="I354" s="189">
        <f>IFERROR(__xludf.DUMMYFUNCTION("""COMPUTED_VALUE"""),13.0)</f>
        <v>13</v>
      </c>
      <c r="J354" s="189">
        <f>IFERROR(__xludf.DUMMYFUNCTION("""COMPUTED_VALUE"""),8.0)</f>
        <v>8</v>
      </c>
      <c r="K354" s="189">
        <f>IFERROR(__xludf.DUMMYFUNCTION("""COMPUTED_VALUE"""),8.0)</f>
        <v>8</v>
      </c>
      <c r="L354" s="189">
        <f>IFERROR(__xludf.DUMMYFUNCTION("""COMPUTED_VALUE"""),4.0)</f>
        <v>4</v>
      </c>
      <c r="M354" s="189">
        <f>IFERROR(__xludf.DUMMYFUNCTION("""COMPUTED_VALUE"""),1.0)</f>
        <v>1</v>
      </c>
      <c r="N354" s="189">
        <f>IFERROR(__xludf.DUMMYFUNCTION("""COMPUTED_VALUE"""),0.0)</f>
        <v>0</v>
      </c>
      <c r="O354" s="189">
        <f>IFERROR(__xludf.DUMMYFUNCTION("""COMPUTED_VALUE"""),8.0)</f>
        <v>8</v>
      </c>
      <c r="P354" s="189">
        <f>IFERROR(__xludf.DUMMYFUNCTION("""COMPUTED_VALUE"""),4.0)</f>
        <v>4</v>
      </c>
      <c r="Q354" s="189">
        <f>IFERROR(__xludf.DUMMYFUNCTION("""COMPUTED_VALUE"""),5.0)</f>
        <v>5</v>
      </c>
      <c r="R354" s="189">
        <f>IFERROR(__xludf.DUMMYFUNCTION("""COMPUTED_VALUE"""),4.0)</f>
        <v>4</v>
      </c>
      <c r="S354" s="189">
        <f>IFERROR(__xludf.DUMMYFUNCTION("""COMPUTED_VALUE"""),1.0)</f>
        <v>1</v>
      </c>
      <c r="T354" s="189">
        <f>IFERROR(__xludf.DUMMYFUNCTION("""COMPUTED_VALUE"""),0.0)</f>
        <v>0</v>
      </c>
      <c r="U354" s="189">
        <f>IFERROR(__xludf.DUMMYFUNCTION("""COMPUTED_VALUE"""),4.0)</f>
        <v>4</v>
      </c>
      <c r="V354" s="189">
        <f>IFERROR(__xludf.DUMMYFUNCTION("""COMPUTED_VALUE"""),5.0)</f>
        <v>5</v>
      </c>
      <c r="W354" s="189">
        <f>IFERROR(__xludf.DUMMYFUNCTION("""COMPUTED_VALUE"""),4.0)</f>
        <v>4</v>
      </c>
      <c r="X354" s="189">
        <f>IFERROR(__xludf.DUMMYFUNCTION("""COMPUTED_VALUE"""),8.0)</f>
        <v>8</v>
      </c>
      <c r="Y354" s="189" t="str">
        <f>IFERROR(__xludf.DUMMYFUNCTION("""COMPUTED_VALUE"""),"2025-06-19T00:00:00.000Z")</f>
        <v>2025-06-19T00:00:00.000Z</v>
      </c>
      <c r="Z354" s="189" t="str">
        <f>IFERROR(__xludf.DUMMYFUNCTION("""COMPUTED_VALUE"""),"Twisted Minds Esports_Ascent")</f>
        <v>Twisted Minds Esports_Ascent</v>
      </c>
    </row>
    <row r="355">
      <c r="A355" s="189">
        <f>IFERROR(__xludf.DUMMYFUNCTION("""COMPUTED_VALUE"""),207309.0)</f>
        <v>207309</v>
      </c>
      <c r="B355" s="189">
        <f>IFERROR(__xludf.DUMMYFUNCTION("""COMPUTED_VALUE"""),91356.0)</f>
        <v>91356</v>
      </c>
      <c r="C355" s="189" t="str">
        <f>IFERROR(__xludf.DUMMYFUNCTION("""COMPUTED_VALUE"""),"Saudi eLeague 2025: Major 2 - Playoffs")</f>
        <v>Saudi eLeague 2025: Major 2 - Playoffs</v>
      </c>
      <c r="D355" s="189" t="str">
        <f>IFERROR(__xludf.DUMMYFUNCTION("""COMPUTED_VALUE"""),"Icebox")</f>
        <v>Icebox</v>
      </c>
      <c r="E355" s="189" t="str">
        <f>IFERROR(__xludf.DUMMYFUNCTION("""COMPUTED_VALUE"""),"Twisted Minds Esports")</f>
        <v>Twisted Minds Esports</v>
      </c>
      <c r="F355" s="189" t="str">
        <f>IFERROR(__xludf.DUMMYFUNCTION("""COMPUTED_VALUE"""),"The Ultimates")</f>
        <v>The Ultimates</v>
      </c>
      <c r="G355" s="189" t="str">
        <f>IFERROR(__xludf.DUMMYFUNCTION("""COMPUTED_VALUE"""),"Sova,Killjoy,Viper,Jett,Harbor")</f>
        <v>Sova,Killjoy,Viper,Jett,Harbor</v>
      </c>
      <c r="H355" s="189" t="str">
        <f>IFERROR(__xludf.DUMMYFUNCTION("""COMPUTED_VALUE"""),"Reyna,Omen,KAY/O,Harbor,Gekko")</f>
        <v>Reyna,Omen,KAY/O,Harbor,Gekko</v>
      </c>
      <c r="I355" s="189">
        <f>IFERROR(__xludf.DUMMYFUNCTION("""COMPUTED_VALUE"""),4.0)</f>
        <v>4</v>
      </c>
      <c r="J355" s="189">
        <f>IFERROR(__xludf.DUMMYFUNCTION("""COMPUTED_VALUE"""),13.0)</f>
        <v>13</v>
      </c>
      <c r="K355" s="189">
        <f>IFERROR(__xludf.DUMMYFUNCTION("""COMPUTED_VALUE"""),2.0)</f>
        <v>2</v>
      </c>
      <c r="L355" s="189">
        <f>IFERROR(__xludf.DUMMYFUNCTION("""COMPUTED_VALUE"""),10.0)</f>
        <v>10</v>
      </c>
      <c r="M355" s="189">
        <f>IFERROR(__xludf.DUMMYFUNCTION("""COMPUTED_VALUE"""),0.0)</f>
        <v>0</v>
      </c>
      <c r="N355" s="189">
        <f>IFERROR(__xludf.DUMMYFUNCTION("""COMPUTED_VALUE"""),1.0)</f>
        <v>1</v>
      </c>
      <c r="O355" s="189">
        <f>IFERROR(__xludf.DUMMYFUNCTION("""COMPUTED_VALUE"""),2.0)</f>
        <v>2</v>
      </c>
      <c r="P355" s="189">
        <f>IFERROR(__xludf.DUMMYFUNCTION("""COMPUTED_VALUE"""),10.0)</f>
        <v>10</v>
      </c>
      <c r="Q355" s="189">
        <f>IFERROR(__xludf.DUMMYFUNCTION("""COMPUTED_VALUE"""),2.0)</f>
        <v>2</v>
      </c>
      <c r="R355" s="189">
        <f>IFERROR(__xludf.DUMMYFUNCTION("""COMPUTED_VALUE"""),3.0)</f>
        <v>3</v>
      </c>
      <c r="S355" s="189">
        <f>IFERROR(__xludf.DUMMYFUNCTION("""COMPUTED_VALUE"""),0.0)</f>
        <v>0</v>
      </c>
      <c r="T355" s="189">
        <f>IFERROR(__xludf.DUMMYFUNCTION("""COMPUTED_VALUE"""),1.0)</f>
        <v>1</v>
      </c>
      <c r="U355" s="189">
        <f>IFERROR(__xludf.DUMMYFUNCTION("""COMPUTED_VALUE"""),3.0)</f>
        <v>3</v>
      </c>
      <c r="V355" s="189">
        <f>IFERROR(__xludf.DUMMYFUNCTION("""COMPUTED_VALUE"""),2.0)</f>
        <v>2</v>
      </c>
      <c r="W355" s="189">
        <f>IFERROR(__xludf.DUMMYFUNCTION("""COMPUTED_VALUE"""),10.0)</f>
        <v>10</v>
      </c>
      <c r="X355" s="189">
        <f>IFERROR(__xludf.DUMMYFUNCTION("""COMPUTED_VALUE"""),2.0)</f>
        <v>2</v>
      </c>
      <c r="Y355" s="189" t="str">
        <f>IFERROR(__xludf.DUMMYFUNCTION("""COMPUTED_VALUE"""),"2025-06-19T00:00:00.000Z")</f>
        <v>2025-06-19T00:00:00.000Z</v>
      </c>
      <c r="Z355" s="189" t="str">
        <f>IFERROR(__xludf.DUMMYFUNCTION("""COMPUTED_VALUE"""),"Twisted Minds Esports_Icebox")</f>
        <v>Twisted Minds Esports_Icebox</v>
      </c>
    </row>
    <row r="356">
      <c r="A356" s="189">
        <f>IFERROR(__xludf.DUMMYFUNCTION("""COMPUTED_VALUE"""),207308.0)</f>
        <v>207308</v>
      </c>
      <c r="B356" s="189">
        <f>IFERROR(__xludf.DUMMYFUNCTION("""COMPUTED_VALUE"""),91356.0)</f>
        <v>91356</v>
      </c>
      <c r="C356" s="189" t="str">
        <f>IFERROR(__xludf.DUMMYFUNCTION("""COMPUTED_VALUE"""),"Saudi eLeague 2025: Major 2 - Playoffs")</f>
        <v>Saudi eLeague 2025: Major 2 - Playoffs</v>
      </c>
      <c r="D356" s="189" t="str">
        <f>IFERROR(__xludf.DUMMYFUNCTION("""COMPUTED_VALUE"""),"Split")</f>
        <v>Split</v>
      </c>
      <c r="E356" s="189" t="str">
        <f>IFERROR(__xludf.DUMMYFUNCTION("""COMPUTED_VALUE"""),"Twisted Minds Esports")</f>
        <v>Twisted Minds Esports</v>
      </c>
      <c r="F356" s="189" t="str">
        <f>IFERROR(__xludf.DUMMYFUNCTION("""COMPUTED_VALUE"""),"The Ultimates")</f>
        <v>The Ultimates</v>
      </c>
      <c r="G356" s="189" t="str">
        <f>IFERROR(__xludf.DUMMYFUNCTION("""COMPUTED_VALUE"""),"Raze,Viper,Omen,Yoru,Fade")</f>
        <v>Raze,Viper,Omen,Yoru,Fade</v>
      </c>
      <c r="H356" s="189" t="str">
        <f>IFERROR(__xludf.DUMMYFUNCTION("""COMPUTED_VALUE"""),"Breach,Raze,Cypher,Omen,Skye")</f>
        <v>Breach,Raze,Cypher,Omen,Skye</v>
      </c>
      <c r="I356" s="189">
        <f>IFERROR(__xludf.DUMMYFUNCTION("""COMPUTED_VALUE"""),13.0)</f>
        <v>13</v>
      </c>
      <c r="J356" s="189">
        <f>IFERROR(__xludf.DUMMYFUNCTION("""COMPUTED_VALUE"""),11.0)</f>
        <v>11</v>
      </c>
      <c r="K356" s="189">
        <f>IFERROR(__xludf.DUMMYFUNCTION("""COMPUTED_VALUE"""),4.0)</f>
        <v>4</v>
      </c>
      <c r="L356" s="189">
        <f>IFERROR(__xludf.DUMMYFUNCTION("""COMPUTED_VALUE"""),8.0)</f>
        <v>8</v>
      </c>
      <c r="M356" s="189">
        <f>IFERROR(__xludf.DUMMYFUNCTION("""COMPUTED_VALUE"""),1.0)</f>
        <v>1</v>
      </c>
      <c r="N356" s="189">
        <f>IFERROR(__xludf.DUMMYFUNCTION("""COMPUTED_VALUE"""),0.0)</f>
        <v>0</v>
      </c>
      <c r="O356" s="189">
        <f>IFERROR(__xludf.DUMMYFUNCTION("""COMPUTED_VALUE"""),4.0)</f>
        <v>4</v>
      </c>
      <c r="P356" s="189">
        <f>IFERROR(__xludf.DUMMYFUNCTION("""COMPUTED_VALUE"""),8.0)</f>
        <v>8</v>
      </c>
      <c r="Q356" s="189">
        <f>IFERROR(__xludf.DUMMYFUNCTION("""COMPUTED_VALUE"""),9.0)</f>
        <v>9</v>
      </c>
      <c r="R356" s="189">
        <f>IFERROR(__xludf.DUMMYFUNCTION("""COMPUTED_VALUE"""),3.0)</f>
        <v>3</v>
      </c>
      <c r="S356" s="189">
        <f>IFERROR(__xludf.DUMMYFUNCTION("""COMPUTED_VALUE"""),1.0)</f>
        <v>1</v>
      </c>
      <c r="T356" s="189">
        <f>IFERROR(__xludf.DUMMYFUNCTION("""COMPUTED_VALUE"""),0.0)</f>
        <v>0</v>
      </c>
      <c r="U356" s="189">
        <f>IFERROR(__xludf.DUMMYFUNCTION("""COMPUTED_VALUE"""),3.0)</f>
        <v>3</v>
      </c>
      <c r="V356" s="189">
        <f>IFERROR(__xludf.DUMMYFUNCTION("""COMPUTED_VALUE"""),9.0)</f>
        <v>9</v>
      </c>
      <c r="W356" s="189">
        <f>IFERROR(__xludf.DUMMYFUNCTION("""COMPUTED_VALUE"""),8.0)</f>
        <v>8</v>
      </c>
      <c r="X356" s="189">
        <f>IFERROR(__xludf.DUMMYFUNCTION("""COMPUTED_VALUE"""),4.0)</f>
        <v>4</v>
      </c>
      <c r="Y356" s="189" t="str">
        <f>IFERROR(__xludf.DUMMYFUNCTION("""COMPUTED_VALUE"""),"2025-06-19T00:00:00.000Z")</f>
        <v>2025-06-19T00:00:00.000Z</v>
      </c>
      <c r="Z356" s="189" t="str">
        <f>IFERROR(__xludf.DUMMYFUNCTION("""COMPUTED_VALUE"""),"Twisted Minds Esports_Split")</f>
        <v>Twisted Minds Esports_Split</v>
      </c>
    </row>
    <row r="357">
      <c r="A357" s="189">
        <f>IFERROR(__xludf.DUMMYFUNCTION("""COMPUTED_VALUE"""),207307.0)</f>
        <v>207307</v>
      </c>
      <c r="B357" s="189">
        <f>IFERROR(__xludf.DUMMYFUNCTION("""COMPUTED_VALUE"""),91356.0)</f>
        <v>91356</v>
      </c>
      <c r="C357" s="189" t="str">
        <f>IFERROR(__xludf.DUMMYFUNCTION("""COMPUTED_VALUE"""),"Saudi eLeague 2025: Major 2 - Playoffs")</f>
        <v>Saudi eLeague 2025: Major 2 - Playoffs</v>
      </c>
      <c r="D357" s="189" t="str">
        <f>IFERROR(__xludf.DUMMYFUNCTION("""COMPUTED_VALUE"""),"Haven")</f>
        <v>Haven</v>
      </c>
      <c r="E357" s="189" t="str">
        <f>IFERROR(__xludf.DUMMYFUNCTION("""COMPUTED_VALUE"""),"Twisted Minds Esports")</f>
        <v>Twisted Minds Esports</v>
      </c>
      <c r="F357" s="189" t="str">
        <f>IFERROR(__xludf.DUMMYFUNCTION("""COMPUTED_VALUE"""),"The Ultimates")</f>
        <v>The Ultimates</v>
      </c>
      <c r="G357" s="189" t="str">
        <f>IFERROR(__xludf.DUMMYFUNCTION("""COMPUTED_VALUE"""),"Breach,Cypher,Sova,Omen,Jett")</f>
        <v>Breach,Cypher,Sova,Omen,Jett</v>
      </c>
      <c r="H357" s="189" t="str">
        <f>IFERROR(__xludf.DUMMYFUNCTION("""COMPUTED_VALUE"""),"Breach,Cypher,Sova,Omen,Neon")</f>
        <v>Breach,Cypher,Sova,Omen,Neon</v>
      </c>
      <c r="I357" s="189">
        <f>IFERROR(__xludf.DUMMYFUNCTION("""COMPUTED_VALUE"""),12.0)</f>
        <v>12</v>
      </c>
      <c r="J357" s="189">
        <f>IFERROR(__xludf.DUMMYFUNCTION("""COMPUTED_VALUE"""),14.0)</f>
        <v>14</v>
      </c>
      <c r="K357" s="189">
        <f>IFERROR(__xludf.DUMMYFUNCTION("""COMPUTED_VALUE"""),4.0)</f>
        <v>4</v>
      </c>
      <c r="L357" s="189">
        <f>IFERROR(__xludf.DUMMYFUNCTION("""COMPUTED_VALUE"""),8.0)</f>
        <v>8</v>
      </c>
      <c r="M357" s="189">
        <f>IFERROR(__xludf.DUMMYFUNCTION("""COMPUTED_VALUE"""),0.0)</f>
        <v>0</v>
      </c>
      <c r="N357" s="189">
        <f>IFERROR(__xludf.DUMMYFUNCTION("""COMPUTED_VALUE"""),0.0)</f>
        <v>0</v>
      </c>
      <c r="O357" s="189">
        <f>IFERROR(__xludf.DUMMYFUNCTION("""COMPUTED_VALUE"""),4.0)</f>
        <v>4</v>
      </c>
      <c r="P357" s="189">
        <f>IFERROR(__xludf.DUMMYFUNCTION("""COMPUTED_VALUE"""),9.0)</f>
        <v>9</v>
      </c>
      <c r="Q357" s="189">
        <f>IFERROR(__xludf.DUMMYFUNCTION("""COMPUTED_VALUE"""),8.0)</f>
        <v>8</v>
      </c>
      <c r="R357" s="189">
        <f>IFERROR(__xludf.DUMMYFUNCTION("""COMPUTED_VALUE"""),5.0)</f>
        <v>5</v>
      </c>
      <c r="S357" s="189">
        <f>IFERROR(__xludf.DUMMYFUNCTION("""COMPUTED_VALUE"""),1.0)</f>
        <v>1</v>
      </c>
      <c r="T357" s="189">
        <f>IFERROR(__xludf.DUMMYFUNCTION("""COMPUTED_VALUE"""),1.0)</f>
        <v>1</v>
      </c>
      <c r="U357" s="189">
        <f>IFERROR(__xludf.DUMMYFUNCTION("""COMPUTED_VALUE"""),5.0)</f>
        <v>5</v>
      </c>
      <c r="V357" s="189">
        <f>IFERROR(__xludf.DUMMYFUNCTION("""COMPUTED_VALUE"""),8.0)</f>
        <v>8</v>
      </c>
      <c r="W357" s="189">
        <f>IFERROR(__xludf.DUMMYFUNCTION("""COMPUTED_VALUE"""),9.0)</f>
        <v>9</v>
      </c>
      <c r="X357" s="189">
        <f>IFERROR(__xludf.DUMMYFUNCTION("""COMPUTED_VALUE"""),4.0)</f>
        <v>4</v>
      </c>
      <c r="Y357" s="189" t="str">
        <f>IFERROR(__xludf.DUMMYFUNCTION("""COMPUTED_VALUE"""),"2025-06-19T00:00:00.000Z")</f>
        <v>2025-06-19T00:00:00.000Z</v>
      </c>
      <c r="Z357" s="189" t="str">
        <f>IFERROR(__xludf.DUMMYFUNCTION("""COMPUTED_VALUE"""),"Twisted Minds Esports_Haven")</f>
        <v>Twisted Minds Esports_Haven</v>
      </c>
    </row>
    <row r="358">
      <c r="A358" s="189">
        <f>IFERROR(__xludf.DUMMYFUNCTION("""COMPUTED_VALUE"""),207306.0)</f>
        <v>207306</v>
      </c>
      <c r="B358" s="189">
        <f>IFERROR(__xludf.DUMMYFUNCTION("""COMPUTED_VALUE"""),91355.0)</f>
        <v>91355</v>
      </c>
      <c r="C358" s="189" t="str">
        <f>IFERROR(__xludf.DUMMYFUNCTION("""COMPUTED_VALUE"""),"Saudi eLeague 2025: Major 2 - Playoffs")</f>
        <v>Saudi eLeague 2025: Major 2 - Playoffs</v>
      </c>
      <c r="D358" s="189" t="str">
        <f>IFERROR(__xludf.DUMMYFUNCTION("""COMPUTED_VALUE"""),"Lotus")</f>
        <v>Lotus</v>
      </c>
      <c r="E358" s="189" t="str">
        <f>IFERROR(__xludf.DUMMYFUNCTION("""COMPUTED_VALUE"""),"Twisted Minds Esports")</f>
        <v>Twisted Minds Esports</v>
      </c>
      <c r="F358" s="189" t="str">
        <f>IFERROR(__xludf.DUMMYFUNCTION("""COMPUTED_VALUE"""),"Stallions Esports")</f>
        <v>Stallions Esports</v>
      </c>
      <c r="G358" s="189" t="str">
        <f>IFERROR(__xludf.DUMMYFUNCTION("""COMPUTED_VALUE"""),"Raze,Killjoy,Viper,Omen,Fade")</f>
        <v>Raze,Killjoy,Viper,Omen,Fade</v>
      </c>
      <c r="H358" s="189" t="str">
        <f>IFERROR(__xludf.DUMMYFUNCTION("""COMPUTED_VALUE"""),"Cypher,Omen,Yoru,Fade,Iso")</f>
        <v>Cypher,Omen,Yoru,Fade,Iso</v>
      </c>
      <c r="I358" s="189">
        <f>IFERROR(__xludf.DUMMYFUNCTION("""COMPUTED_VALUE"""),16.0)</f>
        <v>16</v>
      </c>
      <c r="J358" s="189">
        <f>IFERROR(__xludf.DUMMYFUNCTION("""COMPUTED_VALUE"""),14.0)</f>
        <v>14</v>
      </c>
      <c r="K358" s="189">
        <f>IFERROR(__xludf.DUMMYFUNCTION("""COMPUTED_VALUE"""),8.0)</f>
        <v>8</v>
      </c>
      <c r="L358" s="189">
        <f>IFERROR(__xludf.DUMMYFUNCTION("""COMPUTED_VALUE"""),4.0)</f>
        <v>4</v>
      </c>
      <c r="M358" s="189">
        <f>IFERROR(__xludf.DUMMYFUNCTION("""COMPUTED_VALUE"""),1.0)</f>
        <v>1</v>
      </c>
      <c r="N358" s="189">
        <f>IFERROR(__xludf.DUMMYFUNCTION("""COMPUTED_VALUE"""),1.0)</f>
        <v>1</v>
      </c>
      <c r="O358" s="189">
        <f>IFERROR(__xludf.DUMMYFUNCTION("""COMPUTED_VALUE"""),9.0)</f>
        <v>9</v>
      </c>
      <c r="P358" s="189">
        <f>IFERROR(__xludf.DUMMYFUNCTION("""COMPUTED_VALUE"""),6.0)</f>
        <v>6</v>
      </c>
      <c r="Q358" s="189">
        <f>IFERROR(__xludf.DUMMYFUNCTION("""COMPUTED_VALUE"""),7.0)</f>
        <v>7</v>
      </c>
      <c r="R358" s="189">
        <f>IFERROR(__xludf.DUMMYFUNCTION("""COMPUTED_VALUE"""),8.0)</f>
        <v>8</v>
      </c>
      <c r="S358" s="189">
        <f>IFERROR(__xludf.DUMMYFUNCTION("""COMPUTED_VALUE"""),0.0)</f>
        <v>0</v>
      </c>
      <c r="T358" s="189">
        <f>IFERROR(__xludf.DUMMYFUNCTION("""COMPUTED_VALUE"""),0.0)</f>
        <v>0</v>
      </c>
      <c r="U358" s="189">
        <f>IFERROR(__xludf.DUMMYFUNCTION("""COMPUTED_VALUE"""),8.0)</f>
        <v>8</v>
      </c>
      <c r="V358" s="189">
        <f>IFERROR(__xludf.DUMMYFUNCTION("""COMPUTED_VALUE"""),7.0)</f>
        <v>7</v>
      </c>
      <c r="W358" s="189">
        <f>IFERROR(__xludf.DUMMYFUNCTION("""COMPUTED_VALUE"""),6.0)</f>
        <v>6</v>
      </c>
      <c r="X358" s="189">
        <f>IFERROR(__xludf.DUMMYFUNCTION("""COMPUTED_VALUE"""),9.0)</f>
        <v>9</v>
      </c>
      <c r="Y358" s="189" t="str">
        <f>IFERROR(__xludf.DUMMYFUNCTION("""COMPUTED_VALUE"""),"2025-06-19T00:00:00.000Z")</f>
        <v>2025-06-19T00:00:00.000Z</v>
      </c>
      <c r="Z358" s="189" t="str">
        <f>IFERROR(__xludf.DUMMYFUNCTION("""COMPUTED_VALUE"""),"Twisted Minds Esports_Lotus")</f>
        <v>Twisted Minds Esports_Lotus</v>
      </c>
    </row>
    <row r="359">
      <c r="A359" s="189">
        <f>IFERROR(__xludf.DUMMYFUNCTION("""COMPUTED_VALUE"""),207305.0)</f>
        <v>207305</v>
      </c>
      <c r="B359" s="189">
        <f>IFERROR(__xludf.DUMMYFUNCTION("""COMPUTED_VALUE"""),91355.0)</f>
        <v>91355</v>
      </c>
      <c r="C359" s="189" t="str">
        <f>IFERROR(__xludf.DUMMYFUNCTION("""COMPUTED_VALUE"""),"Saudi eLeague 2025: Major 2 - Playoffs")</f>
        <v>Saudi eLeague 2025: Major 2 - Playoffs</v>
      </c>
      <c r="D359" s="189" t="str">
        <f>IFERROR(__xludf.DUMMYFUNCTION("""COMPUTED_VALUE"""),"Icebox")</f>
        <v>Icebox</v>
      </c>
      <c r="E359" s="189" t="str">
        <f>IFERROR(__xludf.DUMMYFUNCTION("""COMPUTED_VALUE"""),"Twisted Minds Esports")</f>
        <v>Twisted Minds Esports</v>
      </c>
      <c r="F359" s="189" t="str">
        <f>IFERROR(__xludf.DUMMYFUNCTION("""COMPUTED_VALUE"""),"Stallions Esports")</f>
        <v>Stallions Esports</v>
      </c>
      <c r="G359" s="189" t="str">
        <f>IFERROR(__xludf.DUMMYFUNCTION("""COMPUTED_VALUE"""),"Sova,Killjoy,Viper,Jett,Harbor")</f>
        <v>Sova,Killjoy,Viper,Jett,Harbor</v>
      </c>
      <c r="H359" s="189" t="str">
        <f>IFERROR(__xludf.DUMMYFUNCTION("""COMPUTED_VALUE"""),"Sova,Killjoy,Viper,Reyna,Omen")</f>
        <v>Sova,Killjoy,Viper,Reyna,Omen</v>
      </c>
      <c r="I359" s="189">
        <f>IFERROR(__xludf.DUMMYFUNCTION("""COMPUTED_VALUE"""),13.0)</f>
        <v>13</v>
      </c>
      <c r="J359" s="189">
        <f>IFERROR(__xludf.DUMMYFUNCTION("""COMPUTED_VALUE"""),11.0)</f>
        <v>11</v>
      </c>
      <c r="K359" s="189">
        <f>IFERROR(__xludf.DUMMYFUNCTION("""COMPUTED_VALUE"""),6.0)</f>
        <v>6</v>
      </c>
      <c r="L359" s="189">
        <f>IFERROR(__xludf.DUMMYFUNCTION("""COMPUTED_VALUE"""),6.0)</f>
        <v>6</v>
      </c>
      <c r="M359" s="189">
        <f>IFERROR(__xludf.DUMMYFUNCTION("""COMPUTED_VALUE"""),1.0)</f>
        <v>1</v>
      </c>
      <c r="N359" s="189">
        <f>IFERROR(__xludf.DUMMYFUNCTION("""COMPUTED_VALUE"""),1.0)</f>
        <v>1</v>
      </c>
      <c r="O359" s="189">
        <f>IFERROR(__xludf.DUMMYFUNCTION("""COMPUTED_VALUE"""),6.0)</f>
        <v>6</v>
      </c>
      <c r="P359" s="189">
        <f>IFERROR(__xludf.DUMMYFUNCTION("""COMPUTED_VALUE"""),6.0)</f>
        <v>6</v>
      </c>
      <c r="Q359" s="189">
        <f>IFERROR(__xludf.DUMMYFUNCTION("""COMPUTED_VALUE"""),7.0)</f>
        <v>7</v>
      </c>
      <c r="R359" s="189">
        <f>IFERROR(__xludf.DUMMYFUNCTION("""COMPUTED_VALUE"""),5.0)</f>
        <v>5</v>
      </c>
      <c r="S359" s="189">
        <f>IFERROR(__xludf.DUMMYFUNCTION("""COMPUTED_VALUE"""),0.0)</f>
        <v>0</v>
      </c>
      <c r="T359" s="189">
        <f>IFERROR(__xludf.DUMMYFUNCTION("""COMPUTED_VALUE"""),0.0)</f>
        <v>0</v>
      </c>
      <c r="U359" s="189">
        <f>IFERROR(__xludf.DUMMYFUNCTION("""COMPUTED_VALUE"""),5.0)</f>
        <v>5</v>
      </c>
      <c r="V359" s="189">
        <f>IFERROR(__xludf.DUMMYFUNCTION("""COMPUTED_VALUE"""),7.0)</f>
        <v>7</v>
      </c>
      <c r="W359" s="189">
        <f>IFERROR(__xludf.DUMMYFUNCTION("""COMPUTED_VALUE"""),6.0)</f>
        <v>6</v>
      </c>
      <c r="X359" s="189">
        <f>IFERROR(__xludf.DUMMYFUNCTION("""COMPUTED_VALUE"""),6.0)</f>
        <v>6</v>
      </c>
      <c r="Y359" s="189" t="str">
        <f>IFERROR(__xludf.DUMMYFUNCTION("""COMPUTED_VALUE"""),"2025-06-19T00:00:00.000Z")</f>
        <v>2025-06-19T00:00:00.000Z</v>
      </c>
      <c r="Z359" s="189" t="str">
        <f>IFERROR(__xludf.DUMMYFUNCTION("""COMPUTED_VALUE"""),"Twisted Minds Esports_Icebox")</f>
        <v>Twisted Minds Esports_Icebox</v>
      </c>
    </row>
    <row r="360">
      <c r="A360" s="189">
        <f>IFERROR(__xludf.DUMMYFUNCTION("""COMPUTED_VALUE"""),207304.0)</f>
        <v>207304</v>
      </c>
      <c r="B360" s="189">
        <f>IFERROR(__xludf.DUMMYFUNCTION("""COMPUTED_VALUE"""),91355.0)</f>
        <v>91355</v>
      </c>
      <c r="C360" s="189" t="str">
        <f>IFERROR(__xludf.DUMMYFUNCTION("""COMPUTED_VALUE"""),"Saudi eLeague 2025: Major 2 - Playoffs")</f>
        <v>Saudi eLeague 2025: Major 2 - Playoffs</v>
      </c>
      <c r="D360" s="189" t="str">
        <f>IFERROR(__xludf.DUMMYFUNCTION("""COMPUTED_VALUE"""),"Sunset")</f>
        <v>Sunset</v>
      </c>
      <c r="E360" s="189" t="str">
        <f>IFERROR(__xludf.DUMMYFUNCTION("""COMPUTED_VALUE"""),"Twisted Minds Esports")</f>
        <v>Twisted Minds Esports</v>
      </c>
      <c r="F360" s="189" t="str">
        <f>IFERROR(__xludf.DUMMYFUNCTION("""COMPUTED_VALUE"""),"Stallions Esports")</f>
        <v>Stallions Esports</v>
      </c>
      <c r="G360" s="189" t="str">
        <f>IFERROR(__xludf.DUMMYFUNCTION("""COMPUTED_VALUE"""),"Breach,Cypher,Sova,Omen,Neon")</f>
        <v>Breach,Cypher,Sova,Omen,Neon</v>
      </c>
      <c r="H360" s="189" t="str">
        <f>IFERROR(__xludf.DUMMYFUNCTION("""COMPUTED_VALUE"""),"Breach,Cypher,Sova,Omen,Neon")</f>
        <v>Breach,Cypher,Sova,Omen,Neon</v>
      </c>
      <c r="I360" s="189">
        <f>IFERROR(__xludf.DUMMYFUNCTION("""COMPUTED_VALUE"""),13.0)</f>
        <v>13</v>
      </c>
      <c r="J360" s="189">
        <f>IFERROR(__xludf.DUMMYFUNCTION("""COMPUTED_VALUE"""),15.0)</f>
        <v>15</v>
      </c>
      <c r="K360" s="189">
        <f>IFERROR(__xludf.DUMMYFUNCTION("""COMPUTED_VALUE"""),3.0)</f>
        <v>3</v>
      </c>
      <c r="L360" s="189">
        <f>IFERROR(__xludf.DUMMYFUNCTION("""COMPUTED_VALUE"""),9.0)</f>
        <v>9</v>
      </c>
      <c r="M360" s="189">
        <f>IFERROR(__xludf.DUMMYFUNCTION("""COMPUTED_VALUE"""),1.0)</f>
        <v>1</v>
      </c>
      <c r="N360" s="189">
        <f>IFERROR(__xludf.DUMMYFUNCTION("""COMPUTED_VALUE"""),1.0)</f>
        <v>1</v>
      </c>
      <c r="O360" s="189">
        <f>IFERROR(__xludf.DUMMYFUNCTION("""COMPUTED_VALUE"""),10.0)</f>
        <v>10</v>
      </c>
      <c r="P360" s="189">
        <f>IFERROR(__xludf.DUMMYFUNCTION("""COMPUTED_VALUE"""),4.0)</f>
        <v>4</v>
      </c>
      <c r="Q360" s="189">
        <f>IFERROR(__xludf.DUMMYFUNCTION("""COMPUTED_VALUE"""),3.0)</f>
        <v>3</v>
      </c>
      <c r="R360" s="189">
        <f>IFERROR(__xludf.DUMMYFUNCTION("""COMPUTED_VALUE"""),11.0)</f>
        <v>11</v>
      </c>
      <c r="S360" s="189">
        <f>IFERROR(__xludf.DUMMYFUNCTION("""COMPUTED_VALUE"""),0.0)</f>
        <v>0</v>
      </c>
      <c r="T360" s="189">
        <f>IFERROR(__xludf.DUMMYFUNCTION("""COMPUTED_VALUE"""),0.0)</f>
        <v>0</v>
      </c>
      <c r="U360" s="189">
        <f>IFERROR(__xludf.DUMMYFUNCTION("""COMPUTED_VALUE"""),11.0)</f>
        <v>11</v>
      </c>
      <c r="V360" s="189">
        <f>IFERROR(__xludf.DUMMYFUNCTION("""COMPUTED_VALUE"""),3.0)</f>
        <v>3</v>
      </c>
      <c r="W360" s="189">
        <f>IFERROR(__xludf.DUMMYFUNCTION("""COMPUTED_VALUE"""),4.0)</f>
        <v>4</v>
      </c>
      <c r="X360" s="189">
        <f>IFERROR(__xludf.DUMMYFUNCTION("""COMPUTED_VALUE"""),10.0)</f>
        <v>10</v>
      </c>
      <c r="Y360" s="189" t="str">
        <f>IFERROR(__xludf.DUMMYFUNCTION("""COMPUTED_VALUE"""),"2025-06-19T00:00:00.000Z")</f>
        <v>2025-06-19T00:00:00.000Z</v>
      </c>
      <c r="Z360" s="189" t="str">
        <f>IFERROR(__xludf.DUMMYFUNCTION("""COMPUTED_VALUE"""),"Twisted Minds Esports_Sunset")</f>
        <v>Twisted Minds Esports_Sunset</v>
      </c>
    </row>
    <row r="361">
      <c r="A361" s="189">
        <f>IFERROR(__xludf.DUMMYFUNCTION("""COMPUTED_VALUE"""),206696.0)</f>
        <v>206696</v>
      </c>
      <c r="B361" s="189">
        <f>IFERROR(__xludf.DUMMYFUNCTION("""COMPUTED_VALUE"""),91132.0)</f>
        <v>91132</v>
      </c>
      <c r="C361" s="189" t="str">
        <f>IFERROR(__xludf.DUMMYFUNCTION("""COMPUTED_VALUE"""),"BtcTurk GameFest - Stage 2")</f>
        <v>BtcTurk GameFest - Stage 2</v>
      </c>
      <c r="D361" s="189" t="str">
        <f>IFERROR(__xludf.DUMMYFUNCTION("""COMPUTED_VALUE"""),"Split")</f>
        <v>Split</v>
      </c>
      <c r="E361" s="189" t="str">
        <f>IFERROR(__xludf.DUMMYFUNCTION("""COMPUTED_VALUE"""),"ULF Esports")</f>
        <v>ULF Esports</v>
      </c>
      <c r="F361" s="189" t="str">
        <f>IFERROR(__xludf.DUMMYFUNCTION("""COMPUTED_VALUE"""),"BBL PCIFIC")</f>
        <v>BBL PCIFIC</v>
      </c>
      <c r="G361" s="189" t="str">
        <f>IFERROR(__xludf.DUMMYFUNCTION("""COMPUTED_VALUE"""),"Raze,Viper,Omen,Yoru,Fade")</f>
        <v>Raze,Viper,Omen,Yoru,Fade</v>
      </c>
      <c r="H361" s="189" t="str">
        <f>IFERROR(__xludf.DUMMYFUNCTION("""COMPUTED_VALUE"""),"Raze,Viper,Omen,Yoru,Fade")</f>
        <v>Raze,Viper,Omen,Yoru,Fade</v>
      </c>
      <c r="I361" s="189">
        <f>IFERROR(__xludf.DUMMYFUNCTION("""COMPUTED_VALUE"""),13.0)</f>
        <v>13</v>
      </c>
      <c r="J361" s="189">
        <f>IFERROR(__xludf.DUMMYFUNCTION("""COMPUTED_VALUE"""),4.0)</f>
        <v>4</v>
      </c>
      <c r="K361" s="189">
        <f>IFERROR(__xludf.DUMMYFUNCTION("""COMPUTED_VALUE"""),10.0)</f>
        <v>10</v>
      </c>
      <c r="L361" s="189">
        <f>IFERROR(__xludf.DUMMYFUNCTION("""COMPUTED_VALUE"""),2.0)</f>
        <v>2</v>
      </c>
      <c r="M361" s="189">
        <f>IFERROR(__xludf.DUMMYFUNCTION("""COMPUTED_VALUE"""),1.0)</f>
        <v>1</v>
      </c>
      <c r="N361" s="189">
        <f>IFERROR(__xludf.DUMMYFUNCTION("""COMPUTED_VALUE"""),1.0)</f>
        <v>1</v>
      </c>
      <c r="O361" s="189">
        <f>IFERROR(__xludf.DUMMYFUNCTION("""COMPUTED_VALUE"""),10.0)</f>
        <v>10</v>
      </c>
      <c r="P361" s="189">
        <f>IFERROR(__xludf.DUMMYFUNCTION("""COMPUTED_VALUE"""),2.0)</f>
        <v>2</v>
      </c>
      <c r="Q361" s="189">
        <f>IFERROR(__xludf.DUMMYFUNCTION("""COMPUTED_VALUE"""),3.0)</f>
        <v>3</v>
      </c>
      <c r="R361" s="189">
        <f>IFERROR(__xludf.DUMMYFUNCTION("""COMPUTED_VALUE"""),2.0)</f>
        <v>2</v>
      </c>
      <c r="S361" s="189">
        <f>IFERROR(__xludf.DUMMYFUNCTION("""COMPUTED_VALUE"""),0.0)</f>
        <v>0</v>
      </c>
      <c r="T361" s="189">
        <f>IFERROR(__xludf.DUMMYFUNCTION("""COMPUTED_VALUE"""),0.0)</f>
        <v>0</v>
      </c>
      <c r="U361" s="189">
        <f>IFERROR(__xludf.DUMMYFUNCTION("""COMPUTED_VALUE"""),2.0)</f>
        <v>2</v>
      </c>
      <c r="V361" s="189">
        <f>IFERROR(__xludf.DUMMYFUNCTION("""COMPUTED_VALUE"""),3.0)</f>
        <v>3</v>
      </c>
      <c r="W361" s="189">
        <f>IFERROR(__xludf.DUMMYFUNCTION("""COMPUTED_VALUE"""),2.0)</f>
        <v>2</v>
      </c>
      <c r="X361" s="189">
        <f>IFERROR(__xludf.DUMMYFUNCTION("""COMPUTED_VALUE"""),10.0)</f>
        <v>10</v>
      </c>
      <c r="Y361" s="189" t="str">
        <f>IFERROR(__xludf.DUMMYFUNCTION("""COMPUTED_VALUE"""),"2025-06-18T00:00:00.000Z")</f>
        <v>2025-06-18T00:00:00.000Z</v>
      </c>
      <c r="Z361" s="189" t="str">
        <f>IFERROR(__xludf.DUMMYFUNCTION("""COMPUTED_VALUE"""),"ULF Esports_Split")</f>
        <v>ULF Esports_Split</v>
      </c>
    </row>
    <row r="362">
      <c r="A362" s="189">
        <f>IFERROR(__xludf.DUMMYFUNCTION("""COMPUTED_VALUE"""),207249.0)</f>
        <v>207249</v>
      </c>
      <c r="B362" s="189">
        <f>IFERROR(__xludf.DUMMYFUNCTION("""COMPUTED_VALUE"""),91336.0)</f>
        <v>91336</v>
      </c>
      <c r="C362" s="189" t="str">
        <f>IFERROR(__xludf.DUMMYFUNCTION("""COMPUTED_VALUE"""),"Saudi eLeague 2025: Major 2 - Playoffs")</f>
        <v>Saudi eLeague 2025: Major 2 - Playoffs</v>
      </c>
      <c r="D362" s="189" t="str">
        <f>IFERROR(__xludf.DUMMYFUNCTION("""COMPUTED_VALUE"""),"Pearl")</f>
        <v>Pearl</v>
      </c>
      <c r="E362" s="189" t="str">
        <f>IFERROR(__xludf.DUMMYFUNCTION("""COMPUTED_VALUE"""),"The Ultimates")</f>
        <v>The Ultimates</v>
      </c>
      <c r="F362" s="189" t="str">
        <f>IFERROR(__xludf.DUMMYFUNCTION("""COMPUTED_VALUE"""),"Stallions Esports")</f>
        <v>Stallions Esports</v>
      </c>
      <c r="G362" s="189" t="str">
        <f>IFERROR(__xludf.DUMMYFUNCTION("""COMPUTED_VALUE"""),"Sova,Killjoy,Yoru,Astra,Neon")</f>
        <v>Sova,Killjoy,Yoru,Astra,Neon</v>
      </c>
      <c r="H362" s="189" t="str">
        <f>IFERROR(__xludf.DUMMYFUNCTION("""COMPUTED_VALUE"""),"Cypher,Sova,Reyna,Yoru,Astra")</f>
        <v>Cypher,Sova,Reyna,Yoru,Astra</v>
      </c>
      <c r="I362" s="189">
        <f>IFERROR(__xludf.DUMMYFUNCTION("""COMPUTED_VALUE"""),13.0)</f>
        <v>13</v>
      </c>
      <c r="J362" s="189">
        <f>IFERROR(__xludf.DUMMYFUNCTION("""COMPUTED_VALUE"""),8.0)</f>
        <v>8</v>
      </c>
      <c r="K362" s="189">
        <f>IFERROR(__xludf.DUMMYFUNCTION("""COMPUTED_VALUE"""),5.0)</f>
        <v>5</v>
      </c>
      <c r="L362" s="189">
        <f>IFERROR(__xludf.DUMMYFUNCTION("""COMPUTED_VALUE"""),7.0)</f>
        <v>7</v>
      </c>
      <c r="M362" s="189">
        <f>IFERROR(__xludf.DUMMYFUNCTION("""COMPUTED_VALUE"""),0.0)</f>
        <v>0</v>
      </c>
      <c r="N362" s="189">
        <f>IFERROR(__xludf.DUMMYFUNCTION("""COMPUTED_VALUE"""),1.0)</f>
        <v>1</v>
      </c>
      <c r="O362" s="189">
        <f>IFERROR(__xludf.DUMMYFUNCTION("""COMPUTED_VALUE"""),5.0)</f>
        <v>5</v>
      </c>
      <c r="P362" s="189">
        <f>IFERROR(__xludf.DUMMYFUNCTION("""COMPUTED_VALUE"""),7.0)</f>
        <v>7</v>
      </c>
      <c r="Q362" s="189">
        <f>IFERROR(__xludf.DUMMYFUNCTION("""COMPUTED_VALUE"""),8.0)</f>
        <v>8</v>
      </c>
      <c r="R362" s="189">
        <f>IFERROR(__xludf.DUMMYFUNCTION("""COMPUTED_VALUE"""),1.0)</f>
        <v>1</v>
      </c>
      <c r="S362" s="189">
        <f>IFERROR(__xludf.DUMMYFUNCTION("""COMPUTED_VALUE"""),0.0)</f>
        <v>0</v>
      </c>
      <c r="T362" s="189">
        <f>IFERROR(__xludf.DUMMYFUNCTION("""COMPUTED_VALUE"""),1.0)</f>
        <v>1</v>
      </c>
      <c r="U362" s="189">
        <f>IFERROR(__xludf.DUMMYFUNCTION("""COMPUTED_VALUE"""),1.0)</f>
        <v>1</v>
      </c>
      <c r="V362" s="189">
        <f>IFERROR(__xludf.DUMMYFUNCTION("""COMPUTED_VALUE"""),8.0)</f>
        <v>8</v>
      </c>
      <c r="W362" s="189">
        <f>IFERROR(__xludf.DUMMYFUNCTION("""COMPUTED_VALUE"""),7.0)</f>
        <v>7</v>
      </c>
      <c r="X362" s="189">
        <f>IFERROR(__xludf.DUMMYFUNCTION("""COMPUTED_VALUE"""),5.0)</f>
        <v>5</v>
      </c>
      <c r="Y362" s="189" t="str">
        <f>IFERROR(__xludf.DUMMYFUNCTION("""COMPUTED_VALUE"""),"2025-06-18T00:00:00.000Z")</f>
        <v>2025-06-18T00:00:00.000Z</v>
      </c>
      <c r="Z362" s="189" t="str">
        <f>IFERROR(__xludf.DUMMYFUNCTION("""COMPUTED_VALUE"""),"The Ultimates_Pearl")</f>
        <v>The Ultimates_Pearl</v>
      </c>
    </row>
    <row r="363">
      <c r="A363" s="189">
        <f>IFERROR(__xludf.DUMMYFUNCTION("""COMPUTED_VALUE"""),207248.0)</f>
        <v>207248</v>
      </c>
      <c r="B363" s="189">
        <f>IFERROR(__xludf.DUMMYFUNCTION("""COMPUTED_VALUE"""),91336.0)</f>
        <v>91336</v>
      </c>
      <c r="C363" s="189" t="str">
        <f>IFERROR(__xludf.DUMMYFUNCTION("""COMPUTED_VALUE"""),"Saudi eLeague 2025: Major 2 - Playoffs")</f>
        <v>Saudi eLeague 2025: Major 2 - Playoffs</v>
      </c>
      <c r="D363" s="189" t="str">
        <f>IFERROR(__xludf.DUMMYFUNCTION("""COMPUTED_VALUE"""),"Icebox")</f>
        <v>Icebox</v>
      </c>
      <c r="E363" s="189" t="str">
        <f>IFERROR(__xludf.DUMMYFUNCTION("""COMPUTED_VALUE"""),"The Ultimates")</f>
        <v>The Ultimates</v>
      </c>
      <c r="F363" s="189" t="str">
        <f>IFERROR(__xludf.DUMMYFUNCTION("""COMPUTED_VALUE"""),"Stallions Esports")</f>
        <v>Stallions Esports</v>
      </c>
      <c r="G363" s="189" t="str">
        <f>IFERROR(__xludf.DUMMYFUNCTION("""COMPUTED_VALUE"""),"Reyna,Omen,KAY/O,Harbor,Gekko")</f>
        <v>Reyna,Omen,KAY/O,Harbor,Gekko</v>
      </c>
      <c r="H363" s="189" t="str">
        <f>IFERROR(__xludf.DUMMYFUNCTION("""COMPUTED_VALUE"""),"Sova,Killjoy,Viper,Reyna,Jett")</f>
        <v>Sova,Killjoy,Viper,Reyna,Jett</v>
      </c>
      <c r="I363" s="189">
        <f>IFERROR(__xludf.DUMMYFUNCTION("""COMPUTED_VALUE"""),13.0)</f>
        <v>13</v>
      </c>
      <c r="J363" s="189">
        <f>IFERROR(__xludf.DUMMYFUNCTION("""COMPUTED_VALUE"""),3.0)</f>
        <v>3</v>
      </c>
      <c r="K363" s="189">
        <f>IFERROR(__xludf.DUMMYFUNCTION("""COMPUTED_VALUE"""),9.0)</f>
        <v>9</v>
      </c>
      <c r="L363" s="189">
        <f>IFERROR(__xludf.DUMMYFUNCTION("""COMPUTED_VALUE"""),3.0)</f>
        <v>3</v>
      </c>
      <c r="M363" s="189">
        <f>IFERROR(__xludf.DUMMYFUNCTION("""COMPUTED_VALUE"""),1.0)</f>
        <v>1</v>
      </c>
      <c r="N363" s="189">
        <f>IFERROR(__xludf.DUMMYFUNCTION("""COMPUTED_VALUE"""),0.0)</f>
        <v>0</v>
      </c>
      <c r="O363" s="189">
        <f>IFERROR(__xludf.DUMMYFUNCTION("""COMPUTED_VALUE"""),4.0)</f>
        <v>4</v>
      </c>
      <c r="P363" s="189">
        <f>IFERROR(__xludf.DUMMYFUNCTION("""COMPUTED_VALUE"""),0.0)</f>
        <v>0</v>
      </c>
      <c r="Q363" s="189">
        <f>IFERROR(__xludf.DUMMYFUNCTION("""COMPUTED_VALUE"""),9.0)</f>
        <v>9</v>
      </c>
      <c r="R363" s="189">
        <f>IFERROR(__xludf.DUMMYFUNCTION("""COMPUTED_VALUE"""),3.0)</f>
        <v>3</v>
      </c>
      <c r="S363" s="189">
        <f>IFERROR(__xludf.DUMMYFUNCTION("""COMPUTED_VALUE"""),1.0)</f>
        <v>1</v>
      </c>
      <c r="T363" s="189">
        <f>IFERROR(__xludf.DUMMYFUNCTION("""COMPUTED_VALUE"""),0.0)</f>
        <v>0</v>
      </c>
      <c r="U363" s="189">
        <f>IFERROR(__xludf.DUMMYFUNCTION("""COMPUTED_VALUE"""),3.0)</f>
        <v>3</v>
      </c>
      <c r="V363" s="189">
        <f>IFERROR(__xludf.DUMMYFUNCTION("""COMPUTED_VALUE"""),9.0)</f>
        <v>9</v>
      </c>
      <c r="W363" s="189">
        <f>IFERROR(__xludf.DUMMYFUNCTION("""COMPUTED_VALUE"""),0.0)</f>
        <v>0</v>
      </c>
      <c r="X363" s="189">
        <f>IFERROR(__xludf.DUMMYFUNCTION("""COMPUTED_VALUE"""),4.0)</f>
        <v>4</v>
      </c>
      <c r="Y363" s="189" t="str">
        <f>IFERROR(__xludf.DUMMYFUNCTION("""COMPUTED_VALUE"""),"2025-06-18T00:00:00.000Z")</f>
        <v>2025-06-18T00:00:00.000Z</v>
      </c>
      <c r="Z363" s="189" t="str">
        <f>IFERROR(__xludf.DUMMYFUNCTION("""COMPUTED_VALUE"""),"The Ultimates_Icebox")</f>
        <v>The Ultimates_Icebox</v>
      </c>
    </row>
    <row r="364">
      <c r="A364" s="189">
        <f>IFERROR(__xludf.DUMMYFUNCTION("""COMPUTED_VALUE"""),206695.0)</f>
        <v>206695</v>
      </c>
      <c r="B364" s="189">
        <f>IFERROR(__xludf.DUMMYFUNCTION("""COMPUTED_VALUE"""),91132.0)</f>
        <v>91132</v>
      </c>
      <c r="C364" s="189" t="str">
        <f>IFERROR(__xludf.DUMMYFUNCTION("""COMPUTED_VALUE"""),"BtcTurk GameFest - Stage 2")</f>
        <v>BtcTurk GameFest - Stage 2</v>
      </c>
      <c r="D364" s="189" t="str">
        <f>IFERROR(__xludf.DUMMYFUNCTION("""COMPUTED_VALUE"""),"Lotus")</f>
        <v>Lotus</v>
      </c>
      <c r="E364" s="189" t="str">
        <f>IFERROR(__xludf.DUMMYFUNCTION("""COMPUTED_VALUE"""),"ULF Esports")</f>
        <v>ULF Esports</v>
      </c>
      <c r="F364" s="189" t="str">
        <f>IFERROR(__xludf.DUMMYFUNCTION("""COMPUTED_VALUE"""),"BBL PCIFIC")</f>
        <v>BBL PCIFIC</v>
      </c>
      <c r="G364" s="189" t="str">
        <f>IFERROR(__xludf.DUMMYFUNCTION("""COMPUTED_VALUE"""),"Raze,Omen,Yoru,Fade,Vyse")</f>
        <v>Raze,Omen,Yoru,Fade,Vyse</v>
      </c>
      <c r="H364" s="189" t="str">
        <f>IFERROR(__xludf.DUMMYFUNCTION("""COMPUTED_VALUE"""),"Breach,Cypher,Sova,Omen,Neon")</f>
        <v>Breach,Cypher,Sova,Omen,Neon</v>
      </c>
      <c r="I364" s="189">
        <f>IFERROR(__xludf.DUMMYFUNCTION("""COMPUTED_VALUE"""),13.0)</f>
        <v>13</v>
      </c>
      <c r="J364" s="189">
        <f>IFERROR(__xludf.DUMMYFUNCTION("""COMPUTED_VALUE"""),9.0)</f>
        <v>9</v>
      </c>
      <c r="K364" s="189">
        <f>IFERROR(__xludf.DUMMYFUNCTION("""COMPUTED_VALUE"""),6.0)</f>
        <v>6</v>
      </c>
      <c r="L364" s="189">
        <f>IFERROR(__xludf.DUMMYFUNCTION("""COMPUTED_VALUE"""),6.0)</f>
        <v>6</v>
      </c>
      <c r="M364" s="189">
        <f>IFERROR(__xludf.DUMMYFUNCTION("""COMPUTED_VALUE"""),0.0)</f>
        <v>0</v>
      </c>
      <c r="N364" s="189">
        <f>IFERROR(__xludf.DUMMYFUNCTION("""COMPUTED_VALUE"""),1.0)</f>
        <v>1</v>
      </c>
      <c r="O364" s="189">
        <f>IFERROR(__xludf.DUMMYFUNCTION("""COMPUTED_VALUE"""),7.0)</f>
        <v>7</v>
      </c>
      <c r="P364" s="189">
        <f>IFERROR(__xludf.DUMMYFUNCTION("""COMPUTED_VALUE"""),3.0)</f>
        <v>3</v>
      </c>
      <c r="Q364" s="189">
        <f>IFERROR(__xludf.DUMMYFUNCTION("""COMPUTED_VALUE"""),6.0)</f>
        <v>6</v>
      </c>
      <c r="R364" s="189">
        <f>IFERROR(__xludf.DUMMYFUNCTION("""COMPUTED_VALUE"""),6.0)</f>
        <v>6</v>
      </c>
      <c r="S364" s="189">
        <f>IFERROR(__xludf.DUMMYFUNCTION("""COMPUTED_VALUE"""),0.0)</f>
        <v>0</v>
      </c>
      <c r="T364" s="189">
        <f>IFERROR(__xludf.DUMMYFUNCTION("""COMPUTED_VALUE"""),1.0)</f>
        <v>1</v>
      </c>
      <c r="U364" s="189">
        <f>IFERROR(__xludf.DUMMYFUNCTION("""COMPUTED_VALUE"""),6.0)</f>
        <v>6</v>
      </c>
      <c r="V364" s="189">
        <f>IFERROR(__xludf.DUMMYFUNCTION("""COMPUTED_VALUE"""),6.0)</f>
        <v>6</v>
      </c>
      <c r="W364" s="189">
        <f>IFERROR(__xludf.DUMMYFUNCTION("""COMPUTED_VALUE"""),3.0)</f>
        <v>3</v>
      </c>
      <c r="X364" s="189">
        <f>IFERROR(__xludf.DUMMYFUNCTION("""COMPUTED_VALUE"""),7.0)</f>
        <v>7</v>
      </c>
      <c r="Y364" s="189" t="str">
        <f>IFERROR(__xludf.DUMMYFUNCTION("""COMPUTED_VALUE"""),"2025-06-18T00:00:00.000Z")</f>
        <v>2025-06-18T00:00:00.000Z</v>
      </c>
      <c r="Z364" s="189" t="str">
        <f>IFERROR(__xludf.DUMMYFUNCTION("""COMPUTED_VALUE"""),"ULF Esports_Lotus")</f>
        <v>ULF Esports_Lotus</v>
      </c>
    </row>
    <row r="365">
      <c r="A365" s="189">
        <f>IFERROR(__xludf.DUMMYFUNCTION("""COMPUTED_VALUE"""),207247.0)</f>
        <v>207247</v>
      </c>
      <c r="B365" s="189">
        <f>IFERROR(__xludf.DUMMYFUNCTION("""COMPUTED_VALUE"""),91336.0)</f>
        <v>91336</v>
      </c>
      <c r="C365" s="189" t="str">
        <f>IFERROR(__xludf.DUMMYFUNCTION("""COMPUTED_VALUE"""),"Saudi eLeague 2025: Major 2 - Playoffs")</f>
        <v>Saudi eLeague 2025: Major 2 - Playoffs</v>
      </c>
      <c r="D365" s="189" t="str">
        <f>IFERROR(__xludf.DUMMYFUNCTION("""COMPUTED_VALUE"""),"Lotus")</f>
        <v>Lotus</v>
      </c>
      <c r="E365" s="189" t="str">
        <f>IFERROR(__xludf.DUMMYFUNCTION("""COMPUTED_VALUE"""),"The Ultimates")</f>
        <v>The Ultimates</v>
      </c>
      <c r="F365" s="189" t="str">
        <f>IFERROR(__xludf.DUMMYFUNCTION("""COMPUTED_VALUE"""),"Stallions Esports")</f>
        <v>Stallions Esports</v>
      </c>
      <c r="G365" s="189" t="str">
        <f>IFERROR(__xludf.DUMMYFUNCTION("""COMPUTED_VALUE"""),"Breach,Viper,Omen,Neon,Fade")</f>
        <v>Breach,Viper,Omen,Neon,Fade</v>
      </c>
      <c r="H365" s="189" t="str">
        <f>IFERROR(__xludf.DUMMYFUNCTION("""COMPUTED_VALUE"""),"Cypher,Omen,Yoru,Fade,Iso")</f>
        <v>Cypher,Omen,Yoru,Fade,Iso</v>
      </c>
      <c r="I365" s="189">
        <f>IFERROR(__xludf.DUMMYFUNCTION("""COMPUTED_VALUE"""),7.0)</f>
        <v>7</v>
      </c>
      <c r="J365" s="189">
        <f>IFERROR(__xludf.DUMMYFUNCTION("""COMPUTED_VALUE"""),13.0)</f>
        <v>13</v>
      </c>
      <c r="K365" s="189">
        <f>IFERROR(__xludf.DUMMYFUNCTION("""COMPUTED_VALUE"""),5.0)</f>
        <v>5</v>
      </c>
      <c r="L365" s="189">
        <f>IFERROR(__xludf.DUMMYFUNCTION("""COMPUTED_VALUE"""),7.0)</f>
        <v>7</v>
      </c>
      <c r="M365" s="189">
        <f>IFERROR(__xludf.DUMMYFUNCTION("""COMPUTED_VALUE"""),1.0)</f>
        <v>1</v>
      </c>
      <c r="N365" s="189">
        <f>IFERROR(__xludf.DUMMYFUNCTION("""COMPUTED_VALUE"""),0.0)</f>
        <v>0</v>
      </c>
      <c r="O365" s="189">
        <f>IFERROR(__xludf.DUMMYFUNCTION("""COMPUTED_VALUE"""),5.0)</f>
        <v>5</v>
      </c>
      <c r="P365" s="189">
        <f>IFERROR(__xludf.DUMMYFUNCTION("""COMPUTED_VALUE"""),7.0)</f>
        <v>7</v>
      </c>
      <c r="Q365" s="189">
        <f>IFERROR(__xludf.DUMMYFUNCTION("""COMPUTED_VALUE"""),2.0)</f>
        <v>2</v>
      </c>
      <c r="R365" s="189">
        <f>IFERROR(__xludf.DUMMYFUNCTION("""COMPUTED_VALUE"""),6.0)</f>
        <v>6</v>
      </c>
      <c r="S365" s="189">
        <f>IFERROR(__xludf.DUMMYFUNCTION("""COMPUTED_VALUE"""),1.0)</f>
        <v>1</v>
      </c>
      <c r="T365" s="189">
        <f>IFERROR(__xludf.DUMMYFUNCTION("""COMPUTED_VALUE"""),0.0)</f>
        <v>0</v>
      </c>
      <c r="U365" s="189">
        <f>IFERROR(__xludf.DUMMYFUNCTION("""COMPUTED_VALUE"""),6.0)</f>
        <v>6</v>
      </c>
      <c r="V365" s="189">
        <f>IFERROR(__xludf.DUMMYFUNCTION("""COMPUTED_VALUE"""),2.0)</f>
        <v>2</v>
      </c>
      <c r="W365" s="189">
        <f>IFERROR(__xludf.DUMMYFUNCTION("""COMPUTED_VALUE"""),7.0)</f>
        <v>7</v>
      </c>
      <c r="X365" s="189">
        <f>IFERROR(__xludf.DUMMYFUNCTION("""COMPUTED_VALUE"""),5.0)</f>
        <v>5</v>
      </c>
      <c r="Y365" s="189" t="str">
        <f>IFERROR(__xludf.DUMMYFUNCTION("""COMPUTED_VALUE"""),"2025-06-18T00:00:00.000Z")</f>
        <v>2025-06-18T00:00:00.000Z</v>
      </c>
      <c r="Z365" s="189" t="str">
        <f>IFERROR(__xludf.DUMMYFUNCTION("""COMPUTED_VALUE"""),"The Ultimates_Lotus")</f>
        <v>The Ultimates_Lotus</v>
      </c>
    </row>
    <row r="366">
      <c r="A366" s="189">
        <f>IFERROR(__xludf.DUMMYFUNCTION("""COMPUTED_VALUE"""),207086.0)</f>
        <v>207086</v>
      </c>
      <c r="B366" s="189">
        <f>IFERROR(__xludf.DUMMYFUNCTION("""COMPUTED_VALUE"""),91268.0)</f>
        <v>91268</v>
      </c>
      <c r="C366" s="189" t="str">
        <f>IFERROR(__xludf.DUMMYFUNCTION("""COMPUTED_VALUE"""),"Saudi eLeague 2025: Major 2 - Playoffs")</f>
        <v>Saudi eLeague 2025: Major 2 - Playoffs</v>
      </c>
      <c r="D366" s="189" t="str">
        <f>IFERROR(__xludf.DUMMYFUNCTION("""COMPUTED_VALUE"""),"Ascent")</f>
        <v>Ascent</v>
      </c>
      <c r="E366" s="189" t="str">
        <f>IFERROR(__xludf.DUMMYFUNCTION("""COMPUTED_VALUE"""),"The Ultimates")</f>
        <v>The Ultimates</v>
      </c>
      <c r="F366" s="189" t="str">
        <f>IFERROR(__xludf.DUMMYFUNCTION("""COMPUTED_VALUE"""),"AlQadsiah Esports")</f>
        <v>AlQadsiah Esports</v>
      </c>
      <c r="G366" s="189" t="str">
        <f>IFERROR(__xludf.DUMMYFUNCTION("""COMPUTED_VALUE"""),"Cypher,Sova,Omen,Yoru,Deadlock")</f>
        <v>Cypher,Sova,Omen,Yoru,Deadlock</v>
      </c>
      <c r="H366" s="189" t="str">
        <f>IFERROR(__xludf.DUMMYFUNCTION("""COMPUTED_VALUE"""),"Cypher,Sova,Omen,Jett,KAY/O")</f>
        <v>Cypher,Sova,Omen,Jett,KAY/O</v>
      </c>
      <c r="I366" s="189">
        <f>IFERROR(__xludf.DUMMYFUNCTION("""COMPUTED_VALUE"""),13.0)</f>
        <v>13</v>
      </c>
      <c r="J366" s="189">
        <f>IFERROR(__xludf.DUMMYFUNCTION("""COMPUTED_VALUE"""),2.0)</f>
        <v>2</v>
      </c>
      <c r="K366" s="189">
        <f>IFERROR(__xludf.DUMMYFUNCTION("""COMPUTED_VALUE"""),10.0)</f>
        <v>10</v>
      </c>
      <c r="L366" s="189">
        <f>IFERROR(__xludf.DUMMYFUNCTION("""COMPUTED_VALUE"""),2.0)</f>
        <v>2</v>
      </c>
      <c r="M366" s="189">
        <f>IFERROR(__xludf.DUMMYFUNCTION("""COMPUTED_VALUE"""),1.0)</f>
        <v>1</v>
      </c>
      <c r="N366" s="189">
        <f>IFERROR(__xludf.DUMMYFUNCTION("""COMPUTED_VALUE"""),1.0)</f>
        <v>1</v>
      </c>
      <c r="O366" s="189">
        <f>IFERROR(__xludf.DUMMYFUNCTION("""COMPUTED_VALUE"""),3.0)</f>
        <v>3</v>
      </c>
      <c r="P366" s="189">
        <f>IFERROR(__xludf.DUMMYFUNCTION("""COMPUTED_VALUE"""),0.0)</f>
        <v>0</v>
      </c>
      <c r="Q366" s="189">
        <f>IFERROR(__xludf.DUMMYFUNCTION("""COMPUTED_VALUE"""),10.0)</f>
        <v>10</v>
      </c>
      <c r="R366" s="189">
        <f>IFERROR(__xludf.DUMMYFUNCTION("""COMPUTED_VALUE"""),2.0)</f>
        <v>2</v>
      </c>
      <c r="S366" s="189">
        <f>IFERROR(__xludf.DUMMYFUNCTION("""COMPUTED_VALUE"""),0.0)</f>
        <v>0</v>
      </c>
      <c r="T366" s="189">
        <f>IFERROR(__xludf.DUMMYFUNCTION("""COMPUTED_VALUE"""),0.0)</f>
        <v>0</v>
      </c>
      <c r="U366" s="189">
        <f>IFERROR(__xludf.DUMMYFUNCTION("""COMPUTED_VALUE"""),2.0)</f>
        <v>2</v>
      </c>
      <c r="V366" s="189">
        <f>IFERROR(__xludf.DUMMYFUNCTION("""COMPUTED_VALUE"""),10.0)</f>
        <v>10</v>
      </c>
      <c r="W366" s="189">
        <f>IFERROR(__xludf.DUMMYFUNCTION("""COMPUTED_VALUE"""),0.0)</f>
        <v>0</v>
      </c>
      <c r="X366" s="189">
        <f>IFERROR(__xludf.DUMMYFUNCTION("""COMPUTED_VALUE"""),3.0)</f>
        <v>3</v>
      </c>
      <c r="Y366" s="189" t="str">
        <f>IFERROR(__xludf.DUMMYFUNCTION("""COMPUTED_VALUE"""),"2025-06-18T00:00:00.000Z")</f>
        <v>2025-06-18T00:00:00.000Z</v>
      </c>
      <c r="Z366" s="189" t="str">
        <f>IFERROR(__xludf.DUMMYFUNCTION("""COMPUTED_VALUE"""),"The Ultimates_Ascent")</f>
        <v>The Ultimates_Ascent</v>
      </c>
    </row>
    <row r="367">
      <c r="A367" s="189">
        <f>IFERROR(__xludf.DUMMYFUNCTION("""COMPUTED_VALUE"""),207085.0)</f>
        <v>207085</v>
      </c>
      <c r="B367" s="189">
        <f>IFERROR(__xludf.DUMMYFUNCTION("""COMPUTED_VALUE"""),91268.0)</f>
        <v>91268</v>
      </c>
      <c r="C367" s="189" t="str">
        <f>IFERROR(__xludf.DUMMYFUNCTION("""COMPUTED_VALUE"""),"Saudi eLeague 2025: Major 2 - Playoffs")</f>
        <v>Saudi eLeague 2025: Major 2 - Playoffs</v>
      </c>
      <c r="D367" s="189" t="str">
        <f>IFERROR(__xludf.DUMMYFUNCTION("""COMPUTED_VALUE"""),"Sunset")</f>
        <v>Sunset</v>
      </c>
      <c r="E367" s="189" t="str">
        <f>IFERROR(__xludf.DUMMYFUNCTION("""COMPUTED_VALUE"""),"The Ultimates")</f>
        <v>The Ultimates</v>
      </c>
      <c r="F367" s="189" t="str">
        <f>IFERROR(__xludf.DUMMYFUNCTION("""COMPUTED_VALUE"""),"AlQadsiah Esports")</f>
        <v>AlQadsiah Esports</v>
      </c>
      <c r="G367" s="189" t="str">
        <f>IFERROR(__xludf.DUMMYFUNCTION("""COMPUTED_VALUE"""),"Breach,Raze,Cypher,Omen,Fade")</f>
        <v>Breach,Raze,Cypher,Omen,Fade</v>
      </c>
      <c r="H367" s="189" t="str">
        <f>IFERROR(__xludf.DUMMYFUNCTION("""COMPUTED_VALUE"""),"Breach,Raze,Cypher,Omen,Fade")</f>
        <v>Breach,Raze,Cypher,Omen,Fade</v>
      </c>
      <c r="I367" s="189">
        <f>IFERROR(__xludf.DUMMYFUNCTION("""COMPUTED_VALUE"""),16.0)</f>
        <v>16</v>
      </c>
      <c r="J367" s="189">
        <f>IFERROR(__xludf.DUMMYFUNCTION("""COMPUTED_VALUE"""),14.0)</f>
        <v>14</v>
      </c>
      <c r="K367" s="189">
        <f>IFERROR(__xludf.DUMMYFUNCTION("""COMPUTED_VALUE"""),6.0)</f>
        <v>6</v>
      </c>
      <c r="L367" s="189">
        <f>IFERROR(__xludf.DUMMYFUNCTION("""COMPUTED_VALUE"""),6.0)</f>
        <v>6</v>
      </c>
      <c r="M367" s="189">
        <f>IFERROR(__xludf.DUMMYFUNCTION("""COMPUTED_VALUE"""),0.0)</f>
        <v>0</v>
      </c>
      <c r="N367" s="189">
        <f>IFERROR(__xludf.DUMMYFUNCTION("""COMPUTED_VALUE"""),1.0)</f>
        <v>1</v>
      </c>
      <c r="O367" s="189">
        <f>IFERROR(__xludf.DUMMYFUNCTION("""COMPUTED_VALUE"""),8.0)</f>
        <v>8</v>
      </c>
      <c r="P367" s="189">
        <f>IFERROR(__xludf.DUMMYFUNCTION("""COMPUTED_VALUE"""),7.0)</f>
        <v>7</v>
      </c>
      <c r="Q367" s="189">
        <f>IFERROR(__xludf.DUMMYFUNCTION("""COMPUTED_VALUE"""),8.0)</f>
        <v>8</v>
      </c>
      <c r="R367" s="189">
        <f>IFERROR(__xludf.DUMMYFUNCTION("""COMPUTED_VALUE"""),7.0)</f>
        <v>7</v>
      </c>
      <c r="S367" s="189">
        <f>IFERROR(__xludf.DUMMYFUNCTION("""COMPUTED_VALUE"""),0.0)</f>
        <v>0</v>
      </c>
      <c r="T367" s="189">
        <f>IFERROR(__xludf.DUMMYFUNCTION("""COMPUTED_VALUE"""),1.0)</f>
        <v>1</v>
      </c>
      <c r="U367" s="189">
        <f>IFERROR(__xludf.DUMMYFUNCTION("""COMPUTED_VALUE"""),7.0)</f>
        <v>7</v>
      </c>
      <c r="V367" s="189">
        <f>IFERROR(__xludf.DUMMYFUNCTION("""COMPUTED_VALUE"""),8.0)</f>
        <v>8</v>
      </c>
      <c r="W367" s="189">
        <f>IFERROR(__xludf.DUMMYFUNCTION("""COMPUTED_VALUE"""),7.0)</f>
        <v>7</v>
      </c>
      <c r="X367" s="189">
        <f>IFERROR(__xludf.DUMMYFUNCTION("""COMPUTED_VALUE"""),8.0)</f>
        <v>8</v>
      </c>
      <c r="Y367" s="189" t="str">
        <f>IFERROR(__xludf.DUMMYFUNCTION("""COMPUTED_VALUE"""),"2025-06-18T00:00:00.000Z")</f>
        <v>2025-06-18T00:00:00.000Z</v>
      </c>
      <c r="Z367" s="189" t="str">
        <f>IFERROR(__xludf.DUMMYFUNCTION("""COMPUTED_VALUE"""),"The Ultimates_Sunset")</f>
        <v>The Ultimates_Sunset</v>
      </c>
    </row>
    <row r="368">
      <c r="A368" s="189">
        <f>IFERROR(__xludf.DUMMYFUNCTION("""COMPUTED_VALUE"""),205852.0)</f>
        <v>205852</v>
      </c>
      <c r="B368" s="189">
        <f>IFERROR(__xludf.DUMMYFUNCTION("""COMPUTED_VALUE"""),90797.0)</f>
        <v>90797</v>
      </c>
      <c r="C368" s="189" t="str">
        <f>IFERROR(__xludf.DUMMYFUNCTION("""COMPUTED_VALUE"""),"A1 eSports Cup #8")</f>
        <v>A1 eSports Cup #8</v>
      </c>
      <c r="D368" s="189" t="str">
        <f>IFERROR(__xludf.DUMMYFUNCTION("""COMPUTED_VALUE"""),"Split")</f>
        <v>Split</v>
      </c>
      <c r="E368" s="189" t="str">
        <f>IFERROR(__xludf.DUMMYFUNCTION("""COMPUTED_VALUE"""),"MOUZ")</f>
        <v>MOUZ</v>
      </c>
      <c r="F368" s="189" t="str">
        <f>IFERROR(__xludf.DUMMYFUNCTION("""COMPUTED_VALUE"""),"Eintracht Frankfurt")</f>
        <v>Eintracht Frankfurt</v>
      </c>
      <c r="G368" s="189" t="str">
        <f>IFERROR(__xludf.DUMMYFUNCTION("""COMPUTED_VALUE"""),"Raze,Viper,Yoru,Astra,Fade")</f>
        <v>Raze,Viper,Yoru,Astra,Fade</v>
      </c>
      <c r="H368" s="189" t="str">
        <f>IFERROR(__xludf.DUMMYFUNCTION("""COMPUTED_VALUE"""),"Raze,Viper,Yoru,Astra,Fade")</f>
        <v>Raze,Viper,Yoru,Astra,Fade</v>
      </c>
      <c r="I368" s="189">
        <f>IFERROR(__xludf.DUMMYFUNCTION("""COMPUTED_VALUE"""),4.0)</f>
        <v>4</v>
      </c>
      <c r="J368" s="189">
        <f>IFERROR(__xludf.DUMMYFUNCTION("""COMPUTED_VALUE"""),13.0)</f>
        <v>13</v>
      </c>
      <c r="K368" s="189">
        <f>IFERROR(__xludf.DUMMYFUNCTION("""COMPUTED_VALUE"""),2.0)</f>
        <v>2</v>
      </c>
      <c r="L368" s="189">
        <f>IFERROR(__xludf.DUMMYFUNCTION("""COMPUTED_VALUE"""),10.0)</f>
        <v>10</v>
      </c>
      <c r="M368" s="189">
        <f>IFERROR(__xludf.DUMMYFUNCTION("""COMPUTED_VALUE"""),0.0)</f>
        <v>0</v>
      </c>
      <c r="N368" s="189">
        <f>IFERROR(__xludf.DUMMYFUNCTION("""COMPUTED_VALUE"""),0.0)</f>
        <v>0</v>
      </c>
      <c r="O368" s="189">
        <f>IFERROR(__xludf.DUMMYFUNCTION("""COMPUTED_VALUE"""),2.0)</f>
        <v>2</v>
      </c>
      <c r="P368" s="189">
        <f>IFERROR(__xludf.DUMMYFUNCTION("""COMPUTED_VALUE"""),10.0)</f>
        <v>10</v>
      </c>
      <c r="Q368" s="189">
        <f>IFERROR(__xludf.DUMMYFUNCTION("""COMPUTED_VALUE"""),2.0)</f>
        <v>2</v>
      </c>
      <c r="R368" s="189">
        <f>IFERROR(__xludf.DUMMYFUNCTION("""COMPUTED_VALUE"""),3.0)</f>
        <v>3</v>
      </c>
      <c r="S368" s="189">
        <f>IFERROR(__xludf.DUMMYFUNCTION("""COMPUTED_VALUE"""),1.0)</f>
        <v>1</v>
      </c>
      <c r="T368" s="189">
        <f>IFERROR(__xludf.DUMMYFUNCTION("""COMPUTED_VALUE"""),1.0)</f>
        <v>1</v>
      </c>
      <c r="U368" s="189">
        <f>IFERROR(__xludf.DUMMYFUNCTION("""COMPUTED_VALUE"""),3.0)</f>
        <v>3</v>
      </c>
      <c r="V368" s="189">
        <f>IFERROR(__xludf.DUMMYFUNCTION("""COMPUTED_VALUE"""),2.0)</f>
        <v>2</v>
      </c>
      <c r="W368" s="189">
        <f>IFERROR(__xludf.DUMMYFUNCTION("""COMPUTED_VALUE"""),10.0)</f>
        <v>10</v>
      </c>
      <c r="X368" s="189">
        <f>IFERROR(__xludf.DUMMYFUNCTION("""COMPUTED_VALUE"""),2.0)</f>
        <v>2</v>
      </c>
      <c r="Y368" s="189" t="str">
        <f>IFERROR(__xludf.DUMMYFUNCTION("""COMPUTED_VALUE"""),"2025-06-12T00:00:00.000Z")</f>
        <v>2025-06-12T00:00:00.000Z</v>
      </c>
      <c r="Z368" s="189" t="str">
        <f>IFERROR(__xludf.DUMMYFUNCTION("""COMPUTED_VALUE"""),"MOUZ_Split")</f>
        <v>MOUZ_Split</v>
      </c>
    </row>
    <row r="369">
      <c r="A369" s="189">
        <f>IFERROR(__xludf.DUMMYFUNCTION("""COMPUTED_VALUE"""),205851.0)</f>
        <v>205851</v>
      </c>
      <c r="B369" s="189">
        <f>IFERROR(__xludf.DUMMYFUNCTION("""COMPUTED_VALUE"""),90797.0)</f>
        <v>90797</v>
      </c>
      <c r="C369" s="189" t="str">
        <f>IFERROR(__xludf.DUMMYFUNCTION("""COMPUTED_VALUE"""),"A1 eSports Cup #8")</f>
        <v>A1 eSports Cup #8</v>
      </c>
      <c r="D369" s="189" t="str">
        <f>IFERROR(__xludf.DUMMYFUNCTION("""COMPUTED_VALUE"""),"Sunset")</f>
        <v>Sunset</v>
      </c>
      <c r="E369" s="189" t="str">
        <f>IFERROR(__xludf.DUMMYFUNCTION("""COMPUTED_VALUE"""),"MOUZ")</f>
        <v>MOUZ</v>
      </c>
      <c r="F369" s="189" t="str">
        <f>IFERROR(__xludf.DUMMYFUNCTION("""COMPUTED_VALUE"""),"Eintracht Frankfurt")</f>
        <v>Eintracht Frankfurt</v>
      </c>
      <c r="G369" s="189" t="str">
        <f>IFERROR(__xludf.DUMMYFUNCTION("""COMPUTED_VALUE"""),"Breach,Sova,Omen,Neon,Vyse")</f>
        <v>Breach,Sova,Omen,Neon,Vyse</v>
      </c>
      <c r="H369" s="189" t="str">
        <f>IFERROR(__xludf.DUMMYFUNCTION("""COMPUTED_VALUE"""),"Cypher,Sova,Omen,KAY/O,Neon")</f>
        <v>Cypher,Sova,Omen,KAY/O,Neon</v>
      </c>
      <c r="I369" s="189">
        <f>IFERROR(__xludf.DUMMYFUNCTION("""COMPUTED_VALUE"""),11.0)</f>
        <v>11</v>
      </c>
      <c r="J369" s="189">
        <f>IFERROR(__xludf.DUMMYFUNCTION("""COMPUTED_VALUE"""),13.0)</f>
        <v>13</v>
      </c>
      <c r="K369" s="189">
        <f>IFERROR(__xludf.DUMMYFUNCTION("""COMPUTED_VALUE"""),4.0)</f>
        <v>4</v>
      </c>
      <c r="L369" s="189">
        <f>IFERROR(__xludf.DUMMYFUNCTION("""COMPUTED_VALUE"""),8.0)</f>
        <v>8</v>
      </c>
      <c r="M369" s="189">
        <f>IFERROR(__xludf.DUMMYFUNCTION("""COMPUTED_VALUE"""),1.0)</f>
        <v>1</v>
      </c>
      <c r="N369" s="189">
        <f>IFERROR(__xludf.DUMMYFUNCTION("""COMPUTED_VALUE"""),0.0)</f>
        <v>0</v>
      </c>
      <c r="O369" s="189">
        <f>IFERROR(__xludf.DUMMYFUNCTION("""COMPUTED_VALUE"""),7.0)</f>
        <v>7</v>
      </c>
      <c r="P369" s="189">
        <f>IFERROR(__xludf.DUMMYFUNCTION("""COMPUTED_VALUE"""),5.0)</f>
        <v>5</v>
      </c>
      <c r="Q369" s="189">
        <f>IFERROR(__xludf.DUMMYFUNCTION("""COMPUTED_VALUE"""),4.0)</f>
        <v>4</v>
      </c>
      <c r="R369" s="189">
        <f>IFERROR(__xludf.DUMMYFUNCTION("""COMPUTED_VALUE"""),8.0)</f>
        <v>8</v>
      </c>
      <c r="S369" s="189">
        <f>IFERROR(__xludf.DUMMYFUNCTION("""COMPUTED_VALUE"""),1.0)</f>
        <v>1</v>
      </c>
      <c r="T369" s="189">
        <f>IFERROR(__xludf.DUMMYFUNCTION("""COMPUTED_VALUE"""),0.0)</f>
        <v>0</v>
      </c>
      <c r="U369" s="189">
        <f>IFERROR(__xludf.DUMMYFUNCTION("""COMPUTED_VALUE"""),8.0)</f>
        <v>8</v>
      </c>
      <c r="V369" s="189">
        <f>IFERROR(__xludf.DUMMYFUNCTION("""COMPUTED_VALUE"""),4.0)</f>
        <v>4</v>
      </c>
      <c r="W369" s="189">
        <f>IFERROR(__xludf.DUMMYFUNCTION("""COMPUTED_VALUE"""),5.0)</f>
        <v>5</v>
      </c>
      <c r="X369" s="189">
        <f>IFERROR(__xludf.DUMMYFUNCTION("""COMPUTED_VALUE"""),7.0)</f>
        <v>7</v>
      </c>
      <c r="Y369" s="189" t="str">
        <f>IFERROR(__xludf.DUMMYFUNCTION("""COMPUTED_VALUE"""),"2025-06-12T00:00:00.000Z")</f>
        <v>2025-06-12T00:00:00.000Z</v>
      </c>
      <c r="Z369" s="189" t="str">
        <f>IFERROR(__xludf.DUMMYFUNCTION("""COMPUTED_VALUE"""),"MOUZ_Sunset")</f>
        <v>MOUZ_Sunset</v>
      </c>
    </row>
    <row r="370">
      <c r="A370" s="189">
        <f>IFERROR(__xludf.DUMMYFUNCTION("""COMPUTED_VALUE"""),205850.0)</f>
        <v>205850</v>
      </c>
      <c r="B370" s="189">
        <f>IFERROR(__xludf.DUMMYFUNCTION("""COMPUTED_VALUE"""),90797.0)</f>
        <v>90797</v>
      </c>
      <c r="C370" s="189" t="str">
        <f>IFERROR(__xludf.DUMMYFUNCTION("""COMPUTED_VALUE"""),"A1 eSports Cup #8")</f>
        <v>A1 eSports Cup #8</v>
      </c>
      <c r="D370" s="189" t="str">
        <f>IFERROR(__xludf.DUMMYFUNCTION("""COMPUTED_VALUE"""),"Lotus")</f>
        <v>Lotus</v>
      </c>
      <c r="E370" s="189" t="str">
        <f>IFERROR(__xludf.DUMMYFUNCTION("""COMPUTED_VALUE"""),"MOUZ")</f>
        <v>MOUZ</v>
      </c>
      <c r="F370" s="189" t="str">
        <f>IFERROR(__xludf.DUMMYFUNCTION("""COMPUTED_VALUE"""),"Eintracht Frankfurt")</f>
        <v>Eintracht Frankfurt</v>
      </c>
      <c r="G370" s="189" t="str">
        <f>IFERROR(__xludf.DUMMYFUNCTION("""COMPUTED_VALUE"""),"Breach,Cypher,Omen,Yoru,Fade")</f>
        <v>Breach,Cypher,Omen,Yoru,Fade</v>
      </c>
      <c r="H370" s="189" t="str">
        <f>IFERROR(__xludf.DUMMYFUNCTION("""COMPUTED_VALUE"""),"Cypher,Viper,Omen,Yoru,Fade")</f>
        <v>Cypher,Viper,Omen,Yoru,Fade</v>
      </c>
      <c r="I370" s="189">
        <f>IFERROR(__xludf.DUMMYFUNCTION("""COMPUTED_VALUE"""),13.0)</f>
        <v>13</v>
      </c>
      <c r="J370" s="189">
        <f>IFERROR(__xludf.DUMMYFUNCTION("""COMPUTED_VALUE"""),9.0)</f>
        <v>9</v>
      </c>
      <c r="K370" s="189">
        <f>IFERROR(__xludf.DUMMYFUNCTION("""COMPUTED_VALUE"""),6.0)</f>
        <v>6</v>
      </c>
      <c r="L370" s="189">
        <f>IFERROR(__xludf.DUMMYFUNCTION("""COMPUTED_VALUE"""),6.0)</f>
        <v>6</v>
      </c>
      <c r="M370" s="189">
        <f>IFERROR(__xludf.DUMMYFUNCTION("""COMPUTED_VALUE"""),0.0)</f>
        <v>0</v>
      </c>
      <c r="N370" s="189">
        <f>IFERROR(__xludf.DUMMYFUNCTION("""COMPUTED_VALUE"""),1.0)</f>
        <v>1</v>
      </c>
      <c r="O370" s="189">
        <f>IFERROR(__xludf.DUMMYFUNCTION("""COMPUTED_VALUE"""),7.0)</f>
        <v>7</v>
      </c>
      <c r="P370" s="189">
        <f>IFERROR(__xludf.DUMMYFUNCTION("""COMPUTED_VALUE"""),3.0)</f>
        <v>3</v>
      </c>
      <c r="Q370" s="189">
        <f>IFERROR(__xludf.DUMMYFUNCTION("""COMPUTED_VALUE"""),6.0)</f>
        <v>6</v>
      </c>
      <c r="R370" s="189">
        <f>IFERROR(__xludf.DUMMYFUNCTION("""COMPUTED_VALUE"""),6.0)</f>
        <v>6</v>
      </c>
      <c r="S370" s="189">
        <f>IFERROR(__xludf.DUMMYFUNCTION("""COMPUTED_VALUE"""),0.0)</f>
        <v>0</v>
      </c>
      <c r="T370" s="189">
        <f>IFERROR(__xludf.DUMMYFUNCTION("""COMPUTED_VALUE"""),1.0)</f>
        <v>1</v>
      </c>
      <c r="U370" s="189">
        <f>IFERROR(__xludf.DUMMYFUNCTION("""COMPUTED_VALUE"""),6.0)</f>
        <v>6</v>
      </c>
      <c r="V370" s="189">
        <f>IFERROR(__xludf.DUMMYFUNCTION("""COMPUTED_VALUE"""),6.0)</f>
        <v>6</v>
      </c>
      <c r="W370" s="189">
        <f>IFERROR(__xludf.DUMMYFUNCTION("""COMPUTED_VALUE"""),3.0)</f>
        <v>3</v>
      </c>
      <c r="X370" s="189">
        <f>IFERROR(__xludf.DUMMYFUNCTION("""COMPUTED_VALUE"""),7.0)</f>
        <v>7</v>
      </c>
      <c r="Y370" s="189" t="str">
        <f>IFERROR(__xludf.DUMMYFUNCTION("""COMPUTED_VALUE"""),"2025-06-12T00:00:00.000Z")</f>
        <v>2025-06-12T00:00:00.000Z</v>
      </c>
      <c r="Z370" s="189" t="str">
        <f>IFERROR(__xludf.DUMMYFUNCTION("""COMPUTED_VALUE"""),"MOUZ_Lotus")</f>
        <v>MOUZ_Lotus</v>
      </c>
    </row>
    <row r="371">
      <c r="A371" s="189">
        <f>IFERROR(__xludf.DUMMYFUNCTION("""COMPUTED_VALUE"""),204968.0)</f>
        <v>204968</v>
      </c>
      <c r="B371" s="189">
        <f>IFERROR(__xludf.DUMMYFUNCTION("""COMPUTED_VALUE"""),90473.0)</f>
        <v>90473</v>
      </c>
      <c r="C371" s="189" t="str">
        <f>IFERROR(__xludf.DUMMYFUNCTION("""COMPUTED_VALUE"""),"A1 eSports Cup #8")</f>
        <v>A1 eSports Cup #8</v>
      </c>
      <c r="D371" s="189" t="str">
        <f>IFERROR(__xludf.DUMMYFUNCTION("""COMPUTED_VALUE"""),"Sunset")</f>
        <v>Sunset</v>
      </c>
      <c r="E371" s="189" t="str">
        <f>IFERROR(__xludf.DUMMYFUNCTION("""COMPUTED_VALUE"""),"Eintracht Frankfurt")</f>
        <v>Eintracht Frankfurt</v>
      </c>
      <c r="F371" s="189" t="str">
        <f>IFERROR(__xludf.DUMMYFUNCTION("""COMPUTED_VALUE"""),"CGN Esports")</f>
        <v>CGN Esports</v>
      </c>
      <c r="G371" s="189" t="str">
        <f>IFERROR(__xludf.DUMMYFUNCTION("""COMPUTED_VALUE"""),"Cypher,Sova,Omen,KAY/O,Neon")</f>
        <v>Cypher,Sova,Omen,KAY/O,Neon</v>
      </c>
      <c r="H371" s="189" t="str">
        <f>IFERROR(__xludf.DUMMYFUNCTION("""COMPUTED_VALUE"""),"Cypher,Sova,Omen,Yoru,KAY/O")</f>
        <v>Cypher,Sova,Omen,Yoru,KAY/O</v>
      </c>
      <c r="I371" s="189">
        <f>IFERROR(__xludf.DUMMYFUNCTION("""COMPUTED_VALUE"""),13.0)</f>
        <v>13</v>
      </c>
      <c r="J371" s="189">
        <f>IFERROR(__xludf.DUMMYFUNCTION("""COMPUTED_VALUE"""),6.0)</f>
        <v>6</v>
      </c>
      <c r="K371" s="189">
        <f>IFERROR(__xludf.DUMMYFUNCTION("""COMPUTED_VALUE"""),6.0)</f>
        <v>6</v>
      </c>
      <c r="L371" s="189">
        <f>IFERROR(__xludf.DUMMYFUNCTION("""COMPUTED_VALUE"""),6.0)</f>
        <v>6</v>
      </c>
      <c r="M371" s="189">
        <f>IFERROR(__xludf.DUMMYFUNCTION("""COMPUTED_VALUE"""),1.0)</f>
        <v>1</v>
      </c>
      <c r="N371" s="189">
        <f>IFERROR(__xludf.DUMMYFUNCTION("""COMPUTED_VALUE"""),1.0)</f>
        <v>1</v>
      </c>
      <c r="O371" s="189">
        <f>IFERROR(__xludf.DUMMYFUNCTION("""COMPUTED_VALUE"""),7.0)</f>
        <v>7</v>
      </c>
      <c r="P371" s="189">
        <f>IFERROR(__xludf.DUMMYFUNCTION("""COMPUTED_VALUE"""),0.0)</f>
        <v>0</v>
      </c>
      <c r="Q371" s="189">
        <f>IFERROR(__xludf.DUMMYFUNCTION("""COMPUTED_VALUE"""),6.0)</f>
        <v>6</v>
      </c>
      <c r="R371" s="189">
        <f>IFERROR(__xludf.DUMMYFUNCTION("""COMPUTED_VALUE"""),6.0)</f>
        <v>6</v>
      </c>
      <c r="S371" s="189">
        <f>IFERROR(__xludf.DUMMYFUNCTION("""COMPUTED_VALUE"""),0.0)</f>
        <v>0</v>
      </c>
      <c r="T371" s="189">
        <f>IFERROR(__xludf.DUMMYFUNCTION("""COMPUTED_VALUE"""),0.0)</f>
        <v>0</v>
      </c>
      <c r="U371" s="189">
        <f>IFERROR(__xludf.DUMMYFUNCTION("""COMPUTED_VALUE"""),6.0)</f>
        <v>6</v>
      </c>
      <c r="V371" s="189">
        <f>IFERROR(__xludf.DUMMYFUNCTION("""COMPUTED_VALUE"""),6.0)</f>
        <v>6</v>
      </c>
      <c r="W371" s="189">
        <f>IFERROR(__xludf.DUMMYFUNCTION("""COMPUTED_VALUE"""),0.0)</f>
        <v>0</v>
      </c>
      <c r="X371" s="189">
        <f>IFERROR(__xludf.DUMMYFUNCTION("""COMPUTED_VALUE"""),7.0)</f>
        <v>7</v>
      </c>
      <c r="Y371" s="189" t="str">
        <f>IFERROR(__xludf.DUMMYFUNCTION("""COMPUTED_VALUE"""),"2025-06-05T00:00:00.000Z")</f>
        <v>2025-06-05T00:00:00.000Z</v>
      </c>
      <c r="Z371" s="189" t="str">
        <f>IFERROR(__xludf.DUMMYFUNCTION("""COMPUTED_VALUE"""),"Eintracht Frankfurt_Sunset")</f>
        <v>Eintracht Frankfurt_Sunset</v>
      </c>
    </row>
    <row r="372">
      <c r="A372" s="189">
        <f>IFERROR(__xludf.DUMMYFUNCTION("""COMPUTED_VALUE"""),204967.0)</f>
        <v>204967</v>
      </c>
      <c r="B372" s="189">
        <f>IFERROR(__xludf.DUMMYFUNCTION("""COMPUTED_VALUE"""),90473.0)</f>
        <v>90473</v>
      </c>
      <c r="C372" s="189" t="str">
        <f>IFERROR(__xludf.DUMMYFUNCTION("""COMPUTED_VALUE"""),"A1 eSports Cup #8")</f>
        <v>A1 eSports Cup #8</v>
      </c>
      <c r="D372" s="189" t="str">
        <f>IFERROR(__xludf.DUMMYFUNCTION("""COMPUTED_VALUE"""),"Lotus")</f>
        <v>Lotus</v>
      </c>
      <c r="E372" s="189" t="str">
        <f>IFERROR(__xludf.DUMMYFUNCTION("""COMPUTED_VALUE"""),"Eintracht Frankfurt")</f>
        <v>Eintracht Frankfurt</v>
      </c>
      <c r="F372" s="189" t="str">
        <f>IFERROR(__xludf.DUMMYFUNCTION("""COMPUTED_VALUE"""),"CGN Esports")</f>
        <v>CGN Esports</v>
      </c>
      <c r="G372" s="189" t="str">
        <f>IFERROR(__xludf.DUMMYFUNCTION("""COMPUTED_VALUE"""),"Cypher,Viper,Omen,Yoru,Fade")</f>
        <v>Cypher,Viper,Omen,Yoru,Fade</v>
      </c>
      <c r="H372" s="189" t="str">
        <f>IFERROR(__xludf.DUMMYFUNCTION("""COMPUTED_VALUE"""),"Breach,Cypher,Sova,Omen,Jett")</f>
        <v>Breach,Cypher,Sova,Omen,Jett</v>
      </c>
      <c r="I372" s="189">
        <f>IFERROR(__xludf.DUMMYFUNCTION("""COMPUTED_VALUE"""),13.0)</f>
        <v>13</v>
      </c>
      <c r="J372" s="189">
        <f>IFERROR(__xludf.DUMMYFUNCTION("""COMPUTED_VALUE"""),6.0)</f>
        <v>6</v>
      </c>
      <c r="K372" s="189">
        <f>IFERROR(__xludf.DUMMYFUNCTION("""COMPUTED_VALUE"""),6.0)</f>
        <v>6</v>
      </c>
      <c r="L372" s="189">
        <f>IFERROR(__xludf.DUMMYFUNCTION("""COMPUTED_VALUE"""),6.0)</f>
        <v>6</v>
      </c>
      <c r="M372" s="189">
        <f>IFERROR(__xludf.DUMMYFUNCTION("""COMPUTED_VALUE"""),1.0)</f>
        <v>1</v>
      </c>
      <c r="N372" s="189">
        <f>IFERROR(__xludf.DUMMYFUNCTION("""COMPUTED_VALUE"""),1.0)</f>
        <v>1</v>
      </c>
      <c r="O372" s="189">
        <f>IFERROR(__xludf.DUMMYFUNCTION("""COMPUTED_VALUE"""),7.0)</f>
        <v>7</v>
      </c>
      <c r="P372" s="189">
        <f>IFERROR(__xludf.DUMMYFUNCTION("""COMPUTED_VALUE"""),0.0)</f>
        <v>0</v>
      </c>
      <c r="Q372" s="189">
        <f>IFERROR(__xludf.DUMMYFUNCTION("""COMPUTED_VALUE"""),6.0)</f>
        <v>6</v>
      </c>
      <c r="R372" s="189">
        <f>IFERROR(__xludf.DUMMYFUNCTION("""COMPUTED_VALUE"""),6.0)</f>
        <v>6</v>
      </c>
      <c r="S372" s="189">
        <f>IFERROR(__xludf.DUMMYFUNCTION("""COMPUTED_VALUE"""),0.0)</f>
        <v>0</v>
      </c>
      <c r="T372" s="189">
        <f>IFERROR(__xludf.DUMMYFUNCTION("""COMPUTED_VALUE"""),0.0)</f>
        <v>0</v>
      </c>
      <c r="U372" s="189">
        <f>IFERROR(__xludf.DUMMYFUNCTION("""COMPUTED_VALUE"""),6.0)</f>
        <v>6</v>
      </c>
      <c r="V372" s="189">
        <f>IFERROR(__xludf.DUMMYFUNCTION("""COMPUTED_VALUE"""),6.0)</f>
        <v>6</v>
      </c>
      <c r="W372" s="189">
        <f>IFERROR(__xludf.DUMMYFUNCTION("""COMPUTED_VALUE"""),0.0)</f>
        <v>0</v>
      </c>
      <c r="X372" s="189">
        <f>IFERROR(__xludf.DUMMYFUNCTION("""COMPUTED_VALUE"""),7.0)</f>
        <v>7</v>
      </c>
      <c r="Y372" s="189" t="str">
        <f>IFERROR(__xludf.DUMMYFUNCTION("""COMPUTED_VALUE"""),"2025-06-05T00:00:00.000Z")</f>
        <v>2025-06-05T00:00:00.000Z</v>
      </c>
      <c r="Z372" s="189" t="str">
        <f>IFERROR(__xludf.DUMMYFUNCTION("""COMPUTED_VALUE"""),"Eintracht Frankfurt_Lotus")</f>
        <v>Eintracht Frankfurt_Lotus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0</v>
      </c>
      <c r="B1" s="182" t="s">
        <v>3</v>
      </c>
      <c r="C1" s="182" t="s">
        <v>374</v>
      </c>
      <c r="D1" s="182" t="s">
        <v>375</v>
      </c>
      <c r="E1" s="182" t="s">
        <v>376</v>
      </c>
      <c r="F1" s="182" t="s">
        <v>377</v>
      </c>
    </row>
    <row r="2">
      <c r="A2" s="182" t="s">
        <v>186</v>
      </c>
      <c r="B2" s="182" t="s">
        <v>227</v>
      </c>
      <c r="C2" s="182">
        <v>1.0</v>
      </c>
      <c r="D2" s="182">
        <v>1.0</v>
      </c>
      <c r="E2" s="207">
        <v>0.5</v>
      </c>
      <c r="F2" s="182" t="s">
        <v>378</v>
      </c>
    </row>
    <row r="3">
      <c r="A3" s="182" t="s">
        <v>186</v>
      </c>
      <c r="B3" s="182" t="s">
        <v>32</v>
      </c>
      <c r="C3" s="182">
        <v>1.0</v>
      </c>
      <c r="D3" s="182">
        <v>9.0</v>
      </c>
      <c r="E3" s="207">
        <v>0.1</v>
      </c>
      <c r="F3" s="182" t="s">
        <v>378</v>
      </c>
    </row>
    <row r="4">
      <c r="A4" s="182" t="s">
        <v>186</v>
      </c>
      <c r="B4" s="182" t="s">
        <v>36</v>
      </c>
      <c r="C4" s="182">
        <v>0.0</v>
      </c>
      <c r="D4" s="182">
        <v>3.0</v>
      </c>
      <c r="E4" s="207">
        <v>0.0</v>
      </c>
      <c r="F4" s="182" t="s">
        <v>378</v>
      </c>
    </row>
    <row r="5">
      <c r="A5" s="182" t="s">
        <v>186</v>
      </c>
      <c r="B5" s="182" t="s">
        <v>40</v>
      </c>
      <c r="C5" s="182">
        <v>3.0</v>
      </c>
      <c r="D5" s="182">
        <v>7.0</v>
      </c>
      <c r="E5" s="207">
        <v>0.3</v>
      </c>
      <c r="F5" s="182" t="s">
        <v>378</v>
      </c>
    </row>
    <row r="6">
      <c r="A6" s="182" t="s">
        <v>186</v>
      </c>
      <c r="B6" s="182" t="s">
        <v>43</v>
      </c>
      <c r="C6" s="182">
        <v>0.0</v>
      </c>
      <c r="D6" s="182">
        <v>2.0</v>
      </c>
      <c r="E6" s="207">
        <v>0.0</v>
      </c>
      <c r="F6" s="182" t="s">
        <v>378</v>
      </c>
    </row>
    <row r="7">
      <c r="A7" s="182" t="s">
        <v>186</v>
      </c>
      <c r="B7" s="182" t="s">
        <v>45</v>
      </c>
      <c r="C7" s="182">
        <v>1.0</v>
      </c>
      <c r="D7" s="182">
        <v>4.0</v>
      </c>
      <c r="E7" s="207">
        <v>0.2</v>
      </c>
      <c r="F7" s="182" t="s">
        <v>378</v>
      </c>
    </row>
    <row r="8">
      <c r="A8" s="182" t="s">
        <v>186</v>
      </c>
      <c r="B8" s="182" t="s">
        <v>38</v>
      </c>
      <c r="C8" s="182">
        <v>2.0</v>
      </c>
      <c r="D8" s="182">
        <v>3.0</v>
      </c>
      <c r="E8" s="207">
        <v>0.4</v>
      </c>
      <c r="F8" s="182" t="s">
        <v>378</v>
      </c>
    </row>
    <row r="9">
      <c r="A9" s="182" t="s">
        <v>181</v>
      </c>
      <c r="B9" s="182" t="s">
        <v>34</v>
      </c>
      <c r="C9" s="182">
        <v>0.0</v>
      </c>
      <c r="D9" s="182">
        <v>3.0</v>
      </c>
      <c r="E9" s="207">
        <v>0.0</v>
      </c>
      <c r="F9" s="182" t="s">
        <v>378</v>
      </c>
    </row>
    <row r="10">
      <c r="A10" s="182" t="s">
        <v>181</v>
      </c>
      <c r="B10" s="182" t="s">
        <v>42</v>
      </c>
      <c r="C10" s="182">
        <v>0.0</v>
      </c>
      <c r="D10" s="182">
        <v>1.0</v>
      </c>
      <c r="E10" s="207">
        <v>0.0</v>
      </c>
      <c r="F10" s="182" t="s">
        <v>378</v>
      </c>
    </row>
    <row r="11">
      <c r="A11" s="182" t="s">
        <v>181</v>
      </c>
      <c r="B11" s="182" t="s">
        <v>32</v>
      </c>
      <c r="C11" s="182">
        <v>0.0</v>
      </c>
      <c r="D11" s="182">
        <v>5.0</v>
      </c>
      <c r="E11" s="207">
        <v>0.0</v>
      </c>
      <c r="F11" s="182" t="s">
        <v>378</v>
      </c>
    </row>
    <row r="12">
      <c r="A12" s="182" t="s">
        <v>181</v>
      </c>
      <c r="B12" s="182" t="s">
        <v>40</v>
      </c>
      <c r="C12" s="182">
        <v>1.0</v>
      </c>
      <c r="D12" s="182">
        <v>9.0</v>
      </c>
      <c r="E12" s="207">
        <v>0.1</v>
      </c>
      <c r="F12" s="182" t="s">
        <v>378</v>
      </c>
    </row>
    <row r="13">
      <c r="A13" s="182" t="s">
        <v>181</v>
      </c>
      <c r="B13" s="182" t="s">
        <v>43</v>
      </c>
      <c r="C13" s="182">
        <v>0.0</v>
      </c>
      <c r="D13" s="182">
        <v>1.0</v>
      </c>
      <c r="E13" s="207">
        <v>0.0</v>
      </c>
      <c r="F13" s="182" t="s">
        <v>378</v>
      </c>
    </row>
    <row r="14">
      <c r="A14" s="182" t="s">
        <v>181</v>
      </c>
      <c r="B14" s="182" t="s">
        <v>38</v>
      </c>
      <c r="C14" s="182">
        <v>1.0</v>
      </c>
      <c r="D14" s="182">
        <v>6.0</v>
      </c>
      <c r="E14" s="207">
        <v>0.14</v>
      </c>
      <c r="F14" s="182" t="s">
        <v>378</v>
      </c>
    </row>
    <row r="15">
      <c r="A15" s="182" t="s">
        <v>190</v>
      </c>
      <c r="B15" s="182" t="s">
        <v>227</v>
      </c>
      <c r="C15" s="182">
        <v>1.0</v>
      </c>
      <c r="D15" s="182">
        <v>4.0</v>
      </c>
      <c r="E15" s="207">
        <v>0.2</v>
      </c>
      <c r="F15" s="182" t="s">
        <v>378</v>
      </c>
    </row>
    <row r="16">
      <c r="A16" s="182" t="s">
        <v>190</v>
      </c>
      <c r="B16" s="182" t="s">
        <v>34</v>
      </c>
      <c r="C16" s="182">
        <v>0.0</v>
      </c>
      <c r="D16" s="182">
        <v>2.0</v>
      </c>
      <c r="E16" s="207">
        <v>0.0</v>
      </c>
      <c r="F16" s="182" t="s">
        <v>378</v>
      </c>
    </row>
    <row r="17">
      <c r="A17" s="182" t="s">
        <v>190</v>
      </c>
      <c r="B17" s="182" t="s">
        <v>32</v>
      </c>
      <c r="C17" s="182">
        <v>0.0</v>
      </c>
      <c r="D17" s="182">
        <v>4.0</v>
      </c>
      <c r="E17" s="207">
        <v>0.0</v>
      </c>
      <c r="F17" s="182" t="s">
        <v>378</v>
      </c>
    </row>
    <row r="18">
      <c r="A18" s="182" t="s">
        <v>190</v>
      </c>
      <c r="B18" s="182" t="s">
        <v>36</v>
      </c>
      <c r="C18" s="182">
        <v>0.0</v>
      </c>
      <c r="D18" s="182">
        <v>1.0</v>
      </c>
      <c r="E18" s="207">
        <v>0.0</v>
      </c>
      <c r="F18" s="182" t="s">
        <v>378</v>
      </c>
    </row>
    <row r="19">
      <c r="A19" s="182" t="s">
        <v>190</v>
      </c>
      <c r="B19" s="182" t="s">
        <v>40</v>
      </c>
      <c r="C19" s="182">
        <v>1.0</v>
      </c>
      <c r="D19" s="182">
        <v>10.0</v>
      </c>
      <c r="E19" s="207">
        <v>0.09</v>
      </c>
      <c r="F19" s="182" t="s">
        <v>378</v>
      </c>
    </row>
    <row r="20">
      <c r="A20" s="182" t="s">
        <v>190</v>
      </c>
      <c r="B20" s="182" t="s">
        <v>45</v>
      </c>
      <c r="C20" s="182">
        <v>1.0</v>
      </c>
      <c r="D20" s="182">
        <v>0.0</v>
      </c>
      <c r="E20" s="207">
        <v>1.0</v>
      </c>
      <c r="F20" s="182" t="s">
        <v>378</v>
      </c>
    </row>
    <row r="21">
      <c r="A21" s="182" t="s">
        <v>190</v>
      </c>
      <c r="B21" s="182" t="s">
        <v>38</v>
      </c>
      <c r="C21" s="182">
        <v>1.0</v>
      </c>
      <c r="D21" s="182">
        <v>6.0</v>
      </c>
      <c r="E21" s="207">
        <v>0.14</v>
      </c>
      <c r="F21" s="182" t="s">
        <v>378</v>
      </c>
    </row>
    <row r="22">
      <c r="A22" s="182" t="s">
        <v>182</v>
      </c>
      <c r="B22" s="182" t="s">
        <v>227</v>
      </c>
      <c r="C22" s="182">
        <v>0.0</v>
      </c>
      <c r="D22" s="182">
        <v>3.0</v>
      </c>
      <c r="E22" s="207">
        <v>0.0</v>
      </c>
      <c r="F22" s="182" t="s">
        <v>378</v>
      </c>
    </row>
    <row r="23">
      <c r="A23" s="182" t="s">
        <v>182</v>
      </c>
      <c r="B23" s="182" t="s">
        <v>34</v>
      </c>
      <c r="C23" s="182">
        <v>0.0</v>
      </c>
      <c r="D23" s="182">
        <v>2.0</v>
      </c>
      <c r="E23" s="207">
        <v>0.0</v>
      </c>
      <c r="F23" s="182" t="s">
        <v>378</v>
      </c>
    </row>
    <row r="24">
      <c r="A24" s="182" t="s">
        <v>182</v>
      </c>
      <c r="B24" s="182" t="s">
        <v>32</v>
      </c>
      <c r="C24" s="182">
        <v>0.0</v>
      </c>
      <c r="D24" s="182">
        <v>5.0</v>
      </c>
      <c r="E24" s="207">
        <v>0.0</v>
      </c>
      <c r="F24" s="182" t="s">
        <v>378</v>
      </c>
    </row>
    <row r="25">
      <c r="A25" s="182" t="s">
        <v>182</v>
      </c>
      <c r="B25" s="182" t="s">
        <v>36</v>
      </c>
      <c r="C25" s="182">
        <v>0.0</v>
      </c>
      <c r="D25" s="182">
        <v>2.0</v>
      </c>
      <c r="E25" s="207">
        <v>0.0</v>
      </c>
      <c r="F25" s="182" t="s">
        <v>378</v>
      </c>
    </row>
    <row r="26">
      <c r="A26" s="182" t="s">
        <v>182</v>
      </c>
      <c r="B26" s="182" t="s">
        <v>40</v>
      </c>
      <c r="C26" s="182">
        <v>0.0</v>
      </c>
      <c r="D26" s="182">
        <v>5.0</v>
      </c>
      <c r="E26" s="207">
        <v>0.0</v>
      </c>
      <c r="F26" s="182" t="s">
        <v>378</v>
      </c>
    </row>
    <row r="27">
      <c r="A27" s="182" t="s">
        <v>183</v>
      </c>
      <c r="B27" s="182" t="s">
        <v>227</v>
      </c>
      <c r="C27" s="182">
        <v>0.0</v>
      </c>
      <c r="D27" s="182">
        <v>1.0</v>
      </c>
      <c r="E27" s="207">
        <v>0.0</v>
      </c>
      <c r="F27" s="182" t="s">
        <v>378</v>
      </c>
    </row>
    <row r="28">
      <c r="A28" s="182" t="s">
        <v>183</v>
      </c>
      <c r="B28" s="182" t="s">
        <v>34</v>
      </c>
      <c r="C28" s="182">
        <v>2.0</v>
      </c>
      <c r="D28" s="182">
        <v>1.0</v>
      </c>
      <c r="E28" s="207">
        <v>0.67</v>
      </c>
      <c r="F28" s="182" t="s">
        <v>378</v>
      </c>
    </row>
    <row r="29">
      <c r="A29" s="182" t="s">
        <v>183</v>
      </c>
      <c r="B29" s="182" t="s">
        <v>42</v>
      </c>
      <c r="C29" s="182">
        <v>0.0</v>
      </c>
      <c r="D29" s="182">
        <v>2.0</v>
      </c>
      <c r="E29" s="207">
        <v>0.0</v>
      </c>
      <c r="F29" s="182" t="s">
        <v>378</v>
      </c>
    </row>
    <row r="30">
      <c r="A30" s="182" t="s">
        <v>183</v>
      </c>
      <c r="B30" s="182" t="s">
        <v>32</v>
      </c>
      <c r="C30" s="182">
        <v>0.0</v>
      </c>
      <c r="D30" s="182">
        <v>2.0</v>
      </c>
      <c r="E30" s="207">
        <v>0.0</v>
      </c>
      <c r="F30" s="182" t="s">
        <v>378</v>
      </c>
    </row>
    <row r="31">
      <c r="A31" s="182" t="s">
        <v>183</v>
      </c>
      <c r="B31" s="182" t="s">
        <v>36</v>
      </c>
      <c r="C31" s="182">
        <v>0.0</v>
      </c>
      <c r="D31" s="182">
        <v>3.0</v>
      </c>
      <c r="E31" s="207">
        <v>0.0</v>
      </c>
      <c r="F31" s="182" t="s">
        <v>378</v>
      </c>
    </row>
    <row r="32">
      <c r="A32" s="182" t="s">
        <v>183</v>
      </c>
      <c r="B32" s="182" t="s">
        <v>40</v>
      </c>
      <c r="C32" s="182">
        <v>2.0</v>
      </c>
      <c r="D32" s="182">
        <v>10.0</v>
      </c>
      <c r="E32" s="207">
        <v>0.17</v>
      </c>
      <c r="F32" s="182" t="s">
        <v>378</v>
      </c>
    </row>
    <row r="33">
      <c r="A33" s="182" t="s">
        <v>183</v>
      </c>
      <c r="B33" s="182" t="s">
        <v>38</v>
      </c>
      <c r="C33" s="182">
        <v>0.0</v>
      </c>
      <c r="D33" s="182">
        <v>6.0</v>
      </c>
      <c r="E33" s="207">
        <v>0.0</v>
      </c>
      <c r="F33" s="182" t="s">
        <v>378</v>
      </c>
    </row>
    <row r="34">
      <c r="A34" s="182" t="s">
        <v>179</v>
      </c>
      <c r="B34" s="182" t="s">
        <v>227</v>
      </c>
      <c r="C34" s="182">
        <v>0.0</v>
      </c>
      <c r="D34" s="182">
        <v>2.0</v>
      </c>
      <c r="E34" s="207">
        <v>0.0</v>
      </c>
      <c r="F34" s="182" t="s">
        <v>378</v>
      </c>
    </row>
    <row r="35">
      <c r="A35" s="182" t="s">
        <v>179</v>
      </c>
      <c r="B35" s="182" t="s">
        <v>34</v>
      </c>
      <c r="C35" s="182">
        <v>2.0</v>
      </c>
      <c r="D35" s="182">
        <v>2.0</v>
      </c>
      <c r="E35" s="207">
        <v>0.5</v>
      </c>
      <c r="F35" s="182" t="s">
        <v>378</v>
      </c>
    </row>
    <row r="36">
      <c r="A36" s="182" t="s">
        <v>179</v>
      </c>
      <c r="B36" s="182" t="s">
        <v>42</v>
      </c>
      <c r="C36" s="182">
        <v>1.0</v>
      </c>
      <c r="D36" s="182">
        <v>2.0</v>
      </c>
      <c r="E36" s="207">
        <v>0.33</v>
      </c>
      <c r="F36" s="182" t="s">
        <v>378</v>
      </c>
    </row>
    <row r="37">
      <c r="A37" s="182" t="s">
        <v>179</v>
      </c>
      <c r="B37" s="182" t="s">
        <v>32</v>
      </c>
      <c r="C37" s="182">
        <v>0.0</v>
      </c>
      <c r="D37" s="182">
        <v>1.0</v>
      </c>
      <c r="E37" s="207">
        <v>0.0</v>
      </c>
      <c r="F37" s="182" t="s">
        <v>378</v>
      </c>
    </row>
    <row r="38">
      <c r="A38" s="182" t="s">
        <v>179</v>
      </c>
      <c r="B38" s="182" t="s">
        <v>40</v>
      </c>
      <c r="C38" s="182">
        <v>0.0</v>
      </c>
      <c r="D38" s="182">
        <v>3.0</v>
      </c>
      <c r="E38" s="207">
        <v>0.0</v>
      </c>
      <c r="F38" s="182" t="s">
        <v>378</v>
      </c>
    </row>
    <row r="39">
      <c r="A39" s="182" t="s">
        <v>179</v>
      </c>
      <c r="B39" s="182" t="s">
        <v>38</v>
      </c>
      <c r="C39" s="182">
        <v>0.0</v>
      </c>
      <c r="D39" s="182">
        <v>1.0</v>
      </c>
      <c r="E39" s="207">
        <v>0.0</v>
      </c>
      <c r="F39" s="182" t="s">
        <v>378</v>
      </c>
    </row>
    <row r="40">
      <c r="A40" s="182" t="s">
        <v>232</v>
      </c>
      <c r="B40" s="182" t="s">
        <v>227</v>
      </c>
      <c r="C40" s="182">
        <v>0.0</v>
      </c>
      <c r="D40" s="182">
        <v>1.0</v>
      </c>
      <c r="E40" s="207">
        <v>0.0</v>
      </c>
      <c r="F40" s="182" t="s">
        <v>378</v>
      </c>
    </row>
    <row r="41">
      <c r="A41" s="182" t="s">
        <v>232</v>
      </c>
      <c r="B41" s="182" t="s">
        <v>34</v>
      </c>
      <c r="C41" s="182">
        <v>1.0</v>
      </c>
      <c r="D41" s="182">
        <v>2.0</v>
      </c>
      <c r="E41" s="207">
        <v>0.33</v>
      </c>
      <c r="F41" s="182" t="s">
        <v>378</v>
      </c>
    </row>
    <row r="42">
      <c r="A42" s="182" t="s">
        <v>232</v>
      </c>
      <c r="B42" s="182" t="s">
        <v>32</v>
      </c>
      <c r="C42" s="182">
        <v>0.0</v>
      </c>
      <c r="D42" s="182">
        <v>4.0</v>
      </c>
      <c r="E42" s="207">
        <v>0.0</v>
      </c>
      <c r="F42" s="182" t="s">
        <v>378</v>
      </c>
    </row>
    <row r="43">
      <c r="A43" s="182" t="s">
        <v>232</v>
      </c>
      <c r="B43" s="182" t="s">
        <v>36</v>
      </c>
      <c r="C43" s="182">
        <v>1.0</v>
      </c>
      <c r="D43" s="182">
        <v>2.0</v>
      </c>
      <c r="E43" s="207">
        <v>0.33</v>
      </c>
      <c r="F43" s="182" t="s">
        <v>378</v>
      </c>
    </row>
    <row r="44">
      <c r="A44" s="182" t="s">
        <v>232</v>
      </c>
      <c r="B44" s="182" t="s">
        <v>40</v>
      </c>
      <c r="C44" s="182">
        <v>0.0</v>
      </c>
      <c r="D44" s="182">
        <v>1.0</v>
      </c>
      <c r="E44" s="207">
        <v>0.0</v>
      </c>
      <c r="F44" s="182" t="s">
        <v>378</v>
      </c>
    </row>
    <row r="45">
      <c r="A45" s="182" t="s">
        <v>232</v>
      </c>
      <c r="B45" s="182" t="s">
        <v>38</v>
      </c>
      <c r="C45" s="182">
        <v>0.0</v>
      </c>
      <c r="D45" s="182">
        <v>4.0</v>
      </c>
      <c r="E45" s="207">
        <v>0.0</v>
      </c>
      <c r="F45" s="182" t="s">
        <v>378</v>
      </c>
    </row>
    <row r="46">
      <c r="A46" s="182" t="s">
        <v>187</v>
      </c>
      <c r="B46" s="182" t="s">
        <v>227</v>
      </c>
      <c r="C46" s="182">
        <v>2.0</v>
      </c>
      <c r="D46" s="182">
        <v>4.0</v>
      </c>
      <c r="E46" s="207">
        <v>0.33</v>
      </c>
      <c r="F46" s="182" t="s">
        <v>378</v>
      </c>
    </row>
    <row r="47">
      <c r="A47" s="182" t="s">
        <v>187</v>
      </c>
      <c r="B47" s="182" t="s">
        <v>34</v>
      </c>
      <c r="C47" s="182">
        <v>3.0</v>
      </c>
      <c r="D47" s="182">
        <v>5.0</v>
      </c>
      <c r="E47" s="207">
        <v>0.38</v>
      </c>
      <c r="F47" s="182" t="s">
        <v>378</v>
      </c>
    </row>
    <row r="48">
      <c r="A48" s="182" t="s">
        <v>187</v>
      </c>
      <c r="B48" s="182" t="s">
        <v>42</v>
      </c>
      <c r="C48" s="182">
        <v>1.0</v>
      </c>
      <c r="D48" s="182">
        <v>2.0</v>
      </c>
      <c r="E48" s="207">
        <v>0.33</v>
      </c>
      <c r="F48" s="182" t="s">
        <v>378</v>
      </c>
    </row>
    <row r="49">
      <c r="A49" s="182" t="s">
        <v>187</v>
      </c>
      <c r="B49" s="182" t="s">
        <v>32</v>
      </c>
      <c r="C49" s="182">
        <v>0.0</v>
      </c>
      <c r="D49" s="182">
        <v>3.0</v>
      </c>
      <c r="E49" s="207">
        <v>0.0</v>
      </c>
      <c r="F49" s="182" t="s">
        <v>378</v>
      </c>
    </row>
    <row r="50">
      <c r="A50" s="182" t="s">
        <v>187</v>
      </c>
      <c r="B50" s="182" t="s">
        <v>40</v>
      </c>
      <c r="C50" s="182">
        <v>1.0</v>
      </c>
      <c r="D50" s="182">
        <v>7.0</v>
      </c>
      <c r="E50" s="207">
        <v>0.13</v>
      </c>
      <c r="F50" s="182" t="s">
        <v>378</v>
      </c>
    </row>
    <row r="51">
      <c r="A51" s="182" t="s">
        <v>187</v>
      </c>
      <c r="B51" s="182" t="s">
        <v>45</v>
      </c>
      <c r="C51" s="182">
        <v>0.0</v>
      </c>
      <c r="D51" s="182">
        <v>1.0</v>
      </c>
      <c r="E51" s="207">
        <v>0.0</v>
      </c>
      <c r="F51" s="182" t="s">
        <v>378</v>
      </c>
    </row>
    <row r="52">
      <c r="A52" s="182" t="s">
        <v>187</v>
      </c>
      <c r="B52" s="182" t="s">
        <v>38</v>
      </c>
      <c r="C52" s="182">
        <v>1.0</v>
      </c>
      <c r="D52" s="182">
        <v>2.0</v>
      </c>
      <c r="E52" s="207">
        <v>0.33</v>
      </c>
      <c r="F52" s="182" t="s">
        <v>378</v>
      </c>
    </row>
    <row r="53">
      <c r="A53" s="182" t="s">
        <v>189</v>
      </c>
      <c r="B53" s="182" t="s">
        <v>227</v>
      </c>
      <c r="C53" s="182">
        <v>0.0</v>
      </c>
      <c r="D53" s="182">
        <v>4.0</v>
      </c>
      <c r="E53" s="207">
        <v>0.0</v>
      </c>
      <c r="F53" s="182" t="s">
        <v>378</v>
      </c>
    </row>
    <row r="54">
      <c r="A54" s="182" t="s">
        <v>189</v>
      </c>
      <c r="B54" s="182" t="s">
        <v>42</v>
      </c>
      <c r="C54" s="182">
        <v>1.0</v>
      </c>
      <c r="D54" s="182">
        <v>2.0</v>
      </c>
      <c r="E54" s="207">
        <v>0.33</v>
      </c>
      <c r="F54" s="182" t="s">
        <v>378</v>
      </c>
    </row>
    <row r="55">
      <c r="A55" s="182" t="s">
        <v>189</v>
      </c>
      <c r="B55" s="182" t="s">
        <v>32</v>
      </c>
      <c r="C55" s="182">
        <v>0.0</v>
      </c>
      <c r="D55" s="182">
        <v>3.0</v>
      </c>
      <c r="E55" s="207">
        <v>0.0</v>
      </c>
      <c r="F55" s="182" t="s">
        <v>378</v>
      </c>
    </row>
    <row r="56">
      <c r="A56" s="182" t="s">
        <v>189</v>
      </c>
      <c r="B56" s="182" t="s">
        <v>36</v>
      </c>
      <c r="C56" s="182">
        <v>0.0</v>
      </c>
      <c r="D56" s="182">
        <v>5.0</v>
      </c>
      <c r="E56" s="207">
        <v>0.0</v>
      </c>
      <c r="F56" s="182" t="s">
        <v>378</v>
      </c>
    </row>
    <row r="57">
      <c r="A57" s="182" t="s">
        <v>189</v>
      </c>
      <c r="B57" s="182" t="s">
        <v>40</v>
      </c>
      <c r="C57" s="182">
        <v>0.0</v>
      </c>
      <c r="D57" s="182">
        <v>4.0</v>
      </c>
      <c r="E57" s="207">
        <v>0.0</v>
      </c>
      <c r="F57" s="182" t="s">
        <v>378</v>
      </c>
    </row>
    <row r="58">
      <c r="A58" s="182" t="s">
        <v>189</v>
      </c>
      <c r="B58" s="182" t="s">
        <v>45</v>
      </c>
      <c r="C58" s="182">
        <v>0.0</v>
      </c>
      <c r="D58" s="182">
        <v>1.0</v>
      </c>
      <c r="E58" s="207">
        <v>0.0</v>
      </c>
      <c r="F58" s="182" t="s">
        <v>378</v>
      </c>
    </row>
    <row r="59">
      <c r="A59" s="182" t="s">
        <v>180</v>
      </c>
      <c r="B59" s="182" t="s">
        <v>227</v>
      </c>
      <c r="C59" s="182">
        <v>0.0</v>
      </c>
      <c r="D59" s="182">
        <v>1.0</v>
      </c>
      <c r="E59" s="207">
        <v>0.0</v>
      </c>
      <c r="F59" s="182" t="s">
        <v>378</v>
      </c>
    </row>
    <row r="60">
      <c r="A60" s="182" t="s">
        <v>180</v>
      </c>
      <c r="B60" s="182" t="s">
        <v>34</v>
      </c>
      <c r="C60" s="182">
        <v>0.0</v>
      </c>
      <c r="D60" s="182">
        <v>2.0</v>
      </c>
      <c r="E60" s="207">
        <v>0.0</v>
      </c>
      <c r="F60" s="182" t="s">
        <v>378</v>
      </c>
    </row>
    <row r="61">
      <c r="A61" s="182" t="s">
        <v>180</v>
      </c>
      <c r="B61" s="182" t="s">
        <v>42</v>
      </c>
      <c r="C61" s="182">
        <v>1.0</v>
      </c>
      <c r="D61" s="182">
        <v>2.0</v>
      </c>
      <c r="E61" s="207">
        <v>0.33</v>
      </c>
      <c r="F61" s="182" t="s">
        <v>378</v>
      </c>
    </row>
    <row r="62">
      <c r="A62" s="182" t="s">
        <v>180</v>
      </c>
      <c r="B62" s="182" t="s">
        <v>32</v>
      </c>
      <c r="C62" s="182">
        <v>0.0</v>
      </c>
      <c r="D62" s="182">
        <v>2.0</v>
      </c>
      <c r="E62" s="207">
        <v>0.0</v>
      </c>
      <c r="F62" s="182" t="s">
        <v>378</v>
      </c>
    </row>
    <row r="63">
      <c r="A63" s="182" t="s">
        <v>180</v>
      </c>
      <c r="B63" s="182" t="s">
        <v>36</v>
      </c>
      <c r="C63" s="182">
        <v>3.0</v>
      </c>
      <c r="D63" s="182">
        <v>2.0</v>
      </c>
      <c r="E63" s="207">
        <v>0.6</v>
      </c>
      <c r="F63" s="182" t="s">
        <v>378</v>
      </c>
    </row>
    <row r="64">
      <c r="A64" s="182" t="s">
        <v>180</v>
      </c>
      <c r="B64" s="182" t="s">
        <v>40</v>
      </c>
      <c r="C64" s="182">
        <v>0.0</v>
      </c>
      <c r="D64" s="182">
        <v>5.0</v>
      </c>
      <c r="E64" s="207">
        <v>0.0</v>
      </c>
      <c r="F64" s="182" t="s">
        <v>378</v>
      </c>
    </row>
    <row r="65">
      <c r="A65" s="182" t="s">
        <v>180</v>
      </c>
      <c r="B65" s="182" t="s">
        <v>43</v>
      </c>
      <c r="C65" s="182">
        <v>1.0</v>
      </c>
      <c r="D65" s="182">
        <v>2.0</v>
      </c>
      <c r="E65" s="207">
        <v>0.33</v>
      </c>
      <c r="F65" s="182" t="s">
        <v>378</v>
      </c>
    </row>
    <row r="66">
      <c r="A66" s="182" t="s">
        <v>180</v>
      </c>
      <c r="B66" s="182" t="s">
        <v>45</v>
      </c>
      <c r="C66" s="182">
        <v>0.0</v>
      </c>
      <c r="D66" s="182">
        <v>1.0</v>
      </c>
      <c r="E66" s="207">
        <v>0.0</v>
      </c>
      <c r="F66" s="182" t="s">
        <v>378</v>
      </c>
    </row>
    <row r="67">
      <c r="A67" s="182" t="s">
        <v>180</v>
      </c>
      <c r="B67" s="182" t="s">
        <v>38</v>
      </c>
      <c r="C67" s="182">
        <v>1.0</v>
      </c>
      <c r="D67" s="182">
        <v>4.0</v>
      </c>
      <c r="E67" s="207">
        <v>0.2</v>
      </c>
      <c r="F67" s="182" t="s">
        <v>378</v>
      </c>
    </row>
    <row r="68">
      <c r="A68" s="182" t="s">
        <v>1</v>
      </c>
      <c r="B68" s="182" t="s">
        <v>227</v>
      </c>
      <c r="C68" s="182">
        <v>0.0</v>
      </c>
      <c r="D68" s="182">
        <v>4.0</v>
      </c>
      <c r="E68" s="207">
        <v>0.0</v>
      </c>
      <c r="F68" s="182" t="s">
        <v>378</v>
      </c>
    </row>
    <row r="69">
      <c r="A69" s="182" t="s">
        <v>1</v>
      </c>
      <c r="B69" s="182" t="s">
        <v>34</v>
      </c>
      <c r="C69" s="182">
        <v>0.0</v>
      </c>
      <c r="D69" s="182">
        <v>1.0</v>
      </c>
      <c r="E69" s="207">
        <v>0.0</v>
      </c>
      <c r="F69" s="182" t="s">
        <v>378</v>
      </c>
    </row>
    <row r="70">
      <c r="A70" s="182" t="s">
        <v>1</v>
      </c>
      <c r="B70" s="182" t="s">
        <v>42</v>
      </c>
      <c r="C70" s="182">
        <v>3.0</v>
      </c>
      <c r="D70" s="182">
        <v>2.0</v>
      </c>
      <c r="E70" s="207">
        <v>0.6</v>
      </c>
      <c r="F70" s="182" t="s">
        <v>378</v>
      </c>
    </row>
    <row r="71">
      <c r="A71" s="182" t="s">
        <v>1</v>
      </c>
      <c r="B71" s="182" t="s">
        <v>32</v>
      </c>
      <c r="C71" s="182">
        <v>2.0</v>
      </c>
      <c r="D71" s="182">
        <v>4.0</v>
      </c>
      <c r="E71" s="207">
        <v>0.33</v>
      </c>
      <c r="F71" s="182" t="s">
        <v>378</v>
      </c>
    </row>
    <row r="72">
      <c r="A72" s="182" t="s">
        <v>1</v>
      </c>
      <c r="B72" s="182" t="s">
        <v>36</v>
      </c>
      <c r="C72" s="182">
        <v>1.0</v>
      </c>
      <c r="D72" s="182">
        <v>0.0</v>
      </c>
      <c r="E72" s="207">
        <v>1.0</v>
      </c>
      <c r="F72" s="182" t="s">
        <v>378</v>
      </c>
    </row>
    <row r="73">
      <c r="A73" s="182" t="s">
        <v>1</v>
      </c>
      <c r="B73" s="182" t="s">
        <v>40</v>
      </c>
      <c r="C73" s="182">
        <v>1.0</v>
      </c>
      <c r="D73" s="182">
        <v>8.0</v>
      </c>
      <c r="E73" s="207">
        <v>0.11</v>
      </c>
      <c r="F73" s="182" t="s">
        <v>378</v>
      </c>
    </row>
    <row r="74">
      <c r="A74" s="182" t="s">
        <v>185</v>
      </c>
      <c r="B74" s="182" t="s">
        <v>227</v>
      </c>
      <c r="C74" s="182">
        <v>1.0</v>
      </c>
      <c r="D74" s="182">
        <v>3.0</v>
      </c>
      <c r="E74" s="207">
        <v>0.25</v>
      </c>
      <c r="F74" s="182" t="s">
        <v>378</v>
      </c>
    </row>
    <row r="75">
      <c r="A75" s="182" t="s">
        <v>185</v>
      </c>
      <c r="B75" s="182" t="s">
        <v>34</v>
      </c>
      <c r="C75" s="182">
        <v>1.0</v>
      </c>
      <c r="D75" s="182">
        <v>3.0</v>
      </c>
      <c r="E75" s="207">
        <v>0.25</v>
      </c>
      <c r="F75" s="182" t="s">
        <v>378</v>
      </c>
    </row>
    <row r="76">
      <c r="A76" s="182" t="s">
        <v>185</v>
      </c>
      <c r="B76" s="182" t="s">
        <v>42</v>
      </c>
      <c r="C76" s="182">
        <v>1.0</v>
      </c>
      <c r="D76" s="182">
        <v>2.0</v>
      </c>
      <c r="E76" s="207">
        <v>0.33</v>
      </c>
      <c r="F76" s="182" t="s">
        <v>378</v>
      </c>
    </row>
    <row r="77">
      <c r="A77" s="182" t="s">
        <v>185</v>
      </c>
      <c r="B77" s="182" t="s">
        <v>32</v>
      </c>
      <c r="C77" s="182">
        <v>5.0</v>
      </c>
      <c r="D77" s="182">
        <v>3.0</v>
      </c>
      <c r="E77" s="207">
        <v>0.63</v>
      </c>
      <c r="F77" s="182" t="s">
        <v>378</v>
      </c>
    </row>
    <row r="78">
      <c r="A78" s="182" t="s">
        <v>185</v>
      </c>
      <c r="B78" s="182" t="s">
        <v>36</v>
      </c>
      <c r="C78" s="182">
        <v>2.0</v>
      </c>
      <c r="D78" s="182">
        <v>2.0</v>
      </c>
      <c r="E78" s="207">
        <v>0.5</v>
      </c>
      <c r="F78" s="182" t="s">
        <v>378</v>
      </c>
    </row>
    <row r="79">
      <c r="A79" s="182" t="s">
        <v>185</v>
      </c>
      <c r="B79" s="182" t="s">
        <v>40</v>
      </c>
      <c r="C79" s="182">
        <v>0.0</v>
      </c>
      <c r="D79" s="182">
        <v>10.0</v>
      </c>
      <c r="E79" s="207">
        <v>0.0</v>
      </c>
      <c r="F79" s="182" t="s">
        <v>378</v>
      </c>
    </row>
    <row r="80">
      <c r="A80" s="182" t="s">
        <v>185</v>
      </c>
      <c r="B80" s="182" t="s">
        <v>45</v>
      </c>
      <c r="C80" s="182">
        <v>0.0</v>
      </c>
      <c r="D80" s="182">
        <v>1.0</v>
      </c>
      <c r="E80" s="207">
        <v>0.0</v>
      </c>
      <c r="F80" s="182" t="s">
        <v>378</v>
      </c>
    </row>
    <row r="81">
      <c r="A81" s="182" t="s">
        <v>185</v>
      </c>
      <c r="B81" s="182" t="s">
        <v>38</v>
      </c>
      <c r="C81" s="182">
        <v>1.0</v>
      </c>
      <c r="D81" s="182">
        <v>8.0</v>
      </c>
      <c r="E81" s="207">
        <v>0.11</v>
      </c>
      <c r="F81" s="182" t="s">
        <v>378</v>
      </c>
    </row>
    <row r="82">
      <c r="A82" s="182" t="s">
        <v>184</v>
      </c>
      <c r="B82" s="182" t="s">
        <v>227</v>
      </c>
      <c r="C82" s="182">
        <v>1.0</v>
      </c>
      <c r="D82" s="182">
        <v>5.0</v>
      </c>
      <c r="E82" s="207">
        <v>0.17</v>
      </c>
      <c r="F82" s="182" t="s">
        <v>378</v>
      </c>
    </row>
    <row r="83">
      <c r="A83" s="182" t="s">
        <v>184</v>
      </c>
      <c r="B83" s="182" t="s">
        <v>34</v>
      </c>
      <c r="C83" s="182">
        <v>1.0</v>
      </c>
      <c r="D83" s="182">
        <v>2.0</v>
      </c>
      <c r="E83" s="207">
        <v>0.33</v>
      </c>
      <c r="F83" s="182" t="s">
        <v>378</v>
      </c>
    </row>
    <row r="84">
      <c r="A84" s="182" t="s">
        <v>184</v>
      </c>
      <c r="B84" s="182" t="s">
        <v>42</v>
      </c>
      <c r="C84" s="182">
        <v>1.0</v>
      </c>
      <c r="D84" s="182">
        <v>2.0</v>
      </c>
      <c r="E84" s="207">
        <v>0.33</v>
      </c>
      <c r="F84" s="182" t="s">
        <v>378</v>
      </c>
    </row>
    <row r="85">
      <c r="A85" s="182" t="s">
        <v>184</v>
      </c>
      <c r="B85" s="182" t="s">
        <v>32</v>
      </c>
      <c r="C85" s="182">
        <v>1.0</v>
      </c>
      <c r="D85" s="182">
        <v>6.0</v>
      </c>
      <c r="E85" s="207">
        <v>0.14</v>
      </c>
      <c r="F85" s="182" t="s">
        <v>378</v>
      </c>
    </row>
    <row r="86">
      <c r="A86" s="182" t="s">
        <v>184</v>
      </c>
      <c r="B86" s="182" t="s">
        <v>36</v>
      </c>
      <c r="C86" s="182">
        <v>2.0</v>
      </c>
      <c r="D86" s="182">
        <v>1.0</v>
      </c>
      <c r="E86" s="207">
        <v>0.67</v>
      </c>
      <c r="F86" s="182" t="s">
        <v>378</v>
      </c>
    </row>
    <row r="87">
      <c r="A87" s="182" t="s">
        <v>184</v>
      </c>
      <c r="B87" s="182" t="s">
        <v>40</v>
      </c>
      <c r="C87" s="182">
        <v>3.0</v>
      </c>
      <c r="D87" s="182">
        <v>8.0</v>
      </c>
      <c r="E87" s="207">
        <v>0.27</v>
      </c>
      <c r="F87" s="182" t="s">
        <v>378</v>
      </c>
    </row>
    <row r="88">
      <c r="A88" s="182" t="s">
        <v>184</v>
      </c>
      <c r="B88" s="182" t="s">
        <v>45</v>
      </c>
      <c r="C88" s="182">
        <v>0.0</v>
      </c>
      <c r="D88" s="182">
        <v>4.0</v>
      </c>
      <c r="E88" s="207">
        <v>0.0</v>
      </c>
      <c r="F88" s="182" t="s">
        <v>378</v>
      </c>
    </row>
    <row r="89">
      <c r="A89" s="182" t="s">
        <v>184</v>
      </c>
      <c r="B89" s="182" t="s">
        <v>38</v>
      </c>
      <c r="C89" s="182">
        <v>0.0</v>
      </c>
      <c r="D89" s="182">
        <v>4.0</v>
      </c>
      <c r="E89" s="207">
        <v>0.0</v>
      </c>
      <c r="F89" s="182" t="s">
        <v>378</v>
      </c>
    </row>
    <row r="90">
      <c r="A90" s="182" t="s">
        <v>188</v>
      </c>
      <c r="B90" s="182" t="s">
        <v>227</v>
      </c>
      <c r="C90" s="182">
        <v>0.0</v>
      </c>
      <c r="D90" s="182">
        <v>3.0</v>
      </c>
      <c r="E90" s="207">
        <v>0.0</v>
      </c>
      <c r="F90" s="182" t="s">
        <v>378</v>
      </c>
    </row>
    <row r="91">
      <c r="A91" s="182" t="s">
        <v>188</v>
      </c>
      <c r="B91" s="182" t="s">
        <v>42</v>
      </c>
      <c r="C91" s="182">
        <v>0.0</v>
      </c>
      <c r="D91" s="182">
        <v>3.0</v>
      </c>
      <c r="E91" s="207">
        <v>0.0</v>
      </c>
      <c r="F91" s="182" t="s">
        <v>378</v>
      </c>
    </row>
    <row r="92">
      <c r="A92" s="182" t="s">
        <v>188</v>
      </c>
      <c r="B92" s="182" t="s">
        <v>32</v>
      </c>
      <c r="C92" s="182">
        <v>2.0</v>
      </c>
      <c r="D92" s="182">
        <v>11.0</v>
      </c>
      <c r="E92" s="207">
        <v>0.15</v>
      </c>
      <c r="F92" s="182" t="s">
        <v>378</v>
      </c>
    </row>
    <row r="93">
      <c r="A93" s="182" t="s">
        <v>188</v>
      </c>
      <c r="B93" s="182" t="s">
        <v>36</v>
      </c>
      <c r="C93" s="182">
        <v>1.0</v>
      </c>
      <c r="D93" s="182">
        <v>4.0</v>
      </c>
      <c r="E93" s="207">
        <v>0.2</v>
      </c>
      <c r="F93" s="182" t="s">
        <v>378</v>
      </c>
    </row>
    <row r="94">
      <c r="A94" s="182" t="s">
        <v>188</v>
      </c>
      <c r="B94" s="182" t="s">
        <v>40</v>
      </c>
      <c r="C94" s="182">
        <v>4.0</v>
      </c>
      <c r="D94" s="182">
        <v>9.0</v>
      </c>
      <c r="E94" s="207">
        <v>0.31</v>
      </c>
      <c r="F94" s="182" t="s">
        <v>378</v>
      </c>
    </row>
    <row r="95">
      <c r="A95" s="182" t="s">
        <v>188</v>
      </c>
      <c r="B95" s="182" t="s">
        <v>43</v>
      </c>
      <c r="C95" s="182">
        <v>1.0</v>
      </c>
      <c r="D95" s="182">
        <v>0.0</v>
      </c>
      <c r="E95" s="207">
        <v>1.0</v>
      </c>
      <c r="F95" s="182" t="s">
        <v>378</v>
      </c>
    </row>
    <row r="96">
      <c r="A96" s="182" t="s">
        <v>188</v>
      </c>
      <c r="B96" s="182" t="s">
        <v>45</v>
      </c>
      <c r="C96" s="182">
        <v>0.0</v>
      </c>
      <c r="D96" s="182">
        <v>1.0</v>
      </c>
      <c r="E96" s="207">
        <v>0.0</v>
      </c>
      <c r="F96" s="182" t="s">
        <v>378</v>
      </c>
    </row>
    <row r="97">
      <c r="A97" s="182" t="s">
        <v>188</v>
      </c>
      <c r="B97" s="182" t="s">
        <v>38</v>
      </c>
      <c r="C97" s="182">
        <v>2.0</v>
      </c>
      <c r="D97" s="182">
        <v>7.0</v>
      </c>
      <c r="E97" s="207">
        <v>0.22</v>
      </c>
      <c r="F97" s="182" t="s">
        <v>378</v>
      </c>
    </row>
    <row r="98">
      <c r="A98" s="182" t="s">
        <v>186</v>
      </c>
      <c r="B98" s="182" t="s">
        <v>42</v>
      </c>
      <c r="C98" s="182">
        <v>0.0</v>
      </c>
      <c r="D98" s="182">
        <v>1.0</v>
      </c>
      <c r="E98" s="207">
        <v>0.0</v>
      </c>
      <c r="F98" s="182" t="s">
        <v>379</v>
      </c>
    </row>
    <row r="99">
      <c r="A99" s="182" t="s">
        <v>186</v>
      </c>
      <c r="B99" s="182" t="s">
        <v>32</v>
      </c>
      <c r="C99" s="182">
        <v>0.0</v>
      </c>
      <c r="D99" s="182">
        <v>6.0</v>
      </c>
      <c r="E99" s="207">
        <v>0.0</v>
      </c>
      <c r="F99" s="182" t="s">
        <v>379</v>
      </c>
    </row>
    <row r="100">
      <c r="A100" s="182" t="s">
        <v>186</v>
      </c>
      <c r="B100" s="182" t="s">
        <v>36</v>
      </c>
      <c r="C100" s="182">
        <v>1.0</v>
      </c>
      <c r="D100" s="182">
        <v>2.0</v>
      </c>
      <c r="E100" s="207">
        <v>0.33</v>
      </c>
      <c r="F100" s="182" t="s">
        <v>379</v>
      </c>
    </row>
    <row r="101">
      <c r="A101" s="182" t="s">
        <v>186</v>
      </c>
      <c r="B101" s="182" t="s">
        <v>40</v>
      </c>
      <c r="C101" s="182">
        <v>1.0</v>
      </c>
      <c r="D101" s="182">
        <v>4.0</v>
      </c>
      <c r="E101" s="207">
        <v>0.2</v>
      </c>
      <c r="F101" s="182" t="s">
        <v>379</v>
      </c>
    </row>
    <row r="102">
      <c r="A102" s="182" t="s">
        <v>186</v>
      </c>
      <c r="B102" s="182" t="s">
        <v>43</v>
      </c>
      <c r="C102" s="182">
        <v>0.0</v>
      </c>
      <c r="D102" s="182">
        <v>2.0</v>
      </c>
      <c r="E102" s="207">
        <v>0.0</v>
      </c>
      <c r="F102" s="182" t="s">
        <v>379</v>
      </c>
    </row>
    <row r="103">
      <c r="A103" s="182" t="s">
        <v>186</v>
      </c>
      <c r="B103" s="182" t="s">
        <v>38</v>
      </c>
      <c r="C103" s="182">
        <v>0.0</v>
      </c>
      <c r="D103" s="182">
        <v>4.0</v>
      </c>
      <c r="E103" s="207">
        <v>0.0</v>
      </c>
      <c r="F103" s="182" t="s">
        <v>379</v>
      </c>
    </row>
    <row r="104">
      <c r="A104" s="182" t="s">
        <v>181</v>
      </c>
      <c r="B104" s="182" t="s">
        <v>227</v>
      </c>
      <c r="C104" s="182">
        <v>0.0</v>
      </c>
      <c r="D104" s="182">
        <v>1.0</v>
      </c>
      <c r="E104" s="207">
        <v>0.0</v>
      </c>
      <c r="F104" s="182" t="s">
        <v>379</v>
      </c>
    </row>
    <row r="105">
      <c r="A105" s="182" t="s">
        <v>181</v>
      </c>
      <c r="B105" s="182" t="s">
        <v>42</v>
      </c>
      <c r="C105" s="182">
        <v>0.0</v>
      </c>
      <c r="D105" s="182">
        <v>1.0</v>
      </c>
      <c r="E105" s="207">
        <v>0.0</v>
      </c>
      <c r="F105" s="182" t="s">
        <v>379</v>
      </c>
    </row>
    <row r="106">
      <c r="A106" s="182" t="s">
        <v>181</v>
      </c>
      <c r="B106" s="182" t="s">
        <v>32</v>
      </c>
      <c r="C106" s="182">
        <v>1.0</v>
      </c>
      <c r="D106" s="182">
        <v>4.0</v>
      </c>
      <c r="E106" s="207">
        <v>0.2</v>
      </c>
      <c r="F106" s="182" t="s">
        <v>379</v>
      </c>
    </row>
    <row r="107">
      <c r="A107" s="182" t="s">
        <v>181</v>
      </c>
      <c r="B107" s="182" t="s">
        <v>40</v>
      </c>
      <c r="C107" s="182">
        <v>3.0</v>
      </c>
      <c r="D107" s="182">
        <v>4.0</v>
      </c>
      <c r="E107" s="207">
        <v>0.43</v>
      </c>
      <c r="F107" s="182" t="s">
        <v>379</v>
      </c>
    </row>
    <row r="108">
      <c r="A108" s="182" t="s">
        <v>181</v>
      </c>
      <c r="B108" s="182" t="s">
        <v>45</v>
      </c>
      <c r="C108" s="182">
        <v>1.0</v>
      </c>
      <c r="D108" s="182">
        <v>0.0</v>
      </c>
      <c r="E108" s="207">
        <v>1.0</v>
      </c>
      <c r="F108" s="182" t="s">
        <v>379</v>
      </c>
    </row>
    <row r="109">
      <c r="A109" s="182" t="s">
        <v>181</v>
      </c>
      <c r="B109" s="182" t="s">
        <v>38</v>
      </c>
      <c r="C109" s="182">
        <v>1.0</v>
      </c>
      <c r="D109" s="182">
        <v>6.0</v>
      </c>
      <c r="E109" s="207">
        <v>0.14</v>
      </c>
      <c r="F109" s="182" t="s">
        <v>379</v>
      </c>
    </row>
    <row r="110">
      <c r="A110" s="182" t="s">
        <v>190</v>
      </c>
      <c r="B110" s="182" t="s">
        <v>227</v>
      </c>
      <c r="C110" s="182">
        <v>0.0</v>
      </c>
      <c r="D110" s="182">
        <v>5.0</v>
      </c>
      <c r="E110" s="207">
        <v>0.0</v>
      </c>
      <c r="F110" s="182" t="s">
        <v>379</v>
      </c>
    </row>
    <row r="111">
      <c r="A111" s="182" t="s">
        <v>190</v>
      </c>
      <c r="B111" s="182" t="s">
        <v>34</v>
      </c>
      <c r="C111" s="182">
        <v>1.0</v>
      </c>
      <c r="D111" s="182">
        <v>1.0</v>
      </c>
      <c r="E111" s="207">
        <v>0.5</v>
      </c>
      <c r="F111" s="182" t="s">
        <v>379</v>
      </c>
    </row>
    <row r="112">
      <c r="A112" s="182" t="s">
        <v>190</v>
      </c>
      <c r="B112" s="182" t="s">
        <v>42</v>
      </c>
      <c r="C112" s="182">
        <v>0.0</v>
      </c>
      <c r="D112" s="182">
        <v>1.0</v>
      </c>
      <c r="E112" s="207">
        <v>0.0</v>
      </c>
      <c r="F112" s="182" t="s">
        <v>379</v>
      </c>
    </row>
    <row r="113">
      <c r="A113" s="182" t="s">
        <v>190</v>
      </c>
      <c r="B113" s="182" t="s">
        <v>32</v>
      </c>
      <c r="C113" s="182">
        <v>1.0</v>
      </c>
      <c r="D113" s="182">
        <v>1.0</v>
      </c>
      <c r="E113" s="207">
        <v>0.5</v>
      </c>
      <c r="F113" s="182" t="s">
        <v>379</v>
      </c>
    </row>
    <row r="114">
      <c r="A114" s="182" t="s">
        <v>190</v>
      </c>
      <c r="B114" s="182" t="s">
        <v>40</v>
      </c>
      <c r="C114" s="182">
        <v>0.0</v>
      </c>
      <c r="D114" s="182">
        <v>5.0</v>
      </c>
      <c r="E114" s="207">
        <v>0.0</v>
      </c>
      <c r="F114" s="182" t="s">
        <v>379</v>
      </c>
    </row>
    <row r="115">
      <c r="A115" s="182" t="s">
        <v>190</v>
      </c>
      <c r="B115" s="182" t="s">
        <v>45</v>
      </c>
      <c r="C115" s="182">
        <v>0.0</v>
      </c>
      <c r="D115" s="182">
        <v>2.0</v>
      </c>
      <c r="E115" s="207">
        <v>0.0</v>
      </c>
      <c r="F115" s="182" t="s">
        <v>379</v>
      </c>
    </row>
    <row r="116">
      <c r="A116" s="182" t="s">
        <v>190</v>
      </c>
      <c r="B116" s="182" t="s">
        <v>38</v>
      </c>
      <c r="C116" s="182">
        <v>0.0</v>
      </c>
      <c r="D116" s="182">
        <v>3.0</v>
      </c>
      <c r="E116" s="207">
        <v>0.0</v>
      </c>
      <c r="F116" s="182" t="s">
        <v>379</v>
      </c>
    </row>
    <row r="117">
      <c r="A117" s="182" t="s">
        <v>182</v>
      </c>
      <c r="B117" s="182" t="s">
        <v>227</v>
      </c>
      <c r="C117" s="182">
        <v>0.0</v>
      </c>
      <c r="D117" s="182">
        <v>2.0</v>
      </c>
      <c r="E117" s="207">
        <v>0.0</v>
      </c>
      <c r="F117" s="182" t="s">
        <v>379</v>
      </c>
    </row>
    <row r="118">
      <c r="A118" s="182" t="s">
        <v>182</v>
      </c>
      <c r="B118" s="182" t="s">
        <v>34</v>
      </c>
      <c r="C118" s="182">
        <v>0.0</v>
      </c>
      <c r="D118" s="182">
        <v>2.0</v>
      </c>
      <c r="E118" s="207">
        <v>0.0</v>
      </c>
      <c r="F118" s="182" t="s">
        <v>379</v>
      </c>
    </row>
    <row r="119">
      <c r="A119" s="182" t="s">
        <v>182</v>
      </c>
      <c r="B119" s="182" t="s">
        <v>32</v>
      </c>
      <c r="C119" s="182">
        <v>0.0</v>
      </c>
      <c r="D119" s="182">
        <v>2.0</v>
      </c>
      <c r="E119" s="207">
        <v>0.0</v>
      </c>
      <c r="F119" s="182" t="s">
        <v>379</v>
      </c>
    </row>
    <row r="120">
      <c r="A120" s="182" t="s">
        <v>182</v>
      </c>
      <c r="B120" s="182" t="s">
        <v>40</v>
      </c>
      <c r="C120" s="182">
        <v>1.0</v>
      </c>
      <c r="D120" s="182">
        <v>3.0</v>
      </c>
      <c r="E120" s="207">
        <v>0.25</v>
      </c>
      <c r="F120" s="182" t="s">
        <v>379</v>
      </c>
    </row>
    <row r="121">
      <c r="A121" s="182" t="s">
        <v>182</v>
      </c>
      <c r="B121" s="182" t="s">
        <v>38</v>
      </c>
      <c r="C121" s="182">
        <v>0.0</v>
      </c>
      <c r="D121" s="182">
        <v>4.0</v>
      </c>
      <c r="E121" s="207">
        <v>0.0</v>
      </c>
      <c r="F121" s="182" t="s">
        <v>379</v>
      </c>
    </row>
    <row r="122">
      <c r="A122" s="182" t="s">
        <v>183</v>
      </c>
      <c r="B122" s="182" t="s">
        <v>227</v>
      </c>
      <c r="C122" s="182">
        <v>0.0</v>
      </c>
      <c r="D122" s="182">
        <v>2.0</v>
      </c>
      <c r="E122" s="207">
        <v>0.0</v>
      </c>
      <c r="F122" s="182" t="s">
        <v>379</v>
      </c>
    </row>
    <row r="123">
      <c r="A123" s="182" t="s">
        <v>183</v>
      </c>
      <c r="B123" s="182" t="s">
        <v>34</v>
      </c>
      <c r="C123" s="182">
        <v>1.0</v>
      </c>
      <c r="D123" s="182">
        <v>0.0</v>
      </c>
      <c r="E123" s="207">
        <v>1.0</v>
      </c>
      <c r="F123" s="182" t="s">
        <v>379</v>
      </c>
    </row>
    <row r="124">
      <c r="A124" s="182" t="s">
        <v>183</v>
      </c>
      <c r="B124" s="182" t="s">
        <v>42</v>
      </c>
      <c r="C124" s="182">
        <v>0.0</v>
      </c>
      <c r="D124" s="182">
        <v>4.0</v>
      </c>
      <c r="E124" s="207">
        <v>0.0</v>
      </c>
      <c r="F124" s="182" t="s">
        <v>379</v>
      </c>
    </row>
    <row r="125">
      <c r="A125" s="182" t="s">
        <v>183</v>
      </c>
      <c r="B125" s="182" t="s">
        <v>32</v>
      </c>
      <c r="C125" s="182">
        <v>1.0</v>
      </c>
      <c r="D125" s="182">
        <v>2.0</v>
      </c>
      <c r="E125" s="207">
        <v>0.33</v>
      </c>
      <c r="F125" s="182" t="s">
        <v>379</v>
      </c>
    </row>
    <row r="126">
      <c r="A126" s="182" t="s">
        <v>183</v>
      </c>
      <c r="B126" s="182" t="s">
        <v>36</v>
      </c>
      <c r="C126" s="182">
        <v>0.0</v>
      </c>
      <c r="D126" s="182">
        <v>4.0</v>
      </c>
      <c r="E126" s="207">
        <v>0.0</v>
      </c>
      <c r="F126" s="182" t="s">
        <v>379</v>
      </c>
    </row>
    <row r="127">
      <c r="A127" s="182" t="s">
        <v>183</v>
      </c>
      <c r="B127" s="182" t="s">
        <v>40</v>
      </c>
      <c r="C127" s="182">
        <v>1.0</v>
      </c>
      <c r="D127" s="182">
        <v>5.0</v>
      </c>
      <c r="E127" s="207">
        <v>0.17</v>
      </c>
      <c r="F127" s="182" t="s">
        <v>379</v>
      </c>
    </row>
    <row r="128">
      <c r="A128" s="182" t="s">
        <v>183</v>
      </c>
      <c r="B128" s="182" t="s">
        <v>45</v>
      </c>
      <c r="C128" s="182">
        <v>0.0</v>
      </c>
      <c r="D128" s="182">
        <v>1.0</v>
      </c>
      <c r="E128" s="207">
        <v>0.0</v>
      </c>
      <c r="F128" s="182" t="s">
        <v>379</v>
      </c>
    </row>
    <row r="129">
      <c r="A129" s="182" t="s">
        <v>183</v>
      </c>
      <c r="B129" s="182" t="s">
        <v>38</v>
      </c>
      <c r="C129" s="182">
        <v>1.0</v>
      </c>
      <c r="D129" s="182">
        <v>5.0</v>
      </c>
      <c r="E129" s="207">
        <v>0.17</v>
      </c>
      <c r="F129" s="182" t="s">
        <v>379</v>
      </c>
    </row>
    <row r="130">
      <c r="A130" s="182" t="s">
        <v>179</v>
      </c>
      <c r="B130" s="182" t="s">
        <v>227</v>
      </c>
      <c r="C130" s="182">
        <v>2.0</v>
      </c>
      <c r="D130" s="182">
        <v>4.0</v>
      </c>
      <c r="E130" s="207">
        <v>0.33</v>
      </c>
      <c r="F130" s="182" t="s">
        <v>379</v>
      </c>
    </row>
    <row r="131">
      <c r="A131" s="182" t="s">
        <v>179</v>
      </c>
      <c r="B131" s="182" t="s">
        <v>34</v>
      </c>
      <c r="C131" s="182">
        <v>1.0</v>
      </c>
      <c r="D131" s="182">
        <v>0.0</v>
      </c>
      <c r="E131" s="207">
        <v>1.0</v>
      </c>
      <c r="F131" s="182" t="s">
        <v>379</v>
      </c>
    </row>
    <row r="132">
      <c r="A132" s="182" t="s">
        <v>179</v>
      </c>
      <c r="B132" s="182" t="s">
        <v>42</v>
      </c>
      <c r="C132" s="182">
        <v>1.0</v>
      </c>
      <c r="D132" s="182">
        <v>4.0</v>
      </c>
      <c r="E132" s="207">
        <v>0.2</v>
      </c>
      <c r="F132" s="182" t="s">
        <v>379</v>
      </c>
    </row>
    <row r="133">
      <c r="A133" s="182" t="s">
        <v>179</v>
      </c>
      <c r="B133" s="182" t="s">
        <v>40</v>
      </c>
      <c r="C133" s="182">
        <v>2.0</v>
      </c>
      <c r="D133" s="182">
        <v>1.0</v>
      </c>
      <c r="E133" s="207">
        <v>0.67</v>
      </c>
      <c r="F133" s="182" t="s">
        <v>379</v>
      </c>
    </row>
    <row r="134">
      <c r="A134" s="182" t="s">
        <v>179</v>
      </c>
      <c r="B134" s="182" t="s">
        <v>38</v>
      </c>
      <c r="C134" s="182">
        <v>0.0</v>
      </c>
      <c r="D134" s="182">
        <v>1.0</v>
      </c>
      <c r="E134" s="207">
        <v>0.0</v>
      </c>
      <c r="F134" s="182" t="s">
        <v>379</v>
      </c>
    </row>
    <row r="135">
      <c r="A135" s="182" t="s">
        <v>232</v>
      </c>
      <c r="B135" s="182" t="s">
        <v>227</v>
      </c>
      <c r="C135" s="182">
        <v>1.0</v>
      </c>
      <c r="D135" s="182">
        <v>2.0</v>
      </c>
      <c r="E135" s="207">
        <v>0.33</v>
      </c>
      <c r="F135" s="182" t="s">
        <v>379</v>
      </c>
    </row>
    <row r="136">
      <c r="A136" s="182" t="s">
        <v>232</v>
      </c>
      <c r="B136" s="182" t="s">
        <v>34</v>
      </c>
      <c r="C136" s="182">
        <v>0.0</v>
      </c>
      <c r="D136" s="182">
        <v>1.0</v>
      </c>
      <c r="E136" s="207">
        <v>0.0</v>
      </c>
      <c r="F136" s="182" t="s">
        <v>379</v>
      </c>
    </row>
    <row r="137">
      <c r="A137" s="182" t="s">
        <v>232</v>
      </c>
      <c r="B137" s="182" t="s">
        <v>32</v>
      </c>
      <c r="C137" s="182">
        <v>1.0</v>
      </c>
      <c r="D137" s="182">
        <v>1.0</v>
      </c>
      <c r="E137" s="207">
        <v>0.5</v>
      </c>
      <c r="F137" s="182" t="s">
        <v>379</v>
      </c>
    </row>
    <row r="138">
      <c r="A138" s="182" t="s">
        <v>232</v>
      </c>
      <c r="B138" s="182" t="s">
        <v>36</v>
      </c>
      <c r="C138" s="182">
        <v>1.0</v>
      </c>
      <c r="D138" s="182">
        <v>0.0</v>
      </c>
      <c r="E138" s="207">
        <v>1.0</v>
      </c>
      <c r="F138" s="182" t="s">
        <v>379</v>
      </c>
    </row>
    <row r="139">
      <c r="A139" s="182" t="s">
        <v>232</v>
      </c>
      <c r="B139" s="182" t="s">
        <v>40</v>
      </c>
      <c r="C139" s="182">
        <v>0.0</v>
      </c>
      <c r="D139" s="182">
        <v>2.0</v>
      </c>
      <c r="E139" s="207">
        <v>0.0</v>
      </c>
      <c r="F139" s="182" t="s">
        <v>379</v>
      </c>
    </row>
    <row r="140">
      <c r="A140" s="182" t="s">
        <v>232</v>
      </c>
      <c r="B140" s="182" t="s">
        <v>38</v>
      </c>
      <c r="C140" s="182">
        <v>0.0</v>
      </c>
      <c r="D140" s="182">
        <v>2.0</v>
      </c>
      <c r="E140" s="207">
        <v>0.0</v>
      </c>
      <c r="F140" s="182" t="s">
        <v>379</v>
      </c>
    </row>
    <row r="141">
      <c r="A141" s="182" t="s">
        <v>187</v>
      </c>
      <c r="B141" s="182" t="s">
        <v>227</v>
      </c>
      <c r="C141" s="182">
        <v>1.0</v>
      </c>
      <c r="D141" s="182">
        <v>5.0</v>
      </c>
      <c r="E141" s="207">
        <v>0.17</v>
      </c>
      <c r="F141" s="182" t="s">
        <v>379</v>
      </c>
    </row>
    <row r="142">
      <c r="A142" s="182" t="s">
        <v>187</v>
      </c>
      <c r="B142" s="182" t="s">
        <v>34</v>
      </c>
      <c r="C142" s="182">
        <v>0.0</v>
      </c>
      <c r="D142" s="182">
        <v>1.0</v>
      </c>
      <c r="E142" s="207">
        <v>0.0</v>
      </c>
      <c r="F142" s="182" t="s">
        <v>379</v>
      </c>
    </row>
    <row r="143">
      <c r="A143" s="182" t="s">
        <v>187</v>
      </c>
      <c r="B143" s="182" t="s">
        <v>42</v>
      </c>
      <c r="C143" s="182">
        <v>1.0</v>
      </c>
      <c r="D143" s="182">
        <v>1.0</v>
      </c>
      <c r="E143" s="207">
        <v>0.5</v>
      </c>
      <c r="F143" s="182" t="s">
        <v>379</v>
      </c>
    </row>
    <row r="144">
      <c r="A144" s="182" t="s">
        <v>187</v>
      </c>
      <c r="B144" s="182" t="s">
        <v>40</v>
      </c>
      <c r="C144" s="182">
        <v>3.0</v>
      </c>
      <c r="D144" s="182">
        <v>5.0</v>
      </c>
      <c r="E144" s="207">
        <v>0.38</v>
      </c>
      <c r="F144" s="182" t="s">
        <v>379</v>
      </c>
    </row>
    <row r="145">
      <c r="A145" s="182" t="s">
        <v>187</v>
      </c>
      <c r="B145" s="182" t="s">
        <v>38</v>
      </c>
      <c r="C145" s="182">
        <v>1.0</v>
      </c>
      <c r="D145" s="182">
        <v>2.0</v>
      </c>
      <c r="E145" s="207">
        <v>0.33</v>
      </c>
      <c r="F145" s="182" t="s">
        <v>379</v>
      </c>
    </row>
    <row r="146">
      <c r="A146" s="182" t="s">
        <v>189</v>
      </c>
      <c r="B146" s="182" t="s">
        <v>227</v>
      </c>
      <c r="C146" s="182">
        <v>0.0</v>
      </c>
      <c r="D146" s="182">
        <v>2.0</v>
      </c>
      <c r="E146" s="207">
        <v>0.0</v>
      </c>
      <c r="F146" s="182" t="s">
        <v>379</v>
      </c>
    </row>
    <row r="147">
      <c r="A147" s="182" t="s">
        <v>189</v>
      </c>
      <c r="B147" s="182" t="s">
        <v>42</v>
      </c>
      <c r="C147" s="182">
        <v>0.0</v>
      </c>
      <c r="D147" s="182">
        <v>2.0</v>
      </c>
      <c r="E147" s="207">
        <v>0.0</v>
      </c>
      <c r="F147" s="182" t="s">
        <v>379</v>
      </c>
    </row>
    <row r="148">
      <c r="A148" s="182" t="s">
        <v>189</v>
      </c>
      <c r="B148" s="182" t="s">
        <v>32</v>
      </c>
      <c r="C148" s="182">
        <v>0.0</v>
      </c>
      <c r="D148" s="182">
        <v>3.0</v>
      </c>
      <c r="E148" s="207">
        <v>0.0</v>
      </c>
      <c r="F148" s="182" t="s">
        <v>379</v>
      </c>
    </row>
    <row r="149">
      <c r="A149" s="182" t="s">
        <v>189</v>
      </c>
      <c r="B149" s="182" t="s">
        <v>36</v>
      </c>
      <c r="C149" s="182">
        <v>1.0</v>
      </c>
      <c r="D149" s="182">
        <v>4.0</v>
      </c>
      <c r="E149" s="207">
        <v>0.2</v>
      </c>
      <c r="F149" s="182" t="s">
        <v>379</v>
      </c>
    </row>
    <row r="150">
      <c r="A150" s="182" t="s">
        <v>189</v>
      </c>
      <c r="B150" s="182" t="s">
        <v>40</v>
      </c>
      <c r="C150" s="182">
        <v>0.0</v>
      </c>
      <c r="D150" s="182">
        <v>3.0</v>
      </c>
      <c r="E150" s="207">
        <v>0.0</v>
      </c>
      <c r="F150" s="182" t="s">
        <v>379</v>
      </c>
    </row>
    <row r="151">
      <c r="A151" s="182" t="s">
        <v>189</v>
      </c>
      <c r="B151" s="182" t="s">
        <v>38</v>
      </c>
      <c r="C151" s="182">
        <v>0.0</v>
      </c>
      <c r="D151" s="182">
        <v>1.0</v>
      </c>
      <c r="E151" s="207">
        <v>0.0</v>
      </c>
      <c r="F151" s="182" t="s">
        <v>379</v>
      </c>
    </row>
    <row r="152">
      <c r="A152" s="182" t="s">
        <v>180</v>
      </c>
      <c r="B152" s="182" t="s">
        <v>227</v>
      </c>
      <c r="C152" s="182">
        <v>0.0</v>
      </c>
      <c r="D152" s="182">
        <v>1.0</v>
      </c>
      <c r="E152" s="207">
        <v>0.0</v>
      </c>
      <c r="F152" s="182" t="s">
        <v>379</v>
      </c>
    </row>
    <row r="153">
      <c r="A153" s="182" t="s">
        <v>180</v>
      </c>
      <c r="B153" s="182" t="s">
        <v>34</v>
      </c>
      <c r="C153" s="182">
        <v>0.0</v>
      </c>
      <c r="D153" s="182">
        <v>1.0</v>
      </c>
      <c r="E153" s="207">
        <v>0.0</v>
      </c>
      <c r="F153" s="182" t="s">
        <v>379</v>
      </c>
    </row>
    <row r="154">
      <c r="A154" s="182" t="s">
        <v>180</v>
      </c>
      <c r="B154" s="182" t="s">
        <v>42</v>
      </c>
      <c r="C154" s="182">
        <v>0.0</v>
      </c>
      <c r="D154" s="182">
        <v>2.0</v>
      </c>
      <c r="E154" s="207">
        <v>0.0</v>
      </c>
      <c r="F154" s="182" t="s">
        <v>379</v>
      </c>
    </row>
    <row r="155">
      <c r="A155" s="182" t="s">
        <v>180</v>
      </c>
      <c r="B155" s="182" t="s">
        <v>32</v>
      </c>
      <c r="C155" s="182">
        <v>1.0</v>
      </c>
      <c r="D155" s="182">
        <v>0.0</v>
      </c>
      <c r="E155" s="207">
        <v>1.0</v>
      </c>
      <c r="F155" s="182" t="s">
        <v>379</v>
      </c>
    </row>
    <row r="156">
      <c r="A156" s="182" t="s">
        <v>180</v>
      </c>
      <c r="B156" s="182" t="s">
        <v>36</v>
      </c>
      <c r="C156" s="182">
        <v>0.0</v>
      </c>
      <c r="D156" s="182">
        <v>3.0</v>
      </c>
      <c r="E156" s="207">
        <v>0.0</v>
      </c>
      <c r="F156" s="182" t="s">
        <v>379</v>
      </c>
    </row>
    <row r="157">
      <c r="A157" s="182" t="s">
        <v>180</v>
      </c>
      <c r="B157" s="182" t="s">
        <v>40</v>
      </c>
      <c r="C157" s="182">
        <v>2.0</v>
      </c>
      <c r="D157" s="182">
        <v>2.0</v>
      </c>
      <c r="E157" s="207">
        <v>0.5</v>
      </c>
      <c r="F157" s="182" t="s">
        <v>379</v>
      </c>
    </row>
    <row r="158">
      <c r="A158" s="182" t="s">
        <v>180</v>
      </c>
      <c r="B158" s="182" t="s">
        <v>45</v>
      </c>
      <c r="C158" s="182">
        <v>1.0</v>
      </c>
      <c r="D158" s="182">
        <v>2.0</v>
      </c>
      <c r="E158" s="207">
        <v>0.33</v>
      </c>
      <c r="F158" s="182" t="s">
        <v>379</v>
      </c>
    </row>
    <row r="159">
      <c r="A159" s="182" t="s">
        <v>180</v>
      </c>
      <c r="B159" s="182" t="s">
        <v>38</v>
      </c>
      <c r="C159" s="182">
        <v>0.0</v>
      </c>
      <c r="D159" s="182">
        <v>1.0</v>
      </c>
      <c r="E159" s="207">
        <v>0.0</v>
      </c>
      <c r="F159" s="182" t="s">
        <v>379</v>
      </c>
    </row>
    <row r="160">
      <c r="A160" s="182" t="s">
        <v>1</v>
      </c>
      <c r="B160" s="182" t="s">
        <v>227</v>
      </c>
      <c r="C160" s="182">
        <v>1.0</v>
      </c>
      <c r="D160" s="182">
        <v>4.0</v>
      </c>
      <c r="E160" s="207">
        <v>0.2</v>
      </c>
      <c r="F160" s="182" t="s">
        <v>379</v>
      </c>
    </row>
    <row r="161">
      <c r="A161" s="182" t="s">
        <v>1</v>
      </c>
      <c r="B161" s="182" t="s">
        <v>42</v>
      </c>
      <c r="C161" s="182">
        <v>0.0</v>
      </c>
      <c r="D161" s="182">
        <v>11.0</v>
      </c>
      <c r="E161" s="207">
        <v>0.0</v>
      </c>
      <c r="F161" s="182" t="s">
        <v>379</v>
      </c>
    </row>
    <row r="162">
      <c r="A162" s="182" t="s">
        <v>1</v>
      </c>
      <c r="B162" s="182" t="s">
        <v>32</v>
      </c>
      <c r="C162" s="182">
        <v>1.0</v>
      </c>
      <c r="D162" s="182">
        <v>2.0</v>
      </c>
      <c r="E162" s="207">
        <v>0.33</v>
      </c>
      <c r="F162" s="182" t="s">
        <v>379</v>
      </c>
    </row>
    <row r="163">
      <c r="A163" s="182" t="s">
        <v>1</v>
      </c>
      <c r="B163" s="182" t="s">
        <v>36</v>
      </c>
      <c r="C163" s="182">
        <v>0.0</v>
      </c>
      <c r="D163" s="182">
        <v>2.0</v>
      </c>
      <c r="E163" s="207">
        <v>0.0</v>
      </c>
      <c r="F163" s="182" t="s">
        <v>379</v>
      </c>
    </row>
    <row r="164">
      <c r="A164" s="182" t="s">
        <v>1</v>
      </c>
      <c r="B164" s="182" t="s">
        <v>40</v>
      </c>
      <c r="C164" s="182">
        <v>0.0</v>
      </c>
      <c r="D164" s="182">
        <v>11.0</v>
      </c>
      <c r="E164" s="207">
        <v>0.0</v>
      </c>
      <c r="F164" s="182" t="s">
        <v>379</v>
      </c>
    </row>
    <row r="165">
      <c r="A165" s="182" t="s">
        <v>1</v>
      </c>
      <c r="B165" s="182" t="s">
        <v>45</v>
      </c>
      <c r="C165" s="182">
        <v>0.0</v>
      </c>
      <c r="D165" s="182">
        <v>2.0</v>
      </c>
      <c r="E165" s="207">
        <v>0.0</v>
      </c>
      <c r="F165" s="182" t="s">
        <v>379</v>
      </c>
    </row>
    <row r="166">
      <c r="A166" s="182" t="s">
        <v>1</v>
      </c>
      <c r="B166" s="182" t="s">
        <v>38</v>
      </c>
      <c r="C166" s="182">
        <v>0.0</v>
      </c>
      <c r="D166" s="182">
        <v>1.0</v>
      </c>
      <c r="E166" s="207">
        <v>0.0</v>
      </c>
      <c r="F166" s="182" t="s">
        <v>379</v>
      </c>
    </row>
    <row r="167">
      <c r="A167" s="182" t="s">
        <v>185</v>
      </c>
      <c r="B167" s="182" t="s">
        <v>227</v>
      </c>
      <c r="C167" s="182">
        <v>1.0</v>
      </c>
      <c r="D167" s="182">
        <v>4.0</v>
      </c>
      <c r="E167" s="207">
        <v>0.2</v>
      </c>
      <c r="F167" s="182" t="s">
        <v>379</v>
      </c>
    </row>
    <row r="168">
      <c r="A168" s="182" t="s">
        <v>185</v>
      </c>
      <c r="B168" s="182" t="s">
        <v>34</v>
      </c>
      <c r="C168" s="182">
        <v>1.0</v>
      </c>
      <c r="D168" s="182">
        <v>2.0</v>
      </c>
      <c r="E168" s="207">
        <v>0.33</v>
      </c>
      <c r="F168" s="182" t="s">
        <v>379</v>
      </c>
    </row>
    <row r="169">
      <c r="A169" s="182" t="s">
        <v>185</v>
      </c>
      <c r="B169" s="182" t="s">
        <v>42</v>
      </c>
      <c r="C169" s="182">
        <v>0.0</v>
      </c>
      <c r="D169" s="182">
        <v>1.0</v>
      </c>
      <c r="E169" s="207">
        <v>0.0</v>
      </c>
      <c r="F169" s="182" t="s">
        <v>379</v>
      </c>
    </row>
    <row r="170">
      <c r="A170" s="182" t="s">
        <v>185</v>
      </c>
      <c r="B170" s="182" t="s">
        <v>32</v>
      </c>
      <c r="C170" s="182">
        <v>1.0</v>
      </c>
      <c r="D170" s="182">
        <v>2.0</v>
      </c>
      <c r="E170" s="207">
        <v>0.33</v>
      </c>
      <c r="F170" s="182" t="s">
        <v>379</v>
      </c>
    </row>
    <row r="171">
      <c r="A171" s="182" t="s">
        <v>185</v>
      </c>
      <c r="B171" s="182" t="s">
        <v>36</v>
      </c>
      <c r="C171" s="182">
        <v>1.0</v>
      </c>
      <c r="D171" s="182">
        <v>3.0</v>
      </c>
      <c r="E171" s="207">
        <v>0.25</v>
      </c>
      <c r="F171" s="182" t="s">
        <v>379</v>
      </c>
    </row>
    <row r="172">
      <c r="A172" s="182" t="s">
        <v>185</v>
      </c>
      <c r="B172" s="182" t="s">
        <v>40</v>
      </c>
      <c r="C172" s="182">
        <v>2.0</v>
      </c>
      <c r="D172" s="182">
        <v>5.0</v>
      </c>
      <c r="E172" s="207">
        <v>0.29</v>
      </c>
      <c r="F172" s="182" t="s">
        <v>379</v>
      </c>
    </row>
    <row r="173">
      <c r="A173" s="182" t="s">
        <v>185</v>
      </c>
      <c r="B173" s="182" t="s">
        <v>43</v>
      </c>
      <c r="C173" s="182">
        <v>0.0</v>
      </c>
      <c r="D173" s="182">
        <v>3.0</v>
      </c>
      <c r="E173" s="207">
        <v>0.0</v>
      </c>
      <c r="F173" s="182" t="s">
        <v>379</v>
      </c>
    </row>
    <row r="174">
      <c r="A174" s="182" t="s">
        <v>185</v>
      </c>
      <c r="B174" s="182" t="s">
        <v>45</v>
      </c>
      <c r="C174" s="182">
        <v>0.0</v>
      </c>
      <c r="D174" s="182">
        <v>2.0</v>
      </c>
      <c r="E174" s="207">
        <v>0.0</v>
      </c>
      <c r="F174" s="182" t="s">
        <v>379</v>
      </c>
    </row>
    <row r="175">
      <c r="A175" s="182" t="s">
        <v>185</v>
      </c>
      <c r="B175" s="182" t="s">
        <v>38</v>
      </c>
      <c r="C175" s="182">
        <v>2.0</v>
      </c>
      <c r="D175" s="182">
        <v>6.0</v>
      </c>
      <c r="E175" s="207">
        <v>0.25</v>
      </c>
      <c r="F175" s="182" t="s">
        <v>379</v>
      </c>
    </row>
    <row r="176">
      <c r="A176" s="182" t="s">
        <v>184</v>
      </c>
      <c r="B176" s="182" t="s">
        <v>227</v>
      </c>
      <c r="C176" s="182">
        <v>1.0</v>
      </c>
      <c r="D176" s="182">
        <v>4.0</v>
      </c>
      <c r="E176" s="207">
        <v>0.2</v>
      </c>
      <c r="F176" s="182" t="s">
        <v>379</v>
      </c>
    </row>
    <row r="177">
      <c r="A177" s="182" t="s">
        <v>184</v>
      </c>
      <c r="B177" s="182" t="s">
        <v>42</v>
      </c>
      <c r="C177" s="182">
        <v>2.0</v>
      </c>
      <c r="D177" s="182">
        <v>3.0</v>
      </c>
      <c r="E177" s="207">
        <v>0.4</v>
      </c>
      <c r="F177" s="182" t="s">
        <v>379</v>
      </c>
    </row>
    <row r="178">
      <c r="A178" s="182" t="s">
        <v>184</v>
      </c>
      <c r="B178" s="182" t="s">
        <v>32</v>
      </c>
      <c r="C178" s="182">
        <v>0.0</v>
      </c>
      <c r="D178" s="182">
        <v>3.0</v>
      </c>
      <c r="E178" s="207">
        <v>0.0</v>
      </c>
      <c r="F178" s="182" t="s">
        <v>379</v>
      </c>
    </row>
    <row r="179">
      <c r="A179" s="182" t="s">
        <v>184</v>
      </c>
      <c r="B179" s="182" t="s">
        <v>36</v>
      </c>
      <c r="C179" s="182">
        <v>0.0</v>
      </c>
      <c r="D179" s="182">
        <v>7.0</v>
      </c>
      <c r="E179" s="207">
        <v>0.0</v>
      </c>
      <c r="F179" s="182" t="s">
        <v>379</v>
      </c>
    </row>
    <row r="180">
      <c r="A180" s="182" t="s">
        <v>184</v>
      </c>
      <c r="B180" s="182" t="s">
        <v>45</v>
      </c>
      <c r="C180" s="182">
        <v>0.0</v>
      </c>
      <c r="D180" s="182">
        <v>1.0</v>
      </c>
      <c r="E180" s="207">
        <v>0.0</v>
      </c>
      <c r="F180" s="182" t="s">
        <v>379</v>
      </c>
    </row>
    <row r="181">
      <c r="A181" s="182" t="s">
        <v>184</v>
      </c>
      <c r="B181" s="182" t="s">
        <v>38</v>
      </c>
      <c r="C181" s="182">
        <v>2.0</v>
      </c>
      <c r="D181" s="182">
        <v>2.0</v>
      </c>
      <c r="E181" s="207">
        <v>0.5</v>
      </c>
      <c r="F181" s="182" t="s">
        <v>379</v>
      </c>
    </row>
    <row r="182">
      <c r="A182" s="182" t="s">
        <v>188</v>
      </c>
      <c r="B182" s="182" t="s">
        <v>227</v>
      </c>
      <c r="C182" s="182">
        <v>1.0</v>
      </c>
      <c r="D182" s="182">
        <v>1.0</v>
      </c>
      <c r="E182" s="207">
        <v>0.5</v>
      </c>
      <c r="F182" s="182" t="s">
        <v>379</v>
      </c>
    </row>
    <row r="183">
      <c r="A183" s="182" t="s">
        <v>188</v>
      </c>
      <c r="B183" s="182" t="s">
        <v>34</v>
      </c>
      <c r="C183" s="182">
        <v>0.0</v>
      </c>
      <c r="D183" s="182">
        <v>3.0</v>
      </c>
      <c r="E183" s="207">
        <v>0.0</v>
      </c>
      <c r="F183" s="182" t="s">
        <v>379</v>
      </c>
    </row>
    <row r="184">
      <c r="A184" s="182" t="s">
        <v>188</v>
      </c>
      <c r="B184" s="182" t="s">
        <v>42</v>
      </c>
      <c r="C184" s="182">
        <v>0.0</v>
      </c>
      <c r="D184" s="182">
        <v>1.0</v>
      </c>
      <c r="E184" s="207">
        <v>0.0</v>
      </c>
      <c r="F184" s="182" t="s">
        <v>379</v>
      </c>
    </row>
    <row r="185">
      <c r="A185" s="182" t="s">
        <v>188</v>
      </c>
      <c r="B185" s="182" t="s">
        <v>32</v>
      </c>
      <c r="C185" s="182">
        <v>0.0</v>
      </c>
      <c r="D185" s="182">
        <v>2.0</v>
      </c>
      <c r="E185" s="207">
        <v>0.0</v>
      </c>
      <c r="F185" s="182" t="s">
        <v>379</v>
      </c>
    </row>
    <row r="186">
      <c r="A186" s="182" t="s">
        <v>188</v>
      </c>
      <c r="B186" s="182" t="s">
        <v>36</v>
      </c>
      <c r="C186" s="182">
        <v>0.0</v>
      </c>
      <c r="D186" s="182">
        <v>2.0</v>
      </c>
      <c r="E186" s="207">
        <v>0.0</v>
      </c>
      <c r="F186" s="182" t="s">
        <v>379</v>
      </c>
    </row>
    <row r="187">
      <c r="A187" s="182" t="s">
        <v>188</v>
      </c>
      <c r="B187" s="182" t="s">
        <v>40</v>
      </c>
      <c r="C187" s="182">
        <v>2.0</v>
      </c>
      <c r="D187" s="182">
        <v>6.0</v>
      </c>
      <c r="E187" s="207">
        <v>0.25</v>
      </c>
      <c r="F187" s="182" t="s">
        <v>379</v>
      </c>
    </row>
    <row r="188">
      <c r="A188" s="182" t="s">
        <v>188</v>
      </c>
      <c r="B188" s="182" t="s">
        <v>43</v>
      </c>
      <c r="C188" s="182">
        <v>0.0</v>
      </c>
      <c r="D188" s="182">
        <v>2.0</v>
      </c>
      <c r="E188" s="207">
        <v>0.0</v>
      </c>
      <c r="F188" s="182" t="s">
        <v>379</v>
      </c>
    </row>
    <row r="189">
      <c r="A189" s="182" t="s">
        <v>188</v>
      </c>
      <c r="B189" s="182" t="s">
        <v>38</v>
      </c>
      <c r="C189" s="182">
        <v>0.0</v>
      </c>
      <c r="D189" s="182">
        <v>7.0</v>
      </c>
      <c r="E189" s="207">
        <v>0.0</v>
      </c>
      <c r="F189" s="182" t="s">
        <v>379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0"/>
  <cols>
    <col customWidth="1" min="26" max="27" width="21.75"/>
  </cols>
  <sheetData>
    <row r="1">
      <c r="A1" s="189" t="str">
        <f>IFERROR(__xludf.DUMMYFUNCTION("VSTACK(query(MatchesInput!A:AH,""Select A,B,C,D,F,H,AF,AG,J,K,L,M,O,P,Q,R,S,T,V,W,X,Y,Z,AA,AC where A &gt; 0""),query(MatchesInput!A:AH,""Select A,B,C,D,H,F, AG, AF, K,J,M,L,V,W,X,Y,Z,AA,O,P,Q,R,S,T,AC where A &gt; 0"",0))"),"Match Id")</f>
        <v>Match Id</v>
      </c>
      <c r="B1" s="189" t="str">
        <f>IFERROR(__xludf.DUMMYFUNCTION("""COMPUTED_VALUE"""),"Series Id")</f>
        <v>Series Id</v>
      </c>
      <c r="C1" s="189" t="str">
        <f>IFERROR(__xludf.DUMMYFUNCTION("""COMPUTED_VALUE"""),"Event Name")</f>
        <v>Event Name</v>
      </c>
      <c r="D1" s="189" t="str">
        <f>IFERROR(__xludf.DUMMYFUNCTION("""COMPUTED_VALUE"""),"Map Name")</f>
        <v>Map Name</v>
      </c>
      <c r="E1" s="189" t="str">
        <f>IFERROR(__xludf.DUMMYFUNCTION("""COMPUTED_VALUE"""),"Team 1 Name")</f>
        <v>Team 1 Name</v>
      </c>
      <c r="F1" s="189" t="str">
        <f>IFERROR(__xludf.DUMMYFUNCTION("""COMPUTED_VALUE"""),"Team 2 Name")</f>
        <v>Team 2 Name</v>
      </c>
      <c r="G1" s="189" t="str">
        <f>IFERROR(__xludf.DUMMYFUNCTION("""COMPUTED_VALUE"""),"Team 1 Agents")</f>
        <v>Team 1 Agents</v>
      </c>
      <c r="H1" s="189" t="str">
        <f>IFERROR(__xludf.DUMMYFUNCTION("""COMPUTED_VALUE"""),"Team 2 Agents")</f>
        <v>Team 2 Agents</v>
      </c>
      <c r="I1" s="189" t="str">
        <f>IFERROR(__xludf.DUMMYFUNCTION("""COMPUTED_VALUE"""),"Team 1 Score")</f>
        <v>Team 1 Score</v>
      </c>
      <c r="J1" s="189" t="str">
        <f>IFERROR(__xludf.DUMMYFUNCTION("""COMPUTED_VALUE"""),"Team 2 Score")</f>
        <v>Team 2 Score</v>
      </c>
      <c r="K1" s="189" t="str">
        <f>IFERROR(__xludf.DUMMYFUNCTION("""COMPUTED_VALUE"""),"Team 1 Score At Half")</f>
        <v>Team 1 Score At Half</v>
      </c>
      <c r="L1" s="189" t="str">
        <f>IFERROR(__xludf.DUMMYFUNCTION("""COMPUTED_VALUE"""),"Team 2 Score At Half")</f>
        <v>Team 2 Score At Half</v>
      </c>
      <c r="M1" s="189" t="str">
        <f>IFERROR(__xludf.DUMMYFUNCTION("""COMPUTED_VALUE"""),"Team 1 Attacking Pistol Wins")</f>
        <v>Team 1 Attacking Pistol Wins</v>
      </c>
      <c r="N1" s="189" t="str">
        <f>IFERROR(__xludf.DUMMYFUNCTION("""COMPUTED_VALUE"""),"Team 1 Defending Pistol Wins")</f>
        <v>Team 1 Defending Pistol Wins</v>
      </c>
      <c r="O1" s="189" t="str">
        <f>IFERROR(__xludf.DUMMYFUNCTION("""COMPUTED_VALUE"""),"Team 1 Attacking Wins")</f>
        <v>Team 1 Attacking Wins</v>
      </c>
      <c r="P1" s="189" t="str">
        <f>IFERROR(__xludf.DUMMYFUNCTION("""COMPUTED_VALUE"""),"Team 1 Attacking Losses")</f>
        <v>Team 1 Attacking Losses</v>
      </c>
      <c r="Q1" s="189" t="str">
        <f>IFERROR(__xludf.DUMMYFUNCTION("""COMPUTED_VALUE"""),"Team 1 Defending Wins")</f>
        <v>Team 1 Defending Wins</v>
      </c>
      <c r="R1" s="189" t="str">
        <f>IFERROR(__xludf.DUMMYFUNCTION("""COMPUTED_VALUE"""),"Team 1 Defending Losses")</f>
        <v>Team 1 Defending Losses</v>
      </c>
      <c r="S1" s="189" t="str">
        <f>IFERROR(__xludf.DUMMYFUNCTION("""COMPUTED_VALUE"""),"Team 2 Attacking Pistol Wins")</f>
        <v>Team 2 Attacking Pistol Wins</v>
      </c>
      <c r="T1" s="189" t="str">
        <f>IFERROR(__xludf.DUMMYFUNCTION("""COMPUTED_VALUE"""),"Team 2 Defending Pistol Wins")</f>
        <v>Team 2 Defending Pistol Wins</v>
      </c>
      <c r="U1" s="189" t="str">
        <f>IFERROR(__xludf.DUMMYFUNCTION("""COMPUTED_VALUE"""),"Team 2 Attacking Wins")</f>
        <v>Team 2 Attacking Wins</v>
      </c>
      <c r="V1" s="189" t="str">
        <f>IFERROR(__xludf.DUMMYFUNCTION("""COMPUTED_VALUE"""),"Team 2 Attacking Losses")</f>
        <v>Team 2 Attacking Losses</v>
      </c>
      <c r="W1" s="189" t="str">
        <f>IFERROR(__xludf.DUMMYFUNCTION("""COMPUTED_VALUE"""),"Team 2 Defending Wins")</f>
        <v>Team 2 Defending Wins</v>
      </c>
      <c r="X1" s="189" t="str">
        <f>IFERROR(__xludf.DUMMYFUNCTION("""COMPUTED_VALUE"""),"Team 2 Defending Losses")</f>
        <v>Team 2 Defending Losses</v>
      </c>
      <c r="Y1" s="208" t="str">
        <f>IFERROR(__xludf.DUMMYFUNCTION("""COMPUTED_VALUE"""),"Date")</f>
        <v>Date</v>
      </c>
      <c r="Z1" s="182" t="s">
        <v>372</v>
      </c>
      <c r="AA1" s="182" t="s">
        <v>373</v>
      </c>
    </row>
    <row r="2">
      <c r="A2" s="189">
        <f>IFERROR(__xludf.DUMMYFUNCTION("""COMPUTED_VALUE"""),212692.0)</f>
        <v>212692</v>
      </c>
      <c r="B2" s="189">
        <f>IFERROR(__xludf.DUMMYFUNCTION("""COMPUTED_VALUE"""),93676.0)</f>
        <v>93676</v>
      </c>
      <c r="C2" s="189" t="str">
        <f>IFERROR(__xludf.DUMMYFUNCTION("""COMPUTED_VALUE"""),"Challengers 2025: Spain Rising Finals - Playoffs")</f>
        <v>Challengers 2025: Spain Rising Finals - Playoffs</v>
      </c>
      <c r="D2" s="189" t="str">
        <f>IFERROR(__xludf.DUMMYFUNCTION("""COMPUTED_VALUE"""),"Ascent")</f>
        <v>Ascent</v>
      </c>
      <c r="E2" s="189" t="str">
        <f>IFERROR(__xludf.DUMMYFUNCTION("""COMPUTED_VALUE"""),"KOI Fénix")</f>
        <v>KOI Fénix</v>
      </c>
      <c r="F2" s="189" t="str">
        <f>IFERROR(__xludf.DUMMYFUNCTION("""COMPUTED_VALUE"""),"DNSTY")</f>
        <v>DNSTY</v>
      </c>
      <c r="G2" s="189" t="str">
        <f>IFERROR(__xludf.DUMMYFUNCTION("""COMPUTED_VALUE"""),"Sova,Omen,Yoru,Chamber,Vyse")</f>
        <v>Sova,Omen,Yoru,Chamber,Vyse</v>
      </c>
      <c r="H2" s="189" t="str">
        <f>IFERROR(__xludf.DUMMYFUNCTION("""COMPUTED_VALUE"""),"Sova,Killjoy,Omen,Jett,KAY/O")</f>
        <v>Sova,Killjoy,Omen,Jett,KAY/O</v>
      </c>
      <c r="I2" s="189">
        <f>IFERROR(__xludf.DUMMYFUNCTION("""COMPUTED_VALUE"""),6.0)</f>
        <v>6</v>
      </c>
      <c r="J2" s="189">
        <f>IFERROR(__xludf.DUMMYFUNCTION("""COMPUTED_VALUE"""),13.0)</f>
        <v>13</v>
      </c>
      <c r="K2" s="189">
        <f>IFERROR(__xludf.DUMMYFUNCTION("""COMPUTED_VALUE"""),5.0)</f>
        <v>5</v>
      </c>
      <c r="L2" s="189">
        <f>IFERROR(__xludf.DUMMYFUNCTION("""COMPUTED_VALUE"""),7.0)</f>
        <v>7</v>
      </c>
      <c r="M2" s="189">
        <f>IFERROR(__xludf.DUMMYFUNCTION("""COMPUTED_VALUE"""),1.0)</f>
        <v>1</v>
      </c>
      <c r="N2" s="189">
        <f>IFERROR(__xludf.DUMMYFUNCTION("""COMPUTED_VALUE"""),0.0)</f>
        <v>0</v>
      </c>
      <c r="O2" s="189">
        <f>IFERROR(__xludf.DUMMYFUNCTION("""COMPUTED_VALUE"""),5.0)</f>
        <v>5</v>
      </c>
      <c r="P2" s="189">
        <f>IFERROR(__xludf.DUMMYFUNCTION("""COMPUTED_VALUE"""),7.0)</f>
        <v>7</v>
      </c>
      <c r="Q2" s="189">
        <f>IFERROR(__xludf.DUMMYFUNCTION("""COMPUTED_VALUE"""),1.0)</f>
        <v>1</v>
      </c>
      <c r="R2" s="189">
        <f>IFERROR(__xludf.DUMMYFUNCTION("""COMPUTED_VALUE"""),6.0)</f>
        <v>6</v>
      </c>
      <c r="S2" s="189">
        <f>IFERROR(__xludf.DUMMYFUNCTION("""COMPUTED_VALUE"""),1.0)</f>
        <v>1</v>
      </c>
      <c r="T2" s="189">
        <f>IFERROR(__xludf.DUMMYFUNCTION("""COMPUTED_VALUE"""),0.0)</f>
        <v>0</v>
      </c>
      <c r="U2" s="189">
        <f>IFERROR(__xludf.DUMMYFUNCTION("""COMPUTED_VALUE"""),6.0)</f>
        <v>6</v>
      </c>
      <c r="V2" s="189">
        <f>IFERROR(__xludf.DUMMYFUNCTION("""COMPUTED_VALUE"""),1.0)</f>
        <v>1</v>
      </c>
      <c r="W2" s="189">
        <f>IFERROR(__xludf.DUMMYFUNCTION("""COMPUTED_VALUE"""),7.0)</f>
        <v>7</v>
      </c>
      <c r="X2" s="189">
        <f>IFERROR(__xludf.DUMMYFUNCTION("""COMPUTED_VALUE"""),5.0)</f>
        <v>5</v>
      </c>
      <c r="Y2" s="208" t="str">
        <f>IFERROR(__xludf.DUMMYFUNCTION("""COMPUTED_VALUE"""),"2025-08-20T00:00:00.000Z")</f>
        <v>2025-08-20T00:00:00.000Z</v>
      </c>
      <c r="Z2" s="189" t="str">
        <f t="array" ref="Z2:Z1000">""&amp;E2:E1000&amp;"_"&amp;D2:D1000&amp;""</f>
        <v>KOI Fénix_Ascent</v>
      </c>
      <c r="AA2" s="189" t="str">
        <f t="array" ref="AA2:AA1000">IF(I2:I1000&gt;J2:J1000,E2:E1000,F2:F1000)</f>
        <v>DNSTY</v>
      </c>
    </row>
    <row r="3">
      <c r="A3" s="189">
        <f>IFERROR(__xludf.DUMMYFUNCTION("""COMPUTED_VALUE"""),212691.0)</f>
        <v>212691</v>
      </c>
      <c r="B3" s="189">
        <f>IFERROR(__xludf.DUMMYFUNCTION("""COMPUTED_VALUE"""),93676.0)</f>
        <v>93676</v>
      </c>
      <c r="C3" s="189" t="str">
        <f>IFERROR(__xludf.DUMMYFUNCTION("""COMPUTED_VALUE"""),"Challengers 2025: Spain Rising Finals - Playoffs")</f>
        <v>Challengers 2025: Spain Rising Finals - Playoffs</v>
      </c>
      <c r="D3" s="189" t="str">
        <f>IFERROR(__xludf.DUMMYFUNCTION("""COMPUTED_VALUE"""),"Haven")</f>
        <v>Haven</v>
      </c>
      <c r="E3" s="189" t="str">
        <f>IFERROR(__xludf.DUMMYFUNCTION("""COMPUTED_VALUE"""),"KOI Fénix")</f>
        <v>KOI Fénix</v>
      </c>
      <c r="F3" s="189" t="str">
        <f>IFERROR(__xludf.DUMMYFUNCTION("""COMPUTED_VALUE"""),"DNSTY")</f>
        <v>DNSTY</v>
      </c>
      <c r="G3" s="189" t="str">
        <f>IFERROR(__xludf.DUMMYFUNCTION("""COMPUTED_VALUE"""),"Breach,Cypher,Sova,Omen,Neon")</f>
        <v>Breach,Cypher,Sova,Omen,Neon</v>
      </c>
      <c r="H3" s="189" t="str">
        <f>IFERROR(__xludf.DUMMYFUNCTION("""COMPUTED_VALUE"""),"Sova,Killjoy,Viper,Omen,Neon")</f>
        <v>Sova,Killjoy,Viper,Omen,Neon</v>
      </c>
      <c r="I3" s="189">
        <f>IFERROR(__xludf.DUMMYFUNCTION("""COMPUTED_VALUE"""),10.0)</f>
        <v>10</v>
      </c>
      <c r="J3" s="189">
        <f>IFERROR(__xludf.DUMMYFUNCTION("""COMPUTED_VALUE"""),13.0)</f>
        <v>13</v>
      </c>
      <c r="K3" s="189">
        <f>IFERROR(__xludf.DUMMYFUNCTION("""COMPUTED_VALUE"""),9.0)</f>
        <v>9</v>
      </c>
      <c r="L3" s="189">
        <f>IFERROR(__xludf.DUMMYFUNCTION("""COMPUTED_VALUE"""),3.0)</f>
        <v>3</v>
      </c>
      <c r="M3" s="189">
        <f>IFERROR(__xludf.DUMMYFUNCTION("""COMPUTED_VALUE"""),1.0)</f>
        <v>1</v>
      </c>
      <c r="N3" s="189">
        <f>IFERROR(__xludf.DUMMYFUNCTION("""COMPUTED_VALUE"""),0.0)</f>
        <v>0</v>
      </c>
      <c r="O3" s="189">
        <f>IFERROR(__xludf.DUMMYFUNCTION("""COMPUTED_VALUE"""),9.0)</f>
        <v>9</v>
      </c>
      <c r="P3" s="189">
        <f>IFERROR(__xludf.DUMMYFUNCTION("""COMPUTED_VALUE"""),3.0)</f>
        <v>3</v>
      </c>
      <c r="Q3" s="189">
        <f>IFERROR(__xludf.DUMMYFUNCTION("""COMPUTED_VALUE"""),1.0)</f>
        <v>1</v>
      </c>
      <c r="R3" s="189">
        <f>IFERROR(__xludf.DUMMYFUNCTION("""COMPUTED_VALUE"""),10.0)</f>
        <v>10</v>
      </c>
      <c r="S3" s="189">
        <f>IFERROR(__xludf.DUMMYFUNCTION("""COMPUTED_VALUE"""),1.0)</f>
        <v>1</v>
      </c>
      <c r="T3" s="189">
        <f>IFERROR(__xludf.DUMMYFUNCTION("""COMPUTED_VALUE"""),0.0)</f>
        <v>0</v>
      </c>
      <c r="U3" s="189">
        <f>IFERROR(__xludf.DUMMYFUNCTION("""COMPUTED_VALUE"""),10.0)</f>
        <v>10</v>
      </c>
      <c r="V3" s="189">
        <f>IFERROR(__xludf.DUMMYFUNCTION("""COMPUTED_VALUE"""),1.0)</f>
        <v>1</v>
      </c>
      <c r="W3" s="189">
        <f>IFERROR(__xludf.DUMMYFUNCTION("""COMPUTED_VALUE"""),3.0)</f>
        <v>3</v>
      </c>
      <c r="X3" s="189">
        <f>IFERROR(__xludf.DUMMYFUNCTION("""COMPUTED_VALUE"""),9.0)</f>
        <v>9</v>
      </c>
      <c r="Y3" s="208" t="str">
        <f>IFERROR(__xludf.DUMMYFUNCTION("""COMPUTED_VALUE"""),"2025-08-20T00:00:00.000Z")</f>
        <v>2025-08-20T00:00:00.000Z</v>
      </c>
      <c r="Z3" s="189" t="s">
        <v>122</v>
      </c>
      <c r="AA3" s="189" t="s">
        <v>182</v>
      </c>
    </row>
    <row r="4">
      <c r="A4" s="189">
        <f>IFERROR(__xludf.DUMMYFUNCTION("""COMPUTED_VALUE"""),212690.0)</f>
        <v>212690</v>
      </c>
      <c r="B4" s="189">
        <f>IFERROR(__xludf.DUMMYFUNCTION("""COMPUTED_VALUE"""),93676.0)</f>
        <v>93676</v>
      </c>
      <c r="C4" s="189" t="str">
        <f>IFERROR(__xludf.DUMMYFUNCTION("""COMPUTED_VALUE"""),"Challengers 2025: Spain Rising Finals - Playoffs")</f>
        <v>Challengers 2025: Spain Rising Finals - Playoffs</v>
      </c>
      <c r="D4" s="189" t="str">
        <f>IFERROR(__xludf.DUMMYFUNCTION("""COMPUTED_VALUE"""),"Bind")</f>
        <v>Bind</v>
      </c>
      <c r="E4" s="189" t="str">
        <f>IFERROR(__xludf.DUMMYFUNCTION("""COMPUTED_VALUE"""),"KOI Fénix")</f>
        <v>KOI Fénix</v>
      </c>
      <c r="F4" s="189" t="str">
        <f>IFERROR(__xludf.DUMMYFUNCTION("""COMPUTED_VALUE"""),"DNSTY")</f>
        <v>DNSTY</v>
      </c>
      <c r="G4" s="189" t="str">
        <f>IFERROR(__xludf.DUMMYFUNCTION("""COMPUTED_VALUE"""),"Yoru,Astra,Gekko,Deadlock,Vyse")</f>
        <v>Yoru,Astra,Gekko,Deadlock,Vyse</v>
      </c>
      <c r="H4" s="189" t="str">
        <f>IFERROR(__xludf.DUMMYFUNCTION("""COMPUTED_VALUE"""),"Raze,Viper,Brimstone,Yoru,Fade")</f>
        <v>Raze,Viper,Brimstone,Yoru,Fade</v>
      </c>
      <c r="I4" s="189">
        <f>IFERROR(__xludf.DUMMYFUNCTION("""COMPUTED_VALUE"""),13.0)</f>
        <v>13</v>
      </c>
      <c r="J4" s="189">
        <f>IFERROR(__xludf.DUMMYFUNCTION("""COMPUTED_VALUE"""),8.0)</f>
        <v>8</v>
      </c>
      <c r="K4" s="189">
        <f>IFERROR(__xludf.DUMMYFUNCTION("""COMPUTED_VALUE"""),8.0)</f>
        <v>8</v>
      </c>
      <c r="L4" s="189">
        <f>IFERROR(__xludf.DUMMYFUNCTION("""COMPUTED_VALUE"""),4.0)</f>
        <v>4</v>
      </c>
      <c r="M4" s="189">
        <f>IFERROR(__xludf.DUMMYFUNCTION("""COMPUTED_VALUE"""),1.0)</f>
        <v>1</v>
      </c>
      <c r="N4" s="189">
        <f>IFERROR(__xludf.DUMMYFUNCTION("""COMPUTED_VALUE"""),1.0)</f>
        <v>1</v>
      </c>
      <c r="O4" s="189">
        <f>IFERROR(__xludf.DUMMYFUNCTION("""COMPUTED_VALUE"""),8.0)</f>
        <v>8</v>
      </c>
      <c r="P4" s="189">
        <f>IFERROR(__xludf.DUMMYFUNCTION("""COMPUTED_VALUE"""),4.0)</f>
        <v>4</v>
      </c>
      <c r="Q4" s="189">
        <f>IFERROR(__xludf.DUMMYFUNCTION("""COMPUTED_VALUE"""),5.0)</f>
        <v>5</v>
      </c>
      <c r="R4" s="189">
        <f>IFERROR(__xludf.DUMMYFUNCTION("""COMPUTED_VALUE"""),4.0)</f>
        <v>4</v>
      </c>
      <c r="S4" s="189">
        <f>IFERROR(__xludf.DUMMYFUNCTION("""COMPUTED_VALUE"""),0.0)</f>
        <v>0</v>
      </c>
      <c r="T4" s="189">
        <f>IFERROR(__xludf.DUMMYFUNCTION("""COMPUTED_VALUE"""),0.0)</f>
        <v>0</v>
      </c>
      <c r="U4" s="189">
        <f>IFERROR(__xludf.DUMMYFUNCTION("""COMPUTED_VALUE"""),4.0)</f>
        <v>4</v>
      </c>
      <c r="V4" s="189">
        <f>IFERROR(__xludf.DUMMYFUNCTION("""COMPUTED_VALUE"""),5.0)</f>
        <v>5</v>
      </c>
      <c r="W4" s="189">
        <f>IFERROR(__xludf.DUMMYFUNCTION("""COMPUTED_VALUE"""),4.0)</f>
        <v>4</v>
      </c>
      <c r="X4" s="189">
        <f>IFERROR(__xludf.DUMMYFUNCTION("""COMPUTED_VALUE"""),8.0)</f>
        <v>8</v>
      </c>
      <c r="Y4" s="208" t="str">
        <f>IFERROR(__xludf.DUMMYFUNCTION("""COMPUTED_VALUE"""),"2025-08-20T00:00:00.000Z")</f>
        <v>2025-08-20T00:00:00.000Z</v>
      </c>
      <c r="Z4" s="189" t="s">
        <v>120</v>
      </c>
      <c r="AA4" s="189" t="s">
        <v>187</v>
      </c>
    </row>
    <row r="5">
      <c r="A5" s="189">
        <f>IFERROR(__xludf.DUMMYFUNCTION("""COMPUTED_VALUE"""),213558.0)</f>
        <v>213558</v>
      </c>
      <c r="B5" s="189">
        <f>IFERROR(__xludf.DUMMYFUNCTION("""COMPUTED_VALUE"""),93971.0)</f>
        <v>93971</v>
      </c>
      <c r="C5" s="189" t="str">
        <f>IFERROR(__xludf.DUMMYFUNCTION("""COMPUTED_VALUE"""),"Challengers League 2025 MENA: Resilience - LAN Finals - Main Event")</f>
        <v>Challengers League 2025 MENA: Resilience - LAN Finals - Main Event</v>
      </c>
      <c r="D5" s="189" t="str">
        <f>IFERROR(__xludf.DUMMYFUNCTION("""COMPUTED_VALUE"""),"Icebox")</f>
        <v>Icebox</v>
      </c>
      <c r="E5" s="189" t="str">
        <f>IFERROR(__xludf.DUMMYFUNCTION("""COMPUTED_VALUE"""),"The Ultimates")</f>
        <v>The Ultimates</v>
      </c>
      <c r="F5" s="189" t="str">
        <f>IFERROR(__xludf.DUMMYFUNCTION("""COMPUTED_VALUE"""),"Twisted Minds Esports")</f>
        <v>Twisted Minds Esports</v>
      </c>
      <c r="G5" s="189" t="str">
        <f>IFERROR(__xludf.DUMMYFUNCTION("""COMPUTED_VALUE"""),"Reyna,Omen,KAY/O,Harbor,Gekko")</f>
        <v>Reyna,Omen,KAY/O,Harbor,Gekko</v>
      </c>
      <c r="H5" s="189" t="str">
        <f>IFERROR(__xludf.DUMMYFUNCTION("""COMPUTED_VALUE"""),"Sova,Killjoy,Viper,Omen,Jett")</f>
        <v>Sova,Killjoy,Viper,Omen,Jett</v>
      </c>
      <c r="I5" s="189">
        <f>IFERROR(__xludf.DUMMYFUNCTION("""COMPUTED_VALUE"""),3.0)</f>
        <v>3</v>
      </c>
      <c r="J5" s="189">
        <f>IFERROR(__xludf.DUMMYFUNCTION("""COMPUTED_VALUE"""),13.0)</f>
        <v>13</v>
      </c>
      <c r="K5" s="189">
        <f>IFERROR(__xludf.DUMMYFUNCTION("""COMPUTED_VALUE"""),1.0)</f>
        <v>1</v>
      </c>
      <c r="L5" s="189">
        <f>IFERROR(__xludf.DUMMYFUNCTION("""COMPUTED_VALUE"""),11.0)</f>
        <v>11</v>
      </c>
      <c r="M5" s="189">
        <f>IFERROR(__xludf.DUMMYFUNCTION("""COMPUTED_VALUE"""),1.0)</f>
        <v>1</v>
      </c>
      <c r="N5" s="189">
        <f>IFERROR(__xludf.DUMMYFUNCTION("""COMPUTED_VALUE"""),1.0)</f>
        <v>1</v>
      </c>
      <c r="O5" s="189">
        <f>IFERROR(__xludf.DUMMYFUNCTION("""COMPUTED_VALUE"""),1.0)</f>
        <v>1</v>
      </c>
      <c r="P5" s="189">
        <f>IFERROR(__xludf.DUMMYFUNCTION("""COMPUTED_VALUE"""),11.0)</f>
        <v>11</v>
      </c>
      <c r="Q5" s="189">
        <f>IFERROR(__xludf.DUMMYFUNCTION("""COMPUTED_VALUE"""),2.0)</f>
        <v>2</v>
      </c>
      <c r="R5" s="189">
        <f>IFERROR(__xludf.DUMMYFUNCTION("""COMPUTED_VALUE"""),2.0)</f>
        <v>2</v>
      </c>
      <c r="S5" s="189">
        <f>IFERROR(__xludf.DUMMYFUNCTION("""COMPUTED_VALUE"""),0.0)</f>
        <v>0</v>
      </c>
      <c r="T5" s="189">
        <f>IFERROR(__xludf.DUMMYFUNCTION("""COMPUTED_VALUE"""),0.0)</f>
        <v>0</v>
      </c>
      <c r="U5" s="189">
        <f>IFERROR(__xludf.DUMMYFUNCTION("""COMPUTED_VALUE"""),2.0)</f>
        <v>2</v>
      </c>
      <c r="V5" s="189">
        <f>IFERROR(__xludf.DUMMYFUNCTION("""COMPUTED_VALUE"""),2.0)</f>
        <v>2</v>
      </c>
      <c r="W5" s="189">
        <f>IFERROR(__xludf.DUMMYFUNCTION("""COMPUTED_VALUE"""),11.0)</f>
        <v>11</v>
      </c>
      <c r="X5" s="189">
        <f>IFERROR(__xludf.DUMMYFUNCTION("""COMPUTED_VALUE"""),1.0)</f>
        <v>1</v>
      </c>
      <c r="Y5" s="208" t="str">
        <f>IFERROR(__xludf.DUMMYFUNCTION("""COMPUTED_VALUE"""),"2025-08-20T00:00:00.000Z")</f>
        <v>2025-08-20T00:00:00.000Z</v>
      </c>
      <c r="Z5" s="189" t="s">
        <v>154</v>
      </c>
      <c r="AA5" s="189" t="s">
        <v>184</v>
      </c>
    </row>
    <row r="6">
      <c r="A6" s="189">
        <f>IFERROR(__xludf.DUMMYFUNCTION("""COMPUTED_VALUE"""),212689.0)</f>
        <v>212689</v>
      </c>
      <c r="B6" s="189">
        <f>IFERROR(__xludf.DUMMYFUNCTION("""COMPUTED_VALUE"""),93676.0)</f>
        <v>93676</v>
      </c>
      <c r="C6" s="189" t="str">
        <f>IFERROR(__xludf.DUMMYFUNCTION("""COMPUTED_VALUE"""),"Challengers 2025: Spain Rising Finals - Playoffs")</f>
        <v>Challengers 2025: Spain Rising Finals - Playoffs</v>
      </c>
      <c r="D6" s="189" t="str">
        <f>IFERROR(__xludf.DUMMYFUNCTION("""COMPUTED_VALUE"""),"Sunset")</f>
        <v>Sunset</v>
      </c>
      <c r="E6" s="189" t="str">
        <f>IFERROR(__xludf.DUMMYFUNCTION("""COMPUTED_VALUE"""),"KOI Fénix")</f>
        <v>KOI Fénix</v>
      </c>
      <c r="F6" s="189" t="str">
        <f>IFERROR(__xludf.DUMMYFUNCTION("""COMPUTED_VALUE"""),"DNSTY")</f>
        <v>DNSTY</v>
      </c>
      <c r="G6" s="189" t="str">
        <f>IFERROR(__xludf.DUMMYFUNCTION("""COMPUTED_VALUE"""),"Breach,Sage,Omen,Neon,Gekko")</f>
        <v>Breach,Sage,Omen,Neon,Gekko</v>
      </c>
      <c r="H6" s="189" t="str">
        <f>IFERROR(__xludf.DUMMYFUNCTION("""COMPUTED_VALUE"""),"Sova,Viper,Omen,Neon,Deadlock")</f>
        <v>Sova,Viper,Omen,Neon,Deadlock</v>
      </c>
      <c r="I6" s="189">
        <f>IFERROR(__xludf.DUMMYFUNCTION("""COMPUTED_VALUE"""),11.0)</f>
        <v>11</v>
      </c>
      <c r="J6" s="189">
        <f>IFERROR(__xludf.DUMMYFUNCTION("""COMPUTED_VALUE"""),13.0)</f>
        <v>13</v>
      </c>
      <c r="K6" s="189">
        <f>IFERROR(__xludf.DUMMYFUNCTION("""COMPUTED_VALUE"""),9.0)</f>
        <v>9</v>
      </c>
      <c r="L6" s="189">
        <f>IFERROR(__xludf.DUMMYFUNCTION("""COMPUTED_VALUE"""),3.0)</f>
        <v>3</v>
      </c>
      <c r="M6" s="189">
        <f>IFERROR(__xludf.DUMMYFUNCTION("""COMPUTED_VALUE"""),0.0)</f>
        <v>0</v>
      </c>
      <c r="N6" s="189">
        <f>IFERROR(__xludf.DUMMYFUNCTION("""COMPUTED_VALUE"""),0.0)</f>
        <v>0</v>
      </c>
      <c r="O6" s="189">
        <f>IFERROR(__xludf.DUMMYFUNCTION("""COMPUTED_VALUE"""),2.0)</f>
        <v>2</v>
      </c>
      <c r="P6" s="189">
        <f>IFERROR(__xludf.DUMMYFUNCTION("""COMPUTED_VALUE"""),10.0)</f>
        <v>10</v>
      </c>
      <c r="Q6" s="189">
        <f>IFERROR(__xludf.DUMMYFUNCTION("""COMPUTED_VALUE"""),9.0)</f>
        <v>9</v>
      </c>
      <c r="R6" s="189">
        <f>IFERROR(__xludf.DUMMYFUNCTION("""COMPUTED_VALUE"""),3.0)</f>
        <v>3</v>
      </c>
      <c r="S6" s="189">
        <f>IFERROR(__xludf.DUMMYFUNCTION("""COMPUTED_VALUE"""),1.0)</f>
        <v>1</v>
      </c>
      <c r="T6" s="189">
        <f>IFERROR(__xludf.DUMMYFUNCTION("""COMPUTED_VALUE"""),1.0)</f>
        <v>1</v>
      </c>
      <c r="U6" s="189">
        <f>IFERROR(__xludf.DUMMYFUNCTION("""COMPUTED_VALUE"""),3.0)</f>
        <v>3</v>
      </c>
      <c r="V6" s="189">
        <f>IFERROR(__xludf.DUMMYFUNCTION("""COMPUTED_VALUE"""),9.0)</f>
        <v>9</v>
      </c>
      <c r="W6" s="189">
        <f>IFERROR(__xludf.DUMMYFUNCTION("""COMPUTED_VALUE"""),10.0)</f>
        <v>10</v>
      </c>
      <c r="X6" s="189">
        <f>IFERROR(__xludf.DUMMYFUNCTION("""COMPUTED_VALUE"""),2.0)</f>
        <v>2</v>
      </c>
      <c r="Y6" s="208" t="str">
        <f>IFERROR(__xludf.DUMMYFUNCTION("""COMPUTED_VALUE"""),"2025-08-20T00:00:00.000Z")</f>
        <v>2025-08-20T00:00:00.000Z</v>
      </c>
      <c r="Z6" s="189" t="s">
        <v>125</v>
      </c>
      <c r="AA6" s="189" t="s">
        <v>182</v>
      </c>
    </row>
    <row r="7">
      <c r="A7" s="189">
        <f>IFERROR(__xludf.DUMMYFUNCTION("""COMPUTED_VALUE"""),213557.0)</f>
        <v>213557</v>
      </c>
      <c r="B7" s="189">
        <f>IFERROR(__xludf.DUMMYFUNCTION("""COMPUTED_VALUE"""),93971.0)</f>
        <v>93971</v>
      </c>
      <c r="C7" s="189" t="str">
        <f>IFERROR(__xludf.DUMMYFUNCTION("""COMPUTED_VALUE"""),"Challengers League 2025 MENA: Resilience - LAN Finals - Main Event")</f>
        <v>Challengers League 2025 MENA: Resilience - LAN Finals - Main Event</v>
      </c>
      <c r="D7" s="189" t="str">
        <f>IFERROR(__xludf.DUMMYFUNCTION("""COMPUTED_VALUE"""),"Bind")</f>
        <v>Bind</v>
      </c>
      <c r="E7" s="189" t="str">
        <f>IFERROR(__xludf.DUMMYFUNCTION("""COMPUTED_VALUE"""),"The Ultimates")</f>
        <v>The Ultimates</v>
      </c>
      <c r="F7" s="189" t="str">
        <f>IFERROR(__xludf.DUMMYFUNCTION("""COMPUTED_VALUE"""),"Twisted Minds Esports")</f>
        <v>Twisted Minds Esports</v>
      </c>
      <c r="G7" s="189" t="str">
        <f>IFERROR(__xludf.DUMMYFUNCTION("""COMPUTED_VALUE"""),"Raze,Viper,Omen,Fade,Gekko")</f>
        <v>Raze,Viper,Omen,Fade,Gekko</v>
      </c>
      <c r="H7" s="189" t="str">
        <f>IFERROR(__xludf.DUMMYFUNCTION("""COMPUTED_VALUE"""),"Raze,Viper,Brimstone,Yoru,Fade")</f>
        <v>Raze,Viper,Brimstone,Yoru,Fade</v>
      </c>
      <c r="I7" s="189">
        <f>IFERROR(__xludf.DUMMYFUNCTION("""COMPUTED_VALUE"""),3.0)</f>
        <v>3</v>
      </c>
      <c r="J7" s="189">
        <f>IFERROR(__xludf.DUMMYFUNCTION("""COMPUTED_VALUE"""),13.0)</f>
        <v>13</v>
      </c>
      <c r="K7" s="189">
        <f>IFERROR(__xludf.DUMMYFUNCTION("""COMPUTED_VALUE"""),3.0)</f>
        <v>3</v>
      </c>
      <c r="L7" s="189">
        <f>IFERROR(__xludf.DUMMYFUNCTION("""COMPUTED_VALUE"""),9.0)</f>
        <v>9</v>
      </c>
      <c r="M7" s="189">
        <f>IFERROR(__xludf.DUMMYFUNCTION("""COMPUTED_VALUE"""),0.0)</f>
        <v>0</v>
      </c>
      <c r="N7" s="189">
        <f>IFERROR(__xludf.DUMMYFUNCTION("""COMPUTED_VALUE"""),0.0)</f>
        <v>0</v>
      </c>
      <c r="O7" s="189">
        <f>IFERROR(__xludf.DUMMYFUNCTION("""COMPUTED_VALUE"""),0.0)</f>
        <v>0</v>
      </c>
      <c r="P7" s="189">
        <f>IFERROR(__xludf.DUMMYFUNCTION("""COMPUTED_VALUE"""),4.0)</f>
        <v>4</v>
      </c>
      <c r="Q7" s="189">
        <f>IFERROR(__xludf.DUMMYFUNCTION("""COMPUTED_VALUE"""),3.0)</f>
        <v>3</v>
      </c>
      <c r="R7" s="189">
        <f>IFERROR(__xludf.DUMMYFUNCTION("""COMPUTED_VALUE"""),9.0)</f>
        <v>9</v>
      </c>
      <c r="S7" s="189">
        <f>IFERROR(__xludf.DUMMYFUNCTION("""COMPUTED_VALUE"""),1.0)</f>
        <v>1</v>
      </c>
      <c r="T7" s="189">
        <f>IFERROR(__xludf.DUMMYFUNCTION("""COMPUTED_VALUE"""),1.0)</f>
        <v>1</v>
      </c>
      <c r="U7" s="189">
        <f>IFERROR(__xludf.DUMMYFUNCTION("""COMPUTED_VALUE"""),9.0)</f>
        <v>9</v>
      </c>
      <c r="V7" s="189">
        <f>IFERROR(__xludf.DUMMYFUNCTION("""COMPUTED_VALUE"""),3.0)</f>
        <v>3</v>
      </c>
      <c r="W7" s="189">
        <f>IFERROR(__xludf.DUMMYFUNCTION("""COMPUTED_VALUE"""),4.0)</f>
        <v>4</v>
      </c>
      <c r="X7" s="189">
        <f>IFERROR(__xludf.DUMMYFUNCTION("""COMPUTED_VALUE"""),0.0)</f>
        <v>0</v>
      </c>
      <c r="Y7" s="208" t="str">
        <f>IFERROR(__xludf.DUMMYFUNCTION("""COMPUTED_VALUE"""),"2025-08-20T00:00:00.000Z")</f>
        <v>2025-08-20T00:00:00.000Z</v>
      </c>
      <c r="Z7" s="189" t="s">
        <v>151</v>
      </c>
      <c r="AA7" s="189" t="s">
        <v>184</v>
      </c>
    </row>
    <row r="8">
      <c r="A8" s="189">
        <f>IFERROR(__xludf.DUMMYFUNCTION("""COMPUTED_VALUE"""),212688.0)</f>
        <v>212688</v>
      </c>
      <c r="B8" s="189">
        <f>IFERROR(__xludf.DUMMYFUNCTION("""COMPUTED_VALUE"""),93676.0)</f>
        <v>93676</v>
      </c>
      <c r="C8" s="189" t="str">
        <f>IFERROR(__xludf.DUMMYFUNCTION("""COMPUTED_VALUE"""),"Challengers 2025: Spain Rising Finals - Playoffs")</f>
        <v>Challengers 2025: Spain Rising Finals - Playoffs</v>
      </c>
      <c r="D8" s="189" t="str">
        <f>IFERROR(__xludf.DUMMYFUNCTION("""COMPUTED_VALUE"""),"Lotus")</f>
        <v>Lotus</v>
      </c>
      <c r="E8" s="189" t="str">
        <f>IFERROR(__xludf.DUMMYFUNCTION("""COMPUTED_VALUE"""),"KOI Fénix")</f>
        <v>KOI Fénix</v>
      </c>
      <c r="F8" s="189" t="str">
        <f>IFERROR(__xludf.DUMMYFUNCTION("""COMPUTED_VALUE"""),"DNSTY")</f>
        <v>DNSTY</v>
      </c>
      <c r="G8" s="189" t="str">
        <f>IFERROR(__xludf.DUMMYFUNCTION("""COMPUTED_VALUE"""),"Breach,Sova,Killjoy,Omen,Neon")</f>
        <v>Breach,Sova,Killjoy,Omen,Neon</v>
      </c>
      <c r="H8" s="189" t="str">
        <f>IFERROR(__xludf.DUMMYFUNCTION("""COMPUTED_VALUE"""),"Raze,Killjoy,Viper,Omen,Fade")</f>
        <v>Raze,Killjoy,Viper,Omen,Fade</v>
      </c>
      <c r="I8" s="189">
        <f>IFERROR(__xludf.DUMMYFUNCTION("""COMPUTED_VALUE"""),13.0)</f>
        <v>13</v>
      </c>
      <c r="J8" s="189">
        <f>IFERROR(__xludf.DUMMYFUNCTION("""COMPUTED_VALUE"""),11.0)</f>
        <v>11</v>
      </c>
      <c r="K8" s="189">
        <f>IFERROR(__xludf.DUMMYFUNCTION("""COMPUTED_VALUE"""),6.0)</f>
        <v>6</v>
      </c>
      <c r="L8" s="189">
        <f>IFERROR(__xludf.DUMMYFUNCTION("""COMPUTED_VALUE"""),6.0)</f>
        <v>6</v>
      </c>
      <c r="M8" s="189">
        <f>IFERROR(__xludf.DUMMYFUNCTION("""COMPUTED_VALUE"""),0.0)</f>
        <v>0</v>
      </c>
      <c r="N8" s="189">
        <f>IFERROR(__xludf.DUMMYFUNCTION("""COMPUTED_VALUE"""),1.0)</f>
        <v>1</v>
      </c>
      <c r="O8" s="189">
        <f>IFERROR(__xludf.DUMMYFUNCTION("""COMPUTED_VALUE"""),7.0)</f>
        <v>7</v>
      </c>
      <c r="P8" s="189">
        <f>IFERROR(__xludf.DUMMYFUNCTION("""COMPUTED_VALUE"""),5.0)</f>
        <v>5</v>
      </c>
      <c r="Q8" s="189">
        <f>IFERROR(__xludf.DUMMYFUNCTION("""COMPUTED_VALUE"""),6.0)</f>
        <v>6</v>
      </c>
      <c r="R8" s="189">
        <f>IFERROR(__xludf.DUMMYFUNCTION("""COMPUTED_VALUE"""),6.0)</f>
        <v>6</v>
      </c>
      <c r="S8" s="189">
        <f>IFERROR(__xludf.DUMMYFUNCTION("""COMPUTED_VALUE"""),0.0)</f>
        <v>0</v>
      </c>
      <c r="T8" s="189">
        <f>IFERROR(__xludf.DUMMYFUNCTION("""COMPUTED_VALUE"""),1.0)</f>
        <v>1</v>
      </c>
      <c r="U8" s="189">
        <f>IFERROR(__xludf.DUMMYFUNCTION("""COMPUTED_VALUE"""),6.0)</f>
        <v>6</v>
      </c>
      <c r="V8" s="189">
        <f>IFERROR(__xludf.DUMMYFUNCTION("""COMPUTED_VALUE"""),6.0)</f>
        <v>6</v>
      </c>
      <c r="W8" s="189">
        <f>IFERROR(__xludf.DUMMYFUNCTION("""COMPUTED_VALUE"""),5.0)</f>
        <v>5</v>
      </c>
      <c r="X8" s="189">
        <f>IFERROR(__xludf.DUMMYFUNCTION("""COMPUTED_VALUE"""),7.0)</f>
        <v>7</v>
      </c>
      <c r="Y8" s="208" t="str">
        <f>IFERROR(__xludf.DUMMYFUNCTION("""COMPUTED_VALUE"""),"2025-08-20T00:00:00.000Z")</f>
        <v>2025-08-20T00:00:00.000Z</v>
      </c>
      <c r="Z8" s="189" t="s">
        <v>123</v>
      </c>
      <c r="AA8" s="189" t="s">
        <v>187</v>
      </c>
    </row>
    <row r="9">
      <c r="A9" s="189">
        <f>IFERROR(__xludf.DUMMYFUNCTION("""COMPUTED_VALUE"""),213556.0)</f>
        <v>213556</v>
      </c>
      <c r="B9" s="189">
        <f>IFERROR(__xludf.DUMMYFUNCTION("""COMPUTED_VALUE"""),93971.0)</f>
        <v>93971</v>
      </c>
      <c r="C9" s="189" t="str">
        <f>IFERROR(__xludf.DUMMYFUNCTION("""COMPUTED_VALUE"""),"Challengers League 2025 MENA: Resilience - LAN Finals - Main Event")</f>
        <v>Challengers League 2025 MENA: Resilience - LAN Finals - Main Event</v>
      </c>
      <c r="D9" s="189" t="str">
        <f>IFERROR(__xludf.DUMMYFUNCTION("""COMPUTED_VALUE"""),"Haven")</f>
        <v>Haven</v>
      </c>
      <c r="E9" s="189" t="str">
        <f>IFERROR(__xludf.DUMMYFUNCTION("""COMPUTED_VALUE"""),"The Ultimates")</f>
        <v>The Ultimates</v>
      </c>
      <c r="F9" s="189" t="str">
        <f>IFERROR(__xludf.DUMMYFUNCTION("""COMPUTED_VALUE"""),"Twisted Minds Esports")</f>
        <v>Twisted Minds Esports</v>
      </c>
      <c r="G9" s="189" t="str">
        <f>IFERROR(__xludf.DUMMYFUNCTION("""COMPUTED_VALUE"""),"Breach,Cypher,Sova,Omen,Neon")</f>
        <v>Breach,Cypher,Sova,Omen,Neon</v>
      </c>
      <c r="H9" s="189" t="str">
        <f>IFERROR(__xludf.DUMMYFUNCTION("""COMPUTED_VALUE"""),"Sova,Killjoy,Viper,Omen,Neon")</f>
        <v>Sova,Killjoy,Viper,Omen,Neon</v>
      </c>
      <c r="I9" s="189">
        <f>IFERROR(__xludf.DUMMYFUNCTION("""COMPUTED_VALUE"""),11.0)</f>
        <v>11</v>
      </c>
      <c r="J9" s="189">
        <f>IFERROR(__xludf.DUMMYFUNCTION("""COMPUTED_VALUE"""),13.0)</f>
        <v>13</v>
      </c>
      <c r="K9" s="189">
        <f>IFERROR(__xludf.DUMMYFUNCTION("""COMPUTED_VALUE"""),7.0)</f>
        <v>7</v>
      </c>
      <c r="L9" s="189">
        <f>IFERROR(__xludf.DUMMYFUNCTION("""COMPUTED_VALUE"""),5.0)</f>
        <v>5</v>
      </c>
      <c r="M9" s="189">
        <f>IFERROR(__xludf.DUMMYFUNCTION("""COMPUTED_VALUE"""),1.0)</f>
        <v>1</v>
      </c>
      <c r="N9" s="189">
        <f>IFERROR(__xludf.DUMMYFUNCTION("""COMPUTED_VALUE"""),0.0)</f>
        <v>0</v>
      </c>
      <c r="O9" s="189">
        <f>IFERROR(__xludf.DUMMYFUNCTION("""COMPUTED_VALUE"""),4.0)</f>
        <v>4</v>
      </c>
      <c r="P9" s="189">
        <f>IFERROR(__xludf.DUMMYFUNCTION("""COMPUTED_VALUE"""),8.0)</f>
        <v>8</v>
      </c>
      <c r="Q9" s="189">
        <f>IFERROR(__xludf.DUMMYFUNCTION("""COMPUTED_VALUE"""),7.0)</f>
        <v>7</v>
      </c>
      <c r="R9" s="189">
        <f>IFERROR(__xludf.DUMMYFUNCTION("""COMPUTED_VALUE"""),5.0)</f>
        <v>5</v>
      </c>
      <c r="S9" s="189">
        <f>IFERROR(__xludf.DUMMYFUNCTION("""COMPUTED_VALUE"""),1.0)</f>
        <v>1</v>
      </c>
      <c r="T9" s="189">
        <f>IFERROR(__xludf.DUMMYFUNCTION("""COMPUTED_VALUE"""),0.0)</f>
        <v>0</v>
      </c>
      <c r="U9" s="189">
        <f>IFERROR(__xludf.DUMMYFUNCTION("""COMPUTED_VALUE"""),5.0)</f>
        <v>5</v>
      </c>
      <c r="V9" s="189">
        <f>IFERROR(__xludf.DUMMYFUNCTION("""COMPUTED_VALUE"""),7.0)</f>
        <v>7</v>
      </c>
      <c r="W9" s="189">
        <f>IFERROR(__xludf.DUMMYFUNCTION("""COMPUTED_VALUE"""),8.0)</f>
        <v>8</v>
      </c>
      <c r="X9" s="189">
        <f>IFERROR(__xludf.DUMMYFUNCTION("""COMPUTED_VALUE"""),4.0)</f>
        <v>4</v>
      </c>
      <c r="Y9" s="208" t="str">
        <f>IFERROR(__xludf.DUMMYFUNCTION("""COMPUTED_VALUE"""),"2025-08-20T00:00:00.000Z")</f>
        <v>2025-08-20T00:00:00.000Z</v>
      </c>
      <c r="Z9" s="189" t="s">
        <v>153</v>
      </c>
      <c r="AA9" s="189" t="s">
        <v>184</v>
      </c>
    </row>
    <row r="10">
      <c r="A10" s="189">
        <f>IFERROR(__xludf.DUMMYFUNCTION("""COMPUTED_VALUE"""),213535.0)</f>
        <v>213535</v>
      </c>
      <c r="B10" s="189">
        <f>IFERROR(__xludf.DUMMYFUNCTION("""COMPUTED_VALUE"""),93965.0)</f>
        <v>93965</v>
      </c>
      <c r="C10" s="189" t="str">
        <f>IFERROR(__xludf.DUMMYFUNCTION("""COMPUTED_VALUE"""),"Challengers League 2025 MENA: Resilience - LAN Finals - Main Event")</f>
        <v>Challengers League 2025 MENA: Resilience - LAN Finals - Main Event</v>
      </c>
      <c r="D10" s="189" t="str">
        <f>IFERROR(__xludf.DUMMYFUNCTION("""COMPUTED_VALUE"""),"Lotus")</f>
        <v>Lotus</v>
      </c>
      <c r="E10" s="189" t="str">
        <f>IFERROR(__xludf.DUMMYFUNCTION("""COMPUTED_VALUE"""),"GAMAX eSports")</f>
        <v>GAMAX eSports</v>
      </c>
      <c r="F10" s="189" t="str">
        <f>IFERROR(__xludf.DUMMYFUNCTION("""COMPUTED_VALUE"""),"Twisted Minds Esports")</f>
        <v>Twisted Minds Esports</v>
      </c>
      <c r="G10" s="189" t="str">
        <f>IFERROR(__xludf.DUMMYFUNCTION("""COMPUTED_VALUE"""),"Raze,Omen,Yoru,Fade,Vyse")</f>
        <v>Raze,Omen,Yoru,Fade,Vyse</v>
      </c>
      <c r="H10" s="189" t="str">
        <f>IFERROR(__xludf.DUMMYFUNCTION("""COMPUTED_VALUE"""),"Raze,Killjoy,Viper,Omen,Fade")</f>
        <v>Raze,Killjoy,Viper,Omen,Fade</v>
      </c>
      <c r="I10" s="189">
        <f>IFERROR(__xludf.DUMMYFUNCTION("""COMPUTED_VALUE"""),10.0)</f>
        <v>10</v>
      </c>
      <c r="J10" s="189">
        <f>IFERROR(__xludf.DUMMYFUNCTION("""COMPUTED_VALUE"""),13.0)</f>
        <v>13</v>
      </c>
      <c r="K10" s="189">
        <f>IFERROR(__xludf.DUMMYFUNCTION("""COMPUTED_VALUE"""),6.0)</f>
        <v>6</v>
      </c>
      <c r="L10" s="189">
        <f>IFERROR(__xludf.DUMMYFUNCTION("""COMPUTED_VALUE"""),6.0)</f>
        <v>6</v>
      </c>
      <c r="M10" s="189">
        <f>IFERROR(__xludf.DUMMYFUNCTION("""COMPUTED_VALUE"""),1.0)</f>
        <v>1</v>
      </c>
      <c r="N10" s="189">
        <f>IFERROR(__xludf.DUMMYFUNCTION("""COMPUTED_VALUE"""),0.0)</f>
        <v>0</v>
      </c>
      <c r="O10" s="189">
        <f>IFERROR(__xludf.DUMMYFUNCTION("""COMPUTED_VALUE"""),4.0)</f>
        <v>4</v>
      </c>
      <c r="P10" s="189">
        <f>IFERROR(__xludf.DUMMYFUNCTION("""COMPUTED_VALUE"""),7.0)</f>
        <v>7</v>
      </c>
      <c r="Q10" s="189">
        <f>IFERROR(__xludf.DUMMYFUNCTION("""COMPUTED_VALUE"""),6.0)</f>
        <v>6</v>
      </c>
      <c r="R10" s="189">
        <f>IFERROR(__xludf.DUMMYFUNCTION("""COMPUTED_VALUE"""),6.0)</f>
        <v>6</v>
      </c>
      <c r="S10" s="189">
        <f>IFERROR(__xludf.DUMMYFUNCTION("""COMPUTED_VALUE"""),1.0)</f>
        <v>1</v>
      </c>
      <c r="T10" s="189">
        <f>IFERROR(__xludf.DUMMYFUNCTION("""COMPUTED_VALUE"""),0.0)</f>
        <v>0</v>
      </c>
      <c r="U10" s="189">
        <f>IFERROR(__xludf.DUMMYFUNCTION("""COMPUTED_VALUE"""),6.0)</f>
        <v>6</v>
      </c>
      <c r="V10" s="189">
        <f>IFERROR(__xludf.DUMMYFUNCTION("""COMPUTED_VALUE"""),6.0)</f>
        <v>6</v>
      </c>
      <c r="W10" s="189">
        <f>IFERROR(__xludf.DUMMYFUNCTION("""COMPUTED_VALUE"""),7.0)</f>
        <v>7</v>
      </c>
      <c r="X10" s="189">
        <f>IFERROR(__xludf.DUMMYFUNCTION("""COMPUTED_VALUE"""),4.0)</f>
        <v>4</v>
      </c>
      <c r="Y10" s="208" t="str">
        <f>IFERROR(__xludf.DUMMYFUNCTION("""COMPUTED_VALUE"""),"2025-08-19T00:00:00.000Z")</f>
        <v>2025-08-19T00:00:00.000Z</v>
      </c>
      <c r="Z10" s="189" t="s">
        <v>380</v>
      </c>
      <c r="AA10" s="189" t="s">
        <v>184</v>
      </c>
    </row>
    <row r="11">
      <c r="A11" s="189">
        <f>IFERROR(__xludf.DUMMYFUNCTION("""COMPUTED_VALUE"""),213534.0)</f>
        <v>213534</v>
      </c>
      <c r="B11" s="189">
        <f>IFERROR(__xludf.DUMMYFUNCTION("""COMPUTED_VALUE"""),93965.0)</f>
        <v>93965</v>
      </c>
      <c r="C11" s="189" t="str">
        <f>IFERROR(__xludf.DUMMYFUNCTION("""COMPUTED_VALUE"""),"Challengers League 2025 MENA: Resilience - LAN Finals - Main Event")</f>
        <v>Challengers League 2025 MENA: Resilience - LAN Finals - Main Event</v>
      </c>
      <c r="D11" s="189" t="str">
        <f>IFERROR(__xludf.DUMMYFUNCTION("""COMPUTED_VALUE"""),"Ascent")</f>
        <v>Ascent</v>
      </c>
      <c r="E11" s="189" t="str">
        <f>IFERROR(__xludf.DUMMYFUNCTION("""COMPUTED_VALUE"""),"GAMAX eSports")</f>
        <v>GAMAX eSports</v>
      </c>
      <c r="F11" s="189" t="str">
        <f>IFERROR(__xludf.DUMMYFUNCTION("""COMPUTED_VALUE"""),"Twisted Minds Esports")</f>
        <v>Twisted Minds Esports</v>
      </c>
      <c r="G11" s="189" t="str">
        <f>IFERROR(__xludf.DUMMYFUNCTION("""COMPUTED_VALUE"""),"Cypher,Sova,Omen,Jett,Yoru")</f>
        <v>Cypher,Sova,Omen,Jett,Yoru</v>
      </c>
      <c r="H11" s="189" t="str">
        <f>IFERROR(__xludf.DUMMYFUNCTION("""COMPUTED_VALUE"""),"Sova,Omen,Yoru,Chamber,Vyse")</f>
        <v>Sova,Omen,Yoru,Chamber,Vyse</v>
      </c>
      <c r="I11" s="189">
        <f>IFERROR(__xludf.DUMMYFUNCTION("""COMPUTED_VALUE"""),9.0)</f>
        <v>9</v>
      </c>
      <c r="J11" s="189">
        <f>IFERROR(__xludf.DUMMYFUNCTION("""COMPUTED_VALUE"""),13.0)</f>
        <v>13</v>
      </c>
      <c r="K11" s="189">
        <f>IFERROR(__xludf.DUMMYFUNCTION("""COMPUTED_VALUE"""),3.0)</f>
        <v>3</v>
      </c>
      <c r="L11" s="189">
        <f>IFERROR(__xludf.DUMMYFUNCTION("""COMPUTED_VALUE"""),9.0)</f>
        <v>9</v>
      </c>
      <c r="M11" s="189">
        <f>IFERROR(__xludf.DUMMYFUNCTION("""COMPUTED_VALUE"""),1.0)</f>
        <v>1</v>
      </c>
      <c r="N11" s="189">
        <f>IFERROR(__xludf.DUMMYFUNCTION("""COMPUTED_VALUE"""),1.0)</f>
        <v>1</v>
      </c>
      <c r="O11" s="189">
        <f>IFERROR(__xludf.DUMMYFUNCTION("""COMPUTED_VALUE"""),3.0)</f>
        <v>3</v>
      </c>
      <c r="P11" s="189">
        <f>IFERROR(__xludf.DUMMYFUNCTION("""COMPUTED_VALUE"""),9.0)</f>
        <v>9</v>
      </c>
      <c r="Q11" s="189">
        <f>IFERROR(__xludf.DUMMYFUNCTION("""COMPUTED_VALUE"""),6.0)</f>
        <v>6</v>
      </c>
      <c r="R11" s="189">
        <f>IFERROR(__xludf.DUMMYFUNCTION("""COMPUTED_VALUE"""),4.0)</f>
        <v>4</v>
      </c>
      <c r="S11" s="189">
        <f>IFERROR(__xludf.DUMMYFUNCTION("""COMPUTED_VALUE"""),0.0)</f>
        <v>0</v>
      </c>
      <c r="T11" s="189">
        <f>IFERROR(__xludf.DUMMYFUNCTION("""COMPUTED_VALUE"""),0.0)</f>
        <v>0</v>
      </c>
      <c r="U11" s="189">
        <f>IFERROR(__xludf.DUMMYFUNCTION("""COMPUTED_VALUE"""),4.0)</f>
        <v>4</v>
      </c>
      <c r="V11" s="189">
        <f>IFERROR(__xludf.DUMMYFUNCTION("""COMPUTED_VALUE"""),6.0)</f>
        <v>6</v>
      </c>
      <c r="W11" s="189">
        <f>IFERROR(__xludf.DUMMYFUNCTION("""COMPUTED_VALUE"""),9.0)</f>
        <v>9</v>
      </c>
      <c r="X11" s="189">
        <f>IFERROR(__xludf.DUMMYFUNCTION("""COMPUTED_VALUE"""),3.0)</f>
        <v>3</v>
      </c>
      <c r="Y11" s="208" t="str">
        <f>IFERROR(__xludf.DUMMYFUNCTION("""COMPUTED_VALUE"""),"2025-08-19T00:00:00.000Z")</f>
        <v>2025-08-19T00:00:00.000Z</v>
      </c>
      <c r="Z11" s="189" t="s">
        <v>381</v>
      </c>
      <c r="AA11" s="189" t="s">
        <v>184</v>
      </c>
    </row>
    <row r="12">
      <c r="A12" s="189">
        <f>IFERROR(__xludf.DUMMYFUNCTION("""COMPUTED_VALUE"""),213532.0)</f>
        <v>213532</v>
      </c>
      <c r="B12" s="189">
        <f>IFERROR(__xludf.DUMMYFUNCTION("""COMPUTED_VALUE"""),93964.0)</f>
        <v>93964</v>
      </c>
      <c r="C12" s="189" t="str">
        <f>IFERROR(__xludf.DUMMYFUNCTION("""COMPUTED_VALUE"""),"Challengers League 2025 MENA: Resilience - LAN Finals - Main Event")</f>
        <v>Challengers League 2025 MENA: Resilience - LAN Finals - Main Event</v>
      </c>
      <c r="D12" s="189" t="str">
        <f>IFERROR(__xludf.DUMMYFUNCTION("""COMPUTED_VALUE"""),"Bind")</f>
        <v>Bind</v>
      </c>
      <c r="E12" s="189" t="str">
        <f>IFERROR(__xludf.DUMMYFUNCTION("""COMPUTED_VALUE"""),"GAMAX eSports")</f>
        <v>GAMAX eSports</v>
      </c>
      <c r="F12" s="189" t="str">
        <f>IFERROR(__xludf.DUMMYFUNCTION("""COMPUTED_VALUE"""),"The Ultimates")</f>
        <v>The Ultimates</v>
      </c>
      <c r="G12" s="189" t="str">
        <f>IFERROR(__xludf.DUMMYFUNCTION("""COMPUTED_VALUE"""),"Raze,Viper,Brimstone,Skye,Gekko")</f>
        <v>Raze,Viper,Brimstone,Skye,Gekko</v>
      </c>
      <c r="H12" s="189" t="str">
        <f>IFERROR(__xludf.DUMMYFUNCTION("""COMPUTED_VALUE"""),"Raze,Viper,Omen,Fade,Gekko")</f>
        <v>Raze,Viper,Omen,Fade,Gekko</v>
      </c>
      <c r="I12" s="189">
        <f>IFERROR(__xludf.DUMMYFUNCTION("""COMPUTED_VALUE"""),7.0)</f>
        <v>7</v>
      </c>
      <c r="J12" s="189">
        <f>IFERROR(__xludf.DUMMYFUNCTION("""COMPUTED_VALUE"""),13.0)</f>
        <v>13</v>
      </c>
      <c r="K12" s="189">
        <f>IFERROR(__xludf.DUMMYFUNCTION("""COMPUTED_VALUE"""),5.0)</f>
        <v>5</v>
      </c>
      <c r="L12" s="189">
        <f>IFERROR(__xludf.DUMMYFUNCTION("""COMPUTED_VALUE"""),7.0)</f>
        <v>7</v>
      </c>
      <c r="M12" s="189">
        <f>IFERROR(__xludf.DUMMYFUNCTION("""COMPUTED_VALUE"""),1.0)</f>
        <v>1</v>
      </c>
      <c r="N12" s="189">
        <f>IFERROR(__xludf.DUMMYFUNCTION("""COMPUTED_VALUE"""),0.0)</f>
        <v>0</v>
      </c>
      <c r="O12" s="189">
        <f>IFERROR(__xludf.DUMMYFUNCTION("""COMPUTED_VALUE"""),2.0)</f>
        <v>2</v>
      </c>
      <c r="P12" s="189">
        <f>IFERROR(__xludf.DUMMYFUNCTION("""COMPUTED_VALUE"""),6.0)</f>
        <v>6</v>
      </c>
      <c r="Q12" s="189">
        <f>IFERROR(__xludf.DUMMYFUNCTION("""COMPUTED_VALUE"""),5.0)</f>
        <v>5</v>
      </c>
      <c r="R12" s="189">
        <f>IFERROR(__xludf.DUMMYFUNCTION("""COMPUTED_VALUE"""),7.0)</f>
        <v>7</v>
      </c>
      <c r="S12" s="189">
        <f>IFERROR(__xludf.DUMMYFUNCTION("""COMPUTED_VALUE"""),1.0)</f>
        <v>1</v>
      </c>
      <c r="T12" s="189">
        <f>IFERROR(__xludf.DUMMYFUNCTION("""COMPUTED_VALUE"""),0.0)</f>
        <v>0</v>
      </c>
      <c r="U12" s="189">
        <f>IFERROR(__xludf.DUMMYFUNCTION("""COMPUTED_VALUE"""),7.0)</f>
        <v>7</v>
      </c>
      <c r="V12" s="189">
        <f>IFERROR(__xludf.DUMMYFUNCTION("""COMPUTED_VALUE"""),5.0)</f>
        <v>5</v>
      </c>
      <c r="W12" s="189">
        <f>IFERROR(__xludf.DUMMYFUNCTION("""COMPUTED_VALUE"""),6.0)</f>
        <v>6</v>
      </c>
      <c r="X12" s="189">
        <f>IFERROR(__xludf.DUMMYFUNCTION("""COMPUTED_VALUE"""),2.0)</f>
        <v>2</v>
      </c>
      <c r="Y12" s="208" t="str">
        <f>IFERROR(__xludf.DUMMYFUNCTION("""COMPUTED_VALUE"""),"2025-08-19T00:00:00.000Z")</f>
        <v>2025-08-19T00:00:00.000Z</v>
      </c>
      <c r="Z12" s="189" t="s">
        <v>382</v>
      </c>
      <c r="AA12" s="189" t="s">
        <v>185</v>
      </c>
    </row>
    <row r="13">
      <c r="A13" s="189">
        <f>IFERROR(__xludf.DUMMYFUNCTION("""COMPUTED_VALUE"""),213531.0)</f>
        <v>213531</v>
      </c>
      <c r="B13" s="189">
        <f>IFERROR(__xludf.DUMMYFUNCTION("""COMPUTED_VALUE"""),93964.0)</f>
        <v>93964</v>
      </c>
      <c r="C13" s="189" t="str">
        <f>IFERROR(__xludf.DUMMYFUNCTION("""COMPUTED_VALUE"""),"Challengers League 2025 MENA: Resilience - LAN Finals - Main Event")</f>
        <v>Challengers League 2025 MENA: Resilience - LAN Finals - Main Event</v>
      </c>
      <c r="D13" s="189" t="str">
        <f>IFERROR(__xludf.DUMMYFUNCTION("""COMPUTED_VALUE"""),"Haven")</f>
        <v>Haven</v>
      </c>
      <c r="E13" s="189" t="str">
        <f>IFERROR(__xludf.DUMMYFUNCTION("""COMPUTED_VALUE"""),"GAMAX eSports")</f>
        <v>GAMAX eSports</v>
      </c>
      <c r="F13" s="189" t="str">
        <f>IFERROR(__xludf.DUMMYFUNCTION("""COMPUTED_VALUE"""),"The Ultimates")</f>
        <v>The Ultimates</v>
      </c>
      <c r="G13" s="189" t="str">
        <f>IFERROR(__xludf.DUMMYFUNCTION("""COMPUTED_VALUE"""),"Cypher,Sova,Omen,Yoru,Iso")</f>
        <v>Cypher,Sova,Omen,Yoru,Iso</v>
      </c>
      <c r="H13" s="189" t="str">
        <f>IFERROR(__xludf.DUMMYFUNCTION("""COMPUTED_VALUE"""),"Breach,Cypher,Sova,Omen,Neon")</f>
        <v>Breach,Cypher,Sova,Omen,Neon</v>
      </c>
      <c r="I13" s="189">
        <f>IFERROR(__xludf.DUMMYFUNCTION("""COMPUTED_VALUE"""),10.0)</f>
        <v>10</v>
      </c>
      <c r="J13" s="189">
        <f>IFERROR(__xludf.DUMMYFUNCTION("""COMPUTED_VALUE"""),13.0)</f>
        <v>13</v>
      </c>
      <c r="K13" s="189">
        <f>IFERROR(__xludf.DUMMYFUNCTION("""COMPUTED_VALUE"""),7.0)</f>
        <v>7</v>
      </c>
      <c r="L13" s="189">
        <f>IFERROR(__xludf.DUMMYFUNCTION("""COMPUTED_VALUE"""),5.0)</f>
        <v>5</v>
      </c>
      <c r="M13" s="189">
        <f>IFERROR(__xludf.DUMMYFUNCTION("""COMPUTED_VALUE"""),1.0)</f>
        <v>1</v>
      </c>
      <c r="N13" s="189">
        <f>IFERROR(__xludf.DUMMYFUNCTION("""COMPUTED_VALUE"""),0.0)</f>
        <v>0</v>
      </c>
      <c r="O13" s="189">
        <f>IFERROR(__xludf.DUMMYFUNCTION("""COMPUTED_VALUE"""),3.0)</f>
        <v>3</v>
      </c>
      <c r="P13" s="189">
        <f>IFERROR(__xludf.DUMMYFUNCTION("""COMPUTED_VALUE"""),8.0)</f>
        <v>8</v>
      </c>
      <c r="Q13" s="189">
        <f>IFERROR(__xludf.DUMMYFUNCTION("""COMPUTED_VALUE"""),7.0)</f>
        <v>7</v>
      </c>
      <c r="R13" s="189">
        <f>IFERROR(__xludf.DUMMYFUNCTION("""COMPUTED_VALUE"""),5.0)</f>
        <v>5</v>
      </c>
      <c r="S13" s="189">
        <f>IFERROR(__xludf.DUMMYFUNCTION("""COMPUTED_VALUE"""),1.0)</f>
        <v>1</v>
      </c>
      <c r="T13" s="189">
        <f>IFERROR(__xludf.DUMMYFUNCTION("""COMPUTED_VALUE"""),0.0)</f>
        <v>0</v>
      </c>
      <c r="U13" s="189">
        <f>IFERROR(__xludf.DUMMYFUNCTION("""COMPUTED_VALUE"""),5.0)</f>
        <v>5</v>
      </c>
      <c r="V13" s="189">
        <f>IFERROR(__xludf.DUMMYFUNCTION("""COMPUTED_VALUE"""),7.0)</f>
        <v>7</v>
      </c>
      <c r="W13" s="189">
        <f>IFERROR(__xludf.DUMMYFUNCTION("""COMPUTED_VALUE"""),8.0)</f>
        <v>8</v>
      </c>
      <c r="X13" s="189">
        <f>IFERROR(__xludf.DUMMYFUNCTION("""COMPUTED_VALUE"""),3.0)</f>
        <v>3</v>
      </c>
      <c r="Y13" s="208" t="str">
        <f>IFERROR(__xludf.DUMMYFUNCTION("""COMPUTED_VALUE"""),"2025-08-19T00:00:00.000Z")</f>
        <v>2025-08-19T00:00:00.000Z</v>
      </c>
      <c r="Z13" s="189" t="s">
        <v>383</v>
      </c>
      <c r="AA13" s="189" t="s">
        <v>185</v>
      </c>
    </row>
    <row r="14">
      <c r="A14" s="189">
        <f>IFERROR(__xludf.DUMMYFUNCTION("""COMPUTED_VALUE"""),213529.0)</f>
        <v>213529</v>
      </c>
      <c r="B14" s="189">
        <f>IFERROR(__xludf.DUMMYFUNCTION("""COMPUTED_VALUE"""),93963.0)</f>
        <v>93963</v>
      </c>
      <c r="C14" s="189" t="str">
        <f>IFERROR(__xludf.DUMMYFUNCTION("""COMPUTED_VALUE"""),"Challengers League 2025 MENA: Resilience - LAN Finals - Main Event")</f>
        <v>Challengers League 2025 MENA: Resilience - LAN Finals - Main Event</v>
      </c>
      <c r="D14" s="189" t="str">
        <f>IFERROR(__xludf.DUMMYFUNCTION("""COMPUTED_VALUE"""),"Corrode")</f>
        <v>Corrode</v>
      </c>
      <c r="E14" s="189" t="str">
        <f>IFERROR(__xludf.DUMMYFUNCTION("""COMPUTED_VALUE"""),"Twisted Minds Esports")</f>
        <v>Twisted Minds Esports</v>
      </c>
      <c r="F14" s="189" t="str">
        <f>IFERROR(__xludf.DUMMYFUNCTION("""COMPUTED_VALUE"""),"Team RA'AD")</f>
        <v>Team RA'AD</v>
      </c>
      <c r="G14" s="189" t="str">
        <f>IFERROR(__xludf.DUMMYFUNCTION("""COMPUTED_VALUE"""),"Omen,Yoru,Chamber,Fade,Vyse")</f>
        <v>Omen,Yoru,Chamber,Fade,Vyse</v>
      </c>
      <c r="H14" s="189" t="str">
        <f>IFERROR(__xludf.DUMMYFUNCTION("""COMPUTED_VALUE"""),"Sage,Omen,Yoru,Fade,Vyse")</f>
        <v>Sage,Omen,Yoru,Fade,Vyse</v>
      </c>
      <c r="I14" s="189">
        <f>IFERROR(__xludf.DUMMYFUNCTION("""COMPUTED_VALUE"""),15.0)</f>
        <v>15</v>
      </c>
      <c r="J14" s="189">
        <f>IFERROR(__xludf.DUMMYFUNCTION("""COMPUTED_VALUE"""),13.0)</f>
        <v>13</v>
      </c>
      <c r="K14" s="189">
        <f>IFERROR(__xludf.DUMMYFUNCTION("""COMPUTED_VALUE"""),7.0)</f>
        <v>7</v>
      </c>
      <c r="L14" s="189">
        <f>IFERROR(__xludf.DUMMYFUNCTION("""COMPUTED_VALUE"""),5.0)</f>
        <v>5</v>
      </c>
      <c r="M14" s="189">
        <f>IFERROR(__xludf.DUMMYFUNCTION("""COMPUTED_VALUE"""),0.0)</f>
        <v>0</v>
      </c>
      <c r="N14" s="189">
        <f>IFERROR(__xludf.DUMMYFUNCTION("""COMPUTED_VALUE"""),1.0)</f>
        <v>1</v>
      </c>
      <c r="O14" s="189">
        <f>IFERROR(__xludf.DUMMYFUNCTION("""COMPUTED_VALUE"""),8.0)</f>
        <v>8</v>
      </c>
      <c r="P14" s="189">
        <f>IFERROR(__xludf.DUMMYFUNCTION("""COMPUTED_VALUE"""),6.0)</f>
        <v>6</v>
      </c>
      <c r="Q14" s="189">
        <f>IFERROR(__xludf.DUMMYFUNCTION("""COMPUTED_VALUE"""),7.0)</f>
        <v>7</v>
      </c>
      <c r="R14" s="189">
        <f>IFERROR(__xludf.DUMMYFUNCTION("""COMPUTED_VALUE"""),7.0)</f>
        <v>7</v>
      </c>
      <c r="S14" s="189">
        <f>IFERROR(__xludf.DUMMYFUNCTION("""COMPUTED_VALUE"""),0.0)</f>
        <v>0</v>
      </c>
      <c r="T14" s="189">
        <f>IFERROR(__xludf.DUMMYFUNCTION("""COMPUTED_VALUE"""),1.0)</f>
        <v>1</v>
      </c>
      <c r="U14" s="189">
        <f>IFERROR(__xludf.DUMMYFUNCTION("""COMPUTED_VALUE"""),7.0)</f>
        <v>7</v>
      </c>
      <c r="V14" s="189">
        <f>IFERROR(__xludf.DUMMYFUNCTION("""COMPUTED_VALUE"""),7.0)</f>
        <v>7</v>
      </c>
      <c r="W14" s="189">
        <f>IFERROR(__xludf.DUMMYFUNCTION("""COMPUTED_VALUE"""),6.0)</f>
        <v>6</v>
      </c>
      <c r="X14" s="189">
        <f>IFERROR(__xludf.DUMMYFUNCTION("""COMPUTED_VALUE"""),8.0)</f>
        <v>8</v>
      </c>
      <c r="Y14" s="208" t="str">
        <f>IFERROR(__xludf.DUMMYFUNCTION("""COMPUTED_VALUE"""),"2025-08-18T00:00:00.000Z")</f>
        <v>2025-08-18T00:00:00.000Z</v>
      </c>
      <c r="Z14" s="189" t="s">
        <v>161</v>
      </c>
      <c r="AA14" s="189" t="s">
        <v>184</v>
      </c>
    </row>
    <row r="15">
      <c r="A15" s="189">
        <f>IFERROR(__xludf.DUMMYFUNCTION("""COMPUTED_VALUE"""),213528.0)</f>
        <v>213528</v>
      </c>
      <c r="B15" s="189">
        <f>IFERROR(__xludf.DUMMYFUNCTION("""COMPUTED_VALUE"""),93963.0)</f>
        <v>93963</v>
      </c>
      <c r="C15" s="189" t="str">
        <f>IFERROR(__xludf.DUMMYFUNCTION("""COMPUTED_VALUE"""),"Challengers League 2025 MENA: Resilience - LAN Finals - Main Event")</f>
        <v>Challengers League 2025 MENA: Resilience - LAN Finals - Main Event</v>
      </c>
      <c r="D15" s="189" t="str">
        <f>IFERROR(__xludf.DUMMYFUNCTION("""COMPUTED_VALUE"""),"Lotus")</f>
        <v>Lotus</v>
      </c>
      <c r="E15" s="189" t="str">
        <f>IFERROR(__xludf.DUMMYFUNCTION("""COMPUTED_VALUE"""),"Twisted Minds Esports")</f>
        <v>Twisted Minds Esports</v>
      </c>
      <c r="F15" s="189" t="str">
        <f>IFERROR(__xludf.DUMMYFUNCTION("""COMPUTED_VALUE"""),"Team RA'AD")</f>
        <v>Team RA'AD</v>
      </c>
      <c r="G15" s="189" t="str">
        <f>IFERROR(__xludf.DUMMYFUNCTION("""COMPUTED_VALUE"""),"Raze,Killjoy,Viper,Omen,Fade")</f>
        <v>Raze,Killjoy,Viper,Omen,Fade</v>
      </c>
      <c r="H15" s="189" t="str">
        <f>IFERROR(__xludf.DUMMYFUNCTION("""COMPUTED_VALUE"""),"Raze,Omen,Yoru,Fade,Vyse")</f>
        <v>Raze,Omen,Yoru,Fade,Vyse</v>
      </c>
      <c r="I15" s="189">
        <f>IFERROR(__xludf.DUMMYFUNCTION("""COMPUTED_VALUE"""),15.0)</f>
        <v>15</v>
      </c>
      <c r="J15" s="189">
        <f>IFERROR(__xludf.DUMMYFUNCTION("""COMPUTED_VALUE"""),13.0)</f>
        <v>13</v>
      </c>
      <c r="K15" s="189">
        <f>IFERROR(__xludf.DUMMYFUNCTION("""COMPUTED_VALUE"""),4.0)</f>
        <v>4</v>
      </c>
      <c r="L15" s="189">
        <f>IFERROR(__xludf.DUMMYFUNCTION("""COMPUTED_VALUE"""),8.0)</f>
        <v>8</v>
      </c>
      <c r="M15" s="189">
        <f>IFERROR(__xludf.DUMMYFUNCTION("""COMPUTED_VALUE"""),1.0)</f>
        <v>1</v>
      </c>
      <c r="N15" s="189">
        <f>IFERROR(__xludf.DUMMYFUNCTION("""COMPUTED_VALUE"""),0.0)</f>
        <v>0</v>
      </c>
      <c r="O15" s="189">
        <f>IFERROR(__xludf.DUMMYFUNCTION("""COMPUTED_VALUE"""),9.0)</f>
        <v>9</v>
      </c>
      <c r="P15" s="189">
        <f>IFERROR(__xludf.DUMMYFUNCTION("""COMPUTED_VALUE"""),5.0)</f>
        <v>5</v>
      </c>
      <c r="Q15" s="189">
        <f>IFERROR(__xludf.DUMMYFUNCTION("""COMPUTED_VALUE"""),6.0)</f>
        <v>6</v>
      </c>
      <c r="R15" s="189">
        <f>IFERROR(__xludf.DUMMYFUNCTION("""COMPUTED_VALUE"""),8.0)</f>
        <v>8</v>
      </c>
      <c r="S15" s="189">
        <f>IFERROR(__xludf.DUMMYFUNCTION("""COMPUTED_VALUE"""),1.0)</f>
        <v>1</v>
      </c>
      <c r="T15" s="189">
        <f>IFERROR(__xludf.DUMMYFUNCTION("""COMPUTED_VALUE"""),0.0)</f>
        <v>0</v>
      </c>
      <c r="U15" s="189">
        <f>IFERROR(__xludf.DUMMYFUNCTION("""COMPUTED_VALUE"""),8.0)</f>
        <v>8</v>
      </c>
      <c r="V15" s="189">
        <f>IFERROR(__xludf.DUMMYFUNCTION("""COMPUTED_VALUE"""),6.0)</f>
        <v>6</v>
      </c>
      <c r="W15" s="189">
        <f>IFERROR(__xludf.DUMMYFUNCTION("""COMPUTED_VALUE"""),5.0)</f>
        <v>5</v>
      </c>
      <c r="X15" s="189">
        <f>IFERROR(__xludf.DUMMYFUNCTION("""COMPUTED_VALUE"""),9.0)</f>
        <v>9</v>
      </c>
      <c r="Y15" s="208" t="str">
        <f>IFERROR(__xludf.DUMMYFUNCTION("""COMPUTED_VALUE"""),"2025-08-18T00:00:00.000Z")</f>
        <v>2025-08-18T00:00:00.000Z</v>
      </c>
      <c r="Z15" s="189" t="s">
        <v>164</v>
      </c>
      <c r="AA15" s="189" t="s">
        <v>184</v>
      </c>
    </row>
    <row r="16">
      <c r="A16" s="189">
        <f>IFERROR(__xludf.DUMMYFUNCTION("""COMPUTED_VALUE"""),213499.0)</f>
        <v>213499</v>
      </c>
      <c r="B16" s="189">
        <f>IFERROR(__xludf.DUMMYFUNCTION("""COMPUTED_VALUE"""),93954.0)</f>
        <v>93954</v>
      </c>
      <c r="C16" s="189" t="str">
        <f>IFERROR(__xludf.DUMMYFUNCTION("""COMPUTED_VALUE"""),"Challengers League 2025 MENA: Resilience - LAN Finals - Main Event")</f>
        <v>Challengers League 2025 MENA: Resilience - LAN Finals - Main Event</v>
      </c>
      <c r="D16" s="189" t="str">
        <f>IFERROR(__xludf.DUMMYFUNCTION("""COMPUTED_VALUE"""),"Bind")</f>
        <v>Bind</v>
      </c>
      <c r="E16" s="189" t="str">
        <f>IFERROR(__xludf.DUMMYFUNCTION("""COMPUTED_VALUE"""),"Twisted Minds Esports")</f>
        <v>Twisted Minds Esports</v>
      </c>
      <c r="F16" s="189" t="str">
        <f>IFERROR(__xludf.DUMMYFUNCTION("""COMPUTED_VALUE"""),"GAMAX eSports")</f>
        <v>GAMAX eSports</v>
      </c>
      <c r="G16" s="189" t="str">
        <f>IFERROR(__xludf.DUMMYFUNCTION("""COMPUTED_VALUE"""),"Raze,Viper,Brimstone,Yoru,Fade")</f>
        <v>Raze,Viper,Brimstone,Yoru,Fade</v>
      </c>
      <c r="H16" s="189" t="str">
        <f>IFERROR(__xludf.DUMMYFUNCTION("""COMPUTED_VALUE"""),"Raze,Viper,Brimstone,Skye,Gekko")</f>
        <v>Raze,Viper,Brimstone,Skye,Gekko</v>
      </c>
      <c r="I16" s="189">
        <f>IFERROR(__xludf.DUMMYFUNCTION("""COMPUTED_VALUE"""),12.0)</f>
        <v>12</v>
      </c>
      <c r="J16" s="189">
        <f>IFERROR(__xludf.DUMMYFUNCTION("""COMPUTED_VALUE"""),14.0)</f>
        <v>14</v>
      </c>
      <c r="K16" s="189">
        <f>IFERROR(__xludf.DUMMYFUNCTION("""COMPUTED_VALUE"""),6.0)</f>
        <v>6</v>
      </c>
      <c r="L16" s="189">
        <f>IFERROR(__xludf.DUMMYFUNCTION("""COMPUTED_VALUE"""),6.0)</f>
        <v>6</v>
      </c>
      <c r="M16" s="189">
        <f>IFERROR(__xludf.DUMMYFUNCTION("""COMPUTED_VALUE"""),1.0)</f>
        <v>1</v>
      </c>
      <c r="N16" s="189">
        <f>IFERROR(__xludf.DUMMYFUNCTION("""COMPUTED_VALUE"""),0.0)</f>
        <v>0</v>
      </c>
      <c r="O16" s="189">
        <f>IFERROR(__xludf.DUMMYFUNCTION("""COMPUTED_VALUE"""),6.0)</f>
        <v>6</v>
      </c>
      <c r="P16" s="189">
        <f>IFERROR(__xludf.DUMMYFUNCTION("""COMPUTED_VALUE"""),7.0)</f>
        <v>7</v>
      </c>
      <c r="Q16" s="189">
        <f>IFERROR(__xludf.DUMMYFUNCTION("""COMPUTED_VALUE"""),6.0)</f>
        <v>6</v>
      </c>
      <c r="R16" s="189">
        <f>IFERROR(__xludf.DUMMYFUNCTION("""COMPUTED_VALUE"""),7.0)</f>
        <v>7</v>
      </c>
      <c r="S16" s="189">
        <f>IFERROR(__xludf.DUMMYFUNCTION("""COMPUTED_VALUE"""),1.0)</f>
        <v>1</v>
      </c>
      <c r="T16" s="189">
        <f>IFERROR(__xludf.DUMMYFUNCTION("""COMPUTED_VALUE"""),0.0)</f>
        <v>0</v>
      </c>
      <c r="U16" s="189">
        <f>IFERROR(__xludf.DUMMYFUNCTION("""COMPUTED_VALUE"""),7.0)</f>
        <v>7</v>
      </c>
      <c r="V16" s="189">
        <f>IFERROR(__xludf.DUMMYFUNCTION("""COMPUTED_VALUE"""),6.0)</f>
        <v>6</v>
      </c>
      <c r="W16" s="189">
        <f>IFERROR(__xludf.DUMMYFUNCTION("""COMPUTED_VALUE"""),7.0)</f>
        <v>7</v>
      </c>
      <c r="X16" s="189">
        <f>IFERROR(__xludf.DUMMYFUNCTION("""COMPUTED_VALUE"""),6.0)</f>
        <v>6</v>
      </c>
      <c r="Y16" s="208" t="str">
        <f>IFERROR(__xludf.DUMMYFUNCTION("""COMPUTED_VALUE"""),"2025-08-18T00:00:00.000Z")</f>
        <v>2025-08-18T00:00:00.000Z</v>
      </c>
      <c r="Z16" s="189" t="s">
        <v>160</v>
      </c>
      <c r="AA16" s="189" t="s">
        <v>384</v>
      </c>
    </row>
    <row r="17">
      <c r="A17" s="189">
        <f>IFERROR(__xludf.DUMMYFUNCTION("""COMPUTED_VALUE"""),213502.0)</f>
        <v>213502</v>
      </c>
      <c r="B17" s="189">
        <f>IFERROR(__xludf.DUMMYFUNCTION("""COMPUTED_VALUE"""),93955.0)</f>
        <v>93955</v>
      </c>
      <c r="C17" s="189" t="str">
        <f>IFERROR(__xludf.DUMMYFUNCTION("""COMPUTED_VALUE"""),"Challengers League 2025 MENA: Resilience - LAN Finals - Main Event")</f>
        <v>Challengers League 2025 MENA: Resilience - LAN Finals - Main Event</v>
      </c>
      <c r="D17" s="189" t="str">
        <f>IFERROR(__xludf.DUMMYFUNCTION("""COMPUTED_VALUE"""),"Corrode")</f>
        <v>Corrode</v>
      </c>
      <c r="E17" s="189" t="str">
        <f>IFERROR(__xludf.DUMMYFUNCTION("""COMPUTED_VALUE"""),"Team RA'AD")</f>
        <v>Team RA'AD</v>
      </c>
      <c r="F17" s="189" t="str">
        <f>IFERROR(__xludf.DUMMYFUNCTION("""COMPUTED_VALUE"""),"The Ultimates")</f>
        <v>The Ultimates</v>
      </c>
      <c r="G17" s="189" t="str">
        <f>IFERROR(__xludf.DUMMYFUNCTION("""COMPUTED_VALUE"""),"Sage,Omen,Yoru,Fade,Vyse")</f>
        <v>Sage,Omen,Yoru,Fade,Vyse</v>
      </c>
      <c r="H17" s="189" t="str">
        <f>IFERROR(__xludf.DUMMYFUNCTION("""COMPUTED_VALUE"""),"Viper,Omen,Neon,Fade,Vyse")</f>
        <v>Viper,Omen,Neon,Fade,Vyse</v>
      </c>
      <c r="I17" s="189">
        <f>IFERROR(__xludf.DUMMYFUNCTION("""COMPUTED_VALUE"""),9.0)</f>
        <v>9</v>
      </c>
      <c r="J17" s="189">
        <f>IFERROR(__xludf.DUMMYFUNCTION("""COMPUTED_VALUE"""),13.0)</f>
        <v>13</v>
      </c>
      <c r="K17" s="189">
        <f>IFERROR(__xludf.DUMMYFUNCTION("""COMPUTED_VALUE"""),8.0)</f>
        <v>8</v>
      </c>
      <c r="L17" s="189">
        <f>IFERROR(__xludf.DUMMYFUNCTION("""COMPUTED_VALUE"""),4.0)</f>
        <v>4</v>
      </c>
      <c r="M17" s="189">
        <f>IFERROR(__xludf.DUMMYFUNCTION("""COMPUTED_VALUE"""),0.0)</f>
        <v>0</v>
      </c>
      <c r="N17" s="189">
        <f>IFERROR(__xludf.DUMMYFUNCTION("""COMPUTED_VALUE"""),0.0)</f>
        <v>0</v>
      </c>
      <c r="O17" s="189">
        <f>IFERROR(__xludf.DUMMYFUNCTION("""COMPUTED_VALUE"""),8.0)</f>
        <v>8</v>
      </c>
      <c r="P17" s="189">
        <f>IFERROR(__xludf.DUMMYFUNCTION("""COMPUTED_VALUE"""),4.0)</f>
        <v>4</v>
      </c>
      <c r="Q17" s="189">
        <f>IFERROR(__xludf.DUMMYFUNCTION("""COMPUTED_VALUE"""),1.0)</f>
        <v>1</v>
      </c>
      <c r="R17" s="189">
        <f>IFERROR(__xludf.DUMMYFUNCTION("""COMPUTED_VALUE"""),9.0)</f>
        <v>9</v>
      </c>
      <c r="S17" s="189">
        <f>IFERROR(__xludf.DUMMYFUNCTION("""COMPUTED_VALUE"""),1.0)</f>
        <v>1</v>
      </c>
      <c r="T17" s="189">
        <f>IFERROR(__xludf.DUMMYFUNCTION("""COMPUTED_VALUE"""),1.0)</f>
        <v>1</v>
      </c>
      <c r="U17" s="189">
        <f>IFERROR(__xludf.DUMMYFUNCTION("""COMPUTED_VALUE"""),9.0)</f>
        <v>9</v>
      </c>
      <c r="V17" s="189">
        <f>IFERROR(__xludf.DUMMYFUNCTION("""COMPUTED_VALUE"""),1.0)</f>
        <v>1</v>
      </c>
      <c r="W17" s="189">
        <f>IFERROR(__xludf.DUMMYFUNCTION("""COMPUTED_VALUE"""),4.0)</f>
        <v>4</v>
      </c>
      <c r="X17" s="189">
        <f>IFERROR(__xludf.DUMMYFUNCTION("""COMPUTED_VALUE"""),8.0)</f>
        <v>8</v>
      </c>
      <c r="Y17" s="208" t="str">
        <f>IFERROR(__xludf.DUMMYFUNCTION("""COMPUTED_VALUE"""),"2025-08-18T00:00:00.000Z")</f>
        <v>2025-08-18T00:00:00.000Z</v>
      </c>
      <c r="Z17" s="189" t="s">
        <v>385</v>
      </c>
      <c r="AA17" s="189" t="s">
        <v>185</v>
      </c>
    </row>
    <row r="18">
      <c r="A18" s="189">
        <f>IFERROR(__xludf.DUMMYFUNCTION("""COMPUTED_VALUE"""),213498.0)</f>
        <v>213498</v>
      </c>
      <c r="B18" s="189">
        <f>IFERROR(__xludf.DUMMYFUNCTION("""COMPUTED_VALUE"""),93954.0)</f>
        <v>93954</v>
      </c>
      <c r="C18" s="189" t="str">
        <f>IFERROR(__xludf.DUMMYFUNCTION("""COMPUTED_VALUE"""),"Challengers League 2025 MENA: Resilience - LAN Finals - Main Event")</f>
        <v>Challengers League 2025 MENA: Resilience - LAN Finals - Main Event</v>
      </c>
      <c r="D18" s="189" t="str">
        <f>IFERROR(__xludf.DUMMYFUNCTION("""COMPUTED_VALUE"""),"Sunset")</f>
        <v>Sunset</v>
      </c>
      <c r="E18" s="189" t="str">
        <f>IFERROR(__xludf.DUMMYFUNCTION("""COMPUTED_VALUE"""),"Twisted Minds Esports")</f>
        <v>Twisted Minds Esports</v>
      </c>
      <c r="F18" s="189" t="str">
        <f>IFERROR(__xludf.DUMMYFUNCTION("""COMPUTED_VALUE"""),"GAMAX eSports")</f>
        <v>GAMAX eSports</v>
      </c>
      <c r="G18" s="189" t="str">
        <f>IFERROR(__xludf.DUMMYFUNCTION("""COMPUTED_VALUE"""),"Breach,Cypher,Omen,Neon,Fade")</f>
        <v>Breach,Cypher,Omen,Neon,Fade</v>
      </c>
      <c r="H18" s="189" t="str">
        <f>IFERROR(__xludf.DUMMYFUNCTION("""COMPUTED_VALUE"""),"Cypher,Sova,Omen,Yoru,Neon")</f>
        <v>Cypher,Sova,Omen,Yoru,Neon</v>
      </c>
      <c r="I18" s="189">
        <f>IFERROR(__xludf.DUMMYFUNCTION("""COMPUTED_VALUE"""),11.0)</f>
        <v>11</v>
      </c>
      <c r="J18" s="189">
        <f>IFERROR(__xludf.DUMMYFUNCTION("""COMPUTED_VALUE"""),13.0)</f>
        <v>13</v>
      </c>
      <c r="K18" s="189">
        <f>IFERROR(__xludf.DUMMYFUNCTION("""COMPUTED_VALUE"""),4.0)</f>
        <v>4</v>
      </c>
      <c r="L18" s="189">
        <f>IFERROR(__xludf.DUMMYFUNCTION("""COMPUTED_VALUE"""),8.0)</f>
        <v>8</v>
      </c>
      <c r="M18" s="189">
        <f>IFERROR(__xludf.DUMMYFUNCTION("""COMPUTED_VALUE"""),0.0)</f>
        <v>0</v>
      </c>
      <c r="N18" s="189">
        <f>IFERROR(__xludf.DUMMYFUNCTION("""COMPUTED_VALUE"""),1.0)</f>
        <v>1</v>
      </c>
      <c r="O18" s="189">
        <f>IFERROR(__xludf.DUMMYFUNCTION("""COMPUTED_VALUE"""),4.0)</f>
        <v>4</v>
      </c>
      <c r="P18" s="189">
        <f>IFERROR(__xludf.DUMMYFUNCTION("""COMPUTED_VALUE"""),8.0)</f>
        <v>8</v>
      </c>
      <c r="Q18" s="189">
        <f>IFERROR(__xludf.DUMMYFUNCTION("""COMPUTED_VALUE"""),7.0)</f>
        <v>7</v>
      </c>
      <c r="R18" s="189">
        <f>IFERROR(__xludf.DUMMYFUNCTION("""COMPUTED_VALUE"""),5.0)</f>
        <v>5</v>
      </c>
      <c r="S18" s="189">
        <f>IFERROR(__xludf.DUMMYFUNCTION("""COMPUTED_VALUE"""),0.0)</f>
        <v>0</v>
      </c>
      <c r="T18" s="189">
        <f>IFERROR(__xludf.DUMMYFUNCTION("""COMPUTED_VALUE"""),1.0)</f>
        <v>1</v>
      </c>
      <c r="U18" s="189">
        <f>IFERROR(__xludf.DUMMYFUNCTION("""COMPUTED_VALUE"""),5.0)</f>
        <v>5</v>
      </c>
      <c r="V18" s="189">
        <f>IFERROR(__xludf.DUMMYFUNCTION("""COMPUTED_VALUE"""),7.0)</f>
        <v>7</v>
      </c>
      <c r="W18" s="189">
        <f>IFERROR(__xludf.DUMMYFUNCTION("""COMPUTED_VALUE"""),8.0)</f>
        <v>8</v>
      </c>
      <c r="X18" s="189">
        <f>IFERROR(__xludf.DUMMYFUNCTION("""COMPUTED_VALUE"""),4.0)</f>
        <v>4</v>
      </c>
      <c r="Y18" s="208" t="str">
        <f>IFERROR(__xludf.DUMMYFUNCTION("""COMPUTED_VALUE"""),"2025-08-18T00:00:00.000Z")</f>
        <v>2025-08-18T00:00:00.000Z</v>
      </c>
      <c r="Z18" s="189" t="s">
        <v>166</v>
      </c>
      <c r="AA18" s="189" t="s">
        <v>384</v>
      </c>
    </row>
    <row r="19">
      <c r="A19" s="189">
        <f>IFERROR(__xludf.DUMMYFUNCTION("""COMPUTED_VALUE"""),213501.0)</f>
        <v>213501</v>
      </c>
      <c r="B19" s="189">
        <f>IFERROR(__xludf.DUMMYFUNCTION("""COMPUTED_VALUE"""),93955.0)</f>
        <v>93955</v>
      </c>
      <c r="C19" s="189" t="str">
        <f>IFERROR(__xludf.DUMMYFUNCTION("""COMPUTED_VALUE"""),"Challengers League 2025 MENA: Resilience - LAN Finals - Main Event")</f>
        <v>Challengers League 2025 MENA: Resilience - LAN Finals - Main Event</v>
      </c>
      <c r="D19" s="189" t="str">
        <f>IFERROR(__xludf.DUMMYFUNCTION("""COMPUTED_VALUE"""),"Icebox")</f>
        <v>Icebox</v>
      </c>
      <c r="E19" s="189" t="str">
        <f>IFERROR(__xludf.DUMMYFUNCTION("""COMPUTED_VALUE"""),"Team RA'AD")</f>
        <v>Team RA'AD</v>
      </c>
      <c r="F19" s="189" t="str">
        <f>IFERROR(__xludf.DUMMYFUNCTION("""COMPUTED_VALUE"""),"The Ultimates")</f>
        <v>The Ultimates</v>
      </c>
      <c r="G19" s="189" t="str">
        <f>IFERROR(__xludf.DUMMYFUNCTION("""COMPUTED_VALUE"""),"Sova,Killjoy,Viper,Sage,Gekko")</f>
        <v>Sova,Killjoy,Viper,Sage,Gekko</v>
      </c>
      <c r="H19" s="189" t="str">
        <f>IFERROR(__xludf.DUMMYFUNCTION("""COMPUTED_VALUE"""),"Reyna,Omen,KAY/O,Harbor,Gekko")</f>
        <v>Reyna,Omen,KAY/O,Harbor,Gekko</v>
      </c>
      <c r="I19" s="189">
        <f>IFERROR(__xludf.DUMMYFUNCTION("""COMPUTED_VALUE"""),13.0)</f>
        <v>13</v>
      </c>
      <c r="J19" s="189">
        <f>IFERROR(__xludf.DUMMYFUNCTION("""COMPUTED_VALUE"""),8.0)</f>
        <v>8</v>
      </c>
      <c r="K19" s="189">
        <f>IFERROR(__xludf.DUMMYFUNCTION("""COMPUTED_VALUE"""),6.0)</f>
        <v>6</v>
      </c>
      <c r="L19" s="189">
        <f>IFERROR(__xludf.DUMMYFUNCTION("""COMPUTED_VALUE"""),6.0)</f>
        <v>6</v>
      </c>
      <c r="M19" s="189">
        <f>IFERROR(__xludf.DUMMYFUNCTION("""COMPUTED_VALUE"""),0.0)</f>
        <v>0</v>
      </c>
      <c r="N19" s="189">
        <f>IFERROR(__xludf.DUMMYFUNCTION("""COMPUTED_VALUE"""),0.0)</f>
        <v>0</v>
      </c>
      <c r="O19" s="189">
        <f>IFERROR(__xludf.DUMMYFUNCTION("""COMPUTED_VALUE"""),7.0)</f>
        <v>7</v>
      </c>
      <c r="P19" s="189">
        <f>IFERROR(__xludf.DUMMYFUNCTION("""COMPUTED_VALUE"""),2.0)</f>
        <v>2</v>
      </c>
      <c r="Q19" s="189">
        <f>IFERROR(__xludf.DUMMYFUNCTION("""COMPUTED_VALUE"""),6.0)</f>
        <v>6</v>
      </c>
      <c r="R19" s="189">
        <f>IFERROR(__xludf.DUMMYFUNCTION("""COMPUTED_VALUE"""),6.0)</f>
        <v>6</v>
      </c>
      <c r="S19" s="189">
        <f>IFERROR(__xludf.DUMMYFUNCTION("""COMPUTED_VALUE"""),1.0)</f>
        <v>1</v>
      </c>
      <c r="T19" s="189">
        <f>IFERROR(__xludf.DUMMYFUNCTION("""COMPUTED_VALUE"""),1.0)</f>
        <v>1</v>
      </c>
      <c r="U19" s="189">
        <f>IFERROR(__xludf.DUMMYFUNCTION("""COMPUTED_VALUE"""),6.0)</f>
        <v>6</v>
      </c>
      <c r="V19" s="189">
        <f>IFERROR(__xludf.DUMMYFUNCTION("""COMPUTED_VALUE"""),6.0)</f>
        <v>6</v>
      </c>
      <c r="W19" s="189">
        <f>IFERROR(__xludf.DUMMYFUNCTION("""COMPUTED_VALUE"""),2.0)</f>
        <v>2</v>
      </c>
      <c r="X19" s="189">
        <f>IFERROR(__xludf.DUMMYFUNCTION("""COMPUTED_VALUE"""),7.0)</f>
        <v>7</v>
      </c>
      <c r="Y19" s="208" t="str">
        <f>IFERROR(__xludf.DUMMYFUNCTION("""COMPUTED_VALUE"""),"2025-08-18T00:00:00.000Z")</f>
        <v>2025-08-18T00:00:00.000Z</v>
      </c>
      <c r="Z19" s="189" t="s">
        <v>386</v>
      </c>
      <c r="AA19" s="189" t="s">
        <v>387</v>
      </c>
    </row>
    <row r="20">
      <c r="A20" s="189">
        <f>IFERROR(__xludf.DUMMYFUNCTION("""COMPUTED_VALUE"""),213497.0)</f>
        <v>213497</v>
      </c>
      <c r="B20" s="189">
        <f>IFERROR(__xludf.DUMMYFUNCTION("""COMPUTED_VALUE"""),93954.0)</f>
        <v>93954</v>
      </c>
      <c r="C20" s="189" t="str">
        <f>IFERROR(__xludf.DUMMYFUNCTION("""COMPUTED_VALUE"""),"Challengers League 2025 MENA: Resilience - LAN Finals - Main Event")</f>
        <v>Challengers League 2025 MENA: Resilience - LAN Finals - Main Event</v>
      </c>
      <c r="D20" s="189" t="str">
        <f>IFERROR(__xludf.DUMMYFUNCTION("""COMPUTED_VALUE"""),"Haven")</f>
        <v>Haven</v>
      </c>
      <c r="E20" s="189" t="str">
        <f>IFERROR(__xludf.DUMMYFUNCTION("""COMPUTED_VALUE"""),"Twisted Minds Esports")</f>
        <v>Twisted Minds Esports</v>
      </c>
      <c r="F20" s="189" t="str">
        <f>IFERROR(__xludf.DUMMYFUNCTION("""COMPUTED_VALUE"""),"GAMAX eSports")</f>
        <v>GAMAX eSports</v>
      </c>
      <c r="G20" s="189" t="str">
        <f>IFERROR(__xludf.DUMMYFUNCTION("""COMPUTED_VALUE"""),"Sova,Killjoy,Viper,Omen,Neon")</f>
        <v>Sova,Killjoy,Viper,Omen,Neon</v>
      </c>
      <c r="H20" s="189" t="str">
        <f>IFERROR(__xludf.DUMMYFUNCTION("""COMPUTED_VALUE"""),"Cypher,Sova,Omen,Yoru,Iso")</f>
        <v>Cypher,Sova,Omen,Yoru,Iso</v>
      </c>
      <c r="I20" s="189">
        <f>IFERROR(__xludf.DUMMYFUNCTION("""COMPUTED_VALUE"""),13.0)</f>
        <v>13</v>
      </c>
      <c r="J20" s="189">
        <f>IFERROR(__xludf.DUMMYFUNCTION("""COMPUTED_VALUE"""),5.0)</f>
        <v>5</v>
      </c>
      <c r="K20" s="189">
        <f>IFERROR(__xludf.DUMMYFUNCTION("""COMPUTED_VALUE"""),8.0)</f>
        <v>8</v>
      </c>
      <c r="L20" s="189">
        <f>IFERROR(__xludf.DUMMYFUNCTION("""COMPUTED_VALUE"""),4.0)</f>
        <v>4</v>
      </c>
      <c r="M20" s="189">
        <f>IFERROR(__xludf.DUMMYFUNCTION("""COMPUTED_VALUE"""),1.0)</f>
        <v>1</v>
      </c>
      <c r="N20" s="189">
        <f>IFERROR(__xludf.DUMMYFUNCTION("""COMPUTED_VALUE"""),1.0)</f>
        <v>1</v>
      </c>
      <c r="O20" s="189">
        <f>IFERROR(__xludf.DUMMYFUNCTION("""COMPUTED_VALUE"""),8.0)</f>
        <v>8</v>
      </c>
      <c r="P20" s="189">
        <f>IFERROR(__xludf.DUMMYFUNCTION("""COMPUTED_VALUE"""),4.0)</f>
        <v>4</v>
      </c>
      <c r="Q20" s="189">
        <f>IFERROR(__xludf.DUMMYFUNCTION("""COMPUTED_VALUE"""),5.0)</f>
        <v>5</v>
      </c>
      <c r="R20" s="189">
        <f>IFERROR(__xludf.DUMMYFUNCTION("""COMPUTED_VALUE"""),1.0)</f>
        <v>1</v>
      </c>
      <c r="S20" s="189">
        <f>IFERROR(__xludf.DUMMYFUNCTION("""COMPUTED_VALUE"""),0.0)</f>
        <v>0</v>
      </c>
      <c r="T20" s="189">
        <f>IFERROR(__xludf.DUMMYFUNCTION("""COMPUTED_VALUE"""),0.0)</f>
        <v>0</v>
      </c>
      <c r="U20" s="189">
        <f>IFERROR(__xludf.DUMMYFUNCTION("""COMPUTED_VALUE"""),1.0)</f>
        <v>1</v>
      </c>
      <c r="V20" s="189">
        <f>IFERROR(__xludf.DUMMYFUNCTION("""COMPUTED_VALUE"""),5.0)</f>
        <v>5</v>
      </c>
      <c r="W20" s="189">
        <f>IFERROR(__xludf.DUMMYFUNCTION("""COMPUTED_VALUE"""),4.0)</f>
        <v>4</v>
      </c>
      <c r="X20" s="189">
        <f>IFERROR(__xludf.DUMMYFUNCTION("""COMPUTED_VALUE"""),8.0)</f>
        <v>8</v>
      </c>
      <c r="Y20" s="208" t="str">
        <f>IFERROR(__xludf.DUMMYFUNCTION("""COMPUTED_VALUE"""),"2025-08-18T00:00:00.000Z")</f>
        <v>2025-08-18T00:00:00.000Z</v>
      </c>
      <c r="Z20" s="189" t="s">
        <v>162</v>
      </c>
      <c r="AA20" s="189" t="s">
        <v>184</v>
      </c>
    </row>
    <row r="21">
      <c r="A21" s="189">
        <f>IFERROR(__xludf.DUMMYFUNCTION("""COMPUTED_VALUE"""),213500.0)</f>
        <v>213500</v>
      </c>
      <c r="B21" s="189">
        <f>IFERROR(__xludf.DUMMYFUNCTION("""COMPUTED_VALUE"""),93955.0)</f>
        <v>93955</v>
      </c>
      <c r="C21" s="189" t="str">
        <f>IFERROR(__xludf.DUMMYFUNCTION("""COMPUTED_VALUE"""),"Challengers League 2025 MENA: Resilience - LAN Finals - Main Event")</f>
        <v>Challengers League 2025 MENA: Resilience - LAN Finals - Main Event</v>
      </c>
      <c r="D21" s="189" t="str">
        <f>IFERROR(__xludf.DUMMYFUNCTION("""COMPUTED_VALUE"""),"Lotus")</f>
        <v>Lotus</v>
      </c>
      <c r="E21" s="189" t="str">
        <f>IFERROR(__xludf.DUMMYFUNCTION("""COMPUTED_VALUE"""),"Team RA'AD")</f>
        <v>Team RA'AD</v>
      </c>
      <c r="F21" s="189" t="str">
        <f>IFERROR(__xludf.DUMMYFUNCTION("""COMPUTED_VALUE"""),"The Ultimates")</f>
        <v>The Ultimates</v>
      </c>
      <c r="G21" s="189" t="str">
        <f>IFERROR(__xludf.DUMMYFUNCTION("""COMPUTED_VALUE"""),"Raze,Omen,Yoru,Fade,Vyse")</f>
        <v>Raze,Omen,Yoru,Fade,Vyse</v>
      </c>
      <c r="H21" s="189" t="str">
        <f>IFERROR(__xludf.DUMMYFUNCTION("""COMPUTED_VALUE"""),"Breach,Viper,Omen,Neon,Fade")</f>
        <v>Breach,Viper,Omen,Neon,Fade</v>
      </c>
      <c r="I21" s="189">
        <f>IFERROR(__xludf.DUMMYFUNCTION("""COMPUTED_VALUE"""),13.0)</f>
        <v>13</v>
      </c>
      <c r="J21" s="189">
        <f>IFERROR(__xludf.DUMMYFUNCTION("""COMPUTED_VALUE"""),15.0)</f>
        <v>15</v>
      </c>
      <c r="K21" s="189">
        <f>IFERROR(__xludf.DUMMYFUNCTION("""COMPUTED_VALUE"""),6.0)</f>
        <v>6</v>
      </c>
      <c r="L21" s="189">
        <f>IFERROR(__xludf.DUMMYFUNCTION("""COMPUTED_VALUE"""),6.0)</f>
        <v>6</v>
      </c>
      <c r="M21" s="189">
        <f>IFERROR(__xludf.DUMMYFUNCTION("""COMPUTED_VALUE"""),0.0)</f>
        <v>0</v>
      </c>
      <c r="N21" s="189">
        <f>IFERROR(__xludf.DUMMYFUNCTION("""COMPUTED_VALUE"""),0.0)</f>
        <v>0</v>
      </c>
      <c r="O21" s="189">
        <f>IFERROR(__xludf.DUMMYFUNCTION("""COMPUTED_VALUE"""),7.0)</f>
        <v>7</v>
      </c>
      <c r="P21" s="189">
        <f>IFERROR(__xludf.DUMMYFUNCTION("""COMPUTED_VALUE"""),7.0)</f>
        <v>7</v>
      </c>
      <c r="Q21" s="189">
        <f>IFERROR(__xludf.DUMMYFUNCTION("""COMPUTED_VALUE"""),6.0)</f>
        <v>6</v>
      </c>
      <c r="R21" s="189">
        <f>IFERROR(__xludf.DUMMYFUNCTION("""COMPUTED_VALUE"""),8.0)</f>
        <v>8</v>
      </c>
      <c r="S21" s="189">
        <f>IFERROR(__xludf.DUMMYFUNCTION("""COMPUTED_VALUE"""),1.0)</f>
        <v>1</v>
      </c>
      <c r="T21" s="189">
        <f>IFERROR(__xludf.DUMMYFUNCTION("""COMPUTED_VALUE"""),1.0)</f>
        <v>1</v>
      </c>
      <c r="U21" s="189">
        <f>IFERROR(__xludf.DUMMYFUNCTION("""COMPUTED_VALUE"""),8.0)</f>
        <v>8</v>
      </c>
      <c r="V21" s="189">
        <f>IFERROR(__xludf.DUMMYFUNCTION("""COMPUTED_VALUE"""),6.0)</f>
        <v>6</v>
      </c>
      <c r="W21" s="189">
        <f>IFERROR(__xludf.DUMMYFUNCTION("""COMPUTED_VALUE"""),7.0)</f>
        <v>7</v>
      </c>
      <c r="X21" s="189">
        <f>IFERROR(__xludf.DUMMYFUNCTION("""COMPUTED_VALUE"""),7.0)</f>
        <v>7</v>
      </c>
      <c r="Y21" s="208" t="str">
        <f>IFERROR(__xludf.DUMMYFUNCTION("""COMPUTED_VALUE"""),"2025-08-18T00:00:00.000Z")</f>
        <v>2025-08-18T00:00:00.000Z</v>
      </c>
      <c r="Z21" s="189" t="s">
        <v>388</v>
      </c>
      <c r="AA21" s="189" t="s">
        <v>185</v>
      </c>
    </row>
    <row r="22">
      <c r="A22" s="189">
        <f>IFERROR(__xludf.DUMMYFUNCTION("""COMPUTED_VALUE"""),212063.0)</f>
        <v>212063</v>
      </c>
      <c r="B22" s="189">
        <f>IFERROR(__xludf.DUMMYFUNCTION("""COMPUTED_VALUE"""),93451.0)</f>
        <v>93451</v>
      </c>
      <c r="C22" s="189" t="str">
        <f>IFERROR(__xludf.DUMMYFUNCTION("""COMPUTED_VALUE"""),"Challengers League 2025 NORTH EAST: Split 3 - Playoffs")</f>
        <v>Challengers League 2025 NORTH EAST: Split 3 - Playoffs</v>
      </c>
      <c r="D22" s="189" t="str">
        <f>IFERROR(__xludf.DUMMYFUNCTION("""COMPUTED_VALUE"""),"Haven")</f>
        <v>Haven</v>
      </c>
      <c r="E22" s="189" t="str">
        <f>IFERROR(__xludf.DUMMYFUNCTION("""COMPUTED_VALUE"""),"Enterprise Esports")</f>
        <v>Enterprise Esports</v>
      </c>
      <c r="F22" s="189" t="str">
        <f>IFERROR(__xludf.DUMMYFUNCTION("""COMPUTED_VALUE"""),"Team Liquid Academy")</f>
        <v>Team Liquid Academy</v>
      </c>
      <c r="G22" s="189" t="str">
        <f>IFERROR(__xludf.DUMMYFUNCTION("""COMPUTED_VALUE"""),"Sova,Killjoy,Viper,Omen,Neon")</f>
        <v>Sova,Killjoy,Viper,Omen,Neon</v>
      </c>
      <c r="H22" s="189" t="str">
        <f>IFERROR(__xludf.DUMMYFUNCTION("""COMPUTED_VALUE"""),"Cypher,Sova,Omen,Yoru,Iso")</f>
        <v>Cypher,Sova,Omen,Yoru,Iso</v>
      </c>
      <c r="I22" s="189">
        <f>IFERROR(__xludf.DUMMYFUNCTION("""COMPUTED_VALUE"""),13.0)</f>
        <v>13</v>
      </c>
      <c r="J22" s="189">
        <f>IFERROR(__xludf.DUMMYFUNCTION("""COMPUTED_VALUE"""),2.0)</f>
        <v>2</v>
      </c>
      <c r="K22" s="189">
        <f>IFERROR(__xludf.DUMMYFUNCTION("""COMPUTED_VALUE"""),10.0)</f>
        <v>10</v>
      </c>
      <c r="L22" s="189">
        <f>IFERROR(__xludf.DUMMYFUNCTION("""COMPUTED_VALUE"""),2.0)</f>
        <v>2</v>
      </c>
      <c r="M22" s="189">
        <f>IFERROR(__xludf.DUMMYFUNCTION("""COMPUTED_VALUE"""),1.0)</f>
        <v>1</v>
      </c>
      <c r="N22" s="189">
        <f>IFERROR(__xludf.DUMMYFUNCTION("""COMPUTED_VALUE"""),1.0)</f>
        <v>1</v>
      </c>
      <c r="O22" s="189">
        <f>IFERROR(__xludf.DUMMYFUNCTION("""COMPUTED_VALUE"""),10.0)</f>
        <v>10</v>
      </c>
      <c r="P22" s="189">
        <f>IFERROR(__xludf.DUMMYFUNCTION("""COMPUTED_VALUE"""),2.0)</f>
        <v>2</v>
      </c>
      <c r="Q22" s="189">
        <f>IFERROR(__xludf.DUMMYFUNCTION("""COMPUTED_VALUE"""),3.0)</f>
        <v>3</v>
      </c>
      <c r="R22" s="189">
        <f>IFERROR(__xludf.DUMMYFUNCTION("""COMPUTED_VALUE"""),0.0)</f>
        <v>0</v>
      </c>
      <c r="S22" s="189">
        <f>IFERROR(__xludf.DUMMYFUNCTION("""COMPUTED_VALUE"""),0.0)</f>
        <v>0</v>
      </c>
      <c r="T22" s="189">
        <f>IFERROR(__xludf.DUMMYFUNCTION("""COMPUTED_VALUE"""),0.0)</f>
        <v>0</v>
      </c>
      <c r="U22" s="189">
        <f>IFERROR(__xludf.DUMMYFUNCTION("""COMPUTED_VALUE"""),0.0)</f>
        <v>0</v>
      </c>
      <c r="V22" s="189">
        <f>IFERROR(__xludf.DUMMYFUNCTION("""COMPUTED_VALUE"""),3.0)</f>
        <v>3</v>
      </c>
      <c r="W22" s="189">
        <f>IFERROR(__xludf.DUMMYFUNCTION("""COMPUTED_VALUE"""),2.0)</f>
        <v>2</v>
      </c>
      <c r="X22" s="189">
        <f>IFERROR(__xludf.DUMMYFUNCTION("""COMPUTED_VALUE"""),10.0)</f>
        <v>10</v>
      </c>
      <c r="Y22" s="208" t="str">
        <f>IFERROR(__xludf.DUMMYFUNCTION("""COMPUTED_VALUE"""),"2025-08-17T00:00:00.000Z")</f>
        <v>2025-08-17T00:00:00.000Z</v>
      </c>
      <c r="Z22" s="189" t="s">
        <v>110</v>
      </c>
      <c r="AA22" s="189" t="s">
        <v>179</v>
      </c>
    </row>
    <row r="23">
      <c r="A23" s="189">
        <f>IFERROR(__xludf.DUMMYFUNCTION("""COMPUTED_VALUE"""),212838.0)</f>
        <v>212838</v>
      </c>
      <c r="B23" s="189">
        <f>IFERROR(__xludf.DUMMYFUNCTION("""COMPUTED_VALUE"""),93720.0)</f>
        <v>93720</v>
      </c>
      <c r="C23" s="189" t="str">
        <f>IFERROR(__xludf.DUMMYFUNCTION("""COMPUTED_VALUE"""),"Challengers 2025: Türkiye Birlik Split 3 - Playoffs")</f>
        <v>Challengers 2025: Türkiye Birlik Split 3 - Playoffs</v>
      </c>
      <c r="D23" s="189" t="str">
        <f>IFERROR(__xludf.DUMMYFUNCTION("""COMPUTED_VALUE"""),"Lotus")</f>
        <v>Lotus</v>
      </c>
      <c r="E23" s="189" t="str">
        <f>IFERROR(__xludf.DUMMYFUNCTION("""COMPUTED_VALUE"""),"BBL PCIFIC")</f>
        <v>BBL PCIFIC</v>
      </c>
      <c r="F23" s="189" t="str">
        <f>IFERROR(__xludf.DUMMYFUNCTION("""COMPUTED_VALUE"""),"ULF Esports")</f>
        <v>ULF Esports</v>
      </c>
      <c r="G23" s="189" t="str">
        <f>IFERROR(__xludf.DUMMYFUNCTION("""COMPUTED_VALUE"""),"Raze,Omen,Yoru,Fade,Vyse")</f>
        <v>Raze,Omen,Yoru,Fade,Vyse</v>
      </c>
      <c r="H23" s="189" t="str">
        <f>IFERROR(__xludf.DUMMYFUNCTION("""COMPUTED_VALUE"""),"Raze,Omen,Yoru,Fade,Vyse")</f>
        <v>Raze,Omen,Yoru,Fade,Vyse</v>
      </c>
      <c r="I23" s="189">
        <f>IFERROR(__xludf.DUMMYFUNCTION("""COMPUTED_VALUE"""),13.0)</f>
        <v>13</v>
      </c>
      <c r="J23" s="189">
        <f>IFERROR(__xludf.DUMMYFUNCTION("""COMPUTED_VALUE"""),5.0)</f>
        <v>5</v>
      </c>
      <c r="K23" s="189">
        <f>IFERROR(__xludf.DUMMYFUNCTION("""COMPUTED_VALUE"""),8.0)</f>
        <v>8</v>
      </c>
      <c r="L23" s="189">
        <f>IFERROR(__xludf.DUMMYFUNCTION("""COMPUTED_VALUE"""),4.0)</f>
        <v>4</v>
      </c>
      <c r="M23" s="189">
        <f>IFERROR(__xludf.DUMMYFUNCTION("""COMPUTED_VALUE"""),0.0)</f>
        <v>0</v>
      </c>
      <c r="N23" s="189">
        <f>IFERROR(__xludf.DUMMYFUNCTION("""COMPUTED_VALUE"""),1.0)</f>
        <v>1</v>
      </c>
      <c r="O23" s="189">
        <f>IFERROR(__xludf.DUMMYFUNCTION("""COMPUTED_VALUE"""),5.0)</f>
        <v>5</v>
      </c>
      <c r="P23" s="189">
        <f>IFERROR(__xludf.DUMMYFUNCTION("""COMPUTED_VALUE"""),1.0)</f>
        <v>1</v>
      </c>
      <c r="Q23" s="189">
        <f>IFERROR(__xludf.DUMMYFUNCTION("""COMPUTED_VALUE"""),8.0)</f>
        <v>8</v>
      </c>
      <c r="R23" s="189">
        <f>IFERROR(__xludf.DUMMYFUNCTION("""COMPUTED_VALUE"""),4.0)</f>
        <v>4</v>
      </c>
      <c r="S23" s="189">
        <f>IFERROR(__xludf.DUMMYFUNCTION("""COMPUTED_VALUE"""),0.0)</f>
        <v>0</v>
      </c>
      <c r="T23" s="189">
        <f>IFERROR(__xludf.DUMMYFUNCTION("""COMPUTED_VALUE"""),1.0)</f>
        <v>1</v>
      </c>
      <c r="U23" s="189">
        <f>IFERROR(__xludf.DUMMYFUNCTION("""COMPUTED_VALUE"""),4.0)</f>
        <v>4</v>
      </c>
      <c r="V23" s="189">
        <f>IFERROR(__xludf.DUMMYFUNCTION("""COMPUTED_VALUE"""),8.0)</f>
        <v>8</v>
      </c>
      <c r="W23" s="189">
        <f>IFERROR(__xludf.DUMMYFUNCTION("""COMPUTED_VALUE"""),1.0)</f>
        <v>1</v>
      </c>
      <c r="X23" s="189">
        <f>IFERROR(__xludf.DUMMYFUNCTION("""COMPUTED_VALUE"""),5.0)</f>
        <v>5</v>
      </c>
      <c r="Y23" s="208" t="str">
        <f>IFERROR(__xludf.DUMMYFUNCTION("""COMPUTED_VALUE"""),"2025-08-17T00:00:00.000Z")</f>
        <v>2025-08-17T00:00:00.000Z</v>
      </c>
      <c r="Z23" s="189" t="s">
        <v>72</v>
      </c>
      <c r="AA23" s="189" t="s">
        <v>186</v>
      </c>
    </row>
    <row r="24">
      <c r="A24" s="189">
        <f>IFERROR(__xludf.DUMMYFUNCTION("""COMPUTED_VALUE"""),212062.0)</f>
        <v>212062</v>
      </c>
      <c r="B24" s="189">
        <f>IFERROR(__xludf.DUMMYFUNCTION("""COMPUTED_VALUE"""),93451.0)</f>
        <v>93451</v>
      </c>
      <c r="C24" s="189" t="str">
        <f>IFERROR(__xludf.DUMMYFUNCTION("""COMPUTED_VALUE"""),"Challengers League 2025 NORTH EAST: Split 3 - Playoffs")</f>
        <v>Challengers League 2025 NORTH EAST: Split 3 - Playoffs</v>
      </c>
      <c r="D24" s="189" t="str">
        <f>IFERROR(__xludf.DUMMYFUNCTION("""COMPUTED_VALUE"""),"Corrode")</f>
        <v>Corrode</v>
      </c>
      <c r="E24" s="189" t="str">
        <f>IFERROR(__xludf.DUMMYFUNCTION("""COMPUTED_VALUE"""),"Enterprise Esports")</f>
        <v>Enterprise Esports</v>
      </c>
      <c r="F24" s="189" t="str">
        <f>IFERROR(__xludf.DUMMYFUNCTION("""COMPUTED_VALUE"""),"Team Liquid Academy")</f>
        <v>Team Liquid Academy</v>
      </c>
      <c r="G24" s="189" t="str">
        <f>IFERROR(__xludf.DUMMYFUNCTION("""COMPUTED_VALUE"""),"Sova,Viper,Omen,Yoru,Fade")</f>
        <v>Sova,Viper,Omen,Yoru,Fade</v>
      </c>
      <c r="H24" s="189" t="str">
        <f>IFERROR(__xludf.DUMMYFUNCTION("""COMPUTED_VALUE"""),"Cypher,Phoenix,Omen,Yoru,Fade")</f>
        <v>Cypher,Phoenix,Omen,Yoru,Fade</v>
      </c>
      <c r="I24" s="189">
        <f>IFERROR(__xludf.DUMMYFUNCTION("""COMPUTED_VALUE"""),13.0)</f>
        <v>13</v>
      </c>
      <c r="J24" s="189">
        <f>IFERROR(__xludf.DUMMYFUNCTION("""COMPUTED_VALUE"""),6.0)</f>
        <v>6</v>
      </c>
      <c r="K24" s="189">
        <f>IFERROR(__xludf.DUMMYFUNCTION("""COMPUTED_VALUE"""),9.0)</f>
        <v>9</v>
      </c>
      <c r="L24" s="189">
        <f>IFERROR(__xludf.DUMMYFUNCTION("""COMPUTED_VALUE"""),3.0)</f>
        <v>3</v>
      </c>
      <c r="M24" s="189">
        <f>IFERROR(__xludf.DUMMYFUNCTION("""COMPUTED_VALUE"""),1.0)</f>
        <v>1</v>
      </c>
      <c r="N24" s="189">
        <f>IFERROR(__xludf.DUMMYFUNCTION("""COMPUTED_VALUE"""),1.0)</f>
        <v>1</v>
      </c>
      <c r="O24" s="189">
        <f>IFERROR(__xludf.DUMMYFUNCTION("""COMPUTED_VALUE"""),4.0)</f>
        <v>4</v>
      </c>
      <c r="P24" s="189">
        <f>IFERROR(__xludf.DUMMYFUNCTION("""COMPUTED_VALUE"""),3.0)</f>
        <v>3</v>
      </c>
      <c r="Q24" s="189">
        <f>IFERROR(__xludf.DUMMYFUNCTION("""COMPUTED_VALUE"""),9.0)</f>
        <v>9</v>
      </c>
      <c r="R24" s="189">
        <f>IFERROR(__xludf.DUMMYFUNCTION("""COMPUTED_VALUE"""),3.0)</f>
        <v>3</v>
      </c>
      <c r="S24" s="189">
        <f>IFERROR(__xludf.DUMMYFUNCTION("""COMPUTED_VALUE"""),0.0)</f>
        <v>0</v>
      </c>
      <c r="T24" s="189">
        <f>IFERROR(__xludf.DUMMYFUNCTION("""COMPUTED_VALUE"""),0.0)</f>
        <v>0</v>
      </c>
      <c r="U24" s="189">
        <f>IFERROR(__xludf.DUMMYFUNCTION("""COMPUTED_VALUE"""),3.0)</f>
        <v>3</v>
      </c>
      <c r="V24" s="189">
        <f>IFERROR(__xludf.DUMMYFUNCTION("""COMPUTED_VALUE"""),9.0)</f>
        <v>9</v>
      </c>
      <c r="W24" s="189">
        <f>IFERROR(__xludf.DUMMYFUNCTION("""COMPUTED_VALUE"""),3.0)</f>
        <v>3</v>
      </c>
      <c r="X24" s="189">
        <f>IFERROR(__xludf.DUMMYFUNCTION("""COMPUTED_VALUE"""),4.0)</f>
        <v>4</v>
      </c>
      <c r="Y24" s="208" t="str">
        <f>IFERROR(__xludf.DUMMYFUNCTION("""COMPUTED_VALUE"""),"2025-08-17T00:00:00.000Z")</f>
        <v>2025-08-17T00:00:00.000Z</v>
      </c>
      <c r="Z24" s="189" t="s">
        <v>109</v>
      </c>
      <c r="AA24" s="189" t="s">
        <v>179</v>
      </c>
    </row>
    <row r="25">
      <c r="A25" s="189">
        <f>IFERROR(__xludf.DUMMYFUNCTION("""COMPUTED_VALUE"""),212837.0)</f>
        <v>212837</v>
      </c>
      <c r="B25" s="189">
        <f>IFERROR(__xludf.DUMMYFUNCTION("""COMPUTED_VALUE"""),93720.0)</f>
        <v>93720</v>
      </c>
      <c r="C25" s="189" t="str">
        <f>IFERROR(__xludf.DUMMYFUNCTION("""COMPUTED_VALUE"""),"Challengers 2025: Türkiye Birlik Split 3 - Playoffs")</f>
        <v>Challengers 2025: Türkiye Birlik Split 3 - Playoffs</v>
      </c>
      <c r="D25" s="189" t="str">
        <f>IFERROR(__xludf.DUMMYFUNCTION("""COMPUTED_VALUE"""),"Sunset")</f>
        <v>Sunset</v>
      </c>
      <c r="E25" s="189" t="str">
        <f>IFERROR(__xludf.DUMMYFUNCTION("""COMPUTED_VALUE"""),"BBL PCIFIC")</f>
        <v>BBL PCIFIC</v>
      </c>
      <c r="F25" s="189" t="str">
        <f>IFERROR(__xludf.DUMMYFUNCTION("""COMPUTED_VALUE"""),"ULF Esports")</f>
        <v>ULF Esports</v>
      </c>
      <c r="G25" s="189" t="str">
        <f>IFERROR(__xludf.DUMMYFUNCTION("""COMPUTED_VALUE"""),"Cypher,Sova,Omen,Yoru,Neon")</f>
        <v>Cypher,Sova,Omen,Yoru,Neon</v>
      </c>
      <c r="H25" s="189" t="str">
        <f>IFERROR(__xludf.DUMMYFUNCTION("""COMPUTED_VALUE"""),"Breach,Sova,Omen,Neon,Vyse")</f>
        <v>Breach,Sova,Omen,Neon,Vyse</v>
      </c>
      <c r="I25" s="189">
        <f>IFERROR(__xludf.DUMMYFUNCTION("""COMPUTED_VALUE"""),13.0)</f>
        <v>13</v>
      </c>
      <c r="J25" s="189">
        <f>IFERROR(__xludf.DUMMYFUNCTION("""COMPUTED_VALUE"""),8.0)</f>
        <v>8</v>
      </c>
      <c r="K25" s="189">
        <f>IFERROR(__xludf.DUMMYFUNCTION("""COMPUTED_VALUE"""),6.0)</f>
        <v>6</v>
      </c>
      <c r="L25" s="189">
        <f>IFERROR(__xludf.DUMMYFUNCTION("""COMPUTED_VALUE"""),6.0)</f>
        <v>6</v>
      </c>
      <c r="M25" s="189">
        <f>IFERROR(__xludf.DUMMYFUNCTION("""COMPUTED_VALUE"""),1.0)</f>
        <v>1</v>
      </c>
      <c r="N25" s="189">
        <f>IFERROR(__xludf.DUMMYFUNCTION("""COMPUTED_VALUE"""),0.0)</f>
        <v>0</v>
      </c>
      <c r="O25" s="189">
        <f>IFERROR(__xludf.DUMMYFUNCTION("""COMPUTED_VALUE"""),6.0)</f>
        <v>6</v>
      </c>
      <c r="P25" s="189">
        <f>IFERROR(__xludf.DUMMYFUNCTION("""COMPUTED_VALUE"""),6.0)</f>
        <v>6</v>
      </c>
      <c r="Q25" s="189">
        <f>IFERROR(__xludf.DUMMYFUNCTION("""COMPUTED_VALUE"""),7.0)</f>
        <v>7</v>
      </c>
      <c r="R25" s="189">
        <f>IFERROR(__xludf.DUMMYFUNCTION("""COMPUTED_VALUE"""),2.0)</f>
        <v>2</v>
      </c>
      <c r="S25" s="189">
        <f>IFERROR(__xludf.DUMMYFUNCTION("""COMPUTED_VALUE"""),1.0)</f>
        <v>1</v>
      </c>
      <c r="T25" s="189">
        <f>IFERROR(__xludf.DUMMYFUNCTION("""COMPUTED_VALUE"""),0.0)</f>
        <v>0</v>
      </c>
      <c r="U25" s="189">
        <f>IFERROR(__xludf.DUMMYFUNCTION("""COMPUTED_VALUE"""),2.0)</f>
        <v>2</v>
      </c>
      <c r="V25" s="189">
        <f>IFERROR(__xludf.DUMMYFUNCTION("""COMPUTED_VALUE"""),7.0)</f>
        <v>7</v>
      </c>
      <c r="W25" s="189">
        <f>IFERROR(__xludf.DUMMYFUNCTION("""COMPUTED_VALUE"""),6.0)</f>
        <v>6</v>
      </c>
      <c r="X25" s="189">
        <f>IFERROR(__xludf.DUMMYFUNCTION("""COMPUTED_VALUE"""),6.0)</f>
        <v>6</v>
      </c>
      <c r="Y25" s="208" t="str">
        <f>IFERROR(__xludf.DUMMYFUNCTION("""COMPUTED_VALUE"""),"2025-08-17T00:00:00.000Z")</f>
        <v>2025-08-17T00:00:00.000Z</v>
      </c>
      <c r="Z25" s="189" t="s">
        <v>75</v>
      </c>
      <c r="AA25" s="189" t="s">
        <v>186</v>
      </c>
    </row>
    <row r="26">
      <c r="A26" s="189">
        <f>IFERROR(__xludf.DUMMYFUNCTION("""COMPUTED_VALUE"""),212061.0)</f>
        <v>212061</v>
      </c>
      <c r="B26" s="189">
        <f>IFERROR(__xludf.DUMMYFUNCTION("""COMPUTED_VALUE"""),93451.0)</f>
        <v>93451</v>
      </c>
      <c r="C26" s="189" t="str">
        <f>IFERROR(__xludf.DUMMYFUNCTION("""COMPUTED_VALUE"""),"Challengers League 2025 NORTH EAST: Split 3 - Playoffs")</f>
        <v>Challengers League 2025 NORTH EAST: Split 3 - Playoffs</v>
      </c>
      <c r="D26" s="189" t="str">
        <f>IFERROR(__xludf.DUMMYFUNCTION("""COMPUTED_VALUE"""),"Ascent")</f>
        <v>Ascent</v>
      </c>
      <c r="E26" s="189" t="str">
        <f>IFERROR(__xludf.DUMMYFUNCTION("""COMPUTED_VALUE"""),"Enterprise Esports")</f>
        <v>Enterprise Esports</v>
      </c>
      <c r="F26" s="189" t="str">
        <f>IFERROR(__xludf.DUMMYFUNCTION("""COMPUTED_VALUE"""),"Team Liquid Academy")</f>
        <v>Team Liquid Academy</v>
      </c>
      <c r="G26" s="189" t="str">
        <f>IFERROR(__xludf.DUMMYFUNCTION("""COMPUTED_VALUE"""),"Cypher,Sova,Omen,Jett,KAY/O")</f>
        <v>Cypher,Sova,Omen,Jett,KAY/O</v>
      </c>
      <c r="H26" s="189" t="str">
        <f>IFERROR(__xludf.DUMMYFUNCTION("""COMPUTED_VALUE"""),"Sova,Omen,Yoru,Vyse,Waylay")</f>
        <v>Sova,Omen,Yoru,Vyse,Waylay</v>
      </c>
      <c r="I26" s="189">
        <f>IFERROR(__xludf.DUMMYFUNCTION("""COMPUTED_VALUE"""),13.0)</f>
        <v>13</v>
      </c>
      <c r="J26" s="189">
        <f>IFERROR(__xludf.DUMMYFUNCTION("""COMPUTED_VALUE"""),5.0)</f>
        <v>5</v>
      </c>
      <c r="K26" s="189">
        <f>IFERROR(__xludf.DUMMYFUNCTION("""COMPUTED_VALUE"""),8.0)</f>
        <v>8</v>
      </c>
      <c r="L26" s="189">
        <f>IFERROR(__xludf.DUMMYFUNCTION("""COMPUTED_VALUE"""),4.0)</f>
        <v>4</v>
      </c>
      <c r="M26" s="189">
        <f>IFERROR(__xludf.DUMMYFUNCTION("""COMPUTED_VALUE"""),0.0)</f>
        <v>0</v>
      </c>
      <c r="N26" s="189">
        <f>IFERROR(__xludf.DUMMYFUNCTION("""COMPUTED_VALUE"""),1.0)</f>
        <v>1</v>
      </c>
      <c r="O26" s="189">
        <f>IFERROR(__xludf.DUMMYFUNCTION("""COMPUTED_VALUE"""),8.0)</f>
        <v>8</v>
      </c>
      <c r="P26" s="189">
        <f>IFERROR(__xludf.DUMMYFUNCTION("""COMPUTED_VALUE"""),4.0)</f>
        <v>4</v>
      </c>
      <c r="Q26" s="189">
        <f>IFERROR(__xludf.DUMMYFUNCTION("""COMPUTED_VALUE"""),5.0)</f>
        <v>5</v>
      </c>
      <c r="R26" s="189">
        <f>IFERROR(__xludf.DUMMYFUNCTION("""COMPUTED_VALUE"""),1.0)</f>
        <v>1</v>
      </c>
      <c r="S26" s="189">
        <f>IFERROR(__xludf.DUMMYFUNCTION("""COMPUTED_VALUE"""),0.0)</f>
        <v>0</v>
      </c>
      <c r="T26" s="189">
        <f>IFERROR(__xludf.DUMMYFUNCTION("""COMPUTED_VALUE"""),1.0)</f>
        <v>1</v>
      </c>
      <c r="U26" s="189">
        <f>IFERROR(__xludf.DUMMYFUNCTION("""COMPUTED_VALUE"""),1.0)</f>
        <v>1</v>
      </c>
      <c r="V26" s="189">
        <f>IFERROR(__xludf.DUMMYFUNCTION("""COMPUTED_VALUE"""),5.0)</f>
        <v>5</v>
      </c>
      <c r="W26" s="189">
        <f>IFERROR(__xludf.DUMMYFUNCTION("""COMPUTED_VALUE"""),4.0)</f>
        <v>4</v>
      </c>
      <c r="X26" s="189">
        <f>IFERROR(__xludf.DUMMYFUNCTION("""COMPUTED_VALUE"""),8.0)</f>
        <v>8</v>
      </c>
      <c r="Y26" s="208" t="str">
        <f>IFERROR(__xludf.DUMMYFUNCTION("""COMPUTED_VALUE"""),"2025-08-17T00:00:00.000Z")</f>
        <v>2025-08-17T00:00:00.000Z</v>
      </c>
      <c r="Z26" s="189" t="s">
        <v>107</v>
      </c>
      <c r="AA26" s="189" t="s">
        <v>179</v>
      </c>
    </row>
    <row r="27">
      <c r="A27" s="189">
        <f>IFERROR(__xludf.DUMMYFUNCTION("""COMPUTED_VALUE"""),212836.0)</f>
        <v>212836</v>
      </c>
      <c r="B27" s="189">
        <f>IFERROR(__xludf.DUMMYFUNCTION("""COMPUTED_VALUE"""),93720.0)</f>
        <v>93720</v>
      </c>
      <c r="C27" s="189" t="str">
        <f>IFERROR(__xludf.DUMMYFUNCTION("""COMPUTED_VALUE"""),"Challengers 2025: Türkiye Birlik Split 3 - Playoffs")</f>
        <v>Challengers 2025: Türkiye Birlik Split 3 - Playoffs</v>
      </c>
      <c r="D27" s="189" t="str">
        <f>IFERROR(__xludf.DUMMYFUNCTION("""COMPUTED_VALUE"""),"Haven")</f>
        <v>Haven</v>
      </c>
      <c r="E27" s="189" t="str">
        <f>IFERROR(__xludf.DUMMYFUNCTION("""COMPUTED_VALUE"""),"BBL PCIFIC")</f>
        <v>BBL PCIFIC</v>
      </c>
      <c r="F27" s="189" t="str">
        <f>IFERROR(__xludf.DUMMYFUNCTION("""COMPUTED_VALUE"""),"ULF Esports")</f>
        <v>ULF Esports</v>
      </c>
      <c r="G27" s="189" t="str">
        <f>IFERROR(__xludf.DUMMYFUNCTION("""COMPUTED_VALUE"""),"Breach,Cypher,Sova,Omen,Jett")</f>
        <v>Breach,Cypher,Sova,Omen,Jett</v>
      </c>
      <c r="H27" s="189" t="str">
        <f>IFERROR(__xludf.DUMMYFUNCTION("""COMPUTED_VALUE"""),"Breach,Cypher,Sova,Omen,Neon")</f>
        <v>Breach,Cypher,Sova,Omen,Neon</v>
      </c>
      <c r="I27" s="189">
        <f>IFERROR(__xludf.DUMMYFUNCTION("""COMPUTED_VALUE"""),13.0)</f>
        <v>13</v>
      </c>
      <c r="J27" s="189">
        <f>IFERROR(__xludf.DUMMYFUNCTION("""COMPUTED_VALUE"""),8.0)</f>
        <v>8</v>
      </c>
      <c r="K27" s="189">
        <f>IFERROR(__xludf.DUMMYFUNCTION("""COMPUTED_VALUE"""),10.0)</f>
        <v>10</v>
      </c>
      <c r="L27" s="189">
        <f>IFERROR(__xludf.DUMMYFUNCTION("""COMPUTED_VALUE"""),2.0)</f>
        <v>2</v>
      </c>
      <c r="M27" s="189">
        <f>IFERROR(__xludf.DUMMYFUNCTION("""COMPUTED_VALUE"""),1.0)</f>
        <v>1</v>
      </c>
      <c r="N27" s="189">
        <f>IFERROR(__xludf.DUMMYFUNCTION("""COMPUTED_VALUE"""),0.0)</f>
        <v>0</v>
      </c>
      <c r="O27" s="189">
        <f>IFERROR(__xludf.DUMMYFUNCTION("""COMPUTED_VALUE"""),10.0)</f>
        <v>10</v>
      </c>
      <c r="P27" s="189">
        <f>IFERROR(__xludf.DUMMYFUNCTION("""COMPUTED_VALUE"""),2.0)</f>
        <v>2</v>
      </c>
      <c r="Q27" s="189">
        <f>IFERROR(__xludf.DUMMYFUNCTION("""COMPUTED_VALUE"""),3.0)</f>
        <v>3</v>
      </c>
      <c r="R27" s="189">
        <f>IFERROR(__xludf.DUMMYFUNCTION("""COMPUTED_VALUE"""),6.0)</f>
        <v>6</v>
      </c>
      <c r="S27" s="189">
        <f>IFERROR(__xludf.DUMMYFUNCTION("""COMPUTED_VALUE"""),1.0)</f>
        <v>1</v>
      </c>
      <c r="T27" s="189">
        <f>IFERROR(__xludf.DUMMYFUNCTION("""COMPUTED_VALUE"""),0.0)</f>
        <v>0</v>
      </c>
      <c r="U27" s="189">
        <f>IFERROR(__xludf.DUMMYFUNCTION("""COMPUTED_VALUE"""),6.0)</f>
        <v>6</v>
      </c>
      <c r="V27" s="189">
        <f>IFERROR(__xludf.DUMMYFUNCTION("""COMPUTED_VALUE"""),3.0)</f>
        <v>3</v>
      </c>
      <c r="W27" s="189">
        <f>IFERROR(__xludf.DUMMYFUNCTION("""COMPUTED_VALUE"""),2.0)</f>
        <v>2</v>
      </c>
      <c r="X27" s="189">
        <f>IFERROR(__xludf.DUMMYFUNCTION("""COMPUTED_VALUE"""),10.0)</f>
        <v>10</v>
      </c>
      <c r="Y27" s="208" t="str">
        <f>IFERROR(__xludf.DUMMYFUNCTION("""COMPUTED_VALUE"""),"2025-08-17T00:00:00.000Z")</f>
        <v>2025-08-17T00:00:00.000Z</v>
      </c>
      <c r="Z27" s="189" t="s">
        <v>70</v>
      </c>
      <c r="AA27" s="189" t="s">
        <v>186</v>
      </c>
    </row>
    <row r="28">
      <c r="A28" s="189">
        <f>IFERROR(__xludf.DUMMYFUNCTION("""COMPUTED_VALUE"""),212070.0)</f>
        <v>212070</v>
      </c>
      <c r="B28" s="189">
        <f>IFERROR(__xludf.DUMMYFUNCTION("""COMPUTED_VALUE"""),93452.0)</f>
        <v>93452</v>
      </c>
      <c r="C28" s="189" t="str">
        <f>IFERROR(__xludf.DUMMYFUNCTION("""COMPUTED_VALUE"""),"Challengers League 2025 NORTH EAST: Split 3 - Playoffs")</f>
        <v>Challengers League 2025 NORTH EAST: Split 3 - Playoffs</v>
      </c>
      <c r="D28" s="189" t="str">
        <f>IFERROR(__xludf.DUMMYFUNCTION("""COMPUTED_VALUE"""),"Bind")</f>
        <v>Bind</v>
      </c>
      <c r="E28" s="189" t="str">
        <f>IFERROR(__xludf.DUMMYFUNCTION("""COMPUTED_VALUE"""),"děti ulice")</f>
        <v>děti ulice</v>
      </c>
      <c r="F28" s="189" t="str">
        <f>IFERROR(__xludf.DUMMYFUNCTION("""COMPUTED_VALUE"""),"Team Liquid Academy")</f>
        <v>Team Liquid Academy</v>
      </c>
      <c r="G28" s="189" t="str">
        <f>IFERROR(__xludf.DUMMYFUNCTION("""COMPUTED_VALUE"""),"Raze,Viper,Brimstone,Yoru,Fade")</f>
        <v>Raze,Viper,Brimstone,Yoru,Fade</v>
      </c>
      <c r="H28" s="189" t="str">
        <f>IFERROR(__xludf.DUMMYFUNCTION("""COMPUTED_VALUE"""),"Yoru,Astra,Gekko,Deadlock,Waylay")</f>
        <v>Yoru,Astra,Gekko,Deadlock,Waylay</v>
      </c>
      <c r="I28" s="189">
        <f>IFERROR(__xludf.DUMMYFUNCTION("""COMPUTED_VALUE"""),8.0)</f>
        <v>8</v>
      </c>
      <c r="J28" s="189">
        <f>IFERROR(__xludf.DUMMYFUNCTION("""COMPUTED_VALUE"""),13.0)</f>
        <v>13</v>
      </c>
      <c r="K28" s="189">
        <f>IFERROR(__xludf.DUMMYFUNCTION("""COMPUTED_VALUE"""),7.0)</f>
        <v>7</v>
      </c>
      <c r="L28" s="189">
        <f>IFERROR(__xludf.DUMMYFUNCTION("""COMPUTED_VALUE"""),5.0)</f>
        <v>5</v>
      </c>
      <c r="M28" s="189">
        <f>IFERROR(__xludf.DUMMYFUNCTION("""COMPUTED_VALUE"""),1.0)</f>
        <v>1</v>
      </c>
      <c r="N28" s="189">
        <f>IFERROR(__xludf.DUMMYFUNCTION("""COMPUTED_VALUE"""),0.0)</f>
        <v>0</v>
      </c>
      <c r="O28" s="189">
        <f>IFERROR(__xludf.DUMMYFUNCTION("""COMPUTED_VALUE"""),7.0)</f>
        <v>7</v>
      </c>
      <c r="P28" s="189">
        <f>IFERROR(__xludf.DUMMYFUNCTION("""COMPUTED_VALUE"""),5.0)</f>
        <v>5</v>
      </c>
      <c r="Q28" s="189">
        <f>IFERROR(__xludf.DUMMYFUNCTION("""COMPUTED_VALUE"""),1.0)</f>
        <v>1</v>
      </c>
      <c r="R28" s="189">
        <f>IFERROR(__xludf.DUMMYFUNCTION("""COMPUTED_VALUE"""),8.0)</f>
        <v>8</v>
      </c>
      <c r="S28" s="189">
        <f>IFERROR(__xludf.DUMMYFUNCTION("""COMPUTED_VALUE"""),1.0)</f>
        <v>1</v>
      </c>
      <c r="T28" s="189">
        <f>IFERROR(__xludf.DUMMYFUNCTION("""COMPUTED_VALUE"""),0.0)</f>
        <v>0</v>
      </c>
      <c r="U28" s="189">
        <f>IFERROR(__xludf.DUMMYFUNCTION("""COMPUTED_VALUE"""),8.0)</f>
        <v>8</v>
      </c>
      <c r="V28" s="189">
        <f>IFERROR(__xludf.DUMMYFUNCTION("""COMPUTED_VALUE"""),1.0)</f>
        <v>1</v>
      </c>
      <c r="W28" s="189">
        <f>IFERROR(__xludf.DUMMYFUNCTION("""COMPUTED_VALUE"""),5.0)</f>
        <v>5</v>
      </c>
      <c r="X28" s="189">
        <f>IFERROR(__xludf.DUMMYFUNCTION("""COMPUTED_VALUE"""),7.0)</f>
        <v>7</v>
      </c>
      <c r="Y28" s="208" t="str">
        <f>IFERROR(__xludf.DUMMYFUNCTION("""COMPUTED_VALUE"""),"2025-08-16T00:00:00.000Z")</f>
        <v>2025-08-16T00:00:00.000Z</v>
      </c>
      <c r="Z28" s="189" t="s">
        <v>86</v>
      </c>
      <c r="AA28" s="189" t="s">
        <v>1</v>
      </c>
    </row>
    <row r="29">
      <c r="A29" s="189">
        <f>IFERROR(__xludf.DUMMYFUNCTION("""COMPUTED_VALUE"""),212069.0)</f>
        <v>212069</v>
      </c>
      <c r="B29" s="189">
        <f>IFERROR(__xludf.DUMMYFUNCTION("""COMPUTED_VALUE"""),93452.0)</f>
        <v>93452</v>
      </c>
      <c r="C29" s="189" t="str">
        <f>IFERROR(__xludf.DUMMYFUNCTION("""COMPUTED_VALUE"""),"Challengers League 2025 NORTH EAST: Split 3 - Playoffs")</f>
        <v>Challengers League 2025 NORTH EAST: Split 3 - Playoffs</v>
      </c>
      <c r="D29" s="189" t="str">
        <f>IFERROR(__xludf.DUMMYFUNCTION("""COMPUTED_VALUE"""),"Sunset")</f>
        <v>Sunset</v>
      </c>
      <c r="E29" s="189" t="str">
        <f>IFERROR(__xludf.DUMMYFUNCTION("""COMPUTED_VALUE"""),"děti ulice")</f>
        <v>děti ulice</v>
      </c>
      <c r="F29" s="189" t="str">
        <f>IFERROR(__xludf.DUMMYFUNCTION("""COMPUTED_VALUE"""),"Team Liquid Academy")</f>
        <v>Team Liquid Academy</v>
      </c>
      <c r="G29" s="189" t="str">
        <f>IFERROR(__xludf.DUMMYFUNCTION("""COMPUTED_VALUE"""),"Cypher,Sova,Omen,Yoru,Neon")</f>
        <v>Cypher,Sova,Omen,Yoru,Neon</v>
      </c>
      <c r="H29" s="189" t="str">
        <f>IFERROR(__xludf.DUMMYFUNCTION("""COMPUTED_VALUE"""),"Sova,Omen,Yoru,Vyse,Waylay")</f>
        <v>Sova,Omen,Yoru,Vyse,Waylay</v>
      </c>
      <c r="I29" s="189">
        <f>IFERROR(__xludf.DUMMYFUNCTION("""COMPUTED_VALUE"""),5.0)</f>
        <v>5</v>
      </c>
      <c r="J29" s="189">
        <f>IFERROR(__xludf.DUMMYFUNCTION("""COMPUTED_VALUE"""),13.0)</f>
        <v>13</v>
      </c>
      <c r="K29" s="189">
        <f>IFERROR(__xludf.DUMMYFUNCTION("""COMPUTED_VALUE"""),4.0)</f>
        <v>4</v>
      </c>
      <c r="L29" s="189">
        <f>IFERROR(__xludf.DUMMYFUNCTION("""COMPUTED_VALUE"""),8.0)</f>
        <v>8</v>
      </c>
      <c r="M29" s="189">
        <f>IFERROR(__xludf.DUMMYFUNCTION("""COMPUTED_VALUE"""),0.0)</f>
        <v>0</v>
      </c>
      <c r="N29" s="189">
        <f>IFERROR(__xludf.DUMMYFUNCTION("""COMPUTED_VALUE"""),0.0)</f>
        <v>0</v>
      </c>
      <c r="O29" s="189">
        <f>IFERROR(__xludf.DUMMYFUNCTION("""COMPUTED_VALUE"""),1.0)</f>
        <v>1</v>
      </c>
      <c r="P29" s="189">
        <f>IFERROR(__xludf.DUMMYFUNCTION("""COMPUTED_VALUE"""),5.0)</f>
        <v>5</v>
      </c>
      <c r="Q29" s="189">
        <f>IFERROR(__xludf.DUMMYFUNCTION("""COMPUTED_VALUE"""),4.0)</f>
        <v>4</v>
      </c>
      <c r="R29" s="189">
        <f>IFERROR(__xludf.DUMMYFUNCTION("""COMPUTED_VALUE"""),8.0)</f>
        <v>8</v>
      </c>
      <c r="S29" s="189">
        <f>IFERROR(__xludf.DUMMYFUNCTION("""COMPUTED_VALUE"""),1.0)</f>
        <v>1</v>
      </c>
      <c r="T29" s="189">
        <f>IFERROR(__xludf.DUMMYFUNCTION("""COMPUTED_VALUE"""),1.0)</f>
        <v>1</v>
      </c>
      <c r="U29" s="189">
        <f>IFERROR(__xludf.DUMMYFUNCTION("""COMPUTED_VALUE"""),8.0)</f>
        <v>8</v>
      </c>
      <c r="V29" s="189">
        <f>IFERROR(__xludf.DUMMYFUNCTION("""COMPUTED_VALUE"""),4.0)</f>
        <v>4</v>
      </c>
      <c r="W29" s="189">
        <f>IFERROR(__xludf.DUMMYFUNCTION("""COMPUTED_VALUE"""),5.0)</f>
        <v>5</v>
      </c>
      <c r="X29" s="189">
        <f>IFERROR(__xludf.DUMMYFUNCTION("""COMPUTED_VALUE"""),1.0)</f>
        <v>1</v>
      </c>
      <c r="Y29" s="208" t="str">
        <f>IFERROR(__xludf.DUMMYFUNCTION("""COMPUTED_VALUE"""),"2025-08-16T00:00:00.000Z")</f>
        <v>2025-08-16T00:00:00.000Z</v>
      </c>
      <c r="Z29" s="189" t="s">
        <v>92</v>
      </c>
      <c r="AA29" s="189" t="s">
        <v>1</v>
      </c>
    </row>
    <row r="30">
      <c r="A30" s="189">
        <f>IFERROR(__xludf.DUMMYFUNCTION("""COMPUTED_VALUE"""),212722.0)</f>
        <v>212722</v>
      </c>
      <c r="B30" s="189">
        <f>IFERROR(__xludf.DUMMYFUNCTION("""COMPUTED_VALUE"""),93686.0)</f>
        <v>93686</v>
      </c>
      <c r="C30" s="189" t="str">
        <f>IFERROR(__xludf.DUMMYFUNCTION("""COMPUTED_VALUE"""),"Challengers 2025: France Revolution Split 3 - Playoffs")</f>
        <v>Challengers 2025: France Revolution Split 3 - Playoffs</v>
      </c>
      <c r="D30" s="189" t="str">
        <f>IFERROR(__xludf.DUMMYFUNCTION("""COMPUTED_VALUE"""),"Haven")</f>
        <v>Haven</v>
      </c>
      <c r="E30" s="189" t="str">
        <f>IFERROR(__xludf.DUMMYFUNCTION("""COMPUTED_VALUE"""),"Joblife")</f>
        <v>Joblife</v>
      </c>
      <c r="F30" s="189" t="str">
        <f>IFERROR(__xludf.DUMMYFUNCTION("""COMPUTED_VALUE"""),"Mandatory")</f>
        <v>Mandatory</v>
      </c>
      <c r="G30" s="189" t="str">
        <f>IFERROR(__xludf.DUMMYFUNCTION("""COMPUTED_VALUE"""),"Breach,Cypher,Sova,Omen,Jett")</f>
        <v>Breach,Cypher,Sova,Omen,Jett</v>
      </c>
      <c r="H30" s="189" t="str">
        <f>IFERROR(__xludf.DUMMYFUNCTION("""COMPUTED_VALUE"""),"Cypher,Sova,Omen,Yoru,Iso")</f>
        <v>Cypher,Sova,Omen,Yoru,Iso</v>
      </c>
      <c r="I30" s="189">
        <f>IFERROR(__xludf.DUMMYFUNCTION("""COMPUTED_VALUE"""),13.0)</f>
        <v>13</v>
      </c>
      <c r="J30" s="189">
        <f>IFERROR(__xludf.DUMMYFUNCTION("""COMPUTED_VALUE"""),7.0)</f>
        <v>7</v>
      </c>
      <c r="K30" s="189">
        <f>IFERROR(__xludf.DUMMYFUNCTION("""COMPUTED_VALUE"""),8.0)</f>
        <v>8</v>
      </c>
      <c r="L30" s="189">
        <f>IFERROR(__xludf.DUMMYFUNCTION("""COMPUTED_VALUE"""),4.0)</f>
        <v>4</v>
      </c>
      <c r="M30" s="189">
        <f>IFERROR(__xludf.DUMMYFUNCTION("""COMPUTED_VALUE"""),1.0)</f>
        <v>1</v>
      </c>
      <c r="N30" s="189">
        <f>IFERROR(__xludf.DUMMYFUNCTION("""COMPUTED_VALUE"""),1.0)</f>
        <v>1</v>
      </c>
      <c r="O30" s="189">
        <f>IFERROR(__xludf.DUMMYFUNCTION("""COMPUTED_VALUE"""),8.0)</f>
        <v>8</v>
      </c>
      <c r="P30" s="189">
        <f>IFERROR(__xludf.DUMMYFUNCTION("""COMPUTED_VALUE"""),4.0)</f>
        <v>4</v>
      </c>
      <c r="Q30" s="189">
        <f>IFERROR(__xludf.DUMMYFUNCTION("""COMPUTED_VALUE"""),5.0)</f>
        <v>5</v>
      </c>
      <c r="R30" s="189">
        <f>IFERROR(__xludf.DUMMYFUNCTION("""COMPUTED_VALUE"""),3.0)</f>
        <v>3</v>
      </c>
      <c r="S30" s="189">
        <f>IFERROR(__xludf.DUMMYFUNCTION("""COMPUTED_VALUE"""),0.0)</f>
        <v>0</v>
      </c>
      <c r="T30" s="189">
        <f>IFERROR(__xludf.DUMMYFUNCTION("""COMPUTED_VALUE"""),0.0)</f>
        <v>0</v>
      </c>
      <c r="U30" s="189">
        <f>IFERROR(__xludf.DUMMYFUNCTION("""COMPUTED_VALUE"""),3.0)</f>
        <v>3</v>
      </c>
      <c r="V30" s="189">
        <f>IFERROR(__xludf.DUMMYFUNCTION("""COMPUTED_VALUE"""),5.0)</f>
        <v>5</v>
      </c>
      <c r="W30" s="189">
        <f>IFERROR(__xludf.DUMMYFUNCTION("""COMPUTED_VALUE"""),4.0)</f>
        <v>4</v>
      </c>
      <c r="X30" s="189">
        <f>IFERROR(__xludf.DUMMYFUNCTION("""COMPUTED_VALUE"""),8.0)</f>
        <v>8</v>
      </c>
      <c r="Y30" s="208" t="str">
        <f>IFERROR(__xludf.DUMMYFUNCTION("""COMPUTED_VALUE"""),"2025-08-16T00:00:00.000Z")</f>
        <v>2025-08-16T00:00:00.000Z</v>
      </c>
      <c r="Z30" s="189" t="s">
        <v>115</v>
      </c>
      <c r="AA30" s="189" t="s">
        <v>232</v>
      </c>
    </row>
    <row r="31">
      <c r="A31" s="189">
        <f>IFERROR(__xludf.DUMMYFUNCTION("""COMPUTED_VALUE"""),212068.0)</f>
        <v>212068</v>
      </c>
      <c r="B31" s="189">
        <f>IFERROR(__xludf.DUMMYFUNCTION("""COMPUTED_VALUE"""),93452.0)</f>
        <v>93452</v>
      </c>
      <c r="C31" s="189" t="str">
        <f>IFERROR(__xludf.DUMMYFUNCTION("""COMPUTED_VALUE"""),"Challengers League 2025 NORTH EAST: Split 3 - Playoffs")</f>
        <v>Challengers League 2025 NORTH EAST: Split 3 - Playoffs</v>
      </c>
      <c r="D31" s="189" t="str">
        <f>IFERROR(__xludf.DUMMYFUNCTION("""COMPUTED_VALUE"""),"Lotus")</f>
        <v>Lotus</v>
      </c>
      <c r="E31" s="189" t="str">
        <f>IFERROR(__xludf.DUMMYFUNCTION("""COMPUTED_VALUE"""),"děti ulice")</f>
        <v>děti ulice</v>
      </c>
      <c r="F31" s="189" t="str">
        <f>IFERROR(__xludf.DUMMYFUNCTION("""COMPUTED_VALUE"""),"Team Liquid Academy")</f>
        <v>Team Liquid Academy</v>
      </c>
      <c r="G31" s="189" t="str">
        <f>IFERROR(__xludf.DUMMYFUNCTION("""COMPUTED_VALUE"""),"Raze,Omen,Yoru,Fade,Vyse")</f>
        <v>Raze,Omen,Yoru,Fade,Vyse</v>
      </c>
      <c r="H31" s="189" t="str">
        <f>IFERROR(__xludf.DUMMYFUNCTION("""COMPUTED_VALUE"""),"Cypher,Omen,Neon,Fade,Iso")</f>
        <v>Cypher,Omen,Neon,Fade,Iso</v>
      </c>
      <c r="I31" s="189">
        <f>IFERROR(__xludf.DUMMYFUNCTION("""COMPUTED_VALUE"""),13.0)</f>
        <v>13</v>
      </c>
      <c r="J31" s="189">
        <f>IFERROR(__xludf.DUMMYFUNCTION("""COMPUTED_VALUE"""),10.0)</f>
        <v>10</v>
      </c>
      <c r="K31" s="189">
        <f>IFERROR(__xludf.DUMMYFUNCTION("""COMPUTED_VALUE"""),6.0)</f>
        <v>6</v>
      </c>
      <c r="L31" s="189">
        <f>IFERROR(__xludf.DUMMYFUNCTION("""COMPUTED_VALUE"""),6.0)</f>
        <v>6</v>
      </c>
      <c r="M31" s="189">
        <f>IFERROR(__xludf.DUMMYFUNCTION("""COMPUTED_VALUE"""),0.0)</f>
        <v>0</v>
      </c>
      <c r="N31" s="189">
        <f>IFERROR(__xludf.DUMMYFUNCTION("""COMPUTED_VALUE"""),0.0)</f>
        <v>0</v>
      </c>
      <c r="O31" s="189">
        <f>IFERROR(__xludf.DUMMYFUNCTION("""COMPUTED_VALUE"""),6.0)</f>
        <v>6</v>
      </c>
      <c r="P31" s="189">
        <f>IFERROR(__xludf.DUMMYFUNCTION("""COMPUTED_VALUE"""),6.0)</f>
        <v>6</v>
      </c>
      <c r="Q31" s="189">
        <f>IFERROR(__xludf.DUMMYFUNCTION("""COMPUTED_VALUE"""),7.0)</f>
        <v>7</v>
      </c>
      <c r="R31" s="189">
        <f>IFERROR(__xludf.DUMMYFUNCTION("""COMPUTED_VALUE"""),4.0)</f>
        <v>4</v>
      </c>
      <c r="S31" s="189">
        <f>IFERROR(__xludf.DUMMYFUNCTION("""COMPUTED_VALUE"""),1.0)</f>
        <v>1</v>
      </c>
      <c r="T31" s="189">
        <f>IFERROR(__xludf.DUMMYFUNCTION("""COMPUTED_VALUE"""),1.0)</f>
        <v>1</v>
      </c>
      <c r="U31" s="189">
        <f>IFERROR(__xludf.DUMMYFUNCTION("""COMPUTED_VALUE"""),4.0)</f>
        <v>4</v>
      </c>
      <c r="V31" s="189">
        <f>IFERROR(__xludf.DUMMYFUNCTION("""COMPUTED_VALUE"""),7.0)</f>
        <v>7</v>
      </c>
      <c r="W31" s="189">
        <f>IFERROR(__xludf.DUMMYFUNCTION("""COMPUTED_VALUE"""),6.0)</f>
        <v>6</v>
      </c>
      <c r="X31" s="189">
        <f>IFERROR(__xludf.DUMMYFUNCTION("""COMPUTED_VALUE"""),6.0)</f>
        <v>6</v>
      </c>
      <c r="Y31" s="208" t="str">
        <f>IFERROR(__xludf.DUMMYFUNCTION("""COMPUTED_VALUE"""),"2025-08-16T00:00:00.000Z")</f>
        <v>2025-08-16T00:00:00.000Z</v>
      </c>
      <c r="Z31" s="189" t="s">
        <v>90</v>
      </c>
      <c r="AA31" s="189" t="s">
        <v>190</v>
      </c>
    </row>
    <row r="32">
      <c r="A32" s="189">
        <f>IFERROR(__xludf.DUMMYFUNCTION("""COMPUTED_VALUE"""),212721.0)</f>
        <v>212721</v>
      </c>
      <c r="B32" s="189">
        <f>IFERROR(__xludf.DUMMYFUNCTION("""COMPUTED_VALUE"""),93686.0)</f>
        <v>93686</v>
      </c>
      <c r="C32" s="189" t="str">
        <f>IFERROR(__xludf.DUMMYFUNCTION("""COMPUTED_VALUE"""),"Challengers 2025: France Revolution Split 3 - Playoffs")</f>
        <v>Challengers 2025: France Revolution Split 3 - Playoffs</v>
      </c>
      <c r="D32" s="189" t="str">
        <f>IFERROR(__xludf.DUMMYFUNCTION("""COMPUTED_VALUE"""),"Ascent")</f>
        <v>Ascent</v>
      </c>
      <c r="E32" s="189" t="str">
        <f>IFERROR(__xludf.DUMMYFUNCTION("""COMPUTED_VALUE"""),"Joblife")</f>
        <v>Joblife</v>
      </c>
      <c r="F32" s="189" t="str">
        <f>IFERROR(__xludf.DUMMYFUNCTION("""COMPUTED_VALUE"""),"Mandatory")</f>
        <v>Mandatory</v>
      </c>
      <c r="G32" s="189" t="str">
        <f>IFERROR(__xludf.DUMMYFUNCTION("""COMPUTED_VALUE"""),"Cypher,Sova,Omen,Yoru,Chamber")</f>
        <v>Cypher,Sova,Omen,Yoru,Chamber</v>
      </c>
      <c r="H32" s="189" t="str">
        <f>IFERROR(__xludf.DUMMYFUNCTION("""COMPUTED_VALUE"""),"Sova,Viper,Omen,Yoru,Deadlock")</f>
        <v>Sova,Viper,Omen,Yoru,Deadlock</v>
      </c>
      <c r="I32" s="189">
        <f>IFERROR(__xludf.DUMMYFUNCTION("""COMPUTED_VALUE"""),13.0)</f>
        <v>13</v>
      </c>
      <c r="J32" s="189">
        <f>IFERROR(__xludf.DUMMYFUNCTION("""COMPUTED_VALUE"""),7.0)</f>
        <v>7</v>
      </c>
      <c r="K32" s="189">
        <f>IFERROR(__xludf.DUMMYFUNCTION("""COMPUTED_VALUE"""),7.0)</f>
        <v>7</v>
      </c>
      <c r="L32" s="189">
        <f>IFERROR(__xludf.DUMMYFUNCTION("""COMPUTED_VALUE"""),5.0)</f>
        <v>5</v>
      </c>
      <c r="M32" s="189">
        <f>IFERROR(__xludf.DUMMYFUNCTION("""COMPUTED_VALUE"""),0.0)</f>
        <v>0</v>
      </c>
      <c r="N32" s="189">
        <f>IFERROR(__xludf.DUMMYFUNCTION("""COMPUTED_VALUE"""),0.0)</f>
        <v>0</v>
      </c>
      <c r="O32" s="189">
        <f>IFERROR(__xludf.DUMMYFUNCTION("""COMPUTED_VALUE"""),6.0)</f>
        <v>6</v>
      </c>
      <c r="P32" s="189">
        <f>IFERROR(__xludf.DUMMYFUNCTION("""COMPUTED_VALUE"""),2.0)</f>
        <v>2</v>
      </c>
      <c r="Q32" s="189">
        <f>IFERROR(__xludf.DUMMYFUNCTION("""COMPUTED_VALUE"""),7.0)</f>
        <v>7</v>
      </c>
      <c r="R32" s="189">
        <f>IFERROR(__xludf.DUMMYFUNCTION("""COMPUTED_VALUE"""),5.0)</f>
        <v>5</v>
      </c>
      <c r="S32" s="189">
        <f>IFERROR(__xludf.DUMMYFUNCTION("""COMPUTED_VALUE"""),1.0)</f>
        <v>1</v>
      </c>
      <c r="T32" s="189">
        <f>IFERROR(__xludf.DUMMYFUNCTION("""COMPUTED_VALUE"""),1.0)</f>
        <v>1</v>
      </c>
      <c r="U32" s="189">
        <f>IFERROR(__xludf.DUMMYFUNCTION("""COMPUTED_VALUE"""),5.0)</f>
        <v>5</v>
      </c>
      <c r="V32" s="189">
        <f>IFERROR(__xludf.DUMMYFUNCTION("""COMPUTED_VALUE"""),7.0)</f>
        <v>7</v>
      </c>
      <c r="W32" s="189">
        <f>IFERROR(__xludf.DUMMYFUNCTION("""COMPUTED_VALUE"""),2.0)</f>
        <v>2</v>
      </c>
      <c r="X32" s="189">
        <f>IFERROR(__xludf.DUMMYFUNCTION("""COMPUTED_VALUE"""),6.0)</f>
        <v>6</v>
      </c>
      <c r="Y32" s="208" t="str">
        <f>IFERROR(__xludf.DUMMYFUNCTION("""COMPUTED_VALUE"""),"2025-08-16T00:00:00.000Z")</f>
        <v>2025-08-16T00:00:00.000Z</v>
      </c>
      <c r="Z32" s="189" t="s">
        <v>113</v>
      </c>
      <c r="AA32" s="189" t="s">
        <v>232</v>
      </c>
    </row>
    <row r="33">
      <c r="A33" s="189">
        <f>IFERROR(__xludf.DUMMYFUNCTION("""COMPUTED_VALUE"""),213390.0)</f>
        <v>213390</v>
      </c>
      <c r="B33" s="189">
        <f>IFERROR(__xludf.DUMMYFUNCTION("""COMPUTED_VALUE"""),93910.0)</f>
        <v>93910</v>
      </c>
      <c r="C33" s="189" t="str">
        <f>IFERROR(__xludf.DUMMYFUNCTION("""COMPUTED_VALUE"""),"Challengers League 2025 DACH: Evolution Stage 3 - Playoffs")</f>
        <v>Challengers League 2025 DACH: Evolution Stage 3 - Playoffs</v>
      </c>
      <c r="D33" s="189" t="str">
        <f>IFERROR(__xludf.DUMMYFUNCTION("""COMPUTED_VALUE"""),"Corrode")</f>
        <v>Corrode</v>
      </c>
      <c r="E33" s="189" t="str">
        <f>IFERROR(__xludf.DUMMYFUNCTION("""COMPUTED_VALUE"""),"Eintracht Frankfurt")</f>
        <v>Eintracht Frankfurt</v>
      </c>
      <c r="F33" s="189" t="str">
        <f>IFERROR(__xludf.DUMMYFUNCTION("""COMPUTED_VALUE"""),"MOUZ")</f>
        <v>MOUZ</v>
      </c>
      <c r="G33" s="189" t="str">
        <f>IFERROR(__xludf.DUMMYFUNCTION("""COMPUTED_VALUE"""),"Viper,Phoenix,Omen,Fade,Waylay")</f>
        <v>Viper,Phoenix,Omen,Fade,Waylay</v>
      </c>
      <c r="H33" s="189" t="str">
        <f>IFERROR(__xludf.DUMMYFUNCTION("""COMPUTED_VALUE"""),"Omen,Yoru,Chamber,Neon,Fade")</f>
        <v>Omen,Yoru,Chamber,Neon,Fade</v>
      </c>
      <c r="I33" s="189">
        <f>IFERROR(__xludf.DUMMYFUNCTION("""COMPUTED_VALUE"""),6.0)</f>
        <v>6</v>
      </c>
      <c r="J33" s="189">
        <f>IFERROR(__xludf.DUMMYFUNCTION("""COMPUTED_VALUE"""),13.0)</f>
        <v>13</v>
      </c>
      <c r="K33" s="189">
        <f>IFERROR(__xludf.DUMMYFUNCTION("""COMPUTED_VALUE"""),3.0)</f>
        <v>3</v>
      </c>
      <c r="L33" s="189">
        <f>IFERROR(__xludf.DUMMYFUNCTION("""COMPUTED_VALUE"""),9.0)</f>
        <v>9</v>
      </c>
      <c r="M33" s="189">
        <f>IFERROR(__xludf.DUMMYFUNCTION("""COMPUTED_VALUE"""),1.0)</f>
        <v>1</v>
      </c>
      <c r="N33" s="189">
        <f>IFERROR(__xludf.DUMMYFUNCTION("""COMPUTED_VALUE"""),1.0)</f>
        <v>1</v>
      </c>
      <c r="O33" s="189">
        <f>IFERROR(__xludf.DUMMYFUNCTION("""COMPUTED_VALUE"""),3.0)</f>
        <v>3</v>
      </c>
      <c r="P33" s="189">
        <f>IFERROR(__xludf.DUMMYFUNCTION("""COMPUTED_VALUE"""),9.0)</f>
        <v>9</v>
      </c>
      <c r="Q33" s="189">
        <f>IFERROR(__xludf.DUMMYFUNCTION("""COMPUTED_VALUE"""),3.0)</f>
        <v>3</v>
      </c>
      <c r="R33" s="189">
        <f>IFERROR(__xludf.DUMMYFUNCTION("""COMPUTED_VALUE"""),4.0)</f>
        <v>4</v>
      </c>
      <c r="S33" s="189">
        <f>IFERROR(__xludf.DUMMYFUNCTION("""COMPUTED_VALUE"""),0.0)</f>
        <v>0</v>
      </c>
      <c r="T33" s="189">
        <f>IFERROR(__xludf.DUMMYFUNCTION("""COMPUTED_VALUE"""),0.0)</f>
        <v>0</v>
      </c>
      <c r="U33" s="189">
        <f>IFERROR(__xludf.DUMMYFUNCTION("""COMPUTED_VALUE"""),4.0)</f>
        <v>4</v>
      </c>
      <c r="V33" s="189">
        <f>IFERROR(__xludf.DUMMYFUNCTION("""COMPUTED_VALUE"""),3.0)</f>
        <v>3</v>
      </c>
      <c r="W33" s="189">
        <f>IFERROR(__xludf.DUMMYFUNCTION("""COMPUTED_VALUE"""),9.0)</f>
        <v>9</v>
      </c>
      <c r="X33" s="189">
        <f>IFERROR(__xludf.DUMMYFUNCTION("""COMPUTED_VALUE"""),3.0)</f>
        <v>3</v>
      </c>
      <c r="Y33" s="208" t="str">
        <f>IFERROR(__xludf.DUMMYFUNCTION("""COMPUTED_VALUE"""),"2025-08-16T00:00:00.000Z")</f>
        <v>2025-08-16T00:00:00.000Z</v>
      </c>
      <c r="Z33" s="189" t="s">
        <v>101</v>
      </c>
      <c r="AA33" s="189" t="s">
        <v>180</v>
      </c>
    </row>
    <row r="34">
      <c r="A34" s="189">
        <f>IFERROR(__xludf.DUMMYFUNCTION("""COMPUTED_VALUE"""),212720.0)</f>
        <v>212720</v>
      </c>
      <c r="B34" s="189">
        <f>IFERROR(__xludf.DUMMYFUNCTION("""COMPUTED_VALUE"""),93686.0)</f>
        <v>93686</v>
      </c>
      <c r="C34" s="189" t="str">
        <f>IFERROR(__xludf.DUMMYFUNCTION("""COMPUTED_VALUE"""),"Challengers 2025: France Revolution Split 3 - Playoffs")</f>
        <v>Challengers 2025: France Revolution Split 3 - Playoffs</v>
      </c>
      <c r="D34" s="189" t="str">
        <f>IFERROR(__xludf.DUMMYFUNCTION("""COMPUTED_VALUE"""),"Icebox")</f>
        <v>Icebox</v>
      </c>
      <c r="E34" s="189" t="str">
        <f>IFERROR(__xludf.DUMMYFUNCTION("""COMPUTED_VALUE"""),"Joblife")</f>
        <v>Joblife</v>
      </c>
      <c r="F34" s="189" t="str">
        <f>IFERROR(__xludf.DUMMYFUNCTION("""COMPUTED_VALUE"""),"Mandatory")</f>
        <v>Mandatory</v>
      </c>
      <c r="G34" s="189" t="str">
        <f>IFERROR(__xludf.DUMMYFUNCTION("""COMPUTED_VALUE"""),"Sova,Killjoy,Viper,Sage,Jett")</f>
        <v>Sova,Killjoy,Viper,Sage,Jett</v>
      </c>
      <c r="H34" s="189" t="str">
        <f>IFERROR(__xludf.DUMMYFUNCTION("""COMPUTED_VALUE"""),"Sova,Killjoy,Viper,Omen,Gekko")</f>
        <v>Sova,Killjoy,Viper,Omen,Gekko</v>
      </c>
      <c r="I34" s="189">
        <f>IFERROR(__xludf.DUMMYFUNCTION("""COMPUTED_VALUE"""),13.0)</f>
        <v>13</v>
      </c>
      <c r="J34" s="189">
        <f>IFERROR(__xludf.DUMMYFUNCTION("""COMPUTED_VALUE"""),4.0)</f>
        <v>4</v>
      </c>
      <c r="K34" s="189">
        <f>IFERROR(__xludf.DUMMYFUNCTION("""COMPUTED_VALUE"""),10.0)</f>
        <v>10</v>
      </c>
      <c r="L34" s="189">
        <f>IFERROR(__xludf.DUMMYFUNCTION("""COMPUTED_VALUE"""),2.0)</f>
        <v>2</v>
      </c>
      <c r="M34" s="189">
        <f>IFERROR(__xludf.DUMMYFUNCTION("""COMPUTED_VALUE"""),1.0)</f>
        <v>1</v>
      </c>
      <c r="N34" s="189">
        <f>IFERROR(__xludf.DUMMYFUNCTION("""COMPUTED_VALUE"""),1.0)</f>
        <v>1</v>
      </c>
      <c r="O34" s="189">
        <f>IFERROR(__xludf.DUMMYFUNCTION("""COMPUTED_VALUE"""),10.0)</f>
        <v>10</v>
      </c>
      <c r="P34" s="189">
        <f>IFERROR(__xludf.DUMMYFUNCTION("""COMPUTED_VALUE"""),2.0)</f>
        <v>2</v>
      </c>
      <c r="Q34" s="189">
        <f>IFERROR(__xludf.DUMMYFUNCTION("""COMPUTED_VALUE"""),3.0)</f>
        <v>3</v>
      </c>
      <c r="R34" s="189">
        <f>IFERROR(__xludf.DUMMYFUNCTION("""COMPUTED_VALUE"""),2.0)</f>
        <v>2</v>
      </c>
      <c r="S34" s="189">
        <f>IFERROR(__xludf.DUMMYFUNCTION("""COMPUTED_VALUE"""),0.0)</f>
        <v>0</v>
      </c>
      <c r="T34" s="189">
        <f>IFERROR(__xludf.DUMMYFUNCTION("""COMPUTED_VALUE"""),0.0)</f>
        <v>0</v>
      </c>
      <c r="U34" s="189">
        <f>IFERROR(__xludf.DUMMYFUNCTION("""COMPUTED_VALUE"""),2.0)</f>
        <v>2</v>
      </c>
      <c r="V34" s="189">
        <f>IFERROR(__xludf.DUMMYFUNCTION("""COMPUTED_VALUE"""),3.0)</f>
        <v>3</v>
      </c>
      <c r="W34" s="189">
        <f>IFERROR(__xludf.DUMMYFUNCTION("""COMPUTED_VALUE"""),2.0)</f>
        <v>2</v>
      </c>
      <c r="X34" s="189">
        <f>IFERROR(__xludf.DUMMYFUNCTION("""COMPUTED_VALUE"""),10.0)</f>
        <v>10</v>
      </c>
      <c r="Y34" s="208" t="str">
        <f>IFERROR(__xludf.DUMMYFUNCTION("""COMPUTED_VALUE"""),"2025-08-16T00:00:00.000Z")</f>
        <v>2025-08-16T00:00:00.000Z</v>
      </c>
      <c r="Z34" s="189" t="s">
        <v>116</v>
      </c>
      <c r="AA34" s="189" t="s">
        <v>232</v>
      </c>
    </row>
    <row r="35">
      <c r="A35" s="189">
        <f>IFERROR(__xludf.DUMMYFUNCTION("""COMPUTED_VALUE"""),212067.0)</f>
        <v>212067</v>
      </c>
      <c r="B35" s="189">
        <f>IFERROR(__xludf.DUMMYFUNCTION("""COMPUTED_VALUE"""),93452.0)</f>
        <v>93452</v>
      </c>
      <c r="C35" s="189" t="str">
        <f>IFERROR(__xludf.DUMMYFUNCTION("""COMPUTED_VALUE"""),"Challengers League 2025 NORTH EAST: Split 3 - Playoffs")</f>
        <v>Challengers League 2025 NORTH EAST: Split 3 - Playoffs</v>
      </c>
      <c r="D35" s="189" t="str">
        <f>IFERROR(__xludf.DUMMYFUNCTION("""COMPUTED_VALUE"""),"Corrode")</f>
        <v>Corrode</v>
      </c>
      <c r="E35" s="189" t="str">
        <f>IFERROR(__xludf.DUMMYFUNCTION("""COMPUTED_VALUE"""),"děti ulice")</f>
        <v>děti ulice</v>
      </c>
      <c r="F35" s="189" t="str">
        <f>IFERROR(__xludf.DUMMYFUNCTION("""COMPUTED_VALUE"""),"Team Liquid Academy")</f>
        <v>Team Liquid Academy</v>
      </c>
      <c r="G35" s="189" t="str">
        <f>IFERROR(__xludf.DUMMYFUNCTION("""COMPUTED_VALUE"""),"Viper,Omen,Chamber,Neon,Fade")</f>
        <v>Viper,Omen,Chamber,Neon,Fade</v>
      </c>
      <c r="H35" s="189" t="str">
        <f>IFERROR(__xludf.DUMMYFUNCTION("""COMPUTED_VALUE"""),"Cypher,Phoenix,Omen,Yoru,Fade")</f>
        <v>Cypher,Phoenix,Omen,Yoru,Fade</v>
      </c>
      <c r="I35" s="189">
        <f>IFERROR(__xludf.DUMMYFUNCTION("""COMPUTED_VALUE"""),13.0)</f>
        <v>13</v>
      </c>
      <c r="J35" s="189">
        <f>IFERROR(__xludf.DUMMYFUNCTION("""COMPUTED_VALUE"""),15.0)</f>
        <v>15</v>
      </c>
      <c r="K35" s="189">
        <f>IFERROR(__xludf.DUMMYFUNCTION("""COMPUTED_VALUE"""),7.0)</f>
        <v>7</v>
      </c>
      <c r="L35" s="189">
        <f>IFERROR(__xludf.DUMMYFUNCTION("""COMPUTED_VALUE"""),5.0)</f>
        <v>5</v>
      </c>
      <c r="M35" s="189">
        <f>IFERROR(__xludf.DUMMYFUNCTION("""COMPUTED_VALUE"""),0.0)</f>
        <v>0</v>
      </c>
      <c r="N35" s="189">
        <f>IFERROR(__xludf.DUMMYFUNCTION("""COMPUTED_VALUE"""),1.0)</f>
        <v>1</v>
      </c>
      <c r="O35" s="189">
        <f>IFERROR(__xludf.DUMMYFUNCTION("""COMPUTED_VALUE"""),5.0)</f>
        <v>5</v>
      </c>
      <c r="P35" s="189">
        <f>IFERROR(__xludf.DUMMYFUNCTION("""COMPUTED_VALUE"""),9.0)</f>
        <v>9</v>
      </c>
      <c r="Q35" s="189">
        <f>IFERROR(__xludf.DUMMYFUNCTION("""COMPUTED_VALUE"""),8.0)</f>
        <v>8</v>
      </c>
      <c r="R35" s="189">
        <f>IFERROR(__xludf.DUMMYFUNCTION("""COMPUTED_VALUE"""),6.0)</f>
        <v>6</v>
      </c>
      <c r="S35" s="189">
        <f>IFERROR(__xludf.DUMMYFUNCTION("""COMPUTED_VALUE"""),0.0)</f>
        <v>0</v>
      </c>
      <c r="T35" s="189">
        <f>IFERROR(__xludf.DUMMYFUNCTION("""COMPUTED_VALUE"""),1.0)</f>
        <v>1</v>
      </c>
      <c r="U35" s="189">
        <f>IFERROR(__xludf.DUMMYFUNCTION("""COMPUTED_VALUE"""),6.0)</f>
        <v>6</v>
      </c>
      <c r="V35" s="189">
        <f>IFERROR(__xludf.DUMMYFUNCTION("""COMPUTED_VALUE"""),8.0)</f>
        <v>8</v>
      </c>
      <c r="W35" s="189">
        <f>IFERROR(__xludf.DUMMYFUNCTION("""COMPUTED_VALUE"""),9.0)</f>
        <v>9</v>
      </c>
      <c r="X35" s="189">
        <f>IFERROR(__xludf.DUMMYFUNCTION("""COMPUTED_VALUE"""),5.0)</f>
        <v>5</v>
      </c>
      <c r="Y35" s="208" t="str">
        <f>IFERROR(__xludf.DUMMYFUNCTION("""COMPUTED_VALUE"""),"2025-08-16T00:00:00.000Z")</f>
        <v>2025-08-16T00:00:00.000Z</v>
      </c>
      <c r="Z35" s="189" t="s">
        <v>87</v>
      </c>
      <c r="AA35" s="189" t="s">
        <v>1</v>
      </c>
    </row>
    <row r="36">
      <c r="A36" s="189">
        <f>IFERROR(__xludf.DUMMYFUNCTION("""COMPUTED_VALUE"""),213389.0)</f>
        <v>213389</v>
      </c>
      <c r="B36" s="189">
        <f>IFERROR(__xludf.DUMMYFUNCTION("""COMPUTED_VALUE"""),93910.0)</f>
        <v>93910</v>
      </c>
      <c r="C36" s="189" t="str">
        <f>IFERROR(__xludf.DUMMYFUNCTION("""COMPUTED_VALUE"""),"Challengers League 2025 DACH: Evolution Stage 3 - Playoffs")</f>
        <v>Challengers League 2025 DACH: Evolution Stage 3 - Playoffs</v>
      </c>
      <c r="D36" s="189" t="str">
        <f>IFERROR(__xludf.DUMMYFUNCTION("""COMPUTED_VALUE"""),"Icebox")</f>
        <v>Icebox</v>
      </c>
      <c r="E36" s="189" t="str">
        <f>IFERROR(__xludf.DUMMYFUNCTION("""COMPUTED_VALUE"""),"Eintracht Frankfurt")</f>
        <v>Eintracht Frankfurt</v>
      </c>
      <c r="F36" s="189" t="str">
        <f>IFERROR(__xludf.DUMMYFUNCTION("""COMPUTED_VALUE"""),"MOUZ")</f>
        <v>MOUZ</v>
      </c>
      <c r="G36" s="189" t="str">
        <f>IFERROR(__xludf.DUMMYFUNCTION("""COMPUTED_VALUE"""),"Sova,Killjoy,Viper,Sage,Jett")</f>
        <v>Sova,Killjoy,Viper,Sage,Jett</v>
      </c>
      <c r="H36" s="189" t="str">
        <f>IFERROR(__xludf.DUMMYFUNCTION("""COMPUTED_VALUE"""),"Sova,Killjoy,Viper,Jett,KAY/O")</f>
        <v>Sova,Killjoy,Viper,Jett,KAY/O</v>
      </c>
      <c r="I36" s="189">
        <f>IFERROR(__xludf.DUMMYFUNCTION("""COMPUTED_VALUE"""),8.0)</f>
        <v>8</v>
      </c>
      <c r="J36" s="189">
        <f>IFERROR(__xludf.DUMMYFUNCTION("""COMPUTED_VALUE"""),13.0)</f>
        <v>13</v>
      </c>
      <c r="K36" s="189">
        <f>IFERROR(__xludf.DUMMYFUNCTION("""COMPUTED_VALUE"""),4.0)</f>
        <v>4</v>
      </c>
      <c r="L36" s="189">
        <f>IFERROR(__xludf.DUMMYFUNCTION("""COMPUTED_VALUE"""),8.0)</f>
        <v>8</v>
      </c>
      <c r="M36" s="189">
        <f>IFERROR(__xludf.DUMMYFUNCTION("""COMPUTED_VALUE"""),0.0)</f>
        <v>0</v>
      </c>
      <c r="N36" s="189">
        <f>IFERROR(__xludf.DUMMYFUNCTION("""COMPUTED_VALUE"""),0.0)</f>
        <v>0</v>
      </c>
      <c r="O36" s="189">
        <f>IFERROR(__xludf.DUMMYFUNCTION("""COMPUTED_VALUE"""),4.0)</f>
        <v>4</v>
      </c>
      <c r="P36" s="189">
        <f>IFERROR(__xludf.DUMMYFUNCTION("""COMPUTED_VALUE"""),8.0)</f>
        <v>8</v>
      </c>
      <c r="Q36" s="189">
        <f>IFERROR(__xludf.DUMMYFUNCTION("""COMPUTED_VALUE"""),4.0)</f>
        <v>4</v>
      </c>
      <c r="R36" s="189">
        <f>IFERROR(__xludf.DUMMYFUNCTION("""COMPUTED_VALUE"""),5.0)</f>
        <v>5</v>
      </c>
      <c r="S36" s="189">
        <f>IFERROR(__xludf.DUMMYFUNCTION("""COMPUTED_VALUE"""),1.0)</f>
        <v>1</v>
      </c>
      <c r="T36" s="189">
        <f>IFERROR(__xludf.DUMMYFUNCTION("""COMPUTED_VALUE"""),1.0)</f>
        <v>1</v>
      </c>
      <c r="U36" s="189">
        <f>IFERROR(__xludf.DUMMYFUNCTION("""COMPUTED_VALUE"""),5.0)</f>
        <v>5</v>
      </c>
      <c r="V36" s="189">
        <f>IFERROR(__xludf.DUMMYFUNCTION("""COMPUTED_VALUE"""),4.0)</f>
        <v>4</v>
      </c>
      <c r="W36" s="189">
        <f>IFERROR(__xludf.DUMMYFUNCTION("""COMPUTED_VALUE"""),8.0)</f>
        <v>8</v>
      </c>
      <c r="X36" s="189">
        <f>IFERROR(__xludf.DUMMYFUNCTION("""COMPUTED_VALUE"""),4.0)</f>
        <v>4</v>
      </c>
      <c r="Y36" s="208" t="str">
        <f>IFERROR(__xludf.DUMMYFUNCTION("""COMPUTED_VALUE"""),"2025-08-16T00:00:00.000Z")</f>
        <v>2025-08-16T00:00:00.000Z</v>
      </c>
      <c r="Z36" s="189" t="s">
        <v>103</v>
      </c>
      <c r="AA36" s="189" t="s">
        <v>180</v>
      </c>
    </row>
    <row r="37">
      <c r="A37" s="189">
        <f>IFERROR(__xludf.DUMMYFUNCTION("""COMPUTED_VALUE"""),212066.0)</f>
        <v>212066</v>
      </c>
      <c r="B37" s="189">
        <f>IFERROR(__xludf.DUMMYFUNCTION("""COMPUTED_VALUE"""),93452.0)</f>
        <v>93452</v>
      </c>
      <c r="C37" s="189" t="str">
        <f>IFERROR(__xludf.DUMMYFUNCTION("""COMPUTED_VALUE"""),"Challengers League 2025 NORTH EAST: Split 3 - Playoffs")</f>
        <v>Challengers League 2025 NORTH EAST: Split 3 - Playoffs</v>
      </c>
      <c r="D37" s="189" t="str">
        <f>IFERROR(__xludf.DUMMYFUNCTION("""COMPUTED_VALUE"""),"Haven")</f>
        <v>Haven</v>
      </c>
      <c r="E37" s="189" t="str">
        <f>IFERROR(__xludf.DUMMYFUNCTION("""COMPUTED_VALUE"""),"děti ulice")</f>
        <v>děti ulice</v>
      </c>
      <c r="F37" s="189" t="str">
        <f>IFERROR(__xludf.DUMMYFUNCTION("""COMPUTED_VALUE"""),"Team Liquid Academy")</f>
        <v>Team Liquid Academy</v>
      </c>
      <c r="G37" s="189" t="str">
        <f>IFERROR(__xludf.DUMMYFUNCTION("""COMPUTED_VALUE"""),"Cypher,Sova,Omen,Yoru,Iso")</f>
        <v>Cypher,Sova,Omen,Yoru,Iso</v>
      </c>
      <c r="H37" s="189" t="str">
        <f>IFERROR(__xludf.DUMMYFUNCTION("""COMPUTED_VALUE"""),"Cypher,Sova,Omen,Yoru,Iso")</f>
        <v>Cypher,Sova,Omen,Yoru,Iso</v>
      </c>
      <c r="I37" s="189">
        <f>IFERROR(__xludf.DUMMYFUNCTION("""COMPUTED_VALUE"""),13.0)</f>
        <v>13</v>
      </c>
      <c r="J37" s="189">
        <f>IFERROR(__xludf.DUMMYFUNCTION("""COMPUTED_VALUE"""),11.0)</f>
        <v>11</v>
      </c>
      <c r="K37" s="189">
        <f>IFERROR(__xludf.DUMMYFUNCTION("""COMPUTED_VALUE"""),7.0)</f>
        <v>7</v>
      </c>
      <c r="L37" s="189">
        <f>IFERROR(__xludf.DUMMYFUNCTION("""COMPUTED_VALUE"""),5.0)</f>
        <v>5</v>
      </c>
      <c r="M37" s="189">
        <f>IFERROR(__xludf.DUMMYFUNCTION("""COMPUTED_VALUE"""),1.0)</f>
        <v>1</v>
      </c>
      <c r="N37" s="189">
        <f>IFERROR(__xludf.DUMMYFUNCTION("""COMPUTED_VALUE"""),1.0)</f>
        <v>1</v>
      </c>
      <c r="O37" s="189">
        <f>IFERROR(__xludf.DUMMYFUNCTION("""COMPUTED_VALUE"""),6.0)</f>
        <v>6</v>
      </c>
      <c r="P37" s="189">
        <f>IFERROR(__xludf.DUMMYFUNCTION("""COMPUTED_VALUE"""),6.0)</f>
        <v>6</v>
      </c>
      <c r="Q37" s="189">
        <f>IFERROR(__xludf.DUMMYFUNCTION("""COMPUTED_VALUE"""),7.0)</f>
        <v>7</v>
      </c>
      <c r="R37" s="189">
        <f>IFERROR(__xludf.DUMMYFUNCTION("""COMPUTED_VALUE"""),5.0)</f>
        <v>5</v>
      </c>
      <c r="S37" s="189">
        <f>IFERROR(__xludf.DUMMYFUNCTION("""COMPUTED_VALUE"""),0.0)</f>
        <v>0</v>
      </c>
      <c r="T37" s="189">
        <f>IFERROR(__xludf.DUMMYFUNCTION("""COMPUTED_VALUE"""),0.0)</f>
        <v>0</v>
      </c>
      <c r="U37" s="189">
        <f>IFERROR(__xludf.DUMMYFUNCTION("""COMPUTED_VALUE"""),5.0)</f>
        <v>5</v>
      </c>
      <c r="V37" s="189">
        <f>IFERROR(__xludf.DUMMYFUNCTION("""COMPUTED_VALUE"""),7.0)</f>
        <v>7</v>
      </c>
      <c r="W37" s="189">
        <f>IFERROR(__xludf.DUMMYFUNCTION("""COMPUTED_VALUE"""),6.0)</f>
        <v>6</v>
      </c>
      <c r="X37" s="189">
        <f>IFERROR(__xludf.DUMMYFUNCTION("""COMPUTED_VALUE"""),6.0)</f>
        <v>6</v>
      </c>
      <c r="Y37" s="208" t="str">
        <f>IFERROR(__xludf.DUMMYFUNCTION("""COMPUTED_VALUE"""),"2025-08-16T00:00:00.000Z")</f>
        <v>2025-08-16T00:00:00.000Z</v>
      </c>
      <c r="Z37" s="189" t="s">
        <v>88</v>
      </c>
      <c r="AA37" s="189" t="s">
        <v>190</v>
      </c>
    </row>
    <row r="38">
      <c r="A38" s="189">
        <f>IFERROR(__xludf.DUMMYFUNCTION("""COMPUTED_VALUE"""),213388.0)</f>
        <v>213388</v>
      </c>
      <c r="B38" s="189">
        <f>IFERROR(__xludf.DUMMYFUNCTION("""COMPUTED_VALUE"""),93910.0)</f>
        <v>93910</v>
      </c>
      <c r="C38" s="189" t="str">
        <f>IFERROR(__xludf.DUMMYFUNCTION("""COMPUTED_VALUE"""),"Challengers League 2025 DACH: Evolution Stage 3 - Playoffs")</f>
        <v>Challengers League 2025 DACH: Evolution Stage 3 - Playoffs</v>
      </c>
      <c r="D38" s="189" t="str">
        <f>IFERROR(__xludf.DUMMYFUNCTION("""COMPUTED_VALUE"""),"Bind")</f>
        <v>Bind</v>
      </c>
      <c r="E38" s="189" t="str">
        <f>IFERROR(__xludf.DUMMYFUNCTION("""COMPUTED_VALUE"""),"Eintracht Frankfurt")</f>
        <v>Eintracht Frankfurt</v>
      </c>
      <c r="F38" s="189" t="str">
        <f>IFERROR(__xludf.DUMMYFUNCTION("""COMPUTED_VALUE"""),"MOUZ")</f>
        <v>MOUZ</v>
      </c>
      <c r="G38" s="189" t="str">
        <f>IFERROR(__xludf.DUMMYFUNCTION("""COMPUTED_VALUE"""),"Raze,Viper,Brimstone,Fade,Gekko")</f>
        <v>Raze,Viper,Brimstone,Fade,Gekko</v>
      </c>
      <c r="H38" s="189" t="str">
        <f>IFERROR(__xludf.DUMMYFUNCTION("""COMPUTED_VALUE"""),"Raze,Viper,Brimstone,Yoru,Fade")</f>
        <v>Raze,Viper,Brimstone,Yoru,Fade</v>
      </c>
      <c r="I38" s="189">
        <f>IFERROR(__xludf.DUMMYFUNCTION("""COMPUTED_VALUE"""),12.0)</f>
        <v>12</v>
      </c>
      <c r="J38" s="189">
        <f>IFERROR(__xludf.DUMMYFUNCTION("""COMPUTED_VALUE"""),14.0)</f>
        <v>14</v>
      </c>
      <c r="K38" s="189">
        <f>IFERROR(__xludf.DUMMYFUNCTION("""COMPUTED_VALUE"""),7.0)</f>
        <v>7</v>
      </c>
      <c r="L38" s="189">
        <f>IFERROR(__xludf.DUMMYFUNCTION("""COMPUTED_VALUE"""),5.0)</f>
        <v>5</v>
      </c>
      <c r="M38" s="189">
        <f>IFERROR(__xludf.DUMMYFUNCTION("""COMPUTED_VALUE"""),1.0)</f>
        <v>1</v>
      </c>
      <c r="N38" s="189">
        <f>IFERROR(__xludf.DUMMYFUNCTION("""COMPUTED_VALUE"""),1.0)</f>
        <v>1</v>
      </c>
      <c r="O38" s="189">
        <f>IFERROR(__xludf.DUMMYFUNCTION("""COMPUTED_VALUE"""),7.0)</f>
        <v>7</v>
      </c>
      <c r="P38" s="189">
        <f>IFERROR(__xludf.DUMMYFUNCTION("""COMPUTED_VALUE"""),6.0)</f>
        <v>6</v>
      </c>
      <c r="Q38" s="189">
        <f>IFERROR(__xludf.DUMMYFUNCTION("""COMPUTED_VALUE"""),5.0)</f>
        <v>5</v>
      </c>
      <c r="R38" s="189">
        <f>IFERROR(__xludf.DUMMYFUNCTION("""COMPUTED_VALUE"""),8.0)</f>
        <v>8</v>
      </c>
      <c r="S38" s="189">
        <f>IFERROR(__xludf.DUMMYFUNCTION("""COMPUTED_VALUE"""),0.0)</f>
        <v>0</v>
      </c>
      <c r="T38" s="189">
        <f>IFERROR(__xludf.DUMMYFUNCTION("""COMPUTED_VALUE"""),0.0)</f>
        <v>0</v>
      </c>
      <c r="U38" s="189">
        <f>IFERROR(__xludf.DUMMYFUNCTION("""COMPUTED_VALUE"""),8.0)</f>
        <v>8</v>
      </c>
      <c r="V38" s="189">
        <f>IFERROR(__xludf.DUMMYFUNCTION("""COMPUTED_VALUE"""),5.0)</f>
        <v>5</v>
      </c>
      <c r="W38" s="189">
        <f>IFERROR(__xludf.DUMMYFUNCTION("""COMPUTED_VALUE"""),6.0)</f>
        <v>6</v>
      </c>
      <c r="X38" s="189">
        <f>IFERROR(__xludf.DUMMYFUNCTION("""COMPUTED_VALUE"""),7.0)</f>
        <v>7</v>
      </c>
      <c r="Y38" s="208" t="str">
        <f>IFERROR(__xludf.DUMMYFUNCTION("""COMPUTED_VALUE"""),"2025-08-16T00:00:00.000Z")</f>
        <v>2025-08-16T00:00:00.000Z</v>
      </c>
      <c r="Z38" s="189" t="s">
        <v>100</v>
      </c>
      <c r="AA38" s="189" t="s">
        <v>180</v>
      </c>
    </row>
    <row r="39">
      <c r="A39" s="189">
        <f>IFERROR(__xludf.DUMMYFUNCTION("""COMPUTED_VALUE"""),212490.0)</f>
        <v>212490</v>
      </c>
      <c r="B39" s="189">
        <f>IFERROR(__xludf.DUMMYFUNCTION("""COMPUTED_VALUE"""),93599.0)</f>
        <v>93599</v>
      </c>
      <c r="C39" s="189" t="str">
        <f>IFERROR(__xludf.DUMMYFUNCTION("""COMPUTED_VALUE"""),"Challengers League 2025 DACH: Evolution Stage 3 - Playoffs")</f>
        <v>Challengers League 2025 DACH: Evolution Stage 3 - Playoffs</v>
      </c>
      <c r="D39" s="189" t="str">
        <f>IFERROR(__xludf.DUMMYFUNCTION("""COMPUTED_VALUE"""),"Haven")</f>
        <v>Haven</v>
      </c>
      <c r="E39" s="189" t="str">
        <f>IFERROR(__xludf.DUMMYFUNCTION("""COMPUTED_VALUE"""),"MOUZ")</f>
        <v>MOUZ</v>
      </c>
      <c r="F39" s="189" t="str">
        <f>IFERROR(__xludf.DUMMYFUNCTION("""COMPUTED_VALUE"""),"ALTERNATE aTTaX")</f>
        <v>ALTERNATE aTTaX</v>
      </c>
      <c r="G39" s="189" t="str">
        <f>IFERROR(__xludf.DUMMYFUNCTION("""COMPUTED_VALUE"""),"Cypher,Sova,Omen,Yoru,Iso")</f>
        <v>Cypher,Sova,Omen,Yoru,Iso</v>
      </c>
      <c r="H39" s="189" t="str">
        <f>IFERROR(__xludf.DUMMYFUNCTION("""COMPUTED_VALUE"""),"Sova,Killjoy,Viper,Omen,Neon")</f>
        <v>Sova,Killjoy,Viper,Omen,Neon</v>
      </c>
      <c r="I39" s="189">
        <f>IFERROR(__xludf.DUMMYFUNCTION("""COMPUTED_VALUE"""),13.0)</f>
        <v>13</v>
      </c>
      <c r="J39" s="189">
        <f>IFERROR(__xludf.DUMMYFUNCTION("""COMPUTED_VALUE"""),5.0)</f>
        <v>5</v>
      </c>
      <c r="K39" s="189">
        <f>IFERROR(__xludf.DUMMYFUNCTION("""COMPUTED_VALUE"""),9.0)</f>
        <v>9</v>
      </c>
      <c r="L39" s="189">
        <f>IFERROR(__xludf.DUMMYFUNCTION("""COMPUTED_VALUE"""),3.0)</f>
        <v>3</v>
      </c>
      <c r="M39" s="189">
        <f>IFERROR(__xludf.DUMMYFUNCTION("""COMPUTED_VALUE"""),1.0)</f>
        <v>1</v>
      </c>
      <c r="N39" s="189">
        <f>IFERROR(__xludf.DUMMYFUNCTION("""COMPUTED_VALUE"""),1.0)</f>
        <v>1</v>
      </c>
      <c r="O39" s="189">
        <f>IFERROR(__xludf.DUMMYFUNCTION("""COMPUTED_VALUE"""),9.0)</f>
        <v>9</v>
      </c>
      <c r="P39" s="189">
        <f>IFERROR(__xludf.DUMMYFUNCTION("""COMPUTED_VALUE"""),3.0)</f>
        <v>3</v>
      </c>
      <c r="Q39" s="189">
        <f>IFERROR(__xludf.DUMMYFUNCTION("""COMPUTED_VALUE"""),4.0)</f>
        <v>4</v>
      </c>
      <c r="R39" s="189">
        <f>IFERROR(__xludf.DUMMYFUNCTION("""COMPUTED_VALUE"""),2.0)</f>
        <v>2</v>
      </c>
      <c r="S39" s="189">
        <f>IFERROR(__xludf.DUMMYFUNCTION("""COMPUTED_VALUE"""),0.0)</f>
        <v>0</v>
      </c>
      <c r="T39" s="189">
        <f>IFERROR(__xludf.DUMMYFUNCTION("""COMPUTED_VALUE"""),0.0)</f>
        <v>0</v>
      </c>
      <c r="U39" s="189">
        <f>IFERROR(__xludf.DUMMYFUNCTION("""COMPUTED_VALUE"""),2.0)</f>
        <v>2</v>
      </c>
      <c r="V39" s="189">
        <f>IFERROR(__xludf.DUMMYFUNCTION("""COMPUTED_VALUE"""),4.0)</f>
        <v>4</v>
      </c>
      <c r="W39" s="189">
        <f>IFERROR(__xludf.DUMMYFUNCTION("""COMPUTED_VALUE"""),3.0)</f>
        <v>3</v>
      </c>
      <c r="X39" s="189">
        <f>IFERROR(__xludf.DUMMYFUNCTION("""COMPUTED_VALUE"""),9.0)</f>
        <v>9</v>
      </c>
      <c r="Y39" s="208" t="str">
        <f>IFERROR(__xludf.DUMMYFUNCTION("""COMPUTED_VALUE"""),"2025-08-15T00:00:00.000Z")</f>
        <v>2025-08-15T00:00:00.000Z</v>
      </c>
      <c r="Z39" s="189" t="s">
        <v>136</v>
      </c>
      <c r="AA39" s="189" t="s">
        <v>180</v>
      </c>
    </row>
    <row r="40">
      <c r="A40" s="189">
        <f>IFERROR(__xludf.DUMMYFUNCTION("""COMPUTED_VALUE"""),212489.0)</f>
        <v>212489</v>
      </c>
      <c r="B40" s="189">
        <f>IFERROR(__xludf.DUMMYFUNCTION("""COMPUTED_VALUE"""),93599.0)</f>
        <v>93599</v>
      </c>
      <c r="C40" s="189" t="str">
        <f>IFERROR(__xludf.DUMMYFUNCTION("""COMPUTED_VALUE"""),"Challengers League 2025 DACH: Evolution Stage 3 - Playoffs")</f>
        <v>Challengers League 2025 DACH: Evolution Stage 3 - Playoffs</v>
      </c>
      <c r="D40" s="189" t="str">
        <f>IFERROR(__xludf.DUMMYFUNCTION("""COMPUTED_VALUE"""),"Corrode")</f>
        <v>Corrode</v>
      </c>
      <c r="E40" s="189" t="str">
        <f>IFERROR(__xludf.DUMMYFUNCTION("""COMPUTED_VALUE"""),"MOUZ")</f>
        <v>MOUZ</v>
      </c>
      <c r="F40" s="189" t="str">
        <f>IFERROR(__xludf.DUMMYFUNCTION("""COMPUTED_VALUE"""),"ALTERNATE aTTaX")</f>
        <v>ALTERNATE aTTaX</v>
      </c>
      <c r="G40" s="189" t="str">
        <f>IFERROR(__xludf.DUMMYFUNCTION("""COMPUTED_VALUE"""),"Omen,Yoru,Chamber,Neon,Fade")</f>
        <v>Omen,Yoru,Chamber,Neon,Fade</v>
      </c>
      <c r="H40" s="189" t="str">
        <f>IFERROR(__xludf.DUMMYFUNCTION("""COMPUTED_VALUE"""),"Sage,Omen,Neon,Fade,Vyse")</f>
        <v>Sage,Omen,Neon,Fade,Vyse</v>
      </c>
      <c r="I40" s="189">
        <f>IFERROR(__xludf.DUMMYFUNCTION("""COMPUTED_VALUE"""),13.0)</f>
        <v>13</v>
      </c>
      <c r="J40" s="189">
        <f>IFERROR(__xludf.DUMMYFUNCTION("""COMPUTED_VALUE"""),11.0)</f>
        <v>11</v>
      </c>
      <c r="K40" s="189">
        <f>IFERROR(__xludf.DUMMYFUNCTION("""COMPUTED_VALUE"""),7.0)</f>
        <v>7</v>
      </c>
      <c r="L40" s="189">
        <f>IFERROR(__xludf.DUMMYFUNCTION("""COMPUTED_VALUE"""),5.0)</f>
        <v>5</v>
      </c>
      <c r="M40" s="189">
        <f>IFERROR(__xludf.DUMMYFUNCTION("""COMPUTED_VALUE"""),1.0)</f>
        <v>1</v>
      </c>
      <c r="N40" s="189">
        <f>IFERROR(__xludf.DUMMYFUNCTION("""COMPUTED_VALUE"""),1.0)</f>
        <v>1</v>
      </c>
      <c r="O40" s="189">
        <f>IFERROR(__xludf.DUMMYFUNCTION("""COMPUTED_VALUE"""),6.0)</f>
        <v>6</v>
      </c>
      <c r="P40" s="189">
        <f>IFERROR(__xludf.DUMMYFUNCTION("""COMPUTED_VALUE"""),6.0)</f>
        <v>6</v>
      </c>
      <c r="Q40" s="189">
        <f>IFERROR(__xludf.DUMMYFUNCTION("""COMPUTED_VALUE"""),7.0)</f>
        <v>7</v>
      </c>
      <c r="R40" s="189">
        <f>IFERROR(__xludf.DUMMYFUNCTION("""COMPUTED_VALUE"""),5.0)</f>
        <v>5</v>
      </c>
      <c r="S40" s="189">
        <f>IFERROR(__xludf.DUMMYFUNCTION("""COMPUTED_VALUE"""),0.0)</f>
        <v>0</v>
      </c>
      <c r="T40" s="189">
        <f>IFERROR(__xludf.DUMMYFUNCTION("""COMPUTED_VALUE"""),0.0)</f>
        <v>0</v>
      </c>
      <c r="U40" s="189">
        <f>IFERROR(__xludf.DUMMYFUNCTION("""COMPUTED_VALUE"""),5.0)</f>
        <v>5</v>
      </c>
      <c r="V40" s="189">
        <f>IFERROR(__xludf.DUMMYFUNCTION("""COMPUTED_VALUE"""),7.0)</f>
        <v>7</v>
      </c>
      <c r="W40" s="189">
        <f>IFERROR(__xludf.DUMMYFUNCTION("""COMPUTED_VALUE"""),6.0)</f>
        <v>6</v>
      </c>
      <c r="X40" s="189">
        <f>IFERROR(__xludf.DUMMYFUNCTION("""COMPUTED_VALUE"""),6.0)</f>
        <v>6</v>
      </c>
      <c r="Y40" s="208" t="str">
        <f>IFERROR(__xludf.DUMMYFUNCTION("""COMPUTED_VALUE"""),"2025-08-15T00:00:00.000Z")</f>
        <v>2025-08-15T00:00:00.000Z</v>
      </c>
      <c r="Z40" s="189" t="s">
        <v>135</v>
      </c>
      <c r="AA40" s="189" t="s">
        <v>180</v>
      </c>
    </row>
    <row r="41">
      <c r="A41" s="189">
        <f>IFERROR(__xludf.DUMMYFUNCTION("""COMPUTED_VALUE"""),212487.0)</f>
        <v>212487</v>
      </c>
      <c r="B41" s="189">
        <f>IFERROR(__xludf.DUMMYFUNCTION("""COMPUTED_VALUE"""),93598.0)</f>
        <v>93598</v>
      </c>
      <c r="C41" s="189" t="str">
        <f>IFERROR(__xludf.DUMMYFUNCTION("""COMPUTED_VALUE"""),"Challengers League 2025 DACH: Evolution Stage 3 - Playoffs")</f>
        <v>Challengers League 2025 DACH: Evolution Stage 3 - Playoffs</v>
      </c>
      <c r="D41" s="189" t="str">
        <f>IFERROR(__xludf.DUMMYFUNCTION("""COMPUTED_VALUE"""),"Sunset")</f>
        <v>Sunset</v>
      </c>
      <c r="E41" s="189" t="str">
        <f>IFERROR(__xludf.DUMMYFUNCTION("""COMPUTED_VALUE"""),"Eintracht Frankfurt")</f>
        <v>Eintracht Frankfurt</v>
      </c>
      <c r="F41" s="189" t="str">
        <f>IFERROR(__xludf.DUMMYFUNCTION("""COMPUTED_VALUE"""),"FOKUS")</f>
        <v>FOKUS</v>
      </c>
      <c r="G41" s="189" t="str">
        <f>IFERROR(__xludf.DUMMYFUNCTION("""COMPUTED_VALUE"""),"Raze,Cypher,Omen,Yoru,Fade")</f>
        <v>Raze,Cypher,Omen,Yoru,Fade</v>
      </c>
      <c r="H41" s="189" t="str">
        <f>IFERROR(__xludf.DUMMYFUNCTION("""COMPUTED_VALUE"""),"Breach,Cypher,Sova,Omen,Neon")</f>
        <v>Breach,Cypher,Sova,Omen,Neon</v>
      </c>
      <c r="I41" s="189">
        <f>IFERROR(__xludf.DUMMYFUNCTION("""COMPUTED_VALUE"""),13.0)</f>
        <v>13</v>
      </c>
      <c r="J41" s="189">
        <f>IFERROR(__xludf.DUMMYFUNCTION("""COMPUTED_VALUE"""),7.0)</f>
        <v>7</v>
      </c>
      <c r="K41" s="189">
        <f>IFERROR(__xludf.DUMMYFUNCTION("""COMPUTED_VALUE"""),9.0)</f>
        <v>9</v>
      </c>
      <c r="L41" s="189">
        <f>IFERROR(__xludf.DUMMYFUNCTION("""COMPUTED_VALUE"""),3.0)</f>
        <v>3</v>
      </c>
      <c r="M41" s="189">
        <f>IFERROR(__xludf.DUMMYFUNCTION("""COMPUTED_VALUE"""),0.0)</f>
        <v>0</v>
      </c>
      <c r="N41" s="189">
        <f>IFERROR(__xludf.DUMMYFUNCTION("""COMPUTED_VALUE"""),1.0)</f>
        <v>1</v>
      </c>
      <c r="O41" s="189">
        <f>IFERROR(__xludf.DUMMYFUNCTION("""COMPUTED_VALUE"""),4.0)</f>
        <v>4</v>
      </c>
      <c r="P41" s="189">
        <f>IFERROR(__xludf.DUMMYFUNCTION("""COMPUTED_VALUE"""),4.0)</f>
        <v>4</v>
      </c>
      <c r="Q41" s="189">
        <f>IFERROR(__xludf.DUMMYFUNCTION("""COMPUTED_VALUE"""),9.0)</f>
        <v>9</v>
      </c>
      <c r="R41" s="189">
        <f>IFERROR(__xludf.DUMMYFUNCTION("""COMPUTED_VALUE"""),3.0)</f>
        <v>3</v>
      </c>
      <c r="S41" s="189">
        <f>IFERROR(__xludf.DUMMYFUNCTION("""COMPUTED_VALUE"""),0.0)</f>
        <v>0</v>
      </c>
      <c r="T41" s="189">
        <f>IFERROR(__xludf.DUMMYFUNCTION("""COMPUTED_VALUE"""),1.0)</f>
        <v>1</v>
      </c>
      <c r="U41" s="189">
        <f>IFERROR(__xludf.DUMMYFUNCTION("""COMPUTED_VALUE"""),3.0)</f>
        <v>3</v>
      </c>
      <c r="V41" s="189">
        <f>IFERROR(__xludf.DUMMYFUNCTION("""COMPUTED_VALUE"""),9.0)</f>
        <v>9</v>
      </c>
      <c r="W41" s="189">
        <f>IFERROR(__xludf.DUMMYFUNCTION("""COMPUTED_VALUE"""),4.0)</f>
        <v>4</v>
      </c>
      <c r="X41" s="189">
        <f>IFERROR(__xludf.DUMMYFUNCTION("""COMPUTED_VALUE"""),4.0)</f>
        <v>4</v>
      </c>
      <c r="Y41" s="208" t="str">
        <f>IFERROR(__xludf.DUMMYFUNCTION("""COMPUTED_VALUE"""),"2025-08-15T00:00:00.000Z")</f>
        <v>2025-08-15T00:00:00.000Z</v>
      </c>
      <c r="Z41" s="189" t="s">
        <v>106</v>
      </c>
      <c r="AA41" s="189" t="s">
        <v>183</v>
      </c>
    </row>
    <row r="42">
      <c r="A42" s="189">
        <f>IFERROR(__xludf.DUMMYFUNCTION("""COMPUTED_VALUE"""),212486.0)</f>
        <v>212486</v>
      </c>
      <c r="B42" s="189">
        <f>IFERROR(__xludf.DUMMYFUNCTION("""COMPUTED_VALUE"""),93598.0)</f>
        <v>93598</v>
      </c>
      <c r="C42" s="189" t="str">
        <f>IFERROR(__xludf.DUMMYFUNCTION("""COMPUTED_VALUE"""),"Challengers League 2025 DACH: Evolution Stage 3 - Playoffs")</f>
        <v>Challengers League 2025 DACH: Evolution Stage 3 - Playoffs</v>
      </c>
      <c r="D42" s="189" t="str">
        <f>IFERROR(__xludf.DUMMYFUNCTION("""COMPUTED_VALUE"""),"Bind")</f>
        <v>Bind</v>
      </c>
      <c r="E42" s="189" t="str">
        <f>IFERROR(__xludf.DUMMYFUNCTION("""COMPUTED_VALUE"""),"Eintracht Frankfurt")</f>
        <v>Eintracht Frankfurt</v>
      </c>
      <c r="F42" s="189" t="str">
        <f>IFERROR(__xludf.DUMMYFUNCTION("""COMPUTED_VALUE"""),"FOKUS")</f>
        <v>FOKUS</v>
      </c>
      <c r="G42" s="189" t="str">
        <f>IFERROR(__xludf.DUMMYFUNCTION("""COMPUTED_VALUE"""),"Raze,Viper,Brimstone,Fade,Gekko")</f>
        <v>Raze,Viper,Brimstone,Fade,Gekko</v>
      </c>
      <c r="H42" s="189" t="str">
        <f>IFERROR(__xludf.DUMMYFUNCTION("""COMPUTED_VALUE"""),"Raze,Viper,Brimstone,Skye,Gekko")</f>
        <v>Raze,Viper,Brimstone,Skye,Gekko</v>
      </c>
      <c r="I42" s="189">
        <f>IFERROR(__xludf.DUMMYFUNCTION("""COMPUTED_VALUE"""),13.0)</f>
        <v>13</v>
      </c>
      <c r="J42" s="189">
        <f>IFERROR(__xludf.DUMMYFUNCTION("""COMPUTED_VALUE"""),6.0)</f>
        <v>6</v>
      </c>
      <c r="K42" s="189">
        <f>IFERROR(__xludf.DUMMYFUNCTION("""COMPUTED_VALUE"""),8.0)</f>
        <v>8</v>
      </c>
      <c r="L42" s="189">
        <f>IFERROR(__xludf.DUMMYFUNCTION("""COMPUTED_VALUE"""),4.0)</f>
        <v>4</v>
      </c>
      <c r="M42" s="189">
        <f>IFERROR(__xludf.DUMMYFUNCTION("""COMPUTED_VALUE"""),1.0)</f>
        <v>1</v>
      </c>
      <c r="N42" s="189">
        <f>IFERROR(__xludf.DUMMYFUNCTION("""COMPUTED_VALUE"""),1.0)</f>
        <v>1</v>
      </c>
      <c r="O42" s="189">
        <f>IFERROR(__xludf.DUMMYFUNCTION("""COMPUTED_VALUE"""),5.0)</f>
        <v>5</v>
      </c>
      <c r="P42" s="189">
        <f>IFERROR(__xludf.DUMMYFUNCTION("""COMPUTED_VALUE"""),2.0)</f>
        <v>2</v>
      </c>
      <c r="Q42" s="189">
        <f>IFERROR(__xludf.DUMMYFUNCTION("""COMPUTED_VALUE"""),8.0)</f>
        <v>8</v>
      </c>
      <c r="R42" s="189">
        <f>IFERROR(__xludf.DUMMYFUNCTION("""COMPUTED_VALUE"""),4.0)</f>
        <v>4</v>
      </c>
      <c r="S42" s="189">
        <f>IFERROR(__xludf.DUMMYFUNCTION("""COMPUTED_VALUE"""),0.0)</f>
        <v>0</v>
      </c>
      <c r="T42" s="189">
        <f>IFERROR(__xludf.DUMMYFUNCTION("""COMPUTED_VALUE"""),0.0)</f>
        <v>0</v>
      </c>
      <c r="U42" s="189">
        <f>IFERROR(__xludf.DUMMYFUNCTION("""COMPUTED_VALUE"""),4.0)</f>
        <v>4</v>
      </c>
      <c r="V42" s="189">
        <f>IFERROR(__xludf.DUMMYFUNCTION("""COMPUTED_VALUE"""),8.0)</f>
        <v>8</v>
      </c>
      <c r="W42" s="189">
        <f>IFERROR(__xludf.DUMMYFUNCTION("""COMPUTED_VALUE"""),2.0)</f>
        <v>2</v>
      </c>
      <c r="X42" s="189">
        <f>IFERROR(__xludf.DUMMYFUNCTION("""COMPUTED_VALUE"""),5.0)</f>
        <v>5</v>
      </c>
      <c r="Y42" s="208" t="str">
        <f>IFERROR(__xludf.DUMMYFUNCTION("""COMPUTED_VALUE"""),"2025-08-15T00:00:00.000Z")</f>
        <v>2025-08-15T00:00:00.000Z</v>
      </c>
      <c r="Z42" s="189" t="s">
        <v>100</v>
      </c>
      <c r="AA42" s="189" t="s">
        <v>183</v>
      </c>
    </row>
    <row r="43">
      <c r="A43" s="189">
        <f>IFERROR(__xludf.DUMMYFUNCTION("""COMPUTED_VALUE"""),212729.0)</f>
        <v>212729</v>
      </c>
      <c r="B43" s="189">
        <f>IFERROR(__xludf.DUMMYFUNCTION("""COMPUTED_VALUE"""),93687.0)</f>
        <v>93687</v>
      </c>
      <c r="C43" s="189" t="str">
        <f>IFERROR(__xludf.DUMMYFUNCTION("""COMPUTED_VALUE"""),"Challengers 2025: France Revolution Split 3 - Playoffs")</f>
        <v>Challengers 2025: France Revolution Split 3 - Playoffs</v>
      </c>
      <c r="D43" s="189" t="str">
        <f>IFERROR(__xludf.DUMMYFUNCTION("""COMPUTED_VALUE"""),"Ascent")</f>
        <v>Ascent</v>
      </c>
      <c r="E43" s="189" t="str">
        <f>IFERROR(__xludf.DUMMYFUNCTION("""COMPUTED_VALUE"""),"Team Valiant")</f>
        <v>Team Valiant</v>
      </c>
      <c r="F43" s="189" t="str">
        <f>IFERROR(__xludf.DUMMYFUNCTION("""COMPUTED_VALUE"""),"Mandatory")</f>
        <v>Mandatory</v>
      </c>
      <c r="G43" s="189" t="str">
        <f>IFERROR(__xludf.DUMMYFUNCTION("""COMPUTED_VALUE"""),"Cypher,Sova,Omen,Jett,KAY/O")</f>
        <v>Cypher,Sova,Omen,Jett,KAY/O</v>
      </c>
      <c r="H43" s="189" t="str">
        <f>IFERROR(__xludf.DUMMYFUNCTION("""COMPUTED_VALUE"""),"Sova,Viper,Omen,Yoru,Deadlock")</f>
        <v>Sova,Viper,Omen,Yoru,Deadlock</v>
      </c>
      <c r="I43" s="189">
        <f>IFERROR(__xludf.DUMMYFUNCTION("""COMPUTED_VALUE"""),2.0)</f>
        <v>2</v>
      </c>
      <c r="J43" s="189">
        <f>IFERROR(__xludf.DUMMYFUNCTION("""COMPUTED_VALUE"""),13.0)</f>
        <v>13</v>
      </c>
      <c r="K43" s="189">
        <f>IFERROR(__xludf.DUMMYFUNCTION("""COMPUTED_VALUE"""),2.0)</f>
        <v>2</v>
      </c>
      <c r="L43" s="189">
        <f>IFERROR(__xludf.DUMMYFUNCTION("""COMPUTED_VALUE"""),10.0)</f>
        <v>10</v>
      </c>
      <c r="M43" s="189">
        <f>IFERROR(__xludf.DUMMYFUNCTION("""COMPUTED_VALUE"""),0.0)</f>
        <v>0</v>
      </c>
      <c r="N43" s="189">
        <f>IFERROR(__xludf.DUMMYFUNCTION("""COMPUTED_VALUE"""),0.0)</f>
        <v>0</v>
      </c>
      <c r="O43" s="189">
        <f>IFERROR(__xludf.DUMMYFUNCTION("""COMPUTED_VALUE"""),0.0)</f>
        <v>0</v>
      </c>
      <c r="P43" s="189">
        <f>IFERROR(__xludf.DUMMYFUNCTION("""COMPUTED_VALUE"""),3.0)</f>
        <v>3</v>
      </c>
      <c r="Q43" s="189">
        <f>IFERROR(__xludf.DUMMYFUNCTION("""COMPUTED_VALUE"""),2.0)</f>
        <v>2</v>
      </c>
      <c r="R43" s="189">
        <f>IFERROR(__xludf.DUMMYFUNCTION("""COMPUTED_VALUE"""),10.0)</f>
        <v>10</v>
      </c>
      <c r="S43" s="189">
        <f>IFERROR(__xludf.DUMMYFUNCTION("""COMPUTED_VALUE"""),1.0)</f>
        <v>1</v>
      </c>
      <c r="T43" s="189">
        <f>IFERROR(__xludf.DUMMYFUNCTION("""COMPUTED_VALUE"""),1.0)</f>
        <v>1</v>
      </c>
      <c r="U43" s="189">
        <f>IFERROR(__xludf.DUMMYFUNCTION("""COMPUTED_VALUE"""),10.0)</f>
        <v>10</v>
      </c>
      <c r="V43" s="189">
        <f>IFERROR(__xludf.DUMMYFUNCTION("""COMPUTED_VALUE"""),2.0)</f>
        <v>2</v>
      </c>
      <c r="W43" s="189">
        <f>IFERROR(__xludf.DUMMYFUNCTION("""COMPUTED_VALUE"""),3.0)</f>
        <v>3</v>
      </c>
      <c r="X43" s="189">
        <f>IFERROR(__xludf.DUMMYFUNCTION("""COMPUTED_VALUE"""),0.0)</f>
        <v>0</v>
      </c>
      <c r="Y43" s="208" t="str">
        <f>IFERROR(__xludf.DUMMYFUNCTION("""COMPUTED_VALUE"""),"2025-08-12T00:00:00.000Z")</f>
        <v>2025-08-12T00:00:00.000Z</v>
      </c>
      <c r="Z43" s="189" t="s">
        <v>389</v>
      </c>
      <c r="AA43" s="189" t="s">
        <v>189</v>
      </c>
    </row>
    <row r="44">
      <c r="A44" s="189">
        <f>IFERROR(__xludf.DUMMYFUNCTION("""COMPUTED_VALUE"""),212728.0)</f>
        <v>212728</v>
      </c>
      <c r="B44" s="189">
        <f>IFERROR(__xludf.DUMMYFUNCTION("""COMPUTED_VALUE"""),93687.0)</f>
        <v>93687</v>
      </c>
      <c r="C44" s="189" t="str">
        <f>IFERROR(__xludf.DUMMYFUNCTION("""COMPUTED_VALUE"""),"Challengers 2025: France Revolution Split 3 - Playoffs")</f>
        <v>Challengers 2025: France Revolution Split 3 - Playoffs</v>
      </c>
      <c r="D44" s="189" t="str">
        <f>IFERROR(__xludf.DUMMYFUNCTION("""COMPUTED_VALUE"""),"Haven")</f>
        <v>Haven</v>
      </c>
      <c r="E44" s="189" t="str">
        <f>IFERROR(__xludf.DUMMYFUNCTION("""COMPUTED_VALUE"""),"Team Valiant")</f>
        <v>Team Valiant</v>
      </c>
      <c r="F44" s="189" t="str">
        <f>IFERROR(__xludf.DUMMYFUNCTION("""COMPUTED_VALUE"""),"Mandatory")</f>
        <v>Mandatory</v>
      </c>
      <c r="G44" s="189" t="str">
        <f>IFERROR(__xludf.DUMMYFUNCTION("""COMPUTED_VALUE"""),"Sova,Killjoy,Viper,Omen,Neon")</f>
        <v>Sova,Killjoy,Viper,Omen,Neon</v>
      </c>
      <c r="H44" s="189" t="str">
        <f>IFERROR(__xludf.DUMMYFUNCTION("""COMPUTED_VALUE"""),"Cypher,Sova,Omen,Yoru,Iso")</f>
        <v>Cypher,Sova,Omen,Yoru,Iso</v>
      </c>
      <c r="I44" s="189">
        <f>IFERROR(__xludf.DUMMYFUNCTION("""COMPUTED_VALUE"""),15.0)</f>
        <v>15</v>
      </c>
      <c r="J44" s="189">
        <f>IFERROR(__xludf.DUMMYFUNCTION("""COMPUTED_VALUE"""),17.0)</f>
        <v>17</v>
      </c>
      <c r="K44" s="189">
        <f>IFERROR(__xludf.DUMMYFUNCTION("""COMPUTED_VALUE"""),6.0)</f>
        <v>6</v>
      </c>
      <c r="L44" s="189">
        <f>IFERROR(__xludf.DUMMYFUNCTION("""COMPUTED_VALUE"""),6.0)</f>
        <v>6</v>
      </c>
      <c r="M44" s="189">
        <f>IFERROR(__xludf.DUMMYFUNCTION("""COMPUTED_VALUE"""),0.0)</f>
        <v>0</v>
      </c>
      <c r="N44" s="189">
        <f>IFERROR(__xludf.DUMMYFUNCTION("""COMPUTED_VALUE"""),1.0)</f>
        <v>1</v>
      </c>
      <c r="O44" s="189">
        <f>IFERROR(__xludf.DUMMYFUNCTION("""COMPUTED_VALUE"""),6.0)</f>
        <v>6</v>
      </c>
      <c r="P44" s="189">
        <f>IFERROR(__xludf.DUMMYFUNCTION("""COMPUTED_VALUE"""),10.0)</f>
        <v>10</v>
      </c>
      <c r="Q44" s="189">
        <f>IFERROR(__xludf.DUMMYFUNCTION("""COMPUTED_VALUE"""),9.0)</f>
        <v>9</v>
      </c>
      <c r="R44" s="189">
        <f>IFERROR(__xludf.DUMMYFUNCTION("""COMPUTED_VALUE"""),7.0)</f>
        <v>7</v>
      </c>
      <c r="S44" s="189">
        <f>IFERROR(__xludf.DUMMYFUNCTION("""COMPUTED_VALUE"""),0.0)</f>
        <v>0</v>
      </c>
      <c r="T44" s="189">
        <f>IFERROR(__xludf.DUMMYFUNCTION("""COMPUTED_VALUE"""),1.0)</f>
        <v>1</v>
      </c>
      <c r="U44" s="189">
        <f>IFERROR(__xludf.DUMMYFUNCTION("""COMPUTED_VALUE"""),7.0)</f>
        <v>7</v>
      </c>
      <c r="V44" s="189">
        <f>IFERROR(__xludf.DUMMYFUNCTION("""COMPUTED_VALUE"""),9.0)</f>
        <v>9</v>
      </c>
      <c r="W44" s="189">
        <f>IFERROR(__xludf.DUMMYFUNCTION("""COMPUTED_VALUE"""),10.0)</f>
        <v>10</v>
      </c>
      <c r="X44" s="189">
        <f>IFERROR(__xludf.DUMMYFUNCTION("""COMPUTED_VALUE"""),6.0)</f>
        <v>6</v>
      </c>
      <c r="Y44" s="208" t="str">
        <f>IFERROR(__xludf.DUMMYFUNCTION("""COMPUTED_VALUE"""),"2025-08-12T00:00:00.000Z")</f>
        <v>2025-08-12T00:00:00.000Z</v>
      </c>
      <c r="Z44" s="189" t="s">
        <v>390</v>
      </c>
      <c r="AA44" s="189" t="s">
        <v>189</v>
      </c>
    </row>
    <row r="45">
      <c r="A45" s="189">
        <f>IFERROR(__xludf.DUMMYFUNCTION("""COMPUTED_VALUE"""),212727.0)</f>
        <v>212727</v>
      </c>
      <c r="B45" s="189">
        <f>IFERROR(__xludf.DUMMYFUNCTION("""COMPUTED_VALUE"""),93687.0)</f>
        <v>93687</v>
      </c>
      <c r="C45" s="189" t="str">
        <f>IFERROR(__xludf.DUMMYFUNCTION("""COMPUTED_VALUE"""),"Challengers 2025: France Revolution Split 3 - Playoffs")</f>
        <v>Challengers 2025: France Revolution Split 3 - Playoffs</v>
      </c>
      <c r="D45" s="189" t="str">
        <f>IFERROR(__xludf.DUMMYFUNCTION("""COMPUTED_VALUE"""),"Lotus")</f>
        <v>Lotus</v>
      </c>
      <c r="E45" s="189" t="str">
        <f>IFERROR(__xludf.DUMMYFUNCTION("""COMPUTED_VALUE"""),"Team Valiant")</f>
        <v>Team Valiant</v>
      </c>
      <c r="F45" s="189" t="str">
        <f>IFERROR(__xludf.DUMMYFUNCTION("""COMPUTED_VALUE"""),"Mandatory")</f>
        <v>Mandatory</v>
      </c>
      <c r="G45" s="189" t="str">
        <f>IFERROR(__xludf.DUMMYFUNCTION("""COMPUTED_VALUE"""),"Raze,Killjoy,Viper,Omen,Fade")</f>
        <v>Raze,Killjoy,Viper,Omen,Fade</v>
      </c>
      <c r="H45" s="189" t="str">
        <f>IFERROR(__xludf.DUMMYFUNCTION("""COMPUTED_VALUE"""),"Cypher,Sova,Omen,Yoru,Deadlock")</f>
        <v>Cypher,Sova,Omen,Yoru,Deadlock</v>
      </c>
      <c r="I45" s="189">
        <f>IFERROR(__xludf.DUMMYFUNCTION("""COMPUTED_VALUE"""),8.0)</f>
        <v>8</v>
      </c>
      <c r="J45" s="189">
        <f>IFERROR(__xludf.DUMMYFUNCTION("""COMPUTED_VALUE"""),13.0)</f>
        <v>13</v>
      </c>
      <c r="K45" s="189">
        <f>IFERROR(__xludf.DUMMYFUNCTION("""COMPUTED_VALUE"""),6.0)</f>
        <v>6</v>
      </c>
      <c r="L45" s="189">
        <f>IFERROR(__xludf.DUMMYFUNCTION("""COMPUTED_VALUE"""),6.0)</f>
        <v>6</v>
      </c>
      <c r="M45" s="189">
        <f>IFERROR(__xludf.DUMMYFUNCTION("""COMPUTED_VALUE"""),1.0)</f>
        <v>1</v>
      </c>
      <c r="N45" s="189">
        <f>IFERROR(__xludf.DUMMYFUNCTION("""COMPUTED_VALUE"""),0.0)</f>
        <v>0</v>
      </c>
      <c r="O45" s="189">
        <f>IFERROR(__xludf.DUMMYFUNCTION("""COMPUTED_VALUE"""),2.0)</f>
        <v>2</v>
      </c>
      <c r="P45" s="189">
        <f>IFERROR(__xludf.DUMMYFUNCTION("""COMPUTED_VALUE"""),7.0)</f>
        <v>7</v>
      </c>
      <c r="Q45" s="189">
        <f>IFERROR(__xludf.DUMMYFUNCTION("""COMPUTED_VALUE"""),6.0)</f>
        <v>6</v>
      </c>
      <c r="R45" s="189">
        <f>IFERROR(__xludf.DUMMYFUNCTION("""COMPUTED_VALUE"""),6.0)</f>
        <v>6</v>
      </c>
      <c r="S45" s="189">
        <f>IFERROR(__xludf.DUMMYFUNCTION("""COMPUTED_VALUE"""),1.0)</f>
        <v>1</v>
      </c>
      <c r="T45" s="189">
        <f>IFERROR(__xludf.DUMMYFUNCTION("""COMPUTED_VALUE"""),0.0)</f>
        <v>0</v>
      </c>
      <c r="U45" s="189">
        <f>IFERROR(__xludf.DUMMYFUNCTION("""COMPUTED_VALUE"""),6.0)</f>
        <v>6</v>
      </c>
      <c r="V45" s="189">
        <f>IFERROR(__xludf.DUMMYFUNCTION("""COMPUTED_VALUE"""),6.0)</f>
        <v>6</v>
      </c>
      <c r="W45" s="189">
        <f>IFERROR(__xludf.DUMMYFUNCTION("""COMPUTED_VALUE"""),7.0)</f>
        <v>7</v>
      </c>
      <c r="X45" s="189">
        <f>IFERROR(__xludf.DUMMYFUNCTION("""COMPUTED_VALUE"""),2.0)</f>
        <v>2</v>
      </c>
      <c r="Y45" s="208" t="str">
        <f>IFERROR(__xludf.DUMMYFUNCTION("""COMPUTED_VALUE"""),"2025-08-12T00:00:00.000Z")</f>
        <v>2025-08-12T00:00:00.000Z</v>
      </c>
      <c r="Z45" s="189" t="s">
        <v>391</v>
      </c>
      <c r="AA45" s="189" t="s">
        <v>189</v>
      </c>
    </row>
    <row r="46">
      <c r="A46" s="189">
        <f>IFERROR(__xludf.DUMMYFUNCTION("""COMPUTED_VALUE"""),212726.0)</f>
        <v>212726</v>
      </c>
      <c r="B46" s="189">
        <f>IFERROR(__xludf.DUMMYFUNCTION("""COMPUTED_VALUE"""),93687.0)</f>
        <v>93687</v>
      </c>
      <c r="C46" s="189" t="str">
        <f>IFERROR(__xludf.DUMMYFUNCTION("""COMPUTED_VALUE"""),"Challengers 2025: France Revolution Split 3 - Playoffs")</f>
        <v>Challengers 2025: France Revolution Split 3 - Playoffs</v>
      </c>
      <c r="D46" s="189" t="str">
        <f>IFERROR(__xludf.DUMMYFUNCTION("""COMPUTED_VALUE"""),"Corrode")</f>
        <v>Corrode</v>
      </c>
      <c r="E46" s="189" t="str">
        <f>IFERROR(__xludf.DUMMYFUNCTION("""COMPUTED_VALUE"""),"Team Valiant")</f>
        <v>Team Valiant</v>
      </c>
      <c r="F46" s="189" t="str">
        <f>IFERROR(__xludf.DUMMYFUNCTION("""COMPUTED_VALUE"""),"Mandatory")</f>
        <v>Mandatory</v>
      </c>
      <c r="G46" s="189" t="str">
        <f>IFERROR(__xludf.DUMMYFUNCTION("""COMPUTED_VALUE"""),"Viper,Omen,Neon,Fade,Vyse")</f>
        <v>Viper,Omen,Neon,Fade,Vyse</v>
      </c>
      <c r="H46" s="189" t="str">
        <f>IFERROR(__xludf.DUMMYFUNCTION("""COMPUTED_VALUE"""),"Raze,Viper,Omen,Fade,Vyse")</f>
        <v>Raze,Viper,Omen,Fade,Vyse</v>
      </c>
      <c r="I46" s="189">
        <f>IFERROR(__xludf.DUMMYFUNCTION("""COMPUTED_VALUE"""),13.0)</f>
        <v>13</v>
      </c>
      <c r="J46" s="189">
        <f>IFERROR(__xludf.DUMMYFUNCTION("""COMPUTED_VALUE"""),4.0)</f>
        <v>4</v>
      </c>
      <c r="K46" s="189">
        <f>IFERROR(__xludf.DUMMYFUNCTION("""COMPUTED_VALUE"""),9.0)</f>
        <v>9</v>
      </c>
      <c r="L46" s="189">
        <f>IFERROR(__xludf.DUMMYFUNCTION("""COMPUTED_VALUE"""),3.0)</f>
        <v>3</v>
      </c>
      <c r="M46" s="189">
        <f>IFERROR(__xludf.DUMMYFUNCTION("""COMPUTED_VALUE"""),1.0)</f>
        <v>1</v>
      </c>
      <c r="N46" s="189">
        <f>IFERROR(__xludf.DUMMYFUNCTION("""COMPUTED_VALUE"""),1.0)</f>
        <v>1</v>
      </c>
      <c r="O46" s="189">
        <f>IFERROR(__xludf.DUMMYFUNCTION("""COMPUTED_VALUE"""),9.0)</f>
        <v>9</v>
      </c>
      <c r="P46" s="189">
        <f>IFERROR(__xludf.DUMMYFUNCTION("""COMPUTED_VALUE"""),3.0)</f>
        <v>3</v>
      </c>
      <c r="Q46" s="189">
        <f>IFERROR(__xludf.DUMMYFUNCTION("""COMPUTED_VALUE"""),4.0)</f>
        <v>4</v>
      </c>
      <c r="R46" s="189">
        <f>IFERROR(__xludf.DUMMYFUNCTION("""COMPUTED_VALUE"""),1.0)</f>
        <v>1</v>
      </c>
      <c r="S46" s="189">
        <f>IFERROR(__xludf.DUMMYFUNCTION("""COMPUTED_VALUE"""),0.0)</f>
        <v>0</v>
      </c>
      <c r="T46" s="189">
        <f>IFERROR(__xludf.DUMMYFUNCTION("""COMPUTED_VALUE"""),0.0)</f>
        <v>0</v>
      </c>
      <c r="U46" s="189">
        <f>IFERROR(__xludf.DUMMYFUNCTION("""COMPUTED_VALUE"""),1.0)</f>
        <v>1</v>
      </c>
      <c r="V46" s="189">
        <f>IFERROR(__xludf.DUMMYFUNCTION("""COMPUTED_VALUE"""),4.0)</f>
        <v>4</v>
      </c>
      <c r="W46" s="189">
        <f>IFERROR(__xludf.DUMMYFUNCTION("""COMPUTED_VALUE"""),3.0)</f>
        <v>3</v>
      </c>
      <c r="X46" s="189">
        <f>IFERROR(__xludf.DUMMYFUNCTION("""COMPUTED_VALUE"""),9.0)</f>
        <v>9</v>
      </c>
      <c r="Y46" s="208" t="str">
        <f>IFERROR(__xludf.DUMMYFUNCTION("""COMPUTED_VALUE"""),"2025-08-12T00:00:00.000Z")</f>
        <v>2025-08-12T00:00:00.000Z</v>
      </c>
      <c r="Z46" s="189" t="s">
        <v>392</v>
      </c>
      <c r="AA46" s="189" t="s">
        <v>393</v>
      </c>
    </row>
    <row r="47">
      <c r="A47" s="189">
        <f>IFERROR(__xludf.DUMMYFUNCTION("""COMPUTED_VALUE"""),212725.0)</f>
        <v>212725</v>
      </c>
      <c r="B47" s="189">
        <f>IFERROR(__xludf.DUMMYFUNCTION("""COMPUTED_VALUE"""),93687.0)</f>
        <v>93687</v>
      </c>
      <c r="C47" s="189" t="str">
        <f>IFERROR(__xludf.DUMMYFUNCTION("""COMPUTED_VALUE"""),"Challengers 2025: France Revolution Split 3 - Playoffs")</f>
        <v>Challengers 2025: France Revolution Split 3 - Playoffs</v>
      </c>
      <c r="D47" s="189" t="str">
        <f>IFERROR(__xludf.DUMMYFUNCTION("""COMPUTED_VALUE"""),"Icebox")</f>
        <v>Icebox</v>
      </c>
      <c r="E47" s="189" t="str">
        <f>IFERROR(__xludf.DUMMYFUNCTION("""COMPUTED_VALUE"""),"Team Valiant")</f>
        <v>Team Valiant</v>
      </c>
      <c r="F47" s="189" t="str">
        <f>IFERROR(__xludf.DUMMYFUNCTION("""COMPUTED_VALUE"""),"Mandatory")</f>
        <v>Mandatory</v>
      </c>
      <c r="G47" s="189" t="str">
        <f>IFERROR(__xludf.DUMMYFUNCTION("""COMPUTED_VALUE"""),"Sova,Killjoy,Viper,Jett,KAY/O")</f>
        <v>Sova,Killjoy,Viper,Jett,KAY/O</v>
      </c>
      <c r="H47" s="189" t="str">
        <f>IFERROR(__xludf.DUMMYFUNCTION("""COMPUTED_VALUE"""),"Sova,Killjoy,Viper,Omen,Gekko")</f>
        <v>Sova,Killjoy,Viper,Omen,Gekko</v>
      </c>
      <c r="I47" s="189">
        <f>IFERROR(__xludf.DUMMYFUNCTION("""COMPUTED_VALUE"""),13.0)</f>
        <v>13</v>
      </c>
      <c r="J47" s="189">
        <f>IFERROR(__xludf.DUMMYFUNCTION("""COMPUTED_VALUE"""),9.0)</f>
        <v>9</v>
      </c>
      <c r="K47" s="189">
        <f>IFERROR(__xludf.DUMMYFUNCTION("""COMPUTED_VALUE"""),10.0)</f>
        <v>10</v>
      </c>
      <c r="L47" s="189">
        <f>IFERROR(__xludf.DUMMYFUNCTION("""COMPUTED_VALUE"""),2.0)</f>
        <v>2</v>
      </c>
      <c r="M47" s="189">
        <f>IFERROR(__xludf.DUMMYFUNCTION("""COMPUTED_VALUE"""),0.0)</f>
        <v>0</v>
      </c>
      <c r="N47" s="189">
        <f>IFERROR(__xludf.DUMMYFUNCTION("""COMPUTED_VALUE"""),1.0)</f>
        <v>1</v>
      </c>
      <c r="O47" s="189">
        <f>IFERROR(__xludf.DUMMYFUNCTION("""COMPUTED_VALUE"""),3.0)</f>
        <v>3</v>
      </c>
      <c r="P47" s="189">
        <f>IFERROR(__xludf.DUMMYFUNCTION("""COMPUTED_VALUE"""),7.0)</f>
        <v>7</v>
      </c>
      <c r="Q47" s="189">
        <f>IFERROR(__xludf.DUMMYFUNCTION("""COMPUTED_VALUE"""),10.0)</f>
        <v>10</v>
      </c>
      <c r="R47" s="189">
        <f>IFERROR(__xludf.DUMMYFUNCTION("""COMPUTED_VALUE"""),2.0)</f>
        <v>2</v>
      </c>
      <c r="S47" s="189">
        <f>IFERROR(__xludf.DUMMYFUNCTION("""COMPUTED_VALUE"""),0.0)</f>
        <v>0</v>
      </c>
      <c r="T47" s="189">
        <f>IFERROR(__xludf.DUMMYFUNCTION("""COMPUTED_VALUE"""),1.0)</f>
        <v>1</v>
      </c>
      <c r="U47" s="189">
        <f>IFERROR(__xludf.DUMMYFUNCTION("""COMPUTED_VALUE"""),2.0)</f>
        <v>2</v>
      </c>
      <c r="V47" s="189">
        <f>IFERROR(__xludf.DUMMYFUNCTION("""COMPUTED_VALUE"""),10.0)</f>
        <v>10</v>
      </c>
      <c r="W47" s="189">
        <f>IFERROR(__xludf.DUMMYFUNCTION("""COMPUTED_VALUE"""),7.0)</f>
        <v>7</v>
      </c>
      <c r="X47" s="189">
        <f>IFERROR(__xludf.DUMMYFUNCTION("""COMPUTED_VALUE"""),3.0)</f>
        <v>3</v>
      </c>
      <c r="Y47" s="208" t="str">
        <f>IFERROR(__xludf.DUMMYFUNCTION("""COMPUTED_VALUE"""),"2025-08-12T00:00:00.000Z")</f>
        <v>2025-08-12T00:00:00.000Z</v>
      </c>
      <c r="Z47" s="189" t="s">
        <v>394</v>
      </c>
      <c r="AA47" s="189" t="s">
        <v>393</v>
      </c>
    </row>
    <row r="48">
      <c r="A48" s="189">
        <f>IFERROR(__xludf.DUMMYFUNCTION("""COMPUTED_VALUE"""),212732.0)</f>
        <v>212732</v>
      </c>
      <c r="B48" s="189">
        <f>IFERROR(__xludf.DUMMYFUNCTION("""COMPUTED_VALUE"""),93688.0)</f>
        <v>93688</v>
      </c>
      <c r="C48" s="189" t="str">
        <f>IFERROR(__xludf.DUMMYFUNCTION("""COMPUTED_VALUE"""),"Challengers 2025: Türkiye Birlik Split 3 - Playoffs")</f>
        <v>Challengers 2025: Türkiye Birlik Split 3 - Playoffs</v>
      </c>
      <c r="D48" s="189" t="str">
        <f>IFERROR(__xludf.DUMMYFUNCTION("""COMPUTED_VALUE"""),"Sunset")</f>
        <v>Sunset</v>
      </c>
      <c r="E48" s="189" t="str">
        <f>IFERROR(__xludf.DUMMYFUNCTION("""COMPUTED_VALUE"""),"ULF Esports")</f>
        <v>ULF Esports</v>
      </c>
      <c r="F48" s="189" t="str">
        <f>IFERROR(__xludf.DUMMYFUNCTION("""COMPUTED_VALUE"""),"Eternal Fire")</f>
        <v>Eternal Fire</v>
      </c>
      <c r="G48" s="189" t="str">
        <f>IFERROR(__xludf.DUMMYFUNCTION("""COMPUTED_VALUE"""),"Breach,Sova,Omen,Neon,Vyse")</f>
        <v>Breach,Sova,Omen,Neon,Vyse</v>
      </c>
      <c r="H48" s="189" t="str">
        <f>IFERROR(__xludf.DUMMYFUNCTION("""COMPUTED_VALUE"""),"Cypher,Sova,Omen,Yoru,Neon")</f>
        <v>Cypher,Sova,Omen,Yoru,Neon</v>
      </c>
      <c r="I48" s="189">
        <f>IFERROR(__xludf.DUMMYFUNCTION("""COMPUTED_VALUE"""),13.0)</f>
        <v>13</v>
      </c>
      <c r="J48" s="189">
        <f>IFERROR(__xludf.DUMMYFUNCTION("""COMPUTED_VALUE"""),8.0)</f>
        <v>8</v>
      </c>
      <c r="K48" s="189">
        <f>IFERROR(__xludf.DUMMYFUNCTION("""COMPUTED_VALUE"""),8.0)</f>
        <v>8</v>
      </c>
      <c r="L48" s="189">
        <f>IFERROR(__xludf.DUMMYFUNCTION("""COMPUTED_VALUE"""),4.0)</f>
        <v>4</v>
      </c>
      <c r="M48" s="189">
        <f>IFERROR(__xludf.DUMMYFUNCTION("""COMPUTED_VALUE"""),1.0)</f>
        <v>1</v>
      </c>
      <c r="N48" s="189">
        <f>IFERROR(__xludf.DUMMYFUNCTION("""COMPUTED_VALUE"""),1.0)</f>
        <v>1</v>
      </c>
      <c r="O48" s="189">
        <f>IFERROR(__xludf.DUMMYFUNCTION("""COMPUTED_VALUE"""),8.0)</f>
        <v>8</v>
      </c>
      <c r="P48" s="189">
        <f>IFERROR(__xludf.DUMMYFUNCTION("""COMPUTED_VALUE"""),4.0)</f>
        <v>4</v>
      </c>
      <c r="Q48" s="189">
        <f>IFERROR(__xludf.DUMMYFUNCTION("""COMPUTED_VALUE"""),5.0)</f>
        <v>5</v>
      </c>
      <c r="R48" s="189">
        <f>IFERROR(__xludf.DUMMYFUNCTION("""COMPUTED_VALUE"""),4.0)</f>
        <v>4</v>
      </c>
      <c r="S48" s="189">
        <f>IFERROR(__xludf.DUMMYFUNCTION("""COMPUTED_VALUE"""),0.0)</f>
        <v>0</v>
      </c>
      <c r="T48" s="189">
        <f>IFERROR(__xludf.DUMMYFUNCTION("""COMPUTED_VALUE"""),0.0)</f>
        <v>0</v>
      </c>
      <c r="U48" s="189">
        <f>IFERROR(__xludf.DUMMYFUNCTION("""COMPUTED_VALUE"""),4.0)</f>
        <v>4</v>
      </c>
      <c r="V48" s="189">
        <f>IFERROR(__xludf.DUMMYFUNCTION("""COMPUTED_VALUE"""),5.0)</f>
        <v>5</v>
      </c>
      <c r="W48" s="189">
        <f>IFERROR(__xludf.DUMMYFUNCTION("""COMPUTED_VALUE"""),4.0)</f>
        <v>4</v>
      </c>
      <c r="X48" s="189">
        <f>IFERROR(__xludf.DUMMYFUNCTION("""COMPUTED_VALUE"""),8.0)</f>
        <v>8</v>
      </c>
      <c r="Y48" s="208" t="str">
        <f>IFERROR(__xludf.DUMMYFUNCTION("""COMPUTED_VALUE"""),"2025-08-11T00:00:00.000Z")</f>
        <v>2025-08-11T00:00:00.000Z</v>
      </c>
      <c r="Z48" s="189" t="s">
        <v>175</v>
      </c>
      <c r="AA48" s="189" t="s">
        <v>188</v>
      </c>
    </row>
    <row r="49">
      <c r="A49" s="189">
        <f>IFERROR(__xludf.DUMMYFUNCTION("""COMPUTED_VALUE"""),212731.0)</f>
        <v>212731</v>
      </c>
      <c r="B49" s="189">
        <f>IFERROR(__xludf.DUMMYFUNCTION("""COMPUTED_VALUE"""),93688.0)</f>
        <v>93688</v>
      </c>
      <c r="C49" s="189" t="str">
        <f>IFERROR(__xludf.DUMMYFUNCTION("""COMPUTED_VALUE"""),"Challengers 2025: Türkiye Birlik Split 3 - Playoffs")</f>
        <v>Challengers 2025: Türkiye Birlik Split 3 - Playoffs</v>
      </c>
      <c r="D49" s="189" t="str">
        <f>IFERROR(__xludf.DUMMYFUNCTION("""COMPUTED_VALUE"""),"Corrode")</f>
        <v>Corrode</v>
      </c>
      <c r="E49" s="189" t="str">
        <f>IFERROR(__xludf.DUMMYFUNCTION("""COMPUTED_VALUE"""),"ULF Esports")</f>
        <v>ULF Esports</v>
      </c>
      <c r="F49" s="189" t="str">
        <f>IFERROR(__xludf.DUMMYFUNCTION("""COMPUTED_VALUE"""),"Eternal Fire")</f>
        <v>Eternal Fire</v>
      </c>
      <c r="G49" s="189" t="str">
        <f>IFERROR(__xludf.DUMMYFUNCTION("""COMPUTED_VALUE"""),"Omen,KAY/O,Neon,Fade,Vyse")</f>
        <v>Omen,KAY/O,Neon,Fade,Vyse</v>
      </c>
      <c r="H49" s="189" t="str">
        <f>IFERROR(__xludf.DUMMYFUNCTION("""COMPUTED_VALUE"""),"Omen,Yoru,Neon,Fade,Vyse")</f>
        <v>Omen,Yoru,Neon,Fade,Vyse</v>
      </c>
      <c r="I49" s="189">
        <f>IFERROR(__xludf.DUMMYFUNCTION("""COMPUTED_VALUE"""),13.0)</f>
        <v>13</v>
      </c>
      <c r="J49" s="189">
        <f>IFERROR(__xludf.DUMMYFUNCTION("""COMPUTED_VALUE"""),8.0)</f>
        <v>8</v>
      </c>
      <c r="K49" s="189">
        <f>IFERROR(__xludf.DUMMYFUNCTION("""COMPUTED_VALUE"""),7.0)</f>
        <v>7</v>
      </c>
      <c r="L49" s="189">
        <f>IFERROR(__xludf.DUMMYFUNCTION("""COMPUTED_VALUE"""),5.0)</f>
        <v>5</v>
      </c>
      <c r="M49" s="189">
        <f>IFERROR(__xludf.DUMMYFUNCTION("""COMPUTED_VALUE"""),1.0)</f>
        <v>1</v>
      </c>
      <c r="N49" s="189">
        <f>IFERROR(__xludf.DUMMYFUNCTION("""COMPUTED_VALUE"""),0.0)</f>
        <v>0</v>
      </c>
      <c r="O49" s="189">
        <f>IFERROR(__xludf.DUMMYFUNCTION("""COMPUTED_VALUE"""),6.0)</f>
        <v>6</v>
      </c>
      <c r="P49" s="189">
        <f>IFERROR(__xludf.DUMMYFUNCTION("""COMPUTED_VALUE"""),3.0)</f>
        <v>3</v>
      </c>
      <c r="Q49" s="189">
        <f>IFERROR(__xludf.DUMMYFUNCTION("""COMPUTED_VALUE"""),7.0)</f>
        <v>7</v>
      </c>
      <c r="R49" s="189">
        <f>IFERROR(__xludf.DUMMYFUNCTION("""COMPUTED_VALUE"""),5.0)</f>
        <v>5</v>
      </c>
      <c r="S49" s="189">
        <f>IFERROR(__xludf.DUMMYFUNCTION("""COMPUTED_VALUE"""),1.0)</f>
        <v>1</v>
      </c>
      <c r="T49" s="189">
        <f>IFERROR(__xludf.DUMMYFUNCTION("""COMPUTED_VALUE"""),0.0)</f>
        <v>0</v>
      </c>
      <c r="U49" s="189">
        <f>IFERROR(__xludf.DUMMYFUNCTION("""COMPUTED_VALUE"""),5.0)</f>
        <v>5</v>
      </c>
      <c r="V49" s="189">
        <f>IFERROR(__xludf.DUMMYFUNCTION("""COMPUTED_VALUE"""),7.0)</f>
        <v>7</v>
      </c>
      <c r="W49" s="189">
        <f>IFERROR(__xludf.DUMMYFUNCTION("""COMPUTED_VALUE"""),3.0)</f>
        <v>3</v>
      </c>
      <c r="X49" s="189">
        <f>IFERROR(__xludf.DUMMYFUNCTION("""COMPUTED_VALUE"""),6.0)</f>
        <v>6</v>
      </c>
      <c r="Y49" s="208" t="str">
        <f>IFERROR(__xludf.DUMMYFUNCTION("""COMPUTED_VALUE"""),"2025-08-11T00:00:00.000Z")</f>
        <v>2025-08-11T00:00:00.000Z</v>
      </c>
      <c r="Z49" s="189" t="s">
        <v>169</v>
      </c>
      <c r="AA49" s="189" t="s">
        <v>188</v>
      </c>
    </row>
    <row r="50">
      <c r="A50" s="189">
        <f>IFERROR(__xludf.DUMMYFUNCTION("""COMPUTED_VALUE"""),212730.0)</f>
        <v>212730</v>
      </c>
      <c r="B50" s="189">
        <f>IFERROR(__xludf.DUMMYFUNCTION("""COMPUTED_VALUE"""),93688.0)</f>
        <v>93688</v>
      </c>
      <c r="C50" s="189" t="str">
        <f>IFERROR(__xludf.DUMMYFUNCTION("""COMPUTED_VALUE"""),"Challengers 2025: Türkiye Birlik Split 3 - Playoffs")</f>
        <v>Challengers 2025: Türkiye Birlik Split 3 - Playoffs</v>
      </c>
      <c r="D50" s="189" t="str">
        <f>IFERROR(__xludf.DUMMYFUNCTION("""COMPUTED_VALUE"""),"Lotus")</f>
        <v>Lotus</v>
      </c>
      <c r="E50" s="189" t="str">
        <f>IFERROR(__xludf.DUMMYFUNCTION("""COMPUTED_VALUE"""),"ULF Esports")</f>
        <v>ULF Esports</v>
      </c>
      <c r="F50" s="189" t="str">
        <f>IFERROR(__xludf.DUMMYFUNCTION("""COMPUTED_VALUE"""),"Eternal Fire")</f>
        <v>Eternal Fire</v>
      </c>
      <c r="G50" s="189" t="str">
        <f>IFERROR(__xludf.DUMMYFUNCTION("""COMPUTED_VALUE"""),"Raze,Omen,Yoru,Fade,Vyse")</f>
        <v>Raze,Omen,Yoru,Fade,Vyse</v>
      </c>
      <c r="H50" s="189" t="str">
        <f>IFERROR(__xludf.DUMMYFUNCTION("""COMPUTED_VALUE"""),"Raze,Omen,Yoru,Fade,Vyse")</f>
        <v>Raze,Omen,Yoru,Fade,Vyse</v>
      </c>
      <c r="I50" s="189">
        <f>IFERROR(__xludf.DUMMYFUNCTION("""COMPUTED_VALUE"""),15.0)</f>
        <v>15</v>
      </c>
      <c r="J50" s="189">
        <f>IFERROR(__xludf.DUMMYFUNCTION("""COMPUTED_VALUE"""),13.0)</f>
        <v>13</v>
      </c>
      <c r="K50" s="189">
        <f>IFERROR(__xludf.DUMMYFUNCTION("""COMPUTED_VALUE"""),7.0)</f>
        <v>7</v>
      </c>
      <c r="L50" s="189">
        <f>IFERROR(__xludf.DUMMYFUNCTION("""COMPUTED_VALUE"""),5.0)</f>
        <v>5</v>
      </c>
      <c r="M50" s="189">
        <f>IFERROR(__xludf.DUMMYFUNCTION("""COMPUTED_VALUE"""),1.0)</f>
        <v>1</v>
      </c>
      <c r="N50" s="189">
        <f>IFERROR(__xludf.DUMMYFUNCTION("""COMPUTED_VALUE"""),0.0)</f>
        <v>0</v>
      </c>
      <c r="O50" s="189">
        <f>IFERROR(__xludf.DUMMYFUNCTION("""COMPUTED_VALUE"""),9.0)</f>
        <v>9</v>
      </c>
      <c r="P50" s="189">
        <f>IFERROR(__xludf.DUMMYFUNCTION("""COMPUTED_VALUE"""),5.0)</f>
        <v>5</v>
      </c>
      <c r="Q50" s="189">
        <f>IFERROR(__xludf.DUMMYFUNCTION("""COMPUTED_VALUE"""),6.0)</f>
        <v>6</v>
      </c>
      <c r="R50" s="189">
        <f>IFERROR(__xludf.DUMMYFUNCTION("""COMPUTED_VALUE"""),8.0)</f>
        <v>8</v>
      </c>
      <c r="S50" s="189">
        <f>IFERROR(__xludf.DUMMYFUNCTION("""COMPUTED_VALUE"""),1.0)</f>
        <v>1</v>
      </c>
      <c r="T50" s="189">
        <f>IFERROR(__xludf.DUMMYFUNCTION("""COMPUTED_VALUE"""),0.0)</f>
        <v>0</v>
      </c>
      <c r="U50" s="189">
        <f>IFERROR(__xludf.DUMMYFUNCTION("""COMPUTED_VALUE"""),8.0)</f>
        <v>8</v>
      </c>
      <c r="V50" s="189">
        <f>IFERROR(__xludf.DUMMYFUNCTION("""COMPUTED_VALUE"""),6.0)</f>
        <v>6</v>
      </c>
      <c r="W50" s="189">
        <f>IFERROR(__xludf.DUMMYFUNCTION("""COMPUTED_VALUE"""),5.0)</f>
        <v>5</v>
      </c>
      <c r="X50" s="189">
        <f>IFERROR(__xludf.DUMMYFUNCTION("""COMPUTED_VALUE"""),9.0)</f>
        <v>9</v>
      </c>
      <c r="Y50" s="208" t="str">
        <f>IFERROR(__xludf.DUMMYFUNCTION("""COMPUTED_VALUE"""),"2025-08-11T00:00:00.000Z")</f>
        <v>2025-08-11T00:00:00.000Z</v>
      </c>
      <c r="Z50" s="189" t="s">
        <v>172</v>
      </c>
      <c r="AA50" s="189" t="s">
        <v>188</v>
      </c>
    </row>
    <row r="51">
      <c r="A51" s="189">
        <f>IFERROR(__xludf.DUMMYFUNCTION("""COMPUTED_VALUE"""),212684.0)</f>
        <v>212684</v>
      </c>
      <c r="B51" s="189">
        <f>IFERROR(__xludf.DUMMYFUNCTION("""COMPUTED_VALUE"""),93674.0)</f>
        <v>93674</v>
      </c>
      <c r="C51" s="189" t="str">
        <f>IFERROR(__xludf.DUMMYFUNCTION("""COMPUTED_VALUE"""),"Challengers 2025: France Revolution Split 3 - Playoffs")</f>
        <v>Challengers 2025: France Revolution Split 3 - Playoffs</v>
      </c>
      <c r="D51" s="189" t="str">
        <f>IFERROR(__xludf.DUMMYFUNCTION("""COMPUTED_VALUE"""),"Corrode")</f>
        <v>Corrode</v>
      </c>
      <c r="E51" s="189" t="str">
        <f>IFERROR(__xludf.DUMMYFUNCTION("""COMPUTED_VALUE"""),"Mandatory")</f>
        <v>Mandatory</v>
      </c>
      <c r="F51" s="189" t="str">
        <f>IFERROR(__xludf.DUMMYFUNCTION("""COMPUTED_VALUE"""),"BLX CORP")</f>
        <v>BLX CORP</v>
      </c>
      <c r="G51" s="189" t="str">
        <f>IFERROR(__xludf.DUMMYFUNCTION("""COMPUTED_VALUE"""),"Raze,Viper,Omen,Fade,Vyse")</f>
        <v>Raze,Viper,Omen,Fade,Vyse</v>
      </c>
      <c r="H51" s="189" t="str">
        <f>IFERROR(__xludf.DUMMYFUNCTION("""COMPUTED_VALUE"""),"Cypher,Sova,Phoenix,Yoru,Astra")</f>
        <v>Cypher,Sova,Phoenix,Yoru,Astra</v>
      </c>
      <c r="I51" s="189">
        <f>IFERROR(__xludf.DUMMYFUNCTION("""COMPUTED_VALUE"""),13.0)</f>
        <v>13</v>
      </c>
      <c r="J51" s="189">
        <f>IFERROR(__xludf.DUMMYFUNCTION("""COMPUTED_VALUE"""),4.0)</f>
        <v>4</v>
      </c>
      <c r="K51" s="189">
        <f>IFERROR(__xludf.DUMMYFUNCTION("""COMPUTED_VALUE"""),10.0)</f>
        <v>10</v>
      </c>
      <c r="L51" s="189">
        <f>IFERROR(__xludf.DUMMYFUNCTION("""COMPUTED_VALUE"""),2.0)</f>
        <v>2</v>
      </c>
      <c r="M51" s="189">
        <f>IFERROR(__xludf.DUMMYFUNCTION("""COMPUTED_VALUE"""),0.0)</f>
        <v>0</v>
      </c>
      <c r="N51" s="189">
        <f>IFERROR(__xludf.DUMMYFUNCTION("""COMPUTED_VALUE"""),1.0)</f>
        <v>1</v>
      </c>
      <c r="O51" s="189">
        <f>IFERROR(__xludf.DUMMYFUNCTION("""COMPUTED_VALUE"""),3.0)</f>
        <v>3</v>
      </c>
      <c r="P51" s="189">
        <f>IFERROR(__xludf.DUMMYFUNCTION("""COMPUTED_VALUE"""),2.0)</f>
        <v>2</v>
      </c>
      <c r="Q51" s="189">
        <f>IFERROR(__xludf.DUMMYFUNCTION("""COMPUTED_VALUE"""),10.0)</f>
        <v>10</v>
      </c>
      <c r="R51" s="189">
        <f>IFERROR(__xludf.DUMMYFUNCTION("""COMPUTED_VALUE"""),2.0)</f>
        <v>2</v>
      </c>
      <c r="S51" s="189">
        <f>IFERROR(__xludf.DUMMYFUNCTION("""COMPUTED_VALUE"""),0.0)</f>
        <v>0</v>
      </c>
      <c r="T51" s="189">
        <f>IFERROR(__xludf.DUMMYFUNCTION("""COMPUTED_VALUE"""),1.0)</f>
        <v>1</v>
      </c>
      <c r="U51" s="189">
        <f>IFERROR(__xludf.DUMMYFUNCTION("""COMPUTED_VALUE"""),2.0)</f>
        <v>2</v>
      </c>
      <c r="V51" s="189">
        <f>IFERROR(__xludf.DUMMYFUNCTION("""COMPUTED_VALUE"""),10.0)</f>
        <v>10</v>
      </c>
      <c r="W51" s="189">
        <f>IFERROR(__xludf.DUMMYFUNCTION("""COMPUTED_VALUE"""),2.0)</f>
        <v>2</v>
      </c>
      <c r="X51" s="189">
        <f>IFERROR(__xludf.DUMMYFUNCTION("""COMPUTED_VALUE"""),3.0)</f>
        <v>3</v>
      </c>
      <c r="Y51" s="208" t="str">
        <f>IFERROR(__xludf.DUMMYFUNCTION("""COMPUTED_VALUE"""),"2025-08-10T00:00:00.000Z")</f>
        <v>2025-08-10T00:00:00.000Z</v>
      </c>
      <c r="Z51" s="189" t="s">
        <v>127</v>
      </c>
      <c r="AA51" s="189" t="s">
        <v>189</v>
      </c>
    </row>
    <row r="52">
      <c r="A52" s="189">
        <f>IFERROR(__xludf.DUMMYFUNCTION("""COMPUTED_VALUE"""),212232.0)</f>
        <v>212232</v>
      </c>
      <c r="B52" s="189">
        <f>IFERROR(__xludf.DUMMYFUNCTION("""COMPUTED_VALUE"""),93506.0)</f>
        <v>93506</v>
      </c>
      <c r="C52" s="189" t="str">
        <f>IFERROR(__xludf.DUMMYFUNCTION("""COMPUTED_VALUE"""),"Challengers 2025: Türkiye Birlik Split 3 - Playoffs")</f>
        <v>Challengers 2025: Türkiye Birlik Split 3 - Playoffs</v>
      </c>
      <c r="D52" s="189" t="str">
        <f>IFERROR(__xludf.DUMMYFUNCTION("""COMPUTED_VALUE"""),"Corrode")</f>
        <v>Corrode</v>
      </c>
      <c r="E52" s="189" t="str">
        <f>IFERROR(__xludf.DUMMYFUNCTION("""COMPUTED_VALUE"""),"BBL PCIFIC")</f>
        <v>BBL PCIFIC</v>
      </c>
      <c r="F52" s="189" t="str">
        <f>IFERROR(__xludf.DUMMYFUNCTION("""COMPUTED_VALUE"""),"ULF Esports")</f>
        <v>ULF Esports</v>
      </c>
      <c r="G52" s="189" t="str">
        <f>IFERROR(__xludf.DUMMYFUNCTION("""COMPUTED_VALUE"""),"Viper,Omen,Neon,Fade,Vyse")</f>
        <v>Viper,Omen,Neon,Fade,Vyse</v>
      </c>
      <c r="H52" s="189" t="str">
        <f>IFERROR(__xludf.DUMMYFUNCTION("""COMPUTED_VALUE"""),"Omen,KAY/O,Neon,Fade,Vyse")</f>
        <v>Omen,KAY/O,Neon,Fade,Vyse</v>
      </c>
      <c r="I52" s="189">
        <f>IFERROR(__xludf.DUMMYFUNCTION("""COMPUTED_VALUE"""),13.0)</f>
        <v>13</v>
      </c>
      <c r="J52" s="189">
        <f>IFERROR(__xludf.DUMMYFUNCTION("""COMPUTED_VALUE"""),11.0)</f>
        <v>11</v>
      </c>
      <c r="K52" s="189">
        <f>IFERROR(__xludf.DUMMYFUNCTION("""COMPUTED_VALUE"""),8.0)</f>
        <v>8</v>
      </c>
      <c r="L52" s="189">
        <f>IFERROR(__xludf.DUMMYFUNCTION("""COMPUTED_VALUE"""),4.0)</f>
        <v>4</v>
      </c>
      <c r="M52" s="189">
        <f>IFERROR(__xludf.DUMMYFUNCTION("""COMPUTED_VALUE"""),1.0)</f>
        <v>1</v>
      </c>
      <c r="N52" s="189">
        <f>IFERROR(__xludf.DUMMYFUNCTION("""COMPUTED_VALUE"""),1.0)</f>
        <v>1</v>
      </c>
      <c r="O52" s="189">
        <f>IFERROR(__xludf.DUMMYFUNCTION("""COMPUTED_VALUE"""),5.0)</f>
        <v>5</v>
      </c>
      <c r="P52" s="189">
        <f>IFERROR(__xludf.DUMMYFUNCTION("""COMPUTED_VALUE"""),7.0)</f>
        <v>7</v>
      </c>
      <c r="Q52" s="189">
        <f>IFERROR(__xludf.DUMMYFUNCTION("""COMPUTED_VALUE"""),8.0)</f>
        <v>8</v>
      </c>
      <c r="R52" s="189">
        <f>IFERROR(__xludf.DUMMYFUNCTION("""COMPUTED_VALUE"""),4.0)</f>
        <v>4</v>
      </c>
      <c r="S52" s="189">
        <f>IFERROR(__xludf.DUMMYFUNCTION("""COMPUTED_VALUE"""),0.0)</f>
        <v>0</v>
      </c>
      <c r="T52" s="189">
        <f>IFERROR(__xludf.DUMMYFUNCTION("""COMPUTED_VALUE"""),0.0)</f>
        <v>0</v>
      </c>
      <c r="U52" s="189">
        <f>IFERROR(__xludf.DUMMYFUNCTION("""COMPUTED_VALUE"""),4.0)</f>
        <v>4</v>
      </c>
      <c r="V52" s="189">
        <f>IFERROR(__xludf.DUMMYFUNCTION("""COMPUTED_VALUE"""),8.0)</f>
        <v>8</v>
      </c>
      <c r="W52" s="189">
        <f>IFERROR(__xludf.DUMMYFUNCTION("""COMPUTED_VALUE"""),7.0)</f>
        <v>7</v>
      </c>
      <c r="X52" s="189">
        <f>IFERROR(__xludf.DUMMYFUNCTION("""COMPUTED_VALUE"""),5.0)</f>
        <v>5</v>
      </c>
      <c r="Y52" s="208" t="str">
        <f>IFERROR(__xludf.DUMMYFUNCTION("""COMPUTED_VALUE"""),"2025-08-10T00:00:00.000Z")</f>
        <v>2025-08-10T00:00:00.000Z</v>
      </c>
      <c r="Z52" s="189" t="s">
        <v>69</v>
      </c>
      <c r="AA52" s="189" t="s">
        <v>186</v>
      </c>
    </row>
    <row r="53">
      <c r="A53" s="189">
        <f>IFERROR(__xludf.DUMMYFUNCTION("""COMPUTED_VALUE"""),212683.0)</f>
        <v>212683</v>
      </c>
      <c r="B53" s="189">
        <f>IFERROR(__xludf.DUMMYFUNCTION("""COMPUTED_VALUE"""),93674.0)</f>
        <v>93674</v>
      </c>
      <c r="C53" s="189" t="str">
        <f>IFERROR(__xludf.DUMMYFUNCTION("""COMPUTED_VALUE"""),"Challengers 2025: France Revolution Split 3 - Playoffs")</f>
        <v>Challengers 2025: France Revolution Split 3 - Playoffs</v>
      </c>
      <c r="D53" s="189" t="str">
        <f>IFERROR(__xludf.DUMMYFUNCTION("""COMPUTED_VALUE"""),"Icebox")</f>
        <v>Icebox</v>
      </c>
      <c r="E53" s="189" t="str">
        <f>IFERROR(__xludf.DUMMYFUNCTION("""COMPUTED_VALUE"""),"Mandatory")</f>
        <v>Mandatory</v>
      </c>
      <c r="F53" s="189" t="str">
        <f>IFERROR(__xludf.DUMMYFUNCTION("""COMPUTED_VALUE"""),"BLX CORP")</f>
        <v>BLX CORP</v>
      </c>
      <c r="G53" s="189" t="str">
        <f>IFERROR(__xludf.DUMMYFUNCTION("""COMPUTED_VALUE"""),"Sova,Killjoy,Viper,Omen,Gekko")</f>
        <v>Sova,Killjoy,Viper,Omen,Gekko</v>
      </c>
      <c r="H53" s="189" t="str">
        <f>IFERROR(__xludf.DUMMYFUNCTION("""COMPUTED_VALUE"""),"Sova,Killjoy,Viper,Sage,Jett")</f>
        <v>Sova,Killjoy,Viper,Sage,Jett</v>
      </c>
      <c r="I53" s="189">
        <f>IFERROR(__xludf.DUMMYFUNCTION("""COMPUTED_VALUE"""),13.0)</f>
        <v>13</v>
      </c>
      <c r="J53" s="189">
        <f>IFERROR(__xludf.DUMMYFUNCTION("""COMPUTED_VALUE"""),9.0)</f>
        <v>9</v>
      </c>
      <c r="K53" s="189">
        <f>IFERROR(__xludf.DUMMYFUNCTION("""COMPUTED_VALUE"""),6.0)</f>
        <v>6</v>
      </c>
      <c r="L53" s="189">
        <f>IFERROR(__xludf.DUMMYFUNCTION("""COMPUTED_VALUE"""),6.0)</f>
        <v>6</v>
      </c>
      <c r="M53" s="189">
        <f>IFERROR(__xludf.DUMMYFUNCTION("""COMPUTED_VALUE"""),1.0)</f>
        <v>1</v>
      </c>
      <c r="N53" s="189">
        <f>IFERROR(__xludf.DUMMYFUNCTION("""COMPUTED_VALUE"""),0.0)</f>
        <v>0</v>
      </c>
      <c r="O53" s="189">
        <f>IFERROR(__xludf.DUMMYFUNCTION("""COMPUTED_VALUE"""),7.0)</f>
        <v>7</v>
      </c>
      <c r="P53" s="189">
        <f>IFERROR(__xludf.DUMMYFUNCTION("""COMPUTED_VALUE"""),3.0)</f>
        <v>3</v>
      </c>
      <c r="Q53" s="189">
        <f>IFERROR(__xludf.DUMMYFUNCTION("""COMPUTED_VALUE"""),6.0)</f>
        <v>6</v>
      </c>
      <c r="R53" s="189">
        <f>IFERROR(__xludf.DUMMYFUNCTION("""COMPUTED_VALUE"""),6.0)</f>
        <v>6</v>
      </c>
      <c r="S53" s="189">
        <f>IFERROR(__xludf.DUMMYFUNCTION("""COMPUTED_VALUE"""),1.0)</f>
        <v>1</v>
      </c>
      <c r="T53" s="189">
        <f>IFERROR(__xludf.DUMMYFUNCTION("""COMPUTED_VALUE"""),0.0)</f>
        <v>0</v>
      </c>
      <c r="U53" s="189">
        <f>IFERROR(__xludf.DUMMYFUNCTION("""COMPUTED_VALUE"""),6.0)</f>
        <v>6</v>
      </c>
      <c r="V53" s="189">
        <f>IFERROR(__xludf.DUMMYFUNCTION("""COMPUTED_VALUE"""),6.0)</f>
        <v>6</v>
      </c>
      <c r="W53" s="189">
        <f>IFERROR(__xludf.DUMMYFUNCTION("""COMPUTED_VALUE"""),3.0)</f>
        <v>3</v>
      </c>
      <c r="X53" s="189">
        <f>IFERROR(__xludf.DUMMYFUNCTION("""COMPUTED_VALUE"""),7.0)</f>
        <v>7</v>
      </c>
      <c r="Y53" s="208" t="str">
        <f>IFERROR(__xludf.DUMMYFUNCTION("""COMPUTED_VALUE"""),"2025-08-10T00:00:00.000Z")</f>
        <v>2025-08-10T00:00:00.000Z</v>
      </c>
      <c r="Z53" s="189" t="s">
        <v>129</v>
      </c>
      <c r="AA53" s="189" t="s">
        <v>189</v>
      </c>
    </row>
    <row r="54">
      <c r="A54" s="189">
        <f>IFERROR(__xludf.DUMMYFUNCTION("""COMPUTED_VALUE"""),212681.0)</f>
        <v>212681</v>
      </c>
      <c r="B54" s="189">
        <f>IFERROR(__xludf.DUMMYFUNCTION("""COMPUTED_VALUE"""),93673.0)</f>
        <v>93673</v>
      </c>
      <c r="C54" s="189" t="str">
        <f>IFERROR(__xludf.DUMMYFUNCTION("""COMPUTED_VALUE"""),"Challengers 2025: Spain Rising Finals - Playoffs")</f>
        <v>Challengers 2025: Spain Rising Finals - Playoffs</v>
      </c>
      <c r="D54" s="189" t="str">
        <f>IFERROR(__xludf.DUMMYFUNCTION("""COMPUTED_VALUE"""),"Lotus")</f>
        <v>Lotus</v>
      </c>
      <c r="E54" s="189" t="str">
        <f>IFERROR(__xludf.DUMMYFUNCTION("""COMPUTED_VALUE"""),"DNSTY")</f>
        <v>DNSTY</v>
      </c>
      <c r="F54" s="189" t="str">
        <f>IFERROR(__xludf.DUMMYFUNCTION("""COMPUTED_VALUE"""),"UCAM Esports Club")</f>
        <v>UCAM Esports Club</v>
      </c>
      <c r="G54" s="189" t="str">
        <f>IFERROR(__xludf.DUMMYFUNCTION("""COMPUTED_VALUE"""),"Raze,Killjoy,Viper,Omen,Fade")</f>
        <v>Raze,Killjoy,Viper,Omen,Fade</v>
      </c>
      <c r="H54" s="189" t="str">
        <f>IFERROR(__xludf.DUMMYFUNCTION("""COMPUTED_VALUE"""),"Breach,Raze,Omen,Fade,Vyse")</f>
        <v>Breach,Raze,Omen,Fade,Vyse</v>
      </c>
      <c r="I54" s="189">
        <f>IFERROR(__xludf.DUMMYFUNCTION("""COMPUTED_VALUE"""),13.0)</f>
        <v>13</v>
      </c>
      <c r="J54" s="189">
        <f>IFERROR(__xludf.DUMMYFUNCTION("""COMPUTED_VALUE"""),7.0)</f>
        <v>7</v>
      </c>
      <c r="K54" s="189">
        <f>IFERROR(__xludf.DUMMYFUNCTION("""COMPUTED_VALUE"""),9.0)</f>
        <v>9</v>
      </c>
      <c r="L54" s="189">
        <f>IFERROR(__xludf.DUMMYFUNCTION("""COMPUTED_VALUE"""),3.0)</f>
        <v>3</v>
      </c>
      <c r="M54" s="189">
        <f>IFERROR(__xludf.DUMMYFUNCTION("""COMPUTED_VALUE"""),0.0)</f>
        <v>0</v>
      </c>
      <c r="N54" s="189">
        <f>IFERROR(__xludf.DUMMYFUNCTION("""COMPUTED_VALUE"""),1.0)</f>
        <v>1</v>
      </c>
      <c r="O54" s="189">
        <f>IFERROR(__xludf.DUMMYFUNCTION("""COMPUTED_VALUE"""),4.0)</f>
        <v>4</v>
      </c>
      <c r="P54" s="189">
        <f>IFERROR(__xludf.DUMMYFUNCTION("""COMPUTED_VALUE"""),4.0)</f>
        <v>4</v>
      </c>
      <c r="Q54" s="189">
        <f>IFERROR(__xludf.DUMMYFUNCTION("""COMPUTED_VALUE"""),9.0)</f>
        <v>9</v>
      </c>
      <c r="R54" s="189">
        <f>IFERROR(__xludf.DUMMYFUNCTION("""COMPUTED_VALUE"""),3.0)</f>
        <v>3</v>
      </c>
      <c r="S54" s="189">
        <f>IFERROR(__xludf.DUMMYFUNCTION("""COMPUTED_VALUE"""),0.0)</f>
        <v>0</v>
      </c>
      <c r="T54" s="189">
        <f>IFERROR(__xludf.DUMMYFUNCTION("""COMPUTED_VALUE"""),1.0)</f>
        <v>1</v>
      </c>
      <c r="U54" s="189">
        <f>IFERROR(__xludf.DUMMYFUNCTION("""COMPUTED_VALUE"""),3.0)</f>
        <v>3</v>
      </c>
      <c r="V54" s="189">
        <f>IFERROR(__xludf.DUMMYFUNCTION("""COMPUTED_VALUE"""),9.0)</f>
        <v>9</v>
      </c>
      <c r="W54" s="189">
        <f>IFERROR(__xludf.DUMMYFUNCTION("""COMPUTED_VALUE"""),4.0)</f>
        <v>4</v>
      </c>
      <c r="X54" s="189">
        <f>IFERROR(__xludf.DUMMYFUNCTION("""COMPUTED_VALUE"""),4.0)</f>
        <v>4</v>
      </c>
      <c r="Y54" s="208" t="str">
        <f>IFERROR(__xludf.DUMMYFUNCTION("""COMPUTED_VALUE"""),"2025-08-10T00:00:00.000Z")</f>
        <v>2025-08-10T00:00:00.000Z</v>
      </c>
      <c r="Z54" s="189" t="s">
        <v>97</v>
      </c>
      <c r="AA54" s="189" t="s">
        <v>182</v>
      </c>
    </row>
    <row r="55">
      <c r="A55" s="189">
        <f>IFERROR(__xludf.DUMMYFUNCTION("""COMPUTED_VALUE"""),212231.0)</f>
        <v>212231</v>
      </c>
      <c r="B55" s="189">
        <f>IFERROR(__xludf.DUMMYFUNCTION("""COMPUTED_VALUE"""),93506.0)</f>
        <v>93506</v>
      </c>
      <c r="C55" s="189" t="str">
        <f>IFERROR(__xludf.DUMMYFUNCTION("""COMPUTED_VALUE"""),"Challengers 2025: Türkiye Birlik Split 3 - Playoffs")</f>
        <v>Challengers 2025: Türkiye Birlik Split 3 - Playoffs</v>
      </c>
      <c r="D55" s="189" t="str">
        <f>IFERROR(__xludf.DUMMYFUNCTION("""COMPUTED_VALUE"""),"Sunset")</f>
        <v>Sunset</v>
      </c>
      <c r="E55" s="189" t="str">
        <f>IFERROR(__xludf.DUMMYFUNCTION("""COMPUTED_VALUE"""),"BBL PCIFIC")</f>
        <v>BBL PCIFIC</v>
      </c>
      <c r="F55" s="189" t="str">
        <f>IFERROR(__xludf.DUMMYFUNCTION("""COMPUTED_VALUE"""),"ULF Esports")</f>
        <v>ULF Esports</v>
      </c>
      <c r="G55" s="189" t="str">
        <f>IFERROR(__xludf.DUMMYFUNCTION("""COMPUTED_VALUE"""),"Breach,Cypher,Sova,Omen,Neon")</f>
        <v>Breach,Cypher,Sova,Omen,Neon</v>
      </c>
      <c r="H55" s="189" t="str">
        <f>IFERROR(__xludf.DUMMYFUNCTION("""COMPUTED_VALUE"""),"Breach,Sova,Omen,Neon,Vyse")</f>
        <v>Breach,Sova,Omen,Neon,Vyse</v>
      </c>
      <c r="I55" s="189">
        <f>IFERROR(__xludf.DUMMYFUNCTION("""COMPUTED_VALUE"""),11.0)</f>
        <v>11</v>
      </c>
      <c r="J55" s="189">
        <f>IFERROR(__xludf.DUMMYFUNCTION("""COMPUTED_VALUE"""),13.0)</f>
        <v>13</v>
      </c>
      <c r="K55" s="189">
        <f>IFERROR(__xludf.DUMMYFUNCTION("""COMPUTED_VALUE"""),5.0)</f>
        <v>5</v>
      </c>
      <c r="L55" s="189">
        <f>IFERROR(__xludf.DUMMYFUNCTION("""COMPUTED_VALUE"""),7.0)</f>
        <v>7</v>
      </c>
      <c r="M55" s="189">
        <f>IFERROR(__xludf.DUMMYFUNCTION("""COMPUTED_VALUE"""),0.0)</f>
        <v>0</v>
      </c>
      <c r="N55" s="189">
        <f>IFERROR(__xludf.DUMMYFUNCTION("""COMPUTED_VALUE"""),1.0)</f>
        <v>1</v>
      </c>
      <c r="O55" s="189">
        <f>IFERROR(__xludf.DUMMYFUNCTION("""COMPUTED_VALUE"""),5.0)</f>
        <v>5</v>
      </c>
      <c r="P55" s="189">
        <f>IFERROR(__xludf.DUMMYFUNCTION("""COMPUTED_VALUE"""),7.0)</f>
        <v>7</v>
      </c>
      <c r="Q55" s="189">
        <f>IFERROR(__xludf.DUMMYFUNCTION("""COMPUTED_VALUE"""),6.0)</f>
        <v>6</v>
      </c>
      <c r="R55" s="189">
        <f>IFERROR(__xludf.DUMMYFUNCTION("""COMPUTED_VALUE"""),6.0)</f>
        <v>6</v>
      </c>
      <c r="S55" s="189">
        <f>IFERROR(__xludf.DUMMYFUNCTION("""COMPUTED_VALUE"""),0.0)</f>
        <v>0</v>
      </c>
      <c r="T55" s="189">
        <f>IFERROR(__xludf.DUMMYFUNCTION("""COMPUTED_VALUE"""),1.0)</f>
        <v>1</v>
      </c>
      <c r="U55" s="189">
        <f>IFERROR(__xludf.DUMMYFUNCTION("""COMPUTED_VALUE"""),6.0)</f>
        <v>6</v>
      </c>
      <c r="V55" s="189">
        <f>IFERROR(__xludf.DUMMYFUNCTION("""COMPUTED_VALUE"""),6.0)</f>
        <v>6</v>
      </c>
      <c r="W55" s="189">
        <f>IFERROR(__xludf.DUMMYFUNCTION("""COMPUTED_VALUE"""),7.0)</f>
        <v>7</v>
      </c>
      <c r="X55" s="189">
        <f>IFERROR(__xludf.DUMMYFUNCTION("""COMPUTED_VALUE"""),5.0)</f>
        <v>5</v>
      </c>
      <c r="Y55" s="208" t="str">
        <f>IFERROR(__xludf.DUMMYFUNCTION("""COMPUTED_VALUE"""),"2025-08-10T00:00:00.000Z")</f>
        <v>2025-08-10T00:00:00.000Z</v>
      </c>
      <c r="Z55" s="189" t="s">
        <v>75</v>
      </c>
      <c r="AA55" s="189" t="s">
        <v>188</v>
      </c>
    </row>
    <row r="56">
      <c r="A56" s="189">
        <f>IFERROR(__xludf.DUMMYFUNCTION("""COMPUTED_VALUE"""),212682.0)</f>
        <v>212682</v>
      </c>
      <c r="B56" s="189">
        <f>IFERROR(__xludf.DUMMYFUNCTION("""COMPUTED_VALUE"""),93674.0)</f>
        <v>93674</v>
      </c>
      <c r="C56" s="189" t="str">
        <f>IFERROR(__xludf.DUMMYFUNCTION("""COMPUTED_VALUE"""),"Challengers 2025: France Revolution Split 3 - Playoffs")</f>
        <v>Challengers 2025: France Revolution Split 3 - Playoffs</v>
      </c>
      <c r="D56" s="189" t="str">
        <f>IFERROR(__xludf.DUMMYFUNCTION("""COMPUTED_VALUE"""),"Lotus")</f>
        <v>Lotus</v>
      </c>
      <c r="E56" s="189" t="str">
        <f>IFERROR(__xludf.DUMMYFUNCTION("""COMPUTED_VALUE"""),"Mandatory")</f>
        <v>Mandatory</v>
      </c>
      <c r="F56" s="189" t="str">
        <f>IFERROR(__xludf.DUMMYFUNCTION("""COMPUTED_VALUE"""),"BLX CORP")</f>
        <v>BLX CORP</v>
      </c>
      <c r="G56" s="189" t="str">
        <f>IFERROR(__xludf.DUMMYFUNCTION("""COMPUTED_VALUE"""),"Cypher,Sova,Omen,Yoru,Deadlock")</f>
        <v>Cypher,Sova,Omen,Yoru,Deadlock</v>
      </c>
      <c r="H56" s="189" t="str">
        <f>IFERROR(__xludf.DUMMYFUNCTION("""COMPUTED_VALUE"""),"Sova,Omen,KAY/O,Neon,Deadlock")</f>
        <v>Sova,Omen,KAY/O,Neon,Deadlock</v>
      </c>
      <c r="I56" s="189">
        <f>IFERROR(__xludf.DUMMYFUNCTION("""COMPUTED_VALUE"""),6.0)</f>
        <v>6</v>
      </c>
      <c r="J56" s="189">
        <f>IFERROR(__xludf.DUMMYFUNCTION("""COMPUTED_VALUE"""),13.0)</f>
        <v>13</v>
      </c>
      <c r="K56" s="189">
        <f>IFERROR(__xludf.DUMMYFUNCTION("""COMPUTED_VALUE"""),3.0)</f>
        <v>3</v>
      </c>
      <c r="L56" s="189">
        <f>IFERROR(__xludf.DUMMYFUNCTION("""COMPUTED_VALUE"""),9.0)</f>
        <v>9</v>
      </c>
      <c r="M56" s="189">
        <f>IFERROR(__xludf.DUMMYFUNCTION("""COMPUTED_VALUE"""),0.0)</f>
        <v>0</v>
      </c>
      <c r="N56" s="189">
        <f>IFERROR(__xludf.DUMMYFUNCTION("""COMPUTED_VALUE"""),1.0)</f>
        <v>1</v>
      </c>
      <c r="O56" s="189">
        <f>IFERROR(__xludf.DUMMYFUNCTION("""COMPUTED_VALUE"""),3.0)</f>
        <v>3</v>
      </c>
      <c r="P56" s="189">
        <f>IFERROR(__xludf.DUMMYFUNCTION("""COMPUTED_VALUE"""),9.0)</f>
        <v>9</v>
      </c>
      <c r="Q56" s="189">
        <f>IFERROR(__xludf.DUMMYFUNCTION("""COMPUTED_VALUE"""),3.0)</f>
        <v>3</v>
      </c>
      <c r="R56" s="189">
        <f>IFERROR(__xludf.DUMMYFUNCTION("""COMPUTED_VALUE"""),4.0)</f>
        <v>4</v>
      </c>
      <c r="S56" s="189">
        <f>IFERROR(__xludf.DUMMYFUNCTION("""COMPUTED_VALUE"""),0.0)</f>
        <v>0</v>
      </c>
      <c r="T56" s="189">
        <f>IFERROR(__xludf.DUMMYFUNCTION("""COMPUTED_VALUE"""),1.0)</f>
        <v>1</v>
      </c>
      <c r="U56" s="189">
        <f>IFERROR(__xludf.DUMMYFUNCTION("""COMPUTED_VALUE"""),4.0)</f>
        <v>4</v>
      </c>
      <c r="V56" s="189">
        <f>IFERROR(__xludf.DUMMYFUNCTION("""COMPUTED_VALUE"""),3.0)</f>
        <v>3</v>
      </c>
      <c r="W56" s="189">
        <f>IFERROR(__xludf.DUMMYFUNCTION("""COMPUTED_VALUE"""),9.0)</f>
        <v>9</v>
      </c>
      <c r="X56" s="189">
        <f>IFERROR(__xludf.DUMMYFUNCTION("""COMPUTED_VALUE"""),3.0)</f>
        <v>3</v>
      </c>
      <c r="Y56" s="208" t="str">
        <f>IFERROR(__xludf.DUMMYFUNCTION("""COMPUTED_VALUE"""),"2025-08-10T00:00:00.000Z")</f>
        <v>2025-08-10T00:00:00.000Z</v>
      </c>
      <c r="Z56" s="189" t="s">
        <v>130</v>
      </c>
      <c r="AA56" s="189" t="s">
        <v>395</v>
      </c>
    </row>
    <row r="57">
      <c r="A57" s="189">
        <f>IFERROR(__xludf.DUMMYFUNCTION("""COMPUTED_VALUE"""),212230.0)</f>
        <v>212230</v>
      </c>
      <c r="B57" s="189">
        <f>IFERROR(__xludf.DUMMYFUNCTION("""COMPUTED_VALUE"""),93506.0)</f>
        <v>93506</v>
      </c>
      <c r="C57" s="189" t="str">
        <f>IFERROR(__xludf.DUMMYFUNCTION("""COMPUTED_VALUE"""),"Challengers 2025: Türkiye Birlik Split 3 - Playoffs")</f>
        <v>Challengers 2025: Türkiye Birlik Split 3 - Playoffs</v>
      </c>
      <c r="D57" s="189" t="str">
        <f>IFERROR(__xludf.DUMMYFUNCTION("""COMPUTED_VALUE"""),"Haven")</f>
        <v>Haven</v>
      </c>
      <c r="E57" s="189" t="str">
        <f>IFERROR(__xludf.DUMMYFUNCTION("""COMPUTED_VALUE"""),"BBL PCIFIC")</f>
        <v>BBL PCIFIC</v>
      </c>
      <c r="F57" s="189" t="str">
        <f>IFERROR(__xludf.DUMMYFUNCTION("""COMPUTED_VALUE"""),"ULF Esports")</f>
        <v>ULF Esports</v>
      </c>
      <c r="G57" s="189" t="str">
        <f>IFERROR(__xludf.DUMMYFUNCTION("""COMPUTED_VALUE"""),"Breach,Cypher,Sova,Omen,Jett")</f>
        <v>Breach,Cypher,Sova,Omen,Jett</v>
      </c>
      <c r="H57" s="189" t="str">
        <f>IFERROR(__xludf.DUMMYFUNCTION("""COMPUTED_VALUE"""),"Breach,Cypher,Sova,Omen,Neon")</f>
        <v>Breach,Cypher,Sova,Omen,Neon</v>
      </c>
      <c r="I57" s="189">
        <f>IFERROR(__xludf.DUMMYFUNCTION("""COMPUTED_VALUE"""),13.0)</f>
        <v>13</v>
      </c>
      <c r="J57" s="189">
        <f>IFERROR(__xludf.DUMMYFUNCTION("""COMPUTED_VALUE"""),10.0)</f>
        <v>10</v>
      </c>
      <c r="K57" s="189">
        <f>IFERROR(__xludf.DUMMYFUNCTION("""COMPUTED_VALUE"""),8.0)</f>
        <v>8</v>
      </c>
      <c r="L57" s="189">
        <f>IFERROR(__xludf.DUMMYFUNCTION("""COMPUTED_VALUE"""),4.0)</f>
        <v>4</v>
      </c>
      <c r="M57" s="189">
        <f>IFERROR(__xludf.DUMMYFUNCTION("""COMPUTED_VALUE"""),1.0)</f>
        <v>1</v>
      </c>
      <c r="N57" s="189">
        <f>IFERROR(__xludf.DUMMYFUNCTION("""COMPUTED_VALUE"""),0.0)</f>
        <v>0</v>
      </c>
      <c r="O57" s="189">
        <f>IFERROR(__xludf.DUMMYFUNCTION("""COMPUTED_VALUE"""),8.0)</f>
        <v>8</v>
      </c>
      <c r="P57" s="189">
        <f>IFERROR(__xludf.DUMMYFUNCTION("""COMPUTED_VALUE"""),4.0)</f>
        <v>4</v>
      </c>
      <c r="Q57" s="189">
        <f>IFERROR(__xludf.DUMMYFUNCTION("""COMPUTED_VALUE"""),5.0)</f>
        <v>5</v>
      </c>
      <c r="R57" s="189">
        <f>IFERROR(__xludf.DUMMYFUNCTION("""COMPUTED_VALUE"""),6.0)</f>
        <v>6</v>
      </c>
      <c r="S57" s="189">
        <f>IFERROR(__xludf.DUMMYFUNCTION("""COMPUTED_VALUE"""),1.0)</f>
        <v>1</v>
      </c>
      <c r="T57" s="189">
        <f>IFERROR(__xludf.DUMMYFUNCTION("""COMPUTED_VALUE"""),0.0)</f>
        <v>0</v>
      </c>
      <c r="U57" s="189">
        <f>IFERROR(__xludf.DUMMYFUNCTION("""COMPUTED_VALUE"""),6.0)</f>
        <v>6</v>
      </c>
      <c r="V57" s="189">
        <f>IFERROR(__xludf.DUMMYFUNCTION("""COMPUTED_VALUE"""),5.0)</f>
        <v>5</v>
      </c>
      <c r="W57" s="189">
        <f>IFERROR(__xludf.DUMMYFUNCTION("""COMPUTED_VALUE"""),4.0)</f>
        <v>4</v>
      </c>
      <c r="X57" s="189">
        <f>IFERROR(__xludf.DUMMYFUNCTION("""COMPUTED_VALUE"""),8.0)</f>
        <v>8</v>
      </c>
      <c r="Y57" s="208" t="str">
        <f>IFERROR(__xludf.DUMMYFUNCTION("""COMPUTED_VALUE"""),"2025-08-10T00:00:00.000Z")</f>
        <v>2025-08-10T00:00:00.000Z</v>
      </c>
      <c r="Z57" s="189" t="s">
        <v>70</v>
      </c>
      <c r="AA57" s="189" t="s">
        <v>186</v>
      </c>
    </row>
    <row r="58">
      <c r="A58" s="189">
        <f>IFERROR(__xludf.DUMMYFUNCTION("""COMPUTED_VALUE"""),212680.0)</f>
        <v>212680</v>
      </c>
      <c r="B58" s="189">
        <f>IFERROR(__xludf.DUMMYFUNCTION("""COMPUTED_VALUE"""),93673.0)</f>
        <v>93673</v>
      </c>
      <c r="C58" s="189" t="str">
        <f>IFERROR(__xludf.DUMMYFUNCTION("""COMPUTED_VALUE"""),"Challengers 2025: Spain Rising Finals - Playoffs")</f>
        <v>Challengers 2025: Spain Rising Finals - Playoffs</v>
      </c>
      <c r="D58" s="189" t="str">
        <f>IFERROR(__xludf.DUMMYFUNCTION("""COMPUTED_VALUE"""),"Haven")</f>
        <v>Haven</v>
      </c>
      <c r="E58" s="189" t="str">
        <f>IFERROR(__xludf.DUMMYFUNCTION("""COMPUTED_VALUE"""),"DNSTY")</f>
        <v>DNSTY</v>
      </c>
      <c r="F58" s="189" t="str">
        <f>IFERROR(__xludf.DUMMYFUNCTION("""COMPUTED_VALUE"""),"UCAM Esports Club")</f>
        <v>UCAM Esports Club</v>
      </c>
      <c r="G58" s="189" t="str">
        <f>IFERROR(__xludf.DUMMYFUNCTION("""COMPUTED_VALUE"""),"Sova,Killjoy,Viper,Omen,Neon")</f>
        <v>Sova,Killjoy,Viper,Omen,Neon</v>
      </c>
      <c r="H58" s="189" t="str">
        <f>IFERROR(__xludf.DUMMYFUNCTION("""COMPUTED_VALUE"""),"Breach,Cypher,Sova,Omen,Jett")</f>
        <v>Breach,Cypher,Sova,Omen,Jett</v>
      </c>
      <c r="I58" s="189">
        <f>IFERROR(__xludf.DUMMYFUNCTION("""COMPUTED_VALUE"""),13.0)</f>
        <v>13</v>
      </c>
      <c r="J58" s="189">
        <f>IFERROR(__xludf.DUMMYFUNCTION("""COMPUTED_VALUE"""),8.0)</f>
        <v>8</v>
      </c>
      <c r="K58" s="189">
        <f>IFERROR(__xludf.DUMMYFUNCTION("""COMPUTED_VALUE"""),10.0)</f>
        <v>10</v>
      </c>
      <c r="L58" s="189">
        <f>IFERROR(__xludf.DUMMYFUNCTION("""COMPUTED_VALUE"""),2.0)</f>
        <v>2</v>
      </c>
      <c r="M58" s="189">
        <f>IFERROR(__xludf.DUMMYFUNCTION("""COMPUTED_VALUE"""),1.0)</f>
        <v>1</v>
      </c>
      <c r="N58" s="189">
        <f>IFERROR(__xludf.DUMMYFUNCTION("""COMPUTED_VALUE"""),1.0)</f>
        <v>1</v>
      </c>
      <c r="O58" s="189">
        <f>IFERROR(__xludf.DUMMYFUNCTION("""COMPUTED_VALUE"""),10.0)</f>
        <v>10</v>
      </c>
      <c r="P58" s="189">
        <f>IFERROR(__xludf.DUMMYFUNCTION("""COMPUTED_VALUE"""),2.0)</f>
        <v>2</v>
      </c>
      <c r="Q58" s="189">
        <f>IFERROR(__xludf.DUMMYFUNCTION("""COMPUTED_VALUE"""),3.0)</f>
        <v>3</v>
      </c>
      <c r="R58" s="189">
        <f>IFERROR(__xludf.DUMMYFUNCTION("""COMPUTED_VALUE"""),6.0)</f>
        <v>6</v>
      </c>
      <c r="S58" s="189">
        <f>IFERROR(__xludf.DUMMYFUNCTION("""COMPUTED_VALUE"""),0.0)</f>
        <v>0</v>
      </c>
      <c r="T58" s="189">
        <f>IFERROR(__xludf.DUMMYFUNCTION("""COMPUTED_VALUE"""),0.0)</f>
        <v>0</v>
      </c>
      <c r="U58" s="189">
        <f>IFERROR(__xludf.DUMMYFUNCTION("""COMPUTED_VALUE"""),6.0)</f>
        <v>6</v>
      </c>
      <c r="V58" s="189">
        <f>IFERROR(__xludf.DUMMYFUNCTION("""COMPUTED_VALUE"""),3.0)</f>
        <v>3</v>
      </c>
      <c r="W58" s="189">
        <f>IFERROR(__xludf.DUMMYFUNCTION("""COMPUTED_VALUE"""),2.0)</f>
        <v>2</v>
      </c>
      <c r="X58" s="189">
        <f>IFERROR(__xludf.DUMMYFUNCTION("""COMPUTED_VALUE"""),10.0)</f>
        <v>10</v>
      </c>
      <c r="Y58" s="208" t="str">
        <f>IFERROR(__xludf.DUMMYFUNCTION("""COMPUTED_VALUE"""),"2025-08-10T00:00:00.000Z")</f>
        <v>2025-08-10T00:00:00.000Z</v>
      </c>
      <c r="Z58" s="189" t="s">
        <v>95</v>
      </c>
      <c r="AA58" s="189" t="s">
        <v>182</v>
      </c>
    </row>
    <row r="59">
      <c r="A59" s="189">
        <f>IFERROR(__xludf.DUMMYFUNCTION("""COMPUTED_VALUE"""),212059.0)</f>
        <v>212059</v>
      </c>
      <c r="B59" s="189">
        <f>IFERROR(__xludf.DUMMYFUNCTION("""COMPUTED_VALUE"""),93450.0)</f>
        <v>93450</v>
      </c>
      <c r="C59" s="189" t="str">
        <f>IFERROR(__xludf.DUMMYFUNCTION("""COMPUTED_VALUE"""),"Challengers 2025: France Revolution Split 3 - Playoffs")</f>
        <v>Challengers 2025: France Revolution Split 3 - Playoffs</v>
      </c>
      <c r="D59" s="189" t="str">
        <f>IFERROR(__xludf.DUMMYFUNCTION("""COMPUTED_VALUE"""),"Haven")</f>
        <v>Haven</v>
      </c>
      <c r="E59" s="189" t="str">
        <f>IFERROR(__xludf.DUMMYFUNCTION("""COMPUTED_VALUE"""),"Joblife")</f>
        <v>Joblife</v>
      </c>
      <c r="F59" s="189" t="str">
        <f>IFERROR(__xludf.DUMMYFUNCTION("""COMPUTED_VALUE"""),"Team Valiant")</f>
        <v>Team Valiant</v>
      </c>
      <c r="G59" s="189" t="str">
        <f>IFERROR(__xludf.DUMMYFUNCTION("""COMPUTED_VALUE"""),"Breach,Cypher,Sova,Omen,Jett")</f>
        <v>Breach,Cypher,Sova,Omen,Jett</v>
      </c>
      <c r="H59" s="189" t="str">
        <f>IFERROR(__xludf.DUMMYFUNCTION("""COMPUTED_VALUE"""),"Sova,Killjoy,Viper,Omen,Neon")</f>
        <v>Sova,Killjoy,Viper,Omen,Neon</v>
      </c>
      <c r="I59" s="189">
        <f>IFERROR(__xludf.DUMMYFUNCTION("""COMPUTED_VALUE"""),13.0)</f>
        <v>13</v>
      </c>
      <c r="J59" s="189">
        <f>IFERROR(__xludf.DUMMYFUNCTION("""COMPUTED_VALUE"""),9.0)</f>
        <v>9</v>
      </c>
      <c r="K59" s="189">
        <f>IFERROR(__xludf.DUMMYFUNCTION("""COMPUTED_VALUE"""),6.0)</f>
        <v>6</v>
      </c>
      <c r="L59" s="189">
        <f>IFERROR(__xludf.DUMMYFUNCTION("""COMPUTED_VALUE"""),6.0)</f>
        <v>6</v>
      </c>
      <c r="M59" s="189">
        <f>IFERROR(__xludf.DUMMYFUNCTION("""COMPUTED_VALUE"""),1.0)</f>
        <v>1</v>
      </c>
      <c r="N59" s="189">
        <f>IFERROR(__xludf.DUMMYFUNCTION("""COMPUTED_VALUE"""),1.0)</f>
        <v>1</v>
      </c>
      <c r="O59" s="189">
        <f>IFERROR(__xludf.DUMMYFUNCTION("""COMPUTED_VALUE"""),6.0)</f>
        <v>6</v>
      </c>
      <c r="P59" s="189">
        <f>IFERROR(__xludf.DUMMYFUNCTION("""COMPUTED_VALUE"""),6.0)</f>
        <v>6</v>
      </c>
      <c r="Q59" s="189">
        <f>IFERROR(__xludf.DUMMYFUNCTION("""COMPUTED_VALUE"""),7.0)</f>
        <v>7</v>
      </c>
      <c r="R59" s="189">
        <f>IFERROR(__xludf.DUMMYFUNCTION("""COMPUTED_VALUE"""),3.0)</f>
        <v>3</v>
      </c>
      <c r="S59" s="189">
        <f>IFERROR(__xludf.DUMMYFUNCTION("""COMPUTED_VALUE"""),0.0)</f>
        <v>0</v>
      </c>
      <c r="T59" s="189">
        <f>IFERROR(__xludf.DUMMYFUNCTION("""COMPUTED_VALUE"""),0.0)</f>
        <v>0</v>
      </c>
      <c r="U59" s="189">
        <f>IFERROR(__xludf.DUMMYFUNCTION("""COMPUTED_VALUE"""),3.0)</f>
        <v>3</v>
      </c>
      <c r="V59" s="189">
        <f>IFERROR(__xludf.DUMMYFUNCTION("""COMPUTED_VALUE"""),7.0)</f>
        <v>7</v>
      </c>
      <c r="W59" s="189">
        <f>IFERROR(__xludf.DUMMYFUNCTION("""COMPUTED_VALUE"""),6.0)</f>
        <v>6</v>
      </c>
      <c r="X59" s="189">
        <f>IFERROR(__xludf.DUMMYFUNCTION("""COMPUTED_VALUE"""),6.0)</f>
        <v>6</v>
      </c>
      <c r="Y59" s="208" t="str">
        <f>IFERROR(__xludf.DUMMYFUNCTION("""COMPUTED_VALUE"""),"2025-08-10T00:00:00.000Z")</f>
        <v>2025-08-10T00:00:00.000Z</v>
      </c>
      <c r="Z59" s="189" t="s">
        <v>115</v>
      </c>
      <c r="AA59" s="189" t="s">
        <v>232</v>
      </c>
    </row>
    <row r="60">
      <c r="A60" s="189">
        <f>IFERROR(__xludf.DUMMYFUNCTION("""COMPUTED_VALUE"""),212679.0)</f>
        <v>212679</v>
      </c>
      <c r="B60" s="189">
        <f>IFERROR(__xludf.DUMMYFUNCTION("""COMPUTED_VALUE"""),93673.0)</f>
        <v>93673</v>
      </c>
      <c r="C60" s="189" t="str">
        <f>IFERROR(__xludf.DUMMYFUNCTION("""COMPUTED_VALUE"""),"Challengers 2025: Spain Rising Finals - Playoffs")</f>
        <v>Challengers 2025: Spain Rising Finals - Playoffs</v>
      </c>
      <c r="D60" s="189" t="str">
        <f>IFERROR(__xludf.DUMMYFUNCTION("""COMPUTED_VALUE"""),"Sunset")</f>
        <v>Sunset</v>
      </c>
      <c r="E60" s="189" t="str">
        <f>IFERROR(__xludf.DUMMYFUNCTION("""COMPUTED_VALUE"""),"DNSTY")</f>
        <v>DNSTY</v>
      </c>
      <c r="F60" s="189" t="str">
        <f>IFERROR(__xludf.DUMMYFUNCTION("""COMPUTED_VALUE"""),"UCAM Esports Club")</f>
        <v>UCAM Esports Club</v>
      </c>
      <c r="G60" s="189" t="str">
        <f>IFERROR(__xludf.DUMMYFUNCTION("""COMPUTED_VALUE"""),"Sova,Viper,Omen,Neon,Deadlock")</f>
        <v>Sova,Viper,Omen,Neon,Deadlock</v>
      </c>
      <c r="H60" s="189" t="str">
        <f>IFERROR(__xludf.DUMMYFUNCTION("""COMPUTED_VALUE"""),"Cypher,Sova,Omen,KAY/O,Neon")</f>
        <v>Cypher,Sova,Omen,KAY/O,Neon</v>
      </c>
      <c r="I60" s="189">
        <f>IFERROR(__xludf.DUMMYFUNCTION("""COMPUTED_VALUE"""),13.0)</f>
        <v>13</v>
      </c>
      <c r="J60" s="189">
        <f>IFERROR(__xludf.DUMMYFUNCTION("""COMPUTED_VALUE"""),11.0)</f>
        <v>11</v>
      </c>
      <c r="K60" s="189">
        <f>IFERROR(__xludf.DUMMYFUNCTION("""COMPUTED_VALUE"""),4.0)</f>
        <v>4</v>
      </c>
      <c r="L60" s="189">
        <f>IFERROR(__xludf.DUMMYFUNCTION("""COMPUTED_VALUE"""),8.0)</f>
        <v>8</v>
      </c>
      <c r="M60" s="189">
        <f>IFERROR(__xludf.DUMMYFUNCTION("""COMPUTED_VALUE"""),0.0)</f>
        <v>0</v>
      </c>
      <c r="N60" s="189">
        <f>IFERROR(__xludf.DUMMYFUNCTION("""COMPUTED_VALUE"""),1.0)</f>
        <v>1</v>
      </c>
      <c r="O60" s="189">
        <f>IFERROR(__xludf.DUMMYFUNCTION("""COMPUTED_VALUE"""),4.0)</f>
        <v>4</v>
      </c>
      <c r="P60" s="189">
        <f>IFERROR(__xludf.DUMMYFUNCTION("""COMPUTED_VALUE"""),8.0)</f>
        <v>8</v>
      </c>
      <c r="Q60" s="189">
        <f>IFERROR(__xludf.DUMMYFUNCTION("""COMPUTED_VALUE"""),9.0)</f>
        <v>9</v>
      </c>
      <c r="R60" s="189">
        <f>IFERROR(__xludf.DUMMYFUNCTION("""COMPUTED_VALUE"""),3.0)</f>
        <v>3</v>
      </c>
      <c r="S60" s="189">
        <f>IFERROR(__xludf.DUMMYFUNCTION("""COMPUTED_VALUE"""),0.0)</f>
        <v>0</v>
      </c>
      <c r="T60" s="189">
        <f>IFERROR(__xludf.DUMMYFUNCTION("""COMPUTED_VALUE"""),1.0)</f>
        <v>1</v>
      </c>
      <c r="U60" s="189">
        <f>IFERROR(__xludf.DUMMYFUNCTION("""COMPUTED_VALUE"""),3.0)</f>
        <v>3</v>
      </c>
      <c r="V60" s="189">
        <f>IFERROR(__xludf.DUMMYFUNCTION("""COMPUTED_VALUE"""),9.0)</f>
        <v>9</v>
      </c>
      <c r="W60" s="189">
        <f>IFERROR(__xludf.DUMMYFUNCTION("""COMPUTED_VALUE"""),8.0)</f>
        <v>8</v>
      </c>
      <c r="X60" s="189">
        <f>IFERROR(__xludf.DUMMYFUNCTION("""COMPUTED_VALUE"""),4.0)</f>
        <v>4</v>
      </c>
      <c r="Y60" s="208" t="str">
        <f>IFERROR(__xludf.DUMMYFUNCTION("""COMPUTED_VALUE"""),"2025-08-10T00:00:00.000Z")</f>
        <v>2025-08-10T00:00:00.000Z</v>
      </c>
      <c r="Z60" s="189" t="s">
        <v>98</v>
      </c>
      <c r="AA60" s="189" t="s">
        <v>182</v>
      </c>
    </row>
    <row r="61">
      <c r="A61" s="189">
        <f>IFERROR(__xludf.DUMMYFUNCTION("""COMPUTED_VALUE"""),212058.0)</f>
        <v>212058</v>
      </c>
      <c r="B61" s="189">
        <f>IFERROR(__xludf.DUMMYFUNCTION("""COMPUTED_VALUE"""),93450.0)</f>
        <v>93450</v>
      </c>
      <c r="C61" s="189" t="str">
        <f>IFERROR(__xludf.DUMMYFUNCTION("""COMPUTED_VALUE"""),"Challengers 2025: France Revolution Split 3 - Playoffs")</f>
        <v>Challengers 2025: France Revolution Split 3 - Playoffs</v>
      </c>
      <c r="D61" s="189" t="str">
        <f>IFERROR(__xludf.DUMMYFUNCTION("""COMPUTED_VALUE"""),"Sunset")</f>
        <v>Sunset</v>
      </c>
      <c r="E61" s="189" t="str">
        <f>IFERROR(__xludf.DUMMYFUNCTION("""COMPUTED_VALUE"""),"Joblife")</f>
        <v>Joblife</v>
      </c>
      <c r="F61" s="189" t="str">
        <f>IFERROR(__xludf.DUMMYFUNCTION("""COMPUTED_VALUE"""),"Team Valiant")</f>
        <v>Team Valiant</v>
      </c>
      <c r="G61" s="189" t="str">
        <f>IFERROR(__xludf.DUMMYFUNCTION("""COMPUTED_VALUE"""),"Breach,Cypher,Sova,Omen,Neon")</f>
        <v>Breach,Cypher,Sova,Omen,Neon</v>
      </c>
      <c r="H61" s="189" t="str">
        <f>IFERROR(__xludf.DUMMYFUNCTION("""COMPUTED_VALUE"""),"Sova,Viper,Omen,Neon,Vyse")</f>
        <v>Sova,Viper,Omen,Neon,Vyse</v>
      </c>
      <c r="I61" s="189">
        <f>IFERROR(__xludf.DUMMYFUNCTION("""COMPUTED_VALUE"""),16.0)</f>
        <v>16</v>
      </c>
      <c r="J61" s="189">
        <f>IFERROR(__xludf.DUMMYFUNCTION("""COMPUTED_VALUE"""),14.0)</f>
        <v>14</v>
      </c>
      <c r="K61" s="189">
        <f>IFERROR(__xludf.DUMMYFUNCTION("""COMPUTED_VALUE"""),6.0)</f>
        <v>6</v>
      </c>
      <c r="L61" s="189">
        <f>IFERROR(__xludf.DUMMYFUNCTION("""COMPUTED_VALUE"""),6.0)</f>
        <v>6</v>
      </c>
      <c r="M61" s="189">
        <f>IFERROR(__xludf.DUMMYFUNCTION("""COMPUTED_VALUE"""),0.0)</f>
        <v>0</v>
      </c>
      <c r="N61" s="189">
        <f>IFERROR(__xludf.DUMMYFUNCTION("""COMPUTED_VALUE"""),0.0)</f>
        <v>0</v>
      </c>
      <c r="O61" s="189">
        <f>IFERROR(__xludf.DUMMYFUNCTION("""COMPUTED_VALUE"""),8.0)</f>
        <v>8</v>
      </c>
      <c r="P61" s="189">
        <f>IFERROR(__xludf.DUMMYFUNCTION("""COMPUTED_VALUE"""),7.0)</f>
        <v>7</v>
      </c>
      <c r="Q61" s="189">
        <f>IFERROR(__xludf.DUMMYFUNCTION("""COMPUTED_VALUE"""),8.0)</f>
        <v>8</v>
      </c>
      <c r="R61" s="189">
        <f>IFERROR(__xludf.DUMMYFUNCTION("""COMPUTED_VALUE"""),7.0)</f>
        <v>7</v>
      </c>
      <c r="S61" s="189">
        <f>IFERROR(__xludf.DUMMYFUNCTION("""COMPUTED_VALUE"""),1.0)</f>
        <v>1</v>
      </c>
      <c r="T61" s="189">
        <f>IFERROR(__xludf.DUMMYFUNCTION("""COMPUTED_VALUE"""),1.0)</f>
        <v>1</v>
      </c>
      <c r="U61" s="189">
        <f>IFERROR(__xludf.DUMMYFUNCTION("""COMPUTED_VALUE"""),7.0)</f>
        <v>7</v>
      </c>
      <c r="V61" s="189">
        <f>IFERROR(__xludf.DUMMYFUNCTION("""COMPUTED_VALUE"""),8.0)</f>
        <v>8</v>
      </c>
      <c r="W61" s="189">
        <f>IFERROR(__xludf.DUMMYFUNCTION("""COMPUTED_VALUE"""),7.0)</f>
        <v>7</v>
      </c>
      <c r="X61" s="189">
        <f>IFERROR(__xludf.DUMMYFUNCTION("""COMPUTED_VALUE"""),8.0)</f>
        <v>8</v>
      </c>
      <c r="Y61" s="208" t="str">
        <f>IFERROR(__xludf.DUMMYFUNCTION("""COMPUTED_VALUE"""),"2025-08-10T00:00:00.000Z")</f>
        <v>2025-08-10T00:00:00.000Z</v>
      </c>
      <c r="Z61" s="189" t="s">
        <v>118</v>
      </c>
      <c r="AA61" s="189" t="s">
        <v>232</v>
      </c>
    </row>
    <row r="62">
      <c r="A62" s="189">
        <f>IFERROR(__xludf.DUMMYFUNCTION("""COMPUTED_VALUE"""),212676.0)</f>
        <v>212676</v>
      </c>
      <c r="B62" s="189">
        <f>IFERROR(__xludf.DUMMYFUNCTION("""COMPUTED_VALUE"""),93672.0)</f>
        <v>93672</v>
      </c>
      <c r="C62" s="189" t="str">
        <f>IFERROR(__xludf.DUMMYFUNCTION("""COMPUTED_VALUE"""),"Challengers 2025: Spain Rising Finals - Playoffs")</f>
        <v>Challengers 2025: Spain Rising Finals - Playoffs</v>
      </c>
      <c r="D62" s="189" t="str">
        <f>IFERROR(__xludf.DUMMYFUNCTION("""COMPUTED_VALUE"""),"Bind")</f>
        <v>Bind</v>
      </c>
      <c r="E62" s="189" t="str">
        <f>IFERROR(__xludf.DUMMYFUNCTION("""COMPUTED_VALUE"""),"KOI Fénix")</f>
        <v>KOI Fénix</v>
      </c>
      <c r="F62" s="189" t="str">
        <f>IFERROR(__xludf.DUMMYFUNCTION("""COMPUTED_VALUE"""),"Ramboot Club")</f>
        <v>Ramboot Club</v>
      </c>
      <c r="G62" s="189" t="str">
        <f>IFERROR(__xludf.DUMMYFUNCTION("""COMPUTED_VALUE"""),"Yoru,Astra,Gekko,Deadlock,Vyse")</f>
        <v>Yoru,Astra,Gekko,Deadlock,Vyse</v>
      </c>
      <c r="H62" s="189" t="str">
        <f>IFERROR(__xludf.DUMMYFUNCTION("""COMPUTED_VALUE"""),"Raze,Viper,Brimstone,Yoru,Fade")</f>
        <v>Raze,Viper,Brimstone,Yoru,Fade</v>
      </c>
      <c r="I62" s="189">
        <f>IFERROR(__xludf.DUMMYFUNCTION("""COMPUTED_VALUE"""),13.0)</f>
        <v>13</v>
      </c>
      <c r="J62" s="189">
        <f>IFERROR(__xludf.DUMMYFUNCTION("""COMPUTED_VALUE"""),9.0)</f>
        <v>9</v>
      </c>
      <c r="K62" s="189">
        <f>IFERROR(__xludf.DUMMYFUNCTION("""COMPUTED_VALUE"""),9.0)</f>
        <v>9</v>
      </c>
      <c r="L62" s="189">
        <f>IFERROR(__xludf.DUMMYFUNCTION("""COMPUTED_VALUE"""),3.0)</f>
        <v>3</v>
      </c>
      <c r="M62" s="189">
        <f>IFERROR(__xludf.DUMMYFUNCTION("""COMPUTED_VALUE"""),1.0)</f>
        <v>1</v>
      </c>
      <c r="N62" s="189">
        <f>IFERROR(__xludf.DUMMYFUNCTION("""COMPUTED_VALUE"""),0.0)</f>
        <v>0</v>
      </c>
      <c r="O62" s="189">
        <f>IFERROR(__xludf.DUMMYFUNCTION("""COMPUTED_VALUE"""),9.0)</f>
        <v>9</v>
      </c>
      <c r="P62" s="189">
        <f>IFERROR(__xludf.DUMMYFUNCTION("""COMPUTED_VALUE"""),3.0)</f>
        <v>3</v>
      </c>
      <c r="Q62" s="189">
        <f>IFERROR(__xludf.DUMMYFUNCTION("""COMPUTED_VALUE"""),4.0)</f>
        <v>4</v>
      </c>
      <c r="R62" s="189">
        <f>IFERROR(__xludf.DUMMYFUNCTION("""COMPUTED_VALUE"""),6.0)</f>
        <v>6</v>
      </c>
      <c r="S62" s="189">
        <f>IFERROR(__xludf.DUMMYFUNCTION("""COMPUTED_VALUE"""),1.0)</f>
        <v>1</v>
      </c>
      <c r="T62" s="189">
        <f>IFERROR(__xludf.DUMMYFUNCTION("""COMPUTED_VALUE"""),0.0)</f>
        <v>0</v>
      </c>
      <c r="U62" s="189">
        <f>IFERROR(__xludf.DUMMYFUNCTION("""COMPUTED_VALUE"""),6.0)</f>
        <v>6</v>
      </c>
      <c r="V62" s="189">
        <f>IFERROR(__xludf.DUMMYFUNCTION("""COMPUTED_VALUE"""),4.0)</f>
        <v>4</v>
      </c>
      <c r="W62" s="189">
        <f>IFERROR(__xludf.DUMMYFUNCTION("""COMPUTED_VALUE"""),3.0)</f>
        <v>3</v>
      </c>
      <c r="X62" s="189">
        <f>IFERROR(__xludf.DUMMYFUNCTION("""COMPUTED_VALUE"""),9.0)</f>
        <v>9</v>
      </c>
      <c r="Y62" s="208" t="str">
        <f>IFERROR(__xludf.DUMMYFUNCTION("""COMPUTED_VALUE"""),"2025-08-09T00:00:00.000Z")</f>
        <v>2025-08-09T00:00:00.000Z</v>
      </c>
      <c r="Z62" s="189" t="s">
        <v>120</v>
      </c>
      <c r="AA62" s="189" t="s">
        <v>187</v>
      </c>
    </row>
    <row r="63">
      <c r="A63" s="189">
        <f>IFERROR(__xludf.DUMMYFUNCTION("""COMPUTED_VALUE"""),212675.0)</f>
        <v>212675</v>
      </c>
      <c r="B63" s="189">
        <f>IFERROR(__xludf.DUMMYFUNCTION("""COMPUTED_VALUE"""),93672.0)</f>
        <v>93672</v>
      </c>
      <c r="C63" s="189" t="str">
        <f>IFERROR(__xludf.DUMMYFUNCTION("""COMPUTED_VALUE"""),"Challengers 2025: Spain Rising Finals - Playoffs")</f>
        <v>Challengers 2025: Spain Rising Finals - Playoffs</v>
      </c>
      <c r="D63" s="189" t="str">
        <f>IFERROR(__xludf.DUMMYFUNCTION("""COMPUTED_VALUE"""),"Ascent")</f>
        <v>Ascent</v>
      </c>
      <c r="E63" s="189" t="str">
        <f>IFERROR(__xludf.DUMMYFUNCTION("""COMPUTED_VALUE"""),"KOI Fénix")</f>
        <v>KOI Fénix</v>
      </c>
      <c r="F63" s="189" t="str">
        <f>IFERROR(__xludf.DUMMYFUNCTION("""COMPUTED_VALUE"""),"Ramboot Club")</f>
        <v>Ramboot Club</v>
      </c>
      <c r="G63" s="189" t="str">
        <f>IFERROR(__xludf.DUMMYFUNCTION("""COMPUTED_VALUE"""),"Sova,Omen,Yoru,Chamber,Vyse")</f>
        <v>Sova,Omen,Yoru,Chamber,Vyse</v>
      </c>
      <c r="H63" s="189" t="str">
        <f>IFERROR(__xludf.DUMMYFUNCTION("""COMPUTED_VALUE"""),"Cypher,Sova,Omen,Jett,Yoru")</f>
        <v>Cypher,Sova,Omen,Jett,Yoru</v>
      </c>
      <c r="I63" s="189">
        <f>IFERROR(__xludf.DUMMYFUNCTION("""COMPUTED_VALUE"""),13.0)</f>
        <v>13</v>
      </c>
      <c r="J63" s="189">
        <f>IFERROR(__xludf.DUMMYFUNCTION("""COMPUTED_VALUE"""),7.0)</f>
        <v>7</v>
      </c>
      <c r="K63" s="189">
        <f>IFERROR(__xludf.DUMMYFUNCTION("""COMPUTED_VALUE"""),9.0)</f>
        <v>9</v>
      </c>
      <c r="L63" s="189">
        <f>IFERROR(__xludf.DUMMYFUNCTION("""COMPUTED_VALUE"""),3.0)</f>
        <v>3</v>
      </c>
      <c r="M63" s="189">
        <f>IFERROR(__xludf.DUMMYFUNCTION("""COMPUTED_VALUE"""),1.0)</f>
        <v>1</v>
      </c>
      <c r="N63" s="189">
        <f>IFERROR(__xludf.DUMMYFUNCTION("""COMPUTED_VALUE"""),1.0)</f>
        <v>1</v>
      </c>
      <c r="O63" s="189">
        <f>IFERROR(__xludf.DUMMYFUNCTION("""COMPUTED_VALUE"""),4.0)</f>
        <v>4</v>
      </c>
      <c r="P63" s="189">
        <f>IFERROR(__xludf.DUMMYFUNCTION("""COMPUTED_VALUE"""),4.0)</f>
        <v>4</v>
      </c>
      <c r="Q63" s="189">
        <f>IFERROR(__xludf.DUMMYFUNCTION("""COMPUTED_VALUE"""),9.0)</f>
        <v>9</v>
      </c>
      <c r="R63" s="189">
        <f>IFERROR(__xludf.DUMMYFUNCTION("""COMPUTED_VALUE"""),3.0)</f>
        <v>3</v>
      </c>
      <c r="S63" s="189">
        <f>IFERROR(__xludf.DUMMYFUNCTION("""COMPUTED_VALUE"""),0.0)</f>
        <v>0</v>
      </c>
      <c r="T63" s="189">
        <f>IFERROR(__xludf.DUMMYFUNCTION("""COMPUTED_VALUE"""),0.0)</f>
        <v>0</v>
      </c>
      <c r="U63" s="189">
        <f>IFERROR(__xludf.DUMMYFUNCTION("""COMPUTED_VALUE"""),3.0)</f>
        <v>3</v>
      </c>
      <c r="V63" s="189">
        <f>IFERROR(__xludf.DUMMYFUNCTION("""COMPUTED_VALUE"""),9.0)</f>
        <v>9</v>
      </c>
      <c r="W63" s="189">
        <f>IFERROR(__xludf.DUMMYFUNCTION("""COMPUTED_VALUE"""),4.0)</f>
        <v>4</v>
      </c>
      <c r="X63" s="189">
        <f>IFERROR(__xludf.DUMMYFUNCTION("""COMPUTED_VALUE"""),4.0)</f>
        <v>4</v>
      </c>
      <c r="Y63" s="208" t="str">
        <f>IFERROR(__xludf.DUMMYFUNCTION("""COMPUTED_VALUE"""),"2025-08-09T00:00:00.000Z")</f>
        <v>2025-08-09T00:00:00.000Z</v>
      </c>
      <c r="Z63" s="189" t="s">
        <v>119</v>
      </c>
      <c r="AA63" s="189" t="s">
        <v>187</v>
      </c>
    </row>
    <row r="64">
      <c r="A64" s="189">
        <f>IFERROR(__xludf.DUMMYFUNCTION("""COMPUTED_VALUE"""),212674.0)</f>
        <v>212674</v>
      </c>
      <c r="B64" s="189">
        <f>IFERROR(__xludf.DUMMYFUNCTION("""COMPUTED_VALUE"""),93672.0)</f>
        <v>93672</v>
      </c>
      <c r="C64" s="189" t="str">
        <f>IFERROR(__xludf.DUMMYFUNCTION("""COMPUTED_VALUE"""),"Challengers 2025: Spain Rising Finals - Playoffs")</f>
        <v>Challengers 2025: Spain Rising Finals - Playoffs</v>
      </c>
      <c r="D64" s="189" t="str">
        <f>IFERROR(__xludf.DUMMYFUNCTION("""COMPUTED_VALUE"""),"Lotus")</f>
        <v>Lotus</v>
      </c>
      <c r="E64" s="189" t="str">
        <f>IFERROR(__xludf.DUMMYFUNCTION("""COMPUTED_VALUE"""),"KOI Fénix")</f>
        <v>KOI Fénix</v>
      </c>
      <c r="F64" s="189" t="str">
        <f>IFERROR(__xludf.DUMMYFUNCTION("""COMPUTED_VALUE"""),"Ramboot Club")</f>
        <v>Ramboot Club</v>
      </c>
      <c r="G64" s="189" t="str">
        <f>IFERROR(__xludf.DUMMYFUNCTION("""COMPUTED_VALUE"""),"Breach,Sova,Killjoy,Omen,Neon")</f>
        <v>Breach,Sova,Killjoy,Omen,Neon</v>
      </c>
      <c r="H64" s="189" t="str">
        <f>IFERROR(__xludf.DUMMYFUNCTION("""COMPUTED_VALUE"""),"Viper,Omen,Chamber,Neon,Fade")</f>
        <v>Viper,Omen,Chamber,Neon,Fade</v>
      </c>
      <c r="I64" s="189">
        <f>IFERROR(__xludf.DUMMYFUNCTION("""COMPUTED_VALUE"""),13.0)</f>
        <v>13</v>
      </c>
      <c r="J64" s="189">
        <f>IFERROR(__xludf.DUMMYFUNCTION("""COMPUTED_VALUE"""),4.0)</f>
        <v>4</v>
      </c>
      <c r="K64" s="189">
        <f>IFERROR(__xludf.DUMMYFUNCTION("""COMPUTED_VALUE"""),9.0)</f>
        <v>9</v>
      </c>
      <c r="L64" s="189">
        <f>IFERROR(__xludf.DUMMYFUNCTION("""COMPUTED_VALUE"""),3.0)</f>
        <v>3</v>
      </c>
      <c r="M64" s="189">
        <f>IFERROR(__xludf.DUMMYFUNCTION("""COMPUTED_VALUE"""),1.0)</f>
        <v>1</v>
      </c>
      <c r="N64" s="189">
        <f>IFERROR(__xludf.DUMMYFUNCTION("""COMPUTED_VALUE"""),1.0)</f>
        <v>1</v>
      </c>
      <c r="O64" s="189">
        <f>IFERROR(__xludf.DUMMYFUNCTION("""COMPUTED_VALUE"""),4.0)</f>
        <v>4</v>
      </c>
      <c r="P64" s="189">
        <f>IFERROR(__xludf.DUMMYFUNCTION("""COMPUTED_VALUE"""),1.0)</f>
        <v>1</v>
      </c>
      <c r="Q64" s="189">
        <f>IFERROR(__xludf.DUMMYFUNCTION("""COMPUTED_VALUE"""),9.0)</f>
        <v>9</v>
      </c>
      <c r="R64" s="189">
        <f>IFERROR(__xludf.DUMMYFUNCTION("""COMPUTED_VALUE"""),3.0)</f>
        <v>3</v>
      </c>
      <c r="S64" s="189">
        <f>IFERROR(__xludf.DUMMYFUNCTION("""COMPUTED_VALUE"""),0.0)</f>
        <v>0</v>
      </c>
      <c r="T64" s="189">
        <f>IFERROR(__xludf.DUMMYFUNCTION("""COMPUTED_VALUE"""),0.0)</f>
        <v>0</v>
      </c>
      <c r="U64" s="189">
        <f>IFERROR(__xludf.DUMMYFUNCTION("""COMPUTED_VALUE"""),3.0)</f>
        <v>3</v>
      </c>
      <c r="V64" s="189">
        <f>IFERROR(__xludf.DUMMYFUNCTION("""COMPUTED_VALUE"""),9.0)</f>
        <v>9</v>
      </c>
      <c r="W64" s="189">
        <f>IFERROR(__xludf.DUMMYFUNCTION("""COMPUTED_VALUE"""),1.0)</f>
        <v>1</v>
      </c>
      <c r="X64" s="189">
        <f>IFERROR(__xludf.DUMMYFUNCTION("""COMPUTED_VALUE"""),4.0)</f>
        <v>4</v>
      </c>
      <c r="Y64" s="208" t="str">
        <f>IFERROR(__xludf.DUMMYFUNCTION("""COMPUTED_VALUE"""),"2025-08-09T00:00:00.000Z")</f>
        <v>2025-08-09T00:00:00.000Z</v>
      </c>
      <c r="Z64" s="189" t="s">
        <v>123</v>
      </c>
      <c r="AA64" s="189" t="s">
        <v>187</v>
      </c>
    </row>
    <row r="65">
      <c r="A65" s="189">
        <f>IFERROR(__xludf.DUMMYFUNCTION("""COMPUTED_VALUE"""),211981.0)</f>
        <v>211981</v>
      </c>
      <c r="B65" s="189">
        <f>IFERROR(__xludf.DUMMYFUNCTION("""COMPUTED_VALUE"""),93394.0)</f>
        <v>93394</v>
      </c>
      <c r="C65" s="189" t="str">
        <f>IFERROR(__xludf.DUMMYFUNCTION("""COMPUTED_VALUE"""),"Challengers 2025: France Revolution Split 3 - Playoffs")</f>
        <v>Challengers 2025: France Revolution Split 3 - Playoffs</v>
      </c>
      <c r="D65" s="189" t="str">
        <f>IFERROR(__xludf.DUMMYFUNCTION("""COMPUTED_VALUE"""),"Icebox")</f>
        <v>Icebox</v>
      </c>
      <c r="E65" s="189" t="str">
        <f>IFERROR(__xludf.DUMMYFUNCTION("""COMPUTED_VALUE"""),"KCORP Blue Stars")</f>
        <v>KCORP Blue Stars</v>
      </c>
      <c r="F65" s="189" t="str">
        <f>IFERROR(__xludf.DUMMYFUNCTION("""COMPUTED_VALUE"""),"Mandatory")</f>
        <v>Mandatory</v>
      </c>
      <c r="G65" s="189" t="str">
        <f>IFERROR(__xludf.DUMMYFUNCTION("""COMPUTED_VALUE"""),"Sova,Killjoy,Viper,Reyna,Gekko")</f>
        <v>Sova,Killjoy,Viper,Reyna,Gekko</v>
      </c>
      <c r="H65" s="189" t="str">
        <f>IFERROR(__xludf.DUMMYFUNCTION("""COMPUTED_VALUE"""),"Sova,Killjoy,Viper,Omen,Gekko")</f>
        <v>Sova,Killjoy,Viper,Omen,Gekko</v>
      </c>
      <c r="I65" s="189">
        <f>IFERROR(__xludf.DUMMYFUNCTION("""COMPUTED_VALUE"""),10.0)</f>
        <v>10</v>
      </c>
      <c r="J65" s="189">
        <f>IFERROR(__xludf.DUMMYFUNCTION("""COMPUTED_VALUE"""),13.0)</f>
        <v>13</v>
      </c>
      <c r="K65" s="189">
        <f>IFERROR(__xludf.DUMMYFUNCTION("""COMPUTED_VALUE"""),6.0)</f>
        <v>6</v>
      </c>
      <c r="L65" s="189">
        <f>IFERROR(__xludf.DUMMYFUNCTION("""COMPUTED_VALUE"""),6.0)</f>
        <v>6</v>
      </c>
      <c r="M65" s="189">
        <f>IFERROR(__xludf.DUMMYFUNCTION("""COMPUTED_VALUE"""),0.0)</f>
        <v>0</v>
      </c>
      <c r="N65" s="189">
        <f>IFERROR(__xludf.DUMMYFUNCTION("""COMPUTED_VALUE"""),1.0)</f>
        <v>1</v>
      </c>
      <c r="O65" s="189">
        <f>IFERROR(__xludf.DUMMYFUNCTION("""COMPUTED_VALUE"""),6.0)</f>
        <v>6</v>
      </c>
      <c r="P65" s="189">
        <f>IFERROR(__xludf.DUMMYFUNCTION("""COMPUTED_VALUE"""),6.0)</f>
        <v>6</v>
      </c>
      <c r="Q65" s="189">
        <f>IFERROR(__xludf.DUMMYFUNCTION("""COMPUTED_VALUE"""),4.0)</f>
        <v>4</v>
      </c>
      <c r="R65" s="189">
        <f>IFERROR(__xludf.DUMMYFUNCTION("""COMPUTED_VALUE"""),7.0)</f>
        <v>7</v>
      </c>
      <c r="S65" s="189">
        <f>IFERROR(__xludf.DUMMYFUNCTION("""COMPUTED_VALUE"""),0.0)</f>
        <v>0</v>
      </c>
      <c r="T65" s="189">
        <f>IFERROR(__xludf.DUMMYFUNCTION("""COMPUTED_VALUE"""),1.0)</f>
        <v>1</v>
      </c>
      <c r="U65" s="189">
        <f>IFERROR(__xludf.DUMMYFUNCTION("""COMPUTED_VALUE"""),7.0)</f>
        <v>7</v>
      </c>
      <c r="V65" s="189">
        <f>IFERROR(__xludf.DUMMYFUNCTION("""COMPUTED_VALUE"""),4.0)</f>
        <v>4</v>
      </c>
      <c r="W65" s="189">
        <f>IFERROR(__xludf.DUMMYFUNCTION("""COMPUTED_VALUE"""),6.0)</f>
        <v>6</v>
      </c>
      <c r="X65" s="189">
        <f>IFERROR(__xludf.DUMMYFUNCTION("""COMPUTED_VALUE"""),6.0)</f>
        <v>6</v>
      </c>
      <c r="Y65" s="208" t="str">
        <f>IFERROR(__xludf.DUMMYFUNCTION("""COMPUTED_VALUE"""),"2025-08-09T00:00:00.000Z")</f>
        <v>2025-08-09T00:00:00.000Z</v>
      </c>
      <c r="Z65" s="189" t="s">
        <v>396</v>
      </c>
      <c r="AA65" s="189" t="s">
        <v>189</v>
      </c>
    </row>
    <row r="66">
      <c r="A66" s="189">
        <f>IFERROR(__xludf.DUMMYFUNCTION("""COMPUTED_VALUE"""),211980.0)</f>
        <v>211980</v>
      </c>
      <c r="B66" s="189">
        <f>IFERROR(__xludf.DUMMYFUNCTION("""COMPUTED_VALUE"""),93394.0)</f>
        <v>93394</v>
      </c>
      <c r="C66" s="189" t="str">
        <f>IFERROR(__xludf.DUMMYFUNCTION("""COMPUTED_VALUE"""),"Challengers 2025: France Revolution Split 3 - Playoffs")</f>
        <v>Challengers 2025: France Revolution Split 3 - Playoffs</v>
      </c>
      <c r="D66" s="189" t="str">
        <f>IFERROR(__xludf.DUMMYFUNCTION("""COMPUTED_VALUE"""),"Lotus")</f>
        <v>Lotus</v>
      </c>
      <c r="E66" s="189" t="str">
        <f>IFERROR(__xludf.DUMMYFUNCTION("""COMPUTED_VALUE"""),"KCORP Blue Stars")</f>
        <v>KCORP Blue Stars</v>
      </c>
      <c r="F66" s="189" t="str">
        <f>IFERROR(__xludf.DUMMYFUNCTION("""COMPUTED_VALUE"""),"Mandatory")</f>
        <v>Mandatory</v>
      </c>
      <c r="G66" s="189" t="str">
        <f>IFERROR(__xludf.DUMMYFUNCTION("""COMPUTED_VALUE"""),"Raze,Viper,Omen,Fade,Vyse")</f>
        <v>Raze,Viper,Omen,Fade,Vyse</v>
      </c>
      <c r="H66" s="189" t="str">
        <f>IFERROR(__xludf.DUMMYFUNCTION("""COMPUTED_VALUE"""),"Cypher,Sova,Omen,Yoru,Deadlock")</f>
        <v>Cypher,Sova,Omen,Yoru,Deadlock</v>
      </c>
      <c r="I66" s="189">
        <f>IFERROR(__xludf.DUMMYFUNCTION("""COMPUTED_VALUE"""),1.0)</f>
        <v>1</v>
      </c>
      <c r="J66" s="189">
        <f>IFERROR(__xludf.DUMMYFUNCTION("""COMPUTED_VALUE"""),13.0)</f>
        <v>13</v>
      </c>
      <c r="K66" s="189">
        <f>IFERROR(__xludf.DUMMYFUNCTION("""COMPUTED_VALUE"""),1.0)</f>
        <v>1</v>
      </c>
      <c r="L66" s="189">
        <f>IFERROR(__xludf.DUMMYFUNCTION("""COMPUTED_VALUE"""),11.0)</f>
        <v>11</v>
      </c>
      <c r="M66" s="189">
        <f>IFERROR(__xludf.DUMMYFUNCTION("""COMPUTED_VALUE"""),0.0)</f>
        <v>0</v>
      </c>
      <c r="N66" s="189">
        <f>IFERROR(__xludf.DUMMYFUNCTION("""COMPUTED_VALUE"""),0.0)</f>
        <v>0</v>
      </c>
      <c r="O66" s="189">
        <f>IFERROR(__xludf.DUMMYFUNCTION("""COMPUTED_VALUE"""),0.0)</f>
        <v>0</v>
      </c>
      <c r="P66" s="189">
        <f>IFERROR(__xludf.DUMMYFUNCTION("""COMPUTED_VALUE"""),2.0)</f>
        <v>2</v>
      </c>
      <c r="Q66" s="189">
        <f>IFERROR(__xludf.DUMMYFUNCTION("""COMPUTED_VALUE"""),1.0)</f>
        <v>1</v>
      </c>
      <c r="R66" s="189">
        <f>IFERROR(__xludf.DUMMYFUNCTION("""COMPUTED_VALUE"""),11.0)</f>
        <v>11</v>
      </c>
      <c r="S66" s="189">
        <f>IFERROR(__xludf.DUMMYFUNCTION("""COMPUTED_VALUE"""),1.0)</f>
        <v>1</v>
      </c>
      <c r="T66" s="189">
        <f>IFERROR(__xludf.DUMMYFUNCTION("""COMPUTED_VALUE"""),1.0)</f>
        <v>1</v>
      </c>
      <c r="U66" s="189">
        <f>IFERROR(__xludf.DUMMYFUNCTION("""COMPUTED_VALUE"""),11.0)</f>
        <v>11</v>
      </c>
      <c r="V66" s="189">
        <f>IFERROR(__xludf.DUMMYFUNCTION("""COMPUTED_VALUE"""),1.0)</f>
        <v>1</v>
      </c>
      <c r="W66" s="189">
        <f>IFERROR(__xludf.DUMMYFUNCTION("""COMPUTED_VALUE"""),2.0)</f>
        <v>2</v>
      </c>
      <c r="X66" s="189">
        <f>IFERROR(__xludf.DUMMYFUNCTION("""COMPUTED_VALUE"""),0.0)</f>
        <v>0</v>
      </c>
      <c r="Y66" s="208" t="str">
        <f>IFERROR(__xludf.DUMMYFUNCTION("""COMPUTED_VALUE"""),"2025-08-09T00:00:00.000Z")</f>
        <v>2025-08-09T00:00:00.000Z</v>
      </c>
      <c r="Z66" s="189" t="s">
        <v>397</v>
      </c>
      <c r="AA66" s="189" t="s">
        <v>189</v>
      </c>
    </row>
    <row r="67">
      <c r="A67" s="189">
        <f>IFERROR(__xludf.DUMMYFUNCTION("""COMPUTED_VALUE"""),211973.0)</f>
        <v>211973</v>
      </c>
      <c r="B67" s="189">
        <f>IFERROR(__xludf.DUMMYFUNCTION("""COMPUTED_VALUE"""),93391.0)</f>
        <v>93391</v>
      </c>
      <c r="C67" s="189" t="str">
        <f>IFERROR(__xludf.DUMMYFUNCTION("""COMPUTED_VALUE"""),"Challengers 2025: Türkiye Birlik Split 3 - Playoffs")</f>
        <v>Challengers 2025: Türkiye Birlik Split 3 - Playoffs</v>
      </c>
      <c r="D67" s="189" t="str">
        <f>IFERROR(__xludf.DUMMYFUNCTION("""COMPUTED_VALUE"""),"Bind")</f>
        <v>Bind</v>
      </c>
      <c r="E67" s="189" t="str">
        <f>IFERROR(__xludf.DUMMYFUNCTION("""COMPUTED_VALUE"""),"ULF Esports")</f>
        <v>ULF Esports</v>
      </c>
      <c r="F67" s="189" t="str">
        <f>IFERROR(__xludf.DUMMYFUNCTION("""COMPUTED_VALUE"""),"Galatasaray Esports")</f>
        <v>Galatasaray Esports</v>
      </c>
      <c r="G67" s="189" t="str">
        <f>IFERROR(__xludf.DUMMYFUNCTION("""COMPUTED_VALUE"""),"Viper,Brimstone,Skye,Vyse,Waylay")</f>
        <v>Viper,Brimstone,Skye,Vyse,Waylay</v>
      </c>
      <c r="H67" s="189" t="str">
        <f>IFERROR(__xludf.DUMMYFUNCTION("""COMPUTED_VALUE"""),"Raze,Viper,Brimstone,Skye,Gekko")</f>
        <v>Raze,Viper,Brimstone,Skye,Gekko</v>
      </c>
      <c r="I67" s="189">
        <f>IFERROR(__xludf.DUMMYFUNCTION("""COMPUTED_VALUE"""),14.0)</f>
        <v>14</v>
      </c>
      <c r="J67" s="189">
        <f>IFERROR(__xludf.DUMMYFUNCTION("""COMPUTED_VALUE"""),12.0)</f>
        <v>12</v>
      </c>
      <c r="K67" s="189">
        <f>IFERROR(__xludf.DUMMYFUNCTION("""COMPUTED_VALUE"""),5.0)</f>
        <v>5</v>
      </c>
      <c r="L67" s="189">
        <f>IFERROR(__xludf.DUMMYFUNCTION("""COMPUTED_VALUE"""),7.0)</f>
        <v>7</v>
      </c>
      <c r="M67" s="189">
        <f>IFERROR(__xludf.DUMMYFUNCTION("""COMPUTED_VALUE"""),1.0)</f>
        <v>1</v>
      </c>
      <c r="N67" s="189">
        <f>IFERROR(__xludf.DUMMYFUNCTION("""COMPUTED_VALUE"""),1.0)</f>
        <v>1</v>
      </c>
      <c r="O67" s="189">
        <f>IFERROR(__xludf.DUMMYFUNCTION("""COMPUTED_VALUE"""),6.0)</f>
        <v>6</v>
      </c>
      <c r="P67" s="189">
        <f>IFERROR(__xludf.DUMMYFUNCTION("""COMPUTED_VALUE"""),7.0)</f>
        <v>7</v>
      </c>
      <c r="Q67" s="189">
        <f>IFERROR(__xludf.DUMMYFUNCTION("""COMPUTED_VALUE"""),8.0)</f>
        <v>8</v>
      </c>
      <c r="R67" s="189">
        <f>IFERROR(__xludf.DUMMYFUNCTION("""COMPUTED_VALUE"""),5.0)</f>
        <v>5</v>
      </c>
      <c r="S67" s="189">
        <f>IFERROR(__xludf.DUMMYFUNCTION("""COMPUTED_VALUE"""),0.0)</f>
        <v>0</v>
      </c>
      <c r="T67" s="189">
        <f>IFERROR(__xludf.DUMMYFUNCTION("""COMPUTED_VALUE"""),0.0)</f>
        <v>0</v>
      </c>
      <c r="U67" s="189">
        <f>IFERROR(__xludf.DUMMYFUNCTION("""COMPUTED_VALUE"""),5.0)</f>
        <v>5</v>
      </c>
      <c r="V67" s="189">
        <f>IFERROR(__xludf.DUMMYFUNCTION("""COMPUTED_VALUE"""),8.0)</f>
        <v>8</v>
      </c>
      <c r="W67" s="189">
        <f>IFERROR(__xludf.DUMMYFUNCTION("""COMPUTED_VALUE"""),7.0)</f>
        <v>7</v>
      </c>
      <c r="X67" s="189">
        <f>IFERROR(__xludf.DUMMYFUNCTION("""COMPUTED_VALUE"""),6.0)</f>
        <v>6</v>
      </c>
      <c r="Y67" s="208" t="str">
        <f>IFERROR(__xludf.DUMMYFUNCTION("""COMPUTED_VALUE"""),"2025-08-04T00:00:00.000Z")</f>
        <v>2025-08-04T00:00:00.000Z</v>
      </c>
      <c r="Z67" s="189" t="s">
        <v>168</v>
      </c>
      <c r="AA67" s="189" t="s">
        <v>188</v>
      </c>
    </row>
    <row r="68">
      <c r="A68" s="189">
        <f>IFERROR(__xludf.DUMMYFUNCTION("""COMPUTED_VALUE"""),211972.0)</f>
        <v>211972</v>
      </c>
      <c r="B68" s="189">
        <f>IFERROR(__xludf.DUMMYFUNCTION("""COMPUTED_VALUE"""),93391.0)</f>
        <v>93391</v>
      </c>
      <c r="C68" s="189" t="str">
        <f>IFERROR(__xludf.DUMMYFUNCTION("""COMPUTED_VALUE"""),"Challengers 2025: Türkiye Birlik Split 3 - Playoffs")</f>
        <v>Challengers 2025: Türkiye Birlik Split 3 - Playoffs</v>
      </c>
      <c r="D68" s="189" t="str">
        <f>IFERROR(__xludf.DUMMYFUNCTION("""COMPUTED_VALUE"""),"Lotus")</f>
        <v>Lotus</v>
      </c>
      <c r="E68" s="189" t="str">
        <f>IFERROR(__xludf.DUMMYFUNCTION("""COMPUTED_VALUE"""),"ULF Esports")</f>
        <v>ULF Esports</v>
      </c>
      <c r="F68" s="189" t="str">
        <f>IFERROR(__xludf.DUMMYFUNCTION("""COMPUTED_VALUE"""),"Galatasaray Esports")</f>
        <v>Galatasaray Esports</v>
      </c>
      <c r="G68" s="189" t="str">
        <f>IFERROR(__xludf.DUMMYFUNCTION("""COMPUTED_VALUE"""),"Raze,Omen,Yoru,Fade,Vyse")</f>
        <v>Raze,Omen,Yoru,Fade,Vyse</v>
      </c>
      <c r="H68" s="189" t="str">
        <f>IFERROR(__xludf.DUMMYFUNCTION("""COMPUTED_VALUE"""),"Breach,Raze,Cypher,Omen,Fade")</f>
        <v>Breach,Raze,Cypher,Omen,Fade</v>
      </c>
      <c r="I68" s="189">
        <f>IFERROR(__xludf.DUMMYFUNCTION("""COMPUTED_VALUE"""),6.0)</f>
        <v>6</v>
      </c>
      <c r="J68" s="189">
        <f>IFERROR(__xludf.DUMMYFUNCTION("""COMPUTED_VALUE"""),13.0)</f>
        <v>13</v>
      </c>
      <c r="K68" s="189">
        <f>IFERROR(__xludf.DUMMYFUNCTION("""COMPUTED_VALUE"""),4.0)</f>
        <v>4</v>
      </c>
      <c r="L68" s="189">
        <f>IFERROR(__xludf.DUMMYFUNCTION("""COMPUTED_VALUE"""),8.0)</f>
        <v>8</v>
      </c>
      <c r="M68" s="189">
        <f>IFERROR(__xludf.DUMMYFUNCTION("""COMPUTED_VALUE"""),0.0)</f>
        <v>0</v>
      </c>
      <c r="N68" s="189">
        <f>IFERROR(__xludf.DUMMYFUNCTION("""COMPUTED_VALUE"""),0.0)</f>
        <v>0</v>
      </c>
      <c r="O68" s="189">
        <f>IFERROR(__xludf.DUMMYFUNCTION("""COMPUTED_VALUE"""),2.0)</f>
        <v>2</v>
      </c>
      <c r="P68" s="189">
        <f>IFERROR(__xludf.DUMMYFUNCTION("""COMPUTED_VALUE"""),5.0)</f>
        <v>5</v>
      </c>
      <c r="Q68" s="189">
        <f>IFERROR(__xludf.DUMMYFUNCTION("""COMPUTED_VALUE"""),4.0)</f>
        <v>4</v>
      </c>
      <c r="R68" s="189">
        <f>IFERROR(__xludf.DUMMYFUNCTION("""COMPUTED_VALUE"""),8.0)</f>
        <v>8</v>
      </c>
      <c r="S68" s="189">
        <f>IFERROR(__xludf.DUMMYFUNCTION("""COMPUTED_VALUE"""),1.0)</f>
        <v>1</v>
      </c>
      <c r="T68" s="189">
        <f>IFERROR(__xludf.DUMMYFUNCTION("""COMPUTED_VALUE"""),1.0)</f>
        <v>1</v>
      </c>
      <c r="U68" s="189">
        <f>IFERROR(__xludf.DUMMYFUNCTION("""COMPUTED_VALUE"""),8.0)</f>
        <v>8</v>
      </c>
      <c r="V68" s="189">
        <f>IFERROR(__xludf.DUMMYFUNCTION("""COMPUTED_VALUE"""),4.0)</f>
        <v>4</v>
      </c>
      <c r="W68" s="189">
        <f>IFERROR(__xludf.DUMMYFUNCTION("""COMPUTED_VALUE"""),5.0)</f>
        <v>5</v>
      </c>
      <c r="X68" s="189">
        <f>IFERROR(__xludf.DUMMYFUNCTION("""COMPUTED_VALUE"""),2.0)</f>
        <v>2</v>
      </c>
      <c r="Y68" s="208" t="str">
        <f>IFERROR(__xludf.DUMMYFUNCTION("""COMPUTED_VALUE"""),"2025-08-04T00:00:00.000Z")</f>
        <v>2025-08-04T00:00:00.000Z</v>
      </c>
      <c r="Z68" s="189" t="s">
        <v>172</v>
      </c>
      <c r="AA68" s="189" t="s">
        <v>398</v>
      </c>
    </row>
    <row r="69">
      <c r="A69" s="189">
        <f>IFERROR(__xludf.DUMMYFUNCTION("""COMPUTED_VALUE"""),211971.0)</f>
        <v>211971</v>
      </c>
      <c r="B69" s="189">
        <f>IFERROR(__xludf.DUMMYFUNCTION("""COMPUTED_VALUE"""),93391.0)</f>
        <v>93391</v>
      </c>
      <c r="C69" s="189" t="str">
        <f>IFERROR(__xludf.DUMMYFUNCTION("""COMPUTED_VALUE"""),"Challengers 2025: Türkiye Birlik Split 3 - Playoffs")</f>
        <v>Challengers 2025: Türkiye Birlik Split 3 - Playoffs</v>
      </c>
      <c r="D69" s="189" t="str">
        <f>IFERROR(__xludf.DUMMYFUNCTION("""COMPUTED_VALUE"""),"Haven")</f>
        <v>Haven</v>
      </c>
      <c r="E69" s="189" t="str">
        <f>IFERROR(__xludf.DUMMYFUNCTION("""COMPUTED_VALUE"""),"ULF Esports")</f>
        <v>ULF Esports</v>
      </c>
      <c r="F69" s="189" t="str">
        <f>IFERROR(__xludf.DUMMYFUNCTION("""COMPUTED_VALUE"""),"Galatasaray Esports")</f>
        <v>Galatasaray Esports</v>
      </c>
      <c r="G69" s="189" t="str">
        <f>IFERROR(__xludf.DUMMYFUNCTION("""COMPUTED_VALUE"""),"Breach,Cypher,Sova,Omen,Neon")</f>
        <v>Breach,Cypher,Sova,Omen,Neon</v>
      </c>
      <c r="H69" s="189" t="str">
        <f>IFERROR(__xludf.DUMMYFUNCTION("""COMPUTED_VALUE"""),"Breach,Cypher,Sova,Omen,Jett")</f>
        <v>Breach,Cypher,Sova,Omen,Jett</v>
      </c>
      <c r="I69" s="189">
        <f>IFERROR(__xludf.DUMMYFUNCTION("""COMPUTED_VALUE"""),13.0)</f>
        <v>13</v>
      </c>
      <c r="J69" s="189">
        <f>IFERROR(__xludf.DUMMYFUNCTION("""COMPUTED_VALUE"""),6.0)</f>
        <v>6</v>
      </c>
      <c r="K69" s="189">
        <f>IFERROR(__xludf.DUMMYFUNCTION("""COMPUTED_VALUE"""),8.0)</f>
        <v>8</v>
      </c>
      <c r="L69" s="189">
        <f>IFERROR(__xludf.DUMMYFUNCTION("""COMPUTED_VALUE"""),4.0)</f>
        <v>4</v>
      </c>
      <c r="M69" s="189">
        <f>IFERROR(__xludf.DUMMYFUNCTION("""COMPUTED_VALUE"""),1.0)</f>
        <v>1</v>
      </c>
      <c r="N69" s="189">
        <f>IFERROR(__xludf.DUMMYFUNCTION("""COMPUTED_VALUE"""),0.0)</f>
        <v>0</v>
      </c>
      <c r="O69" s="189">
        <f>IFERROR(__xludf.DUMMYFUNCTION("""COMPUTED_VALUE"""),5.0)</f>
        <v>5</v>
      </c>
      <c r="P69" s="189">
        <f>IFERROR(__xludf.DUMMYFUNCTION("""COMPUTED_VALUE"""),2.0)</f>
        <v>2</v>
      </c>
      <c r="Q69" s="189">
        <f>IFERROR(__xludf.DUMMYFUNCTION("""COMPUTED_VALUE"""),8.0)</f>
        <v>8</v>
      </c>
      <c r="R69" s="189">
        <f>IFERROR(__xludf.DUMMYFUNCTION("""COMPUTED_VALUE"""),4.0)</f>
        <v>4</v>
      </c>
      <c r="S69" s="189">
        <f>IFERROR(__xludf.DUMMYFUNCTION("""COMPUTED_VALUE"""),1.0)</f>
        <v>1</v>
      </c>
      <c r="T69" s="189">
        <f>IFERROR(__xludf.DUMMYFUNCTION("""COMPUTED_VALUE"""),0.0)</f>
        <v>0</v>
      </c>
      <c r="U69" s="189">
        <f>IFERROR(__xludf.DUMMYFUNCTION("""COMPUTED_VALUE"""),4.0)</f>
        <v>4</v>
      </c>
      <c r="V69" s="189">
        <f>IFERROR(__xludf.DUMMYFUNCTION("""COMPUTED_VALUE"""),8.0)</f>
        <v>8</v>
      </c>
      <c r="W69" s="189">
        <f>IFERROR(__xludf.DUMMYFUNCTION("""COMPUTED_VALUE"""),2.0)</f>
        <v>2</v>
      </c>
      <c r="X69" s="189">
        <f>IFERROR(__xludf.DUMMYFUNCTION("""COMPUTED_VALUE"""),5.0)</f>
        <v>5</v>
      </c>
      <c r="Y69" s="208" t="str">
        <f>IFERROR(__xludf.DUMMYFUNCTION("""COMPUTED_VALUE"""),"2025-08-04T00:00:00.000Z")</f>
        <v>2025-08-04T00:00:00.000Z</v>
      </c>
      <c r="Z69" s="189" t="s">
        <v>170</v>
      </c>
      <c r="AA69" s="189" t="s">
        <v>188</v>
      </c>
    </row>
    <row r="70">
      <c r="A70" s="189">
        <f>IFERROR(__xludf.DUMMYFUNCTION("""COMPUTED_VALUE"""),211970.0)</f>
        <v>211970</v>
      </c>
      <c r="B70" s="189">
        <f>IFERROR(__xludf.DUMMYFUNCTION("""COMPUTED_VALUE"""),93390.0)</f>
        <v>93390</v>
      </c>
      <c r="C70" s="189" t="str">
        <f>IFERROR(__xludf.DUMMYFUNCTION("""COMPUTED_VALUE"""),"Challengers 2025: Türkiye Birlik Split 3 - Playoffs")</f>
        <v>Challengers 2025: Türkiye Birlik Split 3 - Playoffs</v>
      </c>
      <c r="D70" s="189" t="str">
        <f>IFERROR(__xludf.DUMMYFUNCTION("""COMPUTED_VALUE"""),"Icebox")</f>
        <v>Icebox</v>
      </c>
      <c r="E70" s="189" t="str">
        <f>IFERROR(__xludf.DUMMYFUNCTION("""COMPUTED_VALUE"""),"BBL PCIFIC")</f>
        <v>BBL PCIFIC</v>
      </c>
      <c r="F70" s="189" t="str">
        <f>IFERROR(__xludf.DUMMYFUNCTION("""COMPUTED_VALUE"""),"Papara SuperMassive")</f>
        <v>Papara SuperMassive</v>
      </c>
      <c r="G70" s="189" t="str">
        <f>IFERROR(__xludf.DUMMYFUNCTION("""COMPUTED_VALUE"""),"Sova,Killjoy,Viper,Omen,Jett")</f>
        <v>Sova,Killjoy,Viper,Omen,Jett</v>
      </c>
      <c r="H70" s="189" t="str">
        <f>IFERROR(__xludf.DUMMYFUNCTION("""COMPUTED_VALUE"""),"Sova,Killjoy,Viper,Reyna,Jett")</f>
        <v>Sova,Killjoy,Viper,Reyna,Jett</v>
      </c>
      <c r="I70" s="189">
        <f>IFERROR(__xludf.DUMMYFUNCTION("""COMPUTED_VALUE"""),14.0)</f>
        <v>14</v>
      </c>
      <c r="J70" s="189">
        <f>IFERROR(__xludf.DUMMYFUNCTION("""COMPUTED_VALUE"""),12.0)</f>
        <v>12</v>
      </c>
      <c r="K70" s="189">
        <f>IFERROR(__xludf.DUMMYFUNCTION("""COMPUTED_VALUE"""),4.0)</f>
        <v>4</v>
      </c>
      <c r="L70" s="189">
        <f>IFERROR(__xludf.DUMMYFUNCTION("""COMPUTED_VALUE"""),8.0)</f>
        <v>8</v>
      </c>
      <c r="M70" s="189">
        <f>IFERROR(__xludf.DUMMYFUNCTION("""COMPUTED_VALUE"""),0.0)</f>
        <v>0</v>
      </c>
      <c r="N70" s="189">
        <f>IFERROR(__xludf.DUMMYFUNCTION("""COMPUTED_VALUE"""),0.0)</f>
        <v>0</v>
      </c>
      <c r="O70" s="189">
        <f>IFERROR(__xludf.DUMMYFUNCTION("""COMPUTED_VALUE"""),5.0)</f>
        <v>5</v>
      </c>
      <c r="P70" s="189">
        <f>IFERROR(__xludf.DUMMYFUNCTION("""COMPUTED_VALUE"""),8.0)</f>
        <v>8</v>
      </c>
      <c r="Q70" s="189">
        <f>IFERROR(__xludf.DUMMYFUNCTION("""COMPUTED_VALUE"""),9.0)</f>
        <v>9</v>
      </c>
      <c r="R70" s="189">
        <f>IFERROR(__xludf.DUMMYFUNCTION("""COMPUTED_VALUE"""),4.0)</f>
        <v>4</v>
      </c>
      <c r="S70" s="189">
        <f>IFERROR(__xludf.DUMMYFUNCTION("""COMPUTED_VALUE"""),1.0)</f>
        <v>1</v>
      </c>
      <c r="T70" s="189">
        <f>IFERROR(__xludf.DUMMYFUNCTION("""COMPUTED_VALUE"""),1.0)</f>
        <v>1</v>
      </c>
      <c r="U70" s="189">
        <f>IFERROR(__xludf.DUMMYFUNCTION("""COMPUTED_VALUE"""),4.0)</f>
        <v>4</v>
      </c>
      <c r="V70" s="189">
        <f>IFERROR(__xludf.DUMMYFUNCTION("""COMPUTED_VALUE"""),9.0)</f>
        <v>9</v>
      </c>
      <c r="W70" s="189">
        <f>IFERROR(__xludf.DUMMYFUNCTION("""COMPUTED_VALUE"""),8.0)</f>
        <v>8</v>
      </c>
      <c r="X70" s="189">
        <f>IFERROR(__xludf.DUMMYFUNCTION("""COMPUTED_VALUE"""),5.0)</f>
        <v>5</v>
      </c>
      <c r="Y70" s="208" t="str">
        <f>IFERROR(__xludf.DUMMYFUNCTION("""COMPUTED_VALUE"""),"2025-08-04T00:00:00.000Z")</f>
        <v>2025-08-04T00:00:00.000Z</v>
      </c>
      <c r="Z70" s="189" t="s">
        <v>71</v>
      </c>
      <c r="AA70" s="189" t="s">
        <v>186</v>
      </c>
    </row>
    <row r="71">
      <c r="A71" s="189">
        <f>IFERROR(__xludf.DUMMYFUNCTION("""COMPUTED_VALUE"""),211969.0)</f>
        <v>211969</v>
      </c>
      <c r="B71" s="189">
        <f>IFERROR(__xludf.DUMMYFUNCTION("""COMPUTED_VALUE"""),93390.0)</f>
        <v>93390</v>
      </c>
      <c r="C71" s="189" t="str">
        <f>IFERROR(__xludf.DUMMYFUNCTION("""COMPUTED_VALUE"""),"Challengers 2025: Türkiye Birlik Split 3 - Playoffs")</f>
        <v>Challengers 2025: Türkiye Birlik Split 3 - Playoffs</v>
      </c>
      <c r="D71" s="189" t="str">
        <f>IFERROR(__xludf.DUMMYFUNCTION("""COMPUTED_VALUE"""),"Lotus")</f>
        <v>Lotus</v>
      </c>
      <c r="E71" s="189" t="str">
        <f>IFERROR(__xludf.DUMMYFUNCTION("""COMPUTED_VALUE"""),"BBL PCIFIC")</f>
        <v>BBL PCIFIC</v>
      </c>
      <c r="F71" s="189" t="str">
        <f>IFERROR(__xludf.DUMMYFUNCTION("""COMPUTED_VALUE"""),"Papara SuperMassive")</f>
        <v>Papara SuperMassive</v>
      </c>
      <c r="G71" s="189" t="str">
        <f>IFERROR(__xludf.DUMMYFUNCTION("""COMPUTED_VALUE"""),"Raze,Omen,Yoru,Fade,Vyse")</f>
        <v>Raze,Omen,Yoru,Fade,Vyse</v>
      </c>
      <c r="H71" s="189" t="str">
        <f>IFERROR(__xludf.DUMMYFUNCTION("""COMPUTED_VALUE"""),"Raze,Viper,Omen,Fade,Vyse")</f>
        <v>Raze,Viper,Omen,Fade,Vyse</v>
      </c>
      <c r="I71" s="189">
        <f>IFERROR(__xludf.DUMMYFUNCTION("""COMPUTED_VALUE"""),13.0)</f>
        <v>13</v>
      </c>
      <c r="J71" s="189">
        <f>IFERROR(__xludf.DUMMYFUNCTION("""COMPUTED_VALUE"""),4.0)</f>
        <v>4</v>
      </c>
      <c r="K71" s="189">
        <f>IFERROR(__xludf.DUMMYFUNCTION("""COMPUTED_VALUE"""),8.0)</f>
        <v>8</v>
      </c>
      <c r="L71" s="189">
        <f>IFERROR(__xludf.DUMMYFUNCTION("""COMPUTED_VALUE"""),4.0)</f>
        <v>4</v>
      </c>
      <c r="M71" s="189">
        <f>IFERROR(__xludf.DUMMYFUNCTION("""COMPUTED_VALUE"""),1.0)</f>
        <v>1</v>
      </c>
      <c r="N71" s="189">
        <f>IFERROR(__xludf.DUMMYFUNCTION("""COMPUTED_VALUE"""),1.0)</f>
        <v>1</v>
      </c>
      <c r="O71" s="189">
        <f>IFERROR(__xludf.DUMMYFUNCTION("""COMPUTED_VALUE"""),5.0)</f>
        <v>5</v>
      </c>
      <c r="P71" s="189">
        <f>IFERROR(__xludf.DUMMYFUNCTION("""COMPUTED_VALUE"""),0.0)</f>
        <v>0</v>
      </c>
      <c r="Q71" s="189">
        <f>IFERROR(__xludf.DUMMYFUNCTION("""COMPUTED_VALUE"""),8.0)</f>
        <v>8</v>
      </c>
      <c r="R71" s="189">
        <f>IFERROR(__xludf.DUMMYFUNCTION("""COMPUTED_VALUE"""),4.0)</f>
        <v>4</v>
      </c>
      <c r="S71" s="189">
        <f>IFERROR(__xludf.DUMMYFUNCTION("""COMPUTED_VALUE"""),0.0)</f>
        <v>0</v>
      </c>
      <c r="T71" s="189">
        <f>IFERROR(__xludf.DUMMYFUNCTION("""COMPUTED_VALUE"""),0.0)</f>
        <v>0</v>
      </c>
      <c r="U71" s="189">
        <f>IFERROR(__xludf.DUMMYFUNCTION("""COMPUTED_VALUE"""),4.0)</f>
        <v>4</v>
      </c>
      <c r="V71" s="189">
        <f>IFERROR(__xludf.DUMMYFUNCTION("""COMPUTED_VALUE"""),8.0)</f>
        <v>8</v>
      </c>
      <c r="W71" s="189">
        <f>IFERROR(__xludf.DUMMYFUNCTION("""COMPUTED_VALUE"""),0.0)</f>
        <v>0</v>
      </c>
      <c r="X71" s="189">
        <f>IFERROR(__xludf.DUMMYFUNCTION("""COMPUTED_VALUE"""),5.0)</f>
        <v>5</v>
      </c>
      <c r="Y71" s="208" t="str">
        <f>IFERROR(__xludf.DUMMYFUNCTION("""COMPUTED_VALUE"""),"2025-08-04T00:00:00.000Z")</f>
        <v>2025-08-04T00:00:00.000Z</v>
      </c>
      <c r="Z71" s="189" t="s">
        <v>72</v>
      </c>
      <c r="AA71" s="189" t="s">
        <v>186</v>
      </c>
    </row>
    <row r="72">
      <c r="A72" s="189">
        <f>IFERROR(__xludf.DUMMYFUNCTION("""COMPUTED_VALUE"""),211968.0)</f>
        <v>211968</v>
      </c>
      <c r="B72" s="189">
        <f>IFERROR(__xludf.DUMMYFUNCTION("""COMPUTED_VALUE"""),93390.0)</f>
        <v>93390</v>
      </c>
      <c r="C72" s="189" t="str">
        <f>IFERROR(__xludf.DUMMYFUNCTION("""COMPUTED_VALUE"""),"Challengers 2025: Türkiye Birlik Split 3 - Playoffs")</f>
        <v>Challengers 2025: Türkiye Birlik Split 3 - Playoffs</v>
      </c>
      <c r="D72" s="189" t="str">
        <f>IFERROR(__xludf.DUMMYFUNCTION("""COMPUTED_VALUE"""),"Haven")</f>
        <v>Haven</v>
      </c>
      <c r="E72" s="189" t="str">
        <f>IFERROR(__xludf.DUMMYFUNCTION("""COMPUTED_VALUE"""),"BBL PCIFIC")</f>
        <v>BBL PCIFIC</v>
      </c>
      <c r="F72" s="189" t="str">
        <f>IFERROR(__xludf.DUMMYFUNCTION("""COMPUTED_VALUE"""),"Papara SuperMassive")</f>
        <v>Papara SuperMassive</v>
      </c>
      <c r="G72" s="189" t="str">
        <f>IFERROR(__xludf.DUMMYFUNCTION("""COMPUTED_VALUE"""),"Breach,Cypher,Sova,Omen,Jett")</f>
        <v>Breach,Cypher,Sova,Omen,Jett</v>
      </c>
      <c r="H72" s="189" t="str">
        <f>IFERROR(__xludf.DUMMYFUNCTION("""COMPUTED_VALUE"""),"Breach,Cypher,Sova,Omen,Neon")</f>
        <v>Breach,Cypher,Sova,Omen,Neon</v>
      </c>
      <c r="I72" s="189">
        <f>IFERROR(__xludf.DUMMYFUNCTION("""COMPUTED_VALUE"""),6.0)</f>
        <v>6</v>
      </c>
      <c r="J72" s="189">
        <f>IFERROR(__xludf.DUMMYFUNCTION("""COMPUTED_VALUE"""),13.0)</f>
        <v>13</v>
      </c>
      <c r="K72" s="189">
        <f>IFERROR(__xludf.DUMMYFUNCTION("""COMPUTED_VALUE"""),5.0)</f>
        <v>5</v>
      </c>
      <c r="L72" s="189">
        <f>IFERROR(__xludf.DUMMYFUNCTION("""COMPUTED_VALUE"""),7.0)</f>
        <v>7</v>
      </c>
      <c r="M72" s="189">
        <f>IFERROR(__xludf.DUMMYFUNCTION("""COMPUTED_VALUE"""),0.0)</f>
        <v>0</v>
      </c>
      <c r="N72" s="189">
        <f>IFERROR(__xludf.DUMMYFUNCTION("""COMPUTED_VALUE"""),0.0)</f>
        <v>0</v>
      </c>
      <c r="O72" s="189">
        <f>IFERROR(__xludf.DUMMYFUNCTION("""COMPUTED_VALUE"""),5.0)</f>
        <v>5</v>
      </c>
      <c r="P72" s="189">
        <f>IFERROR(__xludf.DUMMYFUNCTION("""COMPUTED_VALUE"""),7.0)</f>
        <v>7</v>
      </c>
      <c r="Q72" s="189">
        <f>IFERROR(__xludf.DUMMYFUNCTION("""COMPUTED_VALUE"""),1.0)</f>
        <v>1</v>
      </c>
      <c r="R72" s="189">
        <f>IFERROR(__xludf.DUMMYFUNCTION("""COMPUTED_VALUE"""),6.0)</f>
        <v>6</v>
      </c>
      <c r="S72" s="189">
        <f>IFERROR(__xludf.DUMMYFUNCTION("""COMPUTED_VALUE"""),1.0)</f>
        <v>1</v>
      </c>
      <c r="T72" s="189">
        <f>IFERROR(__xludf.DUMMYFUNCTION("""COMPUTED_VALUE"""),1.0)</f>
        <v>1</v>
      </c>
      <c r="U72" s="189">
        <f>IFERROR(__xludf.DUMMYFUNCTION("""COMPUTED_VALUE"""),6.0)</f>
        <v>6</v>
      </c>
      <c r="V72" s="189">
        <f>IFERROR(__xludf.DUMMYFUNCTION("""COMPUTED_VALUE"""),1.0)</f>
        <v>1</v>
      </c>
      <c r="W72" s="189">
        <f>IFERROR(__xludf.DUMMYFUNCTION("""COMPUTED_VALUE"""),7.0)</f>
        <v>7</v>
      </c>
      <c r="X72" s="189">
        <f>IFERROR(__xludf.DUMMYFUNCTION("""COMPUTED_VALUE"""),5.0)</f>
        <v>5</v>
      </c>
      <c r="Y72" s="208" t="str">
        <f>IFERROR(__xludf.DUMMYFUNCTION("""COMPUTED_VALUE"""),"2025-08-04T00:00:00.000Z")</f>
        <v>2025-08-04T00:00:00.000Z</v>
      </c>
      <c r="Z72" s="189" t="s">
        <v>70</v>
      </c>
      <c r="AA72" s="189" t="s">
        <v>399</v>
      </c>
    </row>
    <row r="73">
      <c r="A73" s="189">
        <f>IFERROR(__xludf.DUMMYFUNCTION("""COMPUTED_VALUE"""),211957.0)</f>
        <v>211957</v>
      </c>
      <c r="B73" s="189">
        <f>IFERROR(__xludf.DUMMYFUNCTION("""COMPUTED_VALUE"""),93386.0)</f>
        <v>93386</v>
      </c>
      <c r="C73" s="189" t="str">
        <f>IFERROR(__xludf.DUMMYFUNCTION("""COMPUTED_VALUE"""),"Challengers League 2025 NORTH EAST: Split 3 - Playoffs")</f>
        <v>Challengers League 2025 NORTH EAST: Split 3 - Playoffs</v>
      </c>
      <c r="D73" s="189" t="str">
        <f>IFERROR(__xludf.DUMMYFUNCTION("""COMPUTED_VALUE"""),"Corrode")</f>
        <v>Corrode</v>
      </c>
      <c r="E73" s="189" t="str">
        <f>IFERROR(__xludf.DUMMYFUNCTION("""COMPUTED_VALUE"""),"Team Liquid Academy")</f>
        <v>Team Liquid Academy</v>
      </c>
      <c r="F73" s="189" t="str">
        <f>IFERROR(__xludf.DUMMYFUNCTION("""COMPUTED_VALUE"""),"Boars Gaming")</f>
        <v>Boars Gaming</v>
      </c>
      <c r="G73" s="189" t="str">
        <f>IFERROR(__xludf.DUMMYFUNCTION("""COMPUTED_VALUE"""),"Cypher,Phoenix,Omen,Yoru,Fade")</f>
        <v>Cypher,Phoenix,Omen,Yoru,Fade</v>
      </c>
      <c r="H73" s="189" t="str">
        <f>IFERROR(__xludf.DUMMYFUNCTION("""COMPUTED_VALUE"""),"Omen,Yoru,Chamber,Neon,Fade")</f>
        <v>Omen,Yoru,Chamber,Neon,Fade</v>
      </c>
      <c r="I73" s="189">
        <f>IFERROR(__xludf.DUMMYFUNCTION("""COMPUTED_VALUE"""),13.0)</f>
        <v>13</v>
      </c>
      <c r="J73" s="189">
        <f>IFERROR(__xludf.DUMMYFUNCTION("""COMPUTED_VALUE"""),3.0)</f>
        <v>3</v>
      </c>
      <c r="K73" s="189">
        <f>IFERROR(__xludf.DUMMYFUNCTION("""COMPUTED_VALUE"""),10.0)</f>
        <v>10</v>
      </c>
      <c r="L73" s="189">
        <f>IFERROR(__xludf.DUMMYFUNCTION("""COMPUTED_VALUE"""),2.0)</f>
        <v>2</v>
      </c>
      <c r="M73" s="189">
        <f>IFERROR(__xludf.DUMMYFUNCTION("""COMPUTED_VALUE"""),1.0)</f>
        <v>1</v>
      </c>
      <c r="N73" s="189">
        <f>IFERROR(__xludf.DUMMYFUNCTION("""COMPUTED_VALUE"""),1.0)</f>
        <v>1</v>
      </c>
      <c r="O73" s="189">
        <f>IFERROR(__xludf.DUMMYFUNCTION("""COMPUTED_VALUE"""),3.0)</f>
        <v>3</v>
      </c>
      <c r="P73" s="189">
        <f>IFERROR(__xludf.DUMMYFUNCTION("""COMPUTED_VALUE"""),1.0)</f>
        <v>1</v>
      </c>
      <c r="Q73" s="189">
        <f>IFERROR(__xludf.DUMMYFUNCTION("""COMPUTED_VALUE"""),10.0)</f>
        <v>10</v>
      </c>
      <c r="R73" s="189">
        <f>IFERROR(__xludf.DUMMYFUNCTION("""COMPUTED_VALUE"""),2.0)</f>
        <v>2</v>
      </c>
      <c r="S73" s="189">
        <f>IFERROR(__xludf.DUMMYFUNCTION("""COMPUTED_VALUE"""),0.0)</f>
        <v>0</v>
      </c>
      <c r="T73" s="189">
        <f>IFERROR(__xludf.DUMMYFUNCTION("""COMPUTED_VALUE"""),0.0)</f>
        <v>0</v>
      </c>
      <c r="U73" s="189">
        <f>IFERROR(__xludf.DUMMYFUNCTION("""COMPUTED_VALUE"""),2.0)</f>
        <v>2</v>
      </c>
      <c r="V73" s="189">
        <f>IFERROR(__xludf.DUMMYFUNCTION("""COMPUTED_VALUE"""),10.0)</f>
        <v>10</v>
      </c>
      <c r="W73" s="189">
        <f>IFERROR(__xludf.DUMMYFUNCTION("""COMPUTED_VALUE"""),1.0)</f>
        <v>1</v>
      </c>
      <c r="X73" s="189">
        <f>IFERROR(__xludf.DUMMYFUNCTION("""COMPUTED_VALUE"""),3.0)</f>
        <v>3</v>
      </c>
      <c r="Y73" s="208" t="str">
        <f>IFERROR(__xludf.DUMMYFUNCTION("""COMPUTED_VALUE"""),"2025-08-03T00:00:00.000Z")</f>
        <v>2025-08-03T00:00:00.000Z</v>
      </c>
      <c r="Z73" s="189" t="s">
        <v>144</v>
      </c>
      <c r="AA73" s="189" t="s">
        <v>1</v>
      </c>
    </row>
    <row r="74">
      <c r="A74" s="189">
        <f>IFERROR(__xludf.DUMMYFUNCTION("""COMPUTED_VALUE"""),211956.0)</f>
        <v>211956</v>
      </c>
      <c r="B74" s="189">
        <f>IFERROR(__xludf.DUMMYFUNCTION("""COMPUTED_VALUE"""),93386.0)</f>
        <v>93386</v>
      </c>
      <c r="C74" s="189" t="str">
        <f>IFERROR(__xludf.DUMMYFUNCTION("""COMPUTED_VALUE"""),"Challengers League 2025 NORTH EAST: Split 3 - Playoffs")</f>
        <v>Challengers League 2025 NORTH EAST: Split 3 - Playoffs</v>
      </c>
      <c r="D74" s="189" t="str">
        <f>IFERROR(__xludf.DUMMYFUNCTION("""COMPUTED_VALUE"""),"Lotus")</f>
        <v>Lotus</v>
      </c>
      <c r="E74" s="189" t="str">
        <f>IFERROR(__xludf.DUMMYFUNCTION("""COMPUTED_VALUE"""),"Team Liquid Academy")</f>
        <v>Team Liquid Academy</v>
      </c>
      <c r="F74" s="189" t="str">
        <f>IFERROR(__xludf.DUMMYFUNCTION("""COMPUTED_VALUE"""),"Boars Gaming")</f>
        <v>Boars Gaming</v>
      </c>
      <c r="G74" s="189" t="str">
        <f>IFERROR(__xludf.DUMMYFUNCTION("""COMPUTED_VALUE"""),"Cypher,Omen,Neon,Fade,Iso")</f>
        <v>Cypher,Omen,Neon,Fade,Iso</v>
      </c>
      <c r="H74" s="189" t="str">
        <f>IFERROR(__xludf.DUMMYFUNCTION("""COMPUTED_VALUE"""),"Breach,Cypher,Omen,Neon,Fade")</f>
        <v>Breach,Cypher,Omen,Neon,Fade</v>
      </c>
      <c r="I74" s="189">
        <f>IFERROR(__xludf.DUMMYFUNCTION("""COMPUTED_VALUE"""),13.0)</f>
        <v>13</v>
      </c>
      <c r="J74" s="189">
        <f>IFERROR(__xludf.DUMMYFUNCTION("""COMPUTED_VALUE"""),6.0)</f>
        <v>6</v>
      </c>
      <c r="K74" s="189">
        <f>IFERROR(__xludf.DUMMYFUNCTION("""COMPUTED_VALUE"""),10.0)</f>
        <v>10</v>
      </c>
      <c r="L74" s="189">
        <f>IFERROR(__xludf.DUMMYFUNCTION("""COMPUTED_VALUE"""),2.0)</f>
        <v>2</v>
      </c>
      <c r="M74" s="189">
        <f>IFERROR(__xludf.DUMMYFUNCTION("""COMPUTED_VALUE"""),0.0)</f>
        <v>0</v>
      </c>
      <c r="N74" s="189">
        <f>IFERROR(__xludf.DUMMYFUNCTION("""COMPUTED_VALUE"""),1.0)</f>
        <v>1</v>
      </c>
      <c r="O74" s="189">
        <f>IFERROR(__xludf.DUMMYFUNCTION("""COMPUTED_VALUE"""),3.0)</f>
        <v>3</v>
      </c>
      <c r="P74" s="189">
        <f>IFERROR(__xludf.DUMMYFUNCTION("""COMPUTED_VALUE"""),4.0)</f>
        <v>4</v>
      </c>
      <c r="Q74" s="189">
        <f>IFERROR(__xludf.DUMMYFUNCTION("""COMPUTED_VALUE"""),10.0)</f>
        <v>10</v>
      </c>
      <c r="R74" s="189">
        <f>IFERROR(__xludf.DUMMYFUNCTION("""COMPUTED_VALUE"""),2.0)</f>
        <v>2</v>
      </c>
      <c r="S74" s="189">
        <f>IFERROR(__xludf.DUMMYFUNCTION("""COMPUTED_VALUE"""),0.0)</f>
        <v>0</v>
      </c>
      <c r="T74" s="189">
        <f>IFERROR(__xludf.DUMMYFUNCTION("""COMPUTED_VALUE"""),1.0)</f>
        <v>1</v>
      </c>
      <c r="U74" s="189">
        <f>IFERROR(__xludf.DUMMYFUNCTION("""COMPUTED_VALUE"""),2.0)</f>
        <v>2</v>
      </c>
      <c r="V74" s="189">
        <f>IFERROR(__xludf.DUMMYFUNCTION("""COMPUTED_VALUE"""),10.0)</f>
        <v>10</v>
      </c>
      <c r="W74" s="189">
        <f>IFERROR(__xludf.DUMMYFUNCTION("""COMPUTED_VALUE"""),4.0)</f>
        <v>4</v>
      </c>
      <c r="X74" s="189">
        <f>IFERROR(__xludf.DUMMYFUNCTION("""COMPUTED_VALUE"""),3.0)</f>
        <v>3</v>
      </c>
      <c r="Y74" s="208" t="str">
        <f>IFERROR(__xludf.DUMMYFUNCTION("""COMPUTED_VALUE"""),"2025-08-03T00:00:00.000Z")</f>
        <v>2025-08-03T00:00:00.000Z</v>
      </c>
      <c r="Z74" s="189" t="s">
        <v>147</v>
      </c>
      <c r="AA74" s="189" t="s">
        <v>1</v>
      </c>
    </row>
    <row r="75">
      <c r="A75" s="189">
        <f>IFERROR(__xludf.DUMMYFUNCTION("""COMPUTED_VALUE"""),211246.0)</f>
        <v>211246</v>
      </c>
      <c r="B75" s="189">
        <f>IFERROR(__xludf.DUMMYFUNCTION("""COMPUTED_VALUE"""),92903.0)</f>
        <v>92903</v>
      </c>
      <c r="C75" s="189" t="str">
        <f>IFERROR(__xludf.DUMMYFUNCTION("""COMPUTED_VALUE"""),"Challengers 2025: France Revolution Split 3 - Playoffs")</f>
        <v>Challengers 2025: France Revolution Split 3 - Playoffs</v>
      </c>
      <c r="D75" s="189" t="str">
        <f>IFERROR(__xludf.DUMMYFUNCTION("""COMPUTED_VALUE"""),"Icebox")</f>
        <v>Icebox</v>
      </c>
      <c r="E75" s="189" t="str">
        <f>IFERROR(__xludf.DUMMYFUNCTION("""COMPUTED_VALUE"""),"Joblife")</f>
        <v>Joblife</v>
      </c>
      <c r="F75" s="189" t="str">
        <f>IFERROR(__xludf.DUMMYFUNCTION("""COMPUTED_VALUE"""),"BLX CORP")</f>
        <v>BLX CORP</v>
      </c>
      <c r="G75" s="189" t="str">
        <f>IFERROR(__xludf.DUMMYFUNCTION("""COMPUTED_VALUE"""),"Sova,Killjoy,Viper,Sage,Jett")</f>
        <v>Sova,Killjoy,Viper,Sage,Jett</v>
      </c>
      <c r="H75" s="189" t="str">
        <f>IFERROR(__xludf.DUMMYFUNCTION("""COMPUTED_VALUE"""),"Killjoy,Viper,Reyna,Gekko,Iso")</f>
        <v>Killjoy,Viper,Reyna,Gekko,Iso</v>
      </c>
      <c r="I75" s="189">
        <f>IFERROR(__xludf.DUMMYFUNCTION("""COMPUTED_VALUE"""),13.0)</f>
        <v>13</v>
      </c>
      <c r="J75" s="189">
        <f>IFERROR(__xludf.DUMMYFUNCTION("""COMPUTED_VALUE"""),2.0)</f>
        <v>2</v>
      </c>
      <c r="K75" s="189">
        <f>IFERROR(__xludf.DUMMYFUNCTION("""COMPUTED_VALUE"""),11.0)</f>
        <v>11</v>
      </c>
      <c r="L75" s="189">
        <f>IFERROR(__xludf.DUMMYFUNCTION("""COMPUTED_VALUE"""),1.0)</f>
        <v>1</v>
      </c>
      <c r="M75" s="189">
        <f>IFERROR(__xludf.DUMMYFUNCTION("""COMPUTED_VALUE"""),1.0)</f>
        <v>1</v>
      </c>
      <c r="N75" s="189">
        <f>IFERROR(__xludf.DUMMYFUNCTION("""COMPUTED_VALUE"""),1.0)</f>
        <v>1</v>
      </c>
      <c r="O75" s="189">
        <f>IFERROR(__xludf.DUMMYFUNCTION("""COMPUTED_VALUE"""),2.0)</f>
        <v>2</v>
      </c>
      <c r="P75" s="189">
        <f>IFERROR(__xludf.DUMMYFUNCTION("""COMPUTED_VALUE"""),1.0)</f>
        <v>1</v>
      </c>
      <c r="Q75" s="189">
        <f>IFERROR(__xludf.DUMMYFUNCTION("""COMPUTED_VALUE"""),11.0)</f>
        <v>11</v>
      </c>
      <c r="R75" s="189">
        <f>IFERROR(__xludf.DUMMYFUNCTION("""COMPUTED_VALUE"""),1.0)</f>
        <v>1</v>
      </c>
      <c r="S75" s="189">
        <f>IFERROR(__xludf.DUMMYFUNCTION("""COMPUTED_VALUE"""),0.0)</f>
        <v>0</v>
      </c>
      <c r="T75" s="189">
        <f>IFERROR(__xludf.DUMMYFUNCTION("""COMPUTED_VALUE"""),0.0)</f>
        <v>0</v>
      </c>
      <c r="U75" s="189">
        <f>IFERROR(__xludf.DUMMYFUNCTION("""COMPUTED_VALUE"""),1.0)</f>
        <v>1</v>
      </c>
      <c r="V75" s="189">
        <f>IFERROR(__xludf.DUMMYFUNCTION("""COMPUTED_VALUE"""),11.0)</f>
        <v>11</v>
      </c>
      <c r="W75" s="189">
        <f>IFERROR(__xludf.DUMMYFUNCTION("""COMPUTED_VALUE"""),1.0)</f>
        <v>1</v>
      </c>
      <c r="X75" s="189">
        <f>IFERROR(__xludf.DUMMYFUNCTION("""COMPUTED_VALUE"""),2.0)</f>
        <v>2</v>
      </c>
      <c r="Y75" s="208" t="str">
        <f>IFERROR(__xludf.DUMMYFUNCTION("""COMPUTED_VALUE"""),"2025-08-03T00:00:00.000Z")</f>
        <v>2025-08-03T00:00:00.000Z</v>
      </c>
      <c r="Z75" s="189" t="s">
        <v>116</v>
      </c>
      <c r="AA75" s="189" t="s">
        <v>232</v>
      </c>
    </row>
    <row r="76">
      <c r="A76" s="189">
        <f>IFERROR(__xludf.DUMMYFUNCTION("""COMPUTED_VALUE"""),211599.0)</f>
        <v>211599</v>
      </c>
      <c r="B76" s="189">
        <f>IFERROR(__xludf.DUMMYFUNCTION("""COMPUTED_VALUE"""),93186.0)</f>
        <v>93186</v>
      </c>
      <c r="C76" s="189" t="str">
        <f>IFERROR(__xludf.DUMMYFUNCTION("""COMPUTED_VALUE"""),"Challengers League 2025 NORTH EAST: Split 3 - Playoffs")</f>
        <v>Challengers League 2025 NORTH EAST: Split 3 - Playoffs</v>
      </c>
      <c r="D76" s="189" t="str">
        <f>IFERROR(__xludf.DUMMYFUNCTION("""COMPUTED_VALUE"""),"Bind")</f>
        <v>Bind</v>
      </c>
      <c r="E76" s="189" t="str">
        <f>IFERROR(__xludf.DUMMYFUNCTION("""COMPUTED_VALUE"""),"děti ulice")</f>
        <v>děti ulice</v>
      </c>
      <c r="F76" s="189" t="str">
        <f>IFERROR(__xludf.DUMMYFUNCTION("""COMPUTED_VALUE"""),"Enterprise Esports")</f>
        <v>Enterprise Esports</v>
      </c>
      <c r="G76" s="189" t="str">
        <f>IFERROR(__xludf.DUMMYFUNCTION("""COMPUTED_VALUE"""),"Raze,Viper,Brimstone,Skye,Gekko")</f>
        <v>Raze,Viper,Brimstone,Skye,Gekko</v>
      </c>
      <c r="H76" s="189" t="str">
        <f>IFERROR(__xludf.DUMMYFUNCTION("""COMPUTED_VALUE"""),"Raze,Viper,Yoru,Astra,Fade")</f>
        <v>Raze,Viper,Yoru,Astra,Fade</v>
      </c>
      <c r="I76" s="189">
        <f>IFERROR(__xludf.DUMMYFUNCTION("""COMPUTED_VALUE"""),3.0)</f>
        <v>3</v>
      </c>
      <c r="J76" s="189">
        <f>IFERROR(__xludf.DUMMYFUNCTION("""COMPUTED_VALUE"""),13.0)</f>
        <v>13</v>
      </c>
      <c r="K76" s="189">
        <f>IFERROR(__xludf.DUMMYFUNCTION("""COMPUTED_VALUE"""),3.0)</f>
        <v>3</v>
      </c>
      <c r="L76" s="189">
        <f>IFERROR(__xludf.DUMMYFUNCTION("""COMPUTED_VALUE"""),9.0)</f>
        <v>9</v>
      </c>
      <c r="M76" s="189">
        <f>IFERROR(__xludf.DUMMYFUNCTION("""COMPUTED_VALUE"""),0.0)</f>
        <v>0</v>
      </c>
      <c r="N76" s="189">
        <f>IFERROR(__xludf.DUMMYFUNCTION("""COMPUTED_VALUE"""),0.0)</f>
        <v>0</v>
      </c>
      <c r="O76" s="189">
        <f>IFERROR(__xludf.DUMMYFUNCTION("""COMPUTED_VALUE"""),3.0)</f>
        <v>3</v>
      </c>
      <c r="P76" s="189">
        <f>IFERROR(__xludf.DUMMYFUNCTION("""COMPUTED_VALUE"""),9.0)</f>
        <v>9</v>
      </c>
      <c r="Q76" s="189">
        <f>IFERROR(__xludf.DUMMYFUNCTION("""COMPUTED_VALUE"""),0.0)</f>
        <v>0</v>
      </c>
      <c r="R76" s="189">
        <f>IFERROR(__xludf.DUMMYFUNCTION("""COMPUTED_VALUE"""),4.0)</f>
        <v>4</v>
      </c>
      <c r="S76" s="189">
        <f>IFERROR(__xludf.DUMMYFUNCTION("""COMPUTED_VALUE"""),1.0)</f>
        <v>1</v>
      </c>
      <c r="T76" s="189">
        <f>IFERROR(__xludf.DUMMYFUNCTION("""COMPUTED_VALUE"""),1.0)</f>
        <v>1</v>
      </c>
      <c r="U76" s="189">
        <f>IFERROR(__xludf.DUMMYFUNCTION("""COMPUTED_VALUE"""),4.0)</f>
        <v>4</v>
      </c>
      <c r="V76" s="189">
        <f>IFERROR(__xludf.DUMMYFUNCTION("""COMPUTED_VALUE"""),0.0)</f>
        <v>0</v>
      </c>
      <c r="W76" s="189">
        <f>IFERROR(__xludf.DUMMYFUNCTION("""COMPUTED_VALUE"""),9.0)</f>
        <v>9</v>
      </c>
      <c r="X76" s="189">
        <f>IFERROR(__xludf.DUMMYFUNCTION("""COMPUTED_VALUE"""),3.0)</f>
        <v>3</v>
      </c>
      <c r="Y76" s="208" t="str">
        <f>IFERROR(__xludf.DUMMYFUNCTION("""COMPUTED_VALUE"""),"2025-08-03T00:00:00.000Z")</f>
        <v>2025-08-03T00:00:00.000Z</v>
      </c>
      <c r="Z76" s="189" t="s">
        <v>86</v>
      </c>
      <c r="AA76" s="189" t="s">
        <v>179</v>
      </c>
    </row>
    <row r="77">
      <c r="A77" s="189">
        <f>IFERROR(__xludf.DUMMYFUNCTION("""COMPUTED_VALUE"""),211245.0)</f>
        <v>211245</v>
      </c>
      <c r="B77" s="189">
        <f>IFERROR(__xludf.DUMMYFUNCTION("""COMPUTED_VALUE"""),92903.0)</f>
        <v>92903</v>
      </c>
      <c r="C77" s="189" t="str">
        <f>IFERROR(__xludf.DUMMYFUNCTION("""COMPUTED_VALUE"""),"Challengers 2025: France Revolution Split 3 - Playoffs")</f>
        <v>Challengers 2025: France Revolution Split 3 - Playoffs</v>
      </c>
      <c r="D77" s="189" t="str">
        <f>IFERROR(__xludf.DUMMYFUNCTION("""COMPUTED_VALUE"""),"Bind")</f>
        <v>Bind</v>
      </c>
      <c r="E77" s="189" t="str">
        <f>IFERROR(__xludf.DUMMYFUNCTION("""COMPUTED_VALUE"""),"Joblife")</f>
        <v>Joblife</v>
      </c>
      <c r="F77" s="189" t="str">
        <f>IFERROR(__xludf.DUMMYFUNCTION("""COMPUTED_VALUE"""),"BLX CORP")</f>
        <v>BLX CORP</v>
      </c>
      <c r="G77" s="189" t="str">
        <f>IFERROR(__xludf.DUMMYFUNCTION("""COMPUTED_VALUE"""),"Raze,Viper,Brimstone,Yoru,Fade")</f>
        <v>Raze,Viper,Brimstone,Yoru,Fade</v>
      </c>
      <c r="H77" s="189" t="str">
        <f>IFERROR(__xludf.DUMMYFUNCTION("""COMPUTED_VALUE"""),"Raze,Brimstone,KAY/O,Deadlock,Vyse")</f>
        <v>Raze,Brimstone,KAY/O,Deadlock,Vyse</v>
      </c>
      <c r="I77" s="189">
        <f>IFERROR(__xludf.DUMMYFUNCTION("""COMPUTED_VALUE"""),13.0)</f>
        <v>13</v>
      </c>
      <c r="J77" s="189">
        <f>IFERROR(__xludf.DUMMYFUNCTION("""COMPUTED_VALUE"""),3.0)</f>
        <v>3</v>
      </c>
      <c r="K77" s="189">
        <f>IFERROR(__xludf.DUMMYFUNCTION("""COMPUTED_VALUE"""),9.0)</f>
        <v>9</v>
      </c>
      <c r="L77" s="189">
        <f>IFERROR(__xludf.DUMMYFUNCTION("""COMPUTED_VALUE"""),3.0)</f>
        <v>3</v>
      </c>
      <c r="M77" s="189">
        <f>IFERROR(__xludf.DUMMYFUNCTION("""COMPUTED_VALUE"""),1.0)</f>
        <v>1</v>
      </c>
      <c r="N77" s="189">
        <f>IFERROR(__xludf.DUMMYFUNCTION("""COMPUTED_VALUE"""),1.0)</f>
        <v>1</v>
      </c>
      <c r="O77" s="189">
        <f>IFERROR(__xludf.DUMMYFUNCTION("""COMPUTED_VALUE"""),4.0)</f>
        <v>4</v>
      </c>
      <c r="P77" s="189">
        <f>IFERROR(__xludf.DUMMYFUNCTION("""COMPUTED_VALUE"""),0.0)</f>
        <v>0</v>
      </c>
      <c r="Q77" s="189">
        <f>IFERROR(__xludf.DUMMYFUNCTION("""COMPUTED_VALUE"""),9.0)</f>
        <v>9</v>
      </c>
      <c r="R77" s="189">
        <f>IFERROR(__xludf.DUMMYFUNCTION("""COMPUTED_VALUE"""),3.0)</f>
        <v>3</v>
      </c>
      <c r="S77" s="189">
        <f>IFERROR(__xludf.DUMMYFUNCTION("""COMPUTED_VALUE"""),0.0)</f>
        <v>0</v>
      </c>
      <c r="T77" s="189">
        <f>IFERROR(__xludf.DUMMYFUNCTION("""COMPUTED_VALUE"""),0.0)</f>
        <v>0</v>
      </c>
      <c r="U77" s="189">
        <f>IFERROR(__xludf.DUMMYFUNCTION("""COMPUTED_VALUE"""),3.0)</f>
        <v>3</v>
      </c>
      <c r="V77" s="189">
        <f>IFERROR(__xludf.DUMMYFUNCTION("""COMPUTED_VALUE"""),9.0)</f>
        <v>9</v>
      </c>
      <c r="W77" s="189">
        <f>IFERROR(__xludf.DUMMYFUNCTION("""COMPUTED_VALUE"""),0.0)</f>
        <v>0</v>
      </c>
      <c r="X77" s="189">
        <f>IFERROR(__xludf.DUMMYFUNCTION("""COMPUTED_VALUE"""),4.0)</f>
        <v>4</v>
      </c>
      <c r="Y77" s="208" t="str">
        <f>IFERROR(__xludf.DUMMYFUNCTION("""COMPUTED_VALUE"""),"2025-08-03T00:00:00.000Z")</f>
        <v>2025-08-03T00:00:00.000Z</v>
      </c>
      <c r="Z77" s="189" t="s">
        <v>114</v>
      </c>
      <c r="AA77" s="189" t="s">
        <v>232</v>
      </c>
    </row>
    <row r="78">
      <c r="A78" s="189">
        <f>IFERROR(__xludf.DUMMYFUNCTION("""COMPUTED_VALUE"""),211598.0)</f>
        <v>211598</v>
      </c>
      <c r="B78" s="189">
        <f>IFERROR(__xludf.DUMMYFUNCTION("""COMPUTED_VALUE"""),93186.0)</f>
        <v>93186</v>
      </c>
      <c r="C78" s="189" t="str">
        <f>IFERROR(__xludf.DUMMYFUNCTION("""COMPUTED_VALUE"""),"Challengers League 2025 NORTH EAST: Split 3 - Playoffs")</f>
        <v>Challengers League 2025 NORTH EAST: Split 3 - Playoffs</v>
      </c>
      <c r="D78" s="189" t="str">
        <f>IFERROR(__xludf.DUMMYFUNCTION("""COMPUTED_VALUE"""),"Ascent")</f>
        <v>Ascent</v>
      </c>
      <c r="E78" s="189" t="str">
        <f>IFERROR(__xludf.DUMMYFUNCTION("""COMPUTED_VALUE"""),"děti ulice")</f>
        <v>děti ulice</v>
      </c>
      <c r="F78" s="189" t="str">
        <f>IFERROR(__xludf.DUMMYFUNCTION("""COMPUTED_VALUE"""),"Enterprise Esports")</f>
        <v>Enterprise Esports</v>
      </c>
      <c r="G78" s="189" t="str">
        <f>IFERROR(__xludf.DUMMYFUNCTION("""COMPUTED_VALUE"""),"Sova,Killjoy,Omen,Jett,KAY/O")</f>
        <v>Sova,Killjoy,Omen,Jett,KAY/O</v>
      </c>
      <c r="H78" s="189" t="str">
        <f>IFERROR(__xludf.DUMMYFUNCTION("""COMPUTED_VALUE"""),"Cypher,Sova,Omen,Jett,KAY/O")</f>
        <v>Cypher,Sova,Omen,Jett,KAY/O</v>
      </c>
      <c r="I78" s="189">
        <f>IFERROR(__xludf.DUMMYFUNCTION("""COMPUTED_VALUE"""),6.0)</f>
        <v>6</v>
      </c>
      <c r="J78" s="189">
        <f>IFERROR(__xludf.DUMMYFUNCTION("""COMPUTED_VALUE"""),13.0)</f>
        <v>13</v>
      </c>
      <c r="K78" s="189">
        <f>IFERROR(__xludf.DUMMYFUNCTION("""COMPUTED_VALUE"""),4.0)</f>
        <v>4</v>
      </c>
      <c r="L78" s="189">
        <f>IFERROR(__xludf.DUMMYFUNCTION("""COMPUTED_VALUE"""),8.0)</f>
        <v>8</v>
      </c>
      <c r="M78" s="189">
        <f>IFERROR(__xludf.DUMMYFUNCTION("""COMPUTED_VALUE"""),0.0)</f>
        <v>0</v>
      </c>
      <c r="N78" s="189">
        <f>IFERROR(__xludf.DUMMYFUNCTION("""COMPUTED_VALUE"""),0.0)</f>
        <v>0</v>
      </c>
      <c r="O78" s="189">
        <f>IFERROR(__xludf.DUMMYFUNCTION("""COMPUTED_VALUE"""),2.0)</f>
        <v>2</v>
      </c>
      <c r="P78" s="189">
        <f>IFERROR(__xludf.DUMMYFUNCTION("""COMPUTED_VALUE"""),5.0)</f>
        <v>5</v>
      </c>
      <c r="Q78" s="189">
        <f>IFERROR(__xludf.DUMMYFUNCTION("""COMPUTED_VALUE"""),4.0)</f>
        <v>4</v>
      </c>
      <c r="R78" s="189">
        <f>IFERROR(__xludf.DUMMYFUNCTION("""COMPUTED_VALUE"""),8.0)</f>
        <v>8</v>
      </c>
      <c r="S78" s="189">
        <f>IFERROR(__xludf.DUMMYFUNCTION("""COMPUTED_VALUE"""),1.0)</f>
        <v>1</v>
      </c>
      <c r="T78" s="189">
        <f>IFERROR(__xludf.DUMMYFUNCTION("""COMPUTED_VALUE"""),1.0)</f>
        <v>1</v>
      </c>
      <c r="U78" s="189">
        <f>IFERROR(__xludf.DUMMYFUNCTION("""COMPUTED_VALUE"""),8.0)</f>
        <v>8</v>
      </c>
      <c r="V78" s="189">
        <f>IFERROR(__xludf.DUMMYFUNCTION("""COMPUTED_VALUE"""),4.0)</f>
        <v>4</v>
      </c>
      <c r="W78" s="189">
        <f>IFERROR(__xludf.DUMMYFUNCTION("""COMPUTED_VALUE"""),5.0)</f>
        <v>5</v>
      </c>
      <c r="X78" s="189">
        <f>IFERROR(__xludf.DUMMYFUNCTION("""COMPUTED_VALUE"""),2.0)</f>
        <v>2</v>
      </c>
      <c r="Y78" s="208" t="str">
        <f>IFERROR(__xludf.DUMMYFUNCTION("""COMPUTED_VALUE"""),"2025-08-03T00:00:00.000Z")</f>
        <v>2025-08-03T00:00:00.000Z</v>
      </c>
      <c r="Z78" s="189" t="s">
        <v>85</v>
      </c>
      <c r="AA78" s="189" t="s">
        <v>179</v>
      </c>
    </row>
    <row r="79">
      <c r="A79" s="189">
        <f>IFERROR(__xludf.DUMMYFUNCTION("""COMPUTED_VALUE"""),211597.0)</f>
        <v>211597</v>
      </c>
      <c r="B79" s="189">
        <f>IFERROR(__xludf.DUMMYFUNCTION("""COMPUTED_VALUE"""),93186.0)</f>
        <v>93186</v>
      </c>
      <c r="C79" s="189" t="str">
        <f>IFERROR(__xludf.DUMMYFUNCTION("""COMPUTED_VALUE"""),"Challengers League 2025 NORTH EAST: Split 3 - Playoffs")</f>
        <v>Challengers League 2025 NORTH EAST: Split 3 - Playoffs</v>
      </c>
      <c r="D79" s="189" t="str">
        <f>IFERROR(__xludf.DUMMYFUNCTION("""COMPUTED_VALUE"""),"Lotus")</f>
        <v>Lotus</v>
      </c>
      <c r="E79" s="189" t="str">
        <f>IFERROR(__xludf.DUMMYFUNCTION("""COMPUTED_VALUE"""),"děti ulice")</f>
        <v>děti ulice</v>
      </c>
      <c r="F79" s="189" t="str">
        <f>IFERROR(__xludf.DUMMYFUNCTION("""COMPUTED_VALUE"""),"Enterprise Esports")</f>
        <v>Enterprise Esports</v>
      </c>
      <c r="G79" s="189" t="str">
        <f>IFERROR(__xludf.DUMMYFUNCTION("""COMPUTED_VALUE"""),"Raze,Omen,Yoru,Fade,Vyse")</f>
        <v>Raze,Omen,Yoru,Fade,Vyse</v>
      </c>
      <c r="H79" s="189" t="str">
        <f>IFERROR(__xludf.DUMMYFUNCTION("""COMPUTED_VALUE"""),"Breach,Cypher,Omen,Neon,Fade")</f>
        <v>Breach,Cypher,Omen,Neon,Fade</v>
      </c>
      <c r="I79" s="189">
        <f>IFERROR(__xludf.DUMMYFUNCTION("""COMPUTED_VALUE"""),13.0)</f>
        <v>13</v>
      </c>
      <c r="J79" s="189">
        <f>IFERROR(__xludf.DUMMYFUNCTION("""COMPUTED_VALUE"""),8.0)</f>
        <v>8</v>
      </c>
      <c r="K79" s="189">
        <f>IFERROR(__xludf.DUMMYFUNCTION("""COMPUTED_VALUE"""),7.0)</f>
        <v>7</v>
      </c>
      <c r="L79" s="189">
        <f>IFERROR(__xludf.DUMMYFUNCTION("""COMPUTED_VALUE"""),5.0)</f>
        <v>5</v>
      </c>
      <c r="M79" s="189">
        <f>IFERROR(__xludf.DUMMYFUNCTION("""COMPUTED_VALUE"""),1.0)</f>
        <v>1</v>
      </c>
      <c r="N79" s="189">
        <f>IFERROR(__xludf.DUMMYFUNCTION("""COMPUTED_VALUE"""),1.0)</f>
        <v>1</v>
      </c>
      <c r="O79" s="189">
        <f>IFERROR(__xludf.DUMMYFUNCTION("""COMPUTED_VALUE"""),7.0)</f>
        <v>7</v>
      </c>
      <c r="P79" s="189">
        <f>IFERROR(__xludf.DUMMYFUNCTION("""COMPUTED_VALUE"""),5.0)</f>
        <v>5</v>
      </c>
      <c r="Q79" s="189">
        <f>IFERROR(__xludf.DUMMYFUNCTION("""COMPUTED_VALUE"""),6.0)</f>
        <v>6</v>
      </c>
      <c r="R79" s="189">
        <f>IFERROR(__xludf.DUMMYFUNCTION("""COMPUTED_VALUE"""),3.0)</f>
        <v>3</v>
      </c>
      <c r="S79" s="189">
        <f>IFERROR(__xludf.DUMMYFUNCTION("""COMPUTED_VALUE"""),0.0)</f>
        <v>0</v>
      </c>
      <c r="T79" s="189">
        <f>IFERROR(__xludf.DUMMYFUNCTION("""COMPUTED_VALUE"""),0.0)</f>
        <v>0</v>
      </c>
      <c r="U79" s="189">
        <f>IFERROR(__xludf.DUMMYFUNCTION("""COMPUTED_VALUE"""),3.0)</f>
        <v>3</v>
      </c>
      <c r="V79" s="189">
        <f>IFERROR(__xludf.DUMMYFUNCTION("""COMPUTED_VALUE"""),6.0)</f>
        <v>6</v>
      </c>
      <c r="W79" s="189">
        <f>IFERROR(__xludf.DUMMYFUNCTION("""COMPUTED_VALUE"""),5.0)</f>
        <v>5</v>
      </c>
      <c r="X79" s="189">
        <f>IFERROR(__xludf.DUMMYFUNCTION("""COMPUTED_VALUE"""),7.0)</f>
        <v>7</v>
      </c>
      <c r="Y79" s="208" t="str">
        <f>IFERROR(__xludf.DUMMYFUNCTION("""COMPUTED_VALUE"""),"2025-08-03T00:00:00.000Z")</f>
        <v>2025-08-03T00:00:00.000Z</v>
      </c>
      <c r="Z79" s="189" t="s">
        <v>90</v>
      </c>
      <c r="AA79" s="189" t="s">
        <v>190</v>
      </c>
    </row>
    <row r="80">
      <c r="A80" s="189">
        <f>IFERROR(__xludf.DUMMYFUNCTION("""COMPUTED_VALUE"""),211220.0)</f>
        <v>211220</v>
      </c>
      <c r="B80" s="189">
        <f>IFERROR(__xludf.DUMMYFUNCTION("""COMPUTED_VALUE"""),92894.0)</f>
        <v>92894</v>
      </c>
      <c r="C80" s="189" t="str">
        <f>IFERROR(__xludf.DUMMYFUNCTION("""COMPUTED_VALUE"""),"Challengers League 2025 DACH: Evolution Stage 3 - Play-Ins")</f>
        <v>Challengers League 2025 DACH: Evolution Stage 3 - Play-Ins</v>
      </c>
      <c r="D80" s="189" t="str">
        <f>IFERROR(__xludf.DUMMYFUNCTION("""COMPUTED_VALUE"""),"Corrode")</f>
        <v>Corrode</v>
      </c>
      <c r="E80" s="189" t="str">
        <f>IFERROR(__xludf.DUMMYFUNCTION("""COMPUTED_VALUE"""),"Eintracht Frankfurt")</f>
        <v>Eintracht Frankfurt</v>
      </c>
      <c r="F80" s="189" t="str">
        <f>IFERROR(__xludf.DUMMYFUNCTION("""COMPUTED_VALUE"""),"FOKUS")</f>
        <v>FOKUS</v>
      </c>
      <c r="G80" s="189" t="str">
        <f>IFERROR(__xludf.DUMMYFUNCTION("""COMPUTED_VALUE"""),"Viper,Phoenix,Omen,Neon,Fade")</f>
        <v>Viper,Phoenix,Omen,Neon,Fade</v>
      </c>
      <c r="H80" s="189" t="str">
        <f>IFERROR(__xludf.DUMMYFUNCTION("""COMPUTED_VALUE"""),"Yoru,Astra,Neon,Fade,Vyse")</f>
        <v>Yoru,Astra,Neon,Fade,Vyse</v>
      </c>
      <c r="I80" s="189">
        <f>IFERROR(__xludf.DUMMYFUNCTION("""COMPUTED_VALUE"""),14.0)</f>
        <v>14</v>
      </c>
      <c r="J80" s="189">
        <f>IFERROR(__xludf.DUMMYFUNCTION("""COMPUTED_VALUE"""),12.0)</f>
        <v>12</v>
      </c>
      <c r="K80" s="189">
        <f>IFERROR(__xludf.DUMMYFUNCTION("""COMPUTED_VALUE"""),6.0)</f>
        <v>6</v>
      </c>
      <c r="L80" s="189">
        <f>IFERROR(__xludf.DUMMYFUNCTION("""COMPUTED_VALUE"""),6.0)</f>
        <v>6</v>
      </c>
      <c r="M80" s="189">
        <f>IFERROR(__xludf.DUMMYFUNCTION("""COMPUTED_VALUE"""),0.0)</f>
        <v>0</v>
      </c>
      <c r="N80" s="189">
        <f>IFERROR(__xludf.DUMMYFUNCTION("""COMPUTED_VALUE"""),1.0)</f>
        <v>1</v>
      </c>
      <c r="O80" s="189">
        <f>IFERROR(__xludf.DUMMYFUNCTION("""COMPUTED_VALUE"""),7.0)</f>
        <v>7</v>
      </c>
      <c r="P80" s="189">
        <f>IFERROR(__xludf.DUMMYFUNCTION("""COMPUTED_VALUE"""),6.0)</f>
        <v>6</v>
      </c>
      <c r="Q80" s="189">
        <f>IFERROR(__xludf.DUMMYFUNCTION("""COMPUTED_VALUE"""),7.0)</f>
        <v>7</v>
      </c>
      <c r="R80" s="189">
        <f>IFERROR(__xludf.DUMMYFUNCTION("""COMPUTED_VALUE"""),6.0)</f>
        <v>6</v>
      </c>
      <c r="S80" s="189">
        <f>IFERROR(__xludf.DUMMYFUNCTION("""COMPUTED_VALUE"""),0.0)</f>
        <v>0</v>
      </c>
      <c r="T80" s="189">
        <f>IFERROR(__xludf.DUMMYFUNCTION("""COMPUTED_VALUE"""),1.0)</f>
        <v>1</v>
      </c>
      <c r="U80" s="189">
        <f>IFERROR(__xludf.DUMMYFUNCTION("""COMPUTED_VALUE"""),6.0)</f>
        <v>6</v>
      </c>
      <c r="V80" s="189">
        <f>IFERROR(__xludf.DUMMYFUNCTION("""COMPUTED_VALUE"""),7.0)</f>
        <v>7</v>
      </c>
      <c r="W80" s="189">
        <f>IFERROR(__xludf.DUMMYFUNCTION("""COMPUTED_VALUE"""),6.0)</f>
        <v>6</v>
      </c>
      <c r="X80" s="189">
        <f>IFERROR(__xludf.DUMMYFUNCTION("""COMPUTED_VALUE"""),7.0)</f>
        <v>7</v>
      </c>
      <c r="Y80" s="208" t="str">
        <f>IFERROR(__xludf.DUMMYFUNCTION("""COMPUTED_VALUE"""),"2025-08-02T00:00:00.000Z")</f>
        <v>2025-08-02T00:00:00.000Z</v>
      </c>
      <c r="Z80" s="189" t="s">
        <v>101</v>
      </c>
      <c r="AA80" s="189" t="s">
        <v>183</v>
      </c>
    </row>
    <row r="81">
      <c r="A81" s="189">
        <f>IFERROR(__xludf.DUMMYFUNCTION("""COMPUTED_VALUE"""),211219.0)</f>
        <v>211219</v>
      </c>
      <c r="B81" s="189">
        <f>IFERROR(__xludf.DUMMYFUNCTION("""COMPUTED_VALUE"""),92894.0)</f>
        <v>92894</v>
      </c>
      <c r="C81" s="189" t="str">
        <f>IFERROR(__xludf.DUMMYFUNCTION("""COMPUTED_VALUE"""),"Challengers League 2025 DACH: Evolution Stage 3 - Play-Ins")</f>
        <v>Challengers League 2025 DACH: Evolution Stage 3 - Play-Ins</v>
      </c>
      <c r="D81" s="189" t="str">
        <f>IFERROR(__xludf.DUMMYFUNCTION("""COMPUTED_VALUE"""),"Bind")</f>
        <v>Bind</v>
      </c>
      <c r="E81" s="189" t="str">
        <f>IFERROR(__xludf.DUMMYFUNCTION("""COMPUTED_VALUE"""),"Eintracht Frankfurt")</f>
        <v>Eintracht Frankfurt</v>
      </c>
      <c r="F81" s="189" t="str">
        <f>IFERROR(__xludf.DUMMYFUNCTION("""COMPUTED_VALUE"""),"FOKUS")</f>
        <v>FOKUS</v>
      </c>
      <c r="G81" s="189" t="str">
        <f>IFERROR(__xludf.DUMMYFUNCTION("""COMPUTED_VALUE"""),"Raze,Viper,Brimstone,Fade,Gekko")</f>
        <v>Raze,Viper,Brimstone,Fade,Gekko</v>
      </c>
      <c r="H81" s="189" t="str">
        <f>IFERROR(__xludf.DUMMYFUNCTION("""COMPUTED_VALUE"""),"Raze,Viper,Skye,Astra,Waylay")</f>
        <v>Raze,Viper,Skye,Astra,Waylay</v>
      </c>
      <c r="I81" s="189">
        <f>IFERROR(__xludf.DUMMYFUNCTION("""COMPUTED_VALUE"""),13.0)</f>
        <v>13</v>
      </c>
      <c r="J81" s="189">
        <f>IFERROR(__xludf.DUMMYFUNCTION("""COMPUTED_VALUE"""),2.0)</f>
        <v>2</v>
      </c>
      <c r="K81" s="189">
        <f>IFERROR(__xludf.DUMMYFUNCTION("""COMPUTED_VALUE"""),11.0)</f>
        <v>11</v>
      </c>
      <c r="L81" s="189">
        <f>IFERROR(__xludf.DUMMYFUNCTION("""COMPUTED_VALUE"""),1.0)</f>
        <v>1</v>
      </c>
      <c r="M81" s="189">
        <f>IFERROR(__xludf.DUMMYFUNCTION("""COMPUTED_VALUE"""),1.0)</f>
        <v>1</v>
      </c>
      <c r="N81" s="189">
        <f>IFERROR(__xludf.DUMMYFUNCTION("""COMPUTED_VALUE"""),0.0)</f>
        <v>0</v>
      </c>
      <c r="O81" s="189">
        <f>IFERROR(__xludf.DUMMYFUNCTION("""COMPUTED_VALUE"""),11.0)</f>
        <v>11</v>
      </c>
      <c r="P81" s="189">
        <f>IFERROR(__xludf.DUMMYFUNCTION("""COMPUTED_VALUE"""),1.0)</f>
        <v>1</v>
      </c>
      <c r="Q81" s="189">
        <f>IFERROR(__xludf.DUMMYFUNCTION("""COMPUTED_VALUE"""),2.0)</f>
        <v>2</v>
      </c>
      <c r="R81" s="189">
        <f>IFERROR(__xludf.DUMMYFUNCTION("""COMPUTED_VALUE"""),1.0)</f>
        <v>1</v>
      </c>
      <c r="S81" s="189">
        <f>IFERROR(__xludf.DUMMYFUNCTION("""COMPUTED_VALUE"""),1.0)</f>
        <v>1</v>
      </c>
      <c r="T81" s="189">
        <f>IFERROR(__xludf.DUMMYFUNCTION("""COMPUTED_VALUE"""),0.0)</f>
        <v>0</v>
      </c>
      <c r="U81" s="189">
        <f>IFERROR(__xludf.DUMMYFUNCTION("""COMPUTED_VALUE"""),1.0)</f>
        <v>1</v>
      </c>
      <c r="V81" s="189">
        <f>IFERROR(__xludf.DUMMYFUNCTION("""COMPUTED_VALUE"""),2.0)</f>
        <v>2</v>
      </c>
      <c r="W81" s="189">
        <f>IFERROR(__xludf.DUMMYFUNCTION("""COMPUTED_VALUE"""),1.0)</f>
        <v>1</v>
      </c>
      <c r="X81" s="189">
        <f>IFERROR(__xludf.DUMMYFUNCTION("""COMPUTED_VALUE"""),11.0)</f>
        <v>11</v>
      </c>
      <c r="Y81" s="208" t="str">
        <f>IFERROR(__xludf.DUMMYFUNCTION("""COMPUTED_VALUE"""),"2025-08-02T00:00:00.000Z")</f>
        <v>2025-08-02T00:00:00.000Z</v>
      </c>
      <c r="Z81" s="189" t="s">
        <v>100</v>
      </c>
      <c r="AA81" s="189" t="s">
        <v>183</v>
      </c>
    </row>
    <row r="82">
      <c r="A82" s="189">
        <f>IFERROR(__xludf.DUMMYFUNCTION("""COMPUTED_VALUE"""),211267.0)</f>
        <v>211267</v>
      </c>
      <c r="B82" s="189">
        <f>IFERROR(__xludf.DUMMYFUNCTION("""COMPUTED_VALUE"""),92910.0)</f>
        <v>92910</v>
      </c>
      <c r="C82" s="189" t="str">
        <f>IFERROR(__xludf.DUMMYFUNCTION("""COMPUTED_VALUE"""),"Challengers League 2025 NORTH EAST: Split 3 - Playoffs")</f>
        <v>Challengers League 2025 NORTH EAST: Split 3 - Playoffs</v>
      </c>
      <c r="D82" s="189" t="str">
        <f>IFERROR(__xludf.DUMMYFUNCTION("""COMPUTED_VALUE"""),"Sunset")</f>
        <v>Sunset</v>
      </c>
      <c r="E82" s="189" t="str">
        <f>IFERROR(__xludf.DUMMYFUNCTION("""COMPUTED_VALUE"""),"Boars Gaming")</f>
        <v>Boars Gaming</v>
      </c>
      <c r="F82" s="189" t="str">
        <f>IFERROR(__xludf.DUMMYFUNCTION("""COMPUTED_VALUE"""),"Formulation Gaming")</f>
        <v>Formulation Gaming</v>
      </c>
      <c r="G82" s="189" t="str">
        <f>IFERROR(__xludf.DUMMYFUNCTION("""COMPUTED_VALUE"""),"Cypher,Sova,Omen,KAY/O,Neon")</f>
        <v>Cypher,Sova,Omen,KAY/O,Neon</v>
      </c>
      <c r="H82" s="189" t="str">
        <f>IFERROR(__xludf.DUMMYFUNCTION("""COMPUTED_VALUE"""),"Cypher,Sova,Viper,Omen,Neon")</f>
        <v>Cypher,Sova,Viper,Omen,Neon</v>
      </c>
      <c r="I82" s="189">
        <f>IFERROR(__xludf.DUMMYFUNCTION("""COMPUTED_VALUE"""),13.0)</f>
        <v>13</v>
      </c>
      <c r="J82" s="189">
        <f>IFERROR(__xludf.DUMMYFUNCTION("""COMPUTED_VALUE"""),4.0)</f>
        <v>4</v>
      </c>
      <c r="K82" s="189">
        <f>IFERROR(__xludf.DUMMYFUNCTION("""COMPUTED_VALUE"""),8.0)</f>
        <v>8</v>
      </c>
      <c r="L82" s="189">
        <f>IFERROR(__xludf.DUMMYFUNCTION("""COMPUTED_VALUE"""),4.0)</f>
        <v>4</v>
      </c>
      <c r="M82" s="189">
        <f>IFERROR(__xludf.DUMMYFUNCTION("""COMPUTED_VALUE"""),0.0)</f>
        <v>0</v>
      </c>
      <c r="N82" s="189">
        <f>IFERROR(__xludf.DUMMYFUNCTION("""COMPUTED_VALUE"""),1.0)</f>
        <v>1</v>
      </c>
      <c r="O82" s="189">
        <f>IFERROR(__xludf.DUMMYFUNCTION("""COMPUTED_VALUE"""),8.0)</f>
        <v>8</v>
      </c>
      <c r="P82" s="189">
        <f>IFERROR(__xludf.DUMMYFUNCTION("""COMPUTED_VALUE"""),4.0)</f>
        <v>4</v>
      </c>
      <c r="Q82" s="189">
        <f>IFERROR(__xludf.DUMMYFUNCTION("""COMPUTED_VALUE"""),5.0)</f>
        <v>5</v>
      </c>
      <c r="R82" s="189">
        <f>IFERROR(__xludf.DUMMYFUNCTION("""COMPUTED_VALUE"""),0.0)</f>
        <v>0</v>
      </c>
      <c r="S82" s="189">
        <f>IFERROR(__xludf.DUMMYFUNCTION("""COMPUTED_VALUE"""),0.0)</f>
        <v>0</v>
      </c>
      <c r="T82" s="189">
        <f>IFERROR(__xludf.DUMMYFUNCTION("""COMPUTED_VALUE"""),1.0)</f>
        <v>1</v>
      </c>
      <c r="U82" s="189">
        <f>IFERROR(__xludf.DUMMYFUNCTION("""COMPUTED_VALUE"""),0.0)</f>
        <v>0</v>
      </c>
      <c r="V82" s="189">
        <f>IFERROR(__xludf.DUMMYFUNCTION("""COMPUTED_VALUE"""),5.0)</f>
        <v>5</v>
      </c>
      <c r="W82" s="189">
        <f>IFERROR(__xludf.DUMMYFUNCTION("""COMPUTED_VALUE"""),4.0)</f>
        <v>4</v>
      </c>
      <c r="X82" s="189">
        <f>IFERROR(__xludf.DUMMYFUNCTION("""COMPUTED_VALUE"""),8.0)</f>
        <v>8</v>
      </c>
      <c r="Y82" s="208" t="str">
        <f>IFERROR(__xludf.DUMMYFUNCTION("""COMPUTED_VALUE"""),"2025-08-02T00:00:00.000Z")</f>
        <v>2025-08-02T00:00:00.000Z</v>
      </c>
      <c r="Z82" s="189" t="s">
        <v>84</v>
      </c>
      <c r="AA82" s="189" t="s">
        <v>181</v>
      </c>
    </row>
    <row r="83">
      <c r="A83" s="189">
        <f>IFERROR(__xludf.DUMMYFUNCTION("""COMPUTED_VALUE"""),211218.0)</f>
        <v>211218</v>
      </c>
      <c r="B83" s="189">
        <f>IFERROR(__xludf.DUMMYFUNCTION("""COMPUTED_VALUE"""),92894.0)</f>
        <v>92894</v>
      </c>
      <c r="C83" s="189" t="str">
        <f>IFERROR(__xludf.DUMMYFUNCTION("""COMPUTED_VALUE"""),"Challengers League 2025 DACH: Evolution Stage 3 - Play-Ins")</f>
        <v>Challengers League 2025 DACH: Evolution Stage 3 - Play-Ins</v>
      </c>
      <c r="D83" s="189" t="str">
        <f>IFERROR(__xludf.DUMMYFUNCTION("""COMPUTED_VALUE"""),"Sunset")</f>
        <v>Sunset</v>
      </c>
      <c r="E83" s="189" t="str">
        <f>IFERROR(__xludf.DUMMYFUNCTION("""COMPUTED_VALUE"""),"Eintracht Frankfurt")</f>
        <v>Eintracht Frankfurt</v>
      </c>
      <c r="F83" s="189" t="str">
        <f>IFERROR(__xludf.DUMMYFUNCTION("""COMPUTED_VALUE"""),"FOKUS")</f>
        <v>FOKUS</v>
      </c>
      <c r="G83" s="189" t="str">
        <f>IFERROR(__xludf.DUMMYFUNCTION("""COMPUTED_VALUE"""),"Cypher,Sova,Omen,KAY/O,Neon")</f>
        <v>Cypher,Sova,Omen,KAY/O,Neon</v>
      </c>
      <c r="H83" s="189" t="str">
        <f>IFERROR(__xludf.DUMMYFUNCTION("""COMPUTED_VALUE"""),"Breach,Cypher,Sova,Omen,Neon")</f>
        <v>Breach,Cypher,Sova,Omen,Neon</v>
      </c>
      <c r="I83" s="189">
        <f>IFERROR(__xludf.DUMMYFUNCTION("""COMPUTED_VALUE"""),8.0)</f>
        <v>8</v>
      </c>
      <c r="J83" s="189">
        <f>IFERROR(__xludf.DUMMYFUNCTION("""COMPUTED_VALUE"""),13.0)</f>
        <v>13</v>
      </c>
      <c r="K83" s="189">
        <f>IFERROR(__xludf.DUMMYFUNCTION("""COMPUTED_VALUE"""),3.0)</f>
        <v>3</v>
      </c>
      <c r="L83" s="189">
        <f>IFERROR(__xludf.DUMMYFUNCTION("""COMPUTED_VALUE"""),9.0)</f>
        <v>9</v>
      </c>
      <c r="M83" s="189">
        <f>IFERROR(__xludf.DUMMYFUNCTION("""COMPUTED_VALUE"""),0.0)</f>
        <v>0</v>
      </c>
      <c r="N83" s="189">
        <f>IFERROR(__xludf.DUMMYFUNCTION("""COMPUTED_VALUE"""),1.0)</f>
        <v>1</v>
      </c>
      <c r="O83" s="189">
        <f>IFERROR(__xludf.DUMMYFUNCTION("""COMPUTED_VALUE"""),3.0)</f>
        <v>3</v>
      </c>
      <c r="P83" s="189">
        <f>IFERROR(__xludf.DUMMYFUNCTION("""COMPUTED_VALUE"""),9.0)</f>
        <v>9</v>
      </c>
      <c r="Q83" s="189">
        <f>IFERROR(__xludf.DUMMYFUNCTION("""COMPUTED_VALUE"""),5.0)</f>
        <v>5</v>
      </c>
      <c r="R83" s="189">
        <f>IFERROR(__xludf.DUMMYFUNCTION("""COMPUTED_VALUE"""),4.0)</f>
        <v>4</v>
      </c>
      <c r="S83" s="189">
        <f>IFERROR(__xludf.DUMMYFUNCTION("""COMPUTED_VALUE"""),0.0)</f>
        <v>0</v>
      </c>
      <c r="T83" s="189">
        <f>IFERROR(__xludf.DUMMYFUNCTION("""COMPUTED_VALUE"""),1.0)</f>
        <v>1</v>
      </c>
      <c r="U83" s="189">
        <f>IFERROR(__xludf.DUMMYFUNCTION("""COMPUTED_VALUE"""),4.0)</f>
        <v>4</v>
      </c>
      <c r="V83" s="189">
        <f>IFERROR(__xludf.DUMMYFUNCTION("""COMPUTED_VALUE"""),5.0)</f>
        <v>5</v>
      </c>
      <c r="W83" s="189">
        <f>IFERROR(__xludf.DUMMYFUNCTION("""COMPUTED_VALUE"""),9.0)</f>
        <v>9</v>
      </c>
      <c r="X83" s="189">
        <f>IFERROR(__xludf.DUMMYFUNCTION("""COMPUTED_VALUE"""),3.0)</f>
        <v>3</v>
      </c>
      <c r="Y83" s="208" t="str">
        <f>IFERROR(__xludf.DUMMYFUNCTION("""COMPUTED_VALUE"""),"2025-08-02T00:00:00.000Z")</f>
        <v>2025-08-02T00:00:00.000Z</v>
      </c>
      <c r="Z83" s="189" t="s">
        <v>106</v>
      </c>
      <c r="AA83" s="189" t="s">
        <v>400</v>
      </c>
    </row>
    <row r="84">
      <c r="A84" s="189">
        <f>IFERROR(__xludf.DUMMYFUNCTION("""COMPUTED_VALUE"""),211266.0)</f>
        <v>211266</v>
      </c>
      <c r="B84" s="189">
        <f>IFERROR(__xludf.DUMMYFUNCTION("""COMPUTED_VALUE"""),92910.0)</f>
        <v>92910</v>
      </c>
      <c r="C84" s="189" t="str">
        <f>IFERROR(__xludf.DUMMYFUNCTION("""COMPUTED_VALUE"""),"Challengers League 2025 NORTH EAST: Split 3 - Playoffs")</f>
        <v>Challengers League 2025 NORTH EAST: Split 3 - Playoffs</v>
      </c>
      <c r="D84" s="189" t="str">
        <f>IFERROR(__xludf.DUMMYFUNCTION("""COMPUTED_VALUE"""),"Haven")</f>
        <v>Haven</v>
      </c>
      <c r="E84" s="189" t="str">
        <f>IFERROR(__xludf.DUMMYFUNCTION("""COMPUTED_VALUE"""),"Boars Gaming")</f>
        <v>Boars Gaming</v>
      </c>
      <c r="F84" s="189" t="str">
        <f>IFERROR(__xludf.DUMMYFUNCTION("""COMPUTED_VALUE"""),"Formulation Gaming")</f>
        <v>Formulation Gaming</v>
      </c>
      <c r="G84" s="189" t="str">
        <f>IFERROR(__xludf.DUMMYFUNCTION("""COMPUTED_VALUE"""),"Breach,Cypher,Sova,Omen,Neon")</f>
        <v>Breach,Cypher,Sova,Omen,Neon</v>
      </c>
      <c r="H84" s="189" t="str">
        <f>IFERROR(__xludf.DUMMYFUNCTION("""COMPUTED_VALUE"""),"Sova,Killjoy,Viper,Omen,Neon")</f>
        <v>Sova,Killjoy,Viper,Omen,Neon</v>
      </c>
      <c r="I84" s="189">
        <f>IFERROR(__xludf.DUMMYFUNCTION("""COMPUTED_VALUE"""),8.0)</f>
        <v>8</v>
      </c>
      <c r="J84" s="189">
        <f>IFERROR(__xludf.DUMMYFUNCTION("""COMPUTED_VALUE"""),13.0)</f>
        <v>13</v>
      </c>
      <c r="K84" s="189">
        <f>IFERROR(__xludf.DUMMYFUNCTION("""COMPUTED_VALUE"""),5.0)</f>
        <v>5</v>
      </c>
      <c r="L84" s="189">
        <f>IFERROR(__xludf.DUMMYFUNCTION("""COMPUTED_VALUE"""),7.0)</f>
        <v>7</v>
      </c>
      <c r="M84" s="189">
        <f>IFERROR(__xludf.DUMMYFUNCTION("""COMPUTED_VALUE"""),0.0)</f>
        <v>0</v>
      </c>
      <c r="N84" s="189">
        <f>IFERROR(__xludf.DUMMYFUNCTION("""COMPUTED_VALUE"""),0.0)</f>
        <v>0</v>
      </c>
      <c r="O84" s="189">
        <f>IFERROR(__xludf.DUMMYFUNCTION("""COMPUTED_VALUE"""),3.0)</f>
        <v>3</v>
      </c>
      <c r="P84" s="189">
        <f>IFERROR(__xludf.DUMMYFUNCTION("""COMPUTED_VALUE"""),6.0)</f>
        <v>6</v>
      </c>
      <c r="Q84" s="189">
        <f>IFERROR(__xludf.DUMMYFUNCTION("""COMPUTED_VALUE"""),5.0)</f>
        <v>5</v>
      </c>
      <c r="R84" s="189">
        <f>IFERROR(__xludf.DUMMYFUNCTION("""COMPUTED_VALUE"""),7.0)</f>
        <v>7</v>
      </c>
      <c r="S84" s="189">
        <f>IFERROR(__xludf.DUMMYFUNCTION("""COMPUTED_VALUE"""),1.0)</f>
        <v>1</v>
      </c>
      <c r="T84" s="189">
        <f>IFERROR(__xludf.DUMMYFUNCTION("""COMPUTED_VALUE"""),1.0)</f>
        <v>1</v>
      </c>
      <c r="U84" s="189">
        <f>IFERROR(__xludf.DUMMYFUNCTION("""COMPUTED_VALUE"""),7.0)</f>
        <v>7</v>
      </c>
      <c r="V84" s="189">
        <f>IFERROR(__xludf.DUMMYFUNCTION("""COMPUTED_VALUE"""),5.0)</f>
        <v>5</v>
      </c>
      <c r="W84" s="189">
        <f>IFERROR(__xludf.DUMMYFUNCTION("""COMPUTED_VALUE"""),6.0)</f>
        <v>6</v>
      </c>
      <c r="X84" s="189">
        <f>IFERROR(__xludf.DUMMYFUNCTION("""COMPUTED_VALUE"""),3.0)</f>
        <v>3</v>
      </c>
      <c r="Y84" s="208" t="str">
        <f>IFERROR(__xludf.DUMMYFUNCTION("""COMPUTED_VALUE"""),"2025-08-02T00:00:00.000Z")</f>
        <v>2025-08-02T00:00:00.000Z</v>
      </c>
      <c r="Z84" s="189" t="s">
        <v>79</v>
      </c>
      <c r="AA84" s="189" t="s">
        <v>401</v>
      </c>
    </row>
    <row r="85">
      <c r="A85" s="189">
        <f>IFERROR(__xludf.DUMMYFUNCTION("""COMPUTED_VALUE"""),211241.0)</f>
        <v>211241</v>
      </c>
      <c r="B85" s="189">
        <f>IFERROR(__xludf.DUMMYFUNCTION("""COMPUTED_VALUE"""),92901.0)</f>
        <v>92901</v>
      </c>
      <c r="C85" s="189" t="str">
        <f>IFERROR(__xludf.DUMMYFUNCTION("""COMPUTED_VALUE"""),"Challengers 2025: France Revolution Split 3 - Playoffs")</f>
        <v>Challengers 2025: France Revolution Split 3 - Playoffs</v>
      </c>
      <c r="D85" s="189" t="str">
        <f>IFERROR(__xludf.DUMMYFUNCTION("""COMPUTED_VALUE"""),"Sunset")</f>
        <v>Sunset</v>
      </c>
      <c r="E85" s="189" t="str">
        <f>IFERROR(__xludf.DUMMYFUNCTION("""COMPUTED_VALUE"""),"Mandatory")</f>
        <v>Mandatory</v>
      </c>
      <c r="F85" s="189" t="str">
        <f>IFERROR(__xludf.DUMMYFUNCTION("""COMPUTED_VALUE"""),"BLX CORP")</f>
        <v>BLX CORP</v>
      </c>
      <c r="G85" s="189" t="str">
        <f>IFERROR(__xludf.DUMMYFUNCTION("""COMPUTED_VALUE"""),"Cypher,Sova,Omen,Yoru,Neon")</f>
        <v>Cypher,Sova,Omen,Yoru,Neon</v>
      </c>
      <c r="H85" s="189" t="str">
        <f>IFERROR(__xludf.DUMMYFUNCTION("""COMPUTED_VALUE"""),"Breach,Cypher,Sova,Omen,Neon")</f>
        <v>Breach,Cypher,Sova,Omen,Neon</v>
      </c>
      <c r="I85" s="189">
        <f>IFERROR(__xludf.DUMMYFUNCTION("""COMPUTED_VALUE"""),11.0)</f>
        <v>11</v>
      </c>
      <c r="J85" s="189">
        <f>IFERROR(__xludf.DUMMYFUNCTION("""COMPUTED_VALUE"""),13.0)</f>
        <v>13</v>
      </c>
      <c r="K85" s="189">
        <f>IFERROR(__xludf.DUMMYFUNCTION("""COMPUTED_VALUE"""),2.0)</f>
        <v>2</v>
      </c>
      <c r="L85" s="189">
        <f>IFERROR(__xludf.DUMMYFUNCTION("""COMPUTED_VALUE"""),10.0)</f>
        <v>10</v>
      </c>
      <c r="M85" s="189">
        <f>IFERROR(__xludf.DUMMYFUNCTION("""COMPUTED_VALUE"""),0.0)</f>
        <v>0</v>
      </c>
      <c r="N85" s="189">
        <f>IFERROR(__xludf.DUMMYFUNCTION("""COMPUTED_VALUE"""),1.0)</f>
        <v>1</v>
      </c>
      <c r="O85" s="189">
        <f>IFERROR(__xludf.DUMMYFUNCTION("""COMPUTED_VALUE"""),2.0)</f>
        <v>2</v>
      </c>
      <c r="P85" s="189">
        <f>IFERROR(__xludf.DUMMYFUNCTION("""COMPUTED_VALUE"""),10.0)</f>
        <v>10</v>
      </c>
      <c r="Q85" s="189">
        <f>IFERROR(__xludf.DUMMYFUNCTION("""COMPUTED_VALUE"""),9.0)</f>
        <v>9</v>
      </c>
      <c r="R85" s="189">
        <f>IFERROR(__xludf.DUMMYFUNCTION("""COMPUTED_VALUE"""),3.0)</f>
        <v>3</v>
      </c>
      <c r="S85" s="189">
        <f>IFERROR(__xludf.DUMMYFUNCTION("""COMPUTED_VALUE"""),0.0)</f>
        <v>0</v>
      </c>
      <c r="T85" s="189">
        <f>IFERROR(__xludf.DUMMYFUNCTION("""COMPUTED_VALUE"""),1.0)</f>
        <v>1</v>
      </c>
      <c r="U85" s="189">
        <f>IFERROR(__xludf.DUMMYFUNCTION("""COMPUTED_VALUE"""),3.0)</f>
        <v>3</v>
      </c>
      <c r="V85" s="189">
        <f>IFERROR(__xludf.DUMMYFUNCTION("""COMPUTED_VALUE"""),9.0)</f>
        <v>9</v>
      </c>
      <c r="W85" s="189">
        <f>IFERROR(__xludf.DUMMYFUNCTION("""COMPUTED_VALUE"""),10.0)</f>
        <v>10</v>
      </c>
      <c r="X85" s="189">
        <f>IFERROR(__xludf.DUMMYFUNCTION("""COMPUTED_VALUE"""),2.0)</f>
        <v>2</v>
      </c>
      <c r="Y85" s="208" t="str">
        <f>IFERROR(__xludf.DUMMYFUNCTION("""COMPUTED_VALUE"""),"2025-08-02T00:00:00.000Z")</f>
        <v>2025-08-02T00:00:00.000Z</v>
      </c>
      <c r="Z85" s="189" t="s">
        <v>132</v>
      </c>
      <c r="AA85" s="189" t="s">
        <v>395</v>
      </c>
    </row>
    <row r="86">
      <c r="A86" s="189">
        <f>IFERROR(__xludf.DUMMYFUNCTION("""COMPUTED_VALUE"""),211265.0)</f>
        <v>211265</v>
      </c>
      <c r="B86" s="189">
        <f>IFERROR(__xludf.DUMMYFUNCTION("""COMPUTED_VALUE"""),92910.0)</f>
        <v>92910</v>
      </c>
      <c r="C86" s="189" t="str">
        <f>IFERROR(__xludf.DUMMYFUNCTION("""COMPUTED_VALUE"""),"Challengers League 2025 NORTH EAST: Split 3 - Playoffs")</f>
        <v>Challengers League 2025 NORTH EAST: Split 3 - Playoffs</v>
      </c>
      <c r="D86" s="189" t="str">
        <f>IFERROR(__xludf.DUMMYFUNCTION("""COMPUTED_VALUE"""),"Lotus")</f>
        <v>Lotus</v>
      </c>
      <c r="E86" s="189" t="str">
        <f>IFERROR(__xludf.DUMMYFUNCTION("""COMPUTED_VALUE"""),"Boars Gaming")</f>
        <v>Boars Gaming</v>
      </c>
      <c r="F86" s="189" t="str">
        <f>IFERROR(__xludf.DUMMYFUNCTION("""COMPUTED_VALUE"""),"Formulation Gaming")</f>
        <v>Formulation Gaming</v>
      </c>
      <c r="G86" s="189" t="str">
        <f>IFERROR(__xludf.DUMMYFUNCTION("""COMPUTED_VALUE"""),"Breach,Cypher,Omen,Neon,Fade")</f>
        <v>Breach,Cypher,Omen,Neon,Fade</v>
      </c>
      <c r="H86" s="189" t="str">
        <f>IFERROR(__xludf.DUMMYFUNCTION("""COMPUTED_VALUE"""),"Cypher,Omen,Neon,Fade,Deadlock")</f>
        <v>Cypher,Omen,Neon,Fade,Deadlock</v>
      </c>
      <c r="I86" s="189">
        <f>IFERROR(__xludf.DUMMYFUNCTION("""COMPUTED_VALUE"""),13.0)</f>
        <v>13</v>
      </c>
      <c r="J86" s="189">
        <f>IFERROR(__xludf.DUMMYFUNCTION("""COMPUTED_VALUE"""),8.0)</f>
        <v>8</v>
      </c>
      <c r="K86" s="189">
        <f>IFERROR(__xludf.DUMMYFUNCTION("""COMPUTED_VALUE"""),9.0)</f>
        <v>9</v>
      </c>
      <c r="L86" s="189">
        <f>IFERROR(__xludf.DUMMYFUNCTION("""COMPUTED_VALUE"""),3.0)</f>
        <v>3</v>
      </c>
      <c r="M86" s="189">
        <f>IFERROR(__xludf.DUMMYFUNCTION("""COMPUTED_VALUE"""),1.0)</f>
        <v>1</v>
      </c>
      <c r="N86" s="189">
        <f>IFERROR(__xludf.DUMMYFUNCTION("""COMPUTED_VALUE"""),0.0)</f>
        <v>0</v>
      </c>
      <c r="O86" s="189">
        <f>IFERROR(__xludf.DUMMYFUNCTION("""COMPUTED_VALUE"""),9.0)</f>
        <v>9</v>
      </c>
      <c r="P86" s="189">
        <f>IFERROR(__xludf.DUMMYFUNCTION("""COMPUTED_VALUE"""),3.0)</f>
        <v>3</v>
      </c>
      <c r="Q86" s="189">
        <f>IFERROR(__xludf.DUMMYFUNCTION("""COMPUTED_VALUE"""),4.0)</f>
        <v>4</v>
      </c>
      <c r="R86" s="189">
        <f>IFERROR(__xludf.DUMMYFUNCTION("""COMPUTED_VALUE"""),5.0)</f>
        <v>5</v>
      </c>
      <c r="S86" s="189">
        <f>IFERROR(__xludf.DUMMYFUNCTION("""COMPUTED_VALUE"""),1.0)</f>
        <v>1</v>
      </c>
      <c r="T86" s="189">
        <f>IFERROR(__xludf.DUMMYFUNCTION("""COMPUTED_VALUE"""),0.0)</f>
        <v>0</v>
      </c>
      <c r="U86" s="189">
        <f>IFERROR(__xludf.DUMMYFUNCTION("""COMPUTED_VALUE"""),5.0)</f>
        <v>5</v>
      </c>
      <c r="V86" s="189">
        <f>IFERROR(__xludf.DUMMYFUNCTION("""COMPUTED_VALUE"""),4.0)</f>
        <v>4</v>
      </c>
      <c r="W86" s="189">
        <f>IFERROR(__xludf.DUMMYFUNCTION("""COMPUTED_VALUE"""),3.0)</f>
        <v>3</v>
      </c>
      <c r="X86" s="189">
        <f>IFERROR(__xludf.DUMMYFUNCTION("""COMPUTED_VALUE"""),9.0)</f>
        <v>9</v>
      </c>
      <c r="Y86" s="208" t="str">
        <f>IFERROR(__xludf.DUMMYFUNCTION("""COMPUTED_VALUE"""),"2025-08-02T00:00:00.000Z")</f>
        <v>2025-08-02T00:00:00.000Z</v>
      </c>
      <c r="Z86" s="189" t="s">
        <v>81</v>
      </c>
      <c r="AA86" s="189" t="s">
        <v>181</v>
      </c>
    </row>
    <row r="87">
      <c r="A87" s="189">
        <f>IFERROR(__xludf.DUMMYFUNCTION("""COMPUTED_VALUE"""),211222.0)</f>
        <v>211222</v>
      </c>
      <c r="B87" s="189">
        <f>IFERROR(__xludf.DUMMYFUNCTION("""COMPUTED_VALUE"""),92895.0)</f>
        <v>92895</v>
      </c>
      <c r="C87" s="189" t="str">
        <f>IFERROR(__xludf.DUMMYFUNCTION("""COMPUTED_VALUE"""),"Challengers League 2025 DACH: Evolution Stage 3 - Play-Ins")</f>
        <v>Challengers League 2025 DACH: Evolution Stage 3 - Play-Ins</v>
      </c>
      <c r="D87" s="189" t="str">
        <f>IFERROR(__xludf.DUMMYFUNCTION("""COMPUTED_VALUE"""),"Corrode")</f>
        <v>Corrode</v>
      </c>
      <c r="E87" s="189" t="str">
        <f>IFERROR(__xludf.DUMMYFUNCTION("""COMPUTED_VALUE"""),"RIZON")</f>
        <v>RIZON</v>
      </c>
      <c r="F87" s="189" t="str">
        <f>IFERROR(__xludf.DUMMYFUNCTION("""COMPUTED_VALUE"""),"MOUZ")</f>
        <v>MOUZ</v>
      </c>
      <c r="G87" s="189" t="str">
        <f>IFERROR(__xludf.DUMMYFUNCTION("""COMPUTED_VALUE"""),"Viper,Sage,Omen,Neon,Fade")</f>
        <v>Viper,Sage,Omen,Neon,Fade</v>
      </c>
      <c r="H87" s="189" t="str">
        <f>IFERROR(__xludf.DUMMYFUNCTION("""COMPUTED_VALUE"""),"Omen,Yoru,Chamber,Neon,Fade")</f>
        <v>Omen,Yoru,Chamber,Neon,Fade</v>
      </c>
      <c r="I87" s="189">
        <f>IFERROR(__xludf.DUMMYFUNCTION("""COMPUTED_VALUE"""),8.0)</f>
        <v>8</v>
      </c>
      <c r="J87" s="189">
        <f>IFERROR(__xludf.DUMMYFUNCTION("""COMPUTED_VALUE"""),13.0)</f>
        <v>13</v>
      </c>
      <c r="K87" s="189">
        <f>IFERROR(__xludf.DUMMYFUNCTION("""COMPUTED_VALUE"""),6.0)</f>
        <v>6</v>
      </c>
      <c r="L87" s="189">
        <f>IFERROR(__xludf.DUMMYFUNCTION("""COMPUTED_VALUE"""),6.0)</f>
        <v>6</v>
      </c>
      <c r="M87" s="189">
        <f>IFERROR(__xludf.DUMMYFUNCTION("""COMPUTED_VALUE"""),0.0)</f>
        <v>0</v>
      </c>
      <c r="N87" s="189">
        <f>IFERROR(__xludf.DUMMYFUNCTION("""COMPUTED_VALUE"""),1.0)</f>
        <v>1</v>
      </c>
      <c r="O87" s="189">
        <f>IFERROR(__xludf.DUMMYFUNCTION("""COMPUTED_VALUE"""),6.0)</f>
        <v>6</v>
      </c>
      <c r="P87" s="189">
        <f>IFERROR(__xludf.DUMMYFUNCTION("""COMPUTED_VALUE"""),6.0)</f>
        <v>6</v>
      </c>
      <c r="Q87" s="189">
        <f>IFERROR(__xludf.DUMMYFUNCTION("""COMPUTED_VALUE"""),2.0)</f>
        <v>2</v>
      </c>
      <c r="R87" s="189">
        <f>IFERROR(__xludf.DUMMYFUNCTION("""COMPUTED_VALUE"""),7.0)</f>
        <v>7</v>
      </c>
      <c r="S87" s="189">
        <f>IFERROR(__xludf.DUMMYFUNCTION("""COMPUTED_VALUE"""),0.0)</f>
        <v>0</v>
      </c>
      <c r="T87" s="189">
        <f>IFERROR(__xludf.DUMMYFUNCTION("""COMPUTED_VALUE"""),1.0)</f>
        <v>1</v>
      </c>
      <c r="U87" s="189">
        <f>IFERROR(__xludf.DUMMYFUNCTION("""COMPUTED_VALUE"""),7.0)</f>
        <v>7</v>
      </c>
      <c r="V87" s="189">
        <f>IFERROR(__xludf.DUMMYFUNCTION("""COMPUTED_VALUE"""),2.0)</f>
        <v>2</v>
      </c>
      <c r="W87" s="189">
        <f>IFERROR(__xludf.DUMMYFUNCTION("""COMPUTED_VALUE"""),6.0)</f>
        <v>6</v>
      </c>
      <c r="X87" s="189">
        <f>IFERROR(__xludf.DUMMYFUNCTION("""COMPUTED_VALUE"""),6.0)</f>
        <v>6</v>
      </c>
      <c r="Y87" s="208" t="str">
        <f>IFERROR(__xludf.DUMMYFUNCTION("""COMPUTED_VALUE"""),"2025-08-02T00:00:00.000Z")</f>
        <v>2025-08-02T00:00:00.000Z</v>
      </c>
      <c r="Z87" s="189" t="s">
        <v>402</v>
      </c>
      <c r="AA87" s="189" t="s">
        <v>180</v>
      </c>
    </row>
    <row r="88">
      <c r="A88" s="189">
        <f>IFERROR(__xludf.DUMMYFUNCTION("""COMPUTED_VALUE"""),211240.0)</f>
        <v>211240</v>
      </c>
      <c r="B88" s="189">
        <f>IFERROR(__xludf.DUMMYFUNCTION("""COMPUTED_VALUE"""),92901.0)</f>
        <v>92901</v>
      </c>
      <c r="C88" s="189" t="str">
        <f>IFERROR(__xludf.DUMMYFUNCTION("""COMPUTED_VALUE"""),"Challengers 2025: France Revolution Split 3 - Playoffs")</f>
        <v>Challengers 2025: France Revolution Split 3 - Playoffs</v>
      </c>
      <c r="D88" s="189" t="str">
        <f>IFERROR(__xludf.DUMMYFUNCTION("""COMPUTED_VALUE"""),"Lotus")</f>
        <v>Lotus</v>
      </c>
      <c r="E88" s="189" t="str">
        <f>IFERROR(__xludf.DUMMYFUNCTION("""COMPUTED_VALUE"""),"Mandatory")</f>
        <v>Mandatory</v>
      </c>
      <c r="F88" s="189" t="str">
        <f>IFERROR(__xludf.DUMMYFUNCTION("""COMPUTED_VALUE"""),"BLX CORP")</f>
        <v>BLX CORP</v>
      </c>
      <c r="G88" s="189" t="str">
        <f>IFERROR(__xludf.DUMMYFUNCTION("""COMPUTED_VALUE"""),"Cypher,Sova,Omen,Yoru,Deadlock")</f>
        <v>Cypher,Sova,Omen,Yoru,Deadlock</v>
      </c>
      <c r="H88" s="189" t="str">
        <f>IFERROR(__xludf.DUMMYFUNCTION("""COMPUTED_VALUE"""),"Raze,Viper,Omen,Fade,Iso")</f>
        <v>Raze,Viper,Omen,Fade,Iso</v>
      </c>
      <c r="I88" s="189">
        <f>IFERROR(__xludf.DUMMYFUNCTION("""COMPUTED_VALUE"""),13.0)</f>
        <v>13</v>
      </c>
      <c r="J88" s="189">
        <f>IFERROR(__xludf.DUMMYFUNCTION("""COMPUTED_VALUE"""),3.0)</f>
        <v>3</v>
      </c>
      <c r="K88" s="189">
        <f>IFERROR(__xludf.DUMMYFUNCTION("""COMPUTED_VALUE"""),10.0)</f>
        <v>10</v>
      </c>
      <c r="L88" s="189">
        <f>IFERROR(__xludf.DUMMYFUNCTION("""COMPUTED_VALUE"""),2.0)</f>
        <v>2</v>
      </c>
      <c r="M88" s="189">
        <f>IFERROR(__xludf.DUMMYFUNCTION("""COMPUTED_VALUE"""),1.0)</f>
        <v>1</v>
      </c>
      <c r="N88" s="189">
        <f>IFERROR(__xludf.DUMMYFUNCTION("""COMPUTED_VALUE"""),1.0)</f>
        <v>1</v>
      </c>
      <c r="O88" s="189">
        <f>IFERROR(__xludf.DUMMYFUNCTION("""COMPUTED_VALUE"""),10.0)</f>
        <v>10</v>
      </c>
      <c r="P88" s="189">
        <f>IFERROR(__xludf.DUMMYFUNCTION("""COMPUTED_VALUE"""),2.0)</f>
        <v>2</v>
      </c>
      <c r="Q88" s="189">
        <f>IFERROR(__xludf.DUMMYFUNCTION("""COMPUTED_VALUE"""),3.0)</f>
        <v>3</v>
      </c>
      <c r="R88" s="189">
        <f>IFERROR(__xludf.DUMMYFUNCTION("""COMPUTED_VALUE"""),1.0)</f>
        <v>1</v>
      </c>
      <c r="S88" s="189">
        <f>IFERROR(__xludf.DUMMYFUNCTION("""COMPUTED_VALUE"""),0.0)</f>
        <v>0</v>
      </c>
      <c r="T88" s="189">
        <f>IFERROR(__xludf.DUMMYFUNCTION("""COMPUTED_VALUE"""),0.0)</f>
        <v>0</v>
      </c>
      <c r="U88" s="189">
        <f>IFERROR(__xludf.DUMMYFUNCTION("""COMPUTED_VALUE"""),1.0)</f>
        <v>1</v>
      </c>
      <c r="V88" s="189">
        <f>IFERROR(__xludf.DUMMYFUNCTION("""COMPUTED_VALUE"""),3.0)</f>
        <v>3</v>
      </c>
      <c r="W88" s="189">
        <f>IFERROR(__xludf.DUMMYFUNCTION("""COMPUTED_VALUE"""),2.0)</f>
        <v>2</v>
      </c>
      <c r="X88" s="189">
        <f>IFERROR(__xludf.DUMMYFUNCTION("""COMPUTED_VALUE"""),10.0)</f>
        <v>10</v>
      </c>
      <c r="Y88" s="208" t="str">
        <f>IFERROR(__xludf.DUMMYFUNCTION("""COMPUTED_VALUE"""),"2025-08-02T00:00:00.000Z")</f>
        <v>2025-08-02T00:00:00.000Z</v>
      </c>
      <c r="Z88" s="189" t="s">
        <v>130</v>
      </c>
      <c r="AA88" s="189" t="s">
        <v>189</v>
      </c>
    </row>
    <row r="89">
      <c r="A89" s="189">
        <f>IFERROR(__xludf.DUMMYFUNCTION("""COMPUTED_VALUE"""),211239.0)</f>
        <v>211239</v>
      </c>
      <c r="B89" s="189">
        <f>IFERROR(__xludf.DUMMYFUNCTION("""COMPUTED_VALUE"""),92901.0)</f>
        <v>92901</v>
      </c>
      <c r="C89" s="189" t="str">
        <f>IFERROR(__xludf.DUMMYFUNCTION("""COMPUTED_VALUE"""),"Challengers 2025: France Revolution Split 3 - Playoffs")</f>
        <v>Challengers 2025: France Revolution Split 3 - Playoffs</v>
      </c>
      <c r="D89" s="189" t="str">
        <f>IFERROR(__xludf.DUMMYFUNCTION("""COMPUTED_VALUE"""),"Icebox")</f>
        <v>Icebox</v>
      </c>
      <c r="E89" s="189" t="str">
        <f>IFERROR(__xludf.DUMMYFUNCTION("""COMPUTED_VALUE"""),"Mandatory")</f>
        <v>Mandatory</v>
      </c>
      <c r="F89" s="189" t="str">
        <f>IFERROR(__xludf.DUMMYFUNCTION("""COMPUTED_VALUE"""),"BLX CORP")</f>
        <v>BLX CORP</v>
      </c>
      <c r="G89" s="189" t="str">
        <f>IFERROR(__xludf.DUMMYFUNCTION("""COMPUTED_VALUE"""),"Sova,Killjoy,Viper,Jett,Yoru")</f>
        <v>Sova,Killjoy,Viper,Jett,Yoru</v>
      </c>
      <c r="H89" s="189" t="str">
        <f>IFERROR(__xludf.DUMMYFUNCTION("""COMPUTED_VALUE"""),"Killjoy,Viper,Reyna,Gekko,Iso")</f>
        <v>Killjoy,Viper,Reyna,Gekko,Iso</v>
      </c>
      <c r="I89" s="189">
        <f>IFERROR(__xludf.DUMMYFUNCTION("""COMPUTED_VALUE"""),9.0)</f>
        <v>9</v>
      </c>
      <c r="J89" s="189">
        <f>IFERROR(__xludf.DUMMYFUNCTION("""COMPUTED_VALUE"""),13.0)</f>
        <v>13</v>
      </c>
      <c r="K89" s="189">
        <f>IFERROR(__xludf.DUMMYFUNCTION("""COMPUTED_VALUE"""),7.0)</f>
        <v>7</v>
      </c>
      <c r="L89" s="189">
        <f>IFERROR(__xludf.DUMMYFUNCTION("""COMPUTED_VALUE"""),5.0)</f>
        <v>5</v>
      </c>
      <c r="M89" s="189">
        <f>IFERROR(__xludf.DUMMYFUNCTION("""COMPUTED_VALUE"""),0.0)</f>
        <v>0</v>
      </c>
      <c r="N89" s="189">
        <f>IFERROR(__xludf.DUMMYFUNCTION("""COMPUTED_VALUE"""),1.0)</f>
        <v>1</v>
      </c>
      <c r="O89" s="189">
        <f>IFERROR(__xludf.DUMMYFUNCTION("""COMPUTED_VALUE"""),7.0)</f>
        <v>7</v>
      </c>
      <c r="P89" s="189">
        <f>IFERROR(__xludf.DUMMYFUNCTION("""COMPUTED_VALUE"""),5.0)</f>
        <v>5</v>
      </c>
      <c r="Q89" s="189">
        <f>IFERROR(__xludf.DUMMYFUNCTION("""COMPUTED_VALUE"""),2.0)</f>
        <v>2</v>
      </c>
      <c r="R89" s="189">
        <f>IFERROR(__xludf.DUMMYFUNCTION("""COMPUTED_VALUE"""),8.0)</f>
        <v>8</v>
      </c>
      <c r="S89" s="189">
        <f>IFERROR(__xludf.DUMMYFUNCTION("""COMPUTED_VALUE"""),0.0)</f>
        <v>0</v>
      </c>
      <c r="T89" s="189">
        <f>IFERROR(__xludf.DUMMYFUNCTION("""COMPUTED_VALUE"""),1.0)</f>
        <v>1</v>
      </c>
      <c r="U89" s="189">
        <f>IFERROR(__xludf.DUMMYFUNCTION("""COMPUTED_VALUE"""),8.0)</f>
        <v>8</v>
      </c>
      <c r="V89" s="189">
        <f>IFERROR(__xludf.DUMMYFUNCTION("""COMPUTED_VALUE"""),2.0)</f>
        <v>2</v>
      </c>
      <c r="W89" s="189">
        <f>IFERROR(__xludf.DUMMYFUNCTION("""COMPUTED_VALUE"""),5.0)</f>
        <v>5</v>
      </c>
      <c r="X89" s="189">
        <f>IFERROR(__xludf.DUMMYFUNCTION("""COMPUTED_VALUE"""),7.0)</f>
        <v>7</v>
      </c>
      <c r="Y89" s="208" t="str">
        <f>IFERROR(__xludf.DUMMYFUNCTION("""COMPUTED_VALUE"""),"2025-08-02T00:00:00.000Z")</f>
        <v>2025-08-02T00:00:00.000Z</v>
      </c>
      <c r="Z89" s="189" t="s">
        <v>129</v>
      </c>
      <c r="AA89" s="189" t="s">
        <v>395</v>
      </c>
    </row>
    <row r="90">
      <c r="A90" s="189">
        <f>IFERROR(__xludf.DUMMYFUNCTION("""COMPUTED_VALUE"""),211264.0)</f>
        <v>211264</v>
      </c>
      <c r="B90" s="189">
        <f>IFERROR(__xludf.DUMMYFUNCTION("""COMPUTED_VALUE"""),92908.0)</f>
        <v>92908</v>
      </c>
      <c r="C90" s="189" t="str">
        <f>IFERROR(__xludf.DUMMYFUNCTION("""COMPUTED_VALUE"""),"Challengers League 2025 NORTH EAST: Split 3 - Playoffs")</f>
        <v>Challengers League 2025 NORTH EAST: Split 3 - Playoffs</v>
      </c>
      <c r="D90" s="189" t="str">
        <f>IFERROR(__xludf.DUMMYFUNCTION("""COMPUTED_VALUE"""),"Lotus")</f>
        <v>Lotus</v>
      </c>
      <c r="E90" s="189" t="str">
        <f>IFERROR(__xludf.DUMMYFUNCTION("""COMPUTED_VALUE"""),"Team Liquid Academy")</f>
        <v>Team Liquid Academy</v>
      </c>
      <c r="F90" s="189" t="str">
        <f>IFERROR(__xludf.DUMMYFUNCTION("""COMPUTED_VALUE"""),"Metizport")</f>
        <v>Metizport</v>
      </c>
      <c r="G90" s="189" t="str">
        <f>IFERROR(__xludf.DUMMYFUNCTION("""COMPUTED_VALUE"""),"Cypher,Omen,Neon,Fade,Iso")</f>
        <v>Cypher,Omen,Neon,Fade,Iso</v>
      </c>
      <c r="H90" s="189" t="str">
        <f>IFERROR(__xludf.DUMMYFUNCTION("""COMPUTED_VALUE"""),"Raze,Omen,Yoru,Fade,Vyse")</f>
        <v>Raze,Omen,Yoru,Fade,Vyse</v>
      </c>
      <c r="I90" s="189">
        <f>IFERROR(__xludf.DUMMYFUNCTION("""COMPUTED_VALUE"""),13.0)</f>
        <v>13</v>
      </c>
      <c r="J90" s="189">
        <f>IFERROR(__xludf.DUMMYFUNCTION("""COMPUTED_VALUE"""),7.0)</f>
        <v>7</v>
      </c>
      <c r="K90" s="189">
        <f>IFERROR(__xludf.DUMMYFUNCTION("""COMPUTED_VALUE"""),8.0)</f>
        <v>8</v>
      </c>
      <c r="L90" s="189">
        <f>IFERROR(__xludf.DUMMYFUNCTION("""COMPUTED_VALUE"""),4.0)</f>
        <v>4</v>
      </c>
      <c r="M90" s="189">
        <f>IFERROR(__xludf.DUMMYFUNCTION("""COMPUTED_VALUE"""),0.0)</f>
        <v>0</v>
      </c>
      <c r="N90" s="189">
        <f>IFERROR(__xludf.DUMMYFUNCTION("""COMPUTED_VALUE"""),0.0)</f>
        <v>0</v>
      </c>
      <c r="O90" s="189">
        <f>IFERROR(__xludf.DUMMYFUNCTION("""COMPUTED_VALUE"""),5.0)</f>
        <v>5</v>
      </c>
      <c r="P90" s="189">
        <f>IFERROR(__xludf.DUMMYFUNCTION("""COMPUTED_VALUE"""),3.0)</f>
        <v>3</v>
      </c>
      <c r="Q90" s="189">
        <f>IFERROR(__xludf.DUMMYFUNCTION("""COMPUTED_VALUE"""),8.0)</f>
        <v>8</v>
      </c>
      <c r="R90" s="189">
        <f>IFERROR(__xludf.DUMMYFUNCTION("""COMPUTED_VALUE"""),4.0)</f>
        <v>4</v>
      </c>
      <c r="S90" s="189">
        <f>IFERROR(__xludf.DUMMYFUNCTION("""COMPUTED_VALUE"""),1.0)</f>
        <v>1</v>
      </c>
      <c r="T90" s="189">
        <f>IFERROR(__xludf.DUMMYFUNCTION("""COMPUTED_VALUE"""),1.0)</f>
        <v>1</v>
      </c>
      <c r="U90" s="189">
        <f>IFERROR(__xludf.DUMMYFUNCTION("""COMPUTED_VALUE"""),4.0)</f>
        <v>4</v>
      </c>
      <c r="V90" s="189">
        <f>IFERROR(__xludf.DUMMYFUNCTION("""COMPUTED_VALUE"""),8.0)</f>
        <v>8</v>
      </c>
      <c r="W90" s="189">
        <f>IFERROR(__xludf.DUMMYFUNCTION("""COMPUTED_VALUE"""),3.0)</f>
        <v>3</v>
      </c>
      <c r="X90" s="189">
        <f>IFERROR(__xludf.DUMMYFUNCTION("""COMPUTED_VALUE"""),5.0)</f>
        <v>5</v>
      </c>
      <c r="Y90" s="208" t="str">
        <f>IFERROR(__xludf.DUMMYFUNCTION("""COMPUTED_VALUE"""),"2025-08-02T00:00:00.000Z")</f>
        <v>2025-08-02T00:00:00.000Z</v>
      </c>
      <c r="Z90" s="189" t="s">
        <v>147</v>
      </c>
      <c r="AA90" s="189" t="s">
        <v>1</v>
      </c>
    </row>
    <row r="91">
      <c r="A91" s="189">
        <f>IFERROR(__xludf.DUMMYFUNCTION("""COMPUTED_VALUE"""),211221.0)</f>
        <v>211221</v>
      </c>
      <c r="B91" s="189">
        <f>IFERROR(__xludf.DUMMYFUNCTION("""COMPUTED_VALUE"""),92895.0)</f>
        <v>92895</v>
      </c>
      <c r="C91" s="189" t="str">
        <f>IFERROR(__xludf.DUMMYFUNCTION("""COMPUTED_VALUE"""),"Challengers League 2025 DACH: Evolution Stage 3 - Play-Ins")</f>
        <v>Challengers League 2025 DACH: Evolution Stage 3 - Play-Ins</v>
      </c>
      <c r="D91" s="189" t="str">
        <f>IFERROR(__xludf.DUMMYFUNCTION("""COMPUTED_VALUE"""),"Haven")</f>
        <v>Haven</v>
      </c>
      <c r="E91" s="189" t="str">
        <f>IFERROR(__xludf.DUMMYFUNCTION("""COMPUTED_VALUE"""),"RIZON")</f>
        <v>RIZON</v>
      </c>
      <c r="F91" s="189" t="str">
        <f>IFERROR(__xludf.DUMMYFUNCTION("""COMPUTED_VALUE"""),"MOUZ")</f>
        <v>MOUZ</v>
      </c>
      <c r="G91" s="189" t="str">
        <f>IFERROR(__xludf.DUMMYFUNCTION("""COMPUTED_VALUE"""),"Sova,Killjoy,Viper,Omen,Neon")</f>
        <v>Sova,Killjoy,Viper,Omen,Neon</v>
      </c>
      <c r="H91" s="189" t="str">
        <f>IFERROR(__xludf.DUMMYFUNCTION("""COMPUTED_VALUE"""),"Cypher,Sova,Omen,Yoru,Iso")</f>
        <v>Cypher,Sova,Omen,Yoru,Iso</v>
      </c>
      <c r="I91" s="189">
        <f>IFERROR(__xludf.DUMMYFUNCTION("""COMPUTED_VALUE"""),10.0)</f>
        <v>10</v>
      </c>
      <c r="J91" s="189">
        <f>IFERROR(__xludf.DUMMYFUNCTION("""COMPUTED_VALUE"""),13.0)</f>
        <v>13</v>
      </c>
      <c r="K91" s="189">
        <f>IFERROR(__xludf.DUMMYFUNCTION("""COMPUTED_VALUE"""),4.0)</f>
        <v>4</v>
      </c>
      <c r="L91" s="189">
        <f>IFERROR(__xludf.DUMMYFUNCTION("""COMPUTED_VALUE"""),8.0)</f>
        <v>8</v>
      </c>
      <c r="M91" s="189">
        <f>IFERROR(__xludf.DUMMYFUNCTION("""COMPUTED_VALUE"""),1.0)</f>
        <v>1</v>
      </c>
      <c r="N91" s="189">
        <f>IFERROR(__xludf.DUMMYFUNCTION("""COMPUTED_VALUE"""),0.0)</f>
        <v>0</v>
      </c>
      <c r="O91" s="189">
        <f>IFERROR(__xludf.DUMMYFUNCTION("""COMPUTED_VALUE"""),6.0)</f>
        <v>6</v>
      </c>
      <c r="P91" s="189">
        <f>IFERROR(__xludf.DUMMYFUNCTION("""COMPUTED_VALUE"""),5.0)</f>
        <v>5</v>
      </c>
      <c r="Q91" s="189">
        <f>IFERROR(__xludf.DUMMYFUNCTION("""COMPUTED_VALUE"""),4.0)</f>
        <v>4</v>
      </c>
      <c r="R91" s="189">
        <f>IFERROR(__xludf.DUMMYFUNCTION("""COMPUTED_VALUE"""),8.0)</f>
        <v>8</v>
      </c>
      <c r="S91" s="189">
        <f>IFERROR(__xludf.DUMMYFUNCTION("""COMPUTED_VALUE"""),1.0)</f>
        <v>1</v>
      </c>
      <c r="T91" s="189">
        <f>IFERROR(__xludf.DUMMYFUNCTION("""COMPUTED_VALUE"""),0.0)</f>
        <v>0</v>
      </c>
      <c r="U91" s="189">
        <f>IFERROR(__xludf.DUMMYFUNCTION("""COMPUTED_VALUE"""),8.0)</f>
        <v>8</v>
      </c>
      <c r="V91" s="189">
        <f>IFERROR(__xludf.DUMMYFUNCTION("""COMPUTED_VALUE"""),4.0)</f>
        <v>4</v>
      </c>
      <c r="W91" s="189">
        <f>IFERROR(__xludf.DUMMYFUNCTION("""COMPUTED_VALUE"""),5.0)</f>
        <v>5</v>
      </c>
      <c r="X91" s="189">
        <f>IFERROR(__xludf.DUMMYFUNCTION("""COMPUTED_VALUE"""),6.0)</f>
        <v>6</v>
      </c>
      <c r="Y91" s="208" t="str">
        <f>IFERROR(__xludf.DUMMYFUNCTION("""COMPUTED_VALUE"""),"2025-08-02T00:00:00.000Z")</f>
        <v>2025-08-02T00:00:00.000Z</v>
      </c>
      <c r="Z91" s="189" t="s">
        <v>403</v>
      </c>
      <c r="AA91" s="189" t="s">
        <v>180</v>
      </c>
    </row>
    <row r="92">
      <c r="A92" s="189">
        <f>IFERROR(__xludf.DUMMYFUNCTION("""COMPUTED_VALUE"""),211263.0)</f>
        <v>211263</v>
      </c>
      <c r="B92" s="189">
        <f>IFERROR(__xludf.DUMMYFUNCTION("""COMPUTED_VALUE"""),92908.0)</f>
        <v>92908</v>
      </c>
      <c r="C92" s="189" t="str">
        <f>IFERROR(__xludf.DUMMYFUNCTION("""COMPUTED_VALUE"""),"Challengers League 2025 NORTH EAST: Split 3 - Playoffs")</f>
        <v>Challengers League 2025 NORTH EAST: Split 3 - Playoffs</v>
      </c>
      <c r="D92" s="189" t="str">
        <f>IFERROR(__xludf.DUMMYFUNCTION("""COMPUTED_VALUE"""),"Ascent")</f>
        <v>Ascent</v>
      </c>
      <c r="E92" s="189" t="str">
        <f>IFERROR(__xludf.DUMMYFUNCTION("""COMPUTED_VALUE"""),"Team Liquid Academy")</f>
        <v>Team Liquid Academy</v>
      </c>
      <c r="F92" s="189" t="str">
        <f>IFERROR(__xludf.DUMMYFUNCTION("""COMPUTED_VALUE"""),"Metizport")</f>
        <v>Metizport</v>
      </c>
      <c r="G92" s="189" t="str">
        <f>IFERROR(__xludf.DUMMYFUNCTION("""COMPUTED_VALUE"""),"Sova,Omen,Yoru,Vyse,Waylay")</f>
        <v>Sova,Omen,Yoru,Vyse,Waylay</v>
      </c>
      <c r="H92" s="189" t="str">
        <f>IFERROR(__xludf.DUMMYFUNCTION("""COMPUTED_VALUE"""),"Cypher,Sova,Omen,Jett,KAY/O")</f>
        <v>Cypher,Sova,Omen,Jett,KAY/O</v>
      </c>
      <c r="I92" s="189">
        <f>IFERROR(__xludf.DUMMYFUNCTION("""COMPUTED_VALUE"""),13.0)</f>
        <v>13</v>
      </c>
      <c r="J92" s="189">
        <f>IFERROR(__xludf.DUMMYFUNCTION("""COMPUTED_VALUE"""),5.0)</f>
        <v>5</v>
      </c>
      <c r="K92" s="189">
        <f>IFERROR(__xludf.DUMMYFUNCTION("""COMPUTED_VALUE"""),9.0)</f>
        <v>9</v>
      </c>
      <c r="L92" s="189">
        <f>IFERROR(__xludf.DUMMYFUNCTION("""COMPUTED_VALUE"""),3.0)</f>
        <v>3</v>
      </c>
      <c r="M92" s="189">
        <f>IFERROR(__xludf.DUMMYFUNCTION("""COMPUTED_VALUE"""),1.0)</f>
        <v>1</v>
      </c>
      <c r="N92" s="189">
        <f>IFERROR(__xludf.DUMMYFUNCTION("""COMPUTED_VALUE"""),1.0)</f>
        <v>1</v>
      </c>
      <c r="O92" s="189">
        <f>IFERROR(__xludf.DUMMYFUNCTION("""COMPUTED_VALUE"""),9.0)</f>
        <v>9</v>
      </c>
      <c r="P92" s="189">
        <f>IFERROR(__xludf.DUMMYFUNCTION("""COMPUTED_VALUE"""),3.0)</f>
        <v>3</v>
      </c>
      <c r="Q92" s="189">
        <f>IFERROR(__xludf.DUMMYFUNCTION("""COMPUTED_VALUE"""),4.0)</f>
        <v>4</v>
      </c>
      <c r="R92" s="189">
        <f>IFERROR(__xludf.DUMMYFUNCTION("""COMPUTED_VALUE"""),2.0)</f>
        <v>2</v>
      </c>
      <c r="S92" s="189">
        <f>IFERROR(__xludf.DUMMYFUNCTION("""COMPUTED_VALUE"""),0.0)</f>
        <v>0</v>
      </c>
      <c r="T92" s="189">
        <f>IFERROR(__xludf.DUMMYFUNCTION("""COMPUTED_VALUE"""),0.0)</f>
        <v>0</v>
      </c>
      <c r="U92" s="189">
        <f>IFERROR(__xludf.DUMMYFUNCTION("""COMPUTED_VALUE"""),2.0)</f>
        <v>2</v>
      </c>
      <c r="V92" s="189">
        <f>IFERROR(__xludf.DUMMYFUNCTION("""COMPUTED_VALUE"""),4.0)</f>
        <v>4</v>
      </c>
      <c r="W92" s="189">
        <f>IFERROR(__xludf.DUMMYFUNCTION("""COMPUTED_VALUE"""),3.0)</f>
        <v>3</v>
      </c>
      <c r="X92" s="189">
        <f>IFERROR(__xludf.DUMMYFUNCTION("""COMPUTED_VALUE"""),9.0)</f>
        <v>9</v>
      </c>
      <c r="Y92" s="208" t="str">
        <f>IFERROR(__xludf.DUMMYFUNCTION("""COMPUTED_VALUE"""),"2025-08-02T00:00:00.000Z")</f>
        <v>2025-08-02T00:00:00.000Z</v>
      </c>
      <c r="Z92" s="189" t="s">
        <v>142</v>
      </c>
      <c r="AA92" s="189" t="s">
        <v>1</v>
      </c>
    </row>
    <row r="93">
      <c r="A93" s="189">
        <f>IFERROR(__xludf.DUMMYFUNCTION("""COMPUTED_VALUE"""),211262.0)</f>
        <v>211262</v>
      </c>
      <c r="B93" s="189">
        <f>IFERROR(__xludf.DUMMYFUNCTION("""COMPUTED_VALUE"""),92908.0)</f>
        <v>92908</v>
      </c>
      <c r="C93" s="189" t="str">
        <f>IFERROR(__xludf.DUMMYFUNCTION("""COMPUTED_VALUE"""),"Challengers League 2025 NORTH EAST: Split 3 - Playoffs")</f>
        <v>Challengers League 2025 NORTH EAST: Split 3 - Playoffs</v>
      </c>
      <c r="D93" s="189" t="str">
        <f>IFERROR(__xludf.DUMMYFUNCTION("""COMPUTED_VALUE"""),"Sunset")</f>
        <v>Sunset</v>
      </c>
      <c r="E93" s="189" t="str">
        <f>IFERROR(__xludf.DUMMYFUNCTION("""COMPUTED_VALUE"""),"Team Liquid Academy")</f>
        <v>Team Liquid Academy</v>
      </c>
      <c r="F93" s="189" t="str">
        <f>IFERROR(__xludf.DUMMYFUNCTION("""COMPUTED_VALUE"""),"Metizport")</f>
        <v>Metizport</v>
      </c>
      <c r="G93" s="189" t="str">
        <f>IFERROR(__xludf.DUMMYFUNCTION("""COMPUTED_VALUE"""),"Sova,Omen,Yoru,Vyse,Waylay")</f>
        <v>Sova,Omen,Yoru,Vyse,Waylay</v>
      </c>
      <c r="H93" s="189" t="str">
        <f>IFERROR(__xludf.DUMMYFUNCTION("""COMPUTED_VALUE"""),"Breach,Cypher,Sova,Omen,Neon")</f>
        <v>Breach,Cypher,Sova,Omen,Neon</v>
      </c>
      <c r="I93" s="189">
        <f>IFERROR(__xludf.DUMMYFUNCTION("""COMPUTED_VALUE"""),12.0)</f>
        <v>12</v>
      </c>
      <c r="J93" s="189">
        <f>IFERROR(__xludf.DUMMYFUNCTION("""COMPUTED_VALUE"""),14.0)</f>
        <v>14</v>
      </c>
      <c r="K93" s="189">
        <f>IFERROR(__xludf.DUMMYFUNCTION("""COMPUTED_VALUE"""),6.0)</f>
        <v>6</v>
      </c>
      <c r="L93" s="189">
        <f>IFERROR(__xludf.DUMMYFUNCTION("""COMPUTED_VALUE"""),6.0)</f>
        <v>6</v>
      </c>
      <c r="M93" s="189">
        <f>IFERROR(__xludf.DUMMYFUNCTION("""COMPUTED_VALUE"""),1.0)</f>
        <v>1</v>
      </c>
      <c r="N93" s="189">
        <f>IFERROR(__xludf.DUMMYFUNCTION("""COMPUTED_VALUE"""),1.0)</f>
        <v>1</v>
      </c>
      <c r="O93" s="189">
        <f>IFERROR(__xludf.DUMMYFUNCTION("""COMPUTED_VALUE"""),6.0)</f>
        <v>6</v>
      </c>
      <c r="P93" s="189">
        <f>IFERROR(__xludf.DUMMYFUNCTION("""COMPUTED_VALUE"""),7.0)</f>
        <v>7</v>
      </c>
      <c r="Q93" s="189">
        <f>IFERROR(__xludf.DUMMYFUNCTION("""COMPUTED_VALUE"""),6.0)</f>
        <v>6</v>
      </c>
      <c r="R93" s="189">
        <f>IFERROR(__xludf.DUMMYFUNCTION("""COMPUTED_VALUE"""),7.0)</f>
        <v>7</v>
      </c>
      <c r="S93" s="189">
        <f>IFERROR(__xludf.DUMMYFUNCTION("""COMPUTED_VALUE"""),0.0)</f>
        <v>0</v>
      </c>
      <c r="T93" s="189">
        <f>IFERROR(__xludf.DUMMYFUNCTION("""COMPUTED_VALUE"""),0.0)</f>
        <v>0</v>
      </c>
      <c r="U93" s="189">
        <f>IFERROR(__xludf.DUMMYFUNCTION("""COMPUTED_VALUE"""),7.0)</f>
        <v>7</v>
      </c>
      <c r="V93" s="189">
        <f>IFERROR(__xludf.DUMMYFUNCTION("""COMPUTED_VALUE"""),6.0)</f>
        <v>6</v>
      </c>
      <c r="W93" s="189">
        <f>IFERROR(__xludf.DUMMYFUNCTION("""COMPUTED_VALUE"""),7.0)</f>
        <v>7</v>
      </c>
      <c r="X93" s="189">
        <f>IFERROR(__xludf.DUMMYFUNCTION("""COMPUTED_VALUE"""),6.0)</f>
        <v>6</v>
      </c>
      <c r="Y93" s="208" t="str">
        <f>IFERROR(__xludf.DUMMYFUNCTION("""COMPUTED_VALUE"""),"2025-08-02T00:00:00.000Z")</f>
        <v>2025-08-02T00:00:00.000Z</v>
      </c>
      <c r="Z93" s="189" t="s">
        <v>149</v>
      </c>
      <c r="AA93" s="189" t="s">
        <v>404</v>
      </c>
    </row>
    <row r="94">
      <c r="A94" s="189">
        <f>IFERROR(__xludf.DUMMYFUNCTION("""COMPUTED_VALUE"""),211234.0)</f>
        <v>211234</v>
      </c>
      <c r="B94" s="189">
        <f>IFERROR(__xludf.DUMMYFUNCTION("""COMPUTED_VALUE"""),92899.0)</f>
        <v>92899</v>
      </c>
      <c r="C94" s="189" t="str">
        <f>IFERROR(__xludf.DUMMYFUNCTION("""COMPUTED_VALUE"""),"Challengers League 2025 NORTH EAST: Split 3 - Playoffs")</f>
        <v>Challengers League 2025 NORTH EAST: Split 3 - Playoffs</v>
      </c>
      <c r="D94" s="189" t="str">
        <f>IFERROR(__xludf.DUMMYFUNCTION("""COMPUTED_VALUE"""),"Corrode")</f>
        <v>Corrode</v>
      </c>
      <c r="E94" s="189" t="str">
        <f>IFERROR(__xludf.DUMMYFUNCTION("""COMPUTED_VALUE"""),"Team Liquid Academy")</f>
        <v>Team Liquid Academy</v>
      </c>
      <c r="F94" s="189" t="str">
        <f>IFERROR(__xludf.DUMMYFUNCTION("""COMPUTED_VALUE"""),"Enterprise Esports")</f>
        <v>Enterprise Esports</v>
      </c>
      <c r="G94" s="189" t="str">
        <f>IFERROR(__xludf.DUMMYFUNCTION("""COMPUTED_VALUE"""),"Cypher,Phoenix,Omen,Yoru,Fade")</f>
        <v>Cypher,Phoenix,Omen,Yoru,Fade</v>
      </c>
      <c r="H94" s="189" t="str">
        <f>IFERROR(__xludf.DUMMYFUNCTION("""COMPUTED_VALUE"""),"Sova,Viper,Omen,Yoru,Fade")</f>
        <v>Sova,Viper,Omen,Yoru,Fade</v>
      </c>
      <c r="I94" s="189">
        <f>IFERROR(__xludf.DUMMYFUNCTION("""COMPUTED_VALUE"""),11.0)</f>
        <v>11</v>
      </c>
      <c r="J94" s="189">
        <f>IFERROR(__xludf.DUMMYFUNCTION("""COMPUTED_VALUE"""),13.0)</f>
        <v>13</v>
      </c>
      <c r="K94" s="189">
        <f>IFERROR(__xludf.DUMMYFUNCTION("""COMPUTED_VALUE"""),5.0)</f>
        <v>5</v>
      </c>
      <c r="L94" s="189">
        <f>IFERROR(__xludf.DUMMYFUNCTION("""COMPUTED_VALUE"""),7.0)</f>
        <v>7</v>
      </c>
      <c r="M94" s="189">
        <f>IFERROR(__xludf.DUMMYFUNCTION("""COMPUTED_VALUE"""),1.0)</f>
        <v>1</v>
      </c>
      <c r="N94" s="189">
        <f>IFERROR(__xludf.DUMMYFUNCTION("""COMPUTED_VALUE"""),0.0)</f>
        <v>0</v>
      </c>
      <c r="O94" s="189">
        <f>IFERROR(__xludf.DUMMYFUNCTION("""COMPUTED_VALUE"""),5.0)</f>
        <v>5</v>
      </c>
      <c r="P94" s="189">
        <f>IFERROR(__xludf.DUMMYFUNCTION("""COMPUTED_VALUE"""),7.0)</f>
        <v>7</v>
      </c>
      <c r="Q94" s="189">
        <f>IFERROR(__xludf.DUMMYFUNCTION("""COMPUTED_VALUE"""),6.0)</f>
        <v>6</v>
      </c>
      <c r="R94" s="189">
        <f>IFERROR(__xludf.DUMMYFUNCTION("""COMPUTED_VALUE"""),6.0)</f>
        <v>6</v>
      </c>
      <c r="S94" s="189">
        <f>IFERROR(__xludf.DUMMYFUNCTION("""COMPUTED_VALUE"""),1.0)</f>
        <v>1</v>
      </c>
      <c r="T94" s="189">
        <f>IFERROR(__xludf.DUMMYFUNCTION("""COMPUTED_VALUE"""),0.0)</f>
        <v>0</v>
      </c>
      <c r="U94" s="189">
        <f>IFERROR(__xludf.DUMMYFUNCTION("""COMPUTED_VALUE"""),6.0)</f>
        <v>6</v>
      </c>
      <c r="V94" s="189">
        <f>IFERROR(__xludf.DUMMYFUNCTION("""COMPUTED_VALUE"""),6.0)</f>
        <v>6</v>
      </c>
      <c r="W94" s="189">
        <f>IFERROR(__xludf.DUMMYFUNCTION("""COMPUTED_VALUE"""),7.0)</f>
        <v>7</v>
      </c>
      <c r="X94" s="189">
        <f>IFERROR(__xludf.DUMMYFUNCTION("""COMPUTED_VALUE"""),5.0)</f>
        <v>5</v>
      </c>
      <c r="Y94" s="208" t="str">
        <f>IFERROR(__xludf.DUMMYFUNCTION("""COMPUTED_VALUE"""),"2025-07-29T00:00:00.000Z")</f>
        <v>2025-07-29T00:00:00.000Z</v>
      </c>
      <c r="Z94" s="189" t="s">
        <v>144</v>
      </c>
      <c r="AA94" s="189" t="s">
        <v>179</v>
      </c>
    </row>
    <row r="95">
      <c r="A95" s="189">
        <f>IFERROR(__xludf.DUMMYFUNCTION("""COMPUTED_VALUE"""),208425.0)</f>
        <v>208425</v>
      </c>
      <c r="B95" s="189">
        <f>IFERROR(__xludf.DUMMYFUNCTION("""COMPUTED_VALUE"""),91790.0)</f>
        <v>91790</v>
      </c>
      <c r="C95" s="189" t="str">
        <f>IFERROR(__xludf.DUMMYFUNCTION("""COMPUTED_VALUE"""),"Challengers League 2025 Türkiye Birlik: Split 3 - Group Stage")</f>
        <v>Challengers League 2025 Türkiye Birlik: Split 3 - Group Stage</v>
      </c>
      <c r="D95" s="189" t="str">
        <f>IFERROR(__xludf.DUMMYFUNCTION("""COMPUTED_VALUE"""),"Corrode")</f>
        <v>Corrode</v>
      </c>
      <c r="E95" s="189" t="str">
        <f>IFERROR(__xludf.DUMMYFUNCTION("""COMPUTED_VALUE"""),"Fenerbahçe Esports")</f>
        <v>Fenerbahçe Esports</v>
      </c>
      <c r="F95" s="189" t="str">
        <f>IFERROR(__xludf.DUMMYFUNCTION("""COMPUTED_VALUE"""),"BBL PCIFIC")</f>
        <v>BBL PCIFIC</v>
      </c>
      <c r="G95" s="189" t="str">
        <f>IFERROR(__xludf.DUMMYFUNCTION("""COMPUTED_VALUE"""),"Raze,Yoru,Astra,Fade,Vyse")</f>
        <v>Raze,Yoru,Astra,Fade,Vyse</v>
      </c>
      <c r="H95" s="189" t="str">
        <f>IFERROR(__xludf.DUMMYFUNCTION("""COMPUTED_VALUE"""),"Viper,Omen,Neon,Fade,Vyse")</f>
        <v>Viper,Omen,Neon,Fade,Vyse</v>
      </c>
      <c r="I95" s="189">
        <f>IFERROR(__xludf.DUMMYFUNCTION("""COMPUTED_VALUE"""),6.0)</f>
        <v>6</v>
      </c>
      <c r="J95" s="189">
        <f>IFERROR(__xludf.DUMMYFUNCTION("""COMPUTED_VALUE"""),13.0)</f>
        <v>13</v>
      </c>
      <c r="K95" s="189">
        <f>IFERROR(__xludf.DUMMYFUNCTION("""COMPUTED_VALUE"""),4.0)</f>
        <v>4</v>
      </c>
      <c r="L95" s="189">
        <f>IFERROR(__xludf.DUMMYFUNCTION("""COMPUTED_VALUE"""),8.0)</f>
        <v>8</v>
      </c>
      <c r="M95" s="189">
        <f>IFERROR(__xludf.DUMMYFUNCTION("""COMPUTED_VALUE"""),0.0)</f>
        <v>0</v>
      </c>
      <c r="N95" s="189">
        <f>IFERROR(__xludf.DUMMYFUNCTION("""COMPUTED_VALUE"""),0.0)</f>
        <v>0</v>
      </c>
      <c r="O95" s="189">
        <f>IFERROR(__xludf.DUMMYFUNCTION("""COMPUTED_VALUE"""),4.0)</f>
        <v>4</v>
      </c>
      <c r="P95" s="189">
        <f>IFERROR(__xludf.DUMMYFUNCTION("""COMPUTED_VALUE"""),8.0)</f>
        <v>8</v>
      </c>
      <c r="Q95" s="189">
        <f>IFERROR(__xludf.DUMMYFUNCTION("""COMPUTED_VALUE"""),2.0)</f>
        <v>2</v>
      </c>
      <c r="R95" s="189">
        <f>IFERROR(__xludf.DUMMYFUNCTION("""COMPUTED_VALUE"""),5.0)</f>
        <v>5</v>
      </c>
      <c r="S95" s="189">
        <f>IFERROR(__xludf.DUMMYFUNCTION("""COMPUTED_VALUE"""),1.0)</f>
        <v>1</v>
      </c>
      <c r="T95" s="189">
        <f>IFERROR(__xludf.DUMMYFUNCTION("""COMPUTED_VALUE"""),1.0)</f>
        <v>1</v>
      </c>
      <c r="U95" s="189">
        <f>IFERROR(__xludf.DUMMYFUNCTION("""COMPUTED_VALUE"""),5.0)</f>
        <v>5</v>
      </c>
      <c r="V95" s="189">
        <f>IFERROR(__xludf.DUMMYFUNCTION("""COMPUTED_VALUE"""),2.0)</f>
        <v>2</v>
      </c>
      <c r="W95" s="189">
        <f>IFERROR(__xludf.DUMMYFUNCTION("""COMPUTED_VALUE"""),8.0)</f>
        <v>8</v>
      </c>
      <c r="X95" s="189">
        <f>IFERROR(__xludf.DUMMYFUNCTION("""COMPUTED_VALUE"""),4.0)</f>
        <v>4</v>
      </c>
      <c r="Y95" s="208" t="str">
        <f>IFERROR(__xludf.DUMMYFUNCTION("""COMPUTED_VALUE"""),"2025-07-29T00:00:00.000Z")</f>
        <v>2025-07-29T00:00:00.000Z</v>
      </c>
      <c r="Z95" s="189" t="s">
        <v>405</v>
      </c>
      <c r="AA95" s="189" t="s">
        <v>186</v>
      </c>
    </row>
    <row r="96">
      <c r="A96" s="189">
        <f>IFERROR(__xludf.DUMMYFUNCTION("""COMPUTED_VALUE"""),211233.0)</f>
        <v>211233</v>
      </c>
      <c r="B96" s="189">
        <f>IFERROR(__xludf.DUMMYFUNCTION("""COMPUTED_VALUE"""),92899.0)</f>
        <v>92899</v>
      </c>
      <c r="C96" s="189" t="str">
        <f>IFERROR(__xludf.DUMMYFUNCTION("""COMPUTED_VALUE"""),"Challengers League 2025 NORTH EAST: Split 3 - Playoffs")</f>
        <v>Challengers League 2025 NORTH EAST: Split 3 - Playoffs</v>
      </c>
      <c r="D96" s="189" t="str">
        <f>IFERROR(__xludf.DUMMYFUNCTION("""COMPUTED_VALUE"""),"Ascent")</f>
        <v>Ascent</v>
      </c>
      <c r="E96" s="189" t="str">
        <f>IFERROR(__xludf.DUMMYFUNCTION("""COMPUTED_VALUE"""),"Team Liquid Academy")</f>
        <v>Team Liquid Academy</v>
      </c>
      <c r="F96" s="189" t="str">
        <f>IFERROR(__xludf.DUMMYFUNCTION("""COMPUTED_VALUE"""),"Enterprise Esports")</f>
        <v>Enterprise Esports</v>
      </c>
      <c r="G96" s="189" t="str">
        <f>IFERROR(__xludf.DUMMYFUNCTION("""COMPUTED_VALUE"""),"Sova,Omen,Yoru,Vyse,Waylay")</f>
        <v>Sova,Omen,Yoru,Vyse,Waylay</v>
      </c>
      <c r="H96" s="189" t="str">
        <f>IFERROR(__xludf.DUMMYFUNCTION("""COMPUTED_VALUE"""),"Cypher,Sova,Omen,Jett,KAY/O")</f>
        <v>Cypher,Sova,Omen,Jett,KAY/O</v>
      </c>
      <c r="I96" s="189">
        <f>IFERROR(__xludf.DUMMYFUNCTION("""COMPUTED_VALUE"""),10.0)</f>
        <v>10</v>
      </c>
      <c r="J96" s="189">
        <f>IFERROR(__xludf.DUMMYFUNCTION("""COMPUTED_VALUE"""),13.0)</f>
        <v>13</v>
      </c>
      <c r="K96" s="189">
        <f>IFERROR(__xludf.DUMMYFUNCTION("""COMPUTED_VALUE"""),6.0)</f>
        <v>6</v>
      </c>
      <c r="L96" s="189">
        <f>IFERROR(__xludf.DUMMYFUNCTION("""COMPUTED_VALUE"""),6.0)</f>
        <v>6</v>
      </c>
      <c r="M96" s="189">
        <f>IFERROR(__xludf.DUMMYFUNCTION("""COMPUTED_VALUE"""),0.0)</f>
        <v>0</v>
      </c>
      <c r="N96" s="189">
        <f>IFERROR(__xludf.DUMMYFUNCTION("""COMPUTED_VALUE"""),1.0)</f>
        <v>1</v>
      </c>
      <c r="O96" s="189">
        <f>IFERROR(__xludf.DUMMYFUNCTION("""COMPUTED_VALUE"""),4.0)</f>
        <v>4</v>
      </c>
      <c r="P96" s="189">
        <f>IFERROR(__xludf.DUMMYFUNCTION("""COMPUTED_VALUE"""),7.0)</f>
        <v>7</v>
      </c>
      <c r="Q96" s="189">
        <f>IFERROR(__xludf.DUMMYFUNCTION("""COMPUTED_VALUE"""),6.0)</f>
        <v>6</v>
      </c>
      <c r="R96" s="189">
        <f>IFERROR(__xludf.DUMMYFUNCTION("""COMPUTED_VALUE"""),6.0)</f>
        <v>6</v>
      </c>
      <c r="S96" s="189">
        <f>IFERROR(__xludf.DUMMYFUNCTION("""COMPUTED_VALUE"""),0.0)</f>
        <v>0</v>
      </c>
      <c r="T96" s="189">
        <f>IFERROR(__xludf.DUMMYFUNCTION("""COMPUTED_VALUE"""),1.0)</f>
        <v>1</v>
      </c>
      <c r="U96" s="189">
        <f>IFERROR(__xludf.DUMMYFUNCTION("""COMPUTED_VALUE"""),6.0)</f>
        <v>6</v>
      </c>
      <c r="V96" s="189">
        <f>IFERROR(__xludf.DUMMYFUNCTION("""COMPUTED_VALUE"""),6.0)</f>
        <v>6</v>
      </c>
      <c r="W96" s="189">
        <f>IFERROR(__xludf.DUMMYFUNCTION("""COMPUTED_VALUE"""),7.0)</f>
        <v>7</v>
      </c>
      <c r="X96" s="189">
        <f>IFERROR(__xludf.DUMMYFUNCTION("""COMPUTED_VALUE"""),4.0)</f>
        <v>4</v>
      </c>
      <c r="Y96" s="208" t="str">
        <f>IFERROR(__xludf.DUMMYFUNCTION("""COMPUTED_VALUE"""),"2025-07-29T00:00:00.000Z")</f>
        <v>2025-07-29T00:00:00.000Z</v>
      </c>
      <c r="Z96" s="189" t="s">
        <v>142</v>
      </c>
      <c r="AA96" s="189" t="s">
        <v>179</v>
      </c>
    </row>
    <row r="97">
      <c r="A97" s="189">
        <f>IFERROR(__xludf.DUMMYFUNCTION("""COMPUTED_VALUE"""),208424.0)</f>
        <v>208424</v>
      </c>
      <c r="B97" s="189">
        <f>IFERROR(__xludf.DUMMYFUNCTION("""COMPUTED_VALUE"""),91790.0)</f>
        <v>91790</v>
      </c>
      <c r="C97" s="189" t="str">
        <f>IFERROR(__xludf.DUMMYFUNCTION("""COMPUTED_VALUE"""),"Challengers League 2025 Türkiye Birlik: Split 3 - Group Stage")</f>
        <v>Challengers League 2025 Türkiye Birlik: Split 3 - Group Stage</v>
      </c>
      <c r="D97" s="189" t="str">
        <f>IFERROR(__xludf.DUMMYFUNCTION("""COMPUTED_VALUE"""),"Haven")</f>
        <v>Haven</v>
      </c>
      <c r="E97" s="189" t="str">
        <f>IFERROR(__xludf.DUMMYFUNCTION("""COMPUTED_VALUE"""),"Fenerbahçe Esports")</f>
        <v>Fenerbahçe Esports</v>
      </c>
      <c r="F97" s="189" t="str">
        <f>IFERROR(__xludf.DUMMYFUNCTION("""COMPUTED_VALUE"""),"BBL PCIFIC")</f>
        <v>BBL PCIFIC</v>
      </c>
      <c r="G97" s="189" t="str">
        <f>IFERROR(__xludf.DUMMYFUNCTION("""COMPUTED_VALUE"""),"Sova,Killjoy,Viper,Omen,Neon")</f>
        <v>Sova,Killjoy,Viper,Omen,Neon</v>
      </c>
      <c r="H97" s="189" t="str">
        <f>IFERROR(__xludf.DUMMYFUNCTION("""COMPUTED_VALUE"""),"Breach,Cypher,Sova,Omen,Jett")</f>
        <v>Breach,Cypher,Sova,Omen,Jett</v>
      </c>
      <c r="I97" s="189">
        <f>IFERROR(__xludf.DUMMYFUNCTION("""COMPUTED_VALUE"""),9.0)</f>
        <v>9</v>
      </c>
      <c r="J97" s="189">
        <f>IFERROR(__xludf.DUMMYFUNCTION("""COMPUTED_VALUE"""),13.0)</f>
        <v>13</v>
      </c>
      <c r="K97" s="189">
        <f>IFERROR(__xludf.DUMMYFUNCTION("""COMPUTED_VALUE"""),3.0)</f>
        <v>3</v>
      </c>
      <c r="L97" s="189">
        <f>IFERROR(__xludf.DUMMYFUNCTION("""COMPUTED_VALUE"""),9.0)</f>
        <v>9</v>
      </c>
      <c r="M97" s="189">
        <f>IFERROR(__xludf.DUMMYFUNCTION("""COMPUTED_VALUE"""),1.0)</f>
        <v>1</v>
      </c>
      <c r="N97" s="189">
        <f>IFERROR(__xludf.DUMMYFUNCTION("""COMPUTED_VALUE"""),1.0)</f>
        <v>1</v>
      </c>
      <c r="O97" s="189">
        <f>IFERROR(__xludf.DUMMYFUNCTION("""COMPUTED_VALUE"""),3.0)</f>
        <v>3</v>
      </c>
      <c r="P97" s="189">
        <f>IFERROR(__xludf.DUMMYFUNCTION("""COMPUTED_VALUE"""),9.0)</f>
        <v>9</v>
      </c>
      <c r="Q97" s="189">
        <f>IFERROR(__xludf.DUMMYFUNCTION("""COMPUTED_VALUE"""),6.0)</f>
        <v>6</v>
      </c>
      <c r="R97" s="189">
        <f>IFERROR(__xludf.DUMMYFUNCTION("""COMPUTED_VALUE"""),4.0)</f>
        <v>4</v>
      </c>
      <c r="S97" s="189">
        <f>IFERROR(__xludf.DUMMYFUNCTION("""COMPUTED_VALUE"""),0.0)</f>
        <v>0</v>
      </c>
      <c r="T97" s="189">
        <f>IFERROR(__xludf.DUMMYFUNCTION("""COMPUTED_VALUE"""),0.0)</f>
        <v>0</v>
      </c>
      <c r="U97" s="189">
        <f>IFERROR(__xludf.DUMMYFUNCTION("""COMPUTED_VALUE"""),4.0)</f>
        <v>4</v>
      </c>
      <c r="V97" s="189">
        <f>IFERROR(__xludf.DUMMYFUNCTION("""COMPUTED_VALUE"""),6.0)</f>
        <v>6</v>
      </c>
      <c r="W97" s="189">
        <f>IFERROR(__xludf.DUMMYFUNCTION("""COMPUTED_VALUE"""),9.0)</f>
        <v>9</v>
      </c>
      <c r="X97" s="189">
        <f>IFERROR(__xludf.DUMMYFUNCTION("""COMPUTED_VALUE"""),3.0)</f>
        <v>3</v>
      </c>
      <c r="Y97" s="208" t="str">
        <f>IFERROR(__xludf.DUMMYFUNCTION("""COMPUTED_VALUE"""),"2025-07-29T00:00:00.000Z")</f>
        <v>2025-07-29T00:00:00.000Z</v>
      </c>
      <c r="Z97" s="189" t="s">
        <v>406</v>
      </c>
      <c r="AA97" s="189" t="s">
        <v>186</v>
      </c>
    </row>
    <row r="98">
      <c r="A98" s="189">
        <f>IFERROR(__xludf.DUMMYFUNCTION("""COMPUTED_VALUE"""),211217.0)</f>
        <v>211217</v>
      </c>
      <c r="B98" s="189">
        <f>IFERROR(__xludf.DUMMYFUNCTION("""COMPUTED_VALUE"""),92893.0)</f>
        <v>92893</v>
      </c>
      <c r="C98" s="189" t="str">
        <f>IFERROR(__xludf.DUMMYFUNCTION("""COMPUTED_VALUE"""),"Challengers League 2025 NORTH EAST: Split 3 - Playoffs")</f>
        <v>Challengers League 2025 NORTH EAST: Split 3 - Playoffs</v>
      </c>
      <c r="D98" s="189" t="str">
        <f>IFERROR(__xludf.DUMMYFUNCTION("""COMPUTED_VALUE"""),"Haven")</f>
        <v>Haven</v>
      </c>
      <c r="E98" s="189" t="str">
        <f>IFERROR(__xludf.DUMMYFUNCTION("""COMPUTED_VALUE"""),"děti ulice")</f>
        <v>děti ulice</v>
      </c>
      <c r="F98" s="189" t="str">
        <f>IFERROR(__xludf.DUMMYFUNCTION("""COMPUTED_VALUE"""),"Boars Gaming")</f>
        <v>Boars Gaming</v>
      </c>
      <c r="G98" s="189" t="str">
        <f>IFERROR(__xludf.DUMMYFUNCTION("""COMPUTED_VALUE"""),"Cypher,Sova,Omen,Yoru,Iso")</f>
        <v>Cypher,Sova,Omen,Yoru,Iso</v>
      </c>
      <c r="H98" s="189" t="str">
        <f>IFERROR(__xludf.DUMMYFUNCTION("""COMPUTED_VALUE"""),"Breach,Cypher,Sova,Omen,Neon")</f>
        <v>Breach,Cypher,Sova,Omen,Neon</v>
      </c>
      <c r="I98" s="189">
        <f>IFERROR(__xludf.DUMMYFUNCTION("""COMPUTED_VALUE"""),13.0)</f>
        <v>13</v>
      </c>
      <c r="J98" s="189">
        <f>IFERROR(__xludf.DUMMYFUNCTION("""COMPUTED_VALUE"""),6.0)</f>
        <v>6</v>
      </c>
      <c r="K98" s="189">
        <f>IFERROR(__xludf.DUMMYFUNCTION("""COMPUTED_VALUE"""),9.0)</f>
        <v>9</v>
      </c>
      <c r="L98" s="189">
        <f>IFERROR(__xludf.DUMMYFUNCTION("""COMPUTED_VALUE"""),3.0)</f>
        <v>3</v>
      </c>
      <c r="M98" s="189">
        <f>IFERROR(__xludf.DUMMYFUNCTION("""COMPUTED_VALUE"""),1.0)</f>
        <v>1</v>
      </c>
      <c r="N98" s="189">
        <f>IFERROR(__xludf.DUMMYFUNCTION("""COMPUTED_VALUE"""),1.0)</f>
        <v>1</v>
      </c>
      <c r="O98" s="189">
        <f>IFERROR(__xludf.DUMMYFUNCTION("""COMPUTED_VALUE"""),9.0)</f>
        <v>9</v>
      </c>
      <c r="P98" s="189">
        <f>IFERROR(__xludf.DUMMYFUNCTION("""COMPUTED_VALUE"""),3.0)</f>
        <v>3</v>
      </c>
      <c r="Q98" s="189">
        <f>IFERROR(__xludf.DUMMYFUNCTION("""COMPUTED_VALUE"""),4.0)</f>
        <v>4</v>
      </c>
      <c r="R98" s="189">
        <f>IFERROR(__xludf.DUMMYFUNCTION("""COMPUTED_VALUE"""),3.0)</f>
        <v>3</v>
      </c>
      <c r="S98" s="189">
        <f>IFERROR(__xludf.DUMMYFUNCTION("""COMPUTED_VALUE"""),0.0)</f>
        <v>0</v>
      </c>
      <c r="T98" s="189">
        <f>IFERROR(__xludf.DUMMYFUNCTION("""COMPUTED_VALUE"""),0.0)</f>
        <v>0</v>
      </c>
      <c r="U98" s="189">
        <f>IFERROR(__xludf.DUMMYFUNCTION("""COMPUTED_VALUE"""),3.0)</f>
        <v>3</v>
      </c>
      <c r="V98" s="189">
        <f>IFERROR(__xludf.DUMMYFUNCTION("""COMPUTED_VALUE"""),4.0)</f>
        <v>4</v>
      </c>
      <c r="W98" s="189">
        <f>IFERROR(__xludf.DUMMYFUNCTION("""COMPUTED_VALUE"""),3.0)</f>
        <v>3</v>
      </c>
      <c r="X98" s="189">
        <f>IFERROR(__xludf.DUMMYFUNCTION("""COMPUTED_VALUE"""),9.0)</f>
        <v>9</v>
      </c>
      <c r="Y98" s="208" t="str">
        <f>IFERROR(__xludf.DUMMYFUNCTION("""COMPUTED_VALUE"""),"2025-07-29T00:00:00.000Z")</f>
        <v>2025-07-29T00:00:00.000Z</v>
      </c>
      <c r="Z98" s="189" t="s">
        <v>88</v>
      </c>
      <c r="AA98" s="189" t="s">
        <v>190</v>
      </c>
    </row>
    <row r="99">
      <c r="A99" s="189">
        <f>IFERROR(__xludf.DUMMYFUNCTION("""COMPUTED_VALUE"""),211216.0)</f>
        <v>211216</v>
      </c>
      <c r="B99" s="189">
        <f>IFERROR(__xludf.DUMMYFUNCTION("""COMPUTED_VALUE"""),92893.0)</f>
        <v>92893</v>
      </c>
      <c r="C99" s="189" t="str">
        <f>IFERROR(__xludf.DUMMYFUNCTION("""COMPUTED_VALUE"""),"Challengers League 2025 NORTH EAST: Split 3 - Playoffs")</f>
        <v>Challengers League 2025 NORTH EAST: Split 3 - Playoffs</v>
      </c>
      <c r="D99" s="189" t="str">
        <f>IFERROR(__xludf.DUMMYFUNCTION("""COMPUTED_VALUE"""),"Lotus")</f>
        <v>Lotus</v>
      </c>
      <c r="E99" s="189" t="str">
        <f>IFERROR(__xludf.DUMMYFUNCTION("""COMPUTED_VALUE"""),"děti ulice")</f>
        <v>děti ulice</v>
      </c>
      <c r="F99" s="189" t="str">
        <f>IFERROR(__xludf.DUMMYFUNCTION("""COMPUTED_VALUE"""),"Boars Gaming")</f>
        <v>Boars Gaming</v>
      </c>
      <c r="G99" s="189" t="str">
        <f>IFERROR(__xludf.DUMMYFUNCTION("""COMPUTED_VALUE"""),"Raze,Omen,Yoru,Fade,Vyse")</f>
        <v>Raze,Omen,Yoru,Fade,Vyse</v>
      </c>
      <c r="H99" s="189" t="str">
        <f>IFERROR(__xludf.DUMMYFUNCTION("""COMPUTED_VALUE"""),"Breach,Cypher,Omen,Neon,Fade")</f>
        <v>Breach,Cypher,Omen,Neon,Fade</v>
      </c>
      <c r="I99" s="189">
        <f>IFERROR(__xludf.DUMMYFUNCTION("""COMPUTED_VALUE"""),18.0)</f>
        <v>18</v>
      </c>
      <c r="J99" s="189">
        <f>IFERROR(__xludf.DUMMYFUNCTION("""COMPUTED_VALUE"""),16.0)</f>
        <v>16</v>
      </c>
      <c r="K99" s="189">
        <f>IFERROR(__xludf.DUMMYFUNCTION("""COMPUTED_VALUE"""),6.0)</f>
        <v>6</v>
      </c>
      <c r="L99" s="189">
        <f>IFERROR(__xludf.DUMMYFUNCTION("""COMPUTED_VALUE"""),6.0)</f>
        <v>6</v>
      </c>
      <c r="M99" s="189">
        <f>IFERROR(__xludf.DUMMYFUNCTION("""COMPUTED_VALUE"""),0.0)</f>
        <v>0</v>
      </c>
      <c r="N99" s="189">
        <f>IFERROR(__xludf.DUMMYFUNCTION("""COMPUTED_VALUE"""),0.0)</f>
        <v>0</v>
      </c>
      <c r="O99" s="189">
        <f>IFERROR(__xludf.DUMMYFUNCTION("""COMPUTED_VALUE"""),8.0)</f>
        <v>8</v>
      </c>
      <c r="P99" s="189">
        <f>IFERROR(__xludf.DUMMYFUNCTION("""COMPUTED_VALUE"""),9.0)</f>
        <v>9</v>
      </c>
      <c r="Q99" s="189">
        <f>IFERROR(__xludf.DUMMYFUNCTION("""COMPUTED_VALUE"""),10.0)</f>
        <v>10</v>
      </c>
      <c r="R99" s="189">
        <f>IFERROR(__xludf.DUMMYFUNCTION("""COMPUTED_VALUE"""),7.0)</f>
        <v>7</v>
      </c>
      <c r="S99" s="189">
        <f>IFERROR(__xludf.DUMMYFUNCTION("""COMPUTED_VALUE"""),1.0)</f>
        <v>1</v>
      </c>
      <c r="T99" s="189">
        <f>IFERROR(__xludf.DUMMYFUNCTION("""COMPUTED_VALUE"""),1.0)</f>
        <v>1</v>
      </c>
      <c r="U99" s="189">
        <f>IFERROR(__xludf.DUMMYFUNCTION("""COMPUTED_VALUE"""),7.0)</f>
        <v>7</v>
      </c>
      <c r="V99" s="189">
        <f>IFERROR(__xludf.DUMMYFUNCTION("""COMPUTED_VALUE"""),10.0)</f>
        <v>10</v>
      </c>
      <c r="W99" s="189">
        <f>IFERROR(__xludf.DUMMYFUNCTION("""COMPUTED_VALUE"""),9.0)</f>
        <v>9</v>
      </c>
      <c r="X99" s="189">
        <f>IFERROR(__xludf.DUMMYFUNCTION("""COMPUTED_VALUE"""),8.0)</f>
        <v>8</v>
      </c>
      <c r="Y99" s="208" t="str">
        <f>IFERROR(__xludf.DUMMYFUNCTION("""COMPUTED_VALUE"""),"2025-07-29T00:00:00.000Z")</f>
        <v>2025-07-29T00:00:00.000Z</v>
      </c>
      <c r="Z99" s="189" t="s">
        <v>90</v>
      </c>
      <c r="AA99" s="189" t="s">
        <v>190</v>
      </c>
    </row>
    <row r="100">
      <c r="A100" s="189">
        <f>IFERROR(__xludf.DUMMYFUNCTION("""COMPUTED_VALUE"""),211215.0)</f>
        <v>211215</v>
      </c>
      <c r="B100" s="189">
        <f>IFERROR(__xludf.DUMMYFUNCTION("""COMPUTED_VALUE"""),92893.0)</f>
        <v>92893</v>
      </c>
      <c r="C100" s="189" t="str">
        <f>IFERROR(__xludf.DUMMYFUNCTION("""COMPUTED_VALUE"""),"Challengers League 2025 NORTH EAST: Split 3 - Playoffs")</f>
        <v>Challengers League 2025 NORTH EAST: Split 3 - Playoffs</v>
      </c>
      <c r="D100" s="189" t="str">
        <f>IFERROR(__xludf.DUMMYFUNCTION("""COMPUTED_VALUE"""),"Sunset")</f>
        <v>Sunset</v>
      </c>
      <c r="E100" s="189" t="str">
        <f>IFERROR(__xludf.DUMMYFUNCTION("""COMPUTED_VALUE"""),"děti ulice")</f>
        <v>děti ulice</v>
      </c>
      <c r="F100" s="189" t="str">
        <f>IFERROR(__xludf.DUMMYFUNCTION("""COMPUTED_VALUE"""),"Boars Gaming")</f>
        <v>Boars Gaming</v>
      </c>
      <c r="G100" s="189" t="str">
        <f>IFERROR(__xludf.DUMMYFUNCTION("""COMPUTED_VALUE"""),"Cypher,Sova,Omen,Yoru,Neon")</f>
        <v>Cypher,Sova,Omen,Yoru,Neon</v>
      </c>
      <c r="H100" s="189" t="str">
        <f>IFERROR(__xludf.DUMMYFUNCTION("""COMPUTED_VALUE"""),"Cypher,Sova,Omen,KAY/O,Neon")</f>
        <v>Cypher,Sova,Omen,KAY/O,Neon</v>
      </c>
      <c r="I100" s="189">
        <f>IFERROR(__xludf.DUMMYFUNCTION("""COMPUTED_VALUE"""),6.0)</f>
        <v>6</v>
      </c>
      <c r="J100" s="189">
        <f>IFERROR(__xludf.DUMMYFUNCTION("""COMPUTED_VALUE"""),13.0)</f>
        <v>13</v>
      </c>
      <c r="K100" s="189">
        <f>IFERROR(__xludf.DUMMYFUNCTION("""COMPUTED_VALUE"""),3.0)</f>
        <v>3</v>
      </c>
      <c r="L100" s="189">
        <f>IFERROR(__xludf.DUMMYFUNCTION("""COMPUTED_VALUE"""),9.0)</f>
        <v>9</v>
      </c>
      <c r="M100" s="189">
        <f>IFERROR(__xludf.DUMMYFUNCTION("""COMPUTED_VALUE"""),1.0)</f>
        <v>1</v>
      </c>
      <c r="N100" s="189">
        <f>IFERROR(__xludf.DUMMYFUNCTION("""COMPUTED_VALUE"""),0.0)</f>
        <v>0</v>
      </c>
      <c r="O100" s="189">
        <f>IFERROR(__xludf.DUMMYFUNCTION("""COMPUTED_VALUE"""),3.0)</f>
        <v>3</v>
      </c>
      <c r="P100" s="189">
        <f>IFERROR(__xludf.DUMMYFUNCTION("""COMPUTED_VALUE"""),4.0)</f>
        <v>4</v>
      </c>
      <c r="Q100" s="189">
        <f>IFERROR(__xludf.DUMMYFUNCTION("""COMPUTED_VALUE"""),3.0)</f>
        <v>3</v>
      </c>
      <c r="R100" s="189">
        <f>IFERROR(__xludf.DUMMYFUNCTION("""COMPUTED_VALUE"""),9.0)</f>
        <v>9</v>
      </c>
      <c r="S100" s="189">
        <f>IFERROR(__xludf.DUMMYFUNCTION("""COMPUTED_VALUE"""),1.0)</f>
        <v>1</v>
      </c>
      <c r="T100" s="189">
        <f>IFERROR(__xludf.DUMMYFUNCTION("""COMPUTED_VALUE"""),0.0)</f>
        <v>0</v>
      </c>
      <c r="U100" s="189">
        <f>IFERROR(__xludf.DUMMYFUNCTION("""COMPUTED_VALUE"""),9.0)</f>
        <v>9</v>
      </c>
      <c r="V100" s="189">
        <f>IFERROR(__xludf.DUMMYFUNCTION("""COMPUTED_VALUE"""),3.0)</f>
        <v>3</v>
      </c>
      <c r="W100" s="189">
        <f>IFERROR(__xludf.DUMMYFUNCTION("""COMPUTED_VALUE"""),4.0)</f>
        <v>4</v>
      </c>
      <c r="X100" s="189">
        <f>IFERROR(__xludf.DUMMYFUNCTION("""COMPUTED_VALUE"""),3.0)</f>
        <v>3</v>
      </c>
      <c r="Y100" s="208" t="str">
        <f>IFERROR(__xludf.DUMMYFUNCTION("""COMPUTED_VALUE"""),"2025-07-29T00:00:00.000Z")</f>
        <v>2025-07-29T00:00:00.000Z</v>
      </c>
      <c r="Z100" s="189" t="s">
        <v>92</v>
      </c>
      <c r="AA100" s="189" t="s">
        <v>181</v>
      </c>
    </row>
    <row r="101">
      <c r="A101" s="189">
        <f>IFERROR(__xludf.DUMMYFUNCTION("""COMPUTED_VALUE"""),211254.0)</f>
        <v>211254</v>
      </c>
      <c r="B101" s="189">
        <f>IFERROR(__xludf.DUMMYFUNCTION("""COMPUTED_VALUE"""),92905.0)</f>
        <v>92905</v>
      </c>
      <c r="C101" s="189" t="str">
        <f>IFERROR(__xludf.DUMMYFUNCTION("""COMPUTED_VALUE"""),"Challengers League 2025 Spain Rising: Split 3 - Playoffs")</f>
        <v>Challengers League 2025 Spain Rising: Split 3 - Playoffs</v>
      </c>
      <c r="D101" s="189" t="str">
        <f>IFERROR(__xludf.DUMMYFUNCTION("""COMPUTED_VALUE"""),"Corrode")</f>
        <v>Corrode</v>
      </c>
      <c r="E101" s="189" t="str">
        <f>IFERROR(__xludf.DUMMYFUNCTION("""COMPUTED_VALUE"""),"Ramboot Club")</f>
        <v>Ramboot Club</v>
      </c>
      <c r="F101" s="189" t="str">
        <f>IFERROR(__xludf.DUMMYFUNCTION("""COMPUTED_VALUE"""),"KOI Fénix")</f>
        <v>KOI Fénix</v>
      </c>
      <c r="G101" s="189" t="str">
        <f>IFERROR(__xludf.DUMMYFUNCTION("""COMPUTED_VALUE"""),"Omen,Chamber,Neon,Fade,Vyse")</f>
        <v>Omen,Chamber,Neon,Fade,Vyse</v>
      </c>
      <c r="H101" s="189" t="str">
        <f>IFERROR(__xludf.DUMMYFUNCTION("""COMPUTED_VALUE"""),"Omen,Chamber,Neon,Fade,Vyse")</f>
        <v>Omen,Chamber,Neon,Fade,Vyse</v>
      </c>
      <c r="I101" s="189">
        <f>IFERROR(__xludf.DUMMYFUNCTION("""COMPUTED_VALUE"""),11.0)</f>
        <v>11</v>
      </c>
      <c r="J101" s="189">
        <f>IFERROR(__xludf.DUMMYFUNCTION("""COMPUTED_VALUE"""),13.0)</f>
        <v>13</v>
      </c>
      <c r="K101" s="189">
        <f>IFERROR(__xludf.DUMMYFUNCTION("""COMPUTED_VALUE"""),5.0)</f>
        <v>5</v>
      </c>
      <c r="L101" s="189">
        <f>IFERROR(__xludf.DUMMYFUNCTION("""COMPUTED_VALUE"""),7.0)</f>
        <v>7</v>
      </c>
      <c r="M101" s="189">
        <f>IFERROR(__xludf.DUMMYFUNCTION("""COMPUTED_VALUE"""),0.0)</f>
        <v>0</v>
      </c>
      <c r="N101" s="189">
        <f>IFERROR(__xludf.DUMMYFUNCTION("""COMPUTED_VALUE"""),1.0)</f>
        <v>1</v>
      </c>
      <c r="O101" s="189">
        <f>IFERROR(__xludf.DUMMYFUNCTION("""COMPUTED_VALUE"""),5.0)</f>
        <v>5</v>
      </c>
      <c r="P101" s="189">
        <f>IFERROR(__xludf.DUMMYFUNCTION("""COMPUTED_VALUE"""),7.0)</f>
        <v>7</v>
      </c>
      <c r="Q101" s="189">
        <f>IFERROR(__xludf.DUMMYFUNCTION("""COMPUTED_VALUE"""),6.0)</f>
        <v>6</v>
      </c>
      <c r="R101" s="189">
        <f>IFERROR(__xludf.DUMMYFUNCTION("""COMPUTED_VALUE"""),6.0)</f>
        <v>6</v>
      </c>
      <c r="S101" s="189">
        <f>IFERROR(__xludf.DUMMYFUNCTION("""COMPUTED_VALUE"""),0.0)</f>
        <v>0</v>
      </c>
      <c r="T101" s="189">
        <f>IFERROR(__xludf.DUMMYFUNCTION("""COMPUTED_VALUE"""),1.0)</f>
        <v>1</v>
      </c>
      <c r="U101" s="189">
        <f>IFERROR(__xludf.DUMMYFUNCTION("""COMPUTED_VALUE"""),6.0)</f>
        <v>6</v>
      </c>
      <c r="V101" s="189">
        <f>IFERROR(__xludf.DUMMYFUNCTION("""COMPUTED_VALUE"""),6.0)</f>
        <v>6</v>
      </c>
      <c r="W101" s="189">
        <f>IFERROR(__xludf.DUMMYFUNCTION("""COMPUTED_VALUE"""),7.0)</f>
        <v>7</v>
      </c>
      <c r="X101" s="189">
        <f>IFERROR(__xludf.DUMMYFUNCTION("""COMPUTED_VALUE"""),5.0)</f>
        <v>5</v>
      </c>
      <c r="Y101" s="208" t="str">
        <f>IFERROR(__xludf.DUMMYFUNCTION("""COMPUTED_VALUE"""),"2025-07-28T00:00:00.000Z")</f>
        <v>2025-07-28T00:00:00.000Z</v>
      </c>
      <c r="Z101" s="189" t="s">
        <v>407</v>
      </c>
      <c r="AA101" s="189" t="s">
        <v>187</v>
      </c>
    </row>
    <row r="102">
      <c r="A102" s="189">
        <f>IFERROR(__xludf.DUMMYFUNCTION("""COMPUTED_VALUE"""),211253.0)</f>
        <v>211253</v>
      </c>
      <c r="B102" s="189">
        <f>IFERROR(__xludf.DUMMYFUNCTION("""COMPUTED_VALUE"""),92905.0)</f>
        <v>92905</v>
      </c>
      <c r="C102" s="189" t="str">
        <f>IFERROR(__xludf.DUMMYFUNCTION("""COMPUTED_VALUE"""),"Challengers League 2025 Spain Rising: Split 3 - Playoffs")</f>
        <v>Challengers League 2025 Spain Rising: Split 3 - Playoffs</v>
      </c>
      <c r="D102" s="189" t="str">
        <f>IFERROR(__xludf.DUMMYFUNCTION("""COMPUTED_VALUE"""),"Bind")</f>
        <v>Bind</v>
      </c>
      <c r="E102" s="189" t="str">
        <f>IFERROR(__xludf.DUMMYFUNCTION("""COMPUTED_VALUE"""),"Ramboot Club")</f>
        <v>Ramboot Club</v>
      </c>
      <c r="F102" s="189" t="str">
        <f>IFERROR(__xludf.DUMMYFUNCTION("""COMPUTED_VALUE"""),"KOI Fénix")</f>
        <v>KOI Fénix</v>
      </c>
      <c r="G102" s="189" t="str">
        <f>IFERROR(__xludf.DUMMYFUNCTION("""COMPUTED_VALUE"""),"Raze,Viper,Brimstone,Skye,Chamber")</f>
        <v>Raze,Viper,Brimstone,Skye,Chamber</v>
      </c>
      <c r="H102" s="189" t="str">
        <f>IFERROR(__xludf.DUMMYFUNCTION("""COMPUTED_VALUE"""),"Yoru,Astra,Gekko,Deadlock,Vyse")</f>
        <v>Yoru,Astra,Gekko,Deadlock,Vyse</v>
      </c>
      <c r="I102" s="189">
        <f>IFERROR(__xludf.DUMMYFUNCTION("""COMPUTED_VALUE"""),7.0)</f>
        <v>7</v>
      </c>
      <c r="J102" s="189">
        <f>IFERROR(__xludf.DUMMYFUNCTION("""COMPUTED_VALUE"""),13.0)</f>
        <v>13</v>
      </c>
      <c r="K102" s="189">
        <f>IFERROR(__xludf.DUMMYFUNCTION("""COMPUTED_VALUE"""),4.0)</f>
        <v>4</v>
      </c>
      <c r="L102" s="189">
        <f>IFERROR(__xludf.DUMMYFUNCTION("""COMPUTED_VALUE"""),8.0)</f>
        <v>8</v>
      </c>
      <c r="M102" s="189">
        <f>IFERROR(__xludf.DUMMYFUNCTION("""COMPUTED_VALUE"""),0.0)</f>
        <v>0</v>
      </c>
      <c r="N102" s="189">
        <f>IFERROR(__xludf.DUMMYFUNCTION("""COMPUTED_VALUE"""),0.0)</f>
        <v>0</v>
      </c>
      <c r="O102" s="189">
        <f>IFERROR(__xludf.DUMMYFUNCTION("""COMPUTED_VALUE"""),3.0)</f>
        <v>3</v>
      </c>
      <c r="P102" s="189">
        <f>IFERROR(__xludf.DUMMYFUNCTION("""COMPUTED_VALUE"""),5.0)</f>
        <v>5</v>
      </c>
      <c r="Q102" s="189">
        <f>IFERROR(__xludf.DUMMYFUNCTION("""COMPUTED_VALUE"""),4.0)</f>
        <v>4</v>
      </c>
      <c r="R102" s="189">
        <f>IFERROR(__xludf.DUMMYFUNCTION("""COMPUTED_VALUE"""),8.0)</f>
        <v>8</v>
      </c>
      <c r="S102" s="189">
        <f>IFERROR(__xludf.DUMMYFUNCTION("""COMPUTED_VALUE"""),1.0)</f>
        <v>1</v>
      </c>
      <c r="T102" s="189">
        <f>IFERROR(__xludf.DUMMYFUNCTION("""COMPUTED_VALUE"""),1.0)</f>
        <v>1</v>
      </c>
      <c r="U102" s="189">
        <f>IFERROR(__xludf.DUMMYFUNCTION("""COMPUTED_VALUE"""),8.0)</f>
        <v>8</v>
      </c>
      <c r="V102" s="189">
        <f>IFERROR(__xludf.DUMMYFUNCTION("""COMPUTED_VALUE"""),4.0)</f>
        <v>4</v>
      </c>
      <c r="W102" s="189">
        <f>IFERROR(__xludf.DUMMYFUNCTION("""COMPUTED_VALUE"""),5.0)</f>
        <v>5</v>
      </c>
      <c r="X102" s="189">
        <f>IFERROR(__xludf.DUMMYFUNCTION("""COMPUTED_VALUE"""),3.0)</f>
        <v>3</v>
      </c>
      <c r="Y102" s="208" t="str">
        <f>IFERROR(__xludf.DUMMYFUNCTION("""COMPUTED_VALUE"""),"2025-07-28T00:00:00.000Z")</f>
        <v>2025-07-28T00:00:00.000Z</v>
      </c>
      <c r="Z102" s="189" t="s">
        <v>408</v>
      </c>
      <c r="AA102" s="189" t="s">
        <v>187</v>
      </c>
    </row>
    <row r="103">
      <c r="A103" s="189">
        <f>IFERROR(__xludf.DUMMYFUNCTION("""COMPUTED_VALUE"""),211252.0)</f>
        <v>211252</v>
      </c>
      <c r="B103" s="189">
        <f>IFERROR(__xludf.DUMMYFUNCTION("""COMPUTED_VALUE"""),92905.0)</f>
        <v>92905</v>
      </c>
      <c r="C103" s="189" t="str">
        <f>IFERROR(__xludf.DUMMYFUNCTION("""COMPUTED_VALUE"""),"Challengers League 2025 Spain Rising: Split 3 - Playoffs")</f>
        <v>Challengers League 2025 Spain Rising: Split 3 - Playoffs</v>
      </c>
      <c r="D103" s="189" t="str">
        <f>IFERROR(__xludf.DUMMYFUNCTION("""COMPUTED_VALUE"""),"Ascent")</f>
        <v>Ascent</v>
      </c>
      <c r="E103" s="189" t="str">
        <f>IFERROR(__xludf.DUMMYFUNCTION("""COMPUTED_VALUE"""),"Ramboot Club")</f>
        <v>Ramboot Club</v>
      </c>
      <c r="F103" s="189" t="str">
        <f>IFERROR(__xludf.DUMMYFUNCTION("""COMPUTED_VALUE"""),"KOI Fénix")</f>
        <v>KOI Fénix</v>
      </c>
      <c r="G103" s="189" t="str">
        <f>IFERROR(__xludf.DUMMYFUNCTION("""COMPUTED_VALUE"""),"Cypher,Sova,Omen,Jett,Yoru")</f>
        <v>Cypher,Sova,Omen,Jett,Yoru</v>
      </c>
      <c r="H103" s="189" t="str">
        <f>IFERROR(__xludf.DUMMYFUNCTION("""COMPUTED_VALUE"""),"Sova,Omen,Yoru,Chamber,Vyse")</f>
        <v>Sova,Omen,Yoru,Chamber,Vyse</v>
      </c>
      <c r="I103" s="189">
        <f>IFERROR(__xludf.DUMMYFUNCTION("""COMPUTED_VALUE"""),13.0)</f>
        <v>13</v>
      </c>
      <c r="J103" s="189">
        <f>IFERROR(__xludf.DUMMYFUNCTION("""COMPUTED_VALUE"""),10.0)</f>
        <v>10</v>
      </c>
      <c r="K103" s="189">
        <f>IFERROR(__xludf.DUMMYFUNCTION("""COMPUTED_VALUE"""),4.0)</f>
        <v>4</v>
      </c>
      <c r="L103" s="189">
        <f>IFERROR(__xludf.DUMMYFUNCTION("""COMPUTED_VALUE"""),8.0)</f>
        <v>8</v>
      </c>
      <c r="M103" s="189">
        <f>IFERROR(__xludf.DUMMYFUNCTION("""COMPUTED_VALUE"""),0.0)</f>
        <v>0</v>
      </c>
      <c r="N103" s="189">
        <f>IFERROR(__xludf.DUMMYFUNCTION("""COMPUTED_VALUE"""),0.0)</f>
        <v>0</v>
      </c>
      <c r="O103" s="189">
        <f>IFERROR(__xludf.DUMMYFUNCTION("""COMPUTED_VALUE"""),4.0)</f>
        <v>4</v>
      </c>
      <c r="P103" s="189">
        <f>IFERROR(__xludf.DUMMYFUNCTION("""COMPUTED_VALUE"""),8.0)</f>
        <v>8</v>
      </c>
      <c r="Q103" s="189">
        <f>IFERROR(__xludf.DUMMYFUNCTION("""COMPUTED_VALUE"""),9.0)</f>
        <v>9</v>
      </c>
      <c r="R103" s="189">
        <f>IFERROR(__xludf.DUMMYFUNCTION("""COMPUTED_VALUE"""),2.0)</f>
        <v>2</v>
      </c>
      <c r="S103" s="189">
        <f>IFERROR(__xludf.DUMMYFUNCTION("""COMPUTED_VALUE"""),1.0)</f>
        <v>1</v>
      </c>
      <c r="T103" s="189">
        <f>IFERROR(__xludf.DUMMYFUNCTION("""COMPUTED_VALUE"""),1.0)</f>
        <v>1</v>
      </c>
      <c r="U103" s="189">
        <f>IFERROR(__xludf.DUMMYFUNCTION("""COMPUTED_VALUE"""),2.0)</f>
        <v>2</v>
      </c>
      <c r="V103" s="189">
        <f>IFERROR(__xludf.DUMMYFUNCTION("""COMPUTED_VALUE"""),9.0)</f>
        <v>9</v>
      </c>
      <c r="W103" s="189">
        <f>IFERROR(__xludf.DUMMYFUNCTION("""COMPUTED_VALUE"""),8.0)</f>
        <v>8</v>
      </c>
      <c r="X103" s="189">
        <f>IFERROR(__xludf.DUMMYFUNCTION("""COMPUTED_VALUE"""),4.0)</f>
        <v>4</v>
      </c>
      <c r="Y103" s="208" t="str">
        <f>IFERROR(__xludf.DUMMYFUNCTION("""COMPUTED_VALUE"""),"2025-07-28T00:00:00.000Z")</f>
        <v>2025-07-28T00:00:00.000Z</v>
      </c>
      <c r="Z103" s="189" t="s">
        <v>409</v>
      </c>
      <c r="AA103" s="189" t="s">
        <v>410</v>
      </c>
    </row>
    <row r="104">
      <c r="A104" s="189">
        <f>IFERROR(__xludf.DUMMYFUNCTION("""COMPUTED_VALUE"""),208417.0)</f>
        <v>208417</v>
      </c>
      <c r="B104" s="189">
        <f>IFERROR(__xludf.DUMMYFUNCTION("""COMPUTED_VALUE"""),91787.0)</f>
        <v>91787</v>
      </c>
      <c r="C104" s="189" t="str">
        <f>IFERROR(__xludf.DUMMYFUNCTION("""COMPUTED_VALUE"""),"Challengers League 2025 Türkiye Birlik: Split 3 - Group Stage")</f>
        <v>Challengers League 2025 Türkiye Birlik: Split 3 - Group Stage</v>
      </c>
      <c r="D104" s="189" t="str">
        <f>IFERROR(__xludf.DUMMYFUNCTION("""COMPUTED_VALUE"""),"Haven")</f>
        <v>Haven</v>
      </c>
      <c r="E104" s="189" t="str">
        <f>IFERROR(__xludf.DUMMYFUNCTION("""COMPUTED_VALUE"""),"ULF Esports")</f>
        <v>ULF Esports</v>
      </c>
      <c r="F104" s="189" t="str">
        <f>IFERROR(__xludf.DUMMYFUNCTION("""COMPUTED_VALUE"""),"S2G Esports")</f>
        <v>S2G Esports</v>
      </c>
      <c r="G104" s="189" t="str">
        <f>IFERROR(__xludf.DUMMYFUNCTION("""COMPUTED_VALUE"""),"Sova,Viper,Omen,Neon,Vyse")</f>
        <v>Sova,Viper,Omen,Neon,Vyse</v>
      </c>
      <c r="H104" s="189" t="str">
        <f>IFERROR(__xludf.DUMMYFUNCTION("""COMPUTED_VALUE"""),"Breach,Cypher,Sova,Omen,Jett")</f>
        <v>Breach,Cypher,Sova,Omen,Jett</v>
      </c>
      <c r="I104" s="189">
        <f>IFERROR(__xludf.DUMMYFUNCTION("""COMPUTED_VALUE"""),9.0)</f>
        <v>9</v>
      </c>
      <c r="J104" s="189">
        <f>IFERROR(__xludf.DUMMYFUNCTION("""COMPUTED_VALUE"""),13.0)</f>
        <v>13</v>
      </c>
      <c r="K104" s="189">
        <f>IFERROR(__xludf.DUMMYFUNCTION("""COMPUTED_VALUE"""),6.0)</f>
        <v>6</v>
      </c>
      <c r="L104" s="189">
        <f>IFERROR(__xludf.DUMMYFUNCTION("""COMPUTED_VALUE"""),6.0)</f>
        <v>6</v>
      </c>
      <c r="M104" s="189">
        <f>IFERROR(__xludf.DUMMYFUNCTION("""COMPUTED_VALUE"""),0.0)</f>
        <v>0</v>
      </c>
      <c r="N104" s="189">
        <f>IFERROR(__xludf.DUMMYFUNCTION("""COMPUTED_VALUE"""),0.0)</f>
        <v>0</v>
      </c>
      <c r="O104" s="189">
        <f>IFERROR(__xludf.DUMMYFUNCTION("""COMPUTED_VALUE"""),3.0)</f>
        <v>3</v>
      </c>
      <c r="P104" s="189">
        <f>IFERROR(__xludf.DUMMYFUNCTION("""COMPUTED_VALUE"""),7.0)</f>
        <v>7</v>
      </c>
      <c r="Q104" s="189">
        <f>IFERROR(__xludf.DUMMYFUNCTION("""COMPUTED_VALUE"""),6.0)</f>
        <v>6</v>
      </c>
      <c r="R104" s="189">
        <f>IFERROR(__xludf.DUMMYFUNCTION("""COMPUTED_VALUE"""),6.0)</f>
        <v>6</v>
      </c>
      <c r="S104" s="189">
        <f>IFERROR(__xludf.DUMMYFUNCTION("""COMPUTED_VALUE"""),1.0)</f>
        <v>1</v>
      </c>
      <c r="T104" s="189">
        <f>IFERROR(__xludf.DUMMYFUNCTION("""COMPUTED_VALUE"""),1.0)</f>
        <v>1</v>
      </c>
      <c r="U104" s="189">
        <f>IFERROR(__xludf.DUMMYFUNCTION("""COMPUTED_VALUE"""),6.0)</f>
        <v>6</v>
      </c>
      <c r="V104" s="189">
        <f>IFERROR(__xludf.DUMMYFUNCTION("""COMPUTED_VALUE"""),6.0)</f>
        <v>6</v>
      </c>
      <c r="W104" s="189">
        <f>IFERROR(__xludf.DUMMYFUNCTION("""COMPUTED_VALUE"""),7.0)</f>
        <v>7</v>
      </c>
      <c r="X104" s="189">
        <f>IFERROR(__xludf.DUMMYFUNCTION("""COMPUTED_VALUE"""),3.0)</f>
        <v>3</v>
      </c>
      <c r="Y104" s="208" t="str">
        <f>IFERROR(__xludf.DUMMYFUNCTION("""COMPUTED_VALUE"""),"2025-07-28T00:00:00.000Z")</f>
        <v>2025-07-28T00:00:00.000Z</v>
      </c>
      <c r="Z104" s="189" t="s">
        <v>170</v>
      </c>
      <c r="AA104" s="189" t="s">
        <v>411</v>
      </c>
    </row>
    <row r="105">
      <c r="A105" s="189">
        <f>IFERROR(__xludf.DUMMYFUNCTION("""COMPUTED_VALUE"""),211251.0)</f>
        <v>211251</v>
      </c>
      <c r="B105" s="189">
        <f>IFERROR(__xludf.DUMMYFUNCTION("""COMPUTED_VALUE"""),92905.0)</f>
        <v>92905</v>
      </c>
      <c r="C105" s="189" t="str">
        <f>IFERROR(__xludf.DUMMYFUNCTION("""COMPUTED_VALUE"""),"Challengers League 2025 Spain Rising: Split 3 - Playoffs")</f>
        <v>Challengers League 2025 Spain Rising: Split 3 - Playoffs</v>
      </c>
      <c r="D105" s="189" t="str">
        <f>IFERROR(__xludf.DUMMYFUNCTION("""COMPUTED_VALUE"""),"Lotus")</f>
        <v>Lotus</v>
      </c>
      <c r="E105" s="189" t="str">
        <f>IFERROR(__xludf.DUMMYFUNCTION("""COMPUTED_VALUE"""),"Ramboot Club")</f>
        <v>Ramboot Club</v>
      </c>
      <c r="F105" s="189" t="str">
        <f>IFERROR(__xludf.DUMMYFUNCTION("""COMPUTED_VALUE"""),"KOI Fénix")</f>
        <v>KOI Fénix</v>
      </c>
      <c r="G105" s="189" t="str">
        <f>IFERROR(__xludf.DUMMYFUNCTION("""COMPUTED_VALUE"""),"Viper,Omen,Chamber,Neon,Fade")</f>
        <v>Viper,Omen,Chamber,Neon,Fade</v>
      </c>
      <c r="H105" s="189" t="str">
        <f>IFERROR(__xludf.DUMMYFUNCTION("""COMPUTED_VALUE"""),"Breach,Sova,Killjoy,Omen,Neon")</f>
        <v>Breach,Sova,Killjoy,Omen,Neon</v>
      </c>
      <c r="I105" s="189">
        <f>IFERROR(__xludf.DUMMYFUNCTION("""COMPUTED_VALUE"""),6.0)</f>
        <v>6</v>
      </c>
      <c r="J105" s="189">
        <f>IFERROR(__xludf.DUMMYFUNCTION("""COMPUTED_VALUE"""),13.0)</f>
        <v>13</v>
      </c>
      <c r="K105" s="189">
        <f>IFERROR(__xludf.DUMMYFUNCTION("""COMPUTED_VALUE"""),4.0)</f>
        <v>4</v>
      </c>
      <c r="L105" s="189">
        <f>IFERROR(__xludf.DUMMYFUNCTION("""COMPUTED_VALUE"""),8.0)</f>
        <v>8</v>
      </c>
      <c r="M105" s="189">
        <f>IFERROR(__xludf.DUMMYFUNCTION("""COMPUTED_VALUE"""),1.0)</f>
        <v>1</v>
      </c>
      <c r="N105" s="189">
        <f>IFERROR(__xludf.DUMMYFUNCTION("""COMPUTED_VALUE"""),0.0)</f>
        <v>0</v>
      </c>
      <c r="O105" s="189">
        <f>IFERROR(__xludf.DUMMYFUNCTION("""COMPUTED_VALUE"""),4.0)</f>
        <v>4</v>
      </c>
      <c r="P105" s="189">
        <f>IFERROR(__xludf.DUMMYFUNCTION("""COMPUTED_VALUE"""),8.0)</f>
        <v>8</v>
      </c>
      <c r="Q105" s="189">
        <f>IFERROR(__xludf.DUMMYFUNCTION("""COMPUTED_VALUE"""),2.0)</f>
        <v>2</v>
      </c>
      <c r="R105" s="189">
        <f>IFERROR(__xludf.DUMMYFUNCTION("""COMPUTED_VALUE"""),5.0)</f>
        <v>5</v>
      </c>
      <c r="S105" s="189">
        <f>IFERROR(__xludf.DUMMYFUNCTION("""COMPUTED_VALUE"""),1.0)</f>
        <v>1</v>
      </c>
      <c r="T105" s="189">
        <f>IFERROR(__xludf.DUMMYFUNCTION("""COMPUTED_VALUE"""),0.0)</f>
        <v>0</v>
      </c>
      <c r="U105" s="189">
        <f>IFERROR(__xludf.DUMMYFUNCTION("""COMPUTED_VALUE"""),5.0)</f>
        <v>5</v>
      </c>
      <c r="V105" s="189">
        <f>IFERROR(__xludf.DUMMYFUNCTION("""COMPUTED_VALUE"""),2.0)</f>
        <v>2</v>
      </c>
      <c r="W105" s="189">
        <f>IFERROR(__xludf.DUMMYFUNCTION("""COMPUTED_VALUE"""),8.0)</f>
        <v>8</v>
      </c>
      <c r="X105" s="189">
        <f>IFERROR(__xludf.DUMMYFUNCTION("""COMPUTED_VALUE"""),4.0)</f>
        <v>4</v>
      </c>
      <c r="Y105" s="208" t="str">
        <f>IFERROR(__xludf.DUMMYFUNCTION("""COMPUTED_VALUE"""),"2025-07-28T00:00:00.000Z")</f>
        <v>2025-07-28T00:00:00.000Z</v>
      </c>
      <c r="Z105" s="189" t="s">
        <v>412</v>
      </c>
      <c r="AA105" s="189" t="s">
        <v>187</v>
      </c>
    </row>
    <row r="106">
      <c r="A106" s="189">
        <f>IFERROR(__xludf.DUMMYFUNCTION("""COMPUTED_VALUE"""),208416.0)</f>
        <v>208416</v>
      </c>
      <c r="B106" s="189">
        <f>IFERROR(__xludf.DUMMYFUNCTION("""COMPUTED_VALUE"""),91787.0)</f>
        <v>91787</v>
      </c>
      <c r="C106" s="189" t="str">
        <f>IFERROR(__xludf.DUMMYFUNCTION("""COMPUTED_VALUE"""),"Challengers League 2025 Türkiye Birlik: Split 3 - Group Stage")</f>
        <v>Challengers League 2025 Türkiye Birlik: Split 3 - Group Stage</v>
      </c>
      <c r="D106" s="189" t="str">
        <f>IFERROR(__xludf.DUMMYFUNCTION("""COMPUTED_VALUE"""),"Icebox")</f>
        <v>Icebox</v>
      </c>
      <c r="E106" s="189" t="str">
        <f>IFERROR(__xludf.DUMMYFUNCTION("""COMPUTED_VALUE"""),"ULF Esports")</f>
        <v>ULF Esports</v>
      </c>
      <c r="F106" s="189" t="str">
        <f>IFERROR(__xludf.DUMMYFUNCTION("""COMPUTED_VALUE"""),"S2G Esports")</f>
        <v>S2G Esports</v>
      </c>
      <c r="G106" s="189" t="str">
        <f>IFERROR(__xludf.DUMMYFUNCTION("""COMPUTED_VALUE"""),"Sova,Killjoy,Viper,Omen,Jett")</f>
        <v>Sova,Killjoy,Viper,Omen,Jett</v>
      </c>
      <c r="H106" s="189" t="str">
        <f>IFERROR(__xludf.DUMMYFUNCTION("""COMPUTED_VALUE"""),"Sova,Killjoy,Viper,Jett,KAY/O")</f>
        <v>Sova,Killjoy,Viper,Jett,KAY/O</v>
      </c>
      <c r="I106" s="189">
        <f>IFERROR(__xludf.DUMMYFUNCTION("""COMPUTED_VALUE"""),11.0)</f>
        <v>11</v>
      </c>
      <c r="J106" s="189">
        <f>IFERROR(__xludf.DUMMYFUNCTION("""COMPUTED_VALUE"""),13.0)</f>
        <v>13</v>
      </c>
      <c r="K106" s="189">
        <f>IFERROR(__xludf.DUMMYFUNCTION("""COMPUTED_VALUE"""),3.0)</f>
        <v>3</v>
      </c>
      <c r="L106" s="189">
        <f>IFERROR(__xludf.DUMMYFUNCTION("""COMPUTED_VALUE"""),9.0)</f>
        <v>9</v>
      </c>
      <c r="M106" s="189">
        <f>IFERROR(__xludf.DUMMYFUNCTION("""COMPUTED_VALUE"""),1.0)</f>
        <v>1</v>
      </c>
      <c r="N106" s="189">
        <f>IFERROR(__xludf.DUMMYFUNCTION("""COMPUTED_VALUE"""),0.0)</f>
        <v>0</v>
      </c>
      <c r="O106" s="189">
        <f>IFERROR(__xludf.DUMMYFUNCTION("""COMPUTED_VALUE"""),8.0)</f>
        <v>8</v>
      </c>
      <c r="P106" s="189">
        <f>IFERROR(__xludf.DUMMYFUNCTION("""COMPUTED_VALUE"""),4.0)</f>
        <v>4</v>
      </c>
      <c r="Q106" s="189">
        <f>IFERROR(__xludf.DUMMYFUNCTION("""COMPUTED_VALUE"""),3.0)</f>
        <v>3</v>
      </c>
      <c r="R106" s="189">
        <f>IFERROR(__xludf.DUMMYFUNCTION("""COMPUTED_VALUE"""),9.0)</f>
        <v>9</v>
      </c>
      <c r="S106" s="189">
        <f>IFERROR(__xludf.DUMMYFUNCTION("""COMPUTED_VALUE"""),1.0)</f>
        <v>1</v>
      </c>
      <c r="T106" s="189">
        <f>IFERROR(__xludf.DUMMYFUNCTION("""COMPUTED_VALUE"""),0.0)</f>
        <v>0</v>
      </c>
      <c r="U106" s="189">
        <f>IFERROR(__xludf.DUMMYFUNCTION("""COMPUTED_VALUE"""),9.0)</f>
        <v>9</v>
      </c>
      <c r="V106" s="189">
        <f>IFERROR(__xludf.DUMMYFUNCTION("""COMPUTED_VALUE"""),3.0)</f>
        <v>3</v>
      </c>
      <c r="W106" s="189">
        <f>IFERROR(__xludf.DUMMYFUNCTION("""COMPUTED_VALUE"""),4.0)</f>
        <v>4</v>
      </c>
      <c r="X106" s="189">
        <f>IFERROR(__xludf.DUMMYFUNCTION("""COMPUTED_VALUE"""),8.0)</f>
        <v>8</v>
      </c>
      <c r="Y106" s="208" t="str">
        <f>IFERROR(__xludf.DUMMYFUNCTION("""COMPUTED_VALUE"""),"2025-07-28T00:00:00.000Z")</f>
        <v>2025-07-28T00:00:00.000Z</v>
      </c>
      <c r="Z106" s="189" t="s">
        <v>171</v>
      </c>
      <c r="AA106" s="189" t="s">
        <v>411</v>
      </c>
    </row>
    <row r="107">
      <c r="A107" s="189">
        <f>IFERROR(__xludf.DUMMYFUNCTION("""COMPUTED_VALUE"""),208415.0)</f>
        <v>208415</v>
      </c>
      <c r="B107" s="189">
        <f>IFERROR(__xludf.DUMMYFUNCTION("""COMPUTED_VALUE"""),91787.0)</f>
        <v>91787</v>
      </c>
      <c r="C107" s="189" t="str">
        <f>IFERROR(__xludf.DUMMYFUNCTION("""COMPUTED_VALUE"""),"Challengers League 2025 Türkiye Birlik: Split 3 - Group Stage")</f>
        <v>Challengers League 2025 Türkiye Birlik: Split 3 - Group Stage</v>
      </c>
      <c r="D107" s="189" t="str">
        <f>IFERROR(__xludf.DUMMYFUNCTION("""COMPUTED_VALUE"""),"Bind")</f>
        <v>Bind</v>
      </c>
      <c r="E107" s="189" t="str">
        <f>IFERROR(__xludf.DUMMYFUNCTION("""COMPUTED_VALUE"""),"ULF Esports")</f>
        <v>ULF Esports</v>
      </c>
      <c r="F107" s="189" t="str">
        <f>IFERROR(__xludf.DUMMYFUNCTION("""COMPUTED_VALUE"""),"S2G Esports")</f>
        <v>S2G Esports</v>
      </c>
      <c r="G107" s="189" t="str">
        <f>IFERROR(__xludf.DUMMYFUNCTION("""COMPUTED_VALUE"""),"Viper,Brimstone,Skye,Vyse,Waylay")</f>
        <v>Viper,Brimstone,Skye,Vyse,Waylay</v>
      </c>
      <c r="H107" s="189" t="str">
        <f>IFERROR(__xludf.DUMMYFUNCTION("""COMPUTED_VALUE"""),"Cypher,Viper,Sage,Omen,Iso")</f>
        <v>Cypher,Viper,Sage,Omen,Iso</v>
      </c>
      <c r="I107" s="189">
        <f>IFERROR(__xludf.DUMMYFUNCTION("""COMPUTED_VALUE"""),13.0)</f>
        <v>13</v>
      </c>
      <c r="J107" s="189">
        <f>IFERROR(__xludf.DUMMYFUNCTION("""COMPUTED_VALUE"""),7.0)</f>
        <v>7</v>
      </c>
      <c r="K107" s="189">
        <f>IFERROR(__xludf.DUMMYFUNCTION("""COMPUTED_VALUE"""),5.0)</f>
        <v>5</v>
      </c>
      <c r="L107" s="189">
        <f>IFERROR(__xludf.DUMMYFUNCTION("""COMPUTED_VALUE"""),7.0)</f>
        <v>7</v>
      </c>
      <c r="M107" s="189">
        <f>IFERROR(__xludf.DUMMYFUNCTION("""COMPUTED_VALUE"""),0.0)</f>
        <v>0</v>
      </c>
      <c r="N107" s="189">
        <f>IFERROR(__xludf.DUMMYFUNCTION("""COMPUTED_VALUE"""),1.0)</f>
        <v>1</v>
      </c>
      <c r="O107" s="189">
        <f>IFERROR(__xludf.DUMMYFUNCTION("""COMPUTED_VALUE"""),5.0)</f>
        <v>5</v>
      </c>
      <c r="P107" s="189">
        <f>IFERROR(__xludf.DUMMYFUNCTION("""COMPUTED_VALUE"""),7.0)</f>
        <v>7</v>
      </c>
      <c r="Q107" s="189">
        <f>IFERROR(__xludf.DUMMYFUNCTION("""COMPUTED_VALUE"""),8.0)</f>
        <v>8</v>
      </c>
      <c r="R107" s="189">
        <f>IFERROR(__xludf.DUMMYFUNCTION("""COMPUTED_VALUE"""),0.0)</f>
        <v>0</v>
      </c>
      <c r="S107" s="189">
        <f>IFERROR(__xludf.DUMMYFUNCTION("""COMPUTED_VALUE"""),0.0)</f>
        <v>0</v>
      </c>
      <c r="T107" s="189">
        <f>IFERROR(__xludf.DUMMYFUNCTION("""COMPUTED_VALUE"""),1.0)</f>
        <v>1</v>
      </c>
      <c r="U107" s="189">
        <f>IFERROR(__xludf.DUMMYFUNCTION("""COMPUTED_VALUE"""),0.0)</f>
        <v>0</v>
      </c>
      <c r="V107" s="189">
        <f>IFERROR(__xludf.DUMMYFUNCTION("""COMPUTED_VALUE"""),8.0)</f>
        <v>8</v>
      </c>
      <c r="W107" s="189">
        <f>IFERROR(__xludf.DUMMYFUNCTION("""COMPUTED_VALUE"""),7.0)</f>
        <v>7</v>
      </c>
      <c r="X107" s="189">
        <f>IFERROR(__xludf.DUMMYFUNCTION("""COMPUTED_VALUE"""),5.0)</f>
        <v>5</v>
      </c>
      <c r="Y107" s="208" t="str">
        <f>IFERROR(__xludf.DUMMYFUNCTION("""COMPUTED_VALUE"""),"2025-07-28T00:00:00.000Z")</f>
        <v>2025-07-28T00:00:00.000Z</v>
      </c>
      <c r="Z107" s="189" t="s">
        <v>168</v>
      </c>
      <c r="AA107" s="189" t="s">
        <v>188</v>
      </c>
    </row>
    <row r="108">
      <c r="A108" s="189">
        <f>IFERROR(__xludf.DUMMYFUNCTION("""COMPUTED_VALUE"""),210892.0)</f>
        <v>210892</v>
      </c>
      <c r="B108" s="189">
        <f>IFERROR(__xludf.DUMMYFUNCTION("""COMPUTED_VALUE"""),92753.0)</f>
        <v>92753</v>
      </c>
      <c r="C108" s="189" t="str">
        <f>IFERROR(__xludf.DUMMYFUNCTION("""COMPUTED_VALUE"""),"Challengers League 2025 Spain Rising: Split 3 - Playoffs")</f>
        <v>Challengers League 2025 Spain Rising: Split 3 - Playoffs</v>
      </c>
      <c r="D108" s="189" t="str">
        <f>IFERROR(__xludf.DUMMYFUNCTION("""COMPUTED_VALUE"""),"Sunset")</f>
        <v>Sunset</v>
      </c>
      <c r="E108" s="189" t="str">
        <f>IFERROR(__xludf.DUMMYFUNCTION("""COMPUTED_VALUE"""),"KOI Fénix")</f>
        <v>KOI Fénix</v>
      </c>
      <c r="F108" s="189" t="str">
        <f>IFERROR(__xludf.DUMMYFUNCTION("""COMPUTED_VALUE"""),"Barça eSports")</f>
        <v>Barça eSports</v>
      </c>
      <c r="G108" s="189" t="str">
        <f>IFERROR(__xludf.DUMMYFUNCTION("""COMPUTED_VALUE"""),"Breach,Sage,Omen,Neon,Gekko")</f>
        <v>Breach,Sage,Omen,Neon,Gekko</v>
      </c>
      <c r="H108" s="189" t="str">
        <f>IFERROR(__xludf.DUMMYFUNCTION("""COMPUTED_VALUE"""),"Cypher,Sova,Omen,Neon,Deadlock")</f>
        <v>Cypher,Sova,Omen,Neon,Deadlock</v>
      </c>
      <c r="I108" s="189">
        <f>IFERROR(__xludf.DUMMYFUNCTION("""COMPUTED_VALUE"""),13.0)</f>
        <v>13</v>
      </c>
      <c r="J108" s="189">
        <f>IFERROR(__xludf.DUMMYFUNCTION("""COMPUTED_VALUE"""),5.0)</f>
        <v>5</v>
      </c>
      <c r="K108" s="189">
        <f>IFERROR(__xludf.DUMMYFUNCTION("""COMPUTED_VALUE"""),9.0)</f>
        <v>9</v>
      </c>
      <c r="L108" s="189">
        <f>IFERROR(__xludf.DUMMYFUNCTION("""COMPUTED_VALUE"""),3.0)</f>
        <v>3</v>
      </c>
      <c r="M108" s="189">
        <f>IFERROR(__xludf.DUMMYFUNCTION("""COMPUTED_VALUE"""),0.0)</f>
        <v>0</v>
      </c>
      <c r="N108" s="189">
        <f>IFERROR(__xludf.DUMMYFUNCTION("""COMPUTED_VALUE"""),0.0)</f>
        <v>0</v>
      </c>
      <c r="O108" s="189">
        <f>IFERROR(__xludf.DUMMYFUNCTION("""COMPUTED_VALUE"""),4.0)</f>
        <v>4</v>
      </c>
      <c r="P108" s="189">
        <f>IFERROR(__xludf.DUMMYFUNCTION("""COMPUTED_VALUE"""),2.0)</f>
        <v>2</v>
      </c>
      <c r="Q108" s="189">
        <f>IFERROR(__xludf.DUMMYFUNCTION("""COMPUTED_VALUE"""),9.0)</f>
        <v>9</v>
      </c>
      <c r="R108" s="189">
        <f>IFERROR(__xludf.DUMMYFUNCTION("""COMPUTED_VALUE"""),3.0)</f>
        <v>3</v>
      </c>
      <c r="S108" s="189">
        <f>IFERROR(__xludf.DUMMYFUNCTION("""COMPUTED_VALUE"""),1.0)</f>
        <v>1</v>
      </c>
      <c r="T108" s="189">
        <f>IFERROR(__xludf.DUMMYFUNCTION("""COMPUTED_VALUE"""),1.0)</f>
        <v>1</v>
      </c>
      <c r="U108" s="189">
        <f>IFERROR(__xludf.DUMMYFUNCTION("""COMPUTED_VALUE"""),3.0)</f>
        <v>3</v>
      </c>
      <c r="V108" s="189">
        <f>IFERROR(__xludf.DUMMYFUNCTION("""COMPUTED_VALUE"""),9.0)</f>
        <v>9</v>
      </c>
      <c r="W108" s="189">
        <f>IFERROR(__xludf.DUMMYFUNCTION("""COMPUTED_VALUE"""),2.0)</f>
        <v>2</v>
      </c>
      <c r="X108" s="189">
        <f>IFERROR(__xludf.DUMMYFUNCTION("""COMPUTED_VALUE"""),4.0)</f>
        <v>4</v>
      </c>
      <c r="Y108" s="208" t="str">
        <f>IFERROR(__xludf.DUMMYFUNCTION("""COMPUTED_VALUE"""),"2025-07-27T00:00:00.000Z")</f>
        <v>2025-07-27T00:00:00.000Z</v>
      </c>
      <c r="Z108" s="189" t="s">
        <v>125</v>
      </c>
      <c r="AA108" s="189" t="s">
        <v>187</v>
      </c>
    </row>
    <row r="109">
      <c r="A109" s="189">
        <f>IFERROR(__xludf.DUMMYFUNCTION("""COMPUTED_VALUE"""),211061.0)</f>
        <v>211061</v>
      </c>
      <c r="B109" s="189">
        <f>IFERROR(__xludf.DUMMYFUNCTION("""COMPUTED_VALUE"""),92835.0)</f>
        <v>92835</v>
      </c>
      <c r="C109" s="189" t="str">
        <f>IFERROR(__xludf.DUMMYFUNCTION("""COMPUTED_VALUE"""),"Challengers League 2025 NORTH EAST: Split 3 - Playoffs")</f>
        <v>Challengers League 2025 NORTH EAST: Split 3 - Playoffs</v>
      </c>
      <c r="D109" s="189" t="str">
        <f>IFERROR(__xludf.DUMMYFUNCTION("""COMPUTED_VALUE"""),"Lotus")</f>
        <v>Lotus</v>
      </c>
      <c r="E109" s="189" t="str">
        <f>IFERROR(__xludf.DUMMYFUNCTION("""COMPUTED_VALUE"""),"Enterprise Esports")</f>
        <v>Enterprise Esports</v>
      </c>
      <c r="F109" s="189" t="str">
        <f>IFERROR(__xludf.DUMMYFUNCTION("""COMPUTED_VALUE"""),"Pixel Lumina")</f>
        <v>Pixel Lumina</v>
      </c>
      <c r="G109" s="189" t="str">
        <f>IFERROR(__xludf.DUMMYFUNCTION("""COMPUTED_VALUE"""),"Breach,Cypher,Omen,Neon,Fade")</f>
        <v>Breach,Cypher,Omen,Neon,Fade</v>
      </c>
      <c r="H109" s="189" t="str">
        <f>IFERROR(__xludf.DUMMYFUNCTION("""COMPUTED_VALUE"""),"Cypher,Omen,KAY/O,Neon,Fade")</f>
        <v>Cypher,Omen,KAY/O,Neon,Fade</v>
      </c>
      <c r="I109" s="189">
        <f>IFERROR(__xludf.DUMMYFUNCTION("""COMPUTED_VALUE"""),13.0)</f>
        <v>13</v>
      </c>
      <c r="J109" s="189">
        <f>IFERROR(__xludf.DUMMYFUNCTION("""COMPUTED_VALUE"""),10.0)</f>
        <v>10</v>
      </c>
      <c r="K109" s="189">
        <f>IFERROR(__xludf.DUMMYFUNCTION("""COMPUTED_VALUE"""),9.0)</f>
        <v>9</v>
      </c>
      <c r="L109" s="189">
        <f>IFERROR(__xludf.DUMMYFUNCTION("""COMPUTED_VALUE"""),3.0)</f>
        <v>3</v>
      </c>
      <c r="M109" s="189">
        <f>IFERROR(__xludf.DUMMYFUNCTION("""COMPUTED_VALUE"""),0.0)</f>
        <v>0</v>
      </c>
      <c r="N109" s="189">
        <f>IFERROR(__xludf.DUMMYFUNCTION("""COMPUTED_VALUE"""),1.0)</f>
        <v>1</v>
      </c>
      <c r="O109" s="189">
        <f>IFERROR(__xludf.DUMMYFUNCTION("""COMPUTED_VALUE"""),4.0)</f>
        <v>4</v>
      </c>
      <c r="P109" s="189">
        <f>IFERROR(__xludf.DUMMYFUNCTION("""COMPUTED_VALUE"""),7.0)</f>
        <v>7</v>
      </c>
      <c r="Q109" s="189">
        <f>IFERROR(__xludf.DUMMYFUNCTION("""COMPUTED_VALUE"""),9.0)</f>
        <v>9</v>
      </c>
      <c r="R109" s="189">
        <f>IFERROR(__xludf.DUMMYFUNCTION("""COMPUTED_VALUE"""),3.0)</f>
        <v>3</v>
      </c>
      <c r="S109" s="189">
        <f>IFERROR(__xludf.DUMMYFUNCTION("""COMPUTED_VALUE"""),0.0)</f>
        <v>0</v>
      </c>
      <c r="T109" s="189">
        <f>IFERROR(__xludf.DUMMYFUNCTION("""COMPUTED_VALUE"""),1.0)</f>
        <v>1</v>
      </c>
      <c r="U109" s="189">
        <f>IFERROR(__xludf.DUMMYFUNCTION("""COMPUTED_VALUE"""),3.0)</f>
        <v>3</v>
      </c>
      <c r="V109" s="189">
        <f>IFERROR(__xludf.DUMMYFUNCTION("""COMPUTED_VALUE"""),9.0)</f>
        <v>9</v>
      </c>
      <c r="W109" s="189">
        <f>IFERROR(__xludf.DUMMYFUNCTION("""COMPUTED_VALUE"""),7.0)</f>
        <v>7</v>
      </c>
      <c r="X109" s="189">
        <f>IFERROR(__xludf.DUMMYFUNCTION("""COMPUTED_VALUE"""),4.0)</f>
        <v>4</v>
      </c>
      <c r="Y109" s="208" t="str">
        <f>IFERROR(__xludf.DUMMYFUNCTION("""COMPUTED_VALUE"""),"2025-07-27T00:00:00.000Z")</f>
        <v>2025-07-27T00:00:00.000Z</v>
      </c>
      <c r="Z109" s="189" t="s">
        <v>111</v>
      </c>
      <c r="AA109" s="189" t="s">
        <v>179</v>
      </c>
    </row>
    <row r="110">
      <c r="A110" s="189">
        <f>IFERROR(__xludf.DUMMYFUNCTION("""COMPUTED_VALUE"""),210891.0)</f>
        <v>210891</v>
      </c>
      <c r="B110" s="189">
        <f>IFERROR(__xludf.DUMMYFUNCTION("""COMPUTED_VALUE"""),92753.0)</f>
        <v>92753</v>
      </c>
      <c r="C110" s="189" t="str">
        <f>IFERROR(__xludf.DUMMYFUNCTION("""COMPUTED_VALUE"""),"Challengers League 2025 Spain Rising: Split 3 - Playoffs")</f>
        <v>Challengers League 2025 Spain Rising: Split 3 - Playoffs</v>
      </c>
      <c r="D110" s="189" t="str">
        <f>IFERROR(__xludf.DUMMYFUNCTION("""COMPUTED_VALUE"""),"Corrode")</f>
        <v>Corrode</v>
      </c>
      <c r="E110" s="189" t="str">
        <f>IFERROR(__xludf.DUMMYFUNCTION("""COMPUTED_VALUE"""),"KOI Fénix")</f>
        <v>KOI Fénix</v>
      </c>
      <c r="F110" s="189" t="str">
        <f>IFERROR(__xludf.DUMMYFUNCTION("""COMPUTED_VALUE"""),"Barça eSports")</f>
        <v>Barça eSports</v>
      </c>
      <c r="G110" s="189" t="str">
        <f>IFERROR(__xludf.DUMMYFUNCTION("""COMPUTED_VALUE"""),"Omen,Chamber,Neon,Fade,Vyse")</f>
        <v>Omen,Chamber,Neon,Fade,Vyse</v>
      </c>
      <c r="H110" s="189" t="str">
        <f>IFERROR(__xludf.DUMMYFUNCTION("""COMPUTED_VALUE"""),"Viper,Omen,Fade,Vyse,Waylay")</f>
        <v>Viper,Omen,Fade,Vyse,Waylay</v>
      </c>
      <c r="I110" s="189">
        <f>IFERROR(__xludf.DUMMYFUNCTION("""COMPUTED_VALUE"""),13.0)</f>
        <v>13</v>
      </c>
      <c r="J110" s="189">
        <f>IFERROR(__xludf.DUMMYFUNCTION("""COMPUTED_VALUE"""),6.0)</f>
        <v>6</v>
      </c>
      <c r="K110" s="189">
        <f>IFERROR(__xludf.DUMMYFUNCTION("""COMPUTED_VALUE"""),11.0)</f>
        <v>11</v>
      </c>
      <c r="L110" s="189">
        <f>IFERROR(__xludf.DUMMYFUNCTION("""COMPUTED_VALUE"""),1.0)</f>
        <v>1</v>
      </c>
      <c r="M110" s="189">
        <f>IFERROR(__xludf.DUMMYFUNCTION("""COMPUTED_VALUE"""),1.0)</f>
        <v>1</v>
      </c>
      <c r="N110" s="189">
        <f>IFERROR(__xludf.DUMMYFUNCTION("""COMPUTED_VALUE"""),0.0)</f>
        <v>0</v>
      </c>
      <c r="O110" s="189">
        <f>IFERROR(__xludf.DUMMYFUNCTION("""COMPUTED_VALUE"""),11.0)</f>
        <v>11</v>
      </c>
      <c r="P110" s="189">
        <f>IFERROR(__xludf.DUMMYFUNCTION("""COMPUTED_VALUE"""),1.0)</f>
        <v>1</v>
      </c>
      <c r="Q110" s="189">
        <f>IFERROR(__xludf.DUMMYFUNCTION("""COMPUTED_VALUE"""),2.0)</f>
        <v>2</v>
      </c>
      <c r="R110" s="189">
        <f>IFERROR(__xludf.DUMMYFUNCTION("""COMPUTED_VALUE"""),5.0)</f>
        <v>5</v>
      </c>
      <c r="S110" s="189">
        <f>IFERROR(__xludf.DUMMYFUNCTION("""COMPUTED_VALUE"""),1.0)</f>
        <v>1</v>
      </c>
      <c r="T110" s="189">
        <f>IFERROR(__xludf.DUMMYFUNCTION("""COMPUTED_VALUE"""),0.0)</f>
        <v>0</v>
      </c>
      <c r="U110" s="189">
        <f>IFERROR(__xludf.DUMMYFUNCTION("""COMPUTED_VALUE"""),5.0)</f>
        <v>5</v>
      </c>
      <c r="V110" s="189">
        <f>IFERROR(__xludf.DUMMYFUNCTION("""COMPUTED_VALUE"""),2.0)</f>
        <v>2</v>
      </c>
      <c r="W110" s="189">
        <f>IFERROR(__xludf.DUMMYFUNCTION("""COMPUTED_VALUE"""),1.0)</f>
        <v>1</v>
      </c>
      <c r="X110" s="189">
        <f>IFERROR(__xludf.DUMMYFUNCTION("""COMPUTED_VALUE"""),11.0)</f>
        <v>11</v>
      </c>
      <c r="Y110" s="208" t="str">
        <f>IFERROR(__xludf.DUMMYFUNCTION("""COMPUTED_VALUE"""),"2025-07-27T00:00:00.000Z")</f>
        <v>2025-07-27T00:00:00.000Z</v>
      </c>
      <c r="Z110" s="189" t="s">
        <v>121</v>
      </c>
      <c r="AA110" s="189" t="s">
        <v>187</v>
      </c>
    </row>
    <row r="111">
      <c r="A111" s="189">
        <f>IFERROR(__xludf.DUMMYFUNCTION("""COMPUTED_VALUE"""),211060.0)</f>
        <v>211060</v>
      </c>
      <c r="B111" s="189">
        <f>IFERROR(__xludf.DUMMYFUNCTION("""COMPUTED_VALUE"""),92835.0)</f>
        <v>92835</v>
      </c>
      <c r="C111" s="189" t="str">
        <f>IFERROR(__xludf.DUMMYFUNCTION("""COMPUTED_VALUE"""),"Challengers League 2025 NORTH EAST: Split 3 - Playoffs")</f>
        <v>Challengers League 2025 NORTH EAST: Split 3 - Playoffs</v>
      </c>
      <c r="D111" s="189" t="str">
        <f>IFERROR(__xludf.DUMMYFUNCTION("""COMPUTED_VALUE"""),"Haven")</f>
        <v>Haven</v>
      </c>
      <c r="E111" s="189" t="str">
        <f>IFERROR(__xludf.DUMMYFUNCTION("""COMPUTED_VALUE"""),"Enterprise Esports")</f>
        <v>Enterprise Esports</v>
      </c>
      <c r="F111" s="189" t="str">
        <f>IFERROR(__xludf.DUMMYFUNCTION("""COMPUTED_VALUE"""),"Pixel Lumina")</f>
        <v>Pixel Lumina</v>
      </c>
      <c r="G111" s="189" t="str">
        <f>IFERROR(__xludf.DUMMYFUNCTION("""COMPUTED_VALUE"""),"Sova,Killjoy,Viper,Omen,Neon")</f>
        <v>Sova,Killjoy,Viper,Omen,Neon</v>
      </c>
      <c r="H111" s="189" t="str">
        <f>IFERROR(__xludf.DUMMYFUNCTION("""COMPUTED_VALUE"""),"Cypher,Sova,Omen,Yoru,Iso")</f>
        <v>Cypher,Sova,Omen,Yoru,Iso</v>
      </c>
      <c r="I111" s="189">
        <f>IFERROR(__xludf.DUMMYFUNCTION("""COMPUTED_VALUE"""),13.0)</f>
        <v>13</v>
      </c>
      <c r="J111" s="189">
        <f>IFERROR(__xludf.DUMMYFUNCTION("""COMPUTED_VALUE"""),2.0)</f>
        <v>2</v>
      </c>
      <c r="K111" s="189">
        <f>IFERROR(__xludf.DUMMYFUNCTION("""COMPUTED_VALUE"""),10.0)</f>
        <v>10</v>
      </c>
      <c r="L111" s="189">
        <f>IFERROR(__xludf.DUMMYFUNCTION("""COMPUTED_VALUE"""),2.0)</f>
        <v>2</v>
      </c>
      <c r="M111" s="189">
        <f>IFERROR(__xludf.DUMMYFUNCTION("""COMPUTED_VALUE"""),1.0)</f>
        <v>1</v>
      </c>
      <c r="N111" s="189">
        <f>IFERROR(__xludf.DUMMYFUNCTION("""COMPUTED_VALUE"""),1.0)</f>
        <v>1</v>
      </c>
      <c r="O111" s="189">
        <f>IFERROR(__xludf.DUMMYFUNCTION("""COMPUTED_VALUE"""),3.0)</f>
        <v>3</v>
      </c>
      <c r="P111" s="189">
        <f>IFERROR(__xludf.DUMMYFUNCTION("""COMPUTED_VALUE"""),0.0)</f>
        <v>0</v>
      </c>
      <c r="Q111" s="189">
        <f>IFERROR(__xludf.DUMMYFUNCTION("""COMPUTED_VALUE"""),10.0)</f>
        <v>10</v>
      </c>
      <c r="R111" s="189">
        <f>IFERROR(__xludf.DUMMYFUNCTION("""COMPUTED_VALUE"""),2.0)</f>
        <v>2</v>
      </c>
      <c r="S111" s="189">
        <f>IFERROR(__xludf.DUMMYFUNCTION("""COMPUTED_VALUE"""),0.0)</f>
        <v>0</v>
      </c>
      <c r="T111" s="189">
        <f>IFERROR(__xludf.DUMMYFUNCTION("""COMPUTED_VALUE"""),0.0)</f>
        <v>0</v>
      </c>
      <c r="U111" s="189">
        <f>IFERROR(__xludf.DUMMYFUNCTION("""COMPUTED_VALUE"""),2.0)</f>
        <v>2</v>
      </c>
      <c r="V111" s="189">
        <f>IFERROR(__xludf.DUMMYFUNCTION("""COMPUTED_VALUE"""),10.0)</f>
        <v>10</v>
      </c>
      <c r="W111" s="189">
        <f>IFERROR(__xludf.DUMMYFUNCTION("""COMPUTED_VALUE"""),0.0)</f>
        <v>0</v>
      </c>
      <c r="X111" s="189">
        <f>IFERROR(__xludf.DUMMYFUNCTION("""COMPUTED_VALUE"""),3.0)</f>
        <v>3</v>
      </c>
      <c r="Y111" s="208" t="str">
        <f>IFERROR(__xludf.DUMMYFUNCTION("""COMPUTED_VALUE"""),"2025-07-27T00:00:00.000Z")</f>
        <v>2025-07-27T00:00:00.000Z</v>
      </c>
      <c r="Z111" s="189" t="s">
        <v>110</v>
      </c>
      <c r="AA111" s="189" t="s">
        <v>179</v>
      </c>
    </row>
    <row r="112">
      <c r="A112" s="189">
        <f>IFERROR(__xludf.DUMMYFUNCTION("""COMPUTED_VALUE"""),210895.0)</f>
        <v>210895</v>
      </c>
      <c r="B112" s="189">
        <f>IFERROR(__xludf.DUMMYFUNCTION("""COMPUTED_VALUE"""),92754.0)</f>
        <v>92754</v>
      </c>
      <c r="C112" s="189" t="str">
        <f>IFERROR(__xludf.DUMMYFUNCTION("""COMPUTED_VALUE"""),"Challengers League 2025 Spain Rising: Split 3 - Playoffs")</f>
        <v>Challengers League 2025 Spain Rising: Split 3 - Playoffs</v>
      </c>
      <c r="D112" s="189" t="str">
        <f>IFERROR(__xludf.DUMMYFUNCTION("""COMPUTED_VALUE"""),"Haven")</f>
        <v>Haven</v>
      </c>
      <c r="E112" s="189" t="str">
        <f>IFERROR(__xludf.DUMMYFUNCTION("""COMPUTED_VALUE"""),"DNSTY")</f>
        <v>DNSTY</v>
      </c>
      <c r="F112" s="189" t="str">
        <f>IFERROR(__xludf.DUMMYFUNCTION("""COMPUTED_VALUE"""),"Ramboot Club")</f>
        <v>Ramboot Club</v>
      </c>
      <c r="G112" s="189" t="str">
        <f>IFERROR(__xludf.DUMMYFUNCTION("""COMPUTED_VALUE"""),"Sova,Killjoy,Viper,Omen,Neon")</f>
        <v>Sova,Killjoy,Viper,Omen,Neon</v>
      </c>
      <c r="H112" s="189" t="str">
        <f>IFERROR(__xludf.DUMMYFUNCTION("""COMPUTED_VALUE"""),"Cypher,Sova,Omen,Yoru,Iso")</f>
        <v>Cypher,Sova,Omen,Yoru,Iso</v>
      </c>
      <c r="I112" s="189">
        <f>IFERROR(__xludf.DUMMYFUNCTION("""COMPUTED_VALUE"""),8.0)</f>
        <v>8</v>
      </c>
      <c r="J112" s="189">
        <f>IFERROR(__xludf.DUMMYFUNCTION("""COMPUTED_VALUE"""),13.0)</f>
        <v>13</v>
      </c>
      <c r="K112" s="189">
        <f>IFERROR(__xludf.DUMMYFUNCTION("""COMPUTED_VALUE"""),1.0)</f>
        <v>1</v>
      </c>
      <c r="L112" s="189">
        <f>IFERROR(__xludf.DUMMYFUNCTION("""COMPUTED_VALUE"""),11.0)</f>
        <v>11</v>
      </c>
      <c r="M112" s="189">
        <f>IFERROR(__xludf.DUMMYFUNCTION("""COMPUTED_VALUE"""),0.0)</f>
        <v>0</v>
      </c>
      <c r="N112" s="189">
        <f>IFERROR(__xludf.DUMMYFUNCTION("""COMPUTED_VALUE"""),1.0)</f>
        <v>1</v>
      </c>
      <c r="O112" s="189">
        <f>IFERROR(__xludf.DUMMYFUNCTION("""COMPUTED_VALUE"""),1.0)</f>
        <v>1</v>
      </c>
      <c r="P112" s="189">
        <f>IFERROR(__xludf.DUMMYFUNCTION("""COMPUTED_VALUE"""),11.0)</f>
        <v>11</v>
      </c>
      <c r="Q112" s="189">
        <f>IFERROR(__xludf.DUMMYFUNCTION("""COMPUTED_VALUE"""),7.0)</f>
        <v>7</v>
      </c>
      <c r="R112" s="189">
        <f>IFERROR(__xludf.DUMMYFUNCTION("""COMPUTED_VALUE"""),2.0)</f>
        <v>2</v>
      </c>
      <c r="S112" s="189">
        <f>IFERROR(__xludf.DUMMYFUNCTION("""COMPUTED_VALUE"""),0.0)</f>
        <v>0</v>
      </c>
      <c r="T112" s="189">
        <f>IFERROR(__xludf.DUMMYFUNCTION("""COMPUTED_VALUE"""),1.0)</f>
        <v>1</v>
      </c>
      <c r="U112" s="189">
        <f>IFERROR(__xludf.DUMMYFUNCTION("""COMPUTED_VALUE"""),2.0)</f>
        <v>2</v>
      </c>
      <c r="V112" s="189">
        <f>IFERROR(__xludf.DUMMYFUNCTION("""COMPUTED_VALUE"""),7.0)</f>
        <v>7</v>
      </c>
      <c r="W112" s="189">
        <f>IFERROR(__xludf.DUMMYFUNCTION("""COMPUTED_VALUE"""),11.0)</f>
        <v>11</v>
      </c>
      <c r="X112" s="189">
        <f>IFERROR(__xludf.DUMMYFUNCTION("""COMPUTED_VALUE"""),1.0)</f>
        <v>1</v>
      </c>
      <c r="Y112" s="208" t="str">
        <f>IFERROR(__xludf.DUMMYFUNCTION("""COMPUTED_VALUE"""),"2025-07-27T00:00:00.000Z")</f>
        <v>2025-07-27T00:00:00.000Z</v>
      </c>
      <c r="Z112" s="189" t="s">
        <v>95</v>
      </c>
      <c r="AA112" s="189" t="s">
        <v>410</v>
      </c>
    </row>
    <row r="113">
      <c r="A113" s="189">
        <f>IFERROR(__xludf.DUMMYFUNCTION("""COMPUTED_VALUE"""),211059.0)</f>
        <v>211059</v>
      </c>
      <c r="B113" s="189">
        <f>IFERROR(__xludf.DUMMYFUNCTION("""COMPUTED_VALUE"""),92835.0)</f>
        <v>92835</v>
      </c>
      <c r="C113" s="189" t="str">
        <f>IFERROR(__xludf.DUMMYFUNCTION("""COMPUTED_VALUE"""),"Challengers League 2025 NORTH EAST: Split 3 - Playoffs")</f>
        <v>Challengers League 2025 NORTH EAST: Split 3 - Playoffs</v>
      </c>
      <c r="D113" s="189" t="str">
        <f>IFERROR(__xludf.DUMMYFUNCTION("""COMPUTED_VALUE"""),"Ascent")</f>
        <v>Ascent</v>
      </c>
      <c r="E113" s="189" t="str">
        <f>IFERROR(__xludf.DUMMYFUNCTION("""COMPUTED_VALUE"""),"Enterprise Esports")</f>
        <v>Enterprise Esports</v>
      </c>
      <c r="F113" s="189" t="str">
        <f>IFERROR(__xludf.DUMMYFUNCTION("""COMPUTED_VALUE"""),"Pixel Lumina")</f>
        <v>Pixel Lumina</v>
      </c>
      <c r="G113" s="189" t="str">
        <f>IFERROR(__xludf.DUMMYFUNCTION("""COMPUTED_VALUE"""),"Cypher,Sova,Omen,Jett,KAY/O")</f>
        <v>Cypher,Sova,Omen,Jett,KAY/O</v>
      </c>
      <c r="H113" s="189" t="str">
        <f>IFERROR(__xludf.DUMMYFUNCTION("""COMPUTED_VALUE"""),"Cypher,Sova,Omen,Jett,KAY/O")</f>
        <v>Cypher,Sova,Omen,Jett,KAY/O</v>
      </c>
      <c r="I113" s="189">
        <f>IFERROR(__xludf.DUMMYFUNCTION("""COMPUTED_VALUE"""),9.0)</f>
        <v>9</v>
      </c>
      <c r="J113" s="189">
        <f>IFERROR(__xludf.DUMMYFUNCTION("""COMPUTED_VALUE"""),13.0)</f>
        <v>13</v>
      </c>
      <c r="K113" s="189">
        <f>IFERROR(__xludf.DUMMYFUNCTION("""COMPUTED_VALUE"""),6.0)</f>
        <v>6</v>
      </c>
      <c r="L113" s="189">
        <f>IFERROR(__xludf.DUMMYFUNCTION("""COMPUTED_VALUE"""),6.0)</f>
        <v>6</v>
      </c>
      <c r="M113" s="189">
        <f>IFERROR(__xludf.DUMMYFUNCTION("""COMPUTED_VALUE"""),1.0)</f>
        <v>1</v>
      </c>
      <c r="N113" s="189">
        <f>IFERROR(__xludf.DUMMYFUNCTION("""COMPUTED_VALUE"""),0.0)</f>
        <v>0</v>
      </c>
      <c r="O113" s="189">
        <f>IFERROR(__xludf.DUMMYFUNCTION("""COMPUTED_VALUE"""),6.0)</f>
        <v>6</v>
      </c>
      <c r="P113" s="189">
        <f>IFERROR(__xludf.DUMMYFUNCTION("""COMPUTED_VALUE"""),6.0)</f>
        <v>6</v>
      </c>
      <c r="Q113" s="189">
        <f>IFERROR(__xludf.DUMMYFUNCTION("""COMPUTED_VALUE"""),3.0)</f>
        <v>3</v>
      </c>
      <c r="R113" s="189">
        <f>IFERROR(__xludf.DUMMYFUNCTION("""COMPUTED_VALUE"""),7.0)</f>
        <v>7</v>
      </c>
      <c r="S113" s="189">
        <f>IFERROR(__xludf.DUMMYFUNCTION("""COMPUTED_VALUE"""),1.0)</f>
        <v>1</v>
      </c>
      <c r="T113" s="189">
        <f>IFERROR(__xludf.DUMMYFUNCTION("""COMPUTED_VALUE"""),0.0)</f>
        <v>0</v>
      </c>
      <c r="U113" s="189">
        <f>IFERROR(__xludf.DUMMYFUNCTION("""COMPUTED_VALUE"""),7.0)</f>
        <v>7</v>
      </c>
      <c r="V113" s="189">
        <f>IFERROR(__xludf.DUMMYFUNCTION("""COMPUTED_VALUE"""),3.0)</f>
        <v>3</v>
      </c>
      <c r="W113" s="189">
        <f>IFERROR(__xludf.DUMMYFUNCTION("""COMPUTED_VALUE"""),6.0)</f>
        <v>6</v>
      </c>
      <c r="X113" s="189">
        <f>IFERROR(__xludf.DUMMYFUNCTION("""COMPUTED_VALUE"""),6.0)</f>
        <v>6</v>
      </c>
      <c r="Y113" s="208" t="str">
        <f>IFERROR(__xludf.DUMMYFUNCTION("""COMPUTED_VALUE"""),"2025-07-27T00:00:00.000Z")</f>
        <v>2025-07-27T00:00:00.000Z</v>
      </c>
      <c r="Z113" s="189" t="s">
        <v>107</v>
      </c>
      <c r="AA113" s="189" t="s">
        <v>413</v>
      </c>
    </row>
    <row r="114">
      <c r="A114" s="189">
        <f>IFERROR(__xludf.DUMMYFUNCTION("""COMPUTED_VALUE"""),210894.0)</f>
        <v>210894</v>
      </c>
      <c r="B114" s="189">
        <f>IFERROR(__xludf.DUMMYFUNCTION("""COMPUTED_VALUE"""),92754.0)</f>
        <v>92754</v>
      </c>
      <c r="C114" s="189" t="str">
        <f>IFERROR(__xludf.DUMMYFUNCTION("""COMPUTED_VALUE"""),"Challengers League 2025 Spain Rising: Split 3 - Playoffs")</f>
        <v>Challengers League 2025 Spain Rising: Split 3 - Playoffs</v>
      </c>
      <c r="D114" s="189" t="str">
        <f>IFERROR(__xludf.DUMMYFUNCTION("""COMPUTED_VALUE"""),"Ascent")</f>
        <v>Ascent</v>
      </c>
      <c r="E114" s="189" t="str">
        <f>IFERROR(__xludf.DUMMYFUNCTION("""COMPUTED_VALUE"""),"DNSTY")</f>
        <v>DNSTY</v>
      </c>
      <c r="F114" s="189" t="str">
        <f>IFERROR(__xludf.DUMMYFUNCTION("""COMPUTED_VALUE"""),"Ramboot Club")</f>
        <v>Ramboot Club</v>
      </c>
      <c r="G114" s="189" t="str">
        <f>IFERROR(__xludf.DUMMYFUNCTION("""COMPUTED_VALUE"""),"Sova,Killjoy,Omen,Jett,KAY/O")</f>
        <v>Sova,Killjoy,Omen,Jett,KAY/O</v>
      </c>
      <c r="H114" s="189" t="str">
        <f>IFERROR(__xludf.DUMMYFUNCTION("""COMPUTED_VALUE"""),"Cypher,Sova,Omen,Jett,Yoru")</f>
        <v>Cypher,Sova,Omen,Jett,Yoru</v>
      </c>
      <c r="I114" s="189">
        <f>IFERROR(__xludf.DUMMYFUNCTION("""COMPUTED_VALUE"""),7.0)</f>
        <v>7</v>
      </c>
      <c r="J114" s="189">
        <f>IFERROR(__xludf.DUMMYFUNCTION("""COMPUTED_VALUE"""),13.0)</f>
        <v>13</v>
      </c>
      <c r="K114" s="189">
        <f>IFERROR(__xludf.DUMMYFUNCTION("""COMPUTED_VALUE"""),7.0)</f>
        <v>7</v>
      </c>
      <c r="L114" s="189">
        <f>IFERROR(__xludf.DUMMYFUNCTION("""COMPUTED_VALUE"""),5.0)</f>
        <v>5</v>
      </c>
      <c r="M114" s="189">
        <f>IFERROR(__xludf.DUMMYFUNCTION("""COMPUTED_VALUE"""),0.0)</f>
        <v>0</v>
      </c>
      <c r="N114" s="189">
        <f>IFERROR(__xludf.DUMMYFUNCTION("""COMPUTED_VALUE"""),1.0)</f>
        <v>1</v>
      </c>
      <c r="O114" s="189">
        <f>IFERROR(__xludf.DUMMYFUNCTION("""COMPUTED_VALUE"""),0.0)</f>
        <v>0</v>
      </c>
      <c r="P114" s="189">
        <f>IFERROR(__xludf.DUMMYFUNCTION("""COMPUTED_VALUE"""),8.0)</f>
        <v>8</v>
      </c>
      <c r="Q114" s="189">
        <f>IFERROR(__xludf.DUMMYFUNCTION("""COMPUTED_VALUE"""),7.0)</f>
        <v>7</v>
      </c>
      <c r="R114" s="189">
        <f>IFERROR(__xludf.DUMMYFUNCTION("""COMPUTED_VALUE"""),5.0)</f>
        <v>5</v>
      </c>
      <c r="S114" s="189">
        <f>IFERROR(__xludf.DUMMYFUNCTION("""COMPUTED_VALUE"""),0.0)</f>
        <v>0</v>
      </c>
      <c r="T114" s="189">
        <f>IFERROR(__xludf.DUMMYFUNCTION("""COMPUTED_VALUE"""),1.0)</f>
        <v>1</v>
      </c>
      <c r="U114" s="189">
        <f>IFERROR(__xludf.DUMMYFUNCTION("""COMPUTED_VALUE"""),5.0)</f>
        <v>5</v>
      </c>
      <c r="V114" s="189">
        <f>IFERROR(__xludf.DUMMYFUNCTION("""COMPUTED_VALUE"""),7.0)</f>
        <v>7</v>
      </c>
      <c r="W114" s="189">
        <f>IFERROR(__xludf.DUMMYFUNCTION("""COMPUTED_VALUE"""),8.0)</f>
        <v>8</v>
      </c>
      <c r="X114" s="189">
        <f>IFERROR(__xludf.DUMMYFUNCTION("""COMPUTED_VALUE"""),0.0)</f>
        <v>0</v>
      </c>
      <c r="Y114" s="208" t="str">
        <f>IFERROR(__xludf.DUMMYFUNCTION("""COMPUTED_VALUE"""),"2025-07-27T00:00:00.000Z")</f>
        <v>2025-07-27T00:00:00.000Z</v>
      </c>
      <c r="Z114" s="189" t="s">
        <v>93</v>
      </c>
      <c r="AA114" s="189" t="s">
        <v>410</v>
      </c>
    </row>
    <row r="115">
      <c r="A115" s="189">
        <f>IFERROR(__xludf.DUMMYFUNCTION("""COMPUTED_VALUE"""),210877.0)</f>
        <v>210877</v>
      </c>
      <c r="B115" s="189">
        <f>IFERROR(__xludf.DUMMYFUNCTION("""COMPUTED_VALUE"""),92748.0)</f>
        <v>92748</v>
      </c>
      <c r="C115" s="189" t="str">
        <f>IFERROR(__xludf.DUMMYFUNCTION("""COMPUTED_VALUE"""),"Challengers League 2025 DACH: Evolution Stage 3 - Play-Ins")</f>
        <v>Challengers League 2025 DACH: Evolution Stage 3 - Play-Ins</v>
      </c>
      <c r="D115" s="189" t="str">
        <f>IFERROR(__xludf.DUMMYFUNCTION("""COMPUTED_VALUE"""),"Haven")</f>
        <v>Haven</v>
      </c>
      <c r="E115" s="189" t="str">
        <f>IFERROR(__xludf.DUMMYFUNCTION("""COMPUTED_VALUE"""),"MOUZ")</f>
        <v>MOUZ</v>
      </c>
      <c r="F115" s="189" t="str">
        <f>IFERROR(__xludf.DUMMYFUNCTION("""COMPUTED_VALUE"""),"6GPA")</f>
        <v>6GPA</v>
      </c>
      <c r="G115" s="189" t="str">
        <f>IFERROR(__xludf.DUMMYFUNCTION("""COMPUTED_VALUE"""),"Cypher,Sova,Omen,Yoru,Iso")</f>
        <v>Cypher,Sova,Omen,Yoru,Iso</v>
      </c>
      <c r="H115" s="189" t="str">
        <f>IFERROR(__xludf.DUMMYFUNCTION("""COMPUTED_VALUE"""),"Sova,Killjoy,Viper,Omen,Yoru")</f>
        <v>Sova,Killjoy,Viper,Omen,Yoru</v>
      </c>
      <c r="I115" s="189">
        <f>IFERROR(__xludf.DUMMYFUNCTION("""COMPUTED_VALUE"""),13.0)</f>
        <v>13</v>
      </c>
      <c r="J115" s="189">
        <f>IFERROR(__xludf.DUMMYFUNCTION("""COMPUTED_VALUE"""),1.0)</f>
        <v>1</v>
      </c>
      <c r="K115" s="189">
        <f>IFERROR(__xludf.DUMMYFUNCTION("""COMPUTED_VALUE"""),11.0)</f>
        <v>11</v>
      </c>
      <c r="L115" s="189">
        <f>IFERROR(__xludf.DUMMYFUNCTION("""COMPUTED_VALUE"""),1.0)</f>
        <v>1</v>
      </c>
      <c r="M115" s="189">
        <f>IFERROR(__xludf.DUMMYFUNCTION("""COMPUTED_VALUE"""),1.0)</f>
        <v>1</v>
      </c>
      <c r="N115" s="189">
        <f>IFERROR(__xludf.DUMMYFUNCTION("""COMPUTED_VALUE"""),1.0)</f>
        <v>1</v>
      </c>
      <c r="O115" s="189">
        <f>IFERROR(__xludf.DUMMYFUNCTION("""COMPUTED_VALUE"""),11.0)</f>
        <v>11</v>
      </c>
      <c r="P115" s="189">
        <f>IFERROR(__xludf.DUMMYFUNCTION("""COMPUTED_VALUE"""),1.0)</f>
        <v>1</v>
      </c>
      <c r="Q115" s="189">
        <f>IFERROR(__xludf.DUMMYFUNCTION("""COMPUTED_VALUE"""),2.0)</f>
        <v>2</v>
      </c>
      <c r="R115" s="189">
        <f>IFERROR(__xludf.DUMMYFUNCTION("""COMPUTED_VALUE"""),0.0)</f>
        <v>0</v>
      </c>
      <c r="S115" s="189">
        <f>IFERROR(__xludf.DUMMYFUNCTION("""COMPUTED_VALUE"""),0.0)</f>
        <v>0</v>
      </c>
      <c r="T115" s="189">
        <f>IFERROR(__xludf.DUMMYFUNCTION("""COMPUTED_VALUE"""),0.0)</f>
        <v>0</v>
      </c>
      <c r="U115" s="189">
        <f>IFERROR(__xludf.DUMMYFUNCTION("""COMPUTED_VALUE"""),0.0)</f>
        <v>0</v>
      </c>
      <c r="V115" s="189">
        <f>IFERROR(__xludf.DUMMYFUNCTION("""COMPUTED_VALUE"""),2.0)</f>
        <v>2</v>
      </c>
      <c r="W115" s="189">
        <f>IFERROR(__xludf.DUMMYFUNCTION("""COMPUTED_VALUE"""),1.0)</f>
        <v>1</v>
      </c>
      <c r="X115" s="189">
        <f>IFERROR(__xludf.DUMMYFUNCTION("""COMPUTED_VALUE"""),11.0)</f>
        <v>11</v>
      </c>
      <c r="Y115" s="208" t="str">
        <f>IFERROR(__xludf.DUMMYFUNCTION("""COMPUTED_VALUE"""),"2025-07-27T00:00:00.000Z")</f>
        <v>2025-07-27T00:00:00.000Z</v>
      </c>
      <c r="Z115" s="189" t="s">
        <v>136</v>
      </c>
      <c r="AA115" s="189" t="s">
        <v>180</v>
      </c>
    </row>
    <row r="116">
      <c r="A116" s="189">
        <f>IFERROR(__xludf.DUMMYFUNCTION("""COMPUTED_VALUE"""),211058.0)</f>
        <v>211058</v>
      </c>
      <c r="B116" s="189">
        <f>IFERROR(__xludf.DUMMYFUNCTION("""COMPUTED_VALUE"""),92834.0)</f>
        <v>92834</v>
      </c>
      <c r="C116" s="189" t="str">
        <f>IFERROR(__xludf.DUMMYFUNCTION("""COMPUTED_VALUE"""),"Challengers League 2025 NORTH EAST: Split 3 - Playoffs")</f>
        <v>Challengers League 2025 NORTH EAST: Split 3 - Playoffs</v>
      </c>
      <c r="D116" s="189" t="str">
        <f>IFERROR(__xludf.DUMMYFUNCTION("""COMPUTED_VALUE"""),"Haven")</f>
        <v>Haven</v>
      </c>
      <c r="E116" s="189" t="str">
        <f>IFERROR(__xludf.DUMMYFUNCTION("""COMPUTED_VALUE"""),"Formulation Gaming")</f>
        <v>Formulation Gaming</v>
      </c>
      <c r="F116" s="189" t="str">
        <f>IFERROR(__xludf.DUMMYFUNCTION("""COMPUTED_VALUE"""),"Team Liquid Academy")</f>
        <v>Team Liquid Academy</v>
      </c>
      <c r="G116" s="189" t="str">
        <f>IFERROR(__xludf.DUMMYFUNCTION("""COMPUTED_VALUE"""),"Sova,Killjoy,Viper,Omen,Neon")</f>
        <v>Sova,Killjoy,Viper,Omen,Neon</v>
      </c>
      <c r="H116" s="189" t="str">
        <f>IFERROR(__xludf.DUMMYFUNCTION("""COMPUTED_VALUE"""),"Cypher,Sova,Omen,Yoru,Iso")</f>
        <v>Cypher,Sova,Omen,Yoru,Iso</v>
      </c>
      <c r="I116" s="189">
        <f>IFERROR(__xludf.DUMMYFUNCTION("""COMPUTED_VALUE"""),6.0)</f>
        <v>6</v>
      </c>
      <c r="J116" s="189">
        <f>IFERROR(__xludf.DUMMYFUNCTION("""COMPUTED_VALUE"""),13.0)</f>
        <v>13</v>
      </c>
      <c r="K116" s="189">
        <f>IFERROR(__xludf.DUMMYFUNCTION("""COMPUTED_VALUE"""),3.0)</f>
        <v>3</v>
      </c>
      <c r="L116" s="189">
        <f>IFERROR(__xludf.DUMMYFUNCTION("""COMPUTED_VALUE"""),9.0)</f>
        <v>9</v>
      </c>
      <c r="M116" s="189">
        <f>IFERROR(__xludf.DUMMYFUNCTION("""COMPUTED_VALUE"""),0.0)</f>
        <v>0</v>
      </c>
      <c r="N116" s="189">
        <f>IFERROR(__xludf.DUMMYFUNCTION("""COMPUTED_VALUE"""),1.0)</f>
        <v>1</v>
      </c>
      <c r="O116" s="189">
        <f>IFERROR(__xludf.DUMMYFUNCTION("""COMPUTED_VALUE"""),3.0)</f>
        <v>3</v>
      </c>
      <c r="P116" s="189">
        <f>IFERROR(__xludf.DUMMYFUNCTION("""COMPUTED_VALUE"""),9.0)</f>
        <v>9</v>
      </c>
      <c r="Q116" s="189">
        <f>IFERROR(__xludf.DUMMYFUNCTION("""COMPUTED_VALUE"""),3.0)</f>
        <v>3</v>
      </c>
      <c r="R116" s="189">
        <f>IFERROR(__xludf.DUMMYFUNCTION("""COMPUTED_VALUE"""),4.0)</f>
        <v>4</v>
      </c>
      <c r="S116" s="189">
        <f>IFERROR(__xludf.DUMMYFUNCTION("""COMPUTED_VALUE"""),0.0)</f>
        <v>0</v>
      </c>
      <c r="T116" s="189">
        <f>IFERROR(__xludf.DUMMYFUNCTION("""COMPUTED_VALUE"""),1.0)</f>
        <v>1</v>
      </c>
      <c r="U116" s="189">
        <f>IFERROR(__xludf.DUMMYFUNCTION("""COMPUTED_VALUE"""),4.0)</f>
        <v>4</v>
      </c>
      <c r="V116" s="189">
        <f>IFERROR(__xludf.DUMMYFUNCTION("""COMPUTED_VALUE"""),3.0)</f>
        <v>3</v>
      </c>
      <c r="W116" s="189">
        <f>IFERROR(__xludf.DUMMYFUNCTION("""COMPUTED_VALUE"""),9.0)</f>
        <v>9</v>
      </c>
      <c r="X116" s="189">
        <f>IFERROR(__xludf.DUMMYFUNCTION("""COMPUTED_VALUE"""),3.0)</f>
        <v>3</v>
      </c>
      <c r="Y116" s="208" t="str">
        <f>IFERROR(__xludf.DUMMYFUNCTION("""COMPUTED_VALUE"""),"2025-07-27T00:00:00.000Z")</f>
        <v>2025-07-27T00:00:00.000Z</v>
      </c>
      <c r="Z116" s="189" t="s">
        <v>414</v>
      </c>
      <c r="AA116" s="189" t="s">
        <v>1</v>
      </c>
    </row>
    <row r="117">
      <c r="A117" s="189">
        <f>IFERROR(__xludf.DUMMYFUNCTION("""COMPUTED_VALUE"""),210876.0)</f>
        <v>210876</v>
      </c>
      <c r="B117" s="189">
        <f>IFERROR(__xludf.DUMMYFUNCTION("""COMPUTED_VALUE"""),92748.0)</f>
        <v>92748</v>
      </c>
      <c r="C117" s="189" t="str">
        <f>IFERROR(__xludf.DUMMYFUNCTION("""COMPUTED_VALUE"""),"Challengers League 2025 DACH: Evolution Stage 3 - Play-Ins")</f>
        <v>Challengers League 2025 DACH: Evolution Stage 3 - Play-Ins</v>
      </c>
      <c r="D117" s="189" t="str">
        <f>IFERROR(__xludf.DUMMYFUNCTION("""COMPUTED_VALUE"""),"Bind")</f>
        <v>Bind</v>
      </c>
      <c r="E117" s="189" t="str">
        <f>IFERROR(__xludf.DUMMYFUNCTION("""COMPUTED_VALUE"""),"MOUZ")</f>
        <v>MOUZ</v>
      </c>
      <c r="F117" s="189" t="str">
        <f>IFERROR(__xludf.DUMMYFUNCTION("""COMPUTED_VALUE"""),"6GPA")</f>
        <v>6GPA</v>
      </c>
      <c r="G117" s="189" t="str">
        <f>IFERROR(__xludf.DUMMYFUNCTION("""COMPUTED_VALUE"""),"Raze,Viper,Brimstone,Yoru,Fade")</f>
        <v>Raze,Viper,Brimstone,Yoru,Fade</v>
      </c>
      <c r="H117" s="189" t="str">
        <f>IFERROR(__xludf.DUMMYFUNCTION("""COMPUTED_VALUE"""),"Raze,Viper,Brimstone,Yoru,Fade")</f>
        <v>Raze,Viper,Brimstone,Yoru,Fade</v>
      </c>
      <c r="I117" s="189">
        <f>IFERROR(__xludf.DUMMYFUNCTION("""COMPUTED_VALUE"""),13.0)</f>
        <v>13</v>
      </c>
      <c r="J117" s="189">
        <f>IFERROR(__xludf.DUMMYFUNCTION("""COMPUTED_VALUE"""),3.0)</f>
        <v>3</v>
      </c>
      <c r="K117" s="189">
        <f>IFERROR(__xludf.DUMMYFUNCTION("""COMPUTED_VALUE"""),9.0)</f>
        <v>9</v>
      </c>
      <c r="L117" s="189">
        <f>IFERROR(__xludf.DUMMYFUNCTION("""COMPUTED_VALUE"""),3.0)</f>
        <v>3</v>
      </c>
      <c r="M117" s="189">
        <f>IFERROR(__xludf.DUMMYFUNCTION("""COMPUTED_VALUE"""),1.0)</f>
        <v>1</v>
      </c>
      <c r="N117" s="189">
        <f>IFERROR(__xludf.DUMMYFUNCTION("""COMPUTED_VALUE"""),1.0)</f>
        <v>1</v>
      </c>
      <c r="O117" s="189">
        <f>IFERROR(__xludf.DUMMYFUNCTION("""COMPUTED_VALUE"""),4.0)</f>
        <v>4</v>
      </c>
      <c r="P117" s="189">
        <f>IFERROR(__xludf.DUMMYFUNCTION("""COMPUTED_VALUE"""),0.0)</f>
        <v>0</v>
      </c>
      <c r="Q117" s="189">
        <f>IFERROR(__xludf.DUMMYFUNCTION("""COMPUTED_VALUE"""),9.0)</f>
        <v>9</v>
      </c>
      <c r="R117" s="189">
        <f>IFERROR(__xludf.DUMMYFUNCTION("""COMPUTED_VALUE"""),3.0)</f>
        <v>3</v>
      </c>
      <c r="S117" s="189">
        <f>IFERROR(__xludf.DUMMYFUNCTION("""COMPUTED_VALUE"""),0.0)</f>
        <v>0</v>
      </c>
      <c r="T117" s="189">
        <f>IFERROR(__xludf.DUMMYFUNCTION("""COMPUTED_VALUE"""),0.0)</f>
        <v>0</v>
      </c>
      <c r="U117" s="189">
        <f>IFERROR(__xludf.DUMMYFUNCTION("""COMPUTED_VALUE"""),3.0)</f>
        <v>3</v>
      </c>
      <c r="V117" s="189">
        <f>IFERROR(__xludf.DUMMYFUNCTION("""COMPUTED_VALUE"""),9.0)</f>
        <v>9</v>
      </c>
      <c r="W117" s="189">
        <f>IFERROR(__xludf.DUMMYFUNCTION("""COMPUTED_VALUE"""),0.0)</f>
        <v>0</v>
      </c>
      <c r="X117" s="189">
        <f>IFERROR(__xludf.DUMMYFUNCTION("""COMPUTED_VALUE"""),4.0)</f>
        <v>4</v>
      </c>
      <c r="Y117" s="208" t="str">
        <f>IFERROR(__xludf.DUMMYFUNCTION("""COMPUTED_VALUE"""),"2025-07-27T00:00:00.000Z")</f>
        <v>2025-07-27T00:00:00.000Z</v>
      </c>
      <c r="Z117" s="189" t="s">
        <v>134</v>
      </c>
      <c r="AA117" s="189" t="s">
        <v>180</v>
      </c>
    </row>
    <row r="118">
      <c r="A118" s="189">
        <f>IFERROR(__xludf.DUMMYFUNCTION("""COMPUTED_VALUE"""),211057.0)</f>
        <v>211057</v>
      </c>
      <c r="B118" s="189">
        <f>IFERROR(__xludf.DUMMYFUNCTION("""COMPUTED_VALUE"""),92834.0)</f>
        <v>92834</v>
      </c>
      <c r="C118" s="189" t="str">
        <f>IFERROR(__xludf.DUMMYFUNCTION("""COMPUTED_VALUE"""),"Challengers League 2025 NORTH EAST: Split 3 - Playoffs")</f>
        <v>Challengers League 2025 NORTH EAST: Split 3 - Playoffs</v>
      </c>
      <c r="D118" s="189" t="str">
        <f>IFERROR(__xludf.DUMMYFUNCTION("""COMPUTED_VALUE"""),"Lotus")</f>
        <v>Lotus</v>
      </c>
      <c r="E118" s="189" t="str">
        <f>IFERROR(__xludf.DUMMYFUNCTION("""COMPUTED_VALUE"""),"Formulation Gaming")</f>
        <v>Formulation Gaming</v>
      </c>
      <c r="F118" s="189" t="str">
        <f>IFERROR(__xludf.DUMMYFUNCTION("""COMPUTED_VALUE"""),"Team Liquid Academy")</f>
        <v>Team Liquid Academy</v>
      </c>
      <c r="G118" s="189" t="str">
        <f>IFERROR(__xludf.DUMMYFUNCTION("""COMPUTED_VALUE"""),"Cypher,Omen,Neon,Fade,Deadlock")</f>
        <v>Cypher,Omen,Neon,Fade,Deadlock</v>
      </c>
      <c r="H118" s="189" t="str">
        <f>IFERROR(__xludf.DUMMYFUNCTION("""COMPUTED_VALUE"""),"Breach,Cypher,Omen,Neon,Fade")</f>
        <v>Breach,Cypher,Omen,Neon,Fade</v>
      </c>
      <c r="I118" s="189">
        <f>IFERROR(__xludf.DUMMYFUNCTION("""COMPUTED_VALUE"""),13.0)</f>
        <v>13</v>
      </c>
      <c r="J118" s="189">
        <f>IFERROR(__xludf.DUMMYFUNCTION("""COMPUTED_VALUE"""),9.0)</f>
        <v>9</v>
      </c>
      <c r="K118" s="189">
        <f>IFERROR(__xludf.DUMMYFUNCTION("""COMPUTED_VALUE"""),5.0)</f>
        <v>5</v>
      </c>
      <c r="L118" s="189">
        <f>IFERROR(__xludf.DUMMYFUNCTION("""COMPUTED_VALUE"""),7.0)</f>
        <v>7</v>
      </c>
      <c r="M118" s="189">
        <f>IFERROR(__xludf.DUMMYFUNCTION("""COMPUTED_VALUE"""),1.0)</f>
        <v>1</v>
      </c>
      <c r="N118" s="189">
        <f>IFERROR(__xludf.DUMMYFUNCTION("""COMPUTED_VALUE"""),1.0)</f>
        <v>1</v>
      </c>
      <c r="O118" s="189">
        <f>IFERROR(__xludf.DUMMYFUNCTION("""COMPUTED_VALUE"""),5.0)</f>
        <v>5</v>
      </c>
      <c r="P118" s="189">
        <f>IFERROR(__xludf.DUMMYFUNCTION("""COMPUTED_VALUE"""),7.0)</f>
        <v>7</v>
      </c>
      <c r="Q118" s="189">
        <f>IFERROR(__xludf.DUMMYFUNCTION("""COMPUTED_VALUE"""),8.0)</f>
        <v>8</v>
      </c>
      <c r="R118" s="189">
        <f>IFERROR(__xludf.DUMMYFUNCTION("""COMPUTED_VALUE"""),2.0)</f>
        <v>2</v>
      </c>
      <c r="S118" s="189">
        <f>IFERROR(__xludf.DUMMYFUNCTION("""COMPUTED_VALUE"""),0.0)</f>
        <v>0</v>
      </c>
      <c r="T118" s="189">
        <f>IFERROR(__xludf.DUMMYFUNCTION("""COMPUTED_VALUE"""),0.0)</f>
        <v>0</v>
      </c>
      <c r="U118" s="189">
        <f>IFERROR(__xludf.DUMMYFUNCTION("""COMPUTED_VALUE"""),2.0)</f>
        <v>2</v>
      </c>
      <c r="V118" s="189">
        <f>IFERROR(__xludf.DUMMYFUNCTION("""COMPUTED_VALUE"""),8.0)</f>
        <v>8</v>
      </c>
      <c r="W118" s="189">
        <f>IFERROR(__xludf.DUMMYFUNCTION("""COMPUTED_VALUE"""),7.0)</f>
        <v>7</v>
      </c>
      <c r="X118" s="189">
        <f>IFERROR(__xludf.DUMMYFUNCTION("""COMPUTED_VALUE"""),5.0)</f>
        <v>5</v>
      </c>
      <c r="Y118" s="208" t="str">
        <f>IFERROR(__xludf.DUMMYFUNCTION("""COMPUTED_VALUE"""),"2025-07-27T00:00:00.000Z")</f>
        <v>2025-07-27T00:00:00.000Z</v>
      </c>
      <c r="Z118" s="189" t="s">
        <v>415</v>
      </c>
      <c r="AA118" s="189" t="s">
        <v>401</v>
      </c>
    </row>
    <row r="119">
      <c r="A119" s="189">
        <f>IFERROR(__xludf.DUMMYFUNCTION("""COMPUTED_VALUE"""),211056.0)</f>
        <v>211056</v>
      </c>
      <c r="B119" s="189">
        <f>IFERROR(__xludf.DUMMYFUNCTION("""COMPUTED_VALUE"""),92834.0)</f>
        <v>92834</v>
      </c>
      <c r="C119" s="189" t="str">
        <f>IFERROR(__xludf.DUMMYFUNCTION("""COMPUTED_VALUE"""),"Challengers League 2025 NORTH EAST: Split 3 - Playoffs")</f>
        <v>Challengers League 2025 NORTH EAST: Split 3 - Playoffs</v>
      </c>
      <c r="D119" s="189" t="str">
        <f>IFERROR(__xludf.DUMMYFUNCTION("""COMPUTED_VALUE"""),"Corrode")</f>
        <v>Corrode</v>
      </c>
      <c r="E119" s="189" t="str">
        <f>IFERROR(__xludf.DUMMYFUNCTION("""COMPUTED_VALUE"""),"Formulation Gaming")</f>
        <v>Formulation Gaming</v>
      </c>
      <c r="F119" s="189" t="str">
        <f>IFERROR(__xludf.DUMMYFUNCTION("""COMPUTED_VALUE"""),"Team Liquid Academy")</f>
        <v>Team Liquid Academy</v>
      </c>
      <c r="G119" s="189" t="str">
        <f>IFERROR(__xludf.DUMMYFUNCTION("""COMPUTED_VALUE"""),"Viper,Omen,Neon,Fade,Vyse")</f>
        <v>Viper,Omen,Neon,Fade,Vyse</v>
      </c>
      <c r="H119" s="189" t="str">
        <f>IFERROR(__xludf.DUMMYFUNCTION("""COMPUTED_VALUE"""),"Cypher,Phoenix,Omen,Yoru,Fade")</f>
        <v>Cypher,Phoenix,Omen,Yoru,Fade</v>
      </c>
      <c r="I119" s="189">
        <f>IFERROR(__xludf.DUMMYFUNCTION("""COMPUTED_VALUE"""),8.0)</f>
        <v>8</v>
      </c>
      <c r="J119" s="189">
        <f>IFERROR(__xludf.DUMMYFUNCTION("""COMPUTED_VALUE"""),13.0)</f>
        <v>13</v>
      </c>
      <c r="K119" s="189">
        <f>IFERROR(__xludf.DUMMYFUNCTION("""COMPUTED_VALUE"""),5.0)</f>
        <v>5</v>
      </c>
      <c r="L119" s="189">
        <f>IFERROR(__xludf.DUMMYFUNCTION("""COMPUTED_VALUE"""),7.0)</f>
        <v>7</v>
      </c>
      <c r="M119" s="189">
        <f>IFERROR(__xludf.DUMMYFUNCTION("""COMPUTED_VALUE"""),1.0)</f>
        <v>1</v>
      </c>
      <c r="N119" s="189">
        <f>IFERROR(__xludf.DUMMYFUNCTION("""COMPUTED_VALUE"""),1.0)</f>
        <v>1</v>
      </c>
      <c r="O119" s="189">
        <f>IFERROR(__xludf.DUMMYFUNCTION("""COMPUTED_VALUE"""),3.0)</f>
        <v>3</v>
      </c>
      <c r="P119" s="189">
        <f>IFERROR(__xludf.DUMMYFUNCTION("""COMPUTED_VALUE"""),6.0)</f>
        <v>6</v>
      </c>
      <c r="Q119" s="189">
        <f>IFERROR(__xludf.DUMMYFUNCTION("""COMPUTED_VALUE"""),5.0)</f>
        <v>5</v>
      </c>
      <c r="R119" s="189">
        <f>IFERROR(__xludf.DUMMYFUNCTION("""COMPUTED_VALUE"""),7.0)</f>
        <v>7</v>
      </c>
      <c r="S119" s="189">
        <f>IFERROR(__xludf.DUMMYFUNCTION("""COMPUTED_VALUE"""),0.0)</f>
        <v>0</v>
      </c>
      <c r="T119" s="189">
        <f>IFERROR(__xludf.DUMMYFUNCTION("""COMPUTED_VALUE"""),0.0)</f>
        <v>0</v>
      </c>
      <c r="U119" s="189">
        <f>IFERROR(__xludf.DUMMYFUNCTION("""COMPUTED_VALUE"""),7.0)</f>
        <v>7</v>
      </c>
      <c r="V119" s="189">
        <f>IFERROR(__xludf.DUMMYFUNCTION("""COMPUTED_VALUE"""),5.0)</f>
        <v>5</v>
      </c>
      <c r="W119" s="189">
        <f>IFERROR(__xludf.DUMMYFUNCTION("""COMPUTED_VALUE"""),6.0)</f>
        <v>6</v>
      </c>
      <c r="X119" s="189">
        <f>IFERROR(__xludf.DUMMYFUNCTION("""COMPUTED_VALUE"""),3.0)</f>
        <v>3</v>
      </c>
      <c r="Y119" s="208" t="str">
        <f>IFERROR(__xludf.DUMMYFUNCTION("""COMPUTED_VALUE"""),"2025-07-27T00:00:00.000Z")</f>
        <v>2025-07-27T00:00:00.000Z</v>
      </c>
      <c r="Z119" s="189" t="s">
        <v>416</v>
      </c>
      <c r="AA119" s="189" t="s">
        <v>1</v>
      </c>
    </row>
    <row r="120">
      <c r="A120" s="189">
        <f>IFERROR(__xludf.DUMMYFUNCTION("""COMPUTED_VALUE"""),210868.0)</f>
        <v>210868</v>
      </c>
      <c r="B120" s="189">
        <f>IFERROR(__xludf.DUMMYFUNCTION("""COMPUTED_VALUE"""),92745.0)</f>
        <v>92745</v>
      </c>
      <c r="C120" s="189" t="str">
        <f>IFERROR(__xludf.DUMMYFUNCTION("""COMPUTED_VALUE"""),"Challengers League 2025 DACH: Evolution Stage 3 - Play-Ins")</f>
        <v>Challengers League 2025 DACH: Evolution Stage 3 - Play-Ins</v>
      </c>
      <c r="D120" s="189" t="str">
        <f>IFERROR(__xludf.DUMMYFUNCTION("""COMPUTED_VALUE"""),"Sunset")</f>
        <v>Sunset</v>
      </c>
      <c r="E120" s="189" t="str">
        <f>IFERROR(__xludf.DUMMYFUNCTION("""COMPUTED_VALUE"""),"Eintracht Frankfurt")</f>
        <v>Eintracht Frankfurt</v>
      </c>
      <c r="F120" s="189" t="str">
        <f>IFERROR(__xludf.DUMMYFUNCTION("""COMPUTED_VALUE"""),"XPERION NXT")</f>
        <v>XPERION NXT</v>
      </c>
      <c r="G120" s="189" t="str">
        <f>IFERROR(__xludf.DUMMYFUNCTION("""COMPUTED_VALUE"""),"Cypher,Sova,Omen,KAY/O,Neon")</f>
        <v>Cypher,Sova,Omen,KAY/O,Neon</v>
      </c>
      <c r="H120" s="189" t="str">
        <f>IFERROR(__xludf.DUMMYFUNCTION("""COMPUTED_VALUE"""),"Cypher,Sova,Omen,Yoru,Neon")</f>
        <v>Cypher,Sova,Omen,Yoru,Neon</v>
      </c>
      <c r="I120" s="189">
        <f>IFERROR(__xludf.DUMMYFUNCTION("""COMPUTED_VALUE"""),13.0)</f>
        <v>13</v>
      </c>
      <c r="J120" s="189">
        <f>IFERROR(__xludf.DUMMYFUNCTION("""COMPUTED_VALUE"""),7.0)</f>
        <v>7</v>
      </c>
      <c r="K120" s="189">
        <f>IFERROR(__xludf.DUMMYFUNCTION("""COMPUTED_VALUE"""),8.0)</f>
        <v>8</v>
      </c>
      <c r="L120" s="189">
        <f>IFERROR(__xludf.DUMMYFUNCTION("""COMPUTED_VALUE"""),4.0)</f>
        <v>4</v>
      </c>
      <c r="M120" s="189">
        <f>IFERROR(__xludf.DUMMYFUNCTION("""COMPUTED_VALUE"""),0.0)</f>
        <v>0</v>
      </c>
      <c r="N120" s="189">
        <f>IFERROR(__xludf.DUMMYFUNCTION("""COMPUTED_VALUE"""),0.0)</f>
        <v>0</v>
      </c>
      <c r="O120" s="189">
        <f>IFERROR(__xludf.DUMMYFUNCTION("""COMPUTED_VALUE"""),8.0)</f>
        <v>8</v>
      </c>
      <c r="P120" s="189">
        <f>IFERROR(__xludf.DUMMYFUNCTION("""COMPUTED_VALUE"""),4.0)</f>
        <v>4</v>
      </c>
      <c r="Q120" s="189">
        <f>IFERROR(__xludf.DUMMYFUNCTION("""COMPUTED_VALUE"""),5.0)</f>
        <v>5</v>
      </c>
      <c r="R120" s="189">
        <f>IFERROR(__xludf.DUMMYFUNCTION("""COMPUTED_VALUE"""),3.0)</f>
        <v>3</v>
      </c>
      <c r="S120" s="189">
        <f>IFERROR(__xludf.DUMMYFUNCTION("""COMPUTED_VALUE"""),1.0)</f>
        <v>1</v>
      </c>
      <c r="T120" s="189">
        <f>IFERROR(__xludf.DUMMYFUNCTION("""COMPUTED_VALUE"""),1.0)</f>
        <v>1</v>
      </c>
      <c r="U120" s="189">
        <f>IFERROR(__xludf.DUMMYFUNCTION("""COMPUTED_VALUE"""),3.0)</f>
        <v>3</v>
      </c>
      <c r="V120" s="189">
        <f>IFERROR(__xludf.DUMMYFUNCTION("""COMPUTED_VALUE"""),5.0)</f>
        <v>5</v>
      </c>
      <c r="W120" s="189">
        <f>IFERROR(__xludf.DUMMYFUNCTION("""COMPUTED_VALUE"""),4.0)</f>
        <v>4</v>
      </c>
      <c r="X120" s="189">
        <f>IFERROR(__xludf.DUMMYFUNCTION("""COMPUTED_VALUE"""),8.0)</f>
        <v>8</v>
      </c>
      <c r="Y120" s="208" t="str">
        <f>IFERROR(__xludf.DUMMYFUNCTION("""COMPUTED_VALUE"""),"2025-07-26T00:00:00.000Z")</f>
        <v>2025-07-26T00:00:00.000Z</v>
      </c>
      <c r="Z120" s="189" t="s">
        <v>106</v>
      </c>
      <c r="AA120" s="189" t="s">
        <v>183</v>
      </c>
    </row>
    <row r="121">
      <c r="A121" s="189">
        <f>IFERROR(__xludf.DUMMYFUNCTION("""COMPUTED_VALUE"""),210867.0)</f>
        <v>210867</v>
      </c>
      <c r="B121" s="189">
        <f>IFERROR(__xludf.DUMMYFUNCTION("""COMPUTED_VALUE"""),92745.0)</f>
        <v>92745</v>
      </c>
      <c r="C121" s="189" t="str">
        <f>IFERROR(__xludf.DUMMYFUNCTION("""COMPUTED_VALUE"""),"Challengers League 2025 DACH: Evolution Stage 3 - Play-Ins")</f>
        <v>Challengers League 2025 DACH: Evolution Stage 3 - Play-Ins</v>
      </c>
      <c r="D121" s="189" t="str">
        <f>IFERROR(__xludf.DUMMYFUNCTION("""COMPUTED_VALUE"""),"Corrode")</f>
        <v>Corrode</v>
      </c>
      <c r="E121" s="189" t="str">
        <f>IFERROR(__xludf.DUMMYFUNCTION("""COMPUTED_VALUE"""),"Eintracht Frankfurt")</f>
        <v>Eintracht Frankfurt</v>
      </c>
      <c r="F121" s="189" t="str">
        <f>IFERROR(__xludf.DUMMYFUNCTION("""COMPUTED_VALUE"""),"XPERION NXT")</f>
        <v>XPERION NXT</v>
      </c>
      <c r="G121" s="189" t="str">
        <f>IFERROR(__xludf.DUMMYFUNCTION("""COMPUTED_VALUE"""),"Viper,Phoenix,Omen,Neon,Fade")</f>
        <v>Viper,Phoenix,Omen,Neon,Fade</v>
      </c>
      <c r="H121" s="189" t="str">
        <f>IFERROR(__xludf.DUMMYFUNCTION("""COMPUTED_VALUE"""),"Cypher,Yoru,Astra,Neon,Fade")</f>
        <v>Cypher,Yoru,Astra,Neon,Fade</v>
      </c>
      <c r="I121" s="189">
        <f>IFERROR(__xludf.DUMMYFUNCTION("""COMPUTED_VALUE"""),13.0)</f>
        <v>13</v>
      </c>
      <c r="J121" s="189">
        <f>IFERROR(__xludf.DUMMYFUNCTION("""COMPUTED_VALUE"""),8.0)</f>
        <v>8</v>
      </c>
      <c r="K121" s="189">
        <f>IFERROR(__xludf.DUMMYFUNCTION("""COMPUTED_VALUE"""),6.0)</f>
        <v>6</v>
      </c>
      <c r="L121" s="189">
        <f>IFERROR(__xludf.DUMMYFUNCTION("""COMPUTED_VALUE"""),6.0)</f>
        <v>6</v>
      </c>
      <c r="M121" s="189">
        <f>IFERROR(__xludf.DUMMYFUNCTION("""COMPUTED_VALUE"""),1.0)</f>
        <v>1</v>
      </c>
      <c r="N121" s="189">
        <f>IFERROR(__xludf.DUMMYFUNCTION("""COMPUTED_VALUE"""),1.0)</f>
        <v>1</v>
      </c>
      <c r="O121" s="189">
        <f>IFERROR(__xludf.DUMMYFUNCTION("""COMPUTED_VALUE"""),7.0)</f>
        <v>7</v>
      </c>
      <c r="P121" s="189">
        <f>IFERROR(__xludf.DUMMYFUNCTION("""COMPUTED_VALUE"""),2.0)</f>
        <v>2</v>
      </c>
      <c r="Q121" s="189">
        <f>IFERROR(__xludf.DUMMYFUNCTION("""COMPUTED_VALUE"""),6.0)</f>
        <v>6</v>
      </c>
      <c r="R121" s="189">
        <f>IFERROR(__xludf.DUMMYFUNCTION("""COMPUTED_VALUE"""),6.0)</f>
        <v>6</v>
      </c>
      <c r="S121" s="189">
        <f>IFERROR(__xludf.DUMMYFUNCTION("""COMPUTED_VALUE"""),0.0)</f>
        <v>0</v>
      </c>
      <c r="T121" s="189">
        <f>IFERROR(__xludf.DUMMYFUNCTION("""COMPUTED_VALUE"""),0.0)</f>
        <v>0</v>
      </c>
      <c r="U121" s="189">
        <f>IFERROR(__xludf.DUMMYFUNCTION("""COMPUTED_VALUE"""),6.0)</f>
        <v>6</v>
      </c>
      <c r="V121" s="189">
        <f>IFERROR(__xludf.DUMMYFUNCTION("""COMPUTED_VALUE"""),6.0)</f>
        <v>6</v>
      </c>
      <c r="W121" s="189">
        <f>IFERROR(__xludf.DUMMYFUNCTION("""COMPUTED_VALUE"""),2.0)</f>
        <v>2</v>
      </c>
      <c r="X121" s="189">
        <f>IFERROR(__xludf.DUMMYFUNCTION("""COMPUTED_VALUE"""),7.0)</f>
        <v>7</v>
      </c>
      <c r="Y121" s="208" t="str">
        <f>IFERROR(__xludf.DUMMYFUNCTION("""COMPUTED_VALUE"""),"2025-07-26T00:00:00.000Z")</f>
        <v>2025-07-26T00:00:00.000Z</v>
      </c>
      <c r="Z121" s="189" t="s">
        <v>101</v>
      </c>
      <c r="AA121" s="189" t="s">
        <v>183</v>
      </c>
    </row>
    <row r="122">
      <c r="A122" s="189">
        <f>IFERROR(__xludf.DUMMYFUNCTION("""COMPUTED_VALUE"""),211055.0)</f>
        <v>211055</v>
      </c>
      <c r="B122" s="189">
        <f>IFERROR(__xludf.DUMMYFUNCTION("""COMPUTED_VALUE"""),92833.0)</f>
        <v>92833</v>
      </c>
      <c r="C122" s="189" t="str">
        <f>IFERROR(__xludf.DUMMYFUNCTION("""COMPUTED_VALUE"""),"Challengers League 2025 NORTH EAST: Split 3 - Playoffs")</f>
        <v>Challengers League 2025 NORTH EAST: Split 3 - Playoffs</v>
      </c>
      <c r="D122" s="189" t="str">
        <f>IFERROR(__xludf.DUMMYFUNCTION("""COMPUTED_VALUE"""),"Haven")</f>
        <v>Haven</v>
      </c>
      <c r="E122" s="189" t="str">
        <f>IFERROR(__xludf.DUMMYFUNCTION("""COMPUTED_VALUE"""),"Metizport")</f>
        <v>Metizport</v>
      </c>
      <c r="F122" s="189" t="str">
        <f>IFERROR(__xludf.DUMMYFUNCTION("""COMPUTED_VALUE"""),"Boars Gaming")</f>
        <v>Boars Gaming</v>
      </c>
      <c r="G122" s="189" t="str">
        <f>IFERROR(__xludf.DUMMYFUNCTION("""COMPUTED_VALUE"""),"Sova,Killjoy,Viper,Omen,Neon")</f>
        <v>Sova,Killjoy,Viper,Omen,Neon</v>
      </c>
      <c r="H122" s="189" t="str">
        <f>IFERROR(__xludf.DUMMYFUNCTION("""COMPUTED_VALUE"""),"Breach,Cypher,Sova,Omen,Neon")</f>
        <v>Breach,Cypher,Sova,Omen,Neon</v>
      </c>
      <c r="I122" s="189">
        <f>IFERROR(__xludf.DUMMYFUNCTION("""COMPUTED_VALUE"""),2.0)</f>
        <v>2</v>
      </c>
      <c r="J122" s="189">
        <f>IFERROR(__xludf.DUMMYFUNCTION("""COMPUTED_VALUE"""),13.0)</f>
        <v>13</v>
      </c>
      <c r="K122" s="189">
        <f>IFERROR(__xludf.DUMMYFUNCTION("""COMPUTED_VALUE"""),2.0)</f>
        <v>2</v>
      </c>
      <c r="L122" s="189">
        <f>IFERROR(__xludf.DUMMYFUNCTION("""COMPUTED_VALUE"""),10.0)</f>
        <v>10</v>
      </c>
      <c r="M122" s="189">
        <f>IFERROR(__xludf.DUMMYFUNCTION("""COMPUTED_VALUE"""),0.0)</f>
        <v>0</v>
      </c>
      <c r="N122" s="189">
        <f>IFERROR(__xludf.DUMMYFUNCTION("""COMPUTED_VALUE"""),0.0)</f>
        <v>0</v>
      </c>
      <c r="O122" s="189">
        <f>IFERROR(__xludf.DUMMYFUNCTION("""COMPUTED_VALUE"""),0.0)</f>
        <v>0</v>
      </c>
      <c r="P122" s="189">
        <f>IFERROR(__xludf.DUMMYFUNCTION("""COMPUTED_VALUE"""),3.0)</f>
        <v>3</v>
      </c>
      <c r="Q122" s="189">
        <f>IFERROR(__xludf.DUMMYFUNCTION("""COMPUTED_VALUE"""),2.0)</f>
        <v>2</v>
      </c>
      <c r="R122" s="189">
        <f>IFERROR(__xludf.DUMMYFUNCTION("""COMPUTED_VALUE"""),10.0)</f>
        <v>10</v>
      </c>
      <c r="S122" s="189">
        <f>IFERROR(__xludf.DUMMYFUNCTION("""COMPUTED_VALUE"""),1.0)</f>
        <v>1</v>
      </c>
      <c r="T122" s="189">
        <f>IFERROR(__xludf.DUMMYFUNCTION("""COMPUTED_VALUE"""),1.0)</f>
        <v>1</v>
      </c>
      <c r="U122" s="189">
        <f>IFERROR(__xludf.DUMMYFUNCTION("""COMPUTED_VALUE"""),10.0)</f>
        <v>10</v>
      </c>
      <c r="V122" s="189">
        <f>IFERROR(__xludf.DUMMYFUNCTION("""COMPUTED_VALUE"""),2.0)</f>
        <v>2</v>
      </c>
      <c r="W122" s="189">
        <f>IFERROR(__xludf.DUMMYFUNCTION("""COMPUTED_VALUE"""),3.0)</f>
        <v>3</v>
      </c>
      <c r="X122" s="189">
        <f>IFERROR(__xludf.DUMMYFUNCTION("""COMPUTED_VALUE"""),0.0)</f>
        <v>0</v>
      </c>
      <c r="Y122" s="208" t="str">
        <f>IFERROR(__xludf.DUMMYFUNCTION("""COMPUTED_VALUE"""),"2025-07-26T00:00:00.000Z")</f>
        <v>2025-07-26T00:00:00.000Z</v>
      </c>
      <c r="Z122" s="189" t="s">
        <v>417</v>
      </c>
      <c r="AA122" s="189" t="s">
        <v>181</v>
      </c>
    </row>
    <row r="123">
      <c r="A123" s="189">
        <f>IFERROR(__xludf.DUMMYFUNCTION("""COMPUTED_VALUE"""),211054.0)</f>
        <v>211054</v>
      </c>
      <c r="B123" s="189">
        <f>IFERROR(__xludf.DUMMYFUNCTION("""COMPUTED_VALUE"""),92833.0)</f>
        <v>92833</v>
      </c>
      <c r="C123" s="189" t="str">
        <f>IFERROR(__xludf.DUMMYFUNCTION("""COMPUTED_VALUE"""),"Challengers League 2025 NORTH EAST: Split 3 - Playoffs")</f>
        <v>Challengers League 2025 NORTH EAST: Split 3 - Playoffs</v>
      </c>
      <c r="D123" s="189" t="str">
        <f>IFERROR(__xludf.DUMMYFUNCTION("""COMPUTED_VALUE"""),"Sunset")</f>
        <v>Sunset</v>
      </c>
      <c r="E123" s="189" t="str">
        <f>IFERROR(__xludf.DUMMYFUNCTION("""COMPUTED_VALUE"""),"Metizport")</f>
        <v>Metizport</v>
      </c>
      <c r="F123" s="189" t="str">
        <f>IFERROR(__xludf.DUMMYFUNCTION("""COMPUTED_VALUE"""),"Boars Gaming")</f>
        <v>Boars Gaming</v>
      </c>
      <c r="G123" s="189" t="str">
        <f>IFERROR(__xludf.DUMMYFUNCTION("""COMPUTED_VALUE"""),"Breach,Cypher,Sova,Omen,Neon")</f>
        <v>Breach,Cypher,Sova,Omen,Neon</v>
      </c>
      <c r="H123" s="189" t="str">
        <f>IFERROR(__xludf.DUMMYFUNCTION("""COMPUTED_VALUE"""),"Cypher,Sova,Omen,KAY/O,Neon")</f>
        <v>Cypher,Sova,Omen,KAY/O,Neon</v>
      </c>
      <c r="I123" s="189">
        <f>IFERROR(__xludf.DUMMYFUNCTION("""COMPUTED_VALUE"""),13.0)</f>
        <v>13</v>
      </c>
      <c r="J123" s="189">
        <f>IFERROR(__xludf.DUMMYFUNCTION("""COMPUTED_VALUE"""),7.0)</f>
        <v>7</v>
      </c>
      <c r="K123" s="189">
        <f>IFERROR(__xludf.DUMMYFUNCTION("""COMPUTED_VALUE"""),7.0)</f>
        <v>7</v>
      </c>
      <c r="L123" s="189">
        <f>IFERROR(__xludf.DUMMYFUNCTION("""COMPUTED_VALUE"""),5.0)</f>
        <v>5</v>
      </c>
      <c r="M123" s="189">
        <f>IFERROR(__xludf.DUMMYFUNCTION("""COMPUTED_VALUE"""),1.0)</f>
        <v>1</v>
      </c>
      <c r="N123" s="189">
        <f>IFERROR(__xludf.DUMMYFUNCTION("""COMPUTED_VALUE"""),0.0)</f>
        <v>0</v>
      </c>
      <c r="O123" s="189">
        <f>IFERROR(__xludf.DUMMYFUNCTION("""COMPUTED_VALUE"""),6.0)</f>
        <v>6</v>
      </c>
      <c r="P123" s="189">
        <f>IFERROR(__xludf.DUMMYFUNCTION("""COMPUTED_VALUE"""),2.0)</f>
        <v>2</v>
      </c>
      <c r="Q123" s="189">
        <f>IFERROR(__xludf.DUMMYFUNCTION("""COMPUTED_VALUE"""),7.0)</f>
        <v>7</v>
      </c>
      <c r="R123" s="189">
        <f>IFERROR(__xludf.DUMMYFUNCTION("""COMPUTED_VALUE"""),5.0)</f>
        <v>5</v>
      </c>
      <c r="S123" s="189">
        <f>IFERROR(__xludf.DUMMYFUNCTION("""COMPUTED_VALUE"""),1.0)</f>
        <v>1</v>
      </c>
      <c r="T123" s="189">
        <f>IFERROR(__xludf.DUMMYFUNCTION("""COMPUTED_VALUE"""),0.0)</f>
        <v>0</v>
      </c>
      <c r="U123" s="189">
        <f>IFERROR(__xludf.DUMMYFUNCTION("""COMPUTED_VALUE"""),5.0)</f>
        <v>5</v>
      </c>
      <c r="V123" s="189">
        <f>IFERROR(__xludf.DUMMYFUNCTION("""COMPUTED_VALUE"""),7.0)</f>
        <v>7</v>
      </c>
      <c r="W123" s="189">
        <f>IFERROR(__xludf.DUMMYFUNCTION("""COMPUTED_VALUE"""),2.0)</f>
        <v>2</v>
      </c>
      <c r="X123" s="189">
        <f>IFERROR(__xludf.DUMMYFUNCTION("""COMPUTED_VALUE"""),6.0)</f>
        <v>6</v>
      </c>
      <c r="Y123" s="208" t="str">
        <f>IFERROR(__xludf.DUMMYFUNCTION("""COMPUTED_VALUE"""),"2025-07-26T00:00:00.000Z")</f>
        <v>2025-07-26T00:00:00.000Z</v>
      </c>
      <c r="Z123" s="189" t="s">
        <v>418</v>
      </c>
      <c r="AA123" s="189" t="s">
        <v>404</v>
      </c>
    </row>
    <row r="124">
      <c r="A124" s="189">
        <f>IFERROR(__xludf.DUMMYFUNCTION("""COMPUTED_VALUE"""),211053.0)</f>
        <v>211053</v>
      </c>
      <c r="B124" s="189">
        <f>IFERROR(__xludf.DUMMYFUNCTION("""COMPUTED_VALUE"""),92833.0)</f>
        <v>92833</v>
      </c>
      <c r="C124" s="189" t="str">
        <f>IFERROR(__xludf.DUMMYFUNCTION("""COMPUTED_VALUE"""),"Challengers League 2025 NORTH EAST: Split 3 - Playoffs")</f>
        <v>Challengers League 2025 NORTH EAST: Split 3 - Playoffs</v>
      </c>
      <c r="D124" s="189" t="str">
        <f>IFERROR(__xludf.DUMMYFUNCTION("""COMPUTED_VALUE"""),"Lotus")</f>
        <v>Lotus</v>
      </c>
      <c r="E124" s="189" t="str">
        <f>IFERROR(__xludf.DUMMYFUNCTION("""COMPUTED_VALUE"""),"Metizport")</f>
        <v>Metizport</v>
      </c>
      <c r="F124" s="189" t="str">
        <f>IFERROR(__xludf.DUMMYFUNCTION("""COMPUTED_VALUE"""),"Boars Gaming")</f>
        <v>Boars Gaming</v>
      </c>
      <c r="G124" s="189" t="str">
        <f>IFERROR(__xludf.DUMMYFUNCTION("""COMPUTED_VALUE"""),"Raze,Omen,Yoru,Fade,Vyse")</f>
        <v>Raze,Omen,Yoru,Fade,Vyse</v>
      </c>
      <c r="H124" s="189" t="str">
        <f>IFERROR(__xludf.DUMMYFUNCTION("""COMPUTED_VALUE"""),"Breach,Cypher,Omen,Neon,Fade")</f>
        <v>Breach,Cypher,Omen,Neon,Fade</v>
      </c>
      <c r="I124" s="189">
        <f>IFERROR(__xludf.DUMMYFUNCTION("""COMPUTED_VALUE"""),5.0)</f>
        <v>5</v>
      </c>
      <c r="J124" s="189">
        <f>IFERROR(__xludf.DUMMYFUNCTION("""COMPUTED_VALUE"""),13.0)</f>
        <v>13</v>
      </c>
      <c r="K124" s="189">
        <f>IFERROR(__xludf.DUMMYFUNCTION("""COMPUTED_VALUE"""),4.0)</f>
        <v>4</v>
      </c>
      <c r="L124" s="189">
        <f>IFERROR(__xludf.DUMMYFUNCTION("""COMPUTED_VALUE"""),8.0)</f>
        <v>8</v>
      </c>
      <c r="M124" s="189">
        <f>IFERROR(__xludf.DUMMYFUNCTION("""COMPUTED_VALUE"""),1.0)</f>
        <v>1</v>
      </c>
      <c r="N124" s="189">
        <f>IFERROR(__xludf.DUMMYFUNCTION("""COMPUTED_VALUE"""),0.0)</f>
        <v>0</v>
      </c>
      <c r="O124" s="189">
        <f>IFERROR(__xludf.DUMMYFUNCTION("""COMPUTED_VALUE"""),4.0)</f>
        <v>4</v>
      </c>
      <c r="P124" s="189">
        <f>IFERROR(__xludf.DUMMYFUNCTION("""COMPUTED_VALUE"""),8.0)</f>
        <v>8</v>
      </c>
      <c r="Q124" s="189">
        <f>IFERROR(__xludf.DUMMYFUNCTION("""COMPUTED_VALUE"""),1.0)</f>
        <v>1</v>
      </c>
      <c r="R124" s="189">
        <f>IFERROR(__xludf.DUMMYFUNCTION("""COMPUTED_VALUE"""),5.0)</f>
        <v>5</v>
      </c>
      <c r="S124" s="189">
        <f>IFERROR(__xludf.DUMMYFUNCTION("""COMPUTED_VALUE"""),1.0)</f>
        <v>1</v>
      </c>
      <c r="T124" s="189">
        <f>IFERROR(__xludf.DUMMYFUNCTION("""COMPUTED_VALUE"""),0.0)</f>
        <v>0</v>
      </c>
      <c r="U124" s="189">
        <f>IFERROR(__xludf.DUMMYFUNCTION("""COMPUTED_VALUE"""),5.0)</f>
        <v>5</v>
      </c>
      <c r="V124" s="189">
        <f>IFERROR(__xludf.DUMMYFUNCTION("""COMPUTED_VALUE"""),1.0)</f>
        <v>1</v>
      </c>
      <c r="W124" s="189">
        <f>IFERROR(__xludf.DUMMYFUNCTION("""COMPUTED_VALUE"""),8.0)</f>
        <v>8</v>
      </c>
      <c r="X124" s="189">
        <f>IFERROR(__xludf.DUMMYFUNCTION("""COMPUTED_VALUE"""),4.0)</f>
        <v>4</v>
      </c>
      <c r="Y124" s="208" t="str">
        <f>IFERROR(__xludf.DUMMYFUNCTION("""COMPUTED_VALUE"""),"2025-07-26T00:00:00.000Z")</f>
        <v>2025-07-26T00:00:00.000Z</v>
      </c>
      <c r="Z124" s="189" t="s">
        <v>419</v>
      </c>
      <c r="AA124" s="189" t="s">
        <v>181</v>
      </c>
    </row>
    <row r="125">
      <c r="A125" s="189">
        <f>IFERROR(__xludf.DUMMYFUNCTION("""COMPUTED_VALUE"""),211051.0)</f>
        <v>211051</v>
      </c>
      <c r="B125" s="189">
        <f>IFERROR(__xludf.DUMMYFUNCTION("""COMPUTED_VALUE"""),92832.0)</f>
        <v>92832</v>
      </c>
      <c r="C125" s="189" t="str">
        <f>IFERROR(__xludf.DUMMYFUNCTION("""COMPUTED_VALUE"""),"Challengers League 2025 NORTH EAST: Split 3 - Playoffs")</f>
        <v>Challengers League 2025 NORTH EAST: Split 3 - Playoffs</v>
      </c>
      <c r="D125" s="189" t="str">
        <f>IFERROR(__xludf.DUMMYFUNCTION("""COMPUTED_VALUE"""),"Bind")</f>
        <v>Bind</v>
      </c>
      <c r="E125" s="189" t="str">
        <f>IFERROR(__xludf.DUMMYFUNCTION("""COMPUTED_VALUE"""),"FULL BOX 200")</f>
        <v>FULL BOX 200</v>
      </c>
      <c r="F125" s="189" t="str">
        <f>IFERROR(__xludf.DUMMYFUNCTION("""COMPUTED_VALUE"""),"děti ulice")</f>
        <v>děti ulice</v>
      </c>
      <c r="G125" s="189" t="str">
        <f>IFERROR(__xludf.DUMMYFUNCTION("""COMPUTED_VALUE"""),"Raze,Viper,Brimstone,Yoru,Fade")</f>
        <v>Raze,Viper,Brimstone,Yoru,Fade</v>
      </c>
      <c r="H125" s="189" t="str">
        <f>IFERROR(__xludf.DUMMYFUNCTION("""COMPUTED_VALUE"""),"Raze,Viper,Brimstone,Skye,Gekko")</f>
        <v>Raze,Viper,Brimstone,Skye,Gekko</v>
      </c>
      <c r="I125" s="189">
        <f>IFERROR(__xludf.DUMMYFUNCTION("""COMPUTED_VALUE"""),5.0)</f>
        <v>5</v>
      </c>
      <c r="J125" s="189">
        <f>IFERROR(__xludf.DUMMYFUNCTION("""COMPUTED_VALUE"""),13.0)</f>
        <v>13</v>
      </c>
      <c r="K125" s="189">
        <f>IFERROR(__xludf.DUMMYFUNCTION("""COMPUTED_VALUE"""),4.0)</f>
        <v>4</v>
      </c>
      <c r="L125" s="189">
        <f>IFERROR(__xludf.DUMMYFUNCTION("""COMPUTED_VALUE"""),8.0)</f>
        <v>8</v>
      </c>
      <c r="M125" s="189">
        <f>IFERROR(__xludf.DUMMYFUNCTION("""COMPUTED_VALUE"""),0.0)</f>
        <v>0</v>
      </c>
      <c r="N125" s="189">
        <f>IFERROR(__xludf.DUMMYFUNCTION("""COMPUTED_VALUE"""),0.0)</f>
        <v>0</v>
      </c>
      <c r="O125" s="189">
        <f>IFERROR(__xludf.DUMMYFUNCTION("""COMPUTED_VALUE"""),1.0)</f>
        <v>1</v>
      </c>
      <c r="P125" s="189">
        <f>IFERROR(__xludf.DUMMYFUNCTION("""COMPUTED_VALUE"""),5.0)</f>
        <v>5</v>
      </c>
      <c r="Q125" s="189">
        <f>IFERROR(__xludf.DUMMYFUNCTION("""COMPUTED_VALUE"""),4.0)</f>
        <v>4</v>
      </c>
      <c r="R125" s="189">
        <f>IFERROR(__xludf.DUMMYFUNCTION("""COMPUTED_VALUE"""),8.0)</f>
        <v>8</v>
      </c>
      <c r="S125" s="189">
        <f>IFERROR(__xludf.DUMMYFUNCTION("""COMPUTED_VALUE"""),1.0)</f>
        <v>1</v>
      </c>
      <c r="T125" s="189">
        <f>IFERROR(__xludf.DUMMYFUNCTION("""COMPUTED_VALUE"""),1.0)</f>
        <v>1</v>
      </c>
      <c r="U125" s="189">
        <f>IFERROR(__xludf.DUMMYFUNCTION("""COMPUTED_VALUE"""),8.0)</f>
        <v>8</v>
      </c>
      <c r="V125" s="189">
        <f>IFERROR(__xludf.DUMMYFUNCTION("""COMPUTED_VALUE"""),4.0)</f>
        <v>4</v>
      </c>
      <c r="W125" s="189">
        <f>IFERROR(__xludf.DUMMYFUNCTION("""COMPUTED_VALUE"""),5.0)</f>
        <v>5</v>
      </c>
      <c r="X125" s="189">
        <f>IFERROR(__xludf.DUMMYFUNCTION("""COMPUTED_VALUE"""),1.0)</f>
        <v>1</v>
      </c>
      <c r="Y125" s="208" t="str">
        <f>IFERROR(__xludf.DUMMYFUNCTION("""COMPUTED_VALUE"""),"2025-07-26T00:00:00.000Z")</f>
        <v>2025-07-26T00:00:00.000Z</v>
      </c>
      <c r="Z125" s="189" t="s">
        <v>420</v>
      </c>
      <c r="AA125" s="189" t="s">
        <v>190</v>
      </c>
    </row>
    <row r="126">
      <c r="A126" s="189">
        <f>IFERROR(__xludf.DUMMYFUNCTION("""COMPUTED_VALUE"""),211050.0)</f>
        <v>211050</v>
      </c>
      <c r="B126" s="189">
        <f>IFERROR(__xludf.DUMMYFUNCTION("""COMPUTED_VALUE"""),92832.0)</f>
        <v>92832</v>
      </c>
      <c r="C126" s="189" t="str">
        <f>IFERROR(__xludf.DUMMYFUNCTION("""COMPUTED_VALUE"""),"Challengers League 2025 NORTH EAST: Split 3 - Playoffs")</f>
        <v>Challengers League 2025 NORTH EAST: Split 3 - Playoffs</v>
      </c>
      <c r="D126" s="189" t="str">
        <f>IFERROR(__xludf.DUMMYFUNCTION("""COMPUTED_VALUE"""),"Sunset")</f>
        <v>Sunset</v>
      </c>
      <c r="E126" s="189" t="str">
        <f>IFERROR(__xludf.DUMMYFUNCTION("""COMPUTED_VALUE"""),"FULL BOX 200")</f>
        <v>FULL BOX 200</v>
      </c>
      <c r="F126" s="189" t="str">
        <f>IFERROR(__xludf.DUMMYFUNCTION("""COMPUTED_VALUE"""),"děti ulice")</f>
        <v>děti ulice</v>
      </c>
      <c r="G126" s="189" t="str">
        <f>IFERROR(__xludf.DUMMYFUNCTION("""COMPUTED_VALUE"""),"Breach,Cypher,Sova,Omen,Neon")</f>
        <v>Breach,Cypher,Sova,Omen,Neon</v>
      </c>
      <c r="H126" s="189" t="str">
        <f>IFERROR(__xludf.DUMMYFUNCTION("""COMPUTED_VALUE"""),"Cypher,Sova,Omen,Yoru,Neon")</f>
        <v>Cypher,Sova,Omen,Yoru,Neon</v>
      </c>
      <c r="I126" s="189">
        <f>IFERROR(__xludf.DUMMYFUNCTION("""COMPUTED_VALUE"""),8.0)</f>
        <v>8</v>
      </c>
      <c r="J126" s="189">
        <f>IFERROR(__xludf.DUMMYFUNCTION("""COMPUTED_VALUE"""),13.0)</f>
        <v>13</v>
      </c>
      <c r="K126" s="189">
        <f>IFERROR(__xludf.DUMMYFUNCTION("""COMPUTED_VALUE"""),6.0)</f>
        <v>6</v>
      </c>
      <c r="L126" s="189">
        <f>IFERROR(__xludf.DUMMYFUNCTION("""COMPUTED_VALUE"""),6.0)</f>
        <v>6</v>
      </c>
      <c r="M126" s="189">
        <f>IFERROR(__xludf.DUMMYFUNCTION("""COMPUTED_VALUE"""),0.0)</f>
        <v>0</v>
      </c>
      <c r="N126" s="189">
        <f>IFERROR(__xludf.DUMMYFUNCTION("""COMPUTED_VALUE"""),1.0)</f>
        <v>1</v>
      </c>
      <c r="O126" s="189">
        <f>IFERROR(__xludf.DUMMYFUNCTION("""COMPUTED_VALUE"""),2.0)</f>
        <v>2</v>
      </c>
      <c r="P126" s="189">
        <f>IFERROR(__xludf.DUMMYFUNCTION("""COMPUTED_VALUE"""),7.0)</f>
        <v>7</v>
      </c>
      <c r="Q126" s="189">
        <f>IFERROR(__xludf.DUMMYFUNCTION("""COMPUTED_VALUE"""),6.0)</f>
        <v>6</v>
      </c>
      <c r="R126" s="189">
        <f>IFERROR(__xludf.DUMMYFUNCTION("""COMPUTED_VALUE"""),6.0)</f>
        <v>6</v>
      </c>
      <c r="S126" s="189">
        <f>IFERROR(__xludf.DUMMYFUNCTION("""COMPUTED_VALUE"""),0.0)</f>
        <v>0</v>
      </c>
      <c r="T126" s="189">
        <f>IFERROR(__xludf.DUMMYFUNCTION("""COMPUTED_VALUE"""),1.0)</f>
        <v>1</v>
      </c>
      <c r="U126" s="189">
        <f>IFERROR(__xludf.DUMMYFUNCTION("""COMPUTED_VALUE"""),6.0)</f>
        <v>6</v>
      </c>
      <c r="V126" s="189">
        <f>IFERROR(__xludf.DUMMYFUNCTION("""COMPUTED_VALUE"""),6.0)</f>
        <v>6</v>
      </c>
      <c r="W126" s="189">
        <f>IFERROR(__xludf.DUMMYFUNCTION("""COMPUTED_VALUE"""),7.0)</f>
        <v>7</v>
      </c>
      <c r="X126" s="189">
        <f>IFERROR(__xludf.DUMMYFUNCTION("""COMPUTED_VALUE"""),2.0)</f>
        <v>2</v>
      </c>
      <c r="Y126" s="208" t="str">
        <f>IFERROR(__xludf.DUMMYFUNCTION("""COMPUTED_VALUE"""),"2025-07-26T00:00:00.000Z")</f>
        <v>2025-07-26T00:00:00.000Z</v>
      </c>
      <c r="Z126" s="189" t="s">
        <v>421</v>
      </c>
      <c r="AA126" s="189" t="s">
        <v>190</v>
      </c>
    </row>
    <row r="127">
      <c r="A127" s="189">
        <f>IFERROR(__xludf.DUMMYFUNCTION("""COMPUTED_VALUE"""),210905.0)</f>
        <v>210905</v>
      </c>
      <c r="B127" s="189">
        <f>IFERROR(__xludf.DUMMYFUNCTION("""COMPUTED_VALUE"""),92757.0)</f>
        <v>92757</v>
      </c>
      <c r="C127" s="189" t="str">
        <f>IFERROR(__xludf.DUMMYFUNCTION("""COMPUTED_VALUE"""),"Challengers League 2025 NORTH EAST: Split 3 - Upper Swiss Phase")</f>
        <v>Challengers League 2025 NORTH EAST: Split 3 - Upper Swiss Phase</v>
      </c>
      <c r="D127" s="189" t="str">
        <f>IFERROR(__xludf.DUMMYFUNCTION("""COMPUTED_VALUE"""),"Ascent")</f>
        <v>Ascent</v>
      </c>
      <c r="E127" s="189" t="str">
        <f>IFERROR(__xludf.DUMMYFUNCTION("""COMPUTED_VALUE"""),"Twisted Saints Esports")</f>
        <v>Twisted Saints Esports</v>
      </c>
      <c r="F127" s="189" t="str">
        <f>IFERROR(__xludf.DUMMYFUNCTION("""COMPUTED_VALUE"""),"děti ulice")</f>
        <v>děti ulice</v>
      </c>
      <c r="G127" s="189" t="str">
        <f>IFERROR(__xludf.DUMMYFUNCTION("""COMPUTED_VALUE"""),"Sova,Omen,Yoru,Chamber,Vyse")</f>
        <v>Sova,Omen,Yoru,Chamber,Vyse</v>
      </c>
      <c r="H127" s="189" t="str">
        <f>IFERROR(__xludf.DUMMYFUNCTION("""COMPUTED_VALUE"""),"Sova,Killjoy,Omen,Jett,KAY/O")</f>
        <v>Sova,Killjoy,Omen,Jett,KAY/O</v>
      </c>
      <c r="I127" s="189">
        <f>IFERROR(__xludf.DUMMYFUNCTION("""COMPUTED_VALUE"""),12.0)</f>
        <v>12</v>
      </c>
      <c r="J127" s="189">
        <f>IFERROR(__xludf.DUMMYFUNCTION("""COMPUTED_VALUE"""),14.0)</f>
        <v>14</v>
      </c>
      <c r="K127" s="189">
        <f>IFERROR(__xludf.DUMMYFUNCTION("""COMPUTED_VALUE"""),4.0)</f>
        <v>4</v>
      </c>
      <c r="L127" s="189">
        <f>IFERROR(__xludf.DUMMYFUNCTION("""COMPUTED_VALUE"""),8.0)</f>
        <v>8</v>
      </c>
      <c r="M127" s="189">
        <f>IFERROR(__xludf.DUMMYFUNCTION("""COMPUTED_VALUE"""),0.0)</f>
        <v>0</v>
      </c>
      <c r="N127" s="189">
        <f>IFERROR(__xludf.DUMMYFUNCTION("""COMPUTED_VALUE"""),0.0)</f>
        <v>0</v>
      </c>
      <c r="O127" s="189">
        <f>IFERROR(__xludf.DUMMYFUNCTION("""COMPUTED_VALUE"""),4.0)</f>
        <v>4</v>
      </c>
      <c r="P127" s="189">
        <f>IFERROR(__xludf.DUMMYFUNCTION("""COMPUTED_VALUE"""),9.0)</f>
        <v>9</v>
      </c>
      <c r="Q127" s="189">
        <f>IFERROR(__xludf.DUMMYFUNCTION("""COMPUTED_VALUE"""),8.0)</f>
        <v>8</v>
      </c>
      <c r="R127" s="189">
        <f>IFERROR(__xludf.DUMMYFUNCTION("""COMPUTED_VALUE"""),5.0)</f>
        <v>5</v>
      </c>
      <c r="S127" s="189">
        <f>IFERROR(__xludf.DUMMYFUNCTION("""COMPUTED_VALUE"""),1.0)</f>
        <v>1</v>
      </c>
      <c r="T127" s="189">
        <f>IFERROR(__xludf.DUMMYFUNCTION("""COMPUTED_VALUE"""),1.0)</f>
        <v>1</v>
      </c>
      <c r="U127" s="189">
        <f>IFERROR(__xludf.DUMMYFUNCTION("""COMPUTED_VALUE"""),5.0)</f>
        <v>5</v>
      </c>
      <c r="V127" s="189">
        <f>IFERROR(__xludf.DUMMYFUNCTION("""COMPUTED_VALUE"""),8.0)</f>
        <v>8</v>
      </c>
      <c r="W127" s="189">
        <f>IFERROR(__xludf.DUMMYFUNCTION("""COMPUTED_VALUE"""),9.0)</f>
        <v>9</v>
      </c>
      <c r="X127" s="189">
        <f>IFERROR(__xludf.DUMMYFUNCTION("""COMPUTED_VALUE"""),4.0)</f>
        <v>4</v>
      </c>
      <c r="Y127" s="208" t="str">
        <f>IFERROR(__xludf.DUMMYFUNCTION("""COMPUTED_VALUE"""),"2025-07-22T00:00:00.000Z")</f>
        <v>2025-07-22T00:00:00.000Z</v>
      </c>
      <c r="Z127" s="189" t="s">
        <v>422</v>
      </c>
      <c r="AA127" s="189" t="s">
        <v>190</v>
      </c>
    </row>
    <row r="128">
      <c r="A128" s="189">
        <f>IFERROR(__xludf.DUMMYFUNCTION("""COMPUTED_VALUE"""),210904.0)</f>
        <v>210904</v>
      </c>
      <c r="B128" s="189">
        <f>IFERROR(__xludf.DUMMYFUNCTION("""COMPUTED_VALUE"""),92757.0)</f>
        <v>92757</v>
      </c>
      <c r="C128" s="189" t="str">
        <f>IFERROR(__xludf.DUMMYFUNCTION("""COMPUTED_VALUE"""),"Challengers League 2025 NORTH EAST: Split 3 - Upper Swiss Phase")</f>
        <v>Challengers League 2025 NORTH EAST: Split 3 - Upper Swiss Phase</v>
      </c>
      <c r="D128" s="189" t="str">
        <f>IFERROR(__xludf.DUMMYFUNCTION("""COMPUTED_VALUE"""),"Haven")</f>
        <v>Haven</v>
      </c>
      <c r="E128" s="189" t="str">
        <f>IFERROR(__xludf.DUMMYFUNCTION("""COMPUTED_VALUE"""),"Twisted Saints Esports")</f>
        <v>Twisted Saints Esports</v>
      </c>
      <c r="F128" s="189" t="str">
        <f>IFERROR(__xludf.DUMMYFUNCTION("""COMPUTED_VALUE"""),"děti ulice")</f>
        <v>děti ulice</v>
      </c>
      <c r="G128" s="189" t="str">
        <f>IFERROR(__xludf.DUMMYFUNCTION("""COMPUTED_VALUE"""),"Cypher,Sova,Omen,Yoru,Iso")</f>
        <v>Cypher,Sova,Omen,Yoru,Iso</v>
      </c>
      <c r="H128" s="189" t="str">
        <f>IFERROR(__xludf.DUMMYFUNCTION("""COMPUTED_VALUE"""),"Cypher,Sova,Omen,Yoru,Iso")</f>
        <v>Cypher,Sova,Omen,Yoru,Iso</v>
      </c>
      <c r="I128" s="189">
        <f>IFERROR(__xludf.DUMMYFUNCTION("""COMPUTED_VALUE"""),9.0)</f>
        <v>9</v>
      </c>
      <c r="J128" s="189">
        <f>IFERROR(__xludf.DUMMYFUNCTION("""COMPUTED_VALUE"""),13.0)</f>
        <v>13</v>
      </c>
      <c r="K128" s="189">
        <f>IFERROR(__xludf.DUMMYFUNCTION("""COMPUTED_VALUE"""),3.0)</f>
        <v>3</v>
      </c>
      <c r="L128" s="189">
        <f>IFERROR(__xludf.DUMMYFUNCTION("""COMPUTED_VALUE"""),9.0)</f>
        <v>9</v>
      </c>
      <c r="M128" s="189">
        <f>IFERROR(__xludf.DUMMYFUNCTION("""COMPUTED_VALUE"""),1.0)</f>
        <v>1</v>
      </c>
      <c r="N128" s="189">
        <f>IFERROR(__xludf.DUMMYFUNCTION("""COMPUTED_VALUE"""),1.0)</f>
        <v>1</v>
      </c>
      <c r="O128" s="189">
        <f>IFERROR(__xludf.DUMMYFUNCTION("""COMPUTED_VALUE"""),6.0)</f>
        <v>6</v>
      </c>
      <c r="P128" s="189">
        <f>IFERROR(__xludf.DUMMYFUNCTION("""COMPUTED_VALUE"""),4.0)</f>
        <v>4</v>
      </c>
      <c r="Q128" s="189">
        <f>IFERROR(__xludf.DUMMYFUNCTION("""COMPUTED_VALUE"""),3.0)</f>
        <v>3</v>
      </c>
      <c r="R128" s="189">
        <f>IFERROR(__xludf.DUMMYFUNCTION("""COMPUTED_VALUE"""),9.0)</f>
        <v>9</v>
      </c>
      <c r="S128" s="189">
        <f>IFERROR(__xludf.DUMMYFUNCTION("""COMPUTED_VALUE"""),0.0)</f>
        <v>0</v>
      </c>
      <c r="T128" s="189">
        <f>IFERROR(__xludf.DUMMYFUNCTION("""COMPUTED_VALUE"""),0.0)</f>
        <v>0</v>
      </c>
      <c r="U128" s="189">
        <f>IFERROR(__xludf.DUMMYFUNCTION("""COMPUTED_VALUE"""),9.0)</f>
        <v>9</v>
      </c>
      <c r="V128" s="189">
        <f>IFERROR(__xludf.DUMMYFUNCTION("""COMPUTED_VALUE"""),3.0)</f>
        <v>3</v>
      </c>
      <c r="W128" s="189">
        <f>IFERROR(__xludf.DUMMYFUNCTION("""COMPUTED_VALUE"""),4.0)</f>
        <v>4</v>
      </c>
      <c r="X128" s="189">
        <f>IFERROR(__xludf.DUMMYFUNCTION("""COMPUTED_VALUE"""),6.0)</f>
        <v>6</v>
      </c>
      <c r="Y128" s="208" t="str">
        <f>IFERROR(__xludf.DUMMYFUNCTION("""COMPUTED_VALUE"""),"2025-07-22T00:00:00.000Z")</f>
        <v>2025-07-22T00:00:00.000Z</v>
      </c>
      <c r="Z128" s="189" t="s">
        <v>423</v>
      </c>
      <c r="AA128" s="189" t="s">
        <v>190</v>
      </c>
    </row>
    <row r="129">
      <c r="A129" s="189">
        <f>IFERROR(__xludf.DUMMYFUNCTION("""COMPUTED_VALUE"""),210903.0)</f>
        <v>210903</v>
      </c>
      <c r="B129" s="189">
        <f>IFERROR(__xludf.DUMMYFUNCTION("""COMPUTED_VALUE"""),92757.0)</f>
        <v>92757</v>
      </c>
      <c r="C129" s="189" t="str">
        <f>IFERROR(__xludf.DUMMYFUNCTION("""COMPUTED_VALUE"""),"Challengers League 2025 NORTH EAST: Split 3 - Upper Swiss Phase")</f>
        <v>Challengers League 2025 NORTH EAST: Split 3 - Upper Swiss Phase</v>
      </c>
      <c r="D129" s="189" t="str">
        <f>IFERROR(__xludf.DUMMYFUNCTION("""COMPUTED_VALUE"""),"Lotus")</f>
        <v>Lotus</v>
      </c>
      <c r="E129" s="189" t="str">
        <f>IFERROR(__xludf.DUMMYFUNCTION("""COMPUTED_VALUE"""),"Twisted Saints Esports")</f>
        <v>Twisted Saints Esports</v>
      </c>
      <c r="F129" s="189" t="str">
        <f>IFERROR(__xludf.DUMMYFUNCTION("""COMPUTED_VALUE"""),"děti ulice")</f>
        <v>děti ulice</v>
      </c>
      <c r="G129" s="189" t="str">
        <f>IFERROR(__xludf.DUMMYFUNCTION("""COMPUTED_VALUE"""),"Raze,Killjoy,Viper,Omen,Fade")</f>
        <v>Raze,Killjoy,Viper,Omen,Fade</v>
      </c>
      <c r="H129" s="189" t="str">
        <f>IFERROR(__xludf.DUMMYFUNCTION("""COMPUTED_VALUE"""),"Raze,Killjoy,Viper,Omen,Fade")</f>
        <v>Raze,Killjoy,Viper,Omen,Fade</v>
      </c>
      <c r="I129" s="189">
        <f>IFERROR(__xludf.DUMMYFUNCTION("""COMPUTED_VALUE"""),13.0)</f>
        <v>13</v>
      </c>
      <c r="J129" s="189">
        <f>IFERROR(__xludf.DUMMYFUNCTION("""COMPUTED_VALUE"""),3.0)</f>
        <v>3</v>
      </c>
      <c r="K129" s="189">
        <f>IFERROR(__xludf.DUMMYFUNCTION("""COMPUTED_VALUE"""),9.0)</f>
        <v>9</v>
      </c>
      <c r="L129" s="189">
        <f>IFERROR(__xludf.DUMMYFUNCTION("""COMPUTED_VALUE"""),3.0)</f>
        <v>3</v>
      </c>
      <c r="M129" s="189">
        <f>IFERROR(__xludf.DUMMYFUNCTION("""COMPUTED_VALUE"""),1.0)</f>
        <v>1</v>
      </c>
      <c r="N129" s="189">
        <f>IFERROR(__xludf.DUMMYFUNCTION("""COMPUTED_VALUE"""),1.0)</f>
        <v>1</v>
      </c>
      <c r="O129" s="189">
        <f>IFERROR(__xludf.DUMMYFUNCTION("""COMPUTED_VALUE"""),9.0)</f>
        <v>9</v>
      </c>
      <c r="P129" s="189">
        <f>IFERROR(__xludf.DUMMYFUNCTION("""COMPUTED_VALUE"""),3.0)</f>
        <v>3</v>
      </c>
      <c r="Q129" s="189">
        <f>IFERROR(__xludf.DUMMYFUNCTION("""COMPUTED_VALUE"""),4.0)</f>
        <v>4</v>
      </c>
      <c r="R129" s="189">
        <f>IFERROR(__xludf.DUMMYFUNCTION("""COMPUTED_VALUE"""),0.0)</f>
        <v>0</v>
      </c>
      <c r="S129" s="189">
        <f>IFERROR(__xludf.DUMMYFUNCTION("""COMPUTED_VALUE"""),0.0)</f>
        <v>0</v>
      </c>
      <c r="T129" s="189">
        <f>IFERROR(__xludf.DUMMYFUNCTION("""COMPUTED_VALUE"""),0.0)</f>
        <v>0</v>
      </c>
      <c r="U129" s="189">
        <f>IFERROR(__xludf.DUMMYFUNCTION("""COMPUTED_VALUE"""),0.0)</f>
        <v>0</v>
      </c>
      <c r="V129" s="189">
        <f>IFERROR(__xludf.DUMMYFUNCTION("""COMPUTED_VALUE"""),4.0)</f>
        <v>4</v>
      </c>
      <c r="W129" s="189">
        <f>IFERROR(__xludf.DUMMYFUNCTION("""COMPUTED_VALUE"""),3.0)</f>
        <v>3</v>
      </c>
      <c r="X129" s="189">
        <f>IFERROR(__xludf.DUMMYFUNCTION("""COMPUTED_VALUE"""),9.0)</f>
        <v>9</v>
      </c>
      <c r="Y129" s="208" t="str">
        <f>IFERROR(__xludf.DUMMYFUNCTION("""COMPUTED_VALUE"""),"2025-07-22T00:00:00.000Z")</f>
        <v>2025-07-22T00:00:00.000Z</v>
      </c>
      <c r="Z129" s="189" t="s">
        <v>424</v>
      </c>
      <c r="AA129" s="189" t="s">
        <v>425</v>
      </c>
    </row>
    <row r="130">
      <c r="A130" s="189">
        <f>IFERROR(__xludf.DUMMYFUNCTION("""COMPUTED_VALUE"""),210901.0)</f>
        <v>210901</v>
      </c>
      <c r="B130" s="189">
        <f>IFERROR(__xludf.DUMMYFUNCTION("""COMPUTED_VALUE"""),92756.0)</f>
        <v>92756</v>
      </c>
      <c r="C130" s="189" t="str">
        <f>IFERROR(__xludf.DUMMYFUNCTION("""COMPUTED_VALUE"""),"Challengers League 2025 NORTH EAST: Split 3 - Upper Swiss Phase")</f>
        <v>Challengers League 2025 NORTH EAST: Split 3 - Upper Swiss Phase</v>
      </c>
      <c r="D130" s="189" t="str">
        <f>IFERROR(__xludf.DUMMYFUNCTION("""COMPUTED_VALUE"""),"Icebox")</f>
        <v>Icebox</v>
      </c>
      <c r="E130" s="189" t="str">
        <f>IFERROR(__xludf.DUMMYFUNCTION("""COMPUTED_VALUE"""),"Input Lag Enjoyer")</f>
        <v>Input Lag Enjoyer</v>
      </c>
      <c r="F130" s="189" t="str">
        <f>IFERROR(__xludf.DUMMYFUNCTION("""COMPUTED_VALUE"""),"Boars Gaming")</f>
        <v>Boars Gaming</v>
      </c>
      <c r="G130" s="189" t="str">
        <f>IFERROR(__xludf.DUMMYFUNCTION("""COMPUTED_VALUE"""),"Sova,Killjoy,Viper,Reyna,Jett")</f>
        <v>Sova,Killjoy,Viper,Reyna,Jett</v>
      </c>
      <c r="H130" s="189" t="str">
        <f>IFERROR(__xludf.DUMMYFUNCTION("""COMPUTED_VALUE"""),"Sova,Killjoy,Viper,Omen,Jett")</f>
        <v>Sova,Killjoy,Viper,Omen,Jett</v>
      </c>
      <c r="I130" s="189">
        <f>IFERROR(__xludf.DUMMYFUNCTION("""COMPUTED_VALUE"""),9.0)</f>
        <v>9</v>
      </c>
      <c r="J130" s="189">
        <f>IFERROR(__xludf.DUMMYFUNCTION("""COMPUTED_VALUE"""),13.0)</f>
        <v>13</v>
      </c>
      <c r="K130" s="189">
        <f>IFERROR(__xludf.DUMMYFUNCTION("""COMPUTED_VALUE"""),6.0)</f>
        <v>6</v>
      </c>
      <c r="L130" s="189">
        <f>IFERROR(__xludf.DUMMYFUNCTION("""COMPUTED_VALUE"""),6.0)</f>
        <v>6</v>
      </c>
      <c r="M130" s="189">
        <f>IFERROR(__xludf.DUMMYFUNCTION("""COMPUTED_VALUE"""),0.0)</f>
        <v>0</v>
      </c>
      <c r="N130" s="189">
        <f>IFERROR(__xludf.DUMMYFUNCTION("""COMPUTED_VALUE"""),0.0)</f>
        <v>0</v>
      </c>
      <c r="O130" s="189">
        <f>IFERROR(__xludf.DUMMYFUNCTION("""COMPUTED_VALUE"""),3.0)</f>
        <v>3</v>
      </c>
      <c r="P130" s="189">
        <f>IFERROR(__xludf.DUMMYFUNCTION("""COMPUTED_VALUE"""),7.0)</f>
        <v>7</v>
      </c>
      <c r="Q130" s="189">
        <f>IFERROR(__xludf.DUMMYFUNCTION("""COMPUTED_VALUE"""),6.0)</f>
        <v>6</v>
      </c>
      <c r="R130" s="189">
        <f>IFERROR(__xludf.DUMMYFUNCTION("""COMPUTED_VALUE"""),6.0)</f>
        <v>6</v>
      </c>
      <c r="S130" s="189">
        <f>IFERROR(__xludf.DUMMYFUNCTION("""COMPUTED_VALUE"""),1.0)</f>
        <v>1</v>
      </c>
      <c r="T130" s="189">
        <f>IFERROR(__xludf.DUMMYFUNCTION("""COMPUTED_VALUE"""),1.0)</f>
        <v>1</v>
      </c>
      <c r="U130" s="189">
        <f>IFERROR(__xludf.DUMMYFUNCTION("""COMPUTED_VALUE"""),6.0)</f>
        <v>6</v>
      </c>
      <c r="V130" s="189">
        <f>IFERROR(__xludf.DUMMYFUNCTION("""COMPUTED_VALUE"""),6.0)</f>
        <v>6</v>
      </c>
      <c r="W130" s="189">
        <f>IFERROR(__xludf.DUMMYFUNCTION("""COMPUTED_VALUE"""),7.0)</f>
        <v>7</v>
      </c>
      <c r="X130" s="189">
        <f>IFERROR(__xludf.DUMMYFUNCTION("""COMPUTED_VALUE"""),3.0)</f>
        <v>3</v>
      </c>
      <c r="Y130" s="208" t="str">
        <f>IFERROR(__xludf.DUMMYFUNCTION("""COMPUTED_VALUE"""),"2025-07-22T00:00:00.000Z")</f>
        <v>2025-07-22T00:00:00.000Z</v>
      </c>
      <c r="Z130" s="189" t="s">
        <v>426</v>
      </c>
      <c r="AA130" s="189" t="s">
        <v>181</v>
      </c>
    </row>
    <row r="131">
      <c r="A131" s="189">
        <f>IFERROR(__xludf.DUMMYFUNCTION("""COMPUTED_VALUE"""),210900.0)</f>
        <v>210900</v>
      </c>
      <c r="B131" s="189">
        <f>IFERROR(__xludf.DUMMYFUNCTION("""COMPUTED_VALUE"""),92756.0)</f>
        <v>92756</v>
      </c>
      <c r="C131" s="189" t="str">
        <f>IFERROR(__xludf.DUMMYFUNCTION("""COMPUTED_VALUE"""),"Challengers League 2025 NORTH EAST: Split 3 - Upper Swiss Phase")</f>
        <v>Challengers League 2025 NORTH EAST: Split 3 - Upper Swiss Phase</v>
      </c>
      <c r="D131" s="189" t="str">
        <f>IFERROR(__xludf.DUMMYFUNCTION("""COMPUTED_VALUE"""),"Haven")</f>
        <v>Haven</v>
      </c>
      <c r="E131" s="189" t="str">
        <f>IFERROR(__xludf.DUMMYFUNCTION("""COMPUTED_VALUE"""),"Input Lag Enjoyer")</f>
        <v>Input Lag Enjoyer</v>
      </c>
      <c r="F131" s="189" t="str">
        <f>IFERROR(__xludf.DUMMYFUNCTION("""COMPUTED_VALUE"""),"Boars Gaming")</f>
        <v>Boars Gaming</v>
      </c>
      <c r="G131" s="189" t="str">
        <f>IFERROR(__xludf.DUMMYFUNCTION("""COMPUTED_VALUE"""),"Breach,Cypher,Sova,Omen,Jett")</f>
        <v>Breach,Cypher,Sova,Omen,Jett</v>
      </c>
      <c r="H131" s="189" t="str">
        <f>IFERROR(__xludf.DUMMYFUNCTION("""COMPUTED_VALUE"""),"Breach,Cypher,Sova,Omen,Neon")</f>
        <v>Breach,Cypher,Sova,Omen,Neon</v>
      </c>
      <c r="I131" s="189">
        <f>IFERROR(__xludf.DUMMYFUNCTION("""COMPUTED_VALUE"""),11.0)</f>
        <v>11</v>
      </c>
      <c r="J131" s="189">
        <f>IFERROR(__xludf.DUMMYFUNCTION("""COMPUTED_VALUE"""),13.0)</f>
        <v>13</v>
      </c>
      <c r="K131" s="189">
        <f>IFERROR(__xludf.DUMMYFUNCTION("""COMPUTED_VALUE"""),5.0)</f>
        <v>5</v>
      </c>
      <c r="L131" s="189">
        <f>IFERROR(__xludf.DUMMYFUNCTION("""COMPUTED_VALUE"""),7.0)</f>
        <v>7</v>
      </c>
      <c r="M131" s="189">
        <f>IFERROR(__xludf.DUMMYFUNCTION("""COMPUTED_VALUE"""),1.0)</f>
        <v>1</v>
      </c>
      <c r="N131" s="189">
        <f>IFERROR(__xludf.DUMMYFUNCTION("""COMPUTED_VALUE"""),0.0)</f>
        <v>0</v>
      </c>
      <c r="O131" s="189">
        <f>IFERROR(__xludf.DUMMYFUNCTION("""COMPUTED_VALUE"""),6.0)</f>
        <v>6</v>
      </c>
      <c r="P131" s="189">
        <f>IFERROR(__xludf.DUMMYFUNCTION("""COMPUTED_VALUE"""),6.0)</f>
        <v>6</v>
      </c>
      <c r="Q131" s="189">
        <f>IFERROR(__xludf.DUMMYFUNCTION("""COMPUTED_VALUE"""),5.0)</f>
        <v>5</v>
      </c>
      <c r="R131" s="189">
        <f>IFERROR(__xludf.DUMMYFUNCTION("""COMPUTED_VALUE"""),7.0)</f>
        <v>7</v>
      </c>
      <c r="S131" s="189">
        <f>IFERROR(__xludf.DUMMYFUNCTION("""COMPUTED_VALUE"""),1.0)</f>
        <v>1</v>
      </c>
      <c r="T131" s="189">
        <f>IFERROR(__xludf.DUMMYFUNCTION("""COMPUTED_VALUE"""),0.0)</f>
        <v>0</v>
      </c>
      <c r="U131" s="189">
        <f>IFERROR(__xludf.DUMMYFUNCTION("""COMPUTED_VALUE"""),7.0)</f>
        <v>7</v>
      </c>
      <c r="V131" s="189">
        <f>IFERROR(__xludf.DUMMYFUNCTION("""COMPUTED_VALUE"""),5.0)</f>
        <v>5</v>
      </c>
      <c r="W131" s="189">
        <f>IFERROR(__xludf.DUMMYFUNCTION("""COMPUTED_VALUE"""),6.0)</f>
        <v>6</v>
      </c>
      <c r="X131" s="189">
        <f>IFERROR(__xludf.DUMMYFUNCTION("""COMPUTED_VALUE"""),6.0)</f>
        <v>6</v>
      </c>
      <c r="Y131" s="208" t="str">
        <f>IFERROR(__xludf.DUMMYFUNCTION("""COMPUTED_VALUE"""),"2025-07-22T00:00:00.000Z")</f>
        <v>2025-07-22T00:00:00.000Z</v>
      </c>
      <c r="Z131" s="189" t="s">
        <v>427</v>
      </c>
      <c r="AA131" s="189" t="s">
        <v>181</v>
      </c>
    </row>
    <row r="132">
      <c r="A132" s="189">
        <f>IFERROR(__xludf.DUMMYFUNCTION("""COMPUTED_VALUE"""),210899.0)</f>
        <v>210899</v>
      </c>
      <c r="B132" s="189">
        <f>IFERROR(__xludf.DUMMYFUNCTION("""COMPUTED_VALUE"""),92755.0)</f>
        <v>92755</v>
      </c>
      <c r="C132" s="189" t="str">
        <f>IFERROR(__xludf.DUMMYFUNCTION("""COMPUTED_VALUE"""),"Challengers League 2025 NORTH EAST: Split 3 - Upper Swiss Phase")</f>
        <v>Challengers League 2025 NORTH EAST: Split 3 - Upper Swiss Phase</v>
      </c>
      <c r="D132" s="189" t="str">
        <f>IFERROR(__xludf.DUMMYFUNCTION("""COMPUTED_VALUE"""),"Haven")</f>
        <v>Haven</v>
      </c>
      <c r="E132" s="189" t="str">
        <f>IFERROR(__xludf.DUMMYFUNCTION("""COMPUTED_VALUE"""),"Team Liquid Academy")</f>
        <v>Team Liquid Academy</v>
      </c>
      <c r="F132" s="189" t="str">
        <f>IFERROR(__xludf.DUMMYFUNCTION("""COMPUTED_VALUE"""),"ESC Gaming")</f>
        <v>ESC Gaming</v>
      </c>
      <c r="G132" s="189" t="str">
        <f>IFERROR(__xludf.DUMMYFUNCTION("""COMPUTED_VALUE"""),"Cypher,Sova,Omen,Yoru,Iso")</f>
        <v>Cypher,Sova,Omen,Yoru,Iso</v>
      </c>
      <c r="H132" s="189" t="str">
        <f>IFERROR(__xludf.DUMMYFUNCTION("""COMPUTED_VALUE"""),"Breach,Cypher,Sova,Omen,Neon")</f>
        <v>Breach,Cypher,Sova,Omen,Neon</v>
      </c>
      <c r="I132" s="189">
        <f>IFERROR(__xludf.DUMMYFUNCTION("""COMPUTED_VALUE"""),13.0)</f>
        <v>13</v>
      </c>
      <c r="J132" s="189">
        <f>IFERROR(__xludf.DUMMYFUNCTION("""COMPUTED_VALUE"""),9.0)</f>
        <v>9</v>
      </c>
      <c r="K132" s="189">
        <f>IFERROR(__xludf.DUMMYFUNCTION("""COMPUTED_VALUE"""),8.0)</f>
        <v>8</v>
      </c>
      <c r="L132" s="189">
        <f>IFERROR(__xludf.DUMMYFUNCTION("""COMPUTED_VALUE"""),4.0)</f>
        <v>4</v>
      </c>
      <c r="M132" s="189">
        <f>IFERROR(__xludf.DUMMYFUNCTION("""COMPUTED_VALUE"""),1.0)</f>
        <v>1</v>
      </c>
      <c r="N132" s="189">
        <f>IFERROR(__xludf.DUMMYFUNCTION("""COMPUTED_VALUE"""),1.0)</f>
        <v>1</v>
      </c>
      <c r="O132" s="189">
        <f>IFERROR(__xludf.DUMMYFUNCTION("""COMPUTED_VALUE"""),5.0)</f>
        <v>5</v>
      </c>
      <c r="P132" s="189">
        <f>IFERROR(__xludf.DUMMYFUNCTION("""COMPUTED_VALUE"""),5.0)</f>
        <v>5</v>
      </c>
      <c r="Q132" s="189">
        <f>IFERROR(__xludf.DUMMYFUNCTION("""COMPUTED_VALUE"""),8.0)</f>
        <v>8</v>
      </c>
      <c r="R132" s="189">
        <f>IFERROR(__xludf.DUMMYFUNCTION("""COMPUTED_VALUE"""),4.0)</f>
        <v>4</v>
      </c>
      <c r="S132" s="189">
        <f>IFERROR(__xludf.DUMMYFUNCTION("""COMPUTED_VALUE"""),0.0)</f>
        <v>0</v>
      </c>
      <c r="T132" s="189">
        <f>IFERROR(__xludf.DUMMYFUNCTION("""COMPUTED_VALUE"""),0.0)</f>
        <v>0</v>
      </c>
      <c r="U132" s="189">
        <f>IFERROR(__xludf.DUMMYFUNCTION("""COMPUTED_VALUE"""),4.0)</f>
        <v>4</v>
      </c>
      <c r="V132" s="189">
        <f>IFERROR(__xludf.DUMMYFUNCTION("""COMPUTED_VALUE"""),8.0)</f>
        <v>8</v>
      </c>
      <c r="W132" s="189">
        <f>IFERROR(__xludf.DUMMYFUNCTION("""COMPUTED_VALUE"""),5.0)</f>
        <v>5</v>
      </c>
      <c r="X132" s="189">
        <f>IFERROR(__xludf.DUMMYFUNCTION("""COMPUTED_VALUE"""),5.0)</f>
        <v>5</v>
      </c>
      <c r="Y132" s="208" t="str">
        <f>IFERROR(__xludf.DUMMYFUNCTION("""COMPUTED_VALUE"""),"2025-07-21T00:00:00.000Z")</f>
        <v>2025-07-21T00:00:00.000Z</v>
      </c>
      <c r="Z132" s="189" t="s">
        <v>145</v>
      </c>
      <c r="AA132" s="189" t="s">
        <v>1</v>
      </c>
    </row>
    <row r="133">
      <c r="A133" s="189">
        <f>IFERROR(__xludf.DUMMYFUNCTION("""COMPUTED_VALUE"""),210898.0)</f>
        <v>210898</v>
      </c>
      <c r="B133" s="189">
        <f>IFERROR(__xludf.DUMMYFUNCTION("""COMPUTED_VALUE"""),92755.0)</f>
        <v>92755</v>
      </c>
      <c r="C133" s="189" t="str">
        <f>IFERROR(__xludf.DUMMYFUNCTION("""COMPUTED_VALUE"""),"Challengers League 2025 NORTH EAST: Split 3 - Upper Swiss Phase")</f>
        <v>Challengers League 2025 NORTH EAST: Split 3 - Upper Swiss Phase</v>
      </c>
      <c r="D133" s="189" t="str">
        <f>IFERROR(__xludf.DUMMYFUNCTION("""COMPUTED_VALUE"""),"Ascent")</f>
        <v>Ascent</v>
      </c>
      <c r="E133" s="189" t="str">
        <f>IFERROR(__xludf.DUMMYFUNCTION("""COMPUTED_VALUE"""),"Team Liquid Academy")</f>
        <v>Team Liquid Academy</v>
      </c>
      <c r="F133" s="189" t="str">
        <f>IFERROR(__xludf.DUMMYFUNCTION("""COMPUTED_VALUE"""),"ESC Gaming")</f>
        <v>ESC Gaming</v>
      </c>
      <c r="G133" s="189" t="str">
        <f>IFERROR(__xludf.DUMMYFUNCTION("""COMPUTED_VALUE"""),"Sova,Omen,Yoru,Vyse,Waylay")</f>
        <v>Sova,Omen,Yoru,Vyse,Waylay</v>
      </c>
      <c r="H133" s="189" t="str">
        <f>IFERROR(__xludf.DUMMYFUNCTION("""COMPUTED_VALUE"""),"Sova,Killjoy,Viper,Omen,Neon")</f>
        <v>Sova,Killjoy,Viper,Omen,Neon</v>
      </c>
      <c r="I133" s="189">
        <f>IFERROR(__xludf.DUMMYFUNCTION("""COMPUTED_VALUE"""),13.0)</f>
        <v>13</v>
      </c>
      <c r="J133" s="189">
        <f>IFERROR(__xludf.DUMMYFUNCTION("""COMPUTED_VALUE"""),6.0)</f>
        <v>6</v>
      </c>
      <c r="K133" s="189">
        <f>IFERROR(__xludf.DUMMYFUNCTION("""COMPUTED_VALUE"""),6.0)</f>
        <v>6</v>
      </c>
      <c r="L133" s="189">
        <f>IFERROR(__xludf.DUMMYFUNCTION("""COMPUTED_VALUE"""),6.0)</f>
        <v>6</v>
      </c>
      <c r="M133" s="189">
        <f>IFERROR(__xludf.DUMMYFUNCTION("""COMPUTED_VALUE"""),1.0)</f>
        <v>1</v>
      </c>
      <c r="N133" s="189">
        <f>IFERROR(__xludf.DUMMYFUNCTION("""COMPUTED_VALUE"""),1.0)</f>
        <v>1</v>
      </c>
      <c r="O133" s="189">
        <f>IFERROR(__xludf.DUMMYFUNCTION("""COMPUTED_VALUE"""),6.0)</f>
        <v>6</v>
      </c>
      <c r="P133" s="189">
        <f>IFERROR(__xludf.DUMMYFUNCTION("""COMPUTED_VALUE"""),6.0)</f>
        <v>6</v>
      </c>
      <c r="Q133" s="189">
        <f>IFERROR(__xludf.DUMMYFUNCTION("""COMPUTED_VALUE"""),7.0)</f>
        <v>7</v>
      </c>
      <c r="R133" s="189">
        <f>IFERROR(__xludf.DUMMYFUNCTION("""COMPUTED_VALUE"""),0.0)</f>
        <v>0</v>
      </c>
      <c r="S133" s="189">
        <f>IFERROR(__xludf.DUMMYFUNCTION("""COMPUTED_VALUE"""),0.0)</f>
        <v>0</v>
      </c>
      <c r="T133" s="189">
        <f>IFERROR(__xludf.DUMMYFUNCTION("""COMPUTED_VALUE"""),0.0)</f>
        <v>0</v>
      </c>
      <c r="U133" s="189">
        <f>IFERROR(__xludf.DUMMYFUNCTION("""COMPUTED_VALUE"""),0.0)</f>
        <v>0</v>
      </c>
      <c r="V133" s="189">
        <f>IFERROR(__xludf.DUMMYFUNCTION("""COMPUTED_VALUE"""),7.0)</f>
        <v>7</v>
      </c>
      <c r="W133" s="189">
        <f>IFERROR(__xludf.DUMMYFUNCTION("""COMPUTED_VALUE"""),6.0)</f>
        <v>6</v>
      </c>
      <c r="X133" s="189">
        <f>IFERROR(__xludf.DUMMYFUNCTION("""COMPUTED_VALUE"""),6.0)</f>
        <v>6</v>
      </c>
      <c r="Y133" s="208" t="str">
        <f>IFERROR(__xludf.DUMMYFUNCTION("""COMPUTED_VALUE"""),"2025-07-21T00:00:00.000Z")</f>
        <v>2025-07-21T00:00:00.000Z</v>
      </c>
      <c r="Z133" s="189" t="s">
        <v>142</v>
      </c>
      <c r="AA133" s="189" t="s">
        <v>1</v>
      </c>
    </row>
    <row r="134">
      <c r="A134" s="189">
        <f>IFERROR(__xludf.DUMMYFUNCTION("""COMPUTED_VALUE"""),210362.0)</f>
        <v>210362</v>
      </c>
      <c r="B134" s="189">
        <f>IFERROR(__xludf.DUMMYFUNCTION("""COMPUTED_VALUE"""),92557.0)</f>
        <v>92557</v>
      </c>
      <c r="C134" s="189" t="str">
        <f>IFERROR(__xludf.DUMMYFUNCTION("""COMPUTED_VALUE"""),"Challengers League 2025 MENA: Resilience - GPI - Split 2 - Playoffs")</f>
        <v>Challengers League 2025 MENA: Resilience - GPI - Split 2 - Playoffs</v>
      </c>
      <c r="D134" s="189" t="str">
        <f>IFERROR(__xludf.DUMMYFUNCTION("""COMPUTED_VALUE"""),"Sunset")</f>
        <v>Sunset</v>
      </c>
      <c r="E134" s="189" t="str">
        <f>IFERROR(__xludf.DUMMYFUNCTION("""COMPUTED_VALUE"""),"Twisted Minds Esports")</f>
        <v>Twisted Minds Esports</v>
      </c>
      <c r="F134" s="189" t="str">
        <f>IFERROR(__xludf.DUMMYFUNCTION("""COMPUTED_VALUE"""),"The Ultimates")</f>
        <v>The Ultimates</v>
      </c>
      <c r="G134" s="189" t="str">
        <f>IFERROR(__xludf.DUMMYFUNCTION("""COMPUTED_VALUE"""),"Breach,Cypher,Omen,Neon,Fade")</f>
        <v>Breach,Cypher,Omen,Neon,Fade</v>
      </c>
      <c r="H134" s="189" t="str">
        <f>IFERROR(__xludf.DUMMYFUNCTION("""COMPUTED_VALUE"""),"Breach,Cypher,Sova,Omen,Neon")</f>
        <v>Breach,Cypher,Sova,Omen,Neon</v>
      </c>
      <c r="I134" s="189">
        <f>IFERROR(__xludf.DUMMYFUNCTION("""COMPUTED_VALUE"""),13.0)</f>
        <v>13</v>
      </c>
      <c r="J134" s="189">
        <f>IFERROR(__xludf.DUMMYFUNCTION("""COMPUTED_VALUE"""),9.0)</f>
        <v>9</v>
      </c>
      <c r="K134" s="189">
        <f>IFERROR(__xludf.DUMMYFUNCTION("""COMPUTED_VALUE"""),7.0)</f>
        <v>7</v>
      </c>
      <c r="L134" s="189">
        <f>IFERROR(__xludf.DUMMYFUNCTION("""COMPUTED_VALUE"""),5.0)</f>
        <v>5</v>
      </c>
      <c r="M134" s="189">
        <f>IFERROR(__xludf.DUMMYFUNCTION("""COMPUTED_VALUE"""),1.0)</f>
        <v>1</v>
      </c>
      <c r="N134" s="189">
        <f>IFERROR(__xludf.DUMMYFUNCTION("""COMPUTED_VALUE"""),1.0)</f>
        <v>1</v>
      </c>
      <c r="O134" s="189">
        <f>IFERROR(__xludf.DUMMYFUNCTION("""COMPUTED_VALUE"""),7.0)</f>
        <v>7</v>
      </c>
      <c r="P134" s="189">
        <f>IFERROR(__xludf.DUMMYFUNCTION("""COMPUTED_VALUE"""),5.0)</f>
        <v>5</v>
      </c>
      <c r="Q134" s="189">
        <f>IFERROR(__xludf.DUMMYFUNCTION("""COMPUTED_VALUE"""),6.0)</f>
        <v>6</v>
      </c>
      <c r="R134" s="189">
        <f>IFERROR(__xludf.DUMMYFUNCTION("""COMPUTED_VALUE"""),4.0)</f>
        <v>4</v>
      </c>
      <c r="S134" s="189">
        <f>IFERROR(__xludf.DUMMYFUNCTION("""COMPUTED_VALUE"""),0.0)</f>
        <v>0</v>
      </c>
      <c r="T134" s="189">
        <f>IFERROR(__xludf.DUMMYFUNCTION("""COMPUTED_VALUE"""),0.0)</f>
        <v>0</v>
      </c>
      <c r="U134" s="189">
        <f>IFERROR(__xludf.DUMMYFUNCTION("""COMPUTED_VALUE"""),4.0)</f>
        <v>4</v>
      </c>
      <c r="V134" s="189">
        <f>IFERROR(__xludf.DUMMYFUNCTION("""COMPUTED_VALUE"""),6.0)</f>
        <v>6</v>
      </c>
      <c r="W134" s="189">
        <f>IFERROR(__xludf.DUMMYFUNCTION("""COMPUTED_VALUE"""),5.0)</f>
        <v>5</v>
      </c>
      <c r="X134" s="189">
        <f>IFERROR(__xludf.DUMMYFUNCTION("""COMPUTED_VALUE"""),7.0)</f>
        <v>7</v>
      </c>
      <c r="Y134" s="208" t="str">
        <f>IFERROR(__xludf.DUMMYFUNCTION("""COMPUTED_VALUE"""),"2025-07-21T00:00:00.000Z")</f>
        <v>2025-07-21T00:00:00.000Z</v>
      </c>
      <c r="Z134" s="189" t="s">
        <v>166</v>
      </c>
      <c r="AA134" s="189" t="s">
        <v>184</v>
      </c>
    </row>
    <row r="135">
      <c r="A135" s="189">
        <f>IFERROR(__xludf.DUMMYFUNCTION("""COMPUTED_VALUE"""),210897.0)</f>
        <v>210897</v>
      </c>
      <c r="B135" s="189">
        <f>IFERROR(__xludf.DUMMYFUNCTION("""COMPUTED_VALUE"""),92755.0)</f>
        <v>92755</v>
      </c>
      <c r="C135" s="189" t="str">
        <f>IFERROR(__xludf.DUMMYFUNCTION("""COMPUTED_VALUE"""),"Challengers League 2025 NORTH EAST: Split 3 - Upper Swiss Phase")</f>
        <v>Challengers League 2025 NORTH EAST: Split 3 - Upper Swiss Phase</v>
      </c>
      <c r="D135" s="189" t="str">
        <f>IFERROR(__xludf.DUMMYFUNCTION("""COMPUTED_VALUE"""),"Lotus")</f>
        <v>Lotus</v>
      </c>
      <c r="E135" s="189" t="str">
        <f>IFERROR(__xludf.DUMMYFUNCTION("""COMPUTED_VALUE"""),"Team Liquid Academy")</f>
        <v>Team Liquid Academy</v>
      </c>
      <c r="F135" s="189" t="str">
        <f>IFERROR(__xludf.DUMMYFUNCTION("""COMPUTED_VALUE"""),"ESC Gaming")</f>
        <v>ESC Gaming</v>
      </c>
      <c r="G135" s="189" t="str">
        <f>IFERROR(__xludf.DUMMYFUNCTION("""COMPUTED_VALUE"""),"Breach,Cypher,Omen,Neon,Fade")</f>
        <v>Breach,Cypher,Omen,Neon,Fade</v>
      </c>
      <c r="H135" s="189" t="str">
        <f>IFERROR(__xludf.DUMMYFUNCTION("""COMPUTED_VALUE"""),"Raze,Viper,Omen,Fade,Vyse")</f>
        <v>Raze,Viper,Omen,Fade,Vyse</v>
      </c>
      <c r="I135" s="189">
        <f>IFERROR(__xludf.DUMMYFUNCTION("""COMPUTED_VALUE"""),14.0)</f>
        <v>14</v>
      </c>
      <c r="J135" s="189">
        <f>IFERROR(__xludf.DUMMYFUNCTION("""COMPUTED_VALUE"""),16.0)</f>
        <v>16</v>
      </c>
      <c r="K135" s="189">
        <f>IFERROR(__xludf.DUMMYFUNCTION("""COMPUTED_VALUE"""),9.0)</f>
        <v>9</v>
      </c>
      <c r="L135" s="189">
        <f>IFERROR(__xludf.DUMMYFUNCTION("""COMPUTED_VALUE"""),3.0)</f>
        <v>3</v>
      </c>
      <c r="M135" s="189">
        <f>IFERROR(__xludf.DUMMYFUNCTION("""COMPUTED_VALUE"""),1.0)</f>
        <v>1</v>
      </c>
      <c r="N135" s="189">
        <f>IFERROR(__xludf.DUMMYFUNCTION("""COMPUTED_VALUE"""),1.0)</f>
        <v>1</v>
      </c>
      <c r="O135" s="189">
        <f>IFERROR(__xludf.DUMMYFUNCTION("""COMPUTED_VALUE"""),4.0)</f>
        <v>4</v>
      </c>
      <c r="P135" s="189">
        <f>IFERROR(__xludf.DUMMYFUNCTION("""COMPUTED_VALUE"""),11.0)</f>
        <v>11</v>
      </c>
      <c r="Q135" s="189">
        <f>IFERROR(__xludf.DUMMYFUNCTION("""COMPUTED_VALUE"""),10.0)</f>
        <v>10</v>
      </c>
      <c r="R135" s="189">
        <f>IFERROR(__xludf.DUMMYFUNCTION("""COMPUTED_VALUE"""),5.0)</f>
        <v>5</v>
      </c>
      <c r="S135" s="189">
        <f>IFERROR(__xludf.DUMMYFUNCTION("""COMPUTED_VALUE"""),0.0)</f>
        <v>0</v>
      </c>
      <c r="T135" s="189">
        <f>IFERROR(__xludf.DUMMYFUNCTION("""COMPUTED_VALUE"""),0.0)</f>
        <v>0</v>
      </c>
      <c r="U135" s="189">
        <f>IFERROR(__xludf.DUMMYFUNCTION("""COMPUTED_VALUE"""),5.0)</f>
        <v>5</v>
      </c>
      <c r="V135" s="189">
        <f>IFERROR(__xludf.DUMMYFUNCTION("""COMPUTED_VALUE"""),10.0)</f>
        <v>10</v>
      </c>
      <c r="W135" s="189">
        <f>IFERROR(__xludf.DUMMYFUNCTION("""COMPUTED_VALUE"""),11.0)</f>
        <v>11</v>
      </c>
      <c r="X135" s="189">
        <f>IFERROR(__xludf.DUMMYFUNCTION("""COMPUTED_VALUE"""),4.0)</f>
        <v>4</v>
      </c>
      <c r="Y135" s="208" t="str">
        <f>IFERROR(__xludf.DUMMYFUNCTION("""COMPUTED_VALUE"""),"2025-07-21T00:00:00.000Z")</f>
        <v>2025-07-21T00:00:00.000Z</v>
      </c>
      <c r="Z135" s="189" t="s">
        <v>147</v>
      </c>
      <c r="AA135" s="189" t="s">
        <v>428</v>
      </c>
    </row>
    <row r="136">
      <c r="A136" s="189">
        <f>IFERROR(__xludf.DUMMYFUNCTION("""COMPUTED_VALUE"""),207571.0)</f>
        <v>207571</v>
      </c>
      <c r="B136" s="189">
        <f>IFERROR(__xludf.DUMMYFUNCTION("""COMPUTED_VALUE"""),91451.0)</f>
        <v>91451</v>
      </c>
      <c r="C136" s="189" t="str">
        <f>IFERROR(__xludf.DUMMYFUNCTION("""COMPUTED_VALUE"""),"Challengers League 2025 Spain Rising: Split 3 - Group Stage")</f>
        <v>Challengers League 2025 Spain Rising: Split 3 - Group Stage</v>
      </c>
      <c r="D136" s="189" t="str">
        <f>IFERROR(__xludf.DUMMYFUNCTION("""COMPUTED_VALUE"""),"Bind")</f>
        <v>Bind</v>
      </c>
      <c r="E136" s="189" t="str">
        <f>IFERROR(__xludf.DUMMYFUNCTION("""COMPUTED_VALUE"""),"Barça eSports")</f>
        <v>Barça eSports</v>
      </c>
      <c r="F136" s="189" t="str">
        <f>IFERROR(__xludf.DUMMYFUNCTION("""COMPUTED_VALUE"""),"DNSTY")</f>
        <v>DNSTY</v>
      </c>
      <c r="G136" s="189" t="str">
        <f>IFERROR(__xludf.DUMMYFUNCTION("""COMPUTED_VALUE"""),"Viper,Brimstone,Yoru,Fade,Gekko")</f>
        <v>Viper,Brimstone,Yoru,Fade,Gekko</v>
      </c>
      <c r="H136" s="189" t="str">
        <f>IFERROR(__xludf.DUMMYFUNCTION("""COMPUTED_VALUE"""),"Yoru,Astra,Gekko,Deadlock,Vyse")</f>
        <v>Yoru,Astra,Gekko,Deadlock,Vyse</v>
      </c>
      <c r="I136" s="189">
        <f>IFERROR(__xludf.DUMMYFUNCTION("""COMPUTED_VALUE"""),8.0)</f>
        <v>8</v>
      </c>
      <c r="J136" s="189">
        <f>IFERROR(__xludf.DUMMYFUNCTION("""COMPUTED_VALUE"""),13.0)</f>
        <v>13</v>
      </c>
      <c r="K136" s="189">
        <f>IFERROR(__xludf.DUMMYFUNCTION("""COMPUTED_VALUE"""),7.0)</f>
        <v>7</v>
      </c>
      <c r="L136" s="189">
        <f>IFERROR(__xludf.DUMMYFUNCTION("""COMPUTED_VALUE"""),5.0)</f>
        <v>5</v>
      </c>
      <c r="M136" s="189">
        <f>IFERROR(__xludf.DUMMYFUNCTION("""COMPUTED_VALUE"""),0.0)</f>
        <v>0</v>
      </c>
      <c r="N136" s="189">
        <f>IFERROR(__xludf.DUMMYFUNCTION("""COMPUTED_VALUE"""),1.0)</f>
        <v>1</v>
      </c>
      <c r="O136" s="189">
        <f>IFERROR(__xludf.DUMMYFUNCTION("""COMPUTED_VALUE"""),1.0)</f>
        <v>1</v>
      </c>
      <c r="P136" s="189">
        <f>IFERROR(__xludf.DUMMYFUNCTION("""COMPUTED_VALUE"""),8.0)</f>
        <v>8</v>
      </c>
      <c r="Q136" s="189">
        <f>IFERROR(__xludf.DUMMYFUNCTION("""COMPUTED_VALUE"""),7.0)</f>
        <v>7</v>
      </c>
      <c r="R136" s="189">
        <f>IFERROR(__xludf.DUMMYFUNCTION("""COMPUTED_VALUE"""),5.0)</f>
        <v>5</v>
      </c>
      <c r="S136" s="189">
        <f>IFERROR(__xludf.DUMMYFUNCTION("""COMPUTED_VALUE"""),0.0)</f>
        <v>0</v>
      </c>
      <c r="T136" s="189">
        <f>IFERROR(__xludf.DUMMYFUNCTION("""COMPUTED_VALUE"""),1.0)</f>
        <v>1</v>
      </c>
      <c r="U136" s="189">
        <f>IFERROR(__xludf.DUMMYFUNCTION("""COMPUTED_VALUE"""),5.0)</f>
        <v>5</v>
      </c>
      <c r="V136" s="189">
        <f>IFERROR(__xludf.DUMMYFUNCTION("""COMPUTED_VALUE"""),7.0)</f>
        <v>7</v>
      </c>
      <c r="W136" s="189">
        <f>IFERROR(__xludf.DUMMYFUNCTION("""COMPUTED_VALUE"""),8.0)</f>
        <v>8</v>
      </c>
      <c r="X136" s="189">
        <f>IFERROR(__xludf.DUMMYFUNCTION("""COMPUTED_VALUE"""),1.0)</f>
        <v>1</v>
      </c>
      <c r="Y136" s="208" t="str">
        <f>IFERROR(__xludf.DUMMYFUNCTION("""COMPUTED_VALUE"""),"2025-07-21T00:00:00.000Z")</f>
        <v>2025-07-21T00:00:00.000Z</v>
      </c>
      <c r="Z136" s="189" t="s">
        <v>429</v>
      </c>
      <c r="AA136" s="189" t="s">
        <v>182</v>
      </c>
    </row>
    <row r="137">
      <c r="A137" s="189">
        <f>IFERROR(__xludf.DUMMYFUNCTION("""COMPUTED_VALUE"""),210361.0)</f>
        <v>210361</v>
      </c>
      <c r="B137" s="189">
        <f>IFERROR(__xludf.DUMMYFUNCTION("""COMPUTED_VALUE"""),92557.0)</f>
        <v>92557</v>
      </c>
      <c r="C137" s="189" t="str">
        <f>IFERROR(__xludf.DUMMYFUNCTION("""COMPUTED_VALUE"""),"Challengers League 2025 MENA: Resilience - GPI - Split 2 - Playoffs")</f>
        <v>Challengers League 2025 MENA: Resilience - GPI - Split 2 - Playoffs</v>
      </c>
      <c r="D137" s="189" t="str">
        <f>IFERROR(__xludf.DUMMYFUNCTION("""COMPUTED_VALUE"""),"Lotus")</f>
        <v>Lotus</v>
      </c>
      <c r="E137" s="189" t="str">
        <f>IFERROR(__xludf.DUMMYFUNCTION("""COMPUTED_VALUE"""),"Twisted Minds Esports")</f>
        <v>Twisted Minds Esports</v>
      </c>
      <c r="F137" s="189" t="str">
        <f>IFERROR(__xludf.DUMMYFUNCTION("""COMPUTED_VALUE"""),"The Ultimates")</f>
        <v>The Ultimates</v>
      </c>
      <c r="G137" s="189" t="str">
        <f>IFERROR(__xludf.DUMMYFUNCTION("""COMPUTED_VALUE"""),"Raze,Killjoy,Viper,Omen,Fade")</f>
        <v>Raze,Killjoy,Viper,Omen,Fade</v>
      </c>
      <c r="H137" s="189" t="str">
        <f>IFERROR(__xludf.DUMMYFUNCTION("""COMPUTED_VALUE"""),"Omen,Yoru,Neon,Fade,Vyse")</f>
        <v>Omen,Yoru,Neon,Fade,Vyse</v>
      </c>
      <c r="I137" s="189">
        <f>IFERROR(__xludf.DUMMYFUNCTION("""COMPUTED_VALUE"""),13.0)</f>
        <v>13</v>
      </c>
      <c r="J137" s="189">
        <f>IFERROR(__xludf.DUMMYFUNCTION("""COMPUTED_VALUE"""),9.0)</f>
        <v>9</v>
      </c>
      <c r="K137" s="189">
        <f>IFERROR(__xludf.DUMMYFUNCTION("""COMPUTED_VALUE"""),6.0)</f>
        <v>6</v>
      </c>
      <c r="L137" s="189">
        <f>IFERROR(__xludf.DUMMYFUNCTION("""COMPUTED_VALUE"""),6.0)</f>
        <v>6</v>
      </c>
      <c r="M137" s="189">
        <f>IFERROR(__xludf.DUMMYFUNCTION("""COMPUTED_VALUE"""),1.0)</f>
        <v>1</v>
      </c>
      <c r="N137" s="189">
        <f>IFERROR(__xludf.DUMMYFUNCTION("""COMPUTED_VALUE"""),0.0)</f>
        <v>0</v>
      </c>
      <c r="O137" s="189">
        <f>IFERROR(__xludf.DUMMYFUNCTION("""COMPUTED_VALUE"""),7.0)</f>
        <v>7</v>
      </c>
      <c r="P137" s="189">
        <f>IFERROR(__xludf.DUMMYFUNCTION("""COMPUTED_VALUE"""),3.0)</f>
        <v>3</v>
      </c>
      <c r="Q137" s="189">
        <f>IFERROR(__xludf.DUMMYFUNCTION("""COMPUTED_VALUE"""),6.0)</f>
        <v>6</v>
      </c>
      <c r="R137" s="189">
        <f>IFERROR(__xludf.DUMMYFUNCTION("""COMPUTED_VALUE"""),6.0)</f>
        <v>6</v>
      </c>
      <c r="S137" s="189">
        <f>IFERROR(__xludf.DUMMYFUNCTION("""COMPUTED_VALUE"""),1.0)</f>
        <v>1</v>
      </c>
      <c r="T137" s="189">
        <f>IFERROR(__xludf.DUMMYFUNCTION("""COMPUTED_VALUE"""),0.0)</f>
        <v>0</v>
      </c>
      <c r="U137" s="189">
        <f>IFERROR(__xludf.DUMMYFUNCTION("""COMPUTED_VALUE"""),6.0)</f>
        <v>6</v>
      </c>
      <c r="V137" s="189">
        <f>IFERROR(__xludf.DUMMYFUNCTION("""COMPUTED_VALUE"""),6.0)</f>
        <v>6</v>
      </c>
      <c r="W137" s="189">
        <f>IFERROR(__xludf.DUMMYFUNCTION("""COMPUTED_VALUE"""),3.0)</f>
        <v>3</v>
      </c>
      <c r="X137" s="189">
        <f>IFERROR(__xludf.DUMMYFUNCTION("""COMPUTED_VALUE"""),7.0)</f>
        <v>7</v>
      </c>
      <c r="Y137" s="208" t="str">
        <f>IFERROR(__xludf.DUMMYFUNCTION("""COMPUTED_VALUE"""),"2025-07-21T00:00:00.000Z")</f>
        <v>2025-07-21T00:00:00.000Z</v>
      </c>
      <c r="Z137" s="189" t="s">
        <v>164</v>
      </c>
      <c r="AA137" s="189" t="s">
        <v>184</v>
      </c>
    </row>
    <row r="138">
      <c r="A138" s="189">
        <f>IFERROR(__xludf.DUMMYFUNCTION("""COMPUTED_VALUE"""),207570.0)</f>
        <v>207570</v>
      </c>
      <c r="B138" s="189">
        <f>IFERROR(__xludf.DUMMYFUNCTION("""COMPUTED_VALUE"""),91451.0)</f>
        <v>91451</v>
      </c>
      <c r="C138" s="189" t="str">
        <f>IFERROR(__xludf.DUMMYFUNCTION("""COMPUTED_VALUE"""),"Challengers League 2025 Spain Rising: Split 3 - Group Stage")</f>
        <v>Challengers League 2025 Spain Rising: Split 3 - Group Stage</v>
      </c>
      <c r="D138" s="189" t="str">
        <f>IFERROR(__xludf.DUMMYFUNCTION("""COMPUTED_VALUE"""),"Lotus")</f>
        <v>Lotus</v>
      </c>
      <c r="E138" s="189" t="str">
        <f>IFERROR(__xludf.DUMMYFUNCTION("""COMPUTED_VALUE"""),"Barça eSports")</f>
        <v>Barça eSports</v>
      </c>
      <c r="F138" s="189" t="str">
        <f>IFERROR(__xludf.DUMMYFUNCTION("""COMPUTED_VALUE"""),"DNSTY")</f>
        <v>DNSTY</v>
      </c>
      <c r="G138" s="189" t="str">
        <f>IFERROR(__xludf.DUMMYFUNCTION("""COMPUTED_VALUE"""),"Breach,Sova,Viper,Omen,Neon")</f>
        <v>Breach,Sova,Viper,Omen,Neon</v>
      </c>
      <c r="H138" s="189" t="str">
        <f>IFERROR(__xludf.DUMMYFUNCTION("""COMPUTED_VALUE"""),"Raze,Killjoy,Viper,Omen,Fade")</f>
        <v>Raze,Killjoy,Viper,Omen,Fade</v>
      </c>
      <c r="I138" s="189">
        <f>IFERROR(__xludf.DUMMYFUNCTION("""COMPUTED_VALUE"""),6.0)</f>
        <v>6</v>
      </c>
      <c r="J138" s="189">
        <f>IFERROR(__xludf.DUMMYFUNCTION("""COMPUTED_VALUE"""),13.0)</f>
        <v>13</v>
      </c>
      <c r="K138" s="189">
        <f>IFERROR(__xludf.DUMMYFUNCTION("""COMPUTED_VALUE"""),5.0)</f>
        <v>5</v>
      </c>
      <c r="L138" s="189">
        <f>IFERROR(__xludf.DUMMYFUNCTION("""COMPUTED_VALUE"""),7.0)</f>
        <v>7</v>
      </c>
      <c r="M138" s="189">
        <f>IFERROR(__xludf.DUMMYFUNCTION("""COMPUTED_VALUE"""),0.0)</f>
        <v>0</v>
      </c>
      <c r="N138" s="189">
        <f>IFERROR(__xludf.DUMMYFUNCTION("""COMPUTED_VALUE"""),0.0)</f>
        <v>0</v>
      </c>
      <c r="O138" s="189">
        <f>IFERROR(__xludf.DUMMYFUNCTION("""COMPUTED_VALUE"""),1.0)</f>
        <v>1</v>
      </c>
      <c r="P138" s="189">
        <f>IFERROR(__xludf.DUMMYFUNCTION("""COMPUTED_VALUE"""),6.0)</f>
        <v>6</v>
      </c>
      <c r="Q138" s="189">
        <f>IFERROR(__xludf.DUMMYFUNCTION("""COMPUTED_VALUE"""),5.0)</f>
        <v>5</v>
      </c>
      <c r="R138" s="189">
        <f>IFERROR(__xludf.DUMMYFUNCTION("""COMPUTED_VALUE"""),7.0)</f>
        <v>7</v>
      </c>
      <c r="S138" s="189">
        <f>IFERROR(__xludf.DUMMYFUNCTION("""COMPUTED_VALUE"""),1.0)</f>
        <v>1</v>
      </c>
      <c r="T138" s="189">
        <f>IFERROR(__xludf.DUMMYFUNCTION("""COMPUTED_VALUE"""),1.0)</f>
        <v>1</v>
      </c>
      <c r="U138" s="189">
        <f>IFERROR(__xludf.DUMMYFUNCTION("""COMPUTED_VALUE"""),7.0)</f>
        <v>7</v>
      </c>
      <c r="V138" s="189">
        <f>IFERROR(__xludf.DUMMYFUNCTION("""COMPUTED_VALUE"""),5.0)</f>
        <v>5</v>
      </c>
      <c r="W138" s="189">
        <f>IFERROR(__xludf.DUMMYFUNCTION("""COMPUTED_VALUE"""),6.0)</f>
        <v>6</v>
      </c>
      <c r="X138" s="189">
        <f>IFERROR(__xludf.DUMMYFUNCTION("""COMPUTED_VALUE"""),1.0)</f>
        <v>1</v>
      </c>
      <c r="Y138" s="208" t="str">
        <f>IFERROR(__xludf.DUMMYFUNCTION("""COMPUTED_VALUE"""),"2025-07-21T00:00:00.000Z")</f>
        <v>2025-07-21T00:00:00.000Z</v>
      </c>
      <c r="Z138" s="189" t="s">
        <v>430</v>
      </c>
      <c r="AA138" s="189" t="s">
        <v>182</v>
      </c>
    </row>
    <row r="139">
      <c r="A139" s="189">
        <f>IFERROR(__xludf.DUMMYFUNCTION("""COMPUTED_VALUE"""),210360.0)</f>
        <v>210360</v>
      </c>
      <c r="B139" s="189">
        <f>IFERROR(__xludf.DUMMYFUNCTION("""COMPUTED_VALUE"""),92557.0)</f>
        <v>92557</v>
      </c>
      <c r="C139" s="189" t="str">
        <f>IFERROR(__xludf.DUMMYFUNCTION("""COMPUTED_VALUE"""),"Challengers League 2025 MENA: Resilience - GPI - Split 2 - Playoffs")</f>
        <v>Challengers League 2025 MENA: Resilience - GPI - Split 2 - Playoffs</v>
      </c>
      <c r="D139" s="189" t="str">
        <f>IFERROR(__xludf.DUMMYFUNCTION("""COMPUTED_VALUE"""),"Ascent")</f>
        <v>Ascent</v>
      </c>
      <c r="E139" s="189" t="str">
        <f>IFERROR(__xludf.DUMMYFUNCTION("""COMPUTED_VALUE"""),"Twisted Minds Esports")</f>
        <v>Twisted Minds Esports</v>
      </c>
      <c r="F139" s="189" t="str">
        <f>IFERROR(__xludf.DUMMYFUNCTION("""COMPUTED_VALUE"""),"The Ultimates")</f>
        <v>The Ultimates</v>
      </c>
      <c r="G139" s="189" t="str">
        <f>IFERROR(__xludf.DUMMYFUNCTION("""COMPUTED_VALUE"""),"Cypher,Sova,Omen,Yoru,Deadlock")</f>
        <v>Cypher,Sova,Omen,Yoru,Deadlock</v>
      </c>
      <c r="H139" s="189" t="str">
        <f>IFERROR(__xludf.DUMMYFUNCTION("""COMPUTED_VALUE"""),"Cypher,Sova,Omen,Yoru,Iso")</f>
        <v>Cypher,Sova,Omen,Yoru,Iso</v>
      </c>
      <c r="I139" s="189">
        <f>IFERROR(__xludf.DUMMYFUNCTION("""COMPUTED_VALUE"""),5.0)</f>
        <v>5</v>
      </c>
      <c r="J139" s="189">
        <f>IFERROR(__xludf.DUMMYFUNCTION("""COMPUTED_VALUE"""),13.0)</f>
        <v>13</v>
      </c>
      <c r="K139" s="189">
        <f>IFERROR(__xludf.DUMMYFUNCTION("""COMPUTED_VALUE"""),5.0)</f>
        <v>5</v>
      </c>
      <c r="L139" s="189">
        <f>IFERROR(__xludf.DUMMYFUNCTION("""COMPUTED_VALUE"""),7.0)</f>
        <v>7</v>
      </c>
      <c r="M139" s="189">
        <f>IFERROR(__xludf.DUMMYFUNCTION("""COMPUTED_VALUE"""),0.0)</f>
        <v>0</v>
      </c>
      <c r="N139" s="189">
        <f>IFERROR(__xludf.DUMMYFUNCTION("""COMPUTED_VALUE"""),0.0)</f>
        <v>0</v>
      </c>
      <c r="O139" s="189">
        <f>IFERROR(__xludf.DUMMYFUNCTION("""COMPUTED_VALUE"""),0.0)</f>
        <v>0</v>
      </c>
      <c r="P139" s="189">
        <f>IFERROR(__xludf.DUMMYFUNCTION("""COMPUTED_VALUE"""),6.0)</f>
        <v>6</v>
      </c>
      <c r="Q139" s="189">
        <f>IFERROR(__xludf.DUMMYFUNCTION("""COMPUTED_VALUE"""),5.0)</f>
        <v>5</v>
      </c>
      <c r="R139" s="189">
        <f>IFERROR(__xludf.DUMMYFUNCTION("""COMPUTED_VALUE"""),7.0)</f>
        <v>7</v>
      </c>
      <c r="S139" s="189">
        <f>IFERROR(__xludf.DUMMYFUNCTION("""COMPUTED_VALUE"""),1.0)</f>
        <v>1</v>
      </c>
      <c r="T139" s="189">
        <f>IFERROR(__xludf.DUMMYFUNCTION("""COMPUTED_VALUE"""),1.0)</f>
        <v>1</v>
      </c>
      <c r="U139" s="189">
        <f>IFERROR(__xludf.DUMMYFUNCTION("""COMPUTED_VALUE"""),7.0)</f>
        <v>7</v>
      </c>
      <c r="V139" s="189">
        <f>IFERROR(__xludf.DUMMYFUNCTION("""COMPUTED_VALUE"""),5.0)</f>
        <v>5</v>
      </c>
      <c r="W139" s="189">
        <f>IFERROR(__xludf.DUMMYFUNCTION("""COMPUTED_VALUE"""),6.0)</f>
        <v>6</v>
      </c>
      <c r="X139" s="189">
        <f>IFERROR(__xludf.DUMMYFUNCTION("""COMPUTED_VALUE"""),0.0)</f>
        <v>0</v>
      </c>
      <c r="Y139" s="208" t="str">
        <f>IFERROR(__xludf.DUMMYFUNCTION("""COMPUTED_VALUE"""),"2025-07-21T00:00:00.000Z")</f>
        <v>2025-07-21T00:00:00.000Z</v>
      </c>
      <c r="Z139" s="189" t="s">
        <v>159</v>
      </c>
      <c r="AA139" s="189" t="s">
        <v>185</v>
      </c>
    </row>
    <row r="140">
      <c r="A140" s="189">
        <f>IFERROR(__xludf.DUMMYFUNCTION("""COMPUTED_VALUE"""),210756.0)</f>
        <v>210756</v>
      </c>
      <c r="B140" s="189">
        <f>IFERROR(__xludf.DUMMYFUNCTION("""COMPUTED_VALUE"""),92708.0)</f>
        <v>92708</v>
      </c>
      <c r="C140" s="189" t="str">
        <f>IFERROR(__xludf.DUMMYFUNCTION("""COMPUTED_VALUE"""),"Challengers League 2025 NORTH EAST: Split 3 - Upper Swiss Phase")</f>
        <v>Challengers League 2025 NORTH EAST: Split 3 - Upper Swiss Phase</v>
      </c>
      <c r="D140" s="189" t="str">
        <f>IFERROR(__xludf.DUMMYFUNCTION("""COMPUTED_VALUE"""),"Bind")</f>
        <v>Bind</v>
      </c>
      <c r="E140" s="189" t="str">
        <f>IFERROR(__xludf.DUMMYFUNCTION("""COMPUTED_VALUE"""),"Boars Gaming")</f>
        <v>Boars Gaming</v>
      </c>
      <c r="F140" s="189" t="str">
        <f>IFERROR(__xludf.DUMMYFUNCTION("""COMPUTED_VALUE"""),"Enterprise Esports")</f>
        <v>Enterprise Esports</v>
      </c>
      <c r="G140" s="189" t="str">
        <f>IFERROR(__xludf.DUMMYFUNCTION("""COMPUTED_VALUE"""),"Raze,Astra,Gekko,Deadlock,Vyse")</f>
        <v>Raze,Astra,Gekko,Deadlock,Vyse</v>
      </c>
      <c r="H140" s="189" t="str">
        <f>IFERROR(__xludf.DUMMYFUNCTION("""COMPUTED_VALUE"""),"Raze,Viper,Brimstone,Yoru,Fade")</f>
        <v>Raze,Viper,Brimstone,Yoru,Fade</v>
      </c>
      <c r="I140" s="189">
        <f>IFERROR(__xludf.DUMMYFUNCTION("""COMPUTED_VALUE"""),10.0)</f>
        <v>10</v>
      </c>
      <c r="J140" s="189">
        <f>IFERROR(__xludf.DUMMYFUNCTION("""COMPUTED_VALUE"""),13.0)</f>
        <v>13</v>
      </c>
      <c r="K140" s="189">
        <f>IFERROR(__xludf.DUMMYFUNCTION("""COMPUTED_VALUE"""),7.0)</f>
        <v>7</v>
      </c>
      <c r="L140" s="189">
        <f>IFERROR(__xludf.DUMMYFUNCTION("""COMPUTED_VALUE"""),5.0)</f>
        <v>5</v>
      </c>
      <c r="M140" s="189">
        <f>IFERROR(__xludf.DUMMYFUNCTION("""COMPUTED_VALUE"""),1.0)</f>
        <v>1</v>
      </c>
      <c r="N140" s="189">
        <f>IFERROR(__xludf.DUMMYFUNCTION("""COMPUTED_VALUE"""),1.0)</f>
        <v>1</v>
      </c>
      <c r="O140" s="189">
        <f>IFERROR(__xludf.DUMMYFUNCTION("""COMPUTED_VALUE"""),7.0)</f>
        <v>7</v>
      </c>
      <c r="P140" s="189">
        <f>IFERROR(__xludf.DUMMYFUNCTION("""COMPUTED_VALUE"""),5.0)</f>
        <v>5</v>
      </c>
      <c r="Q140" s="189">
        <f>IFERROR(__xludf.DUMMYFUNCTION("""COMPUTED_VALUE"""),3.0)</f>
        <v>3</v>
      </c>
      <c r="R140" s="189">
        <f>IFERROR(__xludf.DUMMYFUNCTION("""COMPUTED_VALUE"""),8.0)</f>
        <v>8</v>
      </c>
      <c r="S140" s="189">
        <f>IFERROR(__xludf.DUMMYFUNCTION("""COMPUTED_VALUE"""),0.0)</f>
        <v>0</v>
      </c>
      <c r="T140" s="189">
        <f>IFERROR(__xludf.DUMMYFUNCTION("""COMPUTED_VALUE"""),0.0)</f>
        <v>0</v>
      </c>
      <c r="U140" s="189">
        <f>IFERROR(__xludf.DUMMYFUNCTION("""COMPUTED_VALUE"""),8.0)</f>
        <v>8</v>
      </c>
      <c r="V140" s="189">
        <f>IFERROR(__xludf.DUMMYFUNCTION("""COMPUTED_VALUE"""),3.0)</f>
        <v>3</v>
      </c>
      <c r="W140" s="189">
        <f>IFERROR(__xludf.DUMMYFUNCTION("""COMPUTED_VALUE"""),5.0)</f>
        <v>5</v>
      </c>
      <c r="X140" s="189">
        <f>IFERROR(__xludf.DUMMYFUNCTION("""COMPUTED_VALUE"""),7.0)</f>
        <v>7</v>
      </c>
      <c r="Y140" s="208" t="str">
        <f>IFERROR(__xludf.DUMMYFUNCTION("""COMPUTED_VALUE"""),"2025-07-21T00:00:00.000Z")</f>
        <v>2025-07-21T00:00:00.000Z</v>
      </c>
      <c r="Z140" s="189" t="s">
        <v>77</v>
      </c>
      <c r="AA140" s="189" t="s">
        <v>179</v>
      </c>
    </row>
    <row r="141">
      <c r="A141" s="189">
        <f>IFERROR(__xludf.DUMMYFUNCTION("""COMPUTED_VALUE"""),210359.0)</f>
        <v>210359</v>
      </c>
      <c r="B141" s="189">
        <f>IFERROR(__xludf.DUMMYFUNCTION("""COMPUTED_VALUE"""),92557.0)</f>
        <v>92557</v>
      </c>
      <c r="C141" s="189" t="str">
        <f>IFERROR(__xludf.DUMMYFUNCTION("""COMPUTED_VALUE"""),"Challengers League 2025 MENA: Resilience - GPI - Split 2 - Playoffs")</f>
        <v>Challengers League 2025 MENA: Resilience - GPI - Split 2 - Playoffs</v>
      </c>
      <c r="D141" s="189" t="str">
        <f>IFERROR(__xludf.DUMMYFUNCTION("""COMPUTED_VALUE"""),"Corrode")</f>
        <v>Corrode</v>
      </c>
      <c r="E141" s="189" t="str">
        <f>IFERROR(__xludf.DUMMYFUNCTION("""COMPUTED_VALUE"""),"Twisted Minds Esports")</f>
        <v>Twisted Minds Esports</v>
      </c>
      <c r="F141" s="189" t="str">
        <f>IFERROR(__xludf.DUMMYFUNCTION("""COMPUTED_VALUE"""),"The Ultimates")</f>
        <v>The Ultimates</v>
      </c>
      <c r="G141" s="189" t="str">
        <f>IFERROR(__xludf.DUMMYFUNCTION("""COMPUTED_VALUE"""),"Omen,Yoru,Chamber,Fade,Vyse")</f>
        <v>Omen,Yoru,Chamber,Fade,Vyse</v>
      </c>
      <c r="H141" s="189" t="str">
        <f>IFERROR(__xludf.DUMMYFUNCTION("""COMPUTED_VALUE"""),"Cypher,Omen,Yoru,Fade,Iso")</f>
        <v>Cypher,Omen,Yoru,Fade,Iso</v>
      </c>
      <c r="I141" s="189">
        <f>IFERROR(__xludf.DUMMYFUNCTION("""COMPUTED_VALUE"""),14.0)</f>
        <v>14</v>
      </c>
      <c r="J141" s="189">
        <f>IFERROR(__xludf.DUMMYFUNCTION("""COMPUTED_VALUE"""),12.0)</f>
        <v>12</v>
      </c>
      <c r="K141" s="189">
        <f>IFERROR(__xludf.DUMMYFUNCTION("""COMPUTED_VALUE"""),6.0)</f>
        <v>6</v>
      </c>
      <c r="L141" s="189">
        <f>IFERROR(__xludf.DUMMYFUNCTION("""COMPUTED_VALUE"""),6.0)</f>
        <v>6</v>
      </c>
      <c r="M141" s="189">
        <f>IFERROR(__xludf.DUMMYFUNCTION("""COMPUTED_VALUE"""),1.0)</f>
        <v>1</v>
      </c>
      <c r="N141" s="189">
        <f>IFERROR(__xludf.DUMMYFUNCTION("""COMPUTED_VALUE"""),1.0)</f>
        <v>1</v>
      </c>
      <c r="O141" s="189">
        <f>IFERROR(__xludf.DUMMYFUNCTION("""COMPUTED_VALUE"""),7.0)</f>
        <v>7</v>
      </c>
      <c r="P141" s="189">
        <f>IFERROR(__xludf.DUMMYFUNCTION("""COMPUTED_VALUE"""),6.0)</f>
        <v>6</v>
      </c>
      <c r="Q141" s="189">
        <f>IFERROR(__xludf.DUMMYFUNCTION("""COMPUTED_VALUE"""),7.0)</f>
        <v>7</v>
      </c>
      <c r="R141" s="189">
        <f>IFERROR(__xludf.DUMMYFUNCTION("""COMPUTED_VALUE"""),6.0)</f>
        <v>6</v>
      </c>
      <c r="S141" s="189">
        <f>IFERROR(__xludf.DUMMYFUNCTION("""COMPUTED_VALUE"""),0.0)</f>
        <v>0</v>
      </c>
      <c r="T141" s="189">
        <f>IFERROR(__xludf.DUMMYFUNCTION("""COMPUTED_VALUE"""),0.0)</f>
        <v>0</v>
      </c>
      <c r="U141" s="189">
        <f>IFERROR(__xludf.DUMMYFUNCTION("""COMPUTED_VALUE"""),6.0)</f>
        <v>6</v>
      </c>
      <c r="V141" s="189">
        <f>IFERROR(__xludf.DUMMYFUNCTION("""COMPUTED_VALUE"""),7.0)</f>
        <v>7</v>
      </c>
      <c r="W141" s="189">
        <f>IFERROR(__xludf.DUMMYFUNCTION("""COMPUTED_VALUE"""),6.0)</f>
        <v>6</v>
      </c>
      <c r="X141" s="189">
        <f>IFERROR(__xludf.DUMMYFUNCTION("""COMPUTED_VALUE"""),7.0)</f>
        <v>7</v>
      </c>
      <c r="Y141" s="208" t="str">
        <f>IFERROR(__xludf.DUMMYFUNCTION("""COMPUTED_VALUE"""),"2025-07-21T00:00:00.000Z")</f>
        <v>2025-07-21T00:00:00.000Z</v>
      </c>
      <c r="Z141" s="189" t="s">
        <v>161</v>
      </c>
      <c r="AA141" s="189" t="s">
        <v>184</v>
      </c>
    </row>
    <row r="142">
      <c r="A142" s="189">
        <f>IFERROR(__xludf.DUMMYFUNCTION("""COMPUTED_VALUE"""),210755.0)</f>
        <v>210755</v>
      </c>
      <c r="B142" s="189">
        <f>IFERROR(__xludf.DUMMYFUNCTION("""COMPUTED_VALUE"""),92708.0)</f>
        <v>92708</v>
      </c>
      <c r="C142" s="189" t="str">
        <f>IFERROR(__xludf.DUMMYFUNCTION("""COMPUTED_VALUE"""),"Challengers League 2025 NORTH EAST: Split 3 - Upper Swiss Phase")</f>
        <v>Challengers League 2025 NORTH EAST: Split 3 - Upper Swiss Phase</v>
      </c>
      <c r="D142" s="189" t="str">
        <f>IFERROR(__xludf.DUMMYFUNCTION("""COMPUTED_VALUE"""),"Lotus")</f>
        <v>Lotus</v>
      </c>
      <c r="E142" s="189" t="str">
        <f>IFERROR(__xludf.DUMMYFUNCTION("""COMPUTED_VALUE"""),"Boars Gaming")</f>
        <v>Boars Gaming</v>
      </c>
      <c r="F142" s="189" t="str">
        <f>IFERROR(__xludf.DUMMYFUNCTION("""COMPUTED_VALUE"""),"Enterprise Esports")</f>
        <v>Enterprise Esports</v>
      </c>
      <c r="G142" s="189" t="str">
        <f>IFERROR(__xludf.DUMMYFUNCTION("""COMPUTED_VALUE"""),"Breach,Cypher,Omen,Neon,Fade")</f>
        <v>Breach,Cypher,Omen,Neon,Fade</v>
      </c>
      <c r="H142" s="189" t="str">
        <f>IFERROR(__xludf.DUMMYFUNCTION("""COMPUTED_VALUE"""),"Breach,Cypher,Omen,Neon,Fade")</f>
        <v>Breach,Cypher,Omen,Neon,Fade</v>
      </c>
      <c r="I142" s="189">
        <f>IFERROR(__xludf.DUMMYFUNCTION("""COMPUTED_VALUE"""),13.0)</f>
        <v>13</v>
      </c>
      <c r="J142" s="189">
        <f>IFERROR(__xludf.DUMMYFUNCTION("""COMPUTED_VALUE"""),11.0)</f>
        <v>11</v>
      </c>
      <c r="K142" s="189">
        <f>IFERROR(__xludf.DUMMYFUNCTION("""COMPUTED_VALUE"""),8.0)</f>
        <v>8</v>
      </c>
      <c r="L142" s="189">
        <f>IFERROR(__xludf.DUMMYFUNCTION("""COMPUTED_VALUE"""),4.0)</f>
        <v>4</v>
      </c>
      <c r="M142" s="189">
        <f>IFERROR(__xludf.DUMMYFUNCTION("""COMPUTED_VALUE"""),1.0)</f>
        <v>1</v>
      </c>
      <c r="N142" s="189">
        <f>IFERROR(__xludf.DUMMYFUNCTION("""COMPUTED_VALUE"""),1.0)</f>
        <v>1</v>
      </c>
      <c r="O142" s="189">
        <f>IFERROR(__xludf.DUMMYFUNCTION("""COMPUTED_VALUE"""),8.0)</f>
        <v>8</v>
      </c>
      <c r="P142" s="189">
        <f>IFERROR(__xludf.DUMMYFUNCTION("""COMPUTED_VALUE"""),4.0)</f>
        <v>4</v>
      </c>
      <c r="Q142" s="189">
        <f>IFERROR(__xludf.DUMMYFUNCTION("""COMPUTED_VALUE"""),5.0)</f>
        <v>5</v>
      </c>
      <c r="R142" s="189">
        <f>IFERROR(__xludf.DUMMYFUNCTION("""COMPUTED_VALUE"""),7.0)</f>
        <v>7</v>
      </c>
      <c r="S142" s="189">
        <f>IFERROR(__xludf.DUMMYFUNCTION("""COMPUTED_VALUE"""),0.0)</f>
        <v>0</v>
      </c>
      <c r="T142" s="189">
        <f>IFERROR(__xludf.DUMMYFUNCTION("""COMPUTED_VALUE"""),0.0)</f>
        <v>0</v>
      </c>
      <c r="U142" s="189">
        <f>IFERROR(__xludf.DUMMYFUNCTION("""COMPUTED_VALUE"""),7.0)</f>
        <v>7</v>
      </c>
      <c r="V142" s="189">
        <f>IFERROR(__xludf.DUMMYFUNCTION("""COMPUTED_VALUE"""),5.0)</f>
        <v>5</v>
      </c>
      <c r="W142" s="189">
        <f>IFERROR(__xludf.DUMMYFUNCTION("""COMPUTED_VALUE"""),4.0)</f>
        <v>4</v>
      </c>
      <c r="X142" s="189">
        <f>IFERROR(__xludf.DUMMYFUNCTION("""COMPUTED_VALUE"""),8.0)</f>
        <v>8</v>
      </c>
      <c r="Y142" s="208" t="str">
        <f>IFERROR(__xludf.DUMMYFUNCTION("""COMPUTED_VALUE"""),"2025-07-21T00:00:00.000Z")</f>
        <v>2025-07-21T00:00:00.000Z</v>
      </c>
      <c r="Z142" s="189" t="s">
        <v>81</v>
      </c>
      <c r="AA142" s="189" t="s">
        <v>181</v>
      </c>
    </row>
    <row r="143">
      <c r="A143" s="189">
        <f>IFERROR(__xludf.DUMMYFUNCTION("""COMPUTED_VALUE"""),210754.0)</f>
        <v>210754</v>
      </c>
      <c r="B143" s="189">
        <f>IFERROR(__xludf.DUMMYFUNCTION("""COMPUTED_VALUE"""),92708.0)</f>
        <v>92708</v>
      </c>
      <c r="C143" s="189" t="str">
        <f>IFERROR(__xludf.DUMMYFUNCTION("""COMPUTED_VALUE"""),"Challengers League 2025 NORTH EAST: Split 3 - Upper Swiss Phase")</f>
        <v>Challengers League 2025 NORTH EAST: Split 3 - Upper Swiss Phase</v>
      </c>
      <c r="D143" s="189" t="str">
        <f>IFERROR(__xludf.DUMMYFUNCTION("""COMPUTED_VALUE"""),"Corrode")</f>
        <v>Corrode</v>
      </c>
      <c r="E143" s="189" t="str">
        <f>IFERROR(__xludf.DUMMYFUNCTION("""COMPUTED_VALUE"""),"Boars Gaming")</f>
        <v>Boars Gaming</v>
      </c>
      <c r="F143" s="189" t="str">
        <f>IFERROR(__xludf.DUMMYFUNCTION("""COMPUTED_VALUE"""),"Enterprise Esports")</f>
        <v>Enterprise Esports</v>
      </c>
      <c r="G143" s="189" t="str">
        <f>IFERROR(__xludf.DUMMYFUNCTION("""COMPUTED_VALUE"""),"Omen,Yoru,Chamber,Neon,Fade")</f>
        <v>Omen,Yoru,Chamber,Neon,Fade</v>
      </c>
      <c r="H143" s="189" t="str">
        <f>IFERROR(__xludf.DUMMYFUNCTION("""COMPUTED_VALUE"""),"Sova,Viper,Omen,Yoru,Fade")</f>
        <v>Sova,Viper,Omen,Yoru,Fade</v>
      </c>
      <c r="I143" s="189">
        <f>IFERROR(__xludf.DUMMYFUNCTION("""COMPUTED_VALUE"""),9.0)</f>
        <v>9</v>
      </c>
      <c r="J143" s="189">
        <f>IFERROR(__xludf.DUMMYFUNCTION("""COMPUTED_VALUE"""),13.0)</f>
        <v>13</v>
      </c>
      <c r="K143" s="189">
        <f>IFERROR(__xludf.DUMMYFUNCTION("""COMPUTED_VALUE"""),3.0)</f>
        <v>3</v>
      </c>
      <c r="L143" s="189">
        <f>IFERROR(__xludf.DUMMYFUNCTION("""COMPUTED_VALUE"""),9.0)</f>
        <v>9</v>
      </c>
      <c r="M143" s="189">
        <f>IFERROR(__xludf.DUMMYFUNCTION("""COMPUTED_VALUE"""),1.0)</f>
        <v>1</v>
      </c>
      <c r="N143" s="189">
        <f>IFERROR(__xludf.DUMMYFUNCTION("""COMPUTED_VALUE"""),1.0)</f>
        <v>1</v>
      </c>
      <c r="O143" s="189">
        <f>IFERROR(__xludf.DUMMYFUNCTION("""COMPUTED_VALUE"""),3.0)</f>
        <v>3</v>
      </c>
      <c r="P143" s="189">
        <f>IFERROR(__xludf.DUMMYFUNCTION("""COMPUTED_VALUE"""),9.0)</f>
        <v>9</v>
      </c>
      <c r="Q143" s="189">
        <f>IFERROR(__xludf.DUMMYFUNCTION("""COMPUTED_VALUE"""),6.0)</f>
        <v>6</v>
      </c>
      <c r="R143" s="189">
        <f>IFERROR(__xludf.DUMMYFUNCTION("""COMPUTED_VALUE"""),4.0)</f>
        <v>4</v>
      </c>
      <c r="S143" s="189">
        <f>IFERROR(__xludf.DUMMYFUNCTION("""COMPUTED_VALUE"""),0.0)</f>
        <v>0</v>
      </c>
      <c r="T143" s="189">
        <f>IFERROR(__xludf.DUMMYFUNCTION("""COMPUTED_VALUE"""),0.0)</f>
        <v>0</v>
      </c>
      <c r="U143" s="189">
        <f>IFERROR(__xludf.DUMMYFUNCTION("""COMPUTED_VALUE"""),4.0)</f>
        <v>4</v>
      </c>
      <c r="V143" s="189">
        <f>IFERROR(__xludf.DUMMYFUNCTION("""COMPUTED_VALUE"""),6.0)</f>
        <v>6</v>
      </c>
      <c r="W143" s="189">
        <f>IFERROR(__xludf.DUMMYFUNCTION("""COMPUTED_VALUE"""),9.0)</f>
        <v>9</v>
      </c>
      <c r="X143" s="189">
        <f>IFERROR(__xludf.DUMMYFUNCTION("""COMPUTED_VALUE"""),3.0)</f>
        <v>3</v>
      </c>
      <c r="Y143" s="208" t="str">
        <f>IFERROR(__xludf.DUMMYFUNCTION("""COMPUTED_VALUE"""),"2025-07-21T00:00:00.000Z")</f>
        <v>2025-07-21T00:00:00.000Z</v>
      </c>
      <c r="Z143" s="189" t="s">
        <v>78</v>
      </c>
      <c r="AA143" s="189" t="s">
        <v>179</v>
      </c>
    </row>
    <row r="144">
      <c r="A144" s="189">
        <f>IFERROR(__xludf.DUMMYFUNCTION("""COMPUTED_VALUE"""),210744.0)</f>
        <v>210744</v>
      </c>
      <c r="B144" s="189">
        <f>IFERROR(__xludf.DUMMYFUNCTION("""COMPUTED_VALUE"""),92704.0)</f>
        <v>92704</v>
      </c>
      <c r="C144" s="189" t="str">
        <f>IFERROR(__xludf.DUMMYFUNCTION("""COMPUTED_VALUE"""),"Challengers League 2025 NORTH EAST: Split 3 - Upper Swiss Phase")</f>
        <v>Challengers League 2025 NORTH EAST: Split 3 - Upper Swiss Phase</v>
      </c>
      <c r="D144" s="189" t="str">
        <f>IFERROR(__xludf.DUMMYFUNCTION("""COMPUTED_VALUE"""),"Ascent")</f>
        <v>Ascent</v>
      </c>
      <c r="E144" s="189" t="str">
        <f>IFERROR(__xludf.DUMMYFUNCTION("""COMPUTED_VALUE"""),"děti ulice")</f>
        <v>děti ulice</v>
      </c>
      <c r="F144" s="189" t="str">
        <f>IFERROR(__xludf.DUMMYFUNCTION("""COMPUTED_VALUE"""),"Metizport")</f>
        <v>Metizport</v>
      </c>
      <c r="G144" s="189" t="str">
        <f>IFERROR(__xludf.DUMMYFUNCTION("""COMPUTED_VALUE"""),"Sova,Killjoy,Omen,Jett,KAY/O")</f>
        <v>Sova,Killjoy,Omen,Jett,KAY/O</v>
      </c>
      <c r="H144" s="189" t="str">
        <f>IFERROR(__xludf.DUMMYFUNCTION("""COMPUTED_VALUE"""),"Cypher,Sova,Omen,Jett,KAY/O")</f>
        <v>Cypher,Sova,Omen,Jett,KAY/O</v>
      </c>
      <c r="I144" s="189">
        <f>IFERROR(__xludf.DUMMYFUNCTION("""COMPUTED_VALUE"""),12.0)</f>
        <v>12</v>
      </c>
      <c r="J144" s="189">
        <f>IFERROR(__xludf.DUMMYFUNCTION("""COMPUTED_VALUE"""),14.0)</f>
        <v>14</v>
      </c>
      <c r="K144" s="189">
        <f>IFERROR(__xludf.DUMMYFUNCTION("""COMPUTED_VALUE"""),5.0)</f>
        <v>5</v>
      </c>
      <c r="L144" s="189">
        <f>IFERROR(__xludf.DUMMYFUNCTION("""COMPUTED_VALUE"""),7.0)</f>
        <v>7</v>
      </c>
      <c r="M144" s="189">
        <f>IFERROR(__xludf.DUMMYFUNCTION("""COMPUTED_VALUE"""),1.0)</f>
        <v>1</v>
      </c>
      <c r="N144" s="189">
        <f>IFERROR(__xludf.DUMMYFUNCTION("""COMPUTED_VALUE"""),0.0)</f>
        <v>0</v>
      </c>
      <c r="O144" s="189">
        <f>IFERROR(__xludf.DUMMYFUNCTION("""COMPUTED_VALUE"""),7.0)</f>
        <v>7</v>
      </c>
      <c r="P144" s="189">
        <f>IFERROR(__xludf.DUMMYFUNCTION("""COMPUTED_VALUE"""),6.0)</f>
        <v>6</v>
      </c>
      <c r="Q144" s="189">
        <f>IFERROR(__xludf.DUMMYFUNCTION("""COMPUTED_VALUE"""),5.0)</f>
        <v>5</v>
      </c>
      <c r="R144" s="189">
        <f>IFERROR(__xludf.DUMMYFUNCTION("""COMPUTED_VALUE"""),8.0)</f>
        <v>8</v>
      </c>
      <c r="S144" s="189">
        <f>IFERROR(__xludf.DUMMYFUNCTION("""COMPUTED_VALUE"""),1.0)</f>
        <v>1</v>
      </c>
      <c r="T144" s="189">
        <f>IFERROR(__xludf.DUMMYFUNCTION("""COMPUTED_VALUE"""),0.0)</f>
        <v>0</v>
      </c>
      <c r="U144" s="189">
        <f>IFERROR(__xludf.DUMMYFUNCTION("""COMPUTED_VALUE"""),8.0)</f>
        <v>8</v>
      </c>
      <c r="V144" s="189">
        <f>IFERROR(__xludf.DUMMYFUNCTION("""COMPUTED_VALUE"""),5.0)</f>
        <v>5</v>
      </c>
      <c r="W144" s="189">
        <f>IFERROR(__xludf.DUMMYFUNCTION("""COMPUTED_VALUE"""),6.0)</f>
        <v>6</v>
      </c>
      <c r="X144" s="189">
        <f>IFERROR(__xludf.DUMMYFUNCTION("""COMPUTED_VALUE"""),7.0)</f>
        <v>7</v>
      </c>
      <c r="Y144" s="208" t="str">
        <f>IFERROR(__xludf.DUMMYFUNCTION("""COMPUTED_VALUE"""),"2025-07-20T00:00:00.000Z")</f>
        <v>2025-07-20T00:00:00.000Z</v>
      </c>
      <c r="Z144" s="189" t="s">
        <v>85</v>
      </c>
      <c r="AA144" s="189" t="s">
        <v>404</v>
      </c>
    </row>
    <row r="145">
      <c r="A145" s="189">
        <f>IFERROR(__xludf.DUMMYFUNCTION("""COMPUTED_VALUE"""),208401.0)</f>
        <v>208401</v>
      </c>
      <c r="B145" s="189">
        <f>IFERROR(__xludf.DUMMYFUNCTION("""COMPUTED_VALUE"""),91782.0)</f>
        <v>91782</v>
      </c>
      <c r="C145" s="189" t="str">
        <f>IFERROR(__xludf.DUMMYFUNCTION("""COMPUTED_VALUE"""),"Challengers League 2025 Türkiye Birlik: Split 3 - Group Stage")</f>
        <v>Challengers League 2025 Türkiye Birlik: Split 3 - Group Stage</v>
      </c>
      <c r="D145" s="189" t="str">
        <f>IFERROR(__xludf.DUMMYFUNCTION("""COMPUTED_VALUE"""),"Lotus")</f>
        <v>Lotus</v>
      </c>
      <c r="E145" s="189" t="str">
        <f>IFERROR(__xludf.DUMMYFUNCTION("""COMPUTED_VALUE"""),"ULF Esports")</f>
        <v>ULF Esports</v>
      </c>
      <c r="F145" s="189" t="str">
        <f>IFERROR(__xludf.DUMMYFUNCTION("""COMPUTED_VALUE"""),"Misa Esports")</f>
        <v>Misa Esports</v>
      </c>
      <c r="G145" s="189" t="str">
        <f>IFERROR(__xludf.DUMMYFUNCTION("""COMPUTED_VALUE"""),"Raze,Omen,Yoru,Fade,Vyse")</f>
        <v>Raze,Omen,Yoru,Fade,Vyse</v>
      </c>
      <c r="H145" s="189" t="str">
        <f>IFERROR(__xludf.DUMMYFUNCTION("""COMPUTED_VALUE"""),"Raze,Viper,Omen,Fade,Vyse")</f>
        <v>Raze,Viper,Omen,Fade,Vyse</v>
      </c>
      <c r="I145" s="189">
        <f>IFERROR(__xludf.DUMMYFUNCTION("""COMPUTED_VALUE"""),13.0)</f>
        <v>13</v>
      </c>
      <c r="J145" s="189">
        <f>IFERROR(__xludf.DUMMYFUNCTION("""COMPUTED_VALUE"""),1.0)</f>
        <v>1</v>
      </c>
      <c r="K145" s="189">
        <f>IFERROR(__xludf.DUMMYFUNCTION("""COMPUTED_VALUE"""),11.0)</f>
        <v>11</v>
      </c>
      <c r="L145" s="189">
        <f>IFERROR(__xludf.DUMMYFUNCTION("""COMPUTED_VALUE"""),1.0)</f>
        <v>1</v>
      </c>
      <c r="M145" s="189">
        <f>IFERROR(__xludf.DUMMYFUNCTION("""COMPUTED_VALUE"""),1.0)</f>
        <v>1</v>
      </c>
      <c r="N145" s="189">
        <f>IFERROR(__xludf.DUMMYFUNCTION("""COMPUTED_VALUE"""),1.0)</f>
        <v>1</v>
      </c>
      <c r="O145" s="189">
        <f>IFERROR(__xludf.DUMMYFUNCTION("""COMPUTED_VALUE"""),11.0)</f>
        <v>11</v>
      </c>
      <c r="P145" s="189">
        <f>IFERROR(__xludf.DUMMYFUNCTION("""COMPUTED_VALUE"""),1.0)</f>
        <v>1</v>
      </c>
      <c r="Q145" s="189">
        <f>IFERROR(__xludf.DUMMYFUNCTION("""COMPUTED_VALUE"""),2.0)</f>
        <v>2</v>
      </c>
      <c r="R145" s="189">
        <f>IFERROR(__xludf.DUMMYFUNCTION("""COMPUTED_VALUE"""),0.0)</f>
        <v>0</v>
      </c>
      <c r="S145" s="189">
        <f>IFERROR(__xludf.DUMMYFUNCTION("""COMPUTED_VALUE"""),0.0)</f>
        <v>0</v>
      </c>
      <c r="T145" s="189">
        <f>IFERROR(__xludf.DUMMYFUNCTION("""COMPUTED_VALUE"""),0.0)</f>
        <v>0</v>
      </c>
      <c r="U145" s="189">
        <f>IFERROR(__xludf.DUMMYFUNCTION("""COMPUTED_VALUE"""),0.0)</f>
        <v>0</v>
      </c>
      <c r="V145" s="189">
        <f>IFERROR(__xludf.DUMMYFUNCTION("""COMPUTED_VALUE"""),2.0)</f>
        <v>2</v>
      </c>
      <c r="W145" s="189">
        <f>IFERROR(__xludf.DUMMYFUNCTION("""COMPUTED_VALUE"""),1.0)</f>
        <v>1</v>
      </c>
      <c r="X145" s="189">
        <f>IFERROR(__xludf.DUMMYFUNCTION("""COMPUTED_VALUE"""),11.0)</f>
        <v>11</v>
      </c>
      <c r="Y145" s="208" t="str">
        <f>IFERROR(__xludf.DUMMYFUNCTION("""COMPUTED_VALUE"""),"2025-07-20T00:00:00.000Z")</f>
        <v>2025-07-20T00:00:00.000Z</v>
      </c>
      <c r="Z145" s="189" t="s">
        <v>172</v>
      </c>
      <c r="AA145" s="189" t="s">
        <v>188</v>
      </c>
    </row>
    <row r="146">
      <c r="A146" s="189">
        <f>IFERROR(__xludf.DUMMYFUNCTION("""COMPUTED_VALUE"""),210558.0)</f>
        <v>210558</v>
      </c>
      <c r="B146" s="189">
        <f>IFERROR(__xludf.DUMMYFUNCTION("""COMPUTED_VALUE"""),92622.0)</f>
        <v>92622</v>
      </c>
      <c r="C146" s="189" t="str">
        <f>IFERROR(__xludf.DUMMYFUNCTION("""COMPUTED_VALUE"""),"Challengers 2025: France Revolution Split 3 - Group Stage")</f>
        <v>Challengers 2025: France Revolution Split 3 - Group Stage</v>
      </c>
      <c r="D146" s="189" t="str">
        <f>IFERROR(__xludf.DUMMYFUNCTION("""COMPUTED_VALUE"""),"Lotus")</f>
        <v>Lotus</v>
      </c>
      <c r="E146" s="189" t="str">
        <f>IFERROR(__xludf.DUMMYFUNCTION("""COMPUTED_VALUE"""),"Team Valiant")</f>
        <v>Team Valiant</v>
      </c>
      <c r="F146" s="189" t="str">
        <f>IFERROR(__xludf.DUMMYFUNCTION("""COMPUTED_VALUE"""),"Mandatory")</f>
        <v>Mandatory</v>
      </c>
      <c r="G146" s="189" t="str">
        <f>IFERROR(__xludf.DUMMYFUNCTION("""COMPUTED_VALUE"""),"Raze,Killjoy,Viper,Omen,Fade")</f>
        <v>Raze,Killjoy,Viper,Omen,Fade</v>
      </c>
      <c r="H146" s="189" t="str">
        <f>IFERROR(__xludf.DUMMYFUNCTION("""COMPUTED_VALUE"""),"Cypher,Sova,Omen,Yoru,Deadlock")</f>
        <v>Cypher,Sova,Omen,Yoru,Deadlock</v>
      </c>
      <c r="I146" s="189">
        <f>IFERROR(__xludf.DUMMYFUNCTION("""COMPUTED_VALUE"""),13.0)</f>
        <v>13</v>
      </c>
      <c r="J146" s="189">
        <f>IFERROR(__xludf.DUMMYFUNCTION("""COMPUTED_VALUE"""),2.0)</f>
        <v>2</v>
      </c>
      <c r="K146" s="189">
        <f>IFERROR(__xludf.DUMMYFUNCTION("""COMPUTED_VALUE"""),10.0)</f>
        <v>10</v>
      </c>
      <c r="L146" s="189">
        <f>IFERROR(__xludf.DUMMYFUNCTION("""COMPUTED_VALUE"""),2.0)</f>
        <v>2</v>
      </c>
      <c r="M146" s="189">
        <f>IFERROR(__xludf.DUMMYFUNCTION("""COMPUTED_VALUE"""),1.0)</f>
        <v>1</v>
      </c>
      <c r="N146" s="189">
        <f>IFERROR(__xludf.DUMMYFUNCTION("""COMPUTED_VALUE"""),1.0)</f>
        <v>1</v>
      </c>
      <c r="O146" s="189">
        <f>IFERROR(__xludf.DUMMYFUNCTION("""COMPUTED_VALUE"""),3.0)</f>
        <v>3</v>
      </c>
      <c r="P146" s="189">
        <f>IFERROR(__xludf.DUMMYFUNCTION("""COMPUTED_VALUE"""),0.0)</f>
        <v>0</v>
      </c>
      <c r="Q146" s="189">
        <f>IFERROR(__xludf.DUMMYFUNCTION("""COMPUTED_VALUE"""),10.0)</f>
        <v>10</v>
      </c>
      <c r="R146" s="189">
        <f>IFERROR(__xludf.DUMMYFUNCTION("""COMPUTED_VALUE"""),2.0)</f>
        <v>2</v>
      </c>
      <c r="S146" s="189">
        <f>IFERROR(__xludf.DUMMYFUNCTION("""COMPUTED_VALUE"""),0.0)</f>
        <v>0</v>
      </c>
      <c r="T146" s="189">
        <f>IFERROR(__xludf.DUMMYFUNCTION("""COMPUTED_VALUE"""),0.0)</f>
        <v>0</v>
      </c>
      <c r="U146" s="189">
        <f>IFERROR(__xludf.DUMMYFUNCTION("""COMPUTED_VALUE"""),2.0)</f>
        <v>2</v>
      </c>
      <c r="V146" s="189">
        <f>IFERROR(__xludf.DUMMYFUNCTION("""COMPUTED_VALUE"""),10.0)</f>
        <v>10</v>
      </c>
      <c r="W146" s="189">
        <f>IFERROR(__xludf.DUMMYFUNCTION("""COMPUTED_VALUE"""),0.0)</f>
        <v>0</v>
      </c>
      <c r="X146" s="189">
        <f>IFERROR(__xludf.DUMMYFUNCTION("""COMPUTED_VALUE"""),3.0)</f>
        <v>3</v>
      </c>
      <c r="Y146" s="208" t="str">
        <f>IFERROR(__xludf.DUMMYFUNCTION("""COMPUTED_VALUE"""),"2025-07-20T00:00:00.000Z")</f>
        <v>2025-07-20T00:00:00.000Z</v>
      </c>
      <c r="Z146" s="189" t="s">
        <v>391</v>
      </c>
      <c r="AA146" s="189" t="s">
        <v>393</v>
      </c>
    </row>
    <row r="147">
      <c r="A147" s="189">
        <f>IFERROR(__xludf.DUMMYFUNCTION("""COMPUTED_VALUE"""),210743.0)</f>
        <v>210743</v>
      </c>
      <c r="B147" s="189">
        <f>IFERROR(__xludf.DUMMYFUNCTION("""COMPUTED_VALUE"""),92704.0)</f>
        <v>92704</v>
      </c>
      <c r="C147" s="189" t="str">
        <f>IFERROR(__xludf.DUMMYFUNCTION("""COMPUTED_VALUE"""),"Challengers League 2025 NORTH EAST: Split 3 - Upper Swiss Phase")</f>
        <v>Challengers League 2025 NORTH EAST: Split 3 - Upper Swiss Phase</v>
      </c>
      <c r="D147" s="189" t="str">
        <f>IFERROR(__xludf.DUMMYFUNCTION("""COMPUTED_VALUE"""),"Icebox")</f>
        <v>Icebox</v>
      </c>
      <c r="E147" s="189" t="str">
        <f>IFERROR(__xludf.DUMMYFUNCTION("""COMPUTED_VALUE"""),"děti ulice")</f>
        <v>děti ulice</v>
      </c>
      <c r="F147" s="189" t="str">
        <f>IFERROR(__xludf.DUMMYFUNCTION("""COMPUTED_VALUE"""),"Metizport")</f>
        <v>Metizport</v>
      </c>
      <c r="G147" s="189" t="str">
        <f>IFERROR(__xludf.DUMMYFUNCTION("""COMPUTED_VALUE"""),"Sova,Killjoy,Viper,Reyna,Jett")</f>
        <v>Sova,Killjoy,Viper,Reyna,Jett</v>
      </c>
      <c r="H147" s="189" t="str">
        <f>IFERROR(__xludf.DUMMYFUNCTION("""COMPUTED_VALUE"""),"Sova,Killjoy,Viper,Jett,Harbor")</f>
        <v>Sova,Killjoy,Viper,Jett,Harbor</v>
      </c>
      <c r="I147" s="189">
        <f>IFERROR(__xludf.DUMMYFUNCTION("""COMPUTED_VALUE"""),17.0)</f>
        <v>17</v>
      </c>
      <c r="J147" s="189">
        <f>IFERROR(__xludf.DUMMYFUNCTION("""COMPUTED_VALUE"""),15.0)</f>
        <v>15</v>
      </c>
      <c r="K147" s="189">
        <f>IFERROR(__xludf.DUMMYFUNCTION("""COMPUTED_VALUE"""),6.0)</f>
        <v>6</v>
      </c>
      <c r="L147" s="189">
        <f>IFERROR(__xludf.DUMMYFUNCTION("""COMPUTED_VALUE"""),6.0)</f>
        <v>6</v>
      </c>
      <c r="M147" s="189">
        <f>IFERROR(__xludf.DUMMYFUNCTION("""COMPUTED_VALUE"""),1.0)</f>
        <v>1</v>
      </c>
      <c r="N147" s="189">
        <f>IFERROR(__xludf.DUMMYFUNCTION("""COMPUTED_VALUE"""),0.0)</f>
        <v>0</v>
      </c>
      <c r="O147" s="189">
        <f>IFERROR(__xludf.DUMMYFUNCTION("""COMPUTED_VALUE"""),10.0)</f>
        <v>10</v>
      </c>
      <c r="P147" s="189">
        <f>IFERROR(__xludf.DUMMYFUNCTION("""COMPUTED_VALUE"""),6.0)</f>
        <v>6</v>
      </c>
      <c r="Q147" s="189">
        <f>IFERROR(__xludf.DUMMYFUNCTION("""COMPUTED_VALUE"""),7.0)</f>
        <v>7</v>
      </c>
      <c r="R147" s="189">
        <f>IFERROR(__xludf.DUMMYFUNCTION("""COMPUTED_VALUE"""),9.0)</f>
        <v>9</v>
      </c>
      <c r="S147" s="189">
        <f>IFERROR(__xludf.DUMMYFUNCTION("""COMPUTED_VALUE"""),1.0)</f>
        <v>1</v>
      </c>
      <c r="T147" s="189">
        <f>IFERROR(__xludf.DUMMYFUNCTION("""COMPUTED_VALUE"""),0.0)</f>
        <v>0</v>
      </c>
      <c r="U147" s="189">
        <f>IFERROR(__xludf.DUMMYFUNCTION("""COMPUTED_VALUE"""),9.0)</f>
        <v>9</v>
      </c>
      <c r="V147" s="189">
        <f>IFERROR(__xludf.DUMMYFUNCTION("""COMPUTED_VALUE"""),7.0)</f>
        <v>7</v>
      </c>
      <c r="W147" s="189">
        <f>IFERROR(__xludf.DUMMYFUNCTION("""COMPUTED_VALUE"""),6.0)</f>
        <v>6</v>
      </c>
      <c r="X147" s="189">
        <f>IFERROR(__xludf.DUMMYFUNCTION("""COMPUTED_VALUE"""),10.0)</f>
        <v>10</v>
      </c>
      <c r="Y147" s="208" t="str">
        <f>IFERROR(__xludf.DUMMYFUNCTION("""COMPUTED_VALUE"""),"2025-07-20T00:00:00.000Z")</f>
        <v>2025-07-20T00:00:00.000Z</v>
      </c>
      <c r="Z147" s="189" t="s">
        <v>89</v>
      </c>
      <c r="AA147" s="189" t="s">
        <v>190</v>
      </c>
    </row>
    <row r="148">
      <c r="A148" s="189">
        <f>IFERROR(__xludf.DUMMYFUNCTION("""COMPUTED_VALUE"""),210357.0)</f>
        <v>210357</v>
      </c>
      <c r="B148" s="189">
        <f>IFERROR(__xludf.DUMMYFUNCTION("""COMPUTED_VALUE"""),92556.0)</f>
        <v>92556</v>
      </c>
      <c r="C148" s="189" t="str">
        <f>IFERROR(__xludf.DUMMYFUNCTION("""COMPUTED_VALUE"""),"Challengers League 2025 MENA: Resilience - GPI - Split 2 - Playoffs")</f>
        <v>Challengers League 2025 MENA: Resilience - GPI - Split 2 - Playoffs</v>
      </c>
      <c r="D148" s="189" t="str">
        <f>IFERROR(__xludf.DUMMYFUNCTION("""COMPUTED_VALUE"""),"Corrode")</f>
        <v>Corrode</v>
      </c>
      <c r="E148" s="189" t="str">
        <f>IFERROR(__xludf.DUMMYFUNCTION("""COMPUTED_VALUE"""),"AlQadsiah Esports")</f>
        <v>AlQadsiah Esports</v>
      </c>
      <c r="F148" s="189" t="str">
        <f>IFERROR(__xludf.DUMMYFUNCTION("""COMPUTED_VALUE"""),"The Ultimates")</f>
        <v>The Ultimates</v>
      </c>
      <c r="G148" s="189" t="str">
        <f>IFERROR(__xludf.DUMMYFUNCTION("""COMPUTED_VALUE"""),"Viper,Omen,Yoru,Chamber,Fade")</f>
        <v>Viper,Omen,Yoru,Chamber,Fade</v>
      </c>
      <c r="H148" s="189" t="str">
        <f>IFERROR(__xludf.DUMMYFUNCTION("""COMPUTED_VALUE"""),"Cypher,Omen,Yoru,Fade,Iso")</f>
        <v>Cypher,Omen,Yoru,Fade,Iso</v>
      </c>
      <c r="I148" s="189">
        <f>IFERROR(__xludf.DUMMYFUNCTION("""COMPUTED_VALUE"""),7.0)</f>
        <v>7</v>
      </c>
      <c r="J148" s="189">
        <f>IFERROR(__xludf.DUMMYFUNCTION("""COMPUTED_VALUE"""),13.0)</f>
        <v>13</v>
      </c>
      <c r="K148" s="189">
        <f>IFERROR(__xludf.DUMMYFUNCTION("""COMPUTED_VALUE"""),5.0)</f>
        <v>5</v>
      </c>
      <c r="L148" s="189">
        <f>IFERROR(__xludf.DUMMYFUNCTION("""COMPUTED_VALUE"""),7.0)</f>
        <v>7</v>
      </c>
      <c r="M148" s="189">
        <f>IFERROR(__xludf.DUMMYFUNCTION("""COMPUTED_VALUE"""),0.0)</f>
        <v>0</v>
      </c>
      <c r="N148" s="189">
        <f>IFERROR(__xludf.DUMMYFUNCTION("""COMPUTED_VALUE"""),0.0)</f>
        <v>0</v>
      </c>
      <c r="O148" s="189">
        <f>IFERROR(__xludf.DUMMYFUNCTION("""COMPUTED_VALUE"""),2.0)</f>
        <v>2</v>
      </c>
      <c r="P148" s="189">
        <f>IFERROR(__xludf.DUMMYFUNCTION("""COMPUTED_VALUE"""),6.0)</f>
        <v>6</v>
      </c>
      <c r="Q148" s="189">
        <f>IFERROR(__xludf.DUMMYFUNCTION("""COMPUTED_VALUE"""),5.0)</f>
        <v>5</v>
      </c>
      <c r="R148" s="189">
        <f>IFERROR(__xludf.DUMMYFUNCTION("""COMPUTED_VALUE"""),7.0)</f>
        <v>7</v>
      </c>
      <c r="S148" s="189">
        <f>IFERROR(__xludf.DUMMYFUNCTION("""COMPUTED_VALUE"""),1.0)</f>
        <v>1</v>
      </c>
      <c r="T148" s="189">
        <f>IFERROR(__xludf.DUMMYFUNCTION("""COMPUTED_VALUE"""),1.0)</f>
        <v>1</v>
      </c>
      <c r="U148" s="189">
        <f>IFERROR(__xludf.DUMMYFUNCTION("""COMPUTED_VALUE"""),7.0)</f>
        <v>7</v>
      </c>
      <c r="V148" s="189">
        <f>IFERROR(__xludf.DUMMYFUNCTION("""COMPUTED_VALUE"""),5.0)</f>
        <v>5</v>
      </c>
      <c r="W148" s="189">
        <f>IFERROR(__xludf.DUMMYFUNCTION("""COMPUTED_VALUE"""),6.0)</f>
        <v>6</v>
      </c>
      <c r="X148" s="189">
        <f>IFERROR(__xludf.DUMMYFUNCTION("""COMPUTED_VALUE"""),2.0)</f>
        <v>2</v>
      </c>
      <c r="Y148" s="208" t="str">
        <f>IFERROR(__xludf.DUMMYFUNCTION("""COMPUTED_VALUE"""),"2025-07-20T00:00:00.000Z")</f>
        <v>2025-07-20T00:00:00.000Z</v>
      </c>
      <c r="Z148" s="189" t="s">
        <v>431</v>
      </c>
      <c r="AA148" s="189" t="s">
        <v>185</v>
      </c>
    </row>
    <row r="149">
      <c r="A149" s="189">
        <f>IFERROR(__xludf.DUMMYFUNCTION("""COMPUTED_VALUE"""),207544.0)</f>
        <v>207544</v>
      </c>
      <c r="B149" s="189">
        <f>IFERROR(__xludf.DUMMYFUNCTION("""COMPUTED_VALUE"""),91442.0)</f>
        <v>91442</v>
      </c>
      <c r="C149" s="189" t="str">
        <f>IFERROR(__xludf.DUMMYFUNCTION("""COMPUTED_VALUE"""),"Challengers League 2025 Spain Rising: Split 3 - Group Stage")</f>
        <v>Challengers League 2025 Spain Rising: Split 3 - Group Stage</v>
      </c>
      <c r="D149" s="189" t="str">
        <f>IFERROR(__xludf.DUMMYFUNCTION("""COMPUTED_VALUE"""),"Corrode")</f>
        <v>Corrode</v>
      </c>
      <c r="E149" s="189" t="str">
        <f>IFERROR(__xludf.DUMMYFUNCTION("""COMPUTED_VALUE"""),"KPI Gaming")</f>
        <v>KPI Gaming</v>
      </c>
      <c r="F149" s="189" t="str">
        <f>IFERROR(__xludf.DUMMYFUNCTION("""COMPUTED_VALUE"""),"KOI Fénix")</f>
        <v>KOI Fénix</v>
      </c>
      <c r="G149" s="189" t="str">
        <f>IFERROR(__xludf.DUMMYFUNCTION("""COMPUTED_VALUE"""),"Viper,Omen,Yoru,Fade,Deadlock")</f>
        <v>Viper,Omen,Yoru,Fade,Deadlock</v>
      </c>
      <c r="H149" s="189" t="str">
        <f>IFERROR(__xludf.DUMMYFUNCTION("""COMPUTED_VALUE"""),"Omen,Jett,Yoru,Chamber,Fade")</f>
        <v>Omen,Jett,Yoru,Chamber,Fade</v>
      </c>
      <c r="I149" s="189">
        <f>IFERROR(__xludf.DUMMYFUNCTION("""COMPUTED_VALUE"""),6.0)</f>
        <v>6</v>
      </c>
      <c r="J149" s="189">
        <f>IFERROR(__xludf.DUMMYFUNCTION("""COMPUTED_VALUE"""),13.0)</f>
        <v>13</v>
      </c>
      <c r="K149" s="189">
        <f>IFERROR(__xludf.DUMMYFUNCTION("""COMPUTED_VALUE"""),4.0)</f>
        <v>4</v>
      </c>
      <c r="L149" s="189">
        <f>IFERROR(__xludf.DUMMYFUNCTION("""COMPUTED_VALUE"""),8.0)</f>
        <v>8</v>
      </c>
      <c r="M149" s="189">
        <f>IFERROR(__xludf.DUMMYFUNCTION("""COMPUTED_VALUE"""),0.0)</f>
        <v>0</v>
      </c>
      <c r="N149" s="189">
        <f>IFERROR(__xludf.DUMMYFUNCTION("""COMPUTED_VALUE"""),0.0)</f>
        <v>0</v>
      </c>
      <c r="O149" s="189">
        <f>IFERROR(__xludf.DUMMYFUNCTION("""COMPUTED_VALUE"""),4.0)</f>
        <v>4</v>
      </c>
      <c r="P149" s="189">
        <f>IFERROR(__xludf.DUMMYFUNCTION("""COMPUTED_VALUE"""),8.0)</f>
        <v>8</v>
      </c>
      <c r="Q149" s="189">
        <f>IFERROR(__xludf.DUMMYFUNCTION("""COMPUTED_VALUE"""),2.0)</f>
        <v>2</v>
      </c>
      <c r="R149" s="189">
        <f>IFERROR(__xludf.DUMMYFUNCTION("""COMPUTED_VALUE"""),5.0)</f>
        <v>5</v>
      </c>
      <c r="S149" s="189">
        <f>IFERROR(__xludf.DUMMYFUNCTION("""COMPUTED_VALUE"""),1.0)</f>
        <v>1</v>
      </c>
      <c r="T149" s="189">
        <f>IFERROR(__xludf.DUMMYFUNCTION("""COMPUTED_VALUE"""),1.0)</f>
        <v>1</v>
      </c>
      <c r="U149" s="189">
        <f>IFERROR(__xludf.DUMMYFUNCTION("""COMPUTED_VALUE"""),5.0)</f>
        <v>5</v>
      </c>
      <c r="V149" s="189">
        <f>IFERROR(__xludf.DUMMYFUNCTION("""COMPUTED_VALUE"""),2.0)</f>
        <v>2</v>
      </c>
      <c r="W149" s="189">
        <f>IFERROR(__xludf.DUMMYFUNCTION("""COMPUTED_VALUE"""),8.0)</f>
        <v>8</v>
      </c>
      <c r="X149" s="189">
        <f>IFERROR(__xludf.DUMMYFUNCTION("""COMPUTED_VALUE"""),4.0)</f>
        <v>4</v>
      </c>
      <c r="Y149" s="208" t="str">
        <f>IFERROR(__xludf.DUMMYFUNCTION("""COMPUTED_VALUE"""),"2025-07-20T00:00:00.000Z")</f>
        <v>2025-07-20T00:00:00.000Z</v>
      </c>
      <c r="Z149" s="189" t="s">
        <v>432</v>
      </c>
      <c r="AA149" s="189" t="s">
        <v>187</v>
      </c>
    </row>
    <row r="150">
      <c r="A150" s="189">
        <f>IFERROR(__xludf.DUMMYFUNCTION("""COMPUTED_VALUE"""),208400.0)</f>
        <v>208400</v>
      </c>
      <c r="B150" s="189">
        <f>IFERROR(__xludf.DUMMYFUNCTION("""COMPUTED_VALUE"""),91782.0)</f>
        <v>91782</v>
      </c>
      <c r="C150" s="189" t="str">
        <f>IFERROR(__xludf.DUMMYFUNCTION("""COMPUTED_VALUE"""),"Challengers League 2025 Türkiye Birlik: Split 3 - Group Stage")</f>
        <v>Challengers League 2025 Türkiye Birlik: Split 3 - Group Stage</v>
      </c>
      <c r="D150" s="189" t="str">
        <f>IFERROR(__xludf.DUMMYFUNCTION("""COMPUTED_VALUE"""),"Ascent")</f>
        <v>Ascent</v>
      </c>
      <c r="E150" s="189" t="str">
        <f>IFERROR(__xludf.DUMMYFUNCTION("""COMPUTED_VALUE"""),"ULF Esports")</f>
        <v>ULF Esports</v>
      </c>
      <c r="F150" s="189" t="str">
        <f>IFERROR(__xludf.DUMMYFUNCTION("""COMPUTED_VALUE"""),"Misa Esports")</f>
        <v>Misa Esports</v>
      </c>
      <c r="G150" s="189" t="str">
        <f>IFERROR(__xludf.DUMMYFUNCTION("""COMPUTED_VALUE"""),"Cypher,Sova,Omen,Jett,Deadlock")</f>
        <v>Cypher,Sova,Omen,Jett,Deadlock</v>
      </c>
      <c r="H150" s="189" t="str">
        <f>IFERROR(__xludf.DUMMYFUNCTION("""COMPUTED_VALUE"""),"Sova,Omen,Yoru,Deadlock,Vyse")</f>
        <v>Sova,Omen,Yoru,Deadlock,Vyse</v>
      </c>
      <c r="I150" s="189">
        <f>IFERROR(__xludf.DUMMYFUNCTION("""COMPUTED_VALUE"""),13.0)</f>
        <v>13</v>
      </c>
      <c r="J150" s="189">
        <f>IFERROR(__xludf.DUMMYFUNCTION("""COMPUTED_VALUE"""),9.0)</f>
        <v>9</v>
      </c>
      <c r="K150" s="189">
        <f>IFERROR(__xludf.DUMMYFUNCTION("""COMPUTED_VALUE"""),3.0)</f>
        <v>3</v>
      </c>
      <c r="L150" s="189">
        <f>IFERROR(__xludf.DUMMYFUNCTION("""COMPUTED_VALUE"""),9.0)</f>
        <v>9</v>
      </c>
      <c r="M150" s="189">
        <f>IFERROR(__xludf.DUMMYFUNCTION("""COMPUTED_VALUE"""),1.0)</f>
        <v>1</v>
      </c>
      <c r="N150" s="189">
        <f>IFERROR(__xludf.DUMMYFUNCTION("""COMPUTED_VALUE"""),0.0)</f>
        <v>0</v>
      </c>
      <c r="O150" s="189">
        <f>IFERROR(__xludf.DUMMYFUNCTION("""COMPUTED_VALUE"""),10.0)</f>
        <v>10</v>
      </c>
      <c r="P150" s="189">
        <f>IFERROR(__xludf.DUMMYFUNCTION("""COMPUTED_VALUE"""),0.0)</f>
        <v>0</v>
      </c>
      <c r="Q150" s="189">
        <f>IFERROR(__xludf.DUMMYFUNCTION("""COMPUTED_VALUE"""),3.0)</f>
        <v>3</v>
      </c>
      <c r="R150" s="189">
        <f>IFERROR(__xludf.DUMMYFUNCTION("""COMPUTED_VALUE"""),9.0)</f>
        <v>9</v>
      </c>
      <c r="S150" s="189">
        <f>IFERROR(__xludf.DUMMYFUNCTION("""COMPUTED_VALUE"""),1.0)</f>
        <v>1</v>
      </c>
      <c r="T150" s="189">
        <f>IFERROR(__xludf.DUMMYFUNCTION("""COMPUTED_VALUE"""),0.0)</f>
        <v>0</v>
      </c>
      <c r="U150" s="189">
        <f>IFERROR(__xludf.DUMMYFUNCTION("""COMPUTED_VALUE"""),9.0)</f>
        <v>9</v>
      </c>
      <c r="V150" s="189">
        <f>IFERROR(__xludf.DUMMYFUNCTION("""COMPUTED_VALUE"""),3.0)</f>
        <v>3</v>
      </c>
      <c r="W150" s="189">
        <f>IFERROR(__xludf.DUMMYFUNCTION("""COMPUTED_VALUE"""),0.0)</f>
        <v>0</v>
      </c>
      <c r="X150" s="189">
        <f>IFERROR(__xludf.DUMMYFUNCTION("""COMPUTED_VALUE"""),10.0)</f>
        <v>10</v>
      </c>
      <c r="Y150" s="208" t="str">
        <f>IFERROR(__xludf.DUMMYFUNCTION("""COMPUTED_VALUE"""),"2025-07-20T00:00:00.000Z")</f>
        <v>2025-07-20T00:00:00.000Z</v>
      </c>
      <c r="Z150" s="189" t="s">
        <v>167</v>
      </c>
      <c r="AA150" s="189" t="s">
        <v>188</v>
      </c>
    </row>
    <row r="151">
      <c r="A151" s="189">
        <f>IFERROR(__xludf.DUMMYFUNCTION("""COMPUTED_VALUE"""),210742.0)</f>
        <v>210742</v>
      </c>
      <c r="B151" s="189">
        <f>IFERROR(__xludf.DUMMYFUNCTION("""COMPUTED_VALUE"""),92704.0)</f>
        <v>92704</v>
      </c>
      <c r="C151" s="189" t="str">
        <f>IFERROR(__xludf.DUMMYFUNCTION("""COMPUTED_VALUE"""),"Challengers League 2025 NORTH EAST: Split 3 - Upper Swiss Phase")</f>
        <v>Challengers League 2025 NORTH EAST: Split 3 - Upper Swiss Phase</v>
      </c>
      <c r="D151" s="189" t="str">
        <f>IFERROR(__xludf.DUMMYFUNCTION("""COMPUTED_VALUE"""),"Haven")</f>
        <v>Haven</v>
      </c>
      <c r="E151" s="189" t="str">
        <f>IFERROR(__xludf.DUMMYFUNCTION("""COMPUTED_VALUE"""),"děti ulice")</f>
        <v>děti ulice</v>
      </c>
      <c r="F151" s="189" t="str">
        <f>IFERROR(__xludf.DUMMYFUNCTION("""COMPUTED_VALUE"""),"Metizport")</f>
        <v>Metizport</v>
      </c>
      <c r="G151" s="189" t="str">
        <f>IFERROR(__xludf.DUMMYFUNCTION("""COMPUTED_VALUE"""),"Cypher,Sova,Omen,Yoru,Iso")</f>
        <v>Cypher,Sova,Omen,Yoru,Iso</v>
      </c>
      <c r="H151" s="189" t="str">
        <f>IFERROR(__xludf.DUMMYFUNCTION("""COMPUTED_VALUE"""),"Sova,Killjoy,Viper,Omen,Neon")</f>
        <v>Sova,Killjoy,Viper,Omen,Neon</v>
      </c>
      <c r="I151" s="189">
        <f>IFERROR(__xludf.DUMMYFUNCTION("""COMPUTED_VALUE"""),6.0)</f>
        <v>6</v>
      </c>
      <c r="J151" s="189">
        <f>IFERROR(__xludf.DUMMYFUNCTION("""COMPUTED_VALUE"""),13.0)</f>
        <v>13</v>
      </c>
      <c r="K151" s="189">
        <f>IFERROR(__xludf.DUMMYFUNCTION("""COMPUTED_VALUE"""),3.0)</f>
        <v>3</v>
      </c>
      <c r="L151" s="189">
        <f>IFERROR(__xludf.DUMMYFUNCTION("""COMPUTED_VALUE"""),9.0)</f>
        <v>9</v>
      </c>
      <c r="M151" s="189">
        <f>IFERROR(__xludf.DUMMYFUNCTION("""COMPUTED_VALUE"""),0.0)</f>
        <v>0</v>
      </c>
      <c r="N151" s="189">
        <f>IFERROR(__xludf.DUMMYFUNCTION("""COMPUTED_VALUE"""),1.0)</f>
        <v>1</v>
      </c>
      <c r="O151" s="189">
        <f>IFERROR(__xludf.DUMMYFUNCTION("""COMPUTED_VALUE"""),3.0)</f>
        <v>3</v>
      </c>
      <c r="P151" s="189">
        <f>IFERROR(__xludf.DUMMYFUNCTION("""COMPUTED_VALUE"""),4.0)</f>
        <v>4</v>
      </c>
      <c r="Q151" s="189">
        <f>IFERROR(__xludf.DUMMYFUNCTION("""COMPUTED_VALUE"""),3.0)</f>
        <v>3</v>
      </c>
      <c r="R151" s="189">
        <f>IFERROR(__xludf.DUMMYFUNCTION("""COMPUTED_VALUE"""),9.0)</f>
        <v>9</v>
      </c>
      <c r="S151" s="189">
        <f>IFERROR(__xludf.DUMMYFUNCTION("""COMPUTED_VALUE"""),0.0)</f>
        <v>0</v>
      </c>
      <c r="T151" s="189">
        <f>IFERROR(__xludf.DUMMYFUNCTION("""COMPUTED_VALUE"""),1.0)</f>
        <v>1</v>
      </c>
      <c r="U151" s="189">
        <f>IFERROR(__xludf.DUMMYFUNCTION("""COMPUTED_VALUE"""),9.0)</f>
        <v>9</v>
      </c>
      <c r="V151" s="189">
        <f>IFERROR(__xludf.DUMMYFUNCTION("""COMPUTED_VALUE"""),3.0)</f>
        <v>3</v>
      </c>
      <c r="W151" s="189">
        <f>IFERROR(__xludf.DUMMYFUNCTION("""COMPUTED_VALUE"""),4.0)</f>
        <v>4</v>
      </c>
      <c r="X151" s="189">
        <f>IFERROR(__xludf.DUMMYFUNCTION("""COMPUTED_VALUE"""),3.0)</f>
        <v>3</v>
      </c>
      <c r="Y151" s="208" t="str">
        <f>IFERROR(__xludf.DUMMYFUNCTION("""COMPUTED_VALUE"""),"2025-07-20T00:00:00.000Z")</f>
        <v>2025-07-20T00:00:00.000Z</v>
      </c>
      <c r="Z151" s="189" t="s">
        <v>88</v>
      </c>
      <c r="AA151" s="189" t="s">
        <v>404</v>
      </c>
    </row>
    <row r="152">
      <c r="A152" s="189">
        <f>IFERROR(__xludf.DUMMYFUNCTION("""COMPUTED_VALUE"""),210557.0)</f>
        <v>210557</v>
      </c>
      <c r="B152" s="189">
        <f>IFERROR(__xludf.DUMMYFUNCTION("""COMPUTED_VALUE"""),92622.0)</f>
        <v>92622</v>
      </c>
      <c r="C152" s="189" t="str">
        <f>IFERROR(__xludf.DUMMYFUNCTION("""COMPUTED_VALUE"""),"Challengers 2025: France Revolution Split 3 - Group Stage")</f>
        <v>Challengers 2025: France Revolution Split 3 - Group Stage</v>
      </c>
      <c r="D152" s="189" t="str">
        <f>IFERROR(__xludf.DUMMYFUNCTION("""COMPUTED_VALUE"""),"Ascent")</f>
        <v>Ascent</v>
      </c>
      <c r="E152" s="189" t="str">
        <f>IFERROR(__xludf.DUMMYFUNCTION("""COMPUTED_VALUE"""),"Team Valiant")</f>
        <v>Team Valiant</v>
      </c>
      <c r="F152" s="189" t="str">
        <f>IFERROR(__xludf.DUMMYFUNCTION("""COMPUTED_VALUE"""),"Mandatory")</f>
        <v>Mandatory</v>
      </c>
      <c r="G152" s="189" t="str">
        <f>IFERROR(__xludf.DUMMYFUNCTION("""COMPUTED_VALUE"""),"Cypher,Sova,Omen,Jett,KAY/O")</f>
        <v>Cypher,Sova,Omen,Jett,KAY/O</v>
      </c>
      <c r="H152" s="189" t="str">
        <f>IFERROR(__xludf.DUMMYFUNCTION("""COMPUTED_VALUE"""),"Sova,Viper,Omen,Yoru,Deadlock")</f>
        <v>Sova,Viper,Omen,Yoru,Deadlock</v>
      </c>
      <c r="I152" s="189">
        <f>IFERROR(__xludf.DUMMYFUNCTION("""COMPUTED_VALUE"""),13.0)</f>
        <v>13</v>
      </c>
      <c r="J152" s="189">
        <f>IFERROR(__xludf.DUMMYFUNCTION("""COMPUTED_VALUE"""),10.0)</f>
        <v>10</v>
      </c>
      <c r="K152" s="189">
        <f>IFERROR(__xludf.DUMMYFUNCTION("""COMPUTED_VALUE"""),6.0)</f>
        <v>6</v>
      </c>
      <c r="L152" s="189">
        <f>IFERROR(__xludf.DUMMYFUNCTION("""COMPUTED_VALUE"""),6.0)</f>
        <v>6</v>
      </c>
      <c r="M152" s="189">
        <f>IFERROR(__xludf.DUMMYFUNCTION("""COMPUTED_VALUE"""),1.0)</f>
        <v>1</v>
      </c>
      <c r="N152" s="189">
        <f>IFERROR(__xludf.DUMMYFUNCTION("""COMPUTED_VALUE"""),1.0)</f>
        <v>1</v>
      </c>
      <c r="O152" s="189">
        <f>IFERROR(__xludf.DUMMYFUNCTION("""COMPUTED_VALUE"""),7.0)</f>
        <v>7</v>
      </c>
      <c r="P152" s="189">
        <f>IFERROR(__xludf.DUMMYFUNCTION("""COMPUTED_VALUE"""),4.0)</f>
        <v>4</v>
      </c>
      <c r="Q152" s="189">
        <f>IFERROR(__xludf.DUMMYFUNCTION("""COMPUTED_VALUE"""),6.0)</f>
        <v>6</v>
      </c>
      <c r="R152" s="189">
        <f>IFERROR(__xludf.DUMMYFUNCTION("""COMPUTED_VALUE"""),6.0)</f>
        <v>6</v>
      </c>
      <c r="S152" s="189">
        <f>IFERROR(__xludf.DUMMYFUNCTION("""COMPUTED_VALUE"""),0.0)</f>
        <v>0</v>
      </c>
      <c r="T152" s="189">
        <f>IFERROR(__xludf.DUMMYFUNCTION("""COMPUTED_VALUE"""),0.0)</f>
        <v>0</v>
      </c>
      <c r="U152" s="189">
        <f>IFERROR(__xludf.DUMMYFUNCTION("""COMPUTED_VALUE"""),6.0)</f>
        <v>6</v>
      </c>
      <c r="V152" s="189">
        <f>IFERROR(__xludf.DUMMYFUNCTION("""COMPUTED_VALUE"""),6.0)</f>
        <v>6</v>
      </c>
      <c r="W152" s="189">
        <f>IFERROR(__xludf.DUMMYFUNCTION("""COMPUTED_VALUE"""),4.0)</f>
        <v>4</v>
      </c>
      <c r="X152" s="189">
        <f>IFERROR(__xludf.DUMMYFUNCTION("""COMPUTED_VALUE"""),7.0)</f>
        <v>7</v>
      </c>
      <c r="Y152" s="208" t="str">
        <f>IFERROR(__xludf.DUMMYFUNCTION("""COMPUTED_VALUE"""),"2025-07-20T00:00:00.000Z")</f>
        <v>2025-07-20T00:00:00.000Z</v>
      </c>
      <c r="Z152" s="189" t="s">
        <v>389</v>
      </c>
      <c r="AA152" s="189" t="s">
        <v>393</v>
      </c>
    </row>
    <row r="153">
      <c r="A153" s="189">
        <f>IFERROR(__xludf.DUMMYFUNCTION("""COMPUTED_VALUE"""),210356.0)</f>
        <v>210356</v>
      </c>
      <c r="B153" s="189">
        <f>IFERROR(__xludf.DUMMYFUNCTION("""COMPUTED_VALUE"""),92556.0)</f>
        <v>92556</v>
      </c>
      <c r="C153" s="189" t="str">
        <f>IFERROR(__xludf.DUMMYFUNCTION("""COMPUTED_VALUE"""),"Challengers League 2025 MENA: Resilience - GPI - Split 2 - Playoffs")</f>
        <v>Challengers League 2025 MENA: Resilience - GPI - Split 2 - Playoffs</v>
      </c>
      <c r="D153" s="189" t="str">
        <f>IFERROR(__xludf.DUMMYFUNCTION("""COMPUTED_VALUE"""),"Haven")</f>
        <v>Haven</v>
      </c>
      <c r="E153" s="189" t="str">
        <f>IFERROR(__xludf.DUMMYFUNCTION("""COMPUTED_VALUE"""),"AlQadsiah Esports")</f>
        <v>AlQadsiah Esports</v>
      </c>
      <c r="F153" s="189" t="str">
        <f>IFERROR(__xludf.DUMMYFUNCTION("""COMPUTED_VALUE"""),"The Ultimates")</f>
        <v>The Ultimates</v>
      </c>
      <c r="G153" s="189" t="str">
        <f>IFERROR(__xludf.DUMMYFUNCTION("""COMPUTED_VALUE"""),"Breach,Cypher,Sova,Omen,Yoru")</f>
        <v>Breach,Cypher,Sova,Omen,Yoru</v>
      </c>
      <c r="H153" s="189" t="str">
        <f>IFERROR(__xludf.DUMMYFUNCTION("""COMPUTED_VALUE"""),"Breach,Cypher,Sova,Omen,Neon")</f>
        <v>Breach,Cypher,Sova,Omen,Neon</v>
      </c>
      <c r="I153" s="189">
        <f>IFERROR(__xludf.DUMMYFUNCTION("""COMPUTED_VALUE"""),9.0)</f>
        <v>9</v>
      </c>
      <c r="J153" s="189">
        <f>IFERROR(__xludf.DUMMYFUNCTION("""COMPUTED_VALUE"""),13.0)</f>
        <v>13</v>
      </c>
      <c r="K153" s="189">
        <f>IFERROR(__xludf.DUMMYFUNCTION("""COMPUTED_VALUE"""),6.0)</f>
        <v>6</v>
      </c>
      <c r="L153" s="189">
        <f>IFERROR(__xludf.DUMMYFUNCTION("""COMPUTED_VALUE"""),6.0)</f>
        <v>6</v>
      </c>
      <c r="M153" s="189">
        <f>IFERROR(__xludf.DUMMYFUNCTION("""COMPUTED_VALUE"""),1.0)</f>
        <v>1</v>
      </c>
      <c r="N153" s="189">
        <f>IFERROR(__xludf.DUMMYFUNCTION("""COMPUTED_VALUE"""),0.0)</f>
        <v>0</v>
      </c>
      <c r="O153" s="189">
        <f>IFERROR(__xludf.DUMMYFUNCTION("""COMPUTED_VALUE"""),6.0)</f>
        <v>6</v>
      </c>
      <c r="P153" s="189">
        <f>IFERROR(__xludf.DUMMYFUNCTION("""COMPUTED_VALUE"""),6.0)</f>
        <v>6</v>
      </c>
      <c r="Q153" s="189">
        <f>IFERROR(__xludf.DUMMYFUNCTION("""COMPUTED_VALUE"""),3.0)</f>
        <v>3</v>
      </c>
      <c r="R153" s="189">
        <f>IFERROR(__xludf.DUMMYFUNCTION("""COMPUTED_VALUE"""),7.0)</f>
        <v>7</v>
      </c>
      <c r="S153" s="189">
        <f>IFERROR(__xludf.DUMMYFUNCTION("""COMPUTED_VALUE"""),1.0)</f>
        <v>1</v>
      </c>
      <c r="T153" s="189">
        <f>IFERROR(__xludf.DUMMYFUNCTION("""COMPUTED_VALUE"""),0.0)</f>
        <v>0</v>
      </c>
      <c r="U153" s="189">
        <f>IFERROR(__xludf.DUMMYFUNCTION("""COMPUTED_VALUE"""),7.0)</f>
        <v>7</v>
      </c>
      <c r="V153" s="189">
        <f>IFERROR(__xludf.DUMMYFUNCTION("""COMPUTED_VALUE"""),3.0)</f>
        <v>3</v>
      </c>
      <c r="W153" s="189">
        <f>IFERROR(__xludf.DUMMYFUNCTION("""COMPUTED_VALUE"""),6.0)</f>
        <v>6</v>
      </c>
      <c r="X153" s="189">
        <f>IFERROR(__xludf.DUMMYFUNCTION("""COMPUTED_VALUE"""),6.0)</f>
        <v>6</v>
      </c>
      <c r="Y153" s="208" t="str">
        <f>IFERROR(__xludf.DUMMYFUNCTION("""COMPUTED_VALUE"""),"2025-07-20T00:00:00.000Z")</f>
        <v>2025-07-20T00:00:00.000Z</v>
      </c>
      <c r="Z153" s="189" t="s">
        <v>433</v>
      </c>
      <c r="AA153" s="189" t="s">
        <v>185</v>
      </c>
    </row>
    <row r="154">
      <c r="A154" s="189">
        <f>IFERROR(__xludf.DUMMYFUNCTION("""COMPUTED_VALUE"""),209522.0)</f>
        <v>209522</v>
      </c>
      <c r="B154" s="189">
        <f>IFERROR(__xludf.DUMMYFUNCTION("""COMPUTED_VALUE"""),92187.0)</f>
        <v>92187</v>
      </c>
      <c r="C154" s="189" t="str">
        <f>IFERROR(__xludf.DUMMYFUNCTION("""COMPUTED_VALUE"""),"Challengers League 2025 DACH: Evolution Stage 3 - Group Stage")</f>
        <v>Challengers League 2025 DACH: Evolution Stage 3 - Group Stage</v>
      </c>
      <c r="D154" s="189" t="str">
        <f>IFERROR(__xludf.DUMMYFUNCTION("""COMPUTED_VALUE"""),"Ascent")</f>
        <v>Ascent</v>
      </c>
      <c r="E154" s="189" t="str">
        <f>IFERROR(__xludf.DUMMYFUNCTION("""COMPUTED_VALUE"""),"Eintracht Frankfurt")</f>
        <v>Eintracht Frankfurt</v>
      </c>
      <c r="F154" s="189" t="str">
        <f>IFERROR(__xludf.DUMMYFUNCTION("""COMPUTED_VALUE"""),"6GPA")</f>
        <v>6GPA</v>
      </c>
      <c r="G154" s="189" t="str">
        <f>IFERROR(__xludf.DUMMYFUNCTION("""COMPUTED_VALUE"""),"Cypher,Sova,Omen,Jett,KAY/O")</f>
        <v>Cypher,Sova,Omen,Jett,KAY/O</v>
      </c>
      <c r="H154" s="189" t="str">
        <f>IFERROR(__xludf.DUMMYFUNCTION("""COMPUTED_VALUE"""),"Sova,Omen,Yoru,Chamber,Vyse")</f>
        <v>Sova,Omen,Yoru,Chamber,Vyse</v>
      </c>
      <c r="I154" s="189">
        <f>IFERROR(__xludf.DUMMYFUNCTION("""COMPUTED_VALUE"""),12.0)</f>
        <v>12</v>
      </c>
      <c r="J154" s="189">
        <f>IFERROR(__xludf.DUMMYFUNCTION("""COMPUTED_VALUE"""),14.0)</f>
        <v>14</v>
      </c>
      <c r="K154" s="189">
        <f>IFERROR(__xludf.DUMMYFUNCTION("""COMPUTED_VALUE"""),6.0)</f>
        <v>6</v>
      </c>
      <c r="L154" s="189">
        <f>IFERROR(__xludf.DUMMYFUNCTION("""COMPUTED_VALUE"""),6.0)</f>
        <v>6</v>
      </c>
      <c r="M154" s="189">
        <f>IFERROR(__xludf.DUMMYFUNCTION("""COMPUTED_VALUE"""),1.0)</f>
        <v>1</v>
      </c>
      <c r="N154" s="189">
        <f>IFERROR(__xludf.DUMMYFUNCTION("""COMPUTED_VALUE"""),0.0)</f>
        <v>0</v>
      </c>
      <c r="O154" s="189">
        <f>IFERROR(__xludf.DUMMYFUNCTION("""COMPUTED_VALUE"""),6.0)</f>
        <v>6</v>
      </c>
      <c r="P154" s="189">
        <f>IFERROR(__xludf.DUMMYFUNCTION("""COMPUTED_VALUE"""),7.0)</f>
        <v>7</v>
      </c>
      <c r="Q154" s="189">
        <f>IFERROR(__xludf.DUMMYFUNCTION("""COMPUTED_VALUE"""),6.0)</f>
        <v>6</v>
      </c>
      <c r="R154" s="189">
        <f>IFERROR(__xludf.DUMMYFUNCTION("""COMPUTED_VALUE"""),7.0)</f>
        <v>7</v>
      </c>
      <c r="S154" s="189">
        <f>IFERROR(__xludf.DUMMYFUNCTION("""COMPUTED_VALUE"""),1.0)</f>
        <v>1</v>
      </c>
      <c r="T154" s="189">
        <f>IFERROR(__xludf.DUMMYFUNCTION("""COMPUTED_VALUE"""),0.0)</f>
        <v>0</v>
      </c>
      <c r="U154" s="189">
        <f>IFERROR(__xludf.DUMMYFUNCTION("""COMPUTED_VALUE"""),7.0)</f>
        <v>7</v>
      </c>
      <c r="V154" s="189">
        <f>IFERROR(__xludf.DUMMYFUNCTION("""COMPUTED_VALUE"""),6.0)</f>
        <v>6</v>
      </c>
      <c r="W154" s="189">
        <f>IFERROR(__xludf.DUMMYFUNCTION("""COMPUTED_VALUE"""),7.0)</f>
        <v>7</v>
      </c>
      <c r="X154" s="189">
        <f>IFERROR(__xludf.DUMMYFUNCTION("""COMPUTED_VALUE"""),6.0)</f>
        <v>6</v>
      </c>
      <c r="Y154" s="208" t="str">
        <f>IFERROR(__xludf.DUMMYFUNCTION("""COMPUTED_VALUE"""),"2025-07-20T00:00:00.000Z")</f>
        <v>2025-07-20T00:00:00.000Z</v>
      </c>
      <c r="Z154" s="189" t="s">
        <v>99</v>
      </c>
      <c r="AA154" s="189" t="s">
        <v>434</v>
      </c>
    </row>
    <row r="155">
      <c r="A155" s="189">
        <f>IFERROR(__xludf.DUMMYFUNCTION("""COMPUTED_VALUE"""),207543.0)</f>
        <v>207543</v>
      </c>
      <c r="B155" s="189">
        <f>IFERROR(__xludf.DUMMYFUNCTION("""COMPUTED_VALUE"""),91442.0)</f>
        <v>91442</v>
      </c>
      <c r="C155" s="189" t="str">
        <f>IFERROR(__xludf.DUMMYFUNCTION("""COMPUTED_VALUE"""),"Challengers League 2025 Spain Rising: Split 3 - Group Stage")</f>
        <v>Challengers League 2025 Spain Rising: Split 3 - Group Stage</v>
      </c>
      <c r="D155" s="189" t="str">
        <f>IFERROR(__xludf.DUMMYFUNCTION("""COMPUTED_VALUE"""),"Lotus")</f>
        <v>Lotus</v>
      </c>
      <c r="E155" s="189" t="str">
        <f>IFERROR(__xludf.DUMMYFUNCTION("""COMPUTED_VALUE"""),"KPI Gaming")</f>
        <v>KPI Gaming</v>
      </c>
      <c r="F155" s="189" t="str">
        <f>IFERROR(__xludf.DUMMYFUNCTION("""COMPUTED_VALUE"""),"KOI Fénix")</f>
        <v>KOI Fénix</v>
      </c>
      <c r="G155" s="189" t="str">
        <f>IFERROR(__xludf.DUMMYFUNCTION("""COMPUTED_VALUE"""),"Cypher,Omen,Yoru,Neon,Fade")</f>
        <v>Cypher,Omen,Yoru,Neon,Fade</v>
      </c>
      <c r="H155" s="189" t="str">
        <f>IFERROR(__xludf.DUMMYFUNCTION("""COMPUTED_VALUE"""),"Breach,Sova,Killjoy,Omen,Neon")</f>
        <v>Breach,Sova,Killjoy,Omen,Neon</v>
      </c>
      <c r="I155" s="189">
        <f>IFERROR(__xludf.DUMMYFUNCTION("""COMPUTED_VALUE"""),13.0)</f>
        <v>13</v>
      </c>
      <c r="J155" s="189">
        <f>IFERROR(__xludf.DUMMYFUNCTION("""COMPUTED_VALUE"""),15.0)</f>
        <v>15</v>
      </c>
      <c r="K155" s="189">
        <f>IFERROR(__xludf.DUMMYFUNCTION("""COMPUTED_VALUE"""),6.0)</f>
        <v>6</v>
      </c>
      <c r="L155" s="189">
        <f>IFERROR(__xludf.DUMMYFUNCTION("""COMPUTED_VALUE"""),6.0)</f>
        <v>6</v>
      </c>
      <c r="M155" s="189">
        <f>IFERROR(__xludf.DUMMYFUNCTION("""COMPUTED_VALUE"""),1.0)</f>
        <v>1</v>
      </c>
      <c r="N155" s="189">
        <f>IFERROR(__xludf.DUMMYFUNCTION("""COMPUTED_VALUE"""),1.0)</f>
        <v>1</v>
      </c>
      <c r="O155" s="189">
        <f>IFERROR(__xludf.DUMMYFUNCTION("""COMPUTED_VALUE"""),6.0)</f>
        <v>6</v>
      </c>
      <c r="P155" s="189">
        <f>IFERROR(__xludf.DUMMYFUNCTION("""COMPUTED_VALUE"""),8.0)</f>
        <v>8</v>
      </c>
      <c r="Q155" s="189">
        <f>IFERROR(__xludf.DUMMYFUNCTION("""COMPUTED_VALUE"""),7.0)</f>
        <v>7</v>
      </c>
      <c r="R155" s="189">
        <f>IFERROR(__xludf.DUMMYFUNCTION("""COMPUTED_VALUE"""),7.0)</f>
        <v>7</v>
      </c>
      <c r="S155" s="189">
        <f>IFERROR(__xludf.DUMMYFUNCTION("""COMPUTED_VALUE"""),0.0)</f>
        <v>0</v>
      </c>
      <c r="T155" s="189">
        <f>IFERROR(__xludf.DUMMYFUNCTION("""COMPUTED_VALUE"""),0.0)</f>
        <v>0</v>
      </c>
      <c r="U155" s="189">
        <f>IFERROR(__xludf.DUMMYFUNCTION("""COMPUTED_VALUE"""),7.0)</f>
        <v>7</v>
      </c>
      <c r="V155" s="189">
        <f>IFERROR(__xludf.DUMMYFUNCTION("""COMPUTED_VALUE"""),7.0)</f>
        <v>7</v>
      </c>
      <c r="W155" s="189">
        <f>IFERROR(__xludf.DUMMYFUNCTION("""COMPUTED_VALUE"""),8.0)</f>
        <v>8</v>
      </c>
      <c r="X155" s="189">
        <f>IFERROR(__xludf.DUMMYFUNCTION("""COMPUTED_VALUE"""),6.0)</f>
        <v>6</v>
      </c>
      <c r="Y155" s="208" t="str">
        <f>IFERROR(__xludf.DUMMYFUNCTION("""COMPUTED_VALUE"""),"2025-07-20T00:00:00.000Z")</f>
        <v>2025-07-20T00:00:00.000Z</v>
      </c>
      <c r="Z155" s="189" t="s">
        <v>435</v>
      </c>
      <c r="AA155" s="189" t="s">
        <v>187</v>
      </c>
    </row>
    <row r="156">
      <c r="A156" s="189">
        <f>IFERROR(__xludf.DUMMYFUNCTION("""COMPUTED_VALUE"""),208398.0)</f>
        <v>208398</v>
      </c>
      <c r="B156" s="189">
        <f>IFERROR(__xludf.DUMMYFUNCTION("""COMPUTED_VALUE"""),91781.0)</f>
        <v>91781</v>
      </c>
      <c r="C156" s="189" t="str">
        <f>IFERROR(__xludf.DUMMYFUNCTION("""COMPUTED_VALUE"""),"Challengers League 2025 Türkiye Birlik: Split 3 - Group Stage")</f>
        <v>Challengers League 2025 Türkiye Birlik: Split 3 - Group Stage</v>
      </c>
      <c r="D156" s="189" t="str">
        <f>IFERROR(__xludf.DUMMYFUNCTION("""COMPUTED_VALUE"""),"Ascent")</f>
        <v>Ascent</v>
      </c>
      <c r="E156" s="189" t="str">
        <f>IFERROR(__xludf.DUMMYFUNCTION("""COMPUTED_VALUE"""),"Fire Flux Esports")</f>
        <v>Fire Flux Esports</v>
      </c>
      <c r="F156" s="189" t="str">
        <f>IFERROR(__xludf.DUMMYFUNCTION("""COMPUTED_VALUE"""),"BBL PCIFIC")</f>
        <v>BBL PCIFIC</v>
      </c>
      <c r="G156" s="189" t="str">
        <f>IFERROR(__xludf.DUMMYFUNCTION("""COMPUTED_VALUE"""),"Cypher,Sova,Omen,Jett,KAY/O")</f>
        <v>Cypher,Sova,Omen,Jett,KAY/O</v>
      </c>
      <c r="H156" s="189" t="str">
        <f>IFERROR(__xludf.DUMMYFUNCTION("""COMPUTED_VALUE"""),"Cypher,Sova,Omen,Jett,Deadlock")</f>
        <v>Cypher,Sova,Omen,Jett,Deadlock</v>
      </c>
      <c r="I156" s="189">
        <f>IFERROR(__xludf.DUMMYFUNCTION("""COMPUTED_VALUE"""),3.0)</f>
        <v>3</v>
      </c>
      <c r="J156" s="189">
        <f>IFERROR(__xludf.DUMMYFUNCTION("""COMPUTED_VALUE"""),13.0)</f>
        <v>13</v>
      </c>
      <c r="K156" s="189">
        <f>IFERROR(__xludf.DUMMYFUNCTION("""COMPUTED_VALUE"""),3.0)</f>
        <v>3</v>
      </c>
      <c r="L156" s="189">
        <f>IFERROR(__xludf.DUMMYFUNCTION("""COMPUTED_VALUE"""),9.0)</f>
        <v>9</v>
      </c>
      <c r="M156" s="189">
        <f>IFERROR(__xludf.DUMMYFUNCTION("""COMPUTED_VALUE"""),1.0)</f>
        <v>1</v>
      </c>
      <c r="N156" s="189">
        <f>IFERROR(__xludf.DUMMYFUNCTION("""COMPUTED_VALUE"""),0.0)</f>
        <v>0</v>
      </c>
      <c r="O156" s="189">
        <f>IFERROR(__xludf.DUMMYFUNCTION("""COMPUTED_VALUE"""),3.0)</f>
        <v>3</v>
      </c>
      <c r="P156" s="189">
        <f>IFERROR(__xludf.DUMMYFUNCTION("""COMPUTED_VALUE"""),9.0)</f>
        <v>9</v>
      </c>
      <c r="Q156" s="189">
        <f>IFERROR(__xludf.DUMMYFUNCTION("""COMPUTED_VALUE"""),0.0)</f>
        <v>0</v>
      </c>
      <c r="R156" s="189">
        <f>IFERROR(__xludf.DUMMYFUNCTION("""COMPUTED_VALUE"""),4.0)</f>
        <v>4</v>
      </c>
      <c r="S156" s="189">
        <f>IFERROR(__xludf.DUMMYFUNCTION("""COMPUTED_VALUE"""),1.0)</f>
        <v>1</v>
      </c>
      <c r="T156" s="189">
        <f>IFERROR(__xludf.DUMMYFUNCTION("""COMPUTED_VALUE"""),0.0)</f>
        <v>0</v>
      </c>
      <c r="U156" s="189">
        <f>IFERROR(__xludf.DUMMYFUNCTION("""COMPUTED_VALUE"""),4.0)</f>
        <v>4</v>
      </c>
      <c r="V156" s="189">
        <f>IFERROR(__xludf.DUMMYFUNCTION("""COMPUTED_VALUE"""),0.0)</f>
        <v>0</v>
      </c>
      <c r="W156" s="189">
        <f>IFERROR(__xludf.DUMMYFUNCTION("""COMPUTED_VALUE"""),9.0)</f>
        <v>9</v>
      </c>
      <c r="X156" s="189">
        <f>IFERROR(__xludf.DUMMYFUNCTION("""COMPUTED_VALUE"""),3.0)</f>
        <v>3</v>
      </c>
      <c r="Y156" s="208" t="str">
        <f>IFERROR(__xludf.DUMMYFUNCTION("""COMPUTED_VALUE"""),"2025-07-20T00:00:00.000Z")</f>
        <v>2025-07-20T00:00:00.000Z</v>
      </c>
      <c r="Z156" s="189" t="s">
        <v>436</v>
      </c>
      <c r="AA156" s="189" t="s">
        <v>186</v>
      </c>
    </row>
    <row r="157">
      <c r="A157" s="189">
        <f>IFERROR(__xludf.DUMMYFUNCTION("""COMPUTED_VALUE"""),210556.0)</f>
        <v>210556</v>
      </c>
      <c r="B157" s="189">
        <f>IFERROR(__xludf.DUMMYFUNCTION("""COMPUTED_VALUE"""),92622.0)</f>
        <v>92622</v>
      </c>
      <c r="C157" s="189" t="str">
        <f>IFERROR(__xludf.DUMMYFUNCTION("""COMPUTED_VALUE"""),"Challengers 2025: France Revolution Split 3 - Group Stage")</f>
        <v>Challengers 2025: France Revolution Split 3 - Group Stage</v>
      </c>
      <c r="D157" s="189" t="str">
        <f>IFERROR(__xludf.DUMMYFUNCTION("""COMPUTED_VALUE"""),"Haven")</f>
        <v>Haven</v>
      </c>
      <c r="E157" s="189" t="str">
        <f>IFERROR(__xludf.DUMMYFUNCTION("""COMPUTED_VALUE"""),"Team Valiant")</f>
        <v>Team Valiant</v>
      </c>
      <c r="F157" s="189" t="str">
        <f>IFERROR(__xludf.DUMMYFUNCTION("""COMPUTED_VALUE"""),"Mandatory")</f>
        <v>Mandatory</v>
      </c>
      <c r="G157" s="189" t="str">
        <f>IFERROR(__xludf.DUMMYFUNCTION("""COMPUTED_VALUE"""),"Sova,Viper,Omen,Neon,Vyse")</f>
        <v>Sova,Viper,Omen,Neon,Vyse</v>
      </c>
      <c r="H157" s="189" t="str">
        <f>IFERROR(__xludf.DUMMYFUNCTION("""COMPUTED_VALUE"""),"Cypher,Sova,Omen,Yoru,Iso")</f>
        <v>Cypher,Sova,Omen,Yoru,Iso</v>
      </c>
      <c r="I157" s="189">
        <f>IFERROR(__xludf.DUMMYFUNCTION("""COMPUTED_VALUE"""),12.0)</f>
        <v>12</v>
      </c>
      <c r="J157" s="189">
        <f>IFERROR(__xludf.DUMMYFUNCTION("""COMPUTED_VALUE"""),14.0)</f>
        <v>14</v>
      </c>
      <c r="K157" s="189">
        <f>IFERROR(__xludf.DUMMYFUNCTION("""COMPUTED_VALUE"""),5.0)</f>
        <v>5</v>
      </c>
      <c r="L157" s="189">
        <f>IFERROR(__xludf.DUMMYFUNCTION("""COMPUTED_VALUE"""),7.0)</f>
        <v>7</v>
      </c>
      <c r="M157" s="189">
        <f>IFERROR(__xludf.DUMMYFUNCTION("""COMPUTED_VALUE"""),1.0)</f>
        <v>1</v>
      </c>
      <c r="N157" s="189">
        <f>IFERROR(__xludf.DUMMYFUNCTION("""COMPUTED_VALUE"""),0.0)</f>
        <v>0</v>
      </c>
      <c r="O157" s="189">
        <f>IFERROR(__xludf.DUMMYFUNCTION("""COMPUTED_VALUE"""),5.0)</f>
        <v>5</v>
      </c>
      <c r="P157" s="189">
        <f>IFERROR(__xludf.DUMMYFUNCTION("""COMPUTED_VALUE"""),8.0)</f>
        <v>8</v>
      </c>
      <c r="Q157" s="189">
        <f>IFERROR(__xludf.DUMMYFUNCTION("""COMPUTED_VALUE"""),7.0)</f>
        <v>7</v>
      </c>
      <c r="R157" s="189">
        <f>IFERROR(__xludf.DUMMYFUNCTION("""COMPUTED_VALUE"""),6.0)</f>
        <v>6</v>
      </c>
      <c r="S157" s="189">
        <f>IFERROR(__xludf.DUMMYFUNCTION("""COMPUTED_VALUE"""),1.0)</f>
        <v>1</v>
      </c>
      <c r="T157" s="189">
        <f>IFERROR(__xludf.DUMMYFUNCTION("""COMPUTED_VALUE"""),0.0)</f>
        <v>0</v>
      </c>
      <c r="U157" s="189">
        <f>IFERROR(__xludf.DUMMYFUNCTION("""COMPUTED_VALUE"""),6.0)</f>
        <v>6</v>
      </c>
      <c r="V157" s="189">
        <f>IFERROR(__xludf.DUMMYFUNCTION("""COMPUTED_VALUE"""),7.0)</f>
        <v>7</v>
      </c>
      <c r="W157" s="189">
        <f>IFERROR(__xludf.DUMMYFUNCTION("""COMPUTED_VALUE"""),8.0)</f>
        <v>8</v>
      </c>
      <c r="X157" s="189">
        <f>IFERROR(__xludf.DUMMYFUNCTION("""COMPUTED_VALUE"""),5.0)</f>
        <v>5</v>
      </c>
      <c r="Y157" s="208" t="str">
        <f>IFERROR(__xludf.DUMMYFUNCTION("""COMPUTED_VALUE"""),"2025-07-20T00:00:00.000Z")</f>
        <v>2025-07-20T00:00:00.000Z</v>
      </c>
      <c r="Z157" s="189" t="s">
        <v>390</v>
      </c>
      <c r="AA157" s="189" t="s">
        <v>189</v>
      </c>
    </row>
    <row r="158">
      <c r="A158" s="189">
        <f>IFERROR(__xludf.DUMMYFUNCTION("""COMPUTED_VALUE"""),209521.0)</f>
        <v>209521</v>
      </c>
      <c r="B158" s="189">
        <f>IFERROR(__xludf.DUMMYFUNCTION("""COMPUTED_VALUE"""),92187.0)</f>
        <v>92187</v>
      </c>
      <c r="C158" s="189" t="str">
        <f>IFERROR(__xludf.DUMMYFUNCTION("""COMPUTED_VALUE"""),"Challengers League 2025 DACH: Evolution Stage 3 - Group Stage")</f>
        <v>Challengers League 2025 DACH: Evolution Stage 3 - Group Stage</v>
      </c>
      <c r="D158" s="189" t="str">
        <f>IFERROR(__xludf.DUMMYFUNCTION("""COMPUTED_VALUE"""),"Lotus")</f>
        <v>Lotus</v>
      </c>
      <c r="E158" s="189" t="str">
        <f>IFERROR(__xludf.DUMMYFUNCTION("""COMPUTED_VALUE"""),"Eintracht Frankfurt")</f>
        <v>Eintracht Frankfurt</v>
      </c>
      <c r="F158" s="189" t="str">
        <f>IFERROR(__xludf.DUMMYFUNCTION("""COMPUTED_VALUE"""),"6GPA")</f>
        <v>6GPA</v>
      </c>
      <c r="G158" s="189" t="str">
        <f>IFERROR(__xludf.DUMMYFUNCTION("""COMPUTED_VALUE"""),"Cypher,Viper,Omen,Yoru,Fade")</f>
        <v>Cypher,Viper,Omen,Yoru,Fade</v>
      </c>
      <c r="H158" s="189" t="str">
        <f>IFERROR(__xludf.DUMMYFUNCTION("""COMPUTED_VALUE"""),"Raze,Cypher,Omen,Fade,Iso")</f>
        <v>Raze,Cypher,Omen,Fade,Iso</v>
      </c>
      <c r="I158" s="189">
        <f>IFERROR(__xludf.DUMMYFUNCTION("""COMPUTED_VALUE"""),9.0)</f>
        <v>9</v>
      </c>
      <c r="J158" s="189">
        <f>IFERROR(__xludf.DUMMYFUNCTION("""COMPUTED_VALUE"""),13.0)</f>
        <v>13</v>
      </c>
      <c r="K158" s="189">
        <f>IFERROR(__xludf.DUMMYFUNCTION("""COMPUTED_VALUE"""),7.0)</f>
        <v>7</v>
      </c>
      <c r="L158" s="189">
        <f>IFERROR(__xludf.DUMMYFUNCTION("""COMPUTED_VALUE"""),5.0)</f>
        <v>5</v>
      </c>
      <c r="M158" s="189">
        <f>IFERROR(__xludf.DUMMYFUNCTION("""COMPUTED_VALUE"""),1.0)</f>
        <v>1</v>
      </c>
      <c r="N158" s="189">
        <f>IFERROR(__xludf.DUMMYFUNCTION("""COMPUTED_VALUE"""),1.0)</f>
        <v>1</v>
      </c>
      <c r="O158" s="189">
        <f>IFERROR(__xludf.DUMMYFUNCTION("""COMPUTED_VALUE"""),7.0)</f>
        <v>7</v>
      </c>
      <c r="P158" s="189">
        <f>IFERROR(__xludf.DUMMYFUNCTION("""COMPUTED_VALUE"""),5.0)</f>
        <v>5</v>
      </c>
      <c r="Q158" s="189">
        <f>IFERROR(__xludf.DUMMYFUNCTION("""COMPUTED_VALUE"""),2.0)</f>
        <v>2</v>
      </c>
      <c r="R158" s="189">
        <f>IFERROR(__xludf.DUMMYFUNCTION("""COMPUTED_VALUE"""),8.0)</f>
        <v>8</v>
      </c>
      <c r="S158" s="189">
        <f>IFERROR(__xludf.DUMMYFUNCTION("""COMPUTED_VALUE"""),0.0)</f>
        <v>0</v>
      </c>
      <c r="T158" s="189">
        <f>IFERROR(__xludf.DUMMYFUNCTION("""COMPUTED_VALUE"""),0.0)</f>
        <v>0</v>
      </c>
      <c r="U158" s="189">
        <f>IFERROR(__xludf.DUMMYFUNCTION("""COMPUTED_VALUE"""),8.0)</f>
        <v>8</v>
      </c>
      <c r="V158" s="189">
        <f>IFERROR(__xludf.DUMMYFUNCTION("""COMPUTED_VALUE"""),2.0)</f>
        <v>2</v>
      </c>
      <c r="W158" s="189">
        <f>IFERROR(__xludf.DUMMYFUNCTION("""COMPUTED_VALUE"""),5.0)</f>
        <v>5</v>
      </c>
      <c r="X158" s="189">
        <f>IFERROR(__xludf.DUMMYFUNCTION("""COMPUTED_VALUE"""),7.0)</f>
        <v>7</v>
      </c>
      <c r="Y158" s="208" t="str">
        <f>IFERROR(__xludf.DUMMYFUNCTION("""COMPUTED_VALUE"""),"2025-07-20T00:00:00.000Z")</f>
        <v>2025-07-20T00:00:00.000Z</v>
      </c>
      <c r="Z158" s="189" t="s">
        <v>104</v>
      </c>
      <c r="AA158" s="189" t="s">
        <v>434</v>
      </c>
    </row>
    <row r="159">
      <c r="A159" s="189">
        <f>IFERROR(__xludf.DUMMYFUNCTION("""COMPUTED_VALUE"""),208397.0)</f>
        <v>208397</v>
      </c>
      <c r="B159" s="189">
        <f>IFERROR(__xludf.DUMMYFUNCTION("""COMPUTED_VALUE"""),91781.0)</f>
        <v>91781</v>
      </c>
      <c r="C159" s="189" t="str">
        <f>IFERROR(__xludf.DUMMYFUNCTION("""COMPUTED_VALUE"""),"Challengers League 2025 Türkiye Birlik: Split 3 - Group Stage")</f>
        <v>Challengers League 2025 Türkiye Birlik: Split 3 - Group Stage</v>
      </c>
      <c r="D159" s="189" t="str">
        <f>IFERROR(__xludf.DUMMYFUNCTION("""COMPUTED_VALUE"""),"Lotus")</f>
        <v>Lotus</v>
      </c>
      <c r="E159" s="189" t="str">
        <f>IFERROR(__xludf.DUMMYFUNCTION("""COMPUTED_VALUE"""),"Fire Flux Esports")</f>
        <v>Fire Flux Esports</v>
      </c>
      <c r="F159" s="189" t="str">
        <f>IFERROR(__xludf.DUMMYFUNCTION("""COMPUTED_VALUE"""),"BBL PCIFIC")</f>
        <v>BBL PCIFIC</v>
      </c>
      <c r="G159" s="189" t="str">
        <f>IFERROR(__xludf.DUMMYFUNCTION("""COMPUTED_VALUE"""),"Viper,Omen,Neon,Fade,Vyse")</f>
        <v>Viper,Omen,Neon,Fade,Vyse</v>
      </c>
      <c r="H159" s="189" t="str">
        <f>IFERROR(__xludf.DUMMYFUNCTION("""COMPUTED_VALUE"""),"Raze,Omen,Yoru,Fade,Vyse")</f>
        <v>Raze,Omen,Yoru,Fade,Vyse</v>
      </c>
      <c r="I159" s="189">
        <f>IFERROR(__xludf.DUMMYFUNCTION("""COMPUTED_VALUE"""),8.0)</f>
        <v>8</v>
      </c>
      <c r="J159" s="189">
        <f>IFERROR(__xludf.DUMMYFUNCTION("""COMPUTED_VALUE"""),13.0)</f>
        <v>13</v>
      </c>
      <c r="K159" s="189">
        <f>IFERROR(__xludf.DUMMYFUNCTION("""COMPUTED_VALUE"""),5.0)</f>
        <v>5</v>
      </c>
      <c r="L159" s="189">
        <f>IFERROR(__xludf.DUMMYFUNCTION("""COMPUTED_VALUE"""),7.0)</f>
        <v>7</v>
      </c>
      <c r="M159" s="189">
        <f>IFERROR(__xludf.DUMMYFUNCTION("""COMPUTED_VALUE"""),1.0)</f>
        <v>1</v>
      </c>
      <c r="N159" s="189">
        <f>IFERROR(__xludf.DUMMYFUNCTION("""COMPUTED_VALUE"""),0.0)</f>
        <v>0</v>
      </c>
      <c r="O159" s="189">
        <f>IFERROR(__xludf.DUMMYFUNCTION("""COMPUTED_VALUE"""),5.0)</f>
        <v>5</v>
      </c>
      <c r="P159" s="189">
        <f>IFERROR(__xludf.DUMMYFUNCTION("""COMPUTED_VALUE"""),7.0)</f>
        <v>7</v>
      </c>
      <c r="Q159" s="189">
        <f>IFERROR(__xludf.DUMMYFUNCTION("""COMPUTED_VALUE"""),3.0)</f>
        <v>3</v>
      </c>
      <c r="R159" s="189">
        <f>IFERROR(__xludf.DUMMYFUNCTION("""COMPUTED_VALUE"""),6.0)</f>
        <v>6</v>
      </c>
      <c r="S159" s="189">
        <f>IFERROR(__xludf.DUMMYFUNCTION("""COMPUTED_VALUE"""),1.0)</f>
        <v>1</v>
      </c>
      <c r="T159" s="189">
        <f>IFERROR(__xludf.DUMMYFUNCTION("""COMPUTED_VALUE"""),0.0)</f>
        <v>0</v>
      </c>
      <c r="U159" s="189">
        <f>IFERROR(__xludf.DUMMYFUNCTION("""COMPUTED_VALUE"""),6.0)</f>
        <v>6</v>
      </c>
      <c r="V159" s="189">
        <f>IFERROR(__xludf.DUMMYFUNCTION("""COMPUTED_VALUE"""),3.0)</f>
        <v>3</v>
      </c>
      <c r="W159" s="189">
        <f>IFERROR(__xludf.DUMMYFUNCTION("""COMPUTED_VALUE"""),7.0)</f>
        <v>7</v>
      </c>
      <c r="X159" s="189">
        <f>IFERROR(__xludf.DUMMYFUNCTION("""COMPUTED_VALUE"""),5.0)</f>
        <v>5</v>
      </c>
      <c r="Y159" s="208" t="str">
        <f>IFERROR(__xludf.DUMMYFUNCTION("""COMPUTED_VALUE"""),"2025-07-20T00:00:00.000Z")</f>
        <v>2025-07-20T00:00:00.000Z</v>
      </c>
      <c r="Z159" s="189" t="s">
        <v>437</v>
      </c>
      <c r="AA159" s="189" t="s">
        <v>186</v>
      </c>
    </row>
    <row r="160">
      <c r="A160" s="189">
        <f>IFERROR(__xludf.DUMMYFUNCTION("""COMPUTED_VALUE"""),210752.0)</f>
        <v>210752</v>
      </c>
      <c r="B160" s="189">
        <f>IFERROR(__xludf.DUMMYFUNCTION("""COMPUTED_VALUE"""),92707.0)</f>
        <v>92707</v>
      </c>
      <c r="C160" s="189" t="str">
        <f>IFERROR(__xludf.DUMMYFUNCTION("""COMPUTED_VALUE"""),"Challengers League 2025 NORTH EAST: Split 3 - Upper Swiss Phase")</f>
        <v>Challengers League 2025 NORTH EAST: Split 3 - Upper Swiss Phase</v>
      </c>
      <c r="D160" s="189" t="str">
        <f>IFERROR(__xludf.DUMMYFUNCTION("""COMPUTED_VALUE"""),"Corrode")</f>
        <v>Corrode</v>
      </c>
      <c r="E160" s="189" t="str">
        <f>IFERROR(__xludf.DUMMYFUNCTION("""COMPUTED_VALUE"""),"Team Liquid Academy")</f>
        <v>Team Liquid Academy</v>
      </c>
      <c r="F160" s="189" t="str">
        <f>IFERROR(__xludf.DUMMYFUNCTION("""COMPUTED_VALUE"""),"BONK")</f>
        <v>BONK</v>
      </c>
      <c r="G160" s="189" t="str">
        <f>IFERROR(__xludf.DUMMYFUNCTION("""COMPUTED_VALUE"""),"Cypher,Phoenix,Omen,Yoru,Fade")</f>
        <v>Cypher,Phoenix,Omen,Yoru,Fade</v>
      </c>
      <c r="H160" s="189" t="str">
        <f>IFERROR(__xludf.DUMMYFUNCTION("""COMPUTED_VALUE"""),"Omen,Jett,Yoru,Fade,Vyse")</f>
        <v>Omen,Jett,Yoru,Fade,Vyse</v>
      </c>
      <c r="I160" s="189">
        <f>IFERROR(__xludf.DUMMYFUNCTION("""COMPUTED_VALUE"""),13.0)</f>
        <v>13</v>
      </c>
      <c r="J160" s="189">
        <f>IFERROR(__xludf.DUMMYFUNCTION("""COMPUTED_VALUE"""),5.0)</f>
        <v>5</v>
      </c>
      <c r="K160" s="189">
        <f>IFERROR(__xludf.DUMMYFUNCTION("""COMPUTED_VALUE"""),10.0)</f>
        <v>10</v>
      </c>
      <c r="L160" s="189">
        <f>IFERROR(__xludf.DUMMYFUNCTION("""COMPUTED_VALUE"""),2.0)</f>
        <v>2</v>
      </c>
      <c r="M160" s="189">
        <f>IFERROR(__xludf.DUMMYFUNCTION("""COMPUTED_VALUE"""),0.0)</f>
        <v>0</v>
      </c>
      <c r="N160" s="189">
        <f>IFERROR(__xludf.DUMMYFUNCTION("""COMPUTED_VALUE"""),1.0)</f>
        <v>1</v>
      </c>
      <c r="O160" s="189">
        <f>IFERROR(__xludf.DUMMYFUNCTION("""COMPUTED_VALUE"""),3.0)</f>
        <v>3</v>
      </c>
      <c r="P160" s="189">
        <f>IFERROR(__xludf.DUMMYFUNCTION("""COMPUTED_VALUE"""),3.0)</f>
        <v>3</v>
      </c>
      <c r="Q160" s="189">
        <f>IFERROR(__xludf.DUMMYFUNCTION("""COMPUTED_VALUE"""),10.0)</f>
        <v>10</v>
      </c>
      <c r="R160" s="189">
        <f>IFERROR(__xludf.DUMMYFUNCTION("""COMPUTED_VALUE"""),2.0)</f>
        <v>2</v>
      </c>
      <c r="S160" s="189">
        <f>IFERROR(__xludf.DUMMYFUNCTION("""COMPUTED_VALUE"""),0.0)</f>
        <v>0</v>
      </c>
      <c r="T160" s="189">
        <f>IFERROR(__xludf.DUMMYFUNCTION("""COMPUTED_VALUE"""),1.0)</f>
        <v>1</v>
      </c>
      <c r="U160" s="189">
        <f>IFERROR(__xludf.DUMMYFUNCTION("""COMPUTED_VALUE"""),2.0)</f>
        <v>2</v>
      </c>
      <c r="V160" s="189">
        <f>IFERROR(__xludf.DUMMYFUNCTION("""COMPUTED_VALUE"""),10.0)</f>
        <v>10</v>
      </c>
      <c r="W160" s="189">
        <f>IFERROR(__xludf.DUMMYFUNCTION("""COMPUTED_VALUE"""),3.0)</f>
        <v>3</v>
      </c>
      <c r="X160" s="189">
        <f>IFERROR(__xludf.DUMMYFUNCTION("""COMPUTED_VALUE"""),3.0)</f>
        <v>3</v>
      </c>
      <c r="Y160" s="208" t="str">
        <f>IFERROR(__xludf.DUMMYFUNCTION("""COMPUTED_VALUE"""),"2025-07-20T00:00:00.000Z")</f>
        <v>2025-07-20T00:00:00.000Z</v>
      </c>
      <c r="Z160" s="189" t="s">
        <v>144</v>
      </c>
      <c r="AA160" s="189" t="s">
        <v>1</v>
      </c>
    </row>
    <row r="161">
      <c r="A161" s="189">
        <f>IFERROR(__xludf.DUMMYFUNCTION("""COMPUTED_VALUE"""),210751.0)</f>
        <v>210751</v>
      </c>
      <c r="B161" s="189">
        <f>IFERROR(__xludf.DUMMYFUNCTION("""COMPUTED_VALUE"""),92707.0)</f>
        <v>92707</v>
      </c>
      <c r="C161" s="189" t="str">
        <f>IFERROR(__xludf.DUMMYFUNCTION("""COMPUTED_VALUE"""),"Challengers League 2025 NORTH EAST: Split 3 - Upper Swiss Phase")</f>
        <v>Challengers League 2025 NORTH EAST: Split 3 - Upper Swiss Phase</v>
      </c>
      <c r="D161" s="189" t="str">
        <f>IFERROR(__xludf.DUMMYFUNCTION("""COMPUTED_VALUE"""),"Icebox")</f>
        <v>Icebox</v>
      </c>
      <c r="E161" s="189" t="str">
        <f>IFERROR(__xludf.DUMMYFUNCTION("""COMPUTED_VALUE"""),"Team Liquid Academy")</f>
        <v>Team Liquid Academy</v>
      </c>
      <c r="F161" s="189" t="str">
        <f>IFERROR(__xludf.DUMMYFUNCTION("""COMPUTED_VALUE"""),"BONK")</f>
        <v>BONK</v>
      </c>
      <c r="G161" s="189" t="str">
        <f>IFERROR(__xludf.DUMMYFUNCTION("""COMPUTED_VALUE"""),"Sova,Killjoy,Viper,Sage,Gekko")</f>
        <v>Sova,Killjoy,Viper,Sage,Gekko</v>
      </c>
      <c r="H161" s="189" t="str">
        <f>IFERROR(__xludf.DUMMYFUNCTION("""COMPUTED_VALUE"""),"Sova,Killjoy,Viper,Reyna,Jett")</f>
        <v>Sova,Killjoy,Viper,Reyna,Jett</v>
      </c>
      <c r="I161" s="189">
        <f>IFERROR(__xludf.DUMMYFUNCTION("""COMPUTED_VALUE"""),13.0)</f>
        <v>13</v>
      </c>
      <c r="J161" s="189">
        <f>IFERROR(__xludf.DUMMYFUNCTION("""COMPUTED_VALUE"""),9.0)</f>
        <v>9</v>
      </c>
      <c r="K161" s="189">
        <f>IFERROR(__xludf.DUMMYFUNCTION("""COMPUTED_VALUE"""),5.0)</f>
        <v>5</v>
      </c>
      <c r="L161" s="189">
        <f>IFERROR(__xludf.DUMMYFUNCTION("""COMPUTED_VALUE"""),7.0)</f>
        <v>7</v>
      </c>
      <c r="M161" s="189">
        <f>IFERROR(__xludf.DUMMYFUNCTION("""COMPUTED_VALUE"""),0.0)</f>
        <v>0</v>
      </c>
      <c r="N161" s="189">
        <f>IFERROR(__xludf.DUMMYFUNCTION("""COMPUTED_VALUE"""),1.0)</f>
        <v>1</v>
      </c>
      <c r="O161" s="189">
        <f>IFERROR(__xludf.DUMMYFUNCTION("""COMPUTED_VALUE"""),5.0)</f>
        <v>5</v>
      </c>
      <c r="P161" s="189">
        <f>IFERROR(__xludf.DUMMYFUNCTION("""COMPUTED_VALUE"""),7.0)</f>
        <v>7</v>
      </c>
      <c r="Q161" s="189">
        <f>IFERROR(__xludf.DUMMYFUNCTION("""COMPUTED_VALUE"""),8.0)</f>
        <v>8</v>
      </c>
      <c r="R161" s="189">
        <f>IFERROR(__xludf.DUMMYFUNCTION("""COMPUTED_VALUE"""),2.0)</f>
        <v>2</v>
      </c>
      <c r="S161" s="189">
        <f>IFERROR(__xludf.DUMMYFUNCTION("""COMPUTED_VALUE"""),0.0)</f>
        <v>0</v>
      </c>
      <c r="T161" s="189">
        <f>IFERROR(__xludf.DUMMYFUNCTION("""COMPUTED_VALUE"""),1.0)</f>
        <v>1</v>
      </c>
      <c r="U161" s="189">
        <f>IFERROR(__xludf.DUMMYFUNCTION("""COMPUTED_VALUE"""),2.0)</f>
        <v>2</v>
      </c>
      <c r="V161" s="189">
        <f>IFERROR(__xludf.DUMMYFUNCTION("""COMPUTED_VALUE"""),8.0)</f>
        <v>8</v>
      </c>
      <c r="W161" s="189">
        <f>IFERROR(__xludf.DUMMYFUNCTION("""COMPUTED_VALUE"""),7.0)</f>
        <v>7</v>
      </c>
      <c r="X161" s="189">
        <f>IFERROR(__xludf.DUMMYFUNCTION("""COMPUTED_VALUE"""),5.0)</f>
        <v>5</v>
      </c>
      <c r="Y161" s="208" t="str">
        <f>IFERROR(__xludf.DUMMYFUNCTION("""COMPUTED_VALUE"""),"2025-07-20T00:00:00.000Z")</f>
        <v>2025-07-20T00:00:00.000Z</v>
      </c>
      <c r="Z161" s="189" t="s">
        <v>146</v>
      </c>
      <c r="AA161" s="189" t="s">
        <v>1</v>
      </c>
    </row>
    <row r="162">
      <c r="A162" s="189">
        <f>IFERROR(__xludf.DUMMYFUNCTION("""COMPUTED_VALUE"""),209531.0)</f>
        <v>209531</v>
      </c>
      <c r="B162" s="189">
        <f>IFERROR(__xludf.DUMMYFUNCTION("""COMPUTED_VALUE"""),92190.0)</f>
        <v>92190</v>
      </c>
      <c r="C162" s="189" t="str">
        <f>IFERROR(__xludf.DUMMYFUNCTION("""COMPUTED_VALUE"""),"Challengers League 2025 DACH: Evolution Stage 3 - Group Stage")</f>
        <v>Challengers League 2025 DACH: Evolution Stage 3 - Group Stage</v>
      </c>
      <c r="D162" s="189" t="str">
        <f>IFERROR(__xludf.DUMMYFUNCTION("""COMPUTED_VALUE"""),"Icebox")</f>
        <v>Icebox</v>
      </c>
      <c r="E162" s="189" t="str">
        <f>IFERROR(__xludf.DUMMYFUNCTION("""COMPUTED_VALUE"""),"MOUZ")</f>
        <v>MOUZ</v>
      </c>
      <c r="F162" s="189" t="str">
        <f>IFERROR(__xludf.DUMMYFUNCTION("""COMPUTED_VALUE"""),"FOKUS")</f>
        <v>FOKUS</v>
      </c>
      <c r="G162" s="189" t="str">
        <f>IFERROR(__xludf.DUMMYFUNCTION("""COMPUTED_VALUE"""),"Sova,Killjoy,Viper,Jett,KAY/O")</f>
        <v>Sova,Killjoy,Viper,Jett,KAY/O</v>
      </c>
      <c r="H162" s="189" t="str">
        <f>IFERROR(__xludf.DUMMYFUNCTION("""COMPUTED_VALUE"""),"Sova,Killjoy,Viper,Reyna,Jett")</f>
        <v>Sova,Killjoy,Viper,Reyna,Jett</v>
      </c>
      <c r="I162" s="189">
        <f>IFERROR(__xludf.DUMMYFUNCTION("""COMPUTED_VALUE"""),13.0)</f>
        <v>13</v>
      </c>
      <c r="J162" s="189">
        <f>IFERROR(__xludf.DUMMYFUNCTION("""COMPUTED_VALUE"""),9.0)</f>
        <v>9</v>
      </c>
      <c r="K162" s="189">
        <f>IFERROR(__xludf.DUMMYFUNCTION("""COMPUTED_VALUE"""),8.0)</f>
        <v>8</v>
      </c>
      <c r="L162" s="189">
        <f>IFERROR(__xludf.DUMMYFUNCTION("""COMPUTED_VALUE"""),4.0)</f>
        <v>4</v>
      </c>
      <c r="M162" s="189">
        <f>IFERROR(__xludf.DUMMYFUNCTION("""COMPUTED_VALUE"""),0.0)</f>
        <v>0</v>
      </c>
      <c r="N162" s="189">
        <f>IFERROR(__xludf.DUMMYFUNCTION("""COMPUTED_VALUE"""),0.0)</f>
        <v>0</v>
      </c>
      <c r="O162" s="189">
        <f>IFERROR(__xludf.DUMMYFUNCTION("""COMPUTED_VALUE"""),5.0)</f>
        <v>5</v>
      </c>
      <c r="P162" s="189">
        <f>IFERROR(__xludf.DUMMYFUNCTION("""COMPUTED_VALUE"""),5.0)</f>
        <v>5</v>
      </c>
      <c r="Q162" s="189">
        <f>IFERROR(__xludf.DUMMYFUNCTION("""COMPUTED_VALUE"""),8.0)</f>
        <v>8</v>
      </c>
      <c r="R162" s="189">
        <f>IFERROR(__xludf.DUMMYFUNCTION("""COMPUTED_VALUE"""),4.0)</f>
        <v>4</v>
      </c>
      <c r="S162" s="189">
        <f>IFERROR(__xludf.DUMMYFUNCTION("""COMPUTED_VALUE"""),1.0)</f>
        <v>1</v>
      </c>
      <c r="T162" s="189">
        <f>IFERROR(__xludf.DUMMYFUNCTION("""COMPUTED_VALUE"""),1.0)</f>
        <v>1</v>
      </c>
      <c r="U162" s="189">
        <f>IFERROR(__xludf.DUMMYFUNCTION("""COMPUTED_VALUE"""),4.0)</f>
        <v>4</v>
      </c>
      <c r="V162" s="189">
        <f>IFERROR(__xludf.DUMMYFUNCTION("""COMPUTED_VALUE"""),8.0)</f>
        <v>8</v>
      </c>
      <c r="W162" s="189">
        <f>IFERROR(__xludf.DUMMYFUNCTION("""COMPUTED_VALUE"""),5.0)</f>
        <v>5</v>
      </c>
      <c r="X162" s="189">
        <f>IFERROR(__xludf.DUMMYFUNCTION("""COMPUTED_VALUE"""),5.0)</f>
        <v>5</v>
      </c>
      <c r="Y162" s="208" t="str">
        <f>IFERROR(__xludf.DUMMYFUNCTION("""COMPUTED_VALUE"""),"2025-07-19T00:00:00.000Z")</f>
        <v>2025-07-19T00:00:00.000Z</v>
      </c>
      <c r="Z162" s="189" t="s">
        <v>137</v>
      </c>
      <c r="AA162" s="189" t="s">
        <v>180</v>
      </c>
    </row>
    <row r="163">
      <c r="A163" s="189">
        <f>IFERROR(__xludf.DUMMYFUNCTION("""COMPUTED_VALUE"""),209530.0)</f>
        <v>209530</v>
      </c>
      <c r="B163" s="189">
        <f>IFERROR(__xludf.DUMMYFUNCTION("""COMPUTED_VALUE"""),92190.0)</f>
        <v>92190</v>
      </c>
      <c r="C163" s="189" t="str">
        <f>IFERROR(__xludf.DUMMYFUNCTION("""COMPUTED_VALUE"""),"Challengers League 2025 DACH: Evolution Stage 3 - Group Stage")</f>
        <v>Challengers League 2025 DACH: Evolution Stage 3 - Group Stage</v>
      </c>
      <c r="D163" s="189" t="str">
        <f>IFERROR(__xludf.DUMMYFUNCTION("""COMPUTED_VALUE"""),"Lotus")</f>
        <v>Lotus</v>
      </c>
      <c r="E163" s="189" t="str">
        <f>IFERROR(__xludf.DUMMYFUNCTION("""COMPUTED_VALUE"""),"MOUZ")</f>
        <v>MOUZ</v>
      </c>
      <c r="F163" s="189" t="str">
        <f>IFERROR(__xludf.DUMMYFUNCTION("""COMPUTED_VALUE"""),"FOKUS")</f>
        <v>FOKUS</v>
      </c>
      <c r="G163" s="189" t="str">
        <f>IFERROR(__xludf.DUMMYFUNCTION("""COMPUTED_VALUE"""),"Cypher,Omen,Yoru,Neon,Fade")</f>
        <v>Cypher,Omen,Yoru,Neon,Fade</v>
      </c>
      <c r="H163" s="189" t="str">
        <f>IFERROR(__xludf.DUMMYFUNCTION("""COMPUTED_VALUE"""),"Breach,Sova,Viper,Omen,Neon")</f>
        <v>Breach,Sova,Viper,Omen,Neon</v>
      </c>
      <c r="I163" s="189">
        <f>IFERROR(__xludf.DUMMYFUNCTION("""COMPUTED_VALUE"""),13.0)</f>
        <v>13</v>
      </c>
      <c r="J163" s="189">
        <f>IFERROR(__xludf.DUMMYFUNCTION("""COMPUTED_VALUE"""),9.0)</f>
        <v>9</v>
      </c>
      <c r="K163" s="189">
        <f>IFERROR(__xludf.DUMMYFUNCTION("""COMPUTED_VALUE"""),6.0)</f>
        <v>6</v>
      </c>
      <c r="L163" s="189">
        <f>IFERROR(__xludf.DUMMYFUNCTION("""COMPUTED_VALUE"""),6.0)</f>
        <v>6</v>
      </c>
      <c r="M163" s="189">
        <f>IFERROR(__xludf.DUMMYFUNCTION("""COMPUTED_VALUE"""),0.0)</f>
        <v>0</v>
      </c>
      <c r="N163" s="189">
        <f>IFERROR(__xludf.DUMMYFUNCTION("""COMPUTED_VALUE"""),1.0)</f>
        <v>1</v>
      </c>
      <c r="O163" s="189">
        <f>IFERROR(__xludf.DUMMYFUNCTION("""COMPUTED_VALUE"""),7.0)</f>
        <v>7</v>
      </c>
      <c r="P163" s="189">
        <f>IFERROR(__xludf.DUMMYFUNCTION("""COMPUTED_VALUE"""),3.0)</f>
        <v>3</v>
      </c>
      <c r="Q163" s="189">
        <f>IFERROR(__xludf.DUMMYFUNCTION("""COMPUTED_VALUE"""),6.0)</f>
        <v>6</v>
      </c>
      <c r="R163" s="189">
        <f>IFERROR(__xludf.DUMMYFUNCTION("""COMPUTED_VALUE"""),6.0)</f>
        <v>6</v>
      </c>
      <c r="S163" s="189">
        <f>IFERROR(__xludf.DUMMYFUNCTION("""COMPUTED_VALUE"""),0.0)</f>
        <v>0</v>
      </c>
      <c r="T163" s="189">
        <f>IFERROR(__xludf.DUMMYFUNCTION("""COMPUTED_VALUE"""),1.0)</f>
        <v>1</v>
      </c>
      <c r="U163" s="189">
        <f>IFERROR(__xludf.DUMMYFUNCTION("""COMPUTED_VALUE"""),6.0)</f>
        <v>6</v>
      </c>
      <c r="V163" s="189">
        <f>IFERROR(__xludf.DUMMYFUNCTION("""COMPUTED_VALUE"""),6.0)</f>
        <v>6</v>
      </c>
      <c r="W163" s="189">
        <f>IFERROR(__xludf.DUMMYFUNCTION("""COMPUTED_VALUE"""),3.0)</f>
        <v>3</v>
      </c>
      <c r="X163" s="189">
        <f>IFERROR(__xludf.DUMMYFUNCTION("""COMPUTED_VALUE"""),7.0)</f>
        <v>7</v>
      </c>
      <c r="Y163" s="208" t="str">
        <f>IFERROR(__xludf.DUMMYFUNCTION("""COMPUTED_VALUE"""),"2025-07-19T00:00:00.000Z")</f>
        <v>2025-07-19T00:00:00.000Z</v>
      </c>
      <c r="Z163" s="189" t="s">
        <v>138</v>
      </c>
      <c r="AA163" s="189" t="s">
        <v>180</v>
      </c>
    </row>
    <row r="164">
      <c r="A164" s="189">
        <f>IFERROR(__xludf.DUMMYFUNCTION("""COMPUTED_VALUE"""),210563.0)</f>
        <v>210563</v>
      </c>
      <c r="B164" s="189">
        <f>IFERROR(__xludf.DUMMYFUNCTION("""COMPUTED_VALUE"""),92624.0)</f>
        <v>92624</v>
      </c>
      <c r="C164" s="189" t="str">
        <f>IFERROR(__xludf.DUMMYFUNCTION("""COMPUTED_VALUE"""),"Challengers 2025: France Revolution Split 3 - Group Stage")</f>
        <v>Challengers 2025: France Revolution Split 3 - Group Stage</v>
      </c>
      <c r="D164" s="189" t="str">
        <f>IFERROR(__xludf.DUMMYFUNCTION("""COMPUTED_VALUE"""),"Sunset")</f>
        <v>Sunset</v>
      </c>
      <c r="E164" s="189" t="str">
        <f>IFERROR(__xludf.DUMMYFUNCTION("""COMPUTED_VALUE"""),"Joblife")</f>
        <v>Joblife</v>
      </c>
      <c r="F164" s="189" t="str">
        <f>IFERROR(__xludf.DUMMYFUNCTION("""COMPUTED_VALUE"""),"KCORP Blue Stars")</f>
        <v>KCORP Blue Stars</v>
      </c>
      <c r="G164" s="189" t="str">
        <f>IFERROR(__xludf.DUMMYFUNCTION("""COMPUTED_VALUE"""),"Breach,Cypher,Sova,Omen,Neon")</f>
        <v>Breach,Cypher,Sova,Omen,Neon</v>
      </c>
      <c r="H164" s="189" t="str">
        <f>IFERROR(__xludf.DUMMYFUNCTION("""COMPUTED_VALUE"""),"Killjoy,Omen,Astra,Neon,Fade")</f>
        <v>Killjoy,Omen,Astra,Neon,Fade</v>
      </c>
      <c r="I164" s="189">
        <f>IFERROR(__xludf.DUMMYFUNCTION("""COMPUTED_VALUE"""),13.0)</f>
        <v>13</v>
      </c>
      <c r="J164" s="189">
        <f>IFERROR(__xludf.DUMMYFUNCTION("""COMPUTED_VALUE"""),11.0)</f>
        <v>11</v>
      </c>
      <c r="K164" s="189">
        <f>IFERROR(__xludf.DUMMYFUNCTION("""COMPUTED_VALUE"""),5.0)</f>
        <v>5</v>
      </c>
      <c r="L164" s="189">
        <f>IFERROR(__xludf.DUMMYFUNCTION("""COMPUTED_VALUE"""),7.0)</f>
        <v>7</v>
      </c>
      <c r="M164" s="189">
        <f>IFERROR(__xludf.DUMMYFUNCTION("""COMPUTED_VALUE"""),1.0)</f>
        <v>1</v>
      </c>
      <c r="N164" s="189">
        <f>IFERROR(__xludf.DUMMYFUNCTION("""COMPUTED_VALUE"""),1.0)</f>
        <v>1</v>
      </c>
      <c r="O164" s="189">
        <f>IFERROR(__xludf.DUMMYFUNCTION("""COMPUTED_VALUE"""),8.0)</f>
        <v>8</v>
      </c>
      <c r="P164" s="189">
        <f>IFERROR(__xludf.DUMMYFUNCTION("""COMPUTED_VALUE"""),4.0)</f>
        <v>4</v>
      </c>
      <c r="Q164" s="189">
        <f>IFERROR(__xludf.DUMMYFUNCTION("""COMPUTED_VALUE"""),5.0)</f>
        <v>5</v>
      </c>
      <c r="R164" s="189">
        <f>IFERROR(__xludf.DUMMYFUNCTION("""COMPUTED_VALUE"""),7.0)</f>
        <v>7</v>
      </c>
      <c r="S164" s="189">
        <f>IFERROR(__xludf.DUMMYFUNCTION("""COMPUTED_VALUE"""),0.0)</f>
        <v>0</v>
      </c>
      <c r="T164" s="189">
        <f>IFERROR(__xludf.DUMMYFUNCTION("""COMPUTED_VALUE"""),0.0)</f>
        <v>0</v>
      </c>
      <c r="U164" s="189">
        <f>IFERROR(__xludf.DUMMYFUNCTION("""COMPUTED_VALUE"""),7.0)</f>
        <v>7</v>
      </c>
      <c r="V164" s="189">
        <f>IFERROR(__xludf.DUMMYFUNCTION("""COMPUTED_VALUE"""),5.0)</f>
        <v>5</v>
      </c>
      <c r="W164" s="189">
        <f>IFERROR(__xludf.DUMMYFUNCTION("""COMPUTED_VALUE"""),4.0)</f>
        <v>4</v>
      </c>
      <c r="X164" s="189">
        <f>IFERROR(__xludf.DUMMYFUNCTION("""COMPUTED_VALUE"""),8.0)</f>
        <v>8</v>
      </c>
      <c r="Y164" s="208" t="str">
        <f>IFERROR(__xludf.DUMMYFUNCTION("""COMPUTED_VALUE"""),"2025-07-19T00:00:00.000Z")</f>
        <v>2025-07-19T00:00:00.000Z</v>
      </c>
      <c r="Z164" s="189" t="s">
        <v>118</v>
      </c>
      <c r="AA164" s="189" t="s">
        <v>232</v>
      </c>
    </row>
    <row r="165">
      <c r="A165" s="189">
        <f>IFERROR(__xludf.DUMMYFUNCTION("""COMPUTED_VALUE"""),210562.0)</f>
        <v>210562</v>
      </c>
      <c r="B165" s="189">
        <f>IFERROR(__xludf.DUMMYFUNCTION("""COMPUTED_VALUE"""),92624.0)</f>
        <v>92624</v>
      </c>
      <c r="C165" s="189" t="str">
        <f>IFERROR(__xludf.DUMMYFUNCTION("""COMPUTED_VALUE"""),"Challengers 2025: France Revolution Split 3 - Group Stage")</f>
        <v>Challengers 2025: France Revolution Split 3 - Group Stage</v>
      </c>
      <c r="D165" s="189" t="str">
        <f>IFERROR(__xludf.DUMMYFUNCTION("""COMPUTED_VALUE"""),"Haven")</f>
        <v>Haven</v>
      </c>
      <c r="E165" s="189" t="str">
        <f>IFERROR(__xludf.DUMMYFUNCTION("""COMPUTED_VALUE"""),"Joblife")</f>
        <v>Joblife</v>
      </c>
      <c r="F165" s="189" t="str">
        <f>IFERROR(__xludf.DUMMYFUNCTION("""COMPUTED_VALUE"""),"KCORP Blue Stars")</f>
        <v>KCORP Blue Stars</v>
      </c>
      <c r="G165" s="189" t="str">
        <f>IFERROR(__xludf.DUMMYFUNCTION("""COMPUTED_VALUE"""),"Breach,Cypher,Sova,Omen,Jett")</f>
        <v>Breach,Cypher,Sova,Omen,Jett</v>
      </c>
      <c r="H165" s="189" t="str">
        <f>IFERROR(__xludf.DUMMYFUNCTION("""COMPUTED_VALUE"""),"Sova,Omen,Neon,Fade,Vyse")</f>
        <v>Sova,Omen,Neon,Fade,Vyse</v>
      </c>
      <c r="I165" s="189">
        <f>IFERROR(__xludf.DUMMYFUNCTION("""COMPUTED_VALUE"""),13.0)</f>
        <v>13</v>
      </c>
      <c r="J165" s="189">
        <f>IFERROR(__xludf.DUMMYFUNCTION("""COMPUTED_VALUE"""),6.0)</f>
        <v>6</v>
      </c>
      <c r="K165" s="189">
        <f>IFERROR(__xludf.DUMMYFUNCTION("""COMPUTED_VALUE"""),9.0)</f>
        <v>9</v>
      </c>
      <c r="L165" s="189">
        <f>IFERROR(__xludf.DUMMYFUNCTION("""COMPUTED_VALUE"""),3.0)</f>
        <v>3</v>
      </c>
      <c r="M165" s="189">
        <f>IFERROR(__xludf.DUMMYFUNCTION("""COMPUTED_VALUE"""),1.0)</f>
        <v>1</v>
      </c>
      <c r="N165" s="189">
        <f>IFERROR(__xludf.DUMMYFUNCTION("""COMPUTED_VALUE"""),1.0)</f>
        <v>1</v>
      </c>
      <c r="O165" s="189">
        <f>IFERROR(__xludf.DUMMYFUNCTION("""COMPUTED_VALUE"""),9.0)</f>
        <v>9</v>
      </c>
      <c r="P165" s="189">
        <f>IFERROR(__xludf.DUMMYFUNCTION("""COMPUTED_VALUE"""),3.0)</f>
        <v>3</v>
      </c>
      <c r="Q165" s="189">
        <f>IFERROR(__xludf.DUMMYFUNCTION("""COMPUTED_VALUE"""),4.0)</f>
        <v>4</v>
      </c>
      <c r="R165" s="189">
        <f>IFERROR(__xludf.DUMMYFUNCTION("""COMPUTED_VALUE"""),3.0)</f>
        <v>3</v>
      </c>
      <c r="S165" s="189">
        <f>IFERROR(__xludf.DUMMYFUNCTION("""COMPUTED_VALUE"""),0.0)</f>
        <v>0</v>
      </c>
      <c r="T165" s="189">
        <f>IFERROR(__xludf.DUMMYFUNCTION("""COMPUTED_VALUE"""),0.0)</f>
        <v>0</v>
      </c>
      <c r="U165" s="189">
        <f>IFERROR(__xludf.DUMMYFUNCTION("""COMPUTED_VALUE"""),3.0)</f>
        <v>3</v>
      </c>
      <c r="V165" s="189">
        <f>IFERROR(__xludf.DUMMYFUNCTION("""COMPUTED_VALUE"""),4.0)</f>
        <v>4</v>
      </c>
      <c r="W165" s="189">
        <f>IFERROR(__xludf.DUMMYFUNCTION("""COMPUTED_VALUE"""),3.0)</f>
        <v>3</v>
      </c>
      <c r="X165" s="189">
        <f>IFERROR(__xludf.DUMMYFUNCTION("""COMPUTED_VALUE"""),9.0)</f>
        <v>9</v>
      </c>
      <c r="Y165" s="208" t="str">
        <f>IFERROR(__xludf.DUMMYFUNCTION("""COMPUTED_VALUE"""),"2025-07-19T00:00:00.000Z")</f>
        <v>2025-07-19T00:00:00.000Z</v>
      </c>
      <c r="Z165" s="189" t="s">
        <v>115</v>
      </c>
      <c r="AA165" s="189" t="s">
        <v>232</v>
      </c>
    </row>
    <row r="166">
      <c r="A166" s="189">
        <f>IFERROR(__xludf.DUMMYFUNCTION("""COMPUTED_VALUE"""),210355.0)</f>
        <v>210355</v>
      </c>
      <c r="B166" s="189">
        <f>IFERROR(__xludf.DUMMYFUNCTION("""COMPUTED_VALUE"""),92555.0)</f>
        <v>92555</v>
      </c>
      <c r="C166" s="189" t="str">
        <f>IFERROR(__xludf.DUMMYFUNCTION("""COMPUTED_VALUE"""),"Challengers League 2025 MENA: Resilience - GPI - Split 2 - Playoffs")</f>
        <v>Challengers League 2025 MENA: Resilience - GPI - Split 2 - Playoffs</v>
      </c>
      <c r="D166" s="189" t="str">
        <f>IFERROR(__xludf.DUMMYFUNCTION("""COMPUTED_VALUE"""),"Haven")</f>
        <v>Haven</v>
      </c>
      <c r="E166" s="189" t="str">
        <f>IFERROR(__xludf.DUMMYFUNCTION("""COMPUTED_VALUE"""),"The Ultimates")</f>
        <v>The Ultimates</v>
      </c>
      <c r="F166" s="189" t="str">
        <f>IFERROR(__xludf.DUMMYFUNCTION("""COMPUTED_VALUE"""),"RvN")</f>
        <v>RvN</v>
      </c>
      <c r="G166" s="189" t="str">
        <f>IFERROR(__xludf.DUMMYFUNCTION("""COMPUTED_VALUE"""),"Breach,Cypher,Sova,Omen,Neon")</f>
        <v>Breach,Cypher,Sova,Omen,Neon</v>
      </c>
      <c r="H166" s="189" t="str">
        <f>IFERROR(__xludf.DUMMYFUNCTION("""COMPUTED_VALUE"""),"Sova,Killjoy,Viper,Omen,Neon")</f>
        <v>Sova,Killjoy,Viper,Omen,Neon</v>
      </c>
      <c r="I166" s="189">
        <f>IFERROR(__xludf.DUMMYFUNCTION("""COMPUTED_VALUE"""),13.0)</f>
        <v>13</v>
      </c>
      <c r="J166" s="189">
        <f>IFERROR(__xludf.DUMMYFUNCTION("""COMPUTED_VALUE"""),7.0)</f>
        <v>7</v>
      </c>
      <c r="K166" s="189">
        <f>IFERROR(__xludf.DUMMYFUNCTION("""COMPUTED_VALUE"""),10.0)</f>
        <v>10</v>
      </c>
      <c r="L166" s="189">
        <f>IFERROR(__xludf.DUMMYFUNCTION("""COMPUTED_VALUE"""),2.0)</f>
        <v>2</v>
      </c>
      <c r="M166" s="189">
        <f>IFERROR(__xludf.DUMMYFUNCTION("""COMPUTED_VALUE"""),1.0)</f>
        <v>1</v>
      </c>
      <c r="N166" s="189">
        <f>IFERROR(__xludf.DUMMYFUNCTION("""COMPUTED_VALUE"""),0.0)</f>
        <v>0</v>
      </c>
      <c r="O166" s="189">
        <f>IFERROR(__xludf.DUMMYFUNCTION("""COMPUTED_VALUE"""),10.0)</f>
        <v>10</v>
      </c>
      <c r="P166" s="189">
        <f>IFERROR(__xludf.DUMMYFUNCTION("""COMPUTED_VALUE"""),2.0)</f>
        <v>2</v>
      </c>
      <c r="Q166" s="189">
        <f>IFERROR(__xludf.DUMMYFUNCTION("""COMPUTED_VALUE"""),3.0)</f>
        <v>3</v>
      </c>
      <c r="R166" s="189">
        <f>IFERROR(__xludf.DUMMYFUNCTION("""COMPUTED_VALUE"""),5.0)</f>
        <v>5</v>
      </c>
      <c r="S166" s="189">
        <f>IFERROR(__xludf.DUMMYFUNCTION("""COMPUTED_VALUE"""),1.0)</f>
        <v>1</v>
      </c>
      <c r="T166" s="189">
        <f>IFERROR(__xludf.DUMMYFUNCTION("""COMPUTED_VALUE"""),0.0)</f>
        <v>0</v>
      </c>
      <c r="U166" s="189">
        <f>IFERROR(__xludf.DUMMYFUNCTION("""COMPUTED_VALUE"""),5.0)</f>
        <v>5</v>
      </c>
      <c r="V166" s="189">
        <f>IFERROR(__xludf.DUMMYFUNCTION("""COMPUTED_VALUE"""),3.0)</f>
        <v>3</v>
      </c>
      <c r="W166" s="189">
        <f>IFERROR(__xludf.DUMMYFUNCTION("""COMPUTED_VALUE"""),2.0)</f>
        <v>2</v>
      </c>
      <c r="X166" s="189">
        <f>IFERROR(__xludf.DUMMYFUNCTION("""COMPUTED_VALUE"""),10.0)</f>
        <v>10</v>
      </c>
      <c r="Y166" s="208" t="str">
        <f>IFERROR(__xludf.DUMMYFUNCTION("""COMPUTED_VALUE"""),"2025-07-15T00:00:00.000Z")</f>
        <v>2025-07-15T00:00:00.000Z</v>
      </c>
      <c r="Z166" s="189" t="s">
        <v>153</v>
      </c>
      <c r="AA166" s="189" t="s">
        <v>185</v>
      </c>
    </row>
    <row r="167">
      <c r="A167" s="189">
        <f>IFERROR(__xludf.DUMMYFUNCTION("""COMPUTED_VALUE"""),210354.0)</f>
        <v>210354</v>
      </c>
      <c r="B167" s="189">
        <f>IFERROR(__xludf.DUMMYFUNCTION("""COMPUTED_VALUE"""),92555.0)</f>
        <v>92555</v>
      </c>
      <c r="C167" s="189" t="str">
        <f>IFERROR(__xludf.DUMMYFUNCTION("""COMPUTED_VALUE"""),"Challengers League 2025 MENA: Resilience - GPI - Split 2 - Playoffs")</f>
        <v>Challengers League 2025 MENA: Resilience - GPI - Split 2 - Playoffs</v>
      </c>
      <c r="D167" s="189" t="str">
        <f>IFERROR(__xludf.DUMMYFUNCTION("""COMPUTED_VALUE"""),"Icebox")</f>
        <v>Icebox</v>
      </c>
      <c r="E167" s="189" t="str">
        <f>IFERROR(__xludf.DUMMYFUNCTION("""COMPUTED_VALUE"""),"The Ultimates")</f>
        <v>The Ultimates</v>
      </c>
      <c r="F167" s="189" t="str">
        <f>IFERROR(__xludf.DUMMYFUNCTION("""COMPUTED_VALUE"""),"RvN")</f>
        <v>RvN</v>
      </c>
      <c r="G167" s="189" t="str">
        <f>IFERROR(__xludf.DUMMYFUNCTION("""COMPUTED_VALUE"""),"Reyna,Omen,KAY/O,Harbor,Gekko")</f>
        <v>Reyna,Omen,KAY/O,Harbor,Gekko</v>
      </c>
      <c r="H167" s="189" t="str">
        <f>IFERROR(__xludf.DUMMYFUNCTION("""COMPUTED_VALUE"""),"Sova,Killjoy,Viper,Jett,Harbor")</f>
        <v>Sova,Killjoy,Viper,Jett,Harbor</v>
      </c>
      <c r="I167" s="189">
        <f>IFERROR(__xludf.DUMMYFUNCTION("""COMPUTED_VALUE"""),13.0)</f>
        <v>13</v>
      </c>
      <c r="J167" s="189">
        <f>IFERROR(__xludf.DUMMYFUNCTION("""COMPUTED_VALUE"""),5.0)</f>
        <v>5</v>
      </c>
      <c r="K167" s="189">
        <f>IFERROR(__xludf.DUMMYFUNCTION("""COMPUTED_VALUE"""),8.0)</f>
        <v>8</v>
      </c>
      <c r="L167" s="189">
        <f>IFERROR(__xludf.DUMMYFUNCTION("""COMPUTED_VALUE"""),4.0)</f>
        <v>4</v>
      </c>
      <c r="M167" s="189">
        <f>IFERROR(__xludf.DUMMYFUNCTION("""COMPUTED_VALUE"""),0.0)</f>
        <v>0</v>
      </c>
      <c r="N167" s="189">
        <f>IFERROR(__xludf.DUMMYFUNCTION("""COMPUTED_VALUE"""),1.0)</f>
        <v>1</v>
      </c>
      <c r="O167" s="189">
        <f>IFERROR(__xludf.DUMMYFUNCTION("""COMPUTED_VALUE"""),5.0)</f>
        <v>5</v>
      </c>
      <c r="P167" s="189">
        <f>IFERROR(__xludf.DUMMYFUNCTION("""COMPUTED_VALUE"""),1.0)</f>
        <v>1</v>
      </c>
      <c r="Q167" s="189">
        <f>IFERROR(__xludf.DUMMYFUNCTION("""COMPUTED_VALUE"""),8.0)</f>
        <v>8</v>
      </c>
      <c r="R167" s="189">
        <f>IFERROR(__xludf.DUMMYFUNCTION("""COMPUTED_VALUE"""),4.0)</f>
        <v>4</v>
      </c>
      <c r="S167" s="189">
        <f>IFERROR(__xludf.DUMMYFUNCTION("""COMPUTED_VALUE"""),0.0)</f>
        <v>0</v>
      </c>
      <c r="T167" s="189">
        <f>IFERROR(__xludf.DUMMYFUNCTION("""COMPUTED_VALUE"""),1.0)</f>
        <v>1</v>
      </c>
      <c r="U167" s="189">
        <f>IFERROR(__xludf.DUMMYFUNCTION("""COMPUTED_VALUE"""),4.0)</f>
        <v>4</v>
      </c>
      <c r="V167" s="189">
        <f>IFERROR(__xludf.DUMMYFUNCTION("""COMPUTED_VALUE"""),8.0)</f>
        <v>8</v>
      </c>
      <c r="W167" s="189">
        <f>IFERROR(__xludf.DUMMYFUNCTION("""COMPUTED_VALUE"""),1.0)</f>
        <v>1</v>
      </c>
      <c r="X167" s="189">
        <f>IFERROR(__xludf.DUMMYFUNCTION("""COMPUTED_VALUE"""),5.0)</f>
        <v>5</v>
      </c>
      <c r="Y167" s="208" t="str">
        <f>IFERROR(__xludf.DUMMYFUNCTION("""COMPUTED_VALUE"""),"2025-07-15T00:00:00.000Z")</f>
        <v>2025-07-15T00:00:00.000Z</v>
      </c>
      <c r="Z167" s="189" t="s">
        <v>154</v>
      </c>
      <c r="AA167" s="189" t="s">
        <v>185</v>
      </c>
    </row>
    <row r="168">
      <c r="A168" s="189">
        <f>IFERROR(__xludf.DUMMYFUNCTION("""COMPUTED_VALUE"""),210097.0)</f>
        <v>210097</v>
      </c>
      <c r="B168" s="189">
        <f>IFERROR(__xludf.DUMMYFUNCTION("""COMPUTED_VALUE"""),92404.0)</f>
        <v>92404</v>
      </c>
      <c r="C168" s="189" t="str">
        <f>IFERROR(__xludf.DUMMYFUNCTION("""COMPUTED_VALUE"""),"Challengers League 2025 MENA: Resilience - GPI - Split 2 - Playoffs")</f>
        <v>Challengers League 2025 MENA: Resilience - GPI - Split 2 - Playoffs</v>
      </c>
      <c r="D168" s="189" t="str">
        <f>IFERROR(__xludf.DUMMYFUNCTION("""COMPUTED_VALUE"""),"Bind")</f>
        <v>Bind</v>
      </c>
      <c r="E168" s="189" t="str">
        <f>IFERROR(__xludf.DUMMYFUNCTION("""COMPUTED_VALUE"""),"Twisted Minds Esports")</f>
        <v>Twisted Minds Esports</v>
      </c>
      <c r="F168" s="189" t="str">
        <f>IFERROR(__xludf.DUMMYFUNCTION("""COMPUTED_VALUE"""),"AlQadsiah Esports")</f>
        <v>AlQadsiah Esports</v>
      </c>
      <c r="G168" s="189" t="str">
        <f>IFERROR(__xludf.DUMMYFUNCTION("""COMPUTED_VALUE"""),"Raze,Viper,Brimstone,Yoru,Fade")</f>
        <v>Raze,Viper,Brimstone,Yoru,Fade</v>
      </c>
      <c r="H168" s="189" t="str">
        <f>IFERROR(__xludf.DUMMYFUNCTION("""COMPUTED_VALUE"""),"Raze,Viper,Brimstone,Skye,Deadlock")</f>
        <v>Raze,Viper,Brimstone,Skye,Deadlock</v>
      </c>
      <c r="I168" s="189">
        <f>IFERROR(__xludf.DUMMYFUNCTION("""COMPUTED_VALUE"""),13.0)</f>
        <v>13</v>
      </c>
      <c r="J168" s="189">
        <f>IFERROR(__xludf.DUMMYFUNCTION("""COMPUTED_VALUE"""),7.0)</f>
        <v>7</v>
      </c>
      <c r="K168" s="189">
        <f>IFERROR(__xludf.DUMMYFUNCTION("""COMPUTED_VALUE"""),6.0)</f>
        <v>6</v>
      </c>
      <c r="L168" s="189">
        <f>IFERROR(__xludf.DUMMYFUNCTION("""COMPUTED_VALUE"""),6.0)</f>
        <v>6</v>
      </c>
      <c r="M168" s="189">
        <f>IFERROR(__xludf.DUMMYFUNCTION("""COMPUTED_VALUE"""),1.0)</f>
        <v>1</v>
      </c>
      <c r="N168" s="189">
        <f>IFERROR(__xludf.DUMMYFUNCTION("""COMPUTED_VALUE"""),1.0)</f>
        <v>1</v>
      </c>
      <c r="O168" s="189">
        <f>IFERROR(__xludf.DUMMYFUNCTION("""COMPUTED_VALUE"""),7.0)</f>
        <v>7</v>
      </c>
      <c r="P168" s="189">
        <f>IFERROR(__xludf.DUMMYFUNCTION("""COMPUTED_VALUE"""),1.0)</f>
        <v>1</v>
      </c>
      <c r="Q168" s="189">
        <f>IFERROR(__xludf.DUMMYFUNCTION("""COMPUTED_VALUE"""),6.0)</f>
        <v>6</v>
      </c>
      <c r="R168" s="189">
        <f>IFERROR(__xludf.DUMMYFUNCTION("""COMPUTED_VALUE"""),6.0)</f>
        <v>6</v>
      </c>
      <c r="S168" s="189">
        <f>IFERROR(__xludf.DUMMYFUNCTION("""COMPUTED_VALUE"""),0.0)</f>
        <v>0</v>
      </c>
      <c r="T168" s="189">
        <f>IFERROR(__xludf.DUMMYFUNCTION("""COMPUTED_VALUE"""),0.0)</f>
        <v>0</v>
      </c>
      <c r="U168" s="189">
        <f>IFERROR(__xludf.DUMMYFUNCTION("""COMPUTED_VALUE"""),6.0)</f>
        <v>6</v>
      </c>
      <c r="V168" s="189">
        <f>IFERROR(__xludf.DUMMYFUNCTION("""COMPUTED_VALUE"""),6.0)</f>
        <v>6</v>
      </c>
      <c r="W168" s="189">
        <f>IFERROR(__xludf.DUMMYFUNCTION("""COMPUTED_VALUE"""),1.0)</f>
        <v>1</v>
      </c>
      <c r="X168" s="189">
        <f>IFERROR(__xludf.DUMMYFUNCTION("""COMPUTED_VALUE"""),7.0)</f>
        <v>7</v>
      </c>
      <c r="Y168" s="208" t="str">
        <f>IFERROR(__xludf.DUMMYFUNCTION("""COMPUTED_VALUE"""),"2025-07-15T00:00:00.000Z")</f>
        <v>2025-07-15T00:00:00.000Z</v>
      </c>
      <c r="Z168" s="189" t="s">
        <v>160</v>
      </c>
      <c r="AA168" s="189" t="s">
        <v>184</v>
      </c>
    </row>
    <row r="169">
      <c r="A169" s="189">
        <f>IFERROR(__xludf.DUMMYFUNCTION("""COMPUTED_VALUE"""),210353.0)</f>
        <v>210353</v>
      </c>
      <c r="B169" s="189">
        <f>IFERROR(__xludf.DUMMYFUNCTION("""COMPUTED_VALUE"""),92555.0)</f>
        <v>92555</v>
      </c>
      <c r="C169" s="189" t="str">
        <f>IFERROR(__xludf.DUMMYFUNCTION("""COMPUTED_VALUE"""),"Challengers League 2025 MENA: Resilience - GPI - Split 2 - Playoffs")</f>
        <v>Challengers League 2025 MENA: Resilience - GPI - Split 2 - Playoffs</v>
      </c>
      <c r="D169" s="189" t="str">
        <f>IFERROR(__xludf.DUMMYFUNCTION("""COMPUTED_VALUE"""),"Sunset")</f>
        <v>Sunset</v>
      </c>
      <c r="E169" s="189" t="str">
        <f>IFERROR(__xludf.DUMMYFUNCTION("""COMPUTED_VALUE"""),"The Ultimates")</f>
        <v>The Ultimates</v>
      </c>
      <c r="F169" s="189" t="str">
        <f>IFERROR(__xludf.DUMMYFUNCTION("""COMPUTED_VALUE"""),"RvN")</f>
        <v>RvN</v>
      </c>
      <c r="G169" s="189" t="str">
        <f>IFERROR(__xludf.DUMMYFUNCTION("""COMPUTED_VALUE"""),"Breach,Cypher,Sova,Omen,Neon")</f>
        <v>Breach,Cypher,Sova,Omen,Neon</v>
      </c>
      <c r="H169" s="189" t="str">
        <f>IFERROR(__xludf.DUMMYFUNCTION("""COMPUTED_VALUE"""),"Breach,Cypher,Sova,Omen,Neon")</f>
        <v>Breach,Cypher,Sova,Omen,Neon</v>
      </c>
      <c r="I169" s="189">
        <f>IFERROR(__xludf.DUMMYFUNCTION("""COMPUTED_VALUE"""),10.0)</f>
        <v>10</v>
      </c>
      <c r="J169" s="189">
        <f>IFERROR(__xludf.DUMMYFUNCTION("""COMPUTED_VALUE"""),13.0)</f>
        <v>13</v>
      </c>
      <c r="K169" s="189">
        <f>IFERROR(__xludf.DUMMYFUNCTION("""COMPUTED_VALUE"""),9.0)</f>
        <v>9</v>
      </c>
      <c r="L169" s="189">
        <f>IFERROR(__xludf.DUMMYFUNCTION("""COMPUTED_VALUE"""),3.0)</f>
        <v>3</v>
      </c>
      <c r="M169" s="189">
        <f>IFERROR(__xludf.DUMMYFUNCTION("""COMPUTED_VALUE"""),0.0)</f>
        <v>0</v>
      </c>
      <c r="N169" s="189">
        <f>IFERROR(__xludf.DUMMYFUNCTION("""COMPUTED_VALUE"""),1.0)</f>
        <v>1</v>
      </c>
      <c r="O169" s="189">
        <f>IFERROR(__xludf.DUMMYFUNCTION("""COMPUTED_VALUE"""),1.0)</f>
        <v>1</v>
      </c>
      <c r="P169" s="189">
        <f>IFERROR(__xludf.DUMMYFUNCTION("""COMPUTED_VALUE"""),10.0)</f>
        <v>10</v>
      </c>
      <c r="Q169" s="189">
        <f>IFERROR(__xludf.DUMMYFUNCTION("""COMPUTED_VALUE"""),9.0)</f>
        <v>9</v>
      </c>
      <c r="R169" s="189">
        <f>IFERROR(__xludf.DUMMYFUNCTION("""COMPUTED_VALUE"""),3.0)</f>
        <v>3</v>
      </c>
      <c r="S169" s="189">
        <f>IFERROR(__xludf.DUMMYFUNCTION("""COMPUTED_VALUE"""),0.0)</f>
        <v>0</v>
      </c>
      <c r="T169" s="189">
        <f>IFERROR(__xludf.DUMMYFUNCTION("""COMPUTED_VALUE"""),1.0)</f>
        <v>1</v>
      </c>
      <c r="U169" s="189">
        <f>IFERROR(__xludf.DUMMYFUNCTION("""COMPUTED_VALUE"""),3.0)</f>
        <v>3</v>
      </c>
      <c r="V169" s="189">
        <f>IFERROR(__xludf.DUMMYFUNCTION("""COMPUTED_VALUE"""),9.0)</f>
        <v>9</v>
      </c>
      <c r="W169" s="189">
        <f>IFERROR(__xludf.DUMMYFUNCTION("""COMPUTED_VALUE"""),10.0)</f>
        <v>10</v>
      </c>
      <c r="X169" s="189">
        <f>IFERROR(__xludf.DUMMYFUNCTION("""COMPUTED_VALUE"""),1.0)</f>
        <v>1</v>
      </c>
      <c r="Y169" s="208" t="str">
        <f>IFERROR(__xludf.DUMMYFUNCTION("""COMPUTED_VALUE"""),"2025-07-15T00:00:00.000Z")</f>
        <v>2025-07-15T00:00:00.000Z</v>
      </c>
      <c r="Z169" s="189" t="s">
        <v>158</v>
      </c>
      <c r="AA169" s="189" t="s">
        <v>438</v>
      </c>
    </row>
    <row r="170">
      <c r="A170" s="189">
        <f>IFERROR(__xludf.DUMMYFUNCTION("""COMPUTED_VALUE"""),210096.0)</f>
        <v>210096</v>
      </c>
      <c r="B170" s="189">
        <f>IFERROR(__xludf.DUMMYFUNCTION("""COMPUTED_VALUE"""),92404.0)</f>
        <v>92404</v>
      </c>
      <c r="C170" s="189" t="str">
        <f>IFERROR(__xludf.DUMMYFUNCTION("""COMPUTED_VALUE"""),"Challengers League 2025 MENA: Resilience - GPI - Split 2 - Playoffs")</f>
        <v>Challengers League 2025 MENA: Resilience - GPI - Split 2 - Playoffs</v>
      </c>
      <c r="D170" s="189" t="str">
        <f>IFERROR(__xludf.DUMMYFUNCTION("""COMPUTED_VALUE"""),"Corrode")</f>
        <v>Corrode</v>
      </c>
      <c r="E170" s="189" t="str">
        <f>IFERROR(__xludf.DUMMYFUNCTION("""COMPUTED_VALUE"""),"Twisted Minds Esports")</f>
        <v>Twisted Minds Esports</v>
      </c>
      <c r="F170" s="189" t="str">
        <f>IFERROR(__xludf.DUMMYFUNCTION("""COMPUTED_VALUE"""),"AlQadsiah Esports")</f>
        <v>AlQadsiah Esports</v>
      </c>
      <c r="G170" s="189" t="str">
        <f>IFERROR(__xludf.DUMMYFUNCTION("""COMPUTED_VALUE"""),"Omen,Yoru,Chamber,Fade,Vyse")</f>
        <v>Omen,Yoru,Chamber,Fade,Vyse</v>
      </c>
      <c r="H170" s="189" t="str">
        <f>IFERROR(__xludf.DUMMYFUNCTION("""COMPUTED_VALUE"""),"Viper,Omen,Yoru,Chamber,Fade")</f>
        <v>Viper,Omen,Yoru,Chamber,Fade</v>
      </c>
      <c r="I170" s="189">
        <f>IFERROR(__xludf.DUMMYFUNCTION("""COMPUTED_VALUE"""),13.0)</f>
        <v>13</v>
      </c>
      <c r="J170" s="189">
        <f>IFERROR(__xludf.DUMMYFUNCTION("""COMPUTED_VALUE"""),5.0)</f>
        <v>5</v>
      </c>
      <c r="K170" s="189">
        <f>IFERROR(__xludf.DUMMYFUNCTION("""COMPUTED_VALUE"""),7.0)</f>
        <v>7</v>
      </c>
      <c r="L170" s="189">
        <f>IFERROR(__xludf.DUMMYFUNCTION("""COMPUTED_VALUE"""),5.0)</f>
        <v>5</v>
      </c>
      <c r="M170" s="189">
        <f>IFERROR(__xludf.DUMMYFUNCTION("""COMPUTED_VALUE"""),1.0)</f>
        <v>1</v>
      </c>
      <c r="N170" s="189">
        <f>IFERROR(__xludf.DUMMYFUNCTION("""COMPUTED_VALUE"""),1.0)</f>
        <v>1</v>
      </c>
      <c r="O170" s="189">
        <f>IFERROR(__xludf.DUMMYFUNCTION("""COMPUTED_VALUE"""),7.0)</f>
        <v>7</v>
      </c>
      <c r="P170" s="189">
        <f>IFERROR(__xludf.DUMMYFUNCTION("""COMPUTED_VALUE"""),5.0)</f>
        <v>5</v>
      </c>
      <c r="Q170" s="189">
        <f>IFERROR(__xludf.DUMMYFUNCTION("""COMPUTED_VALUE"""),6.0)</f>
        <v>6</v>
      </c>
      <c r="R170" s="189">
        <f>IFERROR(__xludf.DUMMYFUNCTION("""COMPUTED_VALUE"""),0.0)</f>
        <v>0</v>
      </c>
      <c r="S170" s="189">
        <f>IFERROR(__xludf.DUMMYFUNCTION("""COMPUTED_VALUE"""),0.0)</f>
        <v>0</v>
      </c>
      <c r="T170" s="189">
        <f>IFERROR(__xludf.DUMMYFUNCTION("""COMPUTED_VALUE"""),0.0)</f>
        <v>0</v>
      </c>
      <c r="U170" s="189">
        <f>IFERROR(__xludf.DUMMYFUNCTION("""COMPUTED_VALUE"""),0.0)</f>
        <v>0</v>
      </c>
      <c r="V170" s="189">
        <f>IFERROR(__xludf.DUMMYFUNCTION("""COMPUTED_VALUE"""),6.0)</f>
        <v>6</v>
      </c>
      <c r="W170" s="189">
        <f>IFERROR(__xludf.DUMMYFUNCTION("""COMPUTED_VALUE"""),5.0)</f>
        <v>5</v>
      </c>
      <c r="X170" s="189">
        <f>IFERROR(__xludf.DUMMYFUNCTION("""COMPUTED_VALUE"""),7.0)</f>
        <v>7</v>
      </c>
      <c r="Y170" s="208" t="str">
        <f>IFERROR(__xludf.DUMMYFUNCTION("""COMPUTED_VALUE"""),"2025-07-15T00:00:00.000Z")</f>
        <v>2025-07-15T00:00:00.000Z</v>
      </c>
      <c r="Z170" s="189" t="s">
        <v>161</v>
      </c>
      <c r="AA170" s="189" t="s">
        <v>184</v>
      </c>
    </row>
    <row r="171">
      <c r="A171" s="189">
        <f>IFERROR(__xludf.DUMMYFUNCTION("""COMPUTED_VALUE"""),207566.0)</f>
        <v>207566</v>
      </c>
      <c r="B171" s="189">
        <f>IFERROR(__xludf.DUMMYFUNCTION("""COMPUTED_VALUE"""),91449.0)</f>
        <v>91449</v>
      </c>
      <c r="C171" s="189" t="str">
        <f>IFERROR(__xludf.DUMMYFUNCTION("""COMPUTED_VALUE"""),"Challengers League 2025 Spain Rising: Split 3 - Group Stage")</f>
        <v>Challengers League 2025 Spain Rising: Split 3 - Group Stage</v>
      </c>
      <c r="D171" s="189" t="str">
        <f>IFERROR(__xludf.DUMMYFUNCTION("""COMPUTED_VALUE"""),"Haven")</f>
        <v>Haven</v>
      </c>
      <c r="E171" s="189" t="str">
        <f>IFERROR(__xludf.DUMMYFUNCTION("""COMPUTED_VALUE"""),"DNSTY")</f>
        <v>DNSTY</v>
      </c>
      <c r="F171" s="189" t="str">
        <f>IFERROR(__xludf.DUMMYFUNCTION("""COMPUTED_VALUE"""),"ZETA Gaming")</f>
        <v>ZETA Gaming</v>
      </c>
      <c r="G171" s="189" t="str">
        <f>IFERROR(__xludf.DUMMYFUNCTION("""COMPUTED_VALUE"""),"Sova,Killjoy,Viper,Omen,Neon")</f>
        <v>Sova,Killjoy,Viper,Omen,Neon</v>
      </c>
      <c r="H171" s="189" t="str">
        <f>IFERROR(__xludf.DUMMYFUNCTION("""COMPUTED_VALUE"""),"Viper,Omen,Yoru,Fade,Vyse")</f>
        <v>Viper,Omen,Yoru,Fade,Vyse</v>
      </c>
      <c r="I171" s="189">
        <f>IFERROR(__xludf.DUMMYFUNCTION("""COMPUTED_VALUE"""),13.0)</f>
        <v>13</v>
      </c>
      <c r="J171" s="189">
        <f>IFERROR(__xludf.DUMMYFUNCTION("""COMPUTED_VALUE"""),11.0)</f>
        <v>11</v>
      </c>
      <c r="K171" s="189">
        <f>IFERROR(__xludf.DUMMYFUNCTION("""COMPUTED_VALUE"""),4.0)</f>
        <v>4</v>
      </c>
      <c r="L171" s="189">
        <f>IFERROR(__xludf.DUMMYFUNCTION("""COMPUTED_VALUE"""),8.0)</f>
        <v>8</v>
      </c>
      <c r="M171" s="189">
        <f>IFERROR(__xludf.DUMMYFUNCTION("""COMPUTED_VALUE"""),1.0)</f>
        <v>1</v>
      </c>
      <c r="N171" s="189">
        <f>IFERROR(__xludf.DUMMYFUNCTION("""COMPUTED_VALUE"""),1.0)</f>
        <v>1</v>
      </c>
      <c r="O171" s="189">
        <f>IFERROR(__xludf.DUMMYFUNCTION("""COMPUTED_VALUE"""),9.0)</f>
        <v>9</v>
      </c>
      <c r="P171" s="189">
        <f>IFERROR(__xludf.DUMMYFUNCTION("""COMPUTED_VALUE"""),3.0)</f>
        <v>3</v>
      </c>
      <c r="Q171" s="189">
        <f>IFERROR(__xludf.DUMMYFUNCTION("""COMPUTED_VALUE"""),4.0)</f>
        <v>4</v>
      </c>
      <c r="R171" s="189">
        <f>IFERROR(__xludf.DUMMYFUNCTION("""COMPUTED_VALUE"""),8.0)</f>
        <v>8</v>
      </c>
      <c r="S171" s="189">
        <f>IFERROR(__xludf.DUMMYFUNCTION("""COMPUTED_VALUE"""),0.0)</f>
        <v>0</v>
      </c>
      <c r="T171" s="189">
        <f>IFERROR(__xludf.DUMMYFUNCTION("""COMPUTED_VALUE"""),0.0)</f>
        <v>0</v>
      </c>
      <c r="U171" s="189">
        <f>IFERROR(__xludf.DUMMYFUNCTION("""COMPUTED_VALUE"""),8.0)</f>
        <v>8</v>
      </c>
      <c r="V171" s="189">
        <f>IFERROR(__xludf.DUMMYFUNCTION("""COMPUTED_VALUE"""),4.0)</f>
        <v>4</v>
      </c>
      <c r="W171" s="189">
        <f>IFERROR(__xludf.DUMMYFUNCTION("""COMPUTED_VALUE"""),3.0)</f>
        <v>3</v>
      </c>
      <c r="X171" s="189">
        <f>IFERROR(__xludf.DUMMYFUNCTION("""COMPUTED_VALUE"""),9.0)</f>
        <v>9</v>
      </c>
      <c r="Y171" s="208" t="str">
        <f>IFERROR(__xludf.DUMMYFUNCTION("""COMPUTED_VALUE"""),"2025-07-14T00:00:00.000Z")</f>
        <v>2025-07-14T00:00:00.000Z</v>
      </c>
      <c r="Z171" s="189" t="s">
        <v>95</v>
      </c>
      <c r="AA171" s="189" t="s">
        <v>182</v>
      </c>
    </row>
    <row r="172">
      <c r="A172" s="189">
        <f>IFERROR(__xludf.DUMMYFUNCTION("""COMPUTED_VALUE"""),207565.0)</f>
        <v>207565</v>
      </c>
      <c r="B172" s="189">
        <f>IFERROR(__xludf.DUMMYFUNCTION("""COMPUTED_VALUE"""),91449.0)</f>
        <v>91449</v>
      </c>
      <c r="C172" s="189" t="str">
        <f>IFERROR(__xludf.DUMMYFUNCTION("""COMPUTED_VALUE"""),"Challengers League 2025 Spain Rising: Split 3 - Group Stage")</f>
        <v>Challengers League 2025 Spain Rising: Split 3 - Group Stage</v>
      </c>
      <c r="D172" s="189" t="str">
        <f>IFERROR(__xludf.DUMMYFUNCTION("""COMPUTED_VALUE"""),"Sunset")</f>
        <v>Sunset</v>
      </c>
      <c r="E172" s="189" t="str">
        <f>IFERROR(__xludf.DUMMYFUNCTION("""COMPUTED_VALUE"""),"DNSTY")</f>
        <v>DNSTY</v>
      </c>
      <c r="F172" s="189" t="str">
        <f>IFERROR(__xludf.DUMMYFUNCTION("""COMPUTED_VALUE"""),"ZETA Gaming")</f>
        <v>ZETA Gaming</v>
      </c>
      <c r="G172" s="189" t="str">
        <f>IFERROR(__xludf.DUMMYFUNCTION("""COMPUTED_VALUE"""),"Sova,Viper,Omen,Neon,Deadlock")</f>
        <v>Sova,Viper,Omen,Neon,Deadlock</v>
      </c>
      <c r="H172" s="189" t="str">
        <f>IFERROR(__xludf.DUMMYFUNCTION("""COMPUTED_VALUE"""),"Cypher,Sova,Omen,KAY/O,Neon")</f>
        <v>Cypher,Sova,Omen,KAY/O,Neon</v>
      </c>
      <c r="I172" s="189">
        <f>IFERROR(__xludf.DUMMYFUNCTION("""COMPUTED_VALUE"""),13.0)</f>
        <v>13</v>
      </c>
      <c r="J172" s="189">
        <f>IFERROR(__xludf.DUMMYFUNCTION("""COMPUTED_VALUE"""),2.0)</f>
        <v>2</v>
      </c>
      <c r="K172" s="189">
        <f>IFERROR(__xludf.DUMMYFUNCTION("""COMPUTED_VALUE"""),10.0)</f>
        <v>10</v>
      </c>
      <c r="L172" s="189">
        <f>IFERROR(__xludf.DUMMYFUNCTION("""COMPUTED_VALUE"""),2.0)</f>
        <v>2</v>
      </c>
      <c r="M172" s="189">
        <f>IFERROR(__xludf.DUMMYFUNCTION("""COMPUTED_VALUE"""),1.0)</f>
        <v>1</v>
      </c>
      <c r="N172" s="189">
        <f>IFERROR(__xludf.DUMMYFUNCTION("""COMPUTED_VALUE"""),1.0)</f>
        <v>1</v>
      </c>
      <c r="O172" s="189">
        <f>IFERROR(__xludf.DUMMYFUNCTION("""COMPUTED_VALUE"""),10.0)</f>
        <v>10</v>
      </c>
      <c r="P172" s="189">
        <f>IFERROR(__xludf.DUMMYFUNCTION("""COMPUTED_VALUE"""),2.0)</f>
        <v>2</v>
      </c>
      <c r="Q172" s="189">
        <f>IFERROR(__xludf.DUMMYFUNCTION("""COMPUTED_VALUE"""),3.0)</f>
        <v>3</v>
      </c>
      <c r="R172" s="189">
        <f>IFERROR(__xludf.DUMMYFUNCTION("""COMPUTED_VALUE"""),0.0)</f>
        <v>0</v>
      </c>
      <c r="S172" s="189">
        <f>IFERROR(__xludf.DUMMYFUNCTION("""COMPUTED_VALUE"""),0.0)</f>
        <v>0</v>
      </c>
      <c r="T172" s="189">
        <f>IFERROR(__xludf.DUMMYFUNCTION("""COMPUTED_VALUE"""),0.0)</f>
        <v>0</v>
      </c>
      <c r="U172" s="189">
        <f>IFERROR(__xludf.DUMMYFUNCTION("""COMPUTED_VALUE"""),0.0)</f>
        <v>0</v>
      </c>
      <c r="V172" s="189">
        <f>IFERROR(__xludf.DUMMYFUNCTION("""COMPUTED_VALUE"""),3.0)</f>
        <v>3</v>
      </c>
      <c r="W172" s="189">
        <f>IFERROR(__xludf.DUMMYFUNCTION("""COMPUTED_VALUE"""),2.0)</f>
        <v>2</v>
      </c>
      <c r="X172" s="189">
        <f>IFERROR(__xludf.DUMMYFUNCTION("""COMPUTED_VALUE"""),10.0)</f>
        <v>10</v>
      </c>
      <c r="Y172" s="208" t="str">
        <f>IFERROR(__xludf.DUMMYFUNCTION("""COMPUTED_VALUE"""),"2025-07-14T00:00:00.000Z")</f>
        <v>2025-07-14T00:00:00.000Z</v>
      </c>
      <c r="Z172" s="189" t="s">
        <v>98</v>
      </c>
      <c r="AA172" s="189" t="s">
        <v>182</v>
      </c>
    </row>
    <row r="173">
      <c r="A173" s="189">
        <f>IFERROR(__xludf.DUMMYFUNCTION("""COMPUTED_VALUE"""),207564.0)</f>
        <v>207564</v>
      </c>
      <c r="B173" s="189">
        <f>IFERROR(__xludf.DUMMYFUNCTION("""COMPUTED_VALUE"""),91449.0)</f>
        <v>91449</v>
      </c>
      <c r="C173" s="189" t="str">
        <f>IFERROR(__xludf.DUMMYFUNCTION("""COMPUTED_VALUE"""),"Challengers League 2025 Spain Rising: Split 3 - Group Stage")</f>
        <v>Challengers League 2025 Spain Rising: Split 3 - Group Stage</v>
      </c>
      <c r="D173" s="189" t="str">
        <f>IFERROR(__xludf.DUMMYFUNCTION("""COMPUTED_VALUE"""),"Lotus")</f>
        <v>Lotus</v>
      </c>
      <c r="E173" s="189" t="str">
        <f>IFERROR(__xludf.DUMMYFUNCTION("""COMPUTED_VALUE"""),"DNSTY")</f>
        <v>DNSTY</v>
      </c>
      <c r="F173" s="189" t="str">
        <f>IFERROR(__xludf.DUMMYFUNCTION("""COMPUTED_VALUE"""),"ZETA Gaming")</f>
        <v>ZETA Gaming</v>
      </c>
      <c r="G173" s="189" t="str">
        <f>IFERROR(__xludf.DUMMYFUNCTION("""COMPUTED_VALUE"""),"Raze,Killjoy,Viper,Omen,Fade")</f>
        <v>Raze,Killjoy,Viper,Omen,Fade</v>
      </c>
      <c r="H173" s="189" t="str">
        <f>IFERROR(__xludf.DUMMYFUNCTION("""COMPUTED_VALUE"""),"Raze,Omen,Yoru,Fade,Vyse")</f>
        <v>Raze,Omen,Yoru,Fade,Vyse</v>
      </c>
      <c r="I173" s="189">
        <f>IFERROR(__xludf.DUMMYFUNCTION("""COMPUTED_VALUE"""),8.0)</f>
        <v>8</v>
      </c>
      <c r="J173" s="189">
        <f>IFERROR(__xludf.DUMMYFUNCTION("""COMPUTED_VALUE"""),13.0)</f>
        <v>13</v>
      </c>
      <c r="K173" s="189">
        <f>IFERROR(__xludf.DUMMYFUNCTION("""COMPUTED_VALUE"""),2.0)</f>
        <v>2</v>
      </c>
      <c r="L173" s="189">
        <f>IFERROR(__xludf.DUMMYFUNCTION("""COMPUTED_VALUE"""),10.0)</f>
        <v>10</v>
      </c>
      <c r="M173" s="189">
        <f>IFERROR(__xludf.DUMMYFUNCTION("""COMPUTED_VALUE"""),0.0)</f>
        <v>0</v>
      </c>
      <c r="N173" s="189">
        <f>IFERROR(__xludf.DUMMYFUNCTION("""COMPUTED_VALUE"""),1.0)</f>
        <v>1</v>
      </c>
      <c r="O173" s="189">
        <f>IFERROR(__xludf.DUMMYFUNCTION("""COMPUTED_VALUE"""),2.0)</f>
        <v>2</v>
      </c>
      <c r="P173" s="189">
        <f>IFERROR(__xludf.DUMMYFUNCTION("""COMPUTED_VALUE"""),10.0)</f>
        <v>10</v>
      </c>
      <c r="Q173" s="189">
        <f>IFERROR(__xludf.DUMMYFUNCTION("""COMPUTED_VALUE"""),6.0)</f>
        <v>6</v>
      </c>
      <c r="R173" s="189">
        <f>IFERROR(__xludf.DUMMYFUNCTION("""COMPUTED_VALUE"""),3.0)</f>
        <v>3</v>
      </c>
      <c r="S173" s="189">
        <f>IFERROR(__xludf.DUMMYFUNCTION("""COMPUTED_VALUE"""),0.0)</f>
        <v>0</v>
      </c>
      <c r="T173" s="189">
        <f>IFERROR(__xludf.DUMMYFUNCTION("""COMPUTED_VALUE"""),1.0)</f>
        <v>1</v>
      </c>
      <c r="U173" s="189">
        <f>IFERROR(__xludf.DUMMYFUNCTION("""COMPUTED_VALUE"""),3.0)</f>
        <v>3</v>
      </c>
      <c r="V173" s="189">
        <f>IFERROR(__xludf.DUMMYFUNCTION("""COMPUTED_VALUE"""),6.0)</f>
        <v>6</v>
      </c>
      <c r="W173" s="189">
        <f>IFERROR(__xludf.DUMMYFUNCTION("""COMPUTED_VALUE"""),10.0)</f>
        <v>10</v>
      </c>
      <c r="X173" s="189">
        <f>IFERROR(__xludf.DUMMYFUNCTION("""COMPUTED_VALUE"""),2.0)</f>
        <v>2</v>
      </c>
      <c r="Y173" s="208" t="str">
        <f>IFERROR(__xludf.DUMMYFUNCTION("""COMPUTED_VALUE"""),"2025-07-14T00:00:00.000Z")</f>
        <v>2025-07-14T00:00:00.000Z</v>
      </c>
      <c r="Z173" s="189" t="s">
        <v>97</v>
      </c>
      <c r="AA173" s="189" t="s">
        <v>439</v>
      </c>
    </row>
    <row r="174">
      <c r="A174" s="189">
        <f>IFERROR(__xludf.DUMMYFUNCTION("""COMPUTED_VALUE"""),209295.0)</f>
        <v>209295</v>
      </c>
      <c r="B174" s="189">
        <f>IFERROR(__xludf.DUMMYFUNCTION("""COMPUTED_VALUE"""),92095.0)</f>
        <v>92095</v>
      </c>
      <c r="C174" s="189" t="str">
        <f>IFERROR(__xludf.DUMMYFUNCTION("""COMPUTED_VALUE"""),"Challengers League 2025 MENA: Resilience - GPI - Split 2 - Playoffs")</f>
        <v>Challengers League 2025 MENA: Resilience - GPI - Split 2 - Playoffs</v>
      </c>
      <c r="D174" s="189" t="str">
        <f>IFERROR(__xludf.DUMMYFUNCTION("""COMPUTED_VALUE"""),"Ascent")</f>
        <v>Ascent</v>
      </c>
      <c r="E174" s="189" t="str">
        <f>IFERROR(__xludf.DUMMYFUNCTION("""COMPUTED_VALUE"""),"The Ultimates")</f>
        <v>The Ultimates</v>
      </c>
      <c r="F174" s="189" t="str">
        <f>IFERROR(__xludf.DUMMYFUNCTION("""COMPUTED_VALUE"""),"Twisted Minds Esports")</f>
        <v>Twisted Minds Esports</v>
      </c>
      <c r="G174" s="189" t="str">
        <f>IFERROR(__xludf.DUMMYFUNCTION("""COMPUTED_VALUE"""),"Cypher,Sova,Omen,Yoru,Deadlock")</f>
        <v>Cypher,Sova,Omen,Yoru,Deadlock</v>
      </c>
      <c r="H174" s="189" t="str">
        <f>IFERROR(__xludf.DUMMYFUNCTION("""COMPUTED_VALUE"""),"Cypher,Sova,Omen,Yoru,Deadlock")</f>
        <v>Cypher,Sova,Omen,Yoru,Deadlock</v>
      </c>
      <c r="I174" s="189">
        <f>IFERROR(__xludf.DUMMYFUNCTION("""COMPUTED_VALUE"""),6.0)</f>
        <v>6</v>
      </c>
      <c r="J174" s="189">
        <f>IFERROR(__xludf.DUMMYFUNCTION("""COMPUTED_VALUE"""),13.0)</f>
        <v>13</v>
      </c>
      <c r="K174" s="189">
        <f>IFERROR(__xludf.DUMMYFUNCTION("""COMPUTED_VALUE"""),3.0)</f>
        <v>3</v>
      </c>
      <c r="L174" s="189">
        <f>IFERROR(__xludf.DUMMYFUNCTION("""COMPUTED_VALUE"""),9.0)</f>
        <v>9</v>
      </c>
      <c r="M174" s="189">
        <f>IFERROR(__xludf.DUMMYFUNCTION("""COMPUTED_VALUE"""),0.0)</f>
        <v>0</v>
      </c>
      <c r="N174" s="189">
        <f>IFERROR(__xludf.DUMMYFUNCTION("""COMPUTED_VALUE"""),0.0)</f>
        <v>0</v>
      </c>
      <c r="O174" s="189">
        <f>IFERROR(__xludf.DUMMYFUNCTION("""COMPUTED_VALUE"""),3.0)</f>
        <v>3</v>
      </c>
      <c r="P174" s="189">
        <f>IFERROR(__xludf.DUMMYFUNCTION("""COMPUTED_VALUE"""),9.0)</f>
        <v>9</v>
      </c>
      <c r="Q174" s="189">
        <f>IFERROR(__xludf.DUMMYFUNCTION("""COMPUTED_VALUE"""),3.0)</f>
        <v>3</v>
      </c>
      <c r="R174" s="189">
        <f>IFERROR(__xludf.DUMMYFUNCTION("""COMPUTED_VALUE"""),4.0)</f>
        <v>4</v>
      </c>
      <c r="S174" s="189">
        <f>IFERROR(__xludf.DUMMYFUNCTION("""COMPUTED_VALUE"""),1.0)</f>
        <v>1</v>
      </c>
      <c r="T174" s="189">
        <f>IFERROR(__xludf.DUMMYFUNCTION("""COMPUTED_VALUE"""),1.0)</f>
        <v>1</v>
      </c>
      <c r="U174" s="189">
        <f>IFERROR(__xludf.DUMMYFUNCTION("""COMPUTED_VALUE"""),4.0)</f>
        <v>4</v>
      </c>
      <c r="V174" s="189">
        <f>IFERROR(__xludf.DUMMYFUNCTION("""COMPUTED_VALUE"""),3.0)</f>
        <v>3</v>
      </c>
      <c r="W174" s="189">
        <f>IFERROR(__xludf.DUMMYFUNCTION("""COMPUTED_VALUE"""),9.0)</f>
        <v>9</v>
      </c>
      <c r="X174" s="189">
        <f>IFERROR(__xludf.DUMMYFUNCTION("""COMPUTED_VALUE"""),3.0)</f>
        <v>3</v>
      </c>
      <c r="Y174" s="208" t="str">
        <f>IFERROR(__xludf.DUMMYFUNCTION("""COMPUTED_VALUE"""),"2025-07-14T00:00:00.000Z")</f>
        <v>2025-07-14T00:00:00.000Z</v>
      </c>
      <c r="Z174" s="189" t="s">
        <v>150</v>
      </c>
      <c r="AA174" s="189" t="s">
        <v>184</v>
      </c>
    </row>
    <row r="175">
      <c r="A175" s="189">
        <f>IFERROR(__xludf.DUMMYFUNCTION("""COMPUTED_VALUE"""),209294.0)</f>
        <v>209294</v>
      </c>
      <c r="B175" s="189">
        <f>IFERROR(__xludf.DUMMYFUNCTION("""COMPUTED_VALUE"""),92095.0)</f>
        <v>92095</v>
      </c>
      <c r="C175" s="189" t="str">
        <f>IFERROR(__xludf.DUMMYFUNCTION("""COMPUTED_VALUE"""),"Challengers League 2025 MENA: Resilience - GPI - Split 2 - Playoffs")</f>
        <v>Challengers League 2025 MENA: Resilience - GPI - Split 2 - Playoffs</v>
      </c>
      <c r="D175" s="189" t="str">
        <f>IFERROR(__xludf.DUMMYFUNCTION("""COMPUTED_VALUE"""),"Haven")</f>
        <v>Haven</v>
      </c>
      <c r="E175" s="189" t="str">
        <f>IFERROR(__xludf.DUMMYFUNCTION("""COMPUTED_VALUE"""),"The Ultimates")</f>
        <v>The Ultimates</v>
      </c>
      <c r="F175" s="189" t="str">
        <f>IFERROR(__xludf.DUMMYFUNCTION("""COMPUTED_VALUE"""),"Twisted Minds Esports")</f>
        <v>Twisted Minds Esports</v>
      </c>
      <c r="G175" s="189" t="str">
        <f>IFERROR(__xludf.DUMMYFUNCTION("""COMPUTED_VALUE"""),"Breach,Cypher,Sova,Omen,Neon")</f>
        <v>Breach,Cypher,Sova,Omen,Neon</v>
      </c>
      <c r="H175" s="189" t="str">
        <f>IFERROR(__xludf.DUMMYFUNCTION("""COMPUTED_VALUE"""),"Breach,Cypher,Sova,Omen,Jett")</f>
        <v>Breach,Cypher,Sova,Omen,Jett</v>
      </c>
      <c r="I175" s="189">
        <f>IFERROR(__xludf.DUMMYFUNCTION("""COMPUTED_VALUE"""),13.0)</f>
        <v>13</v>
      </c>
      <c r="J175" s="189">
        <f>IFERROR(__xludf.DUMMYFUNCTION("""COMPUTED_VALUE"""),6.0)</f>
        <v>6</v>
      </c>
      <c r="K175" s="189">
        <f>IFERROR(__xludf.DUMMYFUNCTION("""COMPUTED_VALUE"""),9.0)</f>
        <v>9</v>
      </c>
      <c r="L175" s="189">
        <f>IFERROR(__xludf.DUMMYFUNCTION("""COMPUTED_VALUE"""),3.0)</f>
        <v>3</v>
      </c>
      <c r="M175" s="189">
        <f>IFERROR(__xludf.DUMMYFUNCTION("""COMPUTED_VALUE"""),1.0)</f>
        <v>1</v>
      </c>
      <c r="N175" s="189">
        <f>IFERROR(__xludf.DUMMYFUNCTION("""COMPUTED_VALUE"""),0.0)</f>
        <v>0</v>
      </c>
      <c r="O175" s="189">
        <f>IFERROR(__xludf.DUMMYFUNCTION("""COMPUTED_VALUE"""),9.0)</f>
        <v>9</v>
      </c>
      <c r="P175" s="189">
        <f>IFERROR(__xludf.DUMMYFUNCTION("""COMPUTED_VALUE"""),3.0)</f>
        <v>3</v>
      </c>
      <c r="Q175" s="189">
        <f>IFERROR(__xludf.DUMMYFUNCTION("""COMPUTED_VALUE"""),4.0)</f>
        <v>4</v>
      </c>
      <c r="R175" s="189">
        <f>IFERROR(__xludf.DUMMYFUNCTION("""COMPUTED_VALUE"""),3.0)</f>
        <v>3</v>
      </c>
      <c r="S175" s="189">
        <f>IFERROR(__xludf.DUMMYFUNCTION("""COMPUTED_VALUE"""),1.0)</f>
        <v>1</v>
      </c>
      <c r="T175" s="189">
        <f>IFERROR(__xludf.DUMMYFUNCTION("""COMPUTED_VALUE"""),0.0)</f>
        <v>0</v>
      </c>
      <c r="U175" s="189">
        <f>IFERROR(__xludf.DUMMYFUNCTION("""COMPUTED_VALUE"""),3.0)</f>
        <v>3</v>
      </c>
      <c r="V175" s="189">
        <f>IFERROR(__xludf.DUMMYFUNCTION("""COMPUTED_VALUE"""),4.0)</f>
        <v>4</v>
      </c>
      <c r="W175" s="189">
        <f>IFERROR(__xludf.DUMMYFUNCTION("""COMPUTED_VALUE"""),3.0)</f>
        <v>3</v>
      </c>
      <c r="X175" s="189">
        <f>IFERROR(__xludf.DUMMYFUNCTION("""COMPUTED_VALUE"""),9.0)</f>
        <v>9</v>
      </c>
      <c r="Y175" s="208" t="str">
        <f>IFERROR(__xludf.DUMMYFUNCTION("""COMPUTED_VALUE"""),"2025-07-14T00:00:00.000Z")</f>
        <v>2025-07-14T00:00:00.000Z</v>
      </c>
      <c r="Z175" s="189" t="s">
        <v>153</v>
      </c>
      <c r="AA175" s="189" t="s">
        <v>185</v>
      </c>
    </row>
    <row r="176">
      <c r="A176" s="189">
        <f>IFERROR(__xludf.DUMMYFUNCTION("""COMPUTED_VALUE"""),210102.0)</f>
        <v>210102</v>
      </c>
      <c r="B176" s="189">
        <f>IFERROR(__xludf.DUMMYFUNCTION("""COMPUTED_VALUE"""),92406.0)</f>
        <v>92406</v>
      </c>
      <c r="C176" s="189" t="str">
        <f>IFERROR(__xludf.DUMMYFUNCTION("""COMPUTED_VALUE"""),"Challengers League 2025 NORTH EAST: Split 3 - Upper Swiss Phase")</f>
        <v>Challengers League 2025 NORTH EAST: Split 3 - Upper Swiss Phase</v>
      </c>
      <c r="D176" s="189" t="str">
        <f>IFERROR(__xludf.DUMMYFUNCTION("""COMPUTED_VALUE"""),"Lotus")</f>
        <v>Lotus</v>
      </c>
      <c r="E176" s="189" t="str">
        <f>IFERROR(__xludf.DUMMYFUNCTION("""COMPUTED_VALUE"""),"ESC Gaming")</f>
        <v>ESC Gaming</v>
      </c>
      <c r="F176" s="189" t="str">
        <f>IFERROR(__xludf.DUMMYFUNCTION("""COMPUTED_VALUE"""),"děti ulice")</f>
        <v>děti ulice</v>
      </c>
      <c r="G176" s="189" t="str">
        <f>IFERROR(__xludf.DUMMYFUNCTION("""COMPUTED_VALUE"""),"Breach,Sova,Viper,Omen,Neon")</f>
        <v>Breach,Sova,Viper,Omen,Neon</v>
      </c>
      <c r="H176" s="189" t="str">
        <f>IFERROR(__xludf.DUMMYFUNCTION("""COMPUTED_VALUE"""),"Raze,Killjoy,Viper,Omen,Fade")</f>
        <v>Raze,Killjoy,Viper,Omen,Fade</v>
      </c>
      <c r="I176" s="189">
        <f>IFERROR(__xludf.DUMMYFUNCTION("""COMPUTED_VALUE"""),14.0)</f>
        <v>14</v>
      </c>
      <c r="J176" s="189">
        <f>IFERROR(__xludf.DUMMYFUNCTION("""COMPUTED_VALUE"""),16.0)</f>
        <v>16</v>
      </c>
      <c r="K176" s="189">
        <f>IFERROR(__xludf.DUMMYFUNCTION("""COMPUTED_VALUE"""),8.0)</f>
        <v>8</v>
      </c>
      <c r="L176" s="189">
        <f>IFERROR(__xludf.DUMMYFUNCTION("""COMPUTED_VALUE"""),4.0)</f>
        <v>4</v>
      </c>
      <c r="M176" s="189">
        <f>IFERROR(__xludf.DUMMYFUNCTION("""COMPUTED_VALUE"""),1.0)</f>
        <v>1</v>
      </c>
      <c r="N176" s="189">
        <f>IFERROR(__xludf.DUMMYFUNCTION("""COMPUTED_VALUE"""),1.0)</f>
        <v>1</v>
      </c>
      <c r="O176" s="189">
        <f>IFERROR(__xludf.DUMMYFUNCTION("""COMPUTED_VALUE"""),8.0)</f>
        <v>8</v>
      </c>
      <c r="P176" s="189">
        <f>IFERROR(__xludf.DUMMYFUNCTION("""COMPUTED_VALUE"""),7.0)</f>
        <v>7</v>
      </c>
      <c r="Q176" s="189">
        <f>IFERROR(__xludf.DUMMYFUNCTION("""COMPUTED_VALUE"""),6.0)</f>
        <v>6</v>
      </c>
      <c r="R176" s="189">
        <f>IFERROR(__xludf.DUMMYFUNCTION("""COMPUTED_VALUE"""),9.0)</f>
        <v>9</v>
      </c>
      <c r="S176" s="189">
        <f>IFERROR(__xludf.DUMMYFUNCTION("""COMPUTED_VALUE"""),0.0)</f>
        <v>0</v>
      </c>
      <c r="T176" s="189">
        <f>IFERROR(__xludf.DUMMYFUNCTION("""COMPUTED_VALUE"""),0.0)</f>
        <v>0</v>
      </c>
      <c r="U176" s="189">
        <f>IFERROR(__xludf.DUMMYFUNCTION("""COMPUTED_VALUE"""),9.0)</f>
        <v>9</v>
      </c>
      <c r="V176" s="189">
        <f>IFERROR(__xludf.DUMMYFUNCTION("""COMPUTED_VALUE"""),6.0)</f>
        <v>6</v>
      </c>
      <c r="W176" s="189">
        <f>IFERROR(__xludf.DUMMYFUNCTION("""COMPUTED_VALUE"""),7.0)</f>
        <v>7</v>
      </c>
      <c r="X176" s="189">
        <f>IFERROR(__xludf.DUMMYFUNCTION("""COMPUTED_VALUE"""),8.0)</f>
        <v>8</v>
      </c>
      <c r="Y176" s="208" t="str">
        <f>IFERROR(__xludf.DUMMYFUNCTION("""COMPUTED_VALUE"""),"2025-07-14T00:00:00.000Z")</f>
        <v>2025-07-14T00:00:00.000Z</v>
      </c>
      <c r="Z176" s="189" t="s">
        <v>440</v>
      </c>
      <c r="AA176" s="189" t="s">
        <v>190</v>
      </c>
    </row>
    <row r="177">
      <c r="A177" s="189">
        <f>IFERROR(__xludf.DUMMYFUNCTION("""COMPUTED_VALUE"""),210104.0)</f>
        <v>210104</v>
      </c>
      <c r="B177" s="189">
        <f>IFERROR(__xludf.DUMMYFUNCTION("""COMPUTED_VALUE"""),92408.0)</f>
        <v>92408</v>
      </c>
      <c r="C177" s="189" t="str">
        <f>IFERROR(__xludf.DUMMYFUNCTION("""COMPUTED_VALUE"""),"Challengers League 2025 NORTH EAST: Split 3 - Upper Swiss Phase")</f>
        <v>Challengers League 2025 NORTH EAST: Split 3 - Upper Swiss Phase</v>
      </c>
      <c r="D177" s="189" t="str">
        <f>IFERROR(__xludf.DUMMYFUNCTION("""COMPUTED_VALUE"""),"Lotus")</f>
        <v>Lotus</v>
      </c>
      <c r="E177" s="189" t="str">
        <f>IFERROR(__xludf.DUMMYFUNCTION("""COMPUTED_VALUE"""),"Team Liquid Academy")</f>
        <v>Team Liquid Academy</v>
      </c>
      <c r="F177" s="189" t="str">
        <f>IFERROR(__xludf.DUMMYFUNCTION("""COMPUTED_VALUE"""),"Boars Gaming")</f>
        <v>Boars Gaming</v>
      </c>
      <c r="G177" s="189" t="str">
        <f>IFERROR(__xludf.DUMMYFUNCTION("""COMPUTED_VALUE"""),"Raze,Viper,Omen,Fade,Vyse")</f>
        <v>Raze,Viper,Omen,Fade,Vyse</v>
      </c>
      <c r="H177" s="189" t="str">
        <f>IFERROR(__xludf.DUMMYFUNCTION("""COMPUTED_VALUE"""),"Breach,Cypher,Omen,Neon,Fade")</f>
        <v>Breach,Cypher,Omen,Neon,Fade</v>
      </c>
      <c r="I177" s="189">
        <f>IFERROR(__xludf.DUMMYFUNCTION("""COMPUTED_VALUE"""),7.0)</f>
        <v>7</v>
      </c>
      <c r="J177" s="189">
        <f>IFERROR(__xludf.DUMMYFUNCTION("""COMPUTED_VALUE"""),13.0)</f>
        <v>13</v>
      </c>
      <c r="K177" s="189">
        <f>IFERROR(__xludf.DUMMYFUNCTION("""COMPUTED_VALUE"""),7.0)</f>
        <v>7</v>
      </c>
      <c r="L177" s="189">
        <f>IFERROR(__xludf.DUMMYFUNCTION("""COMPUTED_VALUE"""),5.0)</f>
        <v>5</v>
      </c>
      <c r="M177" s="189">
        <f>IFERROR(__xludf.DUMMYFUNCTION("""COMPUTED_VALUE"""),0.0)</f>
        <v>0</v>
      </c>
      <c r="N177" s="189">
        <f>IFERROR(__xludf.DUMMYFUNCTION("""COMPUTED_VALUE"""),1.0)</f>
        <v>1</v>
      </c>
      <c r="O177" s="189">
        <f>IFERROR(__xludf.DUMMYFUNCTION("""COMPUTED_VALUE"""),0.0)</f>
        <v>0</v>
      </c>
      <c r="P177" s="189">
        <f>IFERROR(__xludf.DUMMYFUNCTION("""COMPUTED_VALUE"""),8.0)</f>
        <v>8</v>
      </c>
      <c r="Q177" s="189">
        <f>IFERROR(__xludf.DUMMYFUNCTION("""COMPUTED_VALUE"""),7.0)</f>
        <v>7</v>
      </c>
      <c r="R177" s="189">
        <f>IFERROR(__xludf.DUMMYFUNCTION("""COMPUTED_VALUE"""),5.0)</f>
        <v>5</v>
      </c>
      <c r="S177" s="189">
        <f>IFERROR(__xludf.DUMMYFUNCTION("""COMPUTED_VALUE"""),0.0)</f>
        <v>0</v>
      </c>
      <c r="T177" s="189">
        <f>IFERROR(__xludf.DUMMYFUNCTION("""COMPUTED_VALUE"""),1.0)</f>
        <v>1</v>
      </c>
      <c r="U177" s="189">
        <f>IFERROR(__xludf.DUMMYFUNCTION("""COMPUTED_VALUE"""),5.0)</f>
        <v>5</v>
      </c>
      <c r="V177" s="189">
        <f>IFERROR(__xludf.DUMMYFUNCTION("""COMPUTED_VALUE"""),7.0)</f>
        <v>7</v>
      </c>
      <c r="W177" s="189">
        <f>IFERROR(__xludf.DUMMYFUNCTION("""COMPUTED_VALUE"""),8.0)</f>
        <v>8</v>
      </c>
      <c r="X177" s="189">
        <f>IFERROR(__xludf.DUMMYFUNCTION("""COMPUTED_VALUE"""),0.0)</f>
        <v>0</v>
      </c>
      <c r="Y177" s="208" t="str">
        <f>IFERROR(__xludf.DUMMYFUNCTION("""COMPUTED_VALUE"""),"2025-07-14T00:00:00.000Z")</f>
        <v>2025-07-14T00:00:00.000Z</v>
      </c>
      <c r="Z177" s="189" t="s">
        <v>147</v>
      </c>
      <c r="AA177" s="189" t="s">
        <v>181</v>
      </c>
    </row>
    <row r="178">
      <c r="A178" s="189">
        <f>IFERROR(__xludf.DUMMYFUNCTION("""COMPUTED_VALUE"""),210103.0)</f>
        <v>210103</v>
      </c>
      <c r="B178" s="189">
        <f>IFERROR(__xludf.DUMMYFUNCTION("""COMPUTED_VALUE"""),92407.0)</f>
        <v>92407</v>
      </c>
      <c r="C178" s="189" t="str">
        <f>IFERROR(__xludf.DUMMYFUNCTION("""COMPUTED_VALUE"""),"Challengers League 2025 NORTH EAST: Split 3 - Upper Swiss Phase")</f>
        <v>Challengers League 2025 NORTH EAST: Split 3 - Upper Swiss Phase</v>
      </c>
      <c r="D178" s="189" t="str">
        <f>IFERROR(__xludf.DUMMYFUNCTION("""COMPUTED_VALUE"""),"Ascent")</f>
        <v>Ascent</v>
      </c>
      <c r="E178" s="189" t="str">
        <f>IFERROR(__xludf.DUMMYFUNCTION("""COMPUTED_VALUE"""),"Enterprise Esports")</f>
        <v>Enterprise Esports</v>
      </c>
      <c r="F178" s="189" t="str">
        <f>IFERROR(__xludf.DUMMYFUNCTION("""COMPUTED_VALUE"""),"MANIA Esports")</f>
        <v>MANIA Esports</v>
      </c>
      <c r="G178" s="189" t="str">
        <f>IFERROR(__xludf.DUMMYFUNCTION("""COMPUTED_VALUE"""),"Cypher,Sova,Omen,Jett,KAY/O")</f>
        <v>Cypher,Sova,Omen,Jett,KAY/O</v>
      </c>
      <c r="H178" s="189" t="str">
        <f>IFERROR(__xludf.DUMMYFUNCTION("""COMPUTED_VALUE"""),"Cypher,Sova,Omen,Yoru,Deadlock")</f>
        <v>Cypher,Sova,Omen,Yoru,Deadlock</v>
      </c>
      <c r="I178" s="189">
        <f>IFERROR(__xludf.DUMMYFUNCTION("""COMPUTED_VALUE"""),13.0)</f>
        <v>13</v>
      </c>
      <c r="J178" s="189">
        <f>IFERROR(__xludf.DUMMYFUNCTION("""COMPUTED_VALUE"""),7.0)</f>
        <v>7</v>
      </c>
      <c r="K178" s="189">
        <f>IFERROR(__xludf.DUMMYFUNCTION("""COMPUTED_VALUE"""),7.0)</f>
        <v>7</v>
      </c>
      <c r="L178" s="189">
        <f>IFERROR(__xludf.DUMMYFUNCTION("""COMPUTED_VALUE"""),5.0)</f>
        <v>5</v>
      </c>
      <c r="M178" s="189">
        <f>IFERROR(__xludf.DUMMYFUNCTION("""COMPUTED_VALUE"""),1.0)</f>
        <v>1</v>
      </c>
      <c r="N178" s="189">
        <f>IFERROR(__xludf.DUMMYFUNCTION("""COMPUTED_VALUE"""),1.0)</f>
        <v>1</v>
      </c>
      <c r="O178" s="189">
        <f>IFERROR(__xludf.DUMMYFUNCTION("""COMPUTED_VALUE"""),6.0)</f>
        <v>6</v>
      </c>
      <c r="P178" s="189">
        <f>IFERROR(__xludf.DUMMYFUNCTION("""COMPUTED_VALUE"""),2.0)</f>
        <v>2</v>
      </c>
      <c r="Q178" s="189">
        <f>IFERROR(__xludf.DUMMYFUNCTION("""COMPUTED_VALUE"""),7.0)</f>
        <v>7</v>
      </c>
      <c r="R178" s="189">
        <f>IFERROR(__xludf.DUMMYFUNCTION("""COMPUTED_VALUE"""),5.0)</f>
        <v>5</v>
      </c>
      <c r="S178" s="189">
        <f>IFERROR(__xludf.DUMMYFUNCTION("""COMPUTED_VALUE"""),0.0)</f>
        <v>0</v>
      </c>
      <c r="T178" s="189">
        <f>IFERROR(__xludf.DUMMYFUNCTION("""COMPUTED_VALUE"""),0.0)</f>
        <v>0</v>
      </c>
      <c r="U178" s="189">
        <f>IFERROR(__xludf.DUMMYFUNCTION("""COMPUTED_VALUE"""),5.0)</f>
        <v>5</v>
      </c>
      <c r="V178" s="189">
        <f>IFERROR(__xludf.DUMMYFUNCTION("""COMPUTED_VALUE"""),7.0)</f>
        <v>7</v>
      </c>
      <c r="W178" s="189">
        <f>IFERROR(__xludf.DUMMYFUNCTION("""COMPUTED_VALUE"""),2.0)</f>
        <v>2</v>
      </c>
      <c r="X178" s="189">
        <f>IFERROR(__xludf.DUMMYFUNCTION("""COMPUTED_VALUE"""),6.0)</f>
        <v>6</v>
      </c>
      <c r="Y178" s="208" t="str">
        <f>IFERROR(__xludf.DUMMYFUNCTION("""COMPUTED_VALUE"""),"2025-07-14T00:00:00.000Z")</f>
        <v>2025-07-14T00:00:00.000Z</v>
      </c>
      <c r="Z178" s="189" t="s">
        <v>107</v>
      </c>
      <c r="AA178" s="189" t="s">
        <v>179</v>
      </c>
    </row>
    <row r="179">
      <c r="A179" s="189">
        <f>IFERROR(__xludf.DUMMYFUNCTION("""COMPUTED_VALUE"""),209293.0)</f>
        <v>209293</v>
      </c>
      <c r="B179" s="189">
        <f>IFERROR(__xludf.DUMMYFUNCTION("""COMPUTED_VALUE"""),92095.0)</f>
        <v>92095</v>
      </c>
      <c r="C179" s="189" t="str">
        <f>IFERROR(__xludf.DUMMYFUNCTION("""COMPUTED_VALUE"""),"Challengers League 2025 MENA: Resilience - GPI - Split 2 - Playoffs")</f>
        <v>Challengers League 2025 MENA: Resilience - GPI - Split 2 - Playoffs</v>
      </c>
      <c r="D179" s="189" t="str">
        <f>IFERROR(__xludf.DUMMYFUNCTION("""COMPUTED_VALUE"""),"Lotus")</f>
        <v>Lotus</v>
      </c>
      <c r="E179" s="189" t="str">
        <f>IFERROR(__xludf.DUMMYFUNCTION("""COMPUTED_VALUE"""),"The Ultimates")</f>
        <v>The Ultimates</v>
      </c>
      <c r="F179" s="189" t="str">
        <f>IFERROR(__xludf.DUMMYFUNCTION("""COMPUTED_VALUE"""),"Twisted Minds Esports")</f>
        <v>Twisted Minds Esports</v>
      </c>
      <c r="G179" s="189" t="str">
        <f>IFERROR(__xludf.DUMMYFUNCTION("""COMPUTED_VALUE"""),"Breach,Cypher,Sova,Omen,Neon")</f>
        <v>Breach,Cypher,Sova,Omen,Neon</v>
      </c>
      <c r="H179" s="189" t="str">
        <f>IFERROR(__xludf.DUMMYFUNCTION("""COMPUTED_VALUE"""),"Raze,Killjoy,Viper,Omen,Fade")</f>
        <v>Raze,Killjoy,Viper,Omen,Fade</v>
      </c>
      <c r="I179" s="189">
        <f>IFERROR(__xludf.DUMMYFUNCTION("""COMPUTED_VALUE"""),6.0)</f>
        <v>6</v>
      </c>
      <c r="J179" s="189">
        <f>IFERROR(__xludf.DUMMYFUNCTION("""COMPUTED_VALUE"""),13.0)</f>
        <v>13</v>
      </c>
      <c r="K179" s="189">
        <f>IFERROR(__xludf.DUMMYFUNCTION("""COMPUTED_VALUE"""),4.0)</f>
        <v>4</v>
      </c>
      <c r="L179" s="189">
        <f>IFERROR(__xludf.DUMMYFUNCTION("""COMPUTED_VALUE"""),8.0)</f>
        <v>8</v>
      </c>
      <c r="M179" s="189">
        <f>IFERROR(__xludf.DUMMYFUNCTION("""COMPUTED_VALUE"""),0.0)</f>
        <v>0</v>
      </c>
      <c r="N179" s="189">
        <f>IFERROR(__xludf.DUMMYFUNCTION("""COMPUTED_VALUE"""),0.0)</f>
        <v>0</v>
      </c>
      <c r="O179" s="189">
        <f>IFERROR(__xludf.DUMMYFUNCTION("""COMPUTED_VALUE"""),4.0)</f>
        <v>4</v>
      </c>
      <c r="P179" s="189">
        <f>IFERROR(__xludf.DUMMYFUNCTION("""COMPUTED_VALUE"""),8.0)</f>
        <v>8</v>
      </c>
      <c r="Q179" s="189">
        <f>IFERROR(__xludf.DUMMYFUNCTION("""COMPUTED_VALUE"""),2.0)</f>
        <v>2</v>
      </c>
      <c r="R179" s="189">
        <f>IFERROR(__xludf.DUMMYFUNCTION("""COMPUTED_VALUE"""),5.0)</f>
        <v>5</v>
      </c>
      <c r="S179" s="189">
        <f>IFERROR(__xludf.DUMMYFUNCTION("""COMPUTED_VALUE"""),1.0)</f>
        <v>1</v>
      </c>
      <c r="T179" s="189">
        <f>IFERROR(__xludf.DUMMYFUNCTION("""COMPUTED_VALUE"""),1.0)</f>
        <v>1</v>
      </c>
      <c r="U179" s="189">
        <f>IFERROR(__xludf.DUMMYFUNCTION("""COMPUTED_VALUE"""),5.0)</f>
        <v>5</v>
      </c>
      <c r="V179" s="189">
        <f>IFERROR(__xludf.DUMMYFUNCTION("""COMPUTED_VALUE"""),2.0)</f>
        <v>2</v>
      </c>
      <c r="W179" s="189">
        <f>IFERROR(__xludf.DUMMYFUNCTION("""COMPUTED_VALUE"""),8.0)</f>
        <v>8</v>
      </c>
      <c r="X179" s="189">
        <f>IFERROR(__xludf.DUMMYFUNCTION("""COMPUTED_VALUE"""),4.0)</f>
        <v>4</v>
      </c>
      <c r="Y179" s="208" t="str">
        <f>IFERROR(__xludf.DUMMYFUNCTION("""COMPUTED_VALUE"""),"2025-07-14T00:00:00.000Z")</f>
        <v>2025-07-14T00:00:00.000Z</v>
      </c>
      <c r="Z179" s="189" t="s">
        <v>155</v>
      </c>
      <c r="AA179" s="189" t="s">
        <v>184</v>
      </c>
    </row>
    <row r="180">
      <c r="A180" s="189">
        <f>IFERROR(__xludf.DUMMYFUNCTION("""COMPUTED_VALUE"""),209861.0)</f>
        <v>209861</v>
      </c>
      <c r="B180" s="189">
        <f>IFERROR(__xludf.DUMMYFUNCTION("""COMPUTED_VALUE"""),92323.0)</f>
        <v>92323</v>
      </c>
      <c r="C180" s="189" t="str">
        <f>IFERROR(__xludf.DUMMYFUNCTION("""COMPUTED_VALUE"""),"Challengers League 2025 NORTH EAST: Split 3 - Upper Swiss Phase")</f>
        <v>Challengers League 2025 NORTH EAST: Split 3 - Upper Swiss Phase</v>
      </c>
      <c r="D180" s="189" t="str">
        <f>IFERROR(__xludf.DUMMYFUNCTION("""COMPUTED_VALUE"""),"Ascent")</f>
        <v>Ascent</v>
      </c>
      <c r="E180" s="189" t="str">
        <f>IFERROR(__xludf.DUMMYFUNCTION("""COMPUTED_VALUE"""),"Bitfix Gaming")</f>
        <v>Bitfix Gaming</v>
      </c>
      <c r="F180" s="189" t="str">
        <f>IFERROR(__xludf.DUMMYFUNCTION("""COMPUTED_VALUE"""),"děti ulice")</f>
        <v>děti ulice</v>
      </c>
      <c r="G180" s="189" t="str">
        <f>IFERROR(__xludf.DUMMYFUNCTION("""COMPUTED_VALUE"""),"Cypher,Sova,Omen,Yoru,Deadlock")</f>
        <v>Cypher,Sova,Omen,Yoru,Deadlock</v>
      </c>
      <c r="H180" s="189" t="str">
        <f>IFERROR(__xludf.DUMMYFUNCTION("""COMPUTED_VALUE"""),"Sova,Killjoy,Omen,Jett,KAY/O")</f>
        <v>Sova,Killjoy,Omen,Jett,KAY/O</v>
      </c>
      <c r="I180" s="189">
        <f>IFERROR(__xludf.DUMMYFUNCTION("""COMPUTED_VALUE"""),5.0)</f>
        <v>5</v>
      </c>
      <c r="J180" s="189">
        <f>IFERROR(__xludf.DUMMYFUNCTION("""COMPUTED_VALUE"""),13.0)</f>
        <v>13</v>
      </c>
      <c r="K180" s="189">
        <f>IFERROR(__xludf.DUMMYFUNCTION("""COMPUTED_VALUE"""),3.0)</f>
        <v>3</v>
      </c>
      <c r="L180" s="189">
        <f>IFERROR(__xludf.DUMMYFUNCTION("""COMPUTED_VALUE"""),9.0)</f>
        <v>9</v>
      </c>
      <c r="M180" s="189">
        <f>IFERROR(__xludf.DUMMYFUNCTION("""COMPUTED_VALUE"""),0.0)</f>
        <v>0</v>
      </c>
      <c r="N180" s="189">
        <f>IFERROR(__xludf.DUMMYFUNCTION("""COMPUTED_VALUE"""),1.0)</f>
        <v>1</v>
      </c>
      <c r="O180" s="189">
        <f>IFERROR(__xludf.DUMMYFUNCTION("""COMPUTED_VALUE"""),3.0)</f>
        <v>3</v>
      </c>
      <c r="P180" s="189">
        <f>IFERROR(__xludf.DUMMYFUNCTION("""COMPUTED_VALUE"""),9.0)</f>
        <v>9</v>
      </c>
      <c r="Q180" s="189">
        <f>IFERROR(__xludf.DUMMYFUNCTION("""COMPUTED_VALUE"""),2.0)</f>
        <v>2</v>
      </c>
      <c r="R180" s="189">
        <f>IFERROR(__xludf.DUMMYFUNCTION("""COMPUTED_VALUE"""),4.0)</f>
        <v>4</v>
      </c>
      <c r="S180" s="189">
        <f>IFERROR(__xludf.DUMMYFUNCTION("""COMPUTED_VALUE"""),0.0)</f>
        <v>0</v>
      </c>
      <c r="T180" s="189">
        <f>IFERROR(__xludf.DUMMYFUNCTION("""COMPUTED_VALUE"""),1.0)</f>
        <v>1</v>
      </c>
      <c r="U180" s="189">
        <f>IFERROR(__xludf.DUMMYFUNCTION("""COMPUTED_VALUE"""),4.0)</f>
        <v>4</v>
      </c>
      <c r="V180" s="189">
        <f>IFERROR(__xludf.DUMMYFUNCTION("""COMPUTED_VALUE"""),2.0)</f>
        <v>2</v>
      </c>
      <c r="W180" s="189">
        <f>IFERROR(__xludf.DUMMYFUNCTION("""COMPUTED_VALUE"""),9.0)</f>
        <v>9</v>
      </c>
      <c r="X180" s="189">
        <f>IFERROR(__xludf.DUMMYFUNCTION("""COMPUTED_VALUE"""),3.0)</f>
        <v>3</v>
      </c>
      <c r="Y180" s="208" t="str">
        <f>IFERROR(__xludf.DUMMYFUNCTION("""COMPUTED_VALUE"""),"2025-07-14T00:00:00.000Z")</f>
        <v>2025-07-14T00:00:00.000Z</v>
      </c>
      <c r="Z180" s="189" t="s">
        <v>441</v>
      </c>
      <c r="AA180" s="189" t="s">
        <v>190</v>
      </c>
    </row>
    <row r="181">
      <c r="A181" s="189">
        <f>IFERROR(__xludf.DUMMYFUNCTION("""COMPUTED_VALUE"""),209857.0)</f>
        <v>209857</v>
      </c>
      <c r="B181" s="189">
        <f>IFERROR(__xludf.DUMMYFUNCTION("""COMPUTED_VALUE"""),92319.0)</f>
        <v>92319</v>
      </c>
      <c r="C181" s="189" t="str">
        <f>IFERROR(__xludf.DUMMYFUNCTION("""COMPUTED_VALUE"""),"Challengers League 2025 NORTH EAST: Split 3 - Upper Swiss Phase")</f>
        <v>Challengers League 2025 NORTH EAST: Split 3 - Upper Swiss Phase</v>
      </c>
      <c r="D181" s="189" t="str">
        <f>IFERROR(__xludf.DUMMYFUNCTION("""COMPUTED_VALUE"""),"Sunset")</f>
        <v>Sunset</v>
      </c>
      <c r="E181" s="189" t="str">
        <f>IFERROR(__xludf.DUMMYFUNCTION("""COMPUTED_VALUE"""),"Enterprise Esports")</f>
        <v>Enterprise Esports</v>
      </c>
      <c r="F181" s="189" t="str">
        <f>IFERROR(__xludf.DUMMYFUNCTION("""COMPUTED_VALUE"""),"Metizport")</f>
        <v>Metizport</v>
      </c>
      <c r="G181" s="189" t="str">
        <f>IFERROR(__xludf.DUMMYFUNCTION("""COMPUTED_VALUE"""),"Cypher,Sova,Omen,KAY/O,Neon")</f>
        <v>Cypher,Sova,Omen,KAY/O,Neon</v>
      </c>
      <c r="H181" s="189" t="str">
        <f>IFERROR(__xludf.DUMMYFUNCTION("""COMPUTED_VALUE"""),"Breach,Cypher,Sova,Omen,Neon")</f>
        <v>Breach,Cypher,Sova,Omen,Neon</v>
      </c>
      <c r="I181" s="189">
        <f>IFERROR(__xludf.DUMMYFUNCTION("""COMPUTED_VALUE"""),4.0)</f>
        <v>4</v>
      </c>
      <c r="J181" s="189">
        <f>IFERROR(__xludf.DUMMYFUNCTION("""COMPUTED_VALUE"""),13.0)</f>
        <v>13</v>
      </c>
      <c r="K181" s="189">
        <f>IFERROR(__xludf.DUMMYFUNCTION("""COMPUTED_VALUE"""),4.0)</f>
        <v>4</v>
      </c>
      <c r="L181" s="189">
        <f>IFERROR(__xludf.DUMMYFUNCTION("""COMPUTED_VALUE"""),8.0)</f>
        <v>8</v>
      </c>
      <c r="M181" s="189">
        <f>IFERROR(__xludf.DUMMYFUNCTION("""COMPUTED_VALUE"""),0.0)</f>
        <v>0</v>
      </c>
      <c r="N181" s="189">
        <f>IFERROR(__xludf.DUMMYFUNCTION("""COMPUTED_VALUE"""),1.0)</f>
        <v>1</v>
      </c>
      <c r="O181" s="189">
        <f>IFERROR(__xludf.DUMMYFUNCTION("""COMPUTED_VALUE"""),0.0)</f>
        <v>0</v>
      </c>
      <c r="P181" s="189">
        <f>IFERROR(__xludf.DUMMYFUNCTION("""COMPUTED_VALUE"""),5.0)</f>
        <v>5</v>
      </c>
      <c r="Q181" s="189">
        <f>IFERROR(__xludf.DUMMYFUNCTION("""COMPUTED_VALUE"""),4.0)</f>
        <v>4</v>
      </c>
      <c r="R181" s="189">
        <f>IFERROR(__xludf.DUMMYFUNCTION("""COMPUTED_VALUE"""),8.0)</f>
        <v>8</v>
      </c>
      <c r="S181" s="189">
        <f>IFERROR(__xludf.DUMMYFUNCTION("""COMPUTED_VALUE"""),0.0)</f>
        <v>0</v>
      </c>
      <c r="T181" s="189">
        <f>IFERROR(__xludf.DUMMYFUNCTION("""COMPUTED_VALUE"""),1.0)</f>
        <v>1</v>
      </c>
      <c r="U181" s="189">
        <f>IFERROR(__xludf.DUMMYFUNCTION("""COMPUTED_VALUE"""),8.0)</f>
        <v>8</v>
      </c>
      <c r="V181" s="189">
        <f>IFERROR(__xludf.DUMMYFUNCTION("""COMPUTED_VALUE"""),4.0)</f>
        <v>4</v>
      </c>
      <c r="W181" s="189">
        <f>IFERROR(__xludf.DUMMYFUNCTION("""COMPUTED_VALUE"""),5.0)</f>
        <v>5</v>
      </c>
      <c r="X181" s="189">
        <f>IFERROR(__xludf.DUMMYFUNCTION("""COMPUTED_VALUE"""),0.0)</f>
        <v>0</v>
      </c>
      <c r="Y181" s="208" t="str">
        <f>IFERROR(__xludf.DUMMYFUNCTION("""COMPUTED_VALUE"""),"2025-07-14T00:00:00.000Z")</f>
        <v>2025-07-14T00:00:00.000Z</v>
      </c>
      <c r="Z181" s="189" t="s">
        <v>112</v>
      </c>
      <c r="AA181" s="189" t="s">
        <v>404</v>
      </c>
    </row>
    <row r="182">
      <c r="A182" s="189">
        <f>IFERROR(__xludf.DUMMYFUNCTION("""COMPUTED_VALUE"""),209864.0)</f>
        <v>209864</v>
      </c>
      <c r="B182" s="189">
        <f>IFERROR(__xludf.DUMMYFUNCTION("""COMPUTED_VALUE"""),92326.0)</f>
        <v>92326</v>
      </c>
      <c r="C182" s="189" t="str">
        <f>IFERROR(__xludf.DUMMYFUNCTION("""COMPUTED_VALUE"""),"Challengers League 2025 NORTH EAST: Split 3 - Upper Swiss Phase")</f>
        <v>Challengers League 2025 NORTH EAST: Split 3 - Upper Swiss Phase</v>
      </c>
      <c r="D182" s="189" t="str">
        <f>IFERROR(__xludf.DUMMYFUNCTION("""COMPUTED_VALUE"""),"Haven")</f>
        <v>Haven</v>
      </c>
      <c r="E182" s="189" t="str">
        <f>IFERROR(__xludf.DUMMYFUNCTION("""COMPUTED_VALUE"""),"Boars Gaming")</f>
        <v>Boars Gaming</v>
      </c>
      <c r="F182" s="189" t="str">
        <f>IFERROR(__xludf.DUMMYFUNCTION("""COMPUTED_VALUE"""),"Easties")</f>
        <v>Easties</v>
      </c>
      <c r="G182" s="189" t="str">
        <f>IFERROR(__xludf.DUMMYFUNCTION("""COMPUTED_VALUE"""),"Breach,Cypher,Sova,Omen,Neon")</f>
        <v>Breach,Cypher,Sova,Omen,Neon</v>
      </c>
      <c r="H182" s="189" t="str">
        <f>IFERROR(__xludf.DUMMYFUNCTION("""COMPUTED_VALUE"""),"Sova,Killjoy,Viper,Omen,Yoru")</f>
        <v>Sova,Killjoy,Viper,Omen,Yoru</v>
      </c>
      <c r="I182" s="189">
        <f>IFERROR(__xludf.DUMMYFUNCTION("""COMPUTED_VALUE"""),13.0)</f>
        <v>13</v>
      </c>
      <c r="J182" s="189">
        <f>IFERROR(__xludf.DUMMYFUNCTION("""COMPUTED_VALUE"""),2.0)</f>
        <v>2</v>
      </c>
      <c r="K182" s="189">
        <f>IFERROR(__xludf.DUMMYFUNCTION("""COMPUTED_VALUE"""),10.0)</f>
        <v>10</v>
      </c>
      <c r="L182" s="189">
        <f>IFERROR(__xludf.DUMMYFUNCTION("""COMPUTED_VALUE"""),2.0)</f>
        <v>2</v>
      </c>
      <c r="M182" s="189">
        <f>IFERROR(__xludf.DUMMYFUNCTION("""COMPUTED_VALUE"""),1.0)</f>
        <v>1</v>
      </c>
      <c r="N182" s="189">
        <f>IFERROR(__xludf.DUMMYFUNCTION("""COMPUTED_VALUE"""),1.0)</f>
        <v>1</v>
      </c>
      <c r="O182" s="189">
        <f>IFERROR(__xludf.DUMMYFUNCTION("""COMPUTED_VALUE"""),10.0)</f>
        <v>10</v>
      </c>
      <c r="P182" s="189">
        <f>IFERROR(__xludf.DUMMYFUNCTION("""COMPUTED_VALUE"""),2.0)</f>
        <v>2</v>
      </c>
      <c r="Q182" s="189">
        <f>IFERROR(__xludf.DUMMYFUNCTION("""COMPUTED_VALUE"""),3.0)</f>
        <v>3</v>
      </c>
      <c r="R182" s="189">
        <f>IFERROR(__xludf.DUMMYFUNCTION("""COMPUTED_VALUE"""),0.0)</f>
        <v>0</v>
      </c>
      <c r="S182" s="189">
        <f>IFERROR(__xludf.DUMMYFUNCTION("""COMPUTED_VALUE"""),0.0)</f>
        <v>0</v>
      </c>
      <c r="T182" s="189">
        <f>IFERROR(__xludf.DUMMYFUNCTION("""COMPUTED_VALUE"""),0.0)</f>
        <v>0</v>
      </c>
      <c r="U182" s="189">
        <f>IFERROR(__xludf.DUMMYFUNCTION("""COMPUTED_VALUE"""),0.0)</f>
        <v>0</v>
      </c>
      <c r="V182" s="189">
        <f>IFERROR(__xludf.DUMMYFUNCTION("""COMPUTED_VALUE"""),3.0)</f>
        <v>3</v>
      </c>
      <c r="W182" s="189">
        <f>IFERROR(__xludf.DUMMYFUNCTION("""COMPUTED_VALUE"""),2.0)</f>
        <v>2</v>
      </c>
      <c r="X182" s="189">
        <f>IFERROR(__xludf.DUMMYFUNCTION("""COMPUTED_VALUE"""),10.0)</f>
        <v>10</v>
      </c>
      <c r="Y182" s="208" t="str">
        <f>IFERROR(__xludf.DUMMYFUNCTION("""COMPUTED_VALUE"""),"2025-07-14T00:00:00.000Z")</f>
        <v>2025-07-14T00:00:00.000Z</v>
      </c>
      <c r="Z182" s="189" t="s">
        <v>79</v>
      </c>
      <c r="AA182" s="189" t="s">
        <v>181</v>
      </c>
    </row>
    <row r="183">
      <c r="A183" s="189">
        <f>IFERROR(__xludf.DUMMYFUNCTION("""COMPUTED_VALUE"""),209860.0)</f>
        <v>209860</v>
      </c>
      <c r="B183" s="189">
        <f>IFERROR(__xludf.DUMMYFUNCTION("""COMPUTED_VALUE"""),92322.0)</f>
        <v>92322</v>
      </c>
      <c r="C183" s="189" t="str">
        <f>IFERROR(__xludf.DUMMYFUNCTION("""COMPUTED_VALUE"""),"Challengers League 2025 NORTH EAST: Split 3 - Upper Swiss Phase")</f>
        <v>Challengers League 2025 NORTH EAST: Split 3 - Upper Swiss Phase</v>
      </c>
      <c r="D183" s="189" t="str">
        <f>IFERROR(__xludf.DUMMYFUNCTION("""COMPUTED_VALUE"""),"Lotus")</f>
        <v>Lotus</v>
      </c>
      <c r="E183" s="189" t="str">
        <f>IFERROR(__xludf.DUMMYFUNCTION("""COMPUTED_VALUE"""),"Team Liquid Academy")</f>
        <v>Team Liquid Academy</v>
      </c>
      <c r="F183" s="189" t="str">
        <f>IFERROR(__xludf.DUMMYFUNCTION("""COMPUTED_VALUE"""),"Formulation Gaming")</f>
        <v>Formulation Gaming</v>
      </c>
      <c r="G183" s="189" t="str">
        <f>IFERROR(__xludf.DUMMYFUNCTION("""COMPUTED_VALUE"""),"Raze,Viper,Omen,Fade,Vyse")</f>
        <v>Raze,Viper,Omen,Fade,Vyse</v>
      </c>
      <c r="H183" s="189" t="str">
        <f>IFERROR(__xludf.DUMMYFUNCTION("""COMPUTED_VALUE"""),"Cypher,Omen,Neon,Fade,Deadlock")</f>
        <v>Cypher,Omen,Neon,Fade,Deadlock</v>
      </c>
      <c r="I183" s="189">
        <f>IFERROR(__xludf.DUMMYFUNCTION("""COMPUTED_VALUE"""),9.0)</f>
        <v>9</v>
      </c>
      <c r="J183" s="189">
        <f>IFERROR(__xludf.DUMMYFUNCTION("""COMPUTED_VALUE"""),13.0)</f>
        <v>13</v>
      </c>
      <c r="K183" s="189">
        <f>IFERROR(__xludf.DUMMYFUNCTION("""COMPUTED_VALUE"""),4.0)</f>
        <v>4</v>
      </c>
      <c r="L183" s="189">
        <f>IFERROR(__xludf.DUMMYFUNCTION("""COMPUTED_VALUE"""),8.0)</f>
        <v>8</v>
      </c>
      <c r="M183" s="189">
        <f>IFERROR(__xludf.DUMMYFUNCTION("""COMPUTED_VALUE"""),0.0)</f>
        <v>0</v>
      </c>
      <c r="N183" s="189">
        <f>IFERROR(__xludf.DUMMYFUNCTION("""COMPUTED_VALUE"""),0.0)</f>
        <v>0</v>
      </c>
      <c r="O183" s="189">
        <f>IFERROR(__xludf.DUMMYFUNCTION("""COMPUTED_VALUE"""),5.0)</f>
        <v>5</v>
      </c>
      <c r="P183" s="189">
        <f>IFERROR(__xludf.DUMMYFUNCTION("""COMPUTED_VALUE"""),5.0)</f>
        <v>5</v>
      </c>
      <c r="Q183" s="189">
        <f>IFERROR(__xludf.DUMMYFUNCTION("""COMPUTED_VALUE"""),4.0)</f>
        <v>4</v>
      </c>
      <c r="R183" s="189">
        <f>IFERROR(__xludf.DUMMYFUNCTION("""COMPUTED_VALUE"""),8.0)</f>
        <v>8</v>
      </c>
      <c r="S183" s="189">
        <f>IFERROR(__xludf.DUMMYFUNCTION("""COMPUTED_VALUE"""),1.0)</f>
        <v>1</v>
      </c>
      <c r="T183" s="189">
        <f>IFERROR(__xludf.DUMMYFUNCTION("""COMPUTED_VALUE"""),1.0)</f>
        <v>1</v>
      </c>
      <c r="U183" s="189">
        <f>IFERROR(__xludf.DUMMYFUNCTION("""COMPUTED_VALUE"""),8.0)</f>
        <v>8</v>
      </c>
      <c r="V183" s="189">
        <f>IFERROR(__xludf.DUMMYFUNCTION("""COMPUTED_VALUE"""),4.0)</f>
        <v>4</v>
      </c>
      <c r="W183" s="189">
        <f>IFERROR(__xludf.DUMMYFUNCTION("""COMPUTED_VALUE"""),5.0)</f>
        <v>5</v>
      </c>
      <c r="X183" s="189">
        <f>IFERROR(__xludf.DUMMYFUNCTION("""COMPUTED_VALUE"""),5.0)</f>
        <v>5</v>
      </c>
      <c r="Y183" s="208" t="str">
        <f>IFERROR(__xludf.DUMMYFUNCTION("""COMPUTED_VALUE"""),"2025-07-14T00:00:00.000Z")</f>
        <v>2025-07-14T00:00:00.000Z</v>
      </c>
      <c r="Z183" s="189" t="s">
        <v>147</v>
      </c>
      <c r="AA183" s="189" t="s">
        <v>401</v>
      </c>
    </row>
    <row r="184">
      <c r="A184" s="189">
        <f>IFERROR(__xludf.DUMMYFUNCTION("""COMPUTED_VALUE"""),208389.0)</f>
        <v>208389</v>
      </c>
      <c r="B184" s="189">
        <f>IFERROR(__xludf.DUMMYFUNCTION("""COMPUTED_VALUE"""),91778.0)</f>
        <v>91778</v>
      </c>
      <c r="C184" s="189" t="str">
        <f>IFERROR(__xludf.DUMMYFUNCTION("""COMPUTED_VALUE"""),"Challengers League 2025 Türkiye Birlik: Split 3 - Group Stage")</f>
        <v>Challengers League 2025 Türkiye Birlik: Split 3 - Group Stage</v>
      </c>
      <c r="D184" s="189" t="str">
        <f>IFERROR(__xludf.DUMMYFUNCTION("""COMPUTED_VALUE"""),"Lotus")</f>
        <v>Lotus</v>
      </c>
      <c r="E184" s="189" t="str">
        <f>IFERROR(__xludf.DUMMYFUNCTION("""COMPUTED_VALUE"""),"BBL PCIFIC")</f>
        <v>BBL PCIFIC</v>
      </c>
      <c r="F184" s="189" t="str">
        <f>IFERROR(__xludf.DUMMYFUNCTION("""COMPUTED_VALUE"""),"Galatasaray Esports")</f>
        <v>Galatasaray Esports</v>
      </c>
      <c r="G184" s="189" t="str">
        <f>IFERROR(__xludf.DUMMYFUNCTION("""COMPUTED_VALUE"""),"Raze,Omen,Yoru,Fade,Vyse")</f>
        <v>Raze,Omen,Yoru,Fade,Vyse</v>
      </c>
      <c r="H184" s="189" t="str">
        <f>IFERROR(__xludf.DUMMYFUNCTION("""COMPUTED_VALUE"""),"Breach,Raze,Viper,Omen,Fade")</f>
        <v>Breach,Raze,Viper,Omen,Fade</v>
      </c>
      <c r="I184" s="189">
        <f>IFERROR(__xludf.DUMMYFUNCTION("""COMPUTED_VALUE"""),13.0)</f>
        <v>13</v>
      </c>
      <c r="J184" s="189">
        <f>IFERROR(__xludf.DUMMYFUNCTION("""COMPUTED_VALUE"""),9.0)</f>
        <v>9</v>
      </c>
      <c r="K184" s="189">
        <f>IFERROR(__xludf.DUMMYFUNCTION("""COMPUTED_VALUE"""),7.0)</f>
        <v>7</v>
      </c>
      <c r="L184" s="189">
        <f>IFERROR(__xludf.DUMMYFUNCTION("""COMPUTED_VALUE"""),5.0)</f>
        <v>5</v>
      </c>
      <c r="M184" s="189">
        <f>IFERROR(__xludf.DUMMYFUNCTION("""COMPUTED_VALUE"""),0.0)</f>
        <v>0</v>
      </c>
      <c r="N184" s="189">
        <f>IFERROR(__xludf.DUMMYFUNCTION("""COMPUTED_VALUE"""),1.0)</f>
        <v>1</v>
      </c>
      <c r="O184" s="189">
        <f>IFERROR(__xludf.DUMMYFUNCTION("""COMPUTED_VALUE"""),6.0)</f>
        <v>6</v>
      </c>
      <c r="P184" s="189">
        <f>IFERROR(__xludf.DUMMYFUNCTION("""COMPUTED_VALUE"""),4.0)</f>
        <v>4</v>
      </c>
      <c r="Q184" s="189">
        <f>IFERROR(__xludf.DUMMYFUNCTION("""COMPUTED_VALUE"""),7.0)</f>
        <v>7</v>
      </c>
      <c r="R184" s="189">
        <f>IFERROR(__xludf.DUMMYFUNCTION("""COMPUTED_VALUE"""),5.0)</f>
        <v>5</v>
      </c>
      <c r="S184" s="189">
        <f>IFERROR(__xludf.DUMMYFUNCTION("""COMPUTED_VALUE"""),0.0)</f>
        <v>0</v>
      </c>
      <c r="T184" s="189">
        <f>IFERROR(__xludf.DUMMYFUNCTION("""COMPUTED_VALUE"""),1.0)</f>
        <v>1</v>
      </c>
      <c r="U184" s="189">
        <f>IFERROR(__xludf.DUMMYFUNCTION("""COMPUTED_VALUE"""),5.0)</f>
        <v>5</v>
      </c>
      <c r="V184" s="189">
        <f>IFERROR(__xludf.DUMMYFUNCTION("""COMPUTED_VALUE"""),7.0)</f>
        <v>7</v>
      </c>
      <c r="W184" s="189">
        <f>IFERROR(__xludf.DUMMYFUNCTION("""COMPUTED_VALUE"""),4.0)</f>
        <v>4</v>
      </c>
      <c r="X184" s="189">
        <f>IFERROR(__xludf.DUMMYFUNCTION("""COMPUTED_VALUE"""),6.0)</f>
        <v>6</v>
      </c>
      <c r="Y184" s="208" t="str">
        <f>IFERROR(__xludf.DUMMYFUNCTION("""COMPUTED_VALUE"""),"2025-07-13T00:00:00.000Z")</f>
        <v>2025-07-13T00:00:00.000Z</v>
      </c>
      <c r="Z184" s="189" t="s">
        <v>72</v>
      </c>
      <c r="AA184" s="189" t="s">
        <v>186</v>
      </c>
    </row>
    <row r="185">
      <c r="A185" s="189">
        <f>IFERROR(__xludf.DUMMYFUNCTION("""COMPUTED_VALUE"""),208388.0)</f>
        <v>208388</v>
      </c>
      <c r="B185" s="189">
        <f>IFERROR(__xludf.DUMMYFUNCTION("""COMPUTED_VALUE"""),91778.0)</f>
        <v>91778</v>
      </c>
      <c r="C185" s="189" t="str">
        <f>IFERROR(__xludf.DUMMYFUNCTION("""COMPUTED_VALUE"""),"Challengers League 2025 Türkiye Birlik: Split 3 - Group Stage")</f>
        <v>Challengers League 2025 Türkiye Birlik: Split 3 - Group Stage</v>
      </c>
      <c r="D185" s="189" t="str">
        <f>IFERROR(__xludf.DUMMYFUNCTION("""COMPUTED_VALUE"""),"Sunset")</f>
        <v>Sunset</v>
      </c>
      <c r="E185" s="189" t="str">
        <f>IFERROR(__xludf.DUMMYFUNCTION("""COMPUTED_VALUE"""),"BBL PCIFIC")</f>
        <v>BBL PCIFIC</v>
      </c>
      <c r="F185" s="189" t="str">
        <f>IFERROR(__xludf.DUMMYFUNCTION("""COMPUTED_VALUE"""),"Galatasaray Esports")</f>
        <v>Galatasaray Esports</v>
      </c>
      <c r="G185" s="189" t="str">
        <f>IFERROR(__xludf.DUMMYFUNCTION("""COMPUTED_VALUE"""),"Breach,Cypher,Sova,Omen,Neon")</f>
        <v>Breach,Cypher,Sova,Omen,Neon</v>
      </c>
      <c r="H185" s="189" t="str">
        <f>IFERROR(__xludf.DUMMYFUNCTION("""COMPUTED_VALUE"""),"Cypher,Sova,Viper,Omen,Waylay")</f>
        <v>Cypher,Sova,Viper,Omen,Waylay</v>
      </c>
      <c r="I185" s="189">
        <f>IFERROR(__xludf.DUMMYFUNCTION("""COMPUTED_VALUE"""),14.0)</f>
        <v>14</v>
      </c>
      <c r="J185" s="189">
        <f>IFERROR(__xludf.DUMMYFUNCTION("""COMPUTED_VALUE"""),12.0)</f>
        <v>12</v>
      </c>
      <c r="K185" s="189">
        <f>IFERROR(__xludf.DUMMYFUNCTION("""COMPUTED_VALUE"""),6.0)</f>
        <v>6</v>
      </c>
      <c r="L185" s="189">
        <f>IFERROR(__xludf.DUMMYFUNCTION("""COMPUTED_VALUE"""),6.0)</f>
        <v>6</v>
      </c>
      <c r="M185" s="189">
        <f>IFERROR(__xludf.DUMMYFUNCTION("""COMPUTED_VALUE"""),0.0)</f>
        <v>0</v>
      </c>
      <c r="N185" s="189">
        <f>IFERROR(__xludf.DUMMYFUNCTION("""COMPUTED_VALUE"""),0.0)</f>
        <v>0</v>
      </c>
      <c r="O185" s="189">
        <f>IFERROR(__xludf.DUMMYFUNCTION("""COMPUTED_VALUE"""),7.0)</f>
        <v>7</v>
      </c>
      <c r="P185" s="189">
        <f>IFERROR(__xludf.DUMMYFUNCTION("""COMPUTED_VALUE"""),6.0)</f>
        <v>6</v>
      </c>
      <c r="Q185" s="189">
        <f>IFERROR(__xludf.DUMMYFUNCTION("""COMPUTED_VALUE"""),7.0)</f>
        <v>7</v>
      </c>
      <c r="R185" s="189">
        <f>IFERROR(__xludf.DUMMYFUNCTION("""COMPUTED_VALUE"""),6.0)</f>
        <v>6</v>
      </c>
      <c r="S185" s="189">
        <f>IFERROR(__xludf.DUMMYFUNCTION("""COMPUTED_VALUE"""),1.0)</f>
        <v>1</v>
      </c>
      <c r="T185" s="189">
        <f>IFERROR(__xludf.DUMMYFUNCTION("""COMPUTED_VALUE"""),1.0)</f>
        <v>1</v>
      </c>
      <c r="U185" s="189">
        <f>IFERROR(__xludf.DUMMYFUNCTION("""COMPUTED_VALUE"""),6.0)</f>
        <v>6</v>
      </c>
      <c r="V185" s="189">
        <f>IFERROR(__xludf.DUMMYFUNCTION("""COMPUTED_VALUE"""),7.0)</f>
        <v>7</v>
      </c>
      <c r="W185" s="189">
        <f>IFERROR(__xludf.DUMMYFUNCTION("""COMPUTED_VALUE"""),6.0)</f>
        <v>6</v>
      </c>
      <c r="X185" s="189">
        <f>IFERROR(__xludf.DUMMYFUNCTION("""COMPUTED_VALUE"""),7.0)</f>
        <v>7</v>
      </c>
      <c r="Y185" s="208" t="str">
        <f>IFERROR(__xludf.DUMMYFUNCTION("""COMPUTED_VALUE"""),"2025-07-13T00:00:00.000Z")</f>
        <v>2025-07-13T00:00:00.000Z</v>
      </c>
      <c r="Z185" s="189" t="s">
        <v>75</v>
      </c>
      <c r="AA185" s="189" t="s">
        <v>186</v>
      </c>
    </row>
    <row r="186">
      <c r="A186" s="189">
        <f>IFERROR(__xludf.DUMMYFUNCTION("""COMPUTED_VALUE"""),209540.0)</f>
        <v>209540</v>
      </c>
      <c r="B186" s="189">
        <f>IFERROR(__xludf.DUMMYFUNCTION("""COMPUTED_VALUE"""),92193.0)</f>
        <v>92193</v>
      </c>
      <c r="C186" s="189" t="str">
        <f>IFERROR(__xludf.DUMMYFUNCTION("""COMPUTED_VALUE"""),"Challengers 2025: France Revolution Split 3 - Group Stage")</f>
        <v>Challengers 2025: France Revolution Split 3 - Group Stage</v>
      </c>
      <c r="D186" s="189" t="str">
        <f>IFERROR(__xludf.DUMMYFUNCTION("""COMPUTED_VALUE"""),"Ascent")</f>
        <v>Ascent</v>
      </c>
      <c r="E186" s="189" t="str">
        <f>IFERROR(__xludf.DUMMYFUNCTION("""COMPUTED_VALUE"""),"Mandatory")</f>
        <v>Mandatory</v>
      </c>
      <c r="F186" s="189" t="str">
        <f>IFERROR(__xludf.DUMMYFUNCTION("""COMPUTED_VALUE"""),"F9 EICAR")</f>
        <v>F9 EICAR</v>
      </c>
      <c r="G186" s="189" t="str">
        <f>IFERROR(__xludf.DUMMYFUNCTION("""COMPUTED_VALUE"""),"Sova,Viper,Omen,Yoru,Deadlock")</f>
        <v>Sova,Viper,Omen,Yoru,Deadlock</v>
      </c>
      <c r="H186" s="189" t="str">
        <f>IFERROR(__xludf.DUMMYFUNCTION("""COMPUTED_VALUE"""),"Cypher,Sova,Omen,Yoru,Deadlock")</f>
        <v>Cypher,Sova,Omen,Yoru,Deadlock</v>
      </c>
      <c r="I186" s="189">
        <f>IFERROR(__xludf.DUMMYFUNCTION("""COMPUTED_VALUE"""),14.0)</f>
        <v>14</v>
      </c>
      <c r="J186" s="189">
        <f>IFERROR(__xludf.DUMMYFUNCTION("""COMPUTED_VALUE"""),12.0)</f>
        <v>12</v>
      </c>
      <c r="K186" s="189">
        <f>IFERROR(__xludf.DUMMYFUNCTION("""COMPUTED_VALUE"""),7.0)</f>
        <v>7</v>
      </c>
      <c r="L186" s="189">
        <f>IFERROR(__xludf.DUMMYFUNCTION("""COMPUTED_VALUE"""),5.0)</f>
        <v>5</v>
      </c>
      <c r="M186" s="189">
        <f>IFERROR(__xludf.DUMMYFUNCTION("""COMPUTED_VALUE"""),1.0)</f>
        <v>1</v>
      </c>
      <c r="N186" s="189">
        <f>IFERROR(__xludf.DUMMYFUNCTION("""COMPUTED_VALUE"""),0.0)</f>
        <v>0</v>
      </c>
      <c r="O186" s="189">
        <f>IFERROR(__xludf.DUMMYFUNCTION("""COMPUTED_VALUE"""),6.0)</f>
        <v>6</v>
      </c>
      <c r="P186" s="189">
        <f>IFERROR(__xludf.DUMMYFUNCTION("""COMPUTED_VALUE"""),7.0)</f>
        <v>7</v>
      </c>
      <c r="Q186" s="189">
        <f>IFERROR(__xludf.DUMMYFUNCTION("""COMPUTED_VALUE"""),8.0)</f>
        <v>8</v>
      </c>
      <c r="R186" s="189">
        <f>IFERROR(__xludf.DUMMYFUNCTION("""COMPUTED_VALUE"""),5.0)</f>
        <v>5</v>
      </c>
      <c r="S186" s="189">
        <f>IFERROR(__xludf.DUMMYFUNCTION("""COMPUTED_VALUE"""),1.0)</f>
        <v>1</v>
      </c>
      <c r="T186" s="189">
        <f>IFERROR(__xludf.DUMMYFUNCTION("""COMPUTED_VALUE"""),0.0)</f>
        <v>0</v>
      </c>
      <c r="U186" s="189">
        <f>IFERROR(__xludf.DUMMYFUNCTION("""COMPUTED_VALUE"""),5.0)</f>
        <v>5</v>
      </c>
      <c r="V186" s="189">
        <f>IFERROR(__xludf.DUMMYFUNCTION("""COMPUTED_VALUE"""),8.0)</f>
        <v>8</v>
      </c>
      <c r="W186" s="189">
        <f>IFERROR(__xludf.DUMMYFUNCTION("""COMPUTED_VALUE"""),7.0)</f>
        <v>7</v>
      </c>
      <c r="X186" s="189">
        <f>IFERROR(__xludf.DUMMYFUNCTION("""COMPUTED_VALUE"""),6.0)</f>
        <v>6</v>
      </c>
      <c r="Y186" s="208" t="str">
        <f>IFERROR(__xludf.DUMMYFUNCTION("""COMPUTED_VALUE"""),"2025-07-13T00:00:00.000Z")</f>
        <v>2025-07-13T00:00:00.000Z</v>
      </c>
      <c r="Z186" s="189" t="s">
        <v>126</v>
      </c>
      <c r="AA186" s="189" t="s">
        <v>189</v>
      </c>
    </row>
    <row r="187">
      <c r="A187" s="189">
        <f>IFERROR(__xludf.DUMMYFUNCTION("""COMPUTED_VALUE"""),209528.0)</f>
        <v>209528</v>
      </c>
      <c r="B187" s="189">
        <f>IFERROR(__xludf.DUMMYFUNCTION("""COMPUTED_VALUE"""),92189.0)</f>
        <v>92189</v>
      </c>
      <c r="C187" s="189" t="str">
        <f>IFERROR(__xludf.DUMMYFUNCTION("""COMPUTED_VALUE"""),"Challengers League 2025 DACH: Evolution Stage 3 - Group Stage")</f>
        <v>Challengers League 2025 DACH: Evolution Stage 3 - Group Stage</v>
      </c>
      <c r="D187" s="189" t="str">
        <f>IFERROR(__xludf.DUMMYFUNCTION("""COMPUTED_VALUE"""),"Icebox")</f>
        <v>Icebox</v>
      </c>
      <c r="E187" s="189" t="str">
        <f>IFERROR(__xludf.DUMMYFUNCTION("""COMPUTED_VALUE"""),"MOUZ")</f>
        <v>MOUZ</v>
      </c>
      <c r="F187" s="189" t="str">
        <f>IFERROR(__xludf.DUMMYFUNCTION("""COMPUTED_VALUE"""),"RIZON")</f>
        <v>RIZON</v>
      </c>
      <c r="G187" s="189" t="str">
        <f>IFERROR(__xludf.DUMMYFUNCTION("""COMPUTED_VALUE"""),"Sova,Killjoy,Viper,Jett,KAY/O")</f>
        <v>Sova,Killjoy,Viper,Jett,KAY/O</v>
      </c>
      <c r="H187" s="189" t="str">
        <f>IFERROR(__xludf.DUMMYFUNCTION("""COMPUTED_VALUE"""),"Sova,Killjoy,Viper,Neon,Gekko")</f>
        <v>Sova,Killjoy,Viper,Neon,Gekko</v>
      </c>
      <c r="I187" s="189">
        <f>IFERROR(__xludf.DUMMYFUNCTION("""COMPUTED_VALUE"""),13.0)</f>
        <v>13</v>
      </c>
      <c r="J187" s="189">
        <f>IFERROR(__xludf.DUMMYFUNCTION("""COMPUTED_VALUE"""),6.0)</f>
        <v>6</v>
      </c>
      <c r="K187" s="189">
        <f>IFERROR(__xludf.DUMMYFUNCTION("""COMPUTED_VALUE"""),7.0)</f>
        <v>7</v>
      </c>
      <c r="L187" s="189">
        <f>IFERROR(__xludf.DUMMYFUNCTION("""COMPUTED_VALUE"""),5.0)</f>
        <v>5</v>
      </c>
      <c r="M187" s="189">
        <f>IFERROR(__xludf.DUMMYFUNCTION("""COMPUTED_VALUE"""),1.0)</f>
        <v>1</v>
      </c>
      <c r="N187" s="189">
        <f>IFERROR(__xludf.DUMMYFUNCTION("""COMPUTED_VALUE"""),0.0)</f>
        <v>0</v>
      </c>
      <c r="O187" s="189">
        <f>IFERROR(__xludf.DUMMYFUNCTION("""COMPUTED_VALUE"""),6.0)</f>
        <v>6</v>
      </c>
      <c r="P187" s="189">
        <f>IFERROR(__xludf.DUMMYFUNCTION("""COMPUTED_VALUE"""),1.0)</f>
        <v>1</v>
      </c>
      <c r="Q187" s="189">
        <f>IFERROR(__xludf.DUMMYFUNCTION("""COMPUTED_VALUE"""),7.0)</f>
        <v>7</v>
      </c>
      <c r="R187" s="189">
        <f>IFERROR(__xludf.DUMMYFUNCTION("""COMPUTED_VALUE"""),5.0)</f>
        <v>5</v>
      </c>
      <c r="S187" s="189">
        <f>IFERROR(__xludf.DUMMYFUNCTION("""COMPUTED_VALUE"""),1.0)</f>
        <v>1</v>
      </c>
      <c r="T187" s="189">
        <f>IFERROR(__xludf.DUMMYFUNCTION("""COMPUTED_VALUE"""),0.0)</f>
        <v>0</v>
      </c>
      <c r="U187" s="189">
        <f>IFERROR(__xludf.DUMMYFUNCTION("""COMPUTED_VALUE"""),5.0)</f>
        <v>5</v>
      </c>
      <c r="V187" s="189">
        <f>IFERROR(__xludf.DUMMYFUNCTION("""COMPUTED_VALUE"""),7.0)</f>
        <v>7</v>
      </c>
      <c r="W187" s="189">
        <f>IFERROR(__xludf.DUMMYFUNCTION("""COMPUTED_VALUE"""),1.0)</f>
        <v>1</v>
      </c>
      <c r="X187" s="189">
        <f>IFERROR(__xludf.DUMMYFUNCTION("""COMPUTED_VALUE"""),6.0)</f>
        <v>6</v>
      </c>
      <c r="Y187" s="208" t="str">
        <f>IFERROR(__xludf.DUMMYFUNCTION("""COMPUTED_VALUE"""),"2025-07-13T00:00:00.000Z")</f>
        <v>2025-07-13T00:00:00.000Z</v>
      </c>
      <c r="Z187" s="189" t="s">
        <v>137</v>
      </c>
      <c r="AA187" s="189" t="s">
        <v>180</v>
      </c>
    </row>
    <row r="188">
      <c r="A188" s="189">
        <f>IFERROR(__xludf.DUMMYFUNCTION("""COMPUTED_VALUE"""),209348.0)</f>
        <v>209348</v>
      </c>
      <c r="B188" s="189">
        <f>IFERROR(__xludf.DUMMYFUNCTION("""COMPUTED_VALUE"""),92128.0)</f>
        <v>92128</v>
      </c>
      <c r="C188" s="189" t="str">
        <f>IFERROR(__xludf.DUMMYFUNCTION("""COMPUTED_VALUE"""),"Challengers League 2025 NORTH EAST: Split 3 - Upper Swiss Phase")</f>
        <v>Challengers League 2025 NORTH EAST: Split 3 - Upper Swiss Phase</v>
      </c>
      <c r="D188" s="189" t="str">
        <f>IFERROR(__xludf.DUMMYFUNCTION("""COMPUTED_VALUE"""),"Sunset")</f>
        <v>Sunset</v>
      </c>
      <c r="E188" s="189" t="str">
        <f>IFERROR(__xludf.DUMMYFUNCTION("""COMPUTED_VALUE"""),"Formulation Gaming")</f>
        <v>Formulation Gaming</v>
      </c>
      <c r="F188" s="189" t="str">
        <f>IFERROR(__xludf.DUMMYFUNCTION("""COMPUTED_VALUE"""),"Boars Gaming")</f>
        <v>Boars Gaming</v>
      </c>
      <c r="G188" s="189" t="str">
        <f>IFERROR(__xludf.DUMMYFUNCTION("""COMPUTED_VALUE"""),"Cypher,Sova,Viper,Omen,Neon")</f>
        <v>Cypher,Sova,Viper,Omen,Neon</v>
      </c>
      <c r="H188" s="189" t="str">
        <f>IFERROR(__xludf.DUMMYFUNCTION("""COMPUTED_VALUE"""),"Cypher,Sova,Omen,KAY/O,Neon")</f>
        <v>Cypher,Sova,Omen,KAY/O,Neon</v>
      </c>
      <c r="I188" s="189">
        <f>IFERROR(__xludf.DUMMYFUNCTION("""COMPUTED_VALUE"""),13.0)</f>
        <v>13</v>
      </c>
      <c r="J188" s="189">
        <f>IFERROR(__xludf.DUMMYFUNCTION("""COMPUTED_VALUE"""),2.0)</f>
        <v>2</v>
      </c>
      <c r="K188" s="189">
        <f>IFERROR(__xludf.DUMMYFUNCTION("""COMPUTED_VALUE"""),10.0)</f>
        <v>10</v>
      </c>
      <c r="L188" s="189">
        <f>IFERROR(__xludf.DUMMYFUNCTION("""COMPUTED_VALUE"""),2.0)</f>
        <v>2</v>
      </c>
      <c r="M188" s="189">
        <f>IFERROR(__xludf.DUMMYFUNCTION("""COMPUTED_VALUE"""),1.0)</f>
        <v>1</v>
      </c>
      <c r="N188" s="189">
        <f>IFERROR(__xludf.DUMMYFUNCTION("""COMPUTED_VALUE"""),1.0)</f>
        <v>1</v>
      </c>
      <c r="O188" s="189">
        <f>IFERROR(__xludf.DUMMYFUNCTION("""COMPUTED_VALUE"""),3.0)</f>
        <v>3</v>
      </c>
      <c r="P188" s="189">
        <f>IFERROR(__xludf.DUMMYFUNCTION("""COMPUTED_VALUE"""),0.0)</f>
        <v>0</v>
      </c>
      <c r="Q188" s="189">
        <f>IFERROR(__xludf.DUMMYFUNCTION("""COMPUTED_VALUE"""),10.0)</f>
        <v>10</v>
      </c>
      <c r="R188" s="189">
        <f>IFERROR(__xludf.DUMMYFUNCTION("""COMPUTED_VALUE"""),2.0)</f>
        <v>2</v>
      </c>
      <c r="S188" s="189">
        <f>IFERROR(__xludf.DUMMYFUNCTION("""COMPUTED_VALUE"""),0.0)</f>
        <v>0</v>
      </c>
      <c r="T188" s="189">
        <f>IFERROR(__xludf.DUMMYFUNCTION("""COMPUTED_VALUE"""),0.0)</f>
        <v>0</v>
      </c>
      <c r="U188" s="189">
        <f>IFERROR(__xludf.DUMMYFUNCTION("""COMPUTED_VALUE"""),2.0)</f>
        <v>2</v>
      </c>
      <c r="V188" s="189">
        <f>IFERROR(__xludf.DUMMYFUNCTION("""COMPUTED_VALUE"""),10.0)</f>
        <v>10</v>
      </c>
      <c r="W188" s="189">
        <f>IFERROR(__xludf.DUMMYFUNCTION("""COMPUTED_VALUE"""),0.0)</f>
        <v>0</v>
      </c>
      <c r="X188" s="189">
        <f>IFERROR(__xludf.DUMMYFUNCTION("""COMPUTED_VALUE"""),3.0)</f>
        <v>3</v>
      </c>
      <c r="Y188" s="208" t="str">
        <f>IFERROR(__xludf.DUMMYFUNCTION("""COMPUTED_VALUE"""),"2025-07-13T00:00:00.000Z")</f>
        <v>2025-07-13T00:00:00.000Z</v>
      </c>
      <c r="Z188" s="189" t="s">
        <v>442</v>
      </c>
      <c r="AA188" s="189" t="s">
        <v>401</v>
      </c>
    </row>
    <row r="189">
      <c r="A189" s="189">
        <f>IFERROR(__xludf.DUMMYFUNCTION("""COMPUTED_VALUE"""),209539.0)</f>
        <v>209539</v>
      </c>
      <c r="B189" s="189">
        <f>IFERROR(__xludf.DUMMYFUNCTION("""COMPUTED_VALUE"""),92193.0)</f>
        <v>92193</v>
      </c>
      <c r="C189" s="189" t="str">
        <f>IFERROR(__xludf.DUMMYFUNCTION("""COMPUTED_VALUE"""),"Challengers 2025: France Revolution Split 3 - Group Stage")</f>
        <v>Challengers 2025: France Revolution Split 3 - Group Stage</v>
      </c>
      <c r="D189" s="189" t="str">
        <f>IFERROR(__xludf.DUMMYFUNCTION("""COMPUTED_VALUE"""),"Haven")</f>
        <v>Haven</v>
      </c>
      <c r="E189" s="189" t="str">
        <f>IFERROR(__xludf.DUMMYFUNCTION("""COMPUTED_VALUE"""),"Mandatory")</f>
        <v>Mandatory</v>
      </c>
      <c r="F189" s="189" t="str">
        <f>IFERROR(__xludf.DUMMYFUNCTION("""COMPUTED_VALUE"""),"F9 EICAR")</f>
        <v>F9 EICAR</v>
      </c>
      <c r="G189" s="189" t="str">
        <f>IFERROR(__xludf.DUMMYFUNCTION("""COMPUTED_VALUE"""),"Cypher,Sova,Omen,Yoru,Iso")</f>
        <v>Cypher,Sova,Omen,Yoru,Iso</v>
      </c>
      <c r="H189" s="189" t="str">
        <f>IFERROR(__xludf.DUMMYFUNCTION("""COMPUTED_VALUE"""),"Breach,Cypher,Sova,Omen,Jett")</f>
        <v>Breach,Cypher,Sova,Omen,Jett</v>
      </c>
      <c r="I189" s="189">
        <f>IFERROR(__xludf.DUMMYFUNCTION("""COMPUTED_VALUE"""),13.0)</f>
        <v>13</v>
      </c>
      <c r="J189" s="189">
        <f>IFERROR(__xludf.DUMMYFUNCTION("""COMPUTED_VALUE"""),7.0)</f>
        <v>7</v>
      </c>
      <c r="K189" s="189">
        <f>IFERROR(__xludf.DUMMYFUNCTION("""COMPUTED_VALUE"""),7.0)</f>
        <v>7</v>
      </c>
      <c r="L189" s="189">
        <f>IFERROR(__xludf.DUMMYFUNCTION("""COMPUTED_VALUE"""),5.0)</f>
        <v>5</v>
      </c>
      <c r="M189" s="189">
        <f>IFERROR(__xludf.DUMMYFUNCTION("""COMPUTED_VALUE"""),0.0)</f>
        <v>0</v>
      </c>
      <c r="N189" s="189">
        <f>IFERROR(__xludf.DUMMYFUNCTION("""COMPUTED_VALUE"""),1.0)</f>
        <v>1</v>
      </c>
      <c r="O189" s="189">
        <f>IFERROR(__xludf.DUMMYFUNCTION("""COMPUTED_VALUE"""),7.0)</f>
        <v>7</v>
      </c>
      <c r="P189" s="189">
        <f>IFERROR(__xludf.DUMMYFUNCTION("""COMPUTED_VALUE"""),5.0)</f>
        <v>5</v>
      </c>
      <c r="Q189" s="189">
        <f>IFERROR(__xludf.DUMMYFUNCTION("""COMPUTED_VALUE"""),6.0)</f>
        <v>6</v>
      </c>
      <c r="R189" s="189">
        <f>IFERROR(__xludf.DUMMYFUNCTION("""COMPUTED_VALUE"""),2.0)</f>
        <v>2</v>
      </c>
      <c r="S189" s="189">
        <f>IFERROR(__xludf.DUMMYFUNCTION("""COMPUTED_VALUE"""),0.0)</f>
        <v>0</v>
      </c>
      <c r="T189" s="189">
        <f>IFERROR(__xludf.DUMMYFUNCTION("""COMPUTED_VALUE"""),1.0)</f>
        <v>1</v>
      </c>
      <c r="U189" s="189">
        <f>IFERROR(__xludf.DUMMYFUNCTION("""COMPUTED_VALUE"""),2.0)</f>
        <v>2</v>
      </c>
      <c r="V189" s="189">
        <f>IFERROR(__xludf.DUMMYFUNCTION("""COMPUTED_VALUE"""),6.0)</f>
        <v>6</v>
      </c>
      <c r="W189" s="189">
        <f>IFERROR(__xludf.DUMMYFUNCTION("""COMPUTED_VALUE"""),5.0)</f>
        <v>5</v>
      </c>
      <c r="X189" s="189">
        <f>IFERROR(__xludf.DUMMYFUNCTION("""COMPUTED_VALUE"""),7.0)</f>
        <v>7</v>
      </c>
      <c r="Y189" s="208" t="str">
        <f>IFERROR(__xludf.DUMMYFUNCTION("""COMPUTED_VALUE"""),"2025-07-13T00:00:00.000Z")</f>
        <v>2025-07-13T00:00:00.000Z</v>
      </c>
      <c r="Z189" s="189" t="s">
        <v>128</v>
      </c>
      <c r="AA189" s="189" t="s">
        <v>189</v>
      </c>
    </row>
    <row r="190">
      <c r="A190" s="189">
        <f>IFERROR(__xludf.DUMMYFUNCTION("""COMPUTED_VALUE"""),209527.0)</f>
        <v>209527</v>
      </c>
      <c r="B190" s="189">
        <f>IFERROR(__xludf.DUMMYFUNCTION("""COMPUTED_VALUE"""),92189.0)</f>
        <v>92189</v>
      </c>
      <c r="C190" s="189" t="str">
        <f>IFERROR(__xludf.DUMMYFUNCTION("""COMPUTED_VALUE"""),"Challengers League 2025 DACH: Evolution Stage 3 - Group Stage")</f>
        <v>Challengers League 2025 DACH: Evolution Stage 3 - Group Stage</v>
      </c>
      <c r="D190" s="189" t="str">
        <f>IFERROR(__xludf.DUMMYFUNCTION("""COMPUTED_VALUE"""),"Haven")</f>
        <v>Haven</v>
      </c>
      <c r="E190" s="189" t="str">
        <f>IFERROR(__xludf.DUMMYFUNCTION("""COMPUTED_VALUE"""),"MOUZ")</f>
        <v>MOUZ</v>
      </c>
      <c r="F190" s="189" t="str">
        <f>IFERROR(__xludf.DUMMYFUNCTION("""COMPUTED_VALUE"""),"RIZON")</f>
        <v>RIZON</v>
      </c>
      <c r="G190" s="189" t="str">
        <f>IFERROR(__xludf.DUMMYFUNCTION("""COMPUTED_VALUE"""),"Cypher,Sova,Omen,Yoru,Iso")</f>
        <v>Cypher,Sova,Omen,Yoru,Iso</v>
      </c>
      <c r="H190" s="189" t="str">
        <f>IFERROR(__xludf.DUMMYFUNCTION("""COMPUTED_VALUE"""),"Sova,Killjoy,Viper,Omen,Neon")</f>
        <v>Sova,Killjoy,Viper,Omen,Neon</v>
      </c>
      <c r="I190" s="189">
        <f>IFERROR(__xludf.DUMMYFUNCTION("""COMPUTED_VALUE"""),13.0)</f>
        <v>13</v>
      </c>
      <c r="J190" s="189">
        <f>IFERROR(__xludf.DUMMYFUNCTION("""COMPUTED_VALUE"""),3.0)</f>
        <v>3</v>
      </c>
      <c r="K190" s="189">
        <f>IFERROR(__xludf.DUMMYFUNCTION("""COMPUTED_VALUE"""),9.0)</f>
        <v>9</v>
      </c>
      <c r="L190" s="189">
        <f>IFERROR(__xludf.DUMMYFUNCTION("""COMPUTED_VALUE"""),3.0)</f>
        <v>3</v>
      </c>
      <c r="M190" s="189">
        <f>IFERROR(__xludf.DUMMYFUNCTION("""COMPUTED_VALUE"""),1.0)</f>
        <v>1</v>
      </c>
      <c r="N190" s="189">
        <f>IFERROR(__xludf.DUMMYFUNCTION("""COMPUTED_VALUE"""),1.0)</f>
        <v>1</v>
      </c>
      <c r="O190" s="189">
        <f>IFERROR(__xludf.DUMMYFUNCTION("""COMPUTED_VALUE"""),4.0)</f>
        <v>4</v>
      </c>
      <c r="P190" s="189">
        <f>IFERROR(__xludf.DUMMYFUNCTION("""COMPUTED_VALUE"""),0.0)</f>
        <v>0</v>
      </c>
      <c r="Q190" s="189">
        <f>IFERROR(__xludf.DUMMYFUNCTION("""COMPUTED_VALUE"""),9.0)</f>
        <v>9</v>
      </c>
      <c r="R190" s="189">
        <f>IFERROR(__xludf.DUMMYFUNCTION("""COMPUTED_VALUE"""),3.0)</f>
        <v>3</v>
      </c>
      <c r="S190" s="189">
        <f>IFERROR(__xludf.DUMMYFUNCTION("""COMPUTED_VALUE"""),0.0)</f>
        <v>0</v>
      </c>
      <c r="T190" s="189">
        <f>IFERROR(__xludf.DUMMYFUNCTION("""COMPUTED_VALUE"""),0.0)</f>
        <v>0</v>
      </c>
      <c r="U190" s="189">
        <f>IFERROR(__xludf.DUMMYFUNCTION("""COMPUTED_VALUE"""),3.0)</f>
        <v>3</v>
      </c>
      <c r="V190" s="189">
        <f>IFERROR(__xludf.DUMMYFUNCTION("""COMPUTED_VALUE"""),9.0)</f>
        <v>9</v>
      </c>
      <c r="W190" s="189">
        <f>IFERROR(__xludf.DUMMYFUNCTION("""COMPUTED_VALUE"""),0.0)</f>
        <v>0</v>
      </c>
      <c r="X190" s="189">
        <f>IFERROR(__xludf.DUMMYFUNCTION("""COMPUTED_VALUE"""),4.0)</f>
        <v>4</v>
      </c>
      <c r="Y190" s="208" t="str">
        <f>IFERROR(__xludf.DUMMYFUNCTION("""COMPUTED_VALUE"""),"2025-07-13T00:00:00.000Z")</f>
        <v>2025-07-13T00:00:00.000Z</v>
      </c>
      <c r="Z190" s="189" t="s">
        <v>136</v>
      </c>
      <c r="AA190" s="189" t="s">
        <v>180</v>
      </c>
    </row>
    <row r="191">
      <c r="A191" s="189">
        <f>IFERROR(__xludf.DUMMYFUNCTION("""COMPUTED_VALUE"""),209347.0)</f>
        <v>209347</v>
      </c>
      <c r="B191" s="189">
        <f>IFERROR(__xludf.DUMMYFUNCTION("""COMPUTED_VALUE"""),92127.0)</f>
        <v>92127</v>
      </c>
      <c r="C191" s="189" t="str">
        <f>IFERROR(__xludf.DUMMYFUNCTION("""COMPUTED_VALUE"""),"Challengers League 2025 NORTH EAST: Split 3 - Upper Swiss Phase")</f>
        <v>Challengers League 2025 NORTH EAST: Split 3 - Upper Swiss Phase</v>
      </c>
      <c r="D191" s="189" t="str">
        <f>IFERROR(__xludf.DUMMYFUNCTION("""COMPUTED_VALUE"""),"Ascent")</f>
        <v>Ascent</v>
      </c>
      <c r="E191" s="189" t="str">
        <f>IFERROR(__xludf.DUMMYFUNCTION("""COMPUTED_VALUE"""),"Team Liquid Academy")</f>
        <v>Team Liquid Academy</v>
      </c>
      <c r="F191" s="189" t="str">
        <f>IFERROR(__xludf.DUMMYFUNCTION("""COMPUTED_VALUE"""),"Easties")</f>
        <v>Easties</v>
      </c>
      <c r="G191" s="189" t="str">
        <f>IFERROR(__xludf.DUMMYFUNCTION("""COMPUTED_VALUE"""),"Sova,Omen,Yoru,Vyse,Waylay")</f>
        <v>Sova,Omen,Yoru,Vyse,Waylay</v>
      </c>
      <c r="H191" s="189" t="str">
        <f>IFERROR(__xludf.DUMMYFUNCTION("""COMPUTED_VALUE"""),"Cypher,Sova,Omen,Yoru,Deadlock")</f>
        <v>Cypher,Sova,Omen,Yoru,Deadlock</v>
      </c>
      <c r="I191" s="189">
        <f>IFERROR(__xludf.DUMMYFUNCTION("""COMPUTED_VALUE"""),13.0)</f>
        <v>13</v>
      </c>
      <c r="J191" s="189">
        <f>IFERROR(__xludf.DUMMYFUNCTION("""COMPUTED_VALUE"""),0.0)</f>
        <v>0</v>
      </c>
      <c r="K191" s="189">
        <f>IFERROR(__xludf.DUMMYFUNCTION("""COMPUTED_VALUE"""),12.0)</f>
        <v>12</v>
      </c>
      <c r="L191" s="189">
        <f>IFERROR(__xludf.DUMMYFUNCTION("""COMPUTED_VALUE"""),0.0)</f>
        <v>0</v>
      </c>
      <c r="M191" s="189">
        <f>IFERROR(__xludf.DUMMYFUNCTION("""COMPUTED_VALUE"""),1.0)</f>
        <v>1</v>
      </c>
      <c r="N191" s="189">
        <f>IFERROR(__xludf.DUMMYFUNCTION("""COMPUTED_VALUE"""),1.0)</f>
        <v>1</v>
      </c>
      <c r="O191" s="189">
        <f>IFERROR(__xludf.DUMMYFUNCTION("""COMPUTED_VALUE"""),1.0)</f>
        <v>1</v>
      </c>
      <c r="P191" s="189">
        <f>IFERROR(__xludf.DUMMYFUNCTION("""COMPUTED_VALUE"""),0.0)</f>
        <v>0</v>
      </c>
      <c r="Q191" s="189">
        <f>IFERROR(__xludf.DUMMYFUNCTION("""COMPUTED_VALUE"""),12.0)</f>
        <v>12</v>
      </c>
      <c r="R191" s="189">
        <f>IFERROR(__xludf.DUMMYFUNCTION("""COMPUTED_VALUE"""),0.0)</f>
        <v>0</v>
      </c>
      <c r="S191" s="189">
        <f>IFERROR(__xludf.DUMMYFUNCTION("""COMPUTED_VALUE"""),0.0)</f>
        <v>0</v>
      </c>
      <c r="T191" s="189">
        <f>IFERROR(__xludf.DUMMYFUNCTION("""COMPUTED_VALUE"""),0.0)</f>
        <v>0</v>
      </c>
      <c r="U191" s="189">
        <f>IFERROR(__xludf.DUMMYFUNCTION("""COMPUTED_VALUE"""),0.0)</f>
        <v>0</v>
      </c>
      <c r="V191" s="189">
        <f>IFERROR(__xludf.DUMMYFUNCTION("""COMPUTED_VALUE"""),12.0)</f>
        <v>12</v>
      </c>
      <c r="W191" s="189">
        <f>IFERROR(__xludf.DUMMYFUNCTION("""COMPUTED_VALUE"""),0.0)</f>
        <v>0</v>
      </c>
      <c r="X191" s="189">
        <f>IFERROR(__xludf.DUMMYFUNCTION("""COMPUTED_VALUE"""),1.0)</f>
        <v>1</v>
      </c>
      <c r="Y191" s="208" t="str">
        <f>IFERROR(__xludf.DUMMYFUNCTION("""COMPUTED_VALUE"""),"2025-07-13T00:00:00.000Z")</f>
        <v>2025-07-13T00:00:00.000Z</v>
      </c>
      <c r="Z191" s="189" t="s">
        <v>142</v>
      </c>
      <c r="AA191" s="189" t="s">
        <v>1</v>
      </c>
    </row>
    <row r="192">
      <c r="A192" s="189">
        <f>IFERROR(__xludf.DUMMYFUNCTION("""COMPUTED_VALUE"""),209544.0)</f>
        <v>209544</v>
      </c>
      <c r="B192" s="189">
        <f>IFERROR(__xludf.DUMMYFUNCTION("""COMPUTED_VALUE"""),92194.0)</f>
        <v>92194</v>
      </c>
      <c r="C192" s="189" t="str">
        <f>IFERROR(__xludf.DUMMYFUNCTION("""COMPUTED_VALUE"""),"Challengers 2025: France Revolution Split 3 - Group Stage")</f>
        <v>Challengers 2025: France Revolution Split 3 - Group Stage</v>
      </c>
      <c r="D192" s="189" t="str">
        <f>IFERROR(__xludf.DUMMYFUNCTION("""COMPUTED_VALUE"""),"Ascent")</f>
        <v>Ascent</v>
      </c>
      <c r="E192" s="189" t="str">
        <f>IFERROR(__xludf.DUMMYFUNCTION("""COMPUTED_VALUE"""),"Joblife")</f>
        <v>Joblife</v>
      </c>
      <c r="F192" s="189" t="str">
        <f>IFERROR(__xludf.DUMMYFUNCTION("""COMPUTED_VALUE"""),"Hide On Bush")</f>
        <v>Hide On Bush</v>
      </c>
      <c r="G192" s="189" t="str">
        <f>IFERROR(__xludf.DUMMYFUNCTION("""COMPUTED_VALUE"""),"Sova,Killjoy,Omen,Jett,KAY/O")</f>
        <v>Sova,Killjoy,Omen,Jett,KAY/O</v>
      </c>
      <c r="H192" s="189" t="str">
        <f>IFERROR(__xludf.DUMMYFUNCTION("""COMPUTED_VALUE"""),"Sova,Omen,Yoru,Chamber,Vyse")</f>
        <v>Sova,Omen,Yoru,Chamber,Vyse</v>
      </c>
      <c r="I192" s="189">
        <f>IFERROR(__xludf.DUMMYFUNCTION("""COMPUTED_VALUE"""),10.0)</f>
        <v>10</v>
      </c>
      <c r="J192" s="189">
        <f>IFERROR(__xludf.DUMMYFUNCTION("""COMPUTED_VALUE"""),13.0)</f>
        <v>13</v>
      </c>
      <c r="K192" s="189">
        <f>IFERROR(__xludf.DUMMYFUNCTION("""COMPUTED_VALUE"""),7.0)</f>
        <v>7</v>
      </c>
      <c r="L192" s="189">
        <f>IFERROR(__xludf.DUMMYFUNCTION("""COMPUTED_VALUE"""),5.0)</f>
        <v>5</v>
      </c>
      <c r="M192" s="189">
        <f>IFERROR(__xludf.DUMMYFUNCTION("""COMPUTED_VALUE"""),1.0)</f>
        <v>1</v>
      </c>
      <c r="N192" s="189">
        <f>IFERROR(__xludf.DUMMYFUNCTION("""COMPUTED_VALUE"""),1.0)</f>
        <v>1</v>
      </c>
      <c r="O192" s="189">
        <f>IFERROR(__xludf.DUMMYFUNCTION("""COMPUTED_VALUE"""),3.0)</f>
        <v>3</v>
      </c>
      <c r="P192" s="189">
        <f>IFERROR(__xludf.DUMMYFUNCTION("""COMPUTED_VALUE"""),8.0)</f>
        <v>8</v>
      </c>
      <c r="Q192" s="189">
        <f>IFERROR(__xludf.DUMMYFUNCTION("""COMPUTED_VALUE"""),7.0)</f>
        <v>7</v>
      </c>
      <c r="R192" s="189">
        <f>IFERROR(__xludf.DUMMYFUNCTION("""COMPUTED_VALUE"""),5.0)</f>
        <v>5</v>
      </c>
      <c r="S192" s="189">
        <f>IFERROR(__xludf.DUMMYFUNCTION("""COMPUTED_VALUE"""),0.0)</f>
        <v>0</v>
      </c>
      <c r="T192" s="189">
        <f>IFERROR(__xludf.DUMMYFUNCTION("""COMPUTED_VALUE"""),0.0)</f>
        <v>0</v>
      </c>
      <c r="U192" s="189">
        <f>IFERROR(__xludf.DUMMYFUNCTION("""COMPUTED_VALUE"""),5.0)</f>
        <v>5</v>
      </c>
      <c r="V192" s="189">
        <f>IFERROR(__xludf.DUMMYFUNCTION("""COMPUTED_VALUE"""),7.0)</f>
        <v>7</v>
      </c>
      <c r="W192" s="189">
        <f>IFERROR(__xludf.DUMMYFUNCTION("""COMPUTED_VALUE"""),8.0)</f>
        <v>8</v>
      </c>
      <c r="X192" s="189">
        <f>IFERROR(__xludf.DUMMYFUNCTION("""COMPUTED_VALUE"""),3.0)</f>
        <v>3</v>
      </c>
      <c r="Y192" s="208" t="str">
        <f>IFERROR(__xludf.DUMMYFUNCTION("""COMPUTED_VALUE"""),"2025-07-12T00:00:00.000Z")</f>
        <v>2025-07-12T00:00:00.000Z</v>
      </c>
      <c r="Z192" s="189" t="s">
        <v>113</v>
      </c>
      <c r="AA192" s="189" t="s">
        <v>443</v>
      </c>
    </row>
    <row r="193">
      <c r="A193" s="189">
        <f>IFERROR(__xludf.DUMMYFUNCTION("""COMPUTED_VALUE"""),209543.0)</f>
        <v>209543</v>
      </c>
      <c r="B193" s="189">
        <f>IFERROR(__xludf.DUMMYFUNCTION("""COMPUTED_VALUE"""),92194.0)</f>
        <v>92194</v>
      </c>
      <c r="C193" s="189" t="str">
        <f>IFERROR(__xludf.DUMMYFUNCTION("""COMPUTED_VALUE"""),"Challengers 2025: France Revolution Split 3 - Group Stage")</f>
        <v>Challengers 2025: France Revolution Split 3 - Group Stage</v>
      </c>
      <c r="D193" s="189" t="str">
        <f>IFERROR(__xludf.DUMMYFUNCTION("""COMPUTED_VALUE"""),"Haven")</f>
        <v>Haven</v>
      </c>
      <c r="E193" s="189" t="str">
        <f>IFERROR(__xludf.DUMMYFUNCTION("""COMPUTED_VALUE"""),"Joblife")</f>
        <v>Joblife</v>
      </c>
      <c r="F193" s="189" t="str">
        <f>IFERROR(__xludf.DUMMYFUNCTION("""COMPUTED_VALUE"""),"Hide On Bush")</f>
        <v>Hide On Bush</v>
      </c>
      <c r="G193" s="189" t="str">
        <f>IFERROR(__xludf.DUMMYFUNCTION("""COMPUTED_VALUE"""),"Breach,Cypher,Sova,Omen,Jett")</f>
        <v>Breach,Cypher,Sova,Omen,Jett</v>
      </c>
      <c r="H193" s="189" t="str">
        <f>IFERROR(__xludf.DUMMYFUNCTION("""COMPUTED_VALUE"""),"Breach,Cypher,Sova,Omen,Jett")</f>
        <v>Breach,Cypher,Sova,Omen,Jett</v>
      </c>
      <c r="I193" s="189">
        <f>IFERROR(__xludf.DUMMYFUNCTION("""COMPUTED_VALUE"""),13.0)</f>
        <v>13</v>
      </c>
      <c r="J193" s="189">
        <f>IFERROR(__xludf.DUMMYFUNCTION("""COMPUTED_VALUE"""),9.0)</f>
        <v>9</v>
      </c>
      <c r="K193" s="189">
        <f>IFERROR(__xludf.DUMMYFUNCTION("""COMPUTED_VALUE"""),6.0)</f>
        <v>6</v>
      </c>
      <c r="L193" s="189">
        <f>IFERROR(__xludf.DUMMYFUNCTION("""COMPUTED_VALUE"""),6.0)</f>
        <v>6</v>
      </c>
      <c r="M193" s="189">
        <f>IFERROR(__xludf.DUMMYFUNCTION("""COMPUTED_VALUE"""),0.0)</f>
        <v>0</v>
      </c>
      <c r="N193" s="189">
        <f>IFERROR(__xludf.DUMMYFUNCTION("""COMPUTED_VALUE"""),0.0)</f>
        <v>0</v>
      </c>
      <c r="O193" s="189">
        <f>IFERROR(__xludf.DUMMYFUNCTION("""COMPUTED_VALUE"""),7.0)</f>
        <v>7</v>
      </c>
      <c r="P193" s="189">
        <f>IFERROR(__xludf.DUMMYFUNCTION("""COMPUTED_VALUE"""),3.0)</f>
        <v>3</v>
      </c>
      <c r="Q193" s="189">
        <f>IFERROR(__xludf.DUMMYFUNCTION("""COMPUTED_VALUE"""),6.0)</f>
        <v>6</v>
      </c>
      <c r="R193" s="189">
        <f>IFERROR(__xludf.DUMMYFUNCTION("""COMPUTED_VALUE"""),6.0)</f>
        <v>6</v>
      </c>
      <c r="S193" s="189">
        <f>IFERROR(__xludf.DUMMYFUNCTION("""COMPUTED_VALUE"""),1.0)</f>
        <v>1</v>
      </c>
      <c r="T193" s="189">
        <f>IFERROR(__xludf.DUMMYFUNCTION("""COMPUTED_VALUE"""),1.0)</f>
        <v>1</v>
      </c>
      <c r="U193" s="189">
        <f>IFERROR(__xludf.DUMMYFUNCTION("""COMPUTED_VALUE"""),6.0)</f>
        <v>6</v>
      </c>
      <c r="V193" s="189">
        <f>IFERROR(__xludf.DUMMYFUNCTION("""COMPUTED_VALUE"""),6.0)</f>
        <v>6</v>
      </c>
      <c r="W193" s="189">
        <f>IFERROR(__xludf.DUMMYFUNCTION("""COMPUTED_VALUE"""),3.0)</f>
        <v>3</v>
      </c>
      <c r="X193" s="189">
        <f>IFERROR(__xludf.DUMMYFUNCTION("""COMPUTED_VALUE"""),7.0)</f>
        <v>7</v>
      </c>
      <c r="Y193" s="208" t="str">
        <f>IFERROR(__xludf.DUMMYFUNCTION("""COMPUTED_VALUE"""),"2025-07-12T00:00:00.000Z")</f>
        <v>2025-07-12T00:00:00.000Z</v>
      </c>
      <c r="Z193" s="189" t="s">
        <v>115</v>
      </c>
      <c r="AA193" s="189" t="s">
        <v>232</v>
      </c>
    </row>
    <row r="194">
      <c r="A194" s="189">
        <f>IFERROR(__xludf.DUMMYFUNCTION("""COMPUTED_VALUE"""),209513.0)</f>
        <v>209513</v>
      </c>
      <c r="B194" s="189">
        <f>IFERROR(__xludf.DUMMYFUNCTION("""COMPUTED_VALUE"""),92184.0)</f>
        <v>92184</v>
      </c>
      <c r="C194" s="189" t="str">
        <f>IFERROR(__xludf.DUMMYFUNCTION("""COMPUTED_VALUE"""),"Challengers League 2025 DACH: Evolution Stage 3 - Group Stage")</f>
        <v>Challengers League 2025 DACH: Evolution Stage 3 - Group Stage</v>
      </c>
      <c r="D194" s="189" t="str">
        <f>IFERROR(__xludf.DUMMYFUNCTION("""COMPUTED_VALUE"""),"Ascent")</f>
        <v>Ascent</v>
      </c>
      <c r="E194" s="189" t="str">
        <f>IFERROR(__xludf.DUMMYFUNCTION("""COMPUTED_VALUE"""),"Eintracht Frankfurt")</f>
        <v>Eintracht Frankfurt</v>
      </c>
      <c r="F194" s="189" t="str">
        <f>IFERROR(__xludf.DUMMYFUNCTION("""COMPUTED_VALUE"""),"CGN Esports")</f>
        <v>CGN Esports</v>
      </c>
      <c r="G194" s="189" t="str">
        <f>IFERROR(__xludf.DUMMYFUNCTION("""COMPUTED_VALUE"""),"Cypher,Sova,Omen,Jett,KAY/O")</f>
        <v>Cypher,Sova,Omen,Jett,KAY/O</v>
      </c>
      <c r="H194" s="189" t="str">
        <f>IFERROR(__xludf.DUMMYFUNCTION("""COMPUTED_VALUE"""),"Cypher,Sova,Omen,Yoru,Deadlock")</f>
        <v>Cypher,Sova,Omen,Yoru,Deadlock</v>
      </c>
      <c r="I194" s="189">
        <f>IFERROR(__xludf.DUMMYFUNCTION("""COMPUTED_VALUE"""),13.0)</f>
        <v>13</v>
      </c>
      <c r="J194" s="189">
        <f>IFERROR(__xludf.DUMMYFUNCTION("""COMPUTED_VALUE"""),3.0)</f>
        <v>3</v>
      </c>
      <c r="K194" s="189">
        <f>IFERROR(__xludf.DUMMYFUNCTION("""COMPUTED_VALUE"""),10.0)</f>
        <v>10</v>
      </c>
      <c r="L194" s="189">
        <f>IFERROR(__xludf.DUMMYFUNCTION("""COMPUTED_VALUE"""),2.0)</f>
        <v>2</v>
      </c>
      <c r="M194" s="189">
        <f>IFERROR(__xludf.DUMMYFUNCTION("""COMPUTED_VALUE"""),1.0)</f>
        <v>1</v>
      </c>
      <c r="N194" s="189">
        <f>IFERROR(__xludf.DUMMYFUNCTION("""COMPUTED_VALUE"""),1.0)</f>
        <v>1</v>
      </c>
      <c r="O194" s="189">
        <f>IFERROR(__xludf.DUMMYFUNCTION("""COMPUTED_VALUE"""),3.0)</f>
        <v>3</v>
      </c>
      <c r="P194" s="189">
        <f>IFERROR(__xludf.DUMMYFUNCTION("""COMPUTED_VALUE"""),1.0)</f>
        <v>1</v>
      </c>
      <c r="Q194" s="189">
        <f>IFERROR(__xludf.DUMMYFUNCTION("""COMPUTED_VALUE"""),10.0)</f>
        <v>10</v>
      </c>
      <c r="R194" s="189">
        <f>IFERROR(__xludf.DUMMYFUNCTION("""COMPUTED_VALUE"""),2.0)</f>
        <v>2</v>
      </c>
      <c r="S194" s="189">
        <f>IFERROR(__xludf.DUMMYFUNCTION("""COMPUTED_VALUE"""),0.0)</f>
        <v>0</v>
      </c>
      <c r="T194" s="189">
        <f>IFERROR(__xludf.DUMMYFUNCTION("""COMPUTED_VALUE"""),0.0)</f>
        <v>0</v>
      </c>
      <c r="U194" s="189">
        <f>IFERROR(__xludf.DUMMYFUNCTION("""COMPUTED_VALUE"""),2.0)</f>
        <v>2</v>
      </c>
      <c r="V194" s="189">
        <f>IFERROR(__xludf.DUMMYFUNCTION("""COMPUTED_VALUE"""),10.0)</f>
        <v>10</v>
      </c>
      <c r="W194" s="189">
        <f>IFERROR(__xludf.DUMMYFUNCTION("""COMPUTED_VALUE"""),1.0)</f>
        <v>1</v>
      </c>
      <c r="X194" s="189">
        <f>IFERROR(__xludf.DUMMYFUNCTION("""COMPUTED_VALUE"""),3.0)</f>
        <v>3</v>
      </c>
      <c r="Y194" s="208" t="str">
        <f>IFERROR(__xludf.DUMMYFUNCTION("""COMPUTED_VALUE"""),"2025-07-12T00:00:00.000Z")</f>
        <v>2025-07-12T00:00:00.000Z</v>
      </c>
      <c r="Z194" s="189" t="s">
        <v>99</v>
      </c>
      <c r="AA194" s="189" t="s">
        <v>183</v>
      </c>
    </row>
    <row r="195">
      <c r="A195" s="189">
        <f>IFERROR(__xludf.DUMMYFUNCTION("""COMPUTED_VALUE"""),209542.0)</f>
        <v>209542</v>
      </c>
      <c r="B195" s="189">
        <f>IFERROR(__xludf.DUMMYFUNCTION("""COMPUTED_VALUE"""),92194.0)</f>
        <v>92194</v>
      </c>
      <c r="C195" s="189" t="str">
        <f>IFERROR(__xludf.DUMMYFUNCTION("""COMPUTED_VALUE"""),"Challengers 2025: France Revolution Split 3 - Group Stage")</f>
        <v>Challengers 2025: France Revolution Split 3 - Group Stage</v>
      </c>
      <c r="D195" s="189" t="str">
        <f>IFERROR(__xludf.DUMMYFUNCTION("""COMPUTED_VALUE"""),"Bind")</f>
        <v>Bind</v>
      </c>
      <c r="E195" s="189" t="str">
        <f>IFERROR(__xludf.DUMMYFUNCTION("""COMPUTED_VALUE"""),"Joblife")</f>
        <v>Joblife</v>
      </c>
      <c r="F195" s="189" t="str">
        <f>IFERROR(__xludf.DUMMYFUNCTION("""COMPUTED_VALUE"""),"Hide On Bush")</f>
        <v>Hide On Bush</v>
      </c>
      <c r="G195" s="189" t="str">
        <f>IFERROR(__xludf.DUMMYFUNCTION("""COMPUTED_VALUE"""),"Raze,Viper,Brimstone,Skye,Gekko")</f>
        <v>Raze,Viper,Brimstone,Skye,Gekko</v>
      </c>
      <c r="H195" s="189" t="str">
        <f>IFERROR(__xludf.DUMMYFUNCTION("""COMPUTED_VALUE"""),"Brimstone,Yoru,Chamber,Fade,Deadlock")</f>
        <v>Brimstone,Yoru,Chamber,Fade,Deadlock</v>
      </c>
      <c r="I195" s="189">
        <f>IFERROR(__xludf.DUMMYFUNCTION("""COMPUTED_VALUE"""),8.0)</f>
        <v>8</v>
      </c>
      <c r="J195" s="189">
        <f>IFERROR(__xludf.DUMMYFUNCTION("""COMPUTED_VALUE"""),13.0)</f>
        <v>13</v>
      </c>
      <c r="K195" s="189">
        <f>IFERROR(__xludf.DUMMYFUNCTION("""COMPUTED_VALUE"""),7.0)</f>
        <v>7</v>
      </c>
      <c r="L195" s="189">
        <f>IFERROR(__xludf.DUMMYFUNCTION("""COMPUTED_VALUE"""),5.0)</f>
        <v>5</v>
      </c>
      <c r="M195" s="189">
        <f>IFERROR(__xludf.DUMMYFUNCTION("""COMPUTED_VALUE"""),1.0)</f>
        <v>1</v>
      </c>
      <c r="N195" s="189">
        <f>IFERROR(__xludf.DUMMYFUNCTION("""COMPUTED_VALUE"""),0.0)</f>
        <v>0</v>
      </c>
      <c r="O195" s="189">
        <f>IFERROR(__xludf.DUMMYFUNCTION("""COMPUTED_VALUE"""),7.0)</f>
        <v>7</v>
      </c>
      <c r="P195" s="189">
        <f>IFERROR(__xludf.DUMMYFUNCTION("""COMPUTED_VALUE"""),5.0)</f>
        <v>5</v>
      </c>
      <c r="Q195" s="189">
        <f>IFERROR(__xludf.DUMMYFUNCTION("""COMPUTED_VALUE"""),1.0)</f>
        <v>1</v>
      </c>
      <c r="R195" s="189">
        <f>IFERROR(__xludf.DUMMYFUNCTION("""COMPUTED_VALUE"""),8.0)</f>
        <v>8</v>
      </c>
      <c r="S195" s="189">
        <f>IFERROR(__xludf.DUMMYFUNCTION("""COMPUTED_VALUE"""),1.0)</f>
        <v>1</v>
      </c>
      <c r="T195" s="189">
        <f>IFERROR(__xludf.DUMMYFUNCTION("""COMPUTED_VALUE"""),0.0)</f>
        <v>0</v>
      </c>
      <c r="U195" s="189">
        <f>IFERROR(__xludf.DUMMYFUNCTION("""COMPUTED_VALUE"""),8.0)</f>
        <v>8</v>
      </c>
      <c r="V195" s="189">
        <f>IFERROR(__xludf.DUMMYFUNCTION("""COMPUTED_VALUE"""),1.0)</f>
        <v>1</v>
      </c>
      <c r="W195" s="189">
        <f>IFERROR(__xludf.DUMMYFUNCTION("""COMPUTED_VALUE"""),5.0)</f>
        <v>5</v>
      </c>
      <c r="X195" s="189">
        <f>IFERROR(__xludf.DUMMYFUNCTION("""COMPUTED_VALUE"""),7.0)</f>
        <v>7</v>
      </c>
      <c r="Y195" s="208" t="str">
        <f>IFERROR(__xludf.DUMMYFUNCTION("""COMPUTED_VALUE"""),"2025-07-12T00:00:00.000Z")</f>
        <v>2025-07-12T00:00:00.000Z</v>
      </c>
      <c r="Z195" s="189" t="s">
        <v>114</v>
      </c>
      <c r="AA195" s="189" t="s">
        <v>443</v>
      </c>
    </row>
    <row r="196">
      <c r="A196" s="189">
        <f>IFERROR(__xludf.DUMMYFUNCTION("""COMPUTED_VALUE"""),209512.0)</f>
        <v>209512</v>
      </c>
      <c r="B196" s="189">
        <f>IFERROR(__xludf.DUMMYFUNCTION("""COMPUTED_VALUE"""),92184.0)</f>
        <v>92184</v>
      </c>
      <c r="C196" s="189" t="str">
        <f>IFERROR(__xludf.DUMMYFUNCTION("""COMPUTED_VALUE"""),"Challengers League 2025 DACH: Evolution Stage 3 - Group Stage")</f>
        <v>Challengers League 2025 DACH: Evolution Stage 3 - Group Stage</v>
      </c>
      <c r="D196" s="189" t="str">
        <f>IFERROR(__xludf.DUMMYFUNCTION("""COMPUTED_VALUE"""),"Lotus")</f>
        <v>Lotus</v>
      </c>
      <c r="E196" s="189" t="str">
        <f>IFERROR(__xludf.DUMMYFUNCTION("""COMPUTED_VALUE"""),"Eintracht Frankfurt")</f>
        <v>Eintracht Frankfurt</v>
      </c>
      <c r="F196" s="189" t="str">
        <f>IFERROR(__xludf.DUMMYFUNCTION("""COMPUTED_VALUE"""),"CGN Esports")</f>
        <v>CGN Esports</v>
      </c>
      <c r="G196" s="189" t="str">
        <f>IFERROR(__xludf.DUMMYFUNCTION("""COMPUTED_VALUE"""),"Cypher,Viper,Omen,Yoru,Fade")</f>
        <v>Cypher,Viper,Omen,Yoru,Fade</v>
      </c>
      <c r="H196" s="189" t="str">
        <f>IFERROR(__xludf.DUMMYFUNCTION("""COMPUTED_VALUE"""),"Raze,Viper,Omen,Neon,Fade")</f>
        <v>Raze,Viper,Omen,Neon,Fade</v>
      </c>
      <c r="I196" s="189">
        <f>IFERROR(__xludf.DUMMYFUNCTION("""COMPUTED_VALUE"""),13.0)</f>
        <v>13</v>
      </c>
      <c r="J196" s="189">
        <f>IFERROR(__xludf.DUMMYFUNCTION("""COMPUTED_VALUE"""),9.0)</f>
        <v>9</v>
      </c>
      <c r="K196" s="189">
        <f>IFERROR(__xludf.DUMMYFUNCTION("""COMPUTED_VALUE"""),5.0)</f>
        <v>5</v>
      </c>
      <c r="L196" s="189">
        <f>IFERROR(__xludf.DUMMYFUNCTION("""COMPUTED_VALUE"""),7.0)</f>
        <v>7</v>
      </c>
      <c r="M196" s="189">
        <f>IFERROR(__xludf.DUMMYFUNCTION("""COMPUTED_VALUE"""),1.0)</f>
        <v>1</v>
      </c>
      <c r="N196" s="189">
        <f>IFERROR(__xludf.DUMMYFUNCTION("""COMPUTED_VALUE"""),1.0)</f>
        <v>1</v>
      </c>
      <c r="O196" s="189">
        <f>IFERROR(__xludf.DUMMYFUNCTION("""COMPUTED_VALUE"""),5.0)</f>
        <v>5</v>
      </c>
      <c r="P196" s="189">
        <f>IFERROR(__xludf.DUMMYFUNCTION("""COMPUTED_VALUE"""),7.0)</f>
        <v>7</v>
      </c>
      <c r="Q196" s="189">
        <f>IFERROR(__xludf.DUMMYFUNCTION("""COMPUTED_VALUE"""),8.0)</f>
        <v>8</v>
      </c>
      <c r="R196" s="189">
        <f>IFERROR(__xludf.DUMMYFUNCTION("""COMPUTED_VALUE"""),2.0)</f>
        <v>2</v>
      </c>
      <c r="S196" s="189">
        <f>IFERROR(__xludf.DUMMYFUNCTION("""COMPUTED_VALUE"""),0.0)</f>
        <v>0</v>
      </c>
      <c r="T196" s="189">
        <f>IFERROR(__xludf.DUMMYFUNCTION("""COMPUTED_VALUE"""),0.0)</f>
        <v>0</v>
      </c>
      <c r="U196" s="189">
        <f>IFERROR(__xludf.DUMMYFUNCTION("""COMPUTED_VALUE"""),2.0)</f>
        <v>2</v>
      </c>
      <c r="V196" s="189">
        <f>IFERROR(__xludf.DUMMYFUNCTION("""COMPUTED_VALUE"""),8.0)</f>
        <v>8</v>
      </c>
      <c r="W196" s="189">
        <f>IFERROR(__xludf.DUMMYFUNCTION("""COMPUTED_VALUE"""),7.0)</f>
        <v>7</v>
      </c>
      <c r="X196" s="189">
        <f>IFERROR(__xludf.DUMMYFUNCTION("""COMPUTED_VALUE"""),5.0)</f>
        <v>5</v>
      </c>
      <c r="Y196" s="208" t="str">
        <f>IFERROR(__xludf.DUMMYFUNCTION("""COMPUTED_VALUE"""),"2025-07-12T00:00:00.000Z")</f>
        <v>2025-07-12T00:00:00.000Z</v>
      </c>
      <c r="Z196" s="189" t="s">
        <v>104</v>
      </c>
      <c r="AA196" s="189" t="s">
        <v>183</v>
      </c>
    </row>
    <row r="197">
      <c r="A197" s="189">
        <f>IFERROR(__xludf.DUMMYFUNCTION("""COMPUTED_VALUE"""),208380.0)</f>
        <v>208380</v>
      </c>
      <c r="B197" s="189">
        <f>IFERROR(__xludf.DUMMYFUNCTION("""COMPUTED_VALUE"""),91775.0)</f>
        <v>91775</v>
      </c>
      <c r="C197" s="189" t="str">
        <f>IFERROR(__xludf.DUMMYFUNCTION("""COMPUTED_VALUE"""),"Challengers League 2025 Türkiye Birlik: Split 3 - Group Stage")</f>
        <v>Challengers League 2025 Türkiye Birlik: Split 3 - Group Stage</v>
      </c>
      <c r="D197" s="189" t="str">
        <f>IFERROR(__xludf.DUMMYFUNCTION("""COMPUTED_VALUE"""),"Pearl")</f>
        <v>Pearl</v>
      </c>
      <c r="E197" s="189" t="str">
        <f>IFERROR(__xludf.DUMMYFUNCTION("""COMPUTED_VALUE"""),"Eternal Fire")</f>
        <v>Eternal Fire</v>
      </c>
      <c r="F197" s="189" t="str">
        <f>IFERROR(__xludf.DUMMYFUNCTION("""COMPUTED_VALUE"""),"ULF Esports")</f>
        <v>ULF Esports</v>
      </c>
      <c r="G197" s="189" t="str">
        <f>IFERROR(__xludf.DUMMYFUNCTION("""COMPUTED_VALUE"""),"Cypher,Sova,Yoru,Astra,Iso")</f>
        <v>Cypher,Sova,Yoru,Astra,Iso</v>
      </c>
      <c r="H197" s="189" t="str">
        <f>IFERROR(__xludf.DUMMYFUNCTION("""COMPUTED_VALUE"""),"Cypher,Sova,Yoru,Astra,Neon")</f>
        <v>Cypher,Sova,Yoru,Astra,Neon</v>
      </c>
      <c r="I197" s="189">
        <f>IFERROR(__xludf.DUMMYFUNCTION("""COMPUTED_VALUE"""),8.0)</f>
        <v>8</v>
      </c>
      <c r="J197" s="189">
        <f>IFERROR(__xludf.DUMMYFUNCTION("""COMPUTED_VALUE"""),13.0)</f>
        <v>13</v>
      </c>
      <c r="K197" s="189">
        <f>IFERROR(__xludf.DUMMYFUNCTION("""COMPUTED_VALUE"""),6.0)</f>
        <v>6</v>
      </c>
      <c r="L197" s="189">
        <f>IFERROR(__xludf.DUMMYFUNCTION("""COMPUTED_VALUE"""),6.0)</f>
        <v>6</v>
      </c>
      <c r="M197" s="189">
        <f>IFERROR(__xludf.DUMMYFUNCTION("""COMPUTED_VALUE"""),0.0)</f>
        <v>0</v>
      </c>
      <c r="N197" s="189">
        <f>IFERROR(__xludf.DUMMYFUNCTION("""COMPUTED_VALUE"""),1.0)</f>
        <v>1</v>
      </c>
      <c r="O197" s="189">
        <f>IFERROR(__xludf.DUMMYFUNCTION("""COMPUTED_VALUE"""),2.0)</f>
        <v>2</v>
      </c>
      <c r="P197" s="189">
        <f>IFERROR(__xludf.DUMMYFUNCTION("""COMPUTED_VALUE"""),7.0)</f>
        <v>7</v>
      </c>
      <c r="Q197" s="189">
        <f>IFERROR(__xludf.DUMMYFUNCTION("""COMPUTED_VALUE"""),6.0)</f>
        <v>6</v>
      </c>
      <c r="R197" s="189">
        <f>IFERROR(__xludf.DUMMYFUNCTION("""COMPUTED_VALUE"""),6.0)</f>
        <v>6</v>
      </c>
      <c r="S197" s="189">
        <f>IFERROR(__xludf.DUMMYFUNCTION("""COMPUTED_VALUE"""),0.0)</f>
        <v>0</v>
      </c>
      <c r="T197" s="189">
        <f>IFERROR(__xludf.DUMMYFUNCTION("""COMPUTED_VALUE"""),1.0)</f>
        <v>1</v>
      </c>
      <c r="U197" s="189">
        <f>IFERROR(__xludf.DUMMYFUNCTION("""COMPUTED_VALUE"""),6.0)</f>
        <v>6</v>
      </c>
      <c r="V197" s="189">
        <f>IFERROR(__xludf.DUMMYFUNCTION("""COMPUTED_VALUE"""),6.0)</f>
        <v>6</v>
      </c>
      <c r="W197" s="189">
        <f>IFERROR(__xludf.DUMMYFUNCTION("""COMPUTED_VALUE"""),7.0)</f>
        <v>7</v>
      </c>
      <c r="X197" s="189">
        <f>IFERROR(__xludf.DUMMYFUNCTION("""COMPUTED_VALUE"""),2.0)</f>
        <v>2</v>
      </c>
      <c r="Y197" s="208" t="str">
        <f>IFERROR(__xludf.DUMMYFUNCTION("""COMPUTED_VALUE"""),"2025-07-12T00:00:00.000Z")</f>
        <v>2025-07-12T00:00:00.000Z</v>
      </c>
      <c r="Z197" s="189" t="s">
        <v>444</v>
      </c>
      <c r="AA197" s="189" t="s">
        <v>188</v>
      </c>
    </row>
    <row r="198">
      <c r="A198" s="189">
        <f>IFERROR(__xludf.DUMMYFUNCTION("""COMPUTED_VALUE"""),208379.0)</f>
        <v>208379</v>
      </c>
      <c r="B198" s="189">
        <f>IFERROR(__xludf.DUMMYFUNCTION("""COMPUTED_VALUE"""),91775.0)</f>
        <v>91775</v>
      </c>
      <c r="C198" s="189" t="str">
        <f>IFERROR(__xludf.DUMMYFUNCTION("""COMPUTED_VALUE"""),"Challengers League 2025 Türkiye Birlik: Split 3 - Group Stage")</f>
        <v>Challengers League 2025 Türkiye Birlik: Split 3 - Group Stage</v>
      </c>
      <c r="D198" s="189" t="str">
        <f>IFERROR(__xludf.DUMMYFUNCTION("""COMPUTED_VALUE"""),"Lotus")</f>
        <v>Lotus</v>
      </c>
      <c r="E198" s="189" t="str">
        <f>IFERROR(__xludf.DUMMYFUNCTION("""COMPUTED_VALUE"""),"Eternal Fire")</f>
        <v>Eternal Fire</v>
      </c>
      <c r="F198" s="189" t="str">
        <f>IFERROR(__xludf.DUMMYFUNCTION("""COMPUTED_VALUE"""),"ULF Esports")</f>
        <v>ULF Esports</v>
      </c>
      <c r="G198" s="189" t="str">
        <f>IFERROR(__xludf.DUMMYFUNCTION("""COMPUTED_VALUE"""),"Viper,Omen,Yoru,Fade,Iso")</f>
        <v>Viper,Omen,Yoru,Fade,Iso</v>
      </c>
      <c r="H198" s="189" t="str">
        <f>IFERROR(__xludf.DUMMYFUNCTION("""COMPUTED_VALUE"""),"Raze,Omen,Yoru,Fade,Vyse")</f>
        <v>Raze,Omen,Yoru,Fade,Vyse</v>
      </c>
      <c r="I198" s="189">
        <f>IFERROR(__xludf.DUMMYFUNCTION("""COMPUTED_VALUE"""),3.0)</f>
        <v>3</v>
      </c>
      <c r="J198" s="189">
        <f>IFERROR(__xludf.DUMMYFUNCTION("""COMPUTED_VALUE"""),13.0)</f>
        <v>13</v>
      </c>
      <c r="K198" s="189">
        <f>IFERROR(__xludf.DUMMYFUNCTION("""COMPUTED_VALUE"""),2.0)</f>
        <v>2</v>
      </c>
      <c r="L198" s="189">
        <f>IFERROR(__xludf.DUMMYFUNCTION("""COMPUTED_VALUE"""),10.0)</f>
        <v>10</v>
      </c>
      <c r="M198" s="189">
        <f>IFERROR(__xludf.DUMMYFUNCTION("""COMPUTED_VALUE"""),0.0)</f>
        <v>0</v>
      </c>
      <c r="N198" s="189">
        <f>IFERROR(__xludf.DUMMYFUNCTION("""COMPUTED_VALUE"""),1.0)</f>
        <v>1</v>
      </c>
      <c r="O198" s="189">
        <f>IFERROR(__xludf.DUMMYFUNCTION("""COMPUTED_VALUE"""),1.0)</f>
        <v>1</v>
      </c>
      <c r="P198" s="189">
        <f>IFERROR(__xludf.DUMMYFUNCTION("""COMPUTED_VALUE"""),3.0)</f>
        <v>3</v>
      </c>
      <c r="Q198" s="189">
        <f>IFERROR(__xludf.DUMMYFUNCTION("""COMPUTED_VALUE"""),2.0)</f>
        <v>2</v>
      </c>
      <c r="R198" s="189">
        <f>IFERROR(__xludf.DUMMYFUNCTION("""COMPUTED_VALUE"""),10.0)</f>
        <v>10</v>
      </c>
      <c r="S198" s="189">
        <f>IFERROR(__xludf.DUMMYFUNCTION("""COMPUTED_VALUE"""),0.0)</f>
        <v>0</v>
      </c>
      <c r="T198" s="189">
        <f>IFERROR(__xludf.DUMMYFUNCTION("""COMPUTED_VALUE"""),1.0)</f>
        <v>1</v>
      </c>
      <c r="U198" s="189">
        <f>IFERROR(__xludf.DUMMYFUNCTION("""COMPUTED_VALUE"""),10.0)</f>
        <v>10</v>
      </c>
      <c r="V198" s="189">
        <f>IFERROR(__xludf.DUMMYFUNCTION("""COMPUTED_VALUE"""),2.0)</f>
        <v>2</v>
      </c>
      <c r="W198" s="189">
        <f>IFERROR(__xludf.DUMMYFUNCTION("""COMPUTED_VALUE"""),3.0)</f>
        <v>3</v>
      </c>
      <c r="X198" s="189">
        <f>IFERROR(__xludf.DUMMYFUNCTION("""COMPUTED_VALUE"""),1.0)</f>
        <v>1</v>
      </c>
      <c r="Y198" s="208" t="str">
        <f>IFERROR(__xludf.DUMMYFUNCTION("""COMPUTED_VALUE"""),"2025-07-12T00:00:00.000Z")</f>
        <v>2025-07-12T00:00:00.000Z</v>
      </c>
      <c r="Z198" s="189" t="s">
        <v>445</v>
      </c>
      <c r="AA198" s="189" t="s">
        <v>188</v>
      </c>
    </row>
    <row r="199">
      <c r="A199" s="189">
        <f>IFERROR(__xludf.DUMMYFUNCTION("""COMPUTED_VALUE"""),209342.0)</f>
        <v>209342</v>
      </c>
      <c r="B199" s="189">
        <f>IFERROR(__xludf.DUMMYFUNCTION("""COMPUTED_VALUE"""),92122.0)</f>
        <v>92122</v>
      </c>
      <c r="C199" s="189" t="str">
        <f>IFERROR(__xludf.DUMMYFUNCTION("""COMPUTED_VALUE"""),"Challengers League 2025 NORTH EAST: Split 3 - Upper Swiss Phase")</f>
        <v>Challengers League 2025 NORTH EAST: Split 3 - Upper Swiss Phase</v>
      </c>
      <c r="D199" s="189" t="str">
        <f>IFERROR(__xludf.DUMMYFUNCTION("""COMPUTED_VALUE"""),"Ascent")</f>
        <v>Ascent</v>
      </c>
      <c r="E199" s="189" t="str">
        <f>IFERROR(__xludf.DUMMYFUNCTION("""COMPUTED_VALUE"""),"Enterprise Esports")</f>
        <v>Enterprise Esports</v>
      </c>
      <c r="F199" s="189" t="str">
        <f>IFERROR(__xludf.DUMMYFUNCTION("""COMPUTED_VALUE"""),"děti ulice")</f>
        <v>děti ulice</v>
      </c>
      <c r="G199" s="189" t="str">
        <f>IFERROR(__xludf.DUMMYFUNCTION("""COMPUTED_VALUE"""),"Cypher,Sova,Omen,Jett,KAY/O")</f>
        <v>Cypher,Sova,Omen,Jett,KAY/O</v>
      </c>
      <c r="H199" s="189" t="str">
        <f>IFERROR(__xludf.DUMMYFUNCTION("""COMPUTED_VALUE"""),"Sova,Killjoy,Omen,Jett,KAY/O")</f>
        <v>Sova,Killjoy,Omen,Jett,KAY/O</v>
      </c>
      <c r="I199" s="189">
        <f>IFERROR(__xludf.DUMMYFUNCTION("""COMPUTED_VALUE"""),13.0)</f>
        <v>13</v>
      </c>
      <c r="J199" s="189">
        <f>IFERROR(__xludf.DUMMYFUNCTION("""COMPUTED_VALUE"""),8.0)</f>
        <v>8</v>
      </c>
      <c r="K199" s="189">
        <f>IFERROR(__xludf.DUMMYFUNCTION("""COMPUTED_VALUE"""),9.0)</f>
        <v>9</v>
      </c>
      <c r="L199" s="189">
        <f>IFERROR(__xludf.DUMMYFUNCTION("""COMPUTED_VALUE"""),3.0)</f>
        <v>3</v>
      </c>
      <c r="M199" s="189">
        <f>IFERROR(__xludf.DUMMYFUNCTION("""COMPUTED_VALUE"""),0.0)</f>
        <v>0</v>
      </c>
      <c r="N199" s="189">
        <f>IFERROR(__xludf.DUMMYFUNCTION("""COMPUTED_VALUE"""),1.0)</f>
        <v>1</v>
      </c>
      <c r="O199" s="189">
        <f>IFERROR(__xludf.DUMMYFUNCTION("""COMPUTED_VALUE"""),4.0)</f>
        <v>4</v>
      </c>
      <c r="P199" s="189">
        <f>IFERROR(__xludf.DUMMYFUNCTION("""COMPUTED_VALUE"""),5.0)</f>
        <v>5</v>
      </c>
      <c r="Q199" s="189">
        <f>IFERROR(__xludf.DUMMYFUNCTION("""COMPUTED_VALUE"""),9.0)</f>
        <v>9</v>
      </c>
      <c r="R199" s="189">
        <f>IFERROR(__xludf.DUMMYFUNCTION("""COMPUTED_VALUE"""),3.0)</f>
        <v>3</v>
      </c>
      <c r="S199" s="189">
        <f>IFERROR(__xludf.DUMMYFUNCTION("""COMPUTED_VALUE"""),0.0)</f>
        <v>0</v>
      </c>
      <c r="T199" s="189">
        <f>IFERROR(__xludf.DUMMYFUNCTION("""COMPUTED_VALUE"""),1.0)</f>
        <v>1</v>
      </c>
      <c r="U199" s="189">
        <f>IFERROR(__xludf.DUMMYFUNCTION("""COMPUTED_VALUE"""),3.0)</f>
        <v>3</v>
      </c>
      <c r="V199" s="189">
        <f>IFERROR(__xludf.DUMMYFUNCTION("""COMPUTED_VALUE"""),9.0)</f>
        <v>9</v>
      </c>
      <c r="W199" s="189">
        <f>IFERROR(__xludf.DUMMYFUNCTION("""COMPUTED_VALUE"""),5.0)</f>
        <v>5</v>
      </c>
      <c r="X199" s="189">
        <f>IFERROR(__xludf.DUMMYFUNCTION("""COMPUTED_VALUE"""),4.0)</f>
        <v>4</v>
      </c>
      <c r="Y199" s="208" t="str">
        <f>IFERROR(__xludf.DUMMYFUNCTION("""COMPUTED_VALUE"""),"2025-07-12T00:00:00.000Z")</f>
        <v>2025-07-12T00:00:00.000Z</v>
      </c>
      <c r="Z199" s="189" t="s">
        <v>107</v>
      </c>
      <c r="AA199" s="189" t="s">
        <v>179</v>
      </c>
    </row>
    <row r="200">
      <c r="A200" s="189">
        <f>IFERROR(__xludf.DUMMYFUNCTION("""COMPUTED_VALUE"""),207559.0)</f>
        <v>207559</v>
      </c>
      <c r="B200" s="189">
        <f>IFERROR(__xludf.DUMMYFUNCTION("""COMPUTED_VALUE"""),91447.0)</f>
        <v>91447</v>
      </c>
      <c r="C200" s="189" t="str">
        <f>IFERROR(__xludf.DUMMYFUNCTION("""COMPUTED_VALUE"""),"Challengers League 2025 Spain Rising: Split 3 - Group Stage")</f>
        <v>Challengers League 2025 Spain Rising: Split 3 - Group Stage</v>
      </c>
      <c r="D200" s="189" t="str">
        <f>IFERROR(__xludf.DUMMYFUNCTION("""COMPUTED_VALUE"""),"Ascent")</f>
        <v>Ascent</v>
      </c>
      <c r="E200" s="189" t="str">
        <f>IFERROR(__xludf.DUMMYFUNCTION("""COMPUTED_VALUE"""),"HGE Esports")</f>
        <v>HGE Esports</v>
      </c>
      <c r="F200" s="189" t="str">
        <f>IFERROR(__xludf.DUMMYFUNCTION("""COMPUTED_VALUE"""),"DNSTY")</f>
        <v>DNSTY</v>
      </c>
      <c r="G200" s="189" t="str">
        <f>IFERROR(__xludf.DUMMYFUNCTION("""COMPUTED_VALUE"""),"Sova,Omen,Yoru,Chamber,Vyse")</f>
        <v>Sova,Omen,Yoru,Chamber,Vyse</v>
      </c>
      <c r="H200" s="189" t="str">
        <f>IFERROR(__xludf.DUMMYFUNCTION("""COMPUTED_VALUE"""),"Sova,Killjoy,Omen,Jett,KAY/O")</f>
        <v>Sova,Killjoy,Omen,Jett,KAY/O</v>
      </c>
      <c r="I200" s="189">
        <f>IFERROR(__xludf.DUMMYFUNCTION("""COMPUTED_VALUE"""),3.0)</f>
        <v>3</v>
      </c>
      <c r="J200" s="189">
        <f>IFERROR(__xludf.DUMMYFUNCTION("""COMPUTED_VALUE"""),13.0)</f>
        <v>13</v>
      </c>
      <c r="K200" s="189">
        <f>IFERROR(__xludf.DUMMYFUNCTION("""COMPUTED_VALUE"""),1.0)</f>
        <v>1</v>
      </c>
      <c r="L200" s="189">
        <f>IFERROR(__xludf.DUMMYFUNCTION("""COMPUTED_VALUE"""),11.0)</f>
        <v>11</v>
      </c>
      <c r="M200" s="189">
        <f>IFERROR(__xludf.DUMMYFUNCTION("""COMPUTED_VALUE"""),0.0)</f>
        <v>0</v>
      </c>
      <c r="N200" s="189">
        <f>IFERROR(__xludf.DUMMYFUNCTION("""COMPUTED_VALUE"""),1.0)</f>
        <v>1</v>
      </c>
      <c r="O200" s="189">
        <f>IFERROR(__xludf.DUMMYFUNCTION("""COMPUTED_VALUE"""),1.0)</f>
        <v>1</v>
      </c>
      <c r="P200" s="189">
        <f>IFERROR(__xludf.DUMMYFUNCTION("""COMPUTED_VALUE"""),11.0)</f>
        <v>11</v>
      </c>
      <c r="Q200" s="189">
        <f>IFERROR(__xludf.DUMMYFUNCTION("""COMPUTED_VALUE"""),2.0)</f>
        <v>2</v>
      </c>
      <c r="R200" s="189">
        <f>IFERROR(__xludf.DUMMYFUNCTION("""COMPUTED_VALUE"""),2.0)</f>
        <v>2</v>
      </c>
      <c r="S200" s="189">
        <f>IFERROR(__xludf.DUMMYFUNCTION("""COMPUTED_VALUE"""),0.0)</f>
        <v>0</v>
      </c>
      <c r="T200" s="189">
        <f>IFERROR(__xludf.DUMMYFUNCTION("""COMPUTED_VALUE"""),1.0)</f>
        <v>1</v>
      </c>
      <c r="U200" s="189">
        <f>IFERROR(__xludf.DUMMYFUNCTION("""COMPUTED_VALUE"""),2.0)</f>
        <v>2</v>
      </c>
      <c r="V200" s="189">
        <f>IFERROR(__xludf.DUMMYFUNCTION("""COMPUTED_VALUE"""),2.0)</f>
        <v>2</v>
      </c>
      <c r="W200" s="189">
        <f>IFERROR(__xludf.DUMMYFUNCTION("""COMPUTED_VALUE"""),11.0)</f>
        <v>11</v>
      </c>
      <c r="X200" s="189">
        <f>IFERROR(__xludf.DUMMYFUNCTION("""COMPUTED_VALUE"""),1.0)</f>
        <v>1</v>
      </c>
      <c r="Y200" s="208" t="str">
        <f>IFERROR(__xludf.DUMMYFUNCTION("""COMPUTED_VALUE"""),"2025-07-09T00:00:00.000Z")</f>
        <v>2025-07-09T00:00:00.000Z</v>
      </c>
      <c r="Z200" s="189" t="s">
        <v>446</v>
      </c>
      <c r="AA200" s="189" t="s">
        <v>182</v>
      </c>
    </row>
    <row r="201">
      <c r="A201" s="189">
        <f>IFERROR(__xludf.DUMMYFUNCTION("""COMPUTED_VALUE"""),207558.0)</f>
        <v>207558</v>
      </c>
      <c r="B201" s="189">
        <f>IFERROR(__xludf.DUMMYFUNCTION("""COMPUTED_VALUE"""),91447.0)</f>
        <v>91447</v>
      </c>
      <c r="C201" s="189" t="str">
        <f>IFERROR(__xludf.DUMMYFUNCTION("""COMPUTED_VALUE"""),"Challengers League 2025 Spain Rising: Split 3 - Group Stage")</f>
        <v>Challengers League 2025 Spain Rising: Split 3 - Group Stage</v>
      </c>
      <c r="D201" s="189" t="str">
        <f>IFERROR(__xludf.DUMMYFUNCTION("""COMPUTED_VALUE"""),"Lotus")</f>
        <v>Lotus</v>
      </c>
      <c r="E201" s="189" t="str">
        <f>IFERROR(__xludf.DUMMYFUNCTION("""COMPUTED_VALUE"""),"HGE Esports")</f>
        <v>HGE Esports</v>
      </c>
      <c r="F201" s="189" t="str">
        <f>IFERROR(__xludf.DUMMYFUNCTION("""COMPUTED_VALUE"""),"DNSTY")</f>
        <v>DNSTY</v>
      </c>
      <c r="G201" s="189" t="str">
        <f>IFERROR(__xludf.DUMMYFUNCTION("""COMPUTED_VALUE"""),"Breach,Cypher,Omen,Neon,Fade")</f>
        <v>Breach,Cypher,Omen,Neon,Fade</v>
      </c>
      <c r="H201" s="189" t="str">
        <f>IFERROR(__xludf.DUMMYFUNCTION("""COMPUTED_VALUE"""),"Raze,Killjoy,Viper,Omen,Fade")</f>
        <v>Raze,Killjoy,Viper,Omen,Fade</v>
      </c>
      <c r="I201" s="189">
        <f>IFERROR(__xludf.DUMMYFUNCTION("""COMPUTED_VALUE"""),4.0)</f>
        <v>4</v>
      </c>
      <c r="J201" s="189">
        <f>IFERROR(__xludf.DUMMYFUNCTION("""COMPUTED_VALUE"""),13.0)</f>
        <v>13</v>
      </c>
      <c r="K201" s="189">
        <f>IFERROR(__xludf.DUMMYFUNCTION("""COMPUTED_VALUE"""),2.0)</f>
        <v>2</v>
      </c>
      <c r="L201" s="189">
        <f>IFERROR(__xludf.DUMMYFUNCTION("""COMPUTED_VALUE"""),10.0)</f>
        <v>10</v>
      </c>
      <c r="M201" s="189">
        <f>IFERROR(__xludf.DUMMYFUNCTION("""COMPUTED_VALUE"""),1.0)</f>
        <v>1</v>
      </c>
      <c r="N201" s="189">
        <f>IFERROR(__xludf.DUMMYFUNCTION("""COMPUTED_VALUE"""),1.0)</f>
        <v>1</v>
      </c>
      <c r="O201" s="189">
        <f>IFERROR(__xludf.DUMMYFUNCTION("""COMPUTED_VALUE"""),2.0)</f>
        <v>2</v>
      </c>
      <c r="P201" s="189">
        <f>IFERROR(__xludf.DUMMYFUNCTION("""COMPUTED_VALUE"""),10.0)</f>
        <v>10</v>
      </c>
      <c r="Q201" s="189">
        <f>IFERROR(__xludf.DUMMYFUNCTION("""COMPUTED_VALUE"""),2.0)</f>
        <v>2</v>
      </c>
      <c r="R201" s="189">
        <f>IFERROR(__xludf.DUMMYFUNCTION("""COMPUTED_VALUE"""),3.0)</f>
        <v>3</v>
      </c>
      <c r="S201" s="189">
        <f>IFERROR(__xludf.DUMMYFUNCTION("""COMPUTED_VALUE"""),0.0)</f>
        <v>0</v>
      </c>
      <c r="T201" s="189">
        <f>IFERROR(__xludf.DUMMYFUNCTION("""COMPUTED_VALUE"""),0.0)</f>
        <v>0</v>
      </c>
      <c r="U201" s="189">
        <f>IFERROR(__xludf.DUMMYFUNCTION("""COMPUTED_VALUE"""),3.0)</f>
        <v>3</v>
      </c>
      <c r="V201" s="189">
        <f>IFERROR(__xludf.DUMMYFUNCTION("""COMPUTED_VALUE"""),2.0)</f>
        <v>2</v>
      </c>
      <c r="W201" s="189">
        <f>IFERROR(__xludf.DUMMYFUNCTION("""COMPUTED_VALUE"""),10.0)</f>
        <v>10</v>
      </c>
      <c r="X201" s="189">
        <f>IFERROR(__xludf.DUMMYFUNCTION("""COMPUTED_VALUE"""),2.0)</f>
        <v>2</v>
      </c>
      <c r="Y201" s="208" t="str">
        <f>IFERROR(__xludf.DUMMYFUNCTION("""COMPUTED_VALUE"""),"2025-07-09T00:00:00.000Z")</f>
        <v>2025-07-09T00:00:00.000Z</v>
      </c>
      <c r="Z201" s="189" t="s">
        <v>447</v>
      </c>
      <c r="AA201" s="189" t="s">
        <v>182</v>
      </c>
    </row>
    <row r="202">
      <c r="A202" s="189">
        <f>IFERROR(__xludf.DUMMYFUNCTION("""COMPUTED_VALUE"""),207530.0)</f>
        <v>207530</v>
      </c>
      <c r="B202" s="189">
        <f>IFERROR(__xludf.DUMMYFUNCTION("""COMPUTED_VALUE"""),91437.0)</f>
        <v>91437</v>
      </c>
      <c r="C202" s="189" t="str">
        <f>IFERROR(__xludf.DUMMYFUNCTION("""COMPUTED_VALUE"""),"Challengers League 2025 Spain Rising: Split 3 - Group Stage")</f>
        <v>Challengers League 2025 Spain Rising: Split 3 - Group Stage</v>
      </c>
      <c r="D202" s="189" t="str">
        <f>IFERROR(__xludf.DUMMYFUNCTION("""COMPUTED_VALUE"""),"Ascent")</f>
        <v>Ascent</v>
      </c>
      <c r="E202" s="189" t="str">
        <f>IFERROR(__xludf.DUMMYFUNCTION("""COMPUTED_VALUE"""),"KOI Fénix")</f>
        <v>KOI Fénix</v>
      </c>
      <c r="F202" s="189" t="str">
        <f>IFERROR(__xludf.DUMMYFUNCTION("""COMPUTED_VALUE"""),"UCAM Esports Club")</f>
        <v>UCAM Esports Club</v>
      </c>
      <c r="G202" s="189" t="str">
        <f>IFERROR(__xludf.DUMMYFUNCTION("""COMPUTED_VALUE"""),"Sova,Omen,Yoru,Chamber,Vyse")</f>
        <v>Sova,Omen,Yoru,Chamber,Vyse</v>
      </c>
      <c r="H202" s="189" t="str">
        <f>IFERROR(__xludf.DUMMYFUNCTION("""COMPUTED_VALUE"""),"Cypher,Sova,Omen,Jett,KAY/O")</f>
        <v>Cypher,Sova,Omen,Jett,KAY/O</v>
      </c>
      <c r="I202" s="189">
        <f>IFERROR(__xludf.DUMMYFUNCTION("""COMPUTED_VALUE"""),14.0)</f>
        <v>14</v>
      </c>
      <c r="J202" s="189">
        <f>IFERROR(__xludf.DUMMYFUNCTION("""COMPUTED_VALUE"""),12.0)</f>
        <v>12</v>
      </c>
      <c r="K202" s="189">
        <f>IFERROR(__xludf.DUMMYFUNCTION("""COMPUTED_VALUE"""),5.0)</f>
        <v>5</v>
      </c>
      <c r="L202" s="189">
        <f>IFERROR(__xludf.DUMMYFUNCTION("""COMPUTED_VALUE"""),7.0)</f>
        <v>7</v>
      </c>
      <c r="M202" s="189">
        <f>IFERROR(__xludf.DUMMYFUNCTION("""COMPUTED_VALUE"""),1.0)</f>
        <v>1</v>
      </c>
      <c r="N202" s="189">
        <f>IFERROR(__xludf.DUMMYFUNCTION("""COMPUTED_VALUE"""),0.0)</f>
        <v>0</v>
      </c>
      <c r="O202" s="189">
        <f>IFERROR(__xludf.DUMMYFUNCTION("""COMPUTED_VALUE"""),6.0)</f>
        <v>6</v>
      </c>
      <c r="P202" s="189">
        <f>IFERROR(__xludf.DUMMYFUNCTION("""COMPUTED_VALUE"""),7.0)</f>
        <v>7</v>
      </c>
      <c r="Q202" s="189">
        <f>IFERROR(__xludf.DUMMYFUNCTION("""COMPUTED_VALUE"""),8.0)</f>
        <v>8</v>
      </c>
      <c r="R202" s="189">
        <f>IFERROR(__xludf.DUMMYFUNCTION("""COMPUTED_VALUE"""),5.0)</f>
        <v>5</v>
      </c>
      <c r="S202" s="189">
        <f>IFERROR(__xludf.DUMMYFUNCTION("""COMPUTED_VALUE"""),1.0)</f>
        <v>1</v>
      </c>
      <c r="T202" s="189">
        <f>IFERROR(__xludf.DUMMYFUNCTION("""COMPUTED_VALUE"""),0.0)</f>
        <v>0</v>
      </c>
      <c r="U202" s="189">
        <f>IFERROR(__xludf.DUMMYFUNCTION("""COMPUTED_VALUE"""),5.0)</f>
        <v>5</v>
      </c>
      <c r="V202" s="189">
        <f>IFERROR(__xludf.DUMMYFUNCTION("""COMPUTED_VALUE"""),8.0)</f>
        <v>8</v>
      </c>
      <c r="W202" s="189">
        <f>IFERROR(__xludf.DUMMYFUNCTION("""COMPUTED_VALUE"""),7.0)</f>
        <v>7</v>
      </c>
      <c r="X202" s="189">
        <f>IFERROR(__xludf.DUMMYFUNCTION("""COMPUTED_VALUE"""),6.0)</f>
        <v>6</v>
      </c>
      <c r="Y202" s="208" t="str">
        <f>IFERROR(__xludf.DUMMYFUNCTION("""COMPUTED_VALUE"""),"2025-07-08T00:00:00.000Z")</f>
        <v>2025-07-08T00:00:00.000Z</v>
      </c>
      <c r="Z202" s="189" t="s">
        <v>119</v>
      </c>
      <c r="AA202" s="189" t="s">
        <v>187</v>
      </c>
    </row>
    <row r="203">
      <c r="A203" s="189">
        <f>IFERROR(__xludf.DUMMYFUNCTION("""COMPUTED_VALUE"""),207529.0)</f>
        <v>207529</v>
      </c>
      <c r="B203" s="189">
        <f>IFERROR(__xludf.DUMMYFUNCTION("""COMPUTED_VALUE"""),91437.0)</f>
        <v>91437</v>
      </c>
      <c r="C203" s="189" t="str">
        <f>IFERROR(__xludf.DUMMYFUNCTION("""COMPUTED_VALUE"""),"Challengers League 2025 Spain Rising: Split 3 - Group Stage")</f>
        <v>Challengers League 2025 Spain Rising: Split 3 - Group Stage</v>
      </c>
      <c r="D203" s="189" t="str">
        <f>IFERROR(__xludf.DUMMYFUNCTION("""COMPUTED_VALUE"""),"Lotus")</f>
        <v>Lotus</v>
      </c>
      <c r="E203" s="189" t="str">
        <f>IFERROR(__xludf.DUMMYFUNCTION("""COMPUTED_VALUE"""),"KOI Fénix")</f>
        <v>KOI Fénix</v>
      </c>
      <c r="F203" s="189" t="str">
        <f>IFERROR(__xludf.DUMMYFUNCTION("""COMPUTED_VALUE"""),"UCAM Esports Club")</f>
        <v>UCAM Esports Club</v>
      </c>
      <c r="G203" s="189" t="str">
        <f>IFERROR(__xludf.DUMMYFUNCTION("""COMPUTED_VALUE"""),"Breach,Sova,Killjoy,Omen,Neon")</f>
        <v>Breach,Sova,Killjoy,Omen,Neon</v>
      </c>
      <c r="H203" s="189" t="str">
        <f>IFERROR(__xludf.DUMMYFUNCTION("""COMPUTED_VALUE"""),"Breach,Cypher,Sova,Omen,Neon")</f>
        <v>Breach,Cypher,Sova,Omen,Neon</v>
      </c>
      <c r="I203" s="189">
        <f>IFERROR(__xludf.DUMMYFUNCTION("""COMPUTED_VALUE"""),13.0)</f>
        <v>13</v>
      </c>
      <c r="J203" s="189">
        <f>IFERROR(__xludf.DUMMYFUNCTION("""COMPUTED_VALUE"""),11.0)</f>
        <v>11</v>
      </c>
      <c r="K203" s="189">
        <f>IFERROR(__xludf.DUMMYFUNCTION("""COMPUTED_VALUE"""),6.0)</f>
        <v>6</v>
      </c>
      <c r="L203" s="189">
        <f>IFERROR(__xludf.DUMMYFUNCTION("""COMPUTED_VALUE"""),6.0)</f>
        <v>6</v>
      </c>
      <c r="M203" s="189">
        <f>IFERROR(__xludf.DUMMYFUNCTION("""COMPUTED_VALUE"""),0.0)</f>
        <v>0</v>
      </c>
      <c r="N203" s="189">
        <f>IFERROR(__xludf.DUMMYFUNCTION("""COMPUTED_VALUE"""),1.0)</f>
        <v>1</v>
      </c>
      <c r="O203" s="189">
        <f>IFERROR(__xludf.DUMMYFUNCTION("""COMPUTED_VALUE"""),7.0)</f>
        <v>7</v>
      </c>
      <c r="P203" s="189">
        <f>IFERROR(__xludf.DUMMYFUNCTION("""COMPUTED_VALUE"""),5.0)</f>
        <v>5</v>
      </c>
      <c r="Q203" s="189">
        <f>IFERROR(__xludf.DUMMYFUNCTION("""COMPUTED_VALUE"""),6.0)</f>
        <v>6</v>
      </c>
      <c r="R203" s="189">
        <f>IFERROR(__xludf.DUMMYFUNCTION("""COMPUTED_VALUE"""),6.0)</f>
        <v>6</v>
      </c>
      <c r="S203" s="189">
        <f>IFERROR(__xludf.DUMMYFUNCTION("""COMPUTED_VALUE"""),0.0)</f>
        <v>0</v>
      </c>
      <c r="T203" s="189">
        <f>IFERROR(__xludf.DUMMYFUNCTION("""COMPUTED_VALUE"""),1.0)</f>
        <v>1</v>
      </c>
      <c r="U203" s="189">
        <f>IFERROR(__xludf.DUMMYFUNCTION("""COMPUTED_VALUE"""),6.0)</f>
        <v>6</v>
      </c>
      <c r="V203" s="189">
        <f>IFERROR(__xludf.DUMMYFUNCTION("""COMPUTED_VALUE"""),6.0)</f>
        <v>6</v>
      </c>
      <c r="W203" s="189">
        <f>IFERROR(__xludf.DUMMYFUNCTION("""COMPUTED_VALUE"""),5.0)</f>
        <v>5</v>
      </c>
      <c r="X203" s="189">
        <f>IFERROR(__xludf.DUMMYFUNCTION("""COMPUTED_VALUE"""),7.0)</f>
        <v>7</v>
      </c>
      <c r="Y203" s="208" t="str">
        <f>IFERROR(__xludf.DUMMYFUNCTION("""COMPUTED_VALUE"""),"2025-07-08T00:00:00.000Z")</f>
        <v>2025-07-08T00:00:00.000Z</v>
      </c>
      <c r="Z203" s="189" t="s">
        <v>123</v>
      </c>
      <c r="AA203" s="189" t="s">
        <v>187</v>
      </c>
    </row>
    <row r="204">
      <c r="A204" s="189">
        <f>IFERROR(__xludf.DUMMYFUNCTION("""COMPUTED_VALUE"""),207528.0)</f>
        <v>207528</v>
      </c>
      <c r="B204" s="189">
        <f>IFERROR(__xludf.DUMMYFUNCTION("""COMPUTED_VALUE"""),91437.0)</f>
        <v>91437</v>
      </c>
      <c r="C204" s="189" t="str">
        <f>IFERROR(__xludf.DUMMYFUNCTION("""COMPUTED_VALUE"""),"Challengers League 2025 Spain Rising: Split 3 - Group Stage")</f>
        <v>Challengers League 2025 Spain Rising: Split 3 - Group Stage</v>
      </c>
      <c r="D204" s="189" t="str">
        <f>IFERROR(__xludf.DUMMYFUNCTION("""COMPUTED_VALUE"""),"Bind")</f>
        <v>Bind</v>
      </c>
      <c r="E204" s="189" t="str">
        <f>IFERROR(__xludf.DUMMYFUNCTION("""COMPUTED_VALUE"""),"KOI Fénix")</f>
        <v>KOI Fénix</v>
      </c>
      <c r="F204" s="189" t="str">
        <f>IFERROR(__xludf.DUMMYFUNCTION("""COMPUTED_VALUE"""),"UCAM Esports Club")</f>
        <v>UCAM Esports Club</v>
      </c>
      <c r="G204" s="189" t="str">
        <f>IFERROR(__xludf.DUMMYFUNCTION("""COMPUTED_VALUE"""),"Yoru,Astra,Gekko,Deadlock,Vyse")</f>
        <v>Yoru,Astra,Gekko,Deadlock,Vyse</v>
      </c>
      <c r="H204" s="189" t="str">
        <f>IFERROR(__xludf.DUMMYFUNCTION("""COMPUTED_VALUE"""),"Raze,Cypher,Brimstone,Skye,Gekko")</f>
        <v>Raze,Cypher,Brimstone,Skye,Gekko</v>
      </c>
      <c r="I204" s="189">
        <f>IFERROR(__xludf.DUMMYFUNCTION("""COMPUTED_VALUE"""),12.0)</f>
        <v>12</v>
      </c>
      <c r="J204" s="189">
        <f>IFERROR(__xludf.DUMMYFUNCTION("""COMPUTED_VALUE"""),14.0)</f>
        <v>14</v>
      </c>
      <c r="K204" s="189">
        <f>IFERROR(__xludf.DUMMYFUNCTION("""COMPUTED_VALUE"""),5.0)</f>
        <v>5</v>
      </c>
      <c r="L204" s="189">
        <f>IFERROR(__xludf.DUMMYFUNCTION("""COMPUTED_VALUE"""),7.0)</f>
        <v>7</v>
      </c>
      <c r="M204" s="189">
        <f>IFERROR(__xludf.DUMMYFUNCTION("""COMPUTED_VALUE"""),0.0)</f>
        <v>0</v>
      </c>
      <c r="N204" s="189">
        <f>IFERROR(__xludf.DUMMYFUNCTION("""COMPUTED_VALUE"""),0.0)</f>
        <v>0</v>
      </c>
      <c r="O204" s="189">
        <f>IFERROR(__xludf.DUMMYFUNCTION("""COMPUTED_VALUE"""),5.0)</f>
        <v>5</v>
      </c>
      <c r="P204" s="189">
        <f>IFERROR(__xludf.DUMMYFUNCTION("""COMPUTED_VALUE"""),8.0)</f>
        <v>8</v>
      </c>
      <c r="Q204" s="189">
        <f>IFERROR(__xludf.DUMMYFUNCTION("""COMPUTED_VALUE"""),7.0)</f>
        <v>7</v>
      </c>
      <c r="R204" s="189">
        <f>IFERROR(__xludf.DUMMYFUNCTION("""COMPUTED_VALUE"""),6.0)</f>
        <v>6</v>
      </c>
      <c r="S204" s="189">
        <f>IFERROR(__xludf.DUMMYFUNCTION("""COMPUTED_VALUE"""),1.0)</f>
        <v>1</v>
      </c>
      <c r="T204" s="189">
        <f>IFERROR(__xludf.DUMMYFUNCTION("""COMPUTED_VALUE"""),1.0)</f>
        <v>1</v>
      </c>
      <c r="U204" s="189">
        <f>IFERROR(__xludf.DUMMYFUNCTION("""COMPUTED_VALUE"""),6.0)</f>
        <v>6</v>
      </c>
      <c r="V204" s="189">
        <f>IFERROR(__xludf.DUMMYFUNCTION("""COMPUTED_VALUE"""),7.0)</f>
        <v>7</v>
      </c>
      <c r="W204" s="189">
        <f>IFERROR(__xludf.DUMMYFUNCTION("""COMPUTED_VALUE"""),8.0)</f>
        <v>8</v>
      </c>
      <c r="X204" s="189">
        <f>IFERROR(__xludf.DUMMYFUNCTION("""COMPUTED_VALUE"""),5.0)</f>
        <v>5</v>
      </c>
      <c r="Y204" s="208" t="str">
        <f>IFERROR(__xludf.DUMMYFUNCTION("""COMPUTED_VALUE"""),"2025-07-08T00:00:00.000Z")</f>
        <v>2025-07-08T00:00:00.000Z</v>
      </c>
      <c r="Z204" s="189" t="s">
        <v>120</v>
      </c>
      <c r="AA204" s="189" t="s">
        <v>448</v>
      </c>
    </row>
    <row r="205">
      <c r="A205" s="189">
        <f>IFERROR(__xludf.DUMMYFUNCTION("""COMPUTED_VALUE"""),209340.0)</f>
        <v>209340</v>
      </c>
      <c r="B205" s="189">
        <f>IFERROR(__xludf.DUMMYFUNCTION("""COMPUTED_VALUE"""),92121.0)</f>
        <v>92121</v>
      </c>
      <c r="C205" s="189" t="str">
        <f>IFERROR(__xludf.DUMMYFUNCTION("""COMPUTED_VALUE"""),"Challengers League 2025 NORTH EAST: Split 3 - Lower Swiss Phase")</f>
        <v>Challengers League 2025 NORTH EAST: Split 3 - Lower Swiss Phase</v>
      </c>
      <c r="D205" s="189" t="str">
        <f>IFERROR(__xludf.DUMMYFUNCTION("""COMPUTED_VALUE"""),"Lotus")</f>
        <v>Lotus</v>
      </c>
      <c r="E205" s="189" t="str">
        <f>IFERROR(__xludf.DUMMYFUNCTION("""COMPUTED_VALUE"""),"FULL BOX 200")</f>
        <v>FULL BOX 200</v>
      </c>
      <c r="F205" s="189" t="str">
        <f>IFERROR(__xludf.DUMMYFUNCTION("""COMPUTED_VALUE"""),"děti ulice")</f>
        <v>děti ulice</v>
      </c>
      <c r="G205" s="189" t="str">
        <f>IFERROR(__xludf.DUMMYFUNCTION("""COMPUTED_VALUE"""),"Breach,Killjoy,Omen,Neon,Fade")</f>
        <v>Breach,Killjoy,Omen,Neon,Fade</v>
      </c>
      <c r="H205" s="189" t="str">
        <f>IFERROR(__xludf.DUMMYFUNCTION("""COMPUTED_VALUE"""),"Breach,Sova,Viper,Omen,Neon")</f>
        <v>Breach,Sova,Viper,Omen,Neon</v>
      </c>
      <c r="I205" s="189">
        <f>IFERROR(__xludf.DUMMYFUNCTION("""COMPUTED_VALUE"""),13.0)</f>
        <v>13</v>
      </c>
      <c r="J205" s="189">
        <f>IFERROR(__xludf.DUMMYFUNCTION("""COMPUTED_VALUE"""),11.0)</f>
        <v>11</v>
      </c>
      <c r="K205" s="189">
        <f>IFERROR(__xludf.DUMMYFUNCTION("""COMPUTED_VALUE"""),5.0)</f>
        <v>5</v>
      </c>
      <c r="L205" s="189">
        <f>IFERROR(__xludf.DUMMYFUNCTION("""COMPUTED_VALUE"""),7.0)</f>
        <v>7</v>
      </c>
      <c r="M205" s="189">
        <f>IFERROR(__xludf.DUMMYFUNCTION("""COMPUTED_VALUE"""),1.0)</f>
        <v>1</v>
      </c>
      <c r="N205" s="189">
        <f>IFERROR(__xludf.DUMMYFUNCTION("""COMPUTED_VALUE"""),0.0)</f>
        <v>0</v>
      </c>
      <c r="O205" s="189">
        <f>IFERROR(__xludf.DUMMYFUNCTION("""COMPUTED_VALUE"""),8.0)</f>
        <v>8</v>
      </c>
      <c r="P205" s="189">
        <f>IFERROR(__xludf.DUMMYFUNCTION("""COMPUTED_VALUE"""),4.0)</f>
        <v>4</v>
      </c>
      <c r="Q205" s="189">
        <f>IFERROR(__xludf.DUMMYFUNCTION("""COMPUTED_VALUE"""),5.0)</f>
        <v>5</v>
      </c>
      <c r="R205" s="189">
        <f>IFERROR(__xludf.DUMMYFUNCTION("""COMPUTED_VALUE"""),7.0)</f>
        <v>7</v>
      </c>
      <c r="S205" s="189">
        <f>IFERROR(__xludf.DUMMYFUNCTION("""COMPUTED_VALUE"""),1.0)</f>
        <v>1</v>
      </c>
      <c r="T205" s="189">
        <f>IFERROR(__xludf.DUMMYFUNCTION("""COMPUTED_VALUE"""),0.0)</f>
        <v>0</v>
      </c>
      <c r="U205" s="189">
        <f>IFERROR(__xludf.DUMMYFUNCTION("""COMPUTED_VALUE"""),7.0)</f>
        <v>7</v>
      </c>
      <c r="V205" s="189">
        <f>IFERROR(__xludf.DUMMYFUNCTION("""COMPUTED_VALUE"""),5.0)</f>
        <v>5</v>
      </c>
      <c r="W205" s="189">
        <f>IFERROR(__xludf.DUMMYFUNCTION("""COMPUTED_VALUE"""),4.0)</f>
        <v>4</v>
      </c>
      <c r="X205" s="189">
        <f>IFERROR(__xludf.DUMMYFUNCTION("""COMPUTED_VALUE"""),8.0)</f>
        <v>8</v>
      </c>
      <c r="Y205" s="208" t="str">
        <f>IFERROR(__xludf.DUMMYFUNCTION("""COMPUTED_VALUE"""),"2025-07-07T00:00:00.000Z")</f>
        <v>2025-07-07T00:00:00.000Z</v>
      </c>
      <c r="Z205" s="189" t="s">
        <v>449</v>
      </c>
      <c r="AA205" s="189" t="s">
        <v>450</v>
      </c>
    </row>
    <row r="206">
      <c r="A206" s="189">
        <f>IFERROR(__xludf.DUMMYFUNCTION("""COMPUTED_VALUE"""),209339.0)</f>
        <v>209339</v>
      </c>
      <c r="B206" s="189">
        <f>IFERROR(__xludf.DUMMYFUNCTION("""COMPUTED_VALUE"""),92121.0)</f>
        <v>92121</v>
      </c>
      <c r="C206" s="189" t="str">
        <f>IFERROR(__xludf.DUMMYFUNCTION("""COMPUTED_VALUE"""),"Challengers League 2025 NORTH EAST: Split 3 - Lower Swiss Phase")</f>
        <v>Challengers League 2025 NORTH EAST: Split 3 - Lower Swiss Phase</v>
      </c>
      <c r="D206" s="189" t="str">
        <f>IFERROR(__xludf.DUMMYFUNCTION("""COMPUTED_VALUE"""),"Split")</f>
        <v>Split</v>
      </c>
      <c r="E206" s="189" t="str">
        <f>IFERROR(__xludf.DUMMYFUNCTION("""COMPUTED_VALUE"""),"FULL BOX 200")</f>
        <v>FULL BOX 200</v>
      </c>
      <c r="F206" s="189" t="str">
        <f>IFERROR(__xludf.DUMMYFUNCTION("""COMPUTED_VALUE"""),"děti ulice")</f>
        <v>děti ulice</v>
      </c>
      <c r="G206" s="189" t="str">
        <f>IFERROR(__xludf.DUMMYFUNCTION("""COMPUTED_VALUE"""),"Viper,Sage,Omen,Yoru,Fade")</f>
        <v>Viper,Sage,Omen,Yoru,Fade</v>
      </c>
      <c r="H206" s="189" t="str">
        <f>IFERROR(__xludf.DUMMYFUNCTION("""COMPUTED_VALUE"""),"Raze,Viper,Yoru,Astra,Fade")</f>
        <v>Raze,Viper,Yoru,Astra,Fade</v>
      </c>
      <c r="I206" s="189">
        <f>IFERROR(__xludf.DUMMYFUNCTION("""COMPUTED_VALUE"""),13.0)</f>
        <v>13</v>
      </c>
      <c r="J206" s="189">
        <f>IFERROR(__xludf.DUMMYFUNCTION("""COMPUTED_VALUE"""),11.0)</f>
        <v>11</v>
      </c>
      <c r="K206" s="189">
        <f>IFERROR(__xludf.DUMMYFUNCTION("""COMPUTED_VALUE"""),10.0)</f>
        <v>10</v>
      </c>
      <c r="L206" s="189">
        <f>IFERROR(__xludf.DUMMYFUNCTION("""COMPUTED_VALUE"""),2.0)</f>
        <v>2</v>
      </c>
      <c r="M206" s="189">
        <f>IFERROR(__xludf.DUMMYFUNCTION("""COMPUTED_VALUE"""),1.0)</f>
        <v>1</v>
      </c>
      <c r="N206" s="189">
        <f>IFERROR(__xludf.DUMMYFUNCTION("""COMPUTED_VALUE"""),1.0)</f>
        <v>1</v>
      </c>
      <c r="O206" s="189">
        <f>IFERROR(__xludf.DUMMYFUNCTION("""COMPUTED_VALUE"""),3.0)</f>
        <v>3</v>
      </c>
      <c r="P206" s="189">
        <f>IFERROR(__xludf.DUMMYFUNCTION("""COMPUTED_VALUE"""),9.0)</f>
        <v>9</v>
      </c>
      <c r="Q206" s="189">
        <f>IFERROR(__xludf.DUMMYFUNCTION("""COMPUTED_VALUE"""),10.0)</f>
        <v>10</v>
      </c>
      <c r="R206" s="189">
        <f>IFERROR(__xludf.DUMMYFUNCTION("""COMPUTED_VALUE"""),2.0)</f>
        <v>2</v>
      </c>
      <c r="S206" s="189">
        <f>IFERROR(__xludf.DUMMYFUNCTION("""COMPUTED_VALUE"""),0.0)</f>
        <v>0</v>
      </c>
      <c r="T206" s="189">
        <f>IFERROR(__xludf.DUMMYFUNCTION("""COMPUTED_VALUE"""),0.0)</f>
        <v>0</v>
      </c>
      <c r="U206" s="189">
        <f>IFERROR(__xludf.DUMMYFUNCTION("""COMPUTED_VALUE"""),2.0)</f>
        <v>2</v>
      </c>
      <c r="V206" s="189">
        <f>IFERROR(__xludf.DUMMYFUNCTION("""COMPUTED_VALUE"""),10.0)</f>
        <v>10</v>
      </c>
      <c r="W206" s="189">
        <f>IFERROR(__xludf.DUMMYFUNCTION("""COMPUTED_VALUE"""),9.0)</f>
        <v>9</v>
      </c>
      <c r="X206" s="189">
        <f>IFERROR(__xludf.DUMMYFUNCTION("""COMPUTED_VALUE"""),3.0)</f>
        <v>3</v>
      </c>
      <c r="Y206" s="208" t="str">
        <f>IFERROR(__xludf.DUMMYFUNCTION("""COMPUTED_VALUE"""),"2025-07-07T00:00:00.000Z")</f>
        <v>2025-07-07T00:00:00.000Z</v>
      </c>
      <c r="Z206" s="189" t="s">
        <v>451</v>
      </c>
      <c r="AA206" s="189" t="s">
        <v>450</v>
      </c>
    </row>
    <row r="207">
      <c r="A207" s="189">
        <f>IFERROR(__xludf.DUMMYFUNCTION("""COMPUTED_VALUE"""),209298.0)</f>
        <v>209298</v>
      </c>
      <c r="B207" s="189">
        <f>IFERROR(__xludf.DUMMYFUNCTION("""COMPUTED_VALUE"""),92096.0)</f>
        <v>92096</v>
      </c>
      <c r="C207" s="189" t="str">
        <f>IFERROR(__xludf.DUMMYFUNCTION("""COMPUTED_VALUE"""),"Challengers League 2025 NORTH EAST: Split 3 - Lower Swiss Phase")</f>
        <v>Challengers League 2025 NORTH EAST: Split 3 - Lower Swiss Phase</v>
      </c>
      <c r="D207" s="189" t="str">
        <f>IFERROR(__xludf.DUMMYFUNCTION("""COMPUTED_VALUE"""),"Sunset")</f>
        <v>Sunset</v>
      </c>
      <c r="E207" s="189" t="str">
        <f>IFERROR(__xludf.DUMMYFUNCTION("""COMPUTED_VALUE"""),"děti ulice")</f>
        <v>děti ulice</v>
      </c>
      <c r="F207" s="189" t="str">
        <f>IFERROR(__xludf.DUMMYFUNCTION("""COMPUTED_VALUE"""),"ACEGEAR TEMPEST")</f>
        <v>ACEGEAR TEMPEST</v>
      </c>
      <c r="G207" s="189" t="str">
        <f>IFERROR(__xludf.DUMMYFUNCTION("""COMPUTED_VALUE"""),"Raze,Viper,Skye,Astra,Gekko")</f>
        <v>Raze,Viper,Skye,Astra,Gekko</v>
      </c>
      <c r="H207" s="189" t="str">
        <f>IFERROR(__xludf.DUMMYFUNCTION("""COMPUTED_VALUE"""),"Breach,Raze,Cypher,Sova,Omen")</f>
        <v>Breach,Raze,Cypher,Sova,Omen</v>
      </c>
      <c r="I207" s="189">
        <f>IFERROR(__xludf.DUMMYFUNCTION("""COMPUTED_VALUE"""),13.0)</f>
        <v>13</v>
      </c>
      <c r="J207" s="189">
        <f>IFERROR(__xludf.DUMMYFUNCTION("""COMPUTED_VALUE"""),7.0)</f>
        <v>7</v>
      </c>
      <c r="K207" s="189">
        <f>IFERROR(__xludf.DUMMYFUNCTION("""COMPUTED_VALUE"""),11.0)</f>
        <v>11</v>
      </c>
      <c r="L207" s="189">
        <f>IFERROR(__xludf.DUMMYFUNCTION("""COMPUTED_VALUE"""),1.0)</f>
        <v>1</v>
      </c>
      <c r="M207" s="189">
        <f>IFERROR(__xludf.DUMMYFUNCTION("""COMPUTED_VALUE"""),1.0)</f>
        <v>1</v>
      </c>
      <c r="N207" s="189">
        <f>IFERROR(__xludf.DUMMYFUNCTION("""COMPUTED_VALUE"""),0.0)</f>
        <v>0</v>
      </c>
      <c r="O207" s="189">
        <f>IFERROR(__xludf.DUMMYFUNCTION("""COMPUTED_VALUE"""),11.0)</f>
        <v>11</v>
      </c>
      <c r="P207" s="189">
        <f>IFERROR(__xludf.DUMMYFUNCTION("""COMPUTED_VALUE"""),1.0)</f>
        <v>1</v>
      </c>
      <c r="Q207" s="189">
        <f>IFERROR(__xludf.DUMMYFUNCTION("""COMPUTED_VALUE"""),2.0)</f>
        <v>2</v>
      </c>
      <c r="R207" s="189">
        <f>IFERROR(__xludf.DUMMYFUNCTION("""COMPUTED_VALUE"""),6.0)</f>
        <v>6</v>
      </c>
      <c r="S207" s="189">
        <f>IFERROR(__xludf.DUMMYFUNCTION("""COMPUTED_VALUE"""),1.0)</f>
        <v>1</v>
      </c>
      <c r="T207" s="189">
        <f>IFERROR(__xludf.DUMMYFUNCTION("""COMPUTED_VALUE"""),0.0)</f>
        <v>0</v>
      </c>
      <c r="U207" s="189">
        <f>IFERROR(__xludf.DUMMYFUNCTION("""COMPUTED_VALUE"""),6.0)</f>
        <v>6</v>
      </c>
      <c r="V207" s="189">
        <f>IFERROR(__xludf.DUMMYFUNCTION("""COMPUTED_VALUE"""),2.0)</f>
        <v>2</v>
      </c>
      <c r="W207" s="189">
        <f>IFERROR(__xludf.DUMMYFUNCTION("""COMPUTED_VALUE"""),1.0)</f>
        <v>1</v>
      </c>
      <c r="X207" s="189">
        <f>IFERROR(__xludf.DUMMYFUNCTION("""COMPUTED_VALUE"""),11.0)</f>
        <v>11</v>
      </c>
      <c r="Y207" s="208" t="str">
        <f>IFERROR(__xludf.DUMMYFUNCTION("""COMPUTED_VALUE"""),"2025-07-07T00:00:00.000Z")</f>
        <v>2025-07-07T00:00:00.000Z</v>
      </c>
      <c r="Z207" s="189" t="s">
        <v>92</v>
      </c>
      <c r="AA207" s="189" t="s">
        <v>190</v>
      </c>
    </row>
    <row r="208">
      <c r="A208" s="189">
        <f>IFERROR(__xludf.DUMMYFUNCTION("""COMPUTED_VALUE"""),209297.0)</f>
        <v>209297</v>
      </c>
      <c r="B208" s="189">
        <f>IFERROR(__xludf.DUMMYFUNCTION("""COMPUTED_VALUE"""),92096.0)</f>
        <v>92096</v>
      </c>
      <c r="C208" s="189" t="str">
        <f>IFERROR(__xludf.DUMMYFUNCTION("""COMPUTED_VALUE"""),"Challengers League 2025 NORTH EAST: Split 3 - Lower Swiss Phase")</f>
        <v>Challengers League 2025 NORTH EAST: Split 3 - Lower Swiss Phase</v>
      </c>
      <c r="D208" s="189" t="str">
        <f>IFERROR(__xludf.DUMMYFUNCTION("""COMPUTED_VALUE"""),"Split")</f>
        <v>Split</v>
      </c>
      <c r="E208" s="189" t="str">
        <f>IFERROR(__xludf.DUMMYFUNCTION("""COMPUTED_VALUE"""),"děti ulice")</f>
        <v>děti ulice</v>
      </c>
      <c r="F208" s="189" t="str">
        <f>IFERROR(__xludf.DUMMYFUNCTION("""COMPUTED_VALUE"""),"ACEGEAR TEMPEST")</f>
        <v>ACEGEAR TEMPEST</v>
      </c>
      <c r="G208" s="189" t="str">
        <f>IFERROR(__xludf.DUMMYFUNCTION("""COMPUTED_VALUE"""),"Raze,Viper,Yoru,Astra,Fade")</f>
        <v>Raze,Viper,Yoru,Astra,Fade</v>
      </c>
      <c r="H208" s="189" t="str">
        <f>IFERROR(__xludf.DUMMYFUNCTION("""COMPUTED_VALUE"""),"Raze,Viper,Yoru,Astra,Fade")</f>
        <v>Raze,Viper,Yoru,Astra,Fade</v>
      </c>
      <c r="I208" s="189">
        <f>IFERROR(__xludf.DUMMYFUNCTION("""COMPUTED_VALUE"""),13.0)</f>
        <v>13</v>
      </c>
      <c r="J208" s="189">
        <f>IFERROR(__xludf.DUMMYFUNCTION("""COMPUTED_VALUE"""),5.0)</f>
        <v>5</v>
      </c>
      <c r="K208" s="189">
        <f>IFERROR(__xludf.DUMMYFUNCTION("""COMPUTED_VALUE"""),8.0)</f>
        <v>8</v>
      </c>
      <c r="L208" s="189">
        <f>IFERROR(__xludf.DUMMYFUNCTION("""COMPUTED_VALUE"""),4.0)</f>
        <v>4</v>
      </c>
      <c r="M208" s="189">
        <f>IFERROR(__xludf.DUMMYFUNCTION("""COMPUTED_VALUE"""),1.0)</f>
        <v>1</v>
      </c>
      <c r="N208" s="189">
        <f>IFERROR(__xludf.DUMMYFUNCTION("""COMPUTED_VALUE"""),1.0)</f>
        <v>1</v>
      </c>
      <c r="O208" s="189">
        <f>IFERROR(__xludf.DUMMYFUNCTION("""COMPUTED_VALUE"""),8.0)</f>
        <v>8</v>
      </c>
      <c r="P208" s="189">
        <f>IFERROR(__xludf.DUMMYFUNCTION("""COMPUTED_VALUE"""),4.0)</f>
        <v>4</v>
      </c>
      <c r="Q208" s="189">
        <f>IFERROR(__xludf.DUMMYFUNCTION("""COMPUTED_VALUE"""),5.0)</f>
        <v>5</v>
      </c>
      <c r="R208" s="189">
        <f>IFERROR(__xludf.DUMMYFUNCTION("""COMPUTED_VALUE"""),1.0)</f>
        <v>1</v>
      </c>
      <c r="S208" s="189">
        <f>IFERROR(__xludf.DUMMYFUNCTION("""COMPUTED_VALUE"""),0.0)</f>
        <v>0</v>
      </c>
      <c r="T208" s="189">
        <f>IFERROR(__xludf.DUMMYFUNCTION("""COMPUTED_VALUE"""),0.0)</f>
        <v>0</v>
      </c>
      <c r="U208" s="189">
        <f>IFERROR(__xludf.DUMMYFUNCTION("""COMPUTED_VALUE"""),1.0)</f>
        <v>1</v>
      </c>
      <c r="V208" s="189">
        <f>IFERROR(__xludf.DUMMYFUNCTION("""COMPUTED_VALUE"""),5.0)</f>
        <v>5</v>
      </c>
      <c r="W208" s="189">
        <f>IFERROR(__xludf.DUMMYFUNCTION("""COMPUTED_VALUE"""),4.0)</f>
        <v>4</v>
      </c>
      <c r="X208" s="189">
        <f>IFERROR(__xludf.DUMMYFUNCTION("""COMPUTED_VALUE"""),8.0)</f>
        <v>8</v>
      </c>
      <c r="Y208" s="208" t="str">
        <f>IFERROR(__xludf.DUMMYFUNCTION("""COMPUTED_VALUE"""),"2025-07-07T00:00:00.000Z")</f>
        <v>2025-07-07T00:00:00.000Z</v>
      </c>
      <c r="Z208" s="189" t="s">
        <v>91</v>
      </c>
      <c r="AA208" s="189" t="s">
        <v>190</v>
      </c>
    </row>
    <row r="209">
      <c r="A209" s="189">
        <f>IFERROR(__xludf.DUMMYFUNCTION("""COMPUTED_VALUE"""),209296.0)</f>
        <v>209296</v>
      </c>
      <c r="B209" s="189">
        <f>IFERROR(__xludf.DUMMYFUNCTION("""COMPUTED_VALUE"""),92096.0)</f>
        <v>92096</v>
      </c>
      <c r="C209" s="189" t="str">
        <f>IFERROR(__xludf.DUMMYFUNCTION("""COMPUTED_VALUE"""),"Challengers League 2025 NORTH EAST: Split 3 - Lower Swiss Phase")</f>
        <v>Challengers League 2025 NORTH EAST: Split 3 - Lower Swiss Phase</v>
      </c>
      <c r="D209" s="189" t="str">
        <f>IFERROR(__xludf.DUMMYFUNCTION("""COMPUTED_VALUE"""),"Lotus")</f>
        <v>Lotus</v>
      </c>
      <c r="E209" s="189" t="str">
        <f>IFERROR(__xludf.DUMMYFUNCTION("""COMPUTED_VALUE"""),"děti ulice")</f>
        <v>děti ulice</v>
      </c>
      <c r="F209" s="189" t="str">
        <f>IFERROR(__xludf.DUMMYFUNCTION("""COMPUTED_VALUE"""),"ACEGEAR TEMPEST")</f>
        <v>ACEGEAR TEMPEST</v>
      </c>
      <c r="G209" s="189" t="str">
        <f>IFERROR(__xludf.DUMMYFUNCTION("""COMPUTED_VALUE"""),"Sova,Viper,Omen,Yoru,Fade")</f>
        <v>Sova,Viper,Omen,Yoru,Fade</v>
      </c>
      <c r="H209" s="189" t="str">
        <f>IFERROR(__xludf.DUMMYFUNCTION("""COMPUTED_VALUE"""),"Raze,Viper,Omen,Fade,Vyse")</f>
        <v>Raze,Viper,Omen,Fade,Vyse</v>
      </c>
      <c r="I209" s="189">
        <f>IFERROR(__xludf.DUMMYFUNCTION("""COMPUTED_VALUE"""),11.0)</f>
        <v>11</v>
      </c>
      <c r="J209" s="189">
        <f>IFERROR(__xludf.DUMMYFUNCTION("""COMPUTED_VALUE"""),13.0)</f>
        <v>13</v>
      </c>
      <c r="K209" s="189">
        <f>IFERROR(__xludf.DUMMYFUNCTION("""COMPUTED_VALUE"""),6.0)</f>
        <v>6</v>
      </c>
      <c r="L209" s="189">
        <f>IFERROR(__xludf.DUMMYFUNCTION("""COMPUTED_VALUE"""),6.0)</f>
        <v>6</v>
      </c>
      <c r="M209" s="189">
        <f>IFERROR(__xludf.DUMMYFUNCTION("""COMPUTED_VALUE"""),1.0)</f>
        <v>1</v>
      </c>
      <c r="N209" s="189">
        <f>IFERROR(__xludf.DUMMYFUNCTION("""COMPUTED_VALUE"""),0.0)</f>
        <v>0</v>
      </c>
      <c r="O209" s="189">
        <f>IFERROR(__xludf.DUMMYFUNCTION("""COMPUTED_VALUE"""),6.0)</f>
        <v>6</v>
      </c>
      <c r="P209" s="189">
        <f>IFERROR(__xludf.DUMMYFUNCTION("""COMPUTED_VALUE"""),6.0)</f>
        <v>6</v>
      </c>
      <c r="Q209" s="189">
        <f>IFERROR(__xludf.DUMMYFUNCTION("""COMPUTED_VALUE"""),5.0)</f>
        <v>5</v>
      </c>
      <c r="R209" s="189">
        <f>IFERROR(__xludf.DUMMYFUNCTION("""COMPUTED_VALUE"""),7.0)</f>
        <v>7</v>
      </c>
      <c r="S209" s="189">
        <f>IFERROR(__xludf.DUMMYFUNCTION("""COMPUTED_VALUE"""),1.0)</f>
        <v>1</v>
      </c>
      <c r="T209" s="189">
        <f>IFERROR(__xludf.DUMMYFUNCTION("""COMPUTED_VALUE"""),0.0)</f>
        <v>0</v>
      </c>
      <c r="U209" s="189">
        <f>IFERROR(__xludf.DUMMYFUNCTION("""COMPUTED_VALUE"""),7.0)</f>
        <v>7</v>
      </c>
      <c r="V209" s="189">
        <f>IFERROR(__xludf.DUMMYFUNCTION("""COMPUTED_VALUE"""),5.0)</f>
        <v>5</v>
      </c>
      <c r="W209" s="189">
        <f>IFERROR(__xludf.DUMMYFUNCTION("""COMPUTED_VALUE"""),6.0)</f>
        <v>6</v>
      </c>
      <c r="X209" s="189">
        <f>IFERROR(__xludf.DUMMYFUNCTION("""COMPUTED_VALUE"""),6.0)</f>
        <v>6</v>
      </c>
      <c r="Y209" s="208" t="str">
        <f>IFERROR(__xludf.DUMMYFUNCTION("""COMPUTED_VALUE"""),"2025-07-07T00:00:00.000Z")</f>
        <v>2025-07-07T00:00:00.000Z</v>
      </c>
      <c r="Z209" s="189" t="s">
        <v>90</v>
      </c>
      <c r="AA209" s="189" t="s">
        <v>452</v>
      </c>
    </row>
    <row r="210">
      <c r="A210" s="189">
        <f>IFERROR(__xludf.DUMMYFUNCTION("""COMPUTED_VALUE"""),208378.0)</f>
        <v>208378</v>
      </c>
      <c r="B210" s="189">
        <f>IFERROR(__xludf.DUMMYFUNCTION("""COMPUTED_VALUE"""),91774.0)</f>
        <v>91774</v>
      </c>
      <c r="C210" s="189" t="str">
        <f>IFERROR(__xludf.DUMMYFUNCTION("""COMPUTED_VALUE"""),"Challengers League 2025 Türkiye Birlik: Split 3 - Group Stage")</f>
        <v>Challengers League 2025 Türkiye Birlik: Split 3 - Group Stage</v>
      </c>
      <c r="D210" s="189" t="str">
        <f>IFERROR(__xludf.DUMMYFUNCTION("""COMPUTED_VALUE"""),"Sunset")</f>
        <v>Sunset</v>
      </c>
      <c r="E210" s="189" t="str">
        <f>IFERROR(__xludf.DUMMYFUNCTION("""COMPUTED_VALUE"""),"ULF Esports")</f>
        <v>ULF Esports</v>
      </c>
      <c r="F210" s="189" t="str">
        <f>IFERROR(__xludf.DUMMYFUNCTION("""COMPUTED_VALUE"""),"Galakticos")</f>
        <v>Galakticos</v>
      </c>
      <c r="G210" s="189" t="str">
        <f>IFERROR(__xludf.DUMMYFUNCTION("""COMPUTED_VALUE"""),"Breach,Sova,Omen,Neon,Vyse")</f>
        <v>Breach,Sova,Omen,Neon,Vyse</v>
      </c>
      <c r="H210" s="189" t="str">
        <f>IFERROR(__xludf.DUMMYFUNCTION("""COMPUTED_VALUE"""),"Breach,Raze,Cypher,Omen,Neon")</f>
        <v>Breach,Raze,Cypher,Omen,Neon</v>
      </c>
      <c r="I210" s="189">
        <f>IFERROR(__xludf.DUMMYFUNCTION("""COMPUTED_VALUE"""),13.0)</f>
        <v>13</v>
      </c>
      <c r="J210" s="189">
        <f>IFERROR(__xludf.DUMMYFUNCTION("""COMPUTED_VALUE"""),5.0)</f>
        <v>5</v>
      </c>
      <c r="K210" s="189">
        <f>IFERROR(__xludf.DUMMYFUNCTION("""COMPUTED_VALUE"""),9.0)</f>
        <v>9</v>
      </c>
      <c r="L210" s="189">
        <f>IFERROR(__xludf.DUMMYFUNCTION("""COMPUTED_VALUE"""),3.0)</f>
        <v>3</v>
      </c>
      <c r="M210" s="189">
        <f>IFERROR(__xludf.DUMMYFUNCTION("""COMPUTED_VALUE"""),1.0)</f>
        <v>1</v>
      </c>
      <c r="N210" s="189">
        <f>IFERROR(__xludf.DUMMYFUNCTION("""COMPUTED_VALUE"""),0.0)</f>
        <v>0</v>
      </c>
      <c r="O210" s="189">
        <f>IFERROR(__xludf.DUMMYFUNCTION("""COMPUTED_VALUE"""),9.0)</f>
        <v>9</v>
      </c>
      <c r="P210" s="189">
        <f>IFERROR(__xludf.DUMMYFUNCTION("""COMPUTED_VALUE"""),3.0)</f>
        <v>3</v>
      </c>
      <c r="Q210" s="189">
        <f>IFERROR(__xludf.DUMMYFUNCTION("""COMPUTED_VALUE"""),4.0)</f>
        <v>4</v>
      </c>
      <c r="R210" s="189">
        <f>IFERROR(__xludf.DUMMYFUNCTION("""COMPUTED_VALUE"""),2.0)</f>
        <v>2</v>
      </c>
      <c r="S210" s="189">
        <f>IFERROR(__xludf.DUMMYFUNCTION("""COMPUTED_VALUE"""),1.0)</f>
        <v>1</v>
      </c>
      <c r="T210" s="189">
        <f>IFERROR(__xludf.DUMMYFUNCTION("""COMPUTED_VALUE"""),0.0)</f>
        <v>0</v>
      </c>
      <c r="U210" s="189">
        <f>IFERROR(__xludf.DUMMYFUNCTION("""COMPUTED_VALUE"""),2.0)</f>
        <v>2</v>
      </c>
      <c r="V210" s="189">
        <f>IFERROR(__xludf.DUMMYFUNCTION("""COMPUTED_VALUE"""),4.0)</f>
        <v>4</v>
      </c>
      <c r="W210" s="189">
        <f>IFERROR(__xludf.DUMMYFUNCTION("""COMPUTED_VALUE"""),3.0)</f>
        <v>3</v>
      </c>
      <c r="X210" s="189">
        <f>IFERROR(__xludf.DUMMYFUNCTION("""COMPUTED_VALUE"""),9.0)</f>
        <v>9</v>
      </c>
      <c r="Y210" s="208" t="str">
        <f>IFERROR(__xludf.DUMMYFUNCTION("""COMPUTED_VALUE"""),"2025-07-06T00:00:00.000Z")</f>
        <v>2025-07-06T00:00:00.000Z</v>
      </c>
      <c r="Z210" s="189" t="s">
        <v>175</v>
      </c>
      <c r="AA210" s="189" t="s">
        <v>188</v>
      </c>
    </row>
    <row r="211">
      <c r="A211" s="189">
        <f>IFERROR(__xludf.DUMMYFUNCTION("""COMPUTED_VALUE"""),209285.0)</f>
        <v>209285</v>
      </c>
      <c r="B211" s="189">
        <f>IFERROR(__xludf.DUMMYFUNCTION("""COMPUTED_VALUE"""),92092.0)</f>
        <v>92092</v>
      </c>
      <c r="C211" s="189" t="str">
        <f>IFERROR(__xludf.DUMMYFUNCTION("""COMPUTED_VALUE"""),"Challengers League 2025 NORTH EAST: Split 3 - Lower Swiss Phase")</f>
        <v>Challengers League 2025 NORTH EAST: Split 3 - Lower Swiss Phase</v>
      </c>
      <c r="D211" s="189" t="str">
        <f>IFERROR(__xludf.DUMMYFUNCTION("""COMPUTED_VALUE"""),"Lotus")</f>
        <v>Lotus</v>
      </c>
      <c r="E211" s="189" t="str">
        <f>IFERROR(__xludf.DUMMYFUNCTION("""COMPUTED_VALUE"""),"Boars Gaming")</f>
        <v>Boars Gaming</v>
      </c>
      <c r="F211" s="189" t="str">
        <f>IFERROR(__xludf.DUMMYFUNCTION("""COMPUTED_VALUE"""),"Twisted Saints Esports")</f>
        <v>Twisted Saints Esports</v>
      </c>
      <c r="G211" s="189" t="str">
        <f>IFERROR(__xludf.DUMMYFUNCTION("""COMPUTED_VALUE"""),"Breach,Cypher,Omen,Neon,Fade")</f>
        <v>Breach,Cypher,Omen,Neon,Fade</v>
      </c>
      <c r="H211" s="189" t="str">
        <f>IFERROR(__xludf.DUMMYFUNCTION("""COMPUTED_VALUE"""),"Raze,Killjoy,Viper,Omen,Fade")</f>
        <v>Raze,Killjoy,Viper,Omen,Fade</v>
      </c>
      <c r="I211" s="189">
        <f>IFERROR(__xludf.DUMMYFUNCTION("""COMPUTED_VALUE"""),13.0)</f>
        <v>13</v>
      </c>
      <c r="J211" s="189">
        <f>IFERROR(__xludf.DUMMYFUNCTION("""COMPUTED_VALUE"""),7.0)</f>
        <v>7</v>
      </c>
      <c r="K211" s="189">
        <f>IFERROR(__xludf.DUMMYFUNCTION("""COMPUTED_VALUE"""),10.0)</f>
        <v>10</v>
      </c>
      <c r="L211" s="189">
        <f>IFERROR(__xludf.DUMMYFUNCTION("""COMPUTED_VALUE"""),2.0)</f>
        <v>2</v>
      </c>
      <c r="M211" s="189">
        <f>IFERROR(__xludf.DUMMYFUNCTION("""COMPUTED_VALUE"""),1.0)</f>
        <v>1</v>
      </c>
      <c r="N211" s="189">
        <f>IFERROR(__xludf.DUMMYFUNCTION("""COMPUTED_VALUE"""),0.0)</f>
        <v>0</v>
      </c>
      <c r="O211" s="189">
        <f>IFERROR(__xludf.DUMMYFUNCTION("""COMPUTED_VALUE"""),10.0)</f>
        <v>10</v>
      </c>
      <c r="P211" s="189">
        <f>IFERROR(__xludf.DUMMYFUNCTION("""COMPUTED_VALUE"""),2.0)</f>
        <v>2</v>
      </c>
      <c r="Q211" s="189">
        <f>IFERROR(__xludf.DUMMYFUNCTION("""COMPUTED_VALUE"""),3.0)</f>
        <v>3</v>
      </c>
      <c r="R211" s="189">
        <f>IFERROR(__xludf.DUMMYFUNCTION("""COMPUTED_VALUE"""),5.0)</f>
        <v>5</v>
      </c>
      <c r="S211" s="189">
        <f>IFERROR(__xludf.DUMMYFUNCTION("""COMPUTED_VALUE"""),1.0)</f>
        <v>1</v>
      </c>
      <c r="T211" s="189">
        <f>IFERROR(__xludf.DUMMYFUNCTION("""COMPUTED_VALUE"""),0.0)</f>
        <v>0</v>
      </c>
      <c r="U211" s="189">
        <f>IFERROR(__xludf.DUMMYFUNCTION("""COMPUTED_VALUE"""),5.0)</f>
        <v>5</v>
      </c>
      <c r="V211" s="189">
        <f>IFERROR(__xludf.DUMMYFUNCTION("""COMPUTED_VALUE"""),3.0)</f>
        <v>3</v>
      </c>
      <c r="W211" s="189">
        <f>IFERROR(__xludf.DUMMYFUNCTION("""COMPUTED_VALUE"""),2.0)</f>
        <v>2</v>
      </c>
      <c r="X211" s="189">
        <f>IFERROR(__xludf.DUMMYFUNCTION("""COMPUTED_VALUE"""),10.0)</f>
        <v>10</v>
      </c>
      <c r="Y211" s="208" t="str">
        <f>IFERROR(__xludf.DUMMYFUNCTION("""COMPUTED_VALUE"""),"2025-07-06T00:00:00.000Z")</f>
        <v>2025-07-06T00:00:00.000Z</v>
      </c>
      <c r="Z211" s="189" t="s">
        <v>81</v>
      </c>
      <c r="AA211" s="189" t="s">
        <v>181</v>
      </c>
    </row>
    <row r="212">
      <c r="A212" s="189">
        <f>IFERROR(__xludf.DUMMYFUNCTION("""COMPUTED_VALUE"""),208377.0)</f>
        <v>208377</v>
      </c>
      <c r="B212" s="189">
        <f>IFERROR(__xludf.DUMMYFUNCTION("""COMPUTED_VALUE"""),91774.0)</f>
        <v>91774</v>
      </c>
      <c r="C212" s="189" t="str">
        <f>IFERROR(__xludf.DUMMYFUNCTION("""COMPUTED_VALUE"""),"Challengers League 2025 Türkiye Birlik: Split 3 - Group Stage")</f>
        <v>Challengers League 2025 Türkiye Birlik: Split 3 - Group Stage</v>
      </c>
      <c r="D212" s="189" t="str">
        <f>IFERROR(__xludf.DUMMYFUNCTION("""COMPUTED_VALUE"""),"Lotus")</f>
        <v>Lotus</v>
      </c>
      <c r="E212" s="189" t="str">
        <f>IFERROR(__xludf.DUMMYFUNCTION("""COMPUTED_VALUE"""),"ULF Esports")</f>
        <v>ULF Esports</v>
      </c>
      <c r="F212" s="189" t="str">
        <f>IFERROR(__xludf.DUMMYFUNCTION("""COMPUTED_VALUE"""),"Galakticos")</f>
        <v>Galakticos</v>
      </c>
      <c r="G212" s="189" t="str">
        <f>IFERROR(__xludf.DUMMYFUNCTION("""COMPUTED_VALUE"""),"Raze,Omen,Yoru,Fade,Vyse")</f>
        <v>Raze,Omen,Yoru,Fade,Vyse</v>
      </c>
      <c r="H212" s="189" t="str">
        <f>IFERROR(__xludf.DUMMYFUNCTION("""COMPUTED_VALUE"""),"Breach,Cypher,Sova,Omen,Neon")</f>
        <v>Breach,Cypher,Sova,Omen,Neon</v>
      </c>
      <c r="I212" s="189">
        <f>IFERROR(__xludf.DUMMYFUNCTION("""COMPUTED_VALUE"""),11.0)</f>
        <v>11</v>
      </c>
      <c r="J212" s="189">
        <f>IFERROR(__xludf.DUMMYFUNCTION("""COMPUTED_VALUE"""),13.0)</f>
        <v>13</v>
      </c>
      <c r="K212" s="189">
        <f>IFERROR(__xludf.DUMMYFUNCTION("""COMPUTED_VALUE"""),6.0)</f>
        <v>6</v>
      </c>
      <c r="L212" s="189">
        <f>IFERROR(__xludf.DUMMYFUNCTION("""COMPUTED_VALUE"""),6.0)</f>
        <v>6</v>
      </c>
      <c r="M212" s="189">
        <f>IFERROR(__xludf.DUMMYFUNCTION("""COMPUTED_VALUE"""),1.0)</f>
        <v>1</v>
      </c>
      <c r="N212" s="189">
        <f>IFERROR(__xludf.DUMMYFUNCTION("""COMPUTED_VALUE"""),0.0)</f>
        <v>0</v>
      </c>
      <c r="O212" s="189">
        <f>IFERROR(__xludf.DUMMYFUNCTION("""COMPUTED_VALUE"""),6.0)</f>
        <v>6</v>
      </c>
      <c r="P212" s="189">
        <f>IFERROR(__xludf.DUMMYFUNCTION("""COMPUTED_VALUE"""),6.0)</f>
        <v>6</v>
      </c>
      <c r="Q212" s="189">
        <f>IFERROR(__xludf.DUMMYFUNCTION("""COMPUTED_VALUE"""),5.0)</f>
        <v>5</v>
      </c>
      <c r="R212" s="189">
        <f>IFERROR(__xludf.DUMMYFUNCTION("""COMPUTED_VALUE"""),7.0)</f>
        <v>7</v>
      </c>
      <c r="S212" s="189">
        <f>IFERROR(__xludf.DUMMYFUNCTION("""COMPUTED_VALUE"""),1.0)</f>
        <v>1</v>
      </c>
      <c r="T212" s="189">
        <f>IFERROR(__xludf.DUMMYFUNCTION("""COMPUTED_VALUE"""),0.0)</f>
        <v>0</v>
      </c>
      <c r="U212" s="189">
        <f>IFERROR(__xludf.DUMMYFUNCTION("""COMPUTED_VALUE"""),7.0)</f>
        <v>7</v>
      </c>
      <c r="V212" s="189">
        <f>IFERROR(__xludf.DUMMYFUNCTION("""COMPUTED_VALUE"""),5.0)</f>
        <v>5</v>
      </c>
      <c r="W212" s="189">
        <f>IFERROR(__xludf.DUMMYFUNCTION("""COMPUTED_VALUE"""),6.0)</f>
        <v>6</v>
      </c>
      <c r="X212" s="189">
        <f>IFERROR(__xludf.DUMMYFUNCTION("""COMPUTED_VALUE"""),6.0)</f>
        <v>6</v>
      </c>
      <c r="Y212" s="208" t="str">
        <f>IFERROR(__xludf.DUMMYFUNCTION("""COMPUTED_VALUE"""),"2025-07-06T00:00:00.000Z")</f>
        <v>2025-07-06T00:00:00.000Z</v>
      </c>
      <c r="Z212" s="189" t="s">
        <v>172</v>
      </c>
      <c r="AA212" s="189" t="s">
        <v>453</v>
      </c>
    </row>
    <row r="213">
      <c r="A213" s="189">
        <f>IFERROR(__xludf.DUMMYFUNCTION("""COMPUTED_VALUE"""),209279.0)</f>
        <v>209279</v>
      </c>
      <c r="B213" s="189">
        <f>IFERROR(__xludf.DUMMYFUNCTION("""COMPUTED_VALUE"""),92090.0)</f>
        <v>92090</v>
      </c>
      <c r="C213" s="189" t="str">
        <f>IFERROR(__xludf.DUMMYFUNCTION("""COMPUTED_VALUE"""),"Challengers 2025: France Revolution Split 3 - Group Stage")</f>
        <v>Challengers 2025: France Revolution Split 3 - Group Stage</v>
      </c>
      <c r="D213" s="189" t="str">
        <f>IFERROR(__xludf.DUMMYFUNCTION("""COMPUTED_VALUE"""),"Icebox")</f>
        <v>Icebox</v>
      </c>
      <c r="E213" s="189" t="str">
        <f>IFERROR(__xludf.DUMMYFUNCTION("""COMPUTED_VALUE"""),"Joblife")</f>
        <v>Joblife</v>
      </c>
      <c r="F213" s="189" t="str">
        <f>IFERROR(__xludf.DUMMYFUNCTION("""COMPUTED_VALUE"""),"BLX CORP")</f>
        <v>BLX CORP</v>
      </c>
      <c r="G213" s="189" t="str">
        <f>IFERROR(__xludf.DUMMYFUNCTION("""COMPUTED_VALUE"""),"Sova,Killjoy,Viper,Jett,KAY/O")</f>
        <v>Sova,Killjoy,Viper,Jett,KAY/O</v>
      </c>
      <c r="H213" s="189" t="str">
        <f>IFERROR(__xludf.DUMMYFUNCTION("""COMPUTED_VALUE"""),"Killjoy,Viper,Jett,KAY/O,Gekko")</f>
        <v>Killjoy,Viper,Jett,KAY/O,Gekko</v>
      </c>
      <c r="I213" s="189">
        <f>IFERROR(__xludf.DUMMYFUNCTION("""COMPUTED_VALUE"""),13.0)</f>
        <v>13</v>
      </c>
      <c r="J213" s="189">
        <f>IFERROR(__xludf.DUMMYFUNCTION("""COMPUTED_VALUE"""),6.0)</f>
        <v>6</v>
      </c>
      <c r="K213" s="189">
        <f>IFERROR(__xludf.DUMMYFUNCTION("""COMPUTED_VALUE"""),6.0)</f>
        <v>6</v>
      </c>
      <c r="L213" s="189">
        <f>IFERROR(__xludf.DUMMYFUNCTION("""COMPUTED_VALUE"""),6.0)</f>
        <v>6</v>
      </c>
      <c r="M213" s="189">
        <f>IFERROR(__xludf.DUMMYFUNCTION("""COMPUTED_VALUE"""),1.0)</f>
        <v>1</v>
      </c>
      <c r="N213" s="189">
        <f>IFERROR(__xludf.DUMMYFUNCTION("""COMPUTED_VALUE"""),0.0)</f>
        <v>0</v>
      </c>
      <c r="O213" s="189">
        <f>IFERROR(__xludf.DUMMYFUNCTION("""COMPUTED_VALUE"""),7.0)</f>
        <v>7</v>
      </c>
      <c r="P213" s="189">
        <f>IFERROR(__xludf.DUMMYFUNCTION("""COMPUTED_VALUE"""),0.0)</f>
        <v>0</v>
      </c>
      <c r="Q213" s="189">
        <f>IFERROR(__xludf.DUMMYFUNCTION("""COMPUTED_VALUE"""),6.0)</f>
        <v>6</v>
      </c>
      <c r="R213" s="189">
        <f>IFERROR(__xludf.DUMMYFUNCTION("""COMPUTED_VALUE"""),6.0)</f>
        <v>6</v>
      </c>
      <c r="S213" s="189">
        <f>IFERROR(__xludf.DUMMYFUNCTION("""COMPUTED_VALUE"""),1.0)</f>
        <v>1</v>
      </c>
      <c r="T213" s="189">
        <f>IFERROR(__xludf.DUMMYFUNCTION("""COMPUTED_VALUE"""),0.0)</f>
        <v>0</v>
      </c>
      <c r="U213" s="189">
        <f>IFERROR(__xludf.DUMMYFUNCTION("""COMPUTED_VALUE"""),6.0)</f>
        <v>6</v>
      </c>
      <c r="V213" s="189">
        <f>IFERROR(__xludf.DUMMYFUNCTION("""COMPUTED_VALUE"""),6.0)</f>
        <v>6</v>
      </c>
      <c r="W213" s="189">
        <f>IFERROR(__xludf.DUMMYFUNCTION("""COMPUTED_VALUE"""),0.0)</f>
        <v>0</v>
      </c>
      <c r="X213" s="189">
        <f>IFERROR(__xludf.DUMMYFUNCTION("""COMPUTED_VALUE"""),7.0)</f>
        <v>7</v>
      </c>
      <c r="Y213" s="208" t="str">
        <f>IFERROR(__xludf.DUMMYFUNCTION("""COMPUTED_VALUE"""),"2025-07-06T00:00:00.000Z")</f>
        <v>2025-07-06T00:00:00.000Z</v>
      </c>
      <c r="Z213" s="189" t="s">
        <v>116</v>
      </c>
      <c r="AA213" s="189" t="s">
        <v>232</v>
      </c>
    </row>
    <row r="214">
      <c r="A214" s="189">
        <f>IFERROR(__xludf.DUMMYFUNCTION("""COMPUTED_VALUE"""),209284.0)</f>
        <v>209284</v>
      </c>
      <c r="B214" s="189">
        <f>IFERROR(__xludf.DUMMYFUNCTION("""COMPUTED_VALUE"""),92092.0)</f>
        <v>92092</v>
      </c>
      <c r="C214" s="189" t="str">
        <f>IFERROR(__xludf.DUMMYFUNCTION("""COMPUTED_VALUE"""),"Challengers League 2025 NORTH EAST: Split 3 - Lower Swiss Phase")</f>
        <v>Challengers League 2025 NORTH EAST: Split 3 - Lower Swiss Phase</v>
      </c>
      <c r="D214" s="189" t="str">
        <f>IFERROR(__xludf.DUMMYFUNCTION("""COMPUTED_VALUE"""),"Sunset")</f>
        <v>Sunset</v>
      </c>
      <c r="E214" s="189" t="str">
        <f>IFERROR(__xludf.DUMMYFUNCTION("""COMPUTED_VALUE"""),"Boars Gaming")</f>
        <v>Boars Gaming</v>
      </c>
      <c r="F214" s="189" t="str">
        <f>IFERROR(__xludf.DUMMYFUNCTION("""COMPUTED_VALUE"""),"Twisted Saints Esports")</f>
        <v>Twisted Saints Esports</v>
      </c>
      <c r="G214" s="189" t="str">
        <f>IFERROR(__xludf.DUMMYFUNCTION("""COMPUTED_VALUE"""),"Cypher,Sova,Omen,KAY/O,Neon")</f>
        <v>Cypher,Sova,Omen,KAY/O,Neon</v>
      </c>
      <c r="H214" s="189" t="str">
        <f>IFERROR(__xludf.DUMMYFUNCTION("""COMPUTED_VALUE"""),"Sova,Viper,Omen,Neon,Deadlock")</f>
        <v>Sova,Viper,Omen,Neon,Deadlock</v>
      </c>
      <c r="I214" s="189">
        <f>IFERROR(__xludf.DUMMYFUNCTION("""COMPUTED_VALUE"""),13.0)</f>
        <v>13</v>
      </c>
      <c r="J214" s="189">
        <f>IFERROR(__xludf.DUMMYFUNCTION("""COMPUTED_VALUE"""),10.0)</f>
        <v>10</v>
      </c>
      <c r="K214" s="189">
        <f>IFERROR(__xludf.DUMMYFUNCTION("""COMPUTED_VALUE"""),7.0)</f>
        <v>7</v>
      </c>
      <c r="L214" s="189">
        <f>IFERROR(__xludf.DUMMYFUNCTION("""COMPUTED_VALUE"""),5.0)</f>
        <v>5</v>
      </c>
      <c r="M214" s="189">
        <f>IFERROR(__xludf.DUMMYFUNCTION("""COMPUTED_VALUE"""),0.0)</f>
        <v>0</v>
      </c>
      <c r="N214" s="189">
        <f>IFERROR(__xludf.DUMMYFUNCTION("""COMPUTED_VALUE"""),0.0)</f>
        <v>0</v>
      </c>
      <c r="O214" s="189">
        <f>IFERROR(__xludf.DUMMYFUNCTION("""COMPUTED_VALUE"""),7.0)</f>
        <v>7</v>
      </c>
      <c r="P214" s="189">
        <f>IFERROR(__xludf.DUMMYFUNCTION("""COMPUTED_VALUE"""),5.0)</f>
        <v>5</v>
      </c>
      <c r="Q214" s="189">
        <f>IFERROR(__xludf.DUMMYFUNCTION("""COMPUTED_VALUE"""),6.0)</f>
        <v>6</v>
      </c>
      <c r="R214" s="189">
        <f>IFERROR(__xludf.DUMMYFUNCTION("""COMPUTED_VALUE"""),5.0)</f>
        <v>5</v>
      </c>
      <c r="S214" s="189">
        <f>IFERROR(__xludf.DUMMYFUNCTION("""COMPUTED_VALUE"""),1.0)</f>
        <v>1</v>
      </c>
      <c r="T214" s="189">
        <f>IFERROR(__xludf.DUMMYFUNCTION("""COMPUTED_VALUE"""),1.0)</f>
        <v>1</v>
      </c>
      <c r="U214" s="189">
        <f>IFERROR(__xludf.DUMMYFUNCTION("""COMPUTED_VALUE"""),5.0)</f>
        <v>5</v>
      </c>
      <c r="V214" s="189">
        <f>IFERROR(__xludf.DUMMYFUNCTION("""COMPUTED_VALUE"""),6.0)</f>
        <v>6</v>
      </c>
      <c r="W214" s="189">
        <f>IFERROR(__xludf.DUMMYFUNCTION("""COMPUTED_VALUE"""),5.0)</f>
        <v>5</v>
      </c>
      <c r="X214" s="189">
        <f>IFERROR(__xludf.DUMMYFUNCTION("""COMPUTED_VALUE"""),7.0)</f>
        <v>7</v>
      </c>
      <c r="Y214" s="208" t="str">
        <f>IFERROR(__xludf.DUMMYFUNCTION("""COMPUTED_VALUE"""),"2025-07-06T00:00:00.000Z")</f>
        <v>2025-07-06T00:00:00.000Z</v>
      </c>
      <c r="Z214" s="189" t="s">
        <v>84</v>
      </c>
      <c r="AA214" s="189" t="s">
        <v>181</v>
      </c>
    </row>
    <row r="215">
      <c r="A215" s="189">
        <f>IFERROR(__xludf.DUMMYFUNCTION("""COMPUTED_VALUE"""),208376.0)</f>
        <v>208376</v>
      </c>
      <c r="B215" s="189">
        <f>IFERROR(__xludf.DUMMYFUNCTION("""COMPUTED_VALUE"""),91774.0)</f>
        <v>91774</v>
      </c>
      <c r="C215" s="189" t="str">
        <f>IFERROR(__xludf.DUMMYFUNCTION("""COMPUTED_VALUE"""),"Challengers League 2025 Türkiye Birlik: Split 3 - Group Stage")</f>
        <v>Challengers League 2025 Türkiye Birlik: Split 3 - Group Stage</v>
      </c>
      <c r="D215" s="189" t="str">
        <f>IFERROR(__xludf.DUMMYFUNCTION("""COMPUTED_VALUE"""),"Haven")</f>
        <v>Haven</v>
      </c>
      <c r="E215" s="189" t="str">
        <f>IFERROR(__xludf.DUMMYFUNCTION("""COMPUTED_VALUE"""),"ULF Esports")</f>
        <v>ULF Esports</v>
      </c>
      <c r="F215" s="189" t="str">
        <f>IFERROR(__xludf.DUMMYFUNCTION("""COMPUTED_VALUE"""),"Galakticos")</f>
        <v>Galakticos</v>
      </c>
      <c r="G215" s="189" t="str">
        <f>IFERROR(__xludf.DUMMYFUNCTION("""COMPUTED_VALUE"""),"Sova,Viper,Omen,Neon,Vyse")</f>
        <v>Sova,Viper,Omen,Neon,Vyse</v>
      </c>
      <c r="H215" s="189" t="str">
        <f>IFERROR(__xludf.DUMMYFUNCTION("""COMPUTED_VALUE"""),"Breach,Cypher,Sova,Omen,Neon")</f>
        <v>Breach,Cypher,Sova,Omen,Neon</v>
      </c>
      <c r="I215" s="189">
        <f>IFERROR(__xludf.DUMMYFUNCTION("""COMPUTED_VALUE"""),13.0)</f>
        <v>13</v>
      </c>
      <c r="J215" s="189">
        <f>IFERROR(__xludf.DUMMYFUNCTION("""COMPUTED_VALUE"""),11.0)</f>
        <v>11</v>
      </c>
      <c r="K215" s="189">
        <f>IFERROR(__xludf.DUMMYFUNCTION("""COMPUTED_VALUE"""),7.0)</f>
        <v>7</v>
      </c>
      <c r="L215" s="189">
        <f>IFERROR(__xludf.DUMMYFUNCTION("""COMPUTED_VALUE"""),5.0)</f>
        <v>5</v>
      </c>
      <c r="M215" s="189">
        <f>IFERROR(__xludf.DUMMYFUNCTION("""COMPUTED_VALUE"""),1.0)</f>
        <v>1</v>
      </c>
      <c r="N215" s="189">
        <f>IFERROR(__xludf.DUMMYFUNCTION("""COMPUTED_VALUE"""),0.0)</f>
        <v>0</v>
      </c>
      <c r="O215" s="189">
        <f>IFERROR(__xludf.DUMMYFUNCTION("""COMPUTED_VALUE"""),7.0)</f>
        <v>7</v>
      </c>
      <c r="P215" s="189">
        <f>IFERROR(__xludf.DUMMYFUNCTION("""COMPUTED_VALUE"""),5.0)</f>
        <v>5</v>
      </c>
      <c r="Q215" s="189">
        <f>IFERROR(__xludf.DUMMYFUNCTION("""COMPUTED_VALUE"""),6.0)</f>
        <v>6</v>
      </c>
      <c r="R215" s="189">
        <f>IFERROR(__xludf.DUMMYFUNCTION("""COMPUTED_VALUE"""),6.0)</f>
        <v>6</v>
      </c>
      <c r="S215" s="189">
        <f>IFERROR(__xludf.DUMMYFUNCTION("""COMPUTED_VALUE"""),1.0)</f>
        <v>1</v>
      </c>
      <c r="T215" s="189">
        <f>IFERROR(__xludf.DUMMYFUNCTION("""COMPUTED_VALUE"""),0.0)</f>
        <v>0</v>
      </c>
      <c r="U215" s="189">
        <f>IFERROR(__xludf.DUMMYFUNCTION("""COMPUTED_VALUE"""),6.0)</f>
        <v>6</v>
      </c>
      <c r="V215" s="189">
        <f>IFERROR(__xludf.DUMMYFUNCTION("""COMPUTED_VALUE"""),6.0)</f>
        <v>6</v>
      </c>
      <c r="W215" s="189">
        <f>IFERROR(__xludf.DUMMYFUNCTION("""COMPUTED_VALUE"""),5.0)</f>
        <v>5</v>
      </c>
      <c r="X215" s="189">
        <f>IFERROR(__xludf.DUMMYFUNCTION("""COMPUTED_VALUE"""),7.0)</f>
        <v>7</v>
      </c>
      <c r="Y215" s="208" t="str">
        <f>IFERROR(__xludf.DUMMYFUNCTION("""COMPUTED_VALUE"""),"2025-07-06T00:00:00.000Z")</f>
        <v>2025-07-06T00:00:00.000Z</v>
      </c>
      <c r="Z215" s="189" t="s">
        <v>170</v>
      </c>
      <c r="AA215" s="189" t="s">
        <v>188</v>
      </c>
    </row>
    <row r="216">
      <c r="A216" s="189">
        <f>IFERROR(__xludf.DUMMYFUNCTION("""COMPUTED_VALUE"""),209278.0)</f>
        <v>209278</v>
      </c>
      <c r="B216" s="189">
        <f>IFERROR(__xludf.DUMMYFUNCTION("""COMPUTED_VALUE"""),92090.0)</f>
        <v>92090</v>
      </c>
      <c r="C216" s="189" t="str">
        <f>IFERROR(__xludf.DUMMYFUNCTION("""COMPUTED_VALUE"""),"Challengers 2025: France Revolution Split 3 - Group Stage")</f>
        <v>Challengers 2025: France Revolution Split 3 - Group Stage</v>
      </c>
      <c r="D216" s="189" t="str">
        <f>IFERROR(__xludf.DUMMYFUNCTION("""COMPUTED_VALUE"""),"Lotus")</f>
        <v>Lotus</v>
      </c>
      <c r="E216" s="189" t="str">
        <f>IFERROR(__xludf.DUMMYFUNCTION("""COMPUTED_VALUE"""),"Joblife")</f>
        <v>Joblife</v>
      </c>
      <c r="F216" s="189" t="str">
        <f>IFERROR(__xludf.DUMMYFUNCTION("""COMPUTED_VALUE"""),"BLX CORP")</f>
        <v>BLX CORP</v>
      </c>
      <c r="G216" s="189" t="str">
        <f>IFERROR(__xludf.DUMMYFUNCTION("""COMPUTED_VALUE"""),"Raze,Killjoy,Viper,Omen,Fade")</f>
        <v>Raze,Killjoy,Viper,Omen,Fade</v>
      </c>
      <c r="H216" s="189" t="str">
        <f>IFERROR(__xludf.DUMMYFUNCTION("""COMPUTED_VALUE"""),"Raze,Viper,Omen,Fade,Iso")</f>
        <v>Raze,Viper,Omen,Fade,Iso</v>
      </c>
      <c r="I216" s="189">
        <f>IFERROR(__xludf.DUMMYFUNCTION("""COMPUTED_VALUE"""),13.0)</f>
        <v>13</v>
      </c>
      <c r="J216" s="189">
        <f>IFERROR(__xludf.DUMMYFUNCTION("""COMPUTED_VALUE"""),8.0)</f>
        <v>8</v>
      </c>
      <c r="K216" s="189">
        <f>IFERROR(__xludf.DUMMYFUNCTION("""COMPUTED_VALUE"""),8.0)</f>
        <v>8</v>
      </c>
      <c r="L216" s="189">
        <f>IFERROR(__xludf.DUMMYFUNCTION("""COMPUTED_VALUE"""),4.0)</f>
        <v>4</v>
      </c>
      <c r="M216" s="189">
        <f>IFERROR(__xludf.DUMMYFUNCTION("""COMPUTED_VALUE"""),1.0)</f>
        <v>1</v>
      </c>
      <c r="N216" s="189">
        <f>IFERROR(__xludf.DUMMYFUNCTION("""COMPUTED_VALUE"""),1.0)</f>
        <v>1</v>
      </c>
      <c r="O216" s="189">
        <f>IFERROR(__xludf.DUMMYFUNCTION("""COMPUTED_VALUE"""),8.0)</f>
        <v>8</v>
      </c>
      <c r="P216" s="189">
        <f>IFERROR(__xludf.DUMMYFUNCTION("""COMPUTED_VALUE"""),4.0)</f>
        <v>4</v>
      </c>
      <c r="Q216" s="189">
        <f>IFERROR(__xludf.DUMMYFUNCTION("""COMPUTED_VALUE"""),5.0)</f>
        <v>5</v>
      </c>
      <c r="R216" s="189">
        <f>IFERROR(__xludf.DUMMYFUNCTION("""COMPUTED_VALUE"""),4.0)</f>
        <v>4</v>
      </c>
      <c r="S216" s="189">
        <f>IFERROR(__xludf.DUMMYFUNCTION("""COMPUTED_VALUE"""),0.0)</f>
        <v>0</v>
      </c>
      <c r="T216" s="189">
        <f>IFERROR(__xludf.DUMMYFUNCTION("""COMPUTED_VALUE"""),0.0)</f>
        <v>0</v>
      </c>
      <c r="U216" s="189">
        <f>IFERROR(__xludf.DUMMYFUNCTION("""COMPUTED_VALUE"""),4.0)</f>
        <v>4</v>
      </c>
      <c r="V216" s="189">
        <f>IFERROR(__xludf.DUMMYFUNCTION("""COMPUTED_VALUE"""),5.0)</f>
        <v>5</v>
      </c>
      <c r="W216" s="189">
        <f>IFERROR(__xludf.DUMMYFUNCTION("""COMPUTED_VALUE"""),4.0)</f>
        <v>4</v>
      </c>
      <c r="X216" s="189">
        <f>IFERROR(__xludf.DUMMYFUNCTION("""COMPUTED_VALUE"""),8.0)</f>
        <v>8</v>
      </c>
      <c r="Y216" s="208" t="str">
        <f>IFERROR(__xludf.DUMMYFUNCTION("""COMPUTED_VALUE"""),"2025-07-06T00:00:00.000Z")</f>
        <v>2025-07-06T00:00:00.000Z</v>
      </c>
      <c r="Z216" s="189" t="s">
        <v>117</v>
      </c>
      <c r="AA216" s="189" t="s">
        <v>232</v>
      </c>
    </row>
    <row r="217">
      <c r="A217" s="189">
        <f>IFERROR(__xludf.DUMMYFUNCTION("""COMPUTED_VALUE"""),208432.0)</f>
        <v>208432</v>
      </c>
      <c r="B217" s="189">
        <f>IFERROR(__xludf.DUMMYFUNCTION("""COMPUTED_VALUE"""),91792.0)</f>
        <v>91792</v>
      </c>
      <c r="C217" s="189" t="str">
        <f>IFERROR(__xludf.DUMMYFUNCTION("""COMPUTED_VALUE"""),"Challengers League 2025 DACH: Evolution Stage 3 - Group Stage")</f>
        <v>Challengers League 2025 DACH: Evolution Stage 3 - Group Stage</v>
      </c>
      <c r="D217" s="189" t="str">
        <f>IFERROR(__xludf.DUMMYFUNCTION("""COMPUTED_VALUE"""),"Haven")</f>
        <v>Haven</v>
      </c>
      <c r="E217" s="189" t="str">
        <f>IFERROR(__xludf.DUMMYFUNCTION("""COMPUTED_VALUE"""),"XPERION NXT")</f>
        <v>XPERION NXT</v>
      </c>
      <c r="F217" s="189" t="str">
        <f>IFERROR(__xludf.DUMMYFUNCTION("""COMPUTED_VALUE"""),"MOUZ")</f>
        <v>MOUZ</v>
      </c>
      <c r="G217" s="189" t="str">
        <f>IFERROR(__xludf.DUMMYFUNCTION("""COMPUTED_VALUE"""),"Breach,Cypher,Sova,Omen,Neon")</f>
        <v>Breach,Cypher,Sova,Omen,Neon</v>
      </c>
      <c r="H217" s="189" t="str">
        <f>IFERROR(__xludf.DUMMYFUNCTION("""COMPUTED_VALUE"""),"Cypher,Sova,Omen,Yoru,Iso")</f>
        <v>Cypher,Sova,Omen,Yoru,Iso</v>
      </c>
      <c r="I217" s="189">
        <f>IFERROR(__xludf.DUMMYFUNCTION("""COMPUTED_VALUE"""),7.0)</f>
        <v>7</v>
      </c>
      <c r="J217" s="189">
        <f>IFERROR(__xludf.DUMMYFUNCTION("""COMPUTED_VALUE"""),13.0)</f>
        <v>13</v>
      </c>
      <c r="K217" s="189">
        <f>IFERROR(__xludf.DUMMYFUNCTION("""COMPUTED_VALUE"""),5.0)</f>
        <v>5</v>
      </c>
      <c r="L217" s="189">
        <f>IFERROR(__xludf.DUMMYFUNCTION("""COMPUTED_VALUE"""),7.0)</f>
        <v>7</v>
      </c>
      <c r="M217" s="189">
        <f>IFERROR(__xludf.DUMMYFUNCTION("""COMPUTED_VALUE"""),0.0)</f>
        <v>0</v>
      </c>
      <c r="N217" s="189">
        <f>IFERROR(__xludf.DUMMYFUNCTION("""COMPUTED_VALUE"""),0.0)</f>
        <v>0</v>
      </c>
      <c r="O217" s="189">
        <f>IFERROR(__xludf.DUMMYFUNCTION("""COMPUTED_VALUE"""),5.0)</f>
        <v>5</v>
      </c>
      <c r="P217" s="189">
        <f>IFERROR(__xludf.DUMMYFUNCTION("""COMPUTED_VALUE"""),7.0)</f>
        <v>7</v>
      </c>
      <c r="Q217" s="189">
        <f>IFERROR(__xludf.DUMMYFUNCTION("""COMPUTED_VALUE"""),2.0)</f>
        <v>2</v>
      </c>
      <c r="R217" s="189">
        <f>IFERROR(__xludf.DUMMYFUNCTION("""COMPUTED_VALUE"""),6.0)</f>
        <v>6</v>
      </c>
      <c r="S217" s="189">
        <f>IFERROR(__xludf.DUMMYFUNCTION("""COMPUTED_VALUE"""),1.0)</f>
        <v>1</v>
      </c>
      <c r="T217" s="189">
        <f>IFERROR(__xludf.DUMMYFUNCTION("""COMPUTED_VALUE"""),1.0)</f>
        <v>1</v>
      </c>
      <c r="U217" s="189">
        <f>IFERROR(__xludf.DUMMYFUNCTION("""COMPUTED_VALUE"""),6.0)</f>
        <v>6</v>
      </c>
      <c r="V217" s="189">
        <f>IFERROR(__xludf.DUMMYFUNCTION("""COMPUTED_VALUE"""),2.0)</f>
        <v>2</v>
      </c>
      <c r="W217" s="189">
        <f>IFERROR(__xludf.DUMMYFUNCTION("""COMPUTED_VALUE"""),7.0)</f>
        <v>7</v>
      </c>
      <c r="X217" s="189">
        <f>IFERROR(__xludf.DUMMYFUNCTION("""COMPUTED_VALUE"""),5.0)</f>
        <v>5</v>
      </c>
      <c r="Y217" s="208" t="str">
        <f>IFERROR(__xludf.DUMMYFUNCTION("""COMPUTED_VALUE"""),"2025-07-06T00:00:00.000Z")</f>
        <v>2025-07-06T00:00:00.000Z</v>
      </c>
      <c r="Z217" s="189" t="s">
        <v>454</v>
      </c>
      <c r="AA217" s="189" t="s">
        <v>180</v>
      </c>
    </row>
    <row r="218">
      <c r="A218" s="189">
        <f>IFERROR(__xludf.DUMMYFUNCTION("""COMPUTED_VALUE"""),209276.0)</f>
        <v>209276</v>
      </c>
      <c r="B218" s="189">
        <f>IFERROR(__xludf.DUMMYFUNCTION("""COMPUTED_VALUE"""),92089.0)</f>
        <v>92089</v>
      </c>
      <c r="C218" s="189" t="str">
        <f>IFERROR(__xludf.DUMMYFUNCTION("""COMPUTED_VALUE"""),"Challengers 2025: France Revolution Split 3 - Group Stage")</f>
        <v>Challengers 2025: France Revolution Split 3 - Group Stage</v>
      </c>
      <c r="D218" s="189" t="str">
        <f>IFERROR(__xludf.DUMMYFUNCTION("""COMPUTED_VALUE"""),"Lotus")</f>
        <v>Lotus</v>
      </c>
      <c r="E218" s="189" t="str">
        <f>IFERROR(__xludf.DUMMYFUNCTION("""COMPUTED_VALUE"""),"Mandatory")</f>
        <v>Mandatory</v>
      </c>
      <c r="F218" s="189" t="str">
        <f>IFERROR(__xludf.DUMMYFUNCTION("""COMPUTED_VALUE"""),"WIP Esports")</f>
        <v>WIP Esports</v>
      </c>
      <c r="G218" s="189" t="str">
        <f>IFERROR(__xludf.DUMMYFUNCTION("""COMPUTED_VALUE"""),"Cypher,Sova,Omen,Yoru,Deadlock")</f>
        <v>Cypher,Sova,Omen,Yoru,Deadlock</v>
      </c>
      <c r="H218" s="189" t="str">
        <f>IFERROR(__xludf.DUMMYFUNCTION("""COMPUTED_VALUE"""),"Cypher,Omen,Yoru,Fade,Iso")</f>
        <v>Cypher,Omen,Yoru,Fade,Iso</v>
      </c>
      <c r="I218" s="189">
        <f>IFERROR(__xludf.DUMMYFUNCTION("""COMPUTED_VALUE"""),14.0)</f>
        <v>14</v>
      </c>
      <c r="J218" s="189">
        <f>IFERROR(__xludf.DUMMYFUNCTION("""COMPUTED_VALUE"""),12.0)</f>
        <v>12</v>
      </c>
      <c r="K218" s="189">
        <f>IFERROR(__xludf.DUMMYFUNCTION("""COMPUTED_VALUE"""),5.0)</f>
        <v>5</v>
      </c>
      <c r="L218" s="189">
        <f>IFERROR(__xludf.DUMMYFUNCTION("""COMPUTED_VALUE"""),7.0)</f>
        <v>7</v>
      </c>
      <c r="M218" s="189">
        <f>IFERROR(__xludf.DUMMYFUNCTION("""COMPUTED_VALUE"""),0.0)</f>
        <v>0</v>
      </c>
      <c r="N218" s="189">
        <f>IFERROR(__xludf.DUMMYFUNCTION("""COMPUTED_VALUE"""),1.0)</f>
        <v>1</v>
      </c>
      <c r="O218" s="189">
        <f>IFERROR(__xludf.DUMMYFUNCTION("""COMPUTED_VALUE"""),6.0)</f>
        <v>6</v>
      </c>
      <c r="P218" s="189">
        <f>IFERROR(__xludf.DUMMYFUNCTION("""COMPUTED_VALUE"""),7.0)</f>
        <v>7</v>
      </c>
      <c r="Q218" s="189">
        <f>IFERROR(__xludf.DUMMYFUNCTION("""COMPUTED_VALUE"""),8.0)</f>
        <v>8</v>
      </c>
      <c r="R218" s="189">
        <f>IFERROR(__xludf.DUMMYFUNCTION("""COMPUTED_VALUE"""),5.0)</f>
        <v>5</v>
      </c>
      <c r="S218" s="189">
        <f>IFERROR(__xludf.DUMMYFUNCTION("""COMPUTED_VALUE"""),0.0)</f>
        <v>0</v>
      </c>
      <c r="T218" s="189">
        <f>IFERROR(__xludf.DUMMYFUNCTION("""COMPUTED_VALUE"""),1.0)</f>
        <v>1</v>
      </c>
      <c r="U218" s="189">
        <f>IFERROR(__xludf.DUMMYFUNCTION("""COMPUTED_VALUE"""),5.0)</f>
        <v>5</v>
      </c>
      <c r="V218" s="189">
        <f>IFERROR(__xludf.DUMMYFUNCTION("""COMPUTED_VALUE"""),8.0)</f>
        <v>8</v>
      </c>
      <c r="W218" s="189">
        <f>IFERROR(__xludf.DUMMYFUNCTION("""COMPUTED_VALUE"""),7.0)</f>
        <v>7</v>
      </c>
      <c r="X218" s="189">
        <f>IFERROR(__xludf.DUMMYFUNCTION("""COMPUTED_VALUE"""),6.0)</f>
        <v>6</v>
      </c>
      <c r="Y218" s="208" t="str">
        <f>IFERROR(__xludf.DUMMYFUNCTION("""COMPUTED_VALUE"""),"2025-07-06T00:00:00.000Z")</f>
        <v>2025-07-06T00:00:00.000Z</v>
      </c>
      <c r="Z218" s="189" t="s">
        <v>130</v>
      </c>
      <c r="AA218" s="189" t="s">
        <v>189</v>
      </c>
    </row>
    <row r="219">
      <c r="A219" s="189">
        <f>IFERROR(__xludf.DUMMYFUNCTION("""COMPUTED_VALUE"""),208431.0)</f>
        <v>208431</v>
      </c>
      <c r="B219" s="189">
        <f>IFERROR(__xludf.DUMMYFUNCTION("""COMPUTED_VALUE"""),91792.0)</f>
        <v>91792</v>
      </c>
      <c r="C219" s="189" t="str">
        <f>IFERROR(__xludf.DUMMYFUNCTION("""COMPUTED_VALUE"""),"Challengers League 2025 DACH: Evolution Stage 3 - Group Stage")</f>
        <v>Challengers League 2025 DACH: Evolution Stage 3 - Group Stage</v>
      </c>
      <c r="D219" s="189" t="str">
        <f>IFERROR(__xludf.DUMMYFUNCTION("""COMPUTED_VALUE"""),"Split")</f>
        <v>Split</v>
      </c>
      <c r="E219" s="189" t="str">
        <f>IFERROR(__xludf.DUMMYFUNCTION("""COMPUTED_VALUE"""),"XPERION NXT")</f>
        <v>XPERION NXT</v>
      </c>
      <c r="F219" s="189" t="str">
        <f>IFERROR(__xludf.DUMMYFUNCTION("""COMPUTED_VALUE"""),"MOUZ")</f>
        <v>MOUZ</v>
      </c>
      <c r="G219" s="189" t="str">
        <f>IFERROR(__xludf.DUMMYFUNCTION("""COMPUTED_VALUE"""),"Raze,Viper,Omen,Yoru,Fade")</f>
        <v>Raze,Viper,Omen,Yoru,Fade</v>
      </c>
      <c r="H219" s="189" t="str">
        <f>IFERROR(__xludf.DUMMYFUNCTION("""COMPUTED_VALUE"""),"Raze,Viper,Yoru,Astra,Fade")</f>
        <v>Raze,Viper,Yoru,Astra,Fade</v>
      </c>
      <c r="I219" s="189">
        <f>IFERROR(__xludf.DUMMYFUNCTION("""COMPUTED_VALUE"""),13.0)</f>
        <v>13</v>
      </c>
      <c r="J219" s="189">
        <f>IFERROR(__xludf.DUMMYFUNCTION("""COMPUTED_VALUE"""),11.0)</f>
        <v>11</v>
      </c>
      <c r="K219" s="189">
        <f>IFERROR(__xludf.DUMMYFUNCTION("""COMPUTED_VALUE"""),5.0)</f>
        <v>5</v>
      </c>
      <c r="L219" s="189">
        <f>IFERROR(__xludf.DUMMYFUNCTION("""COMPUTED_VALUE"""),7.0)</f>
        <v>7</v>
      </c>
      <c r="M219" s="189">
        <f>IFERROR(__xludf.DUMMYFUNCTION("""COMPUTED_VALUE"""),0.0)</f>
        <v>0</v>
      </c>
      <c r="N219" s="189">
        <f>IFERROR(__xludf.DUMMYFUNCTION("""COMPUTED_VALUE"""),1.0)</f>
        <v>1</v>
      </c>
      <c r="O219" s="189">
        <f>IFERROR(__xludf.DUMMYFUNCTION("""COMPUTED_VALUE"""),5.0)</f>
        <v>5</v>
      </c>
      <c r="P219" s="189">
        <f>IFERROR(__xludf.DUMMYFUNCTION("""COMPUTED_VALUE"""),7.0)</f>
        <v>7</v>
      </c>
      <c r="Q219" s="189">
        <f>IFERROR(__xludf.DUMMYFUNCTION("""COMPUTED_VALUE"""),8.0)</f>
        <v>8</v>
      </c>
      <c r="R219" s="189">
        <f>IFERROR(__xludf.DUMMYFUNCTION("""COMPUTED_VALUE"""),4.0)</f>
        <v>4</v>
      </c>
      <c r="S219" s="189">
        <f>IFERROR(__xludf.DUMMYFUNCTION("""COMPUTED_VALUE"""),0.0)</f>
        <v>0</v>
      </c>
      <c r="T219" s="189">
        <f>IFERROR(__xludf.DUMMYFUNCTION("""COMPUTED_VALUE"""),1.0)</f>
        <v>1</v>
      </c>
      <c r="U219" s="189">
        <f>IFERROR(__xludf.DUMMYFUNCTION("""COMPUTED_VALUE"""),4.0)</f>
        <v>4</v>
      </c>
      <c r="V219" s="189">
        <f>IFERROR(__xludf.DUMMYFUNCTION("""COMPUTED_VALUE"""),8.0)</f>
        <v>8</v>
      </c>
      <c r="W219" s="189">
        <f>IFERROR(__xludf.DUMMYFUNCTION("""COMPUTED_VALUE"""),7.0)</f>
        <v>7</v>
      </c>
      <c r="X219" s="189">
        <f>IFERROR(__xludf.DUMMYFUNCTION("""COMPUTED_VALUE"""),5.0)</f>
        <v>5</v>
      </c>
      <c r="Y219" s="208" t="str">
        <f>IFERROR(__xludf.DUMMYFUNCTION("""COMPUTED_VALUE"""),"2025-07-06T00:00:00.000Z")</f>
        <v>2025-07-06T00:00:00.000Z</v>
      </c>
      <c r="Z219" s="189" t="s">
        <v>455</v>
      </c>
      <c r="AA219" s="189" t="s">
        <v>456</v>
      </c>
    </row>
    <row r="220">
      <c r="A220" s="189">
        <f>IFERROR(__xludf.DUMMYFUNCTION("""COMPUTED_VALUE"""),209075.0)</f>
        <v>209075</v>
      </c>
      <c r="B220" s="189">
        <f>IFERROR(__xludf.DUMMYFUNCTION("""COMPUTED_VALUE"""),92019.0)</f>
        <v>92019</v>
      </c>
      <c r="C220" s="189" t="str">
        <f>IFERROR(__xludf.DUMMYFUNCTION("""COMPUTED_VALUE"""),"Challengers League 2025 NORTH EAST: Split 3 - Lower Swiss Phase")</f>
        <v>Challengers League 2025 NORTH EAST: Split 3 - Lower Swiss Phase</v>
      </c>
      <c r="D220" s="189" t="str">
        <f>IFERROR(__xludf.DUMMYFUNCTION("""COMPUTED_VALUE"""),"Lotus")</f>
        <v>Lotus</v>
      </c>
      <c r="E220" s="189" t="str">
        <f>IFERROR(__xludf.DUMMYFUNCTION("""COMPUTED_VALUE"""),"Team Liquid Academy")</f>
        <v>Team Liquid Academy</v>
      </c>
      <c r="F220" s="189" t="str">
        <f>IFERROR(__xludf.DUMMYFUNCTION("""COMPUTED_VALUE"""),"Twisted Saints Esports")</f>
        <v>Twisted Saints Esports</v>
      </c>
      <c r="G220" s="189" t="str">
        <f>IFERROR(__xludf.DUMMYFUNCTION("""COMPUTED_VALUE"""),"Raze,Viper,Omen,Fade,Vyse")</f>
        <v>Raze,Viper,Omen,Fade,Vyse</v>
      </c>
      <c r="H220" s="189" t="str">
        <f>IFERROR(__xludf.DUMMYFUNCTION("""COMPUTED_VALUE"""),"Raze,Killjoy,Viper,Omen,Fade")</f>
        <v>Raze,Killjoy,Viper,Omen,Fade</v>
      </c>
      <c r="I220" s="189">
        <f>IFERROR(__xludf.DUMMYFUNCTION("""COMPUTED_VALUE"""),13.0)</f>
        <v>13</v>
      </c>
      <c r="J220" s="189">
        <f>IFERROR(__xludf.DUMMYFUNCTION("""COMPUTED_VALUE"""),3.0)</f>
        <v>3</v>
      </c>
      <c r="K220" s="189">
        <f>IFERROR(__xludf.DUMMYFUNCTION("""COMPUTED_VALUE"""),9.0)</f>
        <v>9</v>
      </c>
      <c r="L220" s="189">
        <f>IFERROR(__xludf.DUMMYFUNCTION("""COMPUTED_VALUE"""),3.0)</f>
        <v>3</v>
      </c>
      <c r="M220" s="189">
        <f>IFERROR(__xludf.DUMMYFUNCTION("""COMPUTED_VALUE"""),0.0)</f>
        <v>0</v>
      </c>
      <c r="N220" s="189">
        <f>IFERROR(__xludf.DUMMYFUNCTION("""COMPUTED_VALUE"""),1.0)</f>
        <v>1</v>
      </c>
      <c r="O220" s="189">
        <f>IFERROR(__xludf.DUMMYFUNCTION("""COMPUTED_VALUE"""),9.0)</f>
        <v>9</v>
      </c>
      <c r="P220" s="189">
        <f>IFERROR(__xludf.DUMMYFUNCTION("""COMPUTED_VALUE"""),3.0)</f>
        <v>3</v>
      </c>
      <c r="Q220" s="189">
        <f>IFERROR(__xludf.DUMMYFUNCTION("""COMPUTED_VALUE"""),4.0)</f>
        <v>4</v>
      </c>
      <c r="R220" s="189">
        <f>IFERROR(__xludf.DUMMYFUNCTION("""COMPUTED_VALUE"""),0.0)</f>
        <v>0</v>
      </c>
      <c r="S220" s="189">
        <f>IFERROR(__xludf.DUMMYFUNCTION("""COMPUTED_VALUE"""),0.0)</f>
        <v>0</v>
      </c>
      <c r="T220" s="189">
        <f>IFERROR(__xludf.DUMMYFUNCTION("""COMPUTED_VALUE"""),1.0)</f>
        <v>1</v>
      </c>
      <c r="U220" s="189">
        <f>IFERROR(__xludf.DUMMYFUNCTION("""COMPUTED_VALUE"""),0.0)</f>
        <v>0</v>
      </c>
      <c r="V220" s="189">
        <f>IFERROR(__xludf.DUMMYFUNCTION("""COMPUTED_VALUE"""),4.0)</f>
        <v>4</v>
      </c>
      <c r="W220" s="189">
        <f>IFERROR(__xludf.DUMMYFUNCTION("""COMPUTED_VALUE"""),3.0)</f>
        <v>3</v>
      </c>
      <c r="X220" s="189">
        <f>IFERROR(__xludf.DUMMYFUNCTION("""COMPUTED_VALUE"""),9.0)</f>
        <v>9</v>
      </c>
      <c r="Y220" s="208" t="str">
        <f>IFERROR(__xludf.DUMMYFUNCTION("""COMPUTED_VALUE"""),"2025-07-06T00:00:00.000Z")</f>
        <v>2025-07-06T00:00:00.000Z</v>
      </c>
      <c r="Z220" s="189" t="s">
        <v>147</v>
      </c>
      <c r="AA220" s="189" t="s">
        <v>1</v>
      </c>
    </row>
    <row r="221">
      <c r="A221" s="189">
        <f>IFERROR(__xludf.DUMMYFUNCTION("""COMPUTED_VALUE"""),209275.0)</f>
        <v>209275</v>
      </c>
      <c r="B221" s="189">
        <f>IFERROR(__xludf.DUMMYFUNCTION("""COMPUTED_VALUE"""),92089.0)</f>
        <v>92089</v>
      </c>
      <c r="C221" s="189" t="str">
        <f>IFERROR(__xludf.DUMMYFUNCTION("""COMPUTED_VALUE"""),"Challengers 2025: France Revolution Split 3 - Group Stage")</f>
        <v>Challengers 2025: France Revolution Split 3 - Group Stage</v>
      </c>
      <c r="D221" s="189" t="str">
        <f>IFERROR(__xludf.DUMMYFUNCTION("""COMPUTED_VALUE"""),"Split")</f>
        <v>Split</v>
      </c>
      <c r="E221" s="189" t="str">
        <f>IFERROR(__xludf.DUMMYFUNCTION("""COMPUTED_VALUE"""),"Mandatory")</f>
        <v>Mandatory</v>
      </c>
      <c r="F221" s="189" t="str">
        <f>IFERROR(__xludf.DUMMYFUNCTION("""COMPUTED_VALUE"""),"WIP Esports")</f>
        <v>WIP Esports</v>
      </c>
      <c r="G221" s="189" t="str">
        <f>IFERROR(__xludf.DUMMYFUNCTION("""COMPUTED_VALUE"""),"Breach,Raze,Viper,Omen,Yoru")</f>
        <v>Breach,Raze,Viper,Omen,Yoru</v>
      </c>
      <c r="H221" s="189" t="str">
        <f>IFERROR(__xludf.DUMMYFUNCTION("""COMPUTED_VALUE"""),"Raze,Viper,Omen,Yoru,Fade")</f>
        <v>Raze,Viper,Omen,Yoru,Fade</v>
      </c>
      <c r="I221" s="189">
        <f>IFERROR(__xludf.DUMMYFUNCTION("""COMPUTED_VALUE"""),15.0)</f>
        <v>15</v>
      </c>
      <c r="J221" s="189">
        <f>IFERROR(__xludf.DUMMYFUNCTION("""COMPUTED_VALUE"""),13.0)</f>
        <v>13</v>
      </c>
      <c r="K221" s="189">
        <f>IFERROR(__xludf.DUMMYFUNCTION("""COMPUTED_VALUE"""),6.0)</f>
        <v>6</v>
      </c>
      <c r="L221" s="189">
        <f>IFERROR(__xludf.DUMMYFUNCTION("""COMPUTED_VALUE"""),6.0)</f>
        <v>6</v>
      </c>
      <c r="M221" s="189">
        <f>IFERROR(__xludf.DUMMYFUNCTION("""COMPUTED_VALUE"""),1.0)</f>
        <v>1</v>
      </c>
      <c r="N221" s="189">
        <f>IFERROR(__xludf.DUMMYFUNCTION("""COMPUTED_VALUE"""),1.0)</f>
        <v>1</v>
      </c>
      <c r="O221" s="189">
        <f>IFERROR(__xludf.DUMMYFUNCTION("""COMPUTED_VALUE"""),8.0)</f>
        <v>8</v>
      </c>
      <c r="P221" s="189">
        <f>IFERROR(__xludf.DUMMYFUNCTION("""COMPUTED_VALUE"""),6.0)</f>
        <v>6</v>
      </c>
      <c r="Q221" s="189">
        <f>IFERROR(__xludf.DUMMYFUNCTION("""COMPUTED_VALUE"""),7.0)</f>
        <v>7</v>
      </c>
      <c r="R221" s="189">
        <f>IFERROR(__xludf.DUMMYFUNCTION("""COMPUTED_VALUE"""),7.0)</f>
        <v>7</v>
      </c>
      <c r="S221" s="189">
        <f>IFERROR(__xludf.DUMMYFUNCTION("""COMPUTED_VALUE"""),0.0)</f>
        <v>0</v>
      </c>
      <c r="T221" s="189">
        <f>IFERROR(__xludf.DUMMYFUNCTION("""COMPUTED_VALUE"""),0.0)</f>
        <v>0</v>
      </c>
      <c r="U221" s="189">
        <f>IFERROR(__xludf.DUMMYFUNCTION("""COMPUTED_VALUE"""),7.0)</f>
        <v>7</v>
      </c>
      <c r="V221" s="189">
        <f>IFERROR(__xludf.DUMMYFUNCTION("""COMPUTED_VALUE"""),7.0)</f>
        <v>7</v>
      </c>
      <c r="W221" s="189">
        <f>IFERROR(__xludf.DUMMYFUNCTION("""COMPUTED_VALUE"""),6.0)</f>
        <v>6</v>
      </c>
      <c r="X221" s="189">
        <f>IFERROR(__xludf.DUMMYFUNCTION("""COMPUTED_VALUE"""),8.0)</f>
        <v>8</v>
      </c>
      <c r="Y221" s="208" t="str">
        <f>IFERROR(__xludf.DUMMYFUNCTION("""COMPUTED_VALUE"""),"2025-07-06T00:00:00.000Z")</f>
        <v>2025-07-06T00:00:00.000Z</v>
      </c>
      <c r="Z221" s="189" t="s">
        <v>131</v>
      </c>
      <c r="AA221" s="189" t="s">
        <v>189</v>
      </c>
    </row>
    <row r="222">
      <c r="A222" s="189">
        <f>IFERROR(__xludf.DUMMYFUNCTION("""COMPUTED_VALUE"""),208430.0)</f>
        <v>208430</v>
      </c>
      <c r="B222" s="189">
        <f>IFERROR(__xludf.DUMMYFUNCTION("""COMPUTED_VALUE"""),91792.0)</f>
        <v>91792</v>
      </c>
      <c r="C222" s="189" t="str">
        <f>IFERROR(__xludf.DUMMYFUNCTION("""COMPUTED_VALUE"""),"Challengers League 2025 DACH: Evolution Stage 3 - Group Stage")</f>
        <v>Challengers League 2025 DACH: Evolution Stage 3 - Group Stage</v>
      </c>
      <c r="D222" s="189" t="str">
        <f>IFERROR(__xludf.DUMMYFUNCTION("""COMPUTED_VALUE"""),"Icebox")</f>
        <v>Icebox</v>
      </c>
      <c r="E222" s="189" t="str">
        <f>IFERROR(__xludf.DUMMYFUNCTION("""COMPUTED_VALUE"""),"XPERION NXT")</f>
        <v>XPERION NXT</v>
      </c>
      <c r="F222" s="189" t="str">
        <f>IFERROR(__xludf.DUMMYFUNCTION("""COMPUTED_VALUE"""),"MOUZ")</f>
        <v>MOUZ</v>
      </c>
      <c r="G222" s="189" t="str">
        <f>IFERROR(__xludf.DUMMYFUNCTION("""COMPUTED_VALUE"""),"Killjoy,Viper,Omen,KAY/O,Gekko")</f>
        <v>Killjoy,Viper,Omen,KAY/O,Gekko</v>
      </c>
      <c r="H222" s="189" t="str">
        <f>IFERROR(__xludf.DUMMYFUNCTION("""COMPUTED_VALUE"""),"Sova,Killjoy,Viper,Jett,KAY/O")</f>
        <v>Sova,Killjoy,Viper,Jett,KAY/O</v>
      </c>
      <c r="I222" s="189">
        <f>IFERROR(__xludf.DUMMYFUNCTION("""COMPUTED_VALUE"""),8.0)</f>
        <v>8</v>
      </c>
      <c r="J222" s="189">
        <f>IFERROR(__xludf.DUMMYFUNCTION("""COMPUTED_VALUE"""),13.0)</f>
        <v>13</v>
      </c>
      <c r="K222" s="189">
        <f>IFERROR(__xludf.DUMMYFUNCTION("""COMPUTED_VALUE"""),6.0)</f>
        <v>6</v>
      </c>
      <c r="L222" s="189">
        <f>IFERROR(__xludf.DUMMYFUNCTION("""COMPUTED_VALUE"""),6.0)</f>
        <v>6</v>
      </c>
      <c r="M222" s="189">
        <f>IFERROR(__xludf.DUMMYFUNCTION("""COMPUTED_VALUE"""),0.0)</f>
        <v>0</v>
      </c>
      <c r="N222" s="189">
        <f>IFERROR(__xludf.DUMMYFUNCTION("""COMPUTED_VALUE"""),1.0)</f>
        <v>1</v>
      </c>
      <c r="O222" s="189">
        <f>IFERROR(__xludf.DUMMYFUNCTION("""COMPUTED_VALUE"""),2.0)</f>
        <v>2</v>
      </c>
      <c r="P222" s="189">
        <f>IFERROR(__xludf.DUMMYFUNCTION("""COMPUTED_VALUE"""),7.0)</f>
        <v>7</v>
      </c>
      <c r="Q222" s="189">
        <f>IFERROR(__xludf.DUMMYFUNCTION("""COMPUTED_VALUE"""),6.0)</f>
        <v>6</v>
      </c>
      <c r="R222" s="189">
        <f>IFERROR(__xludf.DUMMYFUNCTION("""COMPUTED_VALUE"""),6.0)</f>
        <v>6</v>
      </c>
      <c r="S222" s="189">
        <f>IFERROR(__xludf.DUMMYFUNCTION("""COMPUTED_VALUE"""),0.0)</f>
        <v>0</v>
      </c>
      <c r="T222" s="189">
        <f>IFERROR(__xludf.DUMMYFUNCTION("""COMPUTED_VALUE"""),1.0)</f>
        <v>1</v>
      </c>
      <c r="U222" s="189">
        <f>IFERROR(__xludf.DUMMYFUNCTION("""COMPUTED_VALUE"""),6.0)</f>
        <v>6</v>
      </c>
      <c r="V222" s="189">
        <f>IFERROR(__xludf.DUMMYFUNCTION("""COMPUTED_VALUE"""),6.0)</f>
        <v>6</v>
      </c>
      <c r="W222" s="189">
        <f>IFERROR(__xludf.DUMMYFUNCTION("""COMPUTED_VALUE"""),7.0)</f>
        <v>7</v>
      </c>
      <c r="X222" s="189">
        <f>IFERROR(__xludf.DUMMYFUNCTION("""COMPUTED_VALUE"""),2.0)</f>
        <v>2</v>
      </c>
      <c r="Y222" s="208" t="str">
        <f>IFERROR(__xludf.DUMMYFUNCTION("""COMPUTED_VALUE"""),"2025-07-06T00:00:00.000Z")</f>
        <v>2025-07-06T00:00:00.000Z</v>
      </c>
      <c r="Z222" s="189" t="s">
        <v>457</v>
      </c>
      <c r="AA222" s="189" t="s">
        <v>180</v>
      </c>
    </row>
    <row r="223">
      <c r="A223" s="189">
        <f>IFERROR(__xludf.DUMMYFUNCTION("""COMPUTED_VALUE"""),209074.0)</f>
        <v>209074</v>
      </c>
      <c r="B223" s="189">
        <f>IFERROR(__xludf.DUMMYFUNCTION("""COMPUTED_VALUE"""),92019.0)</f>
        <v>92019</v>
      </c>
      <c r="C223" s="189" t="str">
        <f>IFERROR(__xludf.DUMMYFUNCTION("""COMPUTED_VALUE"""),"Challengers League 2025 NORTH EAST: Split 3 - Lower Swiss Phase")</f>
        <v>Challengers League 2025 NORTH EAST: Split 3 - Lower Swiss Phase</v>
      </c>
      <c r="D223" s="189" t="str">
        <f>IFERROR(__xludf.DUMMYFUNCTION("""COMPUTED_VALUE"""),"Split")</f>
        <v>Split</v>
      </c>
      <c r="E223" s="189" t="str">
        <f>IFERROR(__xludf.DUMMYFUNCTION("""COMPUTED_VALUE"""),"Team Liquid Academy")</f>
        <v>Team Liquid Academy</v>
      </c>
      <c r="F223" s="189" t="str">
        <f>IFERROR(__xludf.DUMMYFUNCTION("""COMPUTED_VALUE"""),"Twisted Saints Esports")</f>
        <v>Twisted Saints Esports</v>
      </c>
      <c r="G223" s="189" t="str">
        <f>IFERROR(__xludf.DUMMYFUNCTION("""COMPUTED_VALUE"""),"Viper,Yoru,Astra,Fade,Vyse")</f>
        <v>Viper,Yoru,Astra,Fade,Vyse</v>
      </c>
      <c r="H223" s="189" t="str">
        <f>IFERROR(__xludf.DUMMYFUNCTION("""COMPUTED_VALUE"""),"Breach,Raze,Viper,Omen,Fade")</f>
        <v>Breach,Raze,Viper,Omen,Fade</v>
      </c>
      <c r="I223" s="189">
        <f>IFERROR(__xludf.DUMMYFUNCTION("""COMPUTED_VALUE"""),9.0)</f>
        <v>9</v>
      </c>
      <c r="J223" s="189">
        <f>IFERROR(__xludf.DUMMYFUNCTION("""COMPUTED_VALUE"""),13.0)</f>
        <v>13</v>
      </c>
      <c r="K223" s="189">
        <f>IFERROR(__xludf.DUMMYFUNCTION("""COMPUTED_VALUE"""),2.0)</f>
        <v>2</v>
      </c>
      <c r="L223" s="189">
        <f>IFERROR(__xludf.DUMMYFUNCTION("""COMPUTED_VALUE"""),10.0)</f>
        <v>10</v>
      </c>
      <c r="M223" s="189">
        <f>IFERROR(__xludf.DUMMYFUNCTION("""COMPUTED_VALUE"""),0.0)</f>
        <v>0</v>
      </c>
      <c r="N223" s="189">
        <f>IFERROR(__xludf.DUMMYFUNCTION("""COMPUTED_VALUE"""),1.0)</f>
        <v>1</v>
      </c>
      <c r="O223" s="189">
        <f>IFERROR(__xludf.DUMMYFUNCTION("""COMPUTED_VALUE"""),2.0)</f>
        <v>2</v>
      </c>
      <c r="P223" s="189">
        <f>IFERROR(__xludf.DUMMYFUNCTION("""COMPUTED_VALUE"""),10.0)</f>
        <v>10</v>
      </c>
      <c r="Q223" s="189">
        <f>IFERROR(__xludf.DUMMYFUNCTION("""COMPUTED_VALUE"""),7.0)</f>
        <v>7</v>
      </c>
      <c r="R223" s="189">
        <f>IFERROR(__xludf.DUMMYFUNCTION("""COMPUTED_VALUE"""),3.0)</f>
        <v>3</v>
      </c>
      <c r="S223" s="189">
        <f>IFERROR(__xludf.DUMMYFUNCTION("""COMPUTED_VALUE"""),0.0)</f>
        <v>0</v>
      </c>
      <c r="T223" s="189">
        <f>IFERROR(__xludf.DUMMYFUNCTION("""COMPUTED_VALUE"""),1.0)</f>
        <v>1</v>
      </c>
      <c r="U223" s="189">
        <f>IFERROR(__xludf.DUMMYFUNCTION("""COMPUTED_VALUE"""),3.0)</f>
        <v>3</v>
      </c>
      <c r="V223" s="189">
        <f>IFERROR(__xludf.DUMMYFUNCTION("""COMPUTED_VALUE"""),7.0)</f>
        <v>7</v>
      </c>
      <c r="W223" s="189">
        <f>IFERROR(__xludf.DUMMYFUNCTION("""COMPUTED_VALUE"""),10.0)</f>
        <v>10</v>
      </c>
      <c r="X223" s="189">
        <f>IFERROR(__xludf.DUMMYFUNCTION("""COMPUTED_VALUE"""),2.0)</f>
        <v>2</v>
      </c>
      <c r="Y223" s="208" t="str">
        <f>IFERROR(__xludf.DUMMYFUNCTION("""COMPUTED_VALUE"""),"2025-07-06T00:00:00.000Z")</f>
        <v>2025-07-06T00:00:00.000Z</v>
      </c>
      <c r="Z223" s="189" t="s">
        <v>148</v>
      </c>
      <c r="AA223" s="189" t="s">
        <v>425</v>
      </c>
    </row>
    <row r="224">
      <c r="A224" s="189">
        <f>IFERROR(__xludf.DUMMYFUNCTION("""COMPUTED_VALUE"""),209073.0)</f>
        <v>209073</v>
      </c>
      <c r="B224" s="189">
        <f>IFERROR(__xludf.DUMMYFUNCTION("""COMPUTED_VALUE"""),92019.0)</f>
        <v>92019</v>
      </c>
      <c r="C224" s="189" t="str">
        <f>IFERROR(__xludf.DUMMYFUNCTION("""COMPUTED_VALUE"""),"Challengers League 2025 NORTH EAST: Split 3 - Lower Swiss Phase")</f>
        <v>Challengers League 2025 NORTH EAST: Split 3 - Lower Swiss Phase</v>
      </c>
      <c r="D224" s="189" t="str">
        <f>IFERROR(__xludf.DUMMYFUNCTION("""COMPUTED_VALUE"""),"Ascent")</f>
        <v>Ascent</v>
      </c>
      <c r="E224" s="189" t="str">
        <f>IFERROR(__xludf.DUMMYFUNCTION("""COMPUTED_VALUE"""),"Team Liquid Academy")</f>
        <v>Team Liquid Academy</v>
      </c>
      <c r="F224" s="189" t="str">
        <f>IFERROR(__xludf.DUMMYFUNCTION("""COMPUTED_VALUE"""),"Twisted Saints Esports")</f>
        <v>Twisted Saints Esports</v>
      </c>
      <c r="G224" s="189" t="str">
        <f>IFERROR(__xludf.DUMMYFUNCTION("""COMPUTED_VALUE"""),"Sova,Omen,Yoru,Vyse,Waylay")</f>
        <v>Sova,Omen,Yoru,Vyse,Waylay</v>
      </c>
      <c r="H224" s="189" t="str">
        <f>IFERROR(__xludf.DUMMYFUNCTION("""COMPUTED_VALUE"""),"Sova,Killjoy,Omen,Jett,KAY/O")</f>
        <v>Sova,Killjoy,Omen,Jett,KAY/O</v>
      </c>
      <c r="I224" s="189">
        <f>IFERROR(__xludf.DUMMYFUNCTION("""COMPUTED_VALUE"""),13.0)</f>
        <v>13</v>
      </c>
      <c r="J224" s="189">
        <f>IFERROR(__xludf.DUMMYFUNCTION("""COMPUTED_VALUE"""),5.0)</f>
        <v>5</v>
      </c>
      <c r="K224" s="189">
        <f>IFERROR(__xludf.DUMMYFUNCTION("""COMPUTED_VALUE"""),8.0)</f>
        <v>8</v>
      </c>
      <c r="L224" s="189">
        <f>IFERROR(__xludf.DUMMYFUNCTION("""COMPUTED_VALUE"""),4.0)</f>
        <v>4</v>
      </c>
      <c r="M224" s="189">
        <f>IFERROR(__xludf.DUMMYFUNCTION("""COMPUTED_VALUE"""),1.0)</f>
        <v>1</v>
      </c>
      <c r="N224" s="189">
        <f>IFERROR(__xludf.DUMMYFUNCTION("""COMPUTED_VALUE"""),1.0)</f>
        <v>1</v>
      </c>
      <c r="O224" s="189">
        <f>IFERROR(__xludf.DUMMYFUNCTION("""COMPUTED_VALUE"""),8.0)</f>
        <v>8</v>
      </c>
      <c r="P224" s="189">
        <f>IFERROR(__xludf.DUMMYFUNCTION("""COMPUTED_VALUE"""),4.0)</f>
        <v>4</v>
      </c>
      <c r="Q224" s="189">
        <f>IFERROR(__xludf.DUMMYFUNCTION("""COMPUTED_VALUE"""),5.0)</f>
        <v>5</v>
      </c>
      <c r="R224" s="189">
        <f>IFERROR(__xludf.DUMMYFUNCTION("""COMPUTED_VALUE"""),1.0)</f>
        <v>1</v>
      </c>
      <c r="S224" s="189">
        <f>IFERROR(__xludf.DUMMYFUNCTION("""COMPUTED_VALUE"""),0.0)</f>
        <v>0</v>
      </c>
      <c r="T224" s="189">
        <f>IFERROR(__xludf.DUMMYFUNCTION("""COMPUTED_VALUE"""),0.0)</f>
        <v>0</v>
      </c>
      <c r="U224" s="189">
        <f>IFERROR(__xludf.DUMMYFUNCTION("""COMPUTED_VALUE"""),1.0)</f>
        <v>1</v>
      </c>
      <c r="V224" s="189">
        <f>IFERROR(__xludf.DUMMYFUNCTION("""COMPUTED_VALUE"""),5.0)</f>
        <v>5</v>
      </c>
      <c r="W224" s="189">
        <f>IFERROR(__xludf.DUMMYFUNCTION("""COMPUTED_VALUE"""),4.0)</f>
        <v>4</v>
      </c>
      <c r="X224" s="189">
        <f>IFERROR(__xludf.DUMMYFUNCTION("""COMPUTED_VALUE"""),8.0)</f>
        <v>8</v>
      </c>
      <c r="Y224" s="208" t="str">
        <f>IFERROR(__xludf.DUMMYFUNCTION("""COMPUTED_VALUE"""),"2025-07-06T00:00:00.000Z")</f>
        <v>2025-07-06T00:00:00.000Z</v>
      </c>
      <c r="Z224" s="189" t="s">
        <v>142</v>
      </c>
      <c r="AA224" s="189" t="s">
        <v>1</v>
      </c>
    </row>
    <row r="225">
      <c r="A225" s="189">
        <f>IFERROR(__xludf.DUMMYFUNCTION("""COMPUTED_VALUE"""),209080.0)</f>
        <v>209080</v>
      </c>
      <c r="B225" s="189">
        <f>IFERROR(__xludf.DUMMYFUNCTION("""COMPUTED_VALUE"""),92022.0)</f>
        <v>92022</v>
      </c>
      <c r="C225" s="189" t="str">
        <f>IFERROR(__xludf.DUMMYFUNCTION("""COMPUTED_VALUE"""),"Challengers League 2025 NORTH EAST: Split 3 - Lower Swiss Phase")</f>
        <v>Challengers League 2025 NORTH EAST: Split 3 - Lower Swiss Phase</v>
      </c>
      <c r="D225" s="189" t="str">
        <f>IFERROR(__xludf.DUMMYFUNCTION("""COMPUTED_VALUE"""),"Haven")</f>
        <v>Haven</v>
      </c>
      <c r="E225" s="189" t="str">
        <f>IFERROR(__xludf.DUMMYFUNCTION("""COMPUTED_VALUE"""),"Boars Gaming")</f>
        <v>Boars Gaming</v>
      </c>
      <c r="F225" s="189" t="str">
        <f>IFERROR(__xludf.DUMMYFUNCTION("""COMPUTED_VALUE"""),"MIR")</f>
        <v>MIR</v>
      </c>
      <c r="G225" s="189" t="str">
        <f>IFERROR(__xludf.DUMMYFUNCTION("""COMPUTED_VALUE"""),"Breach,Cypher,Sova,Omen,Neon")</f>
        <v>Breach,Cypher,Sova,Omen,Neon</v>
      </c>
      <c r="H225" s="189" t="str">
        <f>IFERROR(__xludf.DUMMYFUNCTION("""COMPUTED_VALUE"""),"Sova,Killjoy,Viper,Omen,Neon")</f>
        <v>Sova,Killjoy,Viper,Omen,Neon</v>
      </c>
      <c r="I225" s="189">
        <f>IFERROR(__xludf.DUMMYFUNCTION("""COMPUTED_VALUE"""),13.0)</f>
        <v>13</v>
      </c>
      <c r="J225" s="189">
        <f>IFERROR(__xludf.DUMMYFUNCTION("""COMPUTED_VALUE"""),11.0)</f>
        <v>11</v>
      </c>
      <c r="K225" s="189">
        <f>IFERROR(__xludf.DUMMYFUNCTION("""COMPUTED_VALUE"""),8.0)</f>
        <v>8</v>
      </c>
      <c r="L225" s="189">
        <f>IFERROR(__xludf.DUMMYFUNCTION("""COMPUTED_VALUE"""),4.0)</f>
        <v>4</v>
      </c>
      <c r="M225" s="189">
        <f>IFERROR(__xludf.DUMMYFUNCTION("""COMPUTED_VALUE"""),0.0)</f>
        <v>0</v>
      </c>
      <c r="N225" s="189">
        <f>IFERROR(__xludf.DUMMYFUNCTION("""COMPUTED_VALUE"""),1.0)</f>
        <v>1</v>
      </c>
      <c r="O225" s="189">
        <f>IFERROR(__xludf.DUMMYFUNCTION("""COMPUTED_VALUE"""),5.0)</f>
        <v>5</v>
      </c>
      <c r="P225" s="189">
        <f>IFERROR(__xludf.DUMMYFUNCTION("""COMPUTED_VALUE"""),7.0)</f>
        <v>7</v>
      </c>
      <c r="Q225" s="189">
        <f>IFERROR(__xludf.DUMMYFUNCTION("""COMPUTED_VALUE"""),8.0)</f>
        <v>8</v>
      </c>
      <c r="R225" s="189">
        <f>IFERROR(__xludf.DUMMYFUNCTION("""COMPUTED_VALUE"""),4.0)</f>
        <v>4</v>
      </c>
      <c r="S225" s="189">
        <f>IFERROR(__xludf.DUMMYFUNCTION("""COMPUTED_VALUE"""),0.0)</f>
        <v>0</v>
      </c>
      <c r="T225" s="189">
        <f>IFERROR(__xludf.DUMMYFUNCTION("""COMPUTED_VALUE"""),1.0)</f>
        <v>1</v>
      </c>
      <c r="U225" s="189">
        <f>IFERROR(__xludf.DUMMYFUNCTION("""COMPUTED_VALUE"""),4.0)</f>
        <v>4</v>
      </c>
      <c r="V225" s="189">
        <f>IFERROR(__xludf.DUMMYFUNCTION("""COMPUTED_VALUE"""),8.0)</f>
        <v>8</v>
      </c>
      <c r="W225" s="189">
        <f>IFERROR(__xludf.DUMMYFUNCTION("""COMPUTED_VALUE"""),7.0)</f>
        <v>7</v>
      </c>
      <c r="X225" s="189">
        <f>IFERROR(__xludf.DUMMYFUNCTION("""COMPUTED_VALUE"""),5.0)</f>
        <v>5</v>
      </c>
      <c r="Y225" s="208" t="str">
        <f>IFERROR(__xludf.DUMMYFUNCTION("""COMPUTED_VALUE"""),"2025-07-06T00:00:00.000Z")</f>
        <v>2025-07-06T00:00:00.000Z</v>
      </c>
      <c r="Z225" s="189" t="s">
        <v>79</v>
      </c>
      <c r="AA225" s="189" t="s">
        <v>181</v>
      </c>
    </row>
    <row r="226">
      <c r="A226" s="189">
        <f>IFERROR(__xludf.DUMMYFUNCTION("""COMPUTED_VALUE"""),209081.0)</f>
        <v>209081</v>
      </c>
      <c r="B226" s="189">
        <f>IFERROR(__xludf.DUMMYFUNCTION("""COMPUTED_VALUE"""),92023.0)</f>
        <v>92023</v>
      </c>
      <c r="C226" s="189" t="str">
        <f>IFERROR(__xludf.DUMMYFUNCTION("""COMPUTED_VALUE"""),"Challengers League 2025 NORTH EAST: Split 3 - Lower Swiss Phase")</f>
        <v>Challengers League 2025 NORTH EAST: Split 3 - Lower Swiss Phase</v>
      </c>
      <c r="D226" s="189" t="str">
        <f>IFERROR(__xludf.DUMMYFUNCTION("""COMPUTED_VALUE"""),"Haven")</f>
        <v>Haven</v>
      </c>
      <c r="E226" s="189" t="str">
        <f>IFERROR(__xludf.DUMMYFUNCTION("""COMPUTED_VALUE"""),"děti ulice")</f>
        <v>děti ulice</v>
      </c>
      <c r="F226" s="189" t="str">
        <f>IFERROR(__xludf.DUMMYFUNCTION("""COMPUTED_VALUE"""),"MANIA Esports")</f>
        <v>MANIA Esports</v>
      </c>
      <c r="G226" s="189" t="str">
        <f>IFERROR(__xludf.DUMMYFUNCTION("""COMPUTED_VALUE"""),"Breach,Cypher,Sova,Omen,Jett")</f>
        <v>Breach,Cypher,Sova,Omen,Jett</v>
      </c>
      <c r="H226" s="189" t="str">
        <f>IFERROR(__xludf.DUMMYFUNCTION("""COMPUTED_VALUE"""),"Cypher,Sova,Omen,Yoru,Iso")</f>
        <v>Cypher,Sova,Omen,Yoru,Iso</v>
      </c>
      <c r="I226" s="189">
        <f>IFERROR(__xludf.DUMMYFUNCTION("""COMPUTED_VALUE"""),9.0)</f>
        <v>9</v>
      </c>
      <c r="J226" s="189">
        <f>IFERROR(__xludf.DUMMYFUNCTION("""COMPUTED_VALUE"""),13.0)</f>
        <v>13</v>
      </c>
      <c r="K226" s="189">
        <f>IFERROR(__xludf.DUMMYFUNCTION("""COMPUTED_VALUE"""),5.0)</f>
        <v>5</v>
      </c>
      <c r="L226" s="189">
        <f>IFERROR(__xludf.DUMMYFUNCTION("""COMPUTED_VALUE"""),7.0)</f>
        <v>7</v>
      </c>
      <c r="M226" s="189">
        <f>IFERROR(__xludf.DUMMYFUNCTION("""COMPUTED_VALUE"""),1.0)</f>
        <v>1</v>
      </c>
      <c r="N226" s="189">
        <f>IFERROR(__xludf.DUMMYFUNCTION("""COMPUTED_VALUE"""),1.0)</f>
        <v>1</v>
      </c>
      <c r="O226" s="189">
        <f>IFERROR(__xludf.DUMMYFUNCTION("""COMPUTED_VALUE"""),5.0)</f>
        <v>5</v>
      </c>
      <c r="P226" s="189">
        <f>IFERROR(__xludf.DUMMYFUNCTION("""COMPUTED_VALUE"""),7.0)</f>
        <v>7</v>
      </c>
      <c r="Q226" s="189">
        <f>IFERROR(__xludf.DUMMYFUNCTION("""COMPUTED_VALUE"""),4.0)</f>
        <v>4</v>
      </c>
      <c r="R226" s="189">
        <f>IFERROR(__xludf.DUMMYFUNCTION("""COMPUTED_VALUE"""),6.0)</f>
        <v>6</v>
      </c>
      <c r="S226" s="189">
        <f>IFERROR(__xludf.DUMMYFUNCTION("""COMPUTED_VALUE"""),0.0)</f>
        <v>0</v>
      </c>
      <c r="T226" s="189">
        <f>IFERROR(__xludf.DUMMYFUNCTION("""COMPUTED_VALUE"""),0.0)</f>
        <v>0</v>
      </c>
      <c r="U226" s="189">
        <f>IFERROR(__xludf.DUMMYFUNCTION("""COMPUTED_VALUE"""),6.0)</f>
        <v>6</v>
      </c>
      <c r="V226" s="189">
        <f>IFERROR(__xludf.DUMMYFUNCTION("""COMPUTED_VALUE"""),4.0)</f>
        <v>4</v>
      </c>
      <c r="W226" s="189">
        <f>IFERROR(__xludf.DUMMYFUNCTION("""COMPUTED_VALUE"""),7.0)</f>
        <v>7</v>
      </c>
      <c r="X226" s="189">
        <f>IFERROR(__xludf.DUMMYFUNCTION("""COMPUTED_VALUE"""),5.0)</f>
        <v>5</v>
      </c>
      <c r="Y226" s="208" t="str">
        <f>IFERROR(__xludf.DUMMYFUNCTION("""COMPUTED_VALUE"""),"2025-07-06T00:00:00.000Z")</f>
        <v>2025-07-06T00:00:00.000Z</v>
      </c>
      <c r="Z226" s="189" t="s">
        <v>88</v>
      </c>
      <c r="AA226" s="189" t="s">
        <v>458</v>
      </c>
    </row>
    <row r="227">
      <c r="A227" s="189">
        <f>IFERROR(__xludf.DUMMYFUNCTION("""COMPUTED_VALUE"""),206636.0)</f>
        <v>206636</v>
      </c>
      <c r="B227" s="189">
        <f>IFERROR(__xludf.DUMMYFUNCTION("""COMPUTED_VALUE"""),91112.0)</f>
        <v>91112</v>
      </c>
      <c r="C227" s="189" t="str">
        <f>IFERROR(__xludf.DUMMYFUNCTION("""COMPUTED_VALUE"""),"A1 eSports Cup #8")</f>
        <v>A1 eSports Cup #8</v>
      </c>
      <c r="D227" s="189" t="str">
        <f>IFERROR(__xludf.DUMMYFUNCTION("""COMPUTED_VALUE"""),"Sunset")</f>
        <v>Sunset</v>
      </c>
      <c r="E227" s="189" t="str">
        <f>IFERROR(__xludf.DUMMYFUNCTION("""COMPUTED_VALUE"""),"Eintracht Frankfurt")</f>
        <v>Eintracht Frankfurt</v>
      </c>
      <c r="F227" s="189" t="str">
        <f>IFERROR(__xludf.DUMMYFUNCTION("""COMPUTED_VALUE"""),"MOUZ")</f>
        <v>MOUZ</v>
      </c>
      <c r="G227" s="189" t="str">
        <f>IFERROR(__xludf.DUMMYFUNCTION("""COMPUTED_VALUE"""),"Cypher,Sova,Omen,KAY/O,Neon")</f>
        <v>Cypher,Sova,Omen,KAY/O,Neon</v>
      </c>
      <c r="H227" s="189" t="str">
        <f>IFERROR(__xludf.DUMMYFUNCTION("""COMPUTED_VALUE"""),"Breach,Sova,Omen,Neon,Vyse")</f>
        <v>Breach,Sova,Omen,Neon,Vyse</v>
      </c>
      <c r="I227" s="189">
        <f>IFERROR(__xludf.DUMMYFUNCTION("""COMPUTED_VALUE"""),13.0)</f>
        <v>13</v>
      </c>
      <c r="J227" s="189">
        <f>IFERROR(__xludf.DUMMYFUNCTION("""COMPUTED_VALUE"""),8.0)</f>
        <v>8</v>
      </c>
      <c r="K227" s="189">
        <f>IFERROR(__xludf.DUMMYFUNCTION("""COMPUTED_VALUE"""),7.0)</f>
        <v>7</v>
      </c>
      <c r="L227" s="189">
        <f>IFERROR(__xludf.DUMMYFUNCTION("""COMPUTED_VALUE"""),5.0)</f>
        <v>5</v>
      </c>
      <c r="M227" s="189">
        <f>IFERROR(__xludf.DUMMYFUNCTION("""COMPUTED_VALUE"""),0.0)</f>
        <v>0</v>
      </c>
      <c r="N227" s="189">
        <f>IFERROR(__xludf.DUMMYFUNCTION("""COMPUTED_VALUE"""),0.0)</f>
        <v>0</v>
      </c>
      <c r="O227" s="189">
        <f>IFERROR(__xludf.DUMMYFUNCTION("""COMPUTED_VALUE"""),6.0)</f>
        <v>6</v>
      </c>
      <c r="P227" s="189">
        <f>IFERROR(__xludf.DUMMYFUNCTION("""COMPUTED_VALUE"""),3.0)</f>
        <v>3</v>
      </c>
      <c r="Q227" s="189">
        <f>IFERROR(__xludf.DUMMYFUNCTION("""COMPUTED_VALUE"""),7.0)</f>
        <v>7</v>
      </c>
      <c r="R227" s="189">
        <f>IFERROR(__xludf.DUMMYFUNCTION("""COMPUTED_VALUE"""),5.0)</f>
        <v>5</v>
      </c>
      <c r="S227" s="189">
        <f>IFERROR(__xludf.DUMMYFUNCTION("""COMPUTED_VALUE"""),1.0)</f>
        <v>1</v>
      </c>
      <c r="T227" s="189">
        <f>IFERROR(__xludf.DUMMYFUNCTION("""COMPUTED_VALUE"""),1.0)</f>
        <v>1</v>
      </c>
      <c r="U227" s="189">
        <f>IFERROR(__xludf.DUMMYFUNCTION("""COMPUTED_VALUE"""),5.0)</f>
        <v>5</v>
      </c>
      <c r="V227" s="189">
        <f>IFERROR(__xludf.DUMMYFUNCTION("""COMPUTED_VALUE"""),7.0)</f>
        <v>7</v>
      </c>
      <c r="W227" s="189">
        <f>IFERROR(__xludf.DUMMYFUNCTION("""COMPUTED_VALUE"""),3.0)</f>
        <v>3</v>
      </c>
      <c r="X227" s="189">
        <f>IFERROR(__xludf.DUMMYFUNCTION("""COMPUTED_VALUE"""),6.0)</f>
        <v>6</v>
      </c>
      <c r="Y227" s="208" t="str">
        <f>IFERROR(__xludf.DUMMYFUNCTION("""COMPUTED_VALUE"""),"2025-07-05T00:00:00.000Z")</f>
        <v>2025-07-05T00:00:00.000Z</v>
      </c>
      <c r="Z227" s="189" t="s">
        <v>106</v>
      </c>
      <c r="AA227" s="189" t="s">
        <v>183</v>
      </c>
    </row>
    <row r="228">
      <c r="A228" s="189">
        <f>IFERROR(__xludf.DUMMYFUNCTION("""COMPUTED_VALUE"""),206635.0)</f>
        <v>206635</v>
      </c>
      <c r="B228" s="189">
        <f>IFERROR(__xludf.DUMMYFUNCTION("""COMPUTED_VALUE"""),91112.0)</f>
        <v>91112</v>
      </c>
      <c r="C228" s="189" t="str">
        <f>IFERROR(__xludf.DUMMYFUNCTION("""COMPUTED_VALUE"""),"A1 eSports Cup #8")</f>
        <v>A1 eSports Cup #8</v>
      </c>
      <c r="D228" s="189" t="str">
        <f>IFERROR(__xludf.DUMMYFUNCTION("""COMPUTED_VALUE"""),"Ascent")</f>
        <v>Ascent</v>
      </c>
      <c r="E228" s="189" t="str">
        <f>IFERROR(__xludf.DUMMYFUNCTION("""COMPUTED_VALUE"""),"Eintracht Frankfurt")</f>
        <v>Eintracht Frankfurt</v>
      </c>
      <c r="F228" s="189" t="str">
        <f>IFERROR(__xludf.DUMMYFUNCTION("""COMPUTED_VALUE"""),"MOUZ")</f>
        <v>MOUZ</v>
      </c>
      <c r="G228" s="189" t="str">
        <f>IFERROR(__xludf.DUMMYFUNCTION("""COMPUTED_VALUE"""),"Cypher,Sova,Omen,Jett,KAY/O")</f>
        <v>Cypher,Sova,Omen,Jett,KAY/O</v>
      </c>
      <c r="H228" s="189" t="str">
        <f>IFERROR(__xludf.DUMMYFUNCTION("""COMPUTED_VALUE"""),"Sova,Phoenix,Omen,Yoru,Vyse")</f>
        <v>Sova,Phoenix,Omen,Yoru,Vyse</v>
      </c>
      <c r="I228" s="189">
        <f>IFERROR(__xludf.DUMMYFUNCTION("""COMPUTED_VALUE"""),13.0)</f>
        <v>13</v>
      </c>
      <c r="J228" s="189">
        <f>IFERROR(__xludf.DUMMYFUNCTION("""COMPUTED_VALUE"""),8.0)</f>
        <v>8</v>
      </c>
      <c r="K228" s="189">
        <f>IFERROR(__xludf.DUMMYFUNCTION("""COMPUTED_VALUE"""),7.0)</f>
        <v>7</v>
      </c>
      <c r="L228" s="189">
        <f>IFERROR(__xludf.DUMMYFUNCTION("""COMPUTED_VALUE"""),5.0)</f>
        <v>5</v>
      </c>
      <c r="M228" s="189">
        <f>IFERROR(__xludf.DUMMYFUNCTION("""COMPUTED_VALUE"""),0.0)</f>
        <v>0</v>
      </c>
      <c r="N228" s="189">
        <f>IFERROR(__xludf.DUMMYFUNCTION("""COMPUTED_VALUE"""),1.0)</f>
        <v>1</v>
      </c>
      <c r="O228" s="189">
        <f>IFERROR(__xludf.DUMMYFUNCTION("""COMPUTED_VALUE"""),7.0)</f>
        <v>7</v>
      </c>
      <c r="P228" s="189">
        <f>IFERROR(__xludf.DUMMYFUNCTION("""COMPUTED_VALUE"""),5.0)</f>
        <v>5</v>
      </c>
      <c r="Q228" s="189">
        <f>IFERROR(__xludf.DUMMYFUNCTION("""COMPUTED_VALUE"""),6.0)</f>
        <v>6</v>
      </c>
      <c r="R228" s="189">
        <f>IFERROR(__xludf.DUMMYFUNCTION("""COMPUTED_VALUE"""),3.0)</f>
        <v>3</v>
      </c>
      <c r="S228" s="189">
        <f>IFERROR(__xludf.DUMMYFUNCTION("""COMPUTED_VALUE"""),0.0)</f>
        <v>0</v>
      </c>
      <c r="T228" s="189">
        <f>IFERROR(__xludf.DUMMYFUNCTION("""COMPUTED_VALUE"""),1.0)</f>
        <v>1</v>
      </c>
      <c r="U228" s="189">
        <f>IFERROR(__xludf.DUMMYFUNCTION("""COMPUTED_VALUE"""),3.0)</f>
        <v>3</v>
      </c>
      <c r="V228" s="189">
        <f>IFERROR(__xludf.DUMMYFUNCTION("""COMPUTED_VALUE"""),6.0)</f>
        <v>6</v>
      </c>
      <c r="W228" s="189">
        <f>IFERROR(__xludf.DUMMYFUNCTION("""COMPUTED_VALUE"""),5.0)</f>
        <v>5</v>
      </c>
      <c r="X228" s="189">
        <f>IFERROR(__xludf.DUMMYFUNCTION("""COMPUTED_VALUE"""),7.0)</f>
        <v>7</v>
      </c>
      <c r="Y228" s="208" t="str">
        <f>IFERROR(__xludf.DUMMYFUNCTION("""COMPUTED_VALUE"""),"2025-07-05T00:00:00.000Z")</f>
        <v>2025-07-05T00:00:00.000Z</v>
      </c>
      <c r="Z228" s="189" t="s">
        <v>99</v>
      </c>
      <c r="AA228" s="189" t="s">
        <v>183</v>
      </c>
    </row>
    <row r="229">
      <c r="A229" s="189">
        <f>IFERROR(__xludf.DUMMYFUNCTION("""COMPUTED_VALUE"""),209062.0)</f>
        <v>209062</v>
      </c>
      <c r="B229" s="189">
        <f>IFERROR(__xludf.DUMMYFUNCTION("""COMPUTED_VALUE"""),92012.0)</f>
        <v>92012</v>
      </c>
      <c r="C229" s="189" t="str">
        <f>IFERROR(__xludf.DUMMYFUNCTION("""COMPUTED_VALUE"""),"Challengers League 2025 NORTH EAST: Split 3 - Lower Swiss Phase")</f>
        <v>Challengers League 2025 NORTH EAST: Split 3 - Lower Swiss Phase</v>
      </c>
      <c r="D229" s="189" t="str">
        <f>IFERROR(__xludf.DUMMYFUNCTION("""COMPUTED_VALUE"""),"Sunset")</f>
        <v>Sunset</v>
      </c>
      <c r="E229" s="189" t="str">
        <f>IFERROR(__xludf.DUMMYFUNCTION("""COMPUTED_VALUE"""),"Formulation Gaming")</f>
        <v>Formulation Gaming</v>
      </c>
      <c r="F229" s="189" t="str">
        <f>IFERROR(__xludf.DUMMYFUNCTION("""COMPUTED_VALUE"""),"Boars Gaming")</f>
        <v>Boars Gaming</v>
      </c>
      <c r="G229" s="189" t="str">
        <f>IFERROR(__xludf.DUMMYFUNCTION("""COMPUTED_VALUE"""),"Cypher,Sova,Viper,Omen,Neon")</f>
        <v>Cypher,Sova,Viper,Omen,Neon</v>
      </c>
      <c r="H229" s="189" t="str">
        <f>IFERROR(__xludf.DUMMYFUNCTION("""COMPUTED_VALUE"""),"Cypher,Sova,Omen,KAY/O,Neon")</f>
        <v>Cypher,Sova,Omen,KAY/O,Neon</v>
      </c>
      <c r="I229" s="189">
        <f>IFERROR(__xludf.DUMMYFUNCTION("""COMPUTED_VALUE"""),13.0)</f>
        <v>13</v>
      </c>
      <c r="J229" s="189">
        <f>IFERROR(__xludf.DUMMYFUNCTION("""COMPUTED_VALUE"""),7.0)</f>
        <v>7</v>
      </c>
      <c r="K229" s="189">
        <f>IFERROR(__xludf.DUMMYFUNCTION("""COMPUTED_VALUE"""),6.0)</f>
        <v>6</v>
      </c>
      <c r="L229" s="189">
        <f>IFERROR(__xludf.DUMMYFUNCTION("""COMPUTED_VALUE"""),6.0)</f>
        <v>6</v>
      </c>
      <c r="M229" s="189">
        <f>IFERROR(__xludf.DUMMYFUNCTION("""COMPUTED_VALUE"""),1.0)</f>
        <v>1</v>
      </c>
      <c r="N229" s="189">
        <f>IFERROR(__xludf.DUMMYFUNCTION("""COMPUTED_VALUE"""),1.0)</f>
        <v>1</v>
      </c>
      <c r="O229" s="189">
        <f>IFERROR(__xludf.DUMMYFUNCTION("""COMPUTED_VALUE"""),7.0)</f>
        <v>7</v>
      </c>
      <c r="P229" s="189">
        <f>IFERROR(__xludf.DUMMYFUNCTION("""COMPUTED_VALUE"""),1.0)</f>
        <v>1</v>
      </c>
      <c r="Q229" s="189">
        <f>IFERROR(__xludf.DUMMYFUNCTION("""COMPUTED_VALUE"""),6.0)</f>
        <v>6</v>
      </c>
      <c r="R229" s="189">
        <f>IFERROR(__xludf.DUMMYFUNCTION("""COMPUTED_VALUE"""),6.0)</f>
        <v>6</v>
      </c>
      <c r="S229" s="189">
        <f>IFERROR(__xludf.DUMMYFUNCTION("""COMPUTED_VALUE"""),0.0)</f>
        <v>0</v>
      </c>
      <c r="T229" s="189">
        <f>IFERROR(__xludf.DUMMYFUNCTION("""COMPUTED_VALUE"""),0.0)</f>
        <v>0</v>
      </c>
      <c r="U229" s="189">
        <f>IFERROR(__xludf.DUMMYFUNCTION("""COMPUTED_VALUE"""),6.0)</f>
        <v>6</v>
      </c>
      <c r="V229" s="189">
        <f>IFERROR(__xludf.DUMMYFUNCTION("""COMPUTED_VALUE"""),6.0)</f>
        <v>6</v>
      </c>
      <c r="W229" s="189">
        <f>IFERROR(__xludf.DUMMYFUNCTION("""COMPUTED_VALUE"""),1.0)</f>
        <v>1</v>
      </c>
      <c r="X229" s="189">
        <f>IFERROR(__xludf.DUMMYFUNCTION("""COMPUTED_VALUE"""),7.0)</f>
        <v>7</v>
      </c>
      <c r="Y229" s="208" t="str">
        <f>IFERROR(__xludf.DUMMYFUNCTION("""COMPUTED_VALUE"""),"2025-07-05T00:00:00.000Z")</f>
        <v>2025-07-05T00:00:00.000Z</v>
      </c>
      <c r="Z229" s="189" t="s">
        <v>442</v>
      </c>
      <c r="AA229" s="189" t="s">
        <v>401</v>
      </c>
    </row>
    <row r="230">
      <c r="A230" s="189">
        <f>IFERROR(__xludf.DUMMYFUNCTION("""COMPUTED_VALUE"""),209059.0)</f>
        <v>209059</v>
      </c>
      <c r="B230" s="189">
        <f>IFERROR(__xludf.DUMMYFUNCTION("""COMPUTED_VALUE"""),92009.0)</f>
        <v>92009</v>
      </c>
      <c r="C230" s="189" t="str">
        <f>IFERROR(__xludf.DUMMYFUNCTION("""COMPUTED_VALUE"""),"Challengers League 2025 NORTH EAST: Split 3 - Lower Swiss Phase")</f>
        <v>Challengers League 2025 NORTH EAST: Split 3 - Lower Swiss Phase</v>
      </c>
      <c r="D230" s="189" t="str">
        <f>IFERROR(__xludf.DUMMYFUNCTION("""COMPUTED_VALUE"""),"Lotus")</f>
        <v>Lotus</v>
      </c>
      <c r="E230" s="189" t="str">
        <f>IFERROR(__xludf.DUMMYFUNCTION("""COMPUTED_VALUE"""),"děti ulice")</f>
        <v>děti ulice</v>
      </c>
      <c r="F230" s="189" t="str">
        <f>IFERROR(__xludf.DUMMYFUNCTION("""COMPUTED_VALUE"""),"Extreme Gaming")</f>
        <v>Extreme Gaming</v>
      </c>
      <c r="G230" s="189" t="str">
        <f>IFERROR(__xludf.DUMMYFUNCTION("""COMPUTED_VALUE"""),"Sova,Viper,Omen,Yoru,Fade")</f>
        <v>Sova,Viper,Omen,Yoru,Fade</v>
      </c>
      <c r="H230" s="189" t="str">
        <f>IFERROR(__xludf.DUMMYFUNCTION("""COMPUTED_VALUE"""),"Raze,Killjoy,Viper,Omen,Fade")</f>
        <v>Raze,Killjoy,Viper,Omen,Fade</v>
      </c>
      <c r="I230" s="189">
        <f>IFERROR(__xludf.DUMMYFUNCTION("""COMPUTED_VALUE"""),13.0)</f>
        <v>13</v>
      </c>
      <c r="J230" s="189">
        <f>IFERROR(__xludf.DUMMYFUNCTION("""COMPUTED_VALUE"""),15.0)</f>
        <v>15</v>
      </c>
      <c r="K230" s="189">
        <f>IFERROR(__xludf.DUMMYFUNCTION("""COMPUTED_VALUE"""),10.0)</f>
        <v>10</v>
      </c>
      <c r="L230" s="189">
        <f>IFERROR(__xludf.DUMMYFUNCTION("""COMPUTED_VALUE"""),2.0)</f>
        <v>2</v>
      </c>
      <c r="M230" s="189">
        <f>IFERROR(__xludf.DUMMYFUNCTION("""COMPUTED_VALUE"""),1.0)</f>
        <v>1</v>
      </c>
      <c r="N230" s="189">
        <f>IFERROR(__xludf.DUMMYFUNCTION("""COMPUTED_VALUE"""),1.0)</f>
        <v>1</v>
      </c>
      <c r="O230" s="189">
        <f>IFERROR(__xludf.DUMMYFUNCTION("""COMPUTED_VALUE"""),11.0)</f>
        <v>11</v>
      </c>
      <c r="P230" s="189">
        <f>IFERROR(__xludf.DUMMYFUNCTION("""COMPUTED_VALUE"""),3.0)</f>
        <v>3</v>
      </c>
      <c r="Q230" s="189">
        <f>IFERROR(__xludf.DUMMYFUNCTION("""COMPUTED_VALUE"""),2.0)</f>
        <v>2</v>
      </c>
      <c r="R230" s="189">
        <f>IFERROR(__xludf.DUMMYFUNCTION("""COMPUTED_VALUE"""),12.0)</f>
        <v>12</v>
      </c>
      <c r="S230" s="189">
        <f>IFERROR(__xludf.DUMMYFUNCTION("""COMPUTED_VALUE"""),0.0)</f>
        <v>0</v>
      </c>
      <c r="T230" s="189">
        <f>IFERROR(__xludf.DUMMYFUNCTION("""COMPUTED_VALUE"""),0.0)</f>
        <v>0</v>
      </c>
      <c r="U230" s="189">
        <f>IFERROR(__xludf.DUMMYFUNCTION("""COMPUTED_VALUE"""),12.0)</f>
        <v>12</v>
      </c>
      <c r="V230" s="189">
        <f>IFERROR(__xludf.DUMMYFUNCTION("""COMPUTED_VALUE"""),2.0)</f>
        <v>2</v>
      </c>
      <c r="W230" s="189">
        <f>IFERROR(__xludf.DUMMYFUNCTION("""COMPUTED_VALUE"""),3.0)</f>
        <v>3</v>
      </c>
      <c r="X230" s="189">
        <f>IFERROR(__xludf.DUMMYFUNCTION("""COMPUTED_VALUE"""),11.0)</f>
        <v>11</v>
      </c>
      <c r="Y230" s="208" t="str">
        <f>IFERROR(__xludf.DUMMYFUNCTION("""COMPUTED_VALUE"""),"2025-07-05T00:00:00.000Z")</f>
        <v>2025-07-05T00:00:00.000Z</v>
      </c>
      <c r="Z230" s="189" t="s">
        <v>90</v>
      </c>
      <c r="AA230" s="189" t="s">
        <v>459</v>
      </c>
    </row>
    <row r="231">
      <c r="A231" s="189">
        <f>IFERROR(__xludf.DUMMYFUNCTION("""COMPUTED_VALUE"""),209060.0)</f>
        <v>209060</v>
      </c>
      <c r="B231" s="189">
        <f>IFERROR(__xludf.DUMMYFUNCTION("""COMPUTED_VALUE"""),92010.0)</f>
        <v>92010</v>
      </c>
      <c r="C231" s="189" t="str">
        <f>IFERROR(__xludf.DUMMYFUNCTION("""COMPUTED_VALUE"""),"Challengers League 2025 NORTH EAST: Split 3 - Lower Swiss Phase")</f>
        <v>Challengers League 2025 NORTH EAST: Split 3 - Lower Swiss Phase</v>
      </c>
      <c r="D231" s="189" t="str">
        <f>IFERROR(__xludf.DUMMYFUNCTION("""COMPUTED_VALUE"""),"Lotus")</f>
        <v>Lotus</v>
      </c>
      <c r="E231" s="189" t="str">
        <f>IFERROR(__xludf.DUMMYFUNCTION("""COMPUTED_VALUE"""),"Team Liquid Academy")</f>
        <v>Team Liquid Academy</v>
      </c>
      <c r="F231" s="189" t="str">
        <f>IFERROR(__xludf.DUMMYFUNCTION("""COMPUTED_VALUE"""),"MANIA Esports")</f>
        <v>MANIA Esports</v>
      </c>
      <c r="G231" s="189" t="str">
        <f>IFERROR(__xludf.DUMMYFUNCTION("""COMPUTED_VALUE"""),"Raze,Viper,Omen,Fade,Vyse")</f>
        <v>Raze,Viper,Omen,Fade,Vyse</v>
      </c>
      <c r="H231" s="189" t="str">
        <f>IFERROR(__xludf.DUMMYFUNCTION("""COMPUTED_VALUE"""),"Raze,Killjoy,Viper,Omen,Fade")</f>
        <v>Raze,Killjoy,Viper,Omen,Fade</v>
      </c>
      <c r="I231" s="189">
        <f>IFERROR(__xludf.DUMMYFUNCTION("""COMPUTED_VALUE"""),13.0)</f>
        <v>13</v>
      </c>
      <c r="J231" s="189">
        <f>IFERROR(__xludf.DUMMYFUNCTION("""COMPUTED_VALUE"""),2.0)</f>
        <v>2</v>
      </c>
      <c r="K231" s="189">
        <f>IFERROR(__xludf.DUMMYFUNCTION("""COMPUTED_VALUE"""),10.0)</f>
        <v>10</v>
      </c>
      <c r="L231" s="189">
        <f>IFERROR(__xludf.DUMMYFUNCTION("""COMPUTED_VALUE"""),2.0)</f>
        <v>2</v>
      </c>
      <c r="M231" s="189">
        <f>IFERROR(__xludf.DUMMYFUNCTION("""COMPUTED_VALUE"""),1.0)</f>
        <v>1</v>
      </c>
      <c r="N231" s="189">
        <f>IFERROR(__xludf.DUMMYFUNCTION("""COMPUTED_VALUE"""),1.0)</f>
        <v>1</v>
      </c>
      <c r="O231" s="189">
        <f>IFERROR(__xludf.DUMMYFUNCTION("""COMPUTED_VALUE"""),10.0)</f>
        <v>10</v>
      </c>
      <c r="P231" s="189">
        <f>IFERROR(__xludf.DUMMYFUNCTION("""COMPUTED_VALUE"""),2.0)</f>
        <v>2</v>
      </c>
      <c r="Q231" s="189">
        <f>IFERROR(__xludf.DUMMYFUNCTION("""COMPUTED_VALUE"""),3.0)</f>
        <v>3</v>
      </c>
      <c r="R231" s="189">
        <f>IFERROR(__xludf.DUMMYFUNCTION("""COMPUTED_VALUE"""),0.0)</f>
        <v>0</v>
      </c>
      <c r="S231" s="189">
        <f>IFERROR(__xludf.DUMMYFUNCTION("""COMPUTED_VALUE"""),0.0)</f>
        <v>0</v>
      </c>
      <c r="T231" s="189">
        <f>IFERROR(__xludf.DUMMYFUNCTION("""COMPUTED_VALUE"""),0.0)</f>
        <v>0</v>
      </c>
      <c r="U231" s="189">
        <f>IFERROR(__xludf.DUMMYFUNCTION("""COMPUTED_VALUE"""),0.0)</f>
        <v>0</v>
      </c>
      <c r="V231" s="189">
        <f>IFERROR(__xludf.DUMMYFUNCTION("""COMPUTED_VALUE"""),3.0)</f>
        <v>3</v>
      </c>
      <c r="W231" s="189">
        <f>IFERROR(__xludf.DUMMYFUNCTION("""COMPUTED_VALUE"""),2.0)</f>
        <v>2</v>
      </c>
      <c r="X231" s="189">
        <f>IFERROR(__xludf.DUMMYFUNCTION("""COMPUTED_VALUE"""),10.0)</f>
        <v>10</v>
      </c>
      <c r="Y231" s="208" t="str">
        <f>IFERROR(__xludf.DUMMYFUNCTION("""COMPUTED_VALUE"""),"2025-07-05T00:00:00.000Z")</f>
        <v>2025-07-05T00:00:00.000Z</v>
      </c>
      <c r="Z231" s="189" t="s">
        <v>147</v>
      </c>
      <c r="AA231" s="189" t="s">
        <v>1</v>
      </c>
    </row>
    <row r="232">
      <c r="A232" s="189">
        <f>IFERROR(__xludf.DUMMYFUNCTION("""COMPUTED_VALUE"""),208369.0)</f>
        <v>208369</v>
      </c>
      <c r="B232" s="189">
        <f>IFERROR(__xludf.DUMMYFUNCTION("""COMPUTED_VALUE"""),91771.0)</f>
        <v>91771</v>
      </c>
      <c r="C232" s="189" t="str">
        <f>IFERROR(__xludf.DUMMYFUNCTION("""COMPUTED_VALUE"""),"Challengers League 2025 Türkiye Birlik: Split 3 - Group Stage")</f>
        <v>Challengers League 2025 Türkiye Birlik: Split 3 - Group Stage</v>
      </c>
      <c r="D232" s="189" t="str">
        <f>IFERROR(__xludf.DUMMYFUNCTION("""COMPUTED_VALUE"""),"Haven")</f>
        <v>Haven</v>
      </c>
      <c r="E232" s="189" t="str">
        <f>IFERROR(__xludf.DUMMYFUNCTION("""COMPUTED_VALUE"""),"BBL PCIFIC")</f>
        <v>BBL PCIFIC</v>
      </c>
      <c r="F232" s="189" t="str">
        <f>IFERROR(__xludf.DUMMYFUNCTION("""COMPUTED_VALUE"""),"Papara SuperMassive")</f>
        <v>Papara SuperMassive</v>
      </c>
      <c r="G232" s="189" t="str">
        <f>IFERROR(__xludf.DUMMYFUNCTION("""COMPUTED_VALUE"""),"Breach,Cypher,Sova,Omen,Jett")</f>
        <v>Breach,Cypher,Sova,Omen,Jett</v>
      </c>
      <c r="H232" s="189" t="str">
        <f>IFERROR(__xludf.DUMMYFUNCTION("""COMPUTED_VALUE"""),"Breach,Cypher,Sova,Omen,Neon")</f>
        <v>Breach,Cypher,Sova,Omen,Neon</v>
      </c>
      <c r="I232" s="189">
        <f>IFERROR(__xludf.DUMMYFUNCTION("""COMPUTED_VALUE"""),10.0)</f>
        <v>10</v>
      </c>
      <c r="J232" s="189">
        <f>IFERROR(__xludf.DUMMYFUNCTION("""COMPUTED_VALUE"""),13.0)</f>
        <v>13</v>
      </c>
      <c r="K232" s="189">
        <f>IFERROR(__xludf.DUMMYFUNCTION("""COMPUTED_VALUE"""),8.0)</f>
        <v>8</v>
      </c>
      <c r="L232" s="189">
        <f>IFERROR(__xludf.DUMMYFUNCTION("""COMPUTED_VALUE"""),4.0)</f>
        <v>4</v>
      </c>
      <c r="M232" s="189">
        <f>IFERROR(__xludf.DUMMYFUNCTION("""COMPUTED_VALUE"""),0.0)</f>
        <v>0</v>
      </c>
      <c r="N232" s="189">
        <f>IFERROR(__xludf.DUMMYFUNCTION("""COMPUTED_VALUE"""),1.0)</f>
        <v>1</v>
      </c>
      <c r="O232" s="189">
        <f>IFERROR(__xludf.DUMMYFUNCTION("""COMPUTED_VALUE"""),2.0)</f>
        <v>2</v>
      </c>
      <c r="P232" s="189">
        <f>IFERROR(__xludf.DUMMYFUNCTION("""COMPUTED_VALUE"""),9.0)</f>
        <v>9</v>
      </c>
      <c r="Q232" s="189">
        <f>IFERROR(__xludf.DUMMYFUNCTION("""COMPUTED_VALUE"""),8.0)</f>
        <v>8</v>
      </c>
      <c r="R232" s="189">
        <f>IFERROR(__xludf.DUMMYFUNCTION("""COMPUTED_VALUE"""),4.0)</f>
        <v>4</v>
      </c>
      <c r="S232" s="189">
        <f>IFERROR(__xludf.DUMMYFUNCTION("""COMPUTED_VALUE"""),0.0)</f>
        <v>0</v>
      </c>
      <c r="T232" s="189">
        <f>IFERROR(__xludf.DUMMYFUNCTION("""COMPUTED_VALUE"""),1.0)</f>
        <v>1</v>
      </c>
      <c r="U232" s="189">
        <f>IFERROR(__xludf.DUMMYFUNCTION("""COMPUTED_VALUE"""),4.0)</f>
        <v>4</v>
      </c>
      <c r="V232" s="189">
        <f>IFERROR(__xludf.DUMMYFUNCTION("""COMPUTED_VALUE"""),8.0)</f>
        <v>8</v>
      </c>
      <c r="W232" s="189">
        <f>IFERROR(__xludf.DUMMYFUNCTION("""COMPUTED_VALUE"""),9.0)</f>
        <v>9</v>
      </c>
      <c r="X232" s="189">
        <f>IFERROR(__xludf.DUMMYFUNCTION("""COMPUTED_VALUE"""),2.0)</f>
        <v>2</v>
      </c>
      <c r="Y232" s="208" t="str">
        <f>IFERROR(__xludf.DUMMYFUNCTION("""COMPUTED_VALUE"""),"2025-07-05T00:00:00.000Z")</f>
        <v>2025-07-05T00:00:00.000Z</v>
      </c>
      <c r="Z232" s="189" t="s">
        <v>70</v>
      </c>
      <c r="AA232" s="189" t="s">
        <v>399</v>
      </c>
    </row>
    <row r="233">
      <c r="A233" s="189">
        <f>IFERROR(__xludf.DUMMYFUNCTION("""COMPUTED_VALUE"""),209057.0)</f>
        <v>209057</v>
      </c>
      <c r="B233" s="189">
        <f>IFERROR(__xludf.DUMMYFUNCTION("""COMPUTED_VALUE"""),92007.0)</f>
        <v>92007</v>
      </c>
      <c r="C233" s="189" t="str">
        <f>IFERROR(__xludf.DUMMYFUNCTION("""COMPUTED_VALUE"""),"Challengers League 2025 NORTH EAST: Split 3 - Lower Swiss Phase")</f>
        <v>Challengers League 2025 NORTH EAST: Split 3 - Lower Swiss Phase</v>
      </c>
      <c r="D233" s="189" t="str">
        <f>IFERROR(__xludf.DUMMYFUNCTION("""COMPUTED_VALUE"""),"Sunset")</f>
        <v>Sunset</v>
      </c>
      <c r="E233" s="189" t="str">
        <f>IFERROR(__xludf.DUMMYFUNCTION("""COMPUTED_VALUE"""),"Metizport")</f>
        <v>Metizport</v>
      </c>
      <c r="F233" s="189" t="str">
        <f>IFERROR(__xludf.DUMMYFUNCTION("""COMPUTED_VALUE"""),"Boars Gaming")</f>
        <v>Boars Gaming</v>
      </c>
      <c r="G233" s="189" t="str">
        <f>IFERROR(__xludf.DUMMYFUNCTION("""COMPUTED_VALUE"""),"Sova,Viper,Omen,Neon,Deadlock")</f>
        <v>Sova,Viper,Omen,Neon,Deadlock</v>
      </c>
      <c r="H233" s="189" t="str">
        <f>IFERROR(__xludf.DUMMYFUNCTION("""COMPUTED_VALUE"""),"Cypher,Sova,Omen,KAY/O,Neon")</f>
        <v>Cypher,Sova,Omen,KAY/O,Neon</v>
      </c>
      <c r="I233" s="189">
        <f>IFERROR(__xludf.DUMMYFUNCTION("""COMPUTED_VALUE"""),8.0)</f>
        <v>8</v>
      </c>
      <c r="J233" s="189">
        <f>IFERROR(__xludf.DUMMYFUNCTION("""COMPUTED_VALUE"""),13.0)</f>
        <v>13</v>
      </c>
      <c r="K233" s="189">
        <f>IFERROR(__xludf.DUMMYFUNCTION("""COMPUTED_VALUE"""),7.0)</f>
        <v>7</v>
      </c>
      <c r="L233" s="189">
        <f>IFERROR(__xludf.DUMMYFUNCTION("""COMPUTED_VALUE"""),5.0)</f>
        <v>5</v>
      </c>
      <c r="M233" s="189">
        <f>IFERROR(__xludf.DUMMYFUNCTION("""COMPUTED_VALUE"""),0.0)</f>
        <v>0</v>
      </c>
      <c r="N233" s="189">
        <f>IFERROR(__xludf.DUMMYFUNCTION("""COMPUTED_VALUE"""),0.0)</f>
        <v>0</v>
      </c>
      <c r="O233" s="189">
        <f>IFERROR(__xludf.DUMMYFUNCTION("""COMPUTED_VALUE"""),1.0)</f>
        <v>1</v>
      </c>
      <c r="P233" s="189">
        <f>IFERROR(__xludf.DUMMYFUNCTION("""COMPUTED_VALUE"""),8.0)</f>
        <v>8</v>
      </c>
      <c r="Q233" s="189">
        <f>IFERROR(__xludf.DUMMYFUNCTION("""COMPUTED_VALUE"""),7.0)</f>
        <v>7</v>
      </c>
      <c r="R233" s="189">
        <f>IFERROR(__xludf.DUMMYFUNCTION("""COMPUTED_VALUE"""),5.0)</f>
        <v>5</v>
      </c>
      <c r="S233" s="189">
        <f>IFERROR(__xludf.DUMMYFUNCTION("""COMPUTED_VALUE"""),1.0)</f>
        <v>1</v>
      </c>
      <c r="T233" s="189">
        <f>IFERROR(__xludf.DUMMYFUNCTION("""COMPUTED_VALUE"""),1.0)</f>
        <v>1</v>
      </c>
      <c r="U233" s="189">
        <f>IFERROR(__xludf.DUMMYFUNCTION("""COMPUTED_VALUE"""),5.0)</f>
        <v>5</v>
      </c>
      <c r="V233" s="189">
        <f>IFERROR(__xludf.DUMMYFUNCTION("""COMPUTED_VALUE"""),7.0)</f>
        <v>7</v>
      </c>
      <c r="W233" s="189">
        <f>IFERROR(__xludf.DUMMYFUNCTION("""COMPUTED_VALUE"""),8.0)</f>
        <v>8</v>
      </c>
      <c r="X233" s="189">
        <f>IFERROR(__xludf.DUMMYFUNCTION("""COMPUTED_VALUE"""),1.0)</f>
        <v>1</v>
      </c>
      <c r="Y233" s="208" t="str">
        <f>IFERROR(__xludf.DUMMYFUNCTION("""COMPUTED_VALUE"""),"2025-07-05T00:00:00.000Z")</f>
        <v>2025-07-05T00:00:00.000Z</v>
      </c>
      <c r="Z233" s="189" t="s">
        <v>418</v>
      </c>
      <c r="AA233" s="189" t="s">
        <v>181</v>
      </c>
    </row>
    <row r="234">
      <c r="A234" s="189">
        <f>IFERROR(__xludf.DUMMYFUNCTION("""COMPUTED_VALUE"""),208368.0)</f>
        <v>208368</v>
      </c>
      <c r="B234" s="189">
        <f>IFERROR(__xludf.DUMMYFUNCTION("""COMPUTED_VALUE"""),91771.0)</f>
        <v>91771</v>
      </c>
      <c r="C234" s="189" t="str">
        <f>IFERROR(__xludf.DUMMYFUNCTION("""COMPUTED_VALUE"""),"Challengers League 2025 Türkiye Birlik: Split 3 - Group Stage")</f>
        <v>Challengers League 2025 Türkiye Birlik: Split 3 - Group Stage</v>
      </c>
      <c r="D234" s="189" t="str">
        <f>IFERROR(__xludf.DUMMYFUNCTION("""COMPUTED_VALUE"""),"Lotus")</f>
        <v>Lotus</v>
      </c>
      <c r="E234" s="189" t="str">
        <f>IFERROR(__xludf.DUMMYFUNCTION("""COMPUTED_VALUE"""),"BBL PCIFIC")</f>
        <v>BBL PCIFIC</v>
      </c>
      <c r="F234" s="189" t="str">
        <f>IFERROR(__xludf.DUMMYFUNCTION("""COMPUTED_VALUE"""),"Papara SuperMassive")</f>
        <v>Papara SuperMassive</v>
      </c>
      <c r="G234" s="189" t="str">
        <f>IFERROR(__xludf.DUMMYFUNCTION("""COMPUTED_VALUE"""),"Breach,Cypher,Sova,Omen,Neon")</f>
        <v>Breach,Cypher,Sova,Omen,Neon</v>
      </c>
      <c r="H234" s="189" t="str">
        <f>IFERROR(__xludf.DUMMYFUNCTION("""COMPUTED_VALUE"""),"Raze,Viper,Omen,Fade,Vyse")</f>
        <v>Raze,Viper,Omen,Fade,Vyse</v>
      </c>
      <c r="I234" s="189">
        <f>IFERROR(__xludf.DUMMYFUNCTION("""COMPUTED_VALUE"""),1.0)</f>
        <v>1</v>
      </c>
      <c r="J234" s="189">
        <f>IFERROR(__xludf.DUMMYFUNCTION("""COMPUTED_VALUE"""),13.0)</f>
        <v>13</v>
      </c>
      <c r="K234" s="189">
        <f>IFERROR(__xludf.DUMMYFUNCTION("""COMPUTED_VALUE"""),1.0)</f>
        <v>1</v>
      </c>
      <c r="L234" s="189">
        <f>IFERROR(__xludf.DUMMYFUNCTION("""COMPUTED_VALUE"""),11.0)</f>
        <v>11</v>
      </c>
      <c r="M234" s="189">
        <f>IFERROR(__xludf.DUMMYFUNCTION("""COMPUTED_VALUE"""),0.0)</f>
        <v>0</v>
      </c>
      <c r="N234" s="189">
        <f>IFERROR(__xludf.DUMMYFUNCTION("""COMPUTED_VALUE"""),0.0)</f>
        <v>0</v>
      </c>
      <c r="O234" s="189">
        <f>IFERROR(__xludf.DUMMYFUNCTION("""COMPUTED_VALUE"""),0.0)</f>
        <v>0</v>
      </c>
      <c r="P234" s="189">
        <f>IFERROR(__xludf.DUMMYFUNCTION("""COMPUTED_VALUE"""),2.0)</f>
        <v>2</v>
      </c>
      <c r="Q234" s="189">
        <f>IFERROR(__xludf.DUMMYFUNCTION("""COMPUTED_VALUE"""),1.0)</f>
        <v>1</v>
      </c>
      <c r="R234" s="189">
        <f>IFERROR(__xludf.DUMMYFUNCTION("""COMPUTED_VALUE"""),11.0)</f>
        <v>11</v>
      </c>
      <c r="S234" s="189">
        <f>IFERROR(__xludf.DUMMYFUNCTION("""COMPUTED_VALUE"""),1.0)</f>
        <v>1</v>
      </c>
      <c r="T234" s="189">
        <f>IFERROR(__xludf.DUMMYFUNCTION("""COMPUTED_VALUE"""),1.0)</f>
        <v>1</v>
      </c>
      <c r="U234" s="189">
        <f>IFERROR(__xludf.DUMMYFUNCTION("""COMPUTED_VALUE"""),11.0)</f>
        <v>11</v>
      </c>
      <c r="V234" s="189">
        <f>IFERROR(__xludf.DUMMYFUNCTION("""COMPUTED_VALUE"""),1.0)</f>
        <v>1</v>
      </c>
      <c r="W234" s="189">
        <f>IFERROR(__xludf.DUMMYFUNCTION("""COMPUTED_VALUE"""),2.0)</f>
        <v>2</v>
      </c>
      <c r="X234" s="189">
        <f>IFERROR(__xludf.DUMMYFUNCTION("""COMPUTED_VALUE"""),0.0)</f>
        <v>0</v>
      </c>
      <c r="Y234" s="208" t="str">
        <f>IFERROR(__xludf.DUMMYFUNCTION("""COMPUTED_VALUE"""),"2025-07-05T00:00:00.000Z")</f>
        <v>2025-07-05T00:00:00.000Z</v>
      </c>
      <c r="Z234" s="189" t="s">
        <v>72</v>
      </c>
      <c r="AA234" s="189" t="s">
        <v>399</v>
      </c>
    </row>
    <row r="235">
      <c r="A235" s="189">
        <f>IFERROR(__xludf.DUMMYFUNCTION("""COMPUTED_VALUE"""),208367.0)</f>
        <v>208367</v>
      </c>
      <c r="B235" s="189">
        <f>IFERROR(__xludf.DUMMYFUNCTION("""COMPUTED_VALUE"""),91771.0)</f>
        <v>91771</v>
      </c>
      <c r="C235" s="189" t="str">
        <f>IFERROR(__xludf.DUMMYFUNCTION("""COMPUTED_VALUE"""),"Challengers League 2025 Türkiye Birlik: Split 3 - Group Stage")</f>
        <v>Challengers League 2025 Türkiye Birlik: Split 3 - Group Stage</v>
      </c>
      <c r="D235" s="189" t="str">
        <f>IFERROR(__xludf.DUMMYFUNCTION("""COMPUTED_VALUE"""),"Pearl")</f>
        <v>Pearl</v>
      </c>
      <c r="E235" s="189" t="str">
        <f>IFERROR(__xludf.DUMMYFUNCTION("""COMPUTED_VALUE"""),"BBL PCIFIC")</f>
        <v>BBL PCIFIC</v>
      </c>
      <c r="F235" s="189" t="str">
        <f>IFERROR(__xludf.DUMMYFUNCTION("""COMPUTED_VALUE"""),"Papara SuperMassive")</f>
        <v>Papara SuperMassive</v>
      </c>
      <c r="G235" s="189" t="str">
        <f>IFERROR(__xludf.DUMMYFUNCTION("""COMPUTED_VALUE"""),"Cypher,Sova,Yoru,Astra,Neon")</f>
        <v>Cypher,Sova,Yoru,Astra,Neon</v>
      </c>
      <c r="H235" s="189" t="str">
        <f>IFERROR(__xludf.DUMMYFUNCTION("""COMPUTED_VALUE"""),"Raze,Yoru,Astra,Fade,Vyse")</f>
        <v>Raze,Yoru,Astra,Fade,Vyse</v>
      </c>
      <c r="I235" s="189">
        <f>IFERROR(__xludf.DUMMYFUNCTION("""COMPUTED_VALUE"""),13.0)</f>
        <v>13</v>
      </c>
      <c r="J235" s="189">
        <f>IFERROR(__xludf.DUMMYFUNCTION("""COMPUTED_VALUE"""),6.0)</f>
        <v>6</v>
      </c>
      <c r="K235" s="189">
        <f>IFERROR(__xludf.DUMMYFUNCTION("""COMPUTED_VALUE"""),10.0)</f>
        <v>10</v>
      </c>
      <c r="L235" s="189">
        <f>IFERROR(__xludf.DUMMYFUNCTION("""COMPUTED_VALUE"""),2.0)</f>
        <v>2</v>
      </c>
      <c r="M235" s="189">
        <f>IFERROR(__xludf.DUMMYFUNCTION("""COMPUTED_VALUE"""),0.0)</f>
        <v>0</v>
      </c>
      <c r="N235" s="189">
        <f>IFERROR(__xludf.DUMMYFUNCTION("""COMPUTED_VALUE"""),1.0)</f>
        <v>1</v>
      </c>
      <c r="O235" s="189">
        <f>IFERROR(__xludf.DUMMYFUNCTION("""COMPUTED_VALUE"""),3.0)</f>
        <v>3</v>
      </c>
      <c r="P235" s="189">
        <f>IFERROR(__xludf.DUMMYFUNCTION("""COMPUTED_VALUE"""),4.0)</f>
        <v>4</v>
      </c>
      <c r="Q235" s="189">
        <f>IFERROR(__xludf.DUMMYFUNCTION("""COMPUTED_VALUE"""),10.0)</f>
        <v>10</v>
      </c>
      <c r="R235" s="189">
        <f>IFERROR(__xludf.DUMMYFUNCTION("""COMPUTED_VALUE"""),2.0)</f>
        <v>2</v>
      </c>
      <c r="S235" s="189">
        <f>IFERROR(__xludf.DUMMYFUNCTION("""COMPUTED_VALUE"""),0.0)</f>
        <v>0</v>
      </c>
      <c r="T235" s="189">
        <f>IFERROR(__xludf.DUMMYFUNCTION("""COMPUTED_VALUE"""),1.0)</f>
        <v>1</v>
      </c>
      <c r="U235" s="189">
        <f>IFERROR(__xludf.DUMMYFUNCTION("""COMPUTED_VALUE"""),2.0)</f>
        <v>2</v>
      </c>
      <c r="V235" s="189">
        <f>IFERROR(__xludf.DUMMYFUNCTION("""COMPUTED_VALUE"""),10.0)</f>
        <v>10</v>
      </c>
      <c r="W235" s="189">
        <f>IFERROR(__xludf.DUMMYFUNCTION("""COMPUTED_VALUE"""),4.0)</f>
        <v>4</v>
      </c>
      <c r="X235" s="189">
        <f>IFERROR(__xludf.DUMMYFUNCTION("""COMPUTED_VALUE"""),3.0)</f>
        <v>3</v>
      </c>
      <c r="Y235" s="208" t="str">
        <f>IFERROR(__xludf.DUMMYFUNCTION("""COMPUTED_VALUE"""),"2025-07-05T00:00:00.000Z")</f>
        <v>2025-07-05T00:00:00.000Z</v>
      </c>
      <c r="Z235" s="189" t="s">
        <v>73</v>
      </c>
      <c r="AA235" s="189" t="s">
        <v>186</v>
      </c>
    </row>
    <row r="236">
      <c r="A236" s="189">
        <f>IFERROR(__xludf.DUMMYFUNCTION("""COMPUTED_VALUE"""),209044.0)</f>
        <v>209044</v>
      </c>
      <c r="B236" s="189">
        <f>IFERROR(__xludf.DUMMYFUNCTION("""COMPUTED_VALUE"""),92000.0)</f>
        <v>92000</v>
      </c>
      <c r="C236" s="189" t="str">
        <f>IFERROR(__xludf.DUMMYFUNCTION("""COMPUTED_VALUE"""),"Challengers League 2025 NORTH EAST: Split 3 - Lower Swiss Phase")</f>
        <v>Challengers League 2025 NORTH EAST: Split 3 - Lower Swiss Phase</v>
      </c>
      <c r="D236" s="189" t="str">
        <f>IFERROR(__xludf.DUMMYFUNCTION("""COMPUTED_VALUE"""),"Lotus")</f>
        <v>Lotus</v>
      </c>
      <c r="E236" s="189" t="str">
        <f>IFERROR(__xludf.DUMMYFUNCTION("""COMPUTED_VALUE"""),"Team Liquid Academy")</f>
        <v>Team Liquid Academy</v>
      </c>
      <c r="F236" s="189" t="str">
        <f>IFERROR(__xludf.DUMMYFUNCTION("""COMPUTED_VALUE"""),"FULL BOX 200")</f>
        <v>FULL BOX 200</v>
      </c>
      <c r="G236" s="189" t="str">
        <f>IFERROR(__xludf.DUMMYFUNCTION("""COMPUTED_VALUE"""),"Raze,Viper,Omen,Fade,Vyse")</f>
        <v>Raze,Viper,Omen,Fade,Vyse</v>
      </c>
      <c r="H236" s="189" t="str">
        <f>IFERROR(__xludf.DUMMYFUNCTION("""COMPUTED_VALUE"""),"Breach,Killjoy,Omen,Neon,Fade")</f>
        <v>Breach,Killjoy,Omen,Neon,Fade</v>
      </c>
      <c r="I236" s="189">
        <f>IFERROR(__xludf.DUMMYFUNCTION("""COMPUTED_VALUE"""),16.0)</f>
        <v>16</v>
      </c>
      <c r="J236" s="189">
        <f>IFERROR(__xludf.DUMMYFUNCTION("""COMPUTED_VALUE"""),14.0)</f>
        <v>14</v>
      </c>
      <c r="K236" s="189">
        <f>IFERROR(__xludf.DUMMYFUNCTION("""COMPUTED_VALUE"""),3.0)</f>
        <v>3</v>
      </c>
      <c r="L236" s="189">
        <f>IFERROR(__xludf.DUMMYFUNCTION("""COMPUTED_VALUE"""),9.0)</f>
        <v>9</v>
      </c>
      <c r="M236" s="189">
        <f>IFERROR(__xludf.DUMMYFUNCTION("""COMPUTED_VALUE"""),1.0)</f>
        <v>1</v>
      </c>
      <c r="N236" s="189">
        <f>IFERROR(__xludf.DUMMYFUNCTION("""COMPUTED_VALUE"""),0.0)</f>
        <v>0</v>
      </c>
      <c r="O236" s="189">
        <f>IFERROR(__xludf.DUMMYFUNCTION("""COMPUTED_VALUE"""),11.0)</f>
        <v>11</v>
      </c>
      <c r="P236" s="189">
        <f>IFERROR(__xludf.DUMMYFUNCTION("""COMPUTED_VALUE"""),4.0)</f>
        <v>4</v>
      </c>
      <c r="Q236" s="189">
        <f>IFERROR(__xludf.DUMMYFUNCTION("""COMPUTED_VALUE"""),5.0)</f>
        <v>5</v>
      </c>
      <c r="R236" s="189">
        <f>IFERROR(__xludf.DUMMYFUNCTION("""COMPUTED_VALUE"""),10.0)</f>
        <v>10</v>
      </c>
      <c r="S236" s="189">
        <f>IFERROR(__xludf.DUMMYFUNCTION("""COMPUTED_VALUE"""),1.0)</f>
        <v>1</v>
      </c>
      <c r="T236" s="189">
        <f>IFERROR(__xludf.DUMMYFUNCTION("""COMPUTED_VALUE"""),0.0)</f>
        <v>0</v>
      </c>
      <c r="U236" s="189">
        <f>IFERROR(__xludf.DUMMYFUNCTION("""COMPUTED_VALUE"""),10.0)</f>
        <v>10</v>
      </c>
      <c r="V236" s="189">
        <f>IFERROR(__xludf.DUMMYFUNCTION("""COMPUTED_VALUE"""),5.0)</f>
        <v>5</v>
      </c>
      <c r="W236" s="189">
        <f>IFERROR(__xludf.DUMMYFUNCTION("""COMPUTED_VALUE"""),4.0)</f>
        <v>4</v>
      </c>
      <c r="X236" s="189">
        <f>IFERROR(__xludf.DUMMYFUNCTION("""COMPUTED_VALUE"""),11.0)</f>
        <v>11</v>
      </c>
      <c r="Y236" s="208" t="str">
        <f>IFERROR(__xludf.DUMMYFUNCTION("""COMPUTED_VALUE"""),"2025-07-05T00:00:00.000Z")</f>
        <v>2025-07-05T00:00:00.000Z</v>
      </c>
      <c r="Z236" s="189" t="s">
        <v>147</v>
      </c>
      <c r="AA236" s="189" t="s">
        <v>1</v>
      </c>
    </row>
    <row r="237">
      <c r="A237" s="189">
        <f>IFERROR(__xludf.DUMMYFUNCTION("""COMPUTED_VALUE"""),209041.0)</f>
        <v>209041</v>
      </c>
      <c r="B237" s="189">
        <f>IFERROR(__xludf.DUMMYFUNCTION("""COMPUTED_VALUE"""),91999.0)</f>
        <v>91999</v>
      </c>
      <c r="C237" s="189" t="str">
        <f>IFERROR(__xludf.DUMMYFUNCTION("""COMPUTED_VALUE"""),"Challengers League 2025 NORTH EAST: Split 3 - Lower Swiss Phase")</f>
        <v>Challengers League 2025 NORTH EAST: Split 3 - Lower Swiss Phase</v>
      </c>
      <c r="D237" s="189" t="str">
        <f>IFERROR(__xludf.DUMMYFUNCTION("""COMPUTED_VALUE"""),"Haven")</f>
        <v>Haven</v>
      </c>
      <c r="E237" s="189" t="str">
        <f>IFERROR(__xludf.DUMMYFUNCTION("""COMPUTED_VALUE"""),"děti ulice")</f>
        <v>děti ulice</v>
      </c>
      <c r="F237" s="189" t="str">
        <f>IFERROR(__xludf.DUMMYFUNCTION("""COMPUTED_VALUE"""),"CTRL Esports")</f>
        <v>CTRL Esports</v>
      </c>
      <c r="G237" s="189" t="str">
        <f>IFERROR(__xludf.DUMMYFUNCTION("""COMPUTED_VALUE"""),"Breach,Cypher,Sova,Omen,Jett")</f>
        <v>Breach,Cypher,Sova,Omen,Jett</v>
      </c>
      <c r="H237" s="189" t="str">
        <f>IFERROR(__xludf.DUMMYFUNCTION("""COMPUTED_VALUE"""),"Breach,Cypher,Sova,Omen,Neon")</f>
        <v>Breach,Cypher,Sova,Omen,Neon</v>
      </c>
      <c r="I237" s="189">
        <f>IFERROR(__xludf.DUMMYFUNCTION("""COMPUTED_VALUE"""),13.0)</f>
        <v>13</v>
      </c>
      <c r="J237" s="189">
        <f>IFERROR(__xludf.DUMMYFUNCTION("""COMPUTED_VALUE"""),3.0)</f>
        <v>3</v>
      </c>
      <c r="K237" s="189">
        <f>IFERROR(__xludf.DUMMYFUNCTION("""COMPUTED_VALUE"""),9.0)</f>
        <v>9</v>
      </c>
      <c r="L237" s="189">
        <f>IFERROR(__xludf.DUMMYFUNCTION("""COMPUTED_VALUE"""),3.0)</f>
        <v>3</v>
      </c>
      <c r="M237" s="189">
        <f>IFERROR(__xludf.DUMMYFUNCTION("""COMPUTED_VALUE"""),1.0)</f>
        <v>1</v>
      </c>
      <c r="N237" s="189">
        <f>IFERROR(__xludf.DUMMYFUNCTION("""COMPUTED_VALUE"""),1.0)</f>
        <v>1</v>
      </c>
      <c r="O237" s="189">
        <f>IFERROR(__xludf.DUMMYFUNCTION("""COMPUTED_VALUE"""),9.0)</f>
        <v>9</v>
      </c>
      <c r="P237" s="189">
        <f>IFERROR(__xludf.DUMMYFUNCTION("""COMPUTED_VALUE"""),3.0)</f>
        <v>3</v>
      </c>
      <c r="Q237" s="189">
        <f>IFERROR(__xludf.DUMMYFUNCTION("""COMPUTED_VALUE"""),4.0)</f>
        <v>4</v>
      </c>
      <c r="R237" s="189">
        <f>IFERROR(__xludf.DUMMYFUNCTION("""COMPUTED_VALUE"""),0.0)</f>
        <v>0</v>
      </c>
      <c r="S237" s="189">
        <f>IFERROR(__xludf.DUMMYFUNCTION("""COMPUTED_VALUE"""),0.0)</f>
        <v>0</v>
      </c>
      <c r="T237" s="189">
        <f>IFERROR(__xludf.DUMMYFUNCTION("""COMPUTED_VALUE"""),0.0)</f>
        <v>0</v>
      </c>
      <c r="U237" s="189">
        <f>IFERROR(__xludf.DUMMYFUNCTION("""COMPUTED_VALUE"""),0.0)</f>
        <v>0</v>
      </c>
      <c r="V237" s="189">
        <f>IFERROR(__xludf.DUMMYFUNCTION("""COMPUTED_VALUE"""),4.0)</f>
        <v>4</v>
      </c>
      <c r="W237" s="189">
        <f>IFERROR(__xludf.DUMMYFUNCTION("""COMPUTED_VALUE"""),3.0)</f>
        <v>3</v>
      </c>
      <c r="X237" s="189">
        <f>IFERROR(__xludf.DUMMYFUNCTION("""COMPUTED_VALUE"""),9.0)</f>
        <v>9</v>
      </c>
      <c r="Y237" s="208" t="str">
        <f>IFERROR(__xludf.DUMMYFUNCTION("""COMPUTED_VALUE"""),"2025-07-05T00:00:00.000Z")</f>
        <v>2025-07-05T00:00:00.000Z</v>
      </c>
      <c r="Z237" s="189" t="s">
        <v>88</v>
      </c>
      <c r="AA237" s="189" t="s">
        <v>190</v>
      </c>
    </row>
    <row r="238">
      <c r="A238" s="189">
        <f>IFERROR(__xludf.DUMMYFUNCTION("""COMPUTED_VALUE"""),207524.0)</f>
        <v>207524</v>
      </c>
      <c r="B238" s="189">
        <f>IFERROR(__xludf.DUMMYFUNCTION("""COMPUTED_VALUE"""),91435.0)</f>
        <v>91435</v>
      </c>
      <c r="C238" s="189" t="str">
        <f>IFERROR(__xludf.DUMMYFUNCTION("""COMPUTED_VALUE"""),"Challengers League 2025 Spain Rising: Split 3 - Group Stage")</f>
        <v>Challengers League 2025 Spain Rising: Split 3 - Group Stage</v>
      </c>
      <c r="D238" s="189" t="str">
        <f>IFERROR(__xludf.DUMMYFUNCTION("""COMPUTED_VALUE"""),"Ascent")</f>
        <v>Ascent</v>
      </c>
      <c r="E238" s="189" t="str">
        <f>IFERROR(__xludf.DUMMYFUNCTION("""COMPUTED_VALUE"""),"NOVO Esports")</f>
        <v>NOVO Esports</v>
      </c>
      <c r="F238" s="189" t="str">
        <f>IFERROR(__xludf.DUMMYFUNCTION("""COMPUTED_VALUE"""),"KOI Fénix")</f>
        <v>KOI Fénix</v>
      </c>
      <c r="G238" s="189" t="str">
        <f>IFERROR(__xludf.DUMMYFUNCTION("""COMPUTED_VALUE"""),"Sova,Killjoy,Omen,Jett,KAY/O")</f>
        <v>Sova,Killjoy,Omen,Jett,KAY/O</v>
      </c>
      <c r="H238" s="189" t="str">
        <f>IFERROR(__xludf.DUMMYFUNCTION("""COMPUTED_VALUE"""),"Sova,Omen,Yoru,Chamber,Vyse")</f>
        <v>Sova,Omen,Yoru,Chamber,Vyse</v>
      </c>
      <c r="I238" s="189">
        <f>IFERROR(__xludf.DUMMYFUNCTION("""COMPUTED_VALUE"""),7.0)</f>
        <v>7</v>
      </c>
      <c r="J238" s="189">
        <f>IFERROR(__xludf.DUMMYFUNCTION("""COMPUTED_VALUE"""),13.0)</f>
        <v>13</v>
      </c>
      <c r="K238" s="189">
        <f>IFERROR(__xludf.DUMMYFUNCTION("""COMPUTED_VALUE"""),4.0)</f>
        <v>4</v>
      </c>
      <c r="L238" s="189">
        <f>IFERROR(__xludf.DUMMYFUNCTION("""COMPUTED_VALUE"""),8.0)</f>
        <v>8</v>
      </c>
      <c r="M238" s="189">
        <f>IFERROR(__xludf.DUMMYFUNCTION("""COMPUTED_VALUE"""),0.0)</f>
        <v>0</v>
      </c>
      <c r="N238" s="189">
        <f>IFERROR(__xludf.DUMMYFUNCTION("""COMPUTED_VALUE"""),1.0)</f>
        <v>1</v>
      </c>
      <c r="O238" s="189">
        <f>IFERROR(__xludf.DUMMYFUNCTION("""COMPUTED_VALUE"""),4.0)</f>
        <v>4</v>
      </c>
      <c r="P238" s="189">
        <f>IFERROR(__xludf.DUMMYFUNCTION("""COMPUTED_VALUE"""),8.0)</f>
        <v>8</v>
      </c>
      <c r="Q238" s="189">
        <f>IFERROR(__xludf.DUMMYFUNCTION("""COMPUTED_VALUE"""),3.0)</f>
        <v>3</v>
      </c>
      <c r="R238" s="189">
        <f>IFERROR(__xludf.DUMMYFUNCTION("""COMPUTED_VALUE"""),5.0)</f>
        <v>5</v>
      </c>
      <c r="S238" s="189">
        <f>IFERROR(__xludf.DUMMYFUNCTION("""COMPUTED_VALUE"""),0.0)</f>
        <v>0</v>
      </c>
      <c r="T238" s="189">
        <f>IFERROR(__xludf.DUMMYFUNCTION("""COMPUTED_VALUE"""),1.0)</f>
        <v>1</v>
      </c>
      <c r="U238" s="189">
        <f>IFERROR(__xludf.DUMMYFUNCTION("""COMPUTED_VALUE"""),5.0)</f>
        <v>5</v>
      </c>
      <c r="V238" s="189">
        <f>IFERROR(__xludf.DUMMYFUNCTION("""COMPUTED_VALUE"""),3.0)</f>
        <v>3</v>
      </c>
      <c r="W238" s="189">
        <f>IFERROR(__xludf.DUMMYFUNCTION("""COMPUTED_VALUE"""),8.0)</f>
        <v>8</v>
      </c>
      <c r="X238" s="189">
        <f>IFERROR(__xludf.DUMMYFUNCTION("""COMPUTED_VALUE"""),4.0)</f>
        <v>4</v>
      </c>
      <c r="Y238" s="208" t="str">
        <f>IFERROR(__xludf.DUMMYFUNCTION("""COMPUTED_VALUE"""),"2025-07-02T00:00:00.000Z")</f>
        <v>2025-07-02T00:00:00.000Z</v>
      </c>
      <c r="Z238" s="189" t="s">
        <v>460</v>
      </c>
      <c r="AA238" s="189" t="s">
        <v>187</v>
      </c>
    </row>
    <row r="239">
      <c r="A239" s="189">
        <f>IFERROR(__xludf.DUMMYFUNCTION("""COMPUTED_VALUE"""),207523.0)</f>
        <v>207523</v>
      </c>
      <c r="B239" s="189">
        <f>IFERROR(__xludf.DUMMYFUNCTION("""COMPUTED_VALUE"""),91435.0)</f>
        <v>91435</v>
      </c>
      <c r="C239" s="189" t="str">
        <f>IFERROR(__xludf.DUMMYFUNCTION("""COMPUTED_VALUE"""),"Challengers League 2025 Spain Rising: Split 3 - Group Stage")</f>
        <v>Challengers League 2025 Spain Rising: Split 3 - Group Stage</v>
      </c>
      <c r="D239" s="189" t="str">
        <f>IFERROR(__xludf.DUMMYFUNCTION("""COMPUTED_VALUE"""),"Split")</f>
        <v>Split</v>
      </c>
      <c r="E239" s="189" t="str">
        <f>IFERROR(__xludf.DUMMYFUNCTION("""COMPUTED_VALUE"""),"NOVO Esports")</f>
        <v>NOVO Esports</v>
      </c>
      <c r="F239" s="189" t="str">
        <f>IFERROR(__xludf.DUMMYFUNCTION("""COMPUTED_VALUE"""),"KOI Fénix")</f>
        <v>KOI Fénix</v>
      </c>
      <c r="G239" s="189" t="str">
        <f>IFERROR(__xludf.DUMMYFUNCTION("""COMPUTED_VALUE"""),"Breach,Raze,Cypher,Omen,Skye")</f>
        <v>Breach,Raze,Cypher,Omen,Skye</v>
      </c>
      <c r="H239" s="189" t="str">
        <f>IFERROR(__xludf.DUMMYFUNCTION("""COMPUTED_VALUE"""),"Breach,Raze,Sage,Omen,Jett")</f>
        <v>Breach,Raze,Sage,Omen,Jett</v>
      </c>
      <c r="I239" s="189">
        <f>IFERROR(__xludf.DUMMYFUNCTION("""COMPUTED_VALUE"""),9.0)</f>
        <v>9</v>
      </c>
      <c r="J239" s="189">
        <f>IFERROR(__xludf.DUMMYFUNCTION("""COMPUTED_VALUE"""),13.0)</f>
        <v>13</v>
      </c>
      <c r="K239" s="189">
        <f>IFERROR(__xludf.DUMMYFUNCTION("""COMPUTED_VALUE"""),6.0)</f>
        <v>6</v>
      </c>
      <c r="L239" s="189">
        <f>IFERROR(__xludf.DUMMYFUNCTION("""COMPUTED_VALUE"""),6.0)</f>
        <v>6</v>
      </c>
      <c r="M239" s="189">
        <f>IFERROR(__xludf.DUMMYFUNCTION("""COMPUTED_VALUE"""),0.0)</f>
        <v>0</v>
      </c>
      <c r="N239" s="189">
        <f>IFERROR(__xludf.DUMMYFUNCTION("""COMPUTED_VALUE"""),0.0)</f>
        <v>0</v>
      </c>
      <c r="O239" s="189">
        <f>IFERROR(__xludf.DUMMYFUNCTION("""COMPUTED_VALUE"""),6.0)</f>
        <v>6</v>
      </c>
      <c r="P239" s="189">
        <f>IFERROR(__xludf.DUMMYFUNCTION("""COMPUTED_VALUE"""),6.0)</f>
        <v>6</v>
      </c>
      <c r="Q239" s="189">
        <f>IFERROR(__xludf.DUMMYFUNCTION("""COMPUTED_VALUE"""),3.0)</f>
        <v>3</v>
      </c>
      <c r="R239" s="189">
        <f>IFERROR(__xludf.DUMMYFUNCTION("""COMPUTED_VALUE"""),7.0)</f>
        <v>7</v>
      </c>
      <c r="S239" s="189">
        <f>IFERROR(__xludf.DUMMYFUNCTION("""COMPUTED_VALUE"""),1.0)</f>
        <v>1</v>
      </c>
      <c r="T239" s="189">
        <f>IFERROR(__xludf.DUMMYFUNCTION("""COMPUTED_VALUE"""),1.0)</f>
        <v>1</v>
      </c>
      <c r="U239" s="189">
        <f>IFERROR(__xludf.DUMMYFUNCTION("""COMPUTED_VALUE"""),7.0)</f>
        <v>7</v>
      </c>
      <c r="V239" s="189">
        <f>IFERROR(__xludf.DUMMYFUNCTION("""COMPUTED_VALUE"""),3.0)</f>
        <v>3</v>
      </c>
      <c r="W239" s="189">
        <f>IFERROR(__xludf.DUMMYFUNCTION("""COMPUTED_VALUE"""),6.0)</f>
        <v>6</v>
      </c>
      <c r="X239" s="189">
        <f>IFERROR(__xludf.DUMMYFUNCTION("""COMPUTED_VALUE"""),6.0)</f>
        <v>6</v>
      </c>
      <c r="Y239" s="208" t="str">
        <f>IFERROR(__xludf.DUMMYFUNCTION("""COMPUTED_VALUE"""),"2025-07-02T00:00:00.000Z")</f>
        <v>2025-07-02T00:00:00.000Z</v>
      </c>
      <c r="Z239" s="189" t="s">
        <v>461</v>
      </c>
      <c r="AA239" s="189" t="s">
        <v>187</v>
      </c>
    </row>
    <row r="240">
      <c r="A240" s="189">
        <f>IFERROR(__xludf.DUMMYFUNCTION("""COMPUTED_VALUE"""),207522.0)</f>
        <v>207522</v>
      </c>
      <c r="B240" s="189">
        <f>IFERROR(__xludf.DUMMYFUNCTION("""COMPUTED_VALUE"""),91435.0)</f>
        <v>91435</v>
      </c>
      <c r="C240" s="189" t="str">
        <f>IFERROR(__xludf.DUMMYFUNCTION("""COMPUTED_VALUE"""),"Challengers League 2025 Spain Rising: Split 3 - Group Stage")</f>
        <v>Challengers League 2025 Spain Rising: Split 3 - Group Stage</v>
      </c>
      <c r="D240" s="189" t="str">
        <f>IFERROR(__xludf.DUMMYFUNCTION("""COMPUTED_VALUE"""),"Lotus")</f>
        <v>Lotus</v>
      </c>
      <c r="E240" s="189" t="str">
        <f>IFERROR(__xludf.DUMMYFUNCTION("""COMPUTED_VALUE"""),"NOVO Esports")</f>
        <v>NOVO Esports</v>
      </c>
      <c r="F240" s="189" t="str">
        <f>IFERROR(__xludf.DUMMYFUNCTION("""COMPUTED_VALUE"""),"KOI Fénix")</f>
        <v>KOI Fénix</v>
      </c>
      <c r="G240" s="189" t="str">
        <f>IFERROR(__xludf.DUMMYFUNCTION("""COMPUTED_VALUE"""),"Raze,Viper,Omen,Fade,Vyse")</f>
        <v>Raze,Viper,Omen,Fade,Vyse</v>
      </c>
      <c r="H240" s="189" t="str">
        <f>IFERROR(__xludf.DUMMYFUNCTION("""COMPUTED_VALUE"""),"Breach,Sova,Killjoy,Omen,Neon")</f>
        <v>Breach,Sova,Killjoy,Omen,Neon</v>
      </c>
      <c r="I240" s="189">
        <f>IFERROR(__xludf.DUMMYFUNCTION("""COMPUTED_VALUE"""),13.0)</f>
        <v>13</v>
      </c>
      <c r="J240" s="189">
        <f>IFERROR(__xludf.DUMMYFUNCTION("""COMPUTED_VALUE"""),9.0)</f>
        <v>9</v>
      </c>
      <c r="K240" s="189">
        <f>IFERROR(__xludf.DUMMYFUNCTION("""COMPUTED_VALUE"""),7.0)</f>
        <v>7</v>
      </c>
      <c r="L240" s="189">
        <f>IFERROR(__xludf.DUMMYFUNCTION("""COMPUTED_VALUE"""),5.0)</f>
        <v>5</v>
      </c>
      <c r="M240" s="189">
        <f>IFERROR(__xludf.DUMMYFUNCTION("""COMPUTED_VALUE"""),1.0)</f>
        <v>1</v>
      </c>
      <c r="N240" s="189">
        <f>IFERROR(__xludf.DUMMYFUNCTION("""COMPUTED_VALUE"""),0.0)</f>
        <v>0</v>
      </c>
      <c r="O240" s="189">
        <f>IFERROR(__xludf.DUMMYFUNCTION("""COMPUTED_VALUE"""),7.0)</f>
        <v>7</v>
      </c>
      <c r="P240" s="189">
        <f>IFERROR(__xludf.DUMMYFUNCTION("""COMPUTED_VALUE"""),5.0)</f>
        <v>5</v>
      </c>
      <c r="Q240" s="189">
        <f>IFERROR(__xludf.DUMMYFUNCTION("""COMPUTED_VALUE"""),6.0)</f>
        <v>6</v>
      </c>
      <c r="R240" s="189">
        <f>IFERROR(__xludf.DUMMYFUNCTION("""COMPUTED_VALUE"""),4.0)</f>
        <v>4</v>
      </c>
      <c r="S240" s="189">
        <f>IFERROR(__xludf.DUMMYFUNCTION("""COMPUTED_VALUE"""),1.0)</f>
        <v>1</v>
      </c>
      <c r="T240" s="189">
        <f>IFERROR(__xludf.DUMMYFUNCTION("""COMPUTED_VALUE"""),0.0)</f>
        <v>0</v>
      </c>
      <c r="U240" s="189">
        <f>IFERROR(__xludf.DUMMYFUNCTION("""COMPUTED_VALUE"""),4.0)</f>
        <v>4</v>
      </c>
      <c r="V240" s="189">
        <f>IFERROR(__xludf.DUMMYFUNCTION("""COMPUTED_VALUE"""),6.0)</f>
        <v>6</v>
      </c>
      <c r="W240" s="189">
        <f>IFERROR(__xludf.DUMMYFUNCTION("""COMPUTED_VALUE"""),5.0)</f>
        <v>5</v>
      </c>
      <c r="X240" s="189">
        <f>IFERROR(__xludf.DUMMYFUNCTION("""COMPUTED_VALUE"""),7.0)</f>
        <v>7</v>
      </c>
      <c r="Y240" s="208" t="str">
        <f>IFERROR(__xludf.DUMMYFUNCTION("""COMPUTED_VALUE"""),"2025-07-02T00:00:00.000Z")</f>
        <v>2025-07-02T00:00:00.000Z</v>
      </c>
      <c r="Z240" s="189" t="s">
        <v>462</v>
      </c>
      <c r="AA240" s="189" t="s">
        <v>463</v>
      </c>
    </row>
    <row r="241">
      <c r="A241" s="189">
        <f>IFERROR(__xludf.DUMMYFUNCTION("""COMPUTED_VALUE"""),207551.0)</f>
        <v>207551</v>
      </c>
      <c r="B241" s="189">
        <f>IFERROR(__xludf.DUMMYFUNCTION("""COMPUTED_VALUE"""),91444.0)</f>
        <v>91444</v>
      </c>
      <c r="C241" s="189" t="str">
        <f>IFERROR(__xludf.DUMMYFUNCTION("""COMPUTED_VALUE"""),"Challengers League 2025 Spain Rising: Split 3 - Group Stage")</f>
        <v>Challengers League 2025 Spain Rising: Split 3 - Group Stage</v>
      </c>
      <c r="D241" s="189" t="str">
        <f>IFERROR(__xludf.DUMMYFUNCTION("""COMPUTED_VALUE"""),"Lotus")</f>
        <v>Lotus</v>
      </c>
      <c r="E241" s="189" t="str">
        <f>IFERROR(__xludf.DUMMYFUNCTION("""COMPUTED_VALUE"""),"DNSTY")</f>
        <v>DNSTY</v>
      </c>
      <c r="F241" s="189" t="str">
        <f>IFERROR(__xludf.DUMMYFUNCTION("""COMPUTED_VALUE"""),"FALKE ESPORTS")</f>
        <v>FALKE ESPORTS</v>
      </c>
      <c r="G241" s="189" t="str">
        <f>IFERROR(__xludf.DUMMYFUNCTION("""COMPUTED_VALUE"""),"Raze,Killjoy,Viper,Omen,Fade")</f>
        <v>Raze,Killjoy,Viper,Omen,Fade</v>
      </c>
      <c r="H241" s="189" t="str">
        <f>IFERROR(__xludf.DUMMYFUNCTION("""COMPUTED_VALUE"""),"Breach,Cypher,Sova,Omen,Yoru")</f>
        <v>Breach,Cypher,Sova,Omen,Yoru</v>
      </c>
      <c r="I241" s="189">
        <f>IFERROR(__xludf.DUMMYFUNCTION("""COMPUTED_VALUE"""),13.0)</f>
        <v>13</v>
      </c>
      <c r="J241" s="189">
        <f>IFERROR(__xludf.DUMMYFUNCTION("""COMPUTED_VALUE"""),8.0)</f>
        <v>8</v>
      </c>
      <c r="K241" s="189">
        <f>IFERROR(__xludf.DUMMYFUNCTION("""COMPUTED_VALUE"""),9.0)</f>
        <v>9</v>
      </c>
      <c r="L241" s="189">
        <f>IFERROR(__xludf.DUMMYFUNCTION("""COMPUTED_VALUE"""),3.0)</f>
        <v>3</v>
      </c>
      <c r="M241" s="189">
        <f>IFERROR(__xludf.DUMMYFUNCTION("""COMPUTED_VALUE"""),0.0)</f>
        <v>0</v>
      </c>
      <c r="N241" s="189">
        <f>IFERROR(__xludf.DUMMYFUNCTION("""COMPUTED_VALUE"""),1.0)</f>
        <v>1</v>
      </c>
      <c r="O241" s="189">
        <f>IFERROR(__xludf.DUMMYFUNCTION("""COMPUTED_VALUE"""),9.0)</f>
        <v>9</v>
      </c>
      <c r="P241" s="189">
        <f>IFERROR(__xludf.DUMMYFUNCTION("""COMPUTED_VALUE"""),3.0)</f>
        <v>3</v>
      </c>
      <c r="Q241" s="189">
        <f>IFERROR(__xludf.DUMMYFUNCTION("""COMPUTED_VALUE"""),4.0)</f>
        <v>4</v>
      </c>
      <c r="R241" s="189">
        <f>IFERROR(__xludf.DUMMYFUNCTION("""COMPUTED_VALUE"""),5.0)</f>
        <v>5</v>
      </c>
      <c r="S241" s="189">
        <f>IFERROR(__xludf.DUMMYFUNCTION("""COMPUTED_VALUE"""),0.0)</f>
        <v>0</v>
      </c>
      <c r="T241" s="189">
        <f>IFERROR(__xludf.DUMMYFUNCTION("""COMPUTED_VALUE"""),1.0)</f>
        <v>1</v>
      </c>
      <c r="U241" s="189">
        <f>IFERROR(__xludf.DUMMYFUNCTION("""COMPUTED_VALUE"""),5.0)</f>
        <v>5</v>
      </c>
      <c r="V241" s="189">
        <f>IFERROR(__xludf.DUMMYFUNCTION("""COMPUTED_VALUE"""),4.0)</f>
        <v>4</v>
      </c>
      <c r="W241" s="189">
        <f>IFERROR(__xludf.DUMMYFUNCTION("""COMPUTED_VALUE"""),3.0)</f>
        <v>3</v>
      </c>
      <c r="X241" s="189">
        <f>IFERROR(__xludf.DUMMYFUNCTION("""COMPUTED_VALUE"""),9.0)</f>
        <v>9</v>
      </c>
      <c r="Y241" s="208" t="str">
        <f>IFERROR(__xludf.DUMMYFUNCTION("""COMPUTED_VALUE"""),"2025-07-01T00:00:00.000Z")</f>
        <v>2025-07-01T00:00:00.000Z</v>
      </c>
      <c r="Z241" s="189" t="s">
        <v>97</v>
      </c>
      <c r="AA241" s="189" t="s">
        <v>182</v>
      </c>
    </row>
    <row r="242">
      <c r="A242" s="189">
        <f>IFERROR(__xludf.DUMMYFUNCTION("""COMPUTED_VALUE"""),207550.0)</f>
        <v>207550</v>
      </c>
      <c r="B242" s="189">
        <f>IFERROR(__xludf.DUMMYFUNCTION("""COMPUTED_VALUE"""),91444.0)</f>
        <v>91444</v>
      </c>
      <c r="C242" s="189" t="str">
        <f>IFERROR(__xludf.DUMMYFUNCTION("""COMPUTED_VALUE"""),"Challengers League 2025 Spain Rising: Split 3 - Group Stage")</f>
        <v>Challengers League 2025 Spain Rising: Split 3 - Group Stage</v>
      </c>
      <c r="D242" s="189" t="str">
        <f>IFERROR(__xludf.DUMMYFUNCTION("""COMPUTED_VALUE"""),"Icebox")</f>
        <v>Icebox</v>
      </c>
      <c r="E242" s="189" t="str">
        <f>IFERROR(__xludf.DUMMYFUNCTION("""COMPUTED_VALUE"""),"DNSTY")</f>
        <v>DNSTY</v>
      </c>
      <c r="F242" s="189" t="str">
        <f>IFERROR(__xludf.DUMMYFUNCTION("""COMPUTED_VALUE"""),"FALKE ESPORTS")</f>
        <v>FALKE ESPORTS</v>
      </c>
      <c r="G242" s="189" t="str">
        <f>IFERROR(__xludf.DUMMYFUNCTION("""COMPUTED_VALUE"""),"Sova,Killjoy,Viper,Jett,Harbor")</f>
        <v>Sova,Killjoy,Viper,Jett,Harbor</v>
      </c>
      <c r="H242" s="189" t="str">
        <f>IFERROR(__xludf.DUMMYFUNCTION("""COMPUTED_VALUE"""),"Sova,Killjoy,Viper,Sage,Omen")</f>
        <v>Sova,Killjoy,Viper,Sage,Omen</v>
      </c>
      <c r="I242" s="189">
        <f>IFERROR(__xludf.DUMMYFUNCTION("""COMPUTED_VALUE"""),4.0)</f>
        <v>4</v>
      </c>
      <c r="J242" s="189">
        <f>IFERROR(__xludf.DUMMYFUNCTION("""COMPUTED_VALUE"""),13.0)</f>
        <v>13</v>
      </c>
      <c r="K242" s="189">
        <f>IFERROR(__xludf.DUMMYFUNCTION("""COMPUTED_VALUE"""),4.0)</f>
        <v>4</v>
      </c>
      <c r="L242" s="189">
        <f>IFERROR(__xludf.DUMMYFUNCTION("""COMPUTED_VALUE"""),8.0)</f>
        <v>8</v>
      </c>
      <c r="M242" s="189">
        <f>IFERROR(__xludf.DUMMYFUNCTION("""COMPUTED_VALUE"""),1.0)</f>
        <v>1</v>
      </c>
      <c r="N242" s="189">
        <f>IFERROR(__xludf.DUMMYFUNCTION("""COMPUTED_VALUE"""),0.0)</f>
        <v>0</v>
      </c>
      <c r="O242" s="189">
        <f>IFERROR(__xludf.DUMMYFUNCTION("""COMPUTED_VALUE"""),4.0)</f>
        <v>4</v>
      </c>
      <c r="P242" s="189">
        <f>IFERROR(__xludf.DUMMYFUNCTION("""COMPUTED_VALUE"""),8.0)</f>
        <v>8</v>
      </c>
      <c r="Q242" s="189">
        <f>IFERROR(__xludf.DUMMYFUNCTION("""COMPUTED_VALUE"""),0.0)</f>
        <v>0</v>
      </c>
      <c r="R242" s="189">
        <f>IFERROR(__xludf.DUMMYFUNCTION("""COMPUTED_VALUE"""),5.0)</f>
        <v>5</v>
      </c>
      <c r="S242" s="189">
        <f>IFERROR(__xludf.DUMMYFUNCTION("""COMPUTED_VALUE"""),1.0)</f>
        <v>1</v>
      </c>
      <c r="T242" s="189">
        <f>IFERROR(__xludf.DUMMYFUNCTION("""COMPUTED_VALUE"""),0.0)</f>
        <v>0</v>
      </c>
      <c r="U242" s="189">
        <f>IFERROR(__xludf.DUMMYFUNCTION("""COMPUTED_VALUE"""),5.0)</f>
        <v>5</v>
      </c>
      <c r="V242" s="189">
        <f>IFERROR(__xludf.DUMMYFUNCTION("""COMPUTED_VALUE"""),0.0)</f>
        <v>0</v>
      </c>
      <c r="W242" s="189">
        <f>IFERROR(__xludf.DUMMYFUNCTION("""COMPUTED_VALUE"""),8.0)</f>
        <v>8</v>
      </c>
      <c r="X242" s="189">
        <f>IFERROR(__xludf.DUMMYFUNCTION("""COMPUTED_VALUE"""),4.0)</f>
        <v>4</v>
      </c>
      <c r="Y242" s="208" t="str">
        <f>IFERROR(__xludf.DUMMYFUNCTION("""COMPUTED_VALUE"""),"2025-07-01T00:00:00.000Z")</f>
        <v>2025-07-01T00:00:00.000Z</v>
      </c>
      <c r="Z242" s="189" t="s">
        <v>96</v>
      </c>
      <c r="AA242" s="189" t="s">
        <v>464</v>
      </c>
    </row>
    <row r="243">
      <c r="A243" s="189">
        <f>IFERROR(__xludf.DUMMYFUNCTION("""COMPUTED_VALUE"""),207549.0)</f>
        <v>207549</v>
      </c>
      <c r="B243" s="189">
        <f>IFERROR(__xludf.DUMMYFUNCTION("""COMPUTED_VALUE"""),91444.0)</f>
        <v>91444</v>
      </c>
      <c r="C243" s="189" t="str">
        <f>IFERROR(__xludf.DUMMYFUNCTION("""COMPUTED_VALUE"""),"Challengers League 2025 Spain Rising: Split 3 - Group Stage")</f>
        <v>Challengers League 2025 Spain Rising: Split 3 - Group Stage</v>
      </c>
      <c r="D243" s="189" t="str">
        <f>IFERROR(__xludf.DUMMYFUNCTION("""COMPUTED_VALUE"""),"Sunset")</f>
        <v>Sunset</v>
      </c>
      <c r="E243" s="189" t="str">
        <f>IFERROR(__xludf.DUMMYFUNCTION("""COMPUTED_VALUE"""),"DNSTY")</f>
        <v>DNSTY</v>
      </c>
      <c r="F243" s="189" t="str">
        <f>IFERROR(__xludf.DUMMYFUNCTION("""COMPUTED_VALUE"""),"FALKE ESPORTS")</f>
        <v>FALKE ESPORTS</v>
      </c>
      <c r="G243" s="189" t="str">
        <f>IFERROR(__xludf.DUMMYFUNCTION("""COMPUTED_VALUE"""),"Sova,Viper,Omen,Neon,Deadlock")</f>
        <v>Sova,Viper,Omen,Neon,Deadlock</v>
      </c>
      <c r="H243" s="189" t="str">
        <f>IFERROR(__xludf.DUMMYFUNCTION("""COMPUTED_VALUE"""),"Sova,Viper,Omen,Yoru,Chamber")</f>
        <v>Sova,Viper,Omen,Yoru,Chamber</v>
      </c>
      <c r="I243" s="189">
        <f>IFERROR(__xludf.DUMMYFUNCTION("""COMPUTED_VALUE"""),13.0)</f>
        <v>13</v>
      </c>
      <c r="J243" s="189">
        <f>IFERROR(__xludf.DUMMYFUNCTION("""COMPUTED_VALUE"""),4.0)</f>
        <v>4</v>
      </c>
      <c r="K243" s="189">
        <f>IFERROR(__xludf.DUMMYFUNCTION("""COMPUTED_VALUE"""),10.0)</f>
        <v>10</v>
      </c>
      <c r="L243" s="189">
        <f>IFERROR(__xludf.DUMMYFUNCTION("""COMPUTED_VALUE"""),2.0)</f>
        <v>2</v>
      </c>
      <c r="M243" s="189">
        <f>IFERROR(__xludf.DUMMYFUNCTION("""COMPUTED_VALUE"""),1.0)</f>
        <v>1</v>
      </c>
      <c r="N243" s="189">
        <f>IFERROR(__xludf.DUMMYFUNCTION("""COMPUTED_VALUE"""),1.0)</f>
        <v>1</v>
      </c>
      <c r="O243" s="189">
        <f>IFERROR(__xludf.DUMMYFUNCTION("""COMPUTED_VALUE"""),3.0)</f>
        <v>3</v>
      </c>
      <c r="P243" s="189">
        <f>IFERROR(__xludf.DUMMYFUNCTION("""COMPUTED_VALUE"""),2.0)</f>
        <v>2</v>
      </c>
      <c r="Q243" s="189">
        <f>IFERROR(__xludf.DUMMYFUNCTION("""COMPUTED_VALUE"""),10.0)</f>
        <v>10</v>
      </c>
      <c r="R243" s="189">
        <f>IFERROR(__xludf.DUMMYFUNCTION("""COMPUTED_VALUE"""),2.0)</f>
        <v>2</v>
      </c>
      <c r="S243" s="189">
        <f>IFERROR(__xludf.DUMMYFUNCTION("""COMPUTED_VALUE"""),0.0)</f>
        <v>0</v>
      </c>
      <c r="T243" s="189">
        <f>IFERROR(__xludf.DUMMYFUNCTION("""COMPUTED_VALUE"""),0.0)</f>
        <v>0</v>
      </c>
      <c r="U243" s="189">
        <f>IFERROR(__xludf.DUMMYFUNCTION("""COMPUTED_VALUE"""),2.0)</f>
        <v>2</v>
      </c>
      <c r="V243" s="189">
        <f>IFERROR(__xludf.DUMMYFUNCTION("""COMPUTED_VALUE"""),10.0)</f>
        <v>10</v>
      </c>
      <c r="W243" s="189">
        <f>IFERROR(__xludf.DUMMYFUNCTION("""COMPUTED_VALUE"""),2.0)</f>
        <v>2</v>
      </c>
      <c r="X243" s="189">
        <f>IFERROR(__xludf.DUMMYFUNCTION("""COMPUTED_VALUE"""),3.0)</f>
        <v>3</v>
      </c>
      <c r="Y243" s="208" t="str">
        <f>IFERROR(__xludf.DUMMYFUNCTION("""COMPUTED_VALUE"""),"2025-07-01T00:00:00.000Z")</f>
        <v>2025-07-01T00:00:00.000Z</v>
      </c>
      <c r="Z243" s="189" t="s">
        <v>98</v>
      </c>
      <c r="AA243" s="189" t="s">
        <v>182</v>
      </c>
    </row>
    <row r="244">
      <c r="A244" s="189">
        <f>IFERROR(__xludf.DUMMYFUNCTION("""COMPUTED_VALUE"""),207517.0)</f>
        <v>207517</v>
      </c>
      <c r="B244" s="189">
        <f>IFERROR(__xludf.DUMMYFUNCTION("""COMPUTED_VALUE"""),91433.0)</f>
        <v>91433</v>
      </c>
      <c r="C244" s="189" t="str">
        <f>IFERROR(__xludf.DUMMYFUNCTION("""COMPUTED_VALUE"""),"Challengers League 2025 Spain Rising: Split 3 - Group Stage")</f>
        <v>Challengers League 2025 Spain Rising: Split 3 - Group Stage</v>
      </c>
      <c r="D244" s="189" t="str">
        <f>IFERROR(__xludf.DUMMYFUNCTION("""COMPUTED_VALUE"""),"Lotus")</f>
        <v>Lotus</v>
      </c>
      <c r="E244" s="189" t="str">
        <f>IFERROR(__xludf.DUMMYFUNCTION("""COMPUTED_VALUE"""),"KOI Fénix")</f>
        <v>KOI Fénix</v>
      </c>
      <c r="F244" s="189" t="str">
        <f>IFERROR(__xludf.DUMMYFUNCTION("""COMPUTED_VALUE"""),"Ramboot Club")</f>
        <v>Ramboot Club</v>
      </c>
      <c r="G244" s="189" t="str">
        <f>IFERROR(__xludf.DUMMYFUNCTION("""COMPUTED_VALUE"""),"Breach,Sova,Killjoy,Omen,Neon")</f>
        <v>Breach,Sova,Killjoy,Omen,Neon</v>
      </c>
      <c r="H244" s="189" t="str">
        <f>IFERROR(__xludf.DUMMYFUNCTION("""COMPUTED_VALUE"""),"Viper,Omen,Chamber,Neon,Fade")</f>
        <v>Viper,Omen,Chamber,Neon,Fade</v>
      </c>
      <c r="I244" s="189">
        <f>IFERROR(__xludf.DUMMYFUNCTION("""COMPUTED_VALUE"""),13.0)</f>
        <v>13</v>
      </c>
      <c r="J244" s="189">
        <f>IFERROR(__xludf.DUMMYFUNCTION("""COMPUTED_VALUE"""),6.0)</f>
        <v>6</v>
      </c>
      <c r="K244" s="189">
        <f>IFERROR(__xludf.DUMMYFUNCTION("""COMPUTED_VALUE"""),7.0)</f>
        <v>7</v>
      </c>
      <c r="L244" s="189">
        <f>IFERROR(__xludf.DUMMYFUNCTION("""COMPUTED_VALUE"""),5.0)</f>
        <v>5</v>
      </c>
      <c r="M244" s="189">
        <f>IFERROR(__xludf.DUMMYFUNCTION("""COMPUTED_VALUE"""),0.0)</f>
        <v>0</v>
      </c>
      <c r="N244" s="189">
        <f>IFERROR(__xludf.DUMMYFUNCTION("""COMPUTED_VALUE"""),1.0)</f>
        <v>1</v>
      </c>
      <c r="O244" s="189">
        <f>IFERROR(__xludf.DUMMYFUNCTION("""COMPUTED_VALUE"""),6.0)</f>
        <v>6</v>
      </c>
      <c r="P244" s="189">
        <f>IFERROR(__xludf.DUMMYFUNCTION("""COMPUTED_VALUE"""),1.0)</f>
        <v>1</v>
      </c>
      <c r="Q244" s="189">
        <f>IFERROR(__xludf.DUMMYFUNCTION("""COMPUTED_VALUE"""),7.0)</f>
        <v>7</v>
      </c>
      <c r="R244" s="189">
        <f>IFERROR(__xludf.DUMMYFUNCTION("""COMPUTED_VALUE"""),5.0)</f>
        <v>5</v>
      </c>
      <c r="S244" s="189">
        <f>IFERROR(__xludf.DUMMYFUNCTION("""COMPUTED_VALUE"""),0.0)</f>
        <v>0</v>
      </c>
      <c r="T244" s="189">
        <f>IFERROR(__xludf.DUMMYFUNCTION("""COMPUTED_VALUE"""),1.0)</f>
        <v>1</v>
      </c>
      <c r="U244" s="189">
        <f>IFERROR(__xludf.DUMMYFUNCTION("""COMPUTED_VALUE"""),5.0)</f>
        <v>5</v>
      </c>
      <c r="V244" s="189">
        <f>IFERROR(__xludf.DUMMYFUNCTION("""COMPUTED_VALUE"""),7.0)</f>
        <v>7</v>
      </c>
      <c r="W244" s="189">
        <f>IFERROR(__xludf.DUMMYFUNCTION("""COMPUTED_VALUE"""),1.0)</f>
        <v>1</v>
      </c>
      <c r="X244" s="189">
        <f>IFERROR(__xludf.DUMMYFUNCTION("""COMPUTED_VALUE"""),6.0)</f>
        <v>6</v>
      </c>
      <c r="Y244" s="208" t="str">
        <f>IFERROR(__xludf.DUMMYFUNCTION("""COMPUTED_VALUE"""),"2025-06-30T00:00:00.000Z")</f>
        <v>2025-06-30T00:00:00.000Z</v>
      </c>
      <c r="Z244" s="189" t="s">
        <v>123</v>
      </c>
      <c r="AA244" s="189" t="s">
        <v>187</v>
      </c>
    </row>
    <row r="245">
      <c r="A245" s="189">
        <f>IFERROR(__xludf.DUMMYFUNCTION("""COMPUTED_VALUE"""),207516.0)</f>
        <v>207516</v>
      </c>
      <c r="B245" s="189">
        <f>IFERROR(__xludf.DUMMYFUNCTION("""COMPUTED_VALUE"""),91433.0)</f>
        <v>91433</v>
      </c>
      <c r="C245" s="189" t="str">
        <f>IFERROR(__xludf.DUMMYFUNCTION("""COMPUTED_VALUE"""),"Challengers League 2025 Spain Rising: Split 3 - Group Stage")</f>
        <v>Challengers League 2025 Spain Rising: Split 3 - Group Stage</v>
      </c>
      <c r="D245" s="189" t="str">
        <f>IFERROR(__xludf.DUMMYFUNCTION("""COMPUTED_VALUE"""),"Split")</f>
        <v>Split</v>
      </c>
      <c r="E245" s="189" t="str">
        <f>IFERROR(__xludf.DUMMYFUNCTION("""COMPUTED_VALUE"""),"KOI Fénix")</f>
        <v>KOI Fénix</v>
      </c>
      <c r="F245" s="189" t="str">
        <f>IFERROR(__xludf.DUMMYFUNCTION("""COMPUTED_VALUE"""),"Ramboot Club")</f>
        <v>Ramboot Club</v>
      </c>
      <c r="G245" s="189" t="str">
        <f>IFERROR(__xludf.DUMMYFUNCTION("""COMPUTED_VALUE"""),"Breach,Raze,Sage,Omen,Jett")</f>
        <v>Breach,Raze,Sage,Omen,Jett</v>
      </c>
      <c r="H245" s="189" t="str">
        <f>IFERROR(__xludf.DUMMYFUNCTION("""COMPUTED_VALUE"""),"Raze,Viper,Omen,Yoru,Fade")</f>
        <v>Raze,Viper,Omen,Yoru,Fade</v>
      </c>
      <c r="I245" s="189">
        <f>IFERROR(__xludf.DUMMYFUNCTION("""COMPUTED_VALUE"""),13.0)</f>
        <v>13</v>
      </c>
      <c r="J245" s="189">
        <f>IFERROR(__xludf.DUMMYFUNCTION("""COMPUTED_VALUE"""),7.0)</f>
        <v>7</v>
      </c>
      <c r="K245" s="189">
        <f>IFERROR(__xludf.DUMMYFUNCTION("""COMPUTED_VALUE"""),6.0)</f>
        <v>6</v>
      </c>
      <c r="L245" s="189">
        <f>IFERROR(__xludf.DUMMYFUNCTION("""COMPUTED_VALUE"""),6.0)</f>
        <v>6</v>
      </c>
      <c r="M245" s="189">
        <f>IFERROR(__xludf.DUMMYFUNCTION("""COMPUTED_VALUE"""),1.0)</f>
        <v>1</v>
      </c>
      <c r="N245" s="189">
        <f>IFERROR(__xludf.DUMMYFUNCTION("""COMPUTED_VALUE"""),1.0)</f>
        <v>1</v>
      </c>
      <c r="O245" s="189">
        <f>IFERROR(__xludf.DUMMYFUNCTION("""COMPUTED_VALUE"""),7.0)</f>
        <v>7</v>
      </c>
      <c r="P245" s="189">
        <f>IFERROR(__xludf.DUMMYFUNCTION("""COMPUTED_VALUE"""),1.0)</f>
        <v>1</v>
      </c>
      <c r="Q245" s="189">
        <f>IFERROR(__xludf.DUMMYFUNCTION("""COMPUTED_VALUE"""),6.0)</f>
        <v>6</v>
      </c>
      <c r="R245" s="189">
        <f>IFERROR(__xludf.DUMMYFUNCTION("""COMPUTED_VALUE"""),6.0)</f>
        <v>6</v>
      </c>
      <c r="S245" s="189">
        <f>IFERROR(__xludf.DUMMYFUNCTION("""COMPUTED_VALUE"""),0.0)</f>
        <v>0</v>
      </c>
      <c r="T245" s="189">
        <f>IFERROR(__xludf.DUMMYFUNCTION("""COMPUTED_VALUE"""),0.0)</f>
        <v>0</v>
      </c>
      <c r="U245" s="189">
        <f>IFERROR(__xludf.DUMMYFUNCTION("""COMPUTED_VALUE"""),6.0)</f>
        <v>6</v>
      </c>
      <c r="V245" s="189">
        <f>IFERROR(__xludf.DUMMYFUNCTION("""COMPUTED_VALUE"""),6.0)</f>
        <v>6</v>
      </c>
      <c r="W245" s="189">
        <f>IFERROR(__xludf.DUMMYFUNCTION("""COMPUTED_VALUE"""),1.0)</f>
        <v>1</v>
      </c>
      <c r="X245" s="189">
        <f>IFERROR(__xludf.DUMMYFUNCTION("""COMPUTED_VALUE"""),7.0)</f>
        <v>7</v>
      </c>
      <c r="Y245" s="208" t="str">
        <f>IFERROR(__xludf.DUMMYFUNCTION("""COMPUTED_VALUE"""),"2025-06-30T00:00:00.000Z")</f>
        <v>2025-06-30T00:00:00.000Z</v>
      </c>
      <c r="Z245" s="189" t="s">
        <v>124</v>
      </c>
      <c r="AA245" s="189" t="s">
        <v>187</v>
      </c>
    </row>
    <row r="246">
      <c r="A246" s="189">
        <f>IFERROR(__xludf.DUMMYFUNCTION("""COMPUTED_VALUE"""),208062.0)</f>
        <v>208062</v>
      </c>
      <c r="B246" s="189">
        <f>IFERROR(__xludf.DUMMYFUNCTION("""COMPUTED_VALUE"""),91668.0)</f>
        <v>91668</v>
      </c>
      <c r="C246" s="189" t="str">
        <f>IFERROR(__xludf.DUMMYFUNCTION("""COMPUTED_VALUE"""),"Challengers League 2025 NORTH EAST: Split 3 - East Qualifier")</f>
        <v>Challengers League 2025 NORTH EAST: Split 3 - East Qualifier</v>
      </c>
      <c r="D246" s="189" t="str">
        <f>IFERROR(__xludf.DUMMYFUNCTION("""COMPUTED_VALUE"""),"Lotus")</f>
        <v>Lotus</v>
      </c>
      <c r="E246" s="189" t="str">
        <f>IFERROR(__xludf.DUMMYFUNCTION("""COMPUTED_VALUE"""),"Boars Gaming")</f>
        <v>Boars Gaming</v>
      </c>
      <c r="F246" s="189" t="str">
        <f>IFERROR(__xludf.DUMMYFUNCTION("""COMPUTED_VALUE"""),"Easties")</f>
        <v>Easties</v>
      </c>
      <c r="G246" s="189" t="str">
        <f>IFERROR(__xludf.DUMMYFUNCTION("""COMPUTED_VALUE"""),"Breach,Cypher,Omen,Neon,Fade")</f>
        <v>Breach,Cypher,Omen,Neon,Fade</v>
      </c>
      <c r="H246" s="189" t="str">
        <f>IFERROR(__xludf.DUMMYFUNCTION("""COMPUTED_VALUE"""),"Omen,Chamber,Neon,Fade,Clove")</f>
        <v>Omen,Chamber,Neon,Fade,Clove</v>
      </c>
      <c r="I246" s="189">
        <f>IFERROR(__xludf.DUMMYFUNCTION("""COMPUTED_VALUE"""),13.0)</f>
        <v>13</v>
      </c>
      <c r="J246" s="189">
        <f>IFERROR(__xludf.DUMMYFUNCTION("""COMPUTED_VALUE"""),11.0)</f>
        <v>11</v>
      </c>
      <c r="K246" s="189">
        <f>IFERROR(__xludf.DUMMYFUNCTION("""COMPUTED_VALUE"""),7.0)</f>
        <v>7</v>
      </c>
      <c r="L246" s="189">
        <f>IFERROR(__xludf.DUMMYFUNCTION("""COMPUTED_VALUE"""),5.0)</f>
        <v>5</v>
      </c>
      <c r="M246" s="189">
        <f>IFERROR(__xludf.DUMMYFUNCTION("""COMPUTED_VALUE"""),0.0)</f>
        <v>0</v>
      </c>
      <c r="N246" s="189">
        <f>IFERROR(__xludf.DUMMYFUNCTION("""COMPUTED_VALUE"""),1.0)</f>
        <v>1</v>
      </c>
      <c r="O246" s="189">
        <f>IFERROR(__xludf.DUMMYFUNCTION("""COMPUTED_VALUE"""),7.0)</f>
        <v>7</v>
      </c>
      <c r="P246" s="189">
        <f>IFERROR(__xludf.DUMMYFUNCTION("""COMPUTED_VALUE"""),5.0)</f>
        <v>5</v>
      </c>
      <c r="Q246" s="189">
        <f>IFERROR(__xludf.DUMMYFUNCTION("""COMPUTED_VALUE"""),6.0)</f>
        <v>6</v>
      </c>
      <c r="R246" s="189">
        <f>IFERROR(__xludf.DUMMYFUNCTION("""COMPUTED_VALUE"""),6.0)</f>
        <v>6</v>
      </c>
      <c r="S246" s="189">
        <f>IFERROR(__xludf.DUMMYFUNCTION("""COMPUTED_VALUE"""),0.0)</f>
        <v>0</v>
      </c>
      <c r="T246" s="189">
        <f>IFERROR(__xludf.DUMMYFUNCTION("""COMPUTED_VALUE"""),1.0)</f>
        <v>1</v>
      </c>
      <c r="U246" s="189">
        <f>IFERROR(__xludf.DUMMYFUNCTION("""COMPUTED_VALUE"""),6.0)</f>
        <v>6</v>
      </c>
      <c r="V246" s="189">
        <f>IFERROR(__xludf.DUMMYFUNCTION("""COMPUTED_VALUE"""),6.0)</f>
        <v>6</v>
      </c>
      <c r="W246" s="189">
        <f>IFERROR(__xludf.DUMMYFUNCTION("""COMPUTED_VALUE"""),5.0)</f>
        <v>5</v>
      </c>
      <c r="X246" s="189">
        <f>IFERROR(__xludf.DUMMYFUNCTION("""COMPUTED_VALUE"""),7.0)</f>
        <v>7</v>
      </c>
      <c r="Y246" s="208" t="str">
        <f>IFERROR(__xludf.DUMMYFUNCTION("""COMPUTED_VALUE"""),"2025-06-29T00:00:00.000Z")</f>
        <v>2025-06-29T00:00:00.000Z</v>
      </c>
      <c r="Z246" s="189" t="s">
        <v>81</v>
      </c>
      <c r="AA246" s="189" t="s">
        <v>181</v>
      </c>
    </row>
    <row r="247">
      <c r="A247" s="189">
        <f>IFERROR(__xludf.DUMMYFUNCTION("""COMPUTED_VALUE"""),207510.0)</f>
        <v>207510</v>
      </c>
      <c r="B247" s="189">
        <f>IFERROR(__xludf.DUMMYFUNCTION("""COMPUTED_VALUE"""),91431.0)</f>
        <v>91431</v>
      </c>
      <c r="C247" s="189" t="str">
        <f>IFERROR(__xludf.DUMMYFUNCTION("""COMPUTED_VALUE"""),"Challengers League 2025 DACH: Evolution Stage 3 - Group Stage")</f>
        <v>Challengers League 2025 DACH: Evolution Stage 3 - Group Stage</v>
      </c>
      <c r="D247" s="189" t="str">
        <f>IFERROR(__xludf.DUMMYFUNCTION("""COMPUTED_VALUE"""),"Icebox")</f>
        <v>Icebox</v>
      </c>
      <c r="E247" s="189" t="str">
        <f>IFERROR(__xludf.DUMMYFUNCTION("""COMPUTED_VALUE"""),"Eintracht Frankfurt")</f>
        <v>Eintracht Frankfurt</v>
      </c>
      <c r="F247" s="189" t="str">
        <f>IFERROR(__xludf.DUMMYFUNCTION("""COMPUTED_VALUE"""),"ALTERNATE aTTaX")</f>
        <v>ALTERNATE aTTaX</v>
      </c>
      <c r="G247" s="189" t="str">
        <f>IFERROR(__xludf.DUMMYFUNCTION("""COMPUTED_VALUE"""),"Sova,Killjoy,Viper,Sage,Jett")</f>
        <v>Sova,Killjoy,Viper,Sage,Jett</v>
      </c>
      <c r="H247" s="189" t="str">
        <f>IFERROR(__xludf.DUMMYFUNCTION("""COMPUTED_VALUE"""),"Sova,Killjoy,Viper,Reyna,Jett")</f>
        <v>Sova,Killjoy,Viper,Reyna,Jett</v>
      </c>
      <c r="I247" s="189">
        <f>IFERROR(__xludf.DUMMYFUNCTION("""COMPUTED_VALUE"""),17.0)</f>
        <v>17</v>
      </c>
      <c r="J247" s="189">
        <f>IFERROR(__xludf.DUMMYFUNCTION("""COMPUTED_VALUE"""),15.0)</f>
        <v>15</v>
      </c>
      <c r="K247" s="189">
        <f>IFERROR(__xludf.DUMMYFUNCTION("""COMPUTED_VALUE"""),7.0)</f>
        <v>7</v>
      </c>
      <c r="L247" s="189">
        <f>IFERROR(__xludf.DUMMYFUNCTION("""COMPUTED_VALUE"""),5.0)</f>
        <v>5</v>
      </c>
      <c r="M247" s="189">
        <f>IFERROR(__xludf.DUMMYFUNCTION("""COMPUTED_VALUE"""),0.0)</f>
        <v>0</v>
      </c>
      <c r="N247" s="189">
        <f>IFERROR(__xludf.DUMMYFUNCTION("""COMPUTED_VALUE"""),1.0)</f>
        <v>1</v>
      </c>
      <c r="O247" s="189">
        <f>IFERROR(__xludf.DUMMYFUNCTION("""COMPUTED_VALUE"""),9.0)</f>
        <v>9</v>
      </c>
      <c r="P247" s="189">
        <f>IFERROR(__xludf.DUMMYFUNCTION("""COMPUTED_VALUE"""),7.0)</f>
        <v>7</v>
      </c>
      <c r="Q247" s="189">
        <f>IFERROR(__xludf.DUMMYFUNCTION("""COMPUTED_VALUE"""),8.0)</f>
        <v>8</v>
      </c>
      <c r="R247" s="189">
        <f>IFERROR(__xludf.DUMMYFUNCTION("""COMPUTED_VALUE"""),8.0)</f>
        <v>8</v>
      </c>
      <c r="S247" s="189">
        <f>IFERROR(__xludf.DUMMYFUNCTION("""COMPUTED_VALUE"""),0.0)</f>
        <v>0</v>
      </c>
      <c r="T247" s="189">
        <f>IFERROR(__xludf.DUMMYFUNCTION("""COMPUTED_VALUE"""),1.0)</f>
        <v>1</v>
      </c>
      <c r="U247" s="189">
        <f>IFERROR(__xludf.DUMMYFUNCTION("""COMPUTED_VALUE"""),8.0)</f>
        <v>8</v>
      </c>
      <c r="V247" s="189">
        <f>IFERROR(__xludf.DUMMYFUNCTION("""COMPUTED_VALUE"""),8.0)</f>
        <v>8</v>
      </c>
      <c r="W247" s="189">
        <f>IFERROR(__xludf.DUMMYFUNCTION("""COMPUTED_VALUE"""),7.0)</f>
        <v>7</v>
      </c>
      <c r="X247" s="189">
        <f>IFERROR(__xludf.DUMMYFUNCTION("""COMPUTED_VALUE"""),9.0)</f>
        <v>9</v>
      </c>
      <c r="Y247" s="208" t="str">
        <f>IFERROR(__xludf.DUMMYFUNCTION("""COMPUTED_VALUE"""),"2025-06-28T00:00:00.000Z")</f>
        <v>2025-06-28T00:00:00.000Z</v>
      </c>
      <c r="Z247" s="189" t="s">
        <v>103</v>
      </c>
      <c r="AA247" s="189" t="s">
        <v>183</v>
      </c>
    </row>
    <row r="248">
      <c r="A248" s="189">
        <f>IFERROR(__xludf.DUMMYFUNCTION("""COMPUTED_VALUE"""),207509.0)</f>
        <v>207509</v>
      </c>
      <c r="B248" s="189">
        <f>IFERROR(__xludf.DUMMYFUNCTION("""COMPUTED_VALUE"""),91431.0)</f>
        <v>91431</v>
      </c>
      <c r="C248" s="189" t="str">
        <f>IFERROR(__xludf.DUMMYFUNCTION("""COMPUTED_VALUE"""),"Challengers League 2025 DACH: Evolution Stage 3 - Group Stage")</f>
        <v>Challengers League 2025 DACH: Evolution Stage 3 - Group Stage</v>
      </c>
      <c r="D248" s="189" t="str">
        <f>IFERROR(__xludf.DUMMYFUNCTION("""COMPUTED_VALUE"""),"Haven")</f>
        <v>Haven</v>
      </c>
      <c r="E248" s="189" t="str">
        <f>IFERROR(__xludf.DUMMYFUNCTION("""COMPUTED_VALUE"""),"Eintracht Frankfurt")</f>
        <v>Eintracht Frankfurt</v>
      </c>
      <c r="F248" s="189" t="str">
        <f>IFERROR(__xludf.DUMMYFUNCTION("""COMPUTED_VALUE"""),"ALTERNATE aTTaX")</f>
        <v>ALTERNATE aTTaX</v>
      </c>
      <c r="G248" s="189" t="str">
        <f>IFERROR(__xludf.DUMMYFUNCTION("""COMPUTED_VALUE"""),"Cypher,Sova,Omen,Yoru,Neon")</f>
        <v>Cypher,Sova,Omen,Yoru,Neon</v>
      </c>
      <c r="H248" s="189" t="str">
        <f>IFERROR(__xludf.DUMMYFUNCTION("""COMPUTED_VALUE"""),"Sova,Killjoy,Viper,Omen,Neon")</f>
        <v>Sova,Killjoy,Viper,Omen,Neon</v>
      </c>
      <c r="I248" s="189">
        <f>IFERROR(__xludf.DUMMYFUNCTION("""COMPUTED_VALUE"""),8.0)</f>
        <v>8</v>
      </c>
      <c r="J248" s="189">
        <f>IFERROR(__xludf.DUMMYFUNCTION("""COMPUTED_VALUE"""),13.0)</f>
        <v>13</v>
      </c>
      <c r="K248" s="189">
        <f>IFERROR(__xludf.DUMMYFUNCTION("""COMPUTED_VALUE"""),5.0)</f>
        <v>5</v>
      </c>
      <c r="L248" s="189">
        <f>IFERROR(__xludf.DUMMYFUNCTION("""COMPUTED_VALUE"""),7.0)</f>
        <v>7</v>
      </c>
      <c r="M248" s="189">
        <f>IFERROR(__xludf.DUMMYFUNCTION("""COMPUTED_VALUE"""),0.0)</f>
        <v>0</v>
      </c>
      <c r="N248" s="189">
        <f>IFERROR(__xludf.DUMMYFUNCTION("""COMPUTED_VALUE"""),0.0)</f>
        <v>0</v>
      </c>
      <c r="O248" s="189">
        <f>IFERROR(__xludf.DUMMYFUNCTION("""COMPUTED_VALUE"""),5.0)</f>
        <v>5</v>
      </c>
      <c r="P248" s="189">
        <f>IFERROR(__xludf.DUMMYFUNCTION("""COMPUTED_VALUE"""),7.0)</f>
        <v>7</v>
      </c>
      <c r="Q248" s="189">
        <f>IFERROR(__xludf.DUMMYFUNCTION("""COMPUTED_VALUE"""),3.0)</f>
        <v>3</v>
      </c>
      <c r="R248" s="189">
        <f>IFERROR(__xludf.DUMMYFUNCTION("""COMPUTED_VALUE"""),6.0)</f>
        <v>6</v>
      </c>
      <c r="S248" s="189">
        <f>IFERROR(__xludf.DUMMYFUNCTION("""COMPUTED_VALUE"""),1.0)</f>
        <v>1</v>
      </c>
      <c r="T248" s="189">
        <f>IFERROR(__xludf.DUMMYFUNCTION("""COMPUTED_VALUE"""),1.0)</f>
        <v>1</v>
      </c>
      <c r="U248" s="189">
        <f>IFERROR(__xludf.DUMMYFUNCTION("""COMPUTED_VALUE"""),6.0)</f>
        <v>6</v>
      </c>
      <c r="V248" s="189">
        <f>IFERROR(__xludf.DUMMYFUNCTION("""COMPUTED_VALUE"""),3.0)</f>
        <v>3</v>
      </c>
      <c r="W248" s="189">
        <f>IFERROR(__xludf.DUMMYFUNCTION("""COMPUTED_VALUE"""),7.0)</f>
        <v>7</v>
      </c>
      <c r="X248" s="189">
        <f>IFERROR(__xludf.DUMMYFUNCTION("""COMPUTED_VALUE"""),5.0)</f>
        <v>5</v>
      </c>
      <c r="Y248" s="208" t="str">
        <f>IFERROR(__xludf.DUMMYFUNCTION("""COMPUTED_VALUE"""),"2025-06-28T00:00:00.000Z")</f>
        <v>2025-06-28T00:00:00.000Z</v>
      </c>
      <c r="Z248" s="189" t="s">
        <v>102</v>
      </c>
      <c r="AA248" s="189" t="s">
        <v>465</v>
      </c>
    </row>
    <row r="249">
      <c r="A249" s="189">
        <f>IFERROR(__xludf.DUMMYFUNCTION("""COMPUTED_VALUE"""),207805.0)</f>
        <v>207805</v>
      </c>
      <c r="B249" s="189">
        <f>IFERROR(__xludf.DUMMYFUNCTION("""COMPUTED_VALUE"""),91581.0)</f>
        <v>91581</v>
      </c>
      <c r="C249" s="189" t="str">
        <f>IFERROR(__xludf.DUMMYFUNCTION("""COMPUTED_VALUE"""),"BtcTurk GameFest - Stage 3")</f>
        <v>BtcTurk GameFest - Stage 3</v>
      </c>
      <c r="D249" s="189" t="str">
        <f>IFERROR(__xludf.DUMMYFUNCTION("""COMPUTED_VALUE"""),"Sunset")</f>
        <v>Sunset</v>
      </c>
      <c r="E249" s="189" t="str">
        <f>IFERROR(__xludf.DUMMYFUNCTION("""COMPUTED_VALUE"""),"Gentle Mates")</f>
        <v>Gentle Mates</v>
      </c>
      <c r="F249" s="189" t="str">
        <f>IFERROR(__xludf.DUMMYFUNCTION("""COMPUTED_VALUE"""),"BBL PCIFIC")</f>
        <v>BBL PCIFIC</v>
      </c>
      <c r="G249" s="189" t="str">
        <f>IFERROR(__xludf.DUMMYFUNCTION("""COMPUTED_VALUE"""),"Cypher,Sova,Viper,Omen,Neon")</f>
        <v>Cypher,Sova,Viper,Omen,Neon</v>
      </c>
      <c r="H249" s="189" t="str">
        <f>IFERROR(__xludf.DUMMYFUNCTION("""COMPUTED_VALUE"""),"Breach,Cypher,Sova,Omen,Neon")</f>
        <v>Breach,Cypher,Sova,Omen,Neon</v>
      </c>
      <c r="I249" s="189">
        <f>IFERROR(__xludf.DUMMYFUNCTION("""COMPUTED_VALUE"""),13.0)</f>
        <v>13</v>
      </c>
      <c r="J249" s="189">
        <f>IFERROR(__xludf.DUMMYFUNCTION("""COMPUTED_VALUE"""),11.0)</f>
        <v>11</v>
      </c>
      <c r="K249" s="189">
        <f>IFERROR(__xludf.DUMMYFUNCTION("""COMPUTED_VALUE"""),4.0)</f>
        <v>4</v>
      </c>
      <c r="L249" s="189">
        <f>IFERROR(__xludf.DUMMYFUNCTION("""COMPUTED_VALUE"""),8.0)</f>
        <v>8</v>
      </c>
      <c r="M249" s="189">
        <f>IFERROR(__xludf.DUMMYFUNCTION("""COMPUTED_VALUE"""),1.0)</f>
        <v>1</v>
      </c>
      <c r="N249" s="189">
        <f>IFERROR(__xludf.DUMMYFUNCTION("""COMPUTED_VALUE"""),0.0)</f>
        <v>0</v>
      </c>
      <c r="O249" s="189">
        <f>IFERROR(__xludf.DUMMYFUNCTION("""COMPUTED_VALUE"""),9.0)</f>
        <v>9</v>
      </c>
      <c r="P249" s="189">
        <f>IFERROR(__xludf.DUMMYFUNCTION("""COMPUTED_VALUE"""),3.0)</f>
        <v>3</v>
      </c>
      <c r="Q249" s="189">
        <f>IFERROR(__xludf.DUMMYFUNCTION("""COMPUTED_VALUE"""),4.0)</f>
        <v>4</v>
      </c>
      <c r="R249" s="189">
        <f>IFERROR(__xludf.DUMMYFUNCTION("""COMPUTED_VALUE"""),8.0)</f>
        <v>8</v>
      </c>
      <c r="S249" s="189">
        <f>IFERROR(__xludf.DUMMYFUNCTION("""COMPUTED_VALUE"""),1.0)</f>
        <v>1</v>
      </c>
      <c r="T249" s="189">
        <f>IFERROR(__xludf.DUMMYFUNCTION("""COMPUTED_VALUE"""),0.0)</f>
        <v>0</v>
      </c>
      <c r="U249" s="189">
        <f>IFERROR(__xludf.DUMMYFUNCTION("""COMPUTED_VALUE"""),8.0)</f>
        <v>8</v>
      </c>
      <c r="V249" s="189">
        <f>IFERROR(__xludf.DUMMYFUNCTION("""COMPUTED_VALUE"""),4.0)</f>
        <v>4</v>
      </c>
      <c r="W249" s="189">
        <f>IFERROR(__xludf.DUMMYFUNCTION("""COMPUTED_VALUE"""),3.0)</f>
        <v>3</v>
      </c>
      <c r="X249" s="189">
        <f>IFERROR(__xludf.DUMMYFUNCTION("""COMPUTED_VALUE"""),9.0)</f>
        <v>9</v>
      </c>
      <c r="Y249" s="208" t="str">
        <f>IFERROR(__xludf.DUMMYFUNCTION("""COMPUTED_VALUE"""),"2025-06-28T00:00:00.000Z")</f>
        <v>2025-06-28T00:00:00.000Z</v>
      </c>
      <c r="Z249" s="189" t="s">
        <v>466</v>
      </c>
      <c r="AA249" s="189" t="s">
        <v>467</v>
      </c>
    </row>
    <row r="250">
      <c r="A250" s="189">
        <f>IFERROR(__xludf.DUMMYFUNCTION("""COMPUTED_VALUE"""),207508.0)</f>
        <v>207508</v>
      </c>
      <c r="B250" s="189">
        <f>IFERROR(__xludf.DUMMYFUNCTION("""COMPUTED_VALUE"""),91431.0)</f>
        <v>91431</v>
      </c>
      <c r="C250" s="189" t="str">
        <f>IFERROR(__xludf.DUMMYFUNCTION("""COMPUTED_VALUE"""),"Challengers League 2025 DACH: Evolution Stage 3 - Group Stage")</f>
        <v>Challengers League 2025 DACH: Evolution Stage 3 - Group Stage</v>
      </c>
      <c r="D250" s="189" t="str">
        <f>IFERROR(__xludf.DUMMYFUNCTION("""COMPUTED_VALUE"""),"Lotus")</f>
        <v>Lotus</v>
      </c>
      <c r="E250" s="189" t="str">
        <f>IFERROR(__xludf.DUMMYFUNCTION("""COMPUTED_VALUE"""),"Eintracht Frankfurt")</f>
        <v>Eintracht Frankfurt</v>
      </c>
      <c r="F250" s="189" t="str">
        <f>IFERROR(__xludf.DUMMYFUNCTION("""COMPUTED_VALUE"""),"ALTERNATE aTTaX")</f>
        <v>ALTERNATE aTTaX</v>
      </c>
      <c r="G250" s="189" t="str">
        <f>IFERROR(__xludf.DUMMYFUNCTION("""COMPUTED_VALUE"""),"Cypher,Viper,Omen,Yoru,Fade")</f>
        <v>Cypher,Viper,Omen,Yoru,Fade</v>
      </c>
      <c r="H250" s="189" t="str">
        <f>IFERROR(__xludf.DUMMYFUNCTION("""COMPUTED_VALUE"""),"Raze,Killjoy,Viper,Omen,Fade")</f>
        <v>Raze,Killjoy,Viper,Omen,Fade</v>
      </c>
      <c r="I250" s="189">
        <f>IFERROR(__xludf.DUMMYFUNCTION("""COMPUTED_VALUE"""),13.0)</f>
        <v>13</v>
      </c>
      <c r="J250" s="189">
        <f>IFERROR(__xludf.DUMMYFUNCTION("""COMPUTED_VALUE"""),7.0)</f>
        <v>7</v>
      </c>
      <c r="K250" s="189">
        <f>IFERROR(__xludf.DUMMYFUNCTION("""COMPUTED_VALUE"""),7.0)</f>
        <v>7</v>
      </c>
      <c r="L250" s="189">
        <f>IFERROR(__xludf.DUMMYFUNCTION("""COMPUTED_VALUE"""),5.0)</f>
        <v>5</v>
      </c>
      <c r="M250" s="189">
        <f>IFERROR(__xludf.DUMMYFUNCTION("""COMPUTED_VALUE"""),1.0)</f>
        <v>1</v>
      </c>
      <c r="N250" s="189">
        <f>IFERROR(__xludf.DUMMYFUNCTION("""COMPUTED_VALUE"""),0.0)</f>
        <v>0</v>
      </c>
      <c r="O250" s="189">
        <f>IFERROR(__xludf.DUMMYFUNCTION("""COMPUTED_VALUE"""),7.0)</f>
        <v>7</v>
      </c>
      <c r="P250" s="189">
        <f>IFERROR(__xludf.DUMMYFUNCTION("""COMPUTED_VALUE"""),5.0)</f>
        <v>5</v>
      </c>
      <c r="Q250" s="189">
        <f>IFERROR(__xludf.DUMMYFUNCTION("""COMPUTED_VALUE"""),6.0)</f>
        <v>6</v>
      </c>
      <c r="R250" s="189">
        <f>IFERROR(__xludf.DUMMYFUNCTION("""COMPUTED_VALUE"""),2.0)</f>
        <v>2</v>
      </c>
      <c r="S250" s="189">
        <f>IFERROR(__xludf.DUMMYFUNCTION("""COMPUTED_VALUE"""),1.0)</f>
        <v>1</v>
      </c>
      <c r="T250" s="189">
        <f>IFERROR(__xludf.DUMMYFUNCTION("""COMPUTED_VALUE"""),0.0)</f>
        <v>0</v>
      </c>
      <c r="U250" s="189">
        <f>IFERROR(__xludf.DUMMYFUNCTION("""COMPUTED_VALUE"""),2.0)</f>
        <v>2</v>
      </c>
      <c r="V250" s="189">
        <f>IFERROR(__xludf.DUMMYFUNCTION("""COMPUTED_VALUE"""),6.0)</f>
        <v>6</v>
      </c>
      <c r="W250" s="189">
        <f>IFERROR(__xludf.DUMMYFUNCTION("""COMPUTED_VALUE"""),5.0)</f>
        <v>5</v>
      </c>
      <c r="X250" s="189">
        <f>IFERROR(__xludf.DUMMYFUNCTION("""COMPUTED_VALUE"""),7.0)</f>
        <v>7</v>
      </c>
      <c r="Y250" s="208" t="str">
        <f>IFERROR(__xludf.DUMMYFUNCTION("""COMPUTED_VALUE"""),"2025-06-28T00:00:00.000Z")</f>
        <v>2025-06-28T00:00:00.000Z</v>
      </c>
      <c r="Z250" s="189" t="s">
        <v>104</v>
      </c>
      <c r="AA250" s="189" t="s">
        <v>183</v>
      </c>
    </row>
    <row r="251">
      <c r="A251" s="189">
        <f>IFERROR(__xludf.DUMMYFUNCTION("""COMPUTED_VALUE"""),207804.0)</f>
        <v>207804</v>
      </c>
      <c r="B251" s="189">
        <f>IFERROR(__xludf.DUMMYFUNCTION("""COMPUTED_VALUE"""),91581.0)</f>
        <v>91581</v>
      </c>
      <c r="C251" s="189" t="str">
        <f>IFERROR(__xludf.DUMMYFUNCTION("""COMPUTED_VALUE"""),"BtcTurk GameFest - Stage 3")</f>
        <v>BtcTurk GameFest - Stage 3</v>
      </c>
      <c r="D251" s="189" t="str">
        <f>IFERROR(__xludf.DUMMYFUNCTION("""COMPUTED_VALUE"""),"Haven")</f>
        <v>Haven</v>
      </c>
      <c r="E251" s="189" t="str">
        <f>IFERROR(__xludf.DUMMYFUNCTION("""COMPUTED_VALUE"""),"Gentle Mates")</f>
        <v>Gentle Mates</v>
      </c>
      <c r="F251" s="189" t="str">
        <f>IFERROR(__xludf.DUMMYFUNCTION("""COMPUTED_VALUE"""),"BBL PCIFIC")</f>
        <v>BBL PCIFIC</v>
      </c>
      <c r="G251" s="189" t="str">
        <f>IFERROR(__xludf.DUMMYFUNCTION("""COMPUTED_VALUE"""),"Sova,Killjoy,Viper,Omen,Neon")</f>
        <v>Sova,Killjoy,Viper,Omen,Neon</v>
      </c>
      <c r="H251" s="189" t="str">
        <f>IFERROR(__xludf.DUMMYFUNCTION("""COMPUTED_VALUE"""),"Breach,Cypher,Sova,Omen,Jett")</f>
        <v>Breach,Cypher,Sova,Omen,Jett</v>
      </c>
      <c r="I251" s="189">
        <f>IFERROR(__xludf.DUMMYFUNCTION("""COMPUTED_VALUE"""),11.0)</f>
        <v>11</v>
      </c>
      <c r="J251" s="189">
        <f>IFERROR(__xludf.DUMMYFUNCTION("""COMPUTED_VALUE"""),13.0)</f>
        <v>13</v>
      </c>
      <c r="K251" s="189">
        <f>IFERROR(__xludf.DUMMYFUNCTION("""COMPUTED_VALUE"""),3.0)</f>
        <v>3</v>
      </c>
      <c r="L251" s="189">
        <f>IFERROR(__xludf.DUMMYFUNCTION("""COMPUTED_VALUE"""),9.0)</f>
        <v>9</v>
      </c>
      <c r="M251" s="189">
        <f>IFERROR(__xludf.DUMMYFUNCTION("""COMPUTED_VALUE"""),1.0)</f>
        <v>1</v>
      </c>
      <c r="N251" s="189">
        <f>IFERROR(__xludf.DUMMYFUNCTION("""COMPUTED_VALUE"""),0.0)</f>
        <v>0</v>
      </c>
      <c r="O251" s="189">
        <f>IFERROR(__xludf.DUMMYFUNCTION("""COMPUTED_VALUE"""),8.0)</f>
        <v>8</v>
      </c>
      <c r="P251" s="189">
        <f>IFERROR(__xludf.DUMMYFUNCTION("""COMPUTED_VALUE"""),4.0)</f>
        <v>4</v>
      </c>
      <c r="Q251" s="189">
        <f>IFERROR(__xludf.DUMMYFUNCTION("""COMPUTED_VALUE"""),3.0)</f>
        <v>3</v>
      </c>
      <c r="R251" s="189">
        <f>IFERROR(__xludf.DUMMYFUNCTION("""COMPUTED_VALUE"""),9.0)</f>
        <v>9</v>
      </c>
      <c r="S251" s="189">
        <f>IFERROR(__xludf.DUMMYFUNCTION("""COMPUTED_VALUE"""),1.0)</f>
        <v>1</v>
      </c>
      <c r="T251" s="189">
        <f>IFERROR(__xludf.DUMMYFUNCTION("""COMPUTED_VALUE"""),0.0)</f>
        <v>0</v>
      </c>
      <c r="U251" s="189">
        <f>IFERROR(__xludf.DUMMYFUNCTION("""COMPUTED_VALUE"""),9.0)</f>
        <v>9</v>
      </c>
      <c r="V251" s="189">
        <f>IFERROR(__xludf.DUMMYFUNCTION("""COMPUTED_VALUE"""),3.0)</f>
        <v>3</v>
      </c>
      <c r="W251" s="189">
        <f>IFERROR(__xludf.DUMMYFUNCTION("""COMPUTED_VALUE"""),4.0)</f>
        <v>4</v>
      </c>
      <c r="X251" s="189">
        <f>IFERROR(__xludf.DUMMYFUNCTION("""COMPUTED_VALUE"""),8.0)</f>
        <v>8</v>
      </c>
      <c r="Y251" s="208" t="str">
        <f>IFERROR(__xludf.DUMMYFUNCTION("""COMPUTED_VALUE"""),"2025-06-28T00:00:00.000Z")</f>
        <v>2025-06-28T00:00:00.000Z</v>
      </c>
      <c r="Z251" s="189" t="s">
        <v>468</v>
      </c>
      <c r="AA251" s="189" t="s">
        <v>186</v>
      </c>
    </row>
    <row r="252">
      <c r="A252" s="189">
        <f>IFERROR(__xludf.DUMMYFUNCTION("""COMPUTED_VALUE"""),205625.0)</f>
        <v>205625</v>
      </c>
      <c r="B252" s="189">
        <f>IFERROR(__xludf.DUMMYFUNCTION("""COMPUTED_VALUE"""),90707.0)</f>
        <v>90707</v>
      </c>
      <c r="C252" s="189" t="str">
        <f>IFERROR(__xludf.DUMMYFUNCTION("""COMPUTED_VALUE"""),"Challengers League 2025 MENA: Resilience - GPI - Split 2 - Group Stage")</f>
        <v>Challengers League 2025 MENA: Resilience - GPI - Split 2 - Group Stage</v>
      </c>
      <c r="D252" s="189" t="str">
        <f>IFERROR(__xludf.DUMMYFUNCTION("""COMPUTED_VALUE"""),"Lotus")</f>
        <v>Lotus</v>
      </c>
      <c r="E252" s="189" t="str">
        <f>IFERROR(__xludf.DUMMYFUNCTION("""COMPUTED_VALUE"""),"Twisted Minds Esports")</f>
        <v>Twisted Minds Esports</v>
      </c>
      <c r="F252" s="189" t="str">
        <f>IFERROR(__xludf.DUMMYFUNCTION("""COMPUTED_VALUE"""),"VillianArc")</f>
        <v>VillianArc</v>
      </c>
      <c r="G252" s="189" t="str">
        <f>IFERROR(__xludf.DUMMYFUNCTION("""COMPUTED_VALUE"""),"Raze,Killjoy,Viper,Omen,Fade")</f>
        <v>Raze,Killjoy,Viper,Omen,Fade</v>
      </c>
      <c r="H252" s="189" t="str">
        <f>IFERROR(__xludf.DUMMYFUNCTION("""COMPUTED_VALUE"""),"Raze,Omen,Yoru,Fade,Vyse")</f>
        <v>Raze,Omen,Yoru,Fade,Vyse</v>
      </c>
      <c r="I252" s="189">
        <f>IFERROR(__xludf.DUMMYFUNCTION("""COMPUTED_VALUE"""),13.0)</f>
        <v>13</v>
      </c>
      <c r="J252" s="189">
        <f>IFERROR(__xludf.DUMMYFUNCTION("""COMPUTED_VALUE"""),6.0)</f>
        <v>6</v>
      </c>
      <c r="K252" s="189">
        <f>IFERROR(__xludf.DUMMYFUNCTION("""COMPUTED_VALUE"""),6.0)</f>
        <v>6</v>
      </c>
      <c r="L252" s="189">
        <f>IFERROR(__xludf.DUMMYFUNCTION("""COMPUTED_VALUE"""),6.0)</f>
        <v>6</v>
      </c>
      <c r="M252" s="189">
        <f>IFERROR(__xludf.DUMMYFUNCTION("""COMPUTED_VALUE"""),1.0)</f>
        <v>1</v>
      </c>
      <c r="N252" s="189">
        <f>IFERROR(__xludf.DUMMYFUNCTION("""COMPUTED_VALUE"""),0.0)</f>
        <v>0</v>
      </c>
      <c r="O252" s="189">
        <f>IFERROR(__xludf.DUMMYFUNCTION("""COMPUTED_VALUE"""),7.0)</f>
        <v>7</v>
      </c>
      <c r="P252" s="189">
        <f>IFERROR(__xludf.DUMMYFUNCTION("""COMPUTED_VALUE"""),0.0)</f>
        <v>0</v>
      </c>
      <c r="Q252" s="189">
        <f>IFERROR(__xludf.DUMMYFUNCTION("""COMPUTED_VALUE"""),6.0)</f>
        <v>6</v>
      </c>
      <c r="R252" s="189">
        <f>IFERROR(__xludf.DUMMYFUNCTION("""COMPUTED_VALUE"""),6.0)</f>
        <v>6</v>
      </c>
      <c r="S252" s="189">
        <f>IFERROR(__xludf.DUMMYFUNCTION("""COMPUTED_VALUE"""),1.0)</f>
        <v>1</v>
      </c>
      <c r="T252" s="189">
        <f>IFERROR(__xludf.DUMMYFUNCTION("""COMPUTED_VALUE"""),0.0)</f>
        <v>0</v>
      </c>
      <c r="U252" s="189">
        <f>IFERROR(__xludf.DUMMYFUNCTION("""COMPUTED_VALUE"""),6.0)</f>
        <v>6</v>
      </c>
      <c r="V252" s="189">
        <f>IFERROR(__xludf.DUMMYFUNCTION("""COMPUTED_VALUE"""),6.0)</f>
        <v>6</v>
      </c>
      <c r="W252" s="189">
        <f>IFERROR(__xludf.DUMMYFUNCTION("""COMPUTED_VALUE"""),0.0)</f>
        <v>0</v>
      </c>
      <c r="X252" s="189">
        <f>IFERROR(__xludf.DUMMYFUNCTION("""COMPUTED_VALUE"""),7.0)</f>
        <v>7</v>
      </c>
      <c r="Y252" s="208" t="str">
        <f>IFERROR(__xludf.DUMMYFUNCTION("""COMPUTED_VALUE"""),"2025-06-28T00:00:00.000Z")</f>
        <v>2025-06-28T00:00:00.000Z</v>
      </c>
      <c r="Z252" s="189" t="s">
        <v>164</v>
      </c>
      <c r="AA252" s="189" t="s">
        <v>184</v>
      </c>
    </row>
    <row r="253">
      <c r="A253" s="189">
        <f>IFERROR(__xludf.DUMMYFUNCTION("""COMPUTED_VALUE"""),207803.0)</f>
        <v>207803</v>
      </c>
      <c r="B253" s="189">
        <f>IFERROR(__xludf.DUMMYFUNCTION("""COMPUTED_VALUE"""),91581.0)</f>
        <v>91581</v>
      </c>
      <c r="C253" s="189" t="str">
        <f>IFERROR(__xludf.DUMMYFUNCTION("""COMPUTED_VALUE"""),"BtcTurk GameFest - Stage 3")</f>
        <v>BtcTurk GameFest - Stage 3</v>
      </c>
      <c r="D253" s="189" t="str">
        <f>IFERROR(__xludf.DUMMYFUNCTION("""COMPUTED_VALUE"""),"Lotus")</f>
        <v>Lotus</v>
      </c>
      <c r="E253" s="189" t="str">
        <f>IFERROR(__xludf.DUMMYFUNCTION("""COMPUTED_VALUE"""),"Gentle Mates")</f>
        <v>Gentle Mates</v>
      </c>
      <c r="F253" s="189" t="str">
        <f>IFERROR(__xludf.DUMMYFUNCTION("""COMPUTED_VALUE"""),"BBL PCIFIC")</f>
        <v>BBL PCIFIC</v>
      </c>
      <c r="G253" s="189" t="str">
        <f>IFERROR(__xludf.DUMMYFUNCTION("""COMPUTED_VALUE"""),"Viper,Omen,Yoru,Chamber,Fade")</f>
        <v>Viper,Omen,Yoru,Chamber,Fade</v>
      </c>
      <c r="H253" s="189" t="str">
        <f>IFERROR(__xludf.DUMMYFUNCTION("""COMPUTED_VALUE"""),"Breach,Cypher,Sova,Omen,Neon")</f>
        <v>Breach,Cypher,Sova,Omen,Neon</v>
      </c>
      <c r="I253" s="189">
        <f>IFERROR(__xludf.DUMMYFUNCTION("""COMPUTED_VALUE"""),13.0)</f>
        <v>13</v>
      </c>
      <c r="J253" s="189">
        <f>IFERROR(__xludf.DUMMYFUNCTION("""COMPUTED_VALUE"""),7.0)</f>
        <v>7</v>
      </c>
      <c r="K253" s="189">
        <f>IFERROR(__xludf.DUMMYFUNCTION("""COMPUTED_VALUE"""),7.0)</f>
        <v>7</v>
      </c>
      <c r="L253" s="189">
        <f>IFERROR(__xludf.DUMMYFUNCTION("""COMPUTED_VALUE"""),5.0)</f>
        <v>5</v>
      </c>
      <c r="M253" s="189">
        <f>IFERROR(__xludf.DUMMYFUNCTION("""COMPUTED_VALUE"""),1.0)</f>
        <v>1</v>
      </c>
      <c r="N253" s="189">
        <f>IFERROR(__xludf.DUMMYFUNCTION("""COMPUTED_VALUE"""),1.0)</f>
        <v>1</v>
      </c>
      <c r="O253" s="189">
        <f>IFERROR(__xludf.DUMMYFUNCTION("""COMPUTED_VALUE"""),7.0)</f>
        <v>7</v>
      </c>
      <c r="P253" s="189">
        <f>IFERROR(__xludf.DUMMYFUNCTION("""COMPUTED_VALUE"""),5.0)</f>
        <v>5</v>
      </c>
      <c r="Q253" s="189">
        <f>IFERROR(__xludf.DUMMYFUNCTION("""COMPUTED_VALUE"""),6.0)</f>
        <v>6</v>
      </c>
      <c r="R253" s="189">
        <f>IFERROR(__xludf.DUMMYFUNCTION("""COMPUTED_VALUE"""),2.0)</f>
        <v>2</v>
      </c>
      <c r="S253" s="189">
        <f>IFERROR(__xludf.DUMMYFUNCTION("""COMPUTED_VALUE"""),0.0)</f>
        <v>0</v>
      </c>
      <c r="T253" s="189">
        <f>IFERROR(__xludf.DUMMYFUNCTION("""COMPUTED_VALUE"""),0.0)</f>
        <v>0</v>
      </c>
      <c r="U253" s="189">
        <f>IFERROR(__xludf.DUMMYFUNCTION("""COMPUTED_VALUE"""),2.0)</f>
        <v>2</v>
      </c>
      <c r="V253" s="189">
        <f>IFERROR(__xludf.DUMMYFUNCTION("""COMPUTED_VALUE"""),6.0)</f>
        <v>6</v>
      </c>
      <c r="W253" s="189">
        <f>IFERROR(__xludf.DUMMYFUNCTION("""COMPUTED_VALUE"""),5.0)</f>
        <v>5</v>
      </c>
      <c r="X253" s="189">
        <f>IFERROR(__xludf.DUMMYFUNCTION("""COMPUTED_VALUE"""),7.0)</f>
        <v>7</v>
      </c>
      <c r="Y253" s="208" t="str">
        <f>IFERROR(__xludf.DUMMYFUNCTION("""COMPUTED_VALUE"""),"2025-06-28T00:00:00.000Z")</f>
        <v>2025-06-28T00:00:00.000Z</v>
      </c>
      <c r="Z253" s="189" t="s">
        <v>469</v>
      </c>
      <c r="AA253" s="189" t="s">
        <v>467</v>
      </c>
    </row>
    <row r="254">
      <c r="A254" s="189">
        <f>IFERROR(__xludf.DUMMYFUNCTION("""COMPUTED_VALUE"""),205624.0)</f>
        <v>205624</v>
      </c>
      <c r="B254" s="189">
        <f>IFERROR(__xludf.DUMMYFUNCTION("""COMPUTED_VALUE"""),90707.0)</f>
        <v>90707</v>
      </c>
      <c r="C254" s="189" t="str">
        <f>IFERROR(__xludf.DUMMYFUNCTION("""COMPUTED_VALUE"""),"Challengers League 2025 MENA: Resilience - GPI - Split 2 - Group Stage")</f>
        <v>Challengers League 2025 MENA: Resilience - GPI - Split 2 - Group Stage</v>
      </c>
      <c r="D254" s="189" t="str">
        <f>IFERROR(__xludf.DUMMYFUNCTION("""COMPUTED_VALUE"""),"Icebox")</f>
        <v>Icebox</v>
      </c>
      <c r="E254" s="189" t="str">
        <f>IFERROR(__xludf.DUMMYFUNCTION("""COMPUTED_VALUE"""),"Twisted Minds Esports")</f>
        <v>Twisted Minds Esports</v>
      </c>
      <c r="F254" s="189" t="str">
        <f>IFERROR(__xludf.DUMMYFUNCTION("""COMPUTED_VALUE"""),"VillianArc")</f>
        <v>VillianArc</v>
      </c>
      <c r="G254" s="189" t="str">
        <f>IFERROR(__xludf.DUMMYFUNCTION("""COMPUTED_VALUE"""),"Sova,Killjoy,Viper,Jett,Harbor")</f>
        <v>Sova,Killjoy,Viper,Jett,Harbor</v>
      </c>
      <c r="H254" s="189" t="str">
        <f>IFERROR(__xludf.DUMMYFUNCTION("""COMPUTED_VALUE"""),"Sova,Killjoy,Viper,Reyna,Omen")</f>
        <v>Sova,Killjoy,Viper,Reyna,Omen</v>
      </c>
      <c r="I254" s="189">
        <f>IFERROR(__xludf.DUMMYFUNCTION("""COMPUTED_VALUE"""),13.0)</f>
        <v>13</v>
      </c>
      <c r="J254" s="189">
        <f>IFERROR(__xludf.DUMMYFUNCTION("""COMPUTED_VALUE"""),4.0)</f>
        <v>4</v>
      </c>
      <c r="K254" s="189">
        <f>IFERROR(__xludf.DUMMYFUNCTION("""COMPUTED_VALUE"""),10.0)</f>
        <v>10</v>
      </c>
      <c r="L254" s="189">
        <f>IFERROR(__xludf.DUMMYFUNCTION("""COMPUTED_VALUE"""),2.0)</f>
        <v>2</v>
      </c>
      <c r="M254" s="189">
        <f>IFERROR(__xludf.DUMMYFUNCTION("""COMPUTED_VALUE"""),0.0)</f>
        <v>0</v>
      </c>
      <c r="N254" s="189">
        <f>IFERROR(__xludf.DUMMYFUNCTION("""COMPUTED_VALUE"""),1.0)</f>
        <v>1</v>
      </c>
      <c r="O254" s="189">
        <f>IFERROR(__xludf.DUMMYFUNCTION("""COMPUTED_VALUE"""),3.0)</f>
        <v>3</v>
      </c>
      <c r="P254" s="189">
        <f>IFERROR(__xludf.DUMMYFUNCTION("""COMPUTED_VALUE"""),2.0)</f>
        <v>2</v>
      </c>
      <c r="Q254" s="189">
        <f>IFERROR(__xludf.DUMMYFUNCTION("""COMPUTED_VALUE"""),10.0)</f>
        <v>10</v>
      </c>
      <c r="R254" s="189">
        <f>IFERROR(__xludf.DUMMYFUNCTION("""COMPUTED_VALUE"""),2.0)</f>
        <v>2</v>
      </c>
      <c r="S254" s="189">
        <f>IFERROR(__xludf.DUMMYFUNCTION("""COMPUTED_VALUE"""),0.0)</f>
        <v>0</v>
      </c>
      <c r="T254" s="189">
        <f>IFERROR(__xludf.DUMMYFUNCTION("""COMPUTED_VALUE"""),1.0)</f>
        <v>1</v>
      </c>
      <c r="U254" s="189">
        <f>IFERROR(__xludf.DUMMYFUNCTION("""COMPUTED_VALUE"""),2.0)</f>
        <v>2</v>
      </c>
      <c r="V254" s="189">
        <f>IFERROR(__xludf.DUMMYFUNCTION("""COMPUTED_VALUE"""),10.0)</f>
        <v>10</v>
      </c>
      <c r="W254" s="189">
        <f>IFERROR(__xludf.DUMMYFUNCTION("""COMPUTED_VALUE"""),2.0)</f>
        <v>2</v>
      </c>
      <c r="X254" s="189">
        <f>IFERROR(__xludf.DUMMYFUNCTION("""COMPUTED_VALUE"""),3.0)</f>
        <v>3</v>
      </c>
      <c r="Y254" s="208" t="str">
        <f>IFERROR(__xludf.DUMMYFUNCTION("""COMPUTED_VALUE"""),"2025-06-28T00:00:00.000Z")</f>
        <v>2025-06-28T00:00:00.000Z</v>
      </c>
      <c r="Z254" s="189" t="s">
        <v>163</v>
      </c>
      <c r="AA254" s="189" t="s">
        <v>184</v>
      </c>
    </row>
    <row r="255">
      <c r="A255" s="189">
        <f>IFERROR(__xludf.DUMMYFUNCTION("""COMPUTED_VALUE"""),208061.0)</f>
        <v>208061</v>
      </c>
      <c r="B255" s="189">
        <f>IFERROR(__xludf.DUMMYFUNCTION("""COMPUTED_VALUE"""),91667.0)</f>
        <v>91667</v>
      </c>
      <c r="C255" s="189" t="str">
        <f>IFERROR(__xludf.DUMMYFUNCTION("""COMPUTED_VALUE"""),"Challengers League 2025 NORTH EAST: Split 3 - East Qualifier")</f>
        <v>Challengers League 2025 NORTH EAST: Split 3 - East Qualifier</v>
      </c>
      <c r="D255" s="189" t="str">
        <f>IFERROR(__xludf.DUMMYFUNCTION("""COMPUTED_VALUE"""),"Sunset")</f>
        <v>Sunset</v>
      </c>
      <c r="E255" s="189" t="str">
        <f>IFERROR(__xludf.DUMMYFUNCTION("""COMPUTED_VALUE"""),"Boars Gaming")</f>
        <v>Boars Gaming</v>
      </c>
      <c r="F255" s="189" t="str">
        <f>IFERROR(__xludf.DUMMYFUNCTION("""COMPUTED_VALUE"""),"FULL BOX 200")</f>
        <v>FULL BOX 200</v>
      </c>
      <c r="G255" s="189" t="str">
        <f>IFERROR(__xludf.DUMMYFUNCTION("""COMPUTED_VALUE"""),"Cypher,Sova,Omen,KAY/O,Neon")</f>
        <v>Cypher,Sova,Omen,KAY/O,Neon</v>
      </c>
      <c r="H255" s="189" t="str">
        <f>IFERROR(__xludf.DUMMYFUNCTION("""COMPUTED_VALUE"""),"Breach,Cypher,Sova,Omen,Neon")</f>
        <v>Breach,Cypher,Sova,Omen,Neon</v>
      </c>
      <c r="I255" s="189">
        <f>IFERROR(__xludf.DUMMYFUNCTION("""COMPUTED_VALUE"""),13.0)</f>
        <v>13</v>
      </c>
      <c r="J255" s="189">
        <f>IFERROR(__xludf.DUMMYFUNCTION("""COMPUTED_VALUE"""),9.0)</f>
        <v>9</v>
      </c>
      <c r="K255" s="189">
        <f>IFERROR(__xludf.DUMMYFUNCTION("""COMPUTED_VALUE"""),7.0)</f>
        <v>7</v>
      </c>
      <c r="L255" s="189">
        <f>IFERROR(__xludf.DUMMYFUNCTION("""COMPUTED_VALUE"""),5.0)</f>
        <v>5</v>
      </c>
      <c r="M255" s="189">
        <f>IFERROR(__xludf.DUMMYFUNCTION("""COMPUTED_VALUE"""),1.0)</f>
        <v>1</v>
      </c>
      <c r="N255" s="189">
        <f>IFERROR(__xludf.DUMMYFUNCTION("""COMPUTED_VALUE"""),0.0)</f>
        <v>0</v>
      </c>
      <c r="O255" s="189">
        <f>IFERROR(__xludf.DUMMYFUNCTION("""COMPUTED_VALUE"""),7.0)</f>
        <v>7</v>
      </c>
      <c r="P255" s="189">
        <f>IFERROR(__xludf.DUMMYFUNCTION("""COMPUTED_VALUE"""),5.0)</f>
        <v>5</v>
      </c>
      <c r="Q255" s="189">
        <f>IFERROR(__xludf.DUMMYFUNCTION("""COMPUTED_VALUE"""),6.0)</f>
        <v>6</v>
      </c>
      <c r="R255" s="189">
        <f>IFERROR(__xludf.DUMMYFUNCTION("""COMPUTED_VALUE"""),4.0)</f>
        <v>4</v>
      </c>
      <c r="S255" s="189">
        <f>IFERROR(__xludf.DUMMYFUNCTION("""COMPUTED_VALUE"""),1.0)</f>
        <v>1</v>
      </c>
      <c r="T255" s="189">
        <f>IFERROR(__xludf.DUMMYFUNCTION("""COMPUTED_VALUE"""),0.0)</f>
        <v>0</v>
      </c>
      <c r="U255" s="189">
        <f>IFERROR(__xludf.DUMMYFUNCTION("""COMPUTED_VALUE"""),4.0)</f>
        <v>4</v>
      </c>
      <c r="V255" s="189">
        <f>IFERROR(__xludf.DUMMYFUNCTION("""COMPUTED_VALUE"""),6.0)</f>
        <v>6</v>
      </c>
      <c r="W255" s="189">
        <f>IFERROR(__xludf.DUMMYFUNCTION("""COMPUTED_VALUE"""),5.0)</f>
        <v>5</v>
      </c>
      <c r="X255" s="189">
        <f>IFERROR(__xludf.DUMMYFUNCTION("""COMPUTED_VALUE"""),7.0)</f>
        <v>7</v>
      </c>
      <c r="Y255" s="208" t="str">
        <f>IFERROR(__xludf.DUMMYFUNCTION("""COMPUTED_VALUE"""),"2025-06-28T00:00:00.000Z")</f>
        <v>2025-06-28T00:00:00.000Z</v>
      </c>
      <c r="Z255" s="189" t="s">
        <v>84</v>
      </c>
      <c r="AA255" s="189" t="s">
        <v>181</v>
      </c>
    </row>
    <row r="256">
      <c r="A256" s="189">
        <f>IFERROR(__xludf.DUMMYFUNCTION("""COMPUTED_VALUE"""),207801.0)</f>
        <v>207801</v>
      </c>
      <c r="B256" s="189">
        <f>IFERROR(__xludf.DUMMYFUNCTION("""COMPUTED_VALUE"""),91580.0)</f>
        <v>91580</v>
      </c>
      <c r="C256" s="189" t="str">
        <f>IFERROR(__xludf.DUMMYFUNCTION("""COMPUTED_VALUE"""),"BtcTurk GameFest - Stage 3")</f>
        <v>BtcTurk GameFest - Stage 3</v>
      </c>
      <c r="D256" s="189" t="str">
        <f>IFERROR(__xludf.DUMMYFUNCTION("""COMPUTED_VALUE"""),"Icebox")</f>
        <v>Icebox</v>
      </c>
      <c r="E256" s="189" t="str">
        <f>IFERROR(__xludf.DUMMYFUNCTION("""COMPUTED_VALUE"""),"Natus Vincere")</f>
        <v>Natus Vincere</v>
      </c>
      <c r="F256" s="189" t="str">
        <f>IFERROR(__xludf.DUMMYFUNCTION("""COMPUTED_VALUE"""),"ULF Esports")</f>
        <v>ULF Esports</v>
      </c>
      <c r="G256" s="189" t="str">
        <f>IFERROR(__xludf.DUMMYFUNCTION("""COMPUTED_VALUE"""),"Sova,Killjoy,Viper,Sage,Jett")</f>
        <v>Sova,Killjoy,Viper,Sage,Jett</v>
      </c>
      <c r="H256" s="189" t="str">
        <f>IFERROR(__xludf.DUMMYFUNCTION("""COMPUTED_VALUE"""),"Sova,Killjoy,Viper,Omen,Jett")</f>
        <v>Sova,Killjoy,Viper,Omen,Jett</v>
      </c>
      <c r="I256" s="189">
        <f>IFERROR(__xludf.DUMMYFUNCTION("""COMPUTED_VALUE"""),13.0)</f>
        <v>13</v>
      </c>
      <c r="J256" s="189">
        <f>IFERROR(__xludf.DUMMYFUNCTION("""COMPUTED_VALUE"""),7.0)</f>
        <v>7</v>
      </c>
      <c r="K256" s="189">
        <f>IFERROR(__xludf.DUMMYFUNCTION("""COMPUTED_VALUE"""),8.0)</f>
        <v>8</v>
      </c>
      <c r="L256" s="189">
        <f>IFERROR(__xludf.DUMMYFUNCTION("""COMPUTED_VALUE"""),4.0)</f>
        <v>4</v>
      </c>
      <c r="M256" s="189">
        <f>IFERROR(__xludf.DUMMYFUNCTION("""COMPUTED_VALUE"""),0.0)</f>
        <v>0</v>
      </c>
      <c r="N256" s="189">
        <f>IFERROR(__xludf.DUMMYFUNCTION("""COMPUTED_VALUE"""),1.0)</f>
        <v>1</v>
      </c>
      <c r="O256" s="189">
        <f>IFERROR(__xludf.DUMMYFUNCTION("""COMPUTED_VALUE"""),5.0)</f>
        <v>5</v>
      </c>
      <c r="P256" s="189">
        <f>IFERROR(__xludf.DUMMYFUNCTION("""COMPUTED_VALUE"""),3.0)</f>
        <v>3</v>
      </c>
      <c r="Q256" s="189">
        <f>IFERROR(__xludf.DUMMYFUNCTION("""COMPUTED_VALUE"""),8.0)</f>
        <v>8</v>
      </c>
      <c r="R256" s="189">
        <f>IFERROR(__xludf.DUMMYFUNCTION("""COMPUTED_VALUE"""),4.0)</f>
        <v>4</v>
      </c>
      <c r="S256" s="189">
        <f>IFERROR(__xludf.DUMMYFUNCTION("""COMPUTED_VALUE"""),0.0)</f>
        <v>0</v>
      </c>
      <c r="T256" s="189">
        <f>IFERROR(__xludf.DUMMYFUNCTION("""COMPUTED_VALUE"""),1.0)</f>
        <v>1</v>
      </c>
      <c r="U256" s="189">
        <f>IFERROR(__xludf.DUMMYFUNCTION("""COMPUTED_VALUE"""),4.0)</f>
        <v>4</v>
      </c>
      <c r="V256" s="189">
        <f>IFERROR(__xludf.DUMMYFUNCTION("""COMPUTED_VALUE"""),8.0)</f>
        <v>8</v>
      </c>
      <c r="W256" s="189">
        <f>IFERROR(__xludf.DUMMYFUNCTION("""COMPUTED_VALUE"""),3.0)</f>
        <v>3</v>
      </c>
      <c r="X256" s="189">
        <f>IFERROR(__xludf.DUMMYFUNCTION("""COMPUTED_VALUE"""),5.0)</f>
        <v>5</v>
      </c>
      <c r="Y256" s="208" t="str">
        <f>IFERROR(__xludf.DUMMYFUNCTION("""COMPUTED_VALUE"""),"2025-06-28T00:00:00.000Z")</f>
        <v>2025-06-28T00:00:00.000Z</v>
      </c>
      <c r="Z256" s="189" t="s">
        <v>470</v>
      </c>
      <c r="AA256" s="189" t="s">
        <v>471</v>
      </c>
    </row>
    <row r="257">
      <c r="A257" s="189">
        <f>IFERROR(__xludf.DUMMYFUNCTION("""COMPUTED_VALUE"""),208057.0)</f>
        <v>208057</v>
      </c>
      <c r="B257" s="189">
        <f>IFERROR(__xludf.DUMMYFUNCTION("""COMPUTED_VALUE"""),91665.0)</f>
        <v>91665</v>
      </c>
      <c r="C257" s="189" t="str">
        <f>IFERROR(__xludf.DUMMYFUNCTION("""COMPUTED_VALUE"""),"Challengers League 2025 NORTH EAST: Split 3 - East Qualifier")</f>
        <v>Challengers League 2025 NORTH EAST: Split 3 - East Qualifier</v>
      </c>
      <c r="D257" s="189" t="str">
        <f>IFERROR(__xludf.DUMMYFUNCTION("""COMPUTED_VALUE"""),"Pearl")</f>
        <v>Pearl</v>
      </c>
      <c r="E257" s="189" t="str">
        <f>IFERROR(__xludf.DUMMYFUNCTION("""COMPUTED_VALUE"""),"Easties")</f>
        <v>Easties</v>
      </c>
      <c r="F257" s="189" t="str">
        <f>IFERROR(__xludf.DUMMYFUNCTION("""COMPUTED_VALUE"""),"Boars Gaming")</f>
        <v>Boars Gaming</v>
      </c>
      <c r="G257" s="189" t="str">
        <f>IFERROR(__xludf.DUMMYFUNCTION("""COMPUTED_VALUE"""),"Cypher,Sova,Astra,KAY/O,Neon")</f>
        <v>Cypher,Sova,Astra,KAY/O,Neon</v>
      </c>
      <c r="H257" s="189" t="str">
        <f>IFERROR(__xludf.DUMMYFUNCTION("""COMPUTED_VALUE"""),"Cypher,Sova,Astra,KAY/O,Neon")</f>
        <v>Cypher,Sova,Astra,KAY/O,Neon</v>
      </c>
      <c r="I257" s="189">
        <f>IFERROR(__xludf.DUMMYFUNCTION("""COMPUTED_VALUE"""),6.0)</f>
        <v>6</v>
      </c>
      <c r="J257" s="189">
        <f>IFERROR(__xludf.DUMMYFUNCTION("""COMPUTED_VALUE"""),13.0)</f>
        <v>13</v>
      </c>
      <c r="K257" s="189">
        <f>IFERROR(__xludf.DUMMYFUNCTION("""COMPUTED_VALUE"""),4.0)</f>
        <v>4</v>
      </c>
      <c r="L257" s="189">
        <f>IFERROR(__xludf.DUMMYFUNCTION("""COMPUTED_VALUE"""),8.0)</f>
        <v>8</v>
      </c>
      <c r="M257" s="189">
        <f>IFERROR(__xludf.DUMMYFUNCTION("""COMPUTED_VALUE"""),1.0)</f>
        <v>1</v>
      </c>
      <c r="N257" s="189">
        <f>IFERROR(__xludf.DUMMYFUNCTION("""COMPUTED_VALUE"""),0.0)</f>
        <v>0</v>
      </c>
      <c r="O257" s="189">
        <f>IFERROR(__xludf.DUMMYFUNCTION("""COMPUTED_VALUE"""),2.0)</f>
        <v>2</v>
      </c>
      <c r="P257" s="189">
        <f>IFERROR(__xludf.DUMMYFUNCTION("""COMPUTED_VALUE"""),5.0)</f>
        <v>5</v>
      </c>
      <c r="Q257" s="189">
        <f>IFERROR(__xludf.DUMMYFUNCTION("""COMPUTED_VALUE"""),4.0)</f>
        <v>4</v>
      </c>
      <c r="R257" s="189">
        <f>IFERROR(__xludf.DUMMYFUNCTION("""COMPUTED_VALUE"""),8.0)</f>
        <v>8</v>
      </c>
      <c r="S257" s="189">
        <f>IFERROR(__xludf.DUMMYFUNCTION("""COMPUTED_VALUE"""),1.0)</f>
        <v>1</v>
      </c>
      <c r="T257" s="189">
        <f>IFERROR(__xludf.DUMMYFUNCTION("""COMPUTED_VALUE"""),0.0)</f>
        <v>0</v>
      </c>
      <c r="U257" s="189">
        <f>IFERROR(__xludf.DUMMYFUNCTION("""COMPUTED_VALUE"""),8.0)</f>
        <v>8</v>
      </c>
      <c r="V257" s="189">
        <f>IFERROR(__xludf.DUMMYFUNCTION("""COMPUTED_VALUE"""),4.0)</f>
        <v>4</v>
      </c>
      <c r="W257" s="189">
        <f>IFERROR(__xludf.DUMMYFUNCTION("""COMPUTED_VALUE"""),5.0)</f>
        <v>5</v>
      </c>
      <c r="X257" s="189">
        <f>IFERROR(__xludf.DUMMYFUNCTION("""COMPUTED_VALUE"""),2.0)</f>
        <v>2</v>
      </c>
      <c r="Y257" s="208" t="str">
        <f>IFERROR(__xludf.DUMMYFUNCTION("""COMPUTED_VALUE"""),"2025-06-28T00:00:00.000Z")</f>
        <v>2025-06-28T00:00:00.000Z</v>
      </c>
      <c r="Z257" s="189" t="s">
        <v>472</v>
      </c>
      <c r="AA257" s="189" t="s">
        <v>181</v>
      </c>
    </row>
    <row r="258">
      <c r="A258" s="189">
        <f>IFERROR(__xludf.DUMMYFUNCTION("""COMPUTED_VALUE"""),207800.0)</f>
        <v>207800</v>
      </c>
      <c r="B258" s="189">
        <f>IFERROR(__xludf.DUMMYFUNCTION("""COMPUTED_VALUE"""),91580.0)</f>
        <v>91580</v>
      </c>
      <c r="C258" s="189" t="str">
        <f>IFERROR(__xludf.DUMMYFUNCTION("""COMPUTED_VALUE"""),"BtcTurk GameFest - Stage 3")</f>
        <v>BtcTurk GameFest - Stage 3</v>
      </c>
      <c r="D258" s="189" t="str">
        <f>IFERROR(__xludf.DUMMYFUNCTION("""COMPUTED_VALUE"""),"Sunset")</f>
        <v>Sunset</v>
      </c>
      <c r="E258" s="189" t="str">
        <f>IFERROR(__xludf.DUMMYFUNCTION("""COMPUTED_VALUE"""),"Natus Vincere")</f>
        <v>Natus Vincere</v>
      </c>
      <c r="F258" s="189" t="str">
        <f>IFERROR(__xludf.DUMMYFUNCTION("""COMPUTED_VALUE"""),"ULF Esports")</f>
        <v>ULF Esports</v>
      </c>
      <c r="G258" s="189" t="str">
        <f>IFERROR(__xludf.DUMMYFUNCTION("""COMPUTED_VALUE"""),"Cypher,Sova,Omen,KAY/O,Neon")</f>
        <v>Cypher,Sova,Omen,KAY/O,Neon</v>
      </c>
      <c r="H258" s="189" t="str">
        <f>IFERROR(__xludf.DUMMYFUNCTION("""COMPUTED_VALUE"""),"Breach,Sova,Omen,Neon,Vyse")</f>
        <v>Breach,Sova,Omen,Neon,Vyse</v>
      </c>
      <c r="I258" s="189">
        <f>IFERROR(__xludf.DUMMYFUNCTION("""COMPUTED_VALUE"""),13.0)</f>
        <v>13</v>
      </c>
      <c r="J258" s="189">
        <f>IFERROR(__xludf.DUMMYFUNCTION("""COMPUTED_VALUE"""),3.0)</f>
        <v>3</v>
      </c>
      <c r="K258" s="189">
        <f>IFERROR(__xludf.DUMMYFUNCTION("""COMPUTED_VALUE"""),9.0)</f>
        <v>9</v>
      </c>
      <c r="L258" s="189">
        <f>IFERROR(__xludf.DUMMYFUNCTION("""COMPUTED_VALUE"""),3.0)</f>
        <v>3</v>
      </c>
      <c r="M258" s="189">
        <f>IFERROR(__xludf.DUMMYFUNCTION("""COMPUTED_VALUE"""),1.0)</f>
        <v>1</v>
      </c>
      <c r="N258" s="189">
        <f>IFERROR(__xludf.DUMMYFUNCTION("""COMPUTED_VALUE"""),1.0)</f>
        <v>1</v>
      </c>
      <c r="O258" s="189">
        <f>IFERROR(__xludf.DUMMYFUNCTION("""COMPUTED_VALUE"""),4.0)</f>
        <v>4</v>
      </c>
      <c r="P258" s="189">
        <f>IFERROR(__xludf.DUMMYFUNCTION("""COMPUTED_VALUE"""),0.0)</f>
        <v>0</v>
      </c>
      <c r="Q258" s="189">
        <f>IFERROR(__xludf.DUMMYFUNCTION("""COMPUTED_VALUE"""),9.0)</f>
        <v>9</v>
      </c>
      <c r="R258" s="189">
        <f>IFERROR(__xludf.DUMMYFUNCTION("""COMPUTED_VALUE"""),3.0)</f>
        <v>3</v>
      </c>
      <c r="S258" s="189">
        <f>IFERROR(__xludf.DUMMYFUNCTION("""COMPUTED_VALUE"""),0.0)</f>
        <v>0</v>
      </c>
      <c r="T258" s="189">
        <f>IFERROR(__xludf.DUMMYFUNCTION("""COMPUTED_VALUE"""),0.0)</f>
        <v>0</v>
      </c>
      <c r="U258" s="189">
        <f>IFERROR(__xludf.DUMMYFUNCTION("""COMPUTED_VALUE"""),3.0)</f>
        <v>3</v>
      </c>
      <c r="V258" s="189">
        <f>IFERROR(__xludf.DUMMYFUNCTION("""COMPUTED_VALUE"""),9.0)</f>
        <v>9</v>
      </c>
      <c r="W258" s="189">
        <f>IFERROR(__xludf.DUMMYFUNCTION("""COMPUTED_VALUE"""),0.0)</f>
        <v>0</v>
      </c>
      <c r="X258" s="189">
        <f>IFERROR(__xludf.DUMMYFUNCTION("""COMPUTED_VALUE"""),4.0)</f>
        <v>4</v>
      </c>
      <c r="Y258" s="208" t="str">
        <f>IFERROR(__xludf.DUMMYFUNCTION("""COMPUTED_VALUE"""),"2025-06-28T00:00:00.000Z")</f>
        <v>2025-06-28T00:00:00.000Z</v>
      </c>
      <c r="Z258" s="189" t="s">
        <v>473</v>
      </c>
      <c r="AA258" s="189" t="s">
        <v>471</v>
      </c>
    </row>
    <row r="259">
      <c r="A259" s="189">
        <f>IFERROR(__xludf.DUMMYFUNCTION("""COMPUTED_VALUE"""),208056.0)</f>
        <v>208056</v>
      </c>
      <c r="B259" s="189">
        <f>IFERROR(__xludf.DUMMYFUNCTION("""COMPUTED_VALUE"""),91665.0)</f>
        <v>91665</v>
      </c>
      <c r="C259" s="189" t="str">
        <f>IFERROR(__xludf.DUMMYFUNCTION("""COMPUTED_VALUE"""),"Challengers League 2025 NORTH EAST: Split 3 - East Qualifier")</f>
        <v>Challengers League 2025 NORTH EAST: Split 3 - East Qualifier</v>
      </c>
      <c r="D259" s="189" t="str">
        <f>IFERROR(__xludf.DUMMYFUNCTION("""COMPUTED_VALUE"""),"Split")</f>
        <v>Split</v>
      </c>
      <c r="E259" s="189" t="str">
        <f>IFERROR(__xludf.DUMMYFUNCTION("""COMPUTED_VALUE"""),"Easties")</f>
        <v>Easties</v>
      </c>
      <c r="F259" s="189" t="str">
        <f>IFERROR(__xludf.DUMMYFUNCTION("""COMPUTED_VALUE"""),"Boars Gaming")</f>
        <v>Boars Gaming</v>
      </c>
      <c r="G259" s="189" t="str">
        <f>IFERROR(__xludf.DUMMYFUNCTION("""COMPUTED_VALUE"""),"Viper,Omen,Yoru,Fade,Vyse")</f>
        <v>Viper,Omen,Yoru,Fade,Vyse</v>
      </c>
      <c r="H259" s="189" t="str">
        <f>IFERROR(__xludf.DUMMYFUNCTION("""COMPUTED_VALUE"""),"Breach,Cypher,Omen,Neon,Tejo")</f>
        <v>Breach,Cypher,Omen,Neon,Tejo</v>
      </c>
      <c r="I259" s="189">
        <f>IFERROR(__xludf.DUMMYFUNCTION("""COMPUTED_VALUE"""),15.0)</f>
        <v>15</v>
      </c>
      <c r="J259" s="189">
        <f>IFERROR(__xludf.DUMMYFUNCTION("""COMPUTED_VALUE"""),13.0)</f>
        <v>13</v>
      </c>
      <c r="K259" s="189">
        <f>IFERROR(__xludf.DUMMYFUNCTION("""COMPUTED_VALUE"""),5.0)</f>
        <v>5</v>
      </c>
      <c r="L259" s="189">
        <f>IFERROR(__xludf.DUMMYFUNCTION("""COMPUTED_VALUE"""),7.0)</f>
        <v>7</v>
      </c>
      <c r="M259" s="189">
        <f>IFERROR(__xludf.DUMMYFUNCTION("""COMPUTED_VALUE"""),0.0)</f>
        <v>0</v>
      </c>
      <c r="N259" s="189">
        <f>IFERROR(__xludf.DUMMYFUNCTION("""COMPUTED_VALUE"""),1.0)</f>
        <v>1</v>
      </c>
      <c r="O259" s="189">
        <f>IFERROR(__xludf.DUMMYFUNCTION("""COMPUTED_VALUE"""),8.0)</f>
        <v>8</v>
      </c>
      <c r="P259" s="189">
        <f>IFERROR(__xludf.DUMMYFUNCTION("""COMPUTED_VALUE"""),6.0)</f>
        <v>6</v>
      </c>
      <c r="Q259" s="189">
        <f>IFERROR(__xludf.DUMMYFUNCTION("""COMPUTED_VALUE"""),7.0)</f>
        <v>7</v>
      </c>
      <c r="R259" s="189">
        <f>IFERROR(__xludf.DUMMYFUNCTION("""COMPUTED_VALUE"""),7.0)</f>
        <v>7</v>
      </c>
      <c r="S259" s="189">
        <f>IFERROR(__xludf.DUMMYFUNCTION("""COMPUTED_VALUE"""),0.0)</f>
        <v>0</v>
      </c>
      <c r="T259" s="189">
        <f>IFERROR(__xludf.DUMMYFUNCTION("""COMPUTED_VALUE"""),1.0)</f>
        <v>1</v>
      </c>
      <c r="U259" s="189">
        <f>IFERROR(__xludf.DUMMYFUNCTION("""COMPUTED_VALUE"""),7.0)</f>
        <v>7</v>
      </c>
      <c r="V259" s="189">
        <f>IFERROR(__xludf.DUMMYFUNCTION("""COMPUTED_VALUE"""),7.0)</f>
        <v>7</v>
      </c>
      <c r="W259" s="189">
        <f>IFERROR(__xludf.DUMMYFUNCTION("""COMPUTED_VALUE"""),6.0)</f>
        <v>6</v>
      </c>
      <c r="X259" s="189">
        <f>IFERROR(__xludf.DUMMYFUNCTION("""COMPUTED_VALUE"""),8.0)</f>
        <v>8</v>
      </c>
      <c r="Y259" s="208" t="str">
        <f>IFERROR(__xludf.DUMMYFUNCTION("""COMPUTED_VALUE"""),"2025-06-28T00:00:00.000Z")</f>
        <v>2025-06-28T00:00:00.000Z</v>
      </c>
      <c r="Z259" s="189" t="s">
        <v>474</v>
      </c>
      <c r="AA259" s="189" t="s">
        <v>475</v>
      </c>
    </row>
    <row r="260">
      <c r="A260" s="189">
        <f>IFERROR(__xludf.DUMMYFUNCTION("""COMPUTED_VALUE"""),208055.0)</f>
        <v>208055</v>
      </c>
      <c r="B260" s="189">
        <f>IFERROR(__xludf.DUMMYFUNCTION("""COMPUTED_VALUE"""),91665.0)</f>
        <v>91665</v>
      </c>
      <c r="C260" s="189" t="str">
        <f>IFERROR(__xludf.DUMMYFUNCTION("""COMPUTED_VALUE"""),"Challengers League 2025 NORTH EAST: Split 3 - East Qualifier")</f>
        <v>Challengers League 2025 NORTH EAST: Split 3 - East Qualifier</v>
      </c>
      <c r="D260" s="189" t="str">
        <f>IFERROR(__xludf.DUMMYFUNCTION("""COMPUTED_VALUE"""),"Lotus")</f>
        <v>Lotus</v>
      </c>
      <c r="E260" s="189" t="str">
        <f>IFERROR(__xludf.DUMMYFUNCTION("""COMPUTED_VALUE"""),"Easties")</f>
        <v>Easties</v>
      </c>
      <c r="F260" s="189" t="str">
        <f>IFERROR(__xludf.DUMMYFUNCTION("""COMPUTED_VALUE"""),"Boars Gaming")</f>
        <v>Boars Gaming</v>
      </c>
      <c r="G260" s="189" t="str">
        <f>IFERROR(__xludf.DUMMYFUNCTION("""COMPUTED_VALUE"""),"Breach,Sova,Viper,Omen,Neon")</f>
        <v>Breach,Sova,Viper,Omen,Neon</v>
      </c>
      <c r="H260" s="189" t="str">
        <f>IFERROR(__xludf.DUMMYFUNCTION("""COMPUTED_VALUE"""),"Breach,Cypher,Omen,Neon,Fade")</f>
        <v>Breach,Cypher,Omen,Neon,Fade</v>
      </c>
      <c r="I260" s="189">
        <f>IFERROR(__xludf.DUMMYFUNCTION("""COMPUTED_VALUE"""),9.0)</f>
        <v>9</v>
      </c>
      <c r="J260" s="189">
        <f>IFERROR(__xludf.DUMMYFUNCTION("""COMPUTED_VALUE"""),13.0)</f>
        <v>13</v>
      </c>
      <c r="K260" s="189">
        <f>IFERROR(__xludf.DUMMYFUNCTION("""COMPUTED_VALUE"""),5.0)</f>
        <v>5</v>
      </c>
      <c r="L260" s="189">
        <f>IFERROR(__xludf.DUMMYFUNCTION("""COMPUTED_VALUE"""),7.0)</f>
        <v>7</v>
      </c>
      <c r="M260" s="189">
        <f>IFERROR(__xludf.DUMMYFUNCTION("""COMPUTED_VALUE"""),0.0)</f>
        <v>0</v>
      </c>
      <c r="N260" s="189">
        <f>IFERROR(__xludf.DUMMYFUNCTION("""COMPUTED_VALUE"""),1.0)</f>
        <v>1</v>
      </c>
      <c r="O260" s="189">
        <f>IFERROR(__xludf.DUMMYFUNCTION("""COMPUTED_VALUE"""),4.0)</f>
        <v>4</v>
      </c>
      <c r="P260" s="189">
        <f>IFERROR(__xludf.DUMMYFUNCTION("""COMPUTED_VALUE"""),6.0)</f>
        <v>6</v>
      </c>
      <c r="Q260" s="189">
        <f>IFERROR(__xludf.DUMMYFUNCTION("""COMPUTED_VALUE"""),5.0)</f>
        <v>5</v>
      </c>
      <c r="R260" s="189">
        <f>IFERROR(__xludf.DUMMYFUNCTION("""COMPUTED_VALUE"""),7.0)</f>
        <v>7</v>
      </c>
      <c r="S260" s="189">
        <f>IFERROR(__xludf.DUMMYFUNCTION("""COMPUTED_VALUE"""),0.0)</f>
        <v>0</v>
      </c>
      <c r="T260" s="189">
        <f>IFERROR(__xludf.DUMMYFUNCTION("""COMPUTED_VALUE"""),1.0)</f>
        <v>1</v>
      </c>
      <c r="U260" s="189">
        <f>IFERROR(__xludf.DUMMYFUNCTION("""COMPUTED_VALUE"""),7.0)</f>
        <v>7</v>
      </c>
      <c r="V260" s="189">
        <f>IFERROR(__xludf.DUMMYFUNCTION("""COMPUTED_VALUE"""),5.0)</f>
        <v>5</v>
      </c>
      <c r="W260" s="189">
        <f>IFERROR(__xludf.DUMMYFUNCTION("""COMPUTED_VALUE"""),6.0)</f>
        <v>6</v>
      </c>
      <c r="X260" s="189">
        <f>IFERROR(__xludf.DUMMYFUNCTION("""COMPUTED_VALUE"""),4.0)</f>
        <v>4</v>
      </c>
      <c r="Y260" s="208" t="str">
        <f>IFERROR(__xludf.DUMMYFUNCTION("""COMPUTED_VALUE"""),"2025-06-28T00:00:00.000Z")</f>
        <v>2025-06-28T00:00:00.000Z</v>
      </c>
      <c r="Z260" s="189" t="s">
        <v>476</v>
      </c>
      <c r="AA260" s="189" t="s">
        <v>181</v>
      </c>
    </row>
    <row r="261">
      <c r="A261" s="189">
        <f>IFERROR(__xludf.DUMMYFUNCTION("""COMPUTED_VALUE"""),208047.0)</f>
        <v>208047</v>
      </c>
      <c r="B261" s="189">
        <f>IFERROR(__xludf.DUMMYFUNCTION("""COMPUTED_VALUE"""),91662.0)</f>
        <v>91662</v>
      </c>
      <c r="C261" s="189" t="str">
        <f>IFERROR(__xludf.DUMMYFUNCTION("""COMPUTED_VALUE"""),"Challengers League 2025 NORTH EAST: Split 3 - East Qualifier")</f>
        <v>Challengers League 2025 NORTH EAST: Split 3 - East Qualifier</v>
      </c>
      <c r="D261" s="189" t="str">
        <f>IFERROR(__xludf.DUMMYFUNCTION("""COMPUTED_VALUE"""),"Haven")</f>
        <v>Haven</v>
      </c>
      <c r="E261" s="189" t="str">
        <f>IFERROR(__xludf.DUMMYFUNCTION("""COMPUTED_VALUE"""),"UNIWAY")</f>
        <v>UNIWAY</v>
      </c>
      <c r="F261" s="189" t="str">
        <f>IFERROR(__xludf.DUMMYFUNCTION("""COMPUTED_VALUE"""),"Boars Gaming")</f>
        <v>Boars Gaming</v>
      </c>
      <c r="G261" s="189" t="str">
        <f>IFERROR(__xludf.DUMMYFUNCTION("""COMPUTED_VALUE"""),"Breach,Sova,Killjoy,Omen,Waylay")</f>
        <v>Breach,Sova,Killjoy,Omen,Waylay</v>
      </c>
      <c r="H261" s="189" t="str">
        <f>IFERROR(__xludf.DUMMYFUNCTION("""COMPUTED_VALUE"""),"Breach,Cypher,Sova,Omen,Neon")</f>
        <v>Breach,Cypher,Sova,Omen,Neon</v>
      </c>
      <c r="I261" s="189">
        <f>IFERROR(__xludf.DUMMYFUNCTION("""COMPUTED_VALUE"""),3.0)</f>
        <v>3</v>
      </c>
      <c r="J261" s="189">
        <f>IFERROR(__xludf.DUMMYFUNCTION("""COMPUTED_VALUE"""),13.0)</f>
        <v>13</v>
      </c>
      <c r="K261" s="189">
        <f>IFERROR(__xludf.DUMMYFUNCTION("""COMPUTED_VALUE"""),3.0)</f>
        <v>3</v>
      </c>
      <c r="L261" s="189">
        <f>IFERROR(__xludf.DUMMYFUNCTION("""COMPUTED_VALUE"""),9.0)</f>
        <v>9</v>
      </c>
      <c r="M261" s="189">
        <f>IFERROR(__xludf.DUMMYFUNCTION("""COMPUTED_VALUE"""),0.0)</f>
        <v>0</v>
      </c>
      <c r="N261" s="189">
        <f>IFERROR(__xludf.DUMMYFUNCTION("""COMPUTED_VALUE"""),1.0)</f>
        <v>1</v>
      </c>
      <c r="O261" s="189">
        <f>IFERROR(__xludf.DUMMYFUNCTION("""COMPUTED_VALUE"""),0.0)</f>
        <v>0</v>
      </c>
      <c r="P261" s="189">
        <f>IFERROR(__xludf.DUMMYFUNCTION("""COMPUTED_VALUE"""),4.0)</f>
        <v>4</v>
      </c>
      <c r="Q261" s="189">
        <f>IFERROR(__xludf.DUMMYFUNCTION("""COMPUTED_VALUE"""),3.0)</f>
        <v>3</v>
      </c>
      <c r="R261" s="189">
        <f>IFERROR(__xludf.DUMMYFUNCTION("""COMPUTED_VALUE"""),9.0)</f>
        <v>9</v>
      </c>
      <c r="S261" s="189">
        <f>IFERROR(__xludf.DUMMYFUNCTION("""COMPUTED_VALUE"""),0.0)</f>
        <v>0</v>
      </c>
      <c r="T261" s="189">
        <f>IFERROR(__xludf.DUMMYFUNCTION("""COMPUTED_VALUE"""),1.0)</f>
        <v>1</v>
      </c>
      <c r="U261" s="189">
        <f>IFERROR(__xludf.DUMMYFUNCTION("""COMPUTED_VALUE"""),9.0)</f>
        <v>9</v>
      </c>
      <c r="V261" s="189">
        <f>IFERROR(__xludf.DUMMYFUNCTION("""COMPUTED_VALUE"""),3.0)</f>
        <v>3</v>
      </c>
      <c r="W261" s="189">
        <f>IFERROR(__xludf.DUMMYFUNCTION("""COMPUTED_VALUE"""),4.0)</f>
        <v>4</v>
      </c>
      <c r="X261" s="189">
        <f>IFERROR(__xludf.DUMMYFUNCTION("""COMPUTED_VALUE"""),0.0)</f>
        <v>0</v>
      </c>
      <c r="Y261" s="208" t="str">
        <f>IFERROR(__xludf.DUMMYFUNCTION("""COMPUTED_VALUE"""),"2025-06-27T00:00:00.000Z")</f>
        <v>2025-06-27T00:00:00.000Z</v>
      </c>
      <c r="Z261" s="189" t="s">
        <v>477</v>
      </c>
      <c r="AA261" s="189" t="s">
        <v>181</v>
      </c>
    </row>
    <row r="262">
      <c r="A262" s="189">
        <f>IFERROR(__xludf.DUMMYFUNCTION("""COMPUTED_VALUE"""),208046.0)</f>
        <v>208046</v>
      </c>
      <c r="B262" s="189">
        <f>IFERROR(__xludf.DUMMYFUNCTION("""COMPUTED_VALUE"""),91662.0)</f>
        <v>91662</v>
      </c>
      <c r="C262" s="189" t="str">
        <f>IFERROR(__xludf.DUMMYFUNCTION("""COMPUTED_VALUE"""),"Challengers League 2025 NORTH EAST: Split 3 - East Qualifier")</f>
        <v>Challengers League 2025 NORTH EAST: Split 3 - East Qualifier</v>
      </c>
      <c r="D262" s="189" t="str">
        <f>IFERROR(__xludf.DUMMYFUNCTION("""COMPUTED_VALUE"""),"Lotus")</f>
        <v>Lotus</v>
      </c>
      <c r="E262" s="189" t="str">
        <f>IFERROR(__xludf.DUMMYFUNCTION("""COMPUTED_VALUE"""),"UNIWAY")</f>
        <v>UNIWAY</v>
      </c>
      <c r="F262" s="189" t="str">
        <f>IFERROR(__xludf.DUMMYFUNCTION("""COMPUTED_VALUE"""),"Boars Gaming")</f>
        <v>Boars Gaming</v>
      </c>
      <c r="G262" s="189" t="str">
        <f>IFERROR(__xludf.DUMMYFUNCTION("""COMPUTED_VALUE"""),"Breach,Raze,Omen,Fade,Clove")</f>
        <v>Breach,Raze,Omen,Fade,Clove</v>
      </c>
      <c r="H262" s="189" t="str">
        <f>IFERROR(__xludf.DUMMYFUNCTION("""COMPUTED_VALUE"""),"Breach,Cypher,Omen,Neon,Fade")</f>
        <v>Breach,Cypher,Omen,Neon,Fade</v>
      </c>
      <c r="I262" s="189">
        <f>IFERROR(__xludf.DUMMYFUNCTION("""COMPUTED_VALUE"""),12.0)</f>
        <v>12</v>
      </c>
      <c r="J262" s="189">
        <f>IFERROR(__xludf.DUMMYFUNCTION("""COMPUTED_VALUE"""),14.0)</f>
        <v>14</v>
      </c>
      <c r="K262" s="189">
        <f>IFERROR(__xludf.DUMMYFUNCTION("""COMPUTED_VALUE"""),8.0)</f>
        <v>8</v>
      </c>
      <c r="L262" s="189">
        <f>IFERROR(__xludf.DUMMYFUNCTION("""COMPUTED_VALUE"""),4.0)</f>
        <v>4</v>
      </c>
      <c r="M262" s="189">
        <f>IFERROR(__xludf.DUMMYFUNCTION("""COMPUTED_VALUE"""),1.0)</f>
        <v>1</v>
      </c>
      <c r="N262" s="189">
        <f>IFERROR(__xludf.DUMMYFUNCTION("""COMPUTED_VALUE"""),1.0)</f>
        <v>1</v>
      </c>
      <c r="O262" s="189">
        <f>IFERROR(__xludf.DUMMYFUNCTION("""COMPUTED_VALUE"""),8.0)</f>
        <v>8</v>
      </c>
      <c r="P262" s="189">
        <f>IFERROR(__xludf.DUMMYFUNCTION("""COMPUTED_VALUE"""),5.0)</f>
        <v>5</v>
      </c>
      <c r="Q262" s="189">
        <f>IFERROR(__xludf.DUMMYFUNCTION("""COMPUTED_VALUE"""),4.0)</f>
        <v>4</v>
      </c>
      <c r="R262" s="189">
        <f>IFERROR(__xludf.DUMMYFUNCTION("""COMPUTED_VALUE"""),9.0)</f>
        <v>9</v>
      </c>
      <c r="S262" s="189">
        <f>IFERROR(__xludf.DUMMYFUNCTION("""COMPUTED_VALUE"""),0.0)</f>
        <v>0</v>
      </c>
      <c r="T262" s="189">
        <f>IFERROR(__xludf.DUMMYFUNCTION("""COMPUTED_VALUE"""),0.0)</f>
        <v>0</v>
      </c>
      <c r="U262" s="189">
        <f>IFERROR(__xludf.DUMMYFUNCTION("""COMPUTED_VALUE"""),9.0)</f>
        <v>9</v>
      </c>
      <c r="V262" s="189">
        <f>IFERROR(__xludf.DUMMYFUNCTION("""COMPUTED_VALUE"""),4.0)</f>
        <v>4</v>
      </c>
      <c r="W262" s="189">
        <f>IFERROR(__xludf.DUMMYFUNCTION("""COMPUTED_VALUE"""),5.0)</f>
        <v>5</v>
      </c>
      <c r="X262" s="189">
        <f>IFERROR(__xludf.DUMMYFUNCTION("""COMPUTED_VALUE"""),8.0)</f>
        <v>8</v>
      </c>
      <c r="Y262" s="208" t="str">
        <f>IFERROR(__xludf.DUMMYFUNCTION("""COMPUTED_VALUE"""),"2025-06-27T00:00:00.000Z")</f>
        <v>2025-06-27T00:00:00.000Z</v>
      </c>
      <c r="Z262" s="189" t="s">
        <v>478</v>
      </c>
      <c r="AA262" s="189" t="s">
        <v>181</v>
      </c>
    </row>
    <row r="263">
      <c r="A263" s="189">
        <f>IFERROR(__xludf.DUMMYFUNCTION("""COMPUTED_VALUE"""),208033.0)</f>
        <v>208033</v>
      </c>
      <c r="B263" s="189">
        <f>IFERROR(__xludf.DUMMYFUNCTION("""COMPUTED_VALUE"""),91657.0)</f>
        <v>91657</v>
      </c>
      <c r="C263" s="189" t="str">
        <f>IFERROR(__xludf.DUMMYFUNCTION("""COMPUTED_VALUE"""),"Challengers League 2025 NORTH EAST: Split 3 - East Qualifier")</f>
        <v>Challengers League 2025 NORTH EAST: Split 3 - East Qualifier</v>
      </c>
      <c r="D263" s="189" t="str">
        <f>IFERROR(__xludf.DUMMYFUNCTION("""COMPUTED_VALUE"""),"Sunset")</f>
        <v>Sunset</v>
      </c>
      <c r="E263" s="189" t="str">
        <f>IFERROR(__xludf.DUMMYFUNCTION("""COMPUTED_VALUE"""),"Boars Gaming")</f>
        <v>Boars Gaming</v>
      </c>
      <c r="F263" s="189" t="str">
        <f>IFERROR(__xludf.DUMMYFUNCTION("""COMPUTED_VALUE"""),"STORMBORN GG")</f>
        <v>STORMBORN GG</v>
      </c>
      <c r="G263" s="189" t="str">
        <f>IFERROR(__xludf.DUMMYFUNCTION("""COMPUTED_VALUE"""),"Cypher,Sova,Omen,KAY/O,Neon")</f>
        <v>Cypher,Sova,Omen,KAY/O,Neon</v>
      </c>
      <c r="H263" s="189" t="str">
        <f>IFERROR(__xludf.DUMMYFUNCTION("""COMPUTED_VALUE"""),"Raze,Cypher,Sova,Omen,Yoru")</f>
        <v>Raze,Cypher,Sova,Omen,Yoru</v>
      </c>
      <c r="I263" s="189">
        <f>IFERROR(__xludf.DUMMYFUNCTION("""COMPUTED_VALUE"""),13.0)</f>
        <v>13</v>
      </c>
      <c r="J263" s="189">
        <f>IFERROR(__xludf.DUMMYFUNCTION("""COMPUTED_VALUE"""),7.0)</f>
        <v>7</v>
      </c>
      <c r="K263" s="189">
        <f>IFERROR(__xludf.DUMMYFUNCTION("""COMPUTED_VALUE"""),7.0)</f>
        <v>7</v>
      </c>
      <c r="L263" s="189">
        <f>IFERROR(__xludf.DUMMYFUNCTION("""COMPUTED_VALUE"""),5.0)</f>
        <v>5</v>
      </c>
      <c r="M263" s="189">
        <f>IFERROR(__xludf.DUMMYFUNCTION("""COMPUTED_VALUE"""),0.0)</f>
        <v>0</v>
      </c>
      <c r="N263" s="189">
        <f>IFERROR(__xludf.DUMMYFUNCTION("""COMPUTED_VALUE"""),1.0)</f>
        <v>1</v>
      </c>
      <c r="O263" s="189">
        <f>IFERROR(__xludf.DUMMYFUNCTION("""COMPUTED_VALUE"""),7.0)</f>
        <v>7</v>
      </c>
      <c r="P263" s="189">
        <f>IFERROR(__xludf.DUMMYFUNCTION("""COMPUTED_VALUE"""),5.0)</f>
        <v>5</v>
      </c>
      <c r="Q263" s="189">
        <f>IFERROR(__xludf.DUMMYFUNCTION("""COMPUTED_VALUE"""),6.0)</f>
        <v>6</v>
      </c>
      <c r="R263" s="189">
        <f>IFERROR(__xludf.DUMMYFUNCTION("""COMPUTED_VALUE"""),2.0)</f>
        <v>2</v>
      </c>
      <c r="S263" s="189">
        <f>IFERROR(__xludf.DUMMYFUNCTION("""COMPUTED_VALUE"""),0.0)</f>
        <v>0</v>
      </c>
      <c r="T263" s="189">
        <f>IFERROR(__xludf.DUMMYFUNCTION("""COMPUTED_VALUE"""),1.0)</f>
        <v>1</v>
      </c>
      <c r="U263" s="189">
        <f>IFERROR(__xludf.DUMMYFUNCTION("""COMPUTED_VALUE"""),2.0)</f>
        <v>2</v>
      </c>
      <c r="V263" s="189">
        <f>IFERROR(__xludf.DUMMYFUNCTION("""COMPUTED_VALUE"""),6.0)</f>
        <v>6</v>
      </c>
      <c r="W263" s="189">
        <f>IFERROR(__xludf.DUMMYFUNCTION("""COMPUTED_VALUE"""),5.0)</f>
        <v>5</v>
      </c>
      <c r="X263" s="189">
        <f>IFERROR(__xludf.DUMMYFUNCTION("""COMPUTED_VALUE"""),7.0)</f>
        <v>7</v>
      </c>
      <c r="Y263" s="208" t="str">
        <f>IFERROR(__xludf.DUMMYFUNCTION("""COMPUTED_VALUE"""),"2025-06-27T00:00:00.000Z")</f>
        <v>2025-06-27T00:00:00.000Z</v>
      </c>
      <c r="Z263" s="189" t="s">
        <v>84</v>
      </c>
      <c r="AA263" s="189" t="s">
        <v>181</v>
      </c>
    </row>
    <row r="264">
      <c r="A264" s="189">
        <f>IFERROR(__xludf.DUMMYFUNCTION("""COMPUTED_VALUE"""),208032.0)</f>
        <v>208032</v>
      </c>
      <c r="B264" s="189">
        <f>IFERROR(__xludf.DUMMYFUNCTION("""COMPUTED_VALUE"""),91657.0)</f>
        <v>91657</v>
      </c>
      <c r="C264" s="189" t="str">
        <f>IFERROR(__xludf.DUMMYFUNCTION("""COMPUTED_VALUE"""),"Challengers League 2025 NORTH EAST: Split 3 - East Qualifier")</f>
        <v>Challengers League 2025 NORTH EAST: Split 3 - East Qualifier</v>
      </c>
      <c r="D264" s="189" t="str">
        <f>IFERROR(__xludf.DUMMYFUNCTION("""COMPUTED_VALUE"""),"Haven")</f>
        <v>Haven</v>
      </c>
      <c r="E264" s="189" t="str">
        <f>IFERROR(__xludf.DUMMYFUNCTION("""COMPUTED_VALUE"""),"Boars Gaming")</f>
        <v>Boars Gaming</v>
      </c>
      <c r="F264" s="189" t="str">
        <f>IFERROR(__xludf.DUMMYFUNCTION("""COMPUTED_VALUE"""),"STORMBORN GG")</f>
        <v>STORMBORN GG</v>
      </c>
      <c r="G264" s="189" t="str">
        <f>IFERROR(__xludf.DUMMYFUNCTION("""COMPUTED_VALUE"""),"Breach,Cypher,Sova,Omen,Neon")</f>
        <v>Breach,Cypher,Sova,Omen,Neon</v>
      </c>
      <c r="H264" s="189" t="str">
        <f>IFERROR(__xludf.DUMMYFUNCTION("""COMPUTED_VALUE"""),"Cypher,Sova,Reyna,Omen,Jett")</f>
        <v>Cypher,Sova,Reyna,Omen,Jett</v>
      </c>
      <c r="I264" s="189">
        <f>IFERROR(__xludf.DUMMYFUNCTION("""COMPUTED_VALUE"""),13.0)</f>
        <v>13</v>
      </c>
      <c r="J264" s="189">
        <f>IFERROR(__xludf.DUMMYFUNCTION("""COMPUTED_VALUE"""),4.0)</f>
        <v>4</v>
      </c>
      <c r="K264" s="189">
        <f>IFERROR(__xludf.DUMMYFUNCTION("""COMPUTED_VALUE"""),8.0)</f>
        <v>8</v>
      </c>
      <c r="L264" s="189">
        <f>IFERROR(__xludf.DUMMYFUNCTION("""COMPUTED_VALUE"""),4.0)</f>
        <v>4</v>
      </c>
      <c r="M264" s="189">
        <f>IFERROR(__xludf.DUMMYFUNCTION("""COMPUTED_VALUE"""),1.0)</f>
        <v>1</v>
      </c>
      <c r="N264" s="189">
        <f>IFERROR(__xludf.DUMMYFUNCTION("""COMPUTED_VALUE"""),1.0)</f>
        <v>1</v>
      </c>
      <c r="O264" s="189">
        <f>IFERROR(__xludf.DUMMYFUNCTION("""COMPUTED_VALUE"""),8.0)</f>
        <v>8</v>
      </c>
      <c r="P264" s="189">
        <f>IFERROR(__xludf.DUMMYFUNCTION("""COMPUTED_VALUE"""),4.0)</f>
        <v>4</v>
      </c>
      <c r="Q264" s="189">
        <f>IFERROR(__xludf.DUMMYFUNCTION("""COMPUTED_VALUE"""),5.0)</f>
        <v>5</v>
      </c>
      <c r="R264" s="189">
        <f>IFERROR(__xludf.DUMMYFUNCTION("""COMPUTED_VALUE"""),0.0)</f>
        <v>0</v>
      </c>
      <c r="S264" s="189">
        <f>IFERROR(__xludf.DUMMYFUNCTION("""COMPUTED_VALUE"""),0.0)</f>
        <v>0</v>
      </c>
      <c r="T264" s="189">
        <f>IFERROR(__xludf.DUMMYFUNCTION("""COMPUTED_VALUE"""),0.0)</f>
        <v>0</v>
      </c>
      <c r="U264" s="189">
        <f>IFERROR(__xludf.DUMMYFUNCTION("""COMPUTED_VALUE"""),0.0)</f>
        <v>0</v>
      </c>
      <c r="V264" s="189">
        <f>IFERROR(__xludf.DUMMYFUNCTION("""COMPUTED_VALUE"""),5.0)</f>
        <v>5</v>
      </c>
      <c r="W264" s="189">
        <f>IFERROR(__xludf.DUMMYFUNCTION("""COMPUTED_VALUE"""),4.0)</f>
        <v>4</v>
      </c>
      <c r="X264" s="189">
        <f>IFERROR(__xludf.DUMMYFUNCTION("""COMPUTED_VALUE"""),8.0)</f>
        <v>8</v>
      </c>
      <c r="Y264" s="208" t="str">
        <f>IFERROR(__xludf.DUMMYFUNCTION("""COMPUTED_VALUE"""),"2025-06-27T00:00:00.000Z")</f>
        <v>2025-06-27T00:00:00.000Z</v>
      </c>
      <c r="Z264" s="189" t="s">
        <v>79</v>
      </c>
      <c r="AA264" s="189" t="s">
        <v>181</v>
      </c>
    </row>
    <row r="265">
      <c r="A265" s="189">
        <f>IFERROR(__xludf.DUMMYFUNCTION("""COMPUTED_VALUE"""),208031.0)</f>
        <v>208031</v>
      </c>
      <c r="B265" s="189">
        <f>IFERROR(__xludf.DUMMYFUNCTION("""COMPUTED_VALUE"""),91657.0)</f>
        <v>91657</v>
      </c>
      <c r="C265" s="189" t="str">
        <f>IFERROR(__xludf.DUMMYFUNCTION("""COMPUTED_VALUE"""),"Challengers League 2025 NORTH EAST: Split 3 - East Qualifier")</f>
        <v>Challengers League 2025 NORTH EAST: Split 3 - East Qualifier</v>
      </c>
      <c r="D265" s="189" t="str">
        <f>IFERROR(__xludf.DUMMYFUNCTION("""COMPUTED_VALUE"""),"Ascent")</f>
        <v>Ascent</v>
      </c>
      <c r="E265" s="189" t="str">
        <f>IFERROR(__xludf.DUMMYFUNCTION("""COMPUTED_VALUE"""),"Boars Gaming")</f>
        <v>Boars Gaming</v>
      </c>
      <c r="F265" s="189" t="str">
        <f>IFERROR(__xludf.DUMMYFUNCTION("""COMPUTED_VALUE"""),"STORMBORN GG")</f>
        <v>STORMBORN GG</v>
      </c>
      <c r="G265" s="189" t="str">
        <f>IFERROR(__xludf.DUMMYFUNCTION("""COMPUTED_VALUE"""),"Cypher,Sage,Omen,Yoru,Fade")</f>
        <v>Cypher,Sage,Omen,Yoru,Fade</v>
      </c>
      <c r="H265" s="189" t="str">
        <f>IFERROR(__xludf.DUMMYFUNCTION("""COMPUTED_VALUE"""),"Cypher,Sova,Phoenix,Omen,Jett")</f>
        <v>Cypher,Sova,Phoenix,Omen,Jett</v>
      </c>
      <c r="I265" s="189">
        <f>IFERROR(__xludf.DUMMYFUNCTION("""COMPUTED_VALUE"""),9.0)</f>
        <v>9</v>
      </c>
      <c r="J265" s="189">
        <f>IFERROR(__xludf.DUMMYFUNCTION("""COMPUTED_VALUE"""),13.0)</f>
        <v>13</v>
      </c>
      <c r="K265" s="189">
        <f>IFERROR(__xludf.DUMMYFUNCTION("""COMPUTED_VALUE"""),8.0)</f>
        <v>8</v>
      </c>
      <c r="L265" s="189">
        <f>IFERROR(__xludf.DUMMYFUNCTION("""COMPUTED_VALUE"""),4.0)</f>
        <v>4</v>
      </c>
      <c r="M265" s="189">
        <f>IFERROR(__xludf.DUMMYFUNCTION("""COMPUTED_VALUE"""),0.0)</f>
        <v>0</v>
      </c>
      <c r="N265" s="189">
        <f>IFERROR(__xludf.DUMMYFUNCTION("""COMPUTED_VALUE"""),1.0)</f>
        <v>1</v>
      </c>
      <c r="O265" s="189">
        <f>IFERROR(__xludf.DUMMYFUNCTION("""COMPUTED_VALUE"""),1.0)</f>
        <v>1</v>
      </c>
      <c r="P265" s="189">
        <f>IFERROR(__xludf.DUMMYFUNCTION("""COMPUTED_VALUE"""),9.0)</f>
        <v>9</v>
      </c>
      <c r="Q265" s="189">
        <f>IFERROR(__xludf.DUMMYFUNCTION("""COMPUTED_VALUE"""),8.0)</f>
        <v>8</v>
      </c>
      <c r="R265" s="189">
        <f>IFERROR(__xludf.DUMMYFUNCTION("""COMPUTED_VALUE"""),4.0)</f>
        <v>4</v>
      </c>
      <c r="S265" s="189">
        <f>IFERROR(__xludf.DUMMYFUNCTION("""COMPUTED_VALUE"""),0.0)</f>
        <v>0</v>
      </c>
      <c r="T265" s="189">
        <f>IFERROR(__xludf.DUMMYFUNCTION("""COMPUTED_VALUE"""),1.0)</f>
        <v>1</v>
      </c>
      <c r="U265" s="189">
        <f>IFERROR(__xludf.DUMMYFUNCTION("""COMPUTED_VALUE"""),4.0)</f>
        <v>4</v>
      </c>
      <c r="V265" s="189">
        <f>IFERROR(__xludf.DUMMYFUNCTION("""COMPUTED_VALUE"""),8.0)</f>
        <v>8</v>
      </c>
      <c r="W265" s="189">
        <f>IFERROR(__xludf.DUMMYFUNCTION("""COMPUTED_VALUE"""),9.0)</f>
        <v>9</v>
      </c>
      <c r="X265" s="189">
        <f>IFERROR(__xludf.DUMMYFUNCTION("""COMPUTED_VALUE"""),1.0)</f>
        <v>1</v>
      </c>
      <c r="Y265" s="208" t="str">
        <f>IFERROR(__xludf.DUMMYFUNCTION("""COMPUTED_VALUE"""),"2025-06-27T00:00:00.000Z")</f>
        <v>2025-06-27T00:00:00.000Z</v>
      </c>
      <c r="Z265" s="189" t="s">
        <v>76</v>
      </c>
      <c r="AA265" s="189" t="s">
        <v>479</v>
      </c>
    </row>
    <row r="266">
      <c r="A266" s="189">
        <f>IFERROR(__xludf.DUMMYFUNCTION("""COMPUTED_VALUE"""),204952.0)</f>
        <v>204952</v>
      </c>
      <c r="B266" s="189">
        <f>IFERROR(__xludf.DUMMYFUNCTION("""COMPUTED_VALUE"""),90469.0)</f>
        <v>90469</v>
      </c>
      <c r="C266" s="189" t="str">
        <f>IFERROR(__xludf.DUMMYFUNCTION("""COMPUTED_VALUE"""),"Challengers League 2025 MENA: Resilience - GPI - Split 2 - Group Stage")</f>
        <v>Challengers League 2025 MENA: Resilience - GPI - Split 2 - Group Stage</v>
      </c>
      <c r="D266" s="189" t="str">
        <f>IFERROR(__xludf.DUMMYFUNCTION("""COMPUTED_VALUE"""),"Lotus")</f>
        <v>Lotus</v>
      </c>
      <c r="E266" s="189" t="str">
        <f>IFERROR(__xludf.DUMMYFUNCTION("""COMPUTED_VALUE"""),"Twisted Minds Esports")</f>
        <v>Twisted Minds Esports</v>
      </c>
      <c r="F266" s="189" t="str">
        <f>IFERROR(__xludf.DUMMYFUNCTION("""COMPUTED_VALUE"""),"Fraggerz")</f>
        <v>Fraggerz</v>
      </c>
      <c r="G266" s="189" t="str">
        <f>IFERROR(__xludf.DUMMYFUNCTION("""COMPUTED_VALUE"""),"Raze,Killjoy,Viper,Omen,Fade")</f>
        <v>Raze,Killjoy,Viper,Omen,Fade</v>
      </c>
      <c r="H266" s="189" t="str">
        <f>IFERROR(__xludf.DUMMYFUNCTION("""COMPUTED_VALUE"""),"Breach,Omen,Jett,Skye,Vyse")</f>
        <v>Breach,Omen,Jett,Skye,Vyse</v>
      </c>
      <c r="I266" s="189">
        <f>IFERROR(__xludf.DUMMYFUNCTION("""COMPUTED_VALUE"""),13.0)</f>
        <v>13</v>
      </c>
      <c r="J266" s="189">
        <f>IFERROR(__xludf.DUMMYFUNCTION("""COMPUTED_VALUE"""),4.0)</f>
        <v>4</v>
      </c>
      <c r="K266" s="189">
        <f>IFERROR(__xludf.DUMMYFUNCTION("""COMPUTED_VALUE"""),8.0)</f>
        <v>8</v>
      </c>
      <c r="L266" s="189">
        <f>IFERROR(__xludf.DUMMYFUNCTION("""COMPUTED_VALUE"""),4.0)</f>
        <v>4</v>
      </c>
      <c r="M266" s="189">
        <f>IFERROR(__xludf.DUMMYFUNCTION("""COMPUTED_VALUE"""),1.0)</f>
        <v>1</v>
      </c>
      <c r="N266" s="189">
        <f>IFERROR(__xludf.DUMMYFUNCTION("""COMPUTED_VALUE"""),1.0)</f>
        <v>1</v>
      </c>
      <c r="O266" s="189">
        <f>IFERROR(__xludf.DUMMYFUNCTION("""COMPUTED_VALUE"""),8.0)</f>
        <v>8</v>
      </c>
      <c r="P266" s="189">
        <f>IFERROR(__xludf.DUMMYFUNCTION("""COMPUTED_VALUE"""),4.0)</f>
        <v>4</v>
      </c>
      <c r="Q266" s="189">
        <f>IFERROR(__xludf.DUMMYFUNCTION("""COMPUTED_VALUE"""),5.0)</f>
        <v>5</v>
      </c>
      <c r="R266" s="189">
        <f>IFERROR(__xludf.DUMMYFUNCTION("""COMPUTED_VALUE"""),0.0)</f>
        <v>0</v>
      </c>
      <c r="S266" s="189">
        <f>IFERROR(__xludf.DUMMYFUNCTION("""COMPUTED_VALUE"""),0.0)</f>
        <v>0</v>
      </c>
      <c r="T266" s="189">
        <f>IFERROR(__xludf.DUMMYFUNCTION("""COMPUTED_VALUE"""),0.0)</f>
        <v>0</v>
      </c>
      <c r="U266" s="189">
        <f>IFERROR(__xludf.DUMMYFUNCTION("""COMPUTED_VALUE"""),0.0)</f>
        <v>0</v>
      </c>
      <c r="V266" s="189">
        <f>IFERROR(__xludf.DUMMYFUNCTION("""COMPUTED_VALUE"""),5.0)</f>
        <v>5</v>
      </c>
      <c r="W266" s="189">
        <f>IFERROR(__xludf.DUMMYFUNCTION("""COMPUTED_VALUE"""),4.0)</f>
        <v>4</v>
      </c>
      <c r="X266" s="189">
        <f>IFERROR(__xludf.DUMMYFUNCTION("""COMPUTED_VALUE"""),8.0)</f>
        <v>8</v>
      </c>
      <c r="Y266" s="208" t="str">
        <f>IFERROR(__xludf.DUMMYFUNCTION("""COMPUTED_VALUE"""),"2025-06-22T00:00:00.000Z")</f>
        <v>2025-06-22T00:00:00.000Z</v>
      </c>
      <c r="Z266" s="189" t="s">
        <v>164</v>
      </c>
      <c r="AA266" s="189" t="s">
        <v>184</v>
      </c>
    </row>
    <row r="267">
      <c r="A267" s="189">
        <f>IFERROR(__xludf.DUMMYFUNCTION("""COMPUTED_VALUE"""),204951.0)</f>
        <v>204951</v>
      </c>
      <c r="B267" s="189">
        <f>IFERROR(__xludf.DUMMYFUNCTION("""COMPUTED_VALUE"""),90469.0)</f>
        <v>90469</v>
      </c>
      <c r="C267" s="189" t="str">
        <f>IFERROR(__xludf.DUMMYFUNCTION("""COMPUTED_VALUE"""),"Challengers League 2025 MENA: Resilience - GPI - Split 2 - Group Stage")</f>
        <v>Challengers League 2025 MENA: Resilience - GPI - Split 2 - Group Stage</v>
      </c>
      <c r="D267" s="189" t="str">
        <f>IFERROR(__xludf.DUMMYFUNCTION("""COMPUTED_VALUE"""),"Haven")</f>
        <v>Haven</v>
      </c>
      <c r="E267" s="189" t="str">
        <f>IFERROR(__xludf.DUMMYFUNCTION("""COMPUTED_VALUE"""),"Twisted Minds Esports")</f>
        <v>Twisted Minds Esports</v>
      </c>
      <c r="F267" s="189" t="str">
        <f>IFERROR(__xludf.DUMMYFUNCTION("""COMPUTED_VALUE"""),"Fraggerz")</f>
        <v>Fraggerz</v>
      </c>
      <c r="G267" s="189" t="str">
        <f>IFERROR(__xludf.DUMMYFUNCTION("""COMPUTED_VALUE"""),"Breach,Cypher,Sova,Omen,Jett")</f>
        <v>Breach,Cypher,Sova,Omen,Jett</v>
      </c>
      <c r="H267" s="189" t="str">
        <f>IFERROR(__xludf.DUMMYFUNCTION("""COMPUTED_VALUE"""),"Raze,Cypher,Sova,Omen,Jett")</f>
        <v>Raze,Cypher,Sova,Omen,Jett</v>
      </c>
      <c r="I267" s="189">
        <f>IFERROR(__xludf.DUMMYFUNCTION("""COMPUTED_VALUE"""),13.0)</f>
        <v>13</v>
      </c>
      <c r="J267" s="189">
        <f>IFERROR(__xludf.DUMMYFUNCTION("""COMPUTED_VALUE"""),7.0)</f>
        <v>7</v>
      </c>
      <c r="K267" s="189">
        <f>IFERROR(__xludf.DUMMYFUNCTION("""COMPUTED_VALUE"""),7.0)</f>
        <v>7</v>
      </c>
      <c r="L267" s="189">
        <f>IFERROR(__xludf.DUMMYFUNCTION("""COMPUTED_VALUE"""),5.0)</f>
        <v>5</v>
      </c>
      <c r="M267" s="189">
        <f>IFERROR(__xludf.DUMMYFUNCTION("""COMPUTED_VALUE"""),0.0)</f>
        <v>0</v>
      </c>
      <c r="N267" s="189">
        <f>IFERROR(__xludf.DUMMYFUNCTION("""COMPUTED_VALUE"""),1.0)</f>
        <v>1</v>
      </c>
      <c r="O267" s="189">
        <f>IFERROR(__xludf.DUMMYFUNCTION("""COMPUTED_VALUE"""),6.0)</f>
        <v>6</v>
      </c>
      <c r="P267" s="189">
        <f>IFERROR(__xludf.DUMMYFUNCTION("""COMPUTED_VALUE"""),2.0)</f>
        <v>2</v>
      </c>
      <c r="Q267" s="189">
        <f>IFERROR(__xludf.DUMMYFUNCTION("""COMPUTED_VALUE"""),7.0)</f>
        <v>7</v>
      </c>
      <c r="R267" s="189">
        <f>IFERROR(__xludf.DUMMYFUNCTION("""COMPUTED_VALUE"""),5.0)</f>
        <v>5</v>
      </c>
      <c r="S267" s="189">
        <f>IFERROR(__xludf.DUMMYFUNCTION("""COMPUTED_VALUE"""),0.0)</f>
        <v>0</v>
      </c>
      <c r="T267" s="189">
        <f>IFERROR(__xludf.DUMMYFUNCTION("""COMPUTED_VALUE"""),1.0)</f>
        <v>1</v>
      </c>
      <c r="U267" s="189">
        <f>IFERROR(__xludf.DUMMYFUNCTION("""COMPUTED_VALUE"""),5.0)</f>
        <v>5</v>
      </c>
      <c r="V267" s="189">
        <f>IFERROR(__xludf.DUMMYFUNCTION("""COMPUTED_VALUE"""),7.0)</f>
        <v>7</v>
      </c>
      <c r="W267" s="189">
        <f>IFERROR(__xludf.DUMMYFUNCTION("""COMPUTED_VALUE"""),2.0)</f>
        <v>2</v>
      </c>
      <c r="X267" s="189">
        <f>IFERROR(__xludf.DUMMYFUNCTION("""COMPUTED_VALUE"""),6.0)</f>
        <v>6</v>
      </c>
      <c r="Y267" s="208" t="str">
        <f>IFERROR(__xludf.DUMMYFUNCTION("""COMPUTED_VALUE"""),"2025-06-22T00:00:00.000Z")</f>
        <v>2025-06-22T00:00:00.000Z</v>
      </c>
      <c r="Z267" s="189" t="s">
        <v>162</v>
      </c>
      <c r="AA267" s="189" t="s">
        <v>184</v>
      </c>
    </row>
    <row r="268">
      <c r="A268" s="189">
        <f>IFERROR(__xludf.DUMMYFUNCTION("""COMPUTED_VALUE"""),207311.0)</f>
        <v>207311</v>
      </c>
      <c r="B268" s="189">
        <f>IFERROR(__xludf.DUMMYFUNCTION("""COMPUTED_VALUE"""),91356.0)</f>
        <v>91356</v>
      </c>
      <c r="C268" s="189" t="str">
        <f>IFERROR(__xludf.DUMMYFUNCTION("""COMPUTED_VALUE"""),"Saudi eLeague 2025: Major 2 - Playoffs")</f>
        <v>Saudi eLeague 2025: Major 2 - Playoffs</v>
      </c>
      <c r="D268" s="189" t="str">
        <f>IFERROR(__xludf.DUMMYFUNCTION("""COMPUTED_VALUE"""),"Sunset")</f>
        <v>Sunset</v>
      </c>
      <c r="E268" s="189" t="str">
        <f>IFERROR(__xludf.DUMMYFUNCTION("""COMPUTED_VALUE"""),"The Ultimates")</f>
        <v>The Ultimates</v>
      </c>
      <c r="F268" s="189" t="str">
        <f>IFERROR(__xludf.DUMMYFUNCTION("""COMPUTED_VALUE"""),"Twisted Minds Esports")</f>
        <v>Twisted Minds Esports</v>
      </c>
      <c r="G268" s="189" t="str">
        <f>IFERROR(__xludf.DUMMYFUNCTION("""COMPUTED_VALUE"""),"Breach,Raze,Cypher,Omen,Fade")</f>
        <v>Breach,Raze,Cypher,Omen,Fade</v>
      </c>
      <c r="H268" s="189" t="str">
        <f>IFERROR(__xludf.DUMMYFUNCTION("""COMPUTED_VALUE"""),"Breach,Cypher,Sova,Omen,Neon")</f>
        <v>Breach,Cypher,Sova,Omen,Neon</v>
      </c>
      <c r="I268" s="189">
        <f>IFERROR(__xludf.DUMMYFUNCTION("""COMPUTED_VALUE"""),9.0)</f>
        <v>9</v>
      </c>
      <c r="J268" s="189">
        <f>IFERROR(__xludf.DUMMYFUNCTION("""COMPUTED_VALUE"""),13.0)</f>
        <v>13</v>
      </c>
      <c r="K268" s="189">
        <f>IFERROR(__xludf.DUMMYFUNCTION("""COMPUTED_VALUE"""),4.0)</f>
        <v>4</v>
      </c>
      <c r="L268" s="189">
        <f>IFERROR(__xludf.DUMMYFUNCTION("""COMPUTED_VALUE"""),8.0)</f>
        <v>8</v>
      </c>
      <c r="M268" s="189">
        <f>IFERROR(__xludf.DUMMYFUNCTION("""COMPUTED_VALUE"""),1.0)</f>
        <v>1</v>
      </c>
      <c r="N268" s="189">
        <f>IFERROR(__xludf.DUMMYFUNCTION("""COMPUTED_VALUE"""),1.0)</f>
        <v>1</v>
      </c>
      <c r="O268" s="189">
        <f>IFERROR(__xludf.DUMMYFUNCTION("""COMPUTED_VALUE"""),5.0)</f>
        <v>5</v>
      </c>
      <c r="P268" s="189">
        <f>IFERROR(__xludf.DUMMYFUNCTION("""COMPUTED_VALUE"""),5.0)</f>
        <v>5</v>
      </c>
      <c r="Q268" s="189">
        <f>IFERROR(__xludf.DUMMYFUNCTION("""COMPUTED_VALUE"""),4.0)</f>
        <v>4</v>
      </c>
      <c r="R268" s="189">
        <f>IFERROR(__xludf.DUMMYFUNCTION("""COMPUTED_VALUE"""),8.0)</f>
        <v>8</v>
      </c>
      <c r="S268" s="189">
        <f>IFERROR(__xludf.DUMMYFUNCTION("""COMPUTED_VALUE"""),0.0)</f>
        <v>0</v>
      </c>
      <c r="T268" s="189">
        <f>IFERROR(__xludf.DUMMYFUNCTION("""COMPUTED_VALUE"""),0.0)</f>
        <v>0</v>
      </c>
      <c r="U268" s="189">
        <f>IFERROR(__xludf.DUMMYFUNCTION("""COMPUTED_VALUE"""),8.0)</f>
        <v>8</v>
      </c>
      <c r="V268" s="189">
        <f>IFERROR(__xludf.DUMMYFUNCTION("""COMPUTED_VALUE"""),4.0)</f>
        <v>4</v>
      </c>
      <c r="W268" s="189">
        <f>IFERROR(__xludf.DUMMYFUNCTION("""COMPUTED_VALUE"""),5.0)</f>
        <v>5</v>
      </c>
      <c r="X268" s="189">
        <f>IFERROR(__xludf.DUMMYFUNCTION("""COMPUTED_VALUE"""),5.0)</f>
        <v>5</v>
      </c>
      <c r="Y268" s="208" t="str">
        <f>IFERROR(__xludf.DUMMYFUNCTION("""COMPUTED_VALUE"""),"2025-06-19T00:00:00.000Z")</f>
        <v>2025-06-19T00:00:00.000Z</v>
      </c>
      <c r="Z268" s="189" t="s">
        <v>158</v>
      </c>
      <c r="AA268" s="189" t="s">
        <v>184</v>
      </c>
    </row>
    <row r="269">
      <c r="A269" s="189">
        <f>IFERROR(__xludf.DUMMYFUNCTION("""COMPUTED_VALUE"""),207310.0)</f>
        <v>207310</v>
      </c>
      <c r="B269" s="189">
        <f>IFERROR(__xludf.DUMMYFUNCTION("""COMPUTED_VALUE"""),91356.0)</f>
        <v>91356</v>
      </c>
      <c r="C269" s="189" t="str">
        <f>IFERROR(__xludf.DUMMYFUNCTION("""COMPUTED_VALUE"""),"Saudi eLeague 2025: Major 2 - Playoffs")</f>
        <v>Saudi eLeague 2025: Major 2 - Playoffs</v>
      </c>
      <c r="D269" s="189" t="str">
        <f>IFERROR(__xludf.DUMMYFUNCTION("""COMPUTED_VALUE"""),"Ascent")</f>
        <v>Ascent</v>
      </c>
      <c r="E269" s="189" t="str">
        <f>IFERROR(__xludf.DUMMYFUNCTION("""COMPUTED_VALUE"""),"The Ultimates")</f>
        <v>The Ultimates</v>
      </c>
      <c r="F269" s="189" t="str">
        <f>IFERROR(__xludf.DUMMYFUNCTION("""COMPUTED_VALUE"""),"Twisted Minds Esports")</f>
        <v>Twisted Minds Esports</v>
      </c>
      <c r="G269" s="189" t="str">
        <f>IFERROR(__xludf.DUMMYFUNCTION("""COMPUTED_VALUE"""),"Cypher,Sova,Omen,Yoru,Deadlock")</f>
        <v>Cypher,Sova,Omen,Yoru,Deadlock</v>
      </c>
      <c r="H269" s="189" t="str">
        <f>IFERROR(__xludf.DUMMYFUNCTION("""COMPUTED_VALUE"""),"Cypher,Sova,Omen,Yoru,Deadlock")</f>
        <v>Cypher,Sova,Omen,Yoru,Deadlock</v>
      </c>
      <c r="I269" s="189">
        <f>IFERROR(__xludf.DUMMYFUNCTION("""COMPUTED_VALUE"""),8.0)</f>
        <v>8</v>
      </c>
      <c r="J269" s="189">
        <f>IFERROR(__xludf.DUMMYFUNCTION("""COMPUTED_VALUE"""),13.0)</f>
        <v>13</v>
      </c>
      <c r="K269" s="189">
        <f>IFERROR(__xludf.DUMMYFUNCTION("""COMPUTED_VALUE"""),4.0)</f>
        <v>4</v>
      </c>
      <c r="L269" s="189">
        <f>IFERROR(__xludf.DUMMYFUNCTION("""COMPUTED_VALUE"""),8.0)</f>
        <v>8</v>
      </c>
      <c r="M269" s="189">
        <f>IFERROR(__xludf.DUMMYFUNCTION("""COMPUTED_VALUE"""),1.0)</f>
        <v>1</v>
      </c>
      <c r="N269" s="189">
        <f>IFERROR(__xludf.DUMMYFUNCTION("""COMPUTED_VALUE"""),0.0)</f>
        <v>0</v>
      </c>
      <c r="O269" s="189">
        <f>IFERROR(__xludf.DUMMYFUNCTION("""COMPUTED_VALUE"""),4.0)</f>
        <v>4</v>
      </c>
      <c r="P269" s="189">
        <f>IFERROR(__xludf.DUMMYFUNCTION("""COMPUTED_VALUE"""),5.0)</f>
        <v>5</v>
      </c>
      <c r="Q269" s="189">
        <f>IFERROR(__xludf.DUMMYFUNCTION("""COMPUTED_VALUE"""),4.0)</f>
        <v>4</v>
      </c>
      <c r="R269" s="189">
        <f>IFERROR(__xludf.DUMMYFUNCTION("""COMPUTED_VALUE"""),8.0)</f>
        <v>8</v>
      </c>
      <c r="S269" s="189">
        <f>IFERROR(__xludf.DUMMYFUNCTION("""COMPUTED_VALUE"""),1.0)</f>
        <v>1</v>
      </c>
      <c r="T269" s="189">
        <f>IFERROR(__xludf.DUMMYFUNCTION("""COMPUTED_VALUE"""),0.0)</f>
        <v>0</v>
      </c>
      <c r="U269" s="189">
        <f>IFERROR(__xludf.DUMMYFUNCTION("""COMPUTED_VALUE"""),8.0)</f>
        <v>8</v>
      </c>
      <c r="V269" s="189">
        <f>IFERROR(__xludf.DUMMYFUNCTION("""COMPUTED_VALUE"""),4.0)</f>
        <v>4</v>
      </c>
      <c r="W269" s="189">
        <f>IFERROR(__xludf.DUMMYFUNCTION("""COMPUTED_VALUE"""),5.0)</f>
        <v>5</v>
      </c>
      <c r="X269" s="189">
        <f>IFERROR(__xludf.DUMMYFUNCTION("""COMPUTED_VALUE"""),4.0)</f>
        <v>4</v>
      </c>
      <c r="Y269" s="208" t="str">
        <f>IFERROR(__xludf.DUMMYFUNCTION("""COMPUTED_VALUE"""),"2025-06-19T00:00:00.000Z")</f>
        <v>2025-06-19T00:00:00.000Z</v>
      </c>
      <c r="Z269" s="189" t="s">
        <v>150</v>
      </c>
      <c r="AA269" s="189" t="s">
        <v>184</v>
      </c>
    </row>
    <row r="270">
      <c r="A270" s="189">
        <f>IFERROR(__xludf.DUMMYFUNCTION("""COMPUTED_VALUE"""),207309.0)</f>
        <v>207309</v>
      </c>
      <c r="B270" s="189">
        <f>IFERROR(__xludf.DUMMYFUNCTION("""COMPUTED_VALUE"""),91356.0)</f>
        <v>91356</v>
      </c>
      <c r="C270" s="189" t="str">
        <f>IFERROR(__xludf.DUMMYFUNCTION("""COMPUTED_VALUE"""),"Saudi eLeague 2025: Major 2 - Playoffs")</f>
        <v>Saudi eLeague 2025: Major 2 - Playoffs</v>
      </c>
      <c r="D270" s="189" t="str">
        <f>IFERROR(__xludf.DUMMYFUNCTION("""COMPUTED_VALUE"""),"Icebox")</f>
        <v>Icebox</v>
      </c>
      <c r="E270" s="189" t="str">
        <f>IFERROR(__xludf.DUMMYFUNCTION("""COMPUTED_VALUE"""),"The Ultimates")</f>
        <v>The Ultimates</v>
      </c>
      <c r="F270" s="189" t="str">
        <f>IFERROR(__xludf.DUMMYFUNCTION("""COMPUTED_VALUE"""),"Twisted Minds Esports")</f>
        <v>Twisted Minds Esports</v>
      </c>
      <c r="G270" s="189" t="str">
        <f>IFERROR(__xludf.DUMMYFUNCTION("""COMPUTED_VALUE"""),"Reyna,Omen,KAY/O,Harbor,Gekko")</f>
        <v>Reyna,Omen,KAY/O,Harbor,Gekko</v>
      </c>
      <c r="H270" s="189" t="str">
        <f>IFERROR(__xludf.DUMMYFUNCTION("""COMPUTED_VALUE"""),"Sova,Killjoy,Viper,Jett,Harbor")</f>
        <v>Sova,Killjoy,Viper,Jett,Harbor</v>
      </c>
      <c r="I270" s="189">
        <f>IFERROR(__xludf.DUMMYFUNCTION("""COMPUTED_VALUE"""),13.0)</f>
        <v>13</v>
      </c>
      <c r="J270" s="189">
        <f>IFERROR(__xludf.DUMMYFUNCTION("""COMPUTED_VALUE"""),4.0)</f>
        <v>4</v>
      </c>
      <c r="K270" s="189">
        <f>IFERROR(__xludf.DUMMYFUNCTION("""COMPUTED_VALUE"""),10.0)</f>
        <v>10</v>
      </c>
      <c r="L270" s="189">
        <f>IFERROR(__xludf.DUMMYFUNCTION("""COMPUTED_VALUE"""),2.0)</f>
        <v>2</v>
      </c>
      <c r="M270" s="189">
        <f>IFERROR(__xludf.DUMMYFUNCTION("""COMPUTED_VALUE"""),0.0)</f>
        <v>0</v>
      </c>
      <c r="N270" s="189">
        <f>IFERROR(__xludf.DUMMYFUNCTION("""COMPUTED_VALUE"""),1.0)</f>
        <v>1</v>
      </c>
      <c r="O270" s="189">
        <f>IFERROR(__xludf.DUMMYFUNCTION("""COMPUTED_VALUE"""),3.0)</f>
        <v>3</v>
      </c>
      <c r="P270" s="189">
        <f>IFERROR(__xludf.DUMMYFUNCTION("""COMPUTED_VALUE"""),2.0)</f>
        <v>2</v>
      </c>
      <c r="Q270" s="189">
        <f>IFERROR(__xludf.DUMMYFUNCTION("""COMPUTED_VALUE"""),10.0)</f>
        <v>10</v>
      </c>
      <c r="R270" s="189">
        <f>IFERROR(__xludf.DUMMYFUNCTION("""COMPUTED_VALUE"""),2.0)</f>
        <v>2</v>
      </c>
      <c r="S270" s="189">
        <f>IFERROR(__xludf.DUMMYFUNCTION("""COMPUTED_VALUE"""),0.0)</f>
        <v>0</v>
      </c>
      <c r="T270" s="189">
        <f>IFERROR(__xludf.DUMMYFUNCTION("""COMPUTED_VALUE"""),1.0)</f>
        <v>1</v>
      </c>
      <c r="U270" s="189">
        <f>IFERROR(__xludf.DUMMYFUNCTION("""COMPUTED_VALUE"""),2.0)</f>
        <v>2</v>
      </c>
      <c r="V270" s="189">
        <f>IFERROR(__xludf.DUMMYFUNCTION("""COMPUTED_VALUE"""),10.0)</f>
        <v>10</v>
      </c>
      <c r="W270" s="189">
        <f>IFERROR(__xludf.DUMMYFUNCTION("""COMPUTED_VALUE"""),2.0)</f>
        <v>2</v>
      </c>
      <c r="X270" s="189">
        <f>IFERROR(__xludf.DUMMYFUNCTION("""COMPUTED_VALUE"""),3.0)</f>
        <v>3</v>
      </c>
      <c r="Y270" s="208" t="str">
        <f>IFERROR(__xludf.DUMMYFUNCTION("""COMPUTED_VALUE"""),"2025-06-19T00:00:00.000Z")</f>
        <v>2025-06-19T00:00:00.000Z</v>
      </c>
      <c r="Z270" s="189" t="s">
        <v>154</v>
      </c>
      <c r="AA270" s="189" t="s">
        <v>185</v>
      </c>
    </row>
    <row r="271">
      <c r="A271" s="189">
        <f>IFERROR(__xludf.DUMMYFUNCTION("""COMPUTED_VALUE"""),207515.0)</f>
        <v>207515</v>
      </c>
      <c r="B271" s="189">
        <f>IFERROR(__xludf.DUMMYFUNCTION("""COMPUTED_VALUE"""),91432.0)</f>
        <v>91432</v>
      </c>
      <c r="C271" s="189" t="str">
        <f>IFERROR(__xludf.DUMMYFUNCTION("""COMPUTED_VALUE"""),"BtcTurk GameFest - Stage 2")</f>
        <v>BtcTurk GameFest - Stage 2</v>
      </c>
      <c r="D271" s="189" t="str">
        <f>IFERROR(__xludf.DUMMYFUNCTION("""COMPUTED_VALUE"""),"Haven")</f>
        <v>Haven</v>
      </c>
      <c r="E271" s="189" t="str">
        <f>IFERROR(__xludf.DUMMYFUNCTION("""COMPUTED_VALUE"""),"BBL PCIFIC")</f>
        <v>BBL PCIFIC</v>
      </c>
      <c r="F271" s="189" t="str">
        <f>IFERROR(__xludf.DUMMYFUNCTION("""COMPUTED_VALUE"""),"Eternal Fire")</f>
        <v>Eternal Fire</v>
      </c>
      <c r="G271" s="189" t="str">
        <f>IFERROR(__xludf.DUMMYFUNCTION("""COMPUTED_VALUE"""),"Breach,Cypher,Sova,Omen,Jett")</f>
        <v>Breach,Cypher,Sova,Omen,Jett</v>
      </c>
      <c r="H271" s="189" t="str">
        <f>IFERROR(__xludf.DUMMYFUNCTION("""COMPUTED_VALUE"""),"Cypher,Sova,Omen,Yoru,Iso")</f>
        <v>Cypher,Sova,Omen,Yoru,Iso</v>
      </c>
      <c r="I271" s="189">
        <f>IFERROR(__xludf.DUMMYFUNCTION("""COMPUTED_VALUE"""),13.0)</f>
        <v>13</v>
      </c>
      <c r="J271" s="189">
        <f>IFERROR(__xludf.DUMMYFUNCTION("""COMPUTED_VALUE"""),11.0)</f>
        <v>11</v>
      </c>
      <c r="K271" s="189">
        <f>IFERROR(__xludf.DUMMYFUNCTION("""COMPUTED_VALUE"""),5.0)</f>
        <v>5</v>
      </c>
      <c r="L271" s="189">
        <f>IFERROR(__xludf.DUMMYFUNCTION("""COMPUTED_VALUE"""),7.0)</f>
        <v>7</v>
      </c>
      <c r="M271" s="189">
        <f>IFERROR(__xludf.DUMMYFUNCTION("""COMPUTED_VALUE"""),0.0)</f>
        <v>0</v>
      </c>
      <c r="N271" s="189">
        <f>IFERROR(__xludf.DUMMYFUNCTION("""COMPUTED_VALUE"""),1.0)</f>
        <v>1</v>
      </c>
      <c r="O271" s="189">
        <f>IFERROR(__xludf.DUMMYFUNCTION("""COMPUTED_VALUE"""),5.0)</f>
        <v>5</v>
      </c>
      <c r="P271" s="189">
        <f>IFERROR(__xludf.DUMMYFUNCTION("""COMPUTED_VALUE"""),7.0)</f>
        <v>7</v>
      </c>
      <c r="Q271" s="189">
        <f>IFERROR(__xludf.DUMMYFUNCTION("""COMPUTED_VALUE"""),8.0)</f>
        <v>8</v>
      </c>
      <c r="R271" s="189">
        <f>IFERROR(__xludf.DUMMYFUNCTION("""COMPUTED_VALUE"""),4.0)</f>
        <v>4</v>
      </c>
      <c r="S271" s="189">
        <f>IFERROR(__xludf.DUMMYFUNCTION("""COMPUTED_VALUE"""),0.0)</f>
        <v>0</v>
      </c>
      <c r="T271" s="189">
        <f>IFERROR(__xludf.DUMMYFUNCTION("""COMPUTED_VALUE"""),1.0)</f>
        <v>1</v>
      </c>
      <c r="U271" s="189">
        <f>IFERROR(__xludf.DUMMYFUNCTION("""COMPUTED_VALUE"""),4.0)</f>
        <v>4</v>
      </c>
      <c r="V271" s="189">
        <f>IFERROR(__xludf.DUMMYFUNCTION("""COMPUTED_VALUE"""),8.0)</f>
        <v>8</v>
      </c>
      <c r="W271" s="189">
        <f>IFERROR(__xludf.DUMMYFUNCTION("""COMPUTED_VALUE"""),7.0)</f>
        <v>7</v>
      </c>
      <c r="X271" s="189">
        <f>IFERROR(__xludf.DUMMYFUNCTION("""COMPUTED_VALUE"""),5.0)</f>
        <v>5</v>
      </c>
      <c r="Y271" s="208" t="str">
        <f>IFERROR(__xludf.DUMMYFUNCTION("""COMPUTED_VALUE"""),"2025-06-19T00:00:00.000Z")</f>
        <v>2025-06-19T00:00:00.000Z</v>
      </c>
      <c r="Z271" s="189" t="s">
        <v>70</v>
      </c>
      <c r="AA271" s="189" t="s">
        <v>186</v>
      </c>
    </row>
    <row r="272">
      <c r="A272" s="189">
        <f>IFERROR(__xludf.DUMMYFUNCTION("""COMPUTED_VALUE"""),207308.0)</f>
        <v>207308</v>
      </c>
      <c r="B272" s="189">
        <f>IFERROR(__xludf.DUMMYFUNCTION("""COMPUTED_VALUE"""),91356.0)</f>
        <v>91356</v>
      </c>
      <c r="C272" s="189" t="str">
        <f>IFERROR(__xludf.DUMMYFUNCTION("""COMPUTED_VALUE"""),"Saudi eLeague 2025: Major 2 - Playoffs")</f>
        <v>Saudi eLeague 2025: Major 2 - Playoffs</v>
      </c>
      <c r="D272" s="189" t="str">
        <f>IFERROR(__xludf.DUMMYFUNCTION("""COMPUTED_VALUE"""),"Split")</f>
        <v>Split</v>
      </c>
      <c r="E272" s="189" t="str">
        <f>IFERROR(__xludf.DUMMYFUNCTION("""COMPUTED_VALUE"""),"The Ultimates")</f>
        <v>The Ultimates</v>
      </c>
      <c r="F272" s="189" t="str">
        <f>IFERROR(__xludf.DUMMYFUNCTION("""COMPUTED_VALUE"""),"Twisted Minds Esports")</f>
        <v>Twisted Minds Esports</v>
      </c>
      <c r="G272" s="189" t="str">
        <f>IFERROR(__xludf.DUMMYFUNCTION("""COMPUTED_VALUE"""),"Breach,Raze,Cypher,Omen,Skye")</f>
        <v>Breach,Raze,Cypher,Omen,Skye</v>
      </c>
      <c r="H272" s="189" t="str">
        <f>IFERROR(__xludf.DUMMYFUNCTION("""COMPUTED_VALUE"""),"Raze,Viper,Omen,Yoru,Fade")</f>
        <v>Raze,Viper,Omen,Yoru,Fade</v>
      </c>
      <c r="I272" s="189">
        <f>IFERROR(__xludf.DUMMYFUNCTION("""COMPUTED_VALUE"""),11.0)</f>
        <v>11</v>
      </c>
      <c r="J272" s="189">
        <f>IFERROR(__xludf.DUMMYFUNCTION("""COMPUTED_VALUE"""),13.0)</f>
        <v>13</v>
      </c>
      <c r="K272" s="189">
        <f>IFERROR(__xludf.DUMMYFUNCTION("""COMPUTED_VALUE"""),8.0)</f>
        <v>8</v>
      </c>
      <c r="L272" s="189">
        <f>IFERROR(__xludf.DUMMYFUNCTION("""COMPUTED_VALUE"""),4.0)</f>
        <v>4</v>
      </c>
      <c r="M272" s="189">
        <f>IFERROR(__xludf.DUMMYFUNCTION("""COMPUTED_VALUE"""),1.0)</f>
        <v>1</v>
      </c>
      <c r="N272" s="189">
        <f>IFERROR(__xludf.DUMMYFUNCTION("""COMPUTED_VALUE"""),0.0)</f>
        <v>0</v>
      </c>
      <c r="O272" s="189">
        <f>IFERROR(__xludf.DUMMYFUNCTION("""COMPUTED_VALUE"""),3.0)</f>
        <v>3</v>
      </c>
      <c r="P272" s="189">
        <f>IFERROR(__xludf.DUMMYFUNCTION("""COMPUTED_VALUE"""),9.0)</f>
        <v>9</v>
      </c>
      <c r="Q272" s="189">
        <f>IFERROR(__xludf.DUMMYFUNCTION("""COMPUTED_VALUE"""),8.0)</f>
        <v>8</v>
      </c>
      <c r="R272" s="189">
        <f>IFERROR(__xludf.DUMMYFUNCTION("""COMPUTED_VALUE"""),4.0)</f>
        <v>4</v>
      </c>
      <c r="S272" s="189">
        <f>IFERROR(__xludf.DUMMYFUNCTION("""COMPUTED_VALUE"""),1.0)</f>
        <v>1</v>
      </c>
      <c r="T272" s="189">
        <f>IFERROR(__xludf.DUMMYFUNCTION("""COMPUTED_VALUE"""),0.0)</f>
        <v>0</v>
      </c>
      <c r="U272" s="189">
        <f>IFERROR(__xludf.DUMMYFUNCTION("""COMPUTED_VALUE"""),4.0)</f>
        <v>4</v>
      </c>
      <c r="V272" s="189">
        <f>IFERROR(__xludf.DUMMYFUNCTION("""COMPUTED_VALUE"""),8.0)</f>
        <v>8</v>
      </c>
      <c r="W272" s="189">
        <f>IFERROR(__xludf.DUMMYFUNCTION("""COMPUTED_VALUE"""),9.0)</f>
        <v>9</v>
      </c>
      <c r="X272" s="189">
        <f>IFERROR(__xludf.DUMMYFUNCTION("""COMPUTED_VALUE"""),3.0)</f>
        <v>3</v>
      </c>
      <c r="Y272" s="208" t="str">
        <f>IFERROR(__xludf.DUMMYFUNCTION("""COMPUTED_VALUE"""),"2025-06-19T00:00:00.000Z")</f>
        <v>2025-06-19T00:00:00.000Z</v>
      </c>
      <c r="Z272" s="189" t="s">
        <v>157</v>
      </c>
      <c r="AA272" s="189" t="s">
        <v>184</v>
      </c>
    </row>
    <row r="273">
      <c r="A273" s="189">
        <f>IFERROR(__xludf.DUMMYFUNCTION("""COMPUTED_VALUE"""),207514.0)</f>
        <v>207514</v>
      </c>
      <c r="B273" s="189">
        <f>IFERROR(__xludf.DUMMYFUNCTION("""COMPUTED_VALUE"""),91432.0)</f>
        <v>91432</v>
      </c>
      <c r="C273" s="189" t="str">
        <f>IFERROR(__xludf.DUMMYFUNCTION("""COMPUTED_VALUE"""),"BtcTurk GameFest - Stage 2")</f>
        <v>BtcTurk GameFest - Stage 2</v>
      </c>
      <c r="D273" s="189" t="str">
        <f>IFERROR(__xludf.DUMMYFUNCTION("""COMPUTED_VALUE"""),"Split")</f>
        <v>Split</v>
      </c>
      <c r="E273" s="189" t="str">
        <f>IFERROR(__xludf.DUMMYFUNCTION("""COMPUTED_VALUE"""),"BBL PCIFIC")</f>
        <v>BBL PCIFIC</v>
      </c>
      <c r="F273" s="189" t="str">
        <f>IFERROR(__xludf.DUMMYFUNCTION("""COMPUTED_VALUE"""),"Eternal Fire")</f>
        <v>Eternal Fire</v>
      </c>
      <c r="G273" s="189" t="str">
        <f>IFERROR(__xludf.DUMMYFUNCTION("""COMPUTED_VALUE"""),"Raze,Viper,Omen,Yoru,Fade")</f>
        <v>Raze,Viper,Omen,Yoru,Fade</v>
      </c>
      <c r="H273" s="189" t="str">
        <f>IFERROR(__xludf.DUMMYFUNCTION("""COMPUTED_VALUE"""),"Raze,Viper,Omen,Yoru,Fade")</f>
        <v>Raze,Viper,Omen,Yoru,Fade</v>
      </c>
      <c r="I273" s="189">
        <f>IFERROR(__xludf.DUMMYFUNCTION("""COMPUTED_VALUE"""),13.0)</f>
        <v>13</v>
      </c>
      <c r="J273" s="189">
        <f>IFERROR(__xludf.DUMMYFUNCTION("""COMPUTED_VALUE"""),9.0)</f>
        <v>9</v>
      </c>
      <c r="K273" s="189">
        <f>IFERROR(__xludf.DUMMYFUNCTION("""COMPUTED_VALUE"""),7.0)</f>
        <v>7</v>
      </c>
      <c r="L273" s="189">
        <f>IFERROR(__xludf.DUMMYFUNCTION("""COMPUTED_VALUE"""),5.0)</f>
        <v>5</v>
      </c>
      <c r="M273" s="189">
        <f>IFERROR(__xludf.DUMMYFUNCTION("""COMPUTED_VALUE"""),1.0)</f>
        <v>1</v>
      </c>
      <c r="N273" s="189">
        <f>IFERROR(__xludf.DUMMYFUNCTION("""COMPUTED_VALUE"""),0.0)</f>
        <v>0</v>
      </c>
      <c r="O273" s="189">
        <f>IFERROR(__xludf.DUMMYFUNCTION("""COMPUTED_VALUE"""),6.0)</f>
        <v>6</v>
      </c>
      <c r="P273" s="189">
        <f>IFERROR(__xludf.DUMMYFUNCTION("""COMPUTED_VALUE"""),4.0)</f>
        <v>4</v>
      </c>
      <c r="Q273" s="189">
        <f>IFERROR(__xludf.DUMMYFUNCTION("""COMPUTED_VALUE"""),7.0)</f>
        <v>7</v>
      </c>
      <c r="R273" s="189">
        <f>IFERROR(__xludf.DUMMYFUNCTION("""COMPUTED_VALUE"""),5.0)</f>
        <v>5</v>
      </c>
      <c r="S273" s="189">
        <f>IFERROR(__xludf.DUMMYFUNCTION("""COMPUTED_VALUE"""),1.0)</f>
        <v>1</v>
      </c>
      <c r="T273" s="189">
        <f>IFERROR(__xludf.DUMMYFUNCTION("""COMPUTED_VALUE"""),0.0)</f>
        <v>0</v>
      </c>
      <c r="U273" s="189">
        <f>IFERROR(__xludf.DUMMYFUNCTION("""COMPUTED_VALUE"""),5.0)</f>
        <v>5</v>
      </c>
      <c r="V273" s="189">
        <f>IFERROR(__xludf.DUMMYFUNCTION("""COMPUTED_VALUE"""),7.0)</f>
        <v>7</v>
      </c>
      <c r="W273" s="189">
        <f>IFERROR(__xludf.DUMMYFUNCTION("""COMPUTED_VALUE"""),4.0)</f>
        <v>4</v>
      </c>
      <c r="X273" s="189">
        <f>IFERROR(__xludf.DUMMYFUNCTION("""COMPUTED_VALUE"""),6.0)</f>
        <v>6</v>
      </c>
      <c r="Y273" s="208" t="str">
        <f>IFERROR(__xludf.DUMMYFUNCTION("""COMPUTED_VALUE"""),"2025-06-19T00:00:00.000Z")</f>
        <v>2025-06-19T00:00:00.000Z</v>
      </c>
      <c r="Z273" s="189" t="s">
        <v>74</v>
      </c>
      <c r="AA273" s="189" t="s">
        <v>186</v>
      </c>
    </row>
    <row r="274">
      <c r="A274" s="189">
        <f>IFERROR(__xludf.DUMMYFUNCTION("""COMPUTED_VALUE"""),207307.0)</f>
        <v>207307</v>
      </c>
      <c r="B274" s="189">
        <f>IFERROR(__xludf.DUMMYFUNCTION("""COMPUTED_VALUE"""),91356.0)</f>
        <v>91356</v>
      </c>
      <c r="C274" s="189" t="str">
        <f>IFERROR(__xludf.DUMMYFUNCTION("""COMPUTED_VALUE"""),"Saudi eLeague 2025: Major 2 - Playoffs")</f>
        <v>Saudi eLeague 2025: Major 2 - Playoffs</v>
      </c>
      <c r="D274" s="189" t="str">
        <f>IFERROR(__xludf.DUMMYFUNCTION("""COMPUTED_VALUE"""),"Haven")</f>
        <v>Haven</v>
      </c>
      <c r="E274" s="189" t="str">
        <f>IFERROR(__xludf.DUMMYFUNCTION("""COMPUTED_VALUE"""),"The Ultimates")</f>
        <v>The Ultimates</v>
      </c>
      <c r="F274" s="189" t="str">
        <f>IFERROR(__xludf.DUMMYFUNCTION("""COMPUTED_VALUE"""),"Twisted Minds Esports")</f>
        <v>Twisted Minds Esports</v>
      </c>
      <c r="G274" s="189" t="str">
        <f>IFERROR(__xludf.DUMMYFUNCTION("""COMPUTED_VALUE"""),"Breach,Cypher,Sova,Omen,Neon")</f>
        <v>Breach,Cypher,Sova,Omen,Neon</v>
      </c>
      <c r="H274" s="189" t="str">
        <f>IFERROR(__xludf.DUMMYFUNCTION("""COMPUTED_VALUE"""),"Breach,Cypher,Sova,Omen,Jett")</f>
        <v>Breach,Cypher,Sova,Omen,Jett</v>
      </c>
      <c r="I274" s="189">
        <f>IFERROR(__xludf.DUMMYFUNCTION("""COMPUTED_VALUE"""),14.0)</f>
        <v>14</v>
      </c>
      <c r="J274" s="189">
        <f>IFERROR(__xludf.DUMMYFUNCTION("""COMPUTED_VALUE"""),12.0)</f>
        <v>12</v>
      </c>
      <c r="K274" s="189">
        <f>IFERROR(__xludf.DUMMYFUNCTION("""COMPUTED_VALUE"""),8.0)</f>
        <v>8</v>
      </c>
      <c r="L274" s="189">
        <f>IFERROR(__xludf.DUMMYFUNCTION("""COMPUTED_VALUE"""),4.0)</f>
        <v>4</v>
      </c>
      <c r="M274" s="189">
        <f>IFERROR(__xludf.DUMMYFUNCTION("""COMPUTED_VALUE"""),1.0)</f>
        <v>1</v>
      </c>
      <c r="N274" s="189">
        <f>IFERROR(__xludf.DUMMYFUNCTION("""COMPUTED_VALUE"""),1.0)</f>
        <v>1</v>
      </c>
      <c r="O274" s="189">
        <f>IFERROR(__xludf.DUMMYFUNCTION("""COMPUTED_VALUE"""),5.0)</f>
        <v>5</v>
      </c>
      <c r="P274" s="189">
        <f>IFERROR(__xludf.DUMMYFUNCTION("""COMPUTED_VALUE"""),8.0)</f>
        <v>8</v>
      </c>
      <c r="Q274" s="189">
        <f>IFERROR(__xludf.DUMMYFUNCTION("""COMPUTED_VALUE"""),9.0)</f>
        <v>9</v>
      </c>
      <c r="R274" s="189">
        <f>IFERROR(__xludf.DUMMYFUNCTION("""COMPUTED_VALUE"""),4.0)</f>
        <v>4</v>
      </c>
      <c r="S274" s="189">
        <f>IFERROR(__xludf.DUMMYFUNCTION("""COMPUTED_VALUE"""),0.0)</f>
        <v>0</v>
      </c>
      <c r="T274" s="189">
        <f>IFERROR(__xludf.DUMMYFUNCTION("""COMPUTED_VALUE"""),0.0)</f>
        <v>0</v>
      </c>
      <c r="U274" s="189">
        <f>IFERROR(__xludf.DUMMYFUNCTION("""COMPUTED_VALUE"""),4.0)</f>
        <v>4</v>
      </c>
      <c r="V274" s="189">
        <f>IFERROR(__xludf.DUMMYFUNCTION("""COMPUTED_VALUE"""),9.0)</f>
        <v>9</v>
      </c>
      <c r="W274" s="189">
        <f>IFERROR(__xludf.DUMMYFUNCTION("""COMPUTED_VALUE"""),8.0)</f>
        <v>8</v>
      </c>
      <c r="X274" s="189">
        <f>IFERROR(__xludf.DUMMYFUNCTION("""COMPUTED_VALUE"""),5.0)</f>
        <v>5</v>
      </c>
      <c r="Y274" s="208" t="str">
        <f>IFERROR(__xludf.DUMMYFUNCTION("""COMPUTED_VALUE"""),"2025-06-19T00:00:00.000Z")</f>
        <v>2025-06-19T00:00:00.000Z</v>
      </c>
      <c r="Z274" s="189" t="s">
        <v>153</v>
      </c>
      <c r="AA274" s="189" t="s">
        <v>185</v>
      </c>
    </row>
    <row r="275">
      <c r="A275" s="189">
        <f>IFERROR(__xludf.DUMMYFUNCTION("""COMPUTED_VALUE"""),207513.0)</f>
        <v>207513</v>
      </c>
      <c r="B275" s="189">
        <f>IFERROR(__xludf.DUMMYFUNCTION("""COMPUTED_VALUE"""),91432.0)</f>
        <v>91432</v>
      </c>
      <c r="C275" s="189" t="str">
        <f>IFERROR(__xludf.DUMMYFUNCTION("""COMPUTED_VALUE"""),"BtcTurk GameFest - Stage 2")</f>
        <v>BtcTurk GameFest - Stage 2</v>
      </c>
      <c r="D275" s="189" t="str">
        <f>IFERROR(__xludf.DUMMYFUNCTION("""COMPUTED_VALUE"""),"Icebox")</f>
        <v>Icebox</v>
      </c>
      <c r="E275" s="189" t="str">
        <f>IFERROR(__xludf.DUMMYFUNCTION("""COMPUTED_VALUE"""),"BBL PCIFIC")</f>
        <v>BBL PCIFIC</v>
      </c>
      <c r="F275" s="189" t="str">
        <f>IFERROR(__xludf.DUMMYFUNCTION("""COMPUTED_VALUE"""),"Eternal Fire")</f>
        <v>Eternal Fire</v>
      </c>
      <c r="G275" s="189" t="str">
        <f>IFERROR(__xludf.DUMMYFUNCTION("""COMPUTED_VALUE"""),"Sova,Killjoy,Viper,Jett,Gekko")</f>
        <v>Sova,Killjoy,Viper,Jett,Gekko</v>
      </c>
      <c r="H275" s="189" t="str">
        <f>IFERROR(__xludf.DUMMYFUNCTION("""COMPUTED_VALUE"""),"Sova,Killjoy,Viper,Omen,Jett")</f>
        <v>Sova,Killjoy,Viper,Omen,Jett</v>
      </c>
      <c r="I275" s="189">
        <f>IFERROR(__xludf.DUMMYFUNCTION("""COMPUTED_VALUE"""),8.0)</f>
        <v>8</v>
      </c>
      <c r="J275" s="189">
        <f>IFERROR(__xludf.DUMMYFUNCTION("""COMPUTED_VALUE"""),13.0)</f>
        <v>13</v>
      </c>
      <c r="K275" s="189">
        <f>IFERROR(__xludf.DUMMYFUNCTION("""COMPUTED_VALUE"""),5.0)</f>
        <v>5</v>
      </c>
      <c r="L275" s="189">
        <f>IFERROR(__xludf.DUMMYFUNCTION("""COMPUTED_VALUE"""),7.0)</f>
        <v>7</v>
      </c>
      <c r="M275" s="189">
        <f>IFERROR(__xludf.DUMMYFUNCTION("""COMPUTED_VALUE"""),1.0)</f>
        <v>1</v>
      </c>
      <c r="N275" s="189">
        <f>IFERROR(__xludf.DUMMYFUNCTION("""COMPUTED_VALUE"""),0.0)</f>
        <v>0</v>
      </c>
      <c r="O275" s="189">
        <f>IFERROR(__xludf.DUMMYFUNCTION("""COMPUTED_VALUE"""),5.0)</f>
        <v>5</v>
      </c>
      <c r="P275" s="189">
        <f>IFERROR(__xludf.DUMMYFUNCTION("""COMPUTED_VALUE"""),7.0)</f>
        <v>7</v>
      </c>
      <c r="Q275" s="189">
        <f>IFERROR(__xludf.DUMMYFUNCTION("""COMPUTED_VALUE"""),3.0)</f>
        <v>3</v>
      </c>
      <c r="R275" s="189">
        <f>IFERROR(__xludf.DUMMYFUNCTION("""COMPUTED_VALUE"""),6.0)</f>
        <v>6</v>
      </c>
      <c r="S275" s="189">
        <f>IFERROR(__xludf.DUMMYFUNCTION("""COMPUTED_VALUE"""),1.0)</f>
        <v>1</v>
      </c>
      <c r="T275" s="189">
        <f>IFERROR(__xludf.DUMMYFUNCTION("""COMPUTED_VALUE"""),0.0)</f>
        <v>0</v>
      </c>
      <c r="U275" s="189">
        <f>IFERROR(__xludf.DUMMYFUNCTION("""COMPUTED_VALUE"""),6.0)</f>
        <v>6</v>
      </c>
      <c r="V275" s="189">
        <f>IFERROR(__xludf.DUMMYFUNCTION("""COMPUTED_VALUE"""),3.0)</f>
        <v>3</v>
      </c>
      <c r="W275" s="189">
        <f>IFERROR(__xludf.DUMMYFUNCTION("""COMPUTED_VALUE"""),7.0)</f>
        <v>7</v>
      </c>
      <c r="X275" s="189">
        <f>IFERROR(__xludf.DUMMYFUNCTION("""COMPUTED_VALUE"""),5.0)</f>
        <v>5</v>
      </c>
      <c r="Y275" s="208" t="str">
        <f>IFERROR(__xludf.DUMMYFUNCTION("""COMPUTED_VALUE"""),"2025-06-19T00:00:00.000Z")</f>
        <v>2025-06-19T00:00:00.000Z</v>
      </c>
      <c r="Z275" s="189" t="s">
        <v>71</v>
      </c>
      <c r="AA275" s="189" t="s">
        <v>480</v>
      </c>
    </row>
    <row r="276">
      <c r="A276" s="189">
        <f>IFERROR(__xludf.DUMMYFUNCTION("""COMPUTED_VALUE"""),207512.0)</f>
        <v>207512</v>
      </c>
      <c r="B276" s="189">
        <f>IFERROR(__xludf.DUMMYFUNCTION("""COMPUTED_VALUE"""),91432.0)</f>
        <v>91432</v>
      </c>
      <c r="C276" s="189" t="str">
        <f>IFERROR(__xludf.DUMMYFUNCTION("""COMPUTED_VALUE"""),"BtcTurk GameFest - Stage 2")</f>
        <v>BtcTurk GameFest - Stage 2</v>
      </c>
      <c r="D276" s="189" t="str">
        <f>IFERROR(__xludf.DUMMYFUNCTION("""COMPUTED_VALUE"""),"Sunset")</f>
        <v>Sunset</v>
      </c>
      <c r="E276" s="189" t="str">
        <f>IFERROR(__xludf.DUMMYFUNCTION("""COMPUTED_VALUE"""),"BBL PCIFIC")</f>
        <v>BBL PCIFIC</v>
      </c>
      <c r="F276" s="189" t="str">
        <f>IFERROR(__xludf.DUMMYFUNCTION("""COMPUTED_VALUE"""),"Eternal Fire")</f>
        <v>Eternal Fire</v>
      </c>
      <c r="G276" s="189" t="str">
        <f>IFERROR(__xludf.DUMMYFUNCTION("""COMPUTED_VALUE"""),"Breach,Cypher,Sova,Omen,Neon")</f>
        <v>Breach,Cypher,Sova,Omen,Neon</v>
      </c>
      <c r="H276" s="189" t="str">
        <f>IFERROR(__xludf.DUMMYFUNCTION("""COMPUTED_VALUE"""),"Cypher,Sova,Omen,Yoru,Iso")</f>
        <v>Cypher,Sova,Omen,Yoru,Iso</v>
      </c>
      <c r="I276" s="189">
        <f>IFERROR(__xludf.DUMMYFUNCTION("""COMPUTED_VALUE"""),4.0)</f>
        <v>4</v>
      </c>
      <c r="J276" s="189">
        <f>IFERROR(__xludf.DUMMYFUNCTION("""COMPUTED_VALUE"""),13.0)</f>
        <v>13</v>
      </c>
      <c r="K276" s="189">
        <f>IFERROR(__xludf.DUMMYFUNCTION("""COMPUTED_VALUE"""),2.0)</f>
        <v>2</v>
      </c>
      <c r="L276" s="189">
        <f>IFERROR(__xludf.DUMMYFUNCTION("""COMPUTED_VALUE"""),10.0)</f>
        <v>10</v>
      </c>
      <c r="M276" s="189">
        <f>IFERROR(__xludf.DUMMYFUNCTION("""COMPUTED_VALUE"""),0.0)</f>
        <v>0</v>
      </c>
      <c r="N276" s="189">
        <f>IFERROR(__xludf.DUMMYFUNCTION("""COMPUTED_VALUE"""),0.0)</f>
        <v>0</v>
      </c>
      <c r="O276" s="189">
        <f>IFERROR(__xludf.DUMMYFUNCTION("""COMPUTED_VALUE"""),2.0)</f>
        <v>2</v>
      </c>
      <c r="P276" s="189">
        <f>IFERROR(__xludf.DUMMYFUNCTION("""COMPUTED_VALUE"""),10.0)</f>
        <v>10</v>
      </c>
      <c r="Q276" s="189">
        <f>IFERROR(__xludf.DUMMYFUNCTION("""COMPUTED_VALUE"""),2.0)</f>
        <v>2</v>
      </c>
      <c r="R276" s="189">
        <f>IFERROR(__xludf.DUMMYFUNCTION("""COMPUTED_VALUE"""),3.0)</f>
        <v>3</v>
      </c>
      <c r="S276" s="189">
        <f>IFERROR(__xludf.DUMMYFUNCTION("""COMPUTED_VALUE"""),1.0)</f>
        <v>1</v>
      </c>
      <c r="T276" s="189">
        <f>IFERROR(__xludf.DUMMYFUNCTION("""COMPUTED_VALUE"""),1.0)</f>
        <v>1</v>
      </c>
      <c r="U276" s="189">
        <f>IFERROR(__xludf.DUMMYFUNCTION("""COMPUTED_VALUE"""),3.0)</f>
        <v>3</v>
      </c>
      <c r="V276" s="189">
        <f>IFERROR(__xludf.DUMMYFUNCTION("""COMPUTED_VALUE"""),2.0)</f>
        <v>2</v>
      </c>
      <c r="W276" s="189">
        <f>IFERROR(__xludf.DUMMYFUNCTION("""COMPUTED_VALUE"""),10.0)</f>
        <v>10</v>
      </c>
      <c r="X276" s="189">
        <f>IFERROR(__xludf.DUMMYFUNCTION("""COMPUTED_VALUE"""),2.0)</f>
        <v>2</v>
      </c>
      <c r="Y276" s="208" t="str">
        <f>IFERROR(__xludf.DUMMYFUNCTION("""COMPUTED_VALUE"""),"2025-06-19T00:00:00.000Z")</f>
        <v>2025-06-19T00:00:00.000Z</v>
      </c>
      <c r="Z276" s="189" t="s">
        <v>75</v>
      </c>
      <c r="AA276" s="189" t="s">
        <v>480</v>
      </c>
    </row>
    <row r="277">
      <c r="A277" s="189">
        <f>IFERROR(__xludf.DUMMYFUNCTION("""COMPUTED_VALUE"""),207306.0)</f>
        <v>207306</v>
      </c>
      <c r="B277" s="189">
        <f>IFERROR(__xludf.DUMMYFUNCTION("""COMPUTED_VALUE"""),91355.0)</f>
        <v>91355</v>
      </c>
      <c r="C277" s="189" t="str">
        <f>IFERROR(__xludf.DUMMYFUNCTION("""COMPUTED_VALUE"""),"Saudi eLeague 2025: Major 2 - Playoffs")</f>
        <v>Saudi eLeague 2025: Major 2 - Playoffs</v>
      </c>
      <c r="D277" s="189" t="str">
        <f>IFERROR(__xludf.DUMMYFUNCTION("""COMPUTED_VALUE"""),"Lotus")</f>
        <v>Lotus</v>
      </c>
      <c r="E277" s="189" t="str">
        <f>IFERROR(__xludf.DUMMYFUNCTION("""COMPUTED_VALUE"""),"Stallions Esports")</f>
        <v>Stallions Esports</v>
      </c>
      <c r="F277" s="189" t="str">
        <f>IFERROR(__xludf.DUMMYFUNCTION("""COMPUTED_VALUE"""),"Twisted Minds Esports")</f>
        <v>Twisted Minds Esports</v>
      </c>
      <c r="G277" s="189" t="str">
        <f>IFERROR(__xludf.DUMMYFUNCTION("""COMPUTED_VALUE"""),"Cypher,Omen,Yoru,Fade,Iso")</f>
        <v>Cypher,Omen,Yoru,Fade,Iso</v>
      </c>
      <c r="H277" s="189" t="str">
        <f>IFERROR(__xludf.DUMMYFUNCTION("""COMPUTED_VALUE"""),"Raze,Killjoy,Viper,Omen,Fade")</f>
        <v>Raze,Killjoy,Viper,Omen,Fade</v>
      </c>
      <c r="I277" s="189">
        <f>IFERROR(__xludf.DUMMYFUNCTION("""COMPUTED_VALUE"""),14.0)</f>
        <v>14</v>
      </c>
      <c r="J277" s="189">
        <f>IFERROR(__xludf.DUMMYFUNCTION("""COMPUTED_VALUE"""),16.0)</f>
        <v>16</v>
      </c>
      <c r="K277" s="189">
        <f>IFERROR(__xludf.DUMMYFUNCTION("""COMPUTED_VALUE"""),4.0)</f>
        <v>4</v>
      </c>
      <c r="L277" s="189">
        <f>IFERROR(__xludf.DUMMYFUNCTION("""COMPUTED_VALUE"""),8.0)</f>
        <v>8</v>
      </c>
      <c r="M277" s="189">
        <f>IFERROR(__xludf.DUMMYFUNCTION("""COMPUTED_VALUE"""),0.0)</f>
        <v>0</v>
      </c>
      <c r="N277" s="189">
        <f>IFERROR(__xludf.DUMMYFUNCTION("""COMPUTED_VALUE"""),0.0)</f>
        <v>0</v>
      </c>
      <c r="O277" s="189">
        <f>IFERROR(__xludf.DUMMYFUNCTION("""COMPUTED_VALUE"""),8.0)</f>
        <v>8</v>
      </c>
      <c r="P277" s="189">
        <f>IFERROR(__xludf.DUMMYFUNCTION("""COMPUTED_VALUE"""),7.0)</f>
        <v>7</v>
      </c>
      <c r="Q277" s="189">
        <f>IFERROR(__xludf.DUMMYFUNCTION("""COMPUTED_VALUE"""),6.0)</f>
        <v>6</v>
      </c>
      <c r="R277" s="189">
        <f>IFERROR(__xludf.DUMMYFUNCTION("""COMPUTED_VALUE"""),9.0)</f>
        <v>9</v>
      </c>
      <c r="S277" s="189">
        <f>IFERROR(__xludf.DUMMYFUNCTION("""COMPUTED_VALUE"""),1.0)</f>
        <v>1</v>
      </c>
      <c r="T277" s="189">
        <f>IFERROR(__xludf.DUMMYFUNCTION("""COMPUTED_VALUE"""),1.0)</f>
        <v>1</v>
      </c>
      <c r="U277" s="189">
        <f>IFERROR(__xludf.DUMMYFUNCTION("""COMPUTED_VALUE"""),9.0)</f>
        <v>9</v>
      </c>
      <c r="V277" s="189">
        <f>IFERROR(__xludf.DUMMYFUNCTION("""COMPUTED_VALUE"""),6.0)</f>
        <v>6</v>
      </c>
      <c r="W277" s="189">
        <f>IFERROR(__xludf.DUMMYFUNCTION("""COMPUTED_VALUE"""),7.0)</f>
        <v>7</v>
      </c>
      <c r="X277" s="189">
        <f>IFERROR(__xludf.DUMMYFUNCTION("""COMPUTED_VALUE"""),8.0)</f>
        <v>8</v>
      </c>
      <c r="Y277" s="208" t="str">
        <f>IFERROR(__xludf.DUMMYFUNCTION("""COMPUTED_VALUE"""),"2025-06-19T00:00:00.000Z")</f>
        <v>2025-06-19T00:00:00.000Z</v>
      </c>
      <c r="Z277" s="189" t="s">
        <v>481</v>
      </c>
      <c r="AA277" s="189" t="s">
        <v>184</v>
      </c>
    </row>
    <row r="278">
      <c r="A278" s="189">
        <f>IFERROR(__xludf.DUMMYFUNCTION("""COMPUTED_VALUE"""),207511.0)</f>
        <v>207511</v>
      </c>
      <c r="B278" s="189">
        <f>IFERROR(__xludf.DUMMYFUNCTION("""COMPUTED_VALUE"""),91432.0)</f>
        <v>91432</v>
      </c>
      <c r="C278" s="189" t="str">
        <f>IFERROR(__xludf.DUMMYFUNCTION("""COMPUTED_VALUE"""),"BtcTurk GameFest - Stage 2")</f>
        <v>BtcTurk GameFest - Stage 2</v>
      </c>
      <c r="D278" s="189" t="str">
        <f>IFERROR(__xludf.DUMMYFUNCTION("""COMPUTED_VALUE"""),"Lotus")</f>
        <v>Lotus</v>
      </c>
      <c r="E278" s="189" t="str">
        <f>IFERROR(__xludf.DUMMYFUNCTION("""COMPUTED_VALUE"""),"BBL PCIFIC")</f>
        <v>BBL PCIFIC</v>
      </c>
      <c r="F278" s="189" t="str">
        <f>IFERROR(__xludf.DUMMYFUNCTION("""COMPUTED_VALUE"""),"Eternal Fire")</f>
        <v>Eternal Fire</v>
      </c>
      <c r="G278" s="189" t="str">
        <f>IFERROR(__xludf.DUMMYFUNCTION("""COMPUTED_VALUE"""),"Breach,Cypher,Sova,Omen,Neon")</f>
        <v>Breach,Cypher,Sova,Omen,Neon</v>
      </c>
      <c r="H278" s="189" t="str">
        <f>IFERROR(__xludf.DUMMYFUNCTION("""COMPUTED_VALUE"""),"Viper,Omen,Yoru,Fade,Iso")</f>
        <v>Viper,Omen,Yoru,Fade,Iso</v>
      </c>
      <c r="I278" s="189">
        <f>IFERROR(__xludf.DUMMYFUNCTION("""COMPUTED_VALUE"""),13.0)</f>
        <v>13</v>
      </c>
      <c r="J278" s="189">
        <f>IFERROR(__xludf.DUMMYFUNCTION("""COMPUTED_VALUE"""),9.0)</f>
        <v>9</v>
      </c>
      <c r="K278" s="189">
        <f>IFERROR(__xludf.DUMMYFUNCTION("""COMPUTED_VALUE"""),6.0)</f>
        <v>6</v>
      </c>
      <c r="L278" s="189">
        <f>IFERROR(__xludf.DUMMYFUNCTION("""COMPUTED_VALUE"""),6.0)</f>
        <v>6</v>
      </c>
      <c r="M278" s="189">
        <f>IFERROR(__xludf.DUMMYFUNCTION("""COMPUTED_VALUE"""),0.0)</f>
        <v>0</v>
      </c>
      <c r="N278" s="189">
        <f>IFERROR(__xludf.DUMMYFUNCTION("""COMPUTED_VALUE"""),1.0)</f>
        <v>1</v>
      </c>
      <c r="O278" s="189">
        <f>IFERROR(__xludf.DUMMYFUNCTION("""COMPUTED_VALUE"""),6.0)</f>
        <v>6</v>
      </c>
      <c r="P278" s="189">
        <f>IFERROR(__xludf.DUMMYFUNCTION("""COMPUTED_VALUE"""),6.0)</f>
        <v>6</v>
      </c>
      <c r="Q278" s="189">
        <f>IFERROR(__xludf.DUMMYFUNCTION("""COMPUTED_VALUE"""),7.0)</f>
        <v>7</v>
      </c>
      <c r="R278" s="189">
        <f>IFERROR(__xludf.DUMMYFUNCTION("""COMPUTED_VALUE"""),3.0)</f>
        <v>3</v>
      </c>
      <c r="S278" s="189">
        <f>IFERROR(__xludf.DUMMYFUNCTION("""COMPUTED_VALUE"""),0.0)</f>
        <v>0</v>
      </c>
      <c r="T278" s="189">
        <f>IFERROR(__xludf.DUMMYFUNCTION("""COMPUTED_VALUE"""),1.0)</f>
        <v>1</v>
      </c>
      <c r="U278" s="189">
        <f>IFERROR(__xludf.DUMMYFUNCTION("""COMPUTED_VALUE"""),3.0)</f>
        <v>3</v>
      </c>
      <c r="V278" s="189">
        <f>IFERROR(__xludf.DUMMYFUNCTION("""COMPUTED_VALUE"""),7.0)</f>
        <v>7</v>
      </c>
      <c r="W278" s="189">
        <f>IFERROR(__xludf.DUMMYFUNCTION("""COMPUTED_VALUE"""),6.0)</f>
        <v>6</v>
      </c>
      <c r="X278" s="189">
        <f>IFERROR(__xludf.DUMMYFUNCTION("""COMPUTED_VALUE"""),6.0)</f>
        <v>6</v>
      </c>
      <c r="Y278" s="208" t="str">
        <f>IFERROR(__xludf.DUMMYFUNCTION("""COMPUTED_VALUE"""),"2025-06-19T00:00:00.000Z")</f>
        <v>2025-06-19T00:00:00.000Z</v>
      </c>
      <c r="Z278" s="189" t="s">
        <v>72</v>
      </c>
      <c r="AA278" s="189" t="s">
        <v>186</v>
      </c>
    </row>
    <row r="279">
      <c r="A279" s="189">
        <f>IFERROR(__xludf.DUMMYFUNCTION("""COMPUTED_VALUE"""),207305.0)</f>
        <v>207305</v>
      </c>
      <c r="B279" s="189">
        <f>IFERROR(__xludf.DUMMYFUNCTION("""COMPUTED_VALUE"""),91355.0)</f>
        <v>91355</v>
      </c>
      <c r="C279" s="189" t="str">
        <f>IFERROR(__xludf.DUMMYFUNCTION("""COMPUTED_VALUE"""),"Saudi eLeague 2025: Major 2 - Playoffs")</f>
        <v>Saudi eLeague 2025: Major 2 - Playoffs</v>
      </c>
      <c r="D279" s="189" t="str">
        <f>IFERROR(__xludf.DUMMYFUNCTION("""COMPUTED_VALUE"""),"Icebox")</f>
        <v>Icebox</v>
      </c>
      <c r="E279" s="189" t="str">
        <f>IFERROR(__xludf.DUMMYFUNCTION("""COMPUTED_VALUE"""),"Stallions Esports")</f>
        <v>Stallions Esports</v>
      </c>
      <c r="F279" s="189" t="str">
        <f>IFERROR(__xludf.DUMMYFUNCTION("""COMPUTED_VALUE"""),"Twisted Minds Esports")</f>
        <v>Twisted Minds Esports</v>
      </c>
      <c r="G279" s="189" t="str">
        <f>IFERROR(__xludf.DUMMYFUNCTION("""COMPUTED_VALUE"""),"Sova,Killjoy,Viper,Reyna,Omen")</f>
        <v>Sova,Killjoy,Viper,Reyna,Omen</v>
      </c>
      <c r="H279" s="189" t="str">
        <f>IFERROR(__xludf.DUMMYFUNCTION("""COMPUTED_VALUE"""),"Sova,Killjoy,Viper,Jett,Harbor")</f>
        <v>Sova,Killjoy,Viper,Jett,Harbor</v>
      </c>
      <c r="I279" s="189">
        <f>IFERROR(__xludf.DUMMYFUNCTION("""COMPUTED_VALUE"""),11.0)</f>
        <v>11</v>
      </c>
      <c r="J279" s="189">
        <f>IFERROR(__xludf.DUMMYFUNCTION("""COMPUTED_VALUE"""),13.0)</f>
        <v>13</v>
      </c>
      <c r="K279" s="189">
        <f>IFERROR(__xludf.DUMMYFUNCTION("""COMPUTED_VALUE"""),6.0)</f>
        <v>6</v>
      </c>
      <c r="L279" s="189">
        <f>IFERROR(__xludf.DUMMYFUNCTION("""COMPUTED_VALUE"""),6.0)</f>
        <v>6</v>
      </c>
      <c r="M279" s="189">
        <f>IFERROR(__xludf.DUMMYFUNCTION("""COMPUTED_VALUE"""),0.0)</f>
        <v>0</v>
      </c>
      <c r="N279" s="189">
        <f>IFERROR(__xludf.DUMMYFUNCTION("""COMPUTED_VALUE"""),0.0)</f>
        <v>0</v>
      </c>
      <c r="O279" s="189">
        <f>IFERROR(__xludf.DUMMYFUNCTION("""COMPUTED_VALUE"""),5.0)</f>
        <v>5</v>
      </c>
      <c r="P279" s="189">
        <f>IFERROR(__xludf.DUMMYFUNCTION("""COMPUTED_VALUE"""),7.0)</f>
        <v>7</v>
      </c>
      <c r="Q279" s="189">
        <f>IFERROR(__xludf.DUMMYFUNCTION("""COMPUTED_VALUE"""),6.0)</f>
        <v>6</v>
      </c>
      <c r="R279" s="189">
        <f>IFERROR(__xludf.DUMMYFUNCTION("""COMPUTED_VALUE"""),6.0)</f>
        <v>6</v>
      </c>
      <c r="S279" s="189">
        <f>IFERROR(__xludf.DUMMYFUNCTION("""COMPUTED_VALUE"""),1.0)</f>
        <v>1</v>
      </c>
      <c r="T279" s="189">
        <f>IFERROR(__xludf.DUMMYFUNCTION("""COMPUTED_VALUE"""),1.0)</f>
        <v>1</v>
      </c>
      <c r="U279" s="189">
        <f>IFERROR(__xludf.DUMMYFUNCTION("""COMPUTED_VALUE"""),6.0)</f>
        <v>6</v>
      </c>
      <c r="V279" s="189">
        <f>IFERROR(__xludf.DUMMYFUNCTION("""COMPUTED_VALUE"""),6.0)</f>
        <v>6</v>
      </c>
      <c r="W279" s="189">
        <f>IFERROR(__xludf.DUMMYFUNCTION("""COMPUTED_VALUE"""),7.0)</f>
        <v>7</v>
      </c>
      <c r="X279" s="189">
        <f>IFERROR(__xludf.DUMMYFUNCTION("""COMPUTED_VALUE"""),5.0)</f>
        <v>5</v>
      </c>
      <c r="Y279" s="208" t="str">
        <f>IFERROR(__xludf.DUMMYFUNCTION("""COMPUTED_VALUE"""),"2025-06-19T00:00:00.000Z")</f>
        <v>2025-06-19T00:00:00.000Z</v>
      </c>
      <c r="Z279" s="189" t="s">
        <v>482</v>
      </c>
      <c r="AA279" s="189" t="s">
        <v>184</v>
      </c>
    </row>
    <row r="280">
      <c r="A280" s="189">
        <f>IFERROR(__xludf.DUMMYFUNCTION("""COMPUTED_VALUE"""),207304.0)</f>
        <v>207304</v>
      </c>
      <c r="B280" s="189">
        <f>IFERROR(__xludf.DUMMYFUNCTION("""COMPUTED_VALUE"""),91355.0)</f>
        <v>91355</v>
      </c>
      <c r="C280" s="189" t="str">
        <f>IFERROR(__xludf.DUMMYFUNCTION("""COMPUTED_VALUE"""),"Saudi eLeague 2025: Major 2 - Playoffs")</f>
        <v>Saudi eLeague 2025: Major 2 - Playoffs</v>
      </c>
      <c r="D280" s="189" t="str">
        <f>IFERROR(__xludf.DUMMYFUNCTION("""COMPUTED_VALUE"""),"Sunset")</f>
        <v>Sunset</v>
      </c>
      <c r="E280" s="189" t="str">
        <f>IFERROR(__xludf.DUMMYFUNCTION("""COMPUTED_VALUE"""),"Stallions Esports")</f>
        <v>Stallions Esports</v>
      </c>
      <c r="F280" s="189" t="str">
        <f>IFERROR(__xludf.DUMMYFUNCTION("""COMPUTED_VALUE"""),"Twisted Minds Esports")</f>
        <v>Twisted Minds Esports</v>
      </c>
      <c r="G280" s="189" t="str">
        <f>IFERROR(__xludf.DUMMYFUNCTION("""COMPUTED_VALUE"""),"Breach,Cypher,Sova,Omen,Neon")</f>
        <v>Breach,Cypher,Sova,Omen,Neon</v>
      </c>
      <c r="H280" s="189" t="str">
        <f>IFERROR(__xludf.DUMMYFUNCTION("""COMPUTED_VALUE"""),"Breach,Cypher,Sova,Omen,Neon")</f>
        <v>Breach,Cypher,Sova,Omen,Neon</v>
      </c>
      <c r="I280" s="189">
        <f>IFERROR(__xludf.DUMMYFUNCTION("""COMPUTED_VALUE"""),15.0)</f>
        <v>15</v>
      </c>
      <c r="J280" s="189">
        <f>IFERROR(__xludf.DUMMYFUNCTION("""COMPUTED_VALUE"""),13.0)</f>
        <v>13</v>
      </c>
      <c r="K280" s="189">
        <f>IFERROR(__xludf.DUMMYFUNCTION("""COMPUTED_VALUE"""),9.0)</f>
        <v>9</v>
      </c>
      <c r="L280" s="189">
        <f>IFERROR(__xludf.DUMMYFUNCTION("""COMPUTED_VALUE"""),3.0)</f>
        <v>3</v>
      </c>
      <c r="M280" s="189">
        <f>IFERROR(__xludf.DUMMYFUNCTION("""COMPUTED_VALUE"""),0.0)</f>
        <v>0</v>
      </c>
      <c r="N280" s="189">
        <f>IFERROR(__xludf.DUMMYFUNCTION("""COMPUTED_VALUE"""),0.0)</f>
        <v>0</v>
      </c>
      <c r="O280" s="189">
        <f>IFERROR(__xludf.DUMMYFUNCTION("""COMPUTED_VALUE"""),11.0)</f>
        <v>11</v>
      </c>
      <c r="P280" s="189">
        <f>IFERROR(__xludf.DUMMYFUNCTION("""COMPUTED_VALUE"""),3.0)</f>
        <v>3</v>
      </c>
      <c r="Q280" s="189">
        <f>IFERROR(__xludf.DUMMYFUNCTION("""COMPUTED_VALUE"""),4.0)</f>
        <v>4</v>
      </c>
      <c r="R280" s="189">
        <f>IFERROR(__xludf.DUMMYFUNCTION("""COMPUTED_VALUE"""),10.0)</f>
        <v>10</v>
      </c>
      <c r="S280" s="189">
        <f>IFERROR(__xludf.DUMMYFUNCTION("""COMPUTED_VALUE"""),1.0)</f>
        <v>1</v>
      </c>
      <c r="T280" s="189">
        <f>IFERROR(__xludf.DUMMYFUNCTION("""COMPUTED_VALUE"""),1.0)</f>
        <v>1</v>
      </c>
      <c r="U280" s="189">
        <f>IFERROR(__xludf.DUMMYFUNCTION("""COMPUTED_VALUE"""),10.0)</f>
        <v>10</v>
      </c>
      <c r="V280" s="189">
        <f>IFERROR(__xludf.DUMMYFUNCTION("""COMPUTED_VALUE"""),4.0)</f>
        <v>4</v>
      </c>
      <c r="W280" s="189">
        <f>IFERROR(__xludf.DUMMYFUNCTION("""COMPUTED_VALUE"""),3.0)</f>
        <v>3</v>
      </c>
      <c r="X280" s="189">
        <f>IFERROR(__xludf.DUMMYFUNCTION("""COMPUTED_VALUE"""),11.0)</f>
        <v>11</v>
      </c>
      <c r="Y280" s="208" t="str">
        <f>IFERROR(__xludf.DUMMYFUNCTION("""COMPUTED_VALUE"""),"2025-06-19T00:00:00.000Z")</f>
        <v>2025-06-19T00:00:00.000Z</v>
      </c>
      <c r="Z280" s="189" t="s">
        <v>483</v>
      </c>
      <c r="AA280" s="189" t="s">
        <v>484</v>
      </c>
    </row>
    <row r="281">
      <c r="A281" s="189">
        <f>IFERROR(__xludf.DUMMYFUNCTION("""COMPUTED_VALUE"""),206696.0)</f>
        <v>206696</v>
      </c>
      <c r="B281" s="189">
        <f>IFERROR(__xludf.DUMMYFUNCTION("""COMPUTED_VALUE"""),91132.0)</f>
        <v>91132</v>
      </c>
      <c r="C281" s="189" t="str">
        <f>IFERROR(__xludf.DUMMYFUNCTION("""COMPUTED_VALUE"""),"BtcTurk GameFest - Stage 2")</f>
        <v>BtcTurk GameFest - Stage 2</v>
      </c>
      <c r="D281" s="189" t="str">
        <f>IFERROR(__xludf.DUMMYFUNCTION("""COMPUTED_VALUE"""),"Split")</f>
        <v>Split</v>
      </c>
      <c r="E281" s="189" t="str">
        <f>IFERROR(__xludf.DUMMYFUNCTION("""COMPUTED_VALUE"""),"BBL PCIFIC")</f>
        <v>BBL PCIFIC</v>
      </c>
      <c r="F281" s="189" t="str">
        <f>IFERROR(__xludf.DUMMYFUNCTION("""COMPUTED_VALUE"""),"ULF Esports")</f>
        <v>ULF Esports</v>
      </c>
      <c r="G281" s="189" t="str">
        <f>IFERROR(__xludf.DUMMYFUNCTION("""COMPUTED_VALUE"""),"Raze,Viper,Omen,Yoru,Fade")</f>
        <v>Raze,Viper,Omen,Yoru,Fade</v>
      </c>
      <c r="H281" s="189" t="str">
        <f>IFERROR(__xludf.DUMMYFUNCTION("""COMPUTED_VALUE"""),"Raze,Viper,Omen,Yoru,Fade")</f>
        <v>Raze,Viper,Omen,Yoru,Fade</v>
      </c>
      <c r="I281" s="189">
        <f>IFERROR(__xludf.DUMMYFUNCTION("""COMPUTED_VALUE"""),4.0)</f>
        <v>4</v>
      </c>
      <c r="J281" s="189">
        <f>IFERROR(__xludf.DUMMYFUNCTION("""COMPUTED_VALUE"""),13.0)</f>
        <v>13</v>
      </c>
      <c r="K281" s="189">
        <f>IFERROR(__xludf.DUMMYFUNCTION("""COMPUTED_VALUE"""),2.0)</f>
        <v>2</v>
      </c>
      <c r="L281" s="189">
        <f>IFERROR(__xludf.DUMMYFUNCTION("""COMPUTED_VALUE"""),10.0)</f>
        <v>10</v>
      </c>
      <c r="M281" s="189">
        <f>IFERROR(__xludf.DUMMYFUNCTION("""COMPUTED_VALUE"""),0.0)</f>
        <v>0</v>
      </c>
      <c r="N281" s="189">
        <f>IFERROR(__xludf.DUMMYFUNCTION("""COMPUTED_VALUE"""),0.0)</f>
        <v>0</v>
      </c>
      <c r="O281" s="189">
        <f>IFERROR(__xludf.DUMMYFUNCTION("""COMPUTED_VALUE"""),2.0)</f>
        <v>2</v>
      </c>
      <c r="P281" s="189">
        <f>IFERROR(__xludf.DUMMYFUNCTION("""COMPUTED_VALUE"""),3.0)</f>
        <v>3</v>
      </c>
      <c r="Q281" s="189">
        <f>IFERROR(__xludf.DUMMYFUNCTION("""COMPUTED_VALUE"""),2.0)</f>
        <v>2</v>
      </c>
      <c r="R281" s="189">
        <f>IFERROR(__xludf.DUMMYFUNCTION("""COMPUTED_VALUE"""),10.0)</f>
        <v>10</v>
      </c>
      <c r="S281" s="189">
        <f>IFERROR(__xludf.DUMMYFUNCTION("""COMPUTED_VALUE"""),1.0)</f>
        <v>1</v>
      </c>
      <c r="T281" s="189">
        <f>IFERROR(__xludf.DUMMYFUNCTION("""COMPUTED_VALUE"""),1.0)</f>
        <v>1</v>
      </c>
      <c r="U281" s="189">
        <f>IFERROR(__xludf.DUMMYFUNCTION("""COMPUTED_VALUE"""),10.0)</f>
        <v>10</v>
      </c>
      <c r="V281" s="189">
        <f>IFERROR(__xludf.DUMMYFUNCTION("""COMPUTED_VALUE"""),2.0)</f>
        <v>2</v>
      </c>
      <c r="W281" s="189">
        <f>IFERROR(__xludf.DUMMYFUNCTION("""COMPUTED_VALUE"""),3.0)</f>
        <v>3</v>
      </c>
      <c r="X281" s="189">
        <f>IFERROR(__xludf.DUMMYFUNCTION("""COMPUTED_VALUE"""),2.0)</f>
        <v>2</v>
      </c>
      <c r="Y281" s="208" t="str">
        <f>IFERROR(__xludf.DUMMYFUNCTION("""COMPUTED_VALUE"""),"2025-06-18T00:00:00.000Z")</f>
        <v>2025-06-18T00:00:00.000Z</v>
      </c>
      <c r="Z281" s="189" t="s">
        <v>74</v>
      </c>
      <c r="AA281" s="189" t="s">
        <v>188</v>
      </c>
    </row>
    <row r="282">
      <c r="A282" s="189">
        <f>IFERROR(__xludf.DUMMYFUNCTION("""COMPUTED_VALUE"""),207249.0)</f>
        <v>207249</v>
      </c>
      <c r="B282" s="189">
        <f>IFERROR(__xludf.DUMMYFUNCTION("""COMPUTED_VALUE"""),91336.0)</f>
        <v>91336</v>
      </c>
      <c r="C282" s="189" t="str">
        <f>IFERROR(__xludf.DUMMYFUNCTION("""COMPUTED_VALUE"""),"Saudi eLeague 2025: Major 2 - Playoffs")</f>
        <v>Saudi eLeague 2025: Major 2 - Playoffs</v>
      </c>
      <c r="D282" s="189" t="str">
        <f>IFERROR(__xludf.DUMMYFUNCTION("""COMPUTED_VALUE"""),"Pearl")</f>
        <v>Pearl</v>
      </c>
      <c r="E282" s="189" t="str">
        <f>IFERROR(__xludf.DUMMYFUNCTION("""COMPUTED_VALUE"""),"Stallions Esports")</f>
        <v>Stallions Esports</v>
      </c>
      <c r="F282" s="189" t="str">
        <f>IFERROR(__xludf.DUMMYFUNCTION("""COMPUTED_VALUE"""),"The Ultimates")</f>
        <v>The Ultimates</v>
      </c>
      <c r="G282" s="189" t="str">
        <f>IFERROR(__xludf.DUMMYFUNCTION("""COMPUTED_VALUE"""),"Cypher,Sova,Reyna,Yoru,Astra")</f>
        <v>Cypher,Sova,Reyna,Yoru,Astra</v>
      </c>
      <c r="H282" s="189" t="str">
        <f>IFERROR(__xludf.DUMMYFUNCTION("""COMPUTED_VALUE"""),"Sova,Killjoy,Yoru,Astra,Neon")</f>
        <v>Sova,Killjoy,Yoru,Astra,Neon</v>
      </c>
      <c r="I282" s="189">
        <f>IFERROR(__xludf.DUMMYFUNCTION("""COMPUTED_VALUE"""),8.0)</f>
        <v>8</v>
      </c>
      <c r="J282" s="189">
        <f>IFERROR(__xludf.DUMMYFUNCTION("""COMPUTED_VALUE"""),13.0)</f>
        <v>13</v>
      </c>
      <c r="K282" s="189">
        <f>IFERROR(__xludf.DUMMYFUNCTION("""COMPUTED_VALUE"""),7.0)</f>
        <v>7</v>
      </c>
      <c r="L282" s="189">
        <f>IFERROR(__xludf.DUMMYFUNCTION("""COMPUTED_VALUE"""),5.0)</f>
        <v>5</v>
      </c>
      <c r="M282" s="189">
        <f>IFERROR(__xludf.DUMMYFUNCTION("""COMPUTED_VALUE"""),0.0)</f>
        <v>0</v>
      </c>
      <c r="N282" s="189">
        <f>IFERROR(__xludf.DUMMYFUNCTION("""COMPUTED_VALUE"""),1.0)</f>
        <v>1</v>
      </c>
      <c r="O282" s="189">
        <f>IFERROR(__xludf.DUMMYFUNCTION("""COMPUTED_VALUE"""),1.0)</f>
        <v>1</v>
      </c>
      <c r="P282" s="189">
        <f>IFERROR(__xludf.DUMMYFUNCTION("""COMPUTED_VALUE"""),8.0)</f>
        <v>8</v>
      </c>
      <c r="Q282" s="189">
        <f>IFERROR(__xludf.DUMMYFUNCTION("""COMPUTED_VALUE"""),7.0)</f>
        <v>7</v>
      </c>
      <c r="R282" s="189">
        <f>IFERROR(__xludf.DUMMYFUNCTION("""COMPUTED_VALUE"""),5.0)</f>
        <v>5</v>
      </c>
      <c r="S282" s="189">
        <f>IFERROR(__xludf.DUMMYFUNCTION("""COMPUTED_VALUE"""),0.0)</f>
        <v>0</v>
      </c>
      <c r="T282" s="189">
        <f>IFERROR(__xludf.DUMMYFUNCTION("""COMPUTED_VALUE"""),1.0)</f>
        <v>1</v>
      </c>
      <c r="U282" s="189">
        <f>IFERROR(__xludf.DUMMYFUNCTION("""COMPUTED_VALUE"""),5.0)</f>
        <v>5</v>
      </c>
      <c r="V282" s="189">
        <f>IFERROR(__xludf.DUMMYFUNCTION("""COMPUTED_VALUE"""),7.0)</f>
        <v>7</v>
      </c>
      <c r="W282" s="189">
        <f>IFERROR(__xludf.DUMMYFUNCTION("""COMPUTED_VALUE"""),8.0)</f>
        <v>8</v>
      </c>
      <c r="X282" s="189">
        <f>IFERROR(__xludf.DUMMYFUNCTION("""COMPUTED_VALUE"""),1.0)</f>
        <v>1</v>
      </c>
      <c r="Y282" s="208" t="str">
        <f>IFERROR(__xludf.DUMMYFUNCTION("""COMPUTED_VALUE"""),"2025-06-18T00:00:00.000Z")</f>
        <v>2025-06-18T00:00:00.000Z</v>
      </c>
      <c r="Z282" s="189" t="s">
        <v>485</v>
      </c>
      <c r="AA282" s="189" t="s">
        <v>185</v>
      </c>
    </row>
    <row r="283">
      <c r="A283" s="189">
        <f>IFERROR(__xludf.DUMMYFUNCTION("""COMPUTED_VALUE"""),207251.0)</f>
        <v>207251</v>
      </c>
      <c r="B283" s="189">
        <f>IFERROR(__xludf.DUMMYFUNCTION("""COMPUTED_VALUE"""),91337.0)</f>
        <v>91337</v>
      </c>
      <c r="C283" s="189" t="str">
        <f>IFERROR(__xludf.DUMMYFUNCTION("""COMPUTED_VALUE"""),"Saudi eLeague 2025: Major 2 - Playoffs")</f>
        <v>Saudi eLeague 2025: Major 2 - Playoffs</v>
      </c>
      <c r="D283" s="189" t="str">
        <f>IFERROR(__xludf.DUMMYFUNCTION("""COMPUTED_VALUE"""),"Split")</f>
        <v>Split</v>
      </c>
      <c r="E283" s="189" t="str">
        <f>IFERROR(__xludf.DUMMYFUNCTION("""COMPUTED_VALUE"""),"Twisted Minds Esports")</f>
        <v>Twisted Minds Esports</v>
      </c>
      <c r="F283" s="189" t="str">
        <f>IFERROR(__xludf.DUMMYFUNCTION("""COMPUTED_VALUE"""),"AlQadsiah Esports")</f>
        <v>AlQadsiah Esports</v>
      </c>
      <c r="G283" s="189" t="str">
        <f>IFERROR(__xludf.DUMMYFUNCTION("""COMPUTED_VALUE"""),"Raze,Viper,Omen,Yoru,Fade")</f>
        <v>Raze,Viper,Omen,Yoru,Fade</v>
      </c>
      <c r="H283" s="189" t="str">
        <f>IFERROR(__xludf.DUMMYFUNCTION("""COMPUTED_VALUE"""),"Breach,Raze,Viper,Omen,Fade")</f>
        <v>Breach,Raze,Viper,Omen,Fade</v>
      </c>
      <c r="I283" s="189">
        <f>IFERROR(__xludf.DUMMYFUNCTION("""COMPUTED_VALUE"""),16.0)</f>
        <v>16</v>
      </c>
      <c r="J283" s="189">
        <f>IFERROR(__xludf.DUMMYFUNCTION("""COMPUTED_VALUE"""),14.0)</f>
        <v>14</v>
      </c>
      <c r="K283" s="189">
        <f>IFERROR(__xludf.DUMMYFUNCTION("""COMPUTED_VALUE"""),4.0)</f>
        <v>4</v>
      </c>
      <c r="L283" s="189">
        <f>IFERROR(__xludf.DUMMYFUNCTION("""COMPUTED_VALUE"""),8.0)</f>
        <v>8</v>
      </c>
      <c r="M283" s="189">
        <f>IFERROR(__xludf.DUMMYFUNCTION("""COMPUTED_VALUE"""),0.0)</f>
        <v>0</v>
      </c>
      <c r="N283" s="189">
        <f>IFERROR(__xludf.DUMMYFUNCTION("""COMPUTED_VALUE"""),0.0)</f>
        <v>0</v>
      </c>
      <c r="O283" s="189">
        <f>IFERROR(__xludf.DUMMYFUNCTION("""COMPUTED_VALUE"""),10.0)</f>
        <v>10</v>
      </c>
      <c r="P283" s="189">
        <f>IFERROR(__xludf.DUMMYFUNCTION("""COMPUTED_VALUE"""),5.0)</f>
        <v>5</v>
      </c>
      <c r="Q283" s="189">
        <f>IFERROR(__xludf.DUMMYFUNCTION("""COMPUTED_VALUE"""),6.0)</f>
        <v>6</v>
      </c>
      <c r="R283" s="189">
        <f>IFERROR(__xludf.DUMMYFUNCTION("""COMPUTED_VALUE"""),9.0)</f>
        <v>9</v>
      </c>
      <c r="S283" s="189">
        <f>IFERROR(__xludf.DUMMYFUNCTION("""COMPUTED_VALUE"""),1.0)</f>
        <v>1</v>
      </c>
      <c r="T283" s="189">
        <f>IFERROR(__xludf.DUMMYFUNCTION("""COMPUTED_VALUE"""),1.0)</f>
        <v>1</v>
      </c>
      <c r="U283" s="189">
        <f>IFERROR(__xludf.DUMMYFUNCTION("""COMPUTED_VALUE"""),9.0)</f>
        <v>9</v>
      </c>
      <c r="V283" s="189">
        <f>IFERROR(__xludf.DUMMYFUNCTION("""COMPUTED_VALUE"""),6.0)</f>
        <v>6</v>
      </c>
      <c r="W283" s="189">
        <f>IFERROR(__xludf.DUMMYFUNCTION("""COMPUTED_VALUE"""),5.0)</f>
        <v>5</v>
      </c>
      <c r="X283" s="189">
        <f>IFERROR(__xludf.DUMMYFUNCTION("""COMPUTED_VALUE"""),10.0)</f>
        <v>10</v>
      </c>
      <c r="Y283" s="208" t="str">
        <f>IFERROR(__xludf.DUMMYFUNCTION("""COMPUTED_VALUE"""),"2025-06-18T00:00:00.000Z")</f>
        <v>2025-06-18T00:00:00.000Z</v>
      </c>
      <c r="Z283" s="189" t="s">
        <v>165</v>
      </c>
      <c r="AA283" s="189" t="s">
        <v>184</v>
      </c>
    </row>
    <row r="284">
      <c r="A284" s="189">
        <f>IFERROR(__xludf.DUMMYFUNCTION("""COMPUTED_VALUE"""),207248.0)</f>
        <v>207248</v>
      </c>
      <c r="B284" s="189">
        <f>IFERROR(__xludf.DUMMYFUNCTION("""COMPUTED_VALUE"""),91336.0)</f>
        <v>91336</v>
      </c>
      <c r="C284" s="189" t="str">
        <f>IFERROR(__xludf.DUMMYFUNCTION("""COMPUTED_VALUE"""),"Saudi eLeague 2025: Major 2 - Playoffs")</f>
        <v>Saudi eLeague 2025: Major 2 - Playoffs</v>
      </c>
      <c r="D284" s="189" t="str">
        <f>IFERROR(__xludf.DUMMYFUNCTION("""COMPUTED_VALUE"""),"Icebox")</f>
        <v>Icebox</v>
      </c>
      <c r="E284" s="189" t="str">
        <f>IFERROR(__xludf.DUMMYFUNCTION("""COMPUTED_VALUE"""),"Stallions Esports")</f>
        <v>Stallions Esports</v>
      </c>
      <c r="F284" s="189" t="str">
        <f>IFERROR(__xludf.DUMMYFUNCTION("""COMPUTED_VALUE"""),"The Ultimates")</f>
        <v>The Ultimates</v>
      </c>
      <c r="G284" s="189" t="str">
        <f>IFERROR(__xludf.DUMMYFUNCTION("""COMPUTED_VALUE"""),"Sova,Killjoy,Viper,Reyna,Jett")</f>
        <v>Sova,Killjoy,Viper,Reyna,Jett</v>
      </c>
      <c r="H284" s="189" t="str">
        <f>IFERROR(__xludf.DUMMYFUNCTION("""COMPUTED_VALUE"""),"Reyna,Omen,KAY/O,Harbor,Gekko")</f>
        <v>Reyna,Omen,KAY/O,Harbor,Gekko</v>
      </c>
      <c r="I284" s="189">
        <f>IFERROR(__xludf.DUMMYFUNCTION("""COMPUTED_VALUE"""),3.0)</f>
        <v>3</v>
      </c>
      <c r="J284" s="189">
        <f>IFERROR(__xludf.DUMMYFUNCTION("""COMPUTED_VALUE"""),13.0)</f>
        <v>13</v>
      </c>
      <c r="K284" s="189">
        <f>IFERROR(__xludf.DUMMYFUNCTION("""COMPUTED_VALUE"""),3.0)</f>
        <v>3</v>
      </c>
      <c r="L284" s="189">
        <f>IFERROR(__xludf.DUMMYFUNCTION("""COMPUTED_VALUE"""),9.0)</f>
        <v>9</v>
      </c>
      <c r="M284" s="189">
        <f>IFERROR(__xludf.DUMMYFUNCTION("""COMPUTED_VALUE"""),1.0)</f>
        <v>1</v>
      </c>
      <c r="N284" s="189">
        <f>IFERROR(__xludf.DUMMYFUNCTION("""COMPUTED_VALUE"""),0.0)</f>
        <v>0</v>
      </c>
      <c r="O284" s="189">
        <f>IFERROR(__xludf.DUMMYFUNCTION("""COMPUTED_VALUE"""),3.0)</f>
        <v>3</v>
      </c>
      <c r="P284" s="189">
        <f>IFERROR(__xludf.DUMMYFUNCTION("""COMPUTED_VALUE"""),9.0)</f>
        <v>9</v>
      </c>
      <c r="Q284" s="189">
        <f>IFERROR(__xludf.DUMMYFUNCTION("""COMPUTED_VALUE"""),0.0)</f>
        <v>0</v>
      </c>
      <c r="R284" s="189">
        <f>IFERROR(__xludf.DUMMYFUNCTION("""COMPUTED_VALUE"""),4.0)</f>
        <v>4</v>
      </c>
      <c r="S284" s="189">
        <f>IFERROR(__xludf.DUMMYFUNCTION("""COMPUTED_VALUE"""),1.0)</f>
        <v>1</v>
      </c>
      <c r="T284" s="189">
        <f>IFERROR(__xludf.DUMMYFUNCTION("""COMPUTED_VALUE"""),0.0)</f>
        <v>0</v>
      </c>
      <c r="U284" s="189">
        <f>IFERROR(__xludf.DUMMYFUNCTION("""COMPUTED_VALUE"""),4.0)</f>
        <v>4</v>
      </c>
      <c r="V284" s="189">
        <f>IFERROR(__xludf.DUMMYFUNCTION("""COMPUTED_VALUE"""),0.0)</f>
        <v>0</v>
      </c>
      <c r="W284" s="189">
        <f>IFERROR(__xludf.DUMMYFUNCTION("""COMPUTED_VALUE"""),9.0)</f>
        <v>9</v>
      </c>
      <c r="X284" s="189">
        <f>IFERROR(__xludf.DUMMYFUNCTION("""COMPUTED_VALUE"""),3.0)</f>
        <v>3</v>
      </c>
      <c r="Y284" s="208" t="str">
        <f>IFERROR(__xludf.DUMMYFUNCTION("""COMPUTED_VALUE"""),"2025-06-18T00:00:00.000Z")</f>
        <v>2025-06-18T00:00:00.000Z</v>
      </c>
      <c r="Z284" s="189" t="s">
        <v>482</v>
      </c>
      <c r="AA284" s="189" t="s">
        <v>185</v>
      </c>
    </row>
    <row r="285">
      <c r="A285" s="189">
        <f>IFERROR(__xludf.DUMMYFUNCTION("""COMPUTED_VALUE"""),206695.0)</f>
        <v>206695</v>
      </c>
      <c r="B285" s="189">
        <f>IFERROR(__xludf.DUMMYFUNCTION("""COMPUTED_VALUE"""),91132.0)</f>
        <v>91132</v>
      </c>
      <c r="C285" s="189" t="str">
        <f>IFERROR(__xludf.DUMMYFUNCTION("""COMPUTED_VALUE"""),"BtcTurk GameFest - Stage 2")</f>
        <v>BtcTurk GameFest - Stage 2</v>
      </c>
      <c r="D285" s="189" t="str">
        <f>IFERROR(__xludf.DUMMYFUNCTION("""COMPUTED_VALUE"""),"Lotus")</f>
        <v>Lotus</v>
      </c>
      <c r="E285" s="189" t="str">
        <f>IFERROR(__xludf.DUMMYFUNCTION("""COMPUTED_VALUE"""),"BBL PCIFIC")</f>
        <v>BBL PCIFIC</v>
      </c>
      <c r="F285" s="189" t="str">
        <f>IFERROR(__xludf.DUMMYFUNCTION("""COMPUTED_VALUE"""),"ULF Esports")</f>
        <v>ULF Esports</v>
      </c>
      <c r="G285" s="189" t="str">
        <f>IFERROR(__xludf.DUMMYFUNCTION("""COMPUTED_VALUE"""),"Breach,Cypher,Sova,Omen,Neon")</f>
        <v>Breach,Cypher,Sova,Omen,Neon</v>
      </c>
      <c r="H285" s="189" t="str">
        <f>IFERROR(__xludf.DUMMYFUNCTION("""COMPUTED_VALUE"""),"Raze,Omen,Yoru,Fade,Vyse")</f>
        <v>Raze,Omen,Yoru,Fade,Vyse</v>
      </c>
      <c r="I285" s="189">
        <f>IFERROR(__xludf.DUMMYFUNCTION("""COMPUTED_VALUE"""),9.0)</f>
        <v>9</v>
      </c>
      <c r="J285" s="189">
        <f>IFERROR(__xludf.DUMMYFUNCTION("""COMPUTED_VALUE"""),13.0)</f>
        <v>13</v>
      </c>
      <c r="K285" s="189">
        <f>IFERROR(__xludf.DUMMYFUNCTION("""COMPUTED_VALUE"""),6.0)</f>
        <v>6</v>
      </c>
      <c r="L285" s="189">
        <f>IFERROR(__xludf.DUMMYFUNCTION("""COMPUTED_VALUE"""),6.0)</f>
        <v>6</v>
      </c>
      <c r="M285" s="189">
        <f>IFERROR(__xludf.DUMMYFUNCTION("""COMPUTED_VALUE"""),0.0)</f>
        <v>0</v>
      </c>
      <c r="N285" s="189">
        <f>IFERROR(__xludf.DUMMYFUNCTION("""COMPUTED_VALUE"""),1.0)</f>
        <v>1</v>
      </c>
      <c r="O285" s="189">
        <f>IFERROR(__xludf.DUMMYFUNCTION("""COMPUTED_VALUE"""),6.0)</f>
        <v>6</v>
      </c>
      <c r="P285" s="189">
        <f>IFERROR(__xludf.DUMMYFUNCTION("""COMPUTED_VALUE"""),6.0)</f>
        <v>6</v>
      </c>
      <c r="Q285" s="189">
        <f>IFERROR(__xludf.DUMMYFUNCTION("""COMPUTED_VALUE"""),3.0)</f>
        <v>3</v>
      </c>
      <c r="R285" s="189">
        <f>IFERROR(__xludf.DUMMYFUNCTION("""COMPUTED_VALUE"""),7.0)</f>
        <v>7</v>
      </c>
      <c r="S285" s="189">
        <f>IFERROR(__xludf.DUMMYFUNCTION("""COMPUTED_VALUE"""),0.0)</f>
        <v>0</v>
      </c>
      <c r="T285" s="189">
        <f>IFERROR(__xludf.DUMMYFUNCTION("""COMPUTED_VALUE"""),1.0)</f>
        <v>1</v>
      </c>
      <c r="U285" s="189">
        <f>IFERROR(__xludf.DUMMYFUNCTION("""COMPUTED_VALUE"""),7.0)</f>
        <v>7</v>
      </c>
      <c r="V285" s="189">
        <f>IFERROR(__xludf.DUMMYFUNCTION("""COMPUTED_VALUE"""),3.0)</f>
        <v>3</v>
      </c>
      <c r="W285" s="189">
        <f>IFERROR(__xludf.DUMMYFUNCTION("""COMPUTED_VALUE"""),6.0)</f>
        <v>6</v>
      </c>
      <c r="X285" s="189">
        <f>IFERROR(__xludf.DUMMYFUNCTION("""COMPUTED_VALUE"""),6.0)</f>
        <v>6</v>
      </c>
      <c r="Y285" s="208" t="str">
        <f>IFERROR(__xludf.DUMMYFUNCTION("""COMPUTED_VALUE"""),"2025-06-18T00:00:00.000Z")</f>
        <v>2025-06-18T00:00:00.000Z</v>
      </c>
      <c r="Z285" s="189" t="s">
        <v>72</v>
      </c>
      <c r="AA285" s="189" t="s">
        <v>188</v>
      </c>
    </row>
    <row r="286">
      <c r="A286" s="189">
        <f>IFERROR(__xludf.DUMMYFUNCTION("""COMPUTED_VALUE"""),207250.0)</f>
        <v>207250</v>
      </c>
      <c r="B286" s="189">
        <f>IFERROR(__xludf.DUMMYFUNCTION("""COMPUTED_VALUE"""),91337.0)</f>
        <v>91337</v>
      </c>
      <c r="C286" s="189" t="str">
        <f>IFERROR(__xludf.DUMMYFUNCTION("""COMPUTED_VALUE"""),"Saudi eLeague 2025: Major 2 - Playoffs")</f>
        <v>Saudi eLeague 2025: Major 2 - Playoffs</v>
      </c>
      <c r="D286" s="189" t="str">
        <f>IFERROR(__xludf.DUMMYFUNCTION("""COMPUTED_VALUE"""),"Icebox")</f>
        <v>Icebox</v>
      </c>
      <c r="E286" s="189" t="str">
        <f>IFERROR(__xludf.DUMMYFUNCTION("""COMPUTED_VALUE"""),"Twisted Minds Esports")</f>
        <v>Twisted Minds Esports</v>
      </c>
      <c r="F286" s="189" t="str">
        <f>IFERROR(__xludf.DUMMYFUNCTION("""COMPUTED_VALUE"""),"AlQadsiah Esports")</f>
        <v>AlQadsiah Esports</v>
      </c>
      <c r="G286" s="189" t="str">
        <f>IFERROR(__xludf.DUMMYFUNCTION("""COMPUTED_VALUE"""),"Sova,Killjoy,Viper,Jett,Harbor")</f>
        <v>Sova,Killjoy,Viper,Jett,Harbor</v>
      </c>
      <c r="H286" s="189" t="str">
        <f>IFERROR(__xludf.DUMMYFUNCTION("""COMPUTED_VALUE"""),"Sova,Killjoy,Viper,Jett,Gekko")</f>
        <v>Sova,Killjoy,Viper,Jett,Gekko</v>
      </c>
      <c r="I286" s="189">
        <f>IFERROR(__xludf.DUMMYFUNCTION("""COMPUTED_VALUE"""),13.0)</f>
        <v>13</v>
      </c>
      <c r="J286" s="189">
        <f>IFERROR(__xludf.DUMMYFUNCTION("""COMPUTED_VALUE"""),8.0)</f>
        <v>8</v>
      </c>
      <c r="K286" s="189">
        <f>IFERROR(__xludf.DUMMYFUNCTION("""COMPUTED_VALUE"""),9.0)</f>
        <v>9</v>
      </c>
      <c r="L286" s="189">
        <f>IFERROR(__xludf.DUMMYFUNCTION("""COMPUTED_VALUE"""),3.0)</f>
        <v>3</v>
      </c>
      <c r="M286" s="189">
        <f>IFERROR(__xludf.DUMMYFUNCTION("""COMPUTED_VALUE"""),0.0)</f>
        <v>0</v>
      </c>
      <c r="N286" s="189">
        <f>IFERROR(__xludf.DUMMYFUNCTION("""COMPUTED_VALUE"""),1.0)</f>
        <v>1</v>
      </c>
      <c r="O286" s="189">
        <f>IFERROR(__xludf.DUMMYFUNCTION("""COMPUTED_VALUE"""),4.0)</f>
        <v>4</v>
      </c>
      <c r="P286" s="189">
        <f>IFERROR(__xludf.DUMMYFUNCTION("""COMPUTED_VALUE"""),5.0)</f>
        <v>5</v>
      </c>
      <c r="Q286" s="189">
        <f>IFERROR(__xludf.DUMMYFUNCTION("""COMPUTED_VALUE"""),9.0)</f>
        <v>9</v>
      </c>
      <c r="R286" s="189">
        <f>IFERROR(__xludf.DUMMYFUNCTION("""COMPUTED_VALUE"""),3.0)</f>
        <v>3</v>
      </c>
      <c r="S286" s="189">
        <f>IFERROR(__xludf.DUMMYFUNCTION("""COMPUTED_VALUE"""),0.0)</f>
        <v>0</v>
      </c>
      <c r="T286" s="189">
        <f>IFERROR(__xludf.DUMMYFUNCTION("""COMPUTED_VALUE"""),1.0)</f>
        <v>1</v>
      </c>
      <c r="U286" s="189">
        <f>IFERROR(__xludf.DUMMYFUNCTION("""COMPUTED_VALUE"""),3.0)</f>
        <v>3</v>
      </c>
      <c r="V286" s="189">
        <f>IFERROR(__xludf.DUMMYFUNCTION("""COMPUTED_VALUE"""),9.0)</f>
        <v>9</v>
      </c>
      <c r="W286" s="189">
        <f>IFERROR(__xludf.DUMMYFUNCTION("""COMPUTED_VALUE"""),5.0)</f>
        <v>5</v>
      </c>
      <c r="X286" s="189">
        <f>IFERROR(__xludf.DUMMYFUNCTION("""COMPUTED_VALUE"""),4.0)</f>
        <v>4</v>
      </c>
      <c r="Y286" s="208" t="str">
        <f>IFERROR(__xludf.DUMMYFUNCTION("""COMPUTED_VALUE"""),"2025-06-18T00:00:00.000Z")</f>
        <v>2025-06-18T00:00:00.000Z</v>
      </c>
      <c r="Z286" s="189" t="s">
        <v>163</v>
      </c>
      <c r="AA286" s="189" t="s">
        <v>184</v>
      </c>
    </row>
    <row r="287">
      <c r="A287" s="189">
        <f>IFERROR(__xludf.DUMMYFUNCTION("""COMPUTED_VALUE"""),207247.0)</f>
        <v>207247</v>
      </c>
      <c r="B287" s="189">
        <f>IFERROR(__xludf.DUMMYFUNCTION("""COMPUTED_VALUE"""),91336.0)</f>
        <v>91336</v>
      </c>
      <c r="C287" s="189" t="str">
        <f>IFERROR(__xludf.DUMMYFUNCTION("""COMPUTED_VALUE"""),"Saudi eLeague 2025: Major 2 - Playoffs")</f>
        <v>Saudi eLeague 2025: Major 2 - Playoffs</v>
      </c>
      <c r="D287" s="189" t="str">
        <f>IFERROR(__xludf.DUMMYFUNCTION("""COMPUTED_VALUE"""),"Lotus")</f>
        <v>Lotus</v>
      </c>
      <c r="E287" s="189" t="str">
        <f>IFERROR(__xludf.DUMMYFUNCTION("""COMPUTED_VALUE"""),"Stallions Esports")</f>
        <v>Stallions Esports</v>
      </c>
      <c r="F287" s="189" t="str">
        <f>IFERROR(__xludf.DUMMYFUNCTION("""COMPUTED_VALUE"""),"The Ultimates")</f>
        <v>The Ultimates</v>
      </c>
      <c r="G287" s="189" t="str">
        <f>IFERROR(__xludf.DUMMYFUNCTION("""COMPUTED_VALUE"""),"Cypher,Omen,Yoru,Fade,Iso")</f>
        <v>Cypher,Omen,Yoru,Fade,Iso</v>
      </c>
      <c r="H287" s="189" t="str">
        <f>IFERROR(__xludf.DUMMYFUNCTION("""COMPUTED_VALUE"""),"Breach,Viper,Omen,Neon,Fade")</f>
        <v>Breach,Viper,Omen,Neon,Fade</v>
      </c>
      <c r="I287" s="189">
        <f>IFERROR(__xludf.DUMMYFUNCTION("""COMPUTED_VALUE"""),13.0)</f>
        <v>13</v>
      </c>
      <c r="J287" s="189">
        <f>IFERROR(__xludf.DUMMYFUNCTION("""COMPUTED_VALUE"""),7.0)</f>
        <v>7</v>
      </c>
      <c r="K287" s="189">
        <f>IFERROR(__xludf.DUMMYFUNCTION("""COMPUTED_VALUE"""),7.0)</f>
        <v>7</v>
      </c>
      <c r="L287" s="189">
        <f>IFERROR(__xludf.DUMMYFUNCTION("""COMPUTED_VALUE"""),5.0)</f>
        <v>5</v>
      </c>
      <c r="M287" s="189">
        <f>IFERROR(__xludf.DUMMYFUNCTION("""COMPUTED_VALUE"""),1.0)</f>
        <v>1</v>
      </c>
      <c r="N287" s="189">
        <f>IFERROR(__xludf.DUMMYFUNCTION("""COMPUTED_VALUE"""),0.0)</f>
        <v>0</v>
      </c>
      <c r="O287" s="189">
        <f>IFERROR(__xludf.DUMMYFUNCTION("""COMPUTED_VALUE"""),6.0)</f>
        <v>6</v>
      </c>
      <c r="P287" s="189">
        <f>IFERROR(__xludf.DUMMYFUNCTION("""COMPUTED_VALUE"""),2.0)</f>
        <v>2</v>
      </c>
      <c r="Q287" s="189">
        <f>IFERROR(__xludf.DUMMYFUNCTION("""COMPUTED_VALUE"""),7.0)</f>
        <v>7</v>
      </c>
      <c r="R287" s="189">
        <f>IFERROR(__xludf.DUMMYFUNCTION("""COMPUTED_VALUE"""),5.0)</f>
        <v>5</v>
      </c>
      <c r="S287" s="189">
        <f>IFERROR(__xludf.DUMMYFUNCTION("""COMPUTED_VALUE"""),1.0)</f>
        <v>1</v>
      </c>
      <c r="T287" s="189">
        <f>IFERROR(__xludf.DUMMYFUNCTION("""COMPUTED_VALUE"""),0.0)</f>
        <v>0</v>
      </c>
      <c r="U287" s="189">
        <f>IFERROR(__xludf.DUMMYFUNCTION("""COMPUTED_VALUE"""),5.0)</f>
        <v>5</v>
      </c>
      <c r="V287" s="189">
        <f>IFERROR(__xludf.DUMMYFUNCTION("""COMPUTED_VALUE"""),7.0)</f>
        <v>7</v>
      </c>
      <c r="W287" s="189">
        <f>IFERROR(__xludf.DUMMYFUNCTION("""COMPUTED_VALUE"""),2.0)</f>
        <v>2</v>
      </c>
      <c r="X287" s="189">
        <f>IFERROR(__xludf.DUMMYFUNCTION("""COMPUTED_VALUE"""),6.0)</f>
        <v>6</v>
      </c>
      <c r="Y287" s="208" t="str">
        <f>IFERROR(__xludf.DUMMYFUNCTION("""COMPUTED_VALUE"""),"2025-06-18T00:00:00.000Z")</f>
        <v>2025-06-18T00:00:00.000Z</v>
      </c>
      <c r="Z287" s="189" t="s">
        <v>481</v>
      </c>
      <c r="AA287" s="189" t="s">
        <v>484</v>
      </c>
    </row>
    <row r="288">
      <c r="A288" s="189">
        <f>IFERROR(__xludf.DUMMYFUNCTION("""COMPUTED_VALUE"""),207086.0)</f>
        <v>207086</v>
      </c>
      <c r="B288" s="189">
        <f>IFERROR(__xludf.DUMMYFUNCTION("""COMPUTED_VALUE"""),91268.0)</f>
        <v>91268</v>
      </c>
      <c r="C288" s="189" t="str">
        <f>IFERROR(__xludf.DUMMYFUNCTION("""COMPUTED_VALUE"""),"Saudi eLeague 2025: Major 2 - Playoffs")</f>
        <v>Saudi eLeague 2025: Major 2 - Playoffs</v>
      </c>
      <c r="D288" s="189" t="str">
        <f>IFERROR(__xludf.DUMMYFUNCTION("""COMPUTED_VALUE"""),"Ascent")</f>
        <v>Ascent</v>
      </c>
      <c r="E288" s="189" t="str">
        <f>IFERROR(__xludf.DUMMYFUNCTION("""COMPUTED_VALUE"""),"AlQadsiah Esports")</f>
        <v>AlQadsiah Esports</v>
      </c>
      <c r="F288" s="189" t="str">
        <f>IFERROR(__xludf.DUMMYFUNCTION("""COMPUTED_VALUE"""),"The Ultimates")</f>
        <v>The Ultimates</v>
      </c>
      <c r="G288" s="189" t="str">
        <f>IFERROR(__xludf.DUMMYFUNCTION("""COMPUTED_VALUE"""),"Cypher,Sova,Omen,Jett,KAY/O")</f>
        <v>Cypher,Sova,Omen,Jett,KAY/O</v>
      </c>
      <c r="H288" s="189" t="str">
        <f>IFERROR(__xludf.DUMMYFUNCTION("""COMPUTED_VALUE"""),"Cypher,Sova,Omen,Yoru,Deadlock")</f>
        <v>Cypher,Sova,Omen,Yoru,Deadlock</v>
      </c>
      <c r="I288" s="189">
        <f>IFERROR(__xludf.DUMMYFUNCTION("""COMPUTED_VALUE"""),2.0)</f>
        <v>2</v>
      </c>
      <c r="J288" s="189">
        <f>IFERROR(__xludf.DUMMYFUNCTION("""COMPUTED_VALUE"""),13.0)</f>
        <v>13</v>
      </c>
      <c r="K288" s="189">
        <f>IFERROR(__xludf.DUMMYFUNCTION("""COMPUTED_VALUE"""),2.0)</f>
        <v>2</v>
      </c>
      <c r="L288" s="189">
        <f>IFERROR(__xludf.DUMMYFUNCTION("""COMPUTED_VALUE"""),10.0)</f>
        <v>10</v>
      </c>
      <c r="M288" s="189">
        <f>IFERROR(__xludf.DUMMYFUNCTION("""COMPUTED_VALUE"""),0.0)</f>
        <v>0</v>
      </c>
      <c r="N288" s="189">
        <f>IFERROR(__xludf.DUMMYFUNCTION("""COMPUTED_VALUE"""),0.0)</f>
        <v>0</v>
      </c>
      <c r="O288" s="189">
        <f>IFERROR(__xludf.DUMMYFUNCTION("""COMPUTED_VALUE"""),2.0)</f>
        <v>2</v>
      </c>
      <c r="P288" s="189">
        <f>IFERROR(__xludf.DUMMYFUNCTION("""COMPUTED_VALUE"""),10.0)</f>
        <v>10</v>
      </c>
      <c r="Q288" s="189">
        <f>IFERROR(__xludf.DUMMYFUNCTION("""COMPUTED_VALUE"""),0.0)</f>
        <v>0</v>
      </c>
      <c r="R288" s="189">
        <f>IFERROR(__xludf.DUMMYFUNCTION("""COMPUTED_VALUE"""),3.0)</f>
        <v>3</v>
      </c>
      <c r="S288" s="189">
        <f>IFERROR(__xludf.DUMMYFUNCTION("""COMPUTED_VALUE"""),1.0)</f>
        <v>1</v>
      </c>
      <c r="T288" s="189">
        <f>IFERROR(__xludf.DUMMYFUNCTION("""COMPUTED_VALUE"""),1.0)</f>
        <v>1</v>
      </c>
      <c r="U288" s="189">
        <f>IFERROR(__xludf.DUMMYFUNCTION("""COMPUTED_VALUE"""),3.0)</f>
        <v>3</v>
      </c>
      <c r="V288" s="189">
        <f>IFERROR(__xludf.DUMMYFUNCTION("""COMPUTED_VALUE"""),0.0)</f>
        <v>0</v>
      </c>
      <c r="W288" s="189">
        <f>IFERROR(__xludf.DUMMYFUNCTION("""COMPUTED_VALUE"""),10.0)</f>
        <v>10</v>
      </c>
      <c r="X288" s="189">
        <f>IFERROR(__xludf.DUMMYFUNCTION("""COMPUTED_VALUE"""),2.0)</f>
        <v>2</v>
      </c>
      <c r="Y288" s="208" t="str">
        <f>IFERROR(__xludf.DUMMYFUNCTION("""COMPUTED_VALUE"""),"2025-06-18T00:00:00.000Z")</f>
        <v>2025-06-18T00:00:00.000Z</v>
      </c>
      <c r="Z288" s="189" t="s">
        <v>486</v>
      </c>
      <c r="AA288" s="189" t="s">
        <v>185</v>
      </c>
    </row>
    <row r="289">
      <c r="A289" s="189">
        <f>IFERROR(__xludf.DUMMYFUNCTION("""COMPUTED_VALUE"""),207085.0)</f>
        <v>207085</v>
      </c>
      <c r="B289" s="189">
        <f>IFERROR(__xludf.DUMMYFUNCTION("""COMPUTED_VALUE"""),91268.0)</f>
        <v>91268</v>
      </c>
      <c r="C289" s="189" t="str">
        <f>IFERROR(__xludf.DUMMYFUNCTION("""COMPUTED_VALUE"""),"Saudi eLeague 2025: Major 2 - Playoffs")</f>
        <v>Saudi eLeague 2025: Major 2 - Playoffs</v>
      </c>
      <c r="D289" s="189" t="str">
        <f>IFERROR(__xludf.DUMMYFUNCTION("""COMPUTED_VALUE"""),"Sunset")</f>
        <v>Sunset</v>
      </c>
      <c r="E289" s="189" t="str">
        <f>IFERROR(__xludf.DUMMYFUNCTION("""COMPUTED_VALUE"""),"AlQadsiah Esports")</f>
        <v>AlQadsiah Esports</v>
      </c>
      <c r="F289" s="189" t="str">
        <f>IFERROR(__xludf.DUMMYFUNCTION("""COMPUTED_VALUE"""),"The Ultimates")</f>
        <v>The Ultimates</v>
      </c>
      <c r="G289" s="189" t="str">
        <f>IFERROR(__xludf.DUMMYFUNCTION("""COMPUTED_VALUE"""),"Breach,Raze,Cypher,Omen,Fade")</f>
        <v>Breach,Raze,Cypher,Omen,Fade</v>
      </c>
      <c r="H289" s="189" t="str">
        <f>IFERROR(__xludf.DUMMYFUNCTION("""COMPUTED_VALUE"""),"Breach,Raze,Cypher,Omen,Fade")</f>
        <v>Breach,Raze,Cypher,Omen,Fade</v>
      </c>
      <c r="I289" s="189">
        <f>IFERROR(__xludf.DUMMYFUNCTION("""COMPUTED_VALUE"""),14.0)</f>
        <v>14</v>
      </c>
      <c r="J289" s="189">
        <f>IFERROR(__xludf.DUMMYFUNCTION("""COMPUTED_VALUE"""),16.0)</f>
        <v>16</v>
      </c>
      <c r="K289" s="189">
        <f>IFERROR(__xludf.DUMMYFUNCTION("""COMPUTED_VALUE"""),6.0)</f>
        <v>6</v>
      </c>
      <c r="L289" s="189">
        <f>IFERROR(__xludf.DUMMYFUNCTION("""COMPUTED_VALUE"""),6.0)</f>
        <v>6</v>
      </c>
      <c r="M289" s="189">
        <f>IFERROR(__xludf.DUMMYFUNCTION("""COMPUTED_VALUE"""),0.0)</f>
        <v>0</v>
      </c>
      <c r="N289" s="189">
        <f>IFERROR(__xludf.DUMMYFUNCTION("""COMPUTED_VALUE"""),1.0)</f>
        <v>1</v>
      </c>
      <c r="O289" s="189">
        <f>IFERROR(__xludf.DUMMYFUNCTION("""COMPUTED_VALUE"""),7.0)</f>
        <v>7</v>
      </c>
      <c r="P289" s="189">
        <f>IFERROR(__xludf.DUMMYFUNCTION("""COMPUTED_VALUE"""),8.0)</f>
        <v>8</v>
      </c>
      <c r="Q289" s="189">
        <f>IFERROR(__xludf.DUMMYFUNCTION("""COMPUTED_VALUE"""),7.0)</f>
        <v>7</v>
      </c>
      <c r="R289" s="189">
        <f>IFERROR(__xludf.DUMMYFUNCTION("""COMPUTED_VALUE"""),8.0)</f>
        <v>8</v>
      </c>
      <c r="S289" s="189">
        <f>IFERROR(__xludf.DUMMYFUNCTION("""COMPUTED_VALUE"""),0.0)</f>
        <v>0</v>
      </c>
      <c r="T289" s="189">
        <f>IFERROR(__xludf.DUMMYFUNCTION("""COMPUTED_VALUE"""),1.0)</f>
        <v>1</v>
      </c>
      <c r="U289" s="189">
        <f>IFERROR(__xludf.DUMMYFUNCTION("""COMPUTED_VALUE"""),8.0)</f>
        <v>8</v>
      </c>
      <c r="V289" s="189">
        <f>IFERROR(__xludf.DUMMYFUNCTION("""COMPUTED_VALUE"""),7.0)</f>
        <v>7</v>
      </c>
      <c r="W289" s="189">
        <f>IFERROR(__xludf.DUMMYFUNCTION("""COMPUTED_VALUE"""),8.0)</f>
        <v>8</v>
      </c>
      <c r="X289" s="189">
        <f>IFERROR(__xludf.DUMMYFUNCTION("""COMPUTED_VALUE"""),7.0)</f>
        <v>7</v>
      </c>
      <c r="Y289" s="208" t="str">
        <f>IFERROR(__xludf.DUMMYFUNCTION("""COMPUTED_VALUE"""),"2025-06-18T00:00:00.000Z")</f>
        <v>2025-06-18T00:00:00.000Z</v>
      </c>
      <c r="Z289" s="189" t="s">
        <v>487</v>
      </c>
      <c r="AA289" s="189" t="s">
        <v>185</v>
      </c>
    </row>
    <row r="290">
      <c r="A290" s="189">
        <f>IFERROR(__xludf.DUMMYFUNCTION("""COMPUTED_VALUE"""),206633.0)</f>
        <v>206633</v>
      </c>
      <c r="B290" s="189">
        <f>IFERROR(__xludf.DUMMYFUNCTION("""COMPUTED_VALUE"""),91111.0)</f>
        <v>91111</v>
      </c>
      <c r="C290" s="189" t="str">
        <f>IFERROR(__xludf.DUMMYFUNCTION("""COMPUTED_VALUE"""),"A1 eSports Cup #8")</f>
        <v>A1 eSports Cup #8</v>
      </c>
      <c r="D290" s="189" t="str">
        <f>IFERROR(__xludf.DUMMYFUNCTION("""COMPUTED_VALUE"""),"Icebox")</f>
        <v>Icebox</v>
      </c>
      <c r="E290" s="189" t="str">
        <f>IFERROR(__xludf.DUMMYFUNCTION("""COMPUTED_VALUE"""),"MOUZ")</f>
        <v>MOUZ</v>
      </c>
      <c r="F290" s="189" t="str">
        <f>IFERROR(__xludf.DUMMYFUNCTION("""COMPUTED_VALUE"""),"CGN Esports")</f>
        <v>CGN Esports</v>
      </c>
      <c r="G290" s="189" t="str">
        <f>IFERROR(__xludf.DUMMYFUNCTION("""COMPUTED_VALUE"""),"Sova,Killjoy,Viper,Jett,KAY/O")</f>
        <v>Sova,Killjoy,Viper,Jett,KAY/O</v>
      </c>
      <c r="H290" s="189" t="str">
        <f>IFERROR(__xludf.DUMMYFUNCTION("""COMPUTED_VALUE"""),"Sova,Killjoy,Viper,Jett,KAY/O")</f>
        <v>Sova,Killjoy,Viper,Jett,KAY/O</v>
      </c>
      <c r="I290" s="189">
        <f>IFERROR(__xludf.DUMMYFUNCTION("""COMPUTED_VALUE"""),13.0)</f>
        <v>13</v>
      </c>
      <c r="J290" s="189">
        <f>IFERROR(__xludf.DUMMYFUNCTION("""COMPUTED_VALUE"""),4.0)</f>
        <v>4</v>
      </c>
      <c r="K290" s="189">
        <f>IFERROR(__xludf.DUMMYFUNCTION("""COMPUTED_VALUE"""),8.0)</f>
        <v>8</v>
      </c>
      <c r="L290" s="189">
        <f>IFERROR(__xludf.DUMMYFUNCTION("""COMPUTED_VALUE"""),4.0)</f>
        <v>4</v>
      </c>
      <c r="M290" s="189">
        <f>IFERROR(__xludf.DUMMYFUNCTION("""COMPUTED_VALUE"""),1.0)</f>
        <v>1</v>
      </c>
      <c r="N290" s="189">
        <f>IFERROR(__xludf.DUMMYFUNCTION("""COMPUTED_VALUE"""),1.0)</f>
        <v>1</v>
      </c>
      <c r="O290" s="189">
        <f>IFERROR(__xludf.DUMMYFUNCTION("""COMPUTED_VALUE"""),5.0)</f>
        <v>5</v>
      </c>
      <c r="P290" s="189">
        <f>IFERROR(__xludf.DUMMYFUNCTION("""COMPUTED_VALUE"""),0.0)</f>
        <v>0</v>
      </c>
      <c r="Q290" s="189">
        <f>IFERROR(__xludf.DUMMYFUNCTION("""COMPUTED_VALUE"""),8.0)</f>
        <v>8</v>
      </c>
      <c r="R290" s="189">
        <f>IFERROR(__xludf.DUMMYFUNCTION("""COMPUTED_VALUE"""),4.0)</f>
        <v>4</v>
      </c>
      <c r="S290" s="189">
        <f>IFERROR(__xludf.DUMMYFUNCTION("""COMPUTED_VALUE"""),0.0)</f>
        <v>0</v>
      </c>
      <c r="T290" s="189">
        <f>IFERROR(__xludf.DUMMYFUNCTION("""COMPUTED_VALUE"""),0.0)</f>
        <v>0</v>
      </c>
      <c r="U290" s="189">
        <f>IFERROR(__xludf.DUMMYFUNCTION("""COMPUTED_VALUE"""),4.0)</f>
        <v>4</v>
      </c>
      <c r="V290" s="189">
        <f>IFERROR(__xludf.DUMMYFUNCTION("""COMPUTED_VALUE"""),8.0)</f>
        <v>8</v>
      </c>
      <c r="W290" s="189">
        <f>IFERROR(__xludf.DUMMYFUNCTION("""COMPUTED_VALUE"""),0.0)</f>
        <v>0</v>
      </c>
      <c r="X290" s="189">
        <f>IFERROR(__xludf.DUMMYFUNCTION("""COMPUTED_VALUE"""),5.0)</f>
        <v>5</v>
      </c>
      <c r="Y290" s="208" t="str">
        <f>IFERROR(__xludf.DUMMYFUNCTION("""COMPUTED_VALUE"""),"2025-06-17T00:00:00.000Z")</f>
        <v>2025-06-17T00:00:00.000Z</v>
      </c>
      <c r="Z290" s="189" t="s">
        <v>137</v>
      </c>
      <c r="AA290" s="189" t="s">
        <v>180</v>
      </c>
    </row>
    <row r="291">
      <c r="A291" s="189">
        <f>IFERROR(__xludf.DUMMYFUNCTION("""COMPUTED_VALUE"""),206632.0)</f>
        <v>206632</v>
      </c>
      <c r="B291" s="189">
        <f>IFERROR(__xludf.DUMMYFUNCTION("""COMPUTED_VALUE"""),91111.0)</f>
        <v>91111</v>
      </c>
      <c r="C291" s="189" t="str">
        <f>IFERROR(__xludf.DUMMYFUNCTION("""COMPUTED_VALUE"""),"A1 eSports Cup #8")</f>
        <v>A1 eSports Cup #8</v>
      </c>
      <c r="D291" s="189" t="str">
        <f>IFERROR(__xludf.DUMMYFUNCTION("""COMPUTED_VALUE"""),"Pearl")</f>
        <v>Pearl</v>
      </c>
      <c r="E291" s="189" t="str">
        <f>IFERROR(__xludf.DUMMYFUNCTION("""COMPUTED_VALUE"""),"MOUZ")</f>
        <v>MOUZ</v>
      </c>
      <c r="F291" s="189" t="str">
        <f>IFERROR(__xludf.DUMMYFUNCTION("""COMPUTED_VALUE"""),"CGN Esports")</f>
        <v>CGN Esports</v>
      </c>
      <c r="G291" s="189" t="str">
        <f>IFERROR(__xludf.DUMMYFUNCTION("""COMPUTED_VALUE"""),"Yoru,Astra,KAY/O,Fade,Vyse")</f>
        <v>Yoru,Astra,KAY/O,Fade,Vyse</v>
      </c>
      <c r="H291" s="189" t="str">
        <f>IFERROR(__xludf.DUMMYFUNCTION("""COMPUTED_VALUE"""),"Cypher,Sova,Yoru,Astra,KAY/O")</f>
        <v>Cypher,Sova,Yoru,Astra,KAY/O</v>
      </c>
      <c r="I291" s="189">
        <f>IFERROR(__xludf.DUMMYFUNCTION("""COMPUTED_VALUE"""),13.0)</f>
        <v>13</v>
      </c>
      <c r="J291" s="189">
        <f>IFERROR(__xludf.DUMMYFUNCTION("""COMPUTED_VALUE"""),8.0)</f>
        <v>8</v>
      </c>
      <c r="K291" s="189">
        <f>IFERROR(__xludf.DUMMYFUNCTION("""COMPUTED_VALUE"""),7.0)</f>
        <v>7</v>
      </c>
      <c r="L291" s="189">
        <f>IFERROR(__xludf.DUMMYFUNCTION("""COMPUTED_VALUE"""),5.0)</f>
        <v>5</v>
      </c>
      <c r="M291" s="189">
        <f>IFERROR(__xludf.DUMMYFUNCTION("""COMPUTED_VALUE"""),1.0)</f>
        <v>1</v>
      </c>
      <c r="N291" s="189">
        <f>IFERROR(__xludf.DUMMYFUNCTION("""COMPUTED_VALUE"""),1.0)</f>
        <v>1</v>
      </c>
      <c r="O291" s="189">
        <f>IFERROR(__xludf.DUMMYFUNCTION("""COMPUTED_VALUE"""),6.0)</f>
        <v>6</v>
      </c>
      <c r="P291" s="189">
        <f>IFERROR(__xludf.DUMMYFUNCTION("""COMPUTED_VALUE"""),3.0)</f>
        <v>3</v>
      </c>
      <c r="Q291" s="189">
        <f>IFERROR(__xludf.DUMMYFUNCTION("""COMPUTED_VALUE"""),7.0)</f>
        <v>7</v>
      </c>
      <c r="R291" s="189">
        <f>IFERROR(__xludf.DUMMYFUNCTION("""COMPUTED_VALUE"""),5.0)</f>
        <v>5</v>
      </c>
      <c r="S291" s="189">
        <f>IFERROR(__xludf.DUMMYFUNCTION("""COMPUTED_VALUE"""),0.0)</f>
        <v>0</v>
      </c>
      <c r="T291" s="189">
        <f>IFERROR(__xludf.DUMMYFUNCTION("""COMPUTED_VALUE"""),0.0)</f>
        <v>0</v>
      </c>
      <c r="U291" s="189">
        <f>IFERROR(__xludf.DUMMYFUNCTION("""COMPUTED_VALUE"""),5.0)</f>
        <v>5</v>
      </c>
      <c r="V291" s="189">
        <f>IFERROR(__xludf.DUMMYFUNCTION("""COMPUTED_VALUE"""),7.0)</f>
        <v>7</v>
      </c>
      <c r="W291" s="189">
        <f>IFERROR(__xludf.DUMMYFUNCTION("""COMPUTED_VALUE"""),3.0)</f>
        <v>3</v>
      </c>
      <c r="X291" s="189">
        <f>IFERROR(__xludf.DUMMYFUNCTION("""COMPUTED_VALUE"""),6.0)</f>
        <v>6</v>
      </c>
      <c r="Y291" s="208" t="str">
        <f>IFERROR(__xludf.DUMMYFUNCTION("""COMPUTED_VALUE"""),"2025-06-17T00:00:00.000Z")</f>
        <v>2025-06-17T00:00:00.000Z</v>
      </c>
      <c r="Z291" s="189" t="s">
        <v>139</v>
      </c>
      <c r="AA291" s="189" t="s">
        <v>180</v>
      </c>
    </row>
    <row r="292">
      <c r="A292" s="189">
        <f>IFERROR(__xludf.DUMMYFUNCTION("""COMPUTED_VALUE"""),204947.0)</f>
        <v>204947</v>
      </c>
      <c r="B292" s="189">
        <f>IFERROR(__xludf.DUMMYFUNCTION("""COMPUTED_VALUE"""),90467.0)</f>
        <v>90467</v>
      </c>
      <c r="C292" s="189" t="str">
        <f>IFERROR(__xludf.DUMMYFUNCTION("""COMPUTED_VALUE"""),"Challengers League 2025 MENA: Resilience - GPI - Split 2 - Group Stage")</f>
        <v>Challengers League 2025 MENA: Resilience - GPI - Split 2 - Group Stage</v>
      </c>
      <c r="D292" s="189" t="str">
        <f>IFERROR(__xludf.DUMMYFUNCTION("""COMPUTED_VALUE"""),"Sunset")</f>
        <v>Sunset</v>
      </c>
      <c r="E292" s="189" t="str">
        <f>IFERROR(__xludf.DUMMYFUNCTION("""COMPUTED_VALUE"""),"The Ultimates")</f>
        <v>The Ultimates</v>
      </c>
      <c r="F292" s="189" t="str">
        <f>IFERROR(__xludf.DUMMYFUNCTION("""COMPUTED_VALUE"""),"RvN")</f>
        <v>RvN</v>
      </c>
      <c r="G292" s="189" t="str">
        <f>IFERROR(__xludf.DUMMYFUNCTION("""COMPUTED_VALUE"""),"Breach,Raze,Cypher,Omen,Fade")</f>
        <v>Breach,Raze,Cypher,Omen,Fade</v>
      </c>
      <c r="H292" s="189" t="str">
        <f>IFERROR(__xludf.DUMMYFUNCTION("""COMPUTED_VALUE"""),"Breach,Cypher,Sova,Omen,Neon")</f>
        <v>Breach,Cypher,Sova,Omen,Neon</v>
      </c>
      <c r="I292" s="189">
        <f>IFERROR(__xludf.DUMMYFUNCTION("""COMPUTED_VALUE"""),10.0)</f>
        <v>10</v>
      </c>
      <c r="J292" s="189">
        <f>IFERROR(__xludf.DUMMYFUNCTION("""COMPUTED_VALUE"""),13.0)</f>
        <v>13</v>
      </c>
      <c r="K292" s="189">
        <f>IFERROR(__xludf.DUMMYFUNCTION("""COMPUTED_VALUE"""),4.0)</f>
        <v>4</v>
      </c>
      <c r="L292" s="189">
        <f>IFERROR(__xludf.DUMMYFUNCTION("""COMPUTED_VALUE"""),8.0)</f>
        <v>8</v>
      </c>
      <c r="M292" s="189">
        <f>IFERROR(__xludf.DUMMYFUNCTION("""COMPUTED_VALUE"""),1.0)</f>
        <v>1</v>
      </c>
      <c r="N292" s="189">
        <f>IFERROR(__xludf.DUMMYFUNCTION("""COMPUTED_VALUE"""),0.0)</f>
        <v>0</v>
      </c>
      <c r="O292" s="189">
        <f>IFERROR(__xludf.DUMMYFUNCTION("""COMPUTED_VALUE"""),6.0)</f>
        <v>6</v>
      </c>
      <c r="P292" s="189">
        <f>IFERROR(__xludf.DUMMYFUNCTION("""COMPUTED_VALUE"""),5.0)</f>
        <v>5</v>
      </c>
      <c r="Q292" s="189">
        <f>IFERROR(__xludf.DUMMYFUNCTION("""COMPUTED_VALUE"""),4.0)</f>
        <v>4</v>
      </c>
      <c r="R292" s="189">
        <f>IFERROR(__xludf.DUMMYFUNCTION("""COMPUTED_VALUE"""),8.0)</f>
        <v>8</v>
      </c>
      <c r="S292" s="189">
        <f>IFERROR(__xludf.DUMMYFUNCTION("""COMPUTED_VALUE"""),1.0)</f>
        <v>1</v>
      </c>
      <c r="T292" s="189">
        <f>IFERROR(__xludf.DUMMYFUNCTION("""COMPUTED_VALUE"""),0.0)</f>
        <v>0</v>
      </c>
      <c r="U292" s="189">
        <f>IFERROR(__xludf.DUMMYFUNCTION("""COMPUTED_VALUE"""),8.0)</f>
        <v>8</v>
      </c>
      <c r="V292" s="189">
        <f>IFERROR(__xludf.DUMMYFUNCTION("""COMPUTED_VALUE"""),4.0)</f>
        <v>4</v>
      </c>
      <c r="W292" s="189">
        <f>IFERROR(__xludf.DUMMYFUNCTION("""COMPUTED_VALUE"""),5.0)</f>
        <v>5</v>
      </c>
      <c r="X292" s="189">
        <f>IFERROR(__xludf.DUMMYFUNCTION("""COMPUTED_VALUE"""),6.0)</f>
        <v>6</v>
      </c>
      <c r="Y292" s="208" t="str">
        <f>IFERROR(__xludf.DUMMYFUNCTION("""COMPUTED_VALUE"""),"2025-06-14T00:00:00.000Z")</f>
        <v>2025-06-14T00:00:00.000Z</v>
      </c>
      <c r="Z292" s="189" t="s">
        <v>158</v>
      </c>
      <c r="AA292" s="189" t="s">
        <v>438</v>
      </c>
    </row>
    <row r="293">
      <c r="A293" s="189">
        <f>IFERROR(__xludf.DUMMYFUNCTION("""COMPUTED_VALUE"""),204946.0)</f>
        <v>204946</v>
      </c>
      <c r="B293" s="189">
        <f>IFERROR(__xludf.DUMMYFUNCTION("""COMPUTED_VALUE"""),90467.0)</f>
        <v>90467</v>
      </c>
      <c r="C293" s="189" t="str">
        <f>IFERROR(__xludf.DUMMYFUNCTION("""COMPUTED_VALUE"""),"Challengers League 2025 MENA: Resilience - GPI - Split 2 - Group Stage")</f>
        <v>Challengers League 2025 MENA: Resilience - GPI - Split 2 - Group Stage</v>
      </c>
      <c r="D293" s="189" t="str">
        <f>IFERROR(__xludf.DUMMYFUNCTION("""COMPUTED_VALUE"""),"Icebox")</f>
        <v>Icebox</v>
      </c>
      <c r="E293" s="189" t="str">
        <f>IFERROR(__xludf.DUMMYFUNCTION("""COMPUTED_VALUE"""),"The Ultimates")</f>
        <v>The Ultimates</v>
      </c>
      <c r="F293" s="189" t="str">
        <f>IFERROR(__xludf.DUMMYFUNCTION("""COMPUTED_VALUE"""),"RvN")</f>
        <v>RvN</v>
      </c>
      <c r="G293" s="189" t="str">
        <f>IFERROR(__xludf.DUMMYFUNCTION("""COMPUTED_VALUE"""),"Reyna,Omen,KAY/O,Harbor,Gekko")</f>
        <v>Reyna,Omen,KAY/O,Harbor,Gekko</v>
      </c>
      <c r="H293" s="189" t="str">
        <f>IFERROR(__xludf.DUMMYFUNCTION("""COMPUTED_VALUE"""),"Sova,Killjoy,Viper,Jett,Harbor")</f>
        <v>Sova,Killjoy,Viper,Jett,Harbor</v>
      </c>
      <c r="I293" s="189">
        <f>IFERROR(__xludf.DUMMYFUNCTION("""COMPUTED_VALUE"""),13.0)</f>
        <v>13</v>
      </c>
      <c r="J293" s="189">
        <f>IFERROR(__xludf.DUMMYFUNCTION("""COMPUTED_VALUE"""),8.0)</f>
        <v>8</v>
      </c>
      <c r="K293" s="189">
        <f>IFERROR(__xludf.DUMMYFUNCTION("""COMPUTED_VALUE"""),7.0)</f>
        <v>7</v>
      </c>
      <c r="L293" s="189">
        <f>IFERROR(__xludf.DUMMYFUNCTION("""COMPUTED_VALUE"""),5.0)</f>
        <v>5</v>
      </c>
      <c r="M293" s="189">
        <f>IFERROR(__xludf.DUMMYFUNCTION("""COMPUTED_VALUE"""),1.0)</f>
        <v>1</v>
      </c>
      <c r="N293" s="189">
        <f>IFERROR(__xludf.DUMMYFUNCTION("""COMPUTED_VALUE"""),0.0)</f>
        <v>0</v>
      </c>
      <c r="O293" s="189">
        <f>IFERROR(__xludf.DUMMYFUNCTION("""COMPUTED_VALUE"""),6.0)</f>
        <v>6</v>
      </c>
      <c r="P293" s="189">
        <f>IFERROR(__xludf.DUMMYFUNCTION("""COMPUTED_VALUE"""),3.0)</f>
        <v>3</v>
      </c>
      <c r="Q293" s="189">
        <f>IFERROR(__xludf.DUMMYFUNCTION("""COMPUTED_VALUE"""),7.0)</f>
        <v>7</v>
      </c>
      <c r="R293" s="189">
        <f>IFERROR(__xludf.DUMMYFUNCTION("""COMPUTED_VALUE"""),5.0)</f>
        <v>5</v>
      </c>
      <c r="S293" s="189">
        <f>IFERROR(__xludf.DUMMYFUNCTION("""COMPUTED_VALUE"""),1.0)</f>
        <v>1</v>
      </c>
      <c r="T293" s="189">
        <f>IFERROR(__xludf.DUMMYFUNCTION("""COMPUTED_VALUE"""),0.0)</f>
        <v>0</v>
      </c>
      <c r="U293" s="189">
        <f>IFERROR(__xludf.DUMMYFUNCTION("""COMPUTED_VALUE"""),5.0)</f>
        <v>5</v>
      </c>
      <c r="V293" s="189">
        <f>IFERROR(__xludf.DUMMYFUNCTION("""COMPUTED_VALUE"""),7.0)</f>
        <v>7</v>
      </c>
      <c r="W293" s="189">
        <f>IFERROR(__xludf.DUMMYFUNCTION("""COMPUTED_VALUE"""),3.0)</f>
        <v>3</v>
      </c>
      <c r="X293" s="189">
        <f>IFERROR(__xludf.DUMMYFUNCTION("""COMPUTED_VALUE"""),6.0)</f>
        <v>6</v>
      </c>
      <c r="Y293" s="208" t="str">
        <f>IFERROR(__xludf.DUMMYFUNCTION("""COMPUTED_VALUE"""),"2025-06-14T00:00:00.000Z")</f>
        <v>2025-06-14T00:00:00.000Z</v>
      </c>
      <c r="Z293" s="189" t="s">
        <v>154</v>
      </c>
      <c r="AA293" s="189" t="s">
        <v>185</v>
      </c>
    </row>
    <row r="294">
      <c r="A294" s="189">
        <f>IFERROR(__xludf.DUMMYFUNCTION("""COMPUTED_VALUE"""),204945.0)</f>
        <v>204945</v>
      </c>
      <c r="B294" s="189">
        <f>IFERROR(__xludf.DUMMYFUNCTION("""COMPUTED_VALUE"""),90467.0)</f>
        <v>90467</v>
      </c>
      <c r="C294" s="189" t="str">
        <f>IFERROR(__xludf.DUMMYFUNCTION("""COMPUTED_VALUE"""),"Challengers League 2025 MENA: Resilience - GPI - Split 2 - Group Stage")</f>
        <v>Challengers League 2025 MENA: Resilience - GPI - Split 2 - Group Stage</v>
      </c>
      <c r="D294" s="189" t="str">
        <f>IFERROR(__xludf.DUMMYFUNCTION("""COMPUTED_VALUE"""),"Lotus")</f>
        <v>Lotus</v>
      </c>
      <c r="E294" s="189" t="str">
        <f>IFERROR(__xludf.DUMMYFUNCTION("""COMPUTED_VALUE"""),"The Ultimates")</f>
        <v>The Ultimates</v>
      </c>
      <c r="F294" s="189" t="str">
        <f>IFERROR(__xludf.DUMMYFUNCTION("""COMPUTED_VALUE"""),"RvN")</f>
        <v>RvN</v>
      </c>
      <c r="G294" s="189" t="str">
        <f>IFERROR(__xludf.DUMMYFUNCTION("""COMPUTED_VALUE"""),"Breach,Viper,Omen,Neon,Fade")</f>
        <v>Breach,Viper,Omen,Neon,Fade</v>
      </c>
      <c r="H294" s="189" t="str">
        <f>IFERROR(__xludf.DUMMYFUNCTION("""COMPUTED_VALUE"""),"Breach,Cypher,Omen,Neon,Fade")</f>
        <v>Breach,Cypher,Omen,Neon,Fade</v>
      </c>
      <c r="I294" s="189">
        <f>IFERROR(__xludf.DUMMYFUNCTION("""COMPUTED_VALUE"""),11.0)</f>
        <v>11</v>
      </c>
      <c r="J294" s="189">
        <f>IFERROR(__xludf.DUMMYFUNCTION("""COMPUTED_VALUE"""),13.0)</f>
        <v>13</v>
      </c>
      <c r="K294" s="189">
        <f>IFERROR(__xludf.DUMMYFUNCTION("""COMPUTED_VALUE"""),4.0)</f>
        <v>4</v>
      </c>
      <c r="L294" s="189">
        <f>IFERROR(__xludf.DUMMYFUNCTION("""COMPUTED_VALUE"""),8.0)</f>
        <v>8</v>
      </c>
      <c r="M294" s="189">
        <f>IFERROR(__xludf.DUMMYFUNCTION("""COMPUTED_VALUE"""),0.0)</f>
        <v>0</v>
      </c>
      <c r="N294" s="189">
        <f>IFERROR(__xludf.DUMMYFUNCTION("""COMPUTED_VALUE"""),1.0)</f>
        <v>1</v>
      </c>
      <c r="O294" s="189">
        <f>IFERROR(__xludf.DUMMYFUNCTION("""COMPUTED_VALUE"""),7.0)</f>
        <v>7</v>
      </c>
      <c r="P294" s="189">
        <f>IFERROR(__xludf.DUMMYFUNCTION("""COMPUTED_VALUE"""),5.0)</f>
        <v>5</v>
      </c>
      <c r="Q294" s="189">
        <f>IFERROR(__xludf.DUMMYFUNCTION("""COMPUTED_VALUE"""),4.0)</f>
        <v>4</v>
      </c>
      <c r="R294" s="189">
        <f>IFERROR(__xludf.DUMMYFUNCTION("""COMPUTED_VALUE"""),8.0)</f>
        <v>8</v>
      </c>
      <c r="S294" s="189">
        <f>IFERROR(__xludf.DUMMYFUNCTION("""COMPUTED_VALUE"""),0.0)</f>
        <v>0</v>
      </c>
      <c r="T294" s="189">
        <f>IFERROR(__xludf.DUMMYFUNCTION("""COMPUTED_VALUE"""),1.0)</f>
        <v>1</v>
      </c>
      <c r="U294" s="189">
        <f>IFERROR(__xludf.DUMMYFUNCTION("""COMPUTED_VALUE"""),8.0)</f>
        <v>8</v>
      </c>
      <c r="V294" s="189">
        <f>IFERROR(__xludf.DUMMYFUNCTION("""COMPUTED_VALUE"""),4.0)</f>
        <v>4</v>
      </c>
      <c r="W294" s="189">
        <f>IFERROR(__xludf.DUMMYFUNCTION("""COMPUTED_VALUE"""),5.0)</f>
        <v>5</v>
      </c>
      <c r="X294" s="189">
        <f>IFERROR(__xludf.DUMMYFUNCTION("""COMPUTED_VALUE"""),7.0)</f>
        <v>7</v>
      </c>
      <c r="Y294" s="208" t="str">
        <f>IFERROR(__xludf.DUMMYFUNCTION("""COMPUTED_VALUE"""),"2025-06-14T00:00:00.000Z")</f>
        <v>2025-06-14T00:00:00.000Z</v>
      </c>
      <c r="Z294" s="189" t="s">
        <v>155</v>
      </c>
      <c r="AA294" s="189" t="s">
        <v>438</v>
      </c>
    </row>
    <row r="295">
      <c r="A295" s="189">
        <f>IFERROR(__xludf.DUMMYFUNCTION("""COMPUTED_VALUE"""),206693.0)</f>
        <v>206693</v>
      </c>
      <c r="B295" s="189">
        <f>IFERROR(__xludf.DUMMYFUNCTION("""COMPUTED_VALUE"""),91131.0)</f>
        <v>91131</v>
      </c>
      <c r="C295" s="189" t="str">
        <f>IFERROR(__xludf.DUMMYFUNCTION("""COMPUTED_VALUE"""),"BtcTurk GameFest - Stage 2")</f>
        <v>BtcTurk GameFest - Stage 2</v>
      </c>
      <c r="D295" s="189" t="str">
        <f>IFERROR(__xludf.DUMMYFUNCTION("""COMPUTED_VALUE"""),"Sunset")</f>
        <v>Sunset</v>
      </c>
      <c r="E295" s="189" t="str">
        <f>IFERROR(__xludf.DUMMYFUNCTION("""COMPUTED_VALUE"""),"ULF Esports")</f>
        <v>ULF Esports</v>
      </c>
      <c r="F295" s="189" t="str">
        <f>IFERROR(__xludf.DUMMYFUNCTION("""COMPUTED_VALUE"""),"Eternal Fire")</f>
        <v>Eternal Fire</v>
      </c>
      <c r="G295" s="189" t="str">
        <f>IFERROR(__xludf.DUMMYFUNCTION("""COMPUTED_VALUE"""),"Breach,Sova,Omen,Neon,Vyse")</f>
        <v>Breach,Sova,Omen,Neon,Vyse</v>
      </c>
      <c r="H295" s="189" t="str">
        <f>IFERROR(__xludf.DUMMYFUNCTION("""COMPUTED_VALUE"""),"Cypher,Sova,Omen,Yoru,Iso")</f>
        <v>Cypher,Sova,Omen,Yoru,Iso</v>
      </c>
      <c r="I295" s="189">
        <f>IFERROR(__xludf.DUMMYFUNCTION("""COMPUTED_VALUE"""),13.0)</f>
        <v>13</v>
      </c>
      <c r="J295" s="189">
        <f>IFERROR(__xludf.DUMMYFUNCTION("""COMPUTED_VALUE"""),9.0)</f>
        <v>9</v>
      </c>
      <c r="K295" s="189">
        <f>IFERROR(__xludf.DUMMYFUNCTION("""COMPUTED_VALUE"""),7.0)</f>
        <v>7</v>
      </c>
      <c r="L295" s="189">
        <f>IFERROR(__xludf.DUMMYFUNCTION("""COMPUTED_VALUE"""),5.0)</f>
        <v>5</v>
      </c>
      <c r="M295" s="189">
        <f>IFERROR(__xludf.DUMMYFUNCTION("""COMPUTED_VALUE"""),1.0)</f>
        <v>1</v>
      </c>
      <c r="N295" s="189">
        <f>IFERROR(__xludf.DUMMYFUNCTION("""COMPUTED_VALUE"""),1.0)</f>
        <v>1</v>
      </c>
      <c r="O295" s="189">
        <f>IFERROR(__xludf.DUMMYFUNCTION("""COMPUTED_VALUE"""),7.0)</f>
        <v>7</v>
      </c>
      <c r="P295" s="189">
        <f>IFERROR(__xludf.DUMMYFUNCTION("""COMPUTED_VALUE"""),5.0)</f>
        <v>5</v>
      </c>
      <c r="Q295" s="189">
        <f>IFERROR(__xludf.DUMMYFUNCTION("""COMPUTED_VALUE"""),6.0)</f>
        <v>6</v>
      </c>
      <c r="R295" s="189">
        <f>IFERROR(__xludf.DUMMYFUNCTION("""COMPUTED_VALUE"""),4.0)</f>
        <v>4</v>
      </c>
      <c r="S295" s="189">
        <f>IFERROR(__xludf.DUMMYFUNCTION("""COMPUTED_VALUE"""),0.0)</f>
        <v>0</v>
      </c>
      <c r="T295" s="189">
        <f>IFERROR(__xludf.DUMMYFUNCTION("""COMPUTED_VALUE"""),0.0)</f>
        <v>0</v>
      </c>
      <c r="U295" s="189">
        <f>IFERROR(__xludf.DUMMYFUNCTION("""COMPUTED_VALUE"""),4.0)</f>
        <v>4</v>
      </c>
      <c r="V295" s="189">
        <f>IFERROR(__xludf.DUMMYFUNCTION("""COMPUTED_VALUE"""),6.0)</f>
        <v>6</v>
      </c>
      <c r="W295" s="189">
        <f>IFERROR(__xludf.DUMMYFUNCTION("""COMPUTED_VALUE"""),5.0)</f>
        <v>5</v>
      </c>
      <c r="X295" s="189">
        <f>IFERROR(__xludf.DUMMYFUNCTION("""COMPUTED_VALUE"""),7.0)</f>
        <v>7</v>
      </c>
      <c r="Y295" s="208" t="str">
        <f>IFERROR(__xludf.DUMMYFUNCTION("""COMPUTED_VALUE"""),"2025-06-12T00:00:00.000Z")</f>
        <v>2025-06-12T00:00:00.000Z</v>
      </c>
      <c r="Z295" s="189" t="s">
        <v>175</v>
      </c>
      <c r="AA295" s="189" t="s">
        <v>188</v>
      </c>
    </row>
    <row r="296">
      <c r="A296" s="189">
        <f>IFERROR(__xludf.DUMMYFUNCTION("""COMPUTED_VALUE"""),205852.0)</f>
        <v>205852</v>
      </c>
      <c r="B296" s="189">
        <f>IFERROR(__xludf.DUMMYFUNCTION("""COMPUTED_VALUE"""),90797.0)</f>
        <v>90797</v>
      </c>
      <c r="C296" s="189" t="str">
        <f>IFERROR(__xludf.DUMMYFUNCTION("""COMPUTED_VALUE"""),"A1 eSports Cup #8")</f>
        <v>A1 eSports Cup #8</v>
      </c>
      <c r="D296" s="189" t="str">
        <f>IFERROR(__xludf.DUMMYFUNCTION("""COMPUTED_VALUE"""),"Split")</f>
        <v>Split</v>
      </c>
      <c r="E296" s="189" t="str">
        <f>IFERROR(__xludf.DUMMYFUNCTION("""COMPUTED_VALUE"""),"Eintracht Frankfurt")</f>
        <v>Eintracht Frankfurt</v>
      </c>
      <c r="F296" s="189" t="str">
        <f>IFERROR(__xludf.DUMMYFUNCTION("""COMPUTED_VALUE"""),"MOUZ")</f>
        <v>MOUZ</v>
      </c>
      <c r="G296" s="189" t="str">
        <f>IFERROR(__xludf.DUMMYFUNCTION("""COMPUTED_VALUE"""),"Raze,Viper,Yoru,Astra,Fade")</f>
        <v>Raze,Viper,Yoru,Astra,Fade</v>
      </c>
      <c r="H296" s="189" t="str">
        <f>IFERROR(__xludf.DUMMYFUNCTION("""COMPUTED_VALUE"""),"Raze,Viper,Yoru,Astra,Fade")</f>
        <v>Raze,Viper,Yoru,Astra,Fade</v>
      </c>
      <c r="I296" s="189">
        <f>IFERROR(__xludf.DUMMYFUNCTION("""COMPUTED_VALUE"""),13.0)</f>
        <v>13</v>
      </c>
      <c r="J296" s="189">
        <f>IFERROR(__xludf.DUMMYFUNCTION("""COMPUTED_VALUE"""),4.0)</f>
        <v>4</v>
      </c>
      <c r="K296" s="189">
        <f>IFERROR(__xludf.DUMMYFUNCTION("""COMPUTED_VALUE"""),10.0)</f>
        <v>10</v>
      </c>
      <c r="L296" s="189">
        <f>IFERROR(__xludf.DUMMYFUNCTION("""COMPUTED_VALUE"""),2.0)</f>
        <v>2</v>
      </c>
      <c r="M296" s="189">
        <f>IFERROR(__xludf.DUMMYFUNCTION("""COMPUTED_VALUE"""),1.0)</f>
        <v>1</v>
      </c>
      <c r="N296" s="189">
        <f>IFERROR(__xludf.DUMMYFUNCTION("""COMPUTED_VALUE"""),1.0)</f>
        <v>1</v>
      </c>
      <c r="O296" s="189">
        <f>IFERROR(__xludf.DUMMYFUNCTION("""COMPUTED_VALUE"""),3.0)</f>
        <v>3</v>
      </c>
      <c r="P296" s="189">
        <f>IFERROR(__xludf.DUMMYFUNCTION("""COMPUTED_VALUE"""),2.0)</f>
        <v>2</v>
      </c>
      <c r="Q296" s="189">
        <f>IFERROR(__xludf.DUMMYFUNCTION("""COMPUTED_VALUE"""),10.0)</f>
        <v>10</v>
      </c>
      <c r="R296" s="189">
        <f>IFERROR(__xludf.DUMMYFUNCTION("""COMPUTED_VALUE"""),2.0)</f>
        <v>2</v>
      </c>
      <c r="S296" s="189">
        <f>IFERROR(__xludf.DUMMYFUNCTION("""COMPUTED_VALUE"""),0.0)</f>
        <v>0</v>
      </c>
      <c r="T296" s="189">
        <f>IFERROR(__xludf.DUMMYFUNCTION("""COMPUTED_VALUE"""),0.0)</f>
        <v>0</v>
      </c>
      <c r="U296" s="189">
        <f>IFERROR(__xludf.DUMMYFUNCTION("""COMPUTED_VALUE"""),2.0)</f>
        <v>2</v>
      </c>
      <c r="V296" s="189">
        <f>IFERROR(__xludf.DUMMYFUNCTION("""COMPUTED_VALUE"""),10.0)</f>
        <v>10</v>
      </c>
      <c r="W296" s="189">
        <f>IFERROR(__xludf.DUMMYFUNCTION("""COMPUTED_VALUE"""),2.0)</f>
        <v>2</v>
      </c>
      <c r="X296" s="189">
        <f>IFERROR(__xludf.DUMMYFUNCTION("""COMPUTED_VALUE"""),3.0)</f>
        <v>3</v>
      </c>
      <c r="Y296" s="208" t="str">
        <f>IFERROR(__xludf.DUMMYFUNCTION("""COMPUTED_VALUE"""),"2025-06-12T00:00:00.000Z")</f>
        <v>2025-06-12T00:00:00.000Z</v>
      </c>
      <c r="Z296" s="189" t="s">
        <v>105</v>
      </c>
      <c r="AA296" s="189" t="s">
        <v>183</v>
      </c>
    </row>
    <row r="297">
      <c r="A297" s="189">
        <f>IFERROR(__xludf.DUMMYFUNCTION("""COMPUTED_VALUE"""),206692.0)</f>
        <v>206692</v>
      </c>
      <c r="B297" s="189">
        <f>IFERROR(__xludf.DUMMYFUNCTION("""COMPUTED_VALUE"""),91131.0)</f>
        <v>91131</v>
      </c>
      <c r="C297" s="189" t="str">
        <f>IFERROR(__xludf.DUMMYFUNCTION("""COMPUTED_VALUE"""),"BtcTurk GameFest - Stage 2")</f>
        <v>BtcTurk GameFest - Stage 2</v>
      </c>
      <c r="D297" s="189" t="str">
        <f>IFERROR(__xludf.DUMMYFUNCTION("""COMPUTED_VALUE"""),"Ascent")</f>
        <v>Ascent</v>
      </c>
      <c r="E297" s="189" t="str">
        <f>IFERROR(__xludf.DUMMYFUNCTION("""COMPUTED_VALUE"""),"ULF Esports")</f>
        <v>ULF Esports</v>
      </c>
      <c r="F297" s="189" t="str">
        <f>IFERROR(__xludf.DUMMYFUNCTION("""COMPUTED_VALUE"""),"Eternal Fire")</f>
        <v>Eternal Fire</v>
      </c>
      <c r="G297" s="189" t="str">
        <f>IFERROR(__xludf.DUMMYFUNCTION("""COMPUTED_VALUE"""),"Cypher,Sova,Omen,Yoru,Neon")</f>
        <v>Cypher,Sova,Omen,Yoru,Neon</v>
      </c>
      <c r="H297" s="189" t="str">
        <f>IFERROR(__xludf.DUMMYFUNCTION("""COMPUTED_VALUE"""),"Cypher,Sova,Omen,Yoru,Iso")</f>
        <v>Cypher,Sova,Omen,Yoru,Iso</v>
      </c>
      <c r="I297" s="189">
        <f>IFERROR(__xludf.DUMMYFUNCTION("""COMPUTED_VALUE"""),13.0)</f>
        <v>13</v>
      </c>
      <c r="J297" s="189">
        <f>IFERROR(__xludf.DUMMYFUNCTION("""COMPUTED_VALUE"""),8.0)</f>
        <v>8</v>
      </c>
      <c r="K297" s="189">
        <f>IFERROR(__xludf.DUMMYFUNCTION("""COMPUTED_VALUE"""),5.0)</f>
        <v>5</v>
      </c>
      <c r="L297" s="189">
        <f>IFERROR(__xludf.DUMMYFUNCTION("""COMPUTED_VALUE"""),7.0)</f>
        <v>7</v>
      </c>
      <c r="M297" s="189">
        <f>IFERROR(__xludf.DUMMYFUNCTION("""COMPUTED_VALUE"""),1.0)</f>
        <v>1</v>
      </c>
      <c r="N297" s="189">
        <f>IFERROR(__xludf.DUMMYFUNCTION("""COMPUTED_VALUE"""),1.0)</f>
        <v>1</v>
      </c>
      <c r="O297" s="189">
        <f>IFERROR(__xludf.DUMMYFUNCTION("""COMPUTED_VALUE"""),5.0)</f>
        <v>5</v>
      </c>
      <c r="P297" s="189">
        <f>IFERROR(__xludf.DUMMYFUNCTION("""COMPUTED_VALUE"""),7.0)</f>
        <v>7</v>
      </c>
      <c r="Q297" s="189">
        <f>IFERROR(__xludf.DUMMYFUNCTION("""COMPUTED_VALUE"""),8.0)</f>
        <v>8</v>
      </c>
      <c r="R297" s="189">
        <f>IFERROR(__xludf.DUMMYFUNCTION("""COMPUTED_VALUE"""),1.0)</f>
        <v>1</v>
      </c>
      <c r="S297" s="189">
        <f>IFERROR(__xludf.DUMMYFUNCTION("""COMPUTED_VALUE"""),0.0)</f>
        <v>0</v>
      </c>
      <c r="T297" s="189">
        <f>IFERROR(__xludf.DUMMYFUNCTION("""COMPUTED_VALUE"""),0.0)</f>
        <v>0</v>
      </c>
      <c r="U297" s="189">
        <f>IFERROR(__xludf.DUMMYFUNCTION("""COMPUTED_VALUE"""),1.0)</f>
        <v>1</v>
      </c>
      <c r="V297" s="189">
        <f>IFERROR(__xludf.DUMMYFUNCTION("""COMPUTED_VALUE"""),8.0)</f>
        <v>8</v>
      </c>
      <c r="W297" s="189">
        <f>IFERROR(__xludf.DUMMYFUNCTION("""COMPUTED_VALUE"""),7.0)</f>
        <v>7</v>
      </c>
      <c r="X297" s="189">
        <f>IFERROR(__xludf.DUMMYFUNCTION("""COMPUTED_VALUE"""),5.0)</f>
        <v>5</v>
      </c>
      <c r="Y297" s="208" t="str">
        <f>IFERROR(__xludf.DUMMYFUNCTION("""COMPUTED_VALUE"""),"2025-06-12T00:00:00.000Z")</f>
        <v>2025-06-12T00:00:00.000Z</v>
      </c>
      <c r="Z297" s="189" t="s">
        <v>167</v>
      </c>
      <c r="AA297" s="189" t="s">
        <v>188</v>
      </c>
    </row>
    <row r="298">
      <c r="A298" s="189">
        <f>IFERROR(__xludf.DUMMYFUNCTION("""COMPUTED_VALUE"""),205851.0)</f>
        <v>205851</v>
      </c>
      <c r="B298" s="189">
        <f>IFERROR(__xludf.DUMMYFUNCTION("""COMPUTED_VALUE"""),90797.0)</f>
        <v>90797</v>
      </c>
      <c r="C298" s="189" t="str">
        <f>IFERROR(__xludf.DUMMYFUNCTION("""COMPUTED_VALUE"""),"A1 eSports Cup #8")</f>
        <v>A1 eSports Cup #8</v>
      </c>
      <c r="D298" s="189" t="str">
        <f>IFERROR(__xludf.DUMMYFUNCTION("""COMPUTED_VALUE"""),"Sunset")</f>
        <v>Sunset</v>
      </c>
      <c r="E298" s="189" t="str">
        <f>IFERROR(__xludf.DUMMYFUNCTION("""COMPUTED_VALUE"""),"Eintracht Frankfurt")</f>
        <v>Eintracht Frankfurt</v>
      </c>
      <c r="F298" s="189" t="str">
        <f>IFERROR(__xludf.DUMMYFUNCTION("""COMPUTED_VALUE"""),"MOUZ")</f>
        <v>MOUZ</v>
      </c>
      <c r="G298" s="189" t="str">
        <f>IFERROR(__xludf.DUMMYFUNCTION("""COMPUTED_VALUE"""),"Cypher,Sova,Omen,KAY/O,Neon")</f>
        <v>Cypher,Sova,Omen,KAY/O,Neon</v>
      </c>
      <c r="H298" s="189" t="str">
        <f>IFERROR(__xludf.DUMMYFUNCTION("""COMPUTED_VALUE"""),"Breach,Sova,Omen,Neon,Vyse")</f>
        <v>Breach,Sova,Omen,Neon,Vyse</v>
      </c>
      <c r="I298" s="189">
        <f>IFERROR(__xludf.DUMMYFUNCTION("""COMPUTED_VALUE"""),13.0)</f>
        <v>13</v>
      </c>
      <c r="J298" s="189">
        <f>IFERROR(__xludf.DUMMYFUNCTION("""COMPUTED_VALUE"""),11.0)</f>
        <v>11</v>
      </c>
      <c r="K298" s="189">
        <f>IFERROR(__xludf.DUMMYFUNCTION("""COMPUTED_VALUE"""),8.0)</f>
        <v>8</v>
      </c>
      <c r="L298" s="189">
        <f>IFERROR(__xludf.DUMMYFUNCTION("""COMPUTED_VALUE"""),4.0)</f>
        <v>4</v>
      </c>
      <c r="M298" s="189">
        <f>IFERROR(__xludf.DUMMYFUNCTION("""COMPUTED_VALUE"""),1.0)</f>
        <v>1</v>
      </c>
      <c r="N298" s="189">
        <f>IFERROR(__xludf.DUMMYFUNCTION("""COMPUTED_VALUE"""),0.0)</f>
        <v>0</v>
      </c>
      <c r="O298" s="189">
        <f>IFERROR(__xludf.DUMMYFUNCTION("""COMPUTED_VALUE"""),8.0)</f>
        <v>8</v>
      </c>
      <c r="P298" s="189">
        <f>IFERROR(__xludf.DUMMYFUNCTION("""COMPUTED_VALUE"""),4.0)</f>
        <v>4</v>
      </c>
      <c r="Q298" s="189">
        <f>IFERROR(__xludf.DUMMYFUNCTION("""COMPUTED_VALUE"""),5.0)</f>
        <v>5</v>
      </c>
      <c r="R298" s="189">
        <f>IFERROR(__xludf.DUMMYFUNCTION("""COMPUTED_VALUE"""),7.0)</f>
        <v>7</v>
      </c>
      <c r="S298" s="189">
        <f>IFERROR(__xludf.DUMMYFUNCTION("""COMPUTED_VALUE"""),1.0)</f>
        <v>1</v>
      </c>
      <c r="T298" s="189">
        <f>IFERROR(__xludf.DUMMYFUNCTION("""COMPUTED_VALUE"""),0.0)</f>
        <v>0</v>
      </c>
      <c r="U298" s="189">
        <f>IFERROR(__xludf.DUMMYFUNCTION("""COMPUTED_VALUE"""),7.0)</f>
        <v>7</v>
      </c>
      <c r="V298" s="189">
        <f>IFERROR(__xludf.DUMMYFUNCTION("""COMPUTED_VALUE"""),5.0)</f>
        <v>5</v>
      </c>
      <c r="W298" s="189">
        <f>IFERROR(__xludf.DUMMYFUNCTION("""COMPUTED_VALUE"""),4.0)</f>
        <v>4</v>
      </c>
      <c r="X298" s="189">
        <f>IFERROR(__xludf.DUMMYFUNCTION("""COMPUTED_VALUE"""),8.0)</f>
        <v>8</v>
      </c>
      <c r="Y298" s="208" t="str">
        <f>IFERROR(__xludf.DUMMYFUNCTION("""COMPUTED_VALUE"""),"2025-06-12T00:00:00.000Z")</f>
        <v>2025-06-12T00:00:00.000Z</v>
      </c>
      <c r="Z298" s="189" t="s">
        <v>106</v>
      </c>
      <c r="AA298" s="189" t="s">
        <v>183</v>
      </c>
    </row>
    <row r="299">
      <c r="A299" s="189">
        <f>IFERROR(__xludf.DUMMYFUNCTION("""COMPUTED_VALUE"""),206690.0)</f>
        <v>206690</v>
      </c>
      <c r="B299" s="189">
        <f>IFERROR(__xludf.DUMMYFUNCTION("""COMPUTED_VALUE"""),91130.0)</f>
        <v>91130</v>
      </c>
      <c r="C299" s="189" t="str">
        <f>IFERROR(__xludf.DUMMYFUNCTION("""COMPUTED_VALUE"""),"BtcTurk GameFest - Stage 2")</f>
        <v>BtcTurk GameFest - Stage 2</v>
      </c>
      <c r="D299" s="189" t="str">
        <f>IFERROR(__xludf.DUMMYFUNCTION("""COMPUTED_VALUE"""),"Lotus")</f>
        <v>Lotus</v>
      </c>
      <c r="E299" s="189" t="str">
        <f>IFERROR(__xludf.DUMMYFUNCTION("""COMPUTED_VALUE"""),"BBL PCIFIC")</f>
        <v>BBL PCIFIC</v>
      </c>
      <c r="F299" s="189" t="str">
        <f>IFERROR(__xludf.DUMMYFUNCTION("""COMPUTED_VALUE"""),"Papara SuperMassive")</f>
        <v>Papara SuperMassive</v>
      </c>
      <c r="G299" s="189" t="str">
        <f>IFERROR(__xludf.DUMMYFUNCTION("""COMPUTED_VALUE"""),"Breach,Cypher,Sova,Omen,Neon")</f>
        <v>Breach,Cypher,Sova,Omen,Neon</v>
      </c>
      <c r="H299" s="189" t="str">
        <f>IFERROR(__xludf.DUMMYFUNCTION("""COMPUTED_VALUE"""),"Raze,Viper,Omen,Fade,Vyse")</f>
        <v>Raze,Viper,Omen,Fade,Vyse</v>
      </c>
      <c r="I299" s="189">
        <f>IFERROR(__xludf.DUMMYFUNCTION("""COMPUTED_VALUE"""),13.0)</f>
        <v>13</v>
      </c>
      <c r="J299" s="189">
        <f>IFERROR(__xludf.DUMMYFUNCTION("""COMPUTED_VALUE"""),8.0)</f>
        <v>8</v>
      </c>
      <c r="K299" s="189">
        <f>IFERROR(__xludf.DUMMYFUNCTION("""COMPUTED_VALUE"""),8.0)</f>
        <v>8</v>
      </c>
      <c r="L299" s="189">
        <f>IFERROR(__xludf.DUMMYFUNCTION("""COMPUTED_VALUE"""),4.0)</f>
        <v>4</v>
      </c>
      <c r="M299" s="189">
        <f>IFERROR(__xludf.DUMMYFUNCTION("""COMPUTED_VALUE"""),1.0)</f>
        <v>1</v>
      </c>
      <c r="N299" s="189">
        <f>IFERROR(__xludf.DUMMYFUNCTION("""COMPUTED_VALUE"""),1.0)</f>
        <v>1</v>
      </c>
      <c r="O299" s="189">
        <f>IFERROR(__xludf.DUMMYFUNCTION("""COMPUTED_VALUE"""),5.0)</f>
        <v>5</v>
      </c>
      <c r="P299" s="189">
        <f>IFERROR(__xludf.DUMMYFUNCTION("""COMPUTED_VALUE"""),4.0)</f>
        <v>4</v>
      </c>
      <c r="Q299" s="189">
        <f>IFERROR(__xludf.DUMMYFUNCTION("""COMPUTED_VALUE"""),8.0)</f>
        <v>8</v>
      </c>
      <c r="R299" s="189">
        <f>IFERROR(__xludf.DUMMYFUNCTION("""COMPUTED_VALUE"""),4.0)</f>
        <v>4</v>
      </c>
      <c r="S299" s="189">
        <f>IFERROR(__xludf.DUMMYFUNCTION("""COMPUTED_VALUE"""),0.0)</f>
        <v>0</v>
      </c>
      <c r="T299" s="189">
        <f>IFERROR(__xludf.DUMMYFUNCTION("""COMPUTED_VALUE"""),0.0)</f>
        <v>0</v>
      </c>
      <c r="U299" s="189">
        <f>IFERROR(__xludf.DUMMYFUNCTION("""COMPUTED_VALUE"""),4.0)</f>
        <v>4</v>
      </c>
      <c r="V299" s="189">
        <f>IFERROR(__xludf.DUMMYFUNCTION("""COMPUTED_VALUE"""),8.0)</f>
        <v>8</v>
      </c>
      <c r="W299" s="189">
        <f>IFERROR(__xludf.DUMMYFUNCTION("""COMPUTED_VALUE"""),4.0)</f>
        <v>4</v>
      </c>
      <c r="X299" s="189">
        <f>IFERROR(__xludf.DUMMYFUNCTION("""COMPUTED_VALUE"""),5.0)</f>
        <v>5</v>
      </c>
      <c r="Y299" s="208" t="str">
        <f>IFERROR(__xludf.DUMMYFUNCTION("""COMPUTED_VALUE"""),"2025-06-12T00:00:00.000Z")</f>
        <v>2025-06-12T00:00:00.000Z</v>
      </c>
      <c r="Z299" s="189" t="s">
        <v>72</v>
      </c>
      <c r="AA299" s="189" t="s">
        <v>186</v>
      </c>
    </row>
    <row r="300">
      <c r="A300" s="189">
        <f>IFERROR(__xludf.DUMMYFUNCTION("""COMPUTED_VALUE"""),205850.0)</f>
        <v>205850</v>
      </c>
      <c r="B300" s="189">
        <f>IFERROR(__xludf.DUMMYFUNCTION("""COMPUTED_VALUE"""),90797.0)</f>
        <v>90797</v>
      </c>
      <c r="C300" s="189" t="str">
        <f>IFERROR(__xludf.DUMMYFUNCTION("""COMPUTED_VALUE"""),"A1 eSports Cup #8")</f>
        <v>A1 eSports Cup #8</v>
      </c>
      <c r="D300" s="189" t="str">
        <f>IFERROR(__xludf.DUMMYFUNCTION("""COMPUTED_VALUE"""),"Lotus")</f>
        <v>Lotus</v>
      </c>
      <c r="E300" s="189" t="str">
        <f>IFERROR(__xludf.DUMMYFUNCTION("""COMPUTED_VALUE"""),"Eintracht Frankfurt")</f>
        <v>Eintracht Frankfurt</v>
      </c>
      <c r="F300" s="189" t="str">
        <f>IFERROR(__xludf.DUMMYFUNCTION("""COMPUTED_VALUE"""),"MOUZ")</f>
        <v>MOUZ</v>
      </c>
      <c r="G300" s="189" t="str">
        <f>IFERROR(__xludf.DUMMYFUNCTION("""COMPUTED_VALUE"""),"Cypher,Viper,Omen,Yoru,Fade")</f>
        <v>Cypher,Viper,Omen,Yoru,Fade</v>
      </c>
      <c r="H300" s="189" t="str">
        <f>IFERROR(__xludf.DUMMYFUNCTION("""COMPUTED_VALUE"""),"Breach,Cypher,Omen,Yoru,Fade")</f>
        <v>Breach,Cypher,Omen,Yoru,Fade</v>
      </c>
      <c r="I300" s="189">
        <f>IFERROR(__xludf.DUMMYFUNCTION("""COMPUTED_VALUE"""),9.0)</f>
        <v>9</v>
      </c>
      <c r="J300" s="189">
        <f>IFERROR(__xludf.DUMMYFUNCTION("""COMPUTED_VALUE"""),13.0)</f>
        <v>13</v>
      </c>
      <c r="K300" s="189">
        <f>IFERROR(__xludf.DUMMYFUNCTION("""COMPUTED_VALUE"""),6.0)</f>
        <v>6</v>
      </c>
      <c r="L300" s="189">
        <f>IFERROR(__xludf.DUMMYFUNCTION("""COMPUTED_VALUE"""),6.0)</f>
        <v>6</v>
      </c>
      <c r="M300" s="189">
        <f>IFERROR(__xludf.DUMMYFUNCTION("""COMPUTED_VALUE"""),0.0)</f>
        <v>0</v>
      </c>
      <c r="N300" s="189">
        <f>IFERROR(__xludf.DUMMYFUNCTION("""COMPUTED_VALUE"""),1.0)</f>
        <v>1</v>
      </c>
      <c r="O300" s="189">
        <f>IFERROR(__xludf.DUMMYFUNCTION("""COMPUTED_VALUE"""),6.0)</f>
        <v>6</v>
      </c>
      <c r="P300" s="189">
        <f>IFERROR(__xludf.DUMMYFUNCTION("""COMPUTED_VALUE"""),6.0)</f>
        <v>6</v>
      </c>
      <c r="Q300" s="189">
        <f>IFERROR(__xludf.DUMMYFUNCTION("""COMPUTED_VALUE"""),3.0)</f>
        <v>3</v>
      </c>
      <c r="R300" s="189">
        <f>IFERROR(__xludf.DUMMYFUNCTION("""COMPUTED_VALUE"""),7.0)</f>
        <v>7</v>
      </c>
      <c r="S300" s="189">
        <f>IFERROR(__xludf.DUMMYFUNCTION("""COMPUTED_VALUE"""),0.0)</f>
        <v>0</v>
      </c>
      <c r="T300" s="189">
        <f>IFERROR(__xludf.DUMMYFUNCTION("""COMPUTED_VALUE"""),1.0)</f>
        <v>1</v>
      </c>
      <c r="U300" s="189">
        <f>IFERROR(__xludf.DUMMYFUNCTION("""COMPUTED_VALUE"""),7.0)</f>
        <v>7</v>
      </c>
      <c r="V300" s="189">
        <f>IFERROR(__xludf.DUMMYFUNCTION("""COMPUTED_VALUE"""),3.0)</f>
        <v>3</v>
      </c>
      <c r="W300" s="189">
        <f>IFERROR(__xludf.DUMMYFUNCTION("""COMPUTED_VALUE"""),6.0)</f>
        <v>6</v>
      </c>
      <c r="X300" s="189">
        <f>IFERROR(__xludf.DUMMYFUNCTION("""COMPUTED_VALUE"""),6.0)</f>
        <v>6</v>
      </c>
      <c r="Y300" s="208" t="str">
        <f>IFERROR(__xludf.DUMMYFUNCTION("""COMPUTED_VALUE"""),"2025-06-12T00:00:00.000Z")</f>
        <v>2025-06-12T00:00:00.000Z</v>
      </c>
      <c r="Z300" s="189" t="s">
        <v>104</v>
      </c>
      <c r="AA300" s="189" t="s">
        <v>180</v>
      </c>
    </row>
    <row r="301">
      <c r="A301" s="189">
        <f>IFERROR(__xludf.DUMMYFUNCTION("""COMPUTED_VALUE"""),206689.0)</f>
        <v>206689</v>
      </c>
      <c r="B301" s="189">
        <f>IFERROR(__xludf.DUMMYFUNCTION("""COMPUTED_VALUE"""),91130.0)</f>
        <v>91130</v>
      </c>
      <c r="C301" s="189" t="str">
        <f>IFERROR(__xludf.DUMMYFUNCTION("""COMPUTED_VALUE"""),"BtcTurk GameFest - Stage 2")</f>
        <v>BtcTurk GameFest - Stage 2</v>
      </c>
      <c r="D301" s="189" t="str">
        <f>IFERROR(__xludf.DUMMYFUNCTION("""COMPUTED_VALUE"""),"Pearl")</f>
        <v>Pearl</v>
      </c>
      <c r="E301" s="189" t="str">
        <f>IFERROR(__xludf.DUMMYFUNCTION("""COMPUTED_VALUE"""),"BBL PCIFIC")</f>
        <v>BBL PCIFIC</v>
      </c>
      <c r="F301" s="189" t="str">
        <f>IFERROR(__xludf.DUMMYFUNCTION("""COMPUTED_VALUE"""),"Papara SuperMassive")</f>
        <v>Papara SuperMassive</v>
      </c>
      <c r="G301" s="189" t="str">
        <f>IFERROR(__xludf.DUMMYFUNCTION("""COMPUTED_VALUE"""),"Cypher,Sova,Yoru,Astra,Neon")</f>
        <v>Cypher,Sova,Yoru,Astra,Neon</v>
      </c>
      <c r="H301" s="189" t="str">
        <f>IFERROR(__xludf.DUMMYFUNCTION("""COMPUTED_VALUE"""),"Raze,Yoru,Astra,Fade,Vyse")</f>
        <v>Raze,Yoru,Astra,Fade,Vyse</v>
      </c>
      <c r="I301" s="189">
        <f>IFERROR(__xludf.DUMMYFUNCTION("""COMPUTED_VALUE"""),13.0)</f>
        <v>13</v>
      </c>
      <c r="J301" s="189">
        <f>IFERROR(__xludf.DUMMYFUNCTION("""COMPUTED_VALUE"""),8.0)</f>
        <v>8</v>
      </c>
      <c r="K301" s="189">
        <f>IFERROR(__xludf.DUMMYFUNCTION("""COMPUTED_VALUE"""),6.0)</f>
        <v>6</v>
      </c>
      <c r="L301" s="189">
        <f>IFERROR(__xludf.DUMMYFUNCTION("""COMPUTED_VALUE"""),6.0)</f>
        <v>6</v>
      </c>
      <c r="M301" s="189">
        <f>IFERROR(__xludf.DUMMYFUNCTION("""COMPUTED_VALUE"""),1.0)</f>
        <v>1</v>
      </c>
      <c r="N301" s="189">
        <f>IFERROR(__xludf.DUMMYFUNCTION("""COMPUTED_VALUE"""),1.0)</f>
        <v>1</v>
      </c>
      <c r="O301" s="189">
        <f>IFERROR(__xludf.DUMMYFUNCTION("""COMPUTED_VALUE"""),7.0)</f>
        <v>7</v>
      </c>
      <c r="P301" s="189">
        <f>IFERROR(__xludf.DUMMYFUNCTION("""COMPUTED_VALUE"""),2.0)</f>
        <v>2</v>
      </c>
      <c r="Q301" s="189">
        <f>IFERROR(__xludf.DUMMYFUNCTION("""COMPUTED_VALUE"""),6.0)</f>
        <v>6</v>
      </c>
      <c r="R301" s="189">
        <f>IFERROR(__xludf.DUMMYFUNCTION("""COMPUTED_VALUE"""),6.0)</f>
        <v>6</v>
      </c>
      <c r="S301" s="189">
        <f>IFERROR(__xludf.DUMMYFUNCTION("""COMPUTED_VALUE"""),0.0)</f>
        <v>0</v>
      </c>
      <c r="T301" s="189">
        <f>IFERROR(__xludf.DUMMYFUNCTION("""COMPUTED_VALUE"""),0.0)</f>
        <v>0</v>
      </c>
      <c r="U301" s="189">
        <f>IFERROR(__xludf.DUMMYFUNCTION("""COMPUTED_VALUE"""),6.0)</f>
        <v>6</v>
      </c>
      <c r="V301" s="189">
        <f>IFERROR(__xludf.DUMMYFUNCTION("""COMPUTED_VALUE"""),6.0)</f>
        <v>6</v>
      </c>
      <c r="W301" s="189">
        <f>IFERROR(__xludf.DUMMYFUNCTION("""COMPUTED_VALUE"""),2.0)</f>
        <v>2</v>
      </c>
      <c r="X301" s="189">
        <f>IFERROR(__xludf.DUMMYFUNCTION("""COMPUTED_VALUE"""),7.0)</f>
        <v>7</v>
      </c>
      <c r="Y301" s="208" t="str">
        <f>IFERROR(__xludf.DUMMYFUNCTION("""COMPUTED_VALUE"""),"2025-06-12T00:00:00.000Z")</f>
        <v>2025-06-12T00:00:00.000Z</v>
      </c>
      <c r="Z301" s="189" t="s">
        <v>73</v>
      </c>
      <c r="AA301" s="189" t="s">
        <v>186</v>
      </c>
    </row>
    <row r="302">
      <c r="A302" s="189">
        <f>IFERROR(__xludf.DUMMYFUNCTION("""COMPUTED_VALUE"""),206625.0)</f>
        <v>206625</v>
      </c>
      <c r="B302" s="189">
        <f>IFERROR(__xludf.DUMMYFUNCTION("""COMPUTED_VALUE"""),91108.0)</f>
        <v>91108</v>
      </c>
      <c r="C302" s="189" t="str">
        <f>IFERROR(__xludf.DUMMYFUNCTION("""COMPUTED_VALUE"""),"A1 eSports Cup #8")</f>
        <v>A1 eSports Cup #8</v>
      </c>
      <c r="D302" s="189" t="str">
        <f>IFERROR(__xludf.DUMMYFUNCTION("""COMPUTED_VALUE"""),"Split")</f>
        <v>Split</v>
      </c>
      <c r="E302" s="189" t="str">
        <f>IFERROR(__xludf.DUMMYFUNCTION("""COMPUTED_VALUE"""),"MOUZ")</f>
        <v>MOUZ</v>
      </c>
      <c r="F302" s="189" t="str">
        <f>IFERROR(__xludf.DUMMYFUNCTION("""COMPUTED_VALUE"""),"ALTERNATE aTTaX")</f>
        <v>ALTERNATE aTTaX</v>
      </c>
      <c r="G302" s="189" t="str">
        <f>IFERROR(__xludf.DUMMYFUNCTION("""COMPUTED_VALUE"""),"Raze,Viper,Yoru,Astra,Fade")</f>
        <v>Raze,Viper,Yoru,Astra,Fade</v>
      </c>
      <c r="H302" s="189" t="str">
        <f>IFERROR(__xludf.DUMMYFUNCTION("""COMPUTED_VALUE"""),"Raze,Omen,Yoru,Fade,Clove")</f>
        <v>Raze,Omen,Yoru,Fade,Clove</v>
      </c>
      <c r="I302" s="189">
        <f>IFERROR(__xludf.DUMMYFUNCTION("""COMPUTED_VALUE"""),13.0)</f>
        <v>13</v>
      </c>
      <c r="J302" s="189">
        <f>IFERROR(__xludf.DUMMYFUNCTION("""COMPUTED_VALUE"""),1.0)</f>
        <v>1</v>
      </c>
      <c r="K302" s="189">
        <f>IFERROR(__xludf.DUMMYFUNCTION("""COMPUTED_VALUE"""),11.0)</f>
        <v>11</v>
      </c>
      <c r="L302" s="189">
        <f>IFERROR(__xludf.DUMMYFUNCTION("""COMPUTED_VALUE"""),1.0)</f>
        <v>1</v>
      </c>
      <c r="M302" s="189">
        <f>IFERROR(__xludf.DUMMYFUNCTION("""COMPUTED_VALUE"""),1.0)</f>
        <v>1</v>
      </c>
      <c r="N302" s="189">
        <f>IFERROR(__xludf.DUMMYFUNCTION("""COMPUTED_VALUE"""),1.0)</f>
        <v>1</v>
      </c>
      <c r="O302" s="189">
        <f>IFERROR(__xludf.DUMMYFUNCTION("""COMPUTED_VALUE"""),11.0)</f>
        <v>11</v>
      </c>
      <c r="P302" s="189">
        <f>IFERROR(__xludf.DUMMYFUNCTION("""COMPUTED_VALUE"""),1.0)</f>
        <v>1</v>
      </c>
      <c r="Q302" s="189">
        <f>IFERROR(__xludf.DUMMYFUNCTION("""COMPUTED_VALUE"""),2.0)</f>
        <v>2</v>
      </c>
      <c r="R302" s="189">
        <f>IFERROR(__xludf.DUMMYFUNCTION("""COMPUTED_VALUE"""),0.0)</f>
        <v>0</v>
      </c>
      <c r="S302" s="189">
        <f>IFERROR(__xludf.DUMMYFUNCTION("""COMPUTED_VALUE"""),0.0)</f>
        <v>0</v>
      </c>
      <c r="T302" s="189">
        <f>IFERROR(__xludf.DUMMYFUNCTION("""COMPUTED_VALUE"""),0.0)</f>
        <v>0</v>
      </c>
      <c r="U302" s="189">
        <f>IFERROR(__xludf.DUMMYFUNCTION("""COMPUTED_VALUE"""),0.0)</f>
        <v>0</v>
      </c>
      <c r="V302" s="189">
        <f>IFERROR(__xludf.DUMMYFUNCTION("""COMPUTED_VALUE"""),2.0)</f>
        <v>2</v>
      </c>
      <c r="W302" s="189">
        <f>IFERROR(__xludf.DUMMYFUNCTION("""COMPUTED_VALUE"""),1.0)</f>
        <v>1</v>
      </c>
      <c r="X302" s="189">
        <f>IFERROR(__xludf.DUMMYFUNCTION("""COMPUTED_VALUE"""),11.0)</f>
        <v>11</v>
      </c>
      <c r="Y302" s="208" t="str">
        <f>IFERROR(__xludf.DUMMYFUNCTION("""COMPUTED_VALUE"""),"2025-06-05T00:00:00.000Z")</f>
        <v>2025-06-05T00:00:00.000Z</v>
      </c>
      <c r="Z302" s="189" t="s">
        <v>140</v>
      </c>
      <c r="AA302" s="189" t="s">
        <v>180</v>
      </c>
    </row>
    <row r="303">
      <c r="A303" s="189">
        <f>IFERROR(__xludf.DUMMYFUNCTION("""COMPUTED_VALUE"""),206624.0)</f>
        <v>206624</v>
      </c>
      <c r="B303" s="189">
        <f>IFERROR(__xludf.DUMMYFUNCTION("""COMPUTED_VALUE"""),91108.0)</f>
        <v>91108</v>
      </c>
      <c r="C303" s="189" t="str">
        <f>IFERROR(__xludf.DUMMYFUNCTION("""COMPUTED_VALUE"""),"A1 eSports Cup #8")</f>
        <v>A1 eSports Cup #8</v>
      </c>
      <c r="D303" s="189" t="str">
        <f>IFERROR(__xludf.DUMMYFUNCTION("""COMPUTED_VALUE"""),"Haven")</f>
        <v>Haven</v>
      </c>
      <c r="E303" s="189" t="str">
        <f>IFERROR(__xludf.DUMMYFUNCTION("""COMPUTED_VALUE"""),"MOUZ")</f>
        <v>MOUZ</v>
      </c>
      <c r="F303" s="189" t="str">
        <f>IFERROR(__xludf.DUMMYFUNCTION("""COMPUTED_VALUE"""),"ALTERNATE aTTaX")</f>
        <v>ALTERNATE aTTaX</v>
      </c>
      <c r="G303" s="189" t="str">
        <f>IFERROR(__xludf.DUMMYFUNCTION("""COMPUTED_VALUE"""),"Cypher,Sova,Omen,Yoru,Iso")</f>
        <v>Cypher,Sova,Omen,Yoru,Iso</v>
      </c>
      <c r="H303" s="189" t="str">
        <f>IFERROR(__xludf.DUMMYFUNCTION("""COMPUTED_VALUE"""),"Breach,Cypher,Sova,Omen,Neon")</f>
        <v>Breach,Cypher,Sova,Omen,Neon</v>
      </c>
      <c r="I303" s="189">
        <f>IFERROR(__xludf.DUMMYFUNCTION("""COMPUTED_VALUE"""),13.0)</f>
        <v>13</v>
      </c>
      <c r="J303" s="189">
        <f>IFERROR(__xludf.DUMMYFUNCTION("""COMPUTED_VALUE"""),5.0)</f>
        <v>5</v>
      </c>
      <c r="K303" s="189">
        <f>IFERROR(__xludf.DUMMYFUNCTION("""COMPUTED_VALUE"""),9.0)</f>
        <v>9</v>
      </c>
      <c r="L303" s="189">
        <f>IFERROR(__xludf.DUMMYFUNCTION("""COMPUTED_VALUE"""),3.0)</f>
        <v>3</v>
      </c>
      <c r="M303" s="189">
        <f>IFERROR(__xludf.DUMMYFUNCTION("""COMPUTED_VALUE"""),0.0)</f>
        <v>0</v>
      </c>
      <c r="N303" s="189">
        <f>IFERROR(__xludf.DUMMYFUNCTION("""COMPUTED_VALUE"""),1.0)</f>
        <v>1</v>
      </c>
      <c r="O303" s="189">
        <f>IFERROR(__xludf.DUMMYFUNCTION("""COMPUTED_VALUE"""),4.0)</f>
        <v>4</v>
      </c>
      <c r="P303" s="189">
        <f>IFERROR(__xludf.DUMMYFUNCTION("""COMPUTED_VALUE"""),2.0)</f>
        <v>2</v>
      </c>
      <c r="Q303" s="189">
        <f>IFERROR(__xludf.DUMMYFUNCTION("""COMPUTED_VALUE"""),9.0)</f>
        <v>9</v>
      </c>
      <c r="R303" s="189">
        <f>IFERROR(__xludf.DUMMYFUNCTION("""COMPUTED_VALUE"""),3.0)</f>
        <v>3</v>
      </c>
      <c r="S303" s="189">
        <f>IFERROR(__xludf.DUMMYFUNCTION("""COMPUTED_VALUE"""),0.0)</f>
        <v>0</v>
      </c>
      <c r="T303" s="189">
        <f>IFERROR(__xludf.DUMMYFUNCTION("""COMPUTED_VALUE"""),1.0)</f>
        <v>1</v>
      </c>
      <c r="U303" s="189">
        <f>IFERROR(__xludf.DUMMYFUNCTION("""COMPUTED_VALUE"""),3.0)</f>
        <v>3</v>
      </c>
      <c r="V303" s="189">
        <f>IFERROR(__xludf.DUMMYFUNCTION("""COMPUTED_VALUE"""),9.0)</f>
        <v>9</v>
      </c>
      <c r="W303" s="189">
        <f>IFERROR(__xludf.DUMMYFUNCTION("""COMPUTED_VALUE"""),2.0)</f>
        <v>2</v>
      </c>
      <c r="X303" s="189">
        <f>IFERROR(__xludf.DUMMYFUNCTION("""COMPUTED_VALUE"""),4.0)</f>
        <v>4</v>
      </c>
      <c r="Y303" s="208" t="str">
        <f>IFERROR(__xludf.DUMMYFUNCTION("""COMPUTED_VALUE"""),"2025-06-05T00:00:00.000Z")</f>
        <v>2025-06-05T00:00:00.000Z</v>
      </c>
      <c r="Z303" s="189" t="s">
        <v>136</v>
      </c>
      <c r="AA303" s="189" t="s">
        <v>180</v>
      </c>
    </row>
    <row r="304">
      <c r="A304" s="189">
        <f>IFERROR(__xludf.DUMMYFUNCTION("""COMPUTED_VALUE"""),206623.0)</f>
        <v>206623</v>
      </c>
      <c r="B304" s="189">
        <f>IFERROR(__xludf.DUMMYFUNCTION("""COMPUTED_VALUE"""),91108.0)</f>
        <v>91108</v>
      </c>
      <c r="C304" s="189" t="str">
        <f>IFERROR(__xludf.DUMMYFUNCTION("""COMPUTED_VALUE"""),"A1 eSports Cup #8")</f>
        <v>A1 eSports Cup #8</v>
      </c>
      <c r="D304" s="189" t="str">
        <f>IFERROR(__xludf.DUMMYFUNCTION("""COMPUTED_VALUE"""),"Lotus")</f>
        <v>Lotus</v>
      </c>
      <c r="E304" s="189" t="str">
        <f>IFERROR(__xludf.DUMMYFUNCTION("""COMPUTED_VALUE"""),"MOUZ")</f>
        <v>MOUZ</v>
      </c>
      <c r="F304" s="189" t="str">
        <f>IFERROR(__xludf.DUMMYFUNCTION("""COMPUTED_VALUE"""),"ALTERNATE aTTaX")</f>
        <v>ALTERNATE aTTaX</v>
      </c>
      <c r="G304" s="189" t="str">
        <f>IFERROR(__xludf.DUMMYFUNCTION("""COMPUTED_VALUE"""),"Breach,Cypher,Omen,Yoru,Fade")</f>
        <v>Breach,Cypher,Omen,Yoru,Fade</v>
      </c>
      <c r="H304" s="189" t="str">
        <f>IFERROR(__xludf.DUMMYFUNCTION("""COMPUTED_VALUE"""),"Phoenix,Omen,Jett,Deadlock,Iso")</f>
        <v>Phoenix,Omen,Jett,Deadlock,Iso</v>
      </c>
      <c r="I304" s="189">
        <f>IFERROR(__xludf.DUMMYFUNCTION("""COMPUTED_VALUE"""),7.0)</f>
        <v>7</v>
      </c>
      <c r="J304" s="189">
        <f>IFERROR(__xludf.DUMMYFUNCTION("""COMPUTED_VALUE"""),13.0)</f>
        <v>13</v>
      </c>
      <c r="K304" s="189">
        <f>IFERROR(__xludf.DUMMYFUNCTION("""COMPUTED_VALUE"""),4.0)</f>
        <v>4</v>
      </c>
      <c r="L304" s="189">
        <f>IFERROR(__xludf.DUMMYFUNCTION("""COMPUTED_VALUE"""),8.0)</f>
        <v>8</v>
      </c>
      <c r="M304" s="189">
        <f>IFERROR(__xludf.DUMMYFUNCTION("""COMPUTED_VALUE"""),1.0)</f>
        <v>1</v>
      </c>
      <c r="N304" s="189">
        <f>IFERROR(__xludf.DUMMYFUNCTION("""COMPUTED_VALUE"""),0.0)</f>
        <v>0</v>
      </c>
      <c r="O304" s="189">
        <f>IFERROR(__xludf.DUMMYFUNCTION("""COMPUTED_VALUE"""),3.0)</f>
        <v>3</v>
      </c>
      <c r="P304" s="189">
        <f>IFERROR(__xludf.DUMMYFUNCTION("""COMPUTED_VALUE"""),5.0)</f>
        <v>5</v>
      </c>
      <c r="Q304" s="189">
        <f>IFERROR(__xludf.DUMMYFUNCTION("""COMPUTED_VALUE"""),4.0)</f>
        <v>4</v>
      </c>
      <c r="R304" s="189">
        <f>IFERROR(__xludf.DUMMYFUNCTION("""COMPUTED_VALUE"""),8.0)</f>
        <v>8</v>
      </c>
      <c r="S304" s="189">
        <f>IFERROR(__xludf.DUMMYFUNCTION("""COMPUTED_VALUE"""),1.0)</f>
        <v>1</v>
      </c>
      <c r="T304" s="189">
        <f>IFERROR(__xludf.DUMMYFUNCTION("""COMPUTED_VALUE"""),0.0)</f>
        <v>0</v>
      </c>
      <c r="U304" s="189">
        <f>IFERROR(__xludf.DUMMYFUNCTION("""COMPUTED_VALUE"""),8.0)</f>
        <v>8</v>
      </c>
      <c r="V304" s="189">
        <f>IFERROR(__xludf.DUMMYFUNCTION("""COMPUTED_VALUE"""),4.0)</f>
        <v>4</v>
      </c>
      <c r="W304" s="189">
        <f>IFERROR(__xludf.DUMMYFUNCTION("""COMPUTED_VALUE"""),5.0)</f>
        <v>5</v>
      </c>
      <c r="X304" s="189">
        <f>IFERROR(__xludf.DUMMYFUNCTION("""COMPUTED_VALUE"""),3.0)</f>
        <v>3</v>
      </c>
      <c r="Y304" s="208" t="str">
        <f>IFERROR(__xludf.DUMMYFUNCTION("""COMPUTED_VALUE"""),"2025-06-05T00:00:00.000Z")</f>
        <v>2025-06-05T00:00:00.000Z</v>
      </c>
      <c r="Z304" s="189" t="s">
        <v>138</v>
      </c>
      <c r="AA304" s="189" t="s">
        <v>465</v>
      </c>
    </row>
    <row r="305">
      <c r="A305" s="189">
        <f>IFERROR(__xludf.DUMMYFUNCTION("""COMPUTED_VALUE"""),204968.0)</f>
        <v>204968</v>
      </c>
      <c r="B305" s="189">
        <f>IFERROR(__xludf.DUMMYFUNCTION("""COMPUTED_VALUE"""),90473.0)</f>
        <v>90473</v>
      </c>
      <c r="C305" s="189" t="str">
        <f>IFERROR(__xludf.DUMMYFUNCTION("""COMPUTED_VALUE"""),"A1 eSports Cup #8")</f>
        <v>A1 eSports Cup #8</v>
      </c>
      <c r="D305" s="189" t="str">
        <f>IFERROR(__xludf.DUMMYFUNCTION("""COMPUTED_VALUE"""),"Sunset")</f>
        <v>Sunset</v>
      </c>
      <c r="E305" s="189" t="str">
        <f>IFERROR(__xludf.DUMMYFUNCTION("""COMPUTED_VALUE"""),"CGN Esports")</f>
        <v>CGN Esports</v>
      </c>
      <c r="F305" s="189" t="str">
        <f>IFERROR(__xludf.DUMMYFUNCTION("""COMPUTED_VALUE"""),"Eintracht Frankfurt")</f>
        <v>Eintracht Frankfurt</v>
      </c>
      <c r="G305" s="189" t="str">
        <f>IFERROR(__xludf.DUMMYFUNCTION("""COMPUTED_VALUE"""),"Cypher,Sova,Omen,Yoru,KAY/O")</f>
        <v>Cypher,Sova,Omen,Yoru,KAY/O</v>
      </c>
      <c r="H305" s="189" t="str">
        <f>IFERROR(__xludf.DUMMYFUNCTION("""COMPUTED_VALUE"""),"Cypher,Sova,Omen,KAY/O,Neon")</f>
        <v>Cypher,Sova,Omen,KAY/O,Neon</v>
      </c>
      <c r="I305" s="189">
        <f>IFERROR(__xludf.DUMMYFUNCTION("""COMPUTED_VALUE"""),6.0)</f>
        <v>6</v>
      </c>
      <c r="J305" s="189">
        <f>IFERROR(__xludf.DUMMYFUNCTION("""COMPUTED_VALUE"""),13.0)</f>
        <v>13</v>
      </c>
      <c r="K305" s="189">
        <f>IFERROR(__xludf.DUMMYFUNCTION("""COMPUTED_VALUE"""),6.0)</f>
        <v>6</v>
      </c>
      <c r="L305" s="189">
        <f>IFERROR(__xludf.DUMMYFUNCTION("""COMPUTED_VALUE"""),6.0)</f>
        <v>6</v>
      </c>
      <c r="M305" s="189">
        <f>IFERROR(__xludf.DUMMYFUNCTION("""COMPUTED_VALUE"""),0.0)</f>
        <v>0</v>
      </c>
      <c r="N305" s="189">
        <f>IFERROR(__xludf.DUMMYFUNCTION("""COMPUTED_VALUE"""),0.0)</f>
        <v>0</v>
      </c>
      <c r="O305" s="189">
        <f>IFERROR(__xludf.DUMMYFUNCTION("""COMPUTED_VALUE"""),6.0)</f>
        <v>6</v>
      </c>
      <c r="P305" s="189">
        <f>IFERROR(__xludf.DUMMYFUNCTION("""COMPUTED_VALUE"""),6.0)</f>
        <v>6</v>
      </c>
      <c r="Q305" s="189">
        <f>IFERROR(__xludf.DUMMYFUNCTION("""COMPUTED_VALUE"""),0.0)</f>
        <v>0</v>
      </c>
      <c r="R305" s="189">
        <f>IFERROR(__xludf.DUMMYFUNCTION("""COMPUTED_VALUE"""),7.0)</f>
        <v>7</v>
      </c>
      <c r="S305" s="189">
        <f>IFERROR(__xludf.DUMMYFUNCTION("""COMPUTED_VALUE"""),1.0)</f>
        <v>1</v>
      </c>
      <c r="T305" s="189">
        <f>IFERROR(__xludf.DUMMYFUNCTION("""COMPUTED_VALUE"""),1.0)</f>
        <v>1</v>
      </c>
      <c r="U305" s="189">
        <f>IFERROR(__xludf.DUMMYFUNCTION("""COMPUTED_VALUE"""),7.0)</f>
        <v>7</v>
      </c>
      <c r="V305" s="189">
        <f>IFERROR(__xludf.DUMMYFUNCTION("""COMPUTED_VALUE"""),0.0)</f>
        <v>0</v>
      </c>
      <c r="W305" s="189">
        <f>IFERROR(__xludf.DUMMYFUNCTION("""COMPUTED_VALUE"""),6.0)</f>
        <v>6</v>
      </c>
      <c r="X305" s="189">
        <f>IFERROR(__xludf.DUMMYFUNCTION("""COMPUTED_VALUE"""),6.0)</f>
        <v>6</v>
      </c>
      <c r="Y305" s="208" t="str">
        <f>IFERROR(__xludf.DUMMYFUNCTION("""COMPUTED_VALUE"""),"2025-06-05T00:00:00.000Z")</f>
        <v>2025-06-05T00:00:00.000Z</v>
      </c>
      <c r="Z305" s="189" t="s">
        <v>488</v>
      </c>
      <c r="AA305" s="189" t="s">
        <v>183</v>
      </c>
    </row>
    <row r="306">
      <c r="A306" s="189">
        <f>IFERROR(__xludf.DUMMYFUNCTION("""COMPUTED_VALUE"""),204967.0)</f>
        <v>204967</v>
      </c>
      <c r="B306" s="189">
        <f>IFERROR(__xludf.DUMMYFUNCTION("""COMPUTED_VALUE"""),90473.0)</f>
        <v>90473</v>
      </c>
      <c r="C306" s="189" t="str">
        <f>IFERROR(__xludf.DUMMYFUNCTION("""COMPUTED_VALUE"""),"A1 eSports Cup #8")</f>
        <v>A1 eSports Cup #8</v>
      </c>
      <c r="D306" s="189" t="str">
        <f>IFERROR(__xludf.DUMMYFUNCTION("""COMPUTED_VALUE"""),"Lotus")</f>
        <v>Lotus</v>
      </c>
      <c r="E306" s="189" t="str">
        <f>IFERROR(__xludf.DUMMYFUNCTION("""COMPUTED_VALUE"""),"CGN Esports")</f>
        <v>CGN Esports</v>
      </c>
      <c r="F306" s="189" t="str">
        <f>IFERROR(__xludf.DUMMYFUNCTION("""COMPUTED_VALUE"""),"Eintracht Frankfurt")</f>
        <v>Eintracht Frankfurt</v>
      </c>
      <c r="G306" s="189" t="str">
        <f>IFERROR(__xludf.DUMMYFUNCTION("""COMPUTED_VALUE"""),"Breach,Cypher,Sova,Omen,Jett")</f>
        <v>Breach,Cypher,Sova,Omen,Jett</v>
      </c>
      <c r="H306" s="189" t="str">
        <f>IFERROR(__xludf.DUMMYFUNCTION("""COMPUTED_VALUE"""),"Cypher,Viper,Omen,Yoru,Fade")</f>
        <v>Cypher,Viper,Omen,Yoru,Fade</v>
      </c>
      <c r="I306" s="189">
        <f>IFERROR(__xludf.DUMMYFUNCTION("""COMPUTED_VALUE"""),6.0)</f>
        <v>6</v>
      </c>
      <c r="J306" s="189">
        <f>IFERROR(__xludf.DUMMYFUNCTION("""COMPUTED_VALUE"""),13.0)</f>
        <v>13</v>
      </c>
      <c r="K306" s="189">
        <f>IFERROR(__xludf.DUMMYFUNCTION("""COMPUTED_VALUE"""),6.0)</f>
        <v>6</v>
      </c>
      <c r="L306" s="189">
        <f>IFERROR(__xludf.DUMMYFUNCTION("""COMPUTED_VALUE"""),6.0)</f>
        <v>6</v>
      </c>
      <c r="M306" s="189">
        <f>IFERROR(__xludf.DUMMYFUNCTION("""COMPUTED_VALUE"""),0.0)</f>
        <v>0</v>
      </c>
      <c r="N306" s="189">
        <f>IFERROR(__xludf.DUMMYFUNCTION("""COMPUTED_VALUE"""),0.0)</f>
        <v>0</v>
      </c>
      <c r="O306" s="189">
        <f>IFERROR(__xludf.DUMMYFUNCTION("""COMPUTED_VALUE"""),6.0)</f>
        <v>6</v>
      </c>
      <c r="P306" s="189">
        <f>IFERROR(__xludf.DUMMYFUNCTION("""COMPUTED_VALUE"""),6.0)</f>
        <v>6</v>
      </c>
      <c r="Q306" s="189">
        <f>IFERROR(__xludf.DUMMYFUNCTION("""COMPUTED_VALUE"""),0.0)</f>
        <v>0</v>
      </c>
      <c r="R306" s="189">
        <f>IFERROR(__xludf.DUMMYFUNCTION("""COMPUTED_VALUE"""),7.0)</f>
        <v>7</v>
      </c>
      <c r="S306" s="189">
        <f>IFERROR(__xludf.DUMMYFUNCTION("""COMPUTED_VALUE"""),1.0)</f>
        <v>1</v>
      </c>
      <c r="T306" s="189">
        <f>IFERROR(__xludf.DUMMYFUNCTION("""COMPUTED_VALUE"""),1.0)</f>
        <v>1</v>
      </c>
      <c r="U306" s="189">
        <f>IFERROR(__xludf.DUMMYFUNCTION("""COMPUTED_VALUE"""),7.0)</f>
        <v>7</v>
      </c>
      <c r="V306" s="189">
        <f>IFERROR(__xludf.DUMMYFUNCTION("""COMPUTED_VALUE"""),0.0)</f>
        <v>0</v>
      </c>
      <c r="W306" s="189">
        <f>IFERROR(__xludf.DUMMYFUNCTION("""COMPUTED_VALUE"""),6.0)</f>
        <v>6</v>
      </c>
      <c r="X306" s="189">
        <f>IFERROR(__xludf.DUMMYFUNCTION("""COMPUTED_VALUE"""),6.0)</f>
        <v>6</v>
      </c>
      <c r="Y306" s="208" t="str">
        <f>IFERROR(__xludf.DUMMYFUNCTION("""COMPUTED_VALUE"""),"2025-06-05T00:00:00.000Z")</f>
        <v>2025-06-05T00:00:00.000Z</v>
      </c>
      <c r="Z306" s="189" t="s">
        <v>489</v>
      </c>
      <c r="AA306" s="189" t="s">
        <v>183</v>
      </c>
    </row>
    <row r="307">
      <c r="A307" s="189">
        <f>IFERROR(__xludf.DUMMYFUNCTION("""COMPUTED_VALUE"""),204726.0)</f>
        <v>204726</v>
      </c>
      <c r="B307" s="189">
        <f>IFERROR(__xludf.DUMMYFUNCTION("""COMPUTED_VALUE"""),90395.0)</f>
        <v>90395</v>
      </c>
      <c r="C307" s="189" t="str">
        <f>IFERROR(__xludf.DUMMYFUNCTION("""COMPUTED_VALUE"""),"A1 eSports Cup #8")</f>
        <v>A1 eSports Cup #8</v>
      </c>
      <c r="D307" s="189" t="str">
        <f>IFERROR(__xludf.DUMMYFUNCTION("""COMPUTED_VALUE"""),"Sunset")</f>
        <v>Sunset</v>
      </c>
      <c r="E307" s="189" t="str">
        <f>IFERROR(__xludf.DUMMYFUNCTION("""COMPUTED_VALUE"""),"MOUZ")</f>
        <v>MOUZ</v>
      </c>
      <c r="F307" s="189" t="str">
        <f>IFERROR(__xludf.DUMMYFUNCTION("""COMPUTED_VALUE"""),"RIZON")</f>
        <v>RIZON</v>
      </c>
      <c r="G307" s="189" t="str">
        <f>IFERROR(__xludf.DUMMYFUNCTION("""COMPUTED_VALUE"""),"Breach,Sova,Omen,Neon,Vyse")</f>
        <v>Breach,Sova,Omen,Neon,Vyse</v>
      </c>
      <c r="H307" s="189" t="str">
        <f>IFERROR(__xludf.DUMMYFUNCTION("""COMPUTED_VALUE"""),"Cypher,Sova,Omen,Yoru,Deadlock")</f>
        <v>Cypher,Sova,Omen,Yoru,Deadlock</v>
      </c>
      <c r="I307" s="189">
        <f>IFERROR(__xludf.DUMMYFUNCTION("""COMPUTED_VALUE"""),14.0)</f>
        <v>14</v>
      </c>
      <c r="J307" s="189">
        <f>IFERROR(__xludf.DUMMYFUNCTION("""COMPUTED_VALUE"""),12.0)</f>
        <v>12</v>
      </c>
      <c r="K307" s="189">
        <f>IFERROR(__xludf.DUMMYFUNCTION("""COMPUTED_VALUE"""),6.0)</f>
        <v>6</v>
      </c>
      <c r="L307" s="189">
        <f>IFERROR(__xludf.DUMMYFUNCTION("""COMPUTED_VALUE"""),6.0)</f>
        <v>6</v>
      </c>
      <c r="M307" s="189">
        <f>IFERROR(__xludf.DUMMYFUNCTION("""COMPUTED_VALUE"""),0.0)</f>
        <v>0</v>
      </c>
      <c r="N307" s="189">
        <f>IFERROR(__xludf.DUMMYFUNCTION("""COMPUTED_VALUE"""),0.0)</f>
        <v>0</v>
      </c>
      <c r="O307" s="189">
        <f>IFERROR(__xludf.DUMMYFUNCTION("""COMPUTED_VALUE"""),7.0)</f>
        <v>7</v>
      </c>
      <c r="P307" s="189">
        <f>IFERROR(__xludf.DUMMYFUNCTION("""COMPUTED_VALUE"""),6.0)</f>
        <v>6</v>
      </c>
      <c r="Q307" s="189">
        <f>IFERROR(__xludf.DUMMYFUNCTION("""COMPUTED_VALUE"""),7.0)</f>
        <v>7</v>
      </c>
      <c r="R307" s="189">
        <f>IFERROR(__xludf.DUMMYFUNCTION("""COMPUTED_VALUE"""),6.0)</f>
        <v>6</v>
      </c>
      <c r="S307" s="189">
        <f>IFERROR(__xludf.DUMMYFUNCTION("""COMPUTED_VALUE"""),1.0)</f>
        <v>1</v>
      </c>
      <c r="T307" s="189">
        <f>IFERROR(__xludf.DUMMYFUNCTION("""COMPUTED_VALUE"""),1.0)</f>
        <v>1</v>
      </c>
      <c r="U307" s="189">
        <f>IFERROR(__xludf.DUMMYFUNCTION("""COMPUTED_VALUE"""),6.0)</f>
        <v>6</v>
      </c>
      <c r="V307" s="189">
        <f>IFERROR(__xludf.DUMMYFUNCTION("""COMPUTED_VALUE"""),7.0)</f>
        <v>7</v>
      </c>
      <c r="W307" s="189">
        <f>IFERROR(__xludf.DUMMYFUNCTION("""COMPUTED_VALUE"""),6.0)</f>
        <v>6</v>
      </c>
      <c r="X307" s="189">
        <f>IFERROR(__xludf.DUMMYFUNCTION("""COMPUTED_VALUE"""),7.0)</f>
        <v>7</v>
      </c>
      <c r="Y307" s="208" t="str">
        <f>IFERROR(__xludf.DUMMYFUNCTION("""COMPUTED_VALUE"""),"2025-05-29T00:00:00.000Z")</f>
        <v>2025-05-29T00:00:00.000Z</v>
      </c>
      <c r="Z307" s="189" t="s">
        <v>141</v>
      </c>
      <c r="AA307" s="189" t="s">
        <v>180</v>
      </c>
    </row>
    <row r="308">
      <c r="A308" s="189">
        <f>IFERROR(__xludf.DUMMYFUNCTION("""COMPUTED_VALUE"""),204725.0)</f>
        <v>204725</v>
      </c>
      <c r="B308" s="189">
        <f>IFERROR(__xludf.DUMMYFUNCTION("""COMPUTED_VALUE"""),90395.0)</f>
        <v>90395</v>
      </c>
      <c r="C308" s="189" t="str">
        <f>IFERROR(__xludf.DUMMYFUNCTION("""COMPUTED_VALUE"""),"A1 eSports Cup #8")</f>
        <v>A1 eSports Cup #8</v>
      </c>
      <c r="D308" s="189" t="str">
        <f>IFERROR(__xludf.DUMMYFUNCTION("""COMPUTED_VALUE"""),"Lotus")</f>
        <v>Lotus</v>
      </c>
      <c r="E308" s="189" t="str">
        <f>IFERROR(__xludf.DUMMYFUNCTION("""COMPUTED_VALUE"""),"MOUZ")</f>
        <v>MOUZ</v>
      </c>
      <c r="F308" s="189" t="str">
        <f>IFERROR(__xludf.DUMMYFUNCTION("""COMPUTED_VALUE"""),"RIZON")</f>
        <v>RIZON</v>
      </c>
      <c r="G308" s="189" t="str">
        <f>IFERROR(__xludf.DUMMYFUNCTION("""COMPUTED_VALUE"""),"Breach,Cypher,Omen,Yoru,Fade")</f>
        <v>Breach,Cypher,Omen,Yoru,Fade</v>
      </c>
      <c r="H308" s="189" t="str">
        <f>IFERROR(__xludf.DUMMYFUNCTION("""COMPUTED_VALUE"""),"Cypher,Omen,Yoru,Fade,Iso")</f>
        <v>Cypher,Omen,Yoru,Fade,Iso</v>
      </c>
      <c r="I308" s="189">
        <f>IFERROR(__xludf.DUMMYFUNCTION("""COMPUTED_VALUE"""),13.0)</f>
        <v>13</v>
      </c>
      <c r="J308" s="189">
        <f>IFERROR(__xludf.DUMMYFUNCTION("""COMPUTED_VALUE"""),7.0)</f>
        <v>7</v>
      </c>
      <c r="K308" s="189">
        <f>IFERROR(__xludf.DUMMYFUNCTION("""COMPUTED_VALUE"""),6.0)</f>
        <v>6</v>
      </c>
      <c r="L308" s="189">
        <f>IFERROR(__xludf.DUMMYFUNCTION("""COMPUTED_VALUE"""),6.0)</f>
        <v>6</v>
      </c>
      <c r="M308" s="189">
        <f>IFERROR(__xludf.DUMMYFUNCTION("""COMPUTED_VALUE"""),0.0)</f>
        <v>0</v>
      </c>
      <c r="N308" s="189">
        <f>IFERROR(__xludf.DUMMYFUNCTION("""COMPUTED_VALUE"""),0.0)</f>
        <v>0</v>
      </c>
      <c r="O308" s="189">
        <f>IFERROR(__xludf.DUMMYFUNCTION("""COMPUTED_VALUE"""),7.0)</f>
        <v>7</v>
      </c>
      <c r="P308" s="189">
        <f>IFERROR(__xludf.DUMMYFUNCTION("""COMPUTED_VALUE"""),1.0)</f>
        <v>1</v>
      </c>
      <c r="Q308" s="189">
        <f>IFERROR(__xludf.DUMMYFUNCTION("""COMPUTED_VALUE"""),6.0)</f>
        <v>6</v>
      </c>
      <c r="R308" s="189">
        <f>IFERROR(__xludf.DUMMYFUNCTION("""COMPUTED_VALUE"""),6.0)</f>
        <v>6</v>
      </c>
      <c r="S308" s="189">
        <f>IFERROR(__xludf.DUMMYFUNCTION("""COMPUTED_VALUE"""),1.0)</f>
        <v>1</v>
      </c>
      <c r="T308" s="189">
        <f>IFERROR(__xludf.DUMMYFUNCTION("""COMPUTED_VALUE"""),1.0)</f>
        <v>1</v>
      </c>
      <c r="U308" s="189">
        <f>IFERROR(__xludf.DUMMYFUNCTION("""COMPUTED_VALUE"""),6.0)</f>
        <v>6</v>
      </c>
      <c r="V308" s="189">
        <f>IFERROR(__xludf.DUMMYFUNCTION("""COMPUTED_VALUE"""),6.0)</f>
        <v>6</v>
      </c>
      <c r="W308" s="189">
        <f>IFERROR(__xludf.DUMMYFUNCTION("""COMPUTED_VALUE"""),1.0)</f>
        <v>1</v>
      </c>
      <c r="X308" s="189">
        <f>IFERROR(__xludf.DUMMYFUNCTION("""COMPUTED_VALUE"""),7.0)</f>
        <v>7</v>
      </c>
      <c r="Y308" s="208" t="str">
        <f>IFERROR(__xludf.DUMMYFUNCTION("""COMPUTED_VALUE"""),"2025-05-29T00:00:00.000Z")</f>
        <v>2025-05-29T00:00:00.000Z</v>
      </c>
      <c r="Z308" s="189" t="s">
        <v>138</v>
      </c>
      <c r="AA308" s="189" t="s">
        <v>180</v>
      </c>
    </row>
    <row r="309">
      <c r="A309" s="189">
        <f>IFERROR(__xludf.DUMMYFUNCTION("""COMPUTED_VALUE"""),204723.0)</f>
        <v>204723</v>
      </c>
      <c r="B309" s="189">
        <f>IFERROR(__xludf.DUMMYFUNCTION("""COMPUTED_VALUE"""),90394.0)</f>
        <v>90394</v>
      </c>
      <c r="C309" s="189" t="str">
        <f>IFERROR(__xludf.DUMMYFUNCTION("""COMPUTED_VALUE"""),"A1 eSports Cup #8")</f>
        <v>A1 eSports Cup #8</v>
      </c>
      <c r="D309" s="189" t="str">
        <f>IFERROR(__xludf.DUMMYFUNCTION("""COMPUTED_VALUE"""),"Haven")</f>
        <v>Haven</v>
      </c>
      <c r="E309" s="189" t="str">
        <f>IFERROR(__xludf.DUMMYFUNCTION("""COMPUTED_VALUE"""),"Eintracht Frankfurt")</f>
        <v>Eintracht Frankfurt</v>
      </c>
      <c r="F309" s="189" t="str">
        <f>IFERROR(__xludf.DUMMYFUNCTION("""COMPUTED_VALUE"""),"XPERION NXT")</f>
        <v>XPERION NXT</v>
      </c>
      <c r="G309" s="189" t="str">
        <f>IFERROR(__xludf.DUMMYFUNCTION("""COMPUTED_VALUE"""),"Breach,Cypher,Sova,Omen,Jett")</f>
        <v>Breach,Cypher,Sova,Omen,Jett</v>
      </c>
      <c r="H309" s="189" t="str">
        <f>IFERROR(__xludf.DUMMYFUNCTION("""COMPUTED_VALUE"""),"Breach,Cypher,Sova,Omen,Neon")</f>
        <v>Breach,Cypher,Sova,Omen,Neon</v>
      </c>
      <c r="I309" s="189">
        <f>IFERROR(__xludf.DUMMYFUNCTION("""COMPUTED_VALUE"""),13.0)</f>
        <v>13</v>
      </c>
      <c r="J309" s="189">
        <f>IFERROR(__xludf.DUMMYFUNCTION("""COMPUTED_VALUE"""),11.0)</f>
        <v>11</v>
      </c>
      <c r="K309" s="189">
        <f>IFERROR(__xludf.DUMMYFUNCTION("""COMPUTED_VALUE"""),8.0)</f>
        <v>8</v>
      </c>
      <c r="L309" s="189">
        <f>IFERROR(__xludf.DUMMYFUNCTION("""COMPUTED_VALUE"""),4.0)</f>
        <v>4</v>
      </c>
      <c r="M309" s="189">
        <f>IFERROR(__xludf.DUMMYFUNCTION("""COMPUTED_VALUE"""),0.0)</f>
        <v>0</v>
      </c>
      <c r="N309" s="189">
        <f>IFERROR(__xludf.DUMMYFUNCTION("""COMPUTED_VALUE"""),1.0)</f>
        <v>1</v>
      </c>
      <c r="O309" s="189">
        <f>IFERROR(__xludf.DUMMYFUNCTION("""COMPUTED_VALUE"""),5.0)</f>
        <v>5</v>
      </c>
      <c r="P309" s="189">
        <f>IFERROR(__xludf.DUMMYFUNCTION("""COMPUTED_VALUE"""),7.0)</f>
        <v>7</v>
      </c>
      <c r="Q309" s="189">
        <f>IFERROR(__xludf.DUMMYFUNCTION("""COMPUTED_VALUE"""),8.0)</f>
        <v>8</v>
      </c>
      <c r="R309" s="189">
        <f>IFERROR(__xludf.DUMMYFUNCTION("""COMPUTED_VALUE"""),4.0)</f>
        <v>4</v>
      </c>
      <c r="S309" s="189">
        <f>IFERROR(__xludf.DUMMYFUNCTION("""COMPUTED_VALUE"""),0.0)</f>
        <v>0</v>
      </c>
      <c r="T309" s="189">
        <f>IFERROR(__xludf.DUMMYFUNCTION("""COMPUTED_VALUE"""),1.0)</f>
        <v>1</v>
      </c>
      <c r="U309" s="189">
        <f>IFERROR(__xludf.DUMMYFUNCTION("""COMPUTED_VALUE"""),4.0)</f>
        <v>4</v>
      </c>
      <c r="V309" s="189">
        <f>IFERROR(__xludf.DUMMYFUNCTION("""COMPUTED_VALUE"""),8.0)</f>
        <v>8</v>
      </c>
      <c r="W309" s="189">
        <f>IFERROR(__xludf.DUMMYFUNCTION("""COMPUTED_VALUE"""),7.0)</f>
        <v>7</v>
      </c>
      <c r="X309" s="189">
        <f>IFERROR(__xludf.DUMMYFUNCTION("""COMPUTED_VALUE"""),5.0)</f>
        <v>5</v>
      </c>
      <c r="Y309" s="208" t="str">
        <f>IFERROR(__xludf.DUMMYFUNCTION("""COMPUTED_VALUE"""),"2025-05-27T00:00:00.000Z")</f>
        <v>2025-05-27T00:00:00.000Z</v>
      </c>
      <c r="Z309" s="189" t="s">
        <v>102</v>
      </c>
      <c r="AA309" s="189" t="s">
        <v>183</v>
      </c>
    </row>
    <row r="310">
      <c r="A310" s="189">
        <f>IFERROR(__xludf.DUMMYFUNCTION("""COMPUTED_VALUE"""),204722.0)</f>
        <v>204722</v>
      </c>
      <c r="B310" s="189">
        <f>IFERROR(__xludf.DUMMYFUNCTION("""COMPUTED_VALUE"""),90394.0)</f>
        <v>90394</v>
      </c>
      <c r="C310" s="189" t="str">
        <f>IFERROR(__xludf.DUMMYFUNCTION("""COMPUTED_VALUE"""),"A1 eSports Cup #8")</f>
        <v>A1 eSports Cup #8</v>
      </c>
      <c r="D310" s="189" t="str">
        <f>IFERROR(__xludf.DUMMYFUNCTION("""COMPUTED_VALUE"""),"Lotus")</f>
        <v>Lotus</v>
      </c>
      <c r="E310" s="189" t="str">
        <f>IFERROR(__xludf.DUMMYFUNCTION("""COMPUTED_VALUE"""),"Eintracht Frankfurt")</f>
        <v>Eintracht Frankfurt</v>
      </c>
      <c r="F310" s="189" t="str">
        <f>IFERROR(__xludf.DUMMYFUNCTION("""COMPUTED_VALUE"""),"XPERION NXT")</f>
        <v>XPERION NXT</v>
      </c>
      <c r="G310" s="189" t="str">
        <f>IFERROR(__xludf.DUMMYFUNCTION("""COMPUTED_VALUE"""),"Cypher,Viper,Omen,Yoru,Fade")</f>
        <v>Cypher,Viper,Omen,Yoru,Fade</v>
      </c>
      <c r="H310" s="189" t="str">
        <f>IFERROR(__xludf.DUMMYFUNCTION("""COMPUTED_VALUE"""),"Breach,Cypher,Omen,Neon,Fade")</f>
        <v>Breach,Cypher,Omen,Neon,Fade</v>
      </c>
      <c r="I310" s="189">
        <f>IFERROR(__xludf.DUMMYFUNCTION("""COMPUTED_VALUE"""),13.0)</f>
        <v>13</v>
      </c>
      <c r="J310" s="189">
        <f>IFERROR(__xludf.DUMMYFUNCTION("""COMPUTED_VALUE"""),7.0)</f>
        <v>7</v>
      </c>
      <c r="K310" s="189">
        <f>IFERROR(__xludf.DUMMYFUNCTION("""COMPUTED_VALUE"""),8.0)</f>
        <v>8</v>
      </c>
      <c r="L310" s="189">
        <f>IFERROR(__xludf.DUMMYFUNCTION("""COMPUTED_VALUE"""),4.0)</f>
        <v>4</v>
      </c>
      <c r="M310" s="189">
        <f>IFERROR(__xludf.DUMMYFUNCTION("""COMPUTED_VALUE"""),1.0)</f>
        <v>1</v>
      </c>
      <c r="N310" s="189">
        <f>IFERROR(__xludf.DUMMYFUNCTION("""COMPUTED_VALUE"""),0.0)</f>
        <v>0</v>
      </c>
      <c r="O310" s="189">
        <f>IFERROR(__xludf.DUMMYFUNCTION("""COMPUTED_VALUE"""),5.0)</f>
        <v>5</v>
      </c>
      <c r="P310" s="189">
        <f>IFERROR(__xludf.DUMMYFUNCTION("""COMPUTED_VALUE"""),3.0)</f>
        <v>3</v>
      </c>
      <c r="Q310" s="189">
        <f>IFERROR(__xludf.DUMMYFUNCTION("""COMPUTED_VALUE"""),8.0)</f>
        <v>8</v>
      </c>
      <c r="R310" s="189">
        <f>IFERROR(__xludf.DUMMYFUNCTION("""COMPUTED_VALUE"""),4.0)</f>
        <v>4</v>
      </c>
      <c r="S310" s="189">
        <f>IFERROR(__xludf.DUMMYFUNCTION("""COMPUTED_VALUE"""),1.0)</f>
        <v>1</v>
      </c>
      <c r="T310" s="189">
        <f>IFERROR(__xludf.DUMMYFUNCTION("""COMPUTED_VALUE"""),0.0)</f>
        <v>0</v>
      </c>
      <c r="U310" s="189">
        <f>IFERROR(__xludf.DUMMYFUNCTION("""COMPUTED_VALUE"""),4.0)</f>
        <v>4</v>
      </c>
      <c r="V310" s="189">
        <f>IFERROR(__xludf.DUMMYFUNCTION("""COMPUTED_VALUE"""),8.0)</f>
        <v>8</v>
      </c>
      <c r="W310" s="189">
        <f>IFERROR(__xludf.DUMMYFUNCTION("""COMPUTED_VALUE"""),3.0)</f>
        <v>3</v>
      </c>
      <c r="X310" s="189">
        <f>IFERROR(__xludf.DUMMYFUNCTION("""COMPUTED_VALUE"""),5.0)</f>
        <v>5</v>
      </c>
      <c r="Y310" s="208" t="str">
        <f>IFERROR(__xludf.DUMMYFUNCTION("""COMPUTED_VALUE"""),"2025-05-27T00:00:00.000Z")</f>
        <v>2025-05-27T00:00:00.000Z</v>
      </c>
      <c r="Z310" s="189" t="s">
        <v>104</v>
      </c>
      <c r="AA310" s="189" t="s">
        <v>183</v>
      </c>
    </row>
    <row r="311">
      <c r="A311" s="189">
        <f>IFERROR(__xludf.DUMMYFUNCTION("""COMPUTED_VALUE"""),212692.0)</f>
        <v>212692</v>
      </c>
      <c r="B311" s="189">
        <f>IFERROR(__xludf.DUMMYFUNCTION("""COMPUTED_VALUE"""),93676.0)</f>
        <v>93676</v>
      </c>
      <c r="C311" s="189" t="str">
        <f>IFERROR(__xludf.DUMMYFUNCTION("""COMPUTED_VALUE"""),"Challengers 2025: Spain Rising Finals - Playoffs")</f>
        <v>Challengers 2025: Spain Rising Finals - Playoffs</v>
      </c>
      <c r="D311" s="189" t="str">
        <f>IFERROR(__xludf.DUMMYFUNCTION("""COMPUTED_VALUE"""),"Ascent")</f>
        <v>Ascent</v>
      </c>
      <c r="E311" s="189" t="str">
        <f>IFERROR(__xludf.DUMMYFUNCTION("""COMPUTED_VALUE"""),"DNSTY")</f>
        <v>DNSTY</v>
      </c>
      <c r="F311" s="189" t="str">
        <f>IFERROR(__xludf.DUMMYFUNCTION("""COMPUTED_VALUE"""),"KOI Fénix")</f>
        <v>KOI Fénix</v>
      </c>
      <c r="G311" s="189" t="str">
        <f>IFERROR(__xludf.DUMMYFUNCTION("""COMPUTED_VALUE"""),"Sova,Killjoy,Omen,Jett,KAY/O")</f>
        <v>Sova,Killjoy,Omen,Jett,KAY/O</v>
      </c>
      <c r="H311" s="189" t="str">
        <f>IFERROR(__xludf.DUMMYFUNCTION("""COMPUTED_VALUE"""),"Sova,Omen,Yoru,Chamber,Vyse")</f>
        <v>Sova,Omen,Yoru,Chamber,Vyse</v>
      </c>
      <c r="I311" s="189">
        <f>IFERROR(__xludf.DUMMYFUNCTION("""COMPUTED_VALUE"""),13.0)</f>
        <v>13</v>
      </c>
      <c r="J311" s="189">
        <f>IFERROR(__xludf.DUMMYFUNCTION("""COMPUTED_VALUE"""),6.0)</f>
        <v>6</v>
      </c>
      <c r="K311" s="189">
        <f>IFERROR(__xludf.DUMMYFUNCTION("""COMPUTED_VALUE"""),7.0)</f>
        <v>7</v>
      </c>
      <c r="L311" s="189">
        <f>IFERROR(__xludf.DUMMYFUNCTION("""COMPUTED_VALUE"""),5.0)</f>
        <v>5</v>
      </c>
      <c r="M311" s="189">
        <f>IFERROR(__xludf.DUMMYFUNCTION("""COMPUTED_VALUE"""),1.0)</f>
        <v>1</v>
      </c>
      <c r="N311" s="189">
        <f>IFERROR(__xludf.DUMMYFUNCTION("""COMPUTED_VALUE"""),0.0)</f>
        <v>0</v>
      </c>
      <c r="O311" s="189">
        <f>IFERROR(__xludf.DUMMYFUNCTION("""COMPUTED_VALUE"""),6.0)</f>
        <v>6</v>
      </c>
      <c r="P311" s="189">
        <f>IFERROR(__xludf.DUMMYFUNCTION("""COMPUTED_VALUE"""),1.0)</f>
        <v>1</v>
      </c>
      <c r="Q311" s="189">
        <f>IFERROR(__xludf.DUMMYFUNCTION("""COMPUTED_VALUE"""),7.0)</f>
        <v>7</v>
      </c>
      <c r="R311" s="189">
        <f>IFERROR(__xludf.DUMMYFUNCTION("""COMPUTED_VALUE"""),5.0)</f>
        <v>5</v>
      </c>
      <c r="S311" s="189">
        <f>IFERROR(__xludf.DUMMYFUNCTION("""COMPUTED_VALUE"""),1.0)</f>
        <v>1</v>
      </c>
      <c r="T311" s="189">
        <f>IFERROR(__xludf.DUMMYFUNCTION("""COMPUTED_VALUE"""),0.0)</f>
        <v>0</v>
      </c>
      <c r="U311" s="189">
        <f>IFERROR(__xludf.DUMMYFUNCTION("""COMPUTED_VALUE"""),5.0)</f>
        <v>5</v>
      </c>
      <c r="V311" s="189">
        <f>IFERROR(__xludf.DUMMYFUNCTION("""COMPUTED_VALUE"""),7.0)</f>
        <v>7</v>
      </c>
      <c r="W311" s="189">
        <f>IFERROR(__xludf.DUMMYFUNCTION("""COMPUTED_VALUE"""),1.0)</f>
        <v>1</v>
      </c>
      <c r="X311" s="189">
        <f>IFERROR(__xludf.DUMMYFUNCTION("""COMPUTED_VALUE"""),6.0)</f>
        <v>6</v>
      </c>
      <c r="Y311" s="208" t="str">
        <f>IFERROR(__xludf.DUMMYFUNCTION("""COMPUTED_VALUE"""),"2025-08-20T00:00:00.000Z")</f>
        <v>2025-08-20T00:00:00.000Z</v>
      </c>
      <c r="Z311" s="189" t="s">
        <v>93</v>
      </c>
      <c r="AA311" s="189" t="s">
        <v>182</v>
      </c>
    </row>
    <row r="312">
      <c r="A312" s="189">
        <f>IFERROR(__xludf.DUMMYFUNCTION("""COMPUTED_VALUE"""),212691.0)</f>
        <v>212691</v>
      </c>
      <c r="B312" s="189">
        <f>IFERROR(__xludf.DUMMYFUNCTION("""COMPUTED_VALUE"""),93676.0)</f>
        <v>93676</v>
      </c>
      <c r="C312" s="189" t="str">
        <f>IFERROR(__xludf.DUMMYFUNCTION("""COMPUTED_VALUE"""),"Challengers 2025: Spain Rising Finals - Playoffs")</f>
        <v>Challengers 2025: Spain Rising Finals - Playoffs</v>
      </c>
      <c r="D312" s="189" t="str">
        <f>IFERROR(__xludf.DUMMYFUNCTION("""COMPUTED_VALUE"""),"Haven")</f>
        <v>Haven</v>
      </c>
      <c r="E312" s="189" t="str">
        <f>IFERROR(__xludf.DUMMYFUNCTION("""COMPUTED_VALUE"""),"DNSTY")</f>
        <v>DNSTY</v>
      </c>
      <c r="F312" s="189" t="str">
        <f>IFERROR(__xludf.DUMMYFUNCTION("""COMPUTED_VALUE"""),"KOI Fénix")</f>
        <v>KOI Fénix</v>
      </c>
      <c r="G312" s="189" t="str">
        <f>IFERROR(__xludf.DUMMYFUNCTION("""COMPUTED_VALUE"""),"Sova,Killjoy,Viper,Omen,Neon")</f>
        <v>Sova,Killjoy,Viper,Omen,Neon</v>
      </c>
      <c r="H312" s="189" t="str">
        <f>IFERROR(__xludf.DUMMYFUNCTION("""COMPUTED_VALUE"""),"Breach,Cypher,Sova,Omen,Neon")</f>
        <v>Breach,Cypher,Sova,Omen,Neon</v>
      </c>
      <c r="I312" s="189">
        <f>IFERROR(__xludf.DUMMYFUNCTION("""COMPUTED_VALUE"""),13.0)</f>
        <v>13</v>
      </c>
      <c r="J312" s="189">
        <f>IFERROR(__xludf.DUMMYFUNCTION("""COMPUTED_VALUE"""),10.0)</f>
        <v>10</v>
      </c>
      <c r="K312" s="189">
        <f>IFERROR(__xludf.DUMMYFUNCTION("""COMPUTED_VALUE"""),3.0)</f>
        <v>3</v>
      </c>
      <c r="L312" s="189">
        <f>IFERROR(__xludf.DUMMYFUNCTION("""COMPUTED_VALUE"""),9.0)</f>
        <v>9</v>
      </c>
      <c r="M312" s="189">
        <f>IFERROR(__xludf.DUMMYFUNCTION("""COMPUTED_VALUE"""),1.0)</f>
        <v>1</v>
      </c>
      <c r="N312" s="189">
        <f>IFERROR(__xludf.DUMMYFUNCTION("""COMPUTED_VALUE"""),0.0)</f>
        <v>0</v>
      </c>
      <c r="O312" s="189">
        <f>IFERROR(__xludf.DUMMYFUNCTION("""COMPUTED_VALUE"""),10.0)</f>
        <v>10</v>
      </c>
      <c r="P312" s="189">
        <f>IFERROR(__xludf.DUMMYFUNCTION("""COMPUTED_VALUE"""),1.0)</f>
        <v>1</v>
      </c>
      <c r="Q312" s="189">
        <f>IFERROR(__xludf.DUMMYFUNCTION("""COMPUTED_VALUE"""),3.0)</f>
        <v>3</v>
      </c>
      <c r="R312" s="189">
        <f>IFERROR(__xludf.DUMMYFUNCTION("""COMPUTED_VALUE"""),9.0)</f>
        <v>9</v>
      </c>
      <c r="S312" s="189">
        <f>IFERROR(__xludf.DUMMYFUNCTION("""COMPUTED_VALUE"""),1.0)</f>
        <v>1</v>
      </c>
      <c r="T312" s="189">
        <f>IFERROR(__xludf.DUMMYFUNCTION("""COMPUTED_VALUE"""),0.0)</f>
        <v>0</v>
      </c>
      <c r="U312" s="189">
        <f>IFERROR(__xludf.DUMMYFUNCTION("""COMPUTED_VALUE"""),9.0)</f>
        <v>9</v>
      </c>
      <c r="V312" s="189">
        <f>IFERROR(__xludf.DUMMYFUNCTION("""COMPUTED_VALUE"""),3.0)</f>
        <v>3</v>
      </c>
      <c r="W312" s="189">
        <f>IFERROR(__xludf.DUMMYFUNCTION("""COMPUTED_VALUE"""),1.0)</f>
        <v>1</v>
      </c>
      <c r="X312" s="189">
        <f>IFERROR(__xludf.DUMMYFUNCTION("""COMPUTED_VALUE"""),10.0)</f>
        <v>10</v>
      </c>
      <c r="Y312" s="208" t="str">
        <f>IFERROR(__xludf.DUMMYFUNCTION("""COMPUTED_VALUE"""),"2025-08-20T00:00:00.000Z")</f>
        <v>2025-08-20T00:00:00.000Z</v>
      </c>
      <c r="Z312" s="189" t="s">
        <v>95</v>
      </c>
      <c r="AA312" s="189" t="s">
        <v>182</v>
      </c>
    </row>
    <row r="313">
      <c r="A313" s="189">
        <f>IFERROR(__xludf.DUMMYFUNCTION("""COMPUTED_VALUE"""),212690.0)</f>
        <v>212690</v>
      </c>
      <c r="B313" s="189">
        <f>IFERROR(__xludf.DUMMYFUNCTION("""COMPUTED_VALUE"""),93676.0)</f>
        <v>93676</v>
      </c>
      <c r="C313" s="189" t="str">
        <f>IFERROR(__xludf.DUMMYFUNCTION("""COMPUTED_VALUE"""),"Challengers 2025: Spain Rising Finals - Playoffs")</f>
        <v>Challengers 2025: Spain Rising Finals - Playoffs</v>
      </c>
      <c r="D313" s="189" t="str">
        <f>IFERROR(__xludf.DUMMYFUNCTION("""COMPUTED_VALUE"""),"Bind")</f>
        <v>Bind</v>
      </c>
      <c r="E313" s="189" t="str">
        <f>IFERROR(__xludf.DUMMYFUNCTION("""COMPUTED_VALUE"""),"DNSTY")</f>
        <v>DNSTY</v>
      </c>
      <c r="F313" s="189" t="str">
        <f>IFERROR(__xludf.DUMMYFUNCTION("""COMPUTED_VALUE"""),"KOI Fénix")</f>
        <v>KOI Fénix</v>
      </c>
      <c r="G313" s="189" t="str">
        <f>IFERROR(__xludf.DUMMYFUNCTION("""COMPUTED_VALUE"""),"Raze,Viper,Brimstone,Yoru,Fade")</f>
        <v>Raze,Viper,Brimstone,Yoru,Fade</v>
      </c>
      <c r="H313" s="189" t="str">
        <f>IFERROR(__xludf.DUMMYFUNCTION("""COMPUTED_VALUE"""),"Yoru,Astra,Gekko,Deadlock,Vyse")</f>
        <v>Yoru,Astra,Gekko,Deadlock,Vyse</v>
      </c>
      <c r="I313" s="189">
        <f>IFERROR(__xludf.DUMMYFUNCTION("""COMPUTED_VALUE"""),8.0)</f>
        <v>8</v>
      </c>
      <c r="J313" s="189">
        <f>IFERROR(__xludf.DUMMYFUNCTION("""COMPUTED_VALUE"""),13.0)</f>
        <v>13</v>
      </c>
      <c r="K313" s="189">
        <f>IFERROR(__xludf.DUMMYFUNCTION("""COMPUTED_VALUE"""),4.0)</f>
        <v>4</v>
      </c>
      <c r="L313" s="189">
        <f>IFERROR(__xludf.DUMMYFUNCTION("""COMPUTED_VALUE"""),8.0)</f>
        <v>8</v>
      </c>
      <c r="M313" s="189">
        <f>IFERROR(__xludf.DUMMYFUNCTION("""COMPUTED_VALUE"""),0.0)</f>
        <v>0</v>
      </c>
      <c r="N313" s="189">
        <f>IFERROR(__xludf.DUMMYFUNCTION("""COMPUTED_VALUE"""),0.0)</f>
        <v>0</v>
      </c>
      <c r="O313" s="189">
        <f>IFERROR(__xludf.DUMMYFUNCTION("""COMPUTED_VALUE"""),4.0)</f>
        <v>4</v>
      </c>
      <c r="P313" s="189">
        <f>IFERROR(__xludf.DUMMYFUNCTION("""COMPUTED_VALUE"""),5.0)</f>
        <v>5</v>
      </c>
      <c r="Q313" s="189">
        <f>IFERROR(__xludf.DUMMYFUNCTION("""COMPUTED_VALUE"""),4.0)</f>
        <v>4</v>
      </c>
      <c r="R313" s="189">
        <f>IFERROR(__xludf.DUMMYFUNCTION("""COMPUTED_VALUE"""),8.0)</f>
        <v>8</v>
      </c>
      <c r="S313" s="189">
        <f>IFERROR(__xludf.DUMMYFUNCTION("""COMPUTED_VALUE"""),1.0)</f>
        <v>1</v>
      </c>
      <c r="T313" s="189">
        <f>IFERROR(__xludf.DUMMYFUNCTION("""COMPUTED_VALUE"""),1.0)</f>
        <v>1</v>
      </c>
      <c r="U313" s="189">
        <f>IFERROR(__xludf.DUMMYFUNCTION("""COMPUTED_VALUE"""),8.0)</f>
        <v>8</v>
      </c>
      <c r="V313" s="189">
        <f>IFERROR(__xludf.DUMMYFUNCTION("""COMPUTED_VALUE"""),4.0)</f>
        <v>4</v>
      </c>
      <c r="W313" s="189">
        <f>IFERROR(__xludf.DUMMYFUNCTION("""COMPUTED_VALUE"""),5.0)</f>
        <v>5</v>
      </c>
      <c r="X313" s="189">
        <f>IFERROR(__xludf.DUMMYFUNCTION("""COMPUTED_VALUE"""),4.0)</f>
        <v>4</v>
      </c>
      <c r="Y313" s="208" t="str">
        <f>IFERROR(__xludf.DUMMYFUNCTION("""COMPUTED_VALUE"""),"2025-08-20T00:00:00.000Z")</f>
        <v>2025-08-20T00:00:00.000Z</v>
      </c>
      <c r="Z313" s="189" t="s">
        <v>94</v>
      </c>
      <c r="AA313" s="189" t="s">
        <v>187</v>
      </c>
    </row>
    <row r="314">
      <c r="A314" s="189">
        <f>IFERROR(__xludf.DUMMYFUNCTION("""COMPUTED_VALUE"""),213558.0)</f>
        <v>213558</v>
      </c>
      <c r="B314" s="189">
        <f>IFERROR(__xludf.DUMMYFUNCTION("""COMPUTED_VALUE"""),93971.0)</f>
        <v>93971</v>
      </c>
      <c r="C314" s="189" t="str">
        <f>IFERROR(__xludf.DUMMYFUNCTION("""COMPUTED_VALUE"""),"Challengers League 2025 MENA: Resilience - LAN Finals - Main Event")</f>
        <v>Challengers League 2025 MENA: Resilience - LAN Finals - Main Event</v>
      </c>
      <c r="D314" s="189" t="str">
        <f>IFERROR(__xludf.DUMMYFUNCTION("""COMPUTED_VALUE"""),"Icebox")</f>
        <v>Icebox</v>
      </c>
      <c r="E314" s="189" t="str">
        <f>IFERROR(__xludf.DUMMYFUNCTION("""COMPUTED_VALUE"""),"Twisted Minds Esports")</f>
        <v>Twisted Minds Esports</v>
      </c>
      <c r="F314" s="189" t="str">
        <f>IFERROR(__xludf.DUMMYFUNCTION("""COMPUTED_VALUE"""),"The Ultimates")</f>
        <v>The Ultimates</v>
      </c>
      <c r="G314" s="189" t="str">
        <f>IFERROR(__xludf.DUMMYFUNCTION("""COMPUTED_VALUE"""),"Sova,Killjoy,Viper,Omen,Jett")</f>
        <v>Sova,Killjoy,Viper,Omen,Jett</v>
      </c>
      <c r="H314" s="189" t="str">
        <f>IFERROR(__xludf.DUMMYFUNCTION("""COMPUTED_VALUE"""),"Reyna,Omen,KAY/O,Harbor,Gekko")</f>
        <v>Reyna,Omen,KAY/O,Harbor,Gekko</v>
      </c>
      <c r="I314" s="189">
        <f>IFERROR(__xludf.DUMMYFUNCTION("""COMPUTED_VALUE"""),13.0)</f>
        <v>13</v>
      </c>
      <c r="J314" s="189">
        <f>IFERROR(__xludf.DUMMYFUNCTION("""COMPUTED_VALUE"""),3.0)</f>
        <v>3</v>
      </c>
      <c r="K314" s="189">
        <f>IFERROR(__xludf.DUMMYFUNCTION("""COMPUTED_VALUE"""),11.0)</f>
        <v>11</v>
      </c>
      <c r="L314" s="189">
        <f>IFERROR(__xludf.DUMMYFUNCTION("""COMPUTED_VALUE"""),1.0)</f>
        <v>1</v>
      </c>
      <c r="M314" s="189">
        <f>IFERROR(__xludf.DUMMYFUNCTION("""COMPUTED_VALUE"""),0.0)</f>
        <v>0</v>
      </c>
      <c r="N314" s="189">
        <f>IFERROR(__xludf.DUMMYFUNCTION("""COMPUTED_VALUE"""),0.0)</f>
        <v>0</v>
      </c>
      <c r="O314" s="189">
        <f>IFERROR(__xludf.DUMMYFUNCTION("""COMPUTED_VALUE"""),2.0)</f>
        <v>2</v>
      </c>
      <c r="P314" s="189">
        <f>IFERROR(__xludf.DUMMYFUNCTION("""COMPUTED_VALUE"""),2.0)</f>
        <v>2</v>
      </c>
      <c r="Q314" s="189">
        <f>IFERROR(__xludf.DUMMYFUNCTION("""COMPUTED_VALUE"""),11.0)</f>
        <v>11</v>
      </c>
      <c r="R314" s="189">
        <f>IFERROR(__xludf.DUMMYFUNCTION("""COMPUTED_VALUE"""),1.0)</f>
        <v>1</v>
      </c>
      <c r="S314" s="189">
        <f>IFERROR(__xludf.DUMMYFUNCTION("""COMPUTED_VALUE"""),1.0)</f>
        <v>1</v>
      </c>
      <c r="T314" s="189">
        <f>IFERROR(__xludf.DUMMYFUNCTION("""COMPUTED_VALUE"""),1.0)</f>
        <v>1</v>
      </c>
      <c r="U314" s="189">
        <f>IFERROR(__xludf.DUMMYFUNCTION("""COMPUTED_VALUE"""),1.0)</f>
        <v>1</v>
      </c>
      <c r="V314" s="189">
        <f>IFERROR(__xludf.DUMMYFUNCTION("""COMPUTED_VALUE"""),11.0)</f>
        <v>11</v>
      </c>
      <c r="W314" s="189">
        <f>IFERROR(__xludf.DUMMYFUNCTION("""COMPUTED_VALUE"""),2.0)</f>
        <v>2</v>
      </c>
      <c r="X314" s="189">
        <f>IFERROR(__xludf.DUMMYFUNCTION("""COMPUTED_VALUE"""),2.0)</f>
        <v>2</v>
      </c>
      <c r="Y314" s="208" t="str">
        <f>IFERROR(__xludf.DUMMYFUNCTION("""COMPUTED_VALUE"""),"2025-08-20T00:00:00.000Z")</f>
        <v>2025-08-20T00:00:00.000Z</v>
      </c>
      <c r="Z314" s="189" t="s">
        <v>163</v>
      </c>
      <c r="AA314" s="189" t="s">
        <v>184</v>
      </c>
    </row>
    <row r="315">
      <c r="A315" s="189">
        <f>IFERROR(__xludf.DUMMYFUNCTION("""COMPUTED_VALUE"""),212689.0)</f>
        <v>212689</v>
      </c>
      <c r="B315" s="189">
        <f>IFERROR(__xludf.DUMMYFUNCTION("""COMPUTED_VALUE"""),93676.0)</f>
        <v>93676</v>
      </c>
      <c r="C315" s="189" t="str">
        <f>IFERROR(__xludf.DUMMYFUNCTION("""COMPUTED_VALUE"""),"Challengers 2025: Spain Rising Finals - Playoffs")</f>
        <v>Challengers 2025: Spain Rising Finals - Playoffs</v>
      </c>
      <c r="D315" s="189" t="str">
        <f>IFERROR(__xludf.DUMMYFUNCTION("""COMPUTED_VALUE"""),"Sunset")</f>
        <v>Sunset</v>
      </c>
      <c r="E315" s="189" t="str">
        <f>IFERROR(__xludf.DUMMYFUNCTION("""COMPUTED_VALUE"""),"DNSTY")</f>
        <v>DNSTY</v>
      </c>
      <c r="F315" s="189" t="str">
        <f>IFERROR(__xludf.DUMMYFUNCTION("""COMPUTED_VALUE"""),"KOI Fénix")</f>
        <v>KOI Fénix</v>
      </c>
      <c r="G315" s="189" t="str">
        <f>IFERROR(__xludf.DUMMYFUNCTION("""COMPUTED_VALUE"""),"Sova,Viper,Omen,Neon,Deadlock")</f>
        <v>Sova,Viper,Omen,Neon,Deadlock</v>
      </c>
      <c r="H315" s="189" t="str">
        <f>IFERROR(__xludf.DUMMYFUNCTION("""COMPUTED_VALUE"""),"Breach,Sage,Omen,Neon,Gekko")</f>
        <v>Breach,Sage,Omen,Neon,Gekko</v>
      </c>
      <c r="I315" s="189">
        <f>IFERROR(__xludf.DUMMYFUNCTION("""COMPUTED_VALUE"""),13.0)</f>
        <v>13</v>
      </c>
      <c r="J315" s="189">
        <f>IFERROR(__xludf.DUMMYFUNCTION("""COMPUTED_VALUE"""),11.0)</f>
        <v>11</v>
      </c>
      <c r="K315" s="189">
        <f>IFERROR(__xludf.DUMMYFUNCTION("""COMPUTED_VALUE"""),3.0)</f>
        <v>3</v>
      </c>
      <c r="L315" s="189">
        <f>IFERROR(__xludf.DUMMYFUNCTION("""COMPUTED_VALUE"""),9.0)</f>
        <v>9</v>
      </c>
      <c r="M315" s="189">
        <f>IFERROR(__xludf.DUMMYFUNCTION("""COMPUTED_VALUE"""),1.0)</f>
        <v>1</v>
      </c>
      <c r="N315" s="189">
        <f>IFERROR(__xludf.DUMMYFUNCTION("""COMPUTED_VALUE"""),1.0)</f>
        <v>1</v>
      </c>
      <c r="O315" s="189">
        <f>IFERROR(__xludf.DUMMYFUNCTION("""COMPUTED_VALUE"""),3.0)</f>
        <v>3</v>
      </c>
      <c r="P315" s="189">
        <f>IFERROR(__xludf.DUMMYFUNCTION("""COMPUTED_VALUE"""),9.0)</f>
        <v>9</v>
      </c>
      <c r="Q315" s="189">
        <f>IFERROR(__xludf.DUMMYFUNCTION("""COMPUTED_VALUE"""),10.0)</f>
        <v>10</v>
      </c>
      <c r="R315" s="189">
        <f>IFERROR(__xludf.DUMMYFUNCTION("""COMPUTED_VALUE"""),2.0)</f>
        <v>2</v>
      </c>
      <c r="S315" s="189">
        <f>IFERROR(__xludf.DUMMYFUNCTION("""COMPUTED_VALUE"""),0.0)</f>
        <v>0</v>
      </c>
      <c r="T315" s="189">
        <f>IFERROR(__xludf.DUMMYFUNCTION("""COMPUTED_VALUE"""),0.0)</f>
        <v>0</v>
      </c>
      <c r="U315" s="189">
        <f>IFERROR(__xludf.DUMMYFUNCTION("""COMPUTED_VALUE"""),2.0)</f>
        <v>2</v>
      </c>
      <c r="V315" s="189">
        <f>IFERROR(__xludf.DUMMYFUNCTION("""COMPUTED_VALUE"""),10.0)</f>
        <v>10</v>
      </c>
      <c r="W315" s="189">
        <f>IFERROR(__xludf.DUMMYFUNCTION("""COMPUTED_VALUE"""),9.0)</f>
        <v>9</v>
      </c>
      <c r="X315" s="189">
        <f>IFERROR(__xludf.DUMMYFUNCTION("""COMPUTED_VALUE"""),3.0)</f>
        <v>3</v>
      </c>
      <c r="Y315" s="208" t="str">
        <f>IFERROR(__xludf.DUMMYFUNCTION("""COMPUTED_VALUE"""),"2025-08-20T00:00:00.000Z")</f>
        <v>2025-08-20T00:00:00.000Z</v>
      </c>
      <c r="Z315" s="189" t="s">
        <v>98</v>
      </c>
      <c r="AA315" s="189" t="s">
        <v>182</v>
      </c>
    </row>
    <row r="316">
      <c r="A316" s="189">
        <f>IFERROR(__xludf.DUMMYFUNCTION("""COMPUTED_VALUE"""),213557.0)</f>
        <v>213557</v>
      </c>
      <c r="B316" s="189">
        <f>IFERROR(__xludf.DUMMYFUNCTION("""COMPUTED_VALUE"""),93971.0)</f>
        <v>93971</v>
      </c>
      <c r="C316" s="189" t="str">
        <f>IFERROR(__xludf.DUMMYFUNCTION("""COMPUTED_VALUE"""),"Challengers League 2025 MENA: Resilience - LAN Finals - Main Event")</f>
        <v>Challengers League 2025 MENA: Resilience - LAN Finals - Main Event</v>
      </c>
      <c r="D316" s="189" t="str">
        <f>IFERROR(__xludf.DUMMYFUNCTION("""COMPUTED_VALUE"""),"Bind")</f>
        <v>Bind</v>
      </c>
      <c r="E316" s="189" t="str">
        <f>IFERROR(__xludf.DUMMYFUNCTION("""COMPUTED_VALUE"""),"Twisted Minds Esports")</f>
        <v>Twisted Minds Esports</v>
      </c>
      <c r="F316" s="189" t="str">
        <f>IFERROR(__xludf.DUMMYFUNCTION("""COMPUTED_VALUE"""),"The Ultimates")</f>
        <v>The Ultimates</v>
      </c>
      <c r="G316" s="189" t="str">
        <f>IFERROR(__xludf.DUMMYFUNCTION("""COMPUTED_VALUE"""),"Raze,Viper,Brimstone,Yoru,Fade")</f>
        <v>Raze,Viper,Brimstone,Yoru,Fade</v>
      </c>
      <c r="H316" s="189" t="str">
        <f>IFERROR(__xludf.DUMMYFUNCTION("""COMPUTED_VALUE"""),"Raze,Viper,Omen,Fade,Gekko")</f>
        <v>Raze,Viper,Omen,Fade,Gekko</v>
      </c>
      <c r="I316" s="189">
        <f>IFERROR(__xludf.DUMMYFUNCTION("""COMPUTED_VALUE"""),13.0)</f>
        <v>13</v>
      </c>
      <c r="J316" s="189">
        <f>IFERROR(__xludf.DUMMYFUNCTION("""COMPUTED_VALUE"""),3.0)</f>
        <v>3</v>
      </c>
      <c r="K316" s="189">
        <f>IFERROR(__xludf.DUMMYFUNCTION("""COMPUTED_VALUE"""),9.0)</f>
        <v>9</v>
      </c>
      <c r="L316" s="189">
        <f>IFERROR(__xludf.DUMMYFUNCTION("""COMPUTED_VALUE"""),3.0)</f>
        <v>3</v>
      </c>
      <c r="M316" s="189">
        <f>IFERROR(__xludf.DUMMYFUNCTION("""COMPUTED_VALUE"""),1.0)</f>
        <v>1</v>
      </c>
      <c r="N316" s="189">
        <f>IFERROR(__xludf.DUMMYFUNCTION("""COMPUTED_VALUE"""),1.0)</f>
        <v>1</v>
      </c>
      <c r="O316" s="189">
        <f>IFERROR(__xludf.DUMMYFUNCTION("""COMPUTED_VALUE"""),9.0)</f>
        <v>9</v>
      </c>
      <c r="P316" s="189">
        <f>IFERROR(__xludf.DUMMYFUNCTION("""COMPUTED_VALUE"""),3.0)</f>
        <v>3</v>
      </c>
      <c r="Q316" s="189">
        <f>IFERROR(__xludf.DUMMYFUNCTION("""COMPUTED_VALUE"""),4.0)</f>
        <v>4</v>
      </c>
      <c r="R316" s="189">
        <f>IFERROR(__xludf.DUMMYFUNCTION("""COMPUTED_VALUE"""),0.0)</f>
        <v>0</v>
      </c>
      <c r="S316" s="189">
        <f>IFERROR(__xludf.DUMMYFUNCTION("""COMPUTED_VALUE"""),0.0)</f>
        <v>0</v>
      </c>
      <c r="T316" s="189">
        <f>IFERROR(__xludf.DUMMYFUNCTION("""COMPUTED_VALUE"""),0.0)</f>
        <v>0</v>
      </c>
      <c r="U316" s="189">
        <f>IFERROR(__xludf.DUMMYFUNCTION("""COMPUTED_VALUE"""),0.0)</f>
        <v>0</v>
      </c>
      <c r="V316" s="189">
        <f>IFERROR(__xludf.DUMMYFUNCTION("""COMPUTED_VALUE"""),4.0)</f>
        <v>4</v>
      </c>
      <c r="W316" s="189">
        <f>IFERROR(__xludf.DUMMYFUNCTION("""COMPUTED_VALUE"""),3.0)</f>
        <v>3</v>
      </c>
      <c r="X316" s="189">
        <f>IFERROR(__xludf.DUMMYFUNCTION("""COMPUTED_VALUE"""),9.0)</f>
        <v>9</v>
      </c>
      <c r="Y316" s="208" t="str">
        <f>IFERROR(__xludf.DUMMYFUNCTION("""COMPUTED_VALUE"""),"2025-08-20T00:00:00.000Z")</f>
        <v>2025-08-20T00:00:00.000Z</v>
      </c>
      <c r="Z316" s="189" t="s">
        <v>160</v>
      </c>
      <c r="AA316" s="189" t="s">
        <v>184</v>
      </c>
    </row>
    <row r="317">
      <c r="A317" s="189">
        <f>IFERROR(__xludf.DUMMYFUNCTION("""COMPUTED_VALUE"""),212688.0)</f>
        <v>212688</v>
      </c>
      <c r="B317" s="189">
        <f>IFERROR(__xludf.DUMMYFUNCTION("""COMPUTED_VALUE"""),93676.0)</f>
        <v>93676</v>
      </c>
      <c r="C317" s="189" t="str">
        <f>IFERROR(__xludf.DUMMYFUNCTION("""COMPUTED_VALUE"""),"Challengers 2025: Spain Rising Finals - Playoffs")</f>
        <v>Challengers 2025: Spain Rising Finals - Playoffs</v>
      </c>
      <c r="D317" s="189" t="str">
        <f>IFERROR(__xludf.DUMMYFUNCTION("""COMPUTED_VALUE"""),"Lotus")</f>
        <v>Lotus</v>
      </c>
      <c r="E317" s="189" t="str">
        <f>IFERROR(__xludf.DUMMYFUNCTION("""COMPUTED_VALUE"""),"DNSTY")</f>
        <v>DNSTY</v>
      </c>
      <c r="F317" s="189" t="str">
        <f>IFERROR(__xludf.DUMMYFUNCTION("""COMPUTED_VALUE"""),"KOI Fénix")</f>
        <v>KOI Fénix</v>
      </c>
      <c r="G317" s="189" t="str">
        <f>IFERROR(__xludf.DUMMYFUNCTION("""COMPUTED_VALUE"""),"Raze,Killjoy,Viper,Omen,Fade")</f>
        <v>Raze,Killjoy,Viper,Omen,Fade</v>
      </c>
      <c r="H317" s="189" t="str">
        <f>IFERROR(__xludf.DUMMYFUNCTION("""COMPUTED_VALUE"""),"Breach,Sova,Killjoy,Omen,Neon")</f>
        <v>Breach,Sova,Killjoy,Omen,Neon</v>
      </c>
      <c r="I317" s="189">
        <f>IFERROR(__xludf.DUMMYFUNCTION("""COMPUTED_VALUE"""),11.0)</f>
        <v>11</v>
      </c>
      <c r="J317" s="189">
        <f>IFERROR(__xludf.DUMMYFUNCTION("""COMPUTED_VALUE"""),13.0)</f>
        <v>13</v>
      </c>
      <c r="K317" s="189">
        <f>IFERROR(__xludf.DUMMYFUNCTION("""COMPUTED_VALUE"""),6.0)</f>
        <v>6</v>
      </c>
      <c r="L317" s="189">
        <f>IFERROR(__xludf.DUMMYFUNCTION("""COMPUTED_VALUE"""),6.0)</f>
        <v>6</v>
      </c>
      <c r="M317" s="189">
        <f>IFERROR(__xludf.DUMMYFUNCTION("""COMPUTED_VALUE"""),0.0)</f>
        <v>0</v>
      </c>
      <c r="N317" s="189">
        <f>IFERROR(__xludf.DUMMYFUNCTION("""COMPUTED_VALUE"""),1.0)</f>
        <v>1</v>
      </c>
      <c r="O317" s="189">
        <f>IFERROR(__xludf.DUMMYFUNCTION("""COMPUTED_VALUE"""),6.0)</f>
        <v>6</v>
      </c>
      <c r="P317" s="189">
        <f>IFERROR(__xludf.DUMMYFUNCTION("""COMPUTED_VALUE"""),6.0)</f>
        <v>6</v>
      </c>
      <c r="Q317" s="189">
        <f>IFERROR(__xludf.DUMMYFUNCTION("""COMPUTED_VALUE"""),5.0)</f>
        <v>5</v>
      </c>
      <c r="R317" s="189">
        <f>IFERROR(__xludf.DUMMYFUNCTION("""COMPUTED_VALUE"""),7.0)</f>
        <v>7</v>
      </c>
      <c r="S317" s="189">
        <f>IFERROR(__xludf.DUMMYFUNCTION("""COMPUTED_VALUE"""),0.0)</f>
        <v>0</v>
      </c>
      <c r="T317" s="189">
        <f>IFERROR(__xludf.DUMMYFUNCTION("""COMPUTED_VALUE"""),1.0)</f>
        <v>1</v>
      </c>
      <c r="U317" s="189">
        <f>IFERROR(__xludf.DUMMYFUNCTION("""COMPUTED_VALUE"""),7.0)</f>
        <v>7</v>
      </c>
      <c r="V317" s="189">
        <f>IFERROR(__xludf.DUMMYFUNCTION("""COMPUTED_VALUE"""),5.0)</f>
        <v>5</v>
      </c>
      <c r="W317" s="189">
        <f>IFERROR(__xludf.DUMMYFUNCTION("""COMPUTED_VALUE"""),6.0)</f>
        <v>6</v>
      </c>
      <c r="X317" s="189">
        <f>IFERROR(__xludf.DUMMYFUNCTION("""COMPUTED_VALUE"""),6.0)</f>
        <v>6</v>
      </c>
      <c r="Y317" s="208" t="str">
        <f>IFERROR(__xludf.DUMMYFUNCTION("""COMPUTED_VALUE"""),"2025-08-20T00:00:00.000Z")</f>
        <v>2025-08-20T00:00:00.000Z</v>
      </c>
      <c r="Z317" s="189" t="s">
        <v>97</v>
      </c>
      <c r="AA317" s="189" t="s">
        <v>187</v>
      </c>
    </row>
    <row r="318">
      <c r="A318" s="189">
        <f>IFERROR(__xludf.DUMMYFUNCTION("""COMPUTED_VALUE"""),213556.0)</f>
        <v>213556</v>
      </c>
      <c r="B318" s="189">
        <f>IFERROR(__xludf.DUMMYFUNCTION("""COMPUTED_VALUE"""),93971.0)</f>
        <v>93971</v>
      </c>
      <c r="C318" s="189" t="str">
        <f>IFERROR(__xludf.DUMMYFUNCTION("""COMPUTED_VALUE"""),"Challengers League 2025 MENA: Resilience - LAN Finals - Main Event")</f>
        <v>Challengers League 2025 MENA: Resilience - LAN Finals - Main Event</v>
      </c>
      <c r="D318" s="189" t="str">
        <f>IFERROR(__xludf.DUMMYFUNCTION("""COMPUTED_VALUE"""),"Haven")</f>
        <v>Haven</v>
      </c>
      <c r="E318" s="189" t="str">
        <f>IFERROR(__xludf.DUMMYFUNCTION("""COMPUTED_VALUE"""),"Twisted Minds Esports")</f>
        <v>Twisted Minds Esports</v>
      </c>
      <c r="F318" s="189" t="str">
        <f>IFERROR(__xludf.DUMMYFUNCTION("""COMPUTED_VALUE"""),"The Ultimates")</f>
        <v>The Ultimates</v>
      </c>
      <c r="G318" s="189" t="str">
        <f>IFERROR(__xludf.DUMMYFUNCTION("""COMPUTED_VALUE"""),"Sova,Killjoy,Viper,Omen,Neon")</f>
        <v>Sova,Killjoy,Viper,Omen,Neon</v>
      </c>
      <c r="H318" s="189" t="str">
        <f>IFERROR(__xludf.DUMMYFUNCTION("""COMPUTED_VALUE"""),"Breach,Cypher,Sova,Omen,Neon")</f>
        <v>Breach,Cypher,Sova,Omen,Neon</v>
      </c>
      <c r="I318" s="189">
        <f>IFERROR(__xludf.DUMMYFUNCTION("""COMPUTED_VALUE"""),13.0)</f>
        <v>13</v>
      </c>
      <c r="J318" s="189">
        <f>IFERROR(__xludf.DUMMYFUNCTION("""COMPUTED_VALUE"""),11.0)</f>
        <v>11</v>
      </c>
      <c r="K318" s="189">
        <f>IFERROR(__xludf.DUMMYFUNCTION("""COMPUTED_VALUE"""),5.0)</f>
        <v>5</v>
      </c>
      <c r="L318" s="189">
        <f>IFERROR(__xludf.DUMMYFUNCTION("""COMPUTED_VALUE"""),7.0)</f>
        <v>7</v>
      </c>
      <c r="M318" s="189">
        <f>IFERROR(__xludf.DUMMYFUNCTION("""COMPUTED_VALUE"""),1.0)</f>
        <v>1</v>
      </c>
      <c r="N318" s="189">
        <f>IFERROR(__xludf.DUMMYFUNCTION("""COMPUTED_VALUE"""),0.0)</f>
        <v>0</v>
      </c>
      <c r="O318" s="189">
        <f>IFERROR(__xludf.DUMMYFUNCTION("""COMPUTED_VALUE"""),5.0)</f>
        <v>5</v>
      </c>
      <c r="P318" s="189">
        <f>IFERROR(__xludf.DUMMYFUNCTION("""COMPUTED_VALUE"""),7.0)</f>
        <v>7</v>
      </c>
      <c r="Q318" s="189">
        <f>IFERROR(__xludf.DUMMYFUNCTION("""COMPUTED_VALUE"""),8.0)</f>
        <v>8</v>
      </c>
      <c r="R318" s="189">
        <f>IFERROR(__xludf.DUMMYFUNCTION("""COMPUTED_VALUE"""),4.0)</f>
        <v>4</v>
      </c>
      <c r="S318" s="189">
        <f>IFERROR(__xludf.DUMMYFUNCTION("""COMPUTED_VALUE"""),1.0)</f>
        <v>1</v>
      </c>
      <c r="T318" s="189">
        <f>IFERROR(__xludf.DUMMYFUNCTION("""COMPUTED_VALUE"""),0.0)</f>
        <v>0</v>
      </c>
      <c r="U318" s="189">
        <f>IFERROR(__xludf.DUMMYFUNCTION("""COMPUTED_VALUE"""),4.0)</f>
        <v>4</v>
      </c>
      <c r="V318" s="189">
        <f>IFERROR(__xludf.DUMMYFUNCTION("""COMPUTED_VALUE"""),8.0)</f>
        <v>8</v>
      </c>
      <c r="W318" s="189">
        <f>IFERROR(__xludf.DUMMYFUNCTION("""COMPUTED_VALUE"""),7.0)</f>
        <v>7</v>
      </c>
      <c r="X318" s="189">
        <f>IFERROR(__xludf.DUMMYFUNCTION("""COMPUTED_VALUE"""),5.0)</f>
        <v>5</v>
      </c>
      <c r="Y318" s="208" t="str">
        <f>IFERROR(__xludf.DUMMYFUNCTION("""COMPUTED_VALUE"""),"2025-08-20T00:00:00.000Z")</f>
        <v>2025-08-20T00:00:00.000Z</v>
      </c>
      <c r="Z318" s="189" t="s">
        <v>162</v>
      </c>
      <c r="AA318" s="189" t="s">
        <v>184</v>
      </c>
    </row>
    <row r="319">
      <c r="A319" s="189">
        <f>IFERROR(__xludf.DUMMYFUNCTION("""COMPUTED_VALUE"""),213535.0)</f>
        <v>213535</v>
      </c>
      <c r="B319" s="189">
        <f>IFERROR(__xludf.DUMMYFUNCTION("""COMPUTED_VALUE"""),93965.0)</f>
        <v>93965</v>
      </c>
      <c r="C319" s="189" t="str">
        <f>IFERROR(__xludf.DUMMYFUNCTION("""COMPUTED_VALUE"""),"Challengers League 2025 MENA: Resilience - LAN Finals - Main Event")</f>
        <v>Challengers League 2025 MENA: Resilience - LAN Finals - Main Event</v>
      </c>
      <c r="D319" s="189" t="str">
        <f>IFERROR(__xludf.DUMMYFUNCTION("""COMPUTED_VALUE"""),"Lotus")</f>
        <v>Lotus</v>
      </c>
      <c r="E319" s="189" t="str">
        <f>IFERROR(__xludf.DUMMYFUNCTION("""COMPUTED_VALUE"""),"Twisted Minds Esports")</f>
        <v>Twisted Minds Esports</v>
      </c>
      <c r="F319" s="189" t="str">
        <f>IFERROR(__xludf.DUMMYFUNCTION("""COMPUTED_VALUE"""),"GAMAX eSports")</f>
        <v>GAMAX eSports</v>
      </c>
      <c r="G319" s="189" t="str">
        <f>IFERROR(__xludf.DUMMYFUNCTION("""COMPUTED_VALUE"""),"Raze,Killjoy,Viper,Omen,Fade")</f>
        <v>Raze,Killjoy,Viper,Omen,Fade</v>
      </c>
      <c r="H319" s="189" t="str">
        <f>IFERROR(__xludf.DUMMYFUNCTION("""COMPUTED_VALUE"""),"Raze,Omen,Yoru,Fade,Vyse")</f>
        <v>Raze,Omen,Yoru,Fade,Vyse</v>
      </c>
      <c r="I319" s="189">
        <f>IFERROR(__xludf.DUMMYFUNCTION("""COMPUTED_VALUE"""),13.0)</f>
        <v>13</v>
      </c>
      <c r="J319" s="189">
        <f>IFERROR(__xludf.DUMMYFUNCTION("""COMPUTED_VALUE"""),10.0)</f>
        <v>10</v>
      </c>
      <c r="K319" s="189">
        <f>IFERROR(__xludf.DUMMYFUNCTION("""COMPUTED_VALUE"""),6.0)</f>
        <v>6</v>
      </c>
      <c r="L319" s="189">
        <f>IFERROR(__xludf.DUMMYFUNCTION("""COMPUTED_VALUE"""),6.0)</f>
        <v>6</v>
      </c>
      <c r="M319" s="189">
        <f>IFERROR(__xludf.DUMMYFUNCTION("""COMPUTED_VALUE"""),1.0)</f>
        <v>1</v>
      </c>
      <c r="N319" s="189">
        <f>IFERROR(__xludf.DUMMYFUNCTION("""COMPUTED_VALUE"""),0.0)</f>
        <v>0</v>
      </c>
      <c r="O319" s="189">
        <f>IFERROR(__xludf.DUMMYFUNCTION("""COMPUTED_VALUE"""),6.0)</f>
        <v>6</v>
      </c>
      <c r="P319" s="189">
        <f>IFERROR(__xludf.DUMMYFUNCTION("""COMPUTED_VALUE"""),6.0)</f>
        <v>6</v>
      </c>
      <c r="Q319" s="189">
        <f>IFERROR(__xludf.DUMMYFUNCTION("""COMPUTED_VALUE"""),7.0)</f>
        <v>7</v>
      </c>
      <c r="R319" s="189">
        <f>IFERROR(__xludf.DUMMYFUNCTION("""COMPUTED_VALUE"""),4.0)</f>
        <v>4</v>
      </c>
      <c r="S319" s="189">
        <f>IFERROR(__xludf.DUMMYFUNCTION("""COMPUTED_VALUE"""),1.0)</f>
        <v>1</v>
      </c>
      <c r="T319" s="189">
        <f>IFERROR(__xludf.DUMMYFUNCTION("""COMPUTED_VALUE"""),0.0)</f>
        <v>0</v>
      </c>
      <c r="U319" s="189">
        <f>IFERROR(__xludf.DUMMYFUNCTION("""COMPUTED_VALUE"""),4.0)</f>
        <v>4</v>
      </c>
      <c r="V319" s="189">
        <f>IFERROR(__xludf.DUMMYFUNCTION("""COMPUTED_VALUE"""),7.0)</f>
        <v>7</v>
      </c>
      <c r="W319" s="189">
        <f>IFERROR(__xludf.DUMMYFUNCTION("""COMPUTED_VALUE"""),6.0)</f>
        <v>6</v>
      </c>
      <c r="X319" s="189">
        <f>IFERROR(__xludf.DUMMYFUNCTION("""COMPUTED_VALUE"""),6.0)</f>
        <v>6</v>
      </c>
      <c r="Y319" s="208" t="str">
        <f>IFERROR(__xludf.DUMMYFUNCTION("""COMPUTED_VALUE"""),"2025-08-19T00:00:00.000Z")</f>
        <v>2025-08-19T00:00:00.000Z</v>
      </c>
      <c r="Z319" s="189" t="s">
        <v>164</v>
      </c>
      <c r="AA319" s="189" t="s">
        <v>184</v>
      </c>
    </row>
    <row r="320">
      <c r="A320" s="189">
        <f>IFERROR(__xludf.DUMMYFUNCTION("""COMPUTED_VALUE"""),213534.0)</f>
        <v>213534</v>
      </c>
      <c r="B320" s="189">
        <f>IFERROR(__xludf.DUMMYFUNCTION("""COMPUTED_VALUE"""),93965.0)</f>
        <v>93965</v>
      </c>
      <c r="C320" s="189" t="str">
        <f>IFERROR(__xludf.DUMMYFUNCTION("""COMPUTED_VALUE"""),"Challengers League 2025 MENA: Resilience - LAN Finals - Main Event")</f>
        <v>Challengers League 2025 MENA: Resilience - LAN Finals - Main Event</v>
      </c>
      <c r="D320" s="189" t="str">
        <f>IFERROR(__xludf.DUMMYFUNCTION("""COMPUTED_VALUE"""),"Ascent")</f>
        <v>Ascent</v>
      </c>
      <c r="E320" s="189" t="str">
        <f>IFERROR(__xludf.DUMMYFUNCTION("""COMPUTED_VALUE"""),"Twisted Minds Esports")</f>
        <v>Twisted Minds Esports</v>
      </c>
      <c r="F320" s="189" t="str">
        <f>IFERROR(__xludf.DUMMYFUNCTION("""COMPUTED_VALUE"""),"GAMAX eSports")</f>
        <v>GAMAX eSports</v>
      </c>
      <c r="G320" s="189" t="str">
        <f>IFERROR(__xludf.DUMMYFUNCTION("""COMPUTED_VALUE"""),"Sova,Omen,Yoru,Chamber,Vyse")</f>
        <v>Sova,Omen,Yoru,Chamber,Vyse</v>
      </c>
      <c r="H320" s="189" t="str">
        <f>IFERROR(__xludf.DUMMYFUNCTION("""COMPUTED_VALUE"""),"Cypher,Sova,Omen,Jett,Yoru")</f>
        <v>Cypher,Sova,Omen,Jett,Yoru</v>
      </c>
      <c r="I320" s="189">
        <f>IFERROR(__xludf.DUMMYFUNCTION("""COMPUTED_VALUE"""),13.0)</f>
        <v>13</v>
      </c>
      <c r="J320" s="189">
        <f>IFERROR(__xludf.DUMMYFUNCTION("""COMPUTED_VALUE"""),9.0)</f>
        <v>9</v>
      </c>
      <c r="K320" s="189">
        <f>IFERROR(__xludf.DUMMYFUNCTION("""COMPUTED_VALUE"""),9.0)</f>
        <v>9</v>
      </c>
      <c r="L320" s="189">
        <f>IFERROR(__xludf.DUMMYFUNCTION("""COMPUTED_VALUE"""),3.0)</f>
        <v>3</v>
      </c>
      <c r="M320" s="189">
        <f>IFERROR(__xludf.DUMMYFUNCTION("""COMPUTED_VALUE"""),0.0)</f>
        <v>0</v>
      </c>
      <c r="N320" s="189">
        <f>IFERROR(__xludf.DUMMYFUNCTION("""COMPUTED_VALUE"""),0.0)</f>
        <v>0</v>
      </c>
      <c r="O320" s="189">
        <f>IFERROR(__xludf.DUMMYFUNCTION("""COMPUTED_VALUE"""),4.0)</f>
        <v>4</v>
      </c>
      <c r="P320" s="189">
        <f>IFERROR(__xludf.DUMMYFUNCTION("""COMPUTED_VALUE"""),6.0)</f>
        <v>6</v>
      </c>
      <c r="Q320" s="189">
        <f>IFERROR(__xludf.DUMMYFUNCTION("""COMPUTED_VALUE"""),9.0)</f>
        <v>9</v>
      </c>
      <c r="R320" s="189">
        <f>IFERROR(__xludf.DUMMYFUNCTION("""COMPUTED_VALUE"""),3.0)</f>
        <v>3</v>
      </c>
      <c r="S320" s="189">
        <f>IFERROR(__xludf.DUMMYFUNCTION("""COMPUTED_VALUE"""),1.0)</f>
        <v>1</v>
      </c>
      <c r="T320" s="189">
        <f>IFERROR(__xludf.DUMMYFUNCTION("""COMPUTED_VALUE"""),1.0)</f>
        <v>1</v>
      </c>
      <c r="U320" s="189">
        <f>IFERROR(__xludf.DUMMYFUNCTION("""COMPUTED_VALUE"""),3.0)</f>
        <v>3</v>
      </c>
      <c r="V320" s="189">
        <f>IFERROR(__xludf.DUMMYFUNCTION("""COMPUTED_VALUE"""),9.0)</f>
        <v>9</v>
      </c>
      <c r="W320" s="189">
        <f>IFERROR(__xludf.DUMMYFUNCTION("""COMPUTED_VALUE"""),6.0)</f>
        <v>6</v>
      </c>
      <c r="X320" s="189">
        <f>IFERROR(__xludf.DUMMYFUNCTION("""COMPUTED_VALUE"""),4.0)</f>
        <v>4</v>
      </c>
      <c r="Y320" s="208" t="str">
        <f>IFERROR(__xludf.DUMMYFUNCTION("""COMPUTED_VALUE"""),"2025-08-19T00:00:00.000Z")</f>
        <v>2025-08-19T00:00:00.000Z</v>
      </c>
      <c r="Z320" s="189" t="s">
        <v>159</v>
      </c>
      <c r="AA320" s="189" t="s">
        <v>184</v>
      </c>
    </row>
    <row r="321">
      <c r="A321" s="189">
        <f>IFERROR(__xludf.DUMMYFUNCTION("""COMPUTED_VALUE"""),213532.0)</f>
        <v>213532</v>
      </c>
      <c r="B321" s="189">
        <f>IFERROR(__xludf.DUMMYFUNCTION("""COMPUTED_VALUE"""),93964.0)</f>
        <v>93964</v>
      </c>
      <c r="C321" s="189" t="str">
        <f>IFERROR(__xludf.DUMMYFUNCTION("""COMPUTED_VALUE"""),"Challengers League 2025 MENA: Resilience - LAN Finals - Main Event")</f>
        <v>Challengers League 2025 MENA: Resilience - LAN Finals - Main Event</v>
      </c>
      <c r="D321" s="189" t="str">
        <f>IFERROR(__xludf.DUMMYFUNCTION("""COMPUTED_VALUE"""),"Bind")</f>
        <v>Bind</v>
      </c>
      <c r="E321" s="189" t="str">
        <f>IFERROR(__xludf.DUMMYFUNCTION("""COMPUTED_VALUE"""),"The Ultimates")</f>
        <v>The Ultimates</v>
      </c>
      <c r="F321" s="189" t="str">
        <f>IFERROR(__xludf.DUMMYFUNCTION("""COMPUTED_VALUE"""),"GAMAX eSports")</f>
        <v>GAMAX eSports</v>
      </c>
      <c r="G321" s="189" t="str">
        <f>IFERROR(__xludf.DUMMYFUNCTION("""COMPUTED_VALUE"""),"Raze,Viper,Omen,Fade,Gekko")</f>
        <v>Raze,Viper,Omen,Fade,Gekko</v>
      </c>
      <c r="H321" s="189" t="str">
        <f>IFERROR(__xludf.DUMMYFUNCTION("""COMPUTED_VALUE"""),"Raze,Viper,Brimstone,Skye,Gekko")</f>
        <v>Raze,Viper,Brimstone,Skye,Gekko</v>
      </c>
      <c r="I321" s="189">
        <f>IFERROR(__xludf.DUMMYFUNCTION("""COMPUTED_VALUE"""),13.0)</f>
        <v>13</v>
      </c>
      <c r="J321" s="189">
        <f>IFERROR(__xludf.DUMMYFUNCTION("""COMPUTED_VALUE"""),7.0)</f>
        <v>7</v>
      </c>
      <c r="K321" s="189">
        <f>IFERROR(__xludf.DUMMYFUNCTION("""COMPUTED_VALUE"""),7.0)</f>
        <v>7</v>
      </c>
      <c r="L321" s="189">
        <f>IFERROR(__xludf.DUMMYFUNCTION("""COMPUTED_VALUE"""),5.0)</f>
        <v>5</v>
      </c>
      <c r="M321" s="189">
        <f>IFERROR(__xludf.DUMMYFUNCTION("""COMPUTED_VALUE"""),1.0)</f>
        <v>1</v>
      </c>
      <c r="N321" s="189">
        <f>IFERROR(__xludf.DUMMYFUNCTION("""COMPUTED_VALUE"""),0.0)</f>
        <v>0</v>
      </c>
      <c r="O321" s="189">
        <f>IFERROR(__xludf.DUMMYFUNCTION("""COMPUTED_VALUE"""),7.0)</f>
        <v>7</v>
      </c>
      <c r="P321" s="189">
        <f>IFERROR(__xludf.DUMMYFUNCTION("""COMPUTED_VALUE"""),5.0)</f>
        <v>5</v>
      </c>
      <c r="Q321" s="189">
        <f>IFERROR(__xludf.DUMMYFUNCTION("""COMPUTED_VALUE"""),6.0)</f>
        <v>6</v>
      </c>
      <c r="R321" s="189">
        <f>IFERROR(__xludf.DUMMYFUNCTION("""COMPUTED_VALUE"""),2.0)</f>
        <v>2</v>
      </c>
      <c r="S321" s="189">
        <f>IFERROR(__xludf.DUMMYFUNCTION("""COMPUTED_VALUE"""),1.0)</f>
        <v>1</v>
      </c>
      <c r="T321" s="189">
        <f>IFERROR(__xludf.DUMMYFUNCTION("""COMPUTED_VALUE"""),0.0)</f>
        <v>0</v>
      </c>
      <c r="U321" s="189">
        <f>IFERROR(__xludf.DUMMYFUNCTION("""COMPUTED_VALUE"""),2.0)</f>
        <v>2</v>
      </c>
      <c r="V321" s="189">
        <f>IFERROR(__xludf.DUMMYFUNCTION("""COMPUTED_VALUE"""),6.0)</f>
        <v>6</v>
      </c>
      <c r="W321" s="189">
        <f>IFERROR(__xludf.DUMMYFUNCTION("""COMPUTED_VALUE"""),5.0)</f>
        <v>5</v>
      </c>
      <c r="X321" s="189">
        <f>IFERROR(__xludf.DUMMYFUNCTION("""COMPUTED_VALUE"""),7.0)</f>
        <v>7</v>
      </c>
      <c r="Y321" s="208" t="str">
        <f>IFERROR(__xludf.DUMMYFUNCTION("""COMPUTED_VALUE"""),"2025-08-19T00:00:00.000Z")</f>
        <v>2025-08-19T00:00:00.000Z</v>
      </c>
      <c r="Z321" s="189" t="s">
        <v>151</v>
      </c>
      <c r="AA321" s="189" t="s">
        <v>185</v>
      </c>
    </row>
    <row r="322">
      <c r="A322" s="189">
        <f>IFERROR(__xludf.DUMMYFUNCTION("""COMPUTED_VALUE"""),213531.0)</f>
        <v>213531</v>
      </c>
      <c r="B322" s="189">
        <f>IFERROR(__xludf.DUMMYFUNCTION("""COMPUTED_VALUE"""),93964.0)</f>
        <v>93964</v>
      </c>
      <c r="C322" s="189" t="str">
        <f>IFERROR(__xludf.DUMMYFUNCTION("""COMPUTED_VALUE"""),"Challengers League 2025 MENA: Resilience - LAN Finals - Main Event")</f>
        <v>Challengers League 2025 MENA: Resilience - LAN Finals - Main Event</v>
      </c>
      <c r="D322" s="189" t="str">
        <f>IFERROR(__xludf.DUMMYFUNCTION("""COMPUTED_VALUE"""),"Haven")</f>
        <v>Haven</v>
      </c>
      <c r="E322" s="189" t="str">
        <f>IFERROR(__xludf.DUMMYFUNCTION("""COMPUTED_VALUE"""),"The Ultimates")</f>
        <v>The Ultimates</v>
      </c>
      <c r="F322" s="189" t="str">
        <f>IFERROR(__xludf.DUMMYFUNCTION("""COMPUTED_VALUE"""),"GAMAX eSports")</f>
        <v>GAMAX eSports</v>
      </c>
      <c r="G322" s="189" t="str">
        <f>IFERROR(__xludf.DUMMYFUNCTION("""COMPUTED_VALUE"""),"Breach,Cypher,Sova,Omen,Neon")</f>
        <v>Breach,Cypher,Sova,Omen,Neon</v>
      </c>
      <c r="H322" s="189" t="str">
        <f>IFERROR(__xludf.DUMMYFUNCTION("""COMPUTED_VALUE"""),"Cypher,Sova,Omen,Yoru,Iso")</f>
        <v>Cypher,Sova,Omen,Yoru,Iso</v>
      </c>
      <c r="I322" s="189">
        <f>IFERROR(__xludf.DUMMYFUNCTION("""COMPUTED_VALUE"""),13.0)</f>
        <v>13</v>
      </c>
      <c r="J322" s="189">
        <f>IFERROR(__xludf.DUMMYFUNCTION("""COMPUTED_VALUE"""),10.0)</f>
        <v>10</v>
      </c>
      <c r="K322" s="189">
        <f>IFERROR(__xludf.DUMMYFUNCTION("""COMPUTED_VALUE"""),5.0)</f>
        <v>5</v>
      </c>
      <c r="L322" s="189">
        <f>IFERROR(__xludf.DUMMYFUNCTION("""COMPUTED_VALUE"""),7.0)</f>
        <v>7</v>
      </c>
      <c r="M322" s="189">
        <f>IFERROR(__xludf.DUMMYFUNCTION("""COMPUTED_VALUE"""),1.0)</f>
        <v>1</v>
      </c>
      <c r="N322" s="189">
        <f>IFERROR(__xludf.DUMMYFUNCTION("""COMPUTED_VALUE"""),0.0)</f>
        <v>0</v>
      </c>
      <c r="O322" s="189">
        <f>IFERROR(__xludf.DUMMYFUNCTION("""COMPUTED_VALUE"""),5.0)</f>
        <v>5</v>
      </c>
      <c r="P322" s="189">
        <f>IFERROR(__xludf.DUMMYFUNCTION("""COMPUTED_VALUE"""),7.0)</f>
        <v>7</v>
      </c>
      <c r="Q322" s="189">
        <f>IFERROR(__xludf.DUMMYFUNCTION("""COMPUTED_VALUE"""),8.0)</f>
        <v>8</v>
      </c>
      <c r="R322" s="189">
        <f>IFERROR(__xludf.DUMMYFUNCTION("""COMPUTED_VALUE"""),3.0)</f>
        <v>3</v>
      </c>
      <c r="S322" s="189">
        <f>IFERROR(__xludf.DUMMYFUNCTION("""COMPUTED_VALUE"""),1.0)</f>
        <v>1</v>
      </c>
      <c r="T322" s="189">
        <f>IFERROR(__xludf.DUMMYFUNCTION("""COMPUTED_VALUE"""),0.0)</f>
        <v>0</v>
      </c>
      <c r="U322" s="189">
        <f>IFERROR(__xludf.DUMMYFUNCTION("""COMPUTED_VALUE"""),3.0)</f>
        <v>3</v>
      </c>
      <c r="V322" s="189">
        <f>IFERROR(__xludf.DUMMYFUNCTION("""COMPUTED_VALUE"""),8.0)</f>
        <v>8</v>
      </c>
      <c r="W322" s="189">
        <f>IFERROR(__xludf.DUMMYFUNCTION("""COMPUTED_VALUE"""),7.0)</f>
        <v>7</v>
      </c>
      <c r="X322" s="189">
        <f>IFERROR(__xludf.DUMMYFUNCTION("""COMPUTED_VALUE"""),5.0)</f>
        <v>5</v>
      </c>
      <c r="Y322" s="208" t="str">
        <f>IFERROR(__xludf.DUMMYFUNCTION("""COMPUTED_VALUE"""),"2025-08-19T00:00:00.000Z")</f>
        <v>2025-08-19T00:00:00.000Z</v>
      </c>
      <c r="Z322" s="189" t="s">
        <v>153</v>
      </c>
      <c r="AA322" s="189" t="s">
        <v>185</v>
      </c>
    </row>
    <row r="323">
      <c r="A323" s="189">
        <f>IFERROR(__xludf.DUMMYFUNCTION("""COMPUTED_VALUE"""),213529.0)</f>
        <v>213529</v>
      </c>
      <c r="B323" s="189">
        <f>IFERROR(__xludf.DUMMYFUNCTION("""COMPUTED_VALUE"""),93963.0)</f>
        <v>93963</v>
      </c>
      <c r="C323" s="189" t="str">
        <f>IFERROR(__xludf.DUMMYFUNCTION("""COMPUTED_VALUE"""),"Challengers League 2025 MENA: Resilience - LAN Finals - Main Event")</f>
        <v>Challengers League 2025 MENA: Resilience - LAN Finals - Main Event</v>
      </c>
      <c r="D323" s="189" t="str">
        <f>IFERROR(__xludf.DUMMYFUNCTION("""COMPUTED_VALUE"""),"Corrode")</f>
        <v>Corrode</v>
      </c>
      <c r="E323" s="189" t="str">
        <f>IFERROR(__xludf.DUMMYFUNCTION("""COMPUTED_VALUE"""),"Team RA'AD")</f>
        <v>Team RA'AD</v>
      </c>
      <c r="F323" s="189" t="str">
        <f>IFERROR(__xludf.DUMMYFUNCTION("""COMPUTED_VALUE"""),"Twisted Minds Esports")</f>
        <v>Twisted Minds Esports</v>
      </c>
      <c r="G323" s="189" t="str">
        <f>IFERROR(__xludf.DUMMYFUNCTION("""COMPUTED_VALUE"""),"Sage,Omen,Yoru,Fade,Vyse")</f>
        <v>Sage,Omen,Yoru,Fade,Vyse</v>
      </c>
      <c r="H323" s="189" t="str">
        <f>IFERROR(__xludf.DUMMYFUNCTION("""COMPUTED_VALUE"""),"Omen,Yoru,Chamber,Fade,Vyse")</f>
        <v>Omen,Yoru,Chamber,Fade,Vyse</v>
      </c>
      <c r="I323" s="189">
        <f>IFERROR(__xludf.DUMMYFUNCTION("""COMPUTED_VALUE"""),13.0)</f>
        <v>13</v>
      </c>
      <c r="J323" s="189">
        <f>IFERROR(__xludf.DUMMYFUNCTION("""COMPUTED_VALUE"""),15.0)</f>
        <v>15</v>
      </c>
      <c r="K323" s="189">
        <f>IFERROR(__xludf.DUMMYFUNCTION("""COMPUTED_VALUE"""),5.0)</f>
        <v>5</v>
      </c>
      <c r="L323" s="189">
        <f>IFERROR(__xludf.DUMMYFUNCTION("""COMPUTED_VALUE"""),7.0)</f>
        <v>7</v>
      </c>
      <c r="M323" s="189">
        <f>IFERROR(__xludf.DUMMYFUNCTION("""COMPUTED_VALUE"""),0.0)</f>
        <v>0</v>
      </c>
      <c r="N323" s="189">
        <f>IFERROR(__xludf.DUMMYFUNCTION("""COMPUTED_VALUE"""),1.0)</f>
        <v>1</v>
      </c>
      <c r="O323" s="189">
        <f>IFERROR(__xludf.DUMMYFUNCTION("""COMPUTED_VALUE"""),7.0)</f>
        <v>7</v>
      </c>
      <c r="P323" s="189">
        <f>IFERROR(__xludf.DUMMYFUNCTION("""COMPUTED_VALUE"""),7.0)</f>
        <v>7</v>
      </c>
      <c r="Q323" s="189">
        <f>IFERROR(__xludf.DUMMYFUNCTION("""COMPUTED_VALUE"""),6.0)</f>
        <v>6</v>
      </c>
      <c r="R323" s="189">
        <f>IFERROR(__xludf.DUMMYFUNCTION("""COMPUTED_VALUE"""),8.0)</f>
        <v>8</v>
      </c>
      <c r="S323" s="189">
        <f>IFERROR(__xludf.DUMMYFUNCTION("""COMPUTED_VALUE"""),0.0)</f>
        <v>0</v>
      </c>
      <c r="T323" s="189">
        <f>IFERROR(__xludf.DUMMYFUNCTION("""COMPUTED_VALUE"""),1.0)</f>
        <v>1</v>
      </c>
      <c r="U323" s="189">
        <f>IFERROR(__xludf.DUMMYFUNCTION("""COMPUTED_VALUE"""),8.0)</f>
        <v>8</v>
      </c>
      <c r="V323" s="189">
        <f>IFERROR(__xludf.DUMMYFUNCTION("""COMPUTED_VALUE"""),6.0)</f>
        <v>6</v>
      </c>
      <c r="W323" s="189">
        <f>IFERROR(__xludf.DUMMYFUNCTION("""COMPUTED_VALUE"""),7.0)</f>
        <v>7</v>
      </c>
      <c r="X323" s="189">
        <f>IFERROR(__xludf.DUMMYFUNCTION("""COMPUTED_VALUE"""),7.0)</f>
        <v>7</v>
      </c>
      <c r="Y323" s="208" t="str">
        <f>IFERROR(__xludf.DUMMYFUNCTION("""COMPUTED_VALUE"""),"2025-08-18T00:00:00.000Z")</f>
        <v>2025-08-18T00:00:00.000Z</v>
      </c>
      <c r="Z323" s="189" t="s">
        <v>385</v>
      </c>
      <c r="AA323" s="189" t="s">
        <v>184</v>
      </c>
    </row>
    <row r="324">
      <c r="A324" s="189">
        <f>IFERROR(__xludf.DUMMYFUNCTION("""COMPUTED_VALUE"""),213528.0)</f>
        <v>213528</v>
      </c>
      <c r="B324" s="189">
        <f>IFERROR(__xludf.DUMMYFUNCTION("""COMPUTED_VALUE"""),93963.0)</f>
        <v>93963</v>
      </c>
      <c r="C324" s="189" t="str">
        <f>IFERROR(__xludf.DUMMYFUNCTION("""COMPUTED_VALUE"""),"Challengers League 2025 MENA: Resilience - LAN Finals - Main Event")</f>
        <v>Challengers League 2025 MENA: Resilience - LAN Finals - Main Event</v>
      </c>
      <c r="D324" s="189" t="str">
        <f>IFERROR(__xludf.DUMMYFUNCTION("""COMPUTED_VALUE"""),"Lotus")</f>
        <v>Lotus</v>
      </c>
      <c r="E324" s="189" t="str">
        <f>IFERROR(__xludf.DUMMYFUNCTION("""COMPUTED_VALUE"""),"Team RA'AD")</f>
        <v>Team RA'AD</v>
      </c>
      <c r="F324" s="189" t="str">
        <f>IFERROR(__xludf.DUMMYFUNCTION("""COMPUTED_VALUE"""),"Twisted Minds Esports")</f>
        <v>Twisted Minds Esports</v>
      </c>
      <c r="G324" s="189" t="str">
        <f>IFERROR(__xludf.DUMMYFUNCTION("""COMPUTED_VALUE"""),"Raze,Omen,Yoru,Fade,Vyse")</f>
        <v>Raze,Omen,Yoru,Fade,Vyse</v>
      </c>
      <c r="H324" s="189" t="str">
        <f>IFERROR(__xludf.DUMMYFUNCTION("""COMPUTED_VALUE"""),"Raze,Killjoy,Viper,Omen,Fade")</f>
        <v>Raze,Killjoy,Viper,Omen,Fade</v>
      </c>
      <c r="I324" s="189">
        <f>IFERROR(__xludf.DUMMYFUNCTION("""COMPUTED_VALUE"""),13.0)</f>
        <v>13</v>
      </c>
      <c r="J324" s="189">
        <f>IFERROR(__xludf.DUMMYFUNCTION("""COMPUTED_VALUE"""),15.0)</f>
        <v>15</v>
      </c>
      <c r="K324" s="189">
        <f>IFERROR(__xludf.DUMMYFUNCTION("""COMPUTED_VALUE"""),8.0)</f>
        <v>8</v>
      </c>
      <c r="L324" s="189">
        <f>IFERROR(__xludf.DUMMYFUNCTION("""COMPUTED_VALUE"""),4.0)</f>
        <v>4</v>
      </c>
      <c r="M324" s="189">
        <f>IFERROR(__xludf.DUMMYFUNCTION("""COMPUTED_VALUE"""),1.0)</f>
        <v>1</v>
      </c>
      <c r="N324" s="189">
        <f>IFERROR(__xludf.DUMMYFUNCTION("""COMPUTED_VALUE"""),0.0)</f>
        <v>0</v>
      </c>
      <c r="O324" s="189">
        <f>IFERROR(__xludf.DUMMYFUNCTION("""COMPUTED_VALUE"""),8.0)</f>
        <v>8</v>
      </c>
      <c r="P324" s="189">
        <f>IFERROR(__xludf.DUMMYFUNCTION("""COMPUTED_VALUE"""),6.0)</f>
        <v>6</v>
      </c>
      <c r="Q324" s="189">
        <f>IFERROR(__xludf.DUMMYFUNCTION("""COMPUTED_VALUE"""),5.0)</f>
        <v>5</v>
      </c>
      <c r="R324" s="189">
        <f>IFERROR(__xludf.DUMMYFUNCTION("""COMPUTED_VALUE"""),9.0)</f>
        <v>9</v>
      </c>
      <c r="S324" s="189">
        <f>IFERROR(__xludf.DUMMYFUNCTION("""COMPUTED_VALUE"""),1.0)</f>
        <v>1</v>
      </c>
      <c r="T324" s="189">
        <f>IFERROR(__xludf.DUMMYFUNCTION("""COMPUTED_VALUE"""),0.0)</f>
        <v>0</v>
      </c>
      <c r="U324" s="189">
        <f>IFERROR(__xludf.DUMMYFUNCTION("""COMPUTED_VALUE"""),9.0)</f>
        <v>9</v>
      </c>
      <c r="V324" s="189">
        <f>IFERROR(__xludf.DUMMYFUNCTION("""COMPUTED_VALUE"""),5.0)</f>
        <v>5</v>
      </c>
      <c r="W324" s="189">
        <f>IFERROR(__xludf.DUMMYFUNCTION("""COMPUTED_VALUE"""),6.0)</f>
        <v>6</v>
      </c>
      <c r="X324" s="189">
        <f>IFERROR(__xludf.DUMMYFUNCTION("""COMPUTED_VALUE"""),8.0)</f>
        <v>8</v>
      </c>
      <c r="Y324" s="208" t="str">
        <f>IFERROR(__xludf.DUMMYFUNCTION("""COMPUTED_VALUE"""),"2025-08-18T00:00:00.000Z")</f>
        <v>2025-08-18T00:00:00.000Z</v>
      </c>
      <c r="Z324" s="189" t="s">
        <v>388</v>
      </c>
      <c r="AA324" s="189" t="s">
        <v>184</v>
      </c>
    </row>
    <row r="325">
      <c r="A325" s="189">
        <f>IFERROR(__xludf.DUMMYFUNCTION("""COMPUTED_VALUE"""),213499.0)</f>
        <v>213499</v>
      </c>
      <c r="B325" s="189">
        <f>IFERROR(__xludf.DUMMYFUNCTION("""COMPUTED_VALUE"""),93954.0)</f>
        <v>93954</v>
      </c>
      <c r="C325" s="189" t="str">
        <f>IFERROR(__xludf.DUMMYFUNCTION("""COMPUTED_VALUE"""),"Challengers League 2025 MENA: Resilience - LAN Finals - Main Event")</f>
        <v>Challengers League 2025 MENA: Resilience - LAN Finals - Main Event</v>
      </c>
      <c r="D325" s="189" t="str">
        <f>IFERROR(__xludf.DUMMYFUNCTION("""COMPUTED_VALUE"""),"Bind")</f>
        <v>Bind</v>
      </c>
      <c r="E325" s="189" t="str">
        <f>IFERROR(__xludf.DUMMYFUNCTION("""COMPUTED_VALUE"""),"GAMAX eSports")</f>
        <v>GAMAX eSports</v>
      </c>
      <c r="F325" s="189" t="str">
        <f>IFERROR(__xludf.DUMMYFUNCTION("""COMPUTED_VALUE"""),"Twisted Minds Esports")</f>
        <v>Twisted Minds Esports</v>
      </c>
      <c r="G325" s="189" t="str">
        <f>IFERROR(__xludf.DUMMYFUNCTION("""COMPUTED_VALUE"""),"Raze,Viper,Brimstone,Skye,Gekko")</f>
        <v>Raze,Viper,Brimstone,Skye,Gekko</v>
      </c>
      <c r="H325" s="189" t="str">
        <f>IFERROR(__xludf.DUMMYFUNCTION("""COMPUTED_VALUE"""),"Raze,Viper,Brimstone,Yoru,Fade")</f>
        <v>Raze,Viper,Brimstone,Yoru,Fade</v>
      </c>
      <c r="I325" s="189">
        <f>IFERROR(__xludf.DUMMYFUNCTION("""COMPUTED_VALUE"""),14.0)</f>
        <v>14</v>
      </c>
      <c r="J325" s="189">
        <f>IFERROR(__xludf.DUMMYFUNCTION("""COMPUTED_VALUE"""),12.0)</f>
        <v>12</v>
      </c>
      <c r="K325" s="189">
        <f>IFERROR(__xludf.DUMMYFUNCTION("""COMPUTED_VALUE"""),6.0)</f>
        <v>6</v>
      </c>
      <c r="L325" s="189">
        <f>IFERROR(__xludf.DUMMYFUNCTION("""COMPUTED_VALUE"""),6.0)</f>
        <v>6</v>
      </c>
      <c r="M325" s="189">
        <f>IFERROR(__xludf.DUMMYFUNCTION("""COMPUTED_VALUE"""),1.0)</f>
        <v>1</v>
      </c>
      <c r="N325" s="189">
        <f>IFERROR(__xludf.DUMMYFUNCTION("""COMPUTED_VALUE"""),0.0)</f>
        <v>0</v>
      </c>
      <c r="O325" s="189">
        <f>IFERROR(__xludf.DUMMYFUNCTION("""COMPUTED_VALUE"""),7.0)</f>
        <v>7</v>
      </c>
      <c r="P325" s="189">
        <f>IFERROR(__xludf.DUMMYFUNCTION("""COMPUTED_VALUE"""),6.0)</f>
        <v>6</v>
      </c>
      <c r="Q325" s="189">
        <f>IFERROR(__xludf.DUMMYFUNCTION("""COMPUTED_VALUE"""),7.0)</f>
        <v>7</v>
      </c>
      <c r="R325" s="189">
        <f>IFERROR(__xludf.DUMMYFUNCTION("""COMPUTED_VALUE"""),6.0)</f>
        <v>6</v>
      </c>
      <c r="S325" s="189">
        <f>IFERROR(__xludf.DUMMYFUNCTION("""COMPUTED_VALUE"""),1.0)</f>
        <v>1</v>
      </c>
      <c r="T325" s="189">
        <f>IFERROR(__xludf.DUMMYFUNCTION("""COMPUTED_VALUE"""),0.0)</f>
        <v>0</v>
      </c>
      <c r="U325" s="189">
        <f>IFERROR(__xludf.DUMMYFUNCTION("""COMPUTED_VALUE"""),6.0)</f>
        <v>6</v>
      </c>
      <c r="V325" s="189">
        <f>IFERROR(__xludf.DUMMYFUNCTION("""COMPUTED_VALUE"""),7.0)</f>
        <v>7</v>
      </c>
      <c r="W325" s="189">
        <f>IFERROR(__xludf.DUMMYFUNCTION("""COMPUTED_VALUE"""),6.0)</f>
        <v>6</v>
      </c>
      <c r="X325" s="189">
        <f>IFERROR(__xludf.DUMMYFUNCTION("""COMPUTED_VALUE"""),7.0)</f>
        <v>7</v>
      </c>
      <c r="Y325" s="208" t="str">
        <f>IFERROR(__xludf.DUMMYFUNCTION("""COMPUTED_VALUE"""),"2025-08-18T00:00:00.000Z")</f>
        <v>2025-08-18T00:00:00.000Z</v>
      </c>
      <c r="Z325" s="189" t="s">
        <v>382</v>
      </c>
      <c r="AA325" s="189" t="s">
        <v>384</v>
      </c>
    </row>
    <row r="326">
      <c r="A326" s="189">
        <f>IFERROR(__xludf.DUMMYFUNCTION("""COMPUTED_VALUE"""),213502.0)</f>
        <v>213502</v>
      </c>
      <c r="B326" s="189">
        <f>IFERROR(__xludf.DUMMYFUNCTION("""COMPUTED_VALUE"""),93955.0)</f>
        <v>93955</v>
      </c>
      <c r="C326" s="189" t="str">
        <f>IFERROR(__xludf.DUMMYFUNCTION("""COMPUTED_VALUE"""),"Challengers League 2025 MENA: Resilience - LAN Finals - Main Event")</f>
        <v>Challengers League 2025 MENA: Resilience - LAN Finals - Main Event</v>
      </c>
      <c r="D326" s="189" t="str">
        <f>IFERROR(__xludf.DUMMYFUNCTION("""COMPUTED_VALUE"""),"Corrode")</f>
        <v>Corrode</v>
      </c>
      <c r="E326" s="189" t="str">
        <f>IFERROR(__xludf.DUMMYFUNCTION("""COMPUTED_VALUE"""),"The Ultimates")</f>
        <v>The Ultimates</v>
      </c>
      <c r="F326" s="189" t="str">
        <f>IFERROR(__xludf.DUMMYFUNCTION("""COMPUTED_VALUE"""),"Team RA'AD")</f>
        <v>Team RA'AD</v>
      </c>
      <c r="G326" s="189" t="str">
        <f>IFERROR(__xludf.DUMMYFUNCTION("""COMPUTED_VALUE"""),"Viper,Omen,Neon,Fade,Vyse")</f>
        <v>Viper,Omen,Neon,Fade,Vyse</v>
      </c>
      <c r="H326" s="189" t="str">
        <f>IFERROR(__xludf.DUMMYFUNCTION("""COMPUTED_VALUE"""),"Sage,Omen,Yoru,Fade,Vyse")</f>
        <v>Sage,Omen,Yoru,Fade,Vyse</v>
      </c>
      <c r="I326" s="189">
        <f>IFERROR(__xludf.DUMMYFUNCTION("""COMPUTED_VALUE"""),13.0)</f>
        <v>13</v>
      </c>
      <c r="J326" s="189">
        <f>IFERROR(__xludf.DUMMYFUNCTION("""COMPUTED_VALUE"""),9.0)</f>
        <v>9</v>
      </c>
      <c r="K326" s="189">
        <f>IFERROR(__xludf.DUMMYFUNCTION("""COMPUTED_VALUE"""),4.0)</f>
        <v>4</v>
      </c>
      <c r="L326" s="189">
        <f>IFERROR(__xludf.DUMMYFUNCTION("""COMPUTED_VALUE"""),8.0)</f>
        <v>8</v>
      </c>
      <c r="M326" s="189">
        <f>IFERROR(__xludf.DUMMYFUNCTION("""COMPUTED_VALUE"""),1.0)</f>
        <v>1</v>
      </c>
      <c r="N326" s="189">
        <f>IFERROR(__xludf.DUMMYFUNCTION("""COMPUTED_VALUE"""),1.0)</f>
        <v>1</v>
      </c>
      <c r="O326" s="189">
        <f>IFERROR(__xludf.DUMMYFUNCTION("""COMPUTED_VALUE"""),9.0)</f>
        <v>9</v>
      </c>
      <c r="P326" s="189">
        <f>IFERROR(__xludf.DUMMYFUNCTION("""COMPUTED_VALUE"""),1.0)</f>
        <v>1</v>
      </c>
      <c r="Q326" s="189">
        <f>IFERROR(__xludf.DUMMYFUNCTION("""COMPUTED_VALUE"""),4.0)</f>
        <v>4</v>
      </c>
      <c r="R326" s="189">
        <f>IFERROR(__xludf.DUMMYFUNCTION("""COMPUTED_VALUE"""),8.0)</f>
        <v>8</v>
      </c>
      <c r="S326" s="189">
        <f>IFERROR(__xludf.DUMMYFUNCTION("""COMPUTED_VALUE"""),0.0)</f>
        <v>0</v>
      </c>
      <c r="T326" s="189">
        <f>IFERROR(__xludf.DUMMYFUNCTION("""COMPUTED_VALUE"""),0.0)</f>
        <v>0</v>
      </c>
      <c r="U326" s="189">
        <f>IFERROR(__xludf.DUMMYFUNCTION("""COMPUTED_VALUE"""),8.0)</f>
        <v>8</v>
      </c>
      <c r="V326" s="189">
        <f>IFERROR(__xludf.DUMMYFUNCTION("""COMPUTED_VALUE"""),4.0)</f>
        <v>4</v>
      </c>
      <c r="W326" s="189">
        <f>IFERROR(__xludf.DUMMYFUNCTION("""COMPUTED_VALUE"""),1.0)</f>
        <v>1</v>
      </c>
      <c r="X326" s="189">
        <f>IFERROR(__xludf.DUMMYFUNCTION("""COMPUTED_VALUE"""),9.0)</f>
        <v>9</v>
      </c>
      <c r="Y326" s="208" t="str">
        <f>IFERROR(__xludf.DUMMYFUNCTION("""COMPUTED_VALUE"""),"2025-08-18T00:00:00.000Z")</f>
        <v>2025-08-18T00:00:00.000Z</v>
      </c>
      <c r="Z326" s="189" t="s">
        <v>152</v>
      </c>
      <c r="AA326" s="189" t="s">
        <v>185</v>
      </c>
    </row>
    <row r="327">
      <c r="A327" s="189">
        <f>IFERROR(__xludf.DUMMYFUNCTION("""COMPUTED_VALUE"""),213498.0)</f>
        <v>213498</v>
      </c>
      <c r="B327" s="189">
        <f>IFERROR(__xludf.DUMMYFUNCTION("""COMPUTED_VALUE"""),93954.0)</f>
        <v>93954</v>
      </c>
      <c r="C327" s="189" t="str">
        <f>IFERROR(__xludf.DUMMYFUNCTION("""COMPUTED_VALUE"""),"Challengers League 2025 MENA: Resilience - LAN Finals - Main Event")</f>
        <v>Challengers League 2025 MENA: Resilience - LAN Finals - Main Event</v>
      </c>
      <c r="D327" s="189" t="str">
        <f>IFERROR(__xludf.DUMMYFUNCTION("""COMPUTED_VALUE"""),"Sunset")</f>
        <v>Sunset</v>
      </c>
      <c r="E327" s="189" t="str">
        <f>IFERROR(__xludf.DUMMYFUNCTION("""COMPUTED_VALUE"""),"GAMAX eSports")</f>
        <v>GAMAX eSports</v>
      </c>
      <c r="F327" s="189" t="str">
        <f>IFERROR(__xludf.DUMMYFUNCTION("""COMPUTED_VALUE"""),"Twisted Minds Esports")</f>
        <v>Twisted Minds Esports</v>
      </c>
      <c r="G327" s="189" t="str">
        <f>IFERROR(__xludf.DUMMYFUNCTION("""COMPUTED_VALUE"""),"Cypher,Sova,Omen,Yoru,Neon")</f>
        <v>Cypher,Sova,Omen,Yoru,Neon</v>
      </c>
      <c r="H327" s="189" t="str">
        <f>IFERROR(__xludf.DUMMYFUNCTION("""COMPUTED_VALUE"""),"Breach,Cypher,Omen,Neon,Fade")</f>
        <v>Breach,Cypher,Omen,Neon,Fade</v>
      </c>
      <c r="I327" s="189">
        <f>IFERROR(__xludf.DUMMYFUNCTION("""COMPUTED_VALUE"""),13.0)</f>
        <v>13</v>
      </c>
      <c r="J327" s="189">
        <f>IFERROR(__xludf.DUMMYFUNCTION("""COMPUTED_VALUE"""),11.0)</f>
        <v>11</v>
      </c>
      <c r="K327" s="189">
        <f>IFERROR(__xludf.DUMMYFUNCTION("""COMPUTED_VALUE"""),8.0)</f>
        <v>8</v>
      </c>
      <c r="L327" s="189">
        <f>IFERROR(__xludf.DUMMYFUNCTION("""COMPUTED_VALUE"""),4.0)</f>
        <v>4</v>
      </c>
      <c r="M327" s="189">
        <f>IFERROR(__xludf.DUMMYFUNCTION("""COMPUTED_VALUE"""),0.0)</f>
        <v>0</v>
      </c>
      <c r="N327" s="189">
        <f>IFERROR(__xludf.DUMMYFUNCTION("""COMPUTED_VALUE"""),1.0)</f>
        <v>1</v>
      </c>
      <c r="O327" s="189">
        <f>IFERROR(__xludf.DUMMYFUNCTION("""COMPUTED_VALUE"""),5.0)</f>
        <v>5</v>
      </c>
      <c r="P327" s="189">
        <f>IFERROR(__xludf.DUMMYFUNCTION("""COMPUTED_VALUE"""),7.0)</f>
        <v>7</v>
      </c>
      <c r="Q327" s="189">
        <f>IFERROR(__xludf.DUMMYFUNCTION("""COMPUTED_VALUE"""),8.0)</f>
        <v>8</v>
      </c>
      <c r="R327" s="189">
        <f>IFERROR(__xludf.DUMMYFUNCTION("""COMPUTED_VALUE"""),4.0)</f>
        <v>4</v>
      </c>
      <c r="S327" s="189">
        <f>IFERROR(__xludf.DUMMYFUNCTION("""COMPUTED_VALUE"""),0.0)</f>
        <v>0</v>
      </c>
      <c r="T327" s="189">
        <f>IFERROR(__xludf.DUMMYFUNCTION("""COMPUTED_VALUE"""),1.0)</f>
        <v>1</v>
      </c>
      <c r="U327" s="189">
        <f>IFERROR(__xludf.DUMMYFUNCTION("""COMPUTED_VALUE"""),4.0)</f>
        <v>4</v>
      </c>
      <c r="V327" s="189">
        <f>IFERROR(__xludf.DUMMYFUNCTION("""COMPUTED_VALUE"""),8.0)</f>
        <v>8</v>
      </c>
      <c r="W327" s="189">
        <f>IFERROR(__xludf.DUMMYFUNCTION("""COMPUTED_VALUE"""),7.0)</f>
        <v>7</v>
      </c>
      <c r="X327" s="189">
        <f>IFERROR(__xludf.DUMMYFUNCTION("""COMPUTED_VALUE"""),5.0)</f>
        <v>5</v>
      </c>
      <c r="Y327" s="208" t="str">
        <f>IFERROR(__xludf.DUMMYFUNCTION("""COMPUTED_VALUE"""),"2025-08-18T00:00:00.000Z")</f>
        <v>2025-08-18T00:00:00.000Z</v>
      </c>
      <c r="Z327" s="189" t="s">
        <v>490</v>
      </c>
      <c r="AA327" s="189" t="s">
        <v>384</v>
      </c>
    </row>
    <row r="328">
      <c r="A328" s="189">
        <f>IFERROR(__xludf.DUMMYFUNCTION("""COMPUTED_VALUE"""),213501.0)</f>
        <v>213501</v>
      </c>
      <c r="B328" s="189">
        <f>IFERROR(__xludf.DUMMYFUNCTION("""COMPUTED_VALUE"""),93955.0)</f>
        <v>93955</v>
      </c>
      <c r="C328" s="189" t="str">
        <f>IFERROR(__xludf.DUMMYFUNCTION("""COMPUTED_VALUE"""),"Challengers League 2025 MENA: Resilience - LAN Finals - Main Event")</f>
        <v>Challengers League 2025 MENA: Resilience - LAN Finals - Main Event</v>
      </c>
      <c r="D328" s="189" t="str">
        <f>IFERROR(__xludf.DUMMYFUNCTION("""COMPUTED_VALUE"""),"Icebox")</f>
        <v>Icebox</v>
      </c>
      <c r="E328" s="189" t="str">
        <f>IFERROR(__xludf.DUMMYFUNCTION("""COMPUTED_VALUE"""),"The Ultimates")</f>
        <v>The Ultimates</v>
      </c>
      <c r="F328" s="189" t="str">
        <f>IFERROR(__xludf.DUMMYFUNCTION("""COMPUTED_VALUE"""),"Team RA'AD")</f>
        <v>Team RA'AD</v>
      </c>
      <c r="G328" s="189" t="str">
        <f>IFERROR(__xludf.DUMMYFUNCTION("""COMPUTED_VALUE"""),"Reyna,Omen,KAY/O,Harbor,Gekko")</f>
        <v>Reyna,Omen,KAY/O,Harbor,Gekko</v>
      </c>
      <c r="H328" s="189" t="str">
        <f>IFERROR(__xludf.DUMMYFUNCTION("""COMPUTED_VALUE"""),"Sova,Killjoy,Viper,Sage,Gekko")</f>
        <v>Sova,Killjoy,Viper,Sage,Gekko</v>
      </c>
      <c r="I328" s="189">
        <f>IFERROR(__xludf.DUMMYFUNCTION("""COMPUTED_VALUE"""),8.0)</f>
        <v>8</v>
      </c>
      <c r="J328" s="189">
        <f>IFERROR(__xludf.DUMMYFUNCTION("""COMPUTED_VALUE"""),13.0)</f>
        <v>13</v>
      </c>
      <c r="K328" s="189">
        <f>IFERROR(__xludf.DUMMYFUNCTION("""COMPUTED_VALUE"""),6.0)</f>
        <v>6</v>
      </c>
      <c r="L328" s="189">
        <f>IFERROR(__xludf.DUMMYFUNCTION("""COMPUTED_VALUE"""),6.0)</f>
        <v>6</v>
      </c>
      <c r="M328" s="189">
        <f>IFERROR(__xludf.DUMMYFUNCTION("""COMPUTED_VALUE"""),1.0)</f>
        <v>1</v>
      </c>
      <c r="N328" s="189">
        <f>IFERROR(__xludf.DUMMYFUNCTION("""COMPUTED_VALUE"""),1.0)</f>
        <v>1</v>
      </c>
      <c r="O328" s="189">
        <f>IFERROR(__xludf.DUMMYFUNCTION("""COMPUTED_VALUE"""),6.0)</f>
        <v>6</v>
      </c>
      <c r="P328" s="189">
        <f>IFERROR(__xludf.DUMMYFUNCTION("""COMPUTED_VALUE"""),6.0)</f>
        <v>6</v>
      </c>
      <c r="Q328" s="189">
        <f>IFERROR(__xludf.DUMMYFUNCTION("""COMPUTED_VALUE"""),2.0)</f>
        <v>2</v>
      </c>
      <c r="R328" s="189">
        <f>IFERROR(__xludf.DUMMYFUNCTION("""COMPUTED_VALUE"""),7.0)</f>
        <v>7</v>
      </c>
      <c r="S328" s="189">
        <f>IFERROR(__xludf.DUMMYFUNCTION("""COMPUTED_VALUE"""),0.0)</f>
        <v>0</v>
      </c>
      <c r="T328" s="189">
        <f>IFERROR(__xludf.DUMMYFUNCTION("""COMPUTED_VALUE"""),0.0)</f>
        <v>0</v>
      </c>
      <c r="U328" s="189">
        <f>IFERROR(__xludf.DUMMYFUNCTION("""COMPUTED_VALUE"""),7.0)</f>
        <v>7</v>
      </c>
      <c r="V328" s="189">
        <f>IFERROR(__xludf.DUMMYFUNCTION("""COMPUTED_VALUE"""),2.0)</f>
        <v>2</v>
      </c>
      <c r="W328" s="189">
        <f>IFERROR(__xludf.DUMMYFUNCTION("""COMPUTED_VALUE"""),6.0)</f>
        <v>6</v>
      </c>
      <c r="X328" s="189">
        <f>IFERROR(__xludf.DUMMYFUNCTION("""COMPUTED_VALUE"""),6.0)</f>
        <v>6</v>
      </c>
      <c r="Y328" s="208" t="str">
        <f>IFERROR(__xludf.DUMMYFUNCTION("""COMPUTED_VALUE"""),"2025-08-18T00:00:00.000Z")</f>
        <v>2025-08-18T00:00:00.000Z</v>
      </c>
      <c r="Z328" s="189" t="s">
        <v>154</v>
      </c>
      <c r="AA328" s="189" t="s">
        <v>387</v>
      </c>
    </row>
    <row r="329">
      <c r="A329" s="189">
        <f>IFERROR(__xludf.DUMMYFUNCTION("""COMPUTED_VALUE"""),213497.0)</f>
        <v>213497</v>
      </c>
      <c r="B329" s="189">
        <f>IFERROR(__xludf.DUMMYFUNCTION("""COMPUTED_VALUE"""),93954.0)</f>
        <v>93954</v>
      </c>
      <c r="C329" s="189" t="str">
        <f>IFERROR(__xludf.DUMMYFUNCTION("""COMPUTED_VALUE"""),"Challengers League 2025 MENA: Resilience - LAN Finals - Main Event")</f>
        <v>Challengers League 2025 MENA: Resilience - LAN Finals - Main Event</v>
      </c>
      <c r="D329" s="189" t="str">
        <f>IFERROR(__xludf.DUMMYFUNCTION("""COMPUTED_VALUE"""),"Haven")</f>
        <v>Haven</v>
      </c>
      <c r="E329" s="189" t="str">
        <f>IFERROR(__xludf.DUMMYFUNCTION("""COMPUTED_VALUE"""),"GAMAX eSports")</f>
        <v>GAMAX eSports</v>
      </c>
      <c r="F329" s="189" t="str">
        <f>IFERROR(__xludf.DUMMYFUNCTION("""COMPUTED_VALUE"""),"Twisted Minds Esports")</f>
        <v>Twisted Minds Esports</v>
      </c>
      <c r="G329" s="189" t="str">
        <f>IFERROR(__xludf.DUMMYFUNCTION("""COMPUTED_VALUE"""),"Cypher,Sova,Omen,Yoru,Iso")</f>
        <v>Cypher,Sova,Omen,Yoru,Iso</v>
      </c>
      <c r="H329" s="189" t="str">
        <f>IFERROR(__xludf.DUMMYFUNCTION("""COMPUTED_VALUE"""),"Sova,Killjoy,Viper,Omen,Neon")</f>
        <v>Sova,Killjoy,Viper,Omen,Neon</v>
      </c>
      <c r="I329" s="189">
        <f>IFERROR(__xludf.DUMMYFUNCTION("""COMPUTED_VALUE"""),5.0)</f>
        <v>5</v>
      </c>
      <c r="J329" s="189">
        <f>IFERROR(__xludf.DUMMYFUNCTION("""COMPUTED_VALUE"""),13.0)</f>
        <v>13</v>
      </c>
      <c r="K329" s="189">
        <f>IFERROR(__xludf.DUMMYFUNCTION("""COMPUTED_VALUE"""),4.0)</f>
        <v>4</v>
      </c>
      <c r="L329" s="189">
        <f>IFERROR(__xludf.DUMMYFUNCTION("""COMPUTED_VALUE"""),8.0)</f>
        <v>8</v>
      </c>
      <c r="M329" s="189">
        <f>IFERROR(__xludf.DUMMYFUNCTION("""COMPUTED_VALUE"""),0.0)</f>
        <v>0</v>
      </c>
      <c r="N329" s="189">
        <f>IFERROR(__xludf.DUMMYFUNCTION("""COMPUTED_VALUE"""),0.0)</f>
        <v>0</v>
      </c>
      <c r="O329" s="189">
        <f>IFERROR(__xludf.DUMMYFUNCTION("""COMPUTED_VALUE"""),1.0)</f>
        <v>1</v>
      </c>
      <c r="P329" s="189">
        <f>IFERROR(__xludf.DUMMYFUNCTION("""COMPUTED_VALUE"""),5.0)</f>
        <v>5</v>
      </c>
      <c r="Q329" s="189">
        <f>IFERROR(__xludf.DUMMYFUNCTION("""COMPUTED_VALUE"""),4.0)</f>
        <v>4</v>
      </c>
      <c r="R329" s="189">
        <f>IFERROR(__xludf.DUMMYFUNCTION("""COMPUTED_VALUE"""),8.0)</f>
        <v>8</v>
      </c>
      <c r="S329" s="189">
        <f>IFERROR(__xludf.DUMMYFUNCTION("""COMPUTED_VALUE"""),1.0)</f>
        <v>1</v>
      </c>
      <c r="T329" s="189">
        <f>IFERROR(__xludf.DUMMYFUNCTION("""COMPUTED_VALUE"""),1.0)</f>
        <v>1</v>
      </c>
      <c r="U329" s="189">
        <f>IFERROR(__xludf.DUMMYFUNCTION("""COMPUTED_VALUE"""),8.0)</f>
        <v>8</v>
      </c>
      <c r="V329" s="189">
        <f>IFERROR(__xludf.DUMMYFUNCTION("""COMPUTED_VALUE"""),4.0)</f>
        <v>4</v>
      </c>
      <c r="W329" s="189">
        <f>IFERROR(__xludf.DUMMYFUNCTION("""COMPUTED_VALUE"""),5.0)</f>
        <v>5</v>
      </c>
      <c r="X329" s="189">
        <f>IFERROR(__xludf.DUMMYFUNCTION("""COMPUTED_VALUE"""),1.0)</f>
        <v>1</v>
      </c>
      <c r="Y329" s="208" t="str">
        <f>IFERROR(__xludf.DUMMYFUNCTION("""COMPUTED_VALUE"""),"2025-08-18T00:00:00.000Z")</f>
        <v>2025-08-18T00:00:00.000Z</v>
      </c>
      <c r="Z329" s="189" t="s">
        <v>383</v>
      </c>
      <c r="AA329" s="189" t="s">
        <v>184</v>
      </c>
    </row>
    <row r="330">
      <c r="A330" s="189">
        <f>IFERROR(__xludf.DUMMYFUNCTION("""COMPUTED_VALUE"""),213500.0)</f>
        <v>213500</v>
      </c>
      <c r="B330" s="189">
        <f>IFERROR(__xludf.DUMMYFUNCTION("""COMPUTED_VALUE"""),93955.0)</f>
        <v>93955</v>
      </c>
      <c r="C330" s="189" t="str">
        <f>IFERROR(__xludf.DUMMYFUNCTION("""COMPUTED_VALUE"""),"Challengers League 2025 MENA: Resilience - LAN Finals - Main Event")</f>
        <v>Challengers League 2025 MENA: Resilience - LAN Finals - Main Event</v>
      </c>
      <c r="D330" s="189" t="str">
        <f>IFERROR(__xludf.DUMMYFUNCTION("""COMPUTED_VALUE"""),"Lotus")</f>
        <v>Lotus</v>
      </c>
      <c r="E330" s="189" t="str">
        <f>IFERROR(__xludf.DUMMYFUNCTION("""COMPUTED_VALUE"""),"The Ultimates")</f>
        <v>The Ultimates</v>
      </c>
      <c r="F330" s="189" t="str">
        <f>IFERROR(__xludf.DUMMYFUNCTION("""COMPUTED_VALUE"""),"Team RA'AD")</f>
        <v>Team RA'AD</v>
      </c>
      <c r="G330" s="189" t="str">
        <f>IFERROR(__xludf.DUMMYFUNCTION("""COMPUTED_VALUE"""),"Breach,Viper,Omen,Neon,Fade")</f>
        <v>Breach,Viper,Omen,Neon,Fade</v>
      </c>
      <c r="H330" s="189" t="str">
        <f>IFERROR(__xludf.DUMMYFUNCTION("""COMPUTED_VALUE"""),"Raze,Omen,Yoru,Fade,Vyse")</f>
        <v>Raze,Omen,Yoru,Fade,Vyse</v>
      </c>
      <c r="I330" s="189">
        <f>IFERROR(__xludf.DUMMYFUNCTION("""COMPUTED_VALUE"""),15.0)</f>
        <v>15</v>
      </c>
      <c r="J330" s="189">
        <f>IFERROR(__xludf.DUMMYFUNCTION("""COMPUTED_VALUE"""),13.0)</f>
        <v>13</v>
      </c>
      <c r="K330" s="189">
        <f>IFERROR(__xludf.DUMMYFUNCTION("""COMPUTED_VALUE"""),6.0)</f>
        <v>6</v>
      </c>
      <c r="L330" s="189">
        <f>IFERROR(__xludf.DUMMYFUNCTION("""COMPUTED_VALUE"""),6.0)</f>
        <v>6</v>
      </c>
      <c r="M330" s="189">
        <f>IFERROR(__xludf.DUMMYFUNCTION("""COMPUTED_VALUE"""),1.0)</f>
        <v>1</v>
      </c>
      <c r="N330" s="189">
        <f>IFERROR(__xludf.DUMMYFUNCTION("""COMPUTED_VALUE"""),1.0)</f>
        <v>1</v>
      </c>
      <c r="O330" s="189">
        <f>IFERROR(__xludf.DUMMYFUNCTION("""COMPUTED_VALUE"""),8.0)</f>
        <v>8</v>
      </c>
      <c r="P330" s="189">
        <f>IFERROR(__xludf.DUMMYFUNCTION("""COMPUTED_VALUE"""),6.0)</f>
        <v>6</v>
      </c>
      <c r="Q330" s="189">
        <f>IFERROR(__xludf.DUMMYFUNCTION("""COMPUTED_VALUE"""),7.0)</f>
        <v>7</v>
      </c>
      <c r="R330" s="189">
        <f>IFERROR(__xludf.DUMMYFUNCTION("""COMPUTED_VALUE"""),7.0)</f>
        <v>7</v>
      </c>
      <c r="S330" s="189">
        <f>IFERROR(__xludf.DUMMYFUNCTION("""COMPUTED_VALUE"""),0.0)</f>
        <v>0</v>
      </c>
      <c r="T330" s="189">
        <f>IFERROR(__xludf.DUMMYFUNCTION("""COMPUTED_VALUE"""),0.0)</f>
        <v>0</v>
      </c>
      <c r="U330" s="189">
        <f>IFERROR(__xludf.DUMMYFUNCTION("""COMPUTED_VALUE"""),7.0)</f>
        <v>7</v>
      </c>
      <c r="V330" s="189">
        <f>IFERROR(__xludf.DUMMYFUNCTION("""COMPUTED_VALUE"""),7.0)</f>
        <v>7</v>
      </c>
      <c r="W330" s="189">
        <f>IFERROR(__xludf.DUMMYFUNCTION("""COMPUTED_VALUE"""),6.0)</f>
        <v>6</v>
      </c>
      <c r="X330" s="189">
        <f>IFERROR(__xludf.DUMMYFUNCTION("""COMPUTED_VALUE"""),8.0)</f>
        <v>8</v>
      </c>
      <c r="Y330" s="208" t="str">
        <f>IFERROR(__xludf.DUMMYFUNCTION("""COMPUTED_VALUE"""),"2025-08-18T00:00:00.000Z")</f>
        <v>2025-08-18T00:00:00.000Z</v>
      </c>
      <c r="Z330" s="189" t="s">
        <v>155</v>
      </c>
      <c r="AA330" s="189" t="s">
        <v>185</v>
      </c>
    </row>
    <row r="331">
      <c r="A331" s="189">
        <f>IFERROR(__xludf.DUMMYFUNCTION("""COMPUTED_VALUE"""),212063.0)</f>
        <v>212063</v>
      </c>
      <c r="B331" s="189">
        <f>IFERROR(__xludf.DUMMYFUNCTION("""COMPUTED_VALUE"""),93451.0)</f>
        <v>93451</v>
      </c>
      <c r="C331" s="189" t="str">
        <f>IFERROR(__xludf.DUMMYFUNCTION("""COMPUTED_VALUE"""),"Challengers League 2025 NORTH EAST: Split 3 - Playoffs")</f>
        <v>Challengers League 2025 NORTH EAST: Split 3 - Playoffs</v>
      </c>
      <c r="D331" s="189" t="str">
        <f>IFERROR(__xludf.DUMMYFUNCTION("""COMPUTED_VALUE"""),"Haven")</f>
        <v>Haven</v>
      </c>
      <c r="E331" s="189" t="str">
        <f>IFERROR(__xludf.DUMMYFUNCTION("""COMPUTED_VALUE"""),"Team Liquid Academy")</f>
        <v>Team Liquid Academy</v>
      </c>
      <c r="F331" s="189" t="str">
        <f>IFERROR(__xludf.DUMMYFUNCTION("""COMPUTED_VALUE"""),"Enterprise Esports")</f>
        <v>Enterprise Esports</v>
      </c>
      <c r="G331" s="189" t="str">
        <f>IFERROR(__xludf.DUMMYFUNCTION("""COMPUTED_VALUE"""),"Cypher,Sova,Omen,Yoru,Iso")</f>
        <v>Cypher,Sova,Omen,Yoru,Iso</v>
      </c>
      <c r="H331" s="189" t="str">
        <f>IFERROR(__xludf.DUMMYFUNCTION("""COMPUTED_VALUE"""),"Sova,Killjoy,Viper,Omen,Neon")</f>
        <v>Sova,Killjoy,Viper,Omen,Neon</v>
      </c>
      <c r="I331" s="189">
        <f>IFERROR(__xludf.DUMMYFUNCTION("""COMPUTED_VALUE"""),2.0)</f>
        <v>2</v>
      </c>
      <c r="J331" s="189">
        <f>IFERROR(__xludf.DUMMYFUNCTION("""COMPUTED_VALUE"""),13.0)</f>
        <v>13</v>
      </c>
      <c r="K331" s="189">
        <f>IFERROR(__xludf.DUMMYFUNCTION("""COMPUTED_VALUE"""),2.0)</f>
        <v>2</v>
      </c>
      <c r="L331" s="189">
        <f>IFERROR(__xludf.DUMMYFUNCTION("""COMPUTED_VALUE"""),10.0)</f>
        <v>10</v>
      </c>
      <c r="M331" s="189">
        <f>IFERROR(__xludf.DUMMYFUNCTION("""COMPUTED_VALUE"""),0.0)</f>
        <v>0</v>
      </c>
      <c r="N331" s="189">
        <f>IFERROR(__xludf.DUMMYFUNCTION("""COMPUTED_VALUE"""),0.0)</f>
        <v>0</v>
      </c>
      <c r="O331" s="189">
        <f>IFERROR(__xludf.DUMMYFUNCTION("""COMPUTED_VALUE"""),0.0)</f>
        <v>0</v>
      </c>
      <c r="P331" s="189">
        <f>IFERROR(__xludf.DUMMYFUNCTION("""COMPUTED_VALUE"""),3.0)</f>
        <v>3</v>
      </c>
      <c r="Q331" s="189">
        <f>IFERROR(__xludf.DUMMYFUNCTION("""COMPUTED_VALUE"""),2.0)</f>
        <v>2</v>
      </c>
      <c r="R331" s="189">
        <f>IFERROR(__xludf.DUMMYFUNCTION("""COMPUTED_VALUE"""),10.0)</f>
        <v>10</v>
      </c>
      <c r="S331" s="189">
        <f>IFERROR(__xludf.DUMMYFUNCTION("""COMPUTED_VALUE"""),1.0)</f>
        <v>1</v>
      </c>
      <c r="T331" s="189">
        <f>IFERROR(__xludf.DUMMYFUNCTION("""COMPUTED_VALUE"""),1.0)</f>
        <v>1</v>
      </c>
      <c r="U331" s="189">
        <f>IFERROR(__xludf.DUMMYFUNCTION("""COMPUTED_VALUE"""),10.0)</f>
        <v>10</v>
      </c>
      <c r="V331" s="189">
        <f>IFERROR(__xludf.DUMMYFUNCTION("""COMPUTED_VALUE"""),2.0)</f>
        <v>2</v>
      </c>
      <c r="W331" s="189">
        <f>IFERROR(__xludf.DUMMYFUNCTION("""COMPUTED_VALUE"""),3.0)</f>
        <v>3</v>
      </c>
      <c r="X331" s="189">
        <f>IFERROR(__xludf.DUMMYFUNCTION("""COMPUTED_VALUE"""),0.0)</f>
        <v>0</v>
      </c>
      <c r="Y331" s="208" t="str">
        <f>IFERROR(__xludf.DUMMYFUNCTION("""COMPUTED_VALUE"""),"2025-08-17T00:00:00.000Z")</f>
        <v>2025-08-17T00:00:00.000Z</v>
      </c>
      <c r="Z331" s="189" t="s">
        <v>145</v>
      </c>
      <c r="AA331" s="189" t="s">
        <v>179</v>
      </c>
    </row>
    <row r="332">
      <c r="A332" s="189">
        <f>IFERROR(__xludf.DUMMYFUNCTION("""COMPUTED_VALUE"""),212838.0)</f>
        <v>212838</v>
      </c>
      <c r="B332" s="189">
        <f>IFERROR(__xludf.DUMMYFUNCTION("""COMPUTED_VALUE"""),93720.0)</f>
        <v>93720</v>
      </c>
      <c r="C332" s="189" t="str">
        <f>IFERROR(__xludf.DUMMYFUNCTION("""COMPUTED_VALUE"""),"Challengers 2025: Türkiye Birlik Split 3 - Playoffs")</f>
        <v>Challengers 2025: Türkiye Birlik Split 3 - Playoffs</v>
      </c>
      <c r="D332" s="189" t="str">
        <f>IFERROR(__xludf.DUMMYFUNCTION("""COMPUTED_VALUE"""),"Lotus")</f>
        <v>Lotus</v>
      </c>
      <c r="E332" s="189" t="str">
        <f>IFERROR(__xludf.DUMMYFUNCTION("""COMPUTED_VALUE"""),"ULF Esports")</f>
        <v>ULF Esports</v>
      </c>
      <c r="F332" s="189" t="str">
        <f>IFERROR(__xludf.DUMMYFUNCTION("""COMPUTED_VALUE"""),"BBL PCIFIC")</f>
        <v>BBL PCIFIC</v>
      </c>
      <c r="G332" s="189" t="str">
        <f>IFERROR(__xludf.DUMMYFUNCTION("""COMPUTED_VALUE"""),"Raze,Omen,Yoru,Fade,Vyse")</f>
        <v>Raze,Omen,Yoru,Fade,Vyse</v>
      </c>
      <c r="H332" s="189" t="str">
        <f>IFERROR(__xludf.DUMMYFUNCTION("""COMPUTED_VALUE"""),"Raze,Omen,Yoru,Fade,Vyse")</f>
        <v>Raze,Omen,Yoru,Fade,Vyse</v>
      </c>
      <c r="I332" s="189">
        <f>IFERROR(__xludf.DUMMYFUNCTION("""COMPUTED_VALUE"""),5.0)</f>
        <v>5</v>
      </c>
      <c r="J332" s="189">
        <f>IFERROR(__xludf.DUMMYFUNCTION("""COMPUTED_VALUE"""),13.0)</f>
        <v>13</v>
      </c>
      <c r="K332" s="189">
        <f>IFERROR(__xludf.DUMMYFUNCTION("""COMPUTED_VALUE"""),4.0)</f>
        <v>4</v>
      </c>
      <c r="L332" s="189">
        <f>IFERROR(__xludf.DUMMYFUNCTION("""COMPUTED_VALUE"""),8.0)</f>
        <v>8</v>
      </c>
      <c r="M332" s="189">
        <f>IFERROR(__xludf.DUMMYFUNCTION("""COMPUTED_VALUE"""),0.0)</f>
        <v>0</v>
      </c>
      <c r="N332" s="189">
        <f>IFERROR(__xludf.DUMMYFUNCTION("""COMPUTED_VALUE"""),1.0)</f>
        <v>1</v>
      </c>
      <c r="O332" s="189">
        <f>IFERROR(__xludf.DUMMYFUNCTION("""COMPUTED_VALUE"""),4.0)</f>
        <v>4</v>
      </c>
      <c r="P332" s="189">
        <f>IFERROR(__xludf.DUMMYFUNCTION("""COMPUTED_VALUE"""),8.0)</f>
        <v>8</v>
      </c>
      <c r="Q332" s="189">
        <f>IFERROR(__xludf.DUMMYFUNCTION("""COMPUTED_VALUE"""),1.0)</f>
        <v>1</v>
      </c>
      <c r="R332" s="189">
        <f>IFERROR(__xludf.DUMMYFUNCTION("""COMPUTED_VALUE"""),5.0)</f>
        <v>5</v>
      </c>
      <c r="S332" s="189">
        <f>IFERROR(__xludf.DUMMYFUNCTION("""COMPUTED_VALUE"""),0.0)</f>
        <v>0</v>
      </c>
      <c r="T332" s="189">
        <f>IFERROR(__xludf.DUMMYFUNCTION("""COMPUTED_VALUE"""),1.0)</f>
        <v>1</v>
      </c>
      <c r="U332" s="189">
        <f>IFERROR(__xludf.DUMMYFUNCTION("""COMPUTED_VALUE"""),5.0)</f>
        <v>5</v>
      </c>
      <c r="V332" s="189">
        <f>IFERROR(__xludf.DUMMYFUNCTION("""COMPUTED_VALUE"""),1.0)</f>
        <v>1</v>
      </c>
      <c r="W332" s="189">
        <f>IFERROR(__xludf.DUMMYFUNCTION("""COMPUTED_VALUE"""),8.0)</f>
        <v>8</v>
      </c>
      <c r="X332" s="189">
        <f>IFERROR(__xludf.DUMMYFUNCTION("""COMPUTED_VALUE"""),4.0)</f>
        <v>4</v>
      </c>
      <c r="Y332" s="208" t="str">
        <f>IFERROR(__xludf.DUMMYFUNCTION("""COMPUTED_VALUE"""),"2025-08-17T00:00:00.000Z")</f>
        <v>2025-08-17T00:00:00.000Z</v>
      </c>
      <c r="Z332" s="189" t="s">
        <v>172</v>
      </c>
      <c r="AA332" s="189" t="s">
        <v>186</v>
      </c>
    </row>
    <row r="333">
      <c r="A333" s="189">
        <f>IFERROR(__xludf.DUMMYFUNCTION("""COMPUTED_VALUE"""),212062.0)</f>
        <v>212062</v>
      </c>
      <c r="B333" s="189">
        <f>IFERROR(__xludf.DUMMYFUNCTION("""COMPUTED_VALUE"""),93451.0)</f>
        <v>93451</v>
      </c>
      <c r="C333" s="189" t="str">
        <f>IFERROR(__xludf.DUMMYFUNCTION("""COMPUTED_VALUE"""),"Challengers League 2025 NORTH EAST: Split 3 - Playoffs")</f>
        <v>Challengers League 2025 NORTH EAST: Split 3 - Playoffs</v>
      </c>
      <c r="D333" s="189" t="str">
        <f>IFERROR(__xludf.DUMMYFUNCTION("""COMPUTED_VALUE"""),"Corrode")</f>
        <v>Corrode</v>
      </c>
      <c r="E333" s="189" t="str">
        <f>IFERROR(__xludf.DUMMYFUNCTION("""COMPUTED_VALUE"""),"Team Liquid Academy")</f>
        <v>Team Liquid Academy</v>
      </c>
      <c r="F333" s="189" t="str">
        <f>IFERROR(__xludf.DUMMYFUNCTION("""COMPUTED_VALUE"""),"Enterprise Esports")</f>
        <v>Enterprise Esports</v>
      </c>
      <c r="G333" s="189" t="str">
        <f>IFERROR(__xludf.DUMMYFUNCTION("""COMPUTED_VALUE"""),"Cypher,Phoenix,Omen,Yoru,Fade")</f>
        <v>Cypher,Phoenix,Omen,Yoru,Fade</v>
      </c>
      <c r="H333" s="189" t="str">
        <f>IFERROR(__xludf.DUMMYFUNCTION("""COMPUTED_VALUE"""),"Sova,Viper,Omen,Yoru,Fade")</f>
        <v>Sova,Viper,Omen,Yoru,Fade</v>
      </c>
      <c r="I333" s="189">
        <f>IFERROR(__xludf.DUMMYFUNCTION("""COMPUTED_VALUE"""),6.0)</f>
        <v>6</v>
      </c>
      <c r="J333" s="189">
        <f>IFERROR(__xludf.DUMMYFUNCTION("""COMPUTED_VALUE"""),13.0)</f>
        <v>13</v>
      </c>
      <c r="K333" s="189">
        <f>IFERROR(__xludf.DUMMYFUNCTION("""COMPUTED_VALUE"""),3.0)</f>
        <v>3</v>
      </c>
      <c r="L333" s="189">
        <f>IFERROR(__xludf.DUMMYFUNCTION("""COMPUTED_VALUE"""),9.0)</f>
        <v>9</v>
      </c>
      <c r="M333" s="189">
        <f>IFERROR(__xludf.DUMMYFUNCTION("""COMPUTED_VALUE"""),0.0)</f>
        <v>0</v>
      </c>
      <c r="N333" s="189">
        <f>IFERROR(__xludf.DUMMYFUNCTION("""COMPUTED_VALUE"""),0.0)</f>
        <v>0</v>
      </c>
      <c r="O333" s="189">
        <f>IFERROR(__xludf.DUMMYFUNCTION("""COMPUTED_VALUE"""),3.0)</f>
        <v>3</v>
      </c>
      <c r="P333" s="189">
        <f>IFERROR(__xludf.DUMMYFUNCTION("""COMPUTED_VALUE"""),9.0)</f>
        <v>9</v>
      </c>
      <c r="Q333" s="189">
        <f>IFERROR(__xludf.DUMMYFUNCTION("""COMPUTED_VALUE"""),3.0)</f>
        <v>3</v>
      </c>
      <c r="R333" s="189">
        <f>IFERROR(__xludf.DUMMYFUNCTION("""COMPUTED_VALUE"""),4.0)</f>
        <v>4</v>
      </c>
      <c r="S333" s="189">
        <f>IFERROR(__xludf.DUMMYFUNCTION("""COMPUTED_VALUE"""),1.0)</f>
        <v>1</v>
      </c>
      <c r="T333" s="189">
        <f>IFERROR(__xludf.DUMMYFUNCTION("""COMPUTED_VALUE"""),1.0)</f>
        <v>1</v>
      </c>
      <c r="U333" s="189">
        <f>IFERROR(__xludf.DUMMYFUNCTION("""COMPUTED_VALUE"""),4.0)</f>
        <v>4</v>
      </c>
      <c r="V333" s="189">
        <f>IFERROR(__xludf.DUMMYFUNCTION("""COMPUTED_VALUE"""),3.0)</f>
        <v>3</v>
      </c>
      <c r="W333" s="189">
        <f>IFERROR(__xludf.DUMMYFUNCTION("""COMPUTED_VALUE"""),9.0)</f>
        <v>9</v>
      </c>
      <c r="X333" s="189">
        <f>IFERROR(__xludf.DUMMYFUNCTION("""COMPUTED_VALUE"""),3.0)</f>
        <v>3</v>
      </c>
      <c r="Y333" s="208" t="str">
        <f>IFERROR(__xludf.DUMMYFUNCTION("""COMPUTED_VALUE"""),"2025-08-17T00:00:00.000Z")</f>
        <v>2025-08-17T00:00:00.000Z</v>
      </c>
      <c r="Z333" s="189" t="s">
        <v>144</v>
      </c>
      <c r="AA333" s="189" t="s">
        <v>179</v>
      </c>
    </row>
    <row r="334">
      <c r="A334" s="189">
        <f>IFERROR(__xludf.DUMMYFUNCTION("""COMPUTED_VALUE"""),212837.0)</f>
        <v>212837</v>
      </c>
      <c r="B334" s="189">
        <f>IFERROR(__xludf.DUMMYFUNCTION("""COMPUTED_VALUE"""),93720.0)</f>
        <v>93720</v>
      </c>
      <c r="C334" s="189" t="str">
        <f>IFERROR(__xludf.DUMMYFUNCTION("""COMPUTED_VALUE"""),"Challengers 2025: Türkiye Birlik Split 3 - Playoffs")</f>
        <v>Challengers 2025: Türkiye Birlik Split 3 - Playoffs</v>
      </c>
      <c r="D334" s="189" t="str">
        <f>IFERROR(__xludf.DUMMYFUNCTION("""COMPUTED_VALUE"""),"Sunset")</f>
        <v>Sunset</v>
      </c>
      <c r="E334" s="189" t="str">
        <f>IFERROR(__xludf.DUMMYFUNCTION("""COMPUTED_VALUE"""),"ULF Esports")</f>
        <v>ULF Esports</v>
      </c>
      <c r="F334" s="189" t="str">
        <f>IFERROR(__xludf.DUMMYFUNCTION("""COMPUTED_VALUE"""),"BBL PCIFIC")</f>
        <v>BBL PCIFIC</v>
      </c>
      <c r="G334" s="189" t="str">
        <f>IFERROR(__xludf.DUMMYFUNCTION("""COMPUTED_VALUE"""),"Breach,Sova,Omen,Neon,Vyse")</f>
        <v>Breach,Sova,Omen,Neon,Vyse</v>
      </c>
      <c r="H334" s="189" t="str">
        <f>IFERROR(__xludf.DUMMYFUNCTION("""COMPUTED_VALUE"""),"Cypher,Sova,Omen,Yoru,Neon")</f>
        <v>Cypher,Sova,Omen,Yoru,Neon</v>
      </c>
      <c r="I334" s="189">
        <f>IFERROR(__xludf.DUMMYFUNCTION("""COMPUTED_VALUE"""),8.0)</f>
        <v>8</v>
      </c>
      <c r="J334" s="189">
        <f>IFERROR(__xludf.DUMMYFUNCTION("""COMPUTED_VALUE"""),13.0)</f>
        <v>13</v>
      </c>
      <c r="K334" s="189">
        <f>IFERROR(__xludf.DUMMYFUNCTION("""COMPUTED_VALUE"""),6.0)</f>
        <v>6</v>
      </c>
      <c r="L334" s="189">
        <f>IFERROR(__xludf.DUMMYFUNCTION("""COMPUTED_VALUE"""),6.0)</f>
        <v>6</v>
      </c>
      <c r="M334" s="189">
        <f>IFERROR(__xludf.DUMMYFUNCTION("""COMPUTED_VALUE"""),1.0)</f>
        <v>1</v>
      </c>
      <c r="N334" s="189">
        <f>IFERROR(__xludf.DUMMYFUNCTION("""COMPUTED_VALUE"""),0.0)</f>
        <v>0</v>
      </c>
      <c r="O334" s="189">
        <f>IFERROR(__xludf.DUMMYFUNCTION("""COMPUTED_VALUE"""),2.0)</f>
        <v>2</v>
      </c>
      <c r="P334" s="189">
        <f>IFERROR(__xludf.DUMMYFUNCTION("""COMPUTED_VALUE"""),7.0)</f>
        <v>7</v>
      </c>
      <c r="Q334" s="189">
        <f>IFERROR(__xludf.DUMMYFUNCTION("""COMPUTED_VALUE"""),6.0)</f>
        <v>6</v>
      </c>
      <c r="R334" s="189">
        <f>IFERROR(__xludf.DUMMYFUNCTION("""COMPUTED_VALUE"""),6.0)</f>
        <v>6</v>
      </c>
      <c r="S334" s="189">
        <f>IFERROR(__xludf.DUMMYFUNCTION("""COMPUTED_VALUE"""),1.0)</f>
        <v>1</v>
      </c>
      <c r="T334" s="189">
        <f>IFERROR(__xludf.DUMMYFUNCTION("""COMPUTED_VALUE"""),0.0)</f>
        <v>0</v>
      </c>
      <c r="U334" s="189">
        <f>IFERROR(__xludf.DUMMYFUNCTION("""COMPUTED_VALUE"""),6.0)</f>
        <v>6</v>
      </c>
      <c r="V334" s="189">
        <f>IFERROR(__xludf.DUMMYFUNCTION("""COMPUTED_VALUE"""),6.0)</f>
        <v>6</v>
      </c>
      <c r="W334" s="189">
        <f>IFERROR(__xludf.DUMMYFUNCTION("""COMPUTED_VALUE"""),7.0)</f>
        <v>7</v>
      </c>
      <c r="X334" s="189">
        <f>IFERROR(__xludf.DUMMYFUNCTION("""COMPUTED_VALUE"""),2.0)</f>
        <v>2</v>
      </c>
      <c r="Y334" s="208" t="str">
        <f>IFERROR(__xludf.DUMMYFUNCTION("""COMPUTED_VALUE"""),"2025-08-17T00:00:00.000Z")</f>
        <v>2025-08-17T00:00:00.000Z</v>
      </c>
      <c r="Z334" s="189" t="s">
        <v>175</v>
      </c>
      <c r="AA334" s="189" t="s">
        <v>186</v>
      </c>
    </row>
    <row r="335">
      <c r="A335" s="189">
        <f>IFERROR(__xludf.DUMMYFUNCTION("""COMPUTED_VALUE"""),212061.0)</f>
        <v>212061</v>
      </c>
      <c r="B335" s="189">
        <f>IFERROR(__xludf.DUMMYFUNCTION("""COMPUTED_VALUE"""),93451.0)</f>
        <v>93451</v>
      </c>
      <c r="C335" s="189" t="str">
        <f>IFERROR(__xludf.DUMMYFUNCTION("""COMPUTED_VALUE"""),"Challengers League 2025 NORTH EAST: Split 3 - Playoffs")</f>
        <v>Challengers League 2025 NORTH EAST: Split 3 - Playoffs</v>
      </c>
      <c r="D335" s="189" t="str">
        <f>IFERROR(__xludf.DUMMYFUNCTION("""COMPUTED_VALUE"""),"Ascent")</f>
        <v>Ascent</v>
      </c>
      <c r="E335" s="189" t="str">
        <f>IFERROR(__xludf.DUMMYFUNCTION("""COMPUTED_VALUE"""),"Team Liquid Academy")</f>
        <v>Team Liquid Academy</v>
      </c>
      <c r="F335" s="189" t="str">
        <f>IFERROR(__xludf.DUMMYFUNCTION("""COMPUTED_VALUE"""),"Enterprise Esports")</f>
        <v>Enterprise Esports</v>
      </c>
      <c r="G335" s="189" t="str">
        <f>IFERROR(__xludf.DUMMYFUNCTION("""COMPUTED_VALUE"""),"Sova,Omen,Yoru,Vyse,Waylay")</f>
        <v>Sova,Omen,Yoru,Vyse,Waylay</v>
      </c>
      <c r="H335" s="189" t="str">
        <f>IFERROR(__xludf.DUMMYFUNCTION("""COMPUTED_VALUE"""),"Cypher,Sova,Omen,Jett,KAY/O")</f>
        <v>Cypher,Sova,Omen,Jett,KAY/O</v>
      </c>
      <c r="I335" s="189">
        <f>IFERROR(__xludf.DUMMYFUNCTION("""COMPUTED_VALUE"""),5.0)</f>
        <v>5</v>
      </c>
      <c r="J335" s="189">
        <f>IFERROR(__xludf.DUMMYFUNCTION("""COMPUTED_VALUE"""),13.0)</f>
        <v>13</v>
      </c>
      <c r="K335" s="189">
        <f>IFERROR(__xludf.DUMMYFUNCTION("""COMPUTED_VALUE"""),4.0)</f>
        <v>4</v>
      </c>
      <c r="L335" s="189">
        <f>IFERROR(__xludf.DUMMYFUNCTION("""COMPUTED_VALUE"""),8.0)</f>
        <v>8</v>
      </c>
      <c r="M335" s="189">
        <f>IFERROR(__xludf.DUMMYFUNCTION("""COMPUTED_VALUE"""),0.0)</f>
        <v>0</v>
      </c>
      <c r="N335" s="189">
        <f>IFERROR(__xludf.DUMMYFUNCTION("""COMPUTED_VALUE"""),1.0)</f>
        <v>1</v>
      </c>
      <c r="O335" s="189">
        <f>IFERROR(__xludf.DUMMYFUNCTION("""COMPUTED_VALUE"""),1.0)</f>
        <v>1</v>
      </c>
      <c r="P335" s="189">
        <f>IFERROR(__xludf.DUMMYFUNCTION("""COMPUTED_VALUE"""),5.0)</f>
        <v>5</v>
      </c>
      <c r="Q335" s="189">
        <f>IFERROR(__xludf.DUMMYFUNCTION("""COMPUTED_VALUE"""),4.0)</f>
        <v>4</v>
      </c>
      <c r="R335" s="189">
        <f>IFERROR(__xludf.DUMMYFUNCTION("""COMPUTED_VALUE"""),8.0)</f>
        <v>8</v>
      </c>
      <c r="S335" s="189">
        <f>IFERROR(__xludf.DUMMYFUNCTION("""COMPUTED_VALUE"""),0.0)</f>
        <v>0</v>
      </c>
      <c r="T335" s="189">
        <f>IFERROR(__xludf.DUMMYFUNCTION("""COMPUTED_VALUE"""),1.0)</f>
        <v>1</v>
      </c>
      <c r="U335" s="189">
        <f>IFERROR(__xludf.DUMMYFUNCTION("""COMPUTED_VALUE"""),8.0)</f>
        <v>8</v>
      </c>
      <c r="V335" s="189">
        <f>IFERROR(__xludf.DUMMYFUNCTION("""COMPUTED_VALUE"""),4.0)</f>
        <v>4</v>
      </c>
      <c r="W335" s="189">
        <f>IFERROR(__xludf.DUMMYFUNCTION("""COMPUTED_VALUE"""),5.0)</f>
        <v>5</v>
      </c>
      <c r="X335" s="189">
        <f>IFERROR(__xludf.DUMMYFUNCTION("""COMPUTED_VALUE"""),1.0)</f>
        <v>1</v>
      </c>
      <c r="Y335" s="208" t="str">
        <f>IFERROR(__xludf.DUMMYFUNCTION("""COMPUTED_VALUE"""),"2025-08-17T00:00:00.000Z")</f>
        <v>2025-08-17T00:00:00.000Z</v>
      </c>
      <c r="Z335" s="189" t="s">
        <v>142</v>
      </c>
      <c r="AA335" s="189" t="s">
        <v>179</v>
      </c>
    </row>
    <row r="336">
      <c r="A336" s="189">
        <f>IFERROR(__xludf.DUMMYFUNCTION("""COMPUTED_VALUE"""),212836.0)</f>
        <v>212836</v>
      </c>
      <c r="B336" s="189">
        <f>IFERROR(__xludf.DUMMYFUNCTION("""COMPUTED_VALUE"""),93720.0)</f>
        <v>93720</v>
      </c>
      <c r="C336" s="189" t="str">
        <f>IFERROR(__xludf.DUMMYFUNCTION("""COMPUTED_VALUE"""),"Challengers 2025: Türkiye Birlik Split 3 - Playoffs")</f>
        <v>Challengers 2025: Türkiye Birlik Split 3 - Playoffs</v>
      </c>
      <c r="D336" s="189" t="str">
        <f>IFERROR(__xludf.DUMMYFUNCTION("""COMPUTED_VALUE"""),"Haven")</f>
        <v>Haven</v>
      </c>
      <c r="E336" s="189" t="str">
        <f>IFERROR(__xludf.DUMMYFUNCTION("""COMPUTED_VALUE"""),"ULF Esports")</f>
        <v>ULF Esports</v>
      </c>
      <c r="F336" s="189" t="str">
        <f>IFERROR(__xludf.DUMMYFUNCTION("""COMPUTED_VALUE"""),"BBL PCIFIC")</f>
        <v>BBL PCIFIC</v>
      </c>
      <c r="G336" s="189" t="str">
        <f>IFERROR(__xludf.DUMMYFUNCTION("""COMPUTED_VALUE"""),"Breach,Cypher,Sova,Omen,Neon")</f>
        <v>Breach,Cypher,Sova,Omen,Neon</v>
      </c>
      <c r="H336" s="189" t="str">
        <f>IFERROR(__xludf.DUMMYFUNCTION("""COMPUTED_VALUE"""),"Breach,Cypher,Sova,Omen,Jett")</f>
        <v>Breach,Cypher,Sova,Omen,Jett</v>
      </c>
      <c r="I336" s="189">
        <f>IFERROR(__xludf.DUMMYFUNCTION("""COMPUTED_VALUE"""),8.0)</f>
        <v>8</v>
      </c>
      <c r="J336" s="189">
        <f>IFERROR(__xludf.DUMMYFUNCTION("""COMPUTED_VALUE"""),13.0)</f>
        <v>13</v>
      </c>
      <c r="K336" s="189">
        <f>IFERROR(__xludf.DUMMYFUNCTION("""COMPUTED_VALUE"""),2.0)</f>
        <v>2</v>
      </c>
      <c r="L336" s="189">
        <f>IFERROR(__xludf.DUMMYFUNCTION("""COMPUTED_VALUE"""),10.0)</f>
        <v>10</v>
      </c>
      <c r="M336" s="189">
        <f>IFERROR(__xludf.DUMMYFUNCTION("""COMPUTED_VALUE"""),1.0)</f>
        <v>1</v>
      </c>
      <c r="N336" s="189">
        <f>IFERROR(__xludf.DUMMYFUNCTION("""COMPUTED_VALUE"""),0.0)</f>
        <v>0</v>
      </c>
      <c r="O336" s="189">
        <f>IFERROR(__xludf.DUMMYFUNCTION("""COMPUTED_VALUE"""),6.0)</f>
        <v>6</v>
      </c>
      <c r="P336" s="189">
        <f>IFERROR(__xludf.DUMMYFUNCTION("""COMPUTED_VALUE"""),3.0)</f>
        <v>3</v>
      </c>
      <c r="Q336" s="189">
        <f>IFERROR(__xludf.DUMMYFUNCTION("""COMPUTED_VALUE"""),2.0)</f>
        <v>2</v>
      </c>
      <c r="R336" s="189">
        <f>IFERROR(__xludf.DUMMYFUNCTION("""COMPUTED_VALUE"""),10.0)</f>
        <v>10</v>
      </c>
      <c r="S336" s="189">
        <f>IFERROR(__xludf.DUMMYFUNCTION("""COMPUTED_VALUE"""),1.0)</f>
        <v>1</v>
      </c>
      <c r="T336" s="189">
        <f>IFERROR(__xludf.DUMMYFUNCTION("""COMPUTED_VALUE"""),0.0)</f>
        <v>0</v>
      </c>
      <c r="U336" s="189">
        <f>IFERROR(__xludf.DUMMYFUNCTION("""COMPUTED_VALUE"""),10.0)</f>
        <v>10</v>
      </c>
      <c r="V336" s="189">
        <f>IFERROR(__xludf.DUMMYFUNCTION("""COMPUTED_VALUE"""),2.0)</f>
        <v>2</v>
      </c>
      <c r="W336" s="189">
        <f>IFERROR(__xludf.DUMMYFUNCTION("""COMPUTED_VALUE"""),3.0)</f>
        <v>3</v>
      </c>
      <c r="X336" s="189">
        <f>IFERROR(__xludf.DUMMYFUNCTION("""COMPUTED_VALUE"""),6.0)</f>
        <v>6</v>
      </c>
      <c r="Y336" s="208" t="str">
        <f>IFERROR(__xludf.DUMMYFUNCTION("""COMPUTED_VALUE"""),"2025-08-17T00:00:00.000Z")</f>
        <v>2025-08-17T00:00:00.000Z</v>
      </c>
      <c r="Z336" s="189" t="s">
        <v>170</v>
      </c>
      <c r="AA336" s="189" t="s">
        <v>186</v>
      </c>
    </row>
    <row r="337">
      <c r="A337" s="189">
        <f>IFERROR(__xludf.DUMMYFUNCTION("""COMPUTED_VALUE"""),212070.0)</f>
        <v>212070</v>
      </c>
      <c r="B337" s="189">
        <f>IFERROR(__xludf.DUMMYFUNCTION("""COMPUTED_VALUE"""),93452.0)</f>
        <v>93452</v>
      </c>
      <c r="C337" s="189" t="str">
        <f>IFERROR(__xludf.DUMMYFUNCTION("""COMPUTED_VALUE"""),"Challengers League 2025 NORTH EAST: Split 3 - Playoffs")</f>
        <v>Challengers League 2025 NORTH EAST: Split 3 - Playoffs</v>
      </c>
      <c r="D337" s="189" t="str">
        <f>IFERROR(__xludf.DUMMYFUNCTION("""COMPUTED_VALUE"""),"Bind")</f>
        <v>Bind</v>
      </c>
      <c r="E337" s="189" t="str">
        <f>IFERROR(__xludf.DUMMYFUNCTION("""COMPUTED_VALUE"""),"Team Liquid Academy")</f>
        <v>Team Liquid Academy</v>
      </c>
      <c r="F337" s="189" t="str">
        <f>IFERROR(__xludf.DUMMYFUNCTION("""COMPUTED_VALUE"""),"děti ulice")</f>
        <v>děti ulice</v>
      </c>
      <c r="G337" s="189" t="str">
        <f>IFERROR(__xludf.DUMMYFUNCTION("""COMPUTED_VALUE"""),"Yoru,Astra,Gekko,Deadlock,Waylay")</f>
        <v>Yoru,Astra,Gekko,Deadlock,Waylay</v>
      </c>
      <c r="H337" s="189" t="str">
        <f>IFERROR(__xludf.DUMMYFUNCTION("""COMPUTED_VALUE"""),"Raze,Viper,Brimstone,Yoru,Fade")</f>
        <v>Raze,Viper,Brimstone,Yoru,Fade</v>
      </c>
      <c r="I337" s="189">
        <f>IFERROR(__xludf.DUMMYFUNCTION("""COMPUTED_VALUE"""),13.0)</f>
        <v>13</v>
      </c>
      <c r="J337" s="189">
        <f>IFERROR(__xludf.DUMMYFUNCTION("""COMPUTED_VALUE"""),8.0)</f>
        <v>8</v>
      </c>
      <c r="K337" s="189">
        <f>IFERROR(__xludf.DUMMYFUNCTION("""COMPUTED_VALUE"""),5.0)</f>
        <v>5</v>
      </c>
      <c r="L337" s="189">
        <f>IFERROR(__xludf.DUMMYFUNCTION("""COMPUTED_VALUE"""),7.0)</f>
        <v>7</v>
      </c>
      <c r="M337" s="189">
        <f>IFERROR(__xludf.DUMMYFUNCTION("""COMPUTED_VALUE"""),1.0)</f>
        <v>1</v>
      </c>
      <c r="N337" s="189">
        <f>IFERROR(__xludf.DUMMYFUNCTION("""COMPUTED_VALUE"""),0.0)</f>
        <v>0</v>
      </c>
      <c r="O337" s="189">
        <f>IFERROR(__xludf.DUMMYFUNCTION("""COMPUTED_VALUE"""),8.0)</f>
        <v>8</v>
      </c>
      <c r="P337" s="189">
        <f>IFERROR(__xludf.DUMMYFUNCTION("""COMPUTED_VALUE"""),1.0)</f>
        <v>1</v>
      </c>
      <c r="Q337" s="189">
        <f>IFERROR(__xludf.DUMMYFUNCTION("""COMPUTED_VALUE"""),5.0)</f>
        <v>5</v>
      </c>
      <c r="R337" s="189">
        <f>IFERROR(__xludf.DUMMYFUNCTION("""COMPUTED_VALUE"""),7.0)</f>
        <v>7</v>
      </c>
      <c r="S337" s="189">
        <f>IFERROR(__xludf.DUMMYFUNCTION("""COMPUTED_VALUE"""),1.0)</f>
        <v>1</v>
      </c>
      <c r="T337" s="189">
        <f>IFERROR(__xludf.DUMMYFUNCTION("""COMPUTED_VALUE"""),0.0)</f>
        <v>0</v>
      </c>
      <c r="U337" s="189">
        <f>IFERROR(__xludf.DUMMYFUNCTION("""COMPUTED_VALUE"""),7.0)</f>
        <v>7</v>
      </c>
      <c r="V337" s="189">
        <f>IFERROR(__xludf.DUMMYFUNCTION("""COMPUTED_VALUE"""),5.0)</f>
        <v>5</v>
      </c>
      <c r="W337" s="189">
        <f>IFERROR(__xludf.DUMMYFUNCTION("""COMPUTED_VALUE"""),1.0)</f>
        <v>1</v>
      </c>
      <c r="X337" s="189">
        <f>IFERROR(__xludf.DUMMYFUNCTION("""COMPUTED_VALUE"""),8.0)</f>
        <v>8</v>
      </c>
      <c r="Y337" s="208" t="str">
        <f>IFERROR(__xludf.DUMMYFUNCTION("""COMPUTED_VALUE"""),"2025-08-16T00:00:00.000Z")</f>
        <v>2025-08-16T00:00:00.000Z</v>
      </c>
      <c r="Z337" s="189" t="s">
        <v>143</v>
      </c>
      <c r="AA337" s="189" t="s">
        <v>1</v>
      </c>
    </row>
    <row r="338">
      <c r="A338" s="189">
        <f>IFERROR(__xludf.DUMMYFUNCTION("""COMPUTED_VALUE"""),212069.0)</f>
        <v>212069</v>
      </c>
      <c r="B338" s="189">
        <f>IFERROR(__xludf.DUMMYFUNCTION("""COMPUTED_VALUE"""),93452.0)</f>
        <v>93452</v>
      </c>
      <c r="C338" s="189" t="str">
        <f>IFERROR(__xludf.DUMMYFUNCTION("""COMPUTED_VALUE"""),"Challengers League 2025 NORTH EAST: Split 3 - Playoffs")</f>
        <v>Challengers League 2025 NORTH EAST: Split 3 - Playoffs</v>
      </c>
      <c r="D338" s="189" t="str">
        <f>IFERROR(__xludf.DUMMYFUNCTION("""COMPUTED_VALUE"""),"Sunset")</f>
        <v>Sunset</v>
      </c>
      <c r="E338" s="189" t="str">
        <f>IFERROR(__xludf.DUMMYFUNCTION("""COMPUTED_VALUE"""),"Team Liquid Academy")</f>
        <v>Team Liquid Academy</v>
      </c>
      <c r="F338" s="189" t="str">
        <f>IFERROR(__xludf.DUMMYFUNCTION("""COMPUTED_VALUE"""),"děti ulice")</f>
        <v>děti ulice</v>
      </c>
      <c r="G338" s="189" t="str">
        <f>IFERROR(__xludf.DUMMYFUNCTION("""COMPUTED_VALUE"""),"Sova,Omen,Yoru,Vyse,Waylay")</f>
        <v>Sova,Omen,Yoru,Vyse,Waylay</v>
      </c>
      <c r="H338" s="189" t="str">
        <f>IFERROR(__xludf.DUMMYFUNCTION("""COMPUTED_VALUE"""),"Cypher,Sova,Omen,Yoru,Neon")</f>
        <v>Cypher,Sova,Omen,Yoru,Neon</v>
      </c>
      <c r="I338" s="189">
        <f>IFERROR(__xludf.DUMMYFUNCTION("""COMPUTED_VALUE"""),13.0)</f>
        <v>13</v>
      </c>
      <c r="J338" s="189">
        <f>IFERROR(__xludf.DUMMYFUNCTION("""COMPUTED_VALUE"""),5.0)</f>
        <v>5</v>
      </c>
      <c r="K338" s="189">
        <f>IFERROR(__xludf.DUMMYFUNCTION("""COMPUTED_VALUE"""),8.0)</f>
        <v>8</v>
      </c>
      <c r="L338" s="189">
        <f>IFERROR(__xludf.DUMMYFUNCTION("""COMPUTED_VALUE"""),4.0)</f>
        <v>4</v>
      </c>
      <c r="M338" s="189">
        <f>IFERROR(__xludf.DUMMYFUNCTION("""COMPUTED_VALUE"""),1.0)</f>
        <v>1</v>
      </c>
      <c r="N338" s="189">
        <f>IFERROR(__xludf.DUMMYFUNCTION("""COMPUTED_VALUE"""),1.0)</f>
        <v>1</v>
      </c>
      <c r="O338" s="189">
        <f>IFERROR(__xludf.DUMMYFUNCTION("""COMPUTED_VALUE"""),8.0)</f>
        <v>8</v>
      </c>
      <c r="P338" s="189">
        <f>IFERROR(__xludf.DUMMYFUNCTION("""COMPUTED_VALUE"""),4.0)</f>
        <v>4</v>
      </c>
      <c r="Q338" s="189">
        <f>IFERROR(__xludf.DUMMYFUNCTION("""COMPUTED_VALUE"""),5.0)</f>
        <v>5</v>
      </c>
      <c r="R338" s="189">
        <f>IFERROR(__xludf.DUMMYFUNCTION("""COMPUTED_VALUE"""),1.0)</f>
        <v>1</v>
      </c>
      <c r="S338" s="189">
        <f>IFERROR(__xludf.DUMMYFUNCTION("""COMPUTED_VALUE"""),0.0)</f>
        <v>0</v>
      </c>
      <c r="T338" s="189">
        <f>IFERROR(__xludf.DUMMYFUNCTION("""COMPUTED_VALUE"""),0.0)</f>
        <v>0</v>
      </c>
      <c r="U338" s="189">
        <f>IFERROR(__xludf.DUMMYFUNCTION("""COMPUTED_VALUE"""),1.0)</f>
        <v>1</v>
      </c>
      <c r="V338" s="189">
        <f>IFERROR(__xludf.DUMMYFUNCTION("""COMPUTED_VALUE"""),5.0)</f>
        <v>5</v>
      </c>
      <c r="W338" s="189">
        <f>IFERROR(__xludf.DUMMYFUNCTION("""COMPUTED_VALUE"""),4.0)</f>
        <v>4</v>
      </c>
      <c r="X338" s="189">
        <f>IFERROR(__xludf.DUMMYFUNCTION("""COMPUTED_VALUE"""),8.0)</f>
        <v>8</v>
      </c>
      <c r="Y338" s="208" t="str">
        <f>IFERROR(__xludf.DUMMYFUNCTION("""COMPUTED_VALUE"""),"2025-08-16T00:00:00.000Z")</f>
        <v>2025-08-16T00:00:00.000Z</v>
      </c>
      <c r="Z338" s="189" t="s">
        <v>149</v>
      </c>
      <c r="AA338" s="189" t="s">
        <v>1</v>
      </c>
    </row>
    <row r="339">
      <c r="A339" s="189">
        <f>IFERROR(__xludf.DUMMYFUNCTION("""COMPUTED_VALUE"""),212722.0)</f>
        <v>212722</v>
      </c>
      <c r="B339" s="189">
        <f>IFERROR(__xludf.DUMMYFUNCTION("""COMPUTED_VALUE"""),93686.0)</f>
        <v>93686</v>
      </c>
      <c r="C339" s="189" t="str">
        <f>IFERROR(__xludf.DUMMYFUNCTION("""COMPUTED_VALUE"""),"Challengers 2025: France Revolution Split 3 - Playoffs")</f>
        <v>Challengers 2025: France Revolution Split 3 - Playoffs</v>
      </c>
      <c r="D339" s="189" t="str">
        <f>IFERROR(__xludf.DUMMYFUNCTION("""COMPUTED_VALUE"""),"Haven")</f>
        <v>Haven</v>
      </c>
      <c r="E339" s="189" t="str">
        <f>IFERROR(__xludf.DUMMYFUNCTION("""COMPUTED_VALUE"""),"Mandatory")</f>
        <v>Mandatory</v>
      </c>
      <c r="F339" s="189" t="str">
        <f>IFERROR(__xludf.DUMMYFUNCTION("""COMPUTED_VALUE"""),"Joblife")</f>
        <v>Joblife</v>
      </c>
      <c r="G339" s="189" t="str">
        <f>IFERROR(__xludf.DUMMYFUNCTION("""COMPUTED_VALUE"""),"Cypher,Sova,Omen,Yoru,Iso")</f>
        <v>Cypher,Sova,Omen,Yoru,Iso</v>
      </c>
      <c r="H339" s="189" t="str">
        <f>IFERROR(__xludf.DUMMYFUNCTION("""COMPUTED_VALUE"""),"Breach,Cypher,Sova,Omen,Jett")</f>
        <v>Breach,Cypher,Sova,Omen,Jett</v>
      </c>
      <c r="I339" s="189">
        <f>IFERROR(__xludf.DUMMYFUNCTION("""COMPUTED_VALUE"""),7.0)</f>
        <v>7</v>
      </c>
      <c r="J339" s="189">
        <f>IFERROR(__xludf.DUMMYFUNCTION("""COMPUTED_VALUE"""),13.0)</f>
        <v>13</v>
      </c>
      <c r="K339" s="189">
        <f>IFERROR(__xludf.DUMMYFUNCTION("""COMPUTED_VALUE"""),4.0)</f>
        <v>4</v>
      </c>
      <c r="L339" s="189">
        <f>IFERROR(__xludf.DUMMYFUNCTION("""COMPUTED_VALUE"""),8.0)</f>
        <v>8</v>
      </c>
      <c r="M339" s="189">
        <f>IFERROR(__xludf.DUMMYFUNCTION("""COMPUTED_VALUE"""),0.0)</f>
        <v>0</v>
      </c>
      <c r="N339" s="189">
        <f>IFERROR(__xludf.DUMMYFUNCTION("""COMPUTED_VALUE"""),0.0)</f>
        <v>0</v>
      </c>
      <c r="O339" s="189">
        <f>IFERROR(__xludf.DUMMYFUNCTION("""COMPUTED_VALUE"""),3.0)</f>
        <v>3</v>
      </c>
      <c r="P339" s="189">
        <f>IFERROR(__xludf.DUMMYFUNCTION("""COMPUTED_VALUE"""),5.0)</f>
        <v>5</v>
      </c>
      <c r="Q339" s="189">
        <f>IFERROR(__xludf.DUMMYFUNCTION("""COMPUTED_VALUE"""),4.0)</f>
        <v>4</v>
      </c>
      <c r="R339" s="189">
        <f>IFERROR(__xludf.DUMMYFUNCTION("""COMPUTED_VALUE"""),8.0)</f>
        <v>8</v>
      </c>
      <c r="S339" s="189">
        <f>IFERROR(__xludf.DUMMYFUNCTION("""COMPUTED_VALUE"""),1.0)</f>
        <v>1</v>
      </c>
      <c r="T339" s="189">
        <f>IFERROR(__xludf.DUMMYFUNCTION("""COMPUTED_VALUE"""),1.0)</f>
        <v>1</v>
      </c>
      <c r="U339" s="189">
        <f>IFERROR(__xludf.DUMMYFUNCTION("""COMPUTED_VALUE"""),8.0)</f>
        <v>8</v>
      </c>
      <c r="V339" s="189">
        <f>IFERROR(__xludf.DUMMYFUNCTION("""COMPUTED_VALUE"""),4.0)</f>
        <v>4</v>
      </c>
      <c r="W339" s="189">
        <f>IFERROR(__xludf.DUMMYFUNCTION("""COMPUTED_VALUE"""),5.0)</f>
        <v>5</v>
      </c>
      <c r="X339" s="189">
        <f>IFERROR(__xludf.DUMMYFUNCTION("""COMPUTED_VALUE"""),3.0)</f>
        <v>3</v>
      </c>
      <c r="Y339" s="208" t="str">
        <f>IFERROR(__xludf.DUMMYFUNCTION("""COMPUTED_VALUE"""),"2025-08-16T00:00:00.000Z")</f>
        <v>2025-08-16T00:00:00.000Z</v>
      </c>
      <c r="Z339" s="189" t="s">
        <v>128</v>
      </c>
      <c r="AA339" s="189" t="s">
        <v>232</v>
      </c>
    </row>
    <row r="340">
      <c r="A340" s="189">
        <f>IFERROR(__xludf.DUMMYFUNCTION("""COMPUTED_VALUE"""),212068.0)</f>
        <v>212068</v>
      </c>
      <c r="B340" s="189">
        <f>IFERROR(__xludf.DUMMYFUNCTION("""COMPUTED_VALUE"""),93452.0)</f>
        <v>93452</v>
      </c>
      <c r="C340" s="189" t="str">
        <f>IFERROR(__xludf.DUMMYFUNCTION("""COMPUTED_VALUE"""),"Challengers League 2025 NORTH EAST: Split 3 - Playoffs")</f>
        <v>Challengers League 2025 NORTH EAST: Split 3 - Playoffs</v>
      </c>
      <c r="D340" s="189" t="str">
        <f>IFERROR(__xludf.DUMMYFUNCTION("""COMPUTED_VALUE"""),"Lotus")</f>
        <v>Lotus</v>
      </c>
      <c r="E340" s="189" t="str">
        <f>IFERROR(__xludf.DUMMYFUNCTION("""COMPUTED_VALUE"""),"Team Liquid Academy")</f>
        <v>Team Liquid Academy</v>
      </c>
      <c r="F340" s="189" t="str">
        <f>IFERROR(__xludf.DUMMYFUNCTION("""COMPUTED_VALUE"""),"děti ulice")</f>
        <v>děti ulice</v>
      </c>
      <c r="G340" s="189" t="str">
        <f>IFERROR(__xludf.DUMMYFUNCTION("""COMPUTED_VALUE"""),"Cypher,Omen,Neon,Fade,Iso")</f>
        <v>Cypher,Omen,Neon,Fade,Iso</v>
      </c>
      <c r="H340" s="189" t="str">
        <f>IFERROR(__xludf.DUMMYFUNCTION("""COMPUTED_VALUE"""),"Raze,Omen,Yoru,Fade,Vyse")</f>
        <v>Raze,Omen,Yoru,Fade,Vyse</v>
      </c>
      <c r="I340" s="189">
        <f>IFERROR(__xludf.DUMMYFUNCTION("""COMPUTED_VALUE"""),10.0)</f>
        <v>10</v>
      </c>
      <c r="J340" s="189">
        <f>IFERROR(__xludf.DUMMYFUNCTION("""COMPUTED_VALUE"""),13.0)</f>
        <v>13</v>
      </c>
      <c r="K340" s="189">
        <f>IFERROR(__xludf.DUMMYFUNCTION("""COMPUTED_VALUE"""),6.0)</f>
        <v>6</v>
      </c>
      <c r="L340" s="189">
        <f>IFERROR(__xludf.DUMMYFUNCTION("""COMPUTED_VALUE"""),6.0)</f>
        <v>6</v>
      </c>
      <c r="M340" s="189">
        <f>IFERROR(__xludf.DUMMYFUNCTION("""COMPUTED_VALUE"""),1.0)</f>
        <v>1</v>
      </c>
      <c r="N340" s="189">
        <f>IFERROR(__xludf.DUMMYFUNCTION("""COMPUTED_VALUE"""),1.0)</f>
        <v>1</v>
      </c>
      <c r="O340" s="189">
        <f>IFERROR(__xludf.DUMMYFUNCTION("""COMPUTED_VALUE"""),4.0)</f>
        <v>4</v>
      </c>
      <c r="P340" s="189">
        <f>IFERROR(__xludf.DUMMYFUNCTION("""COMPUTED_VALUE"""),7.0)</f>
        <v>7</v>
      </c>
      <c r="Q340" s="189">
        <f>IFERROR(__xludf.DUMMYFUNCTION("""COMPUTED_VALUE"""),6.0)</f>
        <v>6</v>
      </c>
      <c r="R340" s="189">
        <f>IFERROR(__xludf.DUMMYFUNCTION("""COMPUTED_VALUE"""),6.0)</f>
        <v>6</v>
      </c>
      <c r="S340" s="189">
        <f>IFERROR(__xludf.DUMMYFUNCTION("""COMPUTED_VALUE"""),0.0)</f>
        <v>0</v>
      </c>
      <c r="T340" s="189">
        <f>IFERROR(__xludf.DUMMYFUNCTION("""COMPUTED_VALUE"""),0.0)</f>
        <v>0</v>
      </c>
      <c r="U340" s="189">
        <f>IFERROR(__xludf.DUMMYFUNCTION("""COMPUTED_VALUE"""),6.0)</f>
        <v>6</v>
      </c>
      <c r="V340" s="189">
        <f>IFERROR(__xludf.DUMMYFUNCTION("""COMPUTED_VALUE"""),6.0)</f>
        <v>6</v>
      </c>
      <c r="W340" s="189">
        <f>IFERROR(__xludf.DUMMYFUNCTION("""COMPUTED_VALUE"""),7.0)</f>
        <v>7</v>
      </c>
      <c r="X340" s="189">
        <f>IFERROR(__xludf.DUMMYFUNCTION("""COMPUTED_VALUE"""),4.0)</f>
        <v>4</v>
      </c>
      <c r="Y340" s="208" t="str">
        <f>IFERROR(__xludf.DUMMYFUNCTION("""COMPUTED_VALUE"""),"2025-08-16T00:00:00.000Z")</f>
        <v>2025-08-16T00:00:00.000Z</v>
      </c>
      <c r="Z340" s="189" t="s">
        <v>147</v>
      </c>
      <c r="AA340" s="189" t="s">
        <v>190</v>
      </c>
    </row>
    <row r="341">
      <c r="A341" s="189">
        <f>IFERROR(__xludf.DUMMYFUNCTION("""COMPUTED_VALUE"""),212721.0)</f>
        <v>212721</v>
      </c>
      <c r="B341" s="189">
        <f>IFERROR(__xludf.DUMMYFUNCTION("""COMPUTED_VALUE"""),93686.0)</f>
        <v>93686</v>
      </c>
      <c r="C341" s="189" t="str">
        <f>IFERROR(__xludf.DUMMYFUNCTION("""COMPUTED_VALUE"""),"Challengers 2025: France Revolution Split 3 - Playoffs")</f>
        <v>Challengers 2025: France Revolution Split 3 - Playoffs</v>
      </c>
      <c r="D341" s="189" t="str">
        <f>IFERROR(__xludf.DUMMYFUNCTION("""COMPUTED_VALUE"""),"Ascent")</f>
        <v>Ascent</v>
      </c>
      <c r="E341" s="189" t="str">
        <f>IFERROR(__xludf.DUMMYFUNCTION("""COMPUTED_VALUE"""),"Mandatory")</f>
        <v>Mandatory</v>
      </c>
      <c r="F341" s="189" t="str">
        <f>IFERROR(__xludf.DUMMYFUNCTION("""COMPUTED_VALUE"""),"Joblife")</f>
        <v>Joblife</v>
      </c>
      <c r="G341" s="189" t="str">
        <f>IFERROR(__xludf.DUMMYFUNCTION("""COMPUTED_VALUE"""),"Sova,Viper,Omen,Yoru,Deadlock")</f>
        <v>Sova,Viper,Omen,Yoru,Deadlock</v>
      </c>
      <c r="H341" s="189" t="str">
        <f>IFERROR(__xludf.DUMMYFUNCTION("""COMPUTED_VALUE"""),"Cypher,Sova,Omen,Yoru,Chamber")</f>
        <v>Cypher,Sova,Omen,Yoru,Chamber</v>
      </c>
      <c r="I341" s="189">
        <f>IFERROR(__xludf.DUMMYFUNCTION("""COMPUTED_VALUE"""),7.0)</f>
        <v>7</v>
      </c>
      <c r="J341" s="189">
        <f>IFERROR(__xludf.DUMMYFUNCTION("""COMPUTED_VALUE"""),13.0)</f>
        <v>13</v>
      </c>
      <c r="K341" s="189">
        <f>IFERROR(__xludf.DUMMYFUNCTION("""COMPUTED_VALUE"""),5.0)</f>
        <v>5</v>
      </c>
      <c r="L341" s="189">
        <f>IFERROR(__xludf.DUMMYFUNCTION("""COMPUTED_VALUE"""),7.0)</f>
        <v>7</v>
      </c>
      <c r="M341" s="189">
        <f>IFERROR(__xludf.DUMMYFUNCTION("""COMPUTED_VALUE"""),1.0)</f>
        <v>1</v>
      </c>
      <c r="N341" s="189">
        <f>IFERROR(__xludf.DUMMYFUNCTION("""COMPUTED_VALUE"""),1.0)</f>
        <v>1</v>
      </c>
      <c r="O341" s="189">
        <f>IFERROR(__xludf.DUMMYFUNCTION("""COMPUTED_VALUE"""),5.0)</f>
        <v>5</v>
      </c>
      <c r="P341" s="189">
        <f>IFERROR(__xludf.DUMMYFUNCTION("""COMPUTED_VALUE"""),7.0)</f>
        <v>7</v>
      </c>
      <c r="Q341" s="189">
        <f>IFERROR(__xludf.DUMMYFUNCTION("""COMPUTED_VALUE"""),2.0)</f>
        <v>2</v>
      </c>
      <c r="R341" s="189">
        <f>IFERROR(__xludf.DUMMYFUNCTION("""COMPUTED_VALUE"""),6.0)</f>
        <v>6</v>
      </c>
      <c r="S341" s="189">
        <f>IFERROR(__xludf.DUMMYFUNCTION("""COMPUTED_VALUE"""),0.0)</f>
        <v>0</v>
      </c>
      <c r="T341" s="189">
        <f>IFERROR(__xludf.DUMMYFUNCTION("""COMPUTED_VALUE"""),0.0)</f>
        <v>0</v>
      </c>
      <c r="U341" s="189">
        <f>IFERROR(__xludf.DUMMYFUNCTION("""COMPUTED_VALUE"""),6.0)</f>
        <v>6</v>
      </c>
      <c r="V341" s="189">
        <f>IFERROR(__xludf.DUMMYFUNCTION("""COMPUTED_VALUE"""),2.0)</f>
        <v>2</v>
      </c>
      <c r="W341" s="189">
        <f>IFERROR(__xludf.DUMMYFUNCTION("""COMPUTED_VALUE"""),7.0)</f>
        <v>7</v>
      </c>
      <c r="X341" s="189">
        <f>IFERROR(__xludf.DUMMYFUNCTION("""COMPUTED_VALUE"""),5.0)</f>
        <v>5</v>
      </c>
      <c r="Y341" s="208" t="str">
        <f>IFERROR(__xludf.DUMMYFUNCTION("""COMPUTED_VALUE"""),"2025-08-16T00:00:00.000Z")</f>
        <v>2025-08-16T00:00:00.000Z</v>
      </c>
      <c r="Z341" s="189" t="s">
        <v>126</v>
      </c>
      <c r="AA341" s="189" t="s">
        <v>232</v>
      </c>
    </row>
    <row r="342">
      <c r="A342" s="189">
        <f>IFERROR(__xludf.DUMMYFUNCTION("""COMPUTED_VALUE"""),213390.0)</f>
        <v>213390</v>
      </c>
      <c r="B342" s="189">
        <f>IFERROR(__xludf.DUMMYFUNCTION("""COMPUTED_VALUE"""),93910.0)</f>
        <v>93910</v>
      </c>
      <c r="C342" s="189" t="str">
        <f>IFERROR(__xludf.DUMMYFUNCTION("""COMPUTED_VALUE"""),"Challengers League 2025 DACH: Evolution Stage 3 - Playoffs")</f>
        <v>Challengers League 2025 DACH: Evolution Stage 3 - Playoffs</v>
      </c>
      <c r="D342" s="189" t="str">
        <f>IFERROR(__xludf.DUMMYFUNCTION("""COMPUTED_VALUE"""),"Corrode")</f>
        <v>Corrode</v>
      </c>
      <c r="E342" s="189" t="str">
        <f>IFERROR(__xludf.DUMMYFUNCTION("""COMPUTED_VALUE"""),"MOUZ")</f>
        <v>MOUZ</v>
      </c>
      <c r="F342" s="189" t="str">
        <f>IFERROR(__xludf.DUMMYFUNCTION("""COMPUTED_VALUE"""),"Eintracht Frankfurt")</f>
        <v>Eintracht Frankfurt</v>
      </c>
      <c r="G342" s="189" t="str">
        <f>IFERROR(__xludf.DUMMYFUNCTION("""COMPUTED_VALUE"""),"Omen,Yoru,Chamber,Neon,Fade")</f>
        <v>Omen,Yoru,Chamber,Neon,Fade</v>
      </c>
      <c r="H342" s="189" t="str">
        <f>IFERROR(__xludf.DUMMYFUNCTION("""COMPUTED_VALUE"""),"Viper,Phoenix,Omen,Fade,Waylay")</f>
        <v>Viper,Phoenix,Omen,Fade,Waylay</v>
      </c>
      <c r="I342" s="189">
        <f>IFERROR(__xludf.DUMMYFUNCTION("""COMPUTED_VALUE"""),13.0)</f>
        <v>13</v>
      </c>
      <c r="J342" s="189">
        <f>IFERROR(__xludf.DUMMYFUNCTION("""COMPUTED_VALUE"""),6.0)</f>
        <v>6</v>
      </c>
      <c r="K342" s="189">
        <f>IFERROR(__xludf.DUMMYFUNCTION("""COMPUTED_VALUE"""),9.0)</f>
        <v>9</v>
      </c>
      <c r="L342" s="189">
        <f>IFERROR(__xludf.DUMMYFUNCTION("""COMPUTED_VALUE"""),3.0)</f>
        <v>3</v>
      </c>
      <c r="M342" s="189">
        <f>IFERROR(__xludf.DUMMYFUNCTION("""COMPUTED_VALUE"""),0.0)</f>
        <v>0</v>
      </c>
      <c r="N342" s="189">
        <f>IFERROR(__xludf.DUMMYFUNCTION("""COMPUTED_VALUE"""),0.0)</f>
        <v>0</v>
      </c>
      <c r="O342" s="189">
        <f>IFERROR(__xludf.DUMMYFUNCTION("""COMPUTED_VALUE"""),4.0)</f>
        <v>4</v>
      </c>
      <c r="P342" s="189">
        <f>IFERROR(__xludf.DUMMYFUNCTION("""COMPUTED_VALUE"""),3.0)</f>
        <v>3</v>
      </c>
      <c r="Q342" s="189">
        <f>IFERROR(__xludf.DUMMYFUNCTION("""COMPUTED_VALUE"""),9.0)</f>
        <v>9</v>
      </c>
      <c r="R342" s="189">
        <f>IFERROR(__xludf.DUMMYFUNCTION("""COMPUTED_VALUE"""),3.0)</f>
        <v>3</v>
      </c>
      <c r="S342" s="189">
        <f>IFERROR(__xludf.DUMMYFUNCTION("""COMPUTED_VALUE"""),1.0)</f>
        <v>1</v>
      </c>
      <c r="T342" s="189">
        <f>IFERROR(__xludf.DUMMYFUNCTION("""COMPUTED_VALUE"""),1.0)</f>
        <v>1</v>
      </c>
      <c r="U342" s="189">
        <f>IFERROR(__xludf.DUMMYFUNCTION("""COMPUTED_VALUE"""),3.0)</f>
        <v>3</v>
      </c>
      <c r="V342" s="189">
        <f>IFERROR(__xludf.DUMMYFUNCTION("""COMPUTED_VALUE"""),9.0)</f>
        <v>9</v>
      </c>
      <c r="W342" s="189">
        <f>IFERROR(__xludf.DUMMYFUNCTION("""COMPUTED_VALUE"""),3.0)</f>
        <v>3</v>
      </c>
      <c r="X342" s="189">
        <f>IFERROR(__xludf.DUMMYFUNCTION("""COMPUTED_VALUE"""),4.0)</f>
        <v>4</v>
      </c>
      <c r="Y342" s="208" t="str">
        <f>IFERROR(__xludf.DUMMYFUNCTION("""COMPUTED_VALUE"""),"2025-08-16T00:00:00.000Z")</f>
        <v>2025-08-16T00:00:00.000Z</v>
      </c>
      <c r="Z342" s="189" t="s">
        <v>135</v>
      </c>
      <c r="AA342" s="189" t="s">
        <v>180</v>
      </c>
    </row>
    <row r="343">
      <c r="A343" s="189">
        <f>IFERROR(__xludf.DUMMYFUNCTION("""COMPUTED_VALUE"""),212720.0)</f>
        <v>212720</v>
      </c>
      <c r="B343" s="189">
        <f>IFERROR(__xludf.DUMMYFUNCTION("""COMPUTED_VALUE"""),93686.0)</f>
        <v>93686</v>
      </c>
      <c r="C343" s="189" t="str">
        <f>IFERROR(__xludf.DUMMYFUNCTION("""COMPUTED_VALUE"""),"Challengers 2025: France Revolution Split 3 - Playoffs")</f>
        <v>Challengers 2025: France Revolution Split 3 - Playoffs</v>
      </c>
      <c r="D343" s="189" t="str">
        <f>IFERROR(__xludf.DUMMYFUNCTION("""COMPUTED_VALUE"""),"Icebox")</f>
        <v>Icebox</v>
      </c>
      <c r="E343" s="189" t="str">
        <f>IFERROR(__xludf.DUMMYFUNCTION("""COMPUTED_VALUE"""),"Mandatory")</f>
        <v>Mandatory</v>
      </c>
      <c r="F343" s="189" t="str">
        <f>IFERROR(__xludf.DUMMYFUNCTION("""COMPUTED_VALUE"""),"Joblife")</f>
        <v>Joblife</v>
      </c>
      <c r="G343" s="189" t="str">
        <f>IFERROR(__xludf.DUMMYFUNCTION("""COMPUTED_VALUE"""),"Sova,Killjoy,Viper,Omen,Gekko")</f>
        <v>Sova,Killjoy,Viper,Omen,Gekko</v>
      </c>
      <c r="H343" s="189" t="str">
        <f>IFERROR(__xludf.DUMMYFUNCTION("""COMPUTED_VALUE"""),"Sova,Killjoy,Viper,Sage,Jett")</f>
        <v>Sova,Killjoy,Viper,Sage,Jett</v>
      </c>
      <c r="I343" s="189">
        <f>IFERROR(__xludf.DUMMYFUNCTION("""COMPUTED_VALUE"""),4.0)</f>
        <v>4</v>
      </c>
      <c r="J343" s="189">
        <f>IFERROR(__xludf.DUMMYFUNCTION("""COMPUTED_VALUE"""),13.0)</f>
        <v>13</v>
      </c>
      <c r="K343" s="189">
        <f>IFERROR(__xludf.DUMMYFUNCTION("""COMPUTED_VALUE"""),2.0)</f>
        <v>2</v>
      </c>
      <c r="L343" s="189">
        <f>IFERROR(__xludf.DUMMYFUNCTION("""COMPUTED_VALUE"""),10.0)</f>
        <v>10</v>
      </c>
      <c r="M343" s="189">
        <f>IFERROR(__xludf.DUMMYFUNCTION("""COMPUTED_VALUE"""),0.0)</f>
        <v>0</v>
      </c>
      <c r="N343" s="189">
        <f>IFERROR(__xludf.DUMMYFUNCTION("""COMPUTED_VALUE"""),0.0)</f>
        <v>0</v>
      </c>
      <c r="O343" s="189">
        <f>IFERROR(__xludf.DUMMYFUNCTION("""COMPUTED_VALUE"""),2.0)</f>
        <v>2</v>
      </c>
      <c r="P343" s="189">
        <f>IFERROR(__xludf.DUMMYFUNCTION("""COMPUTED_VALUE"""),3.0)</f>
        <v>3</v>
      </c>
      <c r="Q343" s="189">
        <f>IFERROR(__xludf.DUMMYFUNCTION("""COMPUTED_VALUE"""),2.0)</f>
        <v>2</v>
      </c>
      <c r="R343" s="189">
        <f>IFERROR(__xludf.DUMMYFUNCTION("""COMPUTED_VALUE"""),10.0)</f>
        <v>10</v>
      </c>
      <c r="S343" s="189">
        <f>IFERROR(__xludf.DUMMYFUNCTION("""COMPUTED_VALUE"""),1.0)</f>
        <v>1</v>
      </c>
      <c r="T343" s="189">
        <f>IFERROR(__xludf.DUMMYFUNCTION("""COMPUTED_VALUE"""),1.0)</f>
        <v>1</v>
      </c>
      <c r="U343" s="189">
        <f>IFERROR(__xludf.DUMMYFUNCTION("""COMPUTED_VALUE"""),10.0)</f>
        <v>10</v>
      </c>
      <c r="V343" s="189">
        <f>IFERROR(__xludf.DUMMYFUNCTION("""COMPUTED_VALUE"""),2.0)</f>
        <v>2</v>
      </c>
      <c r="W343" s="189">
        <f>IFERROR(__xludf.DUMMYFUNCTION("""COMPUTED_VALUE"""),3.0)</f>
        <v>3</v>
      </c>
      <c r="X343" s="189">
        <f>IFERROR(__xludf.DUMMYFUNCTION("""COMPUTED_VALUE"""),2.0)</f>
        <v>2</v>
      </c>
      <c r="Y343" s="208" t="str">
        <f>IFERROR(__xludf.DUMMYFUNCTION("""COMPUTED_VALUE"""),"2025-08-16T00:00:00.000Z")</f>
        <v>2025-08-16T00:00:00.000Z</v>
      </c>
      <c r="Z343" s="189" t="s">
        <v>129</v>
      </c>
      <c r="AA343" s="189" t="s">
        <v>232</v>
      </c>
    </row>
    <row r="344">
      <c r="A344" s="189">
        <f>IFERROR(__xludf.DUMMYFUNCTION("""COMPUTED_VALUE"""),212067.0)</f>
        <v>212067</v>
      </c>
      <c r="B344" s="189">
        <f>IFERROR(__xludf.DUMMYFUNCTION("""COMPUTED_VALUE"""),93452.0)</f>
        <v>93452</v>
      </c>
      <c r="C344" s="189" t="str">
        <f>IFERROR(__xludf.DUMMYFUNCTION("""COMPUTED_VALUE"""),"Challengers League 2025 NORTH EAST: Split 3 - Playoffs")</f>
        <v>Challengers League 2025 NORTH EAST: Split 3 - Playoffs</v>
      </c>
      <c r="D344" s="189" t="str">
        <f>IFERROR(__xludf.DUMMYFUNCTION("""COMPUTED_VALUE"""),"Corrode")</f>
        <v>Corrode</v>
      </c>
      <c r="E344" s="189" t="str">
        <f>IFERROR(__xludf.DUMMYFUNCTION("""COMPUTED_VALUE"""),"Team Liquid Academy")</f>
        <v>Team Liquid Academy</v>
      </c>
      <c r="F344" s="189" t="str">
        <f>IFERROR(__xludf.DUMMYFUNCTION("""COMPUTED_VALUE"""),"děti ulice")</f>
        <v>děti ulice</v>
      </c>
      <c r="G344" s="189" t="str">
        <f>IFERROR(__xludf.DUMMYFUNCTION("""COMPUTED_VALUE"""),"Cypher,Phoenix,Omen,Yoru,Fade")</f>
        <v>Cypher,Phoenix,Omen,Yoru,Fade</v>
      </c>
      <c r="H344" s="189" t="str">
        <f>IFERROR(__xludf.DUMMYFUNCTION("""COMPUTED_VALUE"""),"Viper,Omen,Chamber,Neon,Fade")</f>
        <v>Viper,Omen,Chamber,Neon,Fade</v>
      </c>
      <c r="I344" s="189">
        <f>IFERROR(__xludf.DUMMYFUNCTION("""COMPUTED_VALUE"""),15.0)</f>
        <v>15</v>
      </c>
      <c r="J344" s="189">
        <f>IFERROR(__xludf.DUMMYFUNCTION("""COMPUTED_VALUE"""),13.0)</f>
        <v>13</v>
      </c>
      <c r="K344" s="189">
        <f>IFERROR(__xludf.DUMMYFUNCTION("""COMPUTED_VALUE"""),5.0)</f>
        <v>5</v>
      </c>
      <c r="L344" s="189">
        <f>IFERROR(__xludf.DUMMYFUNCTION("""COMPUTED_VALUE"""),7.0)</f>
        <v>7</v>
      </c>
      <c r="M344" s="189">
        <f>IFERROR(__xludf.DUMMYFUNCTION("""COMPUTED_VALUE"""),0.0)</f>
        <v>0</v>
      </c>
      <c r="N344" s="189">
        <f>IFERROR(__xludf.DUMMYFUNCTION("""COMPUTED_VALUE"""),1.0)</f>
        <v>1</v>
      </c>
      <c r="O344" s="189">
        <f>IFERROR(__xludf.DUMMYFUNCTION("""COMPUTED_VALUE"""),6.0)</f>
        <v>6</v>
      </c>
      <c r="P344" s="189">
        <f>IFERROR(__xludf.DUMMYFUNCTION("""COMPUTED_VALUE"""),8.0)</f>
        <v>8</v>
      </c>
      <c r="Q344" s="189">
        <f>IFERROR(__xludf.DUMMYFUNCTION("""COMPUTED_VALUE"""),9.0)</f>
        <v>9</v>
      </c>
      <c r="R344" s="189">
        <f>IFERROR(__xludf.DUMMYFUNCTION("""COMPUTED_VALUE"""),5.0)</f>
        <v>5</v>
      </c>
      <c r="S344" s="189">
        <f>IFERROR(__xludf.DUMMYFUNCTION("""COMPUTED_VALUE"""),0.0)</f>
        <v>0</v>
      </c>
      <c r="T344" s="189">
        <f>IFERROR(__xludf.DUMMYFUNCTION("""COMPUTED_VALUE"""),1.0)</f>
        <v>1</v>
      </c>
      <c r="U344" s="189">
        <f>IFERROR(__xludf.DUMMYFUNCTION("""COMPUTED_VALUE"""),5.0)</f>
        <v>5</v>
      </c>
      <c r="V344" s="189">
        <f>IFERROR(__xludf.DUMMYFUNCTION("""COMPUTED_VALUE"""),9.0)</f>
        <v>9</v>
      </c>
      <c r="W344" s="189">
        <f>IFERROR(__xludf.DUMMYFUNCTION("""COMPUTED_VALUE"""),8.0)</f>
        <v>8</v>
      </c>
      <c r="X344" s="189">
        <f>IFERROR(__xludf.DUMMYFUNCTION("""COMPUTED_VALUE"""),6.0)</f>
        <v>6</v>
      </c>
      <c r="Y344" s="208" t="str">
        <f>IFERROR(__xludf.DUMMYFUNCTION("""COMPUTED_VALUE"""),"2025-08-16T00:00:00.000Z")</f>
        <v>2025-08-16T00:00:00.000Z</v>
      </c>
      <c r="Z344" s="189" t="s">
        <v>144</v>
      </c>
      <c r="AA344" s="189" t="s">
        <v>1</v>
      </c>
    </row>
    <row r="345">
      <c r="A345" s="189">
        <f>IFERROR(__xludf.DUMMYFUNCTION("""COMPUTED_VALUE"""),213389.0)</f>
        <v>213389</v>
      </c>
      <c r="B345" s="189">
        <f>IFERROR(__xludf.DUMMYFUNCTION("""COMPUTED_VALUE"""),93910.0)</f>
        <v>93910</v>
      </c>
      <c r="C345" s="189" t="str">
        <f>IFERROR(__xludf.DUMMYFUNCTION("""COMPUTED_VALUE"""),"Challengers League 2025 DACH: Evolution Stage 3 - Playoffs")</f>
        <v>Challengers League 2025 DACH: Evolution Stage 3 - Playoffs</v>
      </c>
      <c r="D345" s="189" t="str">
        <f>IFERROR(__xludf.DUMMYFUNCTION("""COMPUTED_VALUE"""),"Icebox")</f>
        <v>Icebox</v>
      </c>
      <c r="E345" s="189" t="str">
        <f>IFERROR(__xludf.DUMMYFUNCTION("""COMPUTED_VALUE"""),"MOUZ")</f>
        <v>MOUZ</v>
      </c>
      <c r="F345" s="189" t="str">
        <f>IFERROR(__xludf.DUMMYFUNCTION("""COMPUTED_VALUE"""),"Eintracht Frankfurt")</f>
        <v>Eintracht Frankfurt</v>
      </c>
      <c r="G345" s="189" t="str">
        <f>IFERROR(__xludf.DUMMYFUNCTION("""COMPUTED_VALUE"""),"Sova,Killjoy,Viper,Jett,KAY/O")</f>
        <v>Sova,Killjoy,Viper,Jett,KAY/O</v>
      </c>
      <c r="H345" s="189" t="str">
        <f>IFERROR(__xludf.DUMMYFUNCTION("""COMPUTED_VALUE"""),"Sova,Killjoy,Viper,Sage,Jett")</f>
        <v>Sova,Killjoy,Viper,Sage,Jett</v>
      </c>
      <c r="I345" s="189">
        <f>IFERROR(__xludf.DUMMYFUNCTION("""COMPUTED_VALUE"""),13.0)</f>
        <v>13</v>
      </c>
      <c r="J345" s="189">
        <f>IFERROR(__xludf.DUMMYFUNCTION("""COMPUTED_VALUE"""),8.0)</f>
        <v>8</v>
      </c>
      <c r="K345" s="189">
        <f>IFERROR(__xludf.DUMMYFUNCTION("""COMPUTED_VALUE"""),8.0)</f>
        <v>8</v>
      </c>
      <c r="L345" s="189">
        <f>IFERROR(__xludf.DUMMYFUNCTION("""COMPUTED_VALUE"""),4.0)</f>
        <v>4</v>
      </c>
      <c r="M345" s="189">
        <f>IFERROR(__xludf.DUMMYFUNCTION("""COMPUTED_VALUE"""),1.0)</f>
        <v>1</v>
      </c>
      <c r="N345" s="189">
        <f>IFERROR(__xludf.DUMMYFUNCTION("""COMPUTED_VALUE"""),1.0)</f>
        <v>1</v>
      </c>
      <c r="O345" s="189">
        <f>IFERROR(__xludf.DUMMYFUNCTION("""COMPUTED_VALUE"""),5.0)</f>
        <v>5</v>
      </c>
      <c r="P345" s="189">
        <f>IFERROR(__xludf.DUMMYFUNCTION("""COMPUTED_VALUE"""),4.0)</f>
        <v>4</v>
      </c>
      <c r="Q345" s="189">
        <f>IFERROR(__xludf.DUMMYFUNCTION("""COMPUTED_VALUE"""),8.0)</f>
        <v>8</v>
      </c>
      <c r="R345" s="189">
        <f>IFERROR(__xludf.DUMMYFUNCTION("""COMPUTED_VALUE"""),4.0)</f>
        <v>4</v>
      </c>
      <c r="S345" s="189">
        <f>IFERROR(__xludf.DUMMYFUNCTION("""COMPUTED_VALUE"""),0.0)</f>
        <v>0</v>
      </c>
      <c r="T345" s="189">
        <f>IFERROR(__xludf.DUMMYFUNCTION("""COMPUTED_VALUE"""),0.0)</f>
        <v>0</v>
      </c>
      <c r="U345" s="189">
        <f>IFERROR(__xludf.DUMMYFUNCTION("""COMPUTED_VALUE"""),4.0)</f>
        <v>4</v>
      </c>
      <c r="V345" s="189">
        <f>IFERROR(__xludf.DUMMYFUNCTION("""COMPUTED_VALUE"""),8.0)</f>
        <v>8</v>
      </c>
      <c r="W345" s="189">
        <f>IFERROR(__xludf.DUMMYFUNCTION("""COMPUTED_VALUE"""),4.0)</f>
        <v>4</v>
      </c>
      <c r="X345" s="189">
        <f>IFERROR(__xludf.DUMMYFUNCTION("""COMPUTED_VALUE"""),5.0)</f>
        <v>5</v>
      </c>
      <c r="Y345" s="208" t="str">
        <f>IFERROR(__xludf.DUMMYFUNCTION("""COMPUTED_VALUE"""),"2025-08-16T00:00:00.000Z")</f>
        <v>2025-08-16T00:00:00.000Z</v>
      </c>
      <c r="Z345" s="189" t="s">
        <v>137</v>
      </c>
      <c r="AA345" s="189" t="s">
        <v>180</v>
      </c>
    </row>
    <row r="346">
      <c r="A346" s="189">
        <f>IFERROR(__xludf.DUMMYFUNCTION("""COMPUTED_VALUE"""),212066.0)</f>
        <v>212066</v>
      </c>
      <c r="B346" s="189">
        <f>IFERROR(__xludf.DUMMYFUNCTION("""COMPUTED_VALUE"""),93452.0)</f>
        <v>93452</v>
      </c>
      <c r="C346" s="189" t="str">
        <f>IFERROR(__xludf.DUMMYFUNCTION("""COMPUTED_VALUE"""),"Challengers League 2025 NORTH EAST: Split 3 - Playoffs")</f>
        <v>Challengers League 2025 NORTH EAST: Split 3 - Playoffs</v>
      </c>
      <c r="D346" s="189" t="str">
        <f>IFERROR(__xludf.DUMMYFUNCTION("""COMPUTED_VALUE"""),"Haven")</f>
        <v>Haven</v>
      </c>
      <c r="E346" s="189" t="str">
        <f>IFERROR(__xludf.DUMMYFUNCTION("""COMPUTED_VALUE"""),"Team Liquid Academy")</f>
        <v>Team Liquid Academy</v>
      </c>
      <c r="F346" s="189" t="str">
        <f>IFERROR(__xludf.DUMMYFUNCTION("""COMPUTED_VALUE"""),"děti ulice")</f>
        <v>děti ulice</v>
      </c>
      <c r="G346" s="189" t="str">
        <f>IFERROR(__xludf.DUMMYFUNCTION("""COMPUTED_VALUE"""),"Cypher,Sova,Omen,Yoru,Iso")</f>
        <v>Cypher,Sova,Omen,Yoru,Iso</v>
      </c>
      <c r="H346" s="189" t="str">
        <f>IFERROR(__xludf.DUMMYFUNCTION("""COMPUTED_VALUE"""),"Cypher,Sova,Omen,Yoru,Iso")</f>
        <v>Cypher,Sova,Omen,Yoru,Iso</v>
      </c>
      <c r="I346" s="189">
        <f>IFERROR(__xludf.DUMMYFUNCTION("""COMPUTED_VALUE"""),11.0)</f>
        <v>11</v>
      </c>
      <c r="J346" s="189">
        <f>IFERROR(__xludf.DUMMYFUNCTION("""COMPUTED_VALUE"""),13.0)</f>
        <v>13</v>
      </c>
      <c r="K346" s="189">
        <f>IFERROR(__xludf.DUMMYFUNCTION("""COMPUTED_VALUE"""),5.0)</f>
        <v>5</v>
      </c>
      <c r="L346" s="189">
        <f>IFERROR(__xludf.DUMMYFUNCTION("""COMPUTED_VALUE"""),7.0)</f>
        <v>7</v>
      </c>
      <c r="M346" s="189">
        <f>IFERROR(__xludf.DUMMYFUNCTION("""COMPUTED_VALUE"""),0.0)</f>
        <v>0</v>
      </c>
      <c r="N346" s="189">
        <f>IFERROR(__xludf.DUMMYFUNCTION("""COMPUTED_VALUE"""),0.0)</f>
        <v>0</v>
      </c>
      <c r="O346" s="189">
        <f>IFERROR(__xludf.DUMMYFUNCTION("""COMPUTED_VALUE"""),5.0)</f>
        <v>5</v>
      </c>
      <c r="P346" s="189">
        <f>IFERROR(__xludf.DUMMYFUNCTION("""COMPUTED_VALUE"""),7.0)</f>
        <v>7</v>
      </c>
      <c r="Q346" s="189">
        <f>IFERROR(__xludf.DUMMYFUNCTION("""COMPUTED_VALUE"""),6.0)</f>
        <v>6</v>
      </c>
      <c r="R346" s="189">
        <f>IFERROR(__xludf.DUMMYFUNCTION("""COMPUTED_VALUE"""),6.0)</f>
        <v>6</v>
      </c>
      <c r="S346" s="189">
        <f>IFERROR(__xludf.DUMMYFUNCTION("""COMPUTED_VALUE"""),1.0)</f>
        <v>1</v>
      </c>
      <c r="T346" s="189">
        <f>IFERROR(__xludf.DUMMYFUNCTION("""COMPUTED_VALUE"""),1.0)</f>
        <v>1</v>
      </c>
      <c r="U346" s="189">
        <f>IFERROR(__xludf.DUMMYFUNCTION("""COMPUTED_VALUE"""),6.0)</f>
        <v>6</v>
      </c>
      <c r="V346" s="189">
        <f>IFERROR(__xludf.DUMMYFUNCTION("""COMPUTED_VALUE"""),6.0)</f>
        <v>6</v>
      </c>
      <c r="W346" s="189">
        <f>IFERROR(__xludf.DUMMYFUNCTION("""COMPUTED_VALUE"""),7.0)</f>
        <v>7</v>
      </c>
      <c r="X346" s="189">
        <f>IFERROR(__xludf.DUMMYFUNCTION("""COMPUTED_VALUE"""),5.0)</f>
        <v>5</v>
      </c>
      <c r="Y346" s="208" t="str">
        <f>IFERROR(__xludf.DUMMYFUNCTION("""COMPUTED_VALUE"""),"2025-08-16T00:00:00.000Z")</f>
        <v>2025-08-16T00:00:00.000Z</v>
      </c>
      <c r="Z346" s="189" t="s">
        <v>145</v>
      </c>
      <c r="AA346" s="189" t="s">
        <v>190</v>
      </c>
    </row>
    <row r="347">
      <c r="A347" s="189">
        <f>IFERROR(__xludf.DUMMYFUNCTION("""COMPUTED_VALUE"""),213388.0)</f>
        <v>213388</v>
      </c>
      <c r="B347" s="189">
        <f>IFERROR(__xludf.DUMMYFUNCTION("""COMPUTED_VALUE"""),93910.0)</f>
        <v>93910</v>
      </c>
      <c r="C347" s="189" t="str">
        <f>IFERROR(__xludf.DUMMYFUNCTION("""COMPUTED_VALUE"""),"Challengers League 2025 DACH: Evolution Stage 3 - Playoffs")</f>
        <v>Challengers League 2025 DACH: Evolution Stage 3 - Playoffs</v>
      </c>
      <c r="D347" s="189" t="str">
        <f>IFERROR(__xludf.DUMMYFUNCTION("""COMPUTED_VALUE"""),"Bind")</f>
        <v>Bind</v>
      </c>
      <c r="E347" s="189" t="str">
        <f>IFERROR(__xludf.DUMMYFUNCTION("""COMPUTED_VALUE"""),"MOUZ")</f>
        <v>MOUZ</v>
      </c>
      <c r="F347" s="189" t="str">
        <f>IFERROR(__xludf.DUMMYFUNCTION("""COMPUTED_VALUE"""),"Eintracht Frankfurt")</f>
        <v>Eintracht Frankfurt</v>
      </c>
      <c r="G347" s="189" t="str">
        <f>IFERROR(__xludf.DUMMYFUNCTION("""COMPUTED_VALUE"""),"Raze,Viper,Brimstone,Yoru,Fade")</f>
        <v>Raze,Viper,Brimstone,Yoru,Fade</v>
      </c>
      <c r="H347" s="189" t="str">
        <f>IFERROR(__xludf.DUMMYFUNCTION("""COMPUTED_VALUE"""),"Raze,Viper,Brimstone,Fade,Gekko")</f>
        <v>Raze,Viper,Brimstone,Fade,Gekko</v>
      </c>
      <c r="I347" s="189">
        <f>IFERROR(__xludf.DUMMYFUNCTION("""COMPUTED_VALUE"""),14.0)</f>
        <v>14</v>
      </c>
      <c r="J347" s="189">
        <f>IFERROR(__xludf.DUMMYFUNCTION("""COMPUTED_VALUE"""),12.0)</f>
        <v>12</v>
      </c>
      <c r="K347" s="189">
        <f>IFERROR(__xludf.DUMMYFUNCTION("""COMPUTED_VALUE"""),5.0)</f>
        <v>5</v>
      </c>
      <c r="L347" s="189">
        <f>IFERROR(__xludf.DUMMYFUNCTION("""COMPUTED_VALUE"""),7.0)</f>
        <v>7</v>
      </c>
      <c r="M347" s="189">
        <f>IFERROR(__xludf.DUMMYFUNCTION("""COMPUTED_VALUE"""),0.0)</f>
        <v>0</v>
      </c>
      <c r="N347" s="189">
        <f>IFERROR(__xludf.DUMMYFUNCTION("""COMPUTED_VALUE"""),0.0)</f>
        <v>0</v>
      </c>
      <c r="O347" s="189">
        <f>IFERROR(__xludf.DUMMYFUNCTION("""COMPUTED_VALUE"""),8.0)</f>
        <v>8</v>
      </c>
      <c r="P347" s="189">
        <f>IFERROR(__xludf.DUMMYFUNCTION("""COMPUTED_VALUE"""),5.0)</f>
        <v>5</v>
      </c>
      <c r="Q347" s="189">
        <f>IFERROR(__xludf.DUMMYFUNCTION("""COMPUTED_VALUE"""),6.0)</f>
        <v>6</v>
      </c>
      <c r="R347" s="189">
        <f>IFERROR(__xludf.DUMMYFUNCTION("""COMPUTED_VALUE"""),7.0)</f>
        <v>7</v>
      </c>
      <c r="S347" s="189">
        <f>IFERROR(__xludf.DUMMYFUNCTION("""COMPUTED_VALUE"""),1.0)</f>
        <v>1</v>
      </c>
      <c r="T347" s="189">
        <f>IFERROR(__xludf.DUMMYFUNCTION("""COMPUTED_VALUE"""),1.0)</f>
        <v>1</v>
      </c>
      <c r="U347" s="189">
        <f>IFERROR(__xludf.DUMMYFUNCTION("""COMPUTED_VALUE"""),7.0)</f>
        <v>7</v>
      </c>
      <c r="V347" s="189">
        <f>IFERROR(__xludf.DUMMYFUNCTION("""COMPUTED_VALUE"""),6.0)</f>
        <v>6</v>
      </c>
      <c r="W347" s="189">
        <f>IFERROR(__xludf.DUMMYFUNCTION("""COMPUTED_VALUE"""),5.0)</f>
        <v>5</v>
      </c>
      <c r="X347" s="189">
        <f>IFERROR(__xludf.DUMMYFUNCTION("""COMPUTED_VALUE"""),8.0)</f>
        <v>8</v>
      </c>
      <c r="Y347" s="208" t="str">
        <f>IFERROR(__xludf.DUMMYFUNCTION("""COMPUTED_VALUE"""),"2025-08-16T00:00:00.000Z")</f>
        <v>2025-08-16T00:00:00.000Z</v>
      </c>
      <c r="Z347" s="189" t="s">
        <v>134</v>
      </c>
      <c r="AA347" s="189" t="s">
        <v>180</v>
      </c>
    </row>
    <row r="348">
      <c r="A348" s="189">
        <f>IFERROR(__xludf.DUMMYFUNCTION("""COMPUTED_VALUE"""),212490.0)</f>
        <v>212490</v>
      </c>
      <c r="B348" s="189">
        <f>IFERROR(__xludf.DUMMYFUNCTION("""COMPUTED_VALUE"""),93599.0)</f>
        <v>93599</v>
      </c>
      <c r="C348" s="189" t="str">
        <f>IFERROR(__xludf.DUMMYFUNCTION("""COMPUTED_VALUE"""),"Challengers League 2025 DACH: Evolution Stage 3 - Playoffs")</f>
        <v>Challengers League 2025 DACH: Evolution Stage 3 - Playoffs</v>
      </c>
      <c r="D348" s="189" t="str">
        <f>IFERROR(__xludf.DUMMYFUNCTION("""COMPUTED_VALUE"""),"Haven")</f>
        <v>Haven</v>
      </c>
      <c r="E348" s="189" t="str">
        <f>IFERROR(__xludf.DUMMYFUNCTION("""COMPUTED_VALUE"""),"ALTERNATE aTTaX")</f>
        <v>ALTERNATE aTTaX</v>
      </c>
      <c r="F348" s="189" t="str">
        <f>IFERROR(__xludf.DUMMYFUNCTION("""COMPUTED_VALUE"""),"MOUZ")</f>
        <v>MOUZ</v>
      </c>
      <c r="G348" s="189" t="str">
        <f>IFERROR(__xludf.DUMMYFUNCTION("""COMPUTED_VALUE"""),"Sova,Killjoy,Viper,Omen,Neon")</f>
        <v>Sova,Killjoy,Viper,Omen,Neon</v>
      </c>
      <c r="H348" s="189" t="str">
        <f>IFERROR(__xludf.DUMMYFUNCTION("""COMPUTED_VALUE"""),"Cypher,Sova,Omen,Yoru,Iso")</f>
        <v>Cypher,Sova,Omen,Yoru,Iso</v>
      </c>
      <c r="I348" s="189">
        <f>IFERROR(__xludf.DUMMYFUNCTION("""COMPUTED_VALUE"""),5.0)</f>
        <v>5</v>
      </c>
      <c r="J348" s="189">
        <f>IFERROR(__xludf.DUMMYFUNCTION("""COMPUTED_VALUE"""),13.0)</f>
        <v>13</v>
      </c>
      <c r="K348" s="189">
        <f>IFERROR(__xludf.DUMMYFUNCTION("""COMPUTED_VALUE"""),3.0)</f>
        <v>3</v>
      </c>
      <c r="L348" s="189">
        <f>IFERROR(__xludf.DUMMYFUNCTION("""COMPUTED_VALUE"""),9.0)</f>
        <v>9</v>
      </c>
      <c r="M348" s="189">
        <f>IFERROR(__xludf.DUMMYFUNCTION("""COMPUTED_VALUE"""),0.0)</f>
        <v>0</v>
      </c>
      <c r="N348" s="189">
        <f>IFERROR(__xludf.DUMMYFUNCTION("""COMPUTED_VALUE"""),0.0)</f>
        <v>0</v>
      </c>
      <c r="O348" s="189">
        <f>IFERROR(__xludf.DUMMYFUNCTION("""COMPUTED_VALUE"""),2.0)</f>
        <v>2</v>
      </c>
      <c r="P348" s="189">
        <f>IFERROR(__xludf.DUMMYFUNCTION("""COMPUTED_VALUE"""),4.0)</f>
        <v>4</v>
      </c>
      <c r="Q348" s="189">
        <f>IFERROR(__xludf.DUMMYFUNCTION("""COMPUTED_VALUE"""),3.0)</f>
        <v>3</v>
      </c>
      <c r="R348" s="189">
        <f>IFERROR(__xludf.DUMMYFUNCTION("""COMPUTED_VALUE"""),9.0)</f>
        <v>9</v>
      </c>
      <c r="S348" s="189">
        <f>IFERROR(__xludf.DUMMYFUNCTION("""COMPUTED_VALUE"""),1.0)</f>
        <v>1</v>
      </c>
      <c r="T348" s="189">
        <f>IFERROR(__xludf.DUMMYFUNCTION("""COMPUTED_VALUE"""),1.0)</f>
        <v>1</v>
      </c>
      <c r="U348" s="189">
        <f>IFERROR(__xludf.DUMMYFUNCTION("""COMPUTED_VALUE"""),9.0)</f>
        <v>9</v>
      </c>
      <c r="V348" s="189">
        <f>IFERROR(__xludf.DUMMYFUNCTION("""COMPUTED_VALUE"""),3.0)</f>
        <v>3</v>
      </c>
      <c r="W348" s="189">
        <f>IFERROR(__xludf.DUMMYFUNCTION("""COMPUTED_VALUE"""),4.0)</f>
        <v>4</v>
      </c>
      <c r="X348" s="189">
        <f>IFERROR(__xludf.DUMMYFUNCTION("""COMPUTED_VALUE"""),2.0)</f>
        <v>2</v>
      </c>
      <c r="Y348" s="208" t="str">
        <f>IFERROR(__xludf.DUMMYFUNCTION("""COMPUTED_VALUE"""),"2025-08-15T00:00:00.000Z")</f>
        <v>2025-08-15T00:00:00.000Z</v>
      </c>
      <c r="Z348" s="189" t="s">
        <v>491</v>
      </c>
      <c r="AA348" s="189" t="s">
        <v>180</v>
      </c>
    </row>
    <row r="349">
      <c r="A349" s="189">
        <f>IFERROR(__xludf.DUMMYFUNCTION("""COMPUTED_VALUE"""),212489.0)</f>
        <v>212489</v>
      </c>
      <c r="B349" s="189">
        <f>IFERROR(__xludf.DUMMYFUNCTION("""COMPUTED_VALUE"""),93599.0)</f>
        <v>93599</v>
      </c>
      <c r="C349" s="189" t="str">
        <f>IFERROR(__xludf.DUMMYFUNCTION("""COMPUTED_VALUE"""),"Challengers League 2025 DACH: Evolution Stage 3 - Playoffs")</f>
        <v>Challengers League 2025 DACH: Evolution Stage 3 - Playoffs</v>
      </c>
      <c r="D349" s="189" t="str">
        <f>IFERROR(__xludf.DUMMYFUNCTION("""COMPUTED_VALUE"""),"Corrode")</f>
        <v>Corrode</v>
      </c>
      <c r="E349" s="189" t="str">
        <f>IFERROR(__xludf.DUMMYFUNCTION("""COMPUTED_VALUE"""),"ALTERNATE aTTaX")</f>
        <v>ALTERNATE aTTaX</v>
      </c>
      <c r="F349" s="189" t="str">
        <f>IFERROR(__xludf.DUMMYFUNCTION("""COMPUTED_VALUE"""),"MOUZ")</f>
        <v>MOUZ</v>
      </c>
      <c r="G349" s="189" t="str">
        <f>IFERROR(__xludf.DUMMYFUNCTION("""COMPUTED_VALUE"""),"Sage,Omen,Neon,Fade,Vyse")</f>
        <v>Sage,Omen,Neon,Fade,Vyse</v>
      </c>
      <c r="H349" s="189" t="str">
        <f>IFERROR(__xludf.DUMMYFUNCTION("""COMPUTED_VALUE"""),"Omen,Yoru,Chamber,Neon,Fade")</f>
        <v>Omen,Yoru,Chamber,Neon,Fade</v>
      </c>
      <c r="I349" s="189">
        <f>IFERROR(__xludf.DUMMYFUNCTION("""COMPUTED_VALUE"""),11.0)</f>
        <v>11</v>
      </c>
      <c r="J349" s="189">
        <f>IFERROR(__xludf.DUMMYFUNCTION("""COMPUTED_VALUE"""),13.0)</f>
        <v>13</v>
      </c>
      <c r="K349" s="189">
        <f>IFERROR(__xludf.DUMMYFUNCTION("""COMPUTED_VALUE"""),5.0)</f>
        <v>5</v>
      </c>
      <c r="L349" s="189">
        <f>IFERROR(__xludf.DUMMYFUNCTION("""COMPUTED_VALUE"""),7.0)</f>
        <v>7</v>
      </c>
      <c r="M349" s="189">
        <f>IFERROR(__xludf.DUMMYFUNCTION("""COMPUTED_VALUE"""),0.0)</f>
        <v>0</v>
      </c>
      <c r="N349" s="189">
        <f>IFERROR(__xludf.DUMMYFUNCTION("""COMPUTED_VALUE"""),0.0)</f>
        <v>0</v>
      </c>
      <c r="O349" s="189">
        <f>IFERROR(__xludf.DUMMYFUNCTION("""COMPUTED_VALUE"""),5.0)</f>
        <v>5</v>
      </c>
      <c r="P349" s="189">
        <f>IFERROR(__xludf.DUMMYFUNCTION("""COMPUTED_VALUE"""),7.0)</f>
        <v>7</v>
      </c>
      <c r="Q349" s="189">
        <f>IFERROR(__xludf.DUMMYFUNCTION("""COMPUTED_VALUE"""),6.0)</f>
        <v>6</v>
      </c>
      <c r="R349" s="189">
        <f>IFERROR(__xludf.DUMMYFUNCTION("""COMPUTED_VALUE"""),6.0)</f>
        <v>6</v>
      </c>
      <c r="S349" s="189">
        <f>IFERROR(__xludf.DUMMYFUNCTION("""COMPUTED_VALUE"""),1.0)</f>
        <v>1</v>
      </c>
      <c r="T349" s="189">
        <f>IFERROR(__xludf.DUMMYFUNCTION("""COMPUTED_VALUE"""),1.0)</f>
        <v>1</v>
      </c>
      <c r="U349" s="189">
        <f>IFERROR(__xludf.DUMMYFUNCTION("""COMPUTED_VALUE"""),6.0)</f>
        <v>6</v>
      </c>
      <c r="V349" s="189">
        <f>IFERROR(__xludf.DUMMYFUNCTION("""COMPUTED_VALUE"""),6.0)</f>
        <v>6</v>
      </c>
      <c r="W349" s="189">
        <f>IFERROR(__xludf.DUMMYFUNCTION("""COMPUTED_VALUE"""),7.0)</f>
        <v>7</v>
      </c>
      <c r="X349" s="189">
        <f>IFERROR(__xludf.DUMMYFUNCTION("""COMPUTED_VALUE"""),5.0)</f>
        <v>5</v>
      </c>
      <c r="Y349" s="208" t="str">
        <f>IFERROR(__xludf.DUMMYFUNCTION("""COMPUTED_VALUE"""),"2025-08-15T00:00:00.000Z")</f>
        <v>2025-08-15T00:00:00.000Z</v>
      </c>
      <c r="Z349" s="189" t="s">
        <v>492</v>
      </c>
      <c r="AA349" s="189" t="s">
        <v>180</v>
      </c>
    </row>
    <row r="350">
      <c r="A350" s="189">
        <f>IFERROR(__xludf.DUMMYFUNCTION("""COMPUTED_VALUE"""),212487.0)</f>
        <v>212487</v>
      </c>
      <c r="B350" s="189">
        <f>IFERROR(__xludf.DUMMYFUNCTION("""COMPUTED_VALUE"""),93598.0)</f>
        <v>93598</v>
      </c>
      <c r="C350" s="189" t="str">
        <f>IFERROR(__xludf.DUMMYFUNCTION("""COMPUTED_VALUE"""),"Challengers League 2025 DACH: Evolution Stage 3 - Playoffs")</f>
        <v>Challengers League 2025 DACH: Evolution Stage 3 - Playoffs</v>
      </c>
      <c r="D350" s="189" t="str">
        <f>IFERROR(__xludf.DUMMYFUNCTION("""COMPUTED_VALUE"""),"Sunset")</f>
        <v>Sunset</v>
      </c>
      <c r="E350" s="189" t="str">
        <f>IFERROR(__xludf.DUMMYFUNCTION("""COMPUTED_VALUE"""),"FOKUS")</f>
        <v>FOKUS</v>
      </c>
      <c r="F350" s="189" t="str">
        <f>IFERROR(__xludf.DUMMYFUNCTION("""COMPUTED_VALUE"""),"Eintracht Frankfurt")</f>
        <v>Eintracht Frankfurt</v>
      </c>
      <c r="G350" s="189" t="str">
        <f>IFERROR(__xludf.DUMMYFUNCTION("""COMPUTED_VALUE"""),"Breach,Cypher,Sova,Omen,Neon")</f>
        <v>Breach,Cypher,Sova,Omen,Neon</v>
      </c>
      <c r="H350" s="189" t="str">
        <f>IFERROR(__xludf.DUMMYFUNCTION("""COMPUTED_VALUE"""),"Raze,Cypher,Omen,Yoru,Fade")</f>
        <v>Raze,Cypher,Omen,Yoru,Fade</v>
      </c>
      <c r="I350" s="189">
        <f>IFERROR(__xludf.DUMMYFUNCTION("""COMPUTED_VALUE"""),7.0)</f>
        <v>7</v>
      </c>
      <c r="J350" s="189">
        <f>IFERROR(__xludf.DUMMYFUNCTION("""COMPUTED_VALUE"""),13.0)</f>
        <v>13</v>
      </c>
      <c r="K350" s="189">
        <f>IFERROR(__xludf.DUMMYFUNCTION("""COMPUTED_VALUE"""),3.0)</f>
        <v>3</v>
      </c>
      <c r="L350" s="189">
        <f>IFERROR(__xludf.DUMMYFUNCTION("""COMPUTED_VALUE"""),9.0)</f>
        <v>9</v>
      </c>
      <c r="M350" s="189">
        <f>IFERROR(__xludf.DUMMYFUNCTION("""COMPUTED_VALUE"""),0.0)</f>
        <v>0</v>
      </c>
      <c r="N350" s="189">
        <f>IFERROR(__xludf.DUMMYFUNCTION("""COMPUTED_VALUE"""),1.0)</f>
        <v>1</v>
      </c>
      <c r="O350" s="189">
        <f>IFERROR(__xludf.DUMMYFUNCTION("""COMPUTED_VALUE"""),3.0)</f>
        <v>3</v>
      </c>
      <c r="P350" s="189">
        <f>IFERROR(__xludf.DUMMYFUNCTION("""COMPUTED_VALUE"""),9.0)</f>
        <v>9</v>
      </c>
      <c r="Q350" s="189">
        <f>IFERROR(__xludf.DUMMYFUNCTION("""COMPUTED_VALUE"""),4.0)</f>
        <v>4</v>
      </c>
      <c r="R350" s="189">
        <f>IFERROR(__xludf.DUMMYFUNCTION("""COMPUTED_VALUE"""),4.0)</f>
        <v>4</v>
      </c>
      <c r="S350" s="189">
        <f>IFERROR(__xludf.DUMMYFUNCTION("""COMPUTED_VALUE"""),0.0)</f>
        <v>0</v>
      </c>
      <c r="T350" s="189">
        <f>IFERROR(__xludf.DUMMYFUNCTION("""COMPUTED_VALUE"""),1.0)</f>
        <v>1</v>
      </c>
      <c r="U350" s="189">
        <f>IFERROR(__xludf.DUMMYFUNCTION("""COMPUTED_VALUE"""),4.0)</f>
        <v>4</v>
      </c>
      <c r="V350" s="189">
        <f>IFERROR(__xludf.DUMMYFUNCTION("""COMPUTED_VALUE"""),4.0)</f>
        <v>4</v>
      </c>
      <c r="W350" s="189">
        <f>IFERROR(__xludf.DUMMYFUNCTION("""COMPUTED_VALUE"""),9.0)</f>
        <v>9</v>
      </c>
      <c r="X350" s="189">
        <f>IFERROR(__xludf.DUMMYFUNCTION("""COMPUTED_VALUE"""),3.0)</f>
        <v>3</v>
      </c>
      <c r="Y350" s="208" t="str">
        <f>IFERROR(__xludf.DUMMYFUNCTION("""COMPUTED_VALUE"""),"2025-08-15T00:00:00.000Z")</f>
        <v>2025-08-15T00:00:00.000Z</v>
      </c>
      <c r="Z350" s="189" t="s">
        <v>493</v>
      </c>
      <c r="AA350" s="189" t="s">
        <v>183</v>
      </c>
    </row>
    <row r="351">
      <c r="A351" s="189">
        <f>IFERROR(__xludf.DUMMYFUNCTION("""COMPUTED_VALUE"""),212486.0)</f>
        <v>212486</v>
      </c>
      <c r="B351" s="189">
        <f>IFERROR(__xludf.DUMMYFUNCTION("""COMPUTED_VALUE"""),93598.0)</f>
        <v>93598</v>
      </c>
      <c r="C351" s="189" t="str">
        <f>IFERROR(__xludf.DUMMYFUNCTION("""COMPUTED_VALUE"""),"Challengers League 2025 DACH: Evolution Stage 3 - Playoffs")</f>
        <v>Challengers League 2025 DACH: Evolution Stage 3 - Playoffs</v>
      </c>
      <c r="D351" s="189" t="str">
        <f>IFERROR(__xludf.DUMMYFUNCTION("""COMPUTED_VALUE"""),"Bind")</f>
        <v>Bind</v>
      </c>
      <c r="E351" s="189" t="str">
        <f>IFERROR(__xludf.DUMMYFUNCTION("""COMPUTED_VALUE"""),"FOKUS")</f>
        <v>FOKUS</v>
      </c>
      <c r="F351" s="189" t="str">
        <f>IFERROR(__xludf.DUMMYFUNCTION("""COMPUTED_VALUE"""),"Eintracht Frankfurt")</f>
        <v>Eintracht Frankfurt</v>
      </c>
      <c r="G351" s="189" t="str">
        <f>IFERROR(__xludf.DUMMYFUNCTION("""COMPUTED_VALUE"""),"Raze,Viper,Brimstone,Skye,Gekko")</f>
        <v>Raze,Viper,Brimstone,Skye,Gekko</v>
      </c>
      <c r="H351" s="189" t="str">
        <f>IFERROR(__xludf.DUMMYFUNCTION("""COMPUTED_VALUE"""),"Raze,Viper,Brimstone,Fade,Gekko")</f>
        <v>Raze,Viper,Brimstone,Fade,Gekko</v>
      </c>
      <c r="I351" s="189">
        <f>IFERROR(__xludf.DUMMYFUNCTION("""COMPUTED_VALUE"""),6.0)</f>
        <v>6</v>
      </c>
      <c r="J351" s="189">
        <f>IFERROR(__xludf.DUMMYFUNCTION("""COMPUTED_VALUE"""),13.0)</f>
        <v>13</v>
      </c>
      <c r="K351" s="189">
        <f>IFERROR(__xludf.DUMMYFUNCTION("""COMPUTED_VALUE"""),4.0)</f>
        <v>4</v>
      </c>
      <c r="L351" s="189">
        <f>IFERROR(__xludf.DUMMYFUNCTION("""COMPUTED_VALUE"""),8.0)</f>
        <v>8</v>
      </c>
      <c r="M351" s="189">
        <f>IFERROR(__xludf.DUMMYFUNCTION("""COMPUTED_VALUE"""),0.0)</f>
        <v>0</v>
      </c>
      <c r="N351" s="189">
        <f>IFERROR(__xludf.DUMMYFUNCTION("""COMPUTED_VALUE"""),0.0)</f>
        <v>0</v>
      </c>
      <c r="O351" s="189">
        <f>IFERROR(__xludf.DUMMYFUNCTION("""COMPUTED_VALUE"""),4.0)</f>
        <v>4</v>
      </c>
      <c r="P351" s="189">
        <f>IFERROR(__xludf.DUMMYFUNCTION("""COMPUTED_VALUE"""),8.0)</f>
        <v>8</v>
      </c>
      <c r="Q351" s="189">
        <f>IFERROR(__xludf.DUMMYFUNCTION("""COMPUTED_VALUE"""),2.0)</f>
        <v>2</v>
      </c>
      <c r="R351" s="189">
        <f>IFERROR(__xludf.DUMMYFUNCTION("""COMPUTED_VALUE"""),5.0)</f>
        <v>5</v>
      </c>
      <c r="S351" s="189">
        <f>IFERROR(__xludf.DUMMYFUNCTION("""COMPUTED_VALUE"""),1.0)</f>
        <v>1</v>
      </c>
      <c r="T351" s="189">
        <f>IFERROR(__xludf.DUMMYFUNCTION("""COMPUTED_VALUE"""),1.0)</f>
        <v>1</v>
      </c>
      <c r="U351" s="189">
        <f>IFERROR(__xludf.DUMMYFUNCTION("""COMPUTED_VALUE"""),5.0)</f>
        <v>5</v>
      </c>
      <c r="V351" s="189">
        <f>IFERROR(__xludf.DUMMYFUNCTION("""COMPUTED_VALUE"""),2.0)</f>
        <v>2</v>
      </c>
      <c r="W351" s="189">
        <f>IFERROR(__xludf.DUMMYFUNCTION("""COMPUTED_VALUE"""),8.0)</f>
        <v>8</v>
      </c>
      <c r="X351" s="189">
        <f>IFERROR(__xludf.DUMMYFUNCTION("""COMPUTED_VALUE"""),4.0)</f>
        <v>4</v>
      </c>
      <c r="Y351" s="208" t="str">
        <f>IFERROR(__xludf.DUMMYFUNCTION("""COMPUTED_VALUE"""),"2025-08-15T00:00:00.000Z")</f>
        <v>2025-08-15T00:00:00.000Z</v>
      </c>
      <c r="Z351" s="189" t="s">
        <v>494</v>
      </c>
      <c r="AA351" s="189" t="s">
        <v>183</v>
      </c>
    </row>
    <row r="352">
      <c r="A352" s="189">
        <f>IFERROR(__xludf.DUMMYFUNCTION("""COMPUTED_VALUE"""),212729.0)</f>
        <v>212729</v>
      </c>
      <c r="B352" s="189">
        <f>IFERROR(__xludf.DUMMYFUNCTION("""COMPUTED_VALUE"""),93687.0)</f>
        <v>93687</v>
      </c>
      <c r="C352" s="189" t="str">
        <f>IFERROR(__xludf.DUMMYFUNCTION("""COMPUTED_VALUE"""),"Challengers 2025: France Revolution Split 3 - Playoffs")</f>
        <v>Challengers 2025: France Revolution Split 3 - Playoffs</v>
      </c>
      <c r="D352" s="189" t="str">
        <f>IFERROR(__xludf.DUMMYFUNCTION("""COMPUTED_VALUE"""),"Ascent")</f>
        <v>Ascent</v>
      </c>
      <c r="E352" s="189" t="str">
        <f>IFERROR(__xludf.DUMMYFUNCTION("""COMPUTED_VALUE"""),"Mandatory")</f>
        <v>Mandatory</v>
      </c>
      <c r="F352" s="189" t="str">
        <f>IFERROR(__xludf.DUMMYFUNCTION("""COMPUTED_VALUE"""),"Team Valiant")</f>
        <v>Team Valiant</v>
      </c>
      <c r="G352" s="189" t="str">
        <f>IFERROR(__xludf.DUMMYFUNCTION("""COMPUTED_VALUE"""),"Sova,Viper,Omen,Yoru,Deadlock")</f>
        <v>Sova,Viper,Omen,Yoru,Deadlock</v>
      </c>
      <c r="H352" s="189" t="str">
        <f>IFERROR(__xludf.DUMMYFUNCTION("""COMPUTED_VALUE"""),"Cypher,Sova,Omen,Jett,KAY/O")</f>
        <v>Cypher,Sova,Omen,Jett,KAY/O</v>
      </c>
      <c r="I352" s="189">
        <f>IFERROR(__xludf.DUMMYFUNCTION("""COMPUTED_VALUE"""),13.0)</f>
        <v>13</v>
      </c>
      <c r="J352" s="189">
        <f>IFERROR(__xludf.DUMMYFUNCTION("""COMPUTED_VALUE"""),2.0)</f>
        <v>2</v>
      </c>
      <c r="K352" s="189">
        <f>IFERROR(__xludf.DUMMYFUNCTION("""COMPUTED_VALUE"""),10.0)</f>
        <v>10</v>
      </c>
      <c r="L352" s="189">
        <f>IFERROR(__xludf.DUMMYFUNCTION("""COMPUTED_VALUE"""),2.0)</f>
        <v>2</v>
      </c>
      <c r="M352" s="189">
        <f>IFERROR(__xludf.DUMMYFUNCTION("""COMPUTED_VALUE"""),1.0)</f>
        <v>1</v>
      </c>
      <c r="N352" s="189">
        <f>IFERROR(__xludf.DUMMYFUNCTION("""COMPUTED_VALUE"""),1.0)</f>
        <v>1</v>
      </c>
      <c r="O352" s="189">
        <f>IFERROR(__xludf.DUMMYFUNCTION("""COMPUTED_VALUE"""),10.0)</f>
        <v>10</v>
      </c>
      <c r="P352" s="189">
        <f>IFERROR(__xludf.DUMMYFUNCTION("""COMPUTED_VALUE"""),2.0)</f>
        <v>2</v>
      </c>
      <c r="Q352" s="189">
        <f>IFERROR(__xludf.DUMMYFUNCTION("""COMPUTED_VALUE"""),3.0)</f>
        <v>3</v>
      </c>
      <c r="R352" s="189">
        <f>IFERROR(__xludf.DUMMYFUNCTION("""COMPUTED_VALUE"""),0.0)</f>
        <v>0</v>
      </c>
      <c r="S352" s="189">
        <f>IFERROR(__xludf.DUMMYFUNCTION("""COMPUTED_VALUE"""),0.0)</f>
        <v>0</v>
      </c>
      <c r="T352" s="189">
        <f>IFERROR(__xludf.DUMMYFUNCTION("""COMPUTED_VALUE"""),0.0)</f>
        <v>0</v>
      </c>
      <c r="U352" s="189">
        <f>IFERROR(__xludf.DUMMYFUNCTION("""COMPUTED_VALUE"""),0.0)</f>
        <v>0</v>
      </c>
      <c r="V352" s="189">
        <f>IFERROR(__xludf.DUMMYFUNCTION("""COMPUTED_VALUE"""),3.0)</f>
        <v>3</v>
      </c>
      <c r="W352" s="189">
        <f>IFERROR(__xludf.DUMMYFUNCTION("""COMPUTED_VALUE"""),2.0)</f>
        <v>2</v>
      </c>
      <c r="X352" s="189">
        <f>IFERROR(__xludf.DUMMYFUNCTION("""COMPUTED_VALUE"""),10.0)</f>
        <v>10</v>
      </c>
      <c r="Y352" s="208" t="str">
        <f>IFERROR(__xludf.DUMMYFUNCTION("""COMPUTED_VALUE"""),"2025-08-12T00:00:00.000Z")</f>
        <v>2025-08-12T00:00:00.000Z</v>
      </c>
      <c r="Z352" s="189" t="s">
        <v>126</v>
      </c>
      <c r="AA352" s="189" t="s">
        <v>189</v>
      </c>
    </row>
    <row r="353">
      <c r="A353" s="189">
        <f>IFERROR(__xludf.DUMMYFUNCTION("""COMPUTED_VALUE"""),212728.0)</f>
        <v>212728</v>
      </c>
      <c r="B353" s="189">
        <f>IFERROR(__xludf.DUMMYFUNCTION("""COMPUTED_VALUE"""),93687.0)</f>
        <v>93687</v>
      </c>
      <c r="C353" s="189" t="str">
        <f>IFERROR(__xludf.DUMMYFUNCTION("""COMPUTED_VALUE"""),"Challengers 2025: France Revolution Split 3 - Playoffs")</f>
        <v>Challengers 2025: France Revolution Split 3 - Playoffs</v>
      </c>
      <c r="D353" s="189" t="str">
        <f>IFERROR(__xludf.DUMMYFUNCTION("""COMPUTED_VALUE"""),"Haven")</f>
        <v>Haven</v>
      </c>
      <c r="E353" s="189" t="str">
        <f>IFERROR(__xludf.DUMMYFUNCTION("""COMPUTED_VALUE"""),"Mandatory")</f>
        <v>Mandatory</v>
      </c>
      <c r="F353" s="189" t="str">
        <f>IFERROR(__xludf.DUMMYFUNCTION("""COMPUTED_VALUE"""),"Team Valiant")</f>
        <v>Team Valiant</v>
      </c>
      <c r="G353" s="189" t="str">
        <f>IFERROR(__xludf.DUMMYFUNCTION("""COMPUTED_VALUE"""),"Cypher,Sova,Omen,Yoru,Iso")</f>
        <v>Cypher,Sova,Omen,Yoru,Iso</v>
      </c>
      <c r="H353" s="189" t="str">
        <f>IFERROR(__xludf.DUMMYFUNCTION("""COMPUTED_VALUE"""),"Sova,Killjoy,Viper,Omen,Neon")</f>
        <v>Sova,Killjoy,Viper,Omen,Neon</v>
      </c>
      <c r="I353" s="189">
        <f>IFERROR(__xludf.DUMMYFUNCTION("""COMPUTED_VALUE"""),17.0)</f>
        <v>17</v>
      </c>
      <c r="J353" s="189">
        <f>IFERROR(__xludf.DUMMYFUNCTION("""COMPUTED_VALUE"""),15.0)</f>
        <v>15</v>
      </c>
      <c r="K353" s="189">
        <f>IFERROR(__xludf.DUMMYFUNCTION("""COMPUTED_VALUE"""),6.0)</f>
        <v>6</v>
      </c>
      <c r="L353" s="189">
        <f>IFERROR(__xludf.DUMMYFUNCTION("""COMPUTED_VALUE"""),6.0)</f>
        <v>6</v>
      </c>
      <c r="M353" s="189">
        <f>IFERROR(__xludf.DUMMYFUNCTION("""COMPUTED_VALUE"""),0.0)</f>
        <v>0</v>
      </c>
      <c r="N353" s="189">
        <f>IFERROR(__xludf.DUMMYFUNCTION("""COMPUTED_VALUE"""),1.0)</f>
        <v>1</v>
      </c>
      <c r="O353" s="189">
        <f>IFERROR(__xludf.DUMMYFUNCTION("""COMPUTED_VALUE"""),7.0)</f>
        <v>7</v>
      </c>
      <c r="P353" s="189">
        <f>IFERROR(__xludf.DUMMYFUNCTION("""COMPUTED_VALUE"""),9.0)</f>
        <v>9</v>
      </c>
      <c r="Q353" s="189">
        <f>IFERROR(__xludf.DUMMYFUNCTION("""COMPUTED_VALUE"""),10.0)</f>
        <v>10</v>
      </c>
      <c r="R353" s="189">
        <f>IFERROR(__xludf.DUMMYFUNCTION("""COMPUTED_VALUE"""),6.0)</f>
        <v>6</v>
      </c>
      <c r="S353" s="189">
        <f>IFERROR(__xludf.DUMMYFUNCTION("""COMPUTED_VALUE"""),0.0)</f>
        <v>0</v>
      </c>
      <c r="T353" s="189">
        <f>IFERROR(__xludf.DUMMYFUNCTION("""COMPUTED_VALUE"""),1.0)</f>
        <v>1</v>
      </c>
      <c r="U353" s="189">
        <f>IFERROR(__xludf.DUMMYFUNCTION("""COMPUTED_VALUE"""),6.0)</f>
        <v>6</v>
      </c>
      <c r="V353" s="189">
        <f>IFERROR(__xludf.DUMMYFUNCTION("""COMPUTED_VALUE"""),10.0)</f>
        <v>10</v>
      </c>
      <c r="W353" s="189">
        <f>IFERROR(__xludf.DUMMYFUNCTION("""COMPUTED_VALUE"""),9.0)</f>
        <v>9</v>
      </c>
      <c r="X353" s="189">
        <f>IFERROR(__xludf.DUMMYFUNCTION("""COMPUTED_VALUE"""),7.0)</f>
        <v>7</v>
      </c>
      <c r="Y353" s="208" t="str">
        <f>IFERROR(__xludf.DUMMYFUNCTION("""COMPUTED_VALUE"""),"2025-08-12T00:00:00.000Z")</f>
        <v>2025-08-12T00:00:00.000Z</v>
      </c>
      <c r="Z353" s="189" t="s">
        <v>128</v>
      </c>
      <c r="AA353" s="189" t="s">
        <v>189</v>
      </c>
    </row>
    <row r="354">
      <c r="A354" s="189">
        <f>IFERROR(__xludf.DUMMYFUNCTION("""COMPUTED_VALUE"""),212727.0)</f>
        <v>212727</v>
      </c>
      <c r="B354" s="189">
        <f>IFERROR(__xludf.DUMMYFUNCTION("""COMPUTED_VALUE"""),93687.0)</f>
        <v>93687</v>
      </c>
      <c r="C354" s="189" t="str">
        <f>IFERROR(__xludf.DUMMYFUNCTION("""COMPUTED_VALUE"""),"Challengers 2025: France Revolution Split 3 - Playoffs")</f>
        <v>Challengers 2025: France Revolution Split 3 - Playoffs</v>
      </c>
      <c r="D354" s="189" t="str">
        <f>IFERROR(__xludf.DUMMYFUNCTION("""COMPUTED_VALUE"""),"Lotus")</f>
        <v>Lotus</v>
      </c>
      <c r="E354" s="189" t="str">
        <f>IFERROR(__xludf.DUMMYFUNCTION("""COMPUTED_VALUE"""),"Mandatory")</f>
        <v>Mandatory</v>
      </c>
      <c r="F354" s="189" t="str">
        <f>IFERROR(__xludf.DUMMYFUNCTION("""COMPUTED_VALUE"""),"Team Valiant")</f>
        <v>Team Valiant</v>
      </c>
      <c r="G354" s="189" t="str">
        <f>IFERROR(__xludf.DUMMYFUNCTION("""COMPUTED_VALUE"""),"Cypher,Sova,Omen,Yoru,Deadlock")</f>
        <v>Cypher,Sova,Omen,Yoru,Deadlock</v>
      </c>
      <c r="H354" s="189" t="str">
        <f>IFERROR(__xludf.DUMMYFUNCTION("""COMPUTED_VALUE"""),"Raze,Killjoy,Viper,Omen,Fade")</f>
        <v>Raze,Killjoy,Viper,Omen,Fade</v>
      </c>
      <c r="I354" s="189">
        <f>IFERROR(__xludf.DUMMYFUNCTION("""COMPUTED_VALUE"""),13.0)</f>
        <v>13</v>
      </c>
      <c r="J354" s="189">
        <f>IFERROR(__xludf.DUMMYFUNCTION("""COMPUTED_VALUE"""),8.0)</f>
        <v>8</v>
      </c>
      <c r="K354" s="189">
        <f>IFERROR(__xludf.DUMMYFUNCTION("""COMPUTED_VALUE"""),6.0)</f>
        <v>6</v>
      </c>
      <c r="L354" s="189">
        <f>IFERROR(__xludf.DUMMYFUNCTION("""COMPUTED_VALUE"""),6.0)</f>
        <v>6</v>
      </c>
      <c r="M354" s="189">
        <f>IFERROR(__xludf.DUMMYFUNCTION("""COMPUTED_VALUE"""),1.0)</f>
        <v>1</v>
      </c>
      <c r="N354" s="189">
        <f>IFERROR(__xludf.DUMMYFUNCTION("""COMPUTED_VALUE"""),0.0)</f>
        <v>0</v>
      </c>
      <c r="O354" s="189">
        <f>IFERROR(__xludf.DUMMYFUNCTION("""COMPUTED_VALUE"""),6.0)</f>
        <v>6</v>
      </c>
      <c r="P354" s="189">
        <f>IFERROR(__xludf.DUMMYFUNCTION("""COMPUTED_VALUE"""),6.0)</f>
        <v>6</v>
      </c>
      <c r="Q354" s="189">
        <f>IFERROR(__xludf.DUMMYFUNCTION("""COMPUTED_VALUE"""),7.0)</f>
        <v>7</v>
      </c>
      <c r="R354" s="189">
        <f>IFERROR(__xludf.DUMMYFUNCTION("""COMPUTED_VALUE"""),2.0)</f>
        <v>2</v>
      </c>
      <c r="S354" s="189">
        <f>IFERROR(__xludf.DUMMYFUNCTION("""COMPUTED_VALUE"""),1.0)</f>
        <v>1</v>
      </c>
      <c r="T354" s="189">
        <f>IFERROR(__xludf.DUMMYFUNCTION("""COMPUTED_VALUE"""),0.0)</f>
        <v>0</v>
      </c>
      <c r="U354" s="189">
        <f>IFERROR(__xludf.DUMMYFUNCTION("""COMPUTED_VALUE"""),2.0)</f>
        <v>2</v>
      </c>
      <c r="V354" s="189">
        <f>IFERROR(__xludf.DUMMYFUNCTION("""COMPUTED_VALUE"""),7.0)</f>
        <v>7</v>
      </c>
      <c r="W354" s="189">
        <f>IFERROR(__xludf.DUMMYFUNCTION("""COMPUTED_VALUE"""),6.0)</f>
        <v>6</v>
      </c>
      <c r="X354" s="189">
        <f>IFERROR(__xludf.DUMMYFUNCTION("""COMPUTED_VALUE"""),6.0)</f>
        <v>6</v>
      </c>
      <c r="Y354" s="208" t="str">
        <f>IFERROR(__xludf.DUMMYFUNCTION("""COMPUTED_VALUE"""),"2025-08-12T00:00:00.000Z")</f>
        <v>2025-08-12T00:00:00.000Z</v>
      </c>
      <c r="Z354" s="189" t="s">
        <v>130</v>
      </c>
      <c r="AA354" s="189" t="s">
        <v>189</v>
      </c>
    </row>
    <row r="355">
      <c r="A355" s="189">
        <f>IFERROR(__xludf.DUMMYFUNCTION("""COMPUTED_VALUE"""),212726.0)</f>
        <v>212726</v>
      </c>
      <c r="B355" s="189">
        <f>IFERROR(__xludf.DUMMYFUNCTION("""COMPUTED_VALUE"""),93687.0)</f>
        <v>93687</v>
      </c>
      <c r="C355" s="189" t="str">
        <f>IFERROR(__xludf.DUMMYFUNCTION("""COMPUTED_VALUE"""),"Challengers 2025: France Revolution Split 3 - Playoffs")</f>
        <v>Challengers 2025: France Revolution Split 3 - Playoffs</v>
      </c>
      <c r="D355" s="189" t="str">
        <f>IFERROR(__xludf.DUMMYFUNCTION("""COMPUTED_VALUE"""),"Corrode")</f>
        <v>Corrode</v>
      </c>
      <c r="E355" s="189" t="str">
        <f>IFERROR(__xludf.DUMMYFUNCTION("""COMPUTED_VALUE"""),"Mandatory")</f>
        <v>Mandatory</v>
      </c>
      <c r="F355" s="189" t="str">
        <f>IFERROR(__xludf.DUMMYFUNCTION("""COMPUTED_VALUE"""),"Team Valiant")</f>
        <v>Team Valiant</v>
      </c>
      <c r="G355" s="189" t="str">
        <f>IFERROR(__xludf.DUMMYFUNCTION("""COMPUTED_VALUE"""),"Raze,Viper,Omen,Fade,Vyse")</f>
        <v>Raze,Viper,Omen,Fade,Vyse</v>
      </c>
      <c r="H355" s="189" t="str">
        <f>IFERROR(__xludf.DUMMYFUNCTION("""COMPUTED_VALUE"""),"Viper,Omen,Neon,Fade,Vyse")</f>
        <v>Viper,Omen,Neon,Fade,Vyse</v>
      </c>
      <c r="I355" s="189">
        <f>IFERROR(__xludf.DUMMYFUNCTION("""COMPUTED_VALUE"""),4.0)</f>
        <v>4</v>
      </c>
      <c r="J355" s="189">
        <f>IFERROR(__xludf.DUMMYFUNCTION("""COMPUTED_VALUE"""),13.0)</f>
        <v>13</v>
      </c>
      <c r="K355" s="189">
        <f>IFERROR(__xludf.DUMMYFUNCTION("""COMPUTED_VALUE"""),3.0)</f>
        <v>3</v>
      </c>
      <c r="L355" s="189">
        <f>IFERROR(__xludf.DUMMYFUNCTION("""COMPUTED_VALUE"""),9.0)</f>
        <v>9</v>
      </c>
      <c r="M355" s="189">
        <f>IFERROR(__xludf.DUMMYFUNCTION("""COMPUTED_VALUE"""),0.0)</f>
        <v>0</v>
      </c>
      <c r="N355" s="189">
        <f>IFERROR(__xludf.DUMMYFUNCTION("""COMPUTED_VALUE"""),0.0)</f>
        <v>0</v>
      </c>
      <c r="O355" s="189">
        <f>IFERROR(__xludf.DUMMYFUNCTION("""COMPUTED_VALUE"""),1.0)</f>
        <v>1</v>
      </c>
      <c r="P355" s="189">
        <f>IFERROR(__xludf.DUMMYFUNCTION("""COMPUTED_VALUE"""),4.0)</f>
        <v>4</v>
      </c>
      <c r="Q355" s="189">
        <f>IFERROR(__xludf.DUMMYFUNCTION("""COMPUTED_VALUE"""),3.0)</f>
        <v>3</v>
      </c>
      <c r="R355" s="189">
        <f>IFERROR(__xludf.DUMMYFUNCTION("""COMPUTED_VALUE"""),9.0)</f>
        <v>9</v>
      </c>
      <c r="S355" s="189">
        <f>IFERROR(__xludf.DUMMYFUNCTION("""COMPUTED_VALUE"""),1.0)</f>
        <v>1</v>
      </c>
      <c r="T355" s="189">
        <f>IFERROR(__xludf.DUMMYFUNCTION("""COMPUTED_VALUE"""),1.0)</f>
        <v>1</v>
      </c>
      <c r="U355" s="189">
        <f>IFERROR(__xludf.DUMMYFUNCTION("""COMPUTED_VALUE"""),9.0)</f>
        <v>9</v>
      </c>
      <c r="V355" s="189">
        <f>IFERROR(__xludf.DUMMYFUNCTION("""COMPUTED_VALUE"""),3.0)</f>
        <v>3</v>
      </c>
      <c r="W355" s="189">
        <f>IFERROR(__xludf.DUMMYFUNCTION("""COMPUTED_VALUE"""),4.0)</f>
        <v>4</v>
      </c>
      <c r="X355" s="189">
        <f>IFERROR(__xludf.DUMMYFUNCTION("""COMPUTED_VALUE"""),1.0)</f>
        <v>1</v>
      </c>
      <c r="Y355" s="208" t="str">
        <f>IFERROR(__xludf.DUMMYFUNCTION("""COMPUTED_VALUE"""),"2025-08-12T00:00:00.000Z")</f>
        <v>2025-08-12T00:00:00.000Z</v>
      </c>
      <c r="Z355" s="189" t="s">
        <v>127</v>
      </c>
      <c r="AA355" s="189" t="s">
        <v>393</v>
      </c>
    </row>
    <row r="356">
      <c r="A356" s="189">
        <f>IFERROR(__xludf.DUMMYFUNCTION("""COMPUTED_VALUE"""),212725.0)</f>
        <v>212725</v>
      </c>
      <c r="B356" s="189">
        <f>IFERROR(__xludf.DUMMYFUNCTION("""COMPUTED_VALUE"""),93687.0)</f>
        <v>93687</v>
      </c>
      <c r="C356" s="189" t="str">
        <f>IFERROR(__xludf.DUMMYFUNCTION("""COMPUTED_VALUE"""),"Challengers 2025: France Revolution Split 3 - Playoffs")</f>
        <v>Challengers 2025: France Revolution Split 3 - Playoffs</v>
      </c>
      <c r="D356" s="189" t="str">
        <f>IFERROR(__xludf.DUMMYFUNCTION("""COMPUTED_VALUE"""),"Icebox")</f>
        <v>Icebox</v>
      </c>
      <c r="E356" s="189" t="str">
        <f>IFERROR(__xludf.DUMMYFUNCTION("""COMPUTED_VALUE"""),"Mandatory")</f>
        <v>Mandatory</v>
      </c>
      <c r="F356" s="189" t="str">
        <f>IFERROR(__xludf.DUMMYFUNCTION("""COMPUTED_VALUE"""),"Team Valiant")</f>
        <v>Team Valiant</v>
      </c>
      <c r="G356" s="189" t="str">
        <f>IFERROR(__xludf.DUMMYFUNCTION("""COMPUTED_VALUE"""),"Sova,Killjoy,Viper,Omen,Gekko")</f>
        <v>Sova,Killjoy,Viper,Omen,Gekko</v>
      </c>
      <c r="H356" s="189" t="str">
        <f>IFERROR(__xludf.DUMMYFUNCTION("""COMPUTED_VALUE"""),"Sova,Killjoy,Viper,Jett,KAY/O")</f>
        <v>Sova,Killjoy,Viper,Jett,KAY/O</v>
      </c>
      <c r="I356" s="189">
        <f>IFERROR(__xludf.DUMMYFUNCTION("""COMPUTED_VALUE"""),9.0)</f>
        <v>9</v>
      </c>
      <c r="J356" s="189">
        <f>IFERROR(__xludf.DUMMYFUNCTION("""COMPUTED_VALUE"""),13.0)</f>
        <v>13</v>
      </c>
      <c r="K356" s="189">
        <f>IFERROR(__xludf.DUMMYFUNCTION("""COMPUTED_VALUE"""),2.0)</f>
        <v>2</v>
      </c>
      <c r="L356" s="189">
        <f>IFERROR(__xludf.DUMMYFUNCTION("""COMPUTED_VALUE"""),10.0)</f>
        <v>10</v>
      </c>
      <c r="M356" s="189">
        <f>IFERROR(__xludf.DUMMYFUNCTION("""COMPUTED_VALUE"""),0.0)</f>
        <v>0</v>
      </c>
      <c r="N356" s="189">
        <f>IFERROR(__xludf.DUMMYFUNCTION("""COMPUTED_VALUE"""),1.0)</f>
        <v>1</v>
      </c>
      <c r="O356" s="189">
        <f>IFERROR(__xludf.DUMMYFUNCTION("""COMPUTED_VALUE"""),2.0)</f>
        <v>2</v>
      </c>
      <c r="P356" s="189">
        <f>IFERROR(__xludf.DUMMYFUNCTION("""COMPUTED_VALUE"""),10.0)</f>
        <v>10</v>
      </c>
      <c r="Q356" s="189">
        <f>IFERROR(__xludf.DUMMYFUNCTION("""COMPUTED_VALUE"""),7.0)</f>
        <v>7</v>
      </c>
      <c r="R356" s="189">
        <f>IFERROR(__xludf.DUMMYFUNCTION("""COMPUTED_VALUE"""),3.0)</f>
        <v>3</v>
      </c>
      <c r="S356" s="189">
        <f>IFERROR(__xludf.DUMMYFUNCTION("""COMPUTED_VALUE"""),0.0)</f>
        <v>0</v>
      </c>
      <c r="T356" s="189">
        <f>IFERROR(__xludf.DUMMYFUNCTION("""COMPUTED_VALUE"""),1.0)</f>
        <v>1</v>
      </c>
      <c r="U356" s="189">
        <f>IFERROR(__xludf.DUMMYFUNCTION("""COMPUTED_VALUE"""),3.0)</f>
        <v>3</v>
      </c>
      <c r="V356" s="189">
        <f>IFERROR(__xludf.DUMMYFUNCTION("""COMPUTED_VALUE"""),7.0)</f>
        <v>7</v>
      </c>
      <c r="W356" s="189">
        <f>IFERROR(__xludf.DUMMYFUNCTION("""COMPUTED_VALUE"""),10.0)</f>
        <v>10</v>
      </c>
      <c r="X356" s="189">
        <f>IFERROR(__xludf.DUMMYFUNCTION("""COMPUTED_VALUE"""),2.0)</f>
        <v>2</v>
      </c>
      <c r="Y356" s="208" t="str">
        <f>IFERROR(__xludf.DUMMYFUNCTION("""COMPUTED_VALUE"""),"2025-08-12T00:00:00.000Z")</f>
        <v>2025-08-12T00:00:00.000Z</v>
      </c>
      <c r="Z356" s="189" t="s">
        <v>129</v>
      </c>
      <c r="AA356" s="189" t="s">
        <v>393</v>
      </c>
    </row>
    <row r="357">
      <c r="A357" s="189">
        <f>IFERROR(__xludf.DUMMYFUNCTION("""COMPUTED_VALUE"""),212732.0)</f>
        <v>212732</v>
      </c>
      <c r="B357" s="189">
        <f>IFERROR(__xludf.DUMMYFUNCTION("""COMPUTED_VALUE"""),93688.0)</f>
        <v>93688</v>
      </c>
      <c r="C357" s="189" t="str">
        <f>IFERROR(__xludf.DUMMYFUNCTION("""COMPUTED_VALUE"""),"Challengers 2025: Türkiye Birlik Split 3 - Playoffs")</f>
        <v>Challengers 2025: Türkiye Birlik Split 3 - Playoffs</v>
      </c>
      <c r="D357" s="189" t="str">
        <f>IFERROR(__xludf.DUMMYFUNCTION("""COMPUTED_VALUE"""),"Sunset")</f>
        <v>Sunset</v>
      </c>
      <c r="E357" s="189" t="str">
        <f>IFERROR(__xludf.DUMMYFUNCTION("""COMPUTED_VALUE"""),"Eternal Fire")</f>
        <v>Eternal Fire</v>
      </c>
      <c r="F357" s="189" t="str">
        <f>IFERROR(__xludf.DUMMYFUNCTION("""COMPUTED_VALUE"""),"ULF Esports")</f>
        <v>ULF Esports</v>
      </c>
      <c r="G357" s="189" t="str">
        <f>IFERROR(__xludf.DUMMYFUNCTION("""COMPUTED_VALUE"""),"Cypher,Sova,Omen,Yoru,Neon")</f>
        <v>Cypher,Sova,Omen,Yoru,Neon</v>
      </c>
      <c r="H357" s="189" t="str">
        <f>IFERROR(__xludf.DUMMYFUNCTION("""COMPUTED_VALUE"""),"Breach,Sova,Omen,Neon,Vyse")</f>
        <v>Breach,Sova,Omen,Neon,Vyse</v>
      </c>
      <c r="I357" s="189">
        <f>IFERROR(__xludf.DUMMYFUNCTION("""COMPUTED_VALUE"""),8.0)</f>
        <v>8</v>
      </c>
      <c r="J357" s="189">
        <f>IFERROR(__xludf.DUMMYFUNCTION("""COMPUTED_VALUE"""),13.0)</f>
        <v>13</v>
      </c>
      <c r="K357" s="189">
        <f>IFERROR(__xludf.DUMMYFUNCTION("""COMPUTED_VALUE"""),4.0)</f>
        <v>4</v>
      </c>
      <c r="L357" s="189">
        <f>IFERROR(__xludf.DUMMYFUNCTION("""COMPUTED_VALUE"""),8.0)</f>
        <v>8</v>
      </c>
      <c r="M357" s="189">
        <f>IFERROR(__xludf.DUMMYFUNCTION("""COMPUTED_VALUE"""),0.0)</f>
        <v>0</v>
      </c>
      <c r="N357" s="189">
        <f>IFERROR(__xludf.DUMMYFUNCTION("""COMPUTED_VALUE"""),0.0)</f>
        <v>0</v>
      </c>
      <c r="O357" s="189">
        <f>IFERROR(__xludf.DUMMYFUNCTION("""COMPUTED_VALUE"""),4.0)</f>
        <v>4</v>
      </c>
      <c r="P357" s="189">
        <f>IFERROR(__xludf.DUMMYFUNCTION("""COMPUTED_VALUE"""),5.0)</f>
        <v>5</v>
      </c>
      <c r="Q357" s="189">
        <f>IFERROR(__xludf.DUMMYFUNCTION("""COMPUTED_VALUE"""),4.0)</f>
        <v>4</v>
      </c>
      <c r="R357" s="189">
        <f>IFERROR(__xludf.DUMMYFUNCTION("""COMPUTED_VALUE"""),8.0)</f>
        <v>8</v>
      </c>
      <c r="S357" s="189">
        <f>IFERROR(__xludf.DUMMYFUNCTION("""COMPUTED_VALUE"""),1.0)</f>
        <v>1</v>
      </c>
      <c r="T357" s="189">
        <f>IFERROR(__xludf.DUMMYFUNCTION("""COMPUTED_VALUE"""),1.0)</f>
        <v>1</v>
      </c>
      <c r="U357" s="189">
        <f>IFERROR(__xludf.DUMMYFUNCTION("""COMPUTED_VALUE"""),8.0)</f>
        <v>8</v>
      </c>
      <c r="V357" s="189">
        <f>IFERROR(__xludf.DUMMYFUNCTION("""COMPUTED_VALUE"""),4.0)</f>
        <v>4</v>
      </c>
      <c r="W357" s="189">
        <f>IFERROR(__xludf.DUMMYFUNCTION("""COMPUTED_VALUE"""),5.0)</f>
        <v>5</v>
      </c>
      <c r="X357" s="189">
        <f>IFERROR(__xludf.DUMMYFUNCTION("""COMPUTED_VALUE"""),4.0)</f>
        <v>4</v>
      </c>
      <c r="Y357" s="208" t="str">
        <f>IFERROR(__xludf.DUMMYFUNCTION("""COMPUTED_VALUE"""),"2025-08-11T00:00:00.000Z")</f>
        <v>2025-08-11T00:00:00.000Z</v>
      </c>
      <c r="Z357" s="189" t="s">
        <v>495</v>
      </c>
      <c r="AA357" s="189" t="s">
        <v>188</v>
      </c>
    </row>
    <row r="358">
      <c r="A358" s="189">
        <f>IFERROR(__xludf.DUMMYFUNCTION("""COMPUTED_VALUE"""),212731.0)</f>
        <v>212731</v>
      </c>
      <c r="B358" s="189">
        <f>IFERROR(__xludf.DUMMYFUNCTION("""COMPUTED_VALUE"""),93688.0)</f>
        <v>93688</v>
      </c>
      <c r="C358" s="189" t="str">
        <f>IFERROR(__xludf.DUMMYFUNCTION("""COMPUTED_VALUE"""),"Challengers 2025: Türkiye Birlik Split 3 - Playoffs")</f>
        <v>Challengers 2025: Türkiye Birlik Split 3 - Playoffs</v>
      </c>
      <c r="D358" s="189" t="str">
        <f>IFERROR(__xludf.DUMMYFUNCTION("""COMPUTED_VALUE"""),"Corrode")</f>
        <v>Corrode</v>
      </c>
      <c r="E358" s="189" t="str">
        <f>IFERROR(__xludf.DUMMYFUNCTION("""COMPUTED_VALUE"""),"Eternal Fire")</f>
        <v>Eternal Fire</v>
      </c>
      <c r="F358" s="189" t="str">
        <f>IFERROR(__xludf.DUMMYFUNCTION("""COMPUTED_VALUE"""),"ULF Esports")</f>
        <v>ULF Esports</v>
      </c>
      <c r="G358" s="189" t="str">
        <f>IFERROR(__xludf.DUMMYFUNCTION("""COMPUTED_VALUE"""),"Omen,Yoru,Neon,Fade,Vyse")</f>
        <v>Omen,Yoru,Neon,Fade,Vyse</v>
      </c>
      <c r="H358" s="189" t="str">
        <f>IFERROR(__xludf.DUMMYFUNCTION("""COMPUTED_VALUE"""),"Omen,KAY/O,Neon,Fade,Vyse")</f>
        <v>Omen,KAY/O,Neon,Fade,Vyse</v>
      </c>
      <c r="I358" s="189">
        <f>IFERROR(__xludf.DUMMYFUNCTION("""COMPUTED_VALUE"""),8.0)</f>
        <v>8</v>
      </c>
      <c r="J358" s="189">
        <f>IFERROR(__xludf.DUMMYFUNCTION("""COMPUTED_VALUE"""),13.0)</f>
        <v>13</v>
      </c>
      <c r="K358" s="189">
        <f>IFERROR(__xludf.DUMMYFUNCTION("""COMPUTED_VALUE"""),5.0)</f>
        <v>5</v>
      </c>
      <c r="L358" s="189">
        <f>IFERROR(__xludf.DUMMYFUNCTION("""COMPUTED_VALUE"""),7.0)</f>
        <v>7</v>
      </c>
      <c r="M358" s="189">
        <f>IFERROR(__xludf.DUMMYFUNCTION("""COMPUTED_VALUE"""),1.0)</f>
        <v>1</v>
      </c>
      <c r="N358" s="189">
        <f>IFERROR(__xludf.DUMMYFUNCTION("""COMPUTED_VALUE"""),0.0)</f>
        <v>0</v>
      </c>
      <c r="O358" s="189">
        <f>IFERROR(__xludf.DUMMYFUNCTION("""COMPUTED_VALUE"""),5.0)</f>
        <v>5</v>
      </c>
      <c r="P358" s="189">
        <f>IFERROR(__xludf.DUMMYFUNCTION("""COMPUTED_VALUE"""),7.0)</f>
        <v>7</v>
      </c>
      <c r="Q358" s="189">
        <f>IFERROR(__xludf.DUMMYFUNCTION("""COMPUTED_VALUE"""),3.0)</f>
        <v>3</v>
      </c>
      <c r="R358" s="189">
        <f>IFERROR(__xludf.DUMMYFUNCTION("""COMPUTED_VALUE"""),6.0)</f>
        <v>6</v>
      </c>
      <c r="S358" s="189">
        <f>IFERROR(__xludf.DUMMYFUNCTION("""COMPUTED_VALUE"""),1.0)</f>
        <v>1</v>
      </c>
      <c r="T358" s="189">
        <f>IFERROR(__xludf.DUMMYFUNCTION("""COMPUTED_VALUE"""),0.0)</f>
        <v>0</v>
      </c>
      <c r="U358" s="189">
        <f>IFERROR(__xludf.DUMMYFUNCTION("""COMPUTED_VALUE"""),6.0)</f>
        <v>6</v>
      </c>
      <c r="V358" s="189">
        <f>IFERROR(__xludf.DUMMYFUNCTION("""COMPUTED_VALUE"""),3.0)</f>
        <v>3</v>
      </c>
      <c r="W358" s="189">
        <f>IFERROR(__xludf.DUMMYFUNCTION("""COMPUTED_VALUE"""),7.0)</f>
        <v>7</v>
      </c>
      <c r="X358" s="189">
        <f>IFERROR(__xludf.DUMMYFUNCTION("""COMPUTED_VALUE"""),5.0)</f>
        <v>5</v>
      </c>
      <c r="Y358" s="208" t="str">
        <f>IFERROR(__xludf.DUMMYFUNCTION("""COMPUTED_VALUE"""),"2025-08-11T00:00:00.000Z")</f>
        <v>2025-08-11T00:00:00.000Z</v>
      </c>
      <c r="Z358" s="189" t="s">
        <v>496</v>
      </c>
      <c r="AA358" s="189" t="s">
        <v>188</v>
      </c>
    </row>
    <row r="359">
      <c r="A359" s="189">
        <f>IFERROR(__xludf.DUMMYFUNCTION("""COMPUTED_VALUE"""),212730.0)</f>
        <v>212730</v>
      </c>
      <c r="B359" s="189">
        <f>IFERROR(__xludf.DUMMYFUNCTION("""COMPUTED_VALUE"""),93688.0)</f>
        <v>93688</v>
      </c>
      <c r="C359" s="189" t="str">
        <f>IFERROR(__xludf.DUMMYFUNCTION("""COMPUTED_VALUE"""),"Challengers 2025: Türkiye Birlik Split 3 - Playoffs")</f>
        <v>Challengers 2025: Türkiye Birlik Split 3 - Playoffs</v>
      </c>
      <c r="D359" s="189" t="str">
        <f>IFERROR(__xludf.DUMMYFUNCTION("""COMPUTED_VALUE"""),"Lotus")</f>
        <v>Lotus</v>
      </c>
      <c r="E359" s="189" t="str">
        <f>IFERROR(__xludf.DUMMYFUNCTION("""COMPUTED_VALUE"""),"Eternal Fire")</f>
        <v>Eternal Fire</v>
      </c>
      <c r="F359" s="189" t="str">
        <f>IFERROR(__xludf.DUMMYFUNCTION("""COMPUTED_VALUE"""),"ULF Esports")</f>
        <v>ULF Esports</v>
      </c>
      <c r="G359" s="189" t="str">
        <f>IFERROR(__xludf.DUMMYFUNCTION("""COMPUTED_VALUE"""),"Raze,Omen,Yoru,Fade,Vyse")</f>
        <v>Raze,Omen,Yoru,Fade,Vyse</v>
      </c>
      <c r="H359" s="189" t="str">
        <f>IFERROR(__xludf.DUMMYFUNCTION("""COMPUTED_VALUE"""),"Raze,Omen,Yoru,Fade,Vyse")</f>
        <v>Raze,Omen,Yoru,Fade,Vyse</v>
      </c>
      <c r="I359" s="189">
        <f>IFERROR(__xludf.DUMMYFUNCTION("""COMPUTED_VALUE"""),13.0)</f>
        <v>13</v>
      </c>
      <c r="J359" s="189">
        <f>IFERROR(__xludf.DUMMYFUNCTION("""COMPUTED_VALUE"""),15.0)</f>
        <v>15</v>
      </c>
      <c r="K359" s="189">
        <f>IFERROR(__xludf.DUMMYFUNCTION("""COMPUTED_VALUE"""),5.0)</f>
        <v>5</v>
      </c>
      <c r="L359" s="189">
        <f>IFERROR(__xludf.DUMMYFUNCTION("""COMPUTED_VALUE"""),7.0)</f>
        <v>7</v>
      </c>
      <c r="M359" s="189">
        <f>IFERROR(__xludf.DUMMYFUNCTION("""COMPUTED_VALUE"""),1.0)</f>
        <v>1</v>
      </c>
      <c r="N359" s="189">
        <f>IFERROR(__xludf.DUMMYFUNCTION("""COMPUTED_VALUE"""),0.0)</f>
        <v>0</v>
      </c>
      <c r="O359" s="189">
        <f>IFERROR(__xludf.DUMMYFUNCTION("""COMPUTED_VALUE"""),8.0)</f>
        <v>8</v>
      </c>
      <c r="P359" s="189">
        <f>IFERROR(__xludf.DUMMYFUNCTION("""COMPUTED_VALUE"""),6.0)</f>
        <v>6</v>
      </c>
      <c r="Q359" s="189">
        <f>IFERROR(__xludf.DUMMYFUNCTION("""COMPUTED_VALUE"""),5.0)</f>
        <v>5</v>
      </c>
      <c r="R359" s="189">
        <f>IFERROR(__xludf.DUMMYFUNCTION("""COMPUTED_VALUE"""),9.0)</f>
        <v>9</v>
      </c>
      <c r="S359" s="189">
        <f>IFERROR(__xludf.DUMMYFUNCTION("""COMPUTED_VALUE"""),1.0)</f>
        <v>1</v>
      </c>
      <c r="T359" s="189">
        <f>IFERROR(__xludf.DUMMYFUNCTION("""COMPUTED_VALUE"""),0.0)</f>
        <v>0</v>
      </c>
      <c r="U359" s="189">
        <f>IFERROR(__xludf.DUMMYFUNCTION("""COMPUTED_VALUE"""),9.0)</f>
        <v>9</v>
      </c>
      <c r="V359" s="189">
        <f>IFERROR(__xludf.DUMMYFUNCTION("""COMPUTED_VALUE"""),5.0)</f>
        <v>5</v>
      </c>
      <c r="W359" s="189">
        <f>IFERROR(__xludf.DUMMYFUNCTION("""COMPUTED_VALUE"""),6.0)</f>
        <v>6</v>
      </c>
      <c r="X359" s="189">
        <f>IFERROR(__xludf.DUMMYFUNCTION("""COMPUTED_VALUE"""),8.0)</f>
        <v>8</v>
      </c>
      <c r="Y359" s="208" t="str">
        <f>IFERROR(__xludf.DUMMYFUNCTION("""COMPUTED_VALUE"""),"2025-08-11T00:00:00.000Z")</f>
        <v>2025-08-11T00:00:00.000Z</v>
      </c>
      <c r="Z359" s="189" t="s">
        <v>445</v>
      </c>
      <c r="AA359" s="189" t="s">
        <v>188</v>
      </c>
    </row>
    <row r="360">
      <c r="A360" s="189">
        <f>IFERROR(__xludf.DUMMYFUNCTION("""COMPUTED_VALUE"""),212684.0)</f>
        <v>212684</v>
      </c>
      <c r="B360" s="189">
        <f>IFERROR(__xludf.DUMMYFUNCTION("""COMPUTED_VALUE"""),93674.0)</f>
        <v>93674</v>
      </c>
      <c r="C360" s="189" t="str">
        <f>IFERROR(__xludf.DUMMYFUNCTION("""COMPUTED_VALUE"""),"Challengers 2025: France Revolution Split 3 - Playoffs")</f>
        <v>Challengers 2025: France Revolution Split 3 - Playoffs</v>
      </c>
      <c r="D360" s="189" t="str">
        <f>IFERROR(__xludf.DUMMYFUNCTION("""COMPUTED_VALUE"""),"Corrode")</f>
        <v>Corrode</v>
      </c>
      <c r="E360" s="189" t="str">
        <f>IFERROR(__xludf.DUMMYFUNCTION("""COMPUTED_VALUE"""),"BLX CORP")</f>
        <v>BLX CORP</v>
      </c>
      <c r="F360" s="189" t="str">
        <f>IFERROR(__xludf.DUMMYFUNCTION("""COMPUTED_VALUE"""),"Mandatory")</f>
        <v>Mandatory</v>
      </c>
      <c r="G360" s="189" t="str">
        <f>IFERROR(__xludf.DUMMYFUNCTION("""COMPUTED_VALUE"""),"Cypher,Sova,Phoenix,Yoru,Astra")</f>
        <v>Cypher,Sova,Phoenix,Yoru,Astra</v>
      </c>
      <c r="H360" s="189" t="str">
        <f>IFERROR(__xludf.DUMMYFUNCTION("""COMPUTED_VALUE"""),"Raze,Viper,Omen,Fade,Vyse")</f>
        <v>Raze,Viper,Omen,Fade,Vyse</v>
      </c>
      <c r="I360" s="189">
        <f>IFERROR(__xludf.DUMMYFUNCTION("""COMPUTED_VALUE"""),4.0)</f>
        <v>4</v>
      </c>
      <c r="J360" s="189">
        <f>IFERROR(__xludf.DUMMYFUNCTION("""COMPUTED_VALUE"""),13.0)</f>
        <v>13</v>
      </c>
      <c r="K360" s="189">
        <f>IFERROR(__xludf.DUMMYFUNCTION("""COMPUTED_VALUE"""),2.0)</f>
        <v>2</v>
      </c>
      <c r="L360" s="189">
        <f>IFERROR(__xludf.DUMMYFUNCTION("""COMPUTED_VALUE"""),10.0)</f>
        <v>10</v>
      </c>
      <c r="M360" s="189">
        <f>IFERROR(__xludf.DUMMYFUNCTION("""COMPUTED_VALUE"""),0.0)</f>
        <v>0</v>
      </c>
      <c r="N360" s="189">
        <f>IFERROR(__xludf.DUMMYFUNCTION("""COMPUTED_VALUE"""),1.0)</f>
        <v>1</v>
      </c>
      <c r="O360" s="189">
        <f>IFERROR(__xludf.DUMMYFUNCTION("""COMPUTED_VALUE"""),2.0)</f>
        <v>2</v>
      </c>
      <c r="P360" s="189">
        <f>IFERROR(__xludf.DUMMYFUNCTION("""COMPUTED_VALUE"""),10.0)</f>
        <v>10</v>
      </c>
      <c r="Q360" s="189">
        <f>IFERROR(__xludf.DUMMYFUNCTION("""COMPUTED_VALUE"""),2.0)</f>
        <v>2</v>
      </c>
      <c r="R360" s="189">
        <f>IFERROR(__xludf.DUMMYFUNCTION("""COMPUTED_VALUE"""),3.0)</f>
        <v>3</v>
      </c>
      <c r="S360" s="189">
        <f>IFERROR(__xludf.DUMMYFUNCTION("""COMPUTED_VALUE"""),0.0)</f>
        <v>0</v>
      </c>
      <c r="T360" s="189">
        <f>IFERROR(__xludf.DUMMYFUNCTION("""COMPUTED_VALUE"""),1.0)</f>
        <v>1</v>
      </c>
      <c r="U360" s="189">
        <f>IFERROR(__xludf.DUMMYFUNCTION("""COMPUTED_VALUE"""),3.0)</f>
        <v>3</v>
      </c>
      <c r="V360" s="189">
        <f>IFERROR(__xludf.DUMMYFUNCTION("""COMPUTED_VALUE"""),2.0)</f>
        <v>2</v>
      </c>
      <c r="W360" s="189">
        <f>IFERROR(__xludf.DUMMYFUNCTION("""COMPUTED_VALUE"""),10.0)</f>
        <v>10</v>
      </c>
      <c r="X360" s="189">
        <f>IFERROR(__xludf.DUMMYFUNCTION("""COMPUTED_VALUE"""),2.0)</f>
        <v>2</v>
      </c>
      <c r="Y360" s="208" t="str">
        <f>IFERROR(__xludf.DUMMYFUNCTION("""COMPUTED_VALUE"""),"2025-08-10T00:00:00.000Z")</f>
        <v>2025-08-10T00:00:00.000Z</v>
      </c>
      <c r="Z360" s="189" t="s">
        <v>497</v>
      </c>
      <c r="AA360" s="189" t="s">
        <v>189</v>
      </c>
    </row>
    <row r="361">
      <c r="A361" s="189">
        <f>IFERROR(__xludf.DUMMYFUNCTION("""COMPUTED_VALUE"""),212232.0)</f>
        <v>212232</v>
      </c>
      <c r="B361" s="189">
        <f>IFERROR(__xludf.DUMMYFUNCTION("""COMPUTED_VALUE"""),93506.0)</f>
        <v>93506</v>
      </c>
      <c r="C361" s="189" t="str">
        <f>IFERROR(__xludf.DUMMYFUNCTION("""COMPUTED_VALUE"""),"Challengers 2025: Türkiye Birlik Split 3 - Playoffs")</f>
        <v>Challengers 2025: Türkiye Birlik Split 3 - Playoffs</v>
      </c>
      <c r="D361" s="189" t="str">
        <f>IFERROR(__xludf.DUMMYFUNCTION("""COMPUTED_VALUE"""),"Corrode")</f>
        <v>Corrode</v>
      </c>
      <c r="E361" s="189" t="str">
        <f>IFERROR(__xludf.DUMMYFUNCTION("""COMPUTED_VALUE"""),"ULF Esports")</f>
        <v>ULF Esports</v>
      </c>
      <c r="F361" s="189" t="str">
        <f>IFERROR(__xludf.DUMMYFUNCTION("""COMPUTED_VALUE"""),"BBL PCIFIC")</f>
        <v>BBL PCIFIC</v>
      </c>
      <c r="G361" s="189" t="str">
        <f>IFERROR(__xludf.DUMMYFUNCTION("""COMPUTED_VALUE"""),"Omen,KAY/O,Neon,Fade,Vyse")</f>
        <v>Omen,KAY/O,Neon,Fade,Vyse</v>
      </c>
      <c r="H361" s="189" t="str">
        <f>IFERROR(__xludf.DUMMYFUNCTION("""COMPUTED_VALUE"""),"Viper,Omen,Neon,Fade,Vyse")</f>
        <v>Viper,Omen,Neon,Fade,Vyse</v>
      </c>
      <c r="I361" s="189">
        <f>IFERROR(__xludf.DUMMYFUNCTION("""COMPUTED_VALUE"""),11.0)</f>
        <v>11</v>
      </c>
      <c r="J361" s="189">
        <f>IFERROR(__xludf.DUMMYFUNCTION("""COMPUTED_VALUE"""),13.0)</f>
        <v>13</v>
      </c>
      <c r="K361" s="189">
        <f>IFERROR(__xludf.DUMMYFUNCTION("""COMPUTED_VALUE"""),4.0)</f>
        <v>4</v>
      </c>
      <c r="L361" s="189">
        <f>IFERROR(__xludf.DUMMYFUNCTION("""COMPUTED_VALUE"""),8.0)</f>
        <v>8</v>
      </c>
      <c r="M361" s="189">
        <f>IFERROR(__xludf.DUMMYFUNCTION("""COMPUTED_VALUE"""),0.0)</f>
        <v>0</v>
      </c>
      <c r="N361" s="189">
        <f>IFERROR(__xludf.DUMMYFUNCTION("""COMPUTED_VALUE"""),0.0)</f>
        <v>0</v>
      </c>
      <c r="O361" s="189">
        <f>IFERROR(__xludf.DUMMYFUNCTION("""COMPUTED_VALUE"""),4.0)</f>
        <v>4</v>
      </c>
      <c r="P361" s="189">
        <f>IFERROR(__xludf.DUMMYFUNCTION("""COMPUTED_VALUE"""),8.0)</f>
        <v>8</v>
      </c>
      <c r="Q361" s="189">
        <f>IFERROR(__xludf.DUMMYFUNCTION("""COMPUTED_VALUE"""),7.0)</f>
        <v>7</v>
      </c>
      <c r="R361" s="189">
        <f>IFERROR(__xludf.DUMMYFUNCTION("""COMPUTED_VALUE"""),5.0)</f>
        <v>5</v>
      </c>
      <c r="S361" s="189">
        <f>IFERROR(__xludf.DUMMYFUNCTION("""COMPUTED_VALUE"""),1.0)</f>
        <v>1</v>
      </c>
      <c r="T361" s="189">
        <f>IFERROR(__xludf.DUMMYFUNCTION("""COMPUTED_VALUE"""),1.0)</f>
        <v>1</v>
      </c>
      <c r="U361" s="189">
        <f>IFERROR(__xludf.DUMMYFUNCTION("""COMPUTED_VALUE"""),5.0)</f>
        <v>5</v>
      </c>
      <c r="V361" s="189">
        <f>IFERROR(__xludf.DUMMYFUNCTION("""COMPUTED_VALUE"""),7.0)</f>
        <v>7</v>
      </c>
      <c r="W361" s="189">
        <f>IFERROR(__xludf.DUMMYFUNCTION("""COMPUTED_VALUE"""),8.0)</f>
        <v>8</v>
      </c>
      <c r="X361" s="189">
        <f>IFERROR(__xludf.DUMMYFUNCTION("""COMPUTED_VALUE"""),4.0)</f>
        <v>4</v>
      </c>
      <c r="Y361" s="208" t="str">
        <f>IFERROR(__xludf.DUMMYFUNCTION("""COMPUTED_VALUE"""),"2025-08-10T00:00:00.000Z")</f>
        <v>2025-08-10T00:00:00.000Z</v>
      </c>
      <c r="Z361" s="189" t="s">
        <v>169</v>
      </c>
      <c r="AA361" s="189" t="s">
        <v>186</v>
      </c>
    </row>
    <row r="362">
      <c r="A362" s="189">
        <f>IFERROR(__xludf.DUMMYFUNCTION("""COMPUTED_VALUE"""),212683.0)</f>
        <v>212683</v>
      </c>
      <c r="B362" s="189">
        <f>IFERROR(__xludf.DUMMYFUNCTION("""COMPUTED_VALUE"""),93674.0)</f>
        <v>93674</v>
      </c>
      <c r="C362" s="189" t="str">
        <f>IFERROR(__xludf.DUMMYFUNCTION("""COMPUTED_VALUE"""),"Challengers 2025: France Revolution Split 3 - Playoffs")</f>
        <v>Challengers 2025: France Revolution Split 3 - Playoffs</v>
      </c>
      <c r="D362" s="189" t="str">
        <f>IFERROR(__xludf.DUMMYFUNCTION("""COMPUTED_VALUE"""),"Icebox")</f>
        <v>Icebox</v>
      </c>
      <c r="E362" s="189" t="str">
        <f>IFERROR(__xludf.DUMMYFUNCTION("""COMPUTED_VALUE"""),"BLX CORP")</f>
        <v>BLX CORP</v>
      </c>
      <c r="F362" s="189" t="str">
        <f>IFERROR(__xludf.DUMMYFUNCTION("""COMPUTED_VALUE"""),"Mandatory")</f>
        <v>Mandatory</v>
      </c>
      <c r="G362" s="189" t="str">
        <f>IFERROR(__xludf.DUMMYFUNCTION("""COMPUTED_VALUE"""),"Sova,Killjoy,Viper,Sage,Jett")</f>
        <v>Sova,Killjoy,Viper,Sage,Jett</v>
      </c>
      <c r="H362" s="189" t="str">
        <f>IFERROR(__xludf.DUMMYFUNCTION("""COMPUTED_VALUE"""),"Sova,Killjoy,Viper,Omen,Gekko")</f>
        <v>Sova,Killjoy,Viper,Omen,Gekko</v>
      </c>
      <c r="I362" s="189">
        <f>IFERROR(__xludf.DUMMYFUNCTION("""COMPUTED_VALUE"""),9.0)</f>
        <v>9</v>
      </c>
      <c r="J362" s="189">
        <f>IFERROR(__xludf.DUMMYFUNCTION("""COMPUTED_VALUE"""),13.0)</f>
        <v>13</v>
      </c>
      <c r="K362" s="189">
        <f>IFERROR(__xludf.DUMMYFUNCTION("""COMPUTED_VALUE"""),6.0)</f>
        <v>6</v>
      </c>
      <c r="L362" s="189">
        <f>IFERROR(__xludf.DUMMYFUNCTION("""COMPUTED_VALUE"""),6.0)</f>
        <v>6</v>
      </c>
      <c r="M362" s="189">
        <f>IFERROR(__xludf.DUMMYFUNCTION("""COMPUTED_VALUE"""),1.0)</f>
        <v>1</v>
      </c>
      <c r="N362" s="189">
        <f>IFERROR(__xludf.DUMMYFUNCTION("""COMPUTED_VALUE"""),0.0)</f>
        <v>0</v>
      </c>
      <c r="O362" s="189">
        <f>IFERROR(__xludf.DUMMYFUNCTION("""COMPUTED_VALUE"""),6.0)</f>
        <v>6</v>
      </c>
      <c r="P362" s="189">
        <f>IFERROR(__xludf.DUMMYFUNCTION("""COMPUTED_VALUE"""),6.0)</f>
        <v>6</v>
      </c>
      <c r="Q362" s="189">
        <f>IFERROR(__xludf.DUMMYFUNCTION("""COMPUTED_VALUE"""),3.0)</f>
        <v>3</v>
      </c>
      <c r="R362" s="189">
        <f>IFERROR(__xludf.DUMMYFUNCTION("""COMPUTED_VALUE"""),7.0)</f>
        <v>7</v>
      </c>
      <c r="S362" s="189">
        <f>IFERROR(__xludf.DUMMYFUNCTION("""COMPUTED_VALUE"""),1.0)</f>
        <v>1</v>
      </c>
      <c r="T362" s="189">
        <f>IFERROR(__xludf.DUMMYFUNCTION("""COMPUTED_VALUE"""),0.0)</f>
        <v>0</v>
      </c>
      <c r="U362" s="189">
        <f>IFERROR(__xludf.DUMMYFUNCTION("""COMPUTED_VALUE"""),7.0)</f>
        <v>7</v>
      </c>
      <c r="V362" s="189">
        <f>IFERROR(__xludf.DUMMYFUNCTION("""COMPUTED_VALUE"""),3.0)</f>
        <v>3</v>
      </c>
      <c r="W362" s="189">
        <f>IFERROR(__xludf.DUMMYFUNCTION("""COMPUTED_VALUE"""),6.0)</f>
        <v>6</v>
      </c>
      <c r="X362" s="189">
        <f>IFERROR(__xludf.DUMMYFUNCTION("""COMPUTED_VALUE"""),6.0)</f>
        <v>6</v>
      </c>
      <c r="Y362" s="208" t="str">
        <f>IFERROR(__xludf.DUMMYFUNCTION("""COMPUTED_VALUE"""),"2025-08-10T00:00:00.000Z")</f>
        <v>2025-08-10T00:00:00.000Z</v>
      </c>
      <c r="Z362" s="189" t="s">
        <v>498</v>
      </c>
      <c r="AA362" s="189" t="s">
        <v>189</v>
      </c>
    </row>
    <row r="363">
      <c r="A363" s="189">
        <f>IFERROR(__xludf.DUMMYFUNCTION("""COMPUTED_VALUE"""),212681.0)</f>
        <v>212681</v>
      </c>
      <c r="B363" s="189">
        <f>IFERROR(__xludf.DUMMYFUNCTION("""COMPUTED_VALUE"""),93673.0)</f>
        <v>93673</v>
      </c>
      <c r="C363" s="189" t="str">
        <f>IFERROR(__xludf.DUMMYFUNCTION("""COMPUTED_VALUE"""),"Challengers 2025: Spain Rising Finals - Playoffs")</f>
        <v>Challengers 2025: Spain Rising Finals - Playoffs</v>
      </c>
      <c r="D363" s="189" t="str">
        <f>IFERROR(__xludf.DUMMYFUNCTION("""COMPUTED_VALUE"""),"Lotus")</f>
        <v>Lotus</v>
      </c>
      <c r="E363" s="189" t="str">
        <f>IFERROR(__xludf.DUMMYFUNCTION("""COMPUTED_VALUE"""),"UCAM Esports Club")</f>
        <v>UCAM Esports Club</v>
      </c>
      <c r="F363" s="189" t="str">
        <f>IFERROR(__xludf.DUMMYFUNCTION("""COMPUTED_VALUE"""),"DNSTY")</f>
        <v>DNSTY</v>
      </c>
      <c r="G363" s="189" t="str">
        <f>IFERROR(__xludf.DUMMYFUNCTION("""COMPUTED_VALUE"""),"Breach,Raze,Omen,Fade,Vyse")</f>
        <v>Breach,Raze,Omen,Fade,Vyse</v>
      </c>
      <c r="H363" s="189" t="str">
        <f>IFERROR(__xludf.DUMMYFUNCTION("""COMPUTED_VALUE"""),"Raze,Killjoy,Viper,Omen,Fade")</f>
        <v>Raze,Killjoy,Viper,Omen,Fade</v>
      </c>
      <c r="I363" s="189">
        <f>IFERROR(__xludf.DUMMYFUNCTION("""COMPUTED_VALUE"""),7.0)</f>
        <v>7</v>
      </c>
      <c r="J363" s="189">
        <f>IFERROR(__xludf.DUMMYFUNCTION("""COMPUTED_VALUE"""),13.0)</f>
        <v>13</v>
      </c>
      <c r="K363" s="189">
        <f>IFERROR(__xludf.DUMMYFUNCTION("""COMPUTED_VALUE"""),3.0)</f>
        <v>3</v>
      </c>
      <c r="L363" s="189">
        <f>IFERROR(__xludf.DUMMYFUNCTION("""COMPUTED_VALUE"""),9.0)</f>
        <v>9</v>
      </c>
      <c r="M363" s="189">
        <f>IFERROR(__xludf.DUMMYFUNCTION("""COMPUTED_VALUE"""),0.0)</f>
        <v>0</v>
      </c>
      <c r="N363" s="189">
        <f>IFERROR(__xludf.DUMMYFUNCTION("""COMPUTED_VALUE"""),1.0)</f>
        <v>1</v>
      </c>
      <c r="O363" s="189">
        <f>IFERROR(__xludf.DUMMYFUNCTION("""COMPUTED_VALUE"""),3.0)</f>
        <v>3</v>
      </c>
      <c r="P363" s="189">
        <f>IFERROR(__xludf.DUMMYFUNCTION("""COMPUTED_VALUE"""),9.0)</f>
        <v>9</v>
      </c>
      <c r="Q363" s="189">
        <f>IFERROR(__xludf.DUMMYFUNCTION("""COMPUTED_VALUE"""),4.0)</f>
        <v>4</v>
      </c>
      <c r="R363" s="189">
        <f>IFERROR(__xludf.DUMMYFUNCTION("""COMPUTED_VALUE"""),4.0)</f>
        <v>4</v>
      </c>
      <c r="S363" s="189">
        <f>IFERROR(__xludf.DUMMYFUNCTION("""COMPUTED_VALUE"""),0.0)</f>
        <v>0</v>
      </c>
      <c r="T363" s="189">
        <f>IFERROR(__xludf.DUMMYFUNCTION("""COMPUTED_VALUE"""),1.0)</f>
        <v>1</v>
      </c>
      <c r="U363" s="189">
        <f>IFERROR(__xludf.DUMMYFUNCTION("""COMPUTED_VALUE"""),4.0)</f>
        <v>4</v>
      </c>
      <c r="V363" s="189">
        <f>IFERROR(__xludf.DUMMYFUNCTION("""COMPUTED_VALUE"""),4.0)</f>
        <v>4</v>
      </c>
      <c r="W363" s="189">
        <f>IFERROR(__xludf.DUMMYFUNCTION("""COMPUTED_VALUE"""),9.0)</f>
        <v>9</v>
      </c>
      <c r="X363" s="189">
        <f>IFERROR(__xludf.DUMMYFUNCTION("""COMPUTED_VALUE"""),3.0)</f>
        <v>3</v>
      </c>
      <c r="Y363" s="208" t="str">
        <f>IFERROR(__xludf.DUMMYFUNCTION("""COMPUTED_VALUE"""),"2025-08-10T00:00:00.000Z")</f>
        <v>2025-08-10T00:00:00.000Z</v>
      </c>
      <c r="Z363" s="189" t="s">
        <v>499</v>
      </c>
      <c r="AA363" s="189" t="s">
        <v>182</v>
      </c>
    </row>
    <row r="364">
      <c r="A364" s="189">
        <f>IFERROR(__xludf.DUMMYFUNCTION("""COMPUTED_VALUE"""),212231.0)</f>
        <v>212231</v>
      </c>
      <c r="B364" s="189">
        <f>IFERROR(__xludf.DUMMYFUNCTION("""COMPUTED_VALUE"""),93506.0)</f>
        <v>93506</v>
      </c>
      <c r="C364" s="189" t="str">
        <f>IFERROR(__xludf.DUMMYFUNCTION("""COMPUTED_VALUE"""),"Challengers 2025: Türkiye Birlik Split 3 - Playoffs")</f>
        <v>Challengers 2025: Türkiye Birlik Split 3 - Playoffs</v>
      </c>
      <c r="D364" s="189" t="str">
        <f>IFERROR(__xludf.DUMMYFUNCTION("""COMPUTED_VALUE"""),"Sunset")</f>
        <v>Sunset</v>
      </c>
      <c r="E364" s="189" t="str">
        <f>IFERROR(__xludf.DUMMYFUNCTION("""COMPUTED_VALUE"""),"ULF Esports")</f>
        <v>ULF Esports</v>
      </c>
      <c r="F364" s="189" t="str">
        <f>IFERROR(__xludf.DUMMYFUNCTION("""COMPUTED_VALUE"""),"BBL PCIFIC")</f>
        <v>BBL PCIFIC</v>
      </c>
      <c r="G364" s="189" t="str">
        <f>IFERROR(__xludf.DUMMYFUNCTION("""COMPUTED_VALUE"""),"Breach,Sova,Omen,Neon,Vyse")</f>
        <v>Breach,Sova,Omen,Neon,Vyse</v>
      </c>
      <c r="H364" s="189" t="str">
        <f>IFERROR(__xludf.DUMMYFUNCTION("""COMPUTED_VALUE"""),"Breach,Cypher,Sova,Omen,Neon")</f>
        <v>Breach,Cypher,Sova,Omen,Neon</v>
      </c>
      <c r="I364" s="189">
        <f>IFERROR(__xludf.DUMMYFUNCTION("""COMPUTED_VALUE"""),13.0)</f>
        <v>13</v>
      </c>
      <c r="J364" s="189">
        <f>IFERROR(__xludf.DUMMYFUNCTION("""COMPUTED_VALUE"""),11.0)</f>
        <v>11</v>
      </c>
      <c r="K364" s="189">
        <f>IFERROR(__xludf.DUMMYFUNCTION("""COMPUTED_VALUE"""),7.0)</f>
        <v>7</v>
      </c>
      <c r="L364" s="189">
        <f>IFERROR(__xludf.DUMMYFUNCTION("""COMPUTED_VALUE"""),5.0)</f>
        <v>5</v>
      </c>
      <c r="M364" s="189">
        <f>IFERROR(__xludf.DUMMYFUNCTION("""COMPUTED_VALUE"""),0.0)</f>
        <v>0</v>
      </c>
      <c r="N364" s="189">
        <f>IFERROR(__xludf.DUMMYFUNCTION("""COMPUTED_VALUE"""),1.0)</f>
        <v>1</v>
      </c>
      <c r="O364" s="189">
        <f>IFERROR(__xludf.DUMMYFUNCTION("""COMPUTED_VALUE"""),6.0)</f>
        <v>6</v>
      </c>
      <c r="P364" s="189">
        <f>IFERROR(__xludf.DUMMYFUNCTION("""COMPUTED_VALUE"""),6.0)</f>
        <v>6</v>
      </c>
      <c r="Q364" s="189">
        <f>IFERROR(__xludf.DUMMYFUNCTION("""COMPUTED_VALUE"""),7.0)</f>
        <v>7</v>
      </c>
      <c r="R364" s="189">
        <f>IFERROR(__xludf.DUMMYFUNCTION("""COMPUTED_VALUE"""),5.0)</f>
        <v>5</v>
      </c>
      <c r="S364" s="189">
        <f>IFERROR(__xludf.DUMMYFUNCTION("""COMPUTED_VALUE"""),0.0)</f>
        <v>0</v>
      </c>
      <c r="T364" s="189">
        <f>IFERROR(__xludf.DUMMYFUNCTION("""COMPUTED_VALUE"""),1.0)</f>
        <v>1</v>
      </c>
      <c r="U364" s="189">
        <f>IFERROR(__xludf.DUMMYFUNCTION("""COMPUTED_VALUE"""),5.0)</f>
        <v>5</v>
      </c>
      <c r="V364" s="189">
        <f>IFERROR(__xludf.DUMMYFUNCTION("""COMPUTED_VALUE"""),7.0)</f>
        <v>7</v>
      </c>
      <c r="W364" s="189">
        <f>IFERROR(__xludf.DUMMYFUNCTION("""COMPUTED_VALUE"""),6.0)</f>
        <v>6</v>
      </c>
      <c r="X364" s="189">
        <f>IFERROR(__xludf.DUMMYFUNCTION("""COMPUTED_VALUE"""),6.0)</f>
        <v>6</v>
      </c>
      <c r="Y364" s="208" t="str">
        <f>IFERROR(__xludf.DUMMYFUNCTION("""COMPUTED_VALUE"""),"2025-08-10T00:00:00.000Z")</f>
        <v>2025-08-10T00:00:00.000Z</v>
      </c>
      <c r="Z364" s="189" t="s">
        <v>175</v>
      </c>
      <c r="AA364" s="189" t="s">
        <v>188</v>
      </c>
    </row>
    <row r="365">
      <c r="A365" s="189">
        <f>IFERROR(__xludf.DUMMYFUNCTION("""COMPUTED_VALUE"""),212682.0)</f>
        <v>212682</v>
      </c>
      <c r="B365" s="189">
        <f>IFERROR(__xludf.DUMMYFUNCTION("""COMPUTED_VALUE"""),93674.0)</f>
        <v>93674</v>
      </c>
      <c r="C365" s="189" t="str">
        <f>IFERROR(__xludf.DUMMYFUNCTION("""COMPUTED_VALUE"""),"Challengers 2025: France Revolution Split 3 - Playoffs")</f>
        <v>Challengers 2025: France Revolution Split 3 - Playoffs</v>
      </c>
      <c r="D365" s="189" t="str">
        <f>IFERROR(__xludf.DUMMYFUNCTION("""COMPUTED_VALUE"""),"Lotus")</f>
        <v>Lotus</v>
      </c>
      <c r="E365" s="189" t="str">
        <f>IFERROR(__xludf.DUMMYFUNCTION("""COMPUTED_VALUE"""),"BLX CORP")</f>
        <v>BLX CORP</v>
      </c>
      <c r="F365" s="189" t="str">
        <f>IFERROR(__xludf.DUMMYFUNCTION("""COMPUTED_VALUE"""),"Mandatory")</f>
        <v>Mandatory</v>
      </c>
      <c r="G365" s="189" t="str">
        <f>IFERROR(__xludf.DUMMYFUNCTION("""COMPUTED_VALUE"""),"Sova,Omen,KAY/O,Neon,Deadlock")</f>
        <v>Sova,Omen,KAY/O,Neon,Deadlock</v>
      </c>
      <c r="H365" s="189" t="str">
        <f>IFERROR(__xludf.DUMMYFUNCTION("""COMPUTED_VALUE"""),"Cypher,Sova,Omen,Yoru,Deadlock")</f>
        <v>Cypher,Sova,Omen,Yoru,Deadlock</v>
      </c>
      <c r="I365" s="189">
        <f>IFERROR(__xludf.DUMMYFUNCTION("""COMPUTED_VALUE"""),13.0)</f>
        <v>13</v>
      </c>
      <c r="J365" s="189">
        <f>IFERROR(__xludf.DUMMYFUNCTION("""COMPUTED_VALUE"""),6.0)</f>
        <v>6</v>
      </c>
      <c r="K365" s="189">
        <f>IFERROR(__xludf.DUMMYFUNCTION("""COMPUTED_VALUE"""),9.0)</f>
        <v>9</v>
      </c>
      <c r="L365" s="189">
        <f>IFERROR(__xludf.DUMMYFUNCTION("""COMPUTED_VALUE"""),3.0)</f>
        <v>3</v>
      </c>
      <c r="M365" s="189">
        <f>IFERROR(__xludf.DUMMYFUNCTION("""COMPUTED_VALUE"""),0.0)</f>
        <v>0</v>
      </c>
      <c r="N365" s="189">
        <f>IFERROR(__xludf.DUMMYFUNCTION("""COMPUTED_VALUE"""),1.0)</f>
        <v>1</v>
      </c>
      <c r="O365" s="189">
        <f>IFERROR(__xludf.DUMMYFUNCTION("""COMPUTED_VALUE"""),4.0)</f>
        <v>4</v>
      </c>
      <c r="P365" s="189">
        <f>IFERROR(__xludf.DUMMYFUNCTION("""COMPUTED_VALUE"""),3.0)</f>
        <v>3</v>
      </c>
      <c r="Q365" s="189">
        <f>IFERROR(__xludf.DUMMYFUNCTION("""COMPUTED_VALUE"""),9.0)</f>
        <v>9</v>
      </c>
      <c r="R365" s="189">
        <f>IFERROR(__xludf.DUMMYFUNCTION("""COMPUTED_VALUE"""),3.0)</f>
        <v>3</v>
      </c>
      <c r="S365" s="189">
        <f>IFERROR(__xludf.DUMMYFUNCTION("""COMPUTED_VALUE"""),0.0)</f>
        <v>0</v>
      </c>
      <c r="T365" s="189">
        <f>IFERROR(__xludf.DUMMYFUNCTION("""COMPUTED_VALUE"""),1.0)</f>
        <v>1</v>
      </c>
      <c r="U365" s="189">
        <f>IFERROR(__xludf.DUMMYFUNCTION("""COMPUTED_VALUE"""),3.0)</f>
        <v>3</v>
      </c>
      <c r="V365" s="189">
        <f>IFERROR(__xludf.DUMMYFUNCTION("""COMPUTED_VALUE"""),9.0)</f>
        <v>9</v>
      </c>
      <c r="W365" s="189">
        <f>IFERROR(__xludf.DUMMYFUNCTION("""COMPUTED_VALUE"""),3.0)</f>
        <v>3</v>
      </c>
      <c r="X365" s="189">
        <f>IFERROR(__xludf.DUMMYFUNCTION("""COMPUTED_VALUE"""),4.0)</f>
        <v>4</v>
      </c>
      <c r="Y365" s="208" t="str">
        <f>IFERROR(__xludf.DUMMYFUNCTION("""COMPUTED_VALUE"""),"2025-08-10T00:00:00.000Z")</f>
        <v>2025-08-10T00:00:00.000Z</v>
      </c>
      <c r="Z365" s="189" t="s">
        <v>500</v>
      </c>
      <c r="AA365" s="189" t="s">
        <v>395</v>
      </c>
    </row>
    <row r="366">
      <c r="A366" s="189">
        <f>IFERROR(__xludf.DUMMYFUNCTION("""COMPUTED_VALUE"""),212230.0)</f>
        <v>212230</v>
      </c>
      <c r="B366" s="189">
        <f>IFERROR(__xludf.DUMMYFUNCTION("""COMPUTED_VALUE"""),93506.0)</f>
        <v>93506</v>
      </c>
      <c r="C366" s="189" t="str">
        <f>IFERROR(__xludf.DUMMYFUNCTION("""COMPUTED_VALUE"""),"Challengers 2025: Türkiye Birlik Split 3 - Playoffs")</f>
        <v>Challengers 2025: Türkiye Birlik Split 3 - Playoffs</v>
      </c>
      <c r="D366" s="189" t="str">
        <f>IFERROR(__xludf.DUMMYFUNCTION("""COMPUTED_VALUE"""),"Haven")</f>
        <v>Haven</v>
      </c>
      <c r="E366" s="189" t="str">
        <f>IFERROR(__xludf.DUMMYFUNCTION("""COMPUTED_VALUE"""),"ULF Esports")</f>
        <v>ULF Esports</v>
      </c>
      <c r="F366" s="189" t="str">
        <f>IFERROR(__xludf.DUMMYFUNCTION("""COMPUTED_VALUE"""),"BBL PCIFIC")</f>
        <v>BBL PCIFIC</v>
      </c>
      <c r="G366" s="189" t="str">
        <f>IFERROR(__xludf.DUMMYFUNCTION("""COMPUTED_VALUE"""),"Breach,Cypher,Sova,Omen,Neon")</f>
        <v>Breach,Cypher,Sova,Omen,Neon</v>
      </c>
      <c r="H366" s="189" t="str">
        <f>IFERROR(__xludf.DUMMYFUNCTION("""COMPUTED_VALUE"""),"Breach,Cypher,Sova,Omen,Jett")</f>
        <v>Breach,Cypher,Sova,Omen,Jett</v>
      </c>
      <c r="I366" s="189">
        <f>IFERROR(__xludf.DUMMYFUNCTION("""COMPUTED_VALUE"""),10.0)</f>
        <v>10</v>
      </c>
      <c r="J366" s="189">
        <f>IFERROR(__xludf.DUMMYFUNCTION("""COMPUTED_VALUE"""),13.0)</f>
        <v>13</v>
      </c>
      <c r="K366" s="189">
        <f>IFERROR(__xludf.DUMMYFUNCTION("""COMPUTED_VALUE"""),4.0)</f>
        <v>4</v>
      </c>
      <c r="L366" s="189">
        <f>IFERROR(__xludf.DUMMYFUNCTION("""COMPUTED_VALUE"""),8.0)</f>
        <v>8</v>
      </c>
      <c r="M366" s="189">
        <f>IFERROR(__xludf.DUMMYFUNCTION("""COMPUTED_VALUE"""),1.0)</f>
        <v>1</v>
      </c>
      <c r="N366" s="189">
        <f>IFERROR(__xludf.DUMMYFUNCTION("""COMPUTED_VALUE"""),0.0)</f>
        <v>0</v>
      </c>
      <c r="O366" s="189">
        <f>IFERROR(__xludf.DUMMYFUNCTION("""COMPUTED_VALUE"""),6.0)</f>
        <v>6</v>
      </c>
      <c r="P366" s="189">
        <f>IFERROR(__xludf.DUMMYFUNCTION("""COMPUTED_VALUE"""),5.0)</f>
        <v>5</v>
      </c>
      <c r="Q366" s="189">
        <f>IFERROR(__xludf.DUMMYFUNCTION("""COMPUTED_VALUE"""),4.0)</f>
        <v>4</v>
      </c>
      <c r="R366" s="189">
        <f>IFERROR(__xludf.DUMMYFUNCTION("""COMPUTED_VALUE"""),8.0)</f>
        <v>8</v>
      </c>
      <c r="S366" s="189">
        <f>IFERROR(__xludf.DUMMYFUNCTION("""COMPUTED_VALUE"""),1.0)</f>
        <v>1</v>
      </c>
      <c r="T366" s="189">
        <f>IFERROR(__xludf.DUMMYFUNCTION("""COMPUTED_VALUE"""),0.0)</f>
        <v>0</v>
      </c>
      <c r="U366" s="189">
        <f>IFERROR(__xludf.DUMMYFUNCTION("""COMPUTED_VALUE"""),8.0)</f>
        <v>8</v>
      </c>
      <c r="V366" s="189">
        <f>IFERROR(__xludf.DUMMYFUNCTION("""COMPUTED_VALUE"""),4.0)</f>
        <v>4</v>
      </c>
      <c r="W366" s="189">
        <f>IFERROR(__xludf.DUMMYFUNCTION("""COMPUTED_VALUE"""),5.0)</f>
        <v>5</v>
      </c>
      <c r="X366" s="189">
        <f>IFERROR(__xludf.DUMMYFUNCTION("""COMPUTED_VALUE"""),6.0)</f>
        <v>6</v>
      </c>
      <c r="Y366" s="208" t="str">
        <f>IFERROR(__xludf.DUMMYFUNCTION("""COMPUTED_VALUE"""),"2025-08-10T00:00:00.000Z")</f>
        <v>2025-08-10T00:00:00.000Z</v>
      </c>
      <c r="Z366" s="189" t="s">
        <v>170</v>
      </c>
      <c r="AA366" s="189" t="s">
        <v>186</v>
      </c>
    </row>
    <row r="367">
      <c r="A367" s="189">
        <f>IFERROR(__xludf.DUMMYFUNCTION("""COMPUTED_VALUE"""),212680.0)</f>
        <v>212680</v>
      </c>
      <c r="B367" s="189">
        <f>IFERROR(__xludf.DUMMYFUNCTION("""COMPUTED_VALUE"""),93673.0)</f>
        <v>93673</v>
      </c>
      <c r="C367" s="189" t="str">
        <f>IFERROR(__xludf.DUMMYFUNCTION("""COMPUTED_VALUE"""),"Challengers 2025: Spain Rising Finals - Playoffs")</f>
        <v>Challengers 2025: Spain Rising Finals - Playoffs</v>
      </c>
      <c r="D367" s="189" t="str">
        <f>IFERROR(__xludf.DUMMYFUNCTION("""COMPUTED_VALUE"""),"Haven")</f>
        <v>Haven</v>
      </c>
      <c r="E367" s="189" t="str">
        <f>IFERROR(__xludf.DUMMYFUNCTION("""COMPUTED_VALUE"""),"UCAM Esports Club")</f>
        <v>UCAM Esports Club</v>
      </c>
      <c r="F367" s="189" t="str">
        <f>IFERROR(__xludf.DUMMYFUNCTION("""COMPUTED_VALUE"""),"DNSTY")</f>
        <v>DNSTY</v>
      </c>
      <c r="G367" s="189" t="str">
        <f>IFERROR(__xludf.DUMMYFUNCTION("""COMPUTED_VALUE"""),"Breach,Cypher,Sova,Omen,Jett")</f>
        <v>Breach,Cypher,Sova,Omen,Jett</v>
      </c>
      <c r="H367" s="189" t="str">
        <f>IFERROR(__xludf.DUMMYFUNCTION("""COMPUTED_VALUE"""),"Sova,Killjoy,Viper,Omen,Neon")</f>
        <v>Sova,Killjoy,Viper,Omen,Neon</v>
      </c>
      <c r="I367" s="189">
        <f>IFERROR(__xludf.DUMMYFUNCTION("""COMPUTED_VALUE"""),8.0)</f>
        <v>8</v>
      </c>
      <c r="J367" s="189">
        <f>IFERROR(__xludf.DUMMYFUNCTION("""COMPUTED_VALUE"""),13.0)</f>
        <v>13</v>
      </c>
      <c r="K367" s="189">
        <f>IFERROR(__xludf.DUMMYFUNCTION("""COMPUTED_VALUE"""),2.0)</f>
        <v>2</v>
      </c>
      <c r="L367" s="189">
        <f>IFERROR(__xludf.DUMMYFUNCTION("""COMPUTED_VALUE"""),10.0)</f>
        <v>10</v>
      </c>
      <c r="M367" s="189">
        <f>IFERROR(__xludf.DUMMYFUNCTION("""COMPUTED_VALUE"""),0.0)</f>
        <v>0</v>
      </c>
      <c r="N367" s="189">
        <f>IFERROR(__xludf.DUMMYFUNCTION("""COMPUTED_VALUE"""),0.0)</f>
        <v>0</v>
      </c>
      <c r="O367" s="189">
        <f>IFERROR(__xludf.DUMMYFUNCTION("""COMPUTED_VALUE"""),6.0)</f>
        <v>6</v>
      </c>
      <c r="P367" s="189">
        <f>IFERROR(__xludf.DUMMYFUNCTION("""COMPUTED_VALUE"""),3.0)</f>
        <v>3</v>
      </c>
      <c r="Q367" s="189">
        <f>IFERROR(__xludf.DUMMYFUNCTION("""COMPUTED_VALUE"""),2.0)</f>
        <v>2</v>
      </c>
      <c r="R367" s="189">
        <f>IFERROR(__xludf.DUMMYFUNCTION("""COMPUTED_VALUE"""),10.0)</f>
        <v>10</v>
      </c>
      <c r="S367" s="189">
        <f>IFERROR(__xludf.DUMMYFUNCTION("""COMPUTED_VALUE"""),1.0)</f>
        <v>1</v>
      </c>
      <c r="T367" s="189">
        <f>IFERROR(__xludf.DUMMYFUNCTION("""COMPUTED_VALUE"""),1.0)</f>
        <v>1</v>
      </c>
      <c r="U367" s="189">
        <f>IFERROR(__xludf.DUMMYFUNCTION("""COMPUTED_VALUE"""),10.0)</f>
        <v>10</v>
      </c>
      <c r="V367" s="189">
        <f>IFERROR(__xludf.DUMMYFUNCTION("""COMPUTED_VALUE"""),2.0)</f>
        <v>2</v>
      </c>
      <c r="W367" s="189">
        <f>IFERROR(__xludf.DUMMYFUNCTION("""COMPUTED_VALUE"""),3.0)</f>
        <v>3</v>
      </c>
      <c r="X367" s="189">
        <f>IFERROR(__xludf.DUMMYFUNCTION("""COMPUTED_VALUE"""),6.0)</f>
        <v>6</v>
      </c>
      <c r="Y367" s="208" t="str">
        <f>IFERROR(__xludf.DUMMYFUNCTION("""COMPUTED_VALUE"""),"2025-08-10T00:00:00.000Z")</f>
        <v>2025-08-10T00:00:00.000Z</v>
      </c>
      <c r="Z367" s="189" t="s">
        <v>501</v>
      </c>
      <c r="AA367" s="189" t="s">
        <v>182</v>
      </c>
    </row>
    <row r="368">
      <c r="A368" s="189">
        <f>IFERROR(__xludf.DUMMYFUNCTION("""COMPUTED_VALUE"""),212059.0)</f>
        <v>212059</v>
      </c>
      <c r="B368" s="189">
        <f>IFERROR(__xludf.DUMMYFUNCTION("""COMPUTED_VALUE"""),93450.0)</f>
        <v>93450</v>
      </c>
      <c r="C368" s="189" t="str">
        <f>IFERROR(__xludf.DUMMYFUNCTION("""COMPUTED_VALUE"""),"Challengers 2025: France Revolution Split 3 - Playoffs")</f>
        <v>Challengers 2025: France Revolution Split 3 - Playoffs</v>
      </c>
      <c r="D368" s="189" t="str">
        <f>IFERROR(__xludf.DUMMYFUNCTION("""COMPUTED_VALUE"""),"Haven")</f>
        <v>Haven</v>
      </c>
      <c r="E368" s="189" t="str">
        <f>IFERROR(__xludf.DUMMYFUNCTION("""COMPUTED_VALUE"""),"Team Valiant")</f>
        <v>Team Valiant</v>
      </c>
      <c r="F368" s="189" t="str">
        <f>IFERROR(__xludf.DUMMYFUNCTION("""COMPUTED_VALUE"""),"Joblife")</f>
        <v>Joblife</v>
      </c>
      <c r="G368" s="189" t="str">
        <f>IFERROR(__xludf.DUMMYFUNCTION("""COMPUTED_VALUE"""),"Sova,Killjoy,Viper,Omen,Neon")</f>
        <v>Sova,Killjoy,Viper,Omen,Neon</v>
      </c>
      <c r="H368" s="189" t="str">
        <f>IFERROR(__xludf.DUMMYFUNCTION("""COMPUTED_VALUE"""),"Breach,Cypher,Sova,Omen,Jett")</f>
        <v>Breach,Cypher,Sova,Omen,Jett</v>
      </c>
      <c r="I368" s="189">
        <f>IFERROR(__xludf.DUMMYFUNCTION("""COMPUTED_VALUE"""),9.0)</f>
        <v>9</v>
      </c>
      <c r="J368" s="189">
        <f>IFERROR(__xludf.DUMMYFUNCTION("""COMPUTED_VALUE"""),13.0)</f>
        <v>13</v>
      </c>
      <c r="K368" s="189">
        <f>IFERROR(__xludf.DUMMYFUNCTION("""COMPUTED_VALUE"""),6.0)</f>
        <v>6</v>
      </c>
      <c r="L368" s="189">
        <f>IFERROR(__xludf.DUMMYFUNCTION("""COMPUTED_VALUE"""),6.0)</f>
        <v>6</v>
      </c>
      <c r="M368" s="189">
        <f>IFERROR(__xludf.DUMMYFUNCTION("""COMPUTED_VALUE"""),0.0)</f>
        <v>0</v>
      </c>
      <c r="N368" s="189">
        <f>IFERROR(__xludf.DUMMYFUNCTION("""COMPUTED_VALUE"""),0.0)</f>
        <v>0</v>
      </c>
      <c r="O368" s="189">
        <f>IFERROR(__xludf.DUMMYFUNCTION("""COMPUTED_VALUE"""),3.0)</f>
        <v>3</v>
      </c>
      <c r="P368" s="189">
        <f>IFERROR(__xludf.DUMMYFUNCTION("""COMPUTED_VALUE"""),7.0)</f>
        <v>7</v>
      </c>
      <c r="Q368" s="189">
        <f>IFERROR(__xludf.DUMMYFUNCTION("""COMPUTED_VALUE"""),6.0)</f>
        <v>6</v>
      </c>
      <c r="R368" s="189">
        <f>IFERROR(__xludf.DUMMYFUNCTION("""COMPUTED_VALUE"""),6.0)</f>
        <v>6</v>
      </c>
      <c r="S368" s="189">
        <f>IFERROR(__xludf.DUMMYFUNCTION("""COMPUTED_VALUE"""),1.0)</f>
        <v>1</v>
      </c>
      <c r="T368" s="189">
        <f>IFERROR(__xludf.DUMMYFUNCTION("""COMPUTED_VALUE"""),1.0)</f>
        <v>1</v>
      </c>
      <c r="U368" s="189">
        <f>IFERROR(__xludf.DUMMYFUNCTION("""COMPUTED_VALUE"""),6.0)</f>
        <v>6</v>
      </c>
      <c r="V368" s="189">
        <f>IFERROR(__xludf.DUMMYFUNCTION("""COMPUTED_VALUE"""),6.0)</f>
        <v>6</v>
      </c>
      <c r="W368" s="189">
        <f>IFERROR(__xludf.DUMMYFUNCTION("""COMPUTED_VALUE"""),7.0)</f>
        <v>7</v>
      </c>
      <c r="X368" s="189">
        <f>IFERROR(__xludf.DUMMYFUNCTION("""COMPUTED_VALUE"""),3.0)</f>
        <v>3</v>
      </c>
      <c r="Y368" s="208" t="str">
        <f>IFERROR(__xludf.DUMMYFUNCTION("""COMPUTED_VALUE"""),"2025-08-10T00:00:00.000Z")</f>
        <v>2025-08-10T00:00:00.000Z</v>
      </c>
      <c r="Z368" s="189" t="s">
        <v>390</v>
      </c>
      <c r="AA368" s="189" t="s">
        <v>232</v>
      </c>
    </row>
    <row r="369">
      <c r="A369" s="189">
        <f>IFERROR(__xludf.DUMMYFUNCTION("""COMPUTED_VALUE"""),212679.0)</f>
        <v>212679</v>
      </c>
      <c r="B369" s="189">
        <f>IFERROR(__xludf.DUMMYFUNCTION("""COMPUTED_VALUE"""),93673.0)</f>
        <v>93673</v>
      </c>
      <c r="C369" s="189" t="str">
        <f>IFERROR(__xludf.DUMMYFUNCTION("""COMPUTED_VALUE"""),"Challengers 2025: Spain Rising Finals - Playoffs")</f>
        <v>Challengers 2025: Spain Rising Finals - Playoffs</v>
      </c>
      <c r="D369" s="189" t="str">
        <f>IFERROR(__xludf.DUMMYFUNCTION("""COMPUTED_VALUE"""),"Sunset")</f>
        <v>Sunset</v>
      </c>
      <c r="E369" s="189" t="str">
        <f>IFERROR(__xludf.DUMMYFUNCTION("""COMPUTED_VALUE"""),"UCAM Esports Club")</f>
        <v>UCAM Esports Club</v>
      </c>
      <c r="F369" s="189" t="str">
        <f>IFERROR(__xludf.DUMMYFUNCTION("""COMPUTED_VALUE"""),"DNSTY")</f>
        <v>DNSTY</v>
      </c>
      <c r="G369" s="189" t="str">
        <f>IFERROR(__xludf.DUMMYFUNCTION("""COMPUTED_VALUE"""),"Cypher,Sova,Omen,KAY/O,Neon")</f>
        <v>Cypher,Sova,Omen,KAY/O,Neon</v>
      </c>
      <c r="H369" s="189" t="str">
        <f>IFERROR(__xludf.DUMMYFUNCTION("""COMPUTED_VALUE"""),"Sova,Viper,Omen,Neon,Deadlock")</f>
        <v>Sova,Viper,Omen,Neon,Deadlock</v>
      </c>
      <c r="I369" s="189">
        <f>IFERROR(__xludf.DUMMYFUNCTION("""COMPUTED_VALUE"""),11.0)</f>
        <v>11</v>
      </c>
      <c r="J369" s="189">
        <f>IFERROR(__xludf.DUMMYFUNCTION("""COMPUTED_VALUE"""),13.0)</f>
        <v>13</v>
      </c>
      <c r="K369" s="189">
        <f>IFERROR(__xludf.DUMMYFUNCTION("""COMPUTED_VALUE"""),8.0)</f>
        <v>8</v>
      </c>
      <c r="L369" s="189">
        <f>IFERROR(__xludf.DUMMYFUNCTION("""COMPUTED_VALUE"""),4.0)</f>
        <v>4</v>
      </c>
      <c r="M369" s="189">
        <f>IFERROR(__xludf.DUMMYFUNCTION("""COMPUTED_VALUE"""),0.0)</f>
        <v>0</v>
      </c>
      <c r="N369" s="189">
        <f>IFERROR(__xludf.DUMMYFUNCTION("""COMPUTED_VALUE"""),1.0)</f>
        <v>1</v>
      </c>
      <c r="O369" s="189">
        <f>IFERROR(__xludf.DUMMYFUNCTION("""COMPUTED_VALUE"""),3.0)</f>
        <v>3</v>
      </c>
      <c r="P369" s="189">
        <f>IFERROR(__xludf.DUMMYFUNCTION("""COMPUTED_VALUE"""),9.0)</f>
        <v>9</v>
      </c>
      <c r="Q369" s="189">
        <f>IFERROR(__xludf.DUMMYFUNCTION("""COMPUTED_VALUE"""),8.0)</f>
        <v>8</v>
      </c>
      <c r="R369" s="189">
        <f>IFERROR(__xludf.DUMMYFUNCTION("""COMPUTED_VALUE"""),4.0)</f>
        <v>4</v>
      </c>
      <c r="S369" s="189">
        <f>IFERROR(__xludf.DUMMYFUNCTION("""COMPUTED_VALUE"""),0.0)</f>
        <v>0</v>
      </c>
      <c r="T369" s="189">
        <f>IFERROR(__xludf.DUMMYFUNCTION("""COMPUTED_VALUE"""),1.0)</f>
        <v>1</v>
      </c>
      <c r="U369" s="189">
        <f>IFERROR(__xludf.DUMMYFUNCTION("""COMPUTED_VALUE"""),4.0)</f>
        <v>4</v>
      </c>
      <c r="V369" s="189">
        <f>IFERROR(__xludf.DUMMYFUNCTION("""COMPUTED_VALUE"""),8.0)</f>
        <v>8</v>
      </c>
      <c r="W369" s="189">
        <f>IFERROR(__xludf.DUMMYFUNCTION("""COMPUTED_VALUE"""),9.0)</f>
        <v>9</v>
      </c>
      <c r="X369" s="189">
        <f>IFERROR(__xludf.DUMMYFUNCTION("""COMPUTED_VALUE"""),3.0)</f>
        <v>3</v>
      </c>
      <c r="Y369" s="208" t="str">
        <f>IFERROR(__xludf.DUMMYFUNCTION("""COMPUTED_VALUE"""),"2025-08-10T00:00:00.000Z")</f>
        <v>2025-08-10T00:00:00.000Z</v>
      </c>
      <c r="Z369" s="189" t="s">
        <v>502</v>
      </c>
      <c r="AA369" s="189" t="s">
        <v>182</v>
      </c>
    </row>
    <row r="370">
      <c r="A370" s="189">
        <f>IFERROR(__xludf.DUMMYFUNCTION("""COMPUTED_VALUE"""),212058.0)</f>
        <v>212058</v>
      </c>
      <c r="B370" s="189">
        <f>IFERROR(__xludf.DUMMYFUNCTION("""COMPUTED_VALUE"""),93450.0)</f>
        <v>93450</v>
      </c>
      <c r="C370" s="189" t="str">
        <f>IFERROR(__xludf.DUMMYFUNCTION("""COMPUTED_VALUE"""),"Challengers 2025: France Revolution Split 3 - Playoffs")</f>
        <v>Challengers 2025: France Revolution Split 3 - Playoffs</v>
      </c>
      <c r="D370" s="189" t="str">
        <f>IFERROR(__xludf.DUMMYFUNCTION("""COMPUTED_VALUE"""),"Sunset")</f>
        <v>Sunset</v>
      </c>
      <c r="E370" s="189" t="str">
        <f>IFERROR(__xludf.DUMMYFUNCTION("""COMPUTED_VALUE"""),"Team Valiant")</f>
        <v>Team Valiant</v>
      </c>
      <c r="F370" s="189" t="str">
        <f>IFERROR(__xludf.DUMMYFUNCTION("""COMPUTED_VALUE"""),"Joblife")</f>
        <v>Joblife</v>
      </c>
      <c r="G370" s="189" t="str">
        <f>IFERROR(__xludf.DUMMYFUNCTION("""COMPUTED_VALUE"""),"Sova,Viper,Omen,Neon,Vyse")</f>
        <v>Sova,Viper,Omen,Neon,Vyse</v>
      </c>
      <c r="H370" s="189" t="str">
        <f>IFERROR(__xludf.DUMMYFUNCTION("""COMPUTED_VALUE"""),"Breach,Cypher,Sova,Omen,Neon")</f>
        <v>Breach,Cypher,Sova,Omen,Neon</v>
      </c>
      <c r="I370" s="189">
        <f>IFERROR(__xludf.DUMMYFUNCTION("""COMPUTED_VALUE"""),14.0)</f>
        <v>14</v>
      </c>
      <c r="J370" s="189">
        <f>IFERROR(__xludf.DUMMYFUNCTION("""COMPUTED_VALUE"""),16.0)</f>
        <v>16</v>
      </c>
      <c r="K370" s="189">
        <f>IFERROR(__xludf.DUMMYFUNCTION("""COMPUTED_VALUE"""),6.0)</f>
        <v>6</v>
      </c>
      <c r="L370" s="189">
        <f>IFERROR(__xludf.DUMMYFUNCTION("""COMPUTED_VALUE"""),6.0)</f>
        <v>6</v>
      </c>
      <c r="M370" s="189">
        <f>IFERROR(__xludf.DUMMYFUNCTION("""COMPUTED_VALUE"""),1.0)</f>
        <v>1</v>
      </c>
      <c r="N370" s="189">
        <f>IFERROR(__xludf.DUMMYFUNCTION("""COMPUTED_VALUE"""),1.0)</f>
        <v>1</v>
      </c>
      <c r="O370" s="189">
        <f>IFERROR(__xludf.DUMMYFUNCTION("""COMPUTED_VALUE"""),7.0)</f>
        <v>7</v>
      </c>
      <c r="P370" s="189">
        <f>IFERROR(__xludf.DUMMYFUNCTION("""COMPUTED_VALUE"""),8.0)</f>
        <v>8</v>
      </c>
      <c r="Q370" s="189">
        <f>IFERROR(__xludf.DUMMYFUNCTION("""COMPUTED_VALUE"""),7.0)</f>
        <v>7</v>
      </c>
      <c r="R370" s="189">
        <f>IFERROR(__xludf.DUMMYFUNCTION("""COMPUTED_VALUE"""),8.0)</f>
        <v>8</v>
      </c>
      <c r="S370" s="189">
        <f>IFERROR(__xludf.DUMMYFUNCTION("""COMPUTED_VALUE"""),0.0)</f>
        <v>0</v>
      </c>
      <c r="T370" s="189">
        <f>IFERROR(__xludf.DUMMYFUNCTION("""COMPUTED_VALUE"""),0.0)</f>
        <v>0</v>
      </c>
      <c r="U370" s="189">
        <f>IFERROR(__xludf.DUMMYFUNCTION("""COMPUTED_VALUE"""),8.0)</f>
        <v>8</v>
      </c>
      <c r="V370" s="189">
        <f>IFERROR(__xludf.DUMMYFUNCTION("""COMPUTED_VALUE"""),7.0)</f>
        <v>7</v>
      </c>
      <c r="W370" s="189">
        <f>IFERROR(__xludf.DUMMYFUNCTION("""COMPUTED_VALUE"""),8.0)</f>
        <v>8</v>
      </c>
      <c r="X370" s="189">
        <f>IFERROR(__xludf.DUMMYFUNCTION("""COMPUTED_VALUE"""),7.0)</f>
        <v>7</v>
      </c>
      <c r="Y370" s="208" t="str">
        <f>IFERROR(__xludf.DUMMYFUNCTION("""COMPUTED_VALUE"""),"2025-08-10T00:00:00.000Z")</f>
        <v>2025-08-10T00:00:00.000Z</v>
      </c>
      <c r="Z370" s="189" t="s">
        <v>503</v>
      </c>
      <c r="AA370" s="189" t="s">
        <v>232</v>
      </c>
    </row>
    <row r="371">
      <c r="A371" s="189">
        <f>IFERROR(__xludf.DUMMYFUNCTION("""COMPUTED_VALUE"""),212676.0)</f>
        <v>212676</v>
      </c>
      <c r="B371" s="189">
        <f>IFERROR(__xludf.DUMMYFUNCTION("""COMPUTED_VALUE"""),93672.0)</f>
        <v>93672</v>
      </c>
      <c r="C371" s="189" t="str">
        <f>IFERROR(__xludf.DUMMYFUNCTION("""COMPUTED_VALUE"""),"Challengers 2025: Spain Rising Finals - Playoffs")</f>
        <v>Challengers 2025: Spain Rising Finals - Playoffs</v>
      </c>
      <c r="D371" s="189" t="str">
        <f>IFERROR(__xludf.DUMMYFUNCTION("""COMPUTED_VALUE"""),"Bind")</f>
        <v>Bind</v>
      </c>
      <c r="E371" s="189" t="str">
        <f>IFERROR(__xludf.DUMMYFUNCTION("""COMPUTED_VALUE"""),"Ramboot Club")</f>
        <v>Ramboot Club</v>
      </c>
      <c r="F371" s="189" t="str">
        <f>IFERROR(__xludf.DUMMYFUNCTION("""COMPUTED_VALUE"""),"KOI Fénix")</f>
        <v>KOI Fénix</v>
      </c>
      <c r="G371" s="189" t="str">
        <f>IFERROR(__xludf.DUMMYFUNCTION("""COMPUTED_VALUE"""),"Raze,Viper,Brimstone,Yoru,Fade")</f>
        <v>Raze,Viper,Brimstone,Yoru,Fade</v>
      </c>
      <c r="H371" s="189" t="str">
        <f>IFERROR(__xludf.DUMMYFUNCTION("""COMPUTED_VALUE"""),"Yoru,Astra,Gekko,Deadlock,Vyse")</f>
        <v>Yoru,Astra,Gekko,Deadlock,Vyse</v>
      </c>
      <c r="I371" s="189">
        <f>IFERROR(__xludf.DUMMYFUNCTION("""COMPUTED_VALUE"""),9.0)</f>
        <v>9</v>
      </c>
      <c r="J371" s="189">
        <f>IFERROR(__xludf.DUMMYFUNCTION("""COMPUTED_VALUE"""),13.0)</f>
        <v>13</v>
      </c>
      <c r="K371" s="189">
        <f>IFERROR(__xludf.DUMMYFUNCTION("""COMPUTED_VALUE"""),3.0)</f>
        <v>3</v>
      </c>
      <c r="L371" s="189">
        <f>IFERROR(__xludf.DUMMYFUNCTION("""COMPUTED_VALUE"""),9.0)</f>
        <v>9</v>
      </c>
      <c r="M371" s="189">
        <f>IFERROR(__xludf.DUMMYFUNCTION("""COMPUTED_VALUE"""),1.0)</f>
        <v>1</v>
      </c>
      <c r="N371" s="189">
        <f>IFERROR(__xludf.DUMMYFUNCTION("""COMPUTED_VALUE"""),0.0)</f>
        <v>0</v>
      </c>
      <c r="O371" s="189">
        <f>IFERROR(__xludf.DUMMYFUNCTION("""COMPUTED_VALUE"""),6.0)</f>
        <v>6</v>
      </c>
      <c r="P371" s="189">
        <f>IFERROR(__xludf.DUMMYFUNCTION("""COMPUTED_VALUE"""),4.0)</f>
        <v>4</v>
      </c>
      <c r="Q371" s="189">
        <f>IFERROR(__xludf.DUMMYFUNCTION("""COMPUTED_VALUE"""),3.0)</f>
        <v>3</v>
      </c>
      <c r="R371" s="189">
        <f>IFERROR(__xludf.DUMMYFUNCTION("""COMPUTED_VALUE"""),9.0)</f>
        <v>9</v>
      </c>
      <c r="S371" s="189">
        <f>IFERROR(__xludf.DUMMYFUNCTION("""COMPUTED_VALUE"""),1.0)</f>
        <v>1</v>
      </c>
      <c r="T371" s="189">
        <f>IFERROR(__xludf.DUMMYFUNCTION("""COMPUTED_VALUE"""),0.0)</f>
        <v>0</v>
      </c>
      <c r="U371" s="189">
        <f>IFERROR(__xludf.DUMMYFUNCTION("""COMPUTED_VALUE"""),9.0)</f>
        <v>9</v>
      </c>
      <c r="V371" s="189">
        <f>IFERROR(__xludf.DUMMYFUNCTION("""COMPUTED_VALUE"""),3.0)</f>
        <v>3</v>
      </c>
      <c r="W371" s="189">
        <f>IFERROR(__xludf.DUMMYFUNCTION("""COMPUTED_VALUE"""),4.0)</f>
        <v>4</v>
      </c>
      <c r="X371" s="189">
        <f>IFERROR(__xludf.DUMMYFUNCTION("""COMPUTED_VALUE"""),6.0)</f>
        <v>6</v>
      </c>
      <c r="Y371" s="208" t="str">
        <f>IFERROR(__xludf.DUMMYFUNCTION("""COMPUTED_VALUE"""),"2025-08-09T00:00:00.000Z")</f>
        <v>2025-08-09T00:00:00.000Z</v>
      </c>
      <c r="Z371" s="189" t="s">
        <v>408</v>
      </c>
      <c r="AA371" s="189" t="s">
        <v>187</v>
      </c>
    </row>
    <row r="372">
      <c r="A372" s="189">
        <f>IFERROR(__xludf.DUMMYFUNCTION("""COMPUTED_VALUE"""),212675.0)</f>
        <v>212675</v>
      </c>
      <c r="B372" s="189">
        <f>IFERROR(__xludf.DUMMYFUNCTION("""COMPUTED_VALUE"""),93672.0)</f>
        <v>93672</v>
      </c>
      <c r="C372" s="189" t="str">
        <f>IFERROR(__xludf.DUMMYFUNCTION("""COMPUTED_VALUE"""),"Challengers 2025: Spain Rising Finals - Playoffs")</f>
        <v>Challengers 2025: Spain Rising Finals - Playoffs</v>
      </c>
      <c r="D372" s="189" t="str">
        <f>IFERROR(__xludf.DUMMYFUNCTION("""COMPUTED_VALUE"""),"Ascent")</f>
        <v>Ascent</v>
      </c>
      <c r="E372" s="189" t="str">
        <f>IFERROR(__xludf.DUMMYFUNCTION("""COMPUTED_VALUE"""),"Ramboot Club")</f>
        <v>Ramboot Club</v>
      </c>
      <c r="F372" s="189" t="str">
        <f>IFERROR(__xludf.DUMMYFUNCTION("""COMPUTED_VALUE"""),"KOI Fénix")</f>
        <v>KOI Fénix</v>
      </c>
      <c r="G372" s="189" t="str">
        <f>IFERROR(__xludf.DUMMYFUNCTION("""COMPUTED_VALUE"""),"Cypher,Sova,Omen,Jett,Yoru")</f>
        <v>Cypher,Sova,Omen,Jett,Yoru</v>
      </c>
      <c r="H372" s="189" t="str">
        <f>IFERROR(__xludf.DUMMYFUNCTION("""COMPUTED_VALUE"""),"Sova,Omen,Yoru,Chamber,Vyse")</f>
        <v>Sova,Omen,Yoru,Chamber,Vyse</v>
      </c>
      <c r="I372" s="189">
        <f>IFERROR(__xludf.DUMMYFUNCTION("""COMPUTED_VALUE"""),7.0)</f>
        <v>7</v>
      </c>
      <c r="J372" s="189">
        <f>IFERROR(__xludf.DUMMYFUNCTION("""COMPUTED_VALUE"""),13.0)</f>
        <v>13</v>
      </c>
      <c r="K372" s="189">
        <f>IFERROR(__xludf.DUMMYFUNCTION("""COMPUTED_VALUE"""),3.0)</f>
        <v>3</v>
      </c>
      <c r="L372" s="189">
        <f>IFERROR(__xludf.DUMMYFUNCTION("""COMPUTED_VALUE"""),9.0)</f>
        <v>9</v>
      </c>
      <c r="M372" s="189">
        <f>IFERROR(__xludf.DUMMYFUNCTION("""COMPUTED_VALUE"""),0.0)</f>
        <v>0</v>
      </c>
      <c r="N372" s="189">
        <f>IFERROR(__xludf.DUMMYFUNCTION("""COMPUTED_VALUE"""),0.0)</f>
        <v>0</v>
      </c>
      <c r="O372" s="189">
        <f>IFERROR(__xludf.DUMMYFUNCTION("""COMPUTED_VALUE"""),3.0)</f>
        <v>3</v>
      </c>
      <c r="P372" s="189">
        <f>IFERROR(__xludf.DUMMYFUNCTION("""COMPUTED_VALUE"""),9.0)</f>
        <v>9</v>
      </c>
      <c r="Q372" s="189">
        <f>IFERROR(__xludf.DUMMYFUNCTION("""COMPUTED_VALUE"""),4.0)</f>
        <v>4</v>
      </c>
      <c r="R372" s="189">
        <f>IFERROR(__xludf.DUMMYFUNCTION("""COMPUTED_VALUE"""),4.0)</f>
        <v>4</v>
      </c>
      <c r="S372" s="189">
        <f>IFERROR(__xludf.DUMMYFUNCTION("""COMPUTED_VALUE"""),1.0)</f>
        <v>1</v>
      </c>
      <c r="T372" s="189">
        <f>IFERROR(__xludf.DUMMYFUNCTION("""COMPUTED_VALUE"""),1.0)</f>
        <v>1</v>
      </c>
      <c r="U372" s="189">
        <f>IFERROR(__xludf.DUMMYFUNCTION("""COMPUTED_VALUE"""),4.0)</f>
        <v>4</v>
      </c>
      <c r="V372" s="189">
        <f>IFERROR(__xludf.DUMMYFUNCTION("""COMPUTED_VALUE"""),4.0)</f>
        <v>4</v>
      </c>
      <c r="W372" s="189">
        <f>IFERROR(__xludf.DUMMYFUNCTION("""COMPUTED_VALUE"""),9.0)</f>
        <v>9</v>
      </c>
      <c r="X372" s="189">
        <f>IFERROR(__xludf.DUMMYFUNCTION("""COMPUTED_VALUE"""),3.0)</f>
        <v>3</v>
      </c>
      <c r="Y372" s="208" t="str">
        <f>IFERROR(__xludf.DUMMYFUNCTION("""COMPUTED_VALUE"""),"2025-08-09T00:00:00.000Z")</f>
        <v>2025-08-09T00:00:00.000Z</v>
      </c>
      <c r="Z372" s="189" t="s">
        <v>409</v>
      </c>
      <c r="AA372" s="189" t="s">
        <v>187</v>
      </c>
    </row>
    <row r="373">
      <c r="A373" s="189">
        <f>IFERROR(__xludf.DUMMYFUNCTION("""COMPUTED_VALUE"""),212674.0)</f>
        <v>212674</v>
      </c>
      <c r="B373" s="189">
        <f>IFERROR(__xludf.DUMMYFUNCTION("""COMPUTED_VALUE"""),93672.0)</f>
        <v>93672</v>
      </c>
      <c r="C373" s="189" t="str">
        <f>IFERROR(__xludf.DUMMYFUNCTION("""COMPUTED_VALUE"""),"Challengers 2025: Spain Rising Finals - Playoffs")</f>
        <v>Challengers 2025: Spain Rising Finals - Playoffs</v>
      </c>
      <c r="D373" s="189" t="str">
        <f>IFERROR(__xludf.DUMMYFUNCTION("""COMPUTED_VALUE"""),"Lotus")</f>
        <v>Lotus</v>
      </c>
      <c r="E373" s="189" t="str">
        <f>IFERROR(__xludf.DUMMYFUNCTION("""COMPUTED_VALUE"""),"Ramboot Club")</f>
        <v>Ramboot Club</v>
      </c>
      <c r="F373" s="189" t="str">
        <f>IFERROR(__xludf.DUMMYFUNCTION("""COMPUTED_VALUE"""),"KOI Fénix")</f>
        <v>KOI Fénix</v>
      </c>
      <c r="G373" s="189" t="str">
        <f>IFERROR(__xludf.DUMMYFUNCTION("""COMPUTED_VALUE"""),"Viper,Omen,Chamber,Neon,Fade")</f>
        <v>Viper,Omen,Chamber,Neon,Fade</v>
      </c>
      <c r="H373" s="189" t="str">
        <f>IFERROR(__xludf.DUMMYFUNCTION("""COMPUTED_VALUE"""),"Breach,Sova,Killjoy,Omen,Neon")</f>
        <v>Breach,Sova,Killjoy,Omen,Neon</v>
      </c>
      <c r="I373" s="189">
        <f>IFERROR(__xludf.DUMMYFUNCTION("""COMPUTED_VALUE"""),4.0)</f>
        <v>4</v>
      </c>
      <c r="J373" s="189">
        <f>IFERROR(__xludf.DUMMYFUNCTION("""COMPUTED_VALUE"""),13.0)</f>
        <v>13</v>
      </c>
      <c r="K373" s="189">
        <f>IFERROR(__xludf.DUMMYFUNCTION("""COMPUTED_VALUE"""),3.0)</f>
        <v>3</v>
      </c>
      <c r="L373" s="189">
        <f>IFERROR(__xludf.DUMMYFUNCTION("""COMPUTED_VALUE"""),9.0)</f>
        <v>9</v>
      </c>
      <c r="M373" s="189">
        <f>IFERROR(__xludf.DUMMYFUNCTION("""COMPUTED_VALUE"""),0.0)</f>
        <v>0</v>
      </c>
      <c r="N373" s="189">
        <f>IFERROR(__xludf.DUMMYFUNCTION("""COMPUTED_VALUE"""),0.0)</f>
        <v>0</v>
      </c>
      <c r="O373" s="189">
        <f>IFERROR(__xludf.DUMMYFUNCTION("""COMPUTED_VALUE"""),3.0)</f>
        <v>3</v>
      </c>
      <c r="P373" s="189">
        <f>IFERROR(__xludf.DUMMYFUNCTION("""COMPUTED_VALUE"""),9.0)</f>
        <v>9</v>
      </c>
      <c r="Q373" s="189">
        <f>IFERROR(__xludf.DUMMYFUNCTION("""COMPUTED_VALUE"""),1.0)</f>
        <v>1</v>
      </c>
      <c r="R373" s="189">
        <f>IFERROR(__xludf.DUMMYFUNCTION("""COMPUTED_VALUE"""),4.0)</f>
        <v>4</v>
      </c>
      <c r="S373" s="189">
        <f>IFERROR(__xludf.DUMMYFUNCTION("""COMPUTED_VALUE"""),1.0)</f>
        <v>1</v>
      </c>
      <c r="T373" s="189">
        <f>IFERROR(__xludf.DUMMYFUNCTION("""COMPUTED_VALUE"""),1.0)</f>
        <v>1</v>
      </c>
      <c r="U373" s="189">
        <f>IFERROR(__xludf.DUMMYFUNCTION("""COMPUTED_VALUE"""),4.0)</f>
        <v>4</v>
      </c>
      <c r="V373" s="189">
        <f>IFERROR(__xludf.DUMMYFUNCTION("""COMPUTED_VALUE"""),1.0)</f>
        <v>1</v>
      </c>
      <c r="W373" s="189">
        <f>IFERROR(__xludf.DUMMYFUNCTION("""COMPUTED_VALUE"""),9.0)</f>
        <v>9</v>
      </c>
      <c r="X373" s="189">
        <f>IFERROR(__xludf.DUMMYFUNCTION("""COMPUTED_VALUE"""),3.0)</f>
        <v>3</v>
      </c>
      <c r="Y373" s="208" t="str">
        <f>IFERROR(__xludf.DUMMYFUNCTION("""COMPUTED_VALUE"""),"2025-08-09T00:00:00.000Z")</f>
        <v>2025-08-09T00:00:00.000Z</v>
      </c>
      <c r="Z373" s="189" t="s">
        <v>412</v>
      </c>
      <c r="AA373" s="189" t="s">
        <v>187</v>
      </c>
    </row>
    <row r="374">
      <c r="A374" s="189">
        <f>IFERROR(__xludf.DUMMYFUNCTION("""COMPUTED_VALUE"""),211981.0)</f>
        <v>211981</v>
      </c>
      <c r="B374" s="189">
        <f>IFERROR(__xludf.DUMMYFUNCTION("""COMPUTED_VALUE"""),93394.0)</f>
        <v>93394</v>
      </c>
      <c r="C374" s="189" t="str">
        <f>IFERROR(__xludf.DUMMYFUNCTION("""COMPUTED_VALUE"""),"Challengers 2025: France Revolution Split 3 - Playoffs")</f>
        <v>Challengers 2025: France Revolution Split 3 - Playoffs</v>
      </c>
      <c r="D374" s="189" t="str">
        <f>IFERROR(__xludf.DUMMYFUNCTION("""COMPUTED_VALUE"""),"Icebox")</f>
        <v>Icebox</v>
      </c>
      <c r="E374" s="189" t="str">
        <f>IFERROR(__xludf.DUMMYFUNCTION("""COMPUTED_VALUE"""),"Mandatory")</f>
        <v>Mandatory</v>
      </c>
      <c r="F374" s="189" t="str">
        <f>IFERROR(__xludf.DUMMYFUNCTION("""COMPUTED_VALUE"""),"KCORP Blue Stars")</f>
        <v>KCORP Blue Stars</v>
      </c>
      <c r="G374" s="189" t="str">
        <f>IFERROR(__xludf.DUMMYFUNCTION("""COMPUTED_VALUE"""),"Sova,Killjoy,Viper,Omen,Gekko")</f>
        <v>Sova,Killjoy,Viper,Omen,Gekko</v>
      </c>
      <c r="H374" s="189" t="str">
        <f>IFERROR(__xludf.DUMMYFUNCTION("""COMPUTED_VALUE"""),"Sova,Killjoy,Viper,Reyna,Gekko")</f>
        <v>Sova,Killjoy,Viper,Reyna,Gekko</v>
      </c>
      <c r="I374" s="189">
        <f>IFERROR(__xludf.DUMMYFUNCTION("""COMPUTED_VALUE"""),13.0)</f>
        <v>13</v>
      </c>
      <c r="J374" s="189">
        <f>IFERROR(__xludf.DUMMYFUNCTION("""COMPUTED_VALUE"""),10.0)</f>
        <v>10</v>
      </c>
      <c r="K374" s="189">
        <f>IFERROR(__xludf.DUMMYFUNCTION("""COMPUTED_VALUE"""),6.0)</f>
        <v>6</v>
      </c>
      <c r="L374" s="189">
        <f>IFERROR(__xludf.DUMMYFUNCTION("""COMPUTED_VALUE"""),6.0)</f>
        <v>6</v>
      </c>
      <c r="M374" s="189">
        <f>IFERROR(__xludf.DUMMYFUNCTION("""COMPUTED_VALUE"""),0.0)</f>
        <v>0</v>
      </c>
      <c r="N374" s="189">
        <f>IFERROR(__xludf.DUMMYFUNCTION("""COMPUTED_VALUE"""),1.0)</f>
        <v>1</v>
      </c>
      <c r="O374" s="189">
        <f>IFERROR(__xludf.DUMMYFUNCTION("""COMPUTED_VALUE"""),7.0)</f>
        <v>7</v>
      </c>
      <c r="P374" s="189">
        <f>IFERROR(__xludf.DUMMYFUNCTION("""COMPUTED_VALUE"""),4.0)</f>
        <v>4</v>
      </c>
      <c r="Q374" s="189">
        <f>IFERROR(__xludf.DUMMYFUNCTION("""COMPUTED_VALUE"""),6.0)</f>
        <v>6</v>
      </c>
      <c r="R374" s="189">
        <f>IFERROR(__xludf.DUMMYFUNCTION("""COMPUTED_VALUE"""),6.0)</f>
        <v>6</v>
      </c>
      <c r="S374" s="189">
        <f>IFERROR(__xludf.DUMMYFUNCTION("""COMPUTED_VALUE"""),0.0)</f>
        <v>0</v>
      </c>
      <c r="T374" s="189">
        <f>IFERROR(__xludf.DUMMYFUNCTION("""COMPUTED_VALUE"""),1.0)</f>
        <v>1</v>
      </c>
      <c r="U374" s="189">
        <f>IFERROR(__xludf.DUMMYFUNCTION("""COMPUTED_VALUE"""),6.0)</f>
        <v>6</v>
      </c>
      <c r="V374" s="189">
        <f>IFERROR(__xludf.DUMMYFUNCTION("""COMPUTED_VALUE"""),6.0)</f>
        <v>6</v>
      </c>
      <c r="W374" s="189">
        <f>IFERROR(__xludf.DUMMYFUNCTION("""COMPUTED_VALUE"""),4.0)</f>
        <v>4</v>
      </c>
      <c r="X374" s="189">
        <f>IFERROR(__xludf.DUMMYFUNCTION("""COMPUTED_VALUE"""),7.0)</f>
        <v>7</v>
      </c>
      <c r="Y374" s="208" t="str">
        <f>IFERROR(__xludf.DUMMYFUNCTION("""COMPUTED_VALUE"""),"2025-08-09T00:00:00.000Z")</f>
        <v>2025-08-09T00:00:00.000Z</v>
      </c>
      <c r="Z374" s="189" t="s">
        <v>129</v>
      </c>
      <c r="AA374" s="189" t="s">
        <v>189</v>
      </c>
    </row>
    <row r="375">
      <c r="A375" s="189">
        <f>IFERROR(__xludf.DUMMYFUNCTION("""COMPUTED_VALUE"""),211980.0)</f>
        <v>211980</v>
      </c>
      <c r="B375" s="189">
        <f>IFERROR(__xludf.DUMMYFUNCTION("""COMPUTED_VALUE"""),93394.0)</f>
        <v>93394</v>
      </c>
      <c r="C375" s="189" t="str">
        <f>IFERROR(__xludf.DUMMYFUNCTION("""COMPUTED_VALUE"""),"Challengers 2025: France Revolution Split 3 - Playoffs")</f>
        <v>Challengers 2025: France Revolution Split 3 - Playoffs</v>
      </c>
      <c r="D375" s="189" t="str">
        <f>IFERROR(__xludf.DUMMYFUNCTION("""COMPUTED_VALUE"""),"Lotus")</f>
        <v>Lotus</v>
      </c>
      <c r="E375" s="189" t="str">
        <f>IFERROR(__xludf.DUMMYFUNCTION("""COMPUTED_VALUE"""),"Mandatory")</f>
        <v>Mandatory</v>
      </c>
      <c r="F375" s="189" t="str">
        <f>IFERROR(__xludf.DUMMYFUNCTION("""COMPUTED_VALUE"""),"KCORP Blue Stars")</f>
        <v>KCORP Blue Stars</v>
      </c>
      <c r="G375" s="189" t="str">
        <f>IFERROR(__xludf.DUMMYFUNCTION("""COMPUTED_VALUE"""),"Cypher,Sova,Omen,Yoru,Deadlock")</f>
        <v>Cypher,Sova,Omen,Yoru,Deadlock</v>
      </c>
      <c r="H375" s="189" t="str">
        <f>IFERROR(__xludf.DUMMYFUNCTION("""COMPUTED_VALUE"""),"Raze,Viper,Omen,Fade,Vyse")</f>
        <v>Raze,Viper,Omen,Fade,Vyse</v>
      </c>
      <c r="I375" s="189">
        <f>IFERROR(__xludf.DUMMYFUNCTION("""COMPUTED_VALUE"""),13.0)</f>
        <v>13</v>
      </c>
      <c r="J375" s="189">
        <f>IFERROR(__xludf.DUMMYFUNCTION("""COMPUTED_VALUE"""),1.0)</f>
        <v>1</v>
      </c>
      <c r="K375" s="189">
        <f>IFERROR(__xludf.DUMMYFUNCTION("""COMPUTED_VALUE"""),11.0)</f>
        <v>11</v>
      </c>
      <c r="L375" s="189">
        <f>IFERROR(__xludf.DUMMYFUNCTION("""COMPUTED_VALUE"""),1.0)</f>
        <v>1</v>
      </c>
      <c r="M375" s="189">
        <f>IFERROR(__xludf.DUMMYFUNCTION("""COMPUTED_VALUE"""),1.0)</f>
        <v>1</v>
      </c>
      <c r="N375" s="189">
        <f>IFERROR(__xludf.DUMMYFUNCTION("""COMPUTED_VALUE"""),1.0)</f>
        <v>1</v>
      </c>
      <c r="O375" s="189">
        <f>IFERROR(__xludf.DUMMYFUNCTION("""COMPUTED_VALUE"""),11.0)</f>
        <v>11</v>
      </c>
      <c r="P375" s="189">
        <f>IFERROR(__xludf.DUMMYFUNCTION("""COMPUTED_VALUE"""),1.0)</f>
        <v>1</v>
      </c>
      <c r="Q375" s="189">
        <f>IFERROR(__xludf.DUMMYFUNCTION("""COMPUTED_VALUE"""),2.0)</f>
        <v>2</v>
      </c>
      <c r="R375" s="189">
        <f>IFERROR(__xludf.DUMMYFUNCTION("""COMPUTED_VALUE"""),0.0)</f>
        <v>0</v>
      </c>
      <c r="S375" s="189">
        <f>IFERROR(__xludf.DUMMYFUNCTION("""COMPUTED_VALUE"""),0.0)</f>
        <v>0</v>
      </c>
      <c r="T375" s="189">
        <f>IFERROR(__xludf.DUMMYFUNCTION("""COMPUTED_VALUE"""),0.0)</f>
        <v>0</v>
      </c>
      <c r="U375" s="189">
        <f>IFERROR(__xludf.DUMMYFUNCTION("""COMPUTED_VALUE"""),0.0)</f>
        <v>0</v>
      </c>
      <c r="V375" s="189">
        <f>IFERROR(__xludf.DUMMYFUNCTION("""COMPUTED_VALUE"""),2.0)</f>
        <v>2</v>
      </c>
      <c r="W375" s="189">
        <f>IFERROR(__xludf.DUMMYFUNCTION("""COMPUTED_VALUE"""),1.0)</f>
        <v>1</v>
      </c>
      <c r="X375" s="189">
        <f>IFERROR(__xludf.DUMMYFUNCTION("""COMPUTED_VALUE"""),11.0)</f>
        <v>11</v>
      </c>
      <c r="Y375" s="208" t="str">
        <f>IFERROR(__xludf.DUMMYFUNCTION("""COMPUTED_VALUE"""),"2025-08-09T00:00:00.000Z")</f>
        <v>2025-08-09T00:00:00.000Z</v>
      </c>
      <c r="Z375" s="189" t="s">
        <v>130</v>
      </c>
      <c r="AA375" s="189" t="s">
        <v>189</v>
      </c>
    </row>
    <row r="376">
      <c r="A376" s="189">
        <f>IFERROR(__xludf.DUMMYFUNCTION("""COMPUTED_VALUE"""),211973.0)</f>
        <v>211973</v>
      </c>
      <c r="B376" s="189">
        <f>IFERROR(__xludf.DUMMYFUNCTION("""COMPUTED_VALUE"""),93391.0)</f>
        <v>93391</v>
      </c>
      <c r="C376" s="189" t="str">
        <f>IFERROR(__xludf.DUMMYFUNCTION("""COMPUTED_VALUE"""),"Challengers 2025: Türkiye Birlik Split 3 - Playoffs")</f>
        <v>Challengers 2025: Türkiye Birlik Split 3 - Playoffs</v>
      </c>
      <c r="D376" s="189" t="str">
        <f>IFERROR(__xludf.DUMMYFUNCTION("""COMPUTED_VALUE"""),"Bind")</f>
        <v>Bind</v>
      </c>
      <c r="E376" s="189" t="str">
        <f>IFERROR(__xludf.DUMMYFUNCTION("""COMPUTED_VALUE"""),"Galatasaray Esports")</f>
        <v>Galatasaray Esports</v>
      </c>
      <c r="F376" s="189" t="str">
        <f>IFERROR(__xludf.DUMMYFUNCTION("""COMPUTED_VALUE"""),"ULF Esports")</f>
        <v>ULF Esports</v>
      </c>
      <c r="G376" s="189" t="str">
        <f>IFERROR(__xludf.DUMMYFUNCTION("""COMPUTED_VALUE"""),"Raze,Viper,Brimstone,Skye,Gekko")</f>
        <v>Raze,Viper,Brimstone,Skye,Gekko</v>
      </c>
      <c r="H376" s="189" t="str">
        <f>IFERROR(__xludf.DUMMYFUNCTION("""COMPUTED_VALUE"""),"Viper,Brimstone,Skye,Vyse,Waylay")</f>
        <v>Viper,Brimstone,Skye,Vyse,Waylay</v>
      </c>
      <c r="I376" s="189">
        <f>IFERROR(__xludf.DUMMYFUNCTION("""COMPUTED_VALUE"""),12.0)</f>
        <v>12</v>
      </c>
      <c r="J376" s="189">
        <f>IFERROR(__xludf.DUMMYFUNCTION("""COMPUTED_VALUE"""),14.0)</f>
        <v>14</v>
      </c>
      <c r="K376" s="189">
        <f>IFERROR(__xludf.DUMMYFUNCTION("""COMPUTED_VALUE"""),7.0)</f>
        <v>7</v>
      </c>
      <c r="L376" s="189">
        <f>IFERROR(__xludf.DUMMYFUNCTION("""COMPUTED_VALUE"""),5.0)</f>
        <v>5</v>
      </c>
      <c r="M376" s="189">
        <f>IFERROR(__xludf.DUMMYFUNCTION("""COMPUTED_VALUE"""),0.0)</f>
        <v>0</v>
      </c>
      <c r="N376" s="189">
        <f>IFERROR(__xludf.DUMMYFUNCTION("""COMPUTED_VALUE"""),0.0)</f>
        <v>0</v>
      </c>
      <c r="O376" s="189">
        <f>IFERROR(__xludf.DUMMYFUNCTION("""COMPUTED_VALUE"""),5.0)</f>
        <v>5</v>
      </c>
      <c r="P376" s="189">
        <f>IFERROR(__xludf.DUMMYFUNCTION("""COMPUTED_VALUE"""),8.0)</f>
        <v>8</v>
      </c>
      <c r="Q376" s="189">
        <f>IFERROR(__xludf.DUMMYFUNCTION("""COMPUTED_VALUE"""),7.0)</f>
        <v>7</v>
      </c>
      <c r="R376" s="189">
        <f>IFERROR(__xludf.DUMMYFUNCTION("""COMPUTED_VALUE"""),6.0)</f>
        <v>6</v>
      </c>
      <c r="S376" s="189">
        <f>IFERROR(__xludf.DUMMYFUNCTION("""COMPUTED_VALUE"""),1.0)</f>
        <v>1</v>
      </c>
      <c r="T376" s="189">
        <f>IFERROR(__xludf.DUMMYFUNCTION("""COMPUTED_VALUE"""),1.0)</f>
        <v>1</v>
      </c>
      <c r="U376" s="189">
        <f>IFERROR(__xludf.DUMMYFUNCTION("""COMPUTED_VALUE"""),6.0)</f>
        <v>6</v>
      </c>
      <c r="V376" s="189">
        <f>IFERROR(__xludf.DUMMYFUNCTION("""COMPUTED_VALUE"""),7.0)</f>
        <v>7</v>
      </c>
      <c r="W376" s="189">
        <f>IFERROR(__xludf.DUMMYFUNCTION("""COMPUTED_VALUE"""),8.0)</f>
        <v>8</v>
      </c>
      <c r="X376" s="189">
        <f>IFERROR(__xludf.DUMMYFUNCTION("""COMPUTED_VALUE"""),5.0)</f>
        <v>5</v>
      </c>
      <c r="Y376" s="208" t="str">
        <f>IFERROR(__xludf.DUMMYFUNCTION("""COMPUTED_VALUE"""),"2025-08-04T00:00:00.000Z")</f>
        <v>2025-08-04T00:00:00.000Z</v>
      </c>
      <c r="Z376" s="189" t="s">
        <v>504</v>
      </c>
      <c r="AA376" s="189" t="s">
        <v>188</v>
      </c>
    </row>
    <row r="377">
      <c r="A377" s="189">
        <f>IFERROR(__xludf.DUMMYFUNCTION("""COMPUTED_VALUE"""),211972.0)</f>
        <v>211972</v>
      </c>
      <c r="B377" s="189">
        <f>IFERROR(__xludf.DUMMYFUNCTION("""COMPUTED_VALUE"""),93391.0)</f>
        <v>93391</v>
      </c>
      <c r="C377" s="189" t="str">
        <f>IFERROR(__xludf.DUMMYFUNCTION("""COMPUTED_VALUE"""),"Challengers 2025: Türkiye Birlik Split 3 - Playoffs")</f>
        <v>Challengers 2025: Türkiye Birlik Split 3 - Playoffs</v>
      </c>
      <c r="D377" s="189" t="str">
        <f>IFERROR(__xludf.DUMMYFUNCTION("""COMPUTED_VALUE"""),"Lotus")</f>
        <v>Lotus</v>
      </c>
      <c r="E377" s="189" t="str">
        <f>IFERROR(__xludf.DUMMYFUNCTION("""COMPUTED_VALUE"""),"Galatasaray Esports")</f>
        <v>Galatasaray Esports</v>
      </c>
      <c r="F377" s="189" t="str">
        <f>IFERROR(__xludf.DUMMYFUNCTION("""COMPUTED_VALUE"""),"ULF Esports")</f>
        <v>ULF Esports</v>
      </c>
      <c r="G377" s="189" t="str">
        <f>IFERROR(__xludf.DUMMYFUNCTION("""COMPUTED_VALUE"""),"Breach,Raze,Cypher,Omen,Fade")</f>
        <v>Breach,Raze,Cypher,Omen,Fade</v>
      </c>
      <c r="H377" s="189" t="str">
        <f>IFERROR(__xludf.DUMMYFUNCTION("""COMPUTED_VALUE"""),"Raze,Omen,Yoru,Fade,Vyse")</f>
        <v>Raze,Omen,Yoru,Fade,Vyse</v>
      </c>
      <c r="I377" s="189">
        <f>IFERROR(__xludf.DUMMYFUNCTION("""COMPUTED_VALUE"""),13.0)</f>
        <v>13</v>
      </c>
      <c r="J377" s="189">
        <f>IFERROR(__xludf.DUMMYFUNCTION("""COMPUTED_VALUE"""),6.0)</f>
        <v>6</v>
      </c>
      <c r="K377" s="189">
        <f>IFERROR(__xludf.DUMMYFUNCTION("""COMPUTED_VALUE"""),8.0)</f>
        <v>8</v>
      </c>
      <c r="L377" s="189">
        <f>IFERROR(__xludf.DUMMYFUNCTION("""COMPUTED_VALUE"""),4.0)</f>
        <v>4</v>
      </c>
      <c r="M377" s="189">
        <f>IFERROR(__xludf.DUMMYFUNCTION("""COMPUTED_VALUE"""),1.0)</f>
        <v>1</v>
      </c>
      <c r="N377" s="189">
        <f>IFERROR(__xludf.DUMMYFUNCTION("""COMPUTED_VALUE"""),1.0)</f>
        <v>1</v>
      </c>
      <c r="O377" s="189">
        <f>IFERROR(__xludf.DUMMYFUNCTION("""COMPUTED_VALUE"""),8.0)</f>
        <v>8</v>
      </c>
      <c r="P377" s="189">
        <f>IFERROR(__xludf.DUMMYFUNCTION("""COMPUTED_VALUE"""),4.0)</f>
        <v>4</v>
      </c>
      <c r="Q377" s="189">
        <f>IFERROR(__xludf.DUMMYFUNCTION("""COMPUTED_VALUE"""),5.0)</f>
        <v>5</v>
      </c>
      <c r="R377" s="189">
        <f>IFERROR(__xludf.DUMMYFUNCTION("""COMPUTED_VALUE"""),2.0)</f>
        <v>2</v>
      </c>
      <c r="S377" s="189">
        <f>IFERROR(__xludf.DUMMYFUNCTION("""COMPUTED_VALUE"""),0.0)</f>
        <v>0</v>
      </c>
      <c r="T377" s="189">
        <f>IFERROR(__xludf.DUMMYFUNCTION("""COMPUTED_VALUE"""),0.0)</f>
        <v>0</v>
      </c>
      <c r="U377" s="189">
        <f>IFERROR(__xludf.DUMMYFUNCTION("""COMPUTED_VALUE"""),2.0)</f>
        <v>2</v>
      </c>
      <c r="V377" s="189">
        <f>IFERROR(__xludf.DUMMYFUNCTION("""COMPUTED_VALUE"""),5.0)</f>
        <v>5</v>
      </c>
      <c r="W377" s="189">
        <f>IFERROR(__xludf.DUMMYFUNCTION("""COMPUTED_VALUE"""),4.0)</f>
        <v>4</v>
      </c>
      <c r="X377" s="189">
        <f>IFERROR(__xludf.DUMMYFUNCTION("""COMPUTED_VALUE"""),8.0)</f>
        <v>8</v>
      </c>
      <c r="Y377" s="208" t="str">
        <f>IFERROR(__xludf.DUMMYFUNCTION("""COMPUTED_VALUE"""),"2025-08-04T00:00:00.000Z")</f>
        <v>2025-08-04T00:00:00.000Z</v>
      </c>
      <c r="Z377" s="189" t="s">
        <v>505</v>
      </c>
      <c r="AA377" s="189" t="s">
        <v>398</v>
      </c>
    </row>
    <row r="378">
      <c r="A378" s="189">
        <f>IFERROR(__xludf.DUMMYFUNCTION("""COMPUTED_VALUE"""),211971.0)</f>
        <v>211971</v>
      </c>
      <c r="B378" s="189">
        <f>IFERROR(__xludf.DUMMYFUNCTION("""COMPUTED_VALUE"""),93391.0)</f>
        <v>93391</v>
      </c>
      <c r="C378" s="189" t="str">
        <f>IFERROR(__xludf.DUMMYFUNCTION("""COMPUTED_VALUE"""),"Challengers 2025: Türkiye Birlik Split 3 - Playoffs")</f>
        <v>Challengers 2025: Türkiye Birlik Split 3 - Playoffs</v>
      </c>
      <c r="D378" s="189" t="str">
        <f>IFERROR(__xludf.DUMMYFUNCTION("""COMPUTED_VALUE"""),"Haven")</f>
        <v>Haven</v>
      </c>
      <c r="E378" s="189" t="str">
        <f>IFERROR(__xludf.DUMMYFUNCTION("""COMPUTED_VALUE"""),"Galatasaray Esports")</f>
        <v>Galatasaray Esports</v>
      </c>
      <c r="F378" s="189" t="str">
        <f>IFERROR(__xludf.DUMMYFUNCTION("""COMPUTED_VALUE"""),"ULF Esports")</f>
        <v>ULF Esports</v>
      </c>
      <c r="G378" s="189" t="str">
        <f>IFERROR(__xludf.DUMMYFUNCTION("""COMPUTED_VALUE"""),"Breach,Cypher,Sova,Omen,Jett")</f>
        <v>Breach,Cypher,Sova,Omen,Jett</v>
      </c>
      <c r="H378" s="189" t="str">
        <f>IFERROR(__xludf.DUMMYFUNCTION("""COMPUTED_VALUE"""),"Breach,Cypher,Sova,Omen,Neon")</f>
        <v>Breach,Cypher,Sova,Omen,Neon</v>
      </c>
      <c r="I378" s="189">
        <f>IFERROR(__xludf.DUMMYFUNCTION("""COMPUTED_VALUE"""),6.0)</f>
        <v>6</v>
      </c>
      <c r="J378" s="189">
        <f>IFERROR(__xludf.DUMMYFUNCTION("""COMPUTED_VALUE"""),13.0)</f>
        <v>13</v>
      </c>
      <c r="K378" s="189">
        <f>IFERROR(__xludf.DUMMYFUNCTION("""COMPUTED_VALUE"""),4.0)</f>
        <v>4</v>
      </c>
      <c r="L378" s="189">
        <f>IFERROR(__xludf.DUMMYFUNCTION("""COMPUTED_VALUE"""),8.0)</f>
        <v>8</v>
      </c>
      <c r="M378" s="189">
        <f>IFERROR(__xludf.DUMMYFUNCTION("""COMPUTED_VALUE"""),1.0)</f>
        <v>1</v>
      </c>
      <c r="N378" s="189">
        <f>IFERROR(__xludf.DUMMYFUNCTION("""COMPUTED_VALUE"""),0.0)</f>
        <v>0</v>
      </c>
      <c r="O378" s="189">
        <f>IFERROR(__xludf.DUMMYFUNCTION("""COMPUTED_VALUE"""),4.0)</f>
        <v>4</v>
      </c>
      <c r="P378" s="189">
        <f>IFERROR(__xludf.DUMMYFUNCTION("""COMPUTED_VALUE"""),8.0)</f>
        <v>8</v>
      </c>
      <c r="Q378" s="189">
        <f>IFERROR(__xludf.DUMMYFUNCTION("""COMPUTED_VALUE"""),2.0)</f>
        <v>2</v>
      </c>
      <c r="R378" s="189">
        <f>IFERROR(__xludf.DUMMYFUNCTION("""COMPUTED_VALUE"""),5.0)</f>
        <v>5</v>
      </c>
      <c r="S378" s="189">
        <f>IFERROR(__xludf.DUMMYFUNCTION("""COMPUTED_VALUE"""),1.0)</f>
        <v>1</v>
      </c>
      <c r="T378" s="189">
        <f>IFERROR(__xludf.DUMMYFUNCTION("""COMPUTED_VALUE"""),0.0)</f>
        <v>0</v>
      </c>
      <c r="U378" s="189">
        <f>IFERROR(__xludf.DUMMYFUNCTION("""COMPUTED_VALUE"""),5.0)</f>
        <v>5</v>
      </c>
      <c r="V378" s="189">
        <f>IFERROR(__xludf.DUMMYFUNCTION("""COMPUTED_VALUE"""),2.0)</f>
        <v>2</v>
      </c>
      <c r="W378" s="189">
        <f>IFERROR(__xludf.DUMMYFUNCTION("""COMPUTED_VALUE"""),8.0)</f>
        <v>8</v>
      </c>
      <c r="X378" s="189">
        <f>IFERROR(__xludf.DUMMYFUNCTION("""COMPUTED_VALUE"""),4.0)</f>
        <v>4</v>
      </c>
      <c r="Y378" s="208" t="str">
        <f>IFERROR(__xludf.DUMMYFUNCTION("""COMPUTED_VALUE"""),"2025-08-04T00:00:00.000Z")</f>
        <v>2025-08-04T00:00:00.000Z</v>
      </c>
      <c r="Z378" s="189" t="s">
        <v>506</v>
      </c>
      <c r="AA378" s="189" t="s">
        <v>188</v>
      </c>
    </row>
    <row r="379">
      <c r="A379" s="189">
        <f>IFERROR(__xludf.DUMMYFUNCTION("""COMPUTED_VALUE"""),211970.0)</f>
        <v>211970</v>
      </c>
      <c r="B379" s="189">
        <f>IFERROR(__xludf.DUMMYFUNCTION("""COMPUTED_VALUE"""),93390.0)</f>
        <v>93390</v>
      </c>
      <c r="C379" s="189" t="str">
        <f>IFERROR(__xludf.DUMMYFUNCTION("""COMPUTED_VALUE"""),"Challengers 2025: Türkiye Birlik Split 3 - Playoffs")</f>
        <v>Challengers 2025: Türkiye Birlik Split 3 - Playoffs</v>
      </c>
      <c r="D379" s="189" t="str">
        <f>IFERROR(__xludf.DUMMYFUNCTION("""COMPUTED_VALUE"""),"Icebox")</f>
        <v>Icebox</v>
      </c>
      <c r="E379" s="189" t="str">
        <f>IFERROR(__xludf.DUMMYFUNCTION("""COMPUTED_VALUE"""),"Papara SuperMassive")</f>
        <v>Papara SuperMassive</v>
      </c>
      <c r="F379" s="189" t="str">
        <f>IFERROR(__xludf.DUMMYFUNCTION("""COMPUTED_VALUE"""),"BBL PCIFIC")</f>
        <v>BBL PCIFIC</v>
      </c>
      <c r="G379" s="189" t="str">
        <f>IFERROR(__xludf.DUMMYFUNCTION("""COMPUTED_VALUE"""),"Sova,Killjoy,Viper,Reyna,Jett")</f>
        <v>Sova,Killjoy,Viper,Reyna,Jett</v>
      </c>
      <c r="H379" s="189" t="str">
        <f>IFERROR(__xludf.DUMMYFUNCTION("""COMPUTED_VALUE"""),"Sova,Killjoy,Viper,Omen,Jett")</f>
        <v>Sova,Killjoy,Viper,Omen,Jett</v>
      </c>
      <c r="I379" s="189">
        <f>IFERROR(__xludf.DUMMYFUNCTION("""COMPUTED_VALUE"""),12.0)</f>
        <v>12</v>
      </c>
      <c r="J379" s="189">
        <f>IFERROR(__xludf.DUMMYFUNCTION("""COMPUTED_VALUE"""),14.0)</f>
        <v>14</v>
      </c>
      <c r="K379" s="189">
        <f>IFERROR(__xludf.DUMMYFUNCTION("""COMPUTED_VALUE"""),8.0)</f>
        <v>8</v>
      </c>
      <c r="L379" s="189">
        <f>IFERROR(__xludf.DUMMYFUNCTION("""COMPUTED_VALUE"""),4.0)</f>
        <v>4</v>
      </c>
      <c r="M379" s="189">
        <f>IFERROR(__xludf.DUMMYFUNCTION("""COMPUTED_VALUE"""),1.0)</f>
        <v>1</v>
      </c>
      <c r="N379" s="189">
        <f>IFERROR(__xludf.DUMMYFUNCTION("""COMPUTED_VALUE"""),1.0)</f>
        <v>1</v>
      </c>
      <c r="O379" s="189">
        <f>IFERROR(__xludf.DUMMYFUNCTION("""COMPUTED_VALUE"""),4.0)</f>
        <v>4</v>
      </c>
      <c r="P379" s="189">
        <f>IFERROR(__xludf.DUMMYFUNCTION("""COMPUTED_VALUE"""),9.0)</f>
        <v>9</v>
      </c>
      <c r="Q379" s="189">
        <f>IFERROR(__xludf.DUMMYFUNCTION("""COMPUTED_VALUE"""),8.0)</f>
        <v>8</v>
      </c>
      <c r="R379" s="189">
        <f>IFERROR(__xludf.DUMMYFUNCTION("""COMPUTED_VALUE"""),5.0)</f>
        <v>5</v>
      </c>
      <c r="S379" s="189">
        <f>IFERROR(__xludf.DUMMYFUNCTION("""COMPUTED_VALUE"""),0.0)</f>
        <v>0</v>
      </c>
      <c r="T379" s="189">
        <f>IFERROR(__xludf.DUMMYFUNCTION("""COMPUTED_VALUE"""),0.0)</f>
        <v>0</v>
      </c>
      <c r="U379" s="189">
        <f>IFERROR(__xludf.DUMMYFUNCTION("""COMPUTED_VALUE"""),5.0)</f>
        <v>5</v>
      </c>
      <c r="V379" s="189">
        <f>IFERROR(__xludf.DUMMYFUNCTION("""COMPUTED_VALUE"""),8.0)</f>
        <v>8</v>
      </c>
      <c r="W379" s="189">
        <f>IFERROR(__xludf.DUMMYFUNCTION("""COMPUTED_VALUE"""),9.0)</f>
        <v>9</v>
      </c>
      <c r="X379" s="189">
        <f>IFERROR(__xludf.DUMMYFUNCTION("""COMPUTED_VALUE"""),4.0)</f>
        <v>4</v>
      </c>
      <c r="Y379" s="208" t="str">
        <f>IFERROR(__xludf.DUMMYFUNCTION("""COMPUTED_VALUE"""),"2025-08-04T00:00:00.000Z")</f>
        <v>2025-08-04T00:00:00.000Z</v>
      </c>
      <c r="Z379" s="189" t="s">
        <v>507</v>
      </c>
      <c r="AA379" s="189" t="s">
        <v>186</v>
      </c>
    </row>
    <row r="380">
      <c r="A380" s="189">
        <f>IFERROR(__xludf.DUMMYFUNCTION("""COMPUTED_VALUE"""),211969.0)</f>
        <v>211969</v>
      </c>
      <c r="B380" s="189">
        <f>IFERROR(__xludf.DUMMYFUNCTION("""COMPUTED_VALUE"""),93390.0)</f>
        <v>93390</v>
      </c>
      <c r="C380" s="189" t="str">
        <f>IFERROR(__xludf.DUMMYFUNCTION("""COMPUTED_VALUE"""),"Challengers 2025: Türkiye Birlik Split 3 - Playoffs")</f>
        <v>Challengers 2025: Türkiye Birlik Split 3 - Playoffs</v>
      </c>
      <c r="D380" s="189" t="str">
        <f>IFERROR(__xludf.DUMMYFUNCTION("""COMPUTED_VALUE"""),"Lotus")</f>
        <v>Lotus</v>
      </c>
      <c r="E380" s="189" t="str">
        <f>IFERROR(__xludf.DUMMYFUNCTION("""COMPUTED_VALUE"""),"Papara SuperMassive")</f>
        <v>Papara SuperMassive</v>
      </c>
      <c r="F380" s="189" t="str">
        <f>IFERROR(__xludf.DUMMYFUNCTION("""COMPUTED_VALUE"""),"BBL PCIFIC")</f>
        <v>BBL PCIFIC</v>
      </c>
      <c r="G380" s="189" t="str">
        <f>IFERROR(__xludf.DUMMYFUNCTION("""COMPUTED_VALUE"""),"Raze,Viper,Omen,Fade,Vyse")</f>
        <v>Raze,Viper,Omen,Fade,Vyse</v>
      </c>
      <c r="H380" s="189" t="str">
        <f>IFERROR(__xludf.DUMMYFUNCTION("""COMPUTED_VALUE"""),"Raze,Omen,Yoru,Fade,Vyse")</f>
        <v>Raze,Omen,Yoru,Fade,Vyse</v>
      </c>
      <c r="I380" s="189">
        <f>IFERROR(__xludf.DUMMYFUNCTION("""COMPUTED_VALUE"""),4.0)</f>
        <v>4</v>
      </c>
      <c r="J380" s="189">
        <f>IFERROR(__xludf.DUMMYFUNCTION("""COMPUTED_VALUE"""),13.0)</f>
        <v>13</v>
      </c>
      <c r="K380" s="189">
        <f>IFERROR(__xludf.DUMMYFUNCTION("""COMPUTED_VALUE"""),4.0)</f>
        <v>4</v>
      </c>
      <c r="L380" s="189">
        <f>IFERROR(__xludf.DUMMYFUNCTION("""COMPUTED_VALUE"""),8.0)</f>
        <v>8</v>
      </c>
      <c r="M380" s="189">
        <f>IFERROR(__xludf.DUMMYFUNCTION("""COMPUTED_VALUE"""),0.0)</f>
        <v>0</v>
      </c>
      <c r="N380" s="189">
        <f>IFERROR(__xludf.DUMMYFUNCTION("""COMPUTED_VALUE"""),0.0)</f>
        <v>0</v>
      </c>
      <c r="O380" s="189">
        <f>IFERROR(__xludf.DUMMYFUNCTION("""COMPUTED_VALUE"""),4.0)</f>
        <v>4</v>
      </c>
      <c r="P380" s="189">
        <f>IFERROR(__xludf.DUMMYFUNCTION("""COMPUTED_VALUE"""),8.0)</f>
        <v>8</v>
      </c>
      <c r="Q380" s="189">
        <f>IFERROR(__xludf.DUMMYFUNCTION("""COMPUTED_VALUE"""),0.0)</f>
        <v>0</v>
      </c>
      <c r="R380" s="189">
        <f>IFERROR(__xludf.DUMMYFUNCTION("""COMPUTED_VALUE"""),5.0)</f>
        <v>5</v>
      </c>
      <c r="S380" s="189">
        <f>IFERROR(__xludf.DUMMYFUNCTION("""COMPUTED_VALUE"""),1.0)</f>
        <v>1</v>
      </c>
      <c r="T380" s="189">
        <f>IFERROR(__xludf.DUMMYFUNCTION("""COMPUTED_VALUE"""),1.0)</f>
        <v>1</v>
      </c>
      <c r="U380" s="189">
        <f>IFERROR(__xludf.DUMMYFUNCTION("""COMPUTED_VALUE"""),5.0)</f>
        <v>5</v>
      </c>
      <c r="V380" s="189">
        <f>IFERROR(__xludf.DUMMYFUNCTION("""COMPUTED_VALUE"""),0.0)</f>
        <v>0</v>
      </c>
      <c r="W380" s="189">
        <f>IFERROR(__xludf.DUMMYFUNCTION("""COMPUTED_VALUE"""),8.0)</f>
        <v>8</v>
      </c>
      <c r="X380" s="189">
        <f>IFERROR(__xludf.DUMMYFUNCTION("""COMPUTED_VALUE"""),4.0)</f>
        <v>4</v>
      </c>
      <c r="Y380" s="208" t="str">
        <f>IFERROR(__xludf.DUMMYFUNCTION("""COMPUTED_VALUE"""),"2025-08-04T00:00:00.000Z")</f>
        <v>2025-08-04T00:00:00.000Z</v>
      </c>
      <c r="Z380" s="189" t="s">
        <v>508</v>
      </c>
      <c r="AA380" s="189" t="s">
        <v>186</v>
      </c>
    </row>
    <row r="381">
      <c r="A381" s="189">
        <f>IFERROR(__xludf.DUMMYFUNCTION("""COMPUTED_VALUE"""),211968.0)</f>
        <v>211968</v>
      </c>
      <c r="B381" s="189">
        <f>IFERROR(__xludf.DUMMYFUNCTION("""COMPUTED_VALUE"""),93390.0)</f>
        <v>93390</v>
      </c>
      <c r="C381" s="189" t="str">
        <f>IFERROR(__xludf.DUMMYFUNCTION("""COMPUTED_VALUE"""),"Challengers 2025: Türkiye Birlik Split 3 - Playoffs")</f>
        <v>Challengers 2025: Türkiye Birlik Split 3 - Playoffs</v>
      </c>
      <c r="D381" s="189" t="str">
        <f>IFERROR(__xludf.DUMMYFUNCTION("""COMPUTED_VALUE"""),"Haven")</f>
        <v>Haven</v>
      </c>
      <c r="E381" s="189" t="str">
        <f>IFERROR(__xludf.DUMMYFUNCTION("""COMPUTED_VALUE"""),"Papara SuperMassive")</f>
        <v>Papara SuperMassive</v>
      </c>
      <c r="F381" s="189" t="str">
        <f>IFERROR(__xludf.DUMMYFUNCTION("""COMPUTED_VALUE"""),"BBL PCIFIC")</f>
        <v>BBL PCIFIC</v>
      </c>
      <c r="G381" s="189" t="str">
        <f>IFERROR(__xludf.DUMMYFUNCTION("""COMPUTED_VALUE"""),"Breach,Cypher,Sova,Omen,Neon")</f>
        <v>Breach,Cypher,Sova,Omen,Neon</v>
      </c>
      <c r="H381" s="189" t="str">
        <f>IFERROR(__xludf.DUMMYFUNCTION("""COMPUTED_VALUE"""),"Breach,Cypher,Sova,Omen,Jett")</f>
        <v>Breach,Cypher,Sova,Omen,Jett</v>
      </c>
      <c r="I381" s="189">
        <f>IFERROR(__xludf.DUMMYFUNCTION("""COMPUTED_VALUE"""),13.0)</f>
        <v>13</v>
      </c>
      <c r="J381" s="189">
        <f>IFERROR(__xludf.DUMMYFUNCTION("""COMPUTED_VALUE"""),6.0)</f>
        <v>6</v>
      </c>
      <c r="K381" s="189">
        <f>IFERROR(__xludf.DUMMYFUNCTION("""COMPUTED_VALUE"""),7.0)</f>
        <v>7</v>
      </c>
      <c r="L381" s="189">
        <f>IFERROR(__xludf.DUMMYFUNCTION("""COMPUTED_VALUE"""),5.0)</f>
        <v>5</v>
      </c>
      <c r="M381" s="189">
        <f>IFERROR(__xludf.DUMMYFUNCTION("""COMPUTED_VALUE"""),1.0)</f>
        <v>1</v>
      </c>
      <c r="N381" s="189">
        <f>IFERROR(__xludf.DUMMYFUNCTION("""COMPUTED_VALUE"""),1.0)</f>
        <v>1</v>
      </c>
      <c r="O381" s="189">
        <f>IFERROR(__xludf.DUMMYFUNCTION("""COMPUTED_VALUE"""),6.0)</f>
        <v>6</v>
      </c>
      <c r="P381" s="189">
        <f>IFERROR(__xludf.DUMMYFUNCTION("""COMPUTED_VALUE"""),1.0)</f>
        <v>1</v>
      </c>
      <c r="Q381" s="189">
        <f>IFERROR(__xludf.DUMMYFUNCTION("""COMPUTED_VALUE"""),7.0)</f>
        <v>7</v>
      </c>
      <c r="R381" s="189">
        <f>IFERROR(__xludf.DUMMYFUNCTION("""COMPUTED_VALUE"""),5.0)</f>
        <v>5</v>
      </c>
      <c r="S381" s="189">
        <f>IFERROR(__xludf.DUMMYFUNCTION("""COMPUTED_VALUE"""),0.0)</f>
        <v>0</v>
      </c>
      <c r="T381" s="189">
        <f>IFERROR(__xludf.DUMMYFUNCTION("""COMPUTED_VALUE"""),0.0)</f>
        <v>0</v>
      </c>
      <c r="U381" s="189">
        <f>IFERROR(__xludf.DUMMYFUNCTION("""COMPUTED_VALUE"""),5.0)</f>
        <v>5</v>
      </c>
      <c r="V381" s="189">
        <f>IFERROR(__xludf.DUMMYFUNCTION("""COMPUTED_VALUE"""),7.0)</f>
        <v>7</v>
      </c>
      <c r="W381" s="189">
        <f>IFERROR(__xludf.DUMMYFUNCTION("""COMPUTED_VALUE"""),1.0)</f>
        <v>1</v>
      </c>
      <c r="X381" s="189">
        <f>IFERROR(__xludf.DUMMYFUNCTION("""COMPUTED_VALUE"""),6.0)</f>
        <v>6</v>
      </c>
      <c r="Y381" s="208" t="str">
        <f>IFERROR(__xludf.DUMMYFUNCTION("""COMPUTED_VALUE"""),"2025-08-04T00:00:00.000Z")</f>
        <v>2025-08-04T00:00:00.000Z</v>
      </c>
      <c r="Z381" s="189" t="s">
        <v>509</v>
      </c>
      <c r="AA381" s="189" t="s">
        <v>399</v>
      </c>
    </row>
    <row r="382">
      <c r="A382" s="189">
        <f>IFERROR(__xludf.DUMMYFUNCTION("""COMPUTED_VALUE"""),211957.0)</f>
        <v>211957</v>
      </c>
      <c r="B382" s="189">
        <f>IFERROR(__xludf.DUMMYFUNCTION("""COMPUTED_VALUE"""),93386.0)</f>
        <v>93386</v>
      </c>
      <c r="C382" s="189" t="str">
        <f>IFERROR(__xludf.DUMMYFUNCTION("""COMPUTED_VALUE"""),"Challengers League 2025 NORTH EAST: Split 3 - Playoffs")</f>
        <v>Challengers League 2025 NORTH EAST: Split 3 - Playoffs</v>
      </c>
      <c r="D382" s="189" t="str">
        <f>IFERROR(__xludf.DUMMYFUNCTION("""COMPUTED_VALUE"""),"Corrode")</f>
        <v>Corrode</v>
      </c>
      <c r="E382" s="189" t="str">
        <f>IFERROR(__xludf.DUMMYFUNCTION("""COMPUTED_VALUE"""),"Boars Gaming")</f>
        <v>Boars Gaming</v>
      </c>
      <c r="F382" s="189" t="str">
        <f>IFERROR(__xludf.DUMMYFUNCTION("""COMPUTED_VALUE"""),"Team Liquid Academy")</f>
        <v>Team Liquid Academy</v>
      </c>
      <c r="G382" s="189" t="str">
        <f>IFERROR(__xludf.DUMMYFUNCTION("""COMPUTED_VALUE"""),"Omen,Yoru,Chamber,Neon,Fade")</f>
        <v>Omen,Yoru,Chamber,Neon,Fade</v>
      </c>
      <c r="H382" s="189" t="str">
        <f>IFERROR(__xludf.DUMMYFUNCTION("""COMPUTED_VALUE"""),"Cypher,Phoenix,Omen,Yoru,Fade")</f>
        <v>Cypher,Phoenix,Omen,Yoru,Fade</v>
      </c>
      <c r="I382" s="189">
        <f>IFERROR(__xludf.DUMMYFUNCTION("""COMPUTED_VALUE"""),3.0)</f>
        <v>3</v>
      </c>
      <c r="J382" s="189">
        <f>IFERROR(__xludf.DUMMYFUNCTION("""COMPUTED_VALUE"""),13.0)</f>
        <v>13</v>
      </c>
      <c r="K382" s="189">
        <f>IFERROR(__xludf.DUMMYFUNCTION("""COMPUTED_VALUE"""),2.0)</f>
        <v>2</v>
      </c>
      <c r="L382" s="189">
        <f>IFERROR(__xludf.DUMMYFUNCTION("""COMPUTED_VALUE"""),10.0)</f>
        <v>10</v>
      </c>
      <c r="M382" s="189">
        <f>IFERROR(__xludf.DUMMYFUNCTION("""COMPUTED_VALUE"""),0.0)</f>
        <v>0</v>
      </c>
      <c r="N382" s="189">
        <f>IFERROR(__xludf.DUMMYFUNCTION("""COMPUTED_VALUE"""),0.0)</f>
        <v>0</v>
      </c>
      <c r="O382" s="189">
        <f>IFERROR(__xludf.DUMMYFUNCTION("""COMPUTED_VALUE"""),2.0)</f>
        <v>2</v>
      </c>
      <c r="P382" s="189">
        <f>IFERROR(__xludf.DUMMYFUNCTION("""COMPUTED_VALUE"""),10.0)</f>
        <v>10</v>
      </c>
      <c r="Q382" s="189">
        <f>IFERROR(__xludf.DUMMYFUNCTION("""COMPUTED_VALUE"""),1.0)</f>
        <v>1</v>
      </c>
      <c r="R382" s="189">
        <f>IFERROR(__xludf.DUMMYFUNCTION("""COMPUTED_VALUE"""),3.0)</f>
        <v>3</v>
      </c>
      <c r="S382" s="189">
        <f>IFERROR(__xludf.DUMMYFUNCTION("""COMPUTED_VALUE"""),1.0)</f>
        <v>1</v>
      </c>
      <c r="T382" s="189">
        <f>IFERROR(__xludf.DUMMYFUNCTION("""COMPUTED_VALUE"""),1.0)</f>
        <v>1</v>
      </c>
      <c r="U382" s="189">
        <f>IFERROR(__xludf.DUMMYFUNCTION("""COMPUTED_VALUE"""),3.0)</f>
        <v>3</v>
      </c>
      <c r="V382" s="189">
        <f>IFERROR(__xludf.DUMMYFUNCTION("""COMPUTED_VALUE"""),1.0)</f>
        <v>1</v>
      </c>
      <c r="W382" s="189">
        <f>IFERROR(__xludf.DUMMYFUNCTION("""COMPUTED_VALUE"""),10.0)</f>
        <v>10</v>
      </c>
      <c r="X382" s="189">
        <f>IFERROR(__xludf.DUMMYFUNCTION("""COMPUTED_VALUE"""),2.0)</f>
        <v>2</v>
      </c>
      <c r="Y382" s="208" t="str">
        <f>IFERROR(__xludf.DUMMYFUNCTION("""COMPUTED_VALUE"""),"2025-08-03T00:00:00.000Z")</f>
        <v>2025-08-03T00:00:00.000Z</v>
      </c>
      <c r="Z382" s="189" t="s">
        <v>78</v>
      </c>
      <c r="AA382" s="189" t="s">
        <v>1</v>
      </c>
    </row>
    <row r="383">
      <c r="A383" s="189">
        <f>IFERROR(__xludf.DUMMYFUNCTION("""COMPUTED_VALUE"""),211956.0)</f>
        <v>211956</v>
      </c>
      <c r="B383" s="189">
        <f>IFERROR(__xludf.DUMMYFUNCTION("""COMPUTED_VALUE"""),93386.0)</f>
        <v>93386</v>
      </c>
      <c r="C383" s="189" t="str">
        <f>IFERROR(__xludf.DUMMYFUNCTION("""COMPUTED_VALUE"""),"Challengers League 2025 NORTH EAST: Split 3 - Playoffs")</f>
        <v>Challengers League 2025 NORTH EAST: Split 3 - Playoffs</v>
      </c>
      <c r="D383" s="189" t="str">
        <f>IFERROR(__xludf.DUMMYFUNCTION("""COMPUTED_VALUE"""),"Lotus")</f>
        <v>Lotus</v>
      </c>
      <c r="E383" s="189" t="str">
        <f>IFERROR(__xludf.DUMMYFUNCTION("""COMPUTED_VALUE"""),"Boars Gaming")</f>
        <v>Boars Gaming</v>
      </c>
      <c r="F383" s="189" t="str">
        <f>IFERROR(__xludf.DUMMYFUNCTION("""COMPUTED_VALUE"""),"Team Liquid Academy")</f>
        <v>Team Liquid Academy</v>
      </c>
      <c r="G383" s="189" t="str">
        <f>IFERROR(__xludf.DUMMYFUNCTION("""COMPUTED_VALUE"""),"Breach,Cypher,Omen,Neon,Fade")</f>
        <v>Breach,Cypher,Omen,Neon,Fade</v>
      </c>
      <c r="H383" s="189" t="str">
        <f>IFERROR(__xludf.DUMMYFUNCTION("""COMPUTED_VALUE"""),"Cypher,Omen,Neon,Fade,Iso")</f>
        <v>Cypher,Omen,Neon,Fade,Iso</v>
      </c>
      <c r="I383" s="189">
        <f>IFERROR(__xludf.DUMMYFUNCTION("""COMPUTED_VALUE"""),6.0)</f>
        <v>6</v>
      </c>
      <c r="J383" s="189">
        <f>IFERROR(__xludf.DUMMYFUNCTION("""COMPUTED_VALUE"""),13.0)</f>
        <v>13</v>
      </c>
      <c r="K383" s="189">
        <f>IFERROR(__xludf.DUMMYFUNCTION("""COMPUTED_VALUE"""),2.0)</f>
        <v>2</v>
      </c>
      <c r="L383" s="189">
        <f>IFERROR(__xludf.DUMMYFUNCTION("""COMPUTED_VALUE"""),10.0)</f>
        <v>10</v>
      </c>
      <c r="M383" s="189">
        <f>IFERROR(__xludf.DUMMYFUNCTION("""COMPUTED_VALUE"""),0.0)</f>
        <v>0</v>
      </c>
      <c r="N383" s="189">
        <f>IFERROR(__xludf.DUMMYFUNCTION("""COMPUTED_VALUE"""),1.0)</f>
        <v>1</v>
      </c>
      <c r="O383" s="189">
        <f>IFERROR(__xludf.DUMMYFUNCTION("""COMPUTED_VALUE"""),2.0)</f>
        <v>2</v>
      </c>
      <c r="P383" s="189">
        <f>IFERROR(__xludf.DUMMYFUNCTION("""COMPUTED_VALUE"""),10.0)</f>
        <v>10</v>
      </c>
      <c r="Q383" s="189">
        <f>IFERROR(__xludf.DUMMYFUNCTION("""COMPUTED_VALUE"""),4.0)</f>
        <v>4</v>
      </c>
      <c r="R383" s="189">
        <f>IFERROR(__xludf.DUMMYFUNCTION("""COMPUTED_VALUE"""),3.0)</f>
        <v>3</v>
      </c>
      <c r="S383" s="189">
        <f>IFERROR(__xludf.DUMMYFUNCTION("""COMPUTED_VALUE"""),0.0)</f>
        <v>0</v>
      </c>
      <c r="T383" s="189">
        <f>IFERROR(__xludf.DUMMYFUNCTION("""COMPUTED_VALUE"""),1.0)</f>
        <v>1</v>
      </c>
      <c r="U383" s="189">
        <f>IFERROR(__xludf.DUMMYFUNCTION("""COMPUTED_VALUE"""),3.0)</f>
        <v>3</v>
      </c>
      <c r="V383" s="189">
        <f>IFERROR(__xludf.DUMMYFUNCTION("""COMPUTED_VALUE"""),4.0)</f>
        <v>4</v>
      </c>
      <c r="W383" s="189">
        <f>IFERROR(__xludf.DUMMYFUNCTION("""COMPUTED_VALUE"""),10.0)</f>
        <v>10</v>
      </c>
      <c r="X383" s="189">
        <f>IFERROR(__xludf.DUMMYFUNCTION("""COMPUTED_VALUE"""),2.0)</f>
        <v>2</v>
      </c>
      <c r="Y383" s="208" t="str">
        <f>IFERROR(__xludf.DUMMYFUNCTION("""COMPUTED_VALUE"""),"2025-08-03T00:00:00.000Z")</f>
        <v>2025-08-03T00:00:00.000Z</v>
      </c>
      <c r="Z383" s="189" t="s">
        <v>81</v>
      </c>
      <c r="AA383" s="189" t="s">
        <v>1</v>
      </c>
    </row>
    <row r="384">
      <c r="A384" s="189">
        <f>IFERROR(__xludf.DUMMYFUNCTION("""COMPUTED_VALUE"""),211246.0)</f>
        <v>211246</v>
      </c>
      <c r="B384" s="189">
        <f>IFERROR(__xludf.DUMMYFUNCTION("""COMPUTED_VALUE"""),92903.0)</f>
        <v>92903</v>
      </c>
      <c r="C384" s="189" t="str">
        <f>IFERROR(__xludf.DUMMYFUNCTION("""COMPUTED_VALUE"""),"Challengers 2025: France Revolution Split 3 - Playoffs")</f>
        <v>Challengers 2025: France Revolution Split 3 - Playoffs</v>
      </c>
      <c r="D384" s="189" t="str">
        <f>IFERROR(__xludf.DUMMYFUNCTION("""COMPUTED_VALUE"""),"Icebox")</f>
        <v>Icebox</v>
      </c>
      <c r="E384" s="189" t="str">
        <f>IFERROR(__xludf.DUMMYFUNCTION("""COMPUTED_VALUE"""),"BLX CORP")</f>
        <v>BLX CORP</v>
      </c>
      <c r="F384" s="189" t="str">
        <f>IFERROR(__xludf.DUMMYFUNCTION("""COMPUTED_VALUE"""),"Joblife")</f>
        <v>Joblife</v>
      </c>
      <c r="G384" s="189" t="str">
        <f>IFERROR(__xludf.DUMMYFUNCTION("""COMPUTED_VALUE"""),"Killjoy,Viper,Reyna,Gekko,Iso")</f>
        <v>Killjoy,Viper,Reyna,Gekko,Iso</v>
      </c>
      <c r="H384" s="189" t="str">
        <f>IFERROR(__xludf.DUMMYFUNCTION("""COMPUTED_VALUE"""),"Sova,Killjoy,Viper,Sage,Jett")</f>
        <v>Sova,Killjoy,Viper,Sage,Jett</v>
      </c>
      <c r="I384" s="189">
        <f>IFERROR(__xludf.DUMMYFUNCTION("""COMPUTED_VALUE"""),2.0)</f>
        <v>2</v>
      </c>
      <c r="J384" s="189">
        <f>IFERROR(__xludf.DUMMYFUNCTION("""COMPUTED_VALUE"""),13.0)</f>
        <v>13</v>
      </c>
      <c r="K384" s="189">
        <f>IFERROR(__xludf.DUMMYFUNCTION("""COMPUTED_VALUE"""),1.0)</f>
        <v>1</v>
      </c>
      <c r="L384" s="189">
        <f>IFERROR(__xludf.DUMMYFUNCTION("""COMPUTED_VALUE"""),11.0)</f>
        <v>11</v>
      </c>
      <c r="M384" s="189">
        <f>IFERROR(__xludf.DUMMYFUNCTION("""COMPUTED_VALUE"""),0.0)</f>
        <v>0</v>
      </c>
      <c r="N384" s="189">
        <f>IFERROR(__xludf.DUMMYFUNCTION("""COMPUTED_VALUE"""),0.0)</f>
        <v>0</v>
      </c>
      <c r="O384" s="189">
        <f>IFERROR(__xludf.DUMMYFUNCTION("""COMPUTED_VALUE"""),1.0)</f>
        <v>1</v>
      </c>
      <c r="P384" s="189">
        <f>IFERROR(__xludf.DUMMYFUNCTION("""COMPUTED_VALUE"""),11.0)</f>
        <v>11</v>
      </c>
      <c r="Q384" s="189">
        <f>IFERROR(__xludf.DUMMYFUNCTION("""COMPUTED_VALUE"""),1.0)</f>
        <v>1</v>
      </c>
      <c r="R384" s="189">
        <f>IFERROR(__xludf.DUMMYFUNCTION("""COMPUTED_VALUE"""),2.0)</f>
        <v>2</v>
      </c>
      <c r="S384" s="189">
        <f>IFERROR(__xludf.DUMMYFUNCTION("""COMPUTED_VALUE"""),1.0)</f>
        <v>1</v>
      </c>
      <c r="T384" s="189">
        <f>IFERROR(__xludf.DUMMYFUNCTION("""COMPUTED_VALUE"""),1.0)</f>
        <v>1</v>
      </c>
      <c r="U384" s="189">
        <f>IFERROR(__xludf.DUMMYFUNCTION("""COMPUTED_VALUE"""),2.0)</f>
        <v>2</v>
      </c>
      <c r="V384" s="189">
        <f>IFERROR(__xludf.DUMMYFUNCTION("""COMPUTED_VALUE"""),1.0)</f>
        <v>1</v>
      </c>
      <c r="W384" s="189">
        <f>IFERROR(__xludf.DUMMYFUNCTION("""COMPUTED_VALUE"""),11.0)</f>
        <v>11</v>
      </c>
      <c r="X384" s="189">
        <f>IFERROR(__xludf.DUMMYFUNCTION("""COMPUTED_VALUE"""),1.0)</f>
        <v>1</v>
      </c>
      <c r="Y384" s="208" t="str">
        <f>IFERROR(__xludf.DUMMYFUNCTION("""COMPUTED_VALUE"""),"2025-08-03T00:00:00.000Z")</f>
        <v>2025-08-03T00:00:00.000Z</v>
      </c>
      <c r="Z384" s="189" t="s">
        <v>498</v>
      </c>
      <c r="AA384" s="189" t="s">
        <v>232</v>
      </c>
    </row>
    <row r="385">
      <c r="A385" s="189">
        <f>IFERROR(__xludf.DUMMYFUNCTION("""COMPUTED_VALUE"""),211599.0)</f>
        <v>211599</v>
      </c>
      <c r="B385" s="189">
        <f>IFERROR(__xludf.DUMMYFUNCTION("""COMPUTED_VALUE"""),93186.0)</f>
        <v>93186</v>
      </c>
      <c r="C385" s="189" t="str">
        <f>IFERROR(__xludf.DUMMYFUNCTION("""COMPUTED_VALUE"""),"Challengers League 2025 NORTH EAST: Split 3 - Playoffs")</f>
        <v>Challengers League 2025 NORTH EAST: Split 3 - Playoffs</v>
      </c>
      <c r="D385" s="189" t="str">
        <f>IFERROR(__xludf.DUMMYFUNCTION("""COMPUTED_VALUE"""),"Bind")</f>
        <v>Bind</v>
      </c>
      <c r="E385" s="189" t="str">
        <f>IFERROR(__xludf.DUMMYFUNCTION("""COMPUTED_VALUE"""),"Enterprise Esports")</f>
        <v>Enterprise Esports</v>
      </c>
      <c r="F385" s="189" t="str">
        <f>IFERROR(__xludf.DUMMYFUNCTION("""COMPUTED_VALUE"""),"děti ulice")</f>
        <v>děti ulice</v>
      </c>
      <c r="G385" s="189" t="str">
        <f>IFERROR(__xludf.DUMMYFUNCTION("""COMPUTED_VALUE"""),"Raze,Viper,Yoru,Astra,Fade")</f>
        <v>Raze,Viper,Yoru,Astra,Fade</v>
      </c>
      <c r="H385" s="189" t="str">
        <f>IFERROR(__xludf.DUMMYFUNCTION("""COMPUTED_VALUE"""),"Raze,Viper,Brimstone,Skye,Gekko")</f>
        <v>Raze,Viper,Brimstone,Skye,Gekko</v>
      </c>
      <c r="I385" s="189">
        <f>IFERROR(__xludf.DUMMYFUNCTION("""COMPUTED_VALUE"""),13.0)</f>
        <v>13</v>
      </c>
      <c r="J385" s="189">
        <f>IFERROR(__xludf.DUMMYFUNCTION("""COMPUTED_VALUE"""),3.0)</f>
        <v>3</v>
      </c>
      <c r="K385" s="189">
        <f>IFERROR(__xludf.DUMMYFUNCTION("""COMPUTED_VALUE"""),9.0)</f>
        <v>9</v>
      </c>
      <c r="L385" s="189">
        <f>IFERROR(__xludf.DUMMYFUNCTION("""COMPUTED_VALUE"""),3.0)</f>
        <v>3</v>
      </c>
      <c r="M385" s="189">
        <f>IFERROR(__xludf.DUMMYFUNCTION("""COMPUTED_VALUE"""),1.0)</f>
        <v>1</v>
      </c>
      <c r="N385" s="189">
        <f>IFERROR(__xludf.DUMMYFUNCTION("""COMPUTED_VALUE"""),1.0)</f>
        <v>1</v>
      </c>
      <c r="O385" s="189">
        <f>IFERROR(__xludf.DUMMYFUNCTION("""COMPUTED_VALUE"""),4.0)</f>
        <v>4</v>
      </c>
      <c r="P385" s="189">
        <f>IFERROR(__xludf.DUMMYFUNCTION("""COMPUTED_VALUE"""),0.0)</f>
        <v>0</v>
      </c>
      <c r="Q385" s="189">
        <f>IFERROR(__xludf.DUMMYFUNCTION("""COMPUTED_VALUE"""),9.0)</f>
        <v>9</v>
      </c>
      <c r="R385" s="189">
        <f>IFERROR(__xludf.DUMMYFUNCTION("""COMPUTED_VALUE"""),3.0)</f>
        <v>3</v>
      </c>
      <c r="S385" s="189">
        <f>IFERROR(__xludf.DUMMYFUNCTION("""COMPUTED_VALUE"""),0.0)</f>
        <v>0</v>
      </c>
      <c r="T385" s="189">
        <f>IFERROR(__xludf.DUMMYFUNCTION("""COMPUTED_VALUE"""),0.0)</f>
        <v>0</v>
      </c>
      <c r="U385" s="189">
        <f>IFERROR(__xludf.DUMMYFUNCTION("""COMPUTED_VALUE"""),3.0)</f>
        <v>3</v>
      </c>
      <c r="V385" s="189">
        <f>IFERROR(__xludf.DUMMYFUNCTION("""COMPUTED_VALUE"""),9.0)</f>
        <v>9</v>
      </c>
      <c r="W385" s="189">
        <f>IFERROR(__xludf.DUMMYFUNCTION("""COMPUTED_VALUE"""),0.0)</f>
        <v>0</v>
      </c>
      <c r="X385" s="189">
        <f>IFERROR(__xludf.DUMMYFUNCTION("""COMPUTED_VALUE"""),4.0)</f>
        <v>4</v>
      </c>
      <c r="Y385" s="208" t="str">
        <f>IFERROR(__xludf.DUMMYFUNCTION("""COMPUTED_VALUE"""),"2025-08-03T00:00:00.000Z")</f>
        <v>2025-08-03T00:00:00.000Z</v>
      </c>
      <c r="Z385" s="189" t="s">
        <v>108</v>
      </c>
      <c r="AA385" s="189" t="s">
        <v>179</v>
      </c>
    </row>
    <row r="386">
      <c r="A386" s="189">
        <f>IFERROR(__xludf.DUMMYFUNCTION("""COMPUTED_VALUE"""),211245.0)</f>
        <v>211245</v>
      </c>
      <c r="B386" s="189">
        <f>IFERROR(__xludf.DUMMYFUNCTION("""COMPUTED_VALUE"""),92903.0)</f>
        <v>92903</v>
      </c>
      <c r="C386" s="189" t="str">
        <f>IFERROR(__xludf.DUMMYFUNCTION("""COMPUTED_VALUE"""),"Challengers 2025: France Revolution Split 3 - Playoffs")</f>
        <v>Challengers 2025: France Revolution Split 3 - Playoffs</v>
      </c>
      <c r="D386" s="189" t="str">
        <f>IFERROR(__xludf.DUMMYFUNCTION("""COMPUTED_VALUE"""),"Bind")</f>
        <v>Bind</v>
      </c>
      <c r="E386" s="189" t="str">
        <f>IFERROR(__xludf.DUMMYFUNCTION("""COMPUTED_VALUE"""),"BLX CORP")</f>
        <v>BLX CORP</v>
      </c>
      <c r="F386" s="189" t="str">
        <f>IFERROR(__xludf.DUMMYFUNCTION("""COMPUTED_VALUE"""),"Joblife")</f>
        <v>Joblife</v>
      </c>
      <c r="G386" s="189" t="str">
        <f>IFERROR(__xludf.DUMMYFUNCTION("""COMPUTED_VALUE"""),"Raze,Brimstone,KAY/O,Deadlock,Vyse")</f>
        <v>Raze,Brimstone,KAY/O,Deadlock,Vyse</v>
      </c>
      <c r="H386" s="189" t="str">
        <f>IFERROR(__xludf.DUMMYFUNCTION("""COMPUTED_VALUE"""),"Raze,Viper,Brimstone,Yoru,Fade")</f>
        <v>Raze,Viper,Brimstone,Yoru,Fade</v>
      </c>
      <c r="I386" s="189">
        <f>IFERROR(__xludf.DUMMYFUNCTION("""COMPUTED_VALUE"""),3.0)</f>
        <v>3</v>
      </c>
      <c r="J386" s="189">
        <f>IFERROR(__xludf.DUMMYFUNCTION("""COMPUTED_VALUE"""),13.0)</f>
        <v>13</v>
      </c>
      <c r="K386" s="189">
        <f>IFERROR(__xludf.DUMMYFUNCTION("""COMPUTED_VALUE"""),3.0)</f>
        <v>3</v>
      </c>
      <c r="L386" s="189">
        <f>IFERROR(__xludf.DUMMYFUNCTION("""COMPUTED_VALUE"""),9.0)</f>
        <v>9</v>
      </c>
      <c r="M386" s="189">
        <f>IFERROR(__xludf.DUMMYFUNCTION("""COMPUTED_VALUE"""),0.0)</f>
        <v>0</v>
      </c>
      <c r="N386" s="189">
        <f>IFERROR(__xludf.DUMMYFUNCTION("""COMPUTED_VALUE"""),0.0)</f>
        <v>0</v>
      </c>
      <c r="O386" s="189">
        <f>IFERROR(__xludf.DUMMYFUNCTION("""COMPUTED_VALUE"""),3.0)</f>
        <v>3</v>
      </c>
      <c r="P386" s="189">
        <f>IFERROR(__xludf.DUMMYFUNCTION("""COMPUTED_VALUE"""),9.0)</f>
        <v>9</v>
      </c>
      <c r="Q386" s="189">
        <f>IFERROR(__xludf.DUMMYFUNCTION("""COMPUTED_VALUE"""),0.0)</f>
        <v>0</v>
      </c>
      <c r="R386" s="189">
        <f>IFERROR(__xludf.DUMMYFUNCTION("""COMPUTED_VALUE"""),4.0)</f>
        <v>4</v>
      </c>
      <c r="S386" s="189">
        <f>IFERROR(__xludf.DUMMYFUNCTION("""COMPUTED_VALUE"""),1.0)</f>
        <v>1</v>
      </c>
      <c r="T386" s="189">
        <f>IFERROR(__xludf.DUMMYFUNCTION("""COMPUTED_VALUE"""),1.0)</f>
        <v>1</v>
      </c>
      <c r="U386" s="189">
        <f>IFERROR(__xludf.DUMMYFUNCTION("""COMPUTED_VALUE"""),4.0)</f>
        <v>4</v>
      </c>
      <c r="V386" s="189">
        <f>IFERROR(__xludf.DUMMYFUNCTION("""COMPUTED_VALUE"""),0.0)</f>
        <v>0</v>
      </c>
      <c r="W386" s="189">
        <f>IFERROR(__xludf.DUMMYFUNCTION("""COMPUTED_VALUE"""),9.0)</f>
        <v>9</v>
      </c>
      <c r="X386" s="189">
        <f>IFERROR(__xludf.DUMMYFUNCTION("""COMPUTED_VALUE"""),3.0)</f>
        <v>3</v>
      </c>
      <c r="Y386" s="208" t="str">
        <f>IFERROR(__xludf.DUMMYFUNCTION("""COMPUTED_VALUE"""),"2025-08-03T00:00:00.000Z")</f>
        <v>2025-08-03T00:00:00.000Z</v>
      </c>
      <c r="Z386" s="189" t="s">
        <v>510</v>
      </c>
      <c r="AA386" s="189" t="s">
        <v>232</v>
      </c>
    </row>
    <row r="387">
      <c r="A387" s="189">
        <f>IFERROR(__xludf.DUMMYFUNCTION("""COMPUTED_VALUE"""),211598.0)</f>
        <v>211598</v>
      </c>
      <c r="B387" s="189">
        <f>IFERROR(__xludf.DUMMYFUNCTION("""COMPUTED_VALUE"""),93186.0)</f>
        <v>93186</v>
      </c>
      <c r="C387" s="189" t="str">
        <f>IFERROR(__xludf.DUMMYFUNCTION("""COMPUTED_VALUE"""),"Challengers League 2025 NORTH EAST: Split 3 - Playoffs")</f>
        <v>Challengers League 2025 NORTH EAST: Split 3 - Playoffs</v>
      </c>
      <c r="D387" s="189" t="str">
        <f>IFERROR(__xludf.DUMMYFUNCTION("""COMPUTED_VALUE"""),"Ascent")</f>
        <v>Ascent</v>
      </c>
      <c r="E387" s="189" t="str">
        <f>IFERROR(__xludf.DUMMYFUNCTION("""COMPUTED_VALUE"""),"Enterprise Esports")</f>
        <v>Enterprise Esports</v>
      </c>
      <c r="F387" s="189" t="str">
        <f>IFERROR(__xludf.DUMMYFUNCTION("""COMPUTED_VALUE"""),"děti ulice")</f>
        <v>děti ulice</v>
      </c>
      <c r="G387" s="189" t="str">
        <f>IFERROR(__xludf.DUMMYFUNCTION("""COMPUTED_VALUE"""),"Cypher,Sova,Omen,Jett,KAY/O")</f>
        <v>Cypher,Sova,Omen,Jett,KAY/O</v>
      </c>
      <c r="H387" s="189" t="str">
        <f>IFERROR(__xludf.DUMMYFUNCTION("""COMPUTED_VALUE"""),"Sova,Killjoy,Omen,Jett,KAY/O")</f>
        <v>Sova,Killjoy,Omen,Jett,KAY/O</v>
      </c>
      <c r="I387" s="189">
        <f>IFERROR(__xludf.DUMMYFUNCTION("""COMPUTED_VALUE"""),13.0)</f>
        <v>13</v>
      </c>
      <c r="J387" s="189">
        <f>IFERROR(__xludf.DUMMYFUNCTION("""COMPUTED_VALUE"""),6.0)</f>
        <v>6</v>
      </c>
      <c r="K387" s="189">
        <f>IFERROR(__xludf.DUMMYFUNCTION("""COMPUTED_VALUE"""),8.0)</f>
        <v>8</v>
      </c>
      <c r="L387" s="189">
        <f>IFERROR(__xludf.DUMMYFUNCTION("""COMPUTED_VALUE"""),4.0)</f>
        <v>4</v>
      </c>
      <c r="M387" s="189">
        <f>IFERROR(__xludf.DUMMYFUNCTION("""COMPUTED_VALUE"""),1.0)</f>
        <v>1</v>
      </c>
      <c r="N387" s="189">
        <f>IFERROR(__xludf.DUMMYFUNCTION("""COMPUTED_VALUE"""),1.0)</f>
        <v>1</v>
      </c>
      <c r="O387" s="189">
        <f>IFERROR(__xludf.DUMMYFUNCTION("""COMPUTED_VALUE"""),8.0)</f>
        <v>8</v>
      </c>
      <c r="P387" s="189">
        <f>IFERROR(__xludf.DUMMYFUNCTION("""COMPUTED_VALUE"""),4.0)</f>
        <v>4</v>
      </c>
      <c r="Q387" s="189">
        <f>IFERROR(__xludf.DUMMYFUNCTION("""COMPUTED_VALUE"""),5.0)</f>
        <v>5</v>
      </c>
      <c r="R387" s="189">
        <f>IFERROR(__xludf.DUMMYFUNCTION("""COMPUTED_VALUE"""),2.0)</f>
        <v>2</v>
      </c>
      <c r="S387" s="189">
        <f>IFERROR(__xludf.DUMMYFUNCTION("""COMPUTED_VALUE"""),0.0)</f>
        <v>0</v>
      </c>
      <c r="T387" s="189">
        <f>IFERROR(__xludf.DUMMYFUNCTION("""COMPUTED_VALUE"""),0.0)</f>
        <v>0</v>
      </c>
      <c r="U387" s="189">
        <f>IFERROR(__xludf.DUMMYFUNCTION("""COMPUTED_VALUE"""),2.0)</f>
        <v>2</v>
      </c>
      <c r="V387" s="189">
        <f>IFERROR(__xludf.DUMMYFUNCTION("""COMPUTED_VALUE"""),5.0)</f>
        <v>5</v>
      </c>
      <c r="W387" s="189">
        <f>IFERROR(__xludf.DUMMYFUNCTION("""COMPUTED_VALUE"""),4.0)</f>
        <v>4</v>
      </c>
      <c r="X387" s="189">
        <f>IFERROR(__xludf.DUMMYFUNCTION("""COMPUTED_VALUE"""),8.0)</f>
        <v>8</v>
      </c>
      <c r="Y387" s="208" t="str">
        <f>IFERROR(__xludf.DUMMYFUNCTION("""COMPUTED_VALUE"""),"2025-08-03T00:00:00.000Z")</f>
        <v>2025-08-03T00:00:00.000Z</v>
      </c>
      <c r="Z387" s="189" t="s">
        <v>107</v>
      </c>
      <c r="AA387" s="189" t="s">
        <v>179</v>
      </c>
    </row>
    <row r="388">
      <c r="A388" s="189">
        <f>IFERROR(__xludf.DUMMYFUNCTION("""COMPUTED_VALUE"""),211597.0)</f>
        <v>211597</v>
      </c>
      <c r="B388" s="189">
        <f>IFERROR(__xludf.DUMMYFUNCTION("""COMPUTED_VALUE"""),93186.0)</f>
        <v>93186</v>
      </c>
      <c r="C388" s="189" t="str">
        <f>IFERROR(__xludf.DUMMYFUNCTION("""COMPUTED_VALUE"""),"Challengers League 2025 NORTH EAST: Split 3 - Playoffs")</f>
        <v>Challengers League 2025 NORTH EAST: Split 3 - Playoffs</v>
      </c>
      <c r="D388" s="189" t="str">
        <f>IFERROR(__xludf.DUMMYFUNCTION("""COMPUTED_VALUE"""),"Lotus")</f>
        <v>Lotus</v>
      </c>
      <c r="E388" s="189" t="str">
        <f>IFERROR(__xludf.DUMMYFUNCTION("""COMPUTED_VALUE"""),"Enterprise Esports")</f>
        <v>Enterprise Esports</v>
      </c>
      <c r="F388" s="189" t="str">
        <f>IFERROR(__xludf.DUMMYFUNCTION("""COMPUTED_VALUE"""),"děti ulice")</f>
        <v>děti ulice</v>
      </c>
      <c r="G388" s="189" t="str">
        <f>IFERROR(__xludf.DUMMYFUNCTION("""COMPUTED_VALUE"""),"Breach,Cypher,Omen,Neon,Fade")</f>
        <v>Breach,Cypher,Omen,Neon,Fade</v>
      </c>
      <c r="H388" s="189" t="str">
        <f>IFERROR(__xludf.DUMMYFUNCTION("""COMPUTED_VALUE"""),"Raze,Omen,Yoru,Fade,Vyse")</f>
        <v>Raze,Omen,Yoru,Fade,Vyse</v>
      </c>
      <c r="I388" s="189">
        <f>IFERROR(__xludf.DUMMYFUNCTION("""COMPUTED_VALUE"""),8.0)</f>
        <v>8</v>
      </c>
      <c r="J388" s="189">
        <f>IFERROR(__xludf.DUMMYFUNCTION("""COMPUTED_VALUE"""),13.0)</f>
        <v>13</v>
      </c>
      <c r="K388" s="189">
        <f>IFERROR(__xludf.DUMMYFUNCTION("""COMPUTED_VALUE"""),5.0)</f>
        <v>5</v>
      </c>
      <c r="L388" s="189">
        <f>IFERROR(__xludf.DUMMYFUNCTION("""COMPUTED_VALUE"""),7.0)</f>
        <v>7</v>
      </c>
      <c r="M388" s="189">
        <f>IFERROR(__xludf.DUMMYFUNCTION("""COMPUTED_VALUE"""),0.0)</f>
        <v>0</v>
      </c>
      <c r="N388" s="189">
        <f>IFERROR(__xludf.DUMMYFUNCTION("""COMPUTED_VALUE"""),0.0)</f>
        <v>0</v>
      </c>
      <c r="O388" s="189">
        <f>IFERROR(__xludf.DUMMYFUNCTION("""COMPUTED_VALUE"""),3.0)</f>
        <v>3</v>
      </c>
      <c r="P388" s="189">
        <f>IFERROR(__xludf.DUMMYFUNCTION("""COMPUTED_VALUE"""),6.0)</f>
        <v>6</v>
      </c>
      <c r="Q388" s="189">
        <f>IFERROR(__xludf.DUMMYFUNCTION("""COMPUTED_VALUE"""),5.0)</f>
        <v>5</v>
      </c>
      <c r="R388" s="189">
        <f>IFERROR(__xludf.DUMMYFUNCTION("""COMPUTED_VALUE"""),7.0)</f>
        <v>7</v>
      </c>
      <c r="S388" s="189">
        <f>IFERROR(__xludf.DUMMYFUNCTION("""COMPUTED_VALUE"""),1.0)</f>
        <v>1</v>
      </c>
      <c r="T388" s="189">
        <f>IFERROR(__xludf.DUMMYFUNCTION("""COMPUTED_VALUE"""),1.0)</f>
        <v>1</v>
      </c>
      <c r="U388" s="189">
        <f>IFERROR(__xludf.DUMMYFUNCTION("""COMPUTED_VALUE"""),7.0)</f>
        <v>7</v>
      </c>
      <c r="V388" s="189">
        <f>IFERROR(__xludf.DUMMYFUNCTION("""COMPUTED_VALUE"""),5.0)</f>
        <v>5</v>
      </c>
      <c r="W388" s="189">
        <f>IFERROR(__xludf.DUMMYFUNCTION("""COMPUTED_VALUE"""),6.0)</f>
        <v>6</v>
      </c>
      <c r="X388" s="189">
        <f>IFERROR(__xludf.DUMMYFUNCTION("""COMPUTED_VALUE"""),3.0)</f>
        <v>3</v>
      </c>
      <c r="Y388" s="208" t="str">
        <f>IFERROR(__xludf.DUMMYFUNCTION("""COMPUTED_VALUE"""),"2025-08-03T00:00:00.000Z")</f>
        <v>2025-08-03T00:00:00.000Z</v>
      </c>
      <c r="Z388" s="189" t="s">
        <v>111</v>
      </c>
      <c r="AA388" s="189" t="s">
        <v>190</v>
      </c>
    </row>
    <row r="389">
      <c r="A389" s="189">
        <f>IFERROR(__xludf.DUMMYFUNCTION("""COMPUTED_VALUE"""),211220.0)</f>
        <v>211220</v>
      </c>
      <c r="B389" s="189">
        <f>IFERROR(__xludf.DUMMYFUNCTION("""COMPUTED_VALUE"""),92894.0)</f>
        <v>92894</v>
      </c>
      <c r="C389" s="189" t="str">
        <f>IFERROR(__xludf.DUMMYFUNCTION("""COMPUTED_VALUE"""),"Challengers League 2025 DACH: Evolution Stage 3 - Play-Ins")</f>
        <v>Challengers League 2025 DACH: Evolution Stage 3 - Play-Ins</v>
      </c>
      <c r="D389" s="189" t="str">
        <f>IFERROR(__xludf.DUMMYFUNCTION("""COMPUTED_VALUE"""),"Corrode")</f>
        <v>Corrode</v>
      </c>
      <c r="E389" s="189" t="str">
        <f>IFERROR(__xludf.DUMMYFUNCTION("""COMPUTED_VALUE"""),"FOKUS")</f>
        <v>FOKUS</v>
      </c>
      <c r="F389" s="189" t="str">
        <f>IFERROR(__xludf.DUMMYFUNCTION("""COMPUTED_VALUE"""),"Eintracht Frankfurt")</f>
        <v>Eintracht Frankfurt</v>
      </c>
      <c r="G389" s="189" t="str">
        <f>IFERROR(__xludf.DUMMYFUNCTION("""COMPUTED_VALUE"""),"Yoru,Astra,Neon,Fade,Vyse")</f>
        <v>Yoru,Astra,Neon,Fade,Vyse</v>
      </c>
      <c r="H389" s="189" t="str">
        <f>IFERROR(__xludf.DUMMYFUNCTION("""COMPUTED_VALUE"""),"Viper,Phoenix,Omen,Neon,Fade")</f>
        <v>Viper,Phoenix,Omen,Neon,Fade</v>
      </c>
      <c r="I389" s="189">
        <f>IFERROR(__xludf.DUMMYFUNCTION("""COMPUTED_VALUE"""),12.0)</f>
        <v>12</v>
      </c>
      <c r="J389" s="189">
        <f>IFERROR(__xludf.DUMMYFUNCTION("""COMPUTED_VALUE"""),14.0)</f>
        <v>14</v>
      </c>
      <c r="K389" s="189">
        <f>IFERROR(__xludf.DUMMYFUNCTION("""COMPUTED_VALUE"""),6.0)</f>
        <v>6</v>
      </c>
      <c r="L389" s="189">
        <f>IFERROR(__xludf.DUMMYFUNCTION("""COMPUTED_VALUE"""),6.0)</f>
        <v>6</v>
      </c>
      <c r="M389" s="189">
        <f>IFERROR(__xludf.DUMMYFUNCTION("""COMPUTED_VALUE"""),0.0)</f>
        <v>0</v>
      </c>
      <c r="N389" s="189">
        <f>IFERROR(__xludf.DUMMYFUNCTION("""COMPUTED_VALUE"""),1.0)</f>
        <v>1</v>
      </c>
      <c r="O389" s="189">
        <f>IFERROR(__xludf.DUMMYFUNCTION("""COMPUTED_VALUE"""),6.0)</f>
        <v>6</v>
      </c>
      <c r="P389" s="189">
        <f>IFERROR(__xludf.DUMMYFUNCTION("""COMPUTED_VALUE"""),7.0)</f>
        <v>7</v>
      </c>
      <c r="Q389" s="189">
        <f>IFERROR(__xludf.DUMMYFUNCTION("""COMPUTED_VALUE"""),6.0)</f>
        <v>6</v>
      </c>
      <c r="R389" s="189">
        <f>IFERROR(__xludf.DUMMYFUNCTION("""COMPUTED_VALUE"""),7.0)</f>
        <v>7</v>
      </c>
      <c r="S389" s="189">
        <f>IFERROR(__xludf.DUMMYFUNCTION("""COMPUTED_VALUE"""),0.0)</f>
        <v>0</v>
      </c>
      <c r="T389" s="189">
        <f>IFERROR(__xludf.DUMMYFUNCTION("""COMPUTED_VALUE"""),1.0)</f>
        <v>1</v>
      </c>
      <c r="U389" s="189">
        <f>IFERROR(__xludf.DUMMYFUNCTION("""COMPUTED_VALUE"""),7.0)</f>
        <v>7</v>
      </c>
      <c r="V389" s="189">
        <f>IFERROR(__xludf.DUMMYFUNCTION("""COMPUTED_VALUE"""),6.0)</f>
        <v>6</v>
      </c>
      <c r="W389" s="189">
        <f>IFERROR(__xludf.DUMMYFUNCTION("""COMPUTED_VALUE"""),7.0)</f>
        <v>7</v>
      </c>
      <c r="X389" s="189">
        <f>IFERROR(__xludf.DUMMYFUNCTION("""COMPUTED_VALUE"""),6.0)</f>
        <v>6</v>
      </c>
      <c r="Y389" s="208" t="str">
        <f>IFERROR(__xludf.DUMMYFUNCTION("""COMPUTED_VALUE"""),"2025-08-02T00:00:00.000Z")</f>
        <v>2025-08-02T00:00:00.000Z</v>
      </c>
      <c r="Z389" s="189" t="s">
        <v>511</v>
      </c>
      <c r="AA389" s="189" t="s">
        <v>183</v>
      </c>
    </row>
    <row r="390">
      <c r="A390" s="189">
        <f>IFERROR(__xludf.DUMMYFUNCTION("""COMPUTED_VALUE"""),211219.0)</f>
        <v>211219</v>
      </c>
      <c r="B390" s="189">
        <f>IFERROR(__xludf.DUMMYFUNCTION("""COMPUTED_VALUE"""),92894.0)</f>
        <v>92894</v>
      </c>
      <c r="C390" s="189" t="str">
        <f>IFERROR(__xludf.DUMMYFUNCTION("""COMPUTED_VALUE"""),"Challengers League 2025 DACH: Evolution Stage 3 - Play-Ins")</f>
        <v>Challengers League 2025 DACH: Evolution Stage 3 - Play-Ins</v>
      </c>
      <c r="D390" s="189" t="str">
        <f>IFERROR(__xludf.DUMMYFUNCTION("""COMPUTED_VALUE"""),"Bind")</f>
        <v>Bind</v>
      </c>
      <c r="E390" s="189" t="str">
        <f>IFERROR(__xludf.DUMMYFUNCTION("""COMPUTED_VALUE"""),"FOKUS")</f>
        <v>FOKUS</v>
      </c>
      <c r="F390" s="189" t="str">
        <f>IFERROR(__xludf.DUMMYFUNCTION("""COMPUTED_VALUE"""),"Eintracht Frankfurt")</f>
        <v>Eintracht Frankfurt</v>
      </c>
      <c r="G390" s="189" t="str">
        <f>IFERROR(__xludf.DUMMYFUNCTION("""COMPUTED_VALUE"""),"Raze,Viper,Skye,Astra,Waylay")</f>
        <v>Raze,Viper,Skye,Astra,Waylay</v>
      </c>
      <c r="H390" s="189" t="str">
        <f>IFERROR(__xludf.DUMMYFUNCTION("""COMPUTED_VALUE"""),"Raze,Viper,Brimstone,Fade,Gekko")</f>
        <v>Raze,Viper,Brimstone,Fade,Gekko</v>
      </c>
      <c r="I390" s="189">
        <f>IFERROR(__xludf.DUMMYFUNCTION("""COMPUTED_VALUE"""),2.0)</f>
        <v>2</v>
      </c>
      <c r="J390" s="189">
        <f>IFERROR(__xludf.DUMMYFUNCTION("""COMPUTED_VALUE"""),13.0)</f>
        <v>13</v>
      </c>
      <c r="K390" s="189">
        <f>IFERROR(__xludf.DUMMYFUNCTION("""COMPUTED_VALUE"""),1.0)</f>
        <v>1</v>
      </c>
      <c r="L390" s="189">
        <f>IFERROR(__xludf.DUMMYFUNCTION("""COMPUTED_VALUE"""),11.0)</f>
        <v>11</v>
      </c>
      <c r="M390" s="189">
        <f>IFERROR(__xludf.DUMMYFUNCTION("""COMPUTED_VALUE"""),1.0)</f>
        <v>1</v>
      </c>
      <c r="N390" s="189">
        <f>IFERROR(__xludf.DUMMYFUNCTION("""COMPUTED_VALUE"""),0.0)</f>
        <v>0</v>
      </c>
      <c r="O390" s="189">
        <f>IFERROR(__xludf.DUMMYFUNCTION("""COMPUTED_VALUE"""),1.0)</f>
        <v>1</v>
      </c>
      <c r="P390" s="189">
        <f>IFERROR(__xludf.DUMMYFUNCTION("""COMPUTED_VALUE"""),2.0)</f>
        <v>2</v>
      </c>
      <c r="Q390" s="189">
        <f>IFERROR(__xludf.DUMMYFUNCTION("""COMPUTED_VALUE"""),1.0)</f>
        <v>1</v>
      </c>
      <c r="R390" s="189">
        <f>IFERROR(__xludf.DUMMYFUNCTION("""COMPUTED_VALUE"""),11.0)</f>
        <v>11</v>
      </c>
      <c r="S390" s="189">
        <f>IFERROR(__xludf.DUMMYFUNCTION("""COMPUTED_VALUE"""),1.0)</f>
        <v>1</v>
      </c>
      <c r="T390" s="189">
        <f>IFERROR(__xludf.DUMMYFUNCTION("""COMPUTED_VALUE"""),0.0)</f>
        <v>0</v>
      </c>
      <c r="U390" s="189">
        <f>IFERROR(__xludf.DUMMYFUNCTION("""COMPUTED_VALUE"""),11.0)</f>
        <v>11</v>
      </c>
      <c r="V390" s="189">
        <f>IFERROR(__xludf.DUMMYFUNCTION("""COMPUTED_VALUE"""),1.0)</f>
        <v>1</v>
      </c>
      <c r="W390" s="189">
        <f>IFERROR(__xludf.DUMMYFUNCTION("""COMPUTED_VALUE"""),2.0)</f>
        <v>2</v>
      </c>
      <c r="X390" s="189">
        <f>IFERROR(__xludf.DUMMYFUNCTION("""COMPUTED_VALUE"""),1.0)</f>
        <v>1</v>
      </c>
      <c r="Y390" s="208" t="str">
        <f>IFERROR(__xludf.DUMMYFUNCTION("""COMPUTED_VALUE"""),"2025-08-02T00:00:00.000Z")</f>
        <v>2025-08-02T00:00:00.000Z</v>
      </c>
      <c r="Z390" s="189" t="s">
        <v>494</v>
      </c>
      <c r="AA390" s="189" t="s">
        <v>183</v>
      </c>
    </row>
    <row r="391">
      <c r="A391" s="189">
        <f>IFERROR(__xludf.DUMMYFUNCTION("""COMPUTED_VALUE"""),211267.0)</f>
        <v>211267</v>
      </c>
      <c r="B391" s="189">
        <f>IFERROR(__xludf.DUMMYFUNCTION("""COMPUTED_VALUE"""),92910.0)</f>
        <v>92910</v>
      </c>
      <c r="C391" s="189" t="str">
        <f>IFERROR(__xludf.DUMMYFUNCTION("""COMPUTED_VALUE"""),"Challengers League 2025 NORTH EAST: Split 3 - Playoffs")</f>
        <v>Challengers League 2025 NORTH EAST: Split 3 - Playoffs</v>
      </c>
      <c r="D391" s="189" t="str">
        <f>IFERROR(__xludf.DUMMYFUNCTION("""COMPUTED_VALUE"""),"Sunset")</f>
        <v>Sunset</v>
      </c>
      <c r="E391" s="189" t="str">
        <f>IFERROR(__xludf.DUMMYFUNCTION("""COMPUTED_VALUE"""),"Formulation Gaming")</f>
        <v>Formulation Gaming</v>
      </c>
      <c r="F391" s="189" t="str">
        <f>IFERROR(__xludf.DUMMYFUNCTION("""COMPUTED_VALUE"""),"Boars Gaming")</f>
        <v>Boars Gaming</v>
      </c>
      <c r="G391" s="189" t="str">
        <f>IFERROR(__xludf.DUMMYFUNCTION("""COMPUTED_VALUE"""),"Cypher,Sova,Viper,Omen,Neon")</f>
        <v>Cypher,Sova,Viper,Omen,Neon</v>
      </c>
      <c r="H391" s="189" t="str">
        <f>IFERROR(__xludf.DUMMYFUNCTION("""COMPUTED_VALUE"""),"Cypher,Sova,Omen,KAY/O,Neon")</f>
        <v>Cypher,Sova,Omen,KAY/O,Neon</v>
      </c>
      <c r="I391" s="189">
        <f>IFERROR(__xludf.DUMMYFUNCTION("""COMPUTED_VALUE"""),4.0)</f>
        <v>4</v>
      </c>
      <c r="J391" s="189">
        <f>IFERROR(__xludf.DUMMYFUNCTION("""COMPUTED_VALUE"""),13.0)</f>
        <v>13</v>
      </c>
      <c r="K391" s="189">
        <f>IFERROR(__xludf.DUMMYFUNCTION("""COMPUTED_VALUE"""),4.0)</f>
        <v>4</v>
      </c>
      <c r="L391" s="189">
        <f>IFERROR(__xludf.DUMMYFUNCTION("""COMPUTED_VALUE"""),8.0)</f>
        <v>8</v>
      </c>
      <c r="M391" s="189">
        <f>IFERROR(__xludf.DUMMYFUNCTION("""COMPUTED_VALUE"""),0.0)</f>
        <v>0</v>
      </c>
      <c r="N391" s="189">
        <f>IFERROR(__xludf.DUMMYFUNCTION("""COMPUTED_VALUE"""),1.0)</f>
        <v>1</v>
      </c>
      <c r="O391" s="189">
        <f>IFERROR(__xludf.DUMMYFUNCTION("""COMPUTED_VALUE"""),0.0)</f>
        <v>0</v>
      </c>
      <c r="P391" s="189">
        <f>IFERROR(__xludf.DUMMYFUNCTION("""COMPUTED_VALUE"""),5.0)</f>
        <v>5</v>
      </c>
      <c r="Q391" s="189">
        <f>IFERROR(__xludf.DUMMYFUNCTION("""COMPUTED_VALUE"""),4.0)</f>
        <v>4</v>
      </c>
      <c r="R391" s="189">
        <f>IFERROR(__xludf.DUMMYFUNCTION("""COMPUTED_VALUE"""),8.0)</f>
        <v>8</v>
      </c>
      <c r="S391" s="189">
        <f>IFERROR(__xludf.DUMMYFUNCTION("""COMPUTED_VALUE"""),0.0)</f>
        <v>0</v>
      </c>
      <c r="T391" s="189">
        <f>IFERROR(__xludf.DUMMYFUNCTION("""COMPUTED_VALUE"""),1.0)</f>
        <v>1</v>
      </c>
      <c r="U391" s="189">
        <f>IFERROR(__xludf.DUMMYFUNCTION("""COMPUTED_VALUE"""),8.0)</f>
        <v>8</v>
      </c>
      <c r="V391" s="189">
        <f>IFERROR(__xludf.DUMMYFUNCTION("""COMPUTED_VALUE"""),4.0)</f>
        <v>4</v>
      </c>
      <c r="W391" s="189">
        <f>IFERROR(__xludf.DUMMYFUNCTION("""COMPUTED_VALUE"""),5.0)</f>
        <v>5</v>
      </c>
      <c r="X391" s="189">
        <f>IFERROR(__xludf.DUMMYFUNCTION("""COMPUTED_VALUE"""),0.0)</f>
        <v>0</v>
      </c>
      <c r="Y391" s="208" t="str">
        <f>IFERROR(__xludf.DUMMYFUNCTION("""COMPUTED_VALUE"""),"2025-08-02T00:00:00.000Z")</f>
        <v>2025-08-02T00:00:00.000Z</v>
      </c>
      <c r="Z391" s="189" t="s">
        <v>442</v>
      </c>
      <c r="AA391" s="189" t="s">
        <v>181</v>
      </c>
    </row>
    <row r="392">
      <c r="A392" s="189">
        <f>IFERROR(__xludf.DUMMYFUNCTION("""COMPUTED_VALUE"""),211218.0)</f>
        <v>211218</v>
      </c>
      <c r="B392" s="189">
        <f>IFERROR(__xludf.DUMMYFUNCTION("""COMPUTED_VALUE"""),92894.0)</f>
        <v>92894</v>
      </c>
      <c r="C392" s="189" t="str">
        <f>IFERROR(__xludf.DUMMYFUNCTION("""COMPUTED_VALUE"""),"Challengers League 2025 DACH: Evolution Stage 3 - Play-Ins")</f>
        <v>Challengers League 2025 DACH: Evolution Stage 3 - Play-Ins</v>
      </c>
      <c r="D392" s="189" t="str">
        <f>IFERROR(__xludf.DUMMYFUNCTION("""COMPUTED_VALUE"""),"Sunset")</f>
        <v>Sunset</v>
      </c>
      <c r="E392" s="189" t="str">
        <f>IFERROR(__xludf.DUMMYFUNCTION("""COMPUTED_VALUE"""),"FOKUS")</f>
        <v>FOKUS</v>
      </c>
      <c r="F392" s="189" t="str">
        <f>IFERROR(__xludf.DUMMYFUNCTION("""COMPUTED_VALUE"""),"Eintracht Frankfurt")</f>
        <v>Eintracht Frankfurt</v>
      </c>
      <c r="G392" s="189" t="str">
        <f>IFERROR(__xludf.DUMMYFUNCTION("""COMPUTED_VALUE"""),"Breach,Cypher,Sova,Omen,Neon")</f>
        <v>Breach,Cypher,Sova,Omen,Neon</v>
      </c>
      <c r="H392" s="189" t="str">
        <f>IFERROR(__xludf.DUMMYFUNCTION("""COMPUTED_VALUE"""),"Cypher,Sova,Omen,KAY/O,Neon")</f>
        <v>Cypher,Sova,Omen,KAY/O,Neon</v>
      </c>
      <c r="I392" s="189">
        <f>IFERROR(__xludf.DUMMYFUNCTION("""COMPUTED_VALUE"""),13.0)</f>
        <v>13</v>
      </c>
      <c r="J392" s="189">
        <f>IFERROR(__xludf.DUMMYFUNCTION("""COMPUTED_VALUE"""),8.0)</f>
        <v>8</v>
      </c>
      <c r="K392" s="189">
        <f>IFERROR(__xludf.DUMMYFUNCTION("""COMPUTED_VALUE"""),9.0)</f>
        <v>9</v>
      </c>
      <c r="L392" s="189">
        <f>IFERROR(__xludf.DUMMYFUNCTION("""COMPUTED_VALUE"""),3.0)</f>
        <v>3</v>
      </c>
      <c r="M392" s="189">
        <f>IFERROR(__xludf.DUMMYFUNCTION("""COMPUTED_VALUE"""),0.0)</f>
        <v>0</v>
      </c>
      <c r="N392" s="189">
        <f>IFERROR(__xludf.DUMMYFUNCTION("""COMPUTED_VALUE"""),1.0)</f>
        <v>1</v>
      </c>
      <c r="O392" s="189">
        <f>IFERROR(__xludf.DUMMYFUNCTION("""COMPUTED_VALUE"""),4.0)</f>
        <v>4</v>
      </c>
      <c r="P392" s="189">
        <f>IFERROR(__xludf.DUMMYFUNCTION("""COMPUTED_VALUE"""),5.0)</f>
        <v>5</v>
      </c>
      <c r="Q392" s="189">
        <f>IFERROR(__xludf.DUMMYFUNCTION("""COMPUTED_VALUE"""),9.0)</f>
        <v>9</v>
      </c>
      <c r="R392" s="189">
        <f>IFERROR(__xludf.DUMMYFUNCTION("""COMPUTED_VALUE"""),3.0)</f>
        <v>3</v>
      </c>
      <c r="S392" s="189">
        <f>IFERROR(__xludf.DUMMYFUNCTION("""COMPUTED_VALUE"""),0.0)</f>
        <v>0</v>
      </c>
      <c r="T392" s="189">
        <f>IFERROR(__xludf.DUMMYFUNCTION("""COMPUTED_VALUE"""),1.0)</f>
        <v>1</v>
      </c>
      <c r="U392" s="189">
        <f>IFERROR(__xludf.DUMMYFUNCTION("""COMPUTED_VALUE"""),3.0)</f>
        <v>3</v>
      </c>
      <c r="V392" s="189">
        <f>IFERROR(__xludf.DUMMYFUNCTION("""COMPUTED_VALUE"""),9.0)</f>
        <v>9</v>
      </c>
      <c r="W392" s="189">
        <f>IFERROR(__xludf.DUMMYFUNCTION("""COMPUTED_VALUE"""),5.0)</f>
        <v>5</v>
      </c>
      <c r="X392" s="189">
        <f>IFERROR(__xludf.DUMMYFUNCTION("""COMPUTED_VALUE"""),4.0)</f>
        <v>4</v>
      </c>
      <c r="Y392" s="208" t="str">
        <f>IFERROR(__xludf.DUMMYFUNCTION("""COMPUTED_VALUE"""),"2025-08-02T00:00:00.000Z")</f>
        <v>2025-08-02T00:00:00.000Z</v>
      </c>
      <c r="Z392" s="189" t="s">
        <v>493</v>
      </c>
      <c r="AA392" s="189" t="s">
        <v>400</v>
      </c>
    </row>
    <row r="393">
      <c r="A393" s="189">
        <f>IFERROR(__xludf.DUMMYFUNCTION("""COMPUTED_VALUE"""),211266.0)</f>
        <v>211266</v>
      </c>
      <c r="B393" s="189">
        <f>IFERROR(__xludf.DUMMYFUNCTION("""COMPUTED_VALUE"""),92910.0)</f>
        <v>92910</v>
      </c>
      <c r="C393" s="189" t="str">
        <f>IFERROR(__xludf.DUMMYFUNCTION("""COMPUTED_VALUE"""),"Challengers League 2025 NORTH EAST: Split 3 - Playoffs")</f>
        <v>Challengers League 2025 NORTH EAST: Split 3 - Playoffs</v>
      </c>
      <c r="D393" s="189" t="str">
        <f>IFERROR(__xludf.DUMMYFUNCTION("""COMPUTED_VALUE"""),"Haven")</f>
        <v>Haven</v>
      </c>
      <c r="E393" s="189" t="str">
        <f>IFERROR(__xludf.DUMMYFUNCTION("""COMPUTED_VALUE"""),"Formulation Gaming")</f>
        <v>Formulation Gaming</v>
      </c>
      <c r="F393" s="189" t="str">
        <f>IFERROR(__xludf.DUMMYFUNCTION("""COMPUTED_VALUE"""),"Boars Gaming")</f>
        <v>Boars Gaming</v>
      </c>
      <c r="G393" s="189" t="str">
        <f>IFERROR(__xludf.DUMMYFUNCTION("""COMPUTED_VALUE"""),"Sova,Killjoy,Viper,Omen,Neon")</f>
        <v>Sova,Killjoy,Viper,Omen,Neon</v>
      </c>
      <c r="H393" s="189" t="str">
        <f>IFERROR(__xludf.DUMMYFUNCTION("""COMPUTED_VALUE"""),"Breach,Cypher,Sova,Omen,Neon")</f>
        <v>Breach,Cypher,Sova,Omen,Neon</v>
      </c>
      <c r="I393" s="189">
        <f>IFERROR(__xludf.DUMMYFUNCTION("""COMPUTED_VALUE"""),13.0)</f>
        <v>13</v>
      </c>
      <c r="J393" s="189">
        <f>IFERROR(__xludf.DUMMYFUNCTION("""COMPUTED_VALUE"""),8.0)</f>
        <v>8</v>
      </c>
      <c r="K393" s="189">
        <f>IFERROR(__xludf.DUMMYFUNCTION("""COMPUTED_VALUE"""),7.0)</f>
        <v>7</v>
      </c>
      <c r="L393" s="189">
        <f>IFERROR(__xludf.DUMMYFUNCTION("""COMPUTED_VALUE"""),5.0)</f>
        <v>5</v>
      </c>
      <c r="M393" s="189">
        <f>IFERROR(__xludf.DUMMYFUNCTION("""COMPUTED_VALUE"""),1.0)</f>
        <v>1</v>
      </c>
      <c r="N393" s="189">
        <f>IFERROR(__xludf.DUMMYFUNCTION("""COMPUTED_VALUE"""),1.0)</f>
        <v>1</v>
      </c>
      <c r="O393" s="189">
        <f>IFERROR(__xludf.DUMMYFUNCTION("""COMPUTED_VALUE"""),7.0)</f>
        <v>7</v>
      </c>
      <c r="P393" s="189">
        <f>IFERROR(__xludf.DUMMYFUNCTION("""COMPUTED_VALUE"""),5.0)</f>
        <v>5</v>
      </c>
      <c r="Q393" s="189">
        <f>IFERROR(__xludf.DUMMYFUNCTION("""COMPUTED_VALUE"""),6.0)</f>
        <v>6</v>
      </c>
      <c r="R393" s="189">
        <f>IFERROR(__xludf.DUMMYFUNCTION("""COMPUTED_VALUE"""),3.0)</f>
        <v>3</v>
      </c>
      <c r="S393" s="189">
        <f>IFERROR(__xludf.DUMMYFUNCTION("""COMPUTED_VALUE"""),0.0)</f>
        <v>0</v>
      </c>
      <c r="T393" s="189">
        <f>IFERROR(__xludf.DUMMYFUNCTION("""COMPUTED_VALUE"""),0.0)</f>
        <v>0</v>
      </c>
      <c r="U393" s="189">
        <f>IFERROR(__xludf.DUMMYFUNCTION("""COMPUTED_VALUE"""),3.0)</f>
        <v>3</v>
      </c>
      <c r="V393" s="189">
        <f>IFERROR(__xludf.DUMMYFUNCTION("""COMPUTED_VALUE"""),6.0)</f>
        <v>6</v>
      </c>
      <c r="W393" s="189">
        <f>IFERROR(__xludf.DUMMYFUNCTION("""COMPUTED_VALUE"""),5.0)</f>
        <v>5</v>
      </c>
      <c r="X393" s="189">
        <f>IFERROR(__xludf.DUMMYFUNCTION("""COMPUTED_VALUE"""),7.0)</f>
        <v>7</v>
      </c>
      <c r="Y393" s="208" t="str">
        <f>IFERROR(__xludf.DUMMYFUNCTION("""COMPUTED_VALUE"""),"2025-08-02T00:00:00.000Z")</f>
        <v>2025-08-02T00:00:00.000Z</v>
      </c>
      <c r="Z393" s="189" t="s">
        <v>414</v>
      </c>
      <c r="AA393" s="189" t="s">
        <v>401</v>
      </c>
    </row>
    <row r="394">
      <c r="A394" s="189">
        <f>IFERROR(__xludf.DUMMYFUNCTION("""COMPUTED_VALUE"""),211241.0)</f>
        <v>211241</v>
      </c>
      <c r="B394" s="189">
        <f>IFERROR(__xludf.DUMMYFUNCTION("""COMPUTED_VALUE"""),92901.0)</f>
        <v>92901</v>
      </c>
      <c r="C394" s="189" t="str">
        <f>IFERROR(__xludf.DUMMYFUNCTION("""COMPUTED_VALUE"""),"Challengers 2025: France Revolution Split 3 - Playoffs")</f>
        <v>Challengers 2025: France Revolution Split 3 - Playoffs</v>
      </c>
      <c r="D394" s="189" t="str">
        <f>IFERROR(__xludf.DUMMYFUNCTION("""COMPUTED_VALUE"""),"Sunset")</f>
        <v>Sunset</v>
      </c>
      <c r="E394" s="189" t="str">
        <f>IFERROR(__xludf.DUMMYFUNCTION("""COMPUTED_VALUE"""),"BLX CORP")</f>
        <v>BLX CORP</v>
      </c>
      <c r="F394" s="189" t="str">
        <f>IFERROR(__xludf.DUMMYFUNCTION("""COMPUTED_VALUE"""),"Mandatory")</f>
        <v>Mandatory</v>
      </c>
      <c r="G394" s="189" t="str">
        <f>IFERROR(__xludf.DUMMYFUNCTION("""COMPUTED_VALUE"""),"Breach,Cypher,Sova,Omen,Neon")</f>
        <v>Breach,Cypher,Sova,Omen,Neon</v>
      </c>
      <c r="H394" s="189" t="str">
        <f>IFERROR(__xludf.DUMMYFUNCTION("""COMPUTED_VALUE"""),"Cypher,Sova,Omen,Yoru,Neon")</f>
        <v>Cypher,Sova,Omen,Yoru,Neon</v>
      </c>
      <c r="I394" s="189">
        <f>IFERROR(__xludf.DUMMYFUNCTION("""COMPUTED_VALUE"""),13.0)</f>
        <v>13</v>
      </c>
      <c r="J394" s="189">
        <f>IFERROR(__xludf.DUMMYFUNCTION("""COMPUTED_VALUE"""),11.0)</f>
        <v>11</v>
      </c>
      <c r="K394" s="189">
        <f>IFERROR(__xludf.DUMMYFUNCTION("""COMPUTED_VALUE"""),10.0)</f>
        <v>10</v>
      </c>
      <c r="L394" s="189">
        <f>IFERROR(__xludf.DUMMYFUNCTION("""COMPUTED_VALUE"""),2.0)</f>
        <v>2</v>
      </c>
      <c r="M394" s="189">
        <f>IFERROR(__xludf.DUMMYFUNCTION("""COMPUTED_VALUE"""),0.0)</f>
        <v>0</v>
      </c>
      <c r="N394" s="189">
        <f>IFERROR(__xludf.DUMMYFUNCTION("""COMPUTED_VALUE"""),1.0)</f>
        <v>1</v>
      </c>
      <c r="O394" s="189">
        <f>IFERROR(__xludf.DUMMYFUNCTION("""COMPUTED_VALUE"""),3.0)</f>
        <v>3</v>
      </c>
      <c r="P394" s="189">
        <f>IFERROR(__xludf.DUMMYFUNCTION("""COMPUTED_VALUE"""),9.0)</f>
        <v>9</v>
      </c>
      <c r="Q394" s="189">
        <f>IFERROR(__xludf.DUMMYFUNCTION("""COMPUTED_VALUE"""),10.0)</f>
        <v>10</v>
      </c>
      <c r="R394" s="189">
        <f>IFERROR(__xludf.DUMMYFUNCTION("""COMPUTED_VALUE"""),2.0)</f>
        <v>2</v>
      </c>
      <c r="S394" s="189">
        <f>IFERROR(__xludf.DUMMYFUNCTION("""COMPUTED_VALUE"""),0.0)</f>
        <v>0</v>
      </c>
      <c r="T394" s="189">
        <f>IFERROR(__xludf.DUMMYFUNCTION("""COMPUTED_VALUE"""),1.0)</f>
        <v>1</v>
      </c>
      <c r="U394" s="189">
        <f>IFERROR(__xludf.DUMMYFUNCTION("""COMPUTED_VALUE"""),2.0)</f>
        <v>2</v>
      </c>
      <c r="V394" s="189">
        <f>IFERROR(__xludf.DUMMYFUNCTION("""COMPUTED_VALUE"""),10.0)</f>
        <v>10</v>
      </c>
      <c r="W394" s="189">
        <f>IFERROR(__xludf.DUMMYFUNCTION("""COMPUTED_VALUE"""),9.0)</f>
        <v>9</v>
      </c>
      <c r="X394" s="189">
        <f>IFERROR(__xludf.DUMMYFUNCTION("""COMPUTED_VALUE"""),3.0)</f>
        <v>3</v>
      </c>
      <c r="Y394" s="208" t="str">
        <f>IFERROR(__xludf.DUMMYFUNCTION("""COMPUTED_VALUE"""),"2025-08-02T00:00:00.000Z")</f>
        <v>2025-08-02T00:00:00.000Z</v>
      </c>
      <c r="Z394" s="189" t="s">
        <v>512</v>
      </c>
      <c r="AA394" s="189" t="s">
        <v>395</v>
      </c>
    </row>
    <row r="395">
      <c r="A395" s="189">
        <f>IFERROR(__xludf.DUMMYFUNCTION("""COMPUTED_VALUE"""),211265.0)</f>
        <v>211265</v>
      </c>
      <c r="B395" s="189">
        <f>IFERROR(__xludf.DUMMYFUNCTION("""COMPUTED_VALUE"""),92910.0)</f>
        <v>92910</v>
      </c>
      <c r="C395" s="189" t="str">
        <f>IFERROR(__xludf.DUMMYFUNCTION("""COMPUTED_VALUE"""),"Challengers League 2025 NORTH EAST: Split 3 - Playoffs")</f>
        <v>Challengers League 2025 NORTH EAST: Split 3 - Playoffs</v>
      </c>
      <c r="D395" s="189" t="str">
        <f>IFERROR(__xludf.DUMMYFUNCTION("""COMPUTED_VALUE"""),"Lotus")</f>
        <v>Lotus</v>
      </c>
      <c r="E395" s="189" t="str">
        <f>IFERROR(__xludf.DUMMYFUNCTION("""COMPUTED_VALUE"""),"Formulation Gaming")</f>
        <v>Formulation Gaming</v>
      </c>
      <c r="F395" s="189" t="str">
        <f>IFERROR(__xludf.DUMMYFUNCTION("""COMPUTED_VALUE"""),"Boars Gaming")</f>
        <v>Boars Gaming</v>
      </c>
      <c r="G395" s="189" t="str">
        <f>IFERROR(__xludf.DUMMYFUNCTION("""COMPUTED_VALUE"""),"Cypher,Omen,Neon,Fade,Deadlock")</f>
        <v>Cypher,Omen,Neon,Fade,Deadlock</v>
      </c>
      <c r="H395" s="189" t="str">
        <f>IFERROR(__xludf.DUMMYFUNCTION("""COMPUTED_VALUE"""),"Breach,Cypher,Omen,Neon,Fade")</f>
        <v>Breach,Cypher,Omen,Neon,Fade</v>
      </c>
      <c r="I395" s="189">
        <f>IFERROR(__xludf.DUMMYFUNCTION("""COMPUTED_VALUE"""),8.0)</f>
        <v>8</v>
      </c>
      <c r="J395" s="189">
        <f>IFERROR(__xludf.DUMMYFUNCTION("""COMPUTED_VALUE"""),13.0)</f>
        <v>13</v>
      </c>
      <c r="K395" s="189">
        <f>IFERROR(__xludf.DUMMYFUNCTION("""COMPUTED_VALUE"""),3.0)</f>
        <v>3</v>
      </c>
      <c r="L395" s="189">
        <f>IFERROR(__xludf.DUMMYFUNCTION("""COMPUTED_VALUE"""),9.0)</f>
        <v>9</v>
      </c>
      <c r="M395" s="189">
        <f>IFERROR(__xludf.DUMMYFUNCTION("""COMPUTED_VALUE"""),1.0)</f>
        <v>1</v>
      </c>
      <c r="N395" s="189">
        <f>IFERROR(__xludf.DUMMYFUNCTION("""COMPUTED_VALUE"""),0.0)</f>
        <v>0</v>
      </c>
      <c r="O395" s="189">
        <f>IFERROR(__xludf.DUMMYFUNCTION("""COMPUTED_VALUE"""),5.0)</f>
        <v>5</v>
      </c>
      <c r="P395" s="189">
        <f>IFERROR(__xludf.DUMMYFUNCTION("""COMPUTED_VALUE"""),4.0)</f>
        <v>4</v>
      </c>
      <c r="Q395" s="189">
        <f>IFERROR(__xludf.DUMMYFUNCTION("""COMPUTED_VALUE"""),3.0)</f>
        <v>3</v>
      </c>
      <c r="R395" s="189">
        <f>IFERROR(__xludf.DUMMYFUNCTION("""COMPUTED_VALUE"""),9.0)</f>
        <v>9</v>
      </c>
      <c r="S395" s="189">
        <f>IFERROR(__xludf.DUMMYFUNCTION("""COMPUTED_VALUE"""),1.0)</f>
        <v>1</v>
      </c>
      <c r="T395" s="189">
        <f>IFERROR(__xludf.DUMMYFUNCTION("""COMPUTED_VALUE"""),0.0)</f>
        <v>0</v>
      </c>
      <c r="U395" s="189">
        <f>IFERROR(__xludf.DUMMYFUNCTION("""COMPUTED_VALUE"""),9.0)</f>
        <v>9</v>
      </c>
      <c r="V395" s="189">
        <f>IFERROR(__xludf.DUMMYFUNCTION("""COMPUTED_VALUE"""),3.0)</f>
        <v>3</v>
      </c>
      <c r="W395" s="189">
        <f>IFERROR(__xludf.DUMMYFUNCTION("""COMPUTED_VALUE"""),4.0)</f>
        <v>4</v>
      </c>
      <c r="X395" s="189">
        <f>IFERROR(__xludf.DUMMYFUNCTION("""COMPUTED_VALUE"""),5.0)</f>
        <v>5</v>
      </c>
      <c r="Y395" s="208" t="str">
        <f>IFERROR(__xludf.DUMMYFUNCTION("""COMPUTED_VALUE"""),"2025-08-02T00:00:00.000Z")</f>
        <v>2025-08-02T00:00:00.000Z</v>
      </c>
      <c r="Z395" s="189" t="s">
        <v>415</v>
      </c>
      <c r="AA395" s="189" t="s">
        <v>181</v>
      </c>
    </row>
    <row r="396">
      <c r="A396" s="189">
        <f>IFERROR(__xludf.DUMMYFUNCTION("""COMPUTED_VALUE"""),211222.0)</f>
        <v>211222</v>
      </c>
      <c r="B396" s="189">
        <f>IFERROR(__xludf.DUMMYFUNCTION("""COMPUTED_VALUE"""),92895.0)</f>
        <v>92895</v>
      </c>
      <c r="C396" s="189" t="str">
        <f>IFERROR(__xludf.DUMMYFUNCTION("""COMPUTED_VALUE"""),"Challengers League 2025 DACH: Evolution Stage 3 - Play-Ins")</f>
        <v>Challengers League 2025 DACH: Evolution Stage 3 - Play-Ins</v>
      </c>
      <c r="D396" s="189" t="str">
        <f>IFERROR(__xludf.DUMMYFUNCTION("""COMPUTED_VALUE"""),"Corrode")</f>
        <v>Corrode</v>
      </c>
      <c r="E396" s="189" t="str">
        <f>IFERROR(__xludf.DUMMYFUNCTION("""COMPUTED_VALUE"""),"MOUZ")</f>
        <v>MOUZ</v>
      </c>
      <c r="F396" s="189" t="str">
        <f>IFERROR(__xludf.DUMMYFUNCTION("""COMPUTED_VALUE"""),"RIZON")</f>
        <v>RIZON</v>
      </c>
      <c r="G396" s="189" t="str">
        <f>IFERROR(__xludf.DUMMYFUNCTION("""COMPUTED_VALUE"""),"Omen,Yoru,Chamber,Neon,Fade")</f>
        <v>Omen,Yoru,Chamber,Neon,Fade</v>
      </c>
      <c r="H396" s="189" t="str">
        <f>IFERROR(__xludf.DUMMYFUNCTION("""COMPUTED_VALUE"""),"Viper,Sage,Omen,Neon,Fade")</f>
        <v>Viper,Sage,Omen,Neon,Fade</v>
      </c>
      <c r="I396" s="189">
        <f>IFERROR(__xludf.DUMMYFUNCTION("""COMPUTED_VALUE"""),13.0)</f>
        <v>13</v>
      </c>
      <c r="J396" s="189">
        <f>IFERROR(__xludf.DUMMYFUNCTION("""COMPUTED_VALUE"""),8.0)</f>
        <v>8</v>
      </c>
      <c r="K396" s="189">
        <f>IFERROR(__xludf.DUMMYFUNCTION("""COMPUTED_VALUE"""),6.0)</f>
        <v>6</v>
      </c>
      <c r="L396" s="189">
        <f>IFERROR(__xludf.DUMMYFUNCTION("""COMPUTED_VALUE"""),6.0)</f>
        <v>6</v>
      </c>
      <c r="M396" s="189">
        <f>IFERROR(__xludf.DUMMYFUNCTION("""COMPUTED_VALUE"""),0.0)</f>
        <v>0</v>
      </c>
      <c r="N396" s="189">
        <f>IFERROR(__xludf.DUMMYFUNCTION("""COMPUTED_VALUE"""),1.0)</f>
        <v>1</v>
      </c>
      <c r="O396" s="189">
        <f>IFERROR(__xludf.DUMMYFUNCTION("""COMPUTED_VALUE"""),7.0)</f>
        <v>7</v>
      </c>
      <c r="P396" s="189">
        <f>IFERROR(__xludf.DUMMYFUNCTION("""COMPUTED_VALUE"""),2.0)</f>
        <v>2</v>
      </c>
      <c r="Q396" s="189">
        <f>IFERROR(__xludf.DUMMYFUNCTION("""COMPUTED_VALUE"""),6.0)</f>
        <v>6</v>
      </c>
      <c r="R396" s="189">
        <f>IFERROR(__xludf.DUMMYFUNCTION("""COMPUTED_VALUE"""),6.0)</f>
        <v>6</v>
      </c>
      <c r="S396" s="189">
        <f>IFERROR(__xludf.DUMMYFUNCTION("""COMPUTED_VALUE"""),0.0)</f>
        <v>0</v>
      </c>
      <c r="T396" s="189">
        <f>IFERROR(__xludf.DUMMYFUNCTION("""COMPUTED_VALUE"""),1.0)</f>
        <v>1</v>
      </c>
      <c r="U396" s="189">
        <f>IFERROR(__xludf.DUMMYFUNCTION("""COMPUTED_VALUE"""),6.0)</f>
        <v>6</v>
      </c>
      <c r="V396" s="189">
        <f>IFERROR(__xludf.DUMMYFUNCTION("""COMPUTED_VALUE"""),6.0)</f>
        <v>6</v>
      </c>
      <c r="W396" s="189">
        <f>IFERROR(__xludf.DUMMYFUNCTION("""COMPUTED_VALUE"""),2.0)</f>
        <v>2</v>
      </c>
      <c r="X396" s="189">
        <f>IFERROR(__xludf.DUMMYFUNCTION("""COMPUTED_VALUE"""),7.0)</f>
        <v>7</v>
      </c>
      <c r="Y396" s="208" t="str">
        <f>IFERROR(__xludf.DUMMYFUNCTION("""COMPUTED_VALUE"""),"2025-08-02T00:00:00.000Z")</f>
        <v>2025-08-02T00:00:00.000Z</v>
      </c>
      <c r="Z396" s="189" t="s">
        <v>135</v>
      </c>
      <c r="AA396" s="189" t="s">
        <v>180</v>
      </c>
    </row>
    <row r="397">
      <c r="A397" s="189">
        <f>IFERROR(__xludf.DUMMYFUNCTION("""COMPUTED_VALUE"""),211240.0)</f>
        <v>211240</v>
      </c>
      <c r="B397" s="189">
        <f>IFERROR(__xludf.DUMMYFUNCTION("""COMPUTED_VALUE"""),92901.0)</f>
        <v>92901</v>
      </c>
      <c r="C397" s="189" t="str">
        <f>IFERROR(__xludf.DUMMYFUNCTION("""COMPUTED_VALUE"""),"Challengers 2025: France Revolution Split 3 - Playoffs")</f>
        <v>Challengers 2025: France Revolution Split 3 - Playoffs</v>
      </c>
      <c r="D397" s="189" t="str">
        <f>IFERROR(__xludf.DUMMYFUNCTION("""COMPUTED_VALUE"""),"Lotus")</f>
        <v>Lotus</v>
      </c>
      <c r="E397" s="189" t="str">
        <f>IFERROR(__xludf.DUMMYFUNCTION("""COMPUTED_VALUE"""),"BLX CORP")</f>
        <v>BLX CORP</v>
      </c>
      <c r="F397" s="189" t="str">
        <f>IFERROR(__xludf.DUMMYFUNCTION("""COMPUTED_VALUE"""),"Mandatory")</f>
        <v>Mandatory</v>
      </c>
      <c r="G397" s="189" t="str">
        <f>IFERROR(__xludf.DUMMYFUNCTION("""COMPUTED_VALUE"""),"Raze,Viper,Omen,Fade,Iso")</f>
        <v>Raze,Viper,Omen,Fade,Iso</v>
      </c>
      <c r="H397" s="189" t="str">
        <f>IFERROR(__xludf.DUMMYFUNCTION("""COMPUTED_VALUE"""),"Cypher,Sova,Omen,Yoru,Deadlock")</f>
        <v>Cypher,Sova,Omen,Yoru,Deadlock</v>
      </c>
      <c r="I397" s="189">
        <f>IFERROR(__xludf.DUMMYFUNCTION("""COMPUTED_VALUE"""),3.0)</f>
        <v>3</v>
      </c>
      <c r="J397" s="189">
        <f>IFERROR(__xludf.DUMMYFUNCTION("""COMPUTED_VALUE"""),13.0)</f>
        <v>13</v>
      </c>
      <c r="K397" s="189">
        <f>IFERROR(__xludf.DUMMYFUNCTION("""COMPUTED_VALUE"""),2.0)</f>
        <v>2</v>
      </c>
      <c r="L397" s="189">
        <f>IFERROR(__xludf.DUMMYFUNCTION("""COMPUTED_VALUE"""),10.0)</f>
        <v>10</v>
      </c>
      <c r="M397" s="189">
        <f>IFERROR(__xludf.DUMMYFUNCTION("""COMPUTED_VALUE"""),0.0)</f>
        <v>0</v>
      </c>
      <c r="N397" s="189">
        <f>IFERROR(__xludf.DUMMYFUNCTION("""COMPUTED_VALUE"""),0.0)</f>
        <v>0</v>
      </c>
      <c r="O397" s="189">
        <f>IFERROR(__xludf.DUMMYFUNCTION("""COMPUTED_VALUE"""),1.0)</f>
        <v>1</v>
      </c>
      <c r="P397" s="189">
        <f>IFERROR(__xludf.DUMMYFUNCTION("""COMPUTED_VALUE"""),3.0)</f>
        <v>3</v>
      </c>
      <c r="Q397" s="189">
        <f>IFERROR(__xludf.DUMMYFUNCTION("""COMPUTED_VALUE"""),2.0)</f>
        <v>2</v>
      </c>
      <c r="R397" s="189">
        <f>IFERROR(__xludf.DUMMYFUNCTION("""COMPUTED_VALUE"""),10.0)</f>
        <v>10</v>
      </c>
      <c r="S397" s="189">
        <f>IFERROR(__xludf.DUMMYFUNCTION("""COMPUTED_VALUE"""),1.0)</f>
        <v>1</v>
      </c>
      <c r="T397" s="189">
        <f>IFERROR(__xludf.DUMMYFUNCTION("""COMPUTED_VALUE"""),1.0)</f>
        <v>1</v>
      </c>
      <c r="U397" s="189">
        <f>IFERROR(__xludf.DUMMYFUNCTION("""COMPUTED_VALUE"""),10.0)</f>
        <v>10</v>
      </c>
      <c r="V397" s="189">
        <f>IFERROR(__xludf.DUMMYFUNCTION("""COMPUTED_VALUE"""),2.0)</f>
        <v>2</v>
      </c>
      <c r="W397" s="189">
        <f>IFERROR(__xludf.DUMMYFUNCTION("""COMPUTED_VALUE"""),3.0)</f>
        <v>3</v>
      </c>
      <c r="X397" s="189">
        <f>IFERROR(__xludf.DUMMYFUNCTION("""COMPUTED_VALUE"""),1.0)</f>
        <v>1</v>
      </c>
      <c r="Y397" s="208" t="str">
        <f>IFERROR(__xludf.DUMMYFUNCTION("""COMPUTED_VALUE"""),"2025-08-02T00:00:00.000Z")</f>
        <v>2025-08-02T00:00:00.000Z</v>
      </c>
      <c r="Z397" s="189" t="s">
        <v>500</v>
      </c>
      <c r="AA397" s="189" t="s">
        <v>189</v>
      </c>
    </row>
    <row r="398">
      <c r="A398" s="189">
        <f>IFERROR(__xludf.DUMMYFUNCTION("""COMPUTED_VALUE"""),211239.0)</f>
        <v>211239</v>
      </c>
      <c r="B398" s="189">
        <f>IFERROR(__xludf.DUMMYFUNCTION("""COMPUTED_VALUE"""),92901.0)</f>
        <v>92901</v>
      </c>
      <c r="C398" s="189" t="str">
        <f>IFERROR(__xludf.DUMMYFUNCTION("""COMPUTED_VALUE"""),"Challengers 2025: France Revolution Split 3 - Playoffs")</f>
        <v>Challengers 2025: France Revolution Split 3 - Playoffs</v>
      </c>
      <c r="D398" s="189" t="str">
        <f>IFERROR(__xludf.DUMMYFUNCTION("""COMPUTED_VALUE"""),"Icebox")</f>
        <v>Icebox</v>
      </c>
      <c r="E398" s="189" t="str">
        <f>IFERROR(__xludf.DUMMYFUNCTION("""COMPUTED_VALUE"""),"BLX CORP")</f>
        <v>BLX CORP</v>
      </c>
      <c r="F398" s="189" t="str">
        <f>IFERROR(__xludf.DUMMYFUNCTION("""COMPUTED_VALUE"""),"Mandatory")</f>
        <v>Mandatory</v>
      </c>
      <c r="G398" s="189" t="str">
        <f>IFERROR(__xludf.DUMMYFUNCTION("""COMPUTED_VALUE"""),"Killjoy,Viper,Reyna,Gekko,Iso")</f>
        <v>Killjoy,Viper,Reyna,Gekko,Iso</v>
      </c>
      <c r="H398" s="189" t="str">
        <f>IFERROR(__xludf.DUMMYFUNCTION("""COMPUTED_VALUE"""),"Sova,Killjoy,Viper,Jett,Yoru")</f>
        <v>Sova,Killjoy,Viper,Jett,Yoru</v>
      </c>
      <c r="I398" s="189">
        <f>IFERROR(__xludf.DUMMYFUNCTION("""COMPUTED_VALUE"""),13.0)</f>
        <v>13</v>
      </c>
      <c r="J398" s="189">
        <f>IFERROR(__xludf.DUMMYFUNCTION("""COMPUTED_VALUE"""),9.0)</f>
        <v>9</v>
      </c>
      <c r="K398" s="189">
        <f>IFERROR(__xludf.DUMMYFUNCTION("""COMPUTED_VALUE"""),5.0)</f>
        <v>5</v>
      </c>
      <c r="L398" s="189">
        <f>IFERROR(__xludf.DUMMYFUNCTION("""COMPUTED_VALUE"""),7.0)</f>
        <v>7</v>
      </c>
      <c r="M398" s="189">
        <f>IFERROR(__xludf.DUMMYFUNCTION("""COMPUTED_VALUE"""),0.0)</f>
        <v>0</v>
      </c>
      <c r="N398" s="189">
        <f>IFERROR(__xludf.DUMMYFUNCTION("""COMPUTED_VALUE"""),1.0)</f>
        <v>1</v>
      </c>
      <c r="O398" s="189">
        <f>IFERROR(__xludf.DUMMYFUNCTION("""COMPUTED_VALUE"""),8.0)</f>
        <v>8</v>
      </c>
      <c r="P398" s="189">
        <f>IFERROR(__xludf.DUMMYFUNCTION("""COMPUTED_VALUE"""),2.0)</f>
        <v>2</v>
      </c>
      <c r="Q398" s="189">
        <f>IFERROR(__xludf.DUMMYFUNCTION("""COMPUTED_VALUE"""),5.0)</f>
        <v>5</v>
      </c>
      <c r="R398" s="189">
        <f>IFERROR(__xludf.DUMMYFUNCTION("""COMPUTED_VALUE"""),7.0)</f>
        <v>7</v>
      </c>
      <c r="S398" s="189">
        <f>IFERROR(__xludf.DUMMYFUNCTION("""COMPUTED_VALUE"""),0.0)</f>
        <v>0</v>
      </c>
      <c r="T398" s="189">
        <f>IFERROR(__xludf.DUMMYFUNCTION("""COMPUTED_VALUE"""),1.0)</f>
        <v>1</v>
      </c>
      <c r="U398" s="189">
        <f>IFERROR(__xludf.DUMMYFUNCTION("""COMPUTED_VALUE"""),7.0)</f>
        <v>7</v>
      </c>
      <c r="V398" s="189">
        <f>IFERROR(__xludf.DUMMYFUNCTION("""COMPUTED_VALUE"""),5.0)</f>
        <v>5</v>
      </c>
      <c r="W398" s="189">
        <f>IFERROR(__xludf.DUMMYFUNCTION("""COMPUTED_VALUE"""),2.0)</f>
        <v>2</v>
      </c>
      <c r="X398" s="189">
        <f>IFERROR(__xludf.DUMMYFUNCTION("""COMPUTED_VALUE"""),8.0)</f>
        <v>8</v>
      </c>
      <c r="Y398" s="208" t="str">
        <f>IFERROR(__xludf.DUMMYFUNCTION("""COMPUTED_VALUE"""),"2025-08-02T00:00:00.000Z")</f>
        <v>2025-08-02T00:00:00.000Z</v>
      </c>
      <c r="Z398" s="189" t="s">
        <v>498</v>
      </c>
      <c r="AA398" s="189" t="s">
        <v>395</v>
      </c>
    </row>
    <row r="399">
      <c r="A399" s="189">
        <f>IFERROR(__xludf.DUMMYFUNCTION("""COMPUTED_VALUE"""),211264.0)</f>
        <v>211264</v>
      </c>
      <c r="B399" s="189">
        <f>IFERROR(__xludf.DUMMYFUNCTION("""COMPUTED_VALUE"""),92908.0)</f>
        <v>92908</v>
      </c>
      <c r="C399" s="189" t="str">
        <f>IFERROR(__xludf.DUMMYFUNCTION("""COMPUTED_VALUE"""),"Challengers League 2025 NORTH EAST: Split 3 - Playoffs")</f>
        <v>Challengers League 2025 NORTH EAST: Split 3 - Playoffs</v>
      </c>
      <c r="D399" s="189" t="str">
        <f>IFERROR(__xludf.DUMMYFUNCTION("""COMPUTED_VALUE"""),"Lotus")</f>
        <v>Lotus</v>
      </c>
      <c r="E399" s="189" t="str">
        <f>IFERROR(__xludf.DUMMYFUNCTION("""COMPUTED_VALUE"""),"Metizport")</f>
        <v>Metizport</v>
      </c>
      <c r="F399" s="189" t="str">
        <f>IFERROR(__xludf.DUMMYFUNCTION("""COMPUTED_VALUE"""),"Team Liquid Academy")</f>
        <v>Team Liquid Academy</v>
      </c>
      <c r="G399" s="189" t="str">
        <f>IFERROR(__xludf.DUMMYFUNCTION("""COMPUTED_VALUE"""),"Raze,Omen,Yoru,Fade,Vyse")</f>
        <v>Raze,Omen,Yoru,Fade,Vyse</v>
      </c>
      <c r="H399" s="189" t="str">
        <f>IFERROR(__xludf.DUMMYFUNCTION("""COMPUTED_VALUE"""),"Cypher,Omen,Neon,Fade,Iso")</f>
        <v>Cypher,Omen,Neon,Fade,Iso</v>
      </c>
      <c r="I399" s="189">
        <f>IFERROR(__xludf.DUMMYFUNCTION("""COMPUTED_VALUE"""),7.0)</f>
        <v>7</v>
      </c>
      <c r="J399" s="189">
        <f>IFERROR(__xludf.DUMMYFUNCTION("""COMPUTED_VALUE"""),13.0)</f>
        <v>13</v>
      </c>
      <c r="K399" s="189">
        <f>IFERROR(__xludf.DUMMYFUNCTION("""COMPUTED_VALUE"""),4.0)</f>
        <v>4</v>
      </c>
      <c r="L399" s="189">
        <f>IFERROR(__xludf.DUMMYFUNCTION("""COMPUTED_VALUE"""),8.0)</f>
        <v>8</v>
      </c>
      <c r="M399" s="189">
        <f>IFERROR(__xludf.DUMMYFUNCTION("""COMPUTED_VALUE"""),1.0)</f>
        <v>1</v>
      </c>
      <c r="N399" s="189">
        <f>IFERROR(__xludf.DUMMYFUNCTION("""COMPUTED_VALUE"""),1.0)</f>
        <v>1</v>
      </c>
      <c r="O399" s="189">
        <f>IFERROR(__xludf.DUMMYFUNCTION("""COMPUTED_VALUE"""),4.0)</f>
        <v>4</v>
      </c>
      <c r="P399" s="189">
        <f>IFERROR(__xludf.DUMMYFUNCTION("""COMPUTED_VALUE"""),8.0)</f>
        <v>8</v>
      </c>
      <c r="Q399" s="189">
        <f>IFERROR(__xludf.DUMMYFUNCTION("""COMPUTED_VALUE"""),3.0)</f>
        <v>3</v>
      </c>
      <c r="R399" s="189">
        <f>IFERROR(__xludf.DUMMYFUNCTION("""COMPUTED_VALUE"""),5.0)</f>
        <v>5</v>
      </c>
      <c r="S399" s="189">
        <f>IFERROR(__xludf.DUMMYFUNCTION("""COMPUTED_VALUE"""),0.0)</f>
        <v>0</v>
      </c>
      <c r="T399" s="189">
        <f>IFERROR(__xludf.DUMMYFUNCTION("""COMPUTED_VALUE"""),0.0)</f>
        <v>0</v>
      </c>
      <c r="U399" s="189">
        <f>IFERROR(__xludf.DUMMYFUNCTION("""COMPUTED_VALUE"""),5.0)</f>
        <v>5</v>
      </c>
      <c r="V399" s="189">
        <f>IFERROR(__xludf.DUMMYFUNCTION("""COMPUTED_VALUE"""),3.0)</f>
        <v>3</v>
      </c>
      <c r="W399" s="189">
        <f>IFERROR(__xludf.DUMMYFUNCTION("""COMPUTED_VALUE"""),8.0)</f>
        <v>8</v>
      </c>
      <c r="X399" s="189">
        <f>IFERROR(__xludf.DUMMYFUNCTION("""COMPUTED_VALUE"""),4.0)</f>
        <v>4</v>
      </c>
      <c r="Y399" s="208" t="str">
        <f>IFERROR(__xludf.DUMMYFUNCTION("""COMPUTED_VALUE"""),"2025-08-02T00:00:00.000Z")</f>
        <v>2025-08-02T00:00:00.000Z</v>
      </c>
      <c r="Z399" s="189" t="s">
        <v>419</v>
      </c>
      <c r="AA399" s="189" t="s">
        <v>1</v>
      </c>
    </row>
    <row r="400">
      <c r="A400" s="189">
        <f>IFERROR(__xludf.DUMMYFUNCTION("""COMPUTED_VALUE"""),211221.0)</f>
        <v>211221</v>
      </c>
      <c r="B400" s="189">
        <f>IFERROR(__xludf.DUMMYFUNCTION("""COMPUTED_VALUE"""),92895.0)</f>
        <v>92895</v>
      </c>
      <c r="C400" s="189" t="str">
        <f>IFERROR(__xludf.DUMMYFUNCTION("""COMPUTED_VALUE"""),"Challengers League 2025 DACH: Evolution Stage 3 - Play-Ins")</f>
        <v>Challengers League 2025 DACH: Evolution Stage 3 - Play-Ins</v>
      </c>
      <c r="D400" s="189" t="str">
        <f>IFERROR(__xludf.DUMMYFUNCTION("""COMPUTED_VALUE"""),"Haven")</f>
        <v>Haven</v>
      </c>
      <c r="E400" s="189" t="str">
        <f>IFERROR(__xludf.DUMMYFUNCTION("""COMPUTED_VALUE"""),"MOUZ")</f>
        <v>MOUZ</v>
      </c>
      <c r="F400" s="189" t="str">
        <f>IFERROR(__xludf.DUMMYFUNCTION("""COMPUTED_VALUE"""),"RIZON")</f>
        <v>RIZON</v>
      </c>
      <c r="G400" s="189" t="str">
        <f>IFERROR(__xludf.DUMMYFUNCTION("""COMPUTED_VALUE"""),"Cypher,Sova,Omen,Yoru,Iso")</f>
        <v>Cypher,Sova,Omen,Yoru,Iso</v>
      </c>
      <c r="H400" s="189" t="str">
        <f>IFERROR(__xludf.DUMMYFUNCTION("""COMPUTED_VALUE"""),"Sova,Killjoy,Viper,Omen,Neon")</f>
        <v>Sova,Killjoy,Viper,Omen,Neon</v>
      </c>
      <c r="I400" s="189">
        <f>IFERROR(__xludf.DUMMYFUNCTION("""COMPUTED_VALUE"""),13.0)</f>
        <v>13</v>
      </c>
      <c r="J400" s="189">
        <f>IFERROR(__xludf.DUMMYFUNCTION("""COMPUTED_VALUE"""),10.0)</f>
        <v>10</v>
      </c>
      <c r="K400" s="189">
        <f>IFERROR(__xludf.DUMMYFUNCTION("""COMPUTED_VALUE"""),8.0)</f>
        <v>8</v>
      </c>
      <c r="L400" s="189">
        <f>IFERROR(__xludf.DUMMYFUNCTION("""COMPUTED_VALUE"""),4.0)</f>
        <v>4</v>
      </c>
      <c r="M400" s="189">
        <f>IFERROR(__xludf.DUMMYFUNCTION("""COMPUTED_VALUE"""),1.0)</f>
        <v>1</v>
      </c>
      <c r="N400" s="189">
        <f>IFERROR(__xludf.DUMMYFUNCTION("""COMPUTED_VALUE"""),0.0)</f>
        <v>0</v>
      </c>
      <c r="O400" s="189">
        <f>IFERROR(__xludf.DUMMYFUNCTION("""COMPUTED_VALUE"""),8.0)</f>
        <v>8</v>
      </c>
      <c r="P400" s="189">
        <f>IFERROR(__xludf.DUMMYFUNCTION("""COMPUTED_VALUE"""),4.0)</f>
        <v>4</v>
      </c>
      <c r="Q400" s="189">
        <f>IFERROR(__xludf.DUMMYFUNCTION("""COMPUTED_VALUE"""),5.0)</f>
        <v>5</v>
      </c>
      <c r="R400" s="189">
        <f>IFERROR(__xludf.DUMMYFUNCTION("""COMPUTED_VALUE"""),6.0)</f>
        <v>6</v>
      </c>
      <c r="S400" s="189">
        <f>IFERROR(__xludf.DUMMYFUNCTION("""COMPUTED_VALUE"""),1.0)</f>
        <v>1</v>
      </c>
      <c r="T400" s="189">
        <f>IFERROR(__xludf.DUMMYFUNCTION("""COMPUTED_VALUE"""),0.0)</f>
        <v>0</v>
      </c>
      <c r="U400" s="189">
        <f>IFERROR(__xludf.DUMMYFUNCTION("""COMPUTED_VALUE"""),6.0)</f>
        <v>6</v>
      </c>
      <c r="V400" s="189">
        <f>IFERROR(__xludf.DUMMYFUNCTION("""COMPUTED_VALUE"""),5.0)</f>
        <v>5</v>
      </c>
      <c r="W400" s="189">
        <f>IFERROR(__xludf.DUMMYFUNCTION("""COMPUTED_VALUE"""),4.0)</f>
        <v>4</v>
      </c>
      <c r="X400" s="189">
        <f>IFERROR(__xludf.DUMMYFUNCTION("""COMPUTED_VALUE"""),8.0)</f>
        <v>8</v>
      </c>
      <c r="Y400" s="208" t="str">
        <f>IFERROR(__xludf.DUMMYFUNCTION("""COMPUTED_VALUE"""),"2025-08-02T00:00:00.000Z")</f>
        <v>2025-08-02T00:00:00.000Z</v>
      </c>
      <c r="Z400" s="189" t="s">
        <v>136</v>
      </c>
      <c r="AA400" s="189" t="s">
        <v>180</v>
      </c>
    </row>
    <row r="401">
      <c r="A401" s="189">
        <f>IFERROR(__xludf.DUMMYFUNCTION("""COMPUTED_VALUE"""),211263.0)</f>
        <v>211263</v>
      </c>
      <c r="B401" s="189">
        <f>IFERROR(__xludf.DUMMYFUNCTION("""COMPUTED_VALUE"""),92908.0)</f>
        <v>92908</v>
      </c>
      <c r="C401" s="189" t="str">
        <f>IFERROR(__xludf.DUMMYFUNCTION("""COMPUTED_VALUE"""),"Challengers League 2025 NORTH EAST: Split 3 - Playoffs")</f>
        <v>Challengers League 2025 NORTH EAST: Split 3 - Playoffs</v>
      </c>
      <c r="D401" s="189" t="str">
        <f>IFERROR(__xludf.DUMMYFUNCTION("""COMPUTED_VALUE"""),"Ascent")</f>
        <v>Ascent</v>
      </c>
      <c r="E401" s="189" t="str">
        <f>IFERROR(__xludf.DUMMYFUNCTION("""COMPUTED_VALUE"""),"Metizport")</f>
        <v>Metizport</v>
      </c>
      <c r="F401" s="189" t="str">
        <f>IFERROR(__xludf.DUMMYFUNCTION("""COMPUTED_VALUE"""),"Team Liquid Academy")</f>
        <v>Team Liquid Academy</v>
      </c>
      <c r="G401" s="189" t="str">
        <f>IFERROR(__xludf.DUMMYFUNCTION("""COMPUTED_VALUE"""),"Cypher,Sova,Omen,Jett,KAY/O")</f>
        <v>Cypher,Sova,Omen,Jett,KAY/O</v>
      </c>
      <c r="H401" s="189" t="str">
        <f>IFERROR(__xludf.DUMMYFUNCTION("""COMPUTED_VALUE"""),"Sova,Omen,Yoru,Vyse,Waylay")</f>
        <v>Sova,Omen,Yoru,Vyse,Waylay</v>
      </c>
      <c r="I401" s="189">
        <f>IFERROR(__xludf.DUMMYFUNCTION("""COMPUTED_VALUE"""),5.0)</f>
        <v>5</v>
      </c>
      <c r="J401" s="189">
        <f>IFERROR(__xludf.DUMMYFUNCTION("""COMPUTED_VALUE"""),13.0)</f>
        <v>13</v>
      </c>
      <c r="K401" s="189">
        <f>IFERROR(__xludf.DUMMYFUNCTION("""COMPUTED_VALUE"""),3.0)</f>
        <v>3</v>
      </c>
      <c r="L401" s="189">
        <f>IFERROR(__xludf.DUMMYFUNCTION("""COMPUTED_VALUE"""),9.0)</f>
        <v>9</v>
      </c>
      <c r="M401" s="189">
        <f>IFERROR(__xludf.DUMMYFUNCTION("""COMPUTED_VALUE"""),0.0)</f>
        <v>0</v>
      </c>
      <c r="N401" s="189">
        <f>IFERROR(__xludf.DUMMYFUNCTION("""COMPUTED_VALUE"""),0.0)</f>
        <v>0</v>
      </c>
      <c r="O401" s="189">
        <f>IFERROR(__xludf.DUMMYFUNCTION("""COMPUTED_VALUE"""),2.0)</f>
        <v>2</v>
      </c>
      <c r="P401" s="189">
        <f>IFERROR(__xludf.DUMMYFUNCTION("""COMPUTED_VALUE"""),4.0)</f>
        <v>4</v>
      </c>
      <c r="Q401" s="189">
        <f>IFERROR(__xludf.DUMMYFUNCTION("""COMPUTED_VALUE"""),3.0)</f>
        <v>3</v>
      </c>
      <c r="R401" s="189">
        <f>IFERROR(__xludf.DUMMYFUNCTION("""COMPUTED_VALUE"""),9.0)</f>
        <v>9</v>
      </c>
      <c r="S401" s="189">
        <f>IFERROR(__xludf.DUMMYFUNCTION("""COMPUTED_VALUE"""),1.0)</f>
        <v>1</v>
      </c>
      <c r="T401" s="189">
        <f>IFERROR(__xludf.DUMMYFUNCTION("""COMPUTED_VALUE"""),1.0)</f>
        <v>1</v>
      </c>
      <c r="U401" s="189">
        <f>IFERROR(__xludf.DUMMYFUNCTION("""COMPUTED_VALUE"""),9.0)</f>
        <v>9</v>
      </c>
      <c r="V401" s="189">
        <f>IFERROR(__xludf.DUMMYFUNCTION("""COMPUTED_VALUE"""),3.0)</f>
        <v>3</v>
      </c>
      <c r="W401" s="189">
        <f>IFERROR(__xludf.DUMMYFUNCTION("""COMPUTED_VALUE"""),4.0)</f>
        <v>4</v>
      </c>
      <c r="X401" s="189">
        <f>IFERROR(__xludf.DUMMYFUNCTION("""COMPUTED_VALUE"""),2.0)</f>
        <v>2</v>
      </c>
      <c r="Y401" s="208" t="str">
        <f>IFERROR(__xludf.DUMMYFUNCTION("""COMPUTED_VALUE"""),"2025-08-02T00:00:00.000Z")</f>
        <v>2025-08-02T00:00:00.000Z</v>
      </c>
      <c r="Z401" s="189" t="s">
        <v>513</v>
      </c>
      <c r="AA401" s="189" t="s">
        <v>1</v>
      </c>
    </row>
    <row r="402">
      <c r="A402" s="189">
        <f>IFERROR(__xludf.DUMMYFUNCTION("""COMPUTED_VALUE"""),211262.0)</f>
        <v>211262</v>
      </c>
      <c r="B402" s="189">
        <f>IFERROR(__xludf.DUMMYFUNCTION("""COMPUTED_VALUE"""),92908.0)</f>
        <v>92908</v>
      </c>
      <c r="C402" s="189" t="str">
        <f>IFERROR(__xludf.DUMMYFUNCTION("""COMPUTED_VALUE"""),"Challengers League 2025 NORTH EAST: Split 3 - Playoffs")</f>
        <v>Challengers League 2025 NORTH EAST: Split 3 - Playoffs</v>
      </c>
      <c r="D402" s="189" t="str">
        <f>IFERROR(__xludf.DUMMYFUNCTION("""COMPUTED_VALUE"""),"Sunset")</f>
        <v>Sunset</v>
      </c>
      <c r="E402" s="189" t="str">
        <f>IFERROR(__xludf.DUMMYFUNCTION("""COMPUTED_VALUE"""),"Metizport")</f>
        <v>Metizport</v>
      </c>
      <c r="F402" s="189" t="str">
        <f>IFERROR(__xludf.DUMMYFUNCTION("""COMPUTED_VALUE"""),"Team Liquid Academy")</f>
        <v>Team Liquid Academy</v>
      </c>
      <c r="G402" s="189" t="str">
        <f>IFERROR(__xludf.DUMMYFUNCTION("""COMPUTED_VALUE"""),"Breach,Cypher,Sova,Omen,Neon")</f>
        <v>Breach,Cypher,Sova,Omen,Neon</v>
      </c>
      <c r="H402" s="189" t="str">
        <f>IFERROR(__xludf.DUMMYFUNCTION("""COMPUTED_VALUE"""),"Sova,Omen,Yoru,Vyse,Waylay")</f>
        <v>Sova,Omen,Yoru,Vyse,Waylay</v>
      </c>
      <c r="I402" s="189">
        <f>IFERROR(__xludf.DUMMYFUNCTION("""COMPUTED_VALUE"""),14.0)</f>
        <v>14</v>
      </c>
      <c r="J402" s="189">
        <f>IFERROR(__xludf.DUMMYFUNCTION("""COMPUTED_VALUE"""),12.0)</f>
        <v>12</v>
      </c>
      <c r="K402" s="189">
        <f>IFERROR(__xludf.DUMMYFUNCTION("""COMPUTED_VALUE"""),6.0)</f>
        <v>6</v>
      </c>
      <c r="L402" s="189">
        <f>IFERROR(__xludf.DUMMYFUNCTION("""COMPUTED_VALUE"""),6.0)</f>
        <v>6</v>
      </c>
      <c r="M402" s="189">
        <f>IFERROR(__xludf.DUMMYFUNCTION("""COMPUTED_VALUE"""),0.0)</f>
        <v>0</v>
      </c>
      <c r="N402" s="189">
        <f>IFERROR(__xludf.DUMMYFUNCTION("""COMPUTED_VALUE"""),0.0)</f>
        <v>0</v>
      </c>
      <c r="O402" s="189">
        <f>IFERROR(__xludf.DUMMYFUNCTION("""COMPUTED_VALUE"""),7.0)</f>
        <v>7</v>
      </c>
      <c r="P402" s="189">
        <f>IFERROR(__xludf.DUMMYFUNCTION("""COMPUTED_VALUE"""),6.0)</f>
        <v>6</v>
      </c>
      <c r="Q402" s="189">
        <f>IFERROR(__xludf.DUMMYFUNCTION("""COMPUTED_VALUE"""),7.0)</f>
        <v>7</v>
      </c>
      <c r="R402" s="189">
        <f>IFERROR(__xludf.DUMMYFUNCTION("""COMPUTED_VALUE"""),6.0)</f>
        <v>6</v>
      </c>
      <c r="S402" s="189">
        <f>IFERROR(__xludf.DUMMYFUNCTION("""COMPUTED_VALUE"""),1.0)</f>
        <v>1</v>
      </c>
      <c r="T402" s="189">
        <f>IFERROR(__xludf.DUMMYFUNCTION("""COMPUTED_VALUE"""),1.0)</f>
        <v>1</v>
      </c>
      <c r="U402" s="189">
        <f>IFERROR(__xludf.DUMMYFUNCTION("""COMPUTED_VALUE"""),6.0)</f>
        <v>6</v>
      </c>
      <c r="V402" s="189">
        <f>IFERROR(__xludf.DUMMYFUNCTION("""COMPUTED_VALUE"""),7.0)</f>
        <v>7</v>
      </c>
      <c r="W402" s="189">
        <f>IFERROR(__xludf.DUMMYFUNCTION("""COMPUTED_VALUE"""),6.0)</f>
        <v>6</v>
      </c>
      <c r="X402" s="189">
        <f>IFERROR(__xludf.DUMMYFUNCTION("""COMPUTED_VALUE"""),7.0)</f>
        <v>7</v>
      </c>
      <c r="Y402" s="208" t="str">
        <f>IFERROR(__xludf.DUMMYFUNCTION("""COMPUTED_VALUE"""),"2025-08-02T00:00:00.000Z")</f>
        <v>2025-08-02T00:00:00.000Z</v>
      </c>
      <c r="Z402" s="189" t="s">
        <v>418</v>
      </c>
      <c r="AA402" s="189" t="s">
        <v>404</v>
      </c>
    </row>
    <row r="403">
      <c r="A403" s="189">
        <f>IFERROR(__xludf.DUMMYFUNCTION("""COMPUTED_VALUE"""),211234.0)</f>
        <v>211234</v>
      </c>
      <c r="B403" s="189">
        <f>IFERROR(__xludf.DUMMYFUNCTION("""COMPUTED_VALUE"""),92899.0)</f>
        <v>92899</v>
      </c>
      <c r="C403" s="189" t="str">
        <f>IFERROR(__xludf.DUMMYFUNCTION("""COMPUTED_VALUE"""),"Challengers League 2025 NORTH EAST: Split 3 - Playoffs")</f>
        <v>Challengers League 2025 NORTH EAST: Split 3 - Playoffs</v>
      </c>
      <c r="D403" s="189" t="str">
        <f>IFERROR(__xludf.DUMMYFUNCTION("""COMPUTED_VALUE"""),"Corrode")</f>
        <v>Corrode</v>
      </c>
      <c r="E403" s="189" t="str">
        <f>IFERROR(__xludf.DUMMYFUNCTION("""COMPUTED_VALUE"""),"Enterprise Esports")</f>
        <v>Enterprise Esports</v>
      </c>
      <c r="F403" s="189" t="str">
        <f>IFERROR(__xludf.DUMMYFUNCTION("""COMPUTED_VALUE"""),"Team Liquid Academy")</f>
        <v>Team Liquid Academy</v>
      </c>
      <c r="G403" s="189" t="str">
        <f>IFERROR(__xludf.DUMMYFUNCTION("""COMPUTED_VALUE"""),"Sova,Viper,Omen,Yoru,Fade")</f>
        <v>Sova,Viper,Omen,Yoru,Fade</v>
      </c>
      <c r="H403" s="189" t="str">
        <f>IFERROR(__xludf.DUMMYFUNCTION("""COMPUTED_VALUE"""),"Cypher,Phoenix,Omen,Yoru,Fade")</f>
        <v>Cypher,Phoenix,Omen,Yoru,Fade</v>
      </c>
      <c r="I403" s="189">
        <f>IFERROR(__xludf.DUMMYFUNCTION("""COMPUTED_VALUE"""),13.0)</f>
        <v>13</v>
      </c>
      <c r="J403" s="189">
        <f>IFERROR(__xludf.DUMMYFUNCTION("""COMPUTED_VALUE"""),11.0)</f>
        <v>11</v>
      </c>
      <c r="K403" s="189">
        <f>IFERROR(__xludf.DUMMYFUNCTION("""COMPUTED_VALUE"""),7.0)</f>
        <v>7</v>
      </c>
      <c r="L403" s="189">
        <f>IFERROR(__xludf.DUMMYFUNCTION("""COMPUTED_VALUE"""),5.0)</f>
        <v>5</v>
      </c>
      <c r="M403" s="189">
        <f>IFERROR(__xludf.DUMMYFUNCTION("""COMPUTED_VALUE"""),1.0)</f>
        <v>1</v>
      </c>
      <c r="N403" s="189">
        <f>IFERROR(__xludf.DUMMYFUNCTION("""COMPUTED_VALUE"""),0.0)</f>
        <v>0</v>
      </c>
      <c r="O403" s="189">
        <f>IFERROR(__xludf.DUMMYFUNCTION("""COMPUTED_VALUE"""),6.0)</f>
        <v>6</v>
      </c>
      <c r="P403" s="189">
        <f>IFERROR(__xludf.DUMMYFUNCTION("""COMPUTED_VALUE"""),6.0)</f>
        <v>6</v>
      </c>
      <c r="Q403" s="189">
        <f>IFERROR(__xludf.DUMMYFUNCTION("""COMPUTED_VALUE"""),7.0)</f>
        <v>7</v>
      </c>
      <c r="R403" s="189">
        <f>IFERROR(__xludf.DUMMYFUNCTION("""COMPUTED_VALUE"""),5.0)</f>
        <v>5</v>
      </c>
      <c r="S403" s="189">
        <f>IFERROR(__xludf.DUMMYFUNCTION("""COMPUTED_VALUE"""),1.0)</f>
        <v>1</v>
      </c>
      <c r="T403" s="189">
        <f>IFERROR(__xludf.DUMMYFUNCTION("""COMPUTED_VALUE"""),0.0)</f>
        <v>0</v>
      </c>
      <c r="U403" s="189">
        <f>IFERROR(__xludf.DUMMYFUNCTION("""COMPUTED_VALUE"""),5.0)</f>
        <v>5</v>
      </c>
      <c r="V403" s="189">
        <f>IFERROR(__xludf.DUMMYFUNCTION("""COMPUTED_VALUE"""),7.0)</f>
        <v>7</v>
      </c>
      <c r="W403" s="189">
        <f>IFERROR(__xludf.DUMMYFUNCTION("""COMPUTED_VALUE"""),6.0)</f>
        <v>6</v>
      </c>
      <c r="X403" s="189">
        <f>IFERROR(__xludf.DUMMYFUNCTION("""COMPUTED_VALUE"""),6.0)</f>
        <v>6</v>
      </c>
      <c r="Y403" s="208" t="str">
        <f>IFERROR(__xludf.DUMMYFUNCTION("""COMPUTED_VALUE"""),"2025-07-29T00:00:00.000Z")</f>
        <v>2025-07-29T00:00:00.000Z</v>
      </c>
      <c r="Z403" s="189" t="s">
        <v>109</v>
      </c>
      <c r="AA403" s="189" t="s">
        <v>179</v>
      </c>
    </row>
    <row r="404">
      <c r="A404" s="189">
        <f>IFERROR(__xludf.DUMMYFUNCTION("""COMPUTED_VALUE"""),208425.0)</f>
        <v>208425</v>
      </c>
      <c r="B404" s="189">
        <f>IFERROR(__xludf.DUMMYFUNCTION("""COMPUTED_VALUE"""),91790.0)</f>
        <v>91790</v>
      </c>
      <c r="C404" s="189" t="str">
        <f>IFERROR(__xludf.DUMMYFUNCTION("""COMPUTED_VALUE"""),"Challengers League 2025 Türkiye Birlik: Split 3 - Group Stage")</f>
        <v>Challengers League 2025 Türkiye Birlik: Split 3 - Group Stage</v>
      </c>
      <c r="D404" s="189" t="str">
        <f>IFERROR(__xludf.DUMMYFUNCTION("""COMPUTED_VALUE"""),"Corrode")</f>
        <v>Corrode</v>
      </c>
      <c r="E404" s="189" t="str">
        <f>IFERROR(__xludf.DUMMYFUNCTION("""COMPUTED_VALUE"""),"BBL PCIFIC")</f>
        <v>BBL PCIFIC</v>
      </c>
      <c r="F404" s="189" t="str">
        <f>IFERROR(__xludf.DUMMYFUNCTION("""COMPUTED_VALUE"""),"Fenerbahçe Esports")</f>
        <v>Fenerbahçe Esports</v>
      </c>
      <c r="G404" s="189" t="str">
        <f>IFERROR(__xludf.DUMMYFUNCTION("""COMPUTED_VALUE"""),"Viper,Omen,Neon,Fade,Vyse")</f>
        <v>Viper,Omen,Neon,Fade,Vyse</v>
      </c>
      <c r="H404" s="189" t="str">
        <f>IFERROR(__xludf.DUMMYFUNCTION("""COMPUTED_VALUE"""),"Raze,Yoru,Astra,Fade,Vyse")</f>
        <v>Raze,Yoru,Astra,Fade,Vyse</v>
      </c>
      <c r="I404" s="189">
        <f>IFERROR(__xludf.DUMMYFUNCTION("""COMPUTED_VALUE"""),13.0)</f>
        <v>13</v>
      </c>
      <c r="J404" s="189">
        <f>IFERROR(__xludf.DUMMYFUNCTION("""COMPUTED_VALUE"""),6.0)</f>
        <v>6</v>
      </c>
      <c r="K404" s="189">
        <f>IFERROR(__xludf.DUMMYFUNCTION("""COMPUTED_VALUE"""),8.0)</f>
        <v>8</v>
      </c>
      <c r="L404" s="189">
        <f>IFERROR(__xludf.DUMMYFUNCTION("""COMPUTED_VALUE"""),4.0)</f>
        <v>4</v>
      </c>
      <c r="M404" s="189">
        <f>IFERROR(__xludf.DUMMYFUNCTION("""COMPUTED_VALUE"""),1.0)</f>
        <v>1</v>
      </c>
      <c r="N404" s="189">
        <f>IFERROR(__xludf.DUMMYFUNCTION("""COMPUTED_VALUE"""),1.0)</f>
        <v>1</v>
      </c>
      <c r="O404" s="189">
        <f>IFERROR(__xludf.DUMMYFUNCTION("""COMPUTED_VALUE"""),5.0)</f>
        <v>5</v>
      </c>
      <c r="P404" s="189">
        <f>IFERROR(__xludf.DUMMYFUNCTION("""COMPUTED_VALUE"""),2.0)</f>
        <v>2</v>
      </c>
      <c r="Q404" s="189">
        <f>IFERROR(__xludf.DUMMYFUNCTION("""COMPUTED_VALUE"""),8.0)</f>
        <v>8</v>
      </c>
      <c r="R404" s="189">
        <f>IFERROR(__xludf.DUMMYFUNCTION("""COMPUTED_VALUE"""),4.0)</f>
        <v>4</v>
      </c>
      <c r="S404" s="189">
        <f>IFERROR(__xludf.DUMMYFUNCTION("""COMPUTED_VALUE"""),0.0)</f>
        <v>0</v>
      </c>
      <c r="T404" s="189">
        <f>IFERROR(__xludf.DUMMYFUNCTION("""COMPUTED_VALUE"""),0.0)</f>
        <v>0</v>
      </c>
      <c r="U404" s="189">
        <f>IFERROR(__xludf.DUMMYFUNCTION("""COMPUTED_VALUE"""),4.0)</f>
        <v>4</v>
      </c>
      <c r="V404" s="189">
        <f>IFERROR(__xludf.DUMMYFUNCTION("""COMPUTED_VALUE"""),8.0)</f>
        <v>8</v>
      </c>
      <c r="W404" s="189">
        <f>IFERROR(__xludf.DUMMYFUNCTION("""COMPUTED_VALUE"""),2.0)</f>
        <v>2</v>
      </c>
      <c r="X404" s="189">
        <f>IFERROR(__xludf.DUMMYFUNCTION("""COMPUTED_VALUE"""),5.0)</f>
        <v>5</v>
      </c>
      <c r="Y404" s="208" t="str">
        <f>IFERROR(__xludf.DUMMYFUNCTION("""COMPUTED_VALUE"""),"2025-07-29T00:00:00.000Z")</f>
        <v>2025-07-29T00:00:00.000Z</v>
      </c>
      <c r="Z404" s="189" t="s">
        <v>69</v>
      </c>
      <c r="AA404" s="189" t="s">
        <v>186</v>
      </c>
    </row>
    <row r="405">
      <c r="A405" s="189">
        <f>IFERROR(__xludf.DUMMYFUNCTION("""COMPUTED_VALUE"""),211233.0)</f>
        <v>211233</v>
      </c>
      <c r="B405" s="189">
        <f>IFERROR(__xludf.DUMMYFUNCTION("""COMPUTED_VALUE"""),92899.0)</f>
        <v>92899</v>
      </c>
      <c r="C405" s="189" t="str">
        <f>IFERROR(__xludf.DUMMYFUNCTION("""COMPUTED_VALUE"""),"Challengers League 2025 NORTH EAST: Split 3 - Playoffs")</f>
        <v>Challengers League 2025 NORTH EAST: Split 3 - Playoffs</v>
      </c>
      <c r="D405" s="189" t="str">
        <f>IFERROR(__xludf.DUMMYFUNCTION("""COMPUTED_VALUE"""),"Ascent")</f>
        <v>Ascent</v>
      </c>
      <c r="E405" s="189" t="str">
        <f>IFERROR(__xludf.DUMMYFUNCTION("""COMPUTED_VALUE"""),"Enterprise Esports")</f>
        <v>Enterprise Esports</v>
      </c>
      <c r="F405" s="189" t="str">
        <f>IFERROR(__xludf.DUMMYFUNCTION("""COMPUTED_VALUE"""),"Team Liquid Academy")</f>
        <v>Team Liquid Academy</v>
      </c>
      <c r="G405" s="189" t="str">
        <f>IFERROR(__xludf.DUMMYFUNCTION("""COMPUTED_VALUE"""),"Cypher,Sova,Omen,Jett,KAY/O")</f>
        <v>Cypher,Sova,Omen,Jett,KAY/O</v>
      </c>
      <c r="H405" s="189" t="str">
        <f>IFERROR(__xludf.DUMMYFUNCTION("""COMPUTED_VALUE"""),"Sova,Omen,Yoru,Vyse,Waylay")</f>
        <v>Sova,Omen,Yoru,Vyse,Waylay</v>
      </c>
      <c r="I405" s="189">
        <f>IFERROR(__xludf.DUMMYFUNCTION("""COMPUTED_VALUE"""),13.0)</f>
        <v>13</v>
      </c>
      <c r="J405" s="189">
        <f>IFERROR(__xludf.DUMMYFUNCTION("""COMPUTED_VALUE"""),10.0)</f>
        <v>10</v>
      </c>
      <c r="K405" s="189">
        <f>IFERROR(__xludf.DUMMYFUNCTION("""COMPUTED_VALUE"""),6.0)</f>
        <v>6</v>
      </c>
      <c r="L405" s="189">
        <f>IFERROR(__xludf.DUMMYFUNCTION("""COMPUTED_VALUE"""),6.0)</f>
        <v>6</v>
      </c>
      <c r="M405" s="189">
        <f>IFERROR(__xludf.DUMMYFUNCTION("""COMPUTED_VALUE"""),0.0)</f>
        <v>0</v>
      </c>
      <c r="N405" s="189">
        <f>IFERROR(__xludf.DUMMYFUNCTION("""COMPUTED_VALUE"""),1.0)</f>
        <v>1</v>
      </c>
      <c r="O405" s="189">
        <f>IFERROR(__xludf.DUMMYFUNCTION("""COMPUTED_VALUE"""),6.0)</f>
        <v>6</v>
      </c>
      <c r="P405" s="189">
        <f>IFERROR(__xludf.DUMMYFUNCTION("""COMPUTED_VALUE"""),6.0)</f>
        <v>6</v>
      </c>
      <c r="Q405" s="189">
        <f>IFERROR(__xludf.DUMMYFUNCTION("""COMPUTED_VALUE"""),7.0)</f>
        <v>7</v>
      </c>
      <c r="R405" s="189">
        <f>IFERROR(__xludf.DUMMYFUNCTION("""COMPUTED_VALUE"""),4.0)</f>
        <v>4</v>
      </c>
      <c r="S405" s="189">
        <f>IFERROR(__xludf.DUMMYFUNCTION("""COMPUTED_VALUE"""),0.0)</f>
        <v>0</v>
      </c>
      <c r="T405" s="189">
        <f>IFERROR(__xludf.DUMMYFUNCTION("""COMPUTED_VALUE"""),1.0)</f>
        <v>1</v>
      </c>
      <c r="U405" s="189">
        <f>IFERROR(__xludf.DUMMYFUNCTION("""COMPUTED_VALUE"""),4.0)</f>
        <v>4</v>
      </c>
      <c r="V405" s="189">
        <f>IFERROR(__xludf.DUMMYFUNCTION("""COMPUTED_VALUE"""),7.0)</f>
        <v>7</v>
      </c>
      <c r="W405" s="189">
        <f>IFERROR(__xludf.DUMMYFUNCTION("""COMPUTED_VALUE"""),6.0)</f>
        <v>6</v>
      </c>
      <c r="X405" s="189">
        <f>IFERROR(__xludf.DUMMYFUNCTION("""COMPUTED_VALUE"""),6.0)</f>
        <v>6</v>
      </c>
      <c r="Y405" s="208" t="str">
        <f>IFERROR(__xludf.DUMMYFUNCTION("""COMPUTED_VALUE"""),"2025-07-29T00:00:00.000Z")</f>
        <v>2025-07-29T00:00:00.000Z</v>
      </c>
      <c r="Z405" s="189" t="s">
        <v>107</v>
      </c>
      <c r="AA405" s="189" t="s">
        <v>179</v>
      </c>
    </row>
    <row r="406">
      <c r="A406" s="189">
        <f>IFERROR(__xludf.DUMMYFUNCTION("""COMPUTED_VALUE"""),208424.0)</f>
        <v>208424</v>
      </c>
      <c r="B406" s="189">
        <f>IFERROR(__xludf.DUMMYFUNCTION("""COMPUTED_VALUE"""),91790.0)</f>
        <v>91790</v>
      </c>
      <c r="C406" s="189" t="str">
        <f>IFERROR(__xludf.DUMMYFUNCTION("""COMPUTED_VALUE"""),"Challengers League 2025 Türkiye Birlik: Split 3 - Group Stage")</f>
        <v>Challengers League 2025 Türkiye Birlik: Split 3 - Group Stage</v>
      </c>
      <c r="D406" s="189" t="str">
        <f>IFERROR(__xludf.DUMMYFUNCTION("""COMPUTED_VALUE"""),"Haven")</f>
        <v>Haven</v>
      </c>
      <c r="E406" s="189" t="str">
        <f>IFERROR(__xludf.DUMMYFUNCTION("""COMPUTED_VALUE"""),"BBL PCIFIC")</f>
        <v>BBL PCIFIC</v>
      </c>
      <c r="F406" s="189" t="str">
        <f>IFERROR(__xludf.DUMMYFUNCTION("""COMPUTED_VALUE"""),"Fenerbahçe Esports")</f>
        <v>Fenerbahçe Esports</v>
      </c>
      <c r="G406" s="189" t="str">
        <f>IFERROR(__xludf.DUMMYFUNCTION("""COMPUTED_VALUE"""),"Breach,Cypher,Sova,Omen,Jett")</f>
        <v>Breach,Cypher,Sova,Omen,Jett</v>
      </c>
      <c r="H406" s="189" t="str">
        <f>IFERROR(__xludf.DUMMYFUNCTION("""COMPUTED_VALUE"""),"Sova,Killjoy,Viper,Omen,Neon")</f>
        <v>Sova,Killjoy,Viper,Omen,Neon</v>
      </c>
      <c r="I406" s="189">
        <f>IFERROR(__xludf.DUMMYFUNCTION("""COMPUTED_VALUE"""),13.0)</f>
        <v>13</v>
      </c>
      <c r="J406" s="189">
        <f>IFERROR(__xludf.DUMMYFUNCTION("""COMPUTED_VALUE"""),9.0)</f>
        <v>9</v>
      </c>
      <c r="K406" s="189">
        <f>IFERROR(__xludf.DUMMYFUNCTION("""COMPUTED_VALUE"""),9.0)</f>
        <v>9</v>
      </c>
      <c r="L406" s="189">
        <f>IFERROR(__xludf.DUMMYFUNCTION("""COMPUTED_VALUE"""),3.0)</f>
        <v>3</v>
      </c>
      <c r="M406" s="189">
        <f>IFERROR(__xludf.DUMMYFUNCTION("""COMPUTED_VALUE"""),0.0)</f>
        <v>0</v>
      </c>
      <c r="N406" s="189">
        <f>IFERROR(__xludf.DUMMYFUNCTION("""COMPUTED_VALUE"""),0.0)</f>
        <v>0</v>
      </c>
      <c r="O406" s="189">
        <f>IFERROR(__xludf.DUMMYFUNCTION("""COMPUTED_VALUE"""),4.0)</f>
        <v>4</v>
      </c>
      <c r="P406" s="189">
        <f>IFERROR(__xludf.DUMMYFUNCTION("""COMPUTED_VALUE"""),6.0)</f>
        <v>6</v>
      </c>
      <c r="Q406" s="189">
        <f>IFERROR(__xludf.DUMMYFUNCTION("""COMPUTED_VALUE"""),9.0)</f>
        <v>9</v>
      </c>
      <c r="R406" s="189">
        <f>IFERROR(__xludf.DUMMYFUNCTION("""COMPUTED_VALUE"""),3.0)</f>
        <v>3</v>
      </c>
      <c r="S406" s="189">
        <f>IFERROR(__xludf.DUMMYFUNCTION("""COMPUTED_VALUE"""),1.0)</f>
        <v>1</v>
      </c>
      <c r="T406" s="189">
        <f>IFERROR(__xludf.DUMMYFUNCTION("""COMPUTED_VALUE"""),1.0)</f>
        <v>1</v>
      </c>
      <c r="U406" s="189">
        <f>IFERROR(__xludf.DUMMYFUNCTION("""COMPUTED_VALUE"""),3.0)</f>
        <v>3</v>
      </c>
      <c r="V406" s="189">
        <f>IFERROR(__xludf.DUMMYFUNCTION("""COMPUTED_VALUE"""),9.0)</f>
        <v>9</v>
      </c>
      <c r="W406" s="189">
        <f>IFERROR(__xludf.DUMMYFUNCTION("""COMPUTED_VALUE"""),6.0)</f>
        <v>6</v>
      </c>
      <c r="X406" s="189">
        <f>IFERROR(__xludf.DUMMYFUNCTION("""COMPUTED_VALUE"""),4.0)</f>
        <v>4</v>
      </c>
      <c r="Y406" s="208" t="str">
        <f>IFERROR(__xludf.DUMMYFUNCTION("""COMPUTED_VALUE"""),"2025-07-29T00:00:00.000Z")</f>
        <v>2025-07-29T00:00:00.000Z</v>
      </c>
      <c r="Z406" s="189" t="s">
        <v>70</v>
      </c>
      <c r="AA406" s="189" t="s">
        <v>186</v>
      </c>
    </row>
    <row r="407">
      <c r="A407" s="189">
        <f>IFERROR(__xludf.DUMMYFUNCTION("""COMPUTED_VALUE"""),211217.0)</f>
        <v>211217</v>
      </c>
      <c r="B407" s="189">
        <f>IFERROR(__xludf.DUMMYFUNCTION("""COMPUTED_VALUE"""),92893.0)</f>
        <v>92893</v>
      </c>
      <c r="C407" s="189" t="str">
        <f>IFERROR(__xludf.DUMMYFUNCTION("""COMPUTED_VALUE"""),"Challengers League 2025 NORTH EAST: Split 3 - Playoffs")</f>
        <v>Challengers League 2025 NORTH EAST: Split 3 - Playoffs</v>
      </c>
      <c r="D407" s="189" t="str">
        <f>IFERROR(__xludf.DUMMYFUNCTION("""COMPUTED_VALUE"""),"Haven")</f>
        <v>Haven</v>
      </c>
      <c r="E407" s="189" t="str">
        <f>IFERROR(__xludf.DUMMYFUNCTION("""COMPUTED_VALUE"""),"Boars Gaming")</f>
        <v>Boars Gaming</v>
      </c>
      <c r="F407" s="189" t="str">
        <f>IFERROR(__xludf.DUMMYFUNCTION("""COMPUTED_VALUE"""),"děti ulice")</f>
        <v>děti ulice</v>
      </c>
      <c r="G407" s="189" t="str">
        <f>IFERROR(__xludf.DUMMYFUNCTION("""COMPUTED_VALUE"""),"Breach,Cypher,Sova,Omen,Neon")</f>
        <v>Breach,Cypher,Sova,Omen,Neon</v>
      </c>
      <c r="H407" s="189" t="str">
        <f>IFERROR(__xludf.DUMMYFUNCTION("""COMPUTED_VALUE"""),"Cypher,Sova,Omen,Yoru,Iso")</f>
        <v>Cypher,Sova,Omen,Yoru,Iso</v>
      </c>
      <c r="I407" s="189">
        <f>IFERROR(__xludf.DUMMYFUNCTION("""COMPUTED_VALUE"""),6.0)</f>
        <v>6</v>
      </c>
      <c r="J407" s="189">
        <f>IFERROR(__xludf.DUMMYFUNCTION("""COMPUTED_VALUE"""),13.0)</f>
        <v>13</v>
      </c>
      <c r="K407" s="189">
        <f>IFERROR(__xludf.DUMMYFUNCTION("""COMPUTED_VALUE"""),3.0)</f>
        <v>3</v>
      </c>
      <c r="L407" s="189">
        <f>IFERROR(__xludf.DUMMYFUNCTION("""COMPUTED_VALUE"""),9.0)</f>
        <v>9</v>
      </c>
      <c r="M407" s="189">
        <f>IFERROR(__xludf.DUMMYFUNCTION("""COMPUTED_VALUE"""),0.0)</f>
        <v>0</v>
      </c>
      <c r="N407" s="189">
        <f>IFERROR(__xludf.DUMMYFUNCTION("""COMPUTED_VALUE"""),0.0)</f>
        <v>0</v>
      </c>
      <c r="O407" s="189">
        <f>IFERROR(__xludf.DUMMYFUNCTION("""COMPUTED_VALUE"""),3.0)</f>
        <v>3</v>
      </c>
      <c r="P407" s="189">
        <f>IFERROR(__xludf.DUMMYFUNCTION("""COMPUTED_VALUE"""),4.0)</f>
        <v>4</v>
      </c>
      <c r="Q407" s="189">
        <f>IFERROR(__xludf.DUMMYFUNCTION("""COMPUTED_VALUE"""),3.0)</f>
        <v>3</v>
      </c>
      <c r="R407" s="189">
        <f>IFERROR(__xludf.DUMMYFUNCTION("""COMPUTED_VALUE"""),9.0)</f>
        <v>9</v>
      </c>
      <c r="S407" s="189">
        <f>IFERROR(__xludf.DUMMYFUNCTION("""COMPUTED_VALUE"""),1.0)</f>
        <v>1</v>
      </c>
      <c r="T407" s="189">
        <f>IFERROR(__xludf.DUMMYFUNCTION("""COMPUTED_VALUE"""),1.0)</f>
        <v>1</v>
      </c>
      <c r="U407" s="189">
        <f>IFERROR(__xludf.DUMMYFUNCTION("""COMPUTED_VALUE"""),9.0)</f>
        <v>9</v>
      </c>
      <c r="V407" s="189">
        <f>IFERROR(__xludf.DUMMYFUNCTION("""COMPUTED_VALUE"""),3.0)</f>
        <v>3</v>
      </c>
      <c r="W407" s="189">
        <f>IFERROR(__xludf.DUMMYFUNCTION("""COMPUTED_VALUE"""),4.0)</f>
        <v>4</v>
      </c>
      <c r="X407" s="189">
        <f>IFERROR(__xludf.DUMMYFUNCTION("""COMPUTED_VALUE"""),3.0)</f>
        <v>3</v>
      </c>
      <c r="Y407" s="208" t="str">
        <f>IFERROR(__xludf.DUMMYFUNCTION("""COMPUTED_VALUE"""),"2025-07-29T00:00:00.000Z")</f>
        <v>2025-07-29T00:00:00.000Z</v>
      </c>
      <c r="Z407" s="189" t="s">
        <v>79</v>
      </c>
      <c r="AA407" s="189" t="s">
        <v>190</v>
      </c>
    </row>
    <row r="408">
      <c r="A408" s="189">
        <f>IFERROR(__xludf.DUMMYFUNCTION("""COMPUTED_VALUE"""),211216.0)</f>
        <v>211216</v>
      </c>
      <c r="B408" s="189">
        <f>IFERROR(__xludf.DUMMYFUNCTION("""COMPUTED_VALUE"""),92893.0)</f>
        <v>92893</v>
      </c>
      <c r="C408" s="189" t="str">
        <f>IFERROR(__xludf.DUMMYFUNCTION("""COMPUTED_VALUE"""),"Challengers League 2025 NORTH EAST: Split 3 - Playoffs")</f>
        <v>Challengers League 2025 NORTH EAST: Split 3 - Playoffs</v>
      </c>
      <c r="D408" s="189" t="str">
        <f>IFERROR(__xludf.DUMMYFUNCTION("""COMPUTED_VALUE"""),"Lotus")</f>
        <v>Lotus</v>
      </c>
      <c r="E408" s="189" t="str">
        <f>IFERROR(__xludf.DUMMYFUNCTION("""COMPUTED_VALUE"""),"Boars Gaming")</f>
        <v>Boars Gaming</v>
      </c>
      <c r="F408" s="189" t="str">
        <f>IFERROR(__xludf.DUMMYFUNCTION("""COMPUTED_VALUE"""),"děti ulice")</f>
        <v>děti ulice</v>
      </c>
      <c r="G408" s="189" t="str">
        <f>IFERROR(__xludf.DUMMYFUNCTION("""COMPUTED_VALUE"""),"Breach,Cypher,Omen,Neon,Fade")</f>
        <v>Breach,Cypher,Omen,Neon,Fade</v>
      </c>
      <c r="H408" s="189" t="str">
        <f>IFERROR(__xludf.DUMMYFUNCTION("""COMPUTED_VALUE"""),"Raze,Omen,Yoru,Fade,Vyse")</f>
        <v>Raze,Omen,Yoru,Fade,Vyse</v>
      </c>
      <c r="I408" s="189">
        <f>IFERROR(__xludf.DUMMYFUNCTION("""COMPUTED_VALUE"""),16.0)</f>
        <v>16</v>
      </c>
      <c r="J408" s="189">
        <f>IFERROR(__xludf.DUMMYFUNCTION("""COMPUTED_VALUE"""),18.0)</f>
        <v>18</v>
      </c>
      <c r="K408" s="189">
        <f>IFERROR(__xludf.DUMMYFUNCTION("""COMPUTED_VALUE"""),6.0)</f>
        <v>6</v>
      </c>
      <c r="L408" s="189">
        <f>IFERROR(__xludf.DUMMYFUNCTION("""COMPUTED_VALUE"""),6.0)</f>
        <v>6</v>
      </c>
      <c r="M408" s="189">
        <f>IFERROR(__xludf.DUMMYFUNCTION("""COMPUTED_VALUE"""),1.0)</f>
        <v>1</v>
      </c>
      <c r="N408" s="189">
        <f>IFERROR(__xludf.DUMMYFUNCTION("""COMPUTED_VALUE"""),1.0)</f>
        <v>1</v>
      </c>
      <c r="O408" s="189">
        <f>IFERROR(__xludf.DUMMYFUNCTION("""COMPUTED_VALUE"""),7.0)</f>
        <v>7</v>
      </c>
      <c r="P408" s="189">
        <f>IFERROR(__xludf.DUMMYFUNCTION("""COMPUTED_VALUE"""),10.0)</f>
        <v>10</v>
      </c>
      <c r="Q408" s="189">
        <f>IFERROR(__xludf.DUMMYFUNCTION("""COMPUTED_VALUE"""),9.0)</f>
        <v>9</v>
      </c>
      <c r="R408" s="189">
        <f>IFERROR(__xludf.DUMMYFUNCTION("""COMPUTED_VALUE"""),8.0)</f>
        <v>8</v>
      </c>
      <c r="S408" s="189">
        <f>IFERROR(__xludf.DUMMYFUNCTION("""COMPUTED_VALUE"""),0.0)</f>
        <v>0</v>
      </c>
      <c r="T408" s="189">
        <f>IFERROR(__xludf.DUMMYFUNCTION("""COMPUTED_VALUE"""),0.0)</f>
        <v>0</v>
      </c>
      <c r="U408" s="189">
        <f>IFERROR(__xludf.DUMMYFUNCTION("""COMPUTED_VALUE"""),8.0)</f>
        <v>8</v>
      </c>
      <c r="V408" s="189">
        <f>IFERROR(__xludf.DUMMYFUNCTION("""COMPUTED_VALUE"""),9.0)</f>
        <v>9</v>
      </c>
      <c r="W408" s="189">
        <f>IFERROR(__xludf.DUMMYFUNCTION("""COMPUTED_VALUE"""),10.0)</f>
        <v>10</v>
      </c>
      <c r="X408" s="189">
        <f>IFERROR(__xludf.DUMMYFUNCTION("""COMPUTED_VALUE"""),7.0)</f>
        <v>7</v>
      </c>
      <c r="Y408" s="208" t="str">
        <f>IFERROR(__xludf.DUMMYFUNCTION("""COMPUTED_VALUE"""),"2025-07-29T00:00:00.000Z")</f>
        <v>2025-07-29T00:00:00.000Z</v>
      </c>
      <c r="Z408" s="189" t="s">
        <v>81</v>
      </c>
      <c r="AA408" s="189" t="s">
        <v>190</v>
      </c>
    </row>
    <row r="409">
      <c r="A409" s="189">
        <f>IFERROR(__xludf.DUMMYFUNCTION("""COMPUTED_VALUE"""),211215.0)</f>
        <v>211215</v>
      </c>
      <c r="B409" s="189">
        <f>IFERROR(__xludf.DUMMYFUNCTION("""COMPUTED_VALUE"""),92893.0)</f>
        <v>92893</v>
      </c>
      <c r="C409" s="189" t="str">
        <f>IFERROR(__xludf.DUMMYFUNCTION("""COMPUTED_VALUE"""),"Challengers League 2025 NORTH EAST: Split 3 - Playoffs")</f>
        <v>Challengers League 2025 NORTH EAST: Split 3 - Playoffs</v>
      </c>
      <c r="D409" s="189" t="str">
        <f>IFERROR(__xludf.DUMMYFUNCTION("""COMPUTED_VALUE"""),"Sunset")</f>
        <v>Sunset</v>
      </c>
      <c r="E409" s="189" t="str">
        <f>IFERROR(__xludf.DUMMYFUNCTION("""COMPUTED_VALUE"""),"Boars Gaming")</f>
        <v>Boars Gaming</v>
      </c>
      <c r="F409" s="189" t="str">
        <f>IFERROR(__xludf.DUMMYFUNCTION("""COMPUTED_VALUE"""),"děti ulice")</f>
        <v>děti ulice</v>
      </c>
      <c r="G409" s="189" t="str">
        <f>IFERROR(__xludf.DUMMYFUNCTION("""COMPUTED_VALUE"""),"Cypher,Sova,Omen,KAY/O,Neon")</f>
        <v>Cypher,Sova,Omen,KAY/O,Neon</v>
      </c>
      <c r="H409" s="189" t="str">
        <f>IFERROR(__xludf.DUMMYFUNCTION("""COMPUTED_VALUE"""),"Cypher,Sova,Omen,Yoru,Neon")</f>
        <v>Cypher,Sova,Omen,Yoru,Neon</v>
      </c>
      <c r="I409" s="189">
        <f>IFERROR(__xludf.DUMMYFUNCTION("""COMPUTED_VALUE"""),13.0)</f>
        <v>13</v>
      </c>
      <c r="J409" s="189">
        <f>IFERROR(__xludf.DUMMYFUNCTION("""COMPUTED_VALUE"""),6.0)</f>
        <v>6</v>
      </c>
      <c r="K409" s="189">
        <f>IFERROR(__xludf.DUMMYFUNCTION("""COMPUTED_VALUE"""),9.0)</f>
        <v>9</v>
      </c>
      <c r="L409" s="189">
        <f>IFERROR(__xludf.DUMMYFUNCTION("""COMPUTED_VALUE"""),3.0)</f>
        <v>3</v>
      </c>
      <c r="M409" s="189">
        <f>IFERROR(__xludf.DUMMYFUNCTION("""COMPUTED_VALUE"""),1.0)</f>
        <v>1</v>
      </c>
      <c r="N409" s="189">
        <f>IFERROR(__xludf.DUMMYFUNCTION("""COMPUTED_VALUE"""),0.0)</f>
        <v>0</v>
      </c>
      <c r="O409" s="189">
        <f>IFERROR(__xludf.DUMMYFUNCTION("""COMPUTED_VALUE"""),9.0)</f>
        <v>9</v>
      </c>
      <c r="P409" s="189">
        <f>IFERROR(__xludf.DUMMYFUNCTION("""COMPUTED_VALUE"""),3.0)</f>
        <v>3</v>
      </c>
      <c r="Q409" s="189">
        <f>IFERROR(__xludf.DUMMYFUNCTION("""COMPUTED_VALUE"""),4.0)</f>
        <v>4</v>
      </c>
      <c r="R409" s="189">
        <f>IFERROR(__xludf.DUMMYFUNCTION("""COMPUTED_VALUE"""),3.0)</f>
        <v>3</v>
      </c>
      <c r="S409" s="189">
        <f>IFERROR(__xludf.DUMMYFUNCTION("""COMPUTED_VALUE"""),1.0)</f>
        <v>1</v>
      </c>
      <c r="T409" s="189">
        <f>IFERROR(__xludf.DUMMYFUNCTION("""COMPUTED_VALUE"""),0.0)</f>
        <v>0</v>
      </c>
      <c r="U409" s="189">
        <f>IFERROR(__xludf.DUMMYFUNCTION("""COMPUTED_VALUE"""),3.0)</f>
        <v>3</v>
      </c>
      <c r="V409" s="189">
        <f>IFERROR(__xludf.DUMMYFUNCTION("""COMPUTED_VALUE"""),4.0)</f>
        <v>4</v>
      </c>
      <c r="W409" s="189">
        <f>IFERROR(__xludf.DUMMYFUNCTION("""COMPUTED_VALUE"""),3.0)</f>
        <v>3</v>
      </c>
      <c r="X409" s="189">
        <f>IFERROR(__xludf.DUMMYFUNCTION("""COMPUTED_VALUE"""),9.0)</f>
        <v>9</v>
      </c>
      <c r="Y409" s="208" t="str">
        <f>IFERROR(__xludf.DUMMYFUNCTION("""COMPUTED_VALUE"""),"2025-07-29T00:00:00.000Z")</f>
        <v>2025-07-29T00:00:00.000Z</v>
      </c>
      <c r="Z409" s="189" t="s">
        <v>84</v>
      </c>
      <c r="AA409" s="189" t="s">
        <v>181</v>
      </c>
    </row>
    <row r="410">
      <c r="A410" s="189">
        <f>IFERROR(__xludf.DUMMYFUNCTION("""COMPUTED_VALUE"""),211254.0)</f>
        <v>211254</v>
      </c>
      <c r="B410" s="189">
        <f>IFERROR(__xludf.DUMMYFUNCTION("""COMPUTED_VALUE"""),92905.0)</f>
        <v>92905</v>
      </c>
      <c r="C410" s="189" t="str">
        <f>IFERROR(__xludf.DUMMYFUNCTION("""COMPUTED_VALUE"""),"Challengers League 2025 Spain Rising: Split 3 - Playoffs")</f>
        <v>Challengers League 2025 Spain Rising: Split 3 - Playoffs</v>
      </c>
      <c r="D410" s="189" t="str">
        <f>IFERROR(__xludf.DUMMYFUNCTION("""COMPUTED_VALUE"""),"Corrode")</f>
        <v>Corrode</v>
      </c>
      <c r="E410" s="189" t="str">
        <f>IFERROR(__xludf.DUMMYFUNCTION("""COMPUTED_VALUE"""),"KOI Fénix")</f>
        <v>KOI Fénix</v>
      </c>
      <c r="F410" s="189" t="str">
        <f>IFERROR(__xludf.DUMMYFUNCTION("""COMPUTED_VALUE"""),"Ramboot Club")</f>
        <v>Ramboot Club</v>
      </c>
      <c r="G410" s="189" t="str">
        <f>IFERROR(__xludf.DUMMYFUNCTION("""COMPUTED_VALUE"""),"Omen,Chamber,Neon,Fade,Vyse")</f>
        <v>Omen,Chamber,Neon,Fade,Vyse</v>
      </c>
      <c r="H410" s="189" t="str">
        <f>IFERROR(__xludf.DUMMYFUNCTION("""COMPUTED_VALUE"""),"Omen,Chamber,Neon,Fade,Vyse")</f>
        <v>Omen,Chamber,Neon,Fade,Vyse</v>
      </c>
      <c r="I410" s="189">
        <f>IFERROR(__xludf.DUMMYFUNCTION("""COMPUTED_VALUE"""),13.0)</f>
        <v>13</v>
      </c>
      <c r="J410" s="189">
        <f>IFERROR(__xludf.DUMMYFUNCTION("""COMPUTED_VALUE"""),11.0)</f>
        <v>11</v>
      </c>
      <c r="K410" s="189">
        <f>IFERROR(__xludf.DUMMYFUNCTION("""COMPUTED_VALUE"""),7.0)</f>
        <v>7</v>
      </c>
      <c r="L410" s="189">
        <f>IFERROR(__xludf.DUMMYFUNCTION("""COMPUTED_VALUE"""),5.0)</f>
        <v>5</v>
      </c>
      <c r="M410" s="189">
        <f>IFERROR(__xludf.DUMMYFUNCTION("""COMPUTED_VALUE"""),0.0)</f>
        <v>0</v>
      </c>
      <c r="N410" s="189">
        <f>IFERROR(__xludf.DUMMYFUNCTION("""COMPUTED_VALUE"""),1.0)</f>
        <v>1</v>
      </c>
      <c r="O410" s="189">
        <f>IFERROR(__xludf.DUMMYFUNCTION("""COMPUTED_VALUE"""),6.0)</f>
        <v>6</v>
      </c>
      <c r="P410" s="189">
        <f>IFERROR(__xludf.DUMMYFUNCTION("""COMPUTED_VALUE"""),6.0)</f>
        <v>6</v>
      </c>
      <c r="Q410" s="189">
        <f>IFERROR(__xludf.DUMMYFUNCTION("""COMPUTED_VALUE"""),7.0)</f>
        <v>7</v>
      </c>
      <c r="R410" s="189">
        <f>IFERROR(__xludf.DUMMYFUNCTION("""COMPUTED_VALUE"""),5.0)</f>
        <v>5</v>
      </c>
      <c r="S410" s="189">
        <f>IFERROR(__xludf.DUMMYFUNCTION("""COMPUTED_VALUE"""),0.0)</f>
        <v>0</v>
      </c>
      <c r="T410" s="189">
        <f>IFERROR(__xludf.DUMMYFUNCTION("""COMPUTED_VALUE"""),1.0)</f>
        <v>1</v>
      </c>
      <c r="U410" s="189">
        <f>IFERROR(__xludf.DUMMYFUNCTION("""COMPUTED_VALUE"""),5.0)</f>
        <v>5</v>
      </c>
      <c r="V410" s="189">
        <f>IFERROR(__xludf.DUMMYFUNCTION("""COMPUTED_VALUE"""),7.0)</f>
        <v>7</v>
      </c>
      <c r="W410" s="189">
        <f>IFERROR(__xludf.DUMMYFUNCTION("""COMPUTED_VALUE"""),6.0)</f>
        <v>6</v>
      </c>
      <c r="X410" s="189">
        <f>IFERROR(__xludf.DUMMYFUNCTION("""COMPUTED_VALUE"""),6.0)</f>
        <v>6</v>
      </c>
      <c r="Y410" s="208" t="str">
        <f>IFERROR(__xludf.DUMMYFUNCTION("""COMPUTED_VALUE"""),"2025-07-28T00:00:00.000Z")</f>
        <v>2025-07-28T00:00:00.000Z</v>
      </c>
      <c r="Z410" s="189" t="s">
        <v>121</v>
      </c>
      <c r="AA410" s="189" t="s">
        <v>187</v>
      </c>
    </row>
    <row r="411">
      <c r="A411" s="189">
        <f>IFERROR(__xludf.DUMMYFUNCTION("""COMPUTED_VALUE"""),211253.0)</f>
        <v>211253</v>
      </c>
      <c r="B411" s="189">
        <f>IFERROR(__xludf.DUMMYFUNCTION("""COMPUTED_VALUE"""),92905.0)</f>
        <v>92905</v>
      </c>
      <c r="C411" s="189" t="str">
        <f>IFERROR(__xludf.DUMMYFUNCTION("""COMPUTED_VALUE"""),"Challengers League 2025 Spain Rising: Split 3 - Playoffs")</f>
        <v>Challengers League 2025 Spain Rising: Split 3 - Playoffs</v>
      </c>
      <c r="D411" s="189" t="str">
        <f>IFERROR(__xludf.DUMMYFUNCTION("""COMPUTED_VALUE"""),"Bind")</f>
        <v>Bind</v>
      </c>
      <c r="E411" s="189" t="str">
        <f>IFERROR(__xludf.DUMMYFUNCTION("""COMPUTED_VALUE"""),"KOI Fénix")</f>
        <v>KOI Fénix</v>
      </c>
      <c r="F411" s="189" t="str">
        <f>IFERROR(__xludf.DUMMYFUNCTION("""COMPUTED_VALUE"""),"Ramboot Club")</f>
        <v>Ramboot Club</v>
      </c>
      <c r="G411" s="189" t="str">
        <f>IFERROR(__xludf.DUMMYFUNCTION("""COMPUTED_VALUE"""),"Yoru,Astra,Gekko,Deadlock,Vyse")</f>
        <v>Yoru,Astra,Gekko,Deadlock,Vyse</v>
      </c>
      <c r="H411" s="189" t="str">
        <f>IFERROR(__xludf.DUMMYFUNCTION("""COMPUTED_VALUE"""),"Raze,Viper,Brimstone,Skye,Chamber")</f>
        <v>Raze,Viper,Brimstone,Skye,Chamber</v>
      </c>
      <c r="I411" s="189">
        <f>IFERROR(__xludf.DUMMYFUNCTION("""COMPUTED_VALUE"""),13.0)</f>
        <v>13</v>
      </c>
      <c r="J411" s="189">
        <f>IFERROR(__xludf.DUMMYFUNCTION("""COMPUTED_VALUE"""),7.0)</f>
        <v>7</v>
      </c>
      <c r="K411" s="189">
        <f>IFERROR(__xludf.DUMMYFUNCTION("""COMPUTED_VALUE"""),8.0)</f>
        <v>8</v>
      </c>
      <c r="L411" s="189">
        <f>IFERROR(__xludf.DUMMYFUNCTION("""COMPUTED_VALUE"""),4.0)</f>
        <v>4</v>
      </c>
      <c r="M411" s="189">
        <f>IFERROR(__xludf.DUMMYFUNCTION("""COMPUTED_VALUE"""),1.0)</f>
        <v>1</v>
      </c>
      <c r="N411" s="189">
        <f>IFERROR(__xludf.DUMMYFUNCTION("""COMPUTED_VALUE"""),1.0)</f>
        <v>1</v>
      </c>
      <c r="O411" s="189">
        <f>IFERROR(__xludf.DUMMYFUNCTION("""COMPUTED_VALUE"""),8.0)</f>
        <v>8</v>
      </c>
      <c r="P411" s="189">
        <f>IFERROR(__xludf.DUMMYFUNCTION("""COMPUTED_VALUE"""),4.0)</f>
        <v>4</v>
      </c>
      <c r="Q411" s="189">
        <f>IFERROR(__xludf.DUMMYFUNCTION("""COMPUTED_VALUE"""),5.0)</f>
        <v>5</v>
      </c>
      <c r="R411" s="189">
        <f>IFERROR(__xludf.DUMMYFUNCTION("""COMPUTED_VALUE"""),3.0)</f>
        <v>3</v>
      </c>
      <c r="S411" s="189">
        <f>IFERROR(__xludf.DUMMYFUNCTION("""COMPUTED_VALUE"""),0.0)</f>
        <v>0</v>
      </c>
      <c r="T411" s="189">
        <f>IFERROR(__xludf.DUMMYFUNCTION("""COMPUTED_VALUE"""),0.0)</f>
        <v>0</v>
      </c>
      <c r="U411" s="189">
        <f>IFERROR(__xludf.DUMMYFUNCTION("""COMPUTED_VALUE"""),3.0)</f>
        <v>3</v>
      </c>
      <c r="V411" s="189">
        <f>IFERROR(__xludf.DUMMYFUNCTION("""COMPUTED_VALUE"""),5.0)</f>
        <v>5</v>
      </c>
      <c r="W411" s="189">
        <f>IFERROR(__xludf.DUMMYFUNCTION("""COMPUTED_VALUE"""),4.0)</f>
        <v>4</v>
      </c>
      <c r="X411" s="189">
        <f>IFERROR(__xludf.DUMMYFUNCTION("""COMPUTED_VALUE"""),8.0)</f>
        <v>8</v>
      </c>
      <c r="Y411" s="208" t="str">
        <f>IFERROR(__xludf.DUMMYFUNCTION("""COMPUTED_VALUE"""),"2025-07-28T00:00:00.000Z")</f>
        <v>2025-07-28T00:00:00.000Z</v>
      </c>
      <c r="Z411" s="189" t="s">
        <v>120</v>
      </c>
      <c r="AA411" s="189" t="s">
        <v>187</v>
      </c>
    </row>
    <row r="412">
      <c r="A412" s="189">
        <f>IFERROR(__xludf.DUMMYFUNCTION("""COMPUTED_VALUE"""),211252.0)</f>
        <v>211252</v>
      </c>
      <c r="B412" s="189">
        <f>IFERROR(__xludf.DUMMYFUNCTION("""COMPUTED_VALUE"""),92905.0)</f>
        <v>92905</v>
      </c>
      <c r="C412" s="189" t="str">
        <f>IFERROR(__xludf.DUMMYFUNCTION("""COMPUTED_VALUE"""),"Challengers League 2025 Spain Rising: Split 3 - Playoffs")</f>
        <v>Challengers League 2025 Spain Rising: Split 3 - Playoffs</v>
      </c>
      <c r="D412" s="189" t="str">
        <f>IFERROR(__xludf.DUMMYFUNCTION("""COMPUTED_VALUE"""),"Ascent")</f>
        <v>Ascent</v>
      </c>
      <c r="E412" s="189" t="str">
        <f>IFERROR(__xludf.DUMMYFUNCTION("""COMPUTED_VALUE"""),"KOI Fénix")</f>
        <v>KOI Fénix</v>
      </c>
      <c r="F412" s="189" t="str">
        <f>IFERROR(__xludf.DUMMYFUNCTION("""COMPUTED_VALUE"""),"Ramboot Club")</f>
        <v>Ramboot Club</v>
      </c>
      <c r="G412" s="189" t="str">
        <f>IFERROR(__xludf.DUMMYFUNCTION("""COMPUTED_VALUE"""),"Sova,Omen,Yoru,Chamber,Vyse")</f>
        <v>Sova,Omen,Yoru,Chamber,Vyse</v>
      </c>
      <c r="H412" s="189" t="str">
        <f>IFERROR(__xludf.DUMMYFUNCTION("""COMPUTED_VALUE"""),"Cypher,Sova,Omen,Jett,Yoru")</f>
        <v>Cypher,Sova,Omen,Jett,Yoru</v>
      </c>
      <c r="I412" s="189">
        <f>IFERROR(__xludf.DUMMYFUNCTION("""COMPUTED_VALUE"""),10.0)</f>
        <v>10</v>
      </c>
      <c r="J412" s="189">
        <f>IFERROR(__xludf.DUMMYFUNCTION("""COMPUTED_VALUE"""),13.0)</f>
        <v>13</v>
      </c>
      <c r="K412" s="189">
        <f>IFERROR(__xludf.DUMMYFUNCTION("""COMPUTED_VALUE"""),8.0)</f>
        <v>8</v>
      </c>
      <c r="L412" s="189">
        <f>IFERROR(__xludf.DUMMYFUNCTION("""COMPUTED_VALUE"""),4.0)</f>
        <v>4</v>
      </c>
      <c r="M412" s="189">
        <f>IFERROR(__xludf.DUMMYFUNCTION("""COMPUTED_VALUE"""),1.0)</f>
        <v>1</v>
      </c>
      <c r="N412" s="189">
        <f>IFERROR(__xludf.DUMMYFUNCTION("""COMPUTED_VALUE"""),1.0)</f>
        <v>1</v>
      </c>
      <c r="O412" s="189">
        <f>IFERROR(__xludf.DUMMYFUNCTION("""COMPUTED_VALUE"""),2.0)</f>
        <v>2</v>
      </c>
      <c r="P412" s="189">
        <f>IFERROR(__xludf.DUMMYFUNCTION("""COMPUTED_VALUE"""),9.0)</f>
        <v>9</v>
      </c>
      <c r="Q412" s="189">
        <f>IFERROR(__xludf.DUMMYFUNCTION("""COMPUTED_VALUE"""),8.0)</f>
        <v>8</v>
      </c>
      <c r="R412" s="189">
        <f>IFERROR(__xludf.DUMMYFUNCTION("""COMPUTED_VALUE"""),4.0)</f>
        <v>4</v>
      </c>
      <c r="S412" s="189">
        <f>IFERROR(__xludf.DUMMYFUNCTION("""COMPUTED_VALUE"""),0.0)</f>
        <v>0</v>
      </c>
      <c r="T412" s="189">
        <f>IFERROR(__xludf.DUMMYFUNCTION("""COMPUTED_VALUE"""),0.0)</f>
        <v>0</v>
      </c>
      <c r="U412" s="189">
        <f>IFERROR(__xludf.DUMMYFUNCTION("""COMPUTED_VALUE"""),4.0)</f>
        <v>4</v>
      </c>
      <c r="V412" s="189">
        <f>IFERROR(__xludf.DUMMYFUNCTION("""COMPUTED_VALUE"""),8.0)</f>
        <v>8</v>
      </c>
      <c r="W412" s="189">
        <f>IFERROR(__xludf.DUMMYFUNCTION("""COMPUTED_VALUE"""),9.0)</f>
        <v>9</v>
      </c>
      <c r="X412" s="189">
        <f>IFERROR(__xludf.DUMMYFUNCTION("""COMPUTED_VALUE"""),2.0)</f>
        <v>2</v>
      </c>
      <c r="Y412" s="208" t="str">
        <f>IFERROR(__xludf.DUMMYFUNCTION("""COMPUTED_VALUE"""),"2025-07-28T00:00:00.000Z")</f>
        <v>2025-07-28T00:00:00.000Z</v>
      </c>
      <c r="Z412" s="189" t="s">
        <v>119</v>
      </c>
      <c r="AA412" s="189" t="s">
        <v>410</v>
      </c>
    </row>
    <row r="413">
      <c r="A413" s="189">
        <f>IFERROR(__xludf.DUMMYFUNCTION("""COMPUTED_VALUE"""),208417.0)</f>
        <v>208417</v>
      </c>
      <c r="B413" s="189">
        <f>IFERROR(__xludf.DUMMYFUNCTION("""COMPUTED_VALUE"""),91787.0)</f>
        <v>91787</v>
      </c>
      <c r="C413" s="189" t="str">
        <f>IFERROR(__xludf.DUMMYFUNCTION("""COMPUTED_VALUE"""),"Challengers League 2025 Türkiye Birlik: Split 3 - Group Stage")</f>
        <v>Challengers League 2025 Türkiye Birlik: Split 3 - Group Stage</v>
      </c>
      <c r="D413" s="189" t="str">
        <f>IFERROR(__xludf.DUMMYFUNCTION("""COMPUTED_VALUE"""),"Haven")</f>
        <v>Haven</v>
      </c>
      <c r="E413" s="189" t="str">
        <f>IFERROR(__xludf.DUMMYFUNCTION("""COMPUTED_VALUE"""),"S2G Esports")</f>
        <v>S2G Esports</v>
      </c>
      <c r="F413" s="189" t="str">
        <f>IFERROR(__xludf.DUMMYFUNCTION("""COMPUTED_VALUE"""),"ULF Esports")</f>
        <v>ULF Esports</v>
      </c>
      <c r="G413" s="189" t="str">
        <f>IFERROR(__xludf.DUMMYFUNCTION("""COMPUTED_VALUE"""),"Breach,Cypher,Sova,Omen,Jett")</f>
        <v>Breach,Cypher,Sova,Omen,Jett</v>
      </c>
      <c r="H413" s="189" t="str">
        <f>IFERROR(__xludf.DUMMYFUNCTION("""COMPUTED_VALUE"""),"Sova,Viper,Omen,Neon,Vyse")</f>
        <v>Sova,Viper,Omen,Neon,Vyse</v>
      </c>
      <c r="I413" s="189">
        <f>IFERROR(__xludf.DUMMYFUNCTION("""COMPUTED_VALUE"""),13.0)</f>
        <v>13</v>
      </c>
      <c r="J413" s="189">
        <f>IFERROR(__xludf.DUMMYFUNCTION("""COMPUTED_VALUE"""),9.0)</f>
        <v>9</v>
      </c>
      <c r="K413" s="189">
        <f>IFERROR(__xludf.DUMMYFUNCTION("""COMPUTED_VALUE"""),6.0)</f>
        <v>6</v>
      </c>
      <c r="L413" s="189">
        <f>IFERROR(__xludf.DUMMYFUNCTION("""COMPUTED_VALUE"""),6.0)</f>
        <v>6</v>
      </c>
      <c r="M413" s="189">
        <f>IFERROR(__xludf.DUMMYFUNCTION("""COMPUTED_VALUE"""),1.0)</f>
        <v>1</v>
      </c>
      <c r="N413" s="189">
        <f>IFERROR(__xludf.DUMMYFUNCTION("""COMPUTED_VALUE"""),1.0)</f>
        <v>1</v>
      </c>
      <c r="O413" s="189">
        <f>IFERROR(__xludf.DUMMYFUNCTION("""COMPUTED_VALUE"""),6.0)</f>
        <v>6</v>
      </c>
      <c r="P413" s="189">
        <f>IFERROR(__xludf.DUMMYFUNCTION("""COMPUTED_VALUE"""),6.0)</f>
        <v>6</v>
      </c>
      <c r="Q413" s="189">
        <f>IFERROR(__xludf.DUMMYFUNCTION("""COMPUTED_VALUE"""),7.0)</f>
        <v>7</v>
      </c>
      <c r="R413" s="189">
        <f>IFERROR(__xludf.DUMMYFUNCTION("""COMPUTED_VALUE"""),3.0)</f>
        <v>3</v>
      </c>
      <c r="S413" s="189">
        <f>IFERROR(__xludf.DUMMYFUNCTION("""COMPUTED_VALUE"""),0.0)</f>
        <v>0</v>
      </c>
      <c r="T413" s="189">
        <f>IFERROR(__xludf.DUMMYFUNCTION("""COMPUTED_VALUE"""),0.0)</f>
        <v>0</v>
      </c>
      <c r="U413" s="189">
        <f>IFERROR(__xludf.DUMMYFUNCTION("""COMPUTED_VALUE"""),3.0)</f>
        <v>3</v>
      </c>
      <c r="V413" s="189">
        <f>IFERROR(__xludf.DUMMYFUNCTION("""COMPUTED_VALUE"""),7.0)</f>
        <v>7</v>
      </c>
      <c r="W413" s="189">
        <f>IFERROR(__xludf.DUMMYFUNCTION("""COMPUTED_VALUE"""),6.0)</f>
        <v>6</v>
      </c>
      <c r="X413" s="189">
        <f>IFERROR(__xludf.DUMMYFUNCTION("""COMPUTED_VALUE"""),6.0)</f>
        <v>6</v>
      </c>
      <c r="Y413" s="208" t="str">
        <f>IFERROR(__xludf.DUMMYFUNCTION("""COMPUTED_VALUE"""),"2025-07-28T00:00:00.000Z")</f>
        <v>2025-07-28T00:00:00.000Z</v>
      </c>
      <c r="Z413" s="189" t="s">
        <v>514</v>
      </c>
      <c r="AA413" s="189" t="s">
        <v>411</v>
      </c>
    </row>
    <row r="414">
      <c r="A414" s="189">
        <f>IFERROR(__xludf.DUMMYFUNCTION("""COMPUTED_VALUE"""),211251.0)</f>
        <v>211251</v>
      </c>
      <c r="B414" s="189">
        <f>IFERROR(__xludf.DUMMYFUNCTION("""COMPUTED_VALUE"""),92905.0)</f>
        <v>92905</v>
      </c>
      <c r="C414" s="189" t="str">
        <f>IFERROR(__xludf.DUMMYFUNCTION("""COMPUTED_VALUE"""),"Challengers League 2025 Spain Rising: Split 3 - Playoffs")</f>
        <v>Challengers League 2025 Spain Rising: Split 3 - Playoffs</v>
      </c>
      <c r="D414" s="189" t="str">
        <f>IFERROR(__xludf.DUMMYFUNCTION("""COMPUTED_VALUE"""),"Lotus")</f>
        <v>Lotus</v>
      </c>
      <c r="E414" s="189" t="str">
        <f>IFERROR(__xludf.DUMMYFUNCTION("""COMPUTED_VALUE"""),"KOI Fénix")</f>
        <v>KOI Fénix</v>
      </c>
      <c r="F414" s="189" t="str">
        <f>IFERROR(__xludf.DUMMYFUNCTION("""COMPUTED_VALUE"""),"Ramboot Club")</f>
        <v>Ramboot Club</v>
      </c>
      <c r="G414" s="189" t="str">
        <f>IFERROR(__xludf.DUMMYFUNCTION("""COMPUTED_VALUE"""),"Breach,Sova,Killjoy,Omen,Neon")</f>
        <v>Breach,Sova,Killjoy,Omen,Neon</v>
      </c>
      <c r="H414" s="189" t="str">
        <f>IFERROR(__xludf.DUMMYFUNCTION("""COMPUTED_VALUE"""),"Viper,Omen,Chamber,Neon,Fade")</f>
        <v>Viper,Omen,Chamber,Neon,Fade</v>
      </c>
      <c r="I414" s="189">
        <f>IFERROR(__xludf.DUMMYFUNCTION("""COMPUTED_VALUE"""),13.0)</f>
        <v>13</v>
      </c>
      <c r="J414" s="189">
        <f>IFERROR(__xludf.DUMMYFUNCTION("""COMPUTED_VALUE"""),6.0)</f>
        <v>6</v>
      </c>
      <c r="K414" s="189">
        <f>IFERROR(__xludf.DUMMYFUNCTION("""COMPUTED_VALUE"""),8.0)</f>
        <v>8</v>
      </c>
      <c r="L414" s="189">
        <f>IFERROR(__xludf.DUMMYFUNCTION("""COMPUTED_VALUE"""),4.0)</f>
        <v>4</v>
      </c>
      <c r="M414" s="189">
        <f>IFERROR(__xludf.DUMMYFUNCTION("""COMPUTED_VALUE"""),1.0)</f>
        <v>1</v>
      </c>
      <c r="N414" s="189">
        <f>IFERROR(__xludf.DUMMYFUNCTION("""COMPUTED_VALUE"""),0.0)</f>
        <v>0</v>
      </c>
      <c r="O414" s="189">
        <f>IFERROR(__xludf.DUMMYFUNCTION("""COMPUTED_VALUE"""),5.0)</f>
        <v>5</v>
      </c>
      <c r="P414" s="189">
        <f>IFERROR(__xludf.DUMMYFUNCTION("""COMPUTED_VALUE"""),2.0)</f>
        <v>2</v>
      </c>
      <c r="Q414" s="189">
        <f>IFERROR(__xludf.DUMMYFUNCTION("""COMPUTED_VALUE"""),8.0)</f>
        <v>8</v>
      </c>
      <c r="R414" s="189">
        <f>IFERROR(__xludf.DUMMYFUNCTION("""COMPUTED_VALUE"""),4.0)</f>
        <v>4</v>
      </c>
      <c r="S414" s="189">
        <f>IFERROR(__xludf.DUMMYFUNCTION("""COMPUTED_VALUE"""),1.0)</f>
        <v>1</v>
      </c>
      <c r="T414" s="189">
        <f>IFERROR(__xludf.DUMMYFUNCTION("""COMPUTED_VALUE"""),0.0)</f>
        <v>0</v>
      </c>
      <c r="U414" s="189">
        <f>IFERROR(__xludf.DUMMYFUNCTION("""COMPUTED_VALUE"""),4.0)</f>
        <v>4</v>
      </c>
      <c r="V414" s="189">
        <f>IFERROR(__xludf.DUMMYFUNCTION("""COMPUTED_VALUE"""),8.0)</f>
        <v>8</v>
      </c>
      <c r="W414" s="189">
        <f>IFERROR(__xludf.DUMMYFUNCTION("""COMPUTED_VALUE"""),2.0)</f>
        <v>2</v>
      </c>
      <c r="X414" s="189">
        <f>IFERROR(__xludf.DUMMYFUNCTION("""COMPUTED_VALUE"""),5.0)</f>
        <v>5</v>
      </c>
      <c r="Y414" s="208" t="str">
        <f>IFERROR(__xludf.DUMMYFUNCTION("""COMPUTED_VALUE"""),"2025-07-28T00:00:00.000Z")</f>
        <v>2025-07-28T00:00:00.000Z</v>
      </c>
      <c r="Z414" s="189" t="s">
        <v>123</v>
      </c>
      <c r="AA414" s="189" t="s">
        <v>187</v>
      </c>
    </row>
    <row r="415">
      <c r="A415" s="189">
        <f>IFERROR(__xludf.DUMMYFUNCTION("""COMPUTED_VALUE"""),208416.0)</f>
        <v>208416</v>
      </c>
      <c r="B415" s="189">
        <f>IFERROR(__xludf.DUMMYFUNCTION("""COMPUTED_VALUE"""),91787.0)</f>
        <v>91787</v>
      </c>
      <c r="C415" s="189" t="str">
        <f>IFERROR(__xludf.DUMMYFUNCTION("""COMPUTED_VALUE"""),"Challengers League 2025 Türkiye Birlik: Split 3 - Group Stage")</f>
        <v>Challengers League 2025 Türkiye Birlik: Split 3 - Group Stage</v>
      </c>
      <c r="D415" s="189" t="str">
        <f>IFERROR(__xludf.DUMMYFUNCTION("""COMPUTED_VALUE"""),"Icebox")</f>
        <v>Icebox</v>
      </c>
      <c r="E415" s="189" t="str">
        <f>IFERROR(__xludf.DUMMYFUNCTION("""COMPUTED_VALUE"""),"S2G Esports")</f>
        <v>S2G Esports</v>
      </c>
      <c r="F415" s="189" t="str">
        <f>IFERROR(__xludf.DUMMYFUNCTION("""COMPUTED_VALUE"""),"ULF Esports")</f>
        <v>ULF Esports</v>
      </c>
      <c r="G415" s="189" t="str">
        <f>IFERROR(__xludf.DUMMYFUNCTION("""COMPUTED_VALUE"""),"Sova,Killjoy,Viper,Jett,KAY/O")</f>
        <v>Sova,Killjoy,Viper,Jett,KAY/O</v>
      </c>
      <c r="H415" s="189" t="str">
        <f>IFERROR(__xludf.DUMMYFUNCTION("""COMPUTED_VALUE"""),"Sova,Killjoy,Viper,Omen,Jett")</f>
        <v>Sova,Killjoy,Viper,Omen,Jett</v>
      </c>
      <c r="I415" s="189">
        <f>IFERROR(__xludf.DUMMYFUNCTION("""COMPUTED_VALUE"""),13.0)</f>
        <v>13</v>
      </c>
      <c r="J415" s="189">
        <f>IFERROR(__xludf.DUMMYFUNCTION("""COMPUTED_VALUE"""),11.0)</f>
        <v>11</v>
      </c>
      <c r="K415" s="189">
        <f>IFERROR(__xludf.DUMMYFUNCTION("""COMPUTED_VALUE"""),9.0)</f>
        <v>9</v>
      </c>
      <c r="L415" s="189">
        <f>IFERROR(__xludf.DUMMYFUNCTION("""COMPUTED_VALUE"""),3.0)</f>
        <v>3</v>
      </c>
      <c r="M415" s="189">
        <f>IFERROR(__xludf.DUMMYFUNCTION("""COMPUTED_VALUE"""),1.0)</f>
        <v>1</v>
      </c>
      <c r="N415" s="189">
        <f>IFERROR(__xludf.DUMMYFUNCTION("""COMPUTED_VALUE"""),0.0)</f>
        <v>0</v>
      </c>
      <c r="O415" s="189">
        <f>IFERROR(__xludf.DUMMYFUNCTION("""COMPUTED_VALUE"""),9.0)</f>
        <v>9</v>
      </c>
      <c r="P415" s="189">
        <f>IFERROR(__xludf.DUMMYFUNCTION("""COMPUTED_VALUE"""),3.0)</f>
        <v>3</v>
      </c>
      <c r="Q415" s="189">
        <f>IFERROR(__xludf.DUMMYFUNCTION("""COMPUTED_VALUE"""),4.0)</f>
        <v>4</v>
      </c>
      <c r="R415" s="189">
        <f>IFERROR(__xludf.DUMMYFUNCTION("""COMPUTED_VALUE"""),8.0)</f>
        <v>8</v>
      </c>
      <c r="S415" s="189">
        <f>IFERROR(__xludf.DUMMYFUNCTION("""COMPUTED_VALUE"""),1.0)</f>
        <v>1</v>
      </c>
      <c r="T415" s="189">
        <f>IFERROR(__xludf.DUMMYFUNCTION("""COMPUTED_VALUE"""),0.0)</f>
        <v>0</v>
      </c>
      <c r="U415" s="189">
        <f>IFERROR(__xludf.DUMMYFUNCTION("""COMPUTED_VALUE"""),8.0)</f>
        <v>8</v>
      </c>
      <c r="V415" s="189">
        <f>IFERROR(__xludf.DUMMYFUNCTION("""COMPUTED_VALUE"""),4.0)</f>
        <v>4</v>
      </c>
      <c r="W415" s="189">
        <f>IFERROR(__xludf.DUMMYFUNCTION("""COMPUTED_VALUE"""),3.0)</f>
        <v>3</v>
      </c>
      <c r="X415" s="189">
        <f>IFERROR(__xludf.DUMMYFUNCTION("""COMPUTED_VALUE"""),9.0)</f>
        <v>9</v>
      </c>
      <c r="Y415" s="208" t="str">
        <f>IFERROR(__xludf.DUMMYFUNCTION("""COMPUTED_VALUE"""),"2025-07-28T00:00:00.000Z")</f>
        <v>2025-07-28T00:00:00.000Z</v>
      </c>
      <c r="Z415" s="189" t="s">
        <v>515</v>
      </c>
      <c r="AA415" s="189" t="s">
        <v>411</v>
      </c>
    </row>
    <row r="416">
      <c r="A416" s="189">
        <f>IFERROR(__xludf.DUMMYFUNCTION("""COMPUTED_VALUE"""),208415.0)</f>
        <v>208415</v>
      </c>
      <c r="B416" s="189">
        <f>IFERROR(__xludf.DUMMYFUNCTION("""COMPUTED_VALUE"""),91787.0)</f>
        <v>91787</v>
      </c>
      <c r="C416" s="189" t="str">
        <f>IFERROR(__xludf.DUMMYFUNCTION("""COMPUTED_VALUE"""),"Challengers League 2025 Türkiye Birlik: Split 3 - Group Stage")</f>
        <v>Challengers League 2025 Türkiye Birlik: Split 3 - Group Stage</v>
      </c>
      <c r="D416" s="189" t="str">
        <f>IFERROR(__xludf.DUMMYFUNCTION("""COMPUTED_VALUE"""),"Bind")</f>
        <v>Bind</v>
      </c>
      <c r="E416" s="189" t="str">
        <f>IFERROR(__xludf.DUMMYFUNCTION("""COMPUTED_VALUE"""),"S2G Esports")</f>
        <v>S2G Esports</v>
      </c>
      <c r="F416" s="189" t="str">
        <f>IFERROR(__xludf.DUMMYFUNCTION("""COMPUTED_VALUE"""),"ULF Esports")</f>
        <v>ULF Esports</v>
      </c>
      <c r="G416" s="189" t="str">
        <f>IFERROR(__xludf.DUMMYFUNCTION("""COMPUTED_VALUE"""),"Cypher,Viper,Sage,Omen,Iso")</f>
        <v>Cypher,Viper,Sage,Omen,Iso</v>
      </c>
      <c r="H416" s="189" t="str">
        <f>IFERROR(__xludf.DUMMYFUNCTION("""COMPUTED_VALUE"""),"Viper,Brimstone,Skye,Vyse,Waylay")</f>
        <v>Viper,Brimstone,Skye,Vyse,Waylay</v>
      </c>
      <c r="I416" s="189">
        <f>IFERROR(__xludf.DUMMYFUNCTION("""COMPUTED_VALUE"""),7.0)</f>
        <v>7</v>
      </c>
      <c r="J416" s="189">
        <f>IFERROR(__xludf.DUMMYFUNCTION("""COMPUTED_VALUE"""),13.0)</f>
        <v>13</v>
      </c>
      <c r="K416" s="189">
        <f>IFERROR(__xludf.DUMMYFUNCTION("""COMPUTED_VALUE"""),7.0)</f>
        <v>7</v>
      </c>
      <c r="L416" s="189">
        <f>IFERROR(__xludf.DUMMYFUNCTION("""COMPUTED_VALUE"""),5.0)</f>
        <v>5</v>
      </c>
      <c r="M416" s="189">
        <f>IFERROR(__xludf.DUMMYFUNCTION("""COMPUTED_VALUE"""),0.0)</f>
        <v>0</v>
      </c>
      <c r="N416" s="189">
        <f>IFERROR(__xludf.DUMMYFUNCTION("""COMPUTED_VALUE"""),1.0)</f>
        <v>1</v>
      </c>
      <c r="O416" s="189">
        <f>IFERROR(__xludf.DUMMYFUNCTION("""COMPUTED_VALUE"""),0.0)</f>
        <v>0</v>
      </c>
      <c r="P416" s="189">
        <f>IFERROR(__xludf.DUMMYFUNCTION("""COMPUTED_VALUE"""),8.0)</f>
        <v>8</v>
      </c>
      <c r="Q416" s="189">
        <f>IFERROR(__xludf.DUMMYFUNCTION("""COMPUTED_VALUE"""),7.0)</f>
        <v>7</v>
      </c>
      <c r="R416" s="189">
        <f>IFERROR(__xludf.DUMMYFUNCTION("""COMPUTED_VALUE"""),5.0)</f>
        <v>5</v>
      </c>
      <c r="S416" s="189">
        <f>IFERROR(__xludf.DUMMYFUNCTION("""COMPUTED_VALUE"""),0.0)</f>
        <v>0</v>
      </c>
      <c r="T416" s="189">
        <f>IFERROR(__xludf.DUMMYFUNCTION("""COMPUTED_VALUE"""),1.0)</f>
        <v>1</v>
      </c>
      <c r="U416" s="189">
        <f>IFERROR(__xludf.DUMMYFUNCTION("""COMPUTED_VALUE"""),5.0)</f>
        <v>5</v>
      </c>
      <c r="V416" s="189">
        <f>IFERROR(__xludf.DUMMYFUNCTION("""COMPUTED_VALUE"""),7.0)</f>
        <v>7</v>
      </c>
      <c r="W416" s="189">
        <f>IFERROR(__xludf.DUMMYFUNCTION("""COMPUTED_VALUE"""),8.0)</f>
        <v>8</v>
      </c>
      <c r="X416" s="189">
        <f>IFERROR(__xludf.DUMMYFUNCTION("""COMPUTED_VALUE"""),0.0)</f>
        <v>0</v>
      </c>
      <c r="Y416" s="208" t="str">
        <f>IFERROR(__xludf.DUMMYFUNCTION("""COMPUTED_VALUE"""),"2025-07-28T00:00:00.000Z")</f>
        <v>2025-07-28T00:00:00.000Z</v>
      </c>
      <c r="Z416" s="189" t="s">
        <v>516</v>
      </c>
      <c r="AA416" s="189" t="s">
        <v>188</v>
      </c>
    </row>
    <row r="417">
      <c r="A417" s="189">
        <f>IFERROR(__xludf.DUMMYFUNCTION("""COMPUTED_VALUE"""),210892.0)</f>
        <v>210892</v>
      </c>
      <c r="B417" s="189">
        <f>IFERROR(__xludf.DUMMYFUNCTION("""COMPUTED_VALUE"""),92753.0)</f>
        <v>92753</v>
      </c>
      <c r="C417" s="189" t="str">
        <f>IFERROR(__xludf.DUMMYFUNCTION("""COMPUTED_VALUE"""),"Challengers League 2025 Spain Rising: Split 3 - Playoffs")</f>
        <v>Challengers League 2025 Spain Rising: Split 3 - Playoffs</v>
      </c>
      <c r="D417" s="189" t="str">
        <f>IFERROR(__xludf.DUMMYFUNCTION("""COMPUTED_VALUE"""),"Sunset")</f>
        <v>Sunset</v>
      </c>
      <c r="E417" s="189" t="str">
        <f>IFERROR(__xludf.DUMMYFUNCTION("""COMPUTED_VALUE"""),"Barça eSports")</f>
        <v>Barça eSports</v>
      </c>
      <c r="F417" s="189" t="str">
        <f>IFERROR(__xludf.DUMMYFUNCTION("""COMPUTED_VALUE"""),"KOI Fénix")</f>
        <v>KOI Fénix</v>
      </c>
      <c r="G417" s="189" t="str">
        <f>IFERROR(__xludf.DUMMYFUNCTION("""COMPUTED_VALUE"""),"Cypher,Sova,Omen,Neon,Deadlock")</f>
        <v>Cypher,Sova,Omen,Neon,Deadlock</v>
      </c>
      <c r="H417" s="189" t="str">
        <f>IFERROR(__xludf.DUMMYFUNCTION("""COMPUTED_VALUE"""),"Breach,Sage,Omen,Neon,Gekko")</f>
        <v>Breach,Sage,Omen,Neon,Gekko</v>
      </c>
      <c r="I417" s="189">
        <f>IFERROR(__xludf.DUMMYFUNCTION("""COMPUTED_VALUE"""),5.0)</f>
        <v>5</v>
      </c>
      <c r="J417" s="189">
        <f>IFERROR(__xludf.DUMMYFUNCTION("""COMPUTED_VALUE"""),13.0)</f>
        <v>13</v>
      </c>
      <c r="K417" s="189">
        <f>IFERROR(__xludf.DUMMYFUNCTION("""COMPUTED_VALUE"""),3.0)</f>
        <v>3</v>
      </c>
      <c r="L417" s="189">
        <f>IFERROR(__xludf.DUMMYFUNCTION("""COMPUTED_VALUE"""),9.0)</f>
        <v>9</v>
      </c>
      <c r="M417" s="189">
        <f>IFERROR(__xludf.DUMMYFUNCTION("""COMPUTED_VALUE"""),1.0)</f>
        <v>1</v>
      </c>
      <c r="N417" s="189">
        <f>IFERROR(__xludf.DUMMYFUNCTION("""COMPUTED_VALUE"""),1.0)</f>
        <v>1</v>
      </c>
      <c r="O417" s="189">
        <f>IFERROR(__xludf.DUMMYFUNCTION("""COMPUTED_VALUE"""),3.0)</f>
        <v>3</v>
      </c>
      <c r="P417" s="189">
        <f>IFERROR(__xludf.DUMMYFUNCTION("""COMPUTED_VALUE"""),9.0)</f>
        <v>9</v>
      </c>
      <c r="Q417" s="189">
        <f>IFERROR(__xludf.DUMMYFUNCTION("""COMPUTED_VALUE"""),2.0)</f>
        <v>2</v>
      </c>
      <c r="R417" s="189">
        <f>IFERROR(__xludf.DUMMYFUNCTION("""COMPUTED_VALUE"""),4.0)</f>
        <v>4</v>
      </c>
      <c r="S417" s="189">
        <f>IFERROR(__xludf.DUMMYFUNCTION("""COMPUTED_VALUE"""),0.0)</f>
        <v>0</v>
      </c>
      <c r="T417" s="189">
        <f>IFERROR(__xludf.DUMMYFUNCTION("""COMPUTED_VALUE"""),0.0)</f>
        <v>0</v>
      </c>
      <c r="U417" s="189">
        <f>IFERROR(__xludf.DUMMYFUNCTION("""COMPUTED_VALUE"""),4.0)</f>
        <v>4</v>
      </c>
      <c r="V417" s="189">
        <f>IFERROR(__xludf.DUMMYFUNCTION("""COMPUTED_VALUE"""),2.0)</f>
        <v>2</v>
      </c>
      <c r="W417" s="189">
        <f>IFERROR(__xludf.DUMMYFUNCTION("""COMPUTED_VALUE"""),9.0)</f>
        <v>9</v>
      </c>
      <c r="X417" s="189">
        <f>IFERROR(__xludf.DUMMYFUNCTION("""COMPUTED_VALUE"""),3.0)</f>
        <v>3</v>
      </c>
      <c r="Y417" s="208" t="str">
        <f>IFERROR(__xludf.DUMMYFUNCTION("""COMPUTED_VALUE"""),"2025-07-27T00:00:00.000Z")</f>
        <v>2025-07-27T00:00:00.000Z</v>
      </c>
      <c r="Z417" s="189" t="s">
        <v>517</v>
      </c>
      <c r="AA417" s="189" t="s">
        <v>187</v>
      </c>
    </row>
    <row r="418">
      <c r="A418" s="189">
        <f>IFERROR(__xludf.DUMMYFUNCTION("""COMPUTED_VALUE"""),211061.0)</f>
        <v>211061</v>
      </c>
      <c r="B418" s="189">
        <f>IFERROR(__xludf.DUMMYFUNCTION("""COMPUTED_VALUE"""),92835.0)</f>
        <v>92835</v>
      </c>
      <c r="C418" s="189" t="str">
        <f>IFERROR(__xludf.DUMMYFUNCTION("""COMPUTED_VALUE"""),"Challengers League 2025 NORTH EAST: Split 3 - Playoffs")</f>
        <v>Challengers League 2025 NORTH EAST: Split 3 - Playoffs</v>
      </c>
      <c r="D418" s="189" t="str">
        <f>IFERROR(__xludf.DUMMYFUNCTION("""COMPUTED_VALUE"""),"Lotus")</f>
        <v>Lotus</v>
      </c>
      <c r="E418" s="189" t="str">
        <f>IFERROR(__xludf.DUMMYFUNCTION("""COMPUTED_VALUE"""),"Pixel Lumina")</f>
        <v>Pixel Lumina</v>
      </c>
      <c r="F418" s="189" t="str">
        <f>IFERROR(__xludf.DUMMYFUNCTION("""COMPUTED_VALUE"""),"Enterprise Esports")</f>
        <v>Enterprise Esports</v>
      </c>
      <c r="G418" s="189" t="str">
        <f>IFERROR(__xludf.DUMMYFUNCTION("""COMPUTED_VALUE"""),"Cypher,Omen,KAY/O,Neon,Fade")</f>
        <v>Cypher,Omen,KAY/O,Neon,Fade</v>
      </c>
      <c r="H418" s="189" t="str">
        <f>IFERROR(__xludf.DUMMYFUNCTION("""COMPUTED_VALUE"""),"Breach,Cypher,Omen,Neon,Fade")</f>
        <v>Breach,Cypher,Omen,Neon,Fade</v>
      </c>
      <c r="I418" s="189">
        <f>IFERROR(__xludf.DUMMYFUNCTION("""COMPUTED_VALUE"""),10.0)</f>
        <v>10</v>
      </c>
      <c r="J418" s="189">
        <f>IFERROR(__xludf.DUMMYFUNCTION("""COMPUTED_VALUE"""),13.0)</f>
        <v>13</v>
      </c>
      <c r="K418" s="189">
        <f>IFERROR(__xludf.DUMMYFUNCTION("""COMPUTED_VALUE"""),3.0)</f>
        <v>3</v>
      </c>
      <c r="L418" s="189">
        <f>IFERROR(__xludf.DUMMYFUNCTION("""COMPUTED_VALUE"""),9.0)</f>
        <v>9</v>
      </c>
      <c r="M418" s="189">
        <f>IFERROR(__xludf.DUMMYFUNCTION("""COMPUTED_VALUE"""),0.0)</f>
        <v>0</v>
      </c>
      <c r="N418" s="189">
        <f>IFERROR(__xludf.DUMMYFUNCTION("""COMPUTED_VALUE"""),1.0)</f>
        <v>1</v>
      </c>
      <c r="O418" s="189">
        <f>IFERROR(__xludf.DUMMYFUNCTION("""COMPUTED_VALUE"""),3.0)</f>
        <v>3</v>
      </c>
      <c r="P418" s="189">
        <f>IFERROR(__xludf.DUMMYFUNCTION("""COMPUTED_VALUE"""),9.0)</f>
        <v>9</v>
      </c>
      <c r="Q418" s="189">
        <f>IFERROR(__xludf.DUMMYFUNCTION("""COMPUTED_VALUE"""),7.0)</f>
        <v>7</v>
      </c>
      <c r="R418" s="189">
        <f>IFERROR(__xludf.DUMMYFUNCTION("""COMPUTED_VALUE"""),4.0)</f>
        <v>4</v>
      </c>
      <c r="S418" s="189">
        <f>IFERROR(__xludf.DUMMYFUNCTION("""COMPUTED_VALUE"""),0.0)</f>
        <v>0</v>
      </c>
      <c r="T418" s="189">
        <f>IFERROR(__xludf.DUMMYFUNCTION("""COMPUTED_VALUE"""),1.0)</f>
        <v>1</v>
      </c>
      <c r="U418" s="189">
        <f>IFERROR(__xludf.DUMMYFUNCTION("""COMPUTED_VALUE"""),4.0)</f>
        <v>4</v>
      </c>
      <c r="V418" s="189">
        <f>IFERROR(__xludf.DUMMYFUNCTION("""COMPUTED_VALUE"""),7.0)</f>
        <v>7</v>
      </c>
      <c r="W418" s="189">
        <f>IFERROR(__xludf.DUMMYFUNCTION("""COMPUTED_VALUE"""),9.0)</f>
        <v>9</v>
      </c>
      <c r="X418" s="189">
        <f>IFERROR(__xludf.DUMMYFUNCTION("""COMPUTED_VALUE"""),3.0)</f>
        <v>3</v>
      </c>
      <c r="Y418" s="208" t="str">
        <f>IFERROR(__xludf.DUMMYFUNCTION("""COMPUTED_VALUE"""),"2025-07-27T00:00:00.000Z")</f>
        <v>2025-07-27T00:00:00.000Z</v>
      </c>
      <c r="Z418" s="189" t="s">
        <v>518</v>
      </c>
      <c r="AA418" s="189" t="s">
        <v>179</v>
      </c>
    </row>
    <row r="419">
      <c r="A419" s="189">
        <f>IFERROR(__xludf.DUMMYFUNCTION("""COMPUTED_VALUE"""),210891.0)</f>
        <v>210891</v>
      </c>
      <c r="B419" s="189">
        <f>IFERROR(__xludf.DUMMYFUNCTION("""COMPUTED_VALUE"""),92753.0)</f>
        <v>92753</v>
      </c>
      <c r="C419" s="189" t="str">
        <f>IFERROR(__xludf.DUMMYFUNCTION("""COMPUTED_VALUE"""),"Challengers League 2025 Spain Rising: Split 3 - Playoffs")</f>
        <v>Challengers League 2025 Spain Rising: Split 3 - Playoffs</v>
      </c>
      <c r="D419" s="189" t="str">
        <f>IFERROR(__xludf.DUMMYFUNCTION("""COMPUTED_VALUE"""),"Corrode")</f>
        <v>Corrode</v>
      </c>
      <c r="E419" s="189" t="str">
        <f>IFERROR(__xludf.DUMMYFUNCTION("""COMPUTED_VALUE"""),"Barça eSports")</f>
        <v>Barça eSports</v>
      </c>
      <c r="F419" s="189" t="str">
        <f>IFERROR(__xludf.DUMMYFUNCTION("""COMPUTED_VALUE"""),"KOI Fénix")</f>
        <v>KOI Fénix</v>
      </c>
      <c r="G419" s="189" t="str">
        <f>IFERROR(__xludf.DUMMYFUNCTION("""COMPUTED_VALUE"""),"Viper,Omen,Fade,Vyse,Waylay")</f>
        <v>Viper,Omen,Fade,Vyse,Waylay</v>
      </c>
      <c r="H419" s="189" t="str">
        <f>IFERROR(__xludf.DUMMYFUNCTION("""COMPUTED_VALUE"""),"Omen,Chamber,Neon,Fade,Vyse")</f>
        <v>Omen,Chamber,Neon,Fade,Vyse</v>
      </c>
      <c r="I419" s="189">
        <f>IFERROR(__xludf.DUMMYFUNCTION("""COMPUTED_VALUE"""),6.0)</f>
        <v>6</v>
      </c>
      <c r="J419" s="189">
        <f>IFERROR(__xludf.DUMMYFUNCTION("""COMPUTED_VALUE"""),13.0)</f>
        <v>13</v>
      </c>
      <c r="K419" s="189">
        <f>IFERROR(__xludf.DUMMYFUNCTION("""COMPUTED_VALUE"""),1.0)</f>
        <v>1</v>
      </c>
      <c r="L419" s="189">
        <f>IFERROR(__xludf.DUMMYFUNCTION("""COMPUTED_VALUE"""),11.0)</f>
        <v>11</v>
      </c>
      <c r="M419" s="189">
        <f>IFERROR(__xludf.DUMMYFUNCTION("""COMPUTED_VALUE"""),1.0)</f>
        <v>1</v>
      </c>
      <c r="N419" s="189">
        <f>IFERROR(__xludf.DUMMYFUNCTION("""COMPUTED_VALUE"""),0.0)</f>
        <v>0</v>
      </c>
      <c r="O419" s="189">
        <f>IFERROR(__xludf.DUMMYFUNCTION("""COMPUTED_VALUE"""),5.0)</f>
        <v>5</v>
      </c>
      <c r="P419" s="189">
        <f>IFERROR(__xludf.DUMMYFUNCTION("""COMPUTED_VALUE"""),2.0)</f>
        <v>2</v>
      </c>
      <c r="Q419" s="189">
        <f>IFERROR(__xludf.DUMMYFUNCTION("""COMPUTED_VALUE"""),1.0)</f>
        <v>1</v>
      </c>
      <c r="R419" s="189">
        <f>IFERROR(__xludf.DUMMYFUNCTION("""COMPUTED_VALUE"""),11.0)</f>
        <v>11</v>
      </c>
      <c r="S419" s="189">
        <f>IFERROR(__xludf.DUMMYFUNCTION("""COMPUTED_VALUE"""),1.0)</f>
        <v>1</v>
      </c>
      <c r="T419" s="189">
        <f>IFERROR(__xludf.DUMMYFUNCTION("""COMPUTED_VALUE"""),0.0)</f>
        <v>0</v>
      </c>
      <c r="U419" s="189">
        <f>IFERROR(__xludf.DUMMYFUNCTION("""COMPUTED_VALUE"""),11.0)</f>
        <v>11</v>
      </c>
      <c r="V419" s="189">
        <f>IFERROR(__xludf.DUMMYFUNCTION("""COMPUTED_VALUE"""),1.0)</f>
        <v>1</v>
      </c>
      <c r="W419" s="189">
        <f>IFERROR(__xludf.DUMMYFUNCTION("""COMPUTED_VALUE"""),2.0)</f>
        <v>2</v>
      </c>
      <c r="X419" s="189">
        <f>IFERROR(__xludf.DUMMYFUNCTION("""COMPUTED_VALUE"""),5.0)</f>
        <v>5</v>
      </c>
      <c r="Y419" s="208" t="str">
        <f>IFERROR(__xludf.DUMMYFUNCTION("""COMPUTED_VALUE"""),"2025-07-27T00:00:00.000Z")</f>
        <v>2025-07-27T00:00:00.000Z</v>
      </c>
      <c r="Z419" s="189" t="s">
        <v>519</v>
      </c>
      <c r="AA419" s="189" t="s">
        <v>187</v>
      </c>
    </row>
    <row r="420">
      <c r="A420" s="189">
        <f>IFERROR(__xludf.DUMMYFUNCTION("""COMPUTED_VALUE"""),211060.0)</f>
        <v>211060</v>
      </c>
      <c r="B420" s="189">
        <f>IFERROR(__xludf.DUMMYFUNCTION("""COMPUTED_VALUE"""),92835.0)</f>
        <v>92835</v>
      </c>
      <c r="C420" s="189" t="str">
        <f>IFERROR(__xludf.DUMMYFUNCTION("""COMPUTED_VALUE"""),"Challengers League 2025 NORTH EAST: Split 3 - Playoffs")</f>
        <v>Challengers League 2025 NORTH EAST: Split 3 - Playoffs</v>
      </c>
      <c r="D420" s="189" t="str">
        <f>IFERROR(__xludf.DUMMYFUNCTION("""COMPUTED_VALUE"""),"Haven")</f>
        <v>Haven</v>
      </c>
      <c r="E420" s="189" t="str">
        <f>IFERROR(__xludf.DUMMYFUNCTION("""COMPUTED_VALUE"""),"Pixel Lumina")</f>
        <v>Pixel Lumina</v>
      </c>
      <c r="F420" s="189" t="str">
        <f>IFERROR(__xludf.DUMMYFUNCTION("""COMPUTED_VALUE"""),"Enterprise Esports")</f>
        <v>Enterprise Esports</v>
      </c>
      <c r="G420" s="189" t="str">
        <f>IFERROR(__xludf.DUMMYFUNCTION("""COMPUTED_VALUE"""),"Cypher,Sova,Omen,Yoru,Iso")</f>
        <v>Cypher,Sova,Omen,Yoru,Iso</v>
      </c>
      <c r="H420" s="189" t="str">
        <f>IFERROR(__xludf.DUMMYFUNCTION("""COMPUTED_VALUE"""),"Sova,Killjoy,Viper,Omen,Neon")</f>
        <v>Sova,Killjoy,Viper,Omen,Neon</v>
      </c>
      <c r="I420" s="189">
        <f>IFERROR(__xludf.DUMMYFUNCTION("""COMPUTED_VALUE"""),2.0)</f>
        <v>2</v>
      </c>
      <c r="J420" s="189">
        <f>IFERROR(__xludf.DUMMYFUNCTION("""COMPUTED_VALUE"""),13.0)</f>
        <v>13</v>
      </c>
      <c r="K420" s="189">
        <f>IFERROR(__xludf.DUMMYFUNCTION("""COMPUTED_VALUE"""),2.0)</f>
        <v>2</v>
      </c>
      <c r="L420" s="189">
        <f>IFERROR(__xludf.DUMMYFUNCTION("""COMPUTED_VALUE"""),10.0)</f>
        <v>10</v>
      </c>
      <c r="M420" s="189">
        <f>IFERROR(__xludf.DUMMYFUNCTION("""COMPUTED_VALUE"""),0.0)</f>
        <v>0</v>
      </c>
      <c r="N420" s="189">
        <f>IFERROR(__xludf.DUMMYFUNCTION("""COMPUTED_VALUE"""),0.0)</f>
        <v>0</v>
      </c>
      <c r="O420" s="189">
        <f>IFERROR(__xludf.DUMMYFUNCTION("""COMPUTED_VALUE"""),2.0)</f>
        <v>2</v>
      </c>
      <c r="P420" s="189">
        <f>IFERROR(__xludf.DUMMYFUNCTION("""COMPUTED_VALUE"""),10.0)</f>
        <v>10</v>
      </c>
      <c r="Q420" s="189">
        <f>IFERROR(__xludf.DUMMYFUNCTION("""COMPUTED_VALUE"""),0.0)</f>
        <v>0</v>
      </c>
      <c r="R420" s="189">
        <f>IFERROR(__xludf.DUMMYFUNCTION("""COMPUTED_VALUE"""),3.0)</f>
        <v>3</v>
      </c>
      <c r="S420" s="189">
        <f>IFERROR(__xludf.DUMMYFUNCTION("""COMPUTED_VALUE"""),1.0)</f>
        <v>1</v>
      </c>
      <c r="T420" s="189">
        <f>IFERROR(__xludf.DUMMYFUNCTION("""COMPUTED_VALUE"""),1.0)</f>
        <v>1</v>
      </c>
      <c r="U420" s="189">
        <f>IFERROR(__xludf.DUMMYFUNCTION("""COMPUTED_VALUE"""),3.0)</f>
        <v>3</v>
      </c>
      <c r="V420" s="189">
        <f>IFERROR(__xludf.DUMMYFUNCTION("""COMPUTED_VALUE"""),0.0)</f>
        <v>0</v>
      </c>
      <c r="W420" s="189">
        <f>IFERROR(__xludf.DUMMYFUNCTION("""COMPUTED_VALUE"""),10.0)</f>
        <v>10</v>
      </c>
      <c r="X420" s="189">
        <f>IFERROR(__xludf.DUMMYFUNCTION("""COMPUTED_VALUE"""),2.0)</f>
        <v>2</v>
      </c>
      <c r="Y420" s="208" t="str">
        <f>IFERROR(__xludf.DUMMYFUNCTION("""COMPUTED_VALUE"""),"2025-07-27T00:00:00.000Z")</f>
        <v>2025-07-27T00:00:00.000Z</v>
      </c>
      <c r="Z420" s="189" t="s">
        <v>520</v>
      </c>
      <c r="AA420" s="189" t="s">
        <v>179</v>
      </c>
    </row>
    <row r="421">
      <c r="A421" s="189">
        <f>IFERROR(__xludf.DUMMYFUNCTION("""COMPUTED_VALUE"""),210895.0)</f>
        <v>210895</v>
      </c>
      <c r="B421" s="189">
        <f>IFERROR(__xludf.DUMMYFUNCTION("""COMPUTED_VALUE"""),92754.0)</f>
        <v>92754</v>
      </c>
      <c r="C421" s="189" t="str">
        <f>IFERROR(__xludf.DUMMYFUNCTION("""COMPUTED_VALUE"""),"Challengers League 2025 Spain Rising: Split 3 - Playoffs")</f>
        <v>Challengers League 2025 Spain Rising: Split 3 - Playoffs</v>
      </c>
      <c r="D421" s="189" t="str">
        <f>IFERROR(__xludf.DUMMYFUNCTION("""COMPUTED_VALUE"""),"Haven")</f>
        <v>Haven</v>
      </c>
      <c r="E421" s="189" t="str">
        <f>IFERROR(__xludf.DUMMYFUNCTION("""COMPUTED_VALUE"""),"Ramboot Club")</f>
        <v>Ramboot Club</v>
      </c>
      <c r="F421" s="189" t="str">
        <f>IFERROR(__xludf.DUMMYFUNCTION("""COMPUTED_VALUE"""),"DNSTY")</f>
        <v>DNSTY</v>
      </c>
      <c r="G421" s="189" t="str">
        <f>IFERROR(__xludf.DUMMYFUNCTION("""COMPUTED_VALUE"""),"Cypher,Sova,Omen,Yoru,Iso")</f>
        <v>Cypher,Sova,Omen,Yoru,Iso</v>
      </c>
      <c r="H421" s="189" t="str">
        <f>IFERROR(__xludf.DUMMYFUNCTION("""COMPUTED_VALUE"""),"Sova,Killjoy,Viper,Omen,Neon")</f>
        <v>Sova,Killjoy,Viper,Omen,Neon</v>
      </c>
      <c r="I421" s="189">
        <f>IFERROR(__xludf.DUMMYFUNCTION("""COMPUTED_VALUE"""),13.0)</f>
        <v>13</v>
      </c>
      <c r="J421" s="189">
        <f>IFERROR(__xludf.DUMMYFUNCTION("""COMPUTED_VALUE"""),8.0)</f>
        <v>8</v>
      </c>
      <c r="K421" s="189">
        <f>IFERROR(__xludf.DUMMYFUNCTION("""COMPUTED_VALUE"""),11.0)</f>
        <v>11</v>
      </c>
      <c r="L421" s="189">
        <f>IFERROR(__xludf.DUMMYFUNCTION("""COMPUTED_VALUE"""),1.0)</f>
        <v>1</v>
      </c>
      <c r="M421" s="189">
        <f>IFERROR(__xludf.DUMMYFUNCTION("""COMPUTED_VALUE"""),0.0)</f>
        <v>0</v>
      </c>
      <c r="N421" s="189">
        <f>IFERROR(__xludf.DUMMYFUNCTION("""COMPUTED_VALUE"""),1.0)</f>
        <v>1</v>
      </c>
      <c r="O421" s="189">
        <f>IFERROR(__xludf.DUMMYFUNCTION("""COMPUTED_VALUE"""),2.0)</f>
        <v>2</v>
      </c>
      <c r="P421" s="189">
        <f>IFERROR(__xludf.DUMMYFUNCTION("""COMPUTED_VALUE"""),7.0)</f>
        <v>7</v>
      </c>
      <c r="Q421" s="189">
        <f>IFERROR(__xludf.DUMMYFUNCTION("""COMPUTED_VALUE"""),11.0)</f>
        <v>11</v>
      </c>
      <c r="R421" s="189">
        <f>IFERROR(__xludf.DUMMYFUNCTION("""COMPUTED_VALUE"""),1.0)</f>
        <v>1</v>
      </c>
      <c r="S421" s="189">
        <f>IFERROR(__xludf.DUMMYFUNCTION("""COMPUTED_VALUE"""),0.0)</f>
        <v>0</v>
      </c>
      <c r="T421" s="189">
        <f>IFERROR(__xludf.DUMMYFUNCTION("""COMPUTED_VALUE"""),1.0)</f>
        <v>1</v>
      </c>
      <c r="U421" s="189">
        <f>IFERROR(__xludf.DUMMYFUNCTION("""COMPUTED_VALUE"""),1.0)</f>
        <v>1</v>
      </c>
      <c r="V421" s="189">
        <f>IFERROR(__xludf.DUMMYFUNCTION("""COMPUTED_VALUE"""),11.0)</f>
        <v>11</v>
      </c>
      <c r="W421" s="189">
        <f>IFERROR(__xludf.DUMMYFUNCTION("""COMPUTED_VALUE"""),7.0)</f>
        <v>7</v>
      </c>
      <c r="X421" s="189">
        <f>IFERROR(__xludf.DUMMYFUNCTION("""COMPUTED_VALUE"""),2.0)</f>
        <v>2</v>
      </c>
      <c r="Y421" s="208" t="str">
        <f>IFERROR(__xludf.DUMMYFUNCTION("""COMPUTED_VALUE"""),"2025-07-27T00:00:00.000Z")</f>
        <v>2025-07-27T00:00:00.000Z</v>
      </c>
      <c r="Z421" s="189" t="s">
        <v>521</v>
      </c>
      <c r="AA421" s="189" t="s">
        <v>410</v>
      </c>
    </row>
    <row r="422">
      <c r="A422" s="189">
        <f>IFERROR(__xludf.DUMMYFUNCTION("""COMPUTED_VALUE"""),211059.0)</f>
        <v>211059</v>
      </c>
      <c r="B422" s="189">
        <f>IFERROR(__xludf.DUMMYFUNCTION("""COMPUTED_VALUE"""),92835.0)</f>
        <v>92835</v>
      </c>
      <c r="C422" s="189" t="str">
        <f>IFERROR(__xludf.DUMMYFUNCTION("""COMPUTED_VALUE"""),"Challengers League 2025 NORTH EAST: Split 3 - Playoffs")</f>
        <v>Challengers League 2025 NORTH EAST: Split 3 - Playoffs</v>
      </c>
      <c r="D422" s="189" t="str">
        <f>IFERROR(__xludf.DUMMYFUNCTION("""COMPUTED_VALUE"""),"Ascent")</f>
        <v>Ascent</v>
      </c>
      <c r="E422" s="189" t="str">
        <f>IFERROR(__xludf.DUMMYFUNCTION("""COMPUTED_VALUE"""),"Pixel Lumina")</f>
        <v>Pixel Lumina</v>
      </c>
      <c r="F422" s="189" t="str">
        <f>IFERROR(__xludf.DUMMYFUNCTION("""COMPUTED_VALUE"""),"Enterprise Esports")</f>
        <v>Enterprise Esports</v>
      </c>
      <c r="G422" s="189" t="str">
        <f>IFERROR(__xludf.DUMMYFUNCTION("""COMPUTED_VALUE"""),"Cypher,Sova,Omen,Jett,KAY/O")</f>
        <v>Cypher,Sova,Omen,Jett,KAY/O</v>
      </c>
      <c r="H422" s="189" t="str">
        <f>IFERROR(__xludf.DUMMYFUNCTION("""COMPUTED_VALUE"""),"Cypher,Sova,Omen,Jett,KAY/O")</f>
        <v>Cypher,Sova,Omen,Jett,KAY/O</v>
      </c>
      <c r="I422" s="189">
        <f>IFERROR(__xludf.DUMMYFUNCTION("""COMPUTED_VALUE"""),13.0)</f>
        <v>13</v>
      </c>
      <c r="J422" s="189">
        <f>IFERROR(__xludf.DUMMYFUNCTION("""COMPUTED_VALUE"""),9.0)</f>
        <v>9</v>
      </c>
      <c r="K422" s="189">
        <f>IFERROR(__xludf.DUMMYFUNCTION("""COMPUTED_VALUE"""),6.0)</f>
        <v>6</v>
      </c>
      <c r="L422" s="189">
        <f>IFERROR(__xludf.DUMMYFUNCTION("""COMPUTED_VALUE"""),6.0)</f>
        <v>6</v>
      </c>
      <c r="M422" s="189">
        <f>IFERROR(__xludf.DUMMYFUNCTION("""COMPUTED_VALUE"""),1.0)</f>
        <v>1</v>
      </c>
      <c r="N422" s="189">
        <f>IFERROR(__xludf.DUMMYFUNCTION("""COMPUTED_VALUE"""),0.0)</f>
        <v>0</v>
      </c>
      <c r="O422" s="189">
        <f>IFERROR(__xludf.DUMMYFUNCTION("""COMPUTED_VALUE"""),7.0)</f>
        <v>7</v>
      </c>
      <c r="P422" s="189">
        <f>IFERROR(__xludf.DUMMYFUNCTION("""COMPUTED_VALUE"""),3.0)</f>
        <v>3</v>
      </c>
      <c r="Q422" s="189">
        <f>IFERROR(__xludf.DUMMYFUNCTION("""COMPUTED_VALUE"""),6.0)</f>
        <v>6</v>
      </c>
      <c r="R422" s="189">
        <f>IFERROR(__xludf.DUMMYFUNCTION("""COMPUTED_VALUE"""),6.0)</f>
        <v>6</v>
      </c>
      <c r="S422" s="189">
        <f>IFERROR(__xludf.DUMMYFUNCTION("""COMPUTED_VALUE"""),1.0)</f>
        <v>1</v>
      </c>
      <c r="T422" s="189">
        <f>IFERROR(__xludf.DUMMYFUNCTION("""COMPUTED_VALUE"""),0.0)</f>
        <v>0</v>
      </c>
      <c r="U422" s="189">
        <f>IFERROR(__xludf.DUMMYFUNCTION("""COMPUTED_VALUE"""),6.0)</f>
        <v>6</v>
      </c>
      <c r="V422" s="189">
        <f>IFERROR(__xludf.DUMMYFUNCTION("""COMPUTED_VALUE"""),6.0)</f>
        <v>6</v>
      </c>
      <c r="W422" s="189">
        <f>IFERROR(__xludf.DUMMYFUNCTION("""COMPUTED_VALUE"""),3.0)</f>
        <v>3</v>
      </c>
      <c r="X422" s="189">
        <f>IFERROR(__xludf.DUMMYFUNCTION("""COMPUTED_VALUE"""),7.0)</f>
        <v>7</v>
      </c>
      <c r="Y422" s="208" t="str">
        <f>IFERROR(__xludf.DUMMYFUNCTION("""COMPUTED_VALUE"""),"2025-07-27T00:00:00.000Z")</f>
        <v>2025-07-27T00:00:00.000Z</v>
      </c>
      <c r="Z422" s="189" t="s">
        <v>522</v>
      </c>
      <c r="AA422" s="189" t="s">
        <v>413</v>
      </c>
    </row>
    <row r="423">
      <c r="A423" s="189">
        <f>IFERROR(__xludf.DUMMYFUNCTION("""COMPUTED_VALUE"""),210894.0)</f>
        <v>210894</v>
      </c>
      <c r="B423" s="189">
        <f>IFERROR(__xludf.DUMMYFUNCTION("""COMPUTED_VALUE"""),92754.0)</f>
        <v>92754</v>
      </c>
      <c r="C423" s="189" t="str">
        <f>IFERROR(__xludf.DUMMYFUNCTION("""COMPUTED_VALUE"""),"Challengers League 2025 Spain Rising: Split 3 - Playoffs")</f>
        <v>Challengers League 2025 Spain Rising: Split 3 - Playoffs</v>
      </c>
      <c r="D423" s="189" t="str">
        <f>IFERROR(__xludf.DUMMYFUNCTION("""COMPUTED_VALUE"""),"Ascent")</f>
        <v>Ascent</v>
      </c>
      <c r="E423" s="189" t="str">
        <f>IFERROR(__xludf.DUMMYFUNCTION("""COMPUTED_VALUE"""),"Ramboot Club")</f>
        <v>Ramboot Club</v>
      </c>
      <c r="F423" s="189" t="str">
        <f>IFERROR(__xludf.DUMMYFUNCTION("""COMPUTED_VALUE"""),"DNSTY")</f>
        <v>DNSTY</v>
      </c>
      <c r="G423" s="189" t="str">
        <f>IFERROR(__xludf.DUMMYFUNCTION("""COMPUTED_VALUE"""),"Cypher,Sova,Omen,Jett,Yoru")</f>
        <v>Cypher,Sova,Omen,Jett,Yoru</v>
      </c>
      <c r="H423" s="189" t="str">
        <f>IFERROR(__xludf.DUMMYFUNCTION("""COMPUTED_VALUE"""),"Sova,Killjoy,Omen,Jett,KAY/O")</f>
        <v>Sova,Killjoy,Omen,Jett,KAY/O</v>
      </c>
      <c r="I423" s="189">
        <f>IFERROR(__xludf.DUMMYFUNCTION("""COMPUTED_VALUE"""),13.0)</f>
        <v>13</v>
      </c>
      <c r="J423" s="189">
        <f>IFERROR(__xludf.DUMMYFUNCTION("""COMPUTED_VALUE"""),7.0)</f>
        <v>7</v>
      </c>
      <c r="K423" s="189">
        <f>IFERROR(__xludf.DUMMYFUNCTION("""COMPUTED_VALUE"""),5.0)</f>
        <v>5</v>
      </c>
      <c r="L423" s="189">
        <f>IFERROR(__xludf.DUMMYFUNCTION("""COMPUTED_VALUE"""),7.0)</f>
        <v>7</v>
      </c>
      <c r="M423" s="189">
        <f>IFERROR(__xludf.DUMMYFUNCTION("""COMPUTED_VALUE"""),0.0)</f>
        <v>0</v>
      </c>
      <c r="N423" s="189">
        <f>IFERROR(__xludf.DUMMYFUNCTION("""COMPUTED_VALUE"""),1.0)</f>
        <v>1</v>
      </c>
      <c r="O423" s="189">
        <f>IFERROR(__xludf.DUMMYFUNCTION("""COMPUTED_VALUE"""),5.0)</f>
        <v>5</v>
      </c>
      <c r="P423" s="189">
        <f>IFERROR(__xludf.DUMMYFUNCTION("""COMPUTED_VALUE"""),7.0)</f>
        <v>7</v>
      </c>
      <c r="Q423" s="189">
        <f>IFERROR(__xludf.DUMMYFUNCTION("""COMPUTED_VALUE"""),8.0)</f>
        <v>8</v>
      </c>
      <c r="R423" s="189">
        <f>IFERROR(__xludf.DUMMYFUNCTION("""COMPUTED_VALUE"""),0.0)</f>
        <v>0</v>
      </c>
      <c r="S423" s="189">
        <f>IFERROR(__xludf.DUMMYFUNCTION("""COMPUTED_VALUE"""),0.0)</f>
        <v>0</v>
      </c>
      <c r="T423" s="189">
        <f>IFERROR(__xludf.DUMMYFUNCTION("""COMPUTED_VALUE"""),1.0)</f>
        <v>1</v>
      </c>
      <c r="U423" s="189">
        <f>IFERROR(__xludf.DUMMYFUNCTION("""COMPUTED_VALUE"""),0.0)</f>
        <v>0</v>
      </c>
      <c r="V423" s="189">
        <f>IFERROR(__xludf.DUMMYFUNCTION("""COMPUTED_VALUE"""),8.0)</f>
        <v>8</v>
      </c>
      <c r="W423" s="189">
        <f>IFERROR(__xludf.DUMMYFUNCTION("""COMPUTED_VALUE"""),7.0)</f>
        <v>7</v>
      </c>
      <c r="X423" s="189">
        <f>IFERROR(__xludf.DUMMYFUNCTION("""COMPUTED_VALUE"""),5.0)</f>
        <v>5</v>
      </c>
      <c r="Y423" s="208" t="str">
        <f>IFERROR(__xludf.DUMMYFUNCTION("""COMPUTED_VALUE"""),"2025-07-27T00:00:00.000Z")</f>
        <v>2025-07-27T00:00:00.000Z</v>
      </c>
      <c r="Z423" s="189" t="s">
        <v>409</v>
      </c>
      <c r="AA423" s="189" t="s">
        <v>410</v>
      </c>
    </row>
    <row r="424">
      <c r="A424" s="189">
        <f>IFERROR(__xludf.DUMMYFUNCTION("""COMPUTED_VALUE"""),210877.0)</f>
        <v>210877</v>
      </c>
      <c r="B424" s="189">
        <f>IFERROR(__xludf.DUMMYFUNCTION("""COMPUTED_VALUE"""),92748.0)</f>
        <v>92748</v>
      </c>
      <c r="C424" s="189" t="str">
        <f>IFERROR(__xludf.DUMMYFUNCTION("""COMPUTED_VALUE"""),"Challengers League 2025 DACH: Evolution Stage 3 - Play-Ins")</f>
        <v>Challengers League 2025 DACH: Evolution Stage 3 - Play-Ins</v>
      </c>
      <c r="D424" s="189" t="str">
        <f>IFERROR(__xludf.DUMMYFUNCTION("""COMPUTED_VALUE"""),"Haven")</f>
        <v>Haven</v>
      </c>
      <c r="E424" s="189" t="str">
        <f>IFERROR(__xludf.DUMMYFUNCTION("""COMPUTED_VALUE"""),"6GPA")</f>
        <v>6GPA</v>
      </c>
      <c r="F424" s="189" t="str">
        <f>IFERROR(__xludf.DUMMYFUNCTION("""COMPUTED_VALUE"""),"MOUZ")</f>
        <v>MOUZ</v>
      </c>
      <c r="G424" s="189" t="str">
        <f>IFERROR(__xludf.DUMMYFUNCTION("""COMPUTED_VALUE"""),"Sova,Killjoy,Viper,Omen,Yoru")</f>
        <v>Sova,Killjoy,Viper,Omen,Yoru</v>
      </c>
      <c r="H424" s="189" t="str">
        <f>IFERROR(__xludf.DUMMYFUNCTION("""COMPUTED_VALUE"""),"Cypher,Sova,Omen,Yoru,Iso")</f>
        <v>Cypher,Sova,Omen,Yoru,Iso</v>
      </c>
      <c r="I424" s="189">
        <f>IFERROR(__xludf.DUMMYFUNCTION("""COMPUTED_VALUE"""),1.0)</f>
        <v>1</v>
      </c>
      <c r="J424" s="189">
        <f>IFERROR(__xludf.DUMMYFUNCTION("""COMPUTED_VALUE"""),13.0)</f>
        <v>13</v>
      </c>
      <c r="K424" s="189">
        <f>IFERROR(__xludf.DUMMYFUNCTION("""COMPUTED_VALUE"""),1.0)</f>
        <v>1</v>
      </c>
      <c r="L424" s="189">
        <f>IFERROR(__xludf.DUMMYFUNCTION("""COMPUTED_VALUE"""),11.0)</f>
        <v>11</v>
      </c>
      <c r="M424" s="189">
        <f>IFERROR(__xludf.DUMMYFUNCTION("""COMPUTED_VALUE"""),0.0)</f>
        <v>0</v>
      </c>
      <c r="N424" s="189">
        <f>IFERROR(__xludf.DUMMYFUNCTION("""COMPUTED_VALUE"""),0.0)</f>
        <v>0</v>
      </c>
      <c r="O424" s="189">
        <f>IFERROR(__xludf.DUMMYFUNCTION("""COMPUTED_VALUE"""),0.0)</f>
        <v>0</v>
      </c>
      <c r="P424" s="189">
        <f>IFERROR(__xludf.DUMMYFUNCTION("""COMPUTED_VALUE"""),2.0)</f>
        <v>2</v>
      </c>
      <c r="Q424" s="189">
        <f>IFERROR(__xludf.DUMMYFUNCTION("""COMPUTED_VALUE"""),1.0)</f>
        <v>1</v>
      </c>
      <c r="R424" s="189">
        <f>IFERROR(__xludf.DUMMYFUNCTION("""COMPUTED_VALUE"""),11.0)</f>
        <v>11</v>
      </c>
      <c r="S424" s="189">
        <f>IFERROR(__xludf.DUMMYFUNCTION("""COMPUTED_VALUE"""),1.0)</f>
        <v>1</v>
      </c>
      <c r="T424" s="189">
        <f>IFERROR(__xludf.DUMMYFUNCTION("""COMPUTED_VALUE"""),1.0)</f>
        <v>1</v>
      </c>
      <c r="U424" s="189">
        <f>IFERROR(__xludf.DUMMYFUNCTION("""COMPUTED_VALUE"""),11.0)</f>
        <v>11</v>
      </c>
      <c r="V424" s="189">
        <f>IFERROR(__xludf.DUMMYFUNCTION("""COMPUTED_VALUE"""),1.0)</f>
        <v>1</v>
      </c>
      <c r="W424" s="189">
        <f>IFERROR(__xludf.DUMMYFUNCTION("""COMPUTED_VALUE"""),2.0)</f>
        <v>2</v>
      </c>
      <c r="X424" s="189">
        <f>IFERROR(__xludf.DUMMYFUNCTION("""COMPUTED_VALUE"""),0.0)</f>
        <v>0</v>
      </c>
      <c r="Y424" s="208" t="str">
        <f>IFERROR(__xludf.DUMMYFUNCTION("""COMPUTED_VALUE"""),"2025-07-27T00:00:00.000Z")</f>
        <v>2025-07-27T00:00:00.000Z</v>
      </c>
      <c r="Z424" s="189" t="s">
        <v>523</v>
      </c>
      <c r="AA424" s="189" t="s">
        <v>180</v>
      </c>
    </row>
    <row r="425">
      <c r="A425" s="189">
        <f>IFERROR(__xludf.DUMMYFUNCTION("""COMPUTED_VALUE"""),211058.0)</f>
        <v>211058</v>
      </c>
      <c r="B425" s="189">
        <f>IFERROR(__xludf.DUMMYFUNCTION("""COMPUTED_VALUE"""),92834.0)</f>
        <v>92834</v>
      </c>
      <c r="C425" s="189" t="str">
        <f>IFERROR(__xludf.DUMMYFUNCTION("""COMPUTED_VALUE"""),"Challengers League 2025 NORTH EAST: Split 3 - Playoffs")</f>
        <v>Challengers League 2025 NORTH EAST: Split 3 - Playoffs</v>
      </c>
      <c r="D425" s="189" t="str">
        <f>IFERROR(__xludf.DUMMYFUNCTION("""COMPUTED_VALUE"""),"Haven")</f>
        <v>Haven</v>
      </c>
      <c r="E425" s="189" t="str">
        <f>IFERROR(__xludf.DUMMYFUNCTION("""COMPUTED_VALUE"""),"Team Liquid Academy")</f>
        <v>Team Liquid Academy</v>
      </c>
      <c r="F425" s="189" t="str">
        <f>IFERROR(__xludf.DUMMYFUNCTION("""COMPUTED_VALUE"""),"Formulation Gaming")</f>
        <v>Formulation Gaming</v>
      </c>
      <c r="G425" s="189" t="str">
        <f>IFERROR(__xludf.DUMMYFUNCTION("""COMPUTED_VALUE"""),"Cypher,Sova,Omen,Yoru,Iso")</f>
        <v>Cypher,Sova,Omen,Yoru,Iso</v>
      </c>
      <c r="H425" s="189" t="str">
        <f>IFERROR(__xludf.DUMMYFUNCTION("""COMPUTED_VALUE"""),"Sova,Killjoy,Viper,Omen,Neon")</f>
        <v>Sova,Killjoy,Viper,Omen,Neon</v>
      </c>
      <c r="I425" s="189">
        <f>IFERROR(__xludf.DUMMYFUNCTION("""COMPUTED_VALUE"""),13.0)</f>
        <v>13</v>
      </c>
      <c r="J425" s="189">
        <f>IFERROR(__xludf.DUMMYFUNCTION("""COMPUTED_VALUE"""),6.0)</f>
        <v>6</v>
      </c>
      <c r="K425" s="189">
        <f>IFERROR(__xludf.DUMMYFUNCTION("""COMPUTED_VALUE"""),9.0)</f>
        <v>9</v>
      </c>
      <c r="L425" s="189">
        <f>IFERROR(__xludf.DUMMYFUNCTION("""COMPUTED_VALUE"""),3.0)</f>
        <v>3</v>
      </c>
      <c r="M425" s="189">
        <f>IFERROR(__xludf.DUMMYFUNCTION("""COMPUTED_VALUE"""),0.0)</f>
        <v>0</v>
      </c>
      <c r="N425" s="189">
        <f>IFERROR(__xludf.DUMMYFUNCTION("""COMPUTED_VALUE"""),1.0)</f>
        <v>1</v>
      </c>
      <c r="O425" s="189">
        <f>IFERROR(__xludf.DUMMYFUNCTION("""COMPUTED_VALUE"""),4.0)</f>
        <v>4</v>
      </c>
      <c r="P425" s="189">
        <f>IFERROR(__xludf.DUMMYFUNCTION("""COMPUTED_VALUE"""),3.0)</f>
        <v>3</v>
      </c>
      <c r="Q425" s="189">
        <f>IFERROR(__xludf.DUMMYFUNCTION("""COMPUTED_VALUE"""),9.0)</f>
        <v>9</v>
      </c>
      <c r="R425" s="189">
        <f>IFERROR(__xludf.DUMMYFUNCTION("""COMPUTED_VALUE"""),3.0)</f>
        <v>3</v>
      </c>
      <c r="S425" s="189">
        <f>IFERROR(__xludf.DUMMYFUNCTION("""COMPUTED_VALUE"""),0.0)</f>
        <v>0</v>
      </c>
      <c r="T425" s="189">
        <f>IFERROR(__xludf.DUMMYFUNCTION("""COMPUTED_VALUE"""),1.0)</f>
        <v>1</v>
      </c>
      <c r="U425" s="189">
        <f>IFERROR(__xludf.DUMMYFUNCTION("""COMPUTED_VALUE"""),3.0)</f>
        <v>3</v>
      </c>
      <c r="V425" s="189">
        <f>IFERROR(__xludf.DUMMYFUNCTION("""COMPUTED_VALUE"""),9.0)</f>
        <v>9</v>
      </c>
      <c r="W425" s="189">
        <f>IFERROR(__xludf.DUMMYFUNCTION("""COMPUTED_VALUE"""),3.0)</f>
        <v>3</v>
      </c>
      <c r="X425" s="189">
        <f>IFERROR(__xludf.DUMMYFUNCTION("""COMPUTED_VALUE"""),4.0)</f>
        <v>4</v>
      </c>
      <c r="Y425" s="208" t="str">
        <f>IFERROR(__xludf.DUMMYFUNCTION("""COMPUTED_VALUE"""),"2025-07-27T00:00:00.000Z")</f>
        <v>2025-07-27T00:00:00.000Z</v>
      </c>
      <c r="Z425" s="189" t="s">
        <v>145</v>
      </c>
      <c r="AA425" s="189" t="s">
        <v>1</v>
      </c>
    </row>
    <row r="426">
      <c r="A426" s="189">
        <f>IFERROR(__xludf.DUMMYFUNCTION("""COMPUTED_VALUE"""),210876.0)</f>
        <v>210876</v>
      </c>
      <c r="B426" s="189">
        <f>IFERROR(__xludf.DUMMYFUNCTION("""COMPUTED_VALUE"""),92748.0)</f>
        <v>92748</v>
      </c>
      <c r="C426" s="189" t="str">
        <f>IFERROR(__xludf.DUMMYFUNCTION("""COMPUTED_VALUE"""),"Challengers League 2025 DACH: Evolution Stage 3 - Play-Ins")</f>
        <v>Challengers League 2025 DACH: Evolution Stage 3 - Play-Ins</v>
      </c>
      <c r="D426" s="189" t="str">
        <f>IFERROR(__xludf.DUMMYFUNCTION("""COMPUTED_VALUE"""),"Bind")</f>
        <v>Bind</v>
      </c>
      <c r="E426" s="189" t="str">
        <f>IFERROR(__xludf.DUMMYFUNCTION("""COMPUTED_VALUE"""),"6GPA")</f>
        <v>6GPA</v>
      </c>
      <c r="F426" s="189" t="str">
        <f>IFERROR(__xludf.DUMMYFUNCTION("""COMPUTED_VALUE"""),"MOUZ")</f>
        <v>MOUZ</v>
      </c>
      <c r="G426" s="189" t="str">
        <f>IFERROR(__xludf.DUMMYFUNCTION("""COMPUTED_VALUE"""),"Raze,Viper,Brimstone,Yoru,Fade")</f>
        <v>Raze,Viper,Brimstone,Yoru,Fade</v>
      </c>
      <c r="H426" s="189" t="str">
        <f>IFERROR(__xludf.DUMMYFUNCTION("""COMPUTED_VALUE"""),"Raze,Viper,Brimstone,Yoru,Fade")</f>
        <v>Raze,Viper,Brimstone,Yoru,Fade</v>
      </c>
      <c r="I426" s="189">
        <f>IFERROR(__xludf.DUMMYFUNCTION("""COMPUTED_VALUE"""),3.0)</f>
        <v>3</v>
      </c>
      <c r="J426" s="189">
        <f>IFERROR(__xludf.DUMMYFUNCTION("""COMPUTED_VALUE"""),13.0)</f>
        <v>13</v>
      </c>
      <c r="K426" s="189">
        <f>IFERROR(__xludf.DUMMYFUNCTION("""COMPUTED_VALUE"""),3.0)</f>
        <v>3</v>
      </c>
      <c r="L426" s="189">
        <f>IFERROR(__xludf.DUMMYFUNCTION("""COMPUTED_VALUE"""),9.0)</f>
        <v>9</v>
      </c>
      <c r="M426" s="189">
        <f>IFERROR(__xludf.DUMMYFUNCTION("""COMPUTED_VALUE"""),0.0)</f>
        <v>0</v>
      </c>
      <c r="N426" s="189">
        <f>IFERROR(__xludf.DUMMYFUNCTION("""COMPUTED_VALUE"""),0.0)</f>
        <v>0</v>
      </c>
      <c r="O426" s="189">
        <f>IFERROR(__xludf.DUMMYFUNCTION("""COMPUTED_VALUE"""),3.0)</f>
        <v>3</v>
      </c>
      <c r="P426" s="189">
        <f>IFERROR(__xludf.DUMMYFUNCTION("""COMPUTED_VALUE"""),9.0)</f>
        <v>9</v>
      </c>
      <c r="Q426" s="189">
        <f>IFERROR(__xludf.DUMMYFUNCTION("""COMPUTED_VALUE"""),0.0)</f>
        <v>0</v>
      </c>
      <c r="R426" s="189">
        <f>IFERROR(__xludf.DUMMYFUNCTION("""COMPUTED_VALUE"""),4.0)</f>
        <v>4</v>
      </c>
      <c r="S426" s="189">
        <f>IFERROR(__xludf.DUMMYFUNCTION("""COMPUTED_VALUE"""),1.0)</f>
        <v>1</v>
      </c>
      <c r="T426" s="189">
        <f>IFERROR(__xludf.DUMMYFUNCTION("""COMPUTED_VALUE"""),1.0)</f>
        <v>1</v>
      </c>
      <c r="U426" s="189">
        <f>IFERROR(__xludf.DUMMYFUNCTION("""COMPUTED_VALUE"""),4.0)</f>
        <v>4</v>
      </c>
      <c r="V426" s="189">
        <f>IFERROR(__xludf.DUMMYFUNCTION("""COMPUTED_VALUE"""),0.0)</f>
        <v>0</v>
      </c>
      <c r="W426" s="189">
        <f>IFERROR(__xludf.DUMMYFUNCTION("""COMPUTED_VALUE"""),9.0)</f>
        <v>9</v>
      </c>
      <c r="X426" s="189">
        <f>IFERROR(__xludf.DUMMYFUNCTION("""COMPUTED_VALUE"""),3.0)</f>
        <v>3</v>
      </c>
      <c r="Y426" s="208" t="str">
        <f>IFERROR(__xludf.DUMMYFUNCTION("""COMPUTED_VALUE"""),"2025-07-27T00:00:00.000Z")</f>
        <v>2025-07-27T00:00:00.000Z</v>
      </c>
      <c r="Z426" s="189" t="s">
        <v>524</v>
      </c>
      <c r="AA426" s="189" t="s">
        <v>180</v>
      </c>
    </row>
    <row r="427">
      <c r="A427" s="189">
        <f>IFERROR(__xludf.DUMMYFUNCTION("""COMPUTED_VALUE"""),211057.0)</f>
        <v>211057</v>
      </c>
      <c r="B427" s="189">
        <f>IFERROR(__xludf.DUMMYFUNCTION("""COMPUTED_VALUE"""),92834.0)</f>
        <v>92834</v>
      </c>
      <c r="C427" s="189" t="str">
        <f>IFERROR(__xludf.DUMMYFUNCTION("""COMPUTED_VALUE"""),"Challengers League 2025 NORTH EAST: Split 3 - Playoffs")</f>
        <v>Challengers League 2025 NORTH EAST: Split 3 - Playoffs</v>
      </c>
      <c r="D427" s="189" t="str">
        <f>IFERROR(__xludf.DUMMYFUNCTION("""COMPUTED_VALUE"""),"Lotus")</f>
        <v>Lotus</v>
      </c>
      <c r="E427" s="189" t="str">
        <f>IFERROR(__xludf.DUMMYFUNCTION("""COMPUTED_VALUE"""),"Team Liquid Academy")</f>
        <v>Team Liquid Academy</v>
      </c>
      <c r="F427" s="189" t="str">
        <f>IFERROR(__xludf.DUMMYFUNCTION("""COMPUTED_VALUE"""),"Formulation Gaming")</f>
        <v>Formulation Gaming</v>
      </c>
      <c r="G427" s="189" t="str">
        <f>IFERROR(__xludf.DUMMYFUNCTION("""COMPUTED_VALUE"""),"Breach,Cypher,Omen,Neon,Fade")</f>
        <v>Breach,Cypher,Omen,Neon,Fade</v>
      </c>
      <c r="H427" s="189" t="str">
        <f>IFERROR(__xludf.DUMMYFUNCTION("""COMPUTED_VALUE"""),"Cypher,Omen,Neon,Fade,Deadlock")</f>
        <v>Cypher,Omen,Neon,Fade,Deadlock</v>
      </c>
      <c r="I427" s="189">
        <f>IFERROR(__xludf.DUMMYFUNCTION("""COMPUTED_VALUE"""),9.0)</f>
        <v>9</v>
      </c>
      <c r="J427" s="189">
        <f>IFERROR(__xludf.DUMMYFUNCTION("""COMPUTED_VALUE"""),13.0)</f>
        <v>13</v>
      </c>
      <c r="K427" s="189">
        <f>IFERROR(__xludf.DUMMYFUNCTION("""COMPUTED_VALUE"""),7.0)</f>
        <v>7</v>
      </c>
      <c r="L427" s="189">
        <f>IFERROR(__xludf.DUMMYFUNCTION("""COMPUTED_VALUE"""),5.0)</f>
        <v>5</v>
      </c>
      <c r="M427" s="189">
        <f>IFERROR(__xludf.DUMMYFUNCTION("""COMPUTED_VALUE"""),0.0)</f>
        <v>0</v>
      </c>
      <c r="N427" s="189">
        <f>IFERROR(__xludf.DUMMYFUNCTION("""COMPUTED_VALUE"""),0.0)</f>
        <v>0</v>
      </c>
      <c r="O427" s="189">
        <f>IFERROR(__xludf.DUMMYFUNCTION("""COMPUTED_VALUE"""),2.0)</f>
        <v>2</v>
      </c>
      <c r="P427" s="189">
        <f>IFERROR(__xludf.DUMMYFUNCTION("""COMPUTED_VALUE"""),8.0)</f>
        <v>8</v>
      </c>
      <c r="Q427" s="189">
        <f>IFERROR(__xludf.DUMMYFUNCTION("""COMPUTED_VALUE"""),7.0)</f>
        <v>7</v>
      </c>
      <c r="R427" s="189">
        <f>IFERROR(__xludf.DUMMYFUNCTION("""COMPUTED_VALUE"""),5.0)</f>
        <v>5</v>
      </c>
      <c r="S427" s="189">
        <f>IFERROR(__xludf.DUMMYFUNCTION("""COMPUTED_VALUE"""),1.0)</f>
        <v>1</v>
      </c>
      <c r="T427" s="189">
        <f>IFERROR(__xludf.DUMMYFUNCTION("""COMPUTED_VALUE"""),1.0)</f>
        <v>1</v>
      </c>
      <c r="U427" s="189">
        <f>IFERROR(__xludf.DUMMYFUNCTION("""COMPUTED_VALUE"""),5.0)</f>
        <v>5</v>
      </c>
      <c r="V427" s="189">
        <f>IFERROR(__xludf.DUMMYFUNCTION("""COMPUTED_VALUE"""),7.0)</f>
        <v>7</v>
      </c>
      <c r="W427" s="189">
        <f>IFERROR(__xludf.DUMMYFUNCTION("""COMPUTED_VALUE"""),8.0)</f>
        <v>8</v>
      </c>
      <c r="X427" s="189">
        <f>IFERROR(__xludf.DUMMYFUNCTION("""COMPUTED_VALUE"""),2.0)</f>
        <v>2</v>
      </c>
      <c r="Y427" s="208" t="str">
        <f>IFERROR(__xludf.DUMMYFUNCTION("""COMPUTED_VALUE"""),"2025-07-27T00:00:00.000Z")</f>
        <v>2025-07-27T00:00:00.000Z</v>
      </c>
      <c r="Z427" s="189" t="s">
        <v>147</v>
      </c>
      <c r="AA427" s="189" t="s">
        <v>401</v>
      </c>
    </row>
    <row r="428">
      <c r="A428" s="189">
        <f>IFERROR(__xludf.DUMMYFUNCTION("""COMPUTED_VALUE"""),211056.0)</f>
        <v>211056</v>
      </c>
      <c r="B428" s="189">
        <f>IFERROR(__xludf.DUMMYFUNCTION("""COMPUTED_VALUE"""),92834.0)</f>
        <v>92834</v>
      </c>
      <c r="C428" s="189" t="str">
        <f>IFERROR(__xludf.DUMMYFUNCTION("""COMPUTED_VALUE"""),"Challengers League 2025 NORTH EAST: Split 3 - Playoffs")</f>
        <v>Challengers League 2025 NORTH EAST: Split 3 - Playoffs</v>
      </c>
      <c r="D428" s="189" t="str">
        <f>IFERROR(__xludf.DUMMYFUNCTION("""COMPUTED_VALUE"""),"Corrode")</f>
        <v>Corrode</v>
      </c>
      <c r="E428" s="189" t="str">
        <f>IFERROR(__xludf.DUMMYFUNCTION("""COMPUTED_VALUE"""),"Team Liquid Academy")</f>
        <v>Team Liquid Academy</v>
      </c>
      <c r="F428" s="189" t="str">
        <f>IFERROR(__xludf.DUMMYFUNCTION("""COMPUTED_VALUE"""),"Formulation Gaming")</f>
        <v>Formulation Gaming</v>
      </c>
      <c r="G428" s="189" t="str">
        <f>IFERROR(__xludf.DUMMYFUNCTION("""COMPUTED_VALUE"""),"Cypher,Phoenix,Omen,Yoru,Fade")</f>
        <v>Cypher,Phoenix,Omen,Yoru,Fade</v>
      </c>
      <c r="H428" s="189" t="str">
        <f>IFERROR(__xludf.DUMMYFUNCTION("""COMPUTED_VALUE"""),"Viper,Omen,Neon,Fade,Vyse")</f>
        <v>Viper,Omen,Neon,Fade,Vyse</v>
      </c>
      <c r="I428" s="189">
        <f>IFERROR(__xludf.DUMMYFUNCTION("""COMPUTED_VALUE"""),13.0)</f>
        <v>13</v>
      </c>
      <c r="J428" s="189">
        <f>IFERROR(__xludf.DUMMYFUNCTION("""COMPUTED_VALUE"""),8.0)</f>
        <v>8</v>
      </c>
      <c r="K428" s="189">
        <f>IFERROR(__xludf.DUMMYFUNCTION("""COMPUTED_VALUE"""),7.0)</f>
        <v>7</v>
      </c>
      <c r="L428" s="189">
        <f>IFERROR(__xludf.DUMMYFUNCTION("""COMPUTED_VALUE"""),5.0)</f>
        <v>5</v>
      </c>
      <c r="M428" s="189">
        <f>IFERROR(__xludf.DUMMYFUNCTION("""COMPUTED_VALUE"""),0.0)</f>
        <v>0</v>
      </c>
      <c r="N428" s="189">
        <f>IFERROR(__xludf.DUMMYFUNCTION("""COMPUTED_VALUE"""),0.0)</f>
        <v>0</v>
      </c>
      <c r="O428" s="189">
        <f>IFERROR(__xludf.DUMMYFUNCTION("""COMPUTED_VALUE"""),7.0)</f>
        <v>7</v>
      </c>
      <c r="P428" s="189">
        <f>IFERROR(__xludf.DUMMYFUNCTION("""COMPUTED_VALUE"""),5.0)</f>
        <v>5</v>
      </c>
      <c r="Q428" s="189">
        <f>IFERROR(__xludf.DUMMYFUNCTION("""COMPUTED_VALUE"""),6.0)</f>
        <v>6</v>
      </c>
      <c r="R428" s="189">
        <f>IFERROR(__xludf.DUMMYFUNCTION("""COMPUTED_VALUE"""),3.0)</f>
        <v>3</v>
      </c>
      <c r="S428" s="189">
        <f>IFERROR(__xludf.DUMMYFUNCTION("""COMPUTED_VALUE"""),1.0)</f>
        <v>1</v>
      </c>
      <c r="T428" s="189">
        <f>IFERROR(__xludf.DUMMYFUNCTION("""COMPUTED_VALUE"""),1.0)</f>
        <v>1</v>
      </c>
      <c r="U428" s="189">
        <f>IFERROR(__xludf.DUMMYFUNCTION("""COMPUTED_VALUE"""),3.0)</f>
        <v>3</v>
      </c>
      <c r="V428" s="189">
        <f>IFERROR(__xludf.DUMMYFUNCTION("""COMPUTED_VALUE"""),6.0)</f>
        <v>6</v>
      </c>
      <c r="W428" s="189">
        <f>IFERROR(__xludf.DUMMYFUNCTION("""COMPUTED_VALUE"""),5.0)</f>
        <v>5</v>
      </c>
      <c r="X428" s="189">
        <f>IFERROR(__xludf.DUMMYFUNCTION("""COMPUTED_VALUE"""),7.0)</f>
        <v>7</v>
      </c>
      <c r="Y428" s="208" t="str">
        <f>IFERROR(__xludf.DUMMYFUNCTION("""COMPUTED_VALUE"""),"2025-07-27T00:00:00.000Z")</f>
        <v>2025-07-27T00:00:00.000Z</v>
      </c>
      <c r="Z428" s="189" t="s">
        <v>144</v>
      </c>
      <c r="AA428" s="189" t="s">
        <v>1</v>
      </c>
    </row>
    <row r="429">
      <c r="A429" s="189">
        <f>IFERROR(__xludf.DUMMYFUNCTION("""COMPUTED_VALUE"""),210868.0)</f>
        <v>210868</v>
      </c>
      <c r="B429" s="189">
        <f>IFERROR(__xludf.DUMMYFUNCTION("""COMPUTED_VALUE"""),92745.0)</f>
        <v>92745</v>
      </c>
      <c r="C429" s="189" t="str">
        <f>IFERROR(__xludf.DUMMYFUNCTION("""COMPUTED_VALUE"""),"Challengers League 2025 DACH: Evolution Stage 3 - Play-Ins")</f>
        <v>Challengers League 2025 DACH: Evolution Stage 3 - Play-Ins</v>
      </c>
      <c r="D429" s="189" t="str">
        <f>IFERROR(__xludf.DUMMYFUNCTION("""COMPUTED_VALUE"""),"Sunset")</f>
        <v>Sunset</v>
      </c>
      <c r="E429" s="189" t="str">
        <f>IFERROR(__xludf.DUMMYFUNCTION("""COMPUTED_VALUE"""),"XPERION NXT")</f>
        <v>XPERION NXT</v>
      </c>
      <c r="F429" s="189" t="str">
        <f>IFERROR(__xludf.DUMMYFUNCTION("""COMPUTED_VALUE"""),"Eintracht Frankfurt")</f>
        <v>Eintracht Frankfurt</v>
      </c>
      <c r="G429" s="189" t="str">
        <f>IFERROR(__xludf.DUMMYFUNCTION("""COMPUTED_VALUE"""),"Cypher,Sova,Omen,Yoru,Neon")</f>
        <v>Cypher,Sova,Omen,Yoru,Neon</v>
      </c>
      <c r="H429" s="189" t="str">
        <f>IFERROR(__xludf.DUMMYFUNCTION("""COMPUTED_VALUE"""),"Cypher,Sova,Omen,KAY/O,Neon")</f>
        <v>Cypher,Sova,Omen,KAY/O,Neon</v>
      </c>
      <c r="I429" s="189">
        <f>IFERROR(__xludf.DUMMYFUNCTION("""COMPUTED_VALUE"""),7.0)</f>
        <v>7</v>
      </c>
      <c r="J429" s="189">
        <f>IFERROR(__xludf.DUMMYFUNCTION("""COMPUTED_VALUE"""),13.0)</f>
        <v>13</v>
      </c>
      <c r="K429" s="189">
        <f>IFERROR(__xludf.DUMMYFUNCTION("""COMPUTED_VALUE"""),4.0)</f>
        <v>4</v>
      </c>
      <c r="L429" s="189">
        <f>IFERROR(__xludf.DUMMYFUNCTION("""COMPUTED_VALUE"""),8.0)</f>
        <v>8</v>
      </c>
      <c r="M429" s="189">
        <f>IFERROR(__xludf.DUMMYFUNCTION("""COMPUTED_VALUE"""),1.0)</f>
        <v>1</v>
      </c>
      <c r="N429" s="189">
        <f>IFERROR(__xludf.DUMMYFUNCTION("""COMPUTED_VALUE"""),1.0)</f>
        <v>1</v>
      </c>
      <c r="O429" s="189">
        <f>IFERROR(__xludf.DUMMYFUNCTION("""COMPUTED_VALUE"""),3.0)</f>
        <v>3</v>
      </c>
      <c r="P429" s="189">
        <f>IFERROR(__xludf.DUMMYFUNCTION("""COMPUTED_VALUE"""),5.0)</f>
        <v>5</v>
      </c>
      <c r="Q429" s="189">
        <f>IFERROR(__xludf.DUMMYFUNCTION("""COMPUTED_VALUE"""),4.0)</f>
        <v>4</v>
      </c>
      <c r="R429" s="189">
        <f>IFERROR(__xludf.DUMMYFUNCTION("""COMPUTED_VALUE"""),8.0)</f>
        <v>8</v>
      </c>
      <c r="S429" s="189">
        <f>IFERROR(__xludf.DUMMYFUNCTION("""COMPUTED_VALUE"""),0.0)</f>
        <v>0</v>
      </c>
      <c r="T429" s="189">
        <f>IFERROR(__xludf.DUMMYFUNCTION("""COMPUTED_VALUE"""),0.0)</f>
        <v>0</v>
      </c>
      <c r="U429" s="189">
        <f>IFERROR(__xludf.DUMMYFUNCTION("""COMPUTED_VALUE"""),8.0)</f>
        <v>8</v>
      </c>
      <c r="V429" s="189">
        <f>IFERROR(__xludf.DUMMYFUNCTION("""COMPUTED_VALUE"""),4.0)</f>
        <v>4</v>
      </c>
      <c r="W429" s="189">
        <f>IFERROR(__xludf.DUMMYFUNCTION("""COMPUTED_VALUE"""),5.0)</f>
        <v>5</v>
      </c>
      <c r="X429" s="189">
        <f>IFERROR(__xludf.DUMMYFUNCTION("""COMPUTED_VALUE"""),3.0)</f>
        <v>3</v>
      </c>
      <c r="Y429" s="208" t="str">
        <f>IFERROR(__xludf.DUMMYFUNCTION("""COMPUTED_VALUE"""),"2025-07-26T00:00:00.000Z")</f>
        <v>2025-07-26T00:00:00.000Z</v>
      </c>
      <c r="Z429" s="189" t="s">
        <v>525</v>
      </c>
      <c r="AA429" s="189" t="s">
        <v>183</v>
      </c>
    </row>
    <row r="430">
      <c r="A430" s="189">
        <f>IFERROR(__xludf.DUMMYFUNCTION("""COMPUTED_VALUE"""),210867.0)</f>
        <v>210867</v>
      </c>
      <c r="B430" s="189">
        <f>IFERROR(__xludf.DUMMYFUNCTION("""COMPUTED_VALUE"""),92745.0)</f>
        <v>92745</v>
      </c>
      <c r="C430" s="189" t="str">
        <f>IFERROR(__xludf.DUMMYFUNCTION("""COMPUTED_VALUE"""),"Challengers League 2025 DACH: Evolution Stage 3 - Play-Ins")</f>
        <v>Challengers League 2025 DACH: Evolution Stage 3 - Play-Ins</v>
      </c>
      <c r="D430" s="189" t="str">
        <f>IFERROR(__xludf.DUMMYFUNCTION("""COMPUTED_VALUE"""),"Corrode")</f>
        <v>Corrode</v>
      </c>
      <c r="E430" s="189" t="str">
        <f>IFERROR(__xludf.DUMMYFUNCTION("""COMPUTED_VALUE"""),"XPERION NXT")</f>
        <v>XPERION NXT</v>
      </c>
      <c r="F430" s="189" t="str">
        <f>IFERROR(__xludf.DUMMYFUNCTION("""COMPUTED_VALUE"""),"Eintracht Frankfurt")</f>
        <v>Eintracht Frankfurt</v>
      </c>
      <c r="G430" s="189" t="str">
        <f>IFERROR(__xludf.DUMMYFUNCTION("""COMPUTED_VALUE"""),"Cypher,Yoru,Astra,Neon,Fade")</f>
        <v>Cypher,Yoru,Astra,Neon,Fade</v>
      </c>
      <c r="H430" s="189" t="str">
        <f>IFERROR(__xludf.DUMMYFUNCTION("""COMPUTED_VALUE"""),"Viper,Phoenix,Omen,Neon,Fade")</f>
        <v>Viper,Phoenix,Omen,Neon,Fade</v>
      </c>
      <c r="I430" s="189">
        <f>IFERROR(__xludf.DUMMYFUNCTION("""COMPUTED_VALUE"""),8.0)</f>
        <v>8</v>
      </c>
      <c r="J430" s="189">
        <f>IFERROR(__xludf.DUMMYFUNCTION("""COMPUTED_VALUE"""),13.0)</f>
        <v>13</v>
      </c>
      <c r="K430" s="189">
        <f>IFERROR(__xludf.DUMMYFUNCTION("""COMPUTED_VALUE"""),6.0)</f>
        <v>6</v>
      </c>
      <c r="L430" s="189">
        <f>IFERROR(__xludf.DUMMYFUNCTION("""COMPUTED_VALUE"""),6.0)</f>
        <v>6</v>
      </c>
      <c r="M430" s="189">
        <f>IFERROR(__xludf.DUMMYFUNCTION("""COMPUTED_VALUE"""),0.0)</f>
        <v>0</v>
      </c>
      <c r="N430" s="189">
        <f>IFERROR(__xludf.DUMMYFUNCTION("""COMPUTED_VALUE"""),0.0)</f>
        <v>0</v>
      </c>
      <c r="O430" s="189">
        <f>IFERROR(__xludf.DUMMYFUNCTION("""COMPUTED_VALUE"""),6.0)</f>
        <v>6</v>
      </c>
      <c r="P430" s="189">
        <f>IFERROR(__xludf.DUMMYFUNCTION("""COMPUTED_VALUE"""),6.0)</f>
        <v>6</v>
      </c>
      <c r="Q430" s="189">
        <f>IFERROR(__xludf.DUMMYFUNCTION("""COMPUTED_VALUE"""),2.0)</f>
        <v>2</v>
      </c>
      <c r="R430" s="189">
        <f>IFERROR(__xludf.DUMMYFUNCTION("""COMPUTED_VALUE"""),7.0)</f>
        <v>7</v>
      </c>
      <c r="S430" s="189">
        <f>IFERROR(__xludf.DUMMYFUNCTION("""COMPUTED_VALUE"""),1.0)</f>
        <v>1</v>
      </c>
      <c r="T430" s="189">
        <f>IFERROR(__xludf.DUMMYFUNCTION("""COMPUTED_VALUE"""),1.0)</f>
        <v>1</v>
      </c>
      <c r="U430" s="189">
        <f>IFERROR(__xludf.DUMMYFUNCTION("""COMPUTED_VALUE"""),7.0)</f>
        <v>7</v>
      </c>
      <c r="V430" s="189">
        <f>IFERROR(__xludf.DUMMYFUNCTION("""COMPUTED_VALUE"""),2.0)</f>
        <v>2</v>
      </c>
      <c r="W430" s="189">
        <f>IFERROR(__xludf.DUMMYFUNCTION("""COMPUTED_VALUE"""),6.0)</f>
        <v>6</v>
      </c>
      <c r="X430" s="189">
        <f>IFERROR(__xludf.DUMMYFUNCTION("""COMPUTED_VALUE"""),6.0)</f>
        <v>6</v>
      </c>
      <c r="Y430" s="208" t="str">
        <f>IFERROR(__xludf.DUMMYFUNCTION("""COMPUTED_VALUE"""),"2025-07-26T00:00:00.000Z")</f>
        <v>2025-07-26T00:00:00.000Z</v>
      </c>
      <c r="Z430" s="189" t="s">
        <v>526</v>
      </c>
      <c r="AA430" s="189" t="s">
        <v>183</v>
      </c>
    </row>
    <row r="431">
      <c r="A431" s="189">
        <f>IFERROR(__xludf.DUMMYFUNCTION("""COMPUTED_VALUE"""),211055.0)</f>
        <v>211055</v>
      </c>
      <c r="B431" s="189">
        <f>IFERROR(__xludf.DUMMYFUNCTION("""COMPUTED_VALUE"""),92833.0)</f>
        <v>92833</v>
      </c>
      <c r="C431" s="189" t="str">
        <f>IFERROR(__xludf.DUMMYFUNCTION("""COMPUTED_VALUE"""),"Challengers League 2025 NORTH EAST: Split 3 - Playoffs")</f>
        <v>Challengers League 2025 NORTH EAST: Split 3 - Playoffs</v>
      </c>
      <c r="D431" s="189" t="str">
        <f>IFERROR(__xludf.DUMMYFUNCTION("""COMPUTED_VALUE"""),"Haven")</f>
        <v>Haven</v>
      </c>
      <c r="E431" s="189" t="str">
        <f>IFERROR(__xludf.DUMMYFUNCTION("""COMPUTED_VALUE"""),"Boars Gaming")</f>
        <v>Boars Gaming</v>
      </c>
      <c r="F431" s="189" t="str">
        <f>IFERROR(__xludf.DUMMYFUNCTION("""COMPUTED_VALUE"""),"Metizport")</f>
        <v>Metizport</v>
      </c>
      <c r="G431" s="189" t="str">
        <f>IFERROR(__xludf.DUMMYFUNCTION("""COMPUTED_VALUE"""),"Breach,Cypher,Sova,Omen,Neon")</f>
        <v>Breach,Cypher,Sova,Omen,Neon</v>
      </c>
      <c r="H431" s="189" t="str">
        <f>IFERROR(__xludf.DUMMYFUNCTION("""COMPUTED_VALUE"""),"Sova,Killjoy,Viper,Omen,Neon")</f>
        <v>Sova,Killjoy,Viper,Omen,Neon</v>
      </c>
      <c r="I431" s="189">
        <f>IFERROR(__xludf.DUMMYFUNCTION("""COMPUTED_VALUE"""),13.0)</f>
        <v>13</v>
      </c>
      <c r="J431" s="189">
        <f>IFERROR(__xludf.DUMMYFUNCTION("""COMPUTED_VALUE"""),2.0)</f>
        <v>2</v>
      </c>
      <c r="K431" s="189">
        <f>IFERROR(__xludf.DUMMYFUNCTION("""COMPUTED_VALUE"""),10.0)</f>
        <v>10</v>
      </c>
      <c r="L431" s="189">
        <f>IFERROR(__xludf.DUMMYFUNCTION("""COMPUTED_VALUE"""),2.0)</f>
        <v>2</v>
      </c>
      <c r="M431" s="189">
        <f>IFERROR(__xludf.DUMMYFUNCTION("""COMPUTED_VALUE"""),1.0)</f>
        <v>1</v>
      </c>
      <c r="N431" s="189">
        <f>IFERROR(__xludf.DUMMYFUNCTION("""COMPUTED_VALUE"""),1.0)</f>
        <v>1</v>
      </c>
      <c r="O431" s="189">
        <f>IFERROR(__xludf.DUMMYFUNCTION("""COMPUTED_VALUE"""),10.0)</f>
        <v>10</v>
      </c>
      <c r="P431" s="189">
        <f>IFERROR(__xludf.DUMMYFUNCTION("""COMPUTED_VALUE"""),2.0)</f>
        <v>2</v>
      </c>
      <c r="Q431" s="189">
        <f>IFERROR(__xludf.DUMMYFUNCTION("""COMPUTED_VALUE"""),3.0)</f>
        <v>3</v>
      </c>
      <c r="R431" s="189">
        <f>IFERROR(__xludf.DUMMYFUNCTION("""COMPUTED_VALUE"""),0.0)</f>
        <v>0</v>
      </c>
      <c r="S431" s="189">
        <f>IFERROR(__xludf.DUMMYFUNCTION("""COMPUTED_VALUE"""),0.0)</f>
        <v>0</v>
      </c>
      <c r="T431" s="189">
        <f>IFERROR(__xludf.DUMMYFUNCTION("""COMPUTED_VALUE"""),0.0)</f>
        <v>0</v>
      </c>
      <c r="U431" s="189">
        <f>IFERROR(__xludf.DUMMYFUNCTION("""COMPUTED_VALUE"""),0.0)</f>
        <v>0</v>
      </c>
      <c r="V431" s="189">
        <f>IFERROR(__xludf.DUMMYFUNCTION("""COMPUTED_VALUE"""),3.0)</f>
        <v>3</v>
      </c>
      <c r="W431" s="189">
        <f>IFERROR(__xludf.DUMMYFUNCTION("""COMPUTED_VALUE"""),2.0)</f>
        <v>2</v>
      </c>
      <c r="X431" s="189">
        <f>IFERROR(__xludf.DUMMYFUNCTION("""COMPUTED_VALUE"""),10.0)</f>
        <v>10</v>
      </c>
      <c r="Y431" s="208" t="str">
        <f>IFERROR(__xludf.DUMMYFUNCTION("""COMPUTED_VALUE"""),"2025-07-26T00:00:00.000Z")</f>
        <v>2025-07-26T00:00:00.000Z</v>
      </c>
      <c r="Z431" s="189" t="s">
        <v>79</v>
      </c>
      <c r="AA431" s="189" t="s">
        <v>181</v>
      </c>
    </row>
    <row r="432">
      <c r="A432" s="189">
        <f>IFERROR(__xludf.DUMMYFUNCTION("""COMPUTED_VALUE"""),211054.0)</f>
        <v>211054</v>
      </c>
      <c r="B432" s="189">
        <f>IFERROR(__xludf.DUMMYFUNCTION("""COMPUTED_VALUE"""),92833.0)</f>
        <v>92833</v>
      </c>
      <c r="C432" s="189" t="str">
        <f>IFERROR(__xludf.DUMMYFUNCTION("""COMPUTED_VALUE"""),"Challengers League 2025 NORTH EAST: Split 3 - Playoffs")</f>
        <v>Challengers League 2025 NORTH EAST: Split 3 - Playoffs</v>
      </c>
      <c r="D432" s="189" t="str">
        <f>IFERROR(__xludf.DUMMYFUNCTION("""COMPUTED_VALUE"""),"Sunset")</f>
        <v>Sunset</v>
      </c>
      <c r="E432" s="189" t="str">
        <f>IFERROR(__xludf.DUMMYFUNCTION("""COMPUTED_VALUE"""),"Boars Gaming")</f>
        <v>Boars Gaming</v>
      </c>
      <c r="F432" s="189" t="str">
        <f>IFERROR(__xludf.DUMMYFUNCTION("""COMPUTED_VALUE"""),"Metizport")</f>
        <v>Metizport</v>
      </c>
      <c r="G432" s="189" t="str">
        <f>IFERROR(__xludf.DUMMYFUNCTION("""COMPUTED_VALUE"""),"Cypher,Sova,Omen,KAY/O,Neon")</f>
        <v>Cypher,Sova,Omen,KAY/O,Neon</v>
      </c>
      <c r="H432" s="189" t="str">
        <f>IFERROR(__xludf.DUMMYFUNCTION("""COMPUTED_VALUE"""),"Breach,Cypher,Sova,Omen,Neon")</f>
        <v>Breach,Cypher,Sova,Omen,Neon</v>
      </c>
      <c r="I432" s="189">
        <f>IFERROR(__xludf.DUMMYFUNCTION("""COMPUTED_VALUE"""),7.0)</f>
        <v>7</v>
      </c>
      <c r="J432" s="189">
        <f>IFERROR(__xludf.DUMMYFUNCTION("""COMPUTED_VALUE"""),13.0)</f>
        <v>13</v>
      </c>
      <c r="K432" s="189">
        <f>IFERROR(__xludf.DUMMYFUNCTION("""COMPUTED_VALUE"""),5.0)</f>
        <v>5</v>
      </c>
      <c r="L432" s="189">
        <f>IFERROR(__xludf.DUMMYFUNCTION("""COMPUTED_VALUE"""),7.0)</f>
        <v>7</v>
      </c>
      <c r="M432" s="189">
        <f>IFERROR(__xludf.DUMMYFUNCTION("""COMPUTED_VALUE"""),1.0)</f>
        <v>1</v>
      </c>
      <c r="N432" s="189">
        <f>IFERROR(__xludf.DUMMYFUNCTION("""COMPUTED_VALUE"""),0.0)</f>
        <v>0</v>
      </c>
      <c r="O432" s="189">
        <f>IFERROR(__xludf.DUMMYFUNCTION("""COMPUTED_VALUE"""),5.0)</f>
        <v>5</v>
      </c>
      <c r="P432" s="189">
        <f>IFERROR(__xludf.DUMMYFUNCTION("""COMPUTED_VALUE"""),7.0)</f>
        <v>7</v>
      </c>
      <c r="Q432" s="189">
        <f>IFERROR(__xludf.DUMMYFUNCTION("""COMPUTED_VALUE"""),2.0)</f>
        <v>2</v>
      </c>
      <c r="R432" s="189">
        <f>IFERROR(__xludf.DUMMYFUNCTION("""COMPUTED_VALUE"""),6.0)</f>
        <v>6</v>
      </c>
      <c r="S432" s="189">
        <f>IFERROR(__xludf.DUMMYFUNCTION("""COMPUTED_VALUE"""),1.0)</f>
        <v>1</v>
      </c>
      <c r="T432" s="189">
        <f>IFERROR(__xludf.DUMMYFUNCTION("""COMPUTED_VALUE"""),0.0)</f>
        <v>0</v>
      </c>
      <c r="U432" s="189">
        <f>IFERROR(__xludf.DUMMYFUNCTION("""COMPUTED_VALUE"""),6.0)</f>
        <v>6</v>
      </c>
      <c r="V432" s="189">
        <f>IFERROR(__xludf.DUMMYFUNCTION("""COMPUTED_VALUE"""),2.0)</f>
        <v>2</v>
      </c>
      <c r="W432" s="189">
        <f>IFERROR(__xludf.DUMMYFUNCTION("""COMPUTED_VALUE"""),7.0)</f>
        <v>7</v>
      </c>
      <c r="X432" s="189">
        <f>IFERROR(__xludf.DUMMYFUNCTION("""COMPUTED_VALUE"""),5.0)</f>
        <v>5</v>
      </c>
      <c r="Y432" s="208" t="str">
        <f>IFERROR(__xludf.DUMMYFUNCTION("""COMPUTED_VALUE"""),"2025-07-26T00:00:00.000Z")</f>
        <v>2025-07-26T00:00:00.000Z</v>
      </c>
      <c r="Z432" s="189" t="s">
        <v>84</v>
      </c>
      <c r="AA432" s="189" t="s">
        <v>404</v>
      </c>
    </row>
    <row r="433">
      <c r="A433" s="189">
        <f>IFERROR(__xludf.DUMMYFUNCTION("""COMPUTED_VALUE"""),211053.0)</f>
        <v>211053</v>
      </c>
      <c r="B433" s="189">
        <f>IFERROR(__xludf.DUMMYFUNCTION("""COMPUTED_VALUE"""),92833.0)</f>
        <v>92833</v>
      </c>
      <c r="C433" s="189" t="str">
        <f>IFERROR(__xludf.DUMMYFUNCTION("""COMPUTED_VALUE"""),"Challengers League 2025 NORTH EAST: Split 3 - Playoffs")</f>
        <v>Challengers League 2025 NORTH EAST: Split 3 - Playoffs</v>
      </c>
      <c r="D433" s="189" t="str">
        <f>IFERROR(__xludf.DUMMYFUNCTION("""COMPUTED_VALUE"""),"Lotus")</f>
        <v>Lotus</v>
      </c>
      <c r="E433" s="189" t="str">
        <f>IFERROR(__xludf.DUMMYFUNCTION("""COMPUTED_VALUE"""),"Boars Gaming")</f>
        <v>Boars Gaming</v>
      </c>
      <c r="F433" s="189" t="str">
        <f>IFERROR(__xludf.DUMMYFUNCTION("""COMPUTED_VALUE"""),"Metizport")</f>
        <v>Metizport</v>
      </c>
      <c r="G433" s="189" t="str">
        <f>IFERROR(__xludf.DUMMYFUNCTION("""COMPUTED_VALUE"""),"Breach,Cypher,Omen,Neon,Fade")</f>
        <v>Breach,Cypher,Omen,Neon,Fade</v>
      </c>
      <c r="H433" s="189" t="str">
        <f>IFERROR(__xludf.DUMMYFUNCTION("""COMPUTED_VALUE"""),"Raze,Omen,Yoru,Fade,Vyse")</f>
        <v>Raze,Omen,Yoru,Fade,Vyse</v>
      </c>
      <c r="I433" s="189">
        <f>IFERROR(__xludf.DUMMYFUNCTION("""COMPUTED_VALUE"""),13.0)</f>
        <v>13</v>
      </c>
      <c r="J433" s="189">
        <f>IFERROR(__xludf.DUMMYFUNCTION("""COMPUTED_VALUE"""),5.0)</f>
        <v>5</v>
      </c>
      <c r="K433" s="189">
        <f>IFERROR(__xludf.DUMMYFUNCTION("""COMPUTED_VALUE"""),8.0)</f>
        <v>8</v>
      </c>
      <c r="L433" s="189">
        <f>IFERROR(__xludf.DUMMYFUNCTION("""COMPUTED_VALUE"""),4.0)</f>
        <v>4</v>
      </c>
      <c r="M433" s="189">
        <f>IFERROR(__xludf.DUMMYFUNCTION("""COMPUTED_VALUE"""),1.0)</f>
        <v>1</v>
      </c>
      <c r="N433" s="189">
        <f>IFERROR(__xludf.DUMMYFUNCTION("""COMPUTED_VALUE"""),0.0)</f>
        <v>0</v>
      </c>
      <c r="O433" s="189">
        <f>IFERROR(__xludf.DUMMYFUNCTION("""COMPUTED_VALUE"""),5.0)</f>
        <v>5</v>
      </c>
      <c r="P433" s="189">
        <f>IFERROR(__xludf.DUMMYFUNCTION("""COMPUTED_VALUE"""),1.0)</f>
        <v>1</v>
      </c>
      <c r="Q433" s="189">
        <f>IFERROR(__xludf.DUMMYFUNCTION("""COMPUTED_VALUE"""),8.0)</f>
        <v>8</v>
      </c>
      <c r="R433" s="189">
        <f>IFERROR(__xludf.DUMMYFUNCTION("""COMPUTED_VALUE"""),4.0)</f>
        <v>4</v>
      </c>
      <c r="S433" s="189">
        <f>IFERROR(__xludf.DUMMYFUNCTION("""COMPUTED_VALUE"""),1.0)</f>
        <v>1</v>
      </c>
      <c r="T433" s="189">
        <f>IFERROR(__xludf.DUMMYFUNCTION("""COMPUTED_VALUE"""),0.0)</f>
        <v>0</v>
      </c>
      <c r="U433" s="189">
        <f>IFERROR(__xludf.DUMMYFUNCTION("""COMPUTED_VALUE"""),4.0)</f>
        <v>4</v>
      </c>
      <c r="V433" s="189">
        <f>IFERROR(__xludf.DUMMYFUNCTION("""COMPUTED_VALUE"""),8.0)</f>
        <v>8</v>
      </c>
      <c r="W433" s="189">
        <f>IFERROR(__xludf.DUMMYFUNCTION("""COMPUTED_VALUE"""),1.0)</f>
        <v>1</v>
      </c>
      <c r="X433" s="189">
        <f>IFERROR(__xludf.DUMMYFUNCTION("""COMPUTED_VALUE"""),5.0)</f>
        <v>5</v>
      </c>
      <c r="Y433" s="208" t="str">
        <f>IFERROR(__xludf.DUMMYFUNCTION("""COMPUTED_VALUE"""),"2025-07-26T00:00:00.000Z")</f>
        <v>2025-07-26T00:00:00.000Z</v>
      </c>
      <c r="Z433" s="189" t="s">
        <v>81</v>
      </c>
      <c r="AA433" s="189" t="s">
        <v>181</v>
      </c>
    </row>
    <row r="434">
      <c r="A434" s="189">
        <f>IFERROR(__xludf.DUMMYFUNCTION("""COMPUTED_VALUE"""),211051.0)</f>
        <v>211051</v>
      </c>
      <c r="B434" s="189">
        <f>IFERROR(__xludf.DUMMYFUNCTION("""COMPUTED_VALUE"""),92832.0)</f>
        <v>92832</v>
      </c>
      <c r="C434" s="189" t="str">
        <f>IFERROR(__xludf.DUMMYFUNCTION("""COMPUTED_VALUE"""),"Challengers League 2025 NORTH EAST: Split 3 - Playoffs")</f>
        <v>Challengers League 2025 NORTH EAST: Split 3 - Playoffs</v>
      </c>
      <c r="D434" s="189" t="str">
        <f>IFERROR(__xludf.DUMMYFUNCTION("""COMPUTED_VALUE"""),"Bind")</f>
        <v>Bind</v>
      </c>
      <c r="E434" s="189" t="str">
        <f>IFERROR(__xludf.DUMMYFUNCTION("""COMPUTED_VALUE"""),"děti ulice")</f>
        <v>děti ulice</v>
      </c>
      <c r="F434" s="189" t="str">
        <f>IFERROR(__xludf.DUMMYFUNCTION("""COMPUTED_VALUE"""),"FULL BOX 200")</f>
        <v>FULL BOX 200</v>
      </c>
      <c r="G434" s="189" t="str">
        <f>IFERROR(__xludf.DUMMYFUNCTION("""COMPUTED_VALUE"""),"Raze,Viper,Brimstone,Skye,Gekko")</f>
        <v>Raze,Viper,Brimstone,Skye,Gekko</v>
      </c>
      <c r="H434" s="189" t="str">
        <f>IFERROR(__xludf.DUMMYFUNCTION("""COMPUTED_VALUE"""),"Raze,Viper,Brimstone,Yoru,Fade")</f>
        <v>Raze,Viper,Brimstone,Yoru,Fade</v>
      </c>
      <c r="I434" s="189">
        <f>IFERROR(__xludf.DUMMYFUNCTION("""COMPUTED_VALUE"""),13.0)</f>
        <v>13</v>
      </c>
      <c r="J434" s="189">
        <f>IFERROR(__xludf.DUMMYFUNCTION("""COMPUTED_VALUE"""),5.0)</f>
        <v>5</v>
      </c>
      <c r="K434" s="189">
        <f>IFERROR(__xludf.DUMMYFUNCTION("""COMPUTED_VALUE"""),8.0)</f>
        <v>8</v>
      </c>
      <c r="L434" s="189">
        <f>IFERROR(__xludf.DUMMYFUNCTION("""COMPUTED_VALUE"""),4.0)</f>
        <v>4</v>
      </c>
      <c r="M434" s="189">
        <f>IFERROR(__xludf.DUMMYFUNCTION("""COMPUTED_VALUE"""),1.0)</f>
        <v>1</v>
      </c>
      <c r="N434" s="189">
        <f>IFERROR(__xludf.DUMMYFUNCTION("""COMPUTED_VALUE"""),1.0)</f>
        <v>1</v>
      </c>
      <c r="O434" s="189">
        <f>IFERROR(__xludf.DUMMYFUNCTION("""COMPUTED_VALUE"""),8.0)</f>
        <v>8</v>
      </c>
      <c r="P434" s="189">
        <f>IFERROR(__xludf.DUMMYFUNCTION("""COMPUTED_VALUE"""),4.0)</f>
        <v>4</v>
      </c>
      <c r="Q434" s="189">
        <f>IFERROR(__xludf.DUMMYFUNCTION("""COMPUTED_VALUE"""),5.0)</f>
        <v>5</v>
      </c>
      <c r="R434" s="189">
        <f>IFERROR(__xludf.DUMMYFUNCTION("""COMPUTED_VALUE"""),1.0)</f>
        <v>1</v>
      </c>
      <c r="S434" s="189">
        <f>IFERROR(__xludf.DUMMYFUNCTION("""COMPUTED_VALUE"""),0.0)</f>
        <v>0</v>
      </c>
      <c r="T434" s="189">
        <f>IFERROR(__xludf.DUMMYFUNCTION("""COMPUTED_VALUE"""),0.0)</f>
        <v>0</v>
      </c>
      <c r="U434" s="189">
        <f>IFERROR(__xludf.DUMMYFUNCTION("""COMPUTED_VALUE"""),1.0)</f>
        <v>1</v>
      </c>
      <c r="V434" s="189">
        <f>IFERROR(__xludf.DUMMYFUNCTION("""COMPUTED_VALUE"""),5.0)</f>
        <v>5</v>
      </c>
      <c r="W434" s="189">
        <f>IFERROR(__xludf.DUMMYFUNCTION("""COMPUTED_VALUE"""),4.0)</f>
        <v>4</v>
      </c>
      <c r="X434" s="189">
        <f>IFERROR(__xludf.DUMMYFUNCTION("""COMPUTED_VALUE"""),8.0)</f>
        <v>8</v>
      </c>
      <c r="Y434" s="208" t="str">
        <f>IFERROR(__xludf.DUMMYFUNCTION("""COMPUTED_VALUE"""),"2025-07-26T00:00:00.000Z")</f>
        <v>2025-07-26T00:00:00.000Z</v>
      </c>
      <c r="Z434" s="189" t="s">
        <v>86</v>
      </c>
      <c r="AA434" s="189" t="s">
        <v>190</v>
      </c>
    </row>
    <row r="435">
      <c r="A435" s="189">
        <f>IFERROR(__xludf.DUMMYFUNCTION("""COMPUTED_VALUE"""),211050.0)</f>
        <v>211050</v>
      </c>
      <c r="B435" s="189">
        <f>IFERROR(__xludf.DUMMYFUNCTION("""COMPUTED_VALUE"""),92832.0)</f>
        <v>92832</v>
      </c>
      <c r="C435" s="189" t="str">
        <f>IFERROR(__xludf.DUMMYFUNCTION("""COMPUTED_VALUE"""),"Challengers League 2025 NORTH EAST: Split 3 - Playoffs")</f>
        <v>Challengers League 2025 NORTH EAST: Split 3 - Playoffs</v>
      </c>
      <c r="D435" s="189" t="str">
        <f>IFERROR(__xludf.DUMMYFUNCTION("""COMPUTED_VALUE"""),"Sunset")</f>
        <v>Sunset</v>
      </c>
      <c r="E435" s="189" t="str">
        <f>IFERROR(__xludf.DUMMYFUNCTION("""COMPUTED_VALUE"""),"děti ulice")</f>
        <v>děti ulice</v>
      </c>
      <c r="F435" s="189" t="str">
        <f>IFERROR(__xludf.DUMMYFUNCTION("""COMPUTED_VALUE"""),"FULL BOX 200")</f>
        <v>FULL BOX 200</v>
      </c>
      <c r="G435" s="189" t="str">
        <f>IFERROR(__xludf.DUMMYFUNCTION("""COMPUTED_VALUE"""),"Cypher,Sova,Omen,Yoru,Neon")</f>
        <v>Cypher,Sova,Omen,Yoru,Neon</v>
      </c>
      <c r="H435" s="189" t="str">
        <f>IFERROR(__xludf.DUMMYFUNCTION("""COMPUTED_VALUE"""),"Breach,Cypher,Sova,Omen,Neon")</f>
        <v>Breach,Cypher,Sova,Omen,Neon</v>
      </c>
      <c r="I435" s="189">
        <f>IFERROR(__xludf.DUMMYFUNCTION("""COMPUTED_VALUE"""),13.0)</f>
        <v>13</v>
      </c>
      <c r="J435" s="189">
        <f>IFERROR(__xludf.DUMMYFUNCTION("""COMPUTED_VALUE"""),8.0)</f>
        <v>8</v>
      </c>
      <c r="K435" s="189">
        <f>IFERROR(__xludf.DUMMYFUNCTION("""COMPUTED_VALUE"""),6.0)</f>
        <v>6</v>
      </c>
      <c r="L435" s="189">
        <f>IFERROR(__xludf.DUMMYFUNCTION("""COMPUTED_VALUE"""),6.0)</f>
        <v>6</v>
      </c>
      <c r="M435" s="189">
        <f>IFERROR(__xludf.DUMMYFUNCTION("""COMPUTED_VALUE"""),0.0)</f>
        <v>0</v>
      </c>
      <c r="N435" s="189">
        <f>IFERROR(__xludf.DUMMYFUNCTION("""COMPUTED_VALUE"""),1.0)</f>
        <v>1</v>
      </c>
      <c r="O435" s="189">
        <f>IFERROR(__xludf.DUMMYFUNCTION("""COMPUTED_VALUE"""),6.0)</f>
        <v>6</v>
      </c>
      <c r="P435" s="189">
        <f>IFERROR(__xludf.DUMMYFUNCTION("""COMPUTED_VALUE"""),6.0)</f>
        <v>6</v>
      </c>
      <c r="Q435" s="189">
        <f>IFERROR(__xludf.DUMMYFUNCTION("""COMPUTED_VALUE"""),7.0)</f>
        <v>7</v>
      </c>
      <c r="R435" s="189">
        <f>IFERROR(__xludf.DUMMYFUNCTION("""COMPUTED_VALUE"""),2.0)</f>
        <v>2</v>
      </c>
      <c r="S435" s="189">
        <f>IFERROR(__xludf.DUMMYFUNCTION("""COMPUTED_VALUE"""),0.0)</f>
        <v>0</v>
      </c>
      <c r="T435" s="189">
        <f>IFERROR(__xludf.DUMMYFUNCTION("""COMPUTED_VALUE"""),1.0)</f>
        <v>1</v>
      </c>
      <c r="U435" s="189">
        <f>IFERROR(__xludf.DUMMYFUNCTION("""COMPUTED_VALUE"""),2.0)</f>
        <v>2</v>
      </c>
      <c r="V435" s="189">
        <f>IFERROR(__xludf.DUMMYFUNCTION("""COMPUTED_VALUE"""),7.0)</f>
        <v>7</v>
      </c>
      <c r="W435" s="189">
        <f>IFERROR(__xludf.DUMMYFUNCTION("""COMPUTED_VALUE"""),6.0)</f>
        <v>6</v>
      </c>
      <c r="X435" s="189">
        <f>IFERROR(__xludf.DUMMYFUNCTION("""COMPUTED_VALUE"""),6.0)</f>
        <v>6</v>
      </c>
      <c r="Y435" s="208" t="str">
        <f>IFERROR(__xludf.DUMMYFUNCTION("""COMPUTED_VALUE"""),"2025-07-26T00:00:00.000Z")</f>
        <v>2025-07-26T00:00:00.000Z</v>
      </c>
      <c r="Z435" s="189" t="s">
        <v>92</v>
      </c>
      <c r="AA435" s="189" t="s">
        <v>190</v>
      </c>
    </row>
    <row r="436">
      <c r="A436" s="189">
        <f>IFERROR(__xludf.DUMMYFUNCTION("""COMPUTED_VALUE"""),210905.0)</f>
        <v>210905</v>
      </c>
      <c r="B436" s="189">
        <f>IFERROR(__xludf.DUMMYFUNCTION("""COMPUTED_VALUE"""),92757.0)</f>
        <v>92757</v>
      </c>
      <c r="C436" s="189" t="str">
        <f>IFERROR(__xludf.DUMMYFUNCTION("""COMPUTED_VALUE"""),"Challengers League 2025 NORTH EAST: Split 3 - Upper Swiss Phase")</f>
        <v>Challengers League 2025 NORTH EAST: Split 3 - Upper Swiss Phase</v>
      </c>
      <c r="D436" s="189" t="str">
        <f>IFERROR(__xludf.DUMMYFUNCTION("""COMPUTED_VALUE"""),"Ascent")</f>
        <v>Ascent</v>
      </c>
      <c r="E436" s="189" t="str">
        <f>IFERROR(__xludf.DUMMYFUNCTION("""COMPUTED_VALUE"""),"děti ulice")</f>
        <v>děti ulice</v>
      </c>
      <c r="F436" s="189" t="str">
        <f>IFERROR(__xludf.DUMMYFUNCTION("""COMPUTED_VALUE"""),"Twisted Saints Esports")</f>
        <v>Twisted Saints Esports</v>
      </c>
      <c r="G436" s="189" t="str">
        <f>IFERROR(__xludf.DUMMYFUNCTION("""COMPUTED_VALUE"""),"Sova,Killjoy,Omen,Jett,KAY/O")</f>
        <v>Sova,Killjoy,Omen,Jett,KAY/O</v>
      </c>
      <c r="H436" s="189" t="str">
        <f>IFERROR(__xludf.DUMMYFUNCTION("""COMPUTED_VALUE"""),"Sova,Omen,Yoru,Chamber,Vyse")</f>
        <v>Sova,Omen,Yoru,Chamber,Vyse</v>
      </c>
      <c r="I436" s="189">
        <f>IFERROR(__xludf.DUMMYFUNCTION("""COMPUTED_VALUE"""),14.0)</f>
        <v>14</v>
      </c>
      <c r="J436" s="189">
        <f>IFERROR(__xludf.DUMMYFUNCTION("""COMPUTED_VALUE"""),12.0)</f>
        <v>12</v>
      </c>
      <c r="K436" s="189">
        <f>IFERROR(__xludf.DUMMYFUNCTION("""COMPUTED_VALUE"""),8.0)</f>
        <v>8</v>
      </c>
      <c r="L436" s="189">
        <f>IFERROR(__xludf.DUMMYFUNCTION("""COMPUTED_VALUE"""),4.0)</f>
        <v>4</v>
      </c>
      <c r="M436" s="189">
        <f>IFERROR(__xludf.DUMMYFUNCTION("""COMPUTED_VALUE"""),1.0)</f>
        <v>1</v>
      </c>
      <c r="N436" s="189">
        <f>IFERROR(__xludf.DUMMYFUNCTION("""COMPUTED_VALUE"""),1.0)</f>
        <v>1</v>
      </c>
      <c r="O436" s="189">
        <f>IFERROR(__xludf.DUMMYFUNCTION("""COMPUTED_VALUE"""),5.0)</f>
        <v>5</v>
      </c>
      <c r="P436" s="189">
        <f>IFERROR(__xludf.DUMMYFUNCTION("""COMPUTED_VALUE"""),8.0)</f>
        <v>8</v>
      </c>
      <c r="Q436" s="189">
        <f>IFERROR(__xludf.DUMMYFUNCTION("""COMPUTED_VALUE"""),9.0)</f>
        <v>9</v>
      </c>
      <c r="R436" s="189">
        <f>IFERROR(__xludf.DUMMYFUNCTION("""COMPUTED_VALUE"""),4.0)</f>
        <v>4</v>
      </c>
      <c r="S436" s="189">
        <f>IFERROR(__xludf.DUMMYFUNCTION("""COMPUTED_VALUE"""),0.0)</f>
        <v>0</v>
      </c>
      <c r="T436" s="189">
        <f>IFERROR(__xludf.DUMMYFUNCTION("""COMPUTED_VALUE"""),0.0)</f>
        <v>0</v>
      </c>
      <c r="U436" s="189">
        <f>IFERROR(__xludf.DUMMYFUNCTION("""COMPUTED_VALUE"""),4.0)</f>
        <v>4</v>
      </c>
      <c r="V436" s="189">
        <f>IFERROR(__xludf.DUMMYFUNCTION("""COMPUTED_VALUE"""),9.0)</f>
        <v>9</v>
      </c>
      <c r="W436" s="189">
        <f>IFERROR(__xludf.DUMMYFUNCTION("""COMPUTED_VALUE"""),8.0)</f>
        <v>8</v>
      </c>
      <c r="X436" s="189">
        <f>IFERROR(__xludf.DUMMYFUNCTION("""COMPUTED_VALUE"""),5.0)</f>
        <v>5</v>
      </c>
      <c r="Y436" s="208" t="str">
        <f>IFERROR(__xludf.DUMMYFUNCTION("""COMPUTED_VALUE"""),"2025-07-22T00:00:00.000Z")</f>
        <v>2025-07-22T00:00:00.000Z</v>
      </c>
      <c r="Z436" s="189" t="s">
        <v>85</v>
      </c>
      <c r="AA436" s="189" t="s">
        <v>190</v>
      </c>
    </row>
    <row r="437">
      <c r="A437" s="189">
        <f>IFERROR(__xludf.DUMMYFUNCTION("""COMPUTED_VALUE"""),210904.0)</f>
        <v>210904</v>
      </c>
      <c r="B437" s="189">
        <f>IFERROR(__xludf.DUMMYFUNCTION("""COMPUTED_VALUE"""),92757.0)</f>
        <v>92757</v>
      </c>
      <c r="C437" s="189" t="str">
        <f>IFERROR(__xludf.DUMMYFUNCTION("""COMPUTED_VALUE"""),"Challengers League 2025 NORTH EAST: Split 3 - Upper Swiss Phase")</f>
        <v>Challengers League 2025 NORTH EAST: Split 3 - Upper Swiss Phase</v>
      </c>
      <c r="D437" s="189" t="str">
        <f>IFERROR(__xludf.DUMMYFUNCTION("""COMPUTED_VALUE"""),"Haven")</f>
        <v>Haven</v>
      </c>
      <c r="E437" s="189" t="str">
        <f>IFERROR(__xludf.DUMMYFUNCTION("""COMPUTED_VALUE"""),"děti ulice")</f>
        <v>děti ulice</v>
      </c>
      <c r="F437" s="189" t="str">
        <f>IFERROR(__xludf.DUMMYFUNCTION("""COMPUTED_VALUE"""),"Twisted Saints Esports")</f>
        <v>Twisted Saints Esports</v>
      </c>
      <c r="G437" s="189" t="str">
        <f>IFERROR(__xludf.DUMMYFUNCTION("""COMPUTED_VALUE"""),"Cypher,Sova,Omen,Yoru,Iso")</f>
        <v>Cypher,Sova,Omen,Yoru,Iso</v>
      </c>
      <c r="H437" s="189" t="str">
        <f>IFERROR(__xludf.DUMMYFUNCTION("""COMPUTED_VALUE"""),"Cypher,Sova,Omen,Yoru,Iso")</f>
        <v>Cypher,Sova,Omen,Yoru,Iso</v>
      </c>
      <c r="I437" s="189">
        <f>IFERROR(__xludf.DUMMYFUNCTION("""COMPUTED_VALUE"""),13.0)</f>
        <v>13</v>
      </c>
      <c r="J437" s="189">
        <f>IFERROR(__xludf.DUMMYFUNCTION("""COMPUTED_VALUE"""),9.0)</f>
        <v>9</v>
      </c>
      <c r="K437" s="189">
        <f>IFERROR(__xludf.DUMMYFUNCTION("""COMPUTED_VALUE"""),9.0)</f>
        <v>9</v>
      </c>
      <c r="L437" s="189">
        <f>IFERROR(__xludf.DUMMYFUNCTION("""COMPUTED_VALUE"""),3.0)</f>
        <v>3</v>
      </c>
      <c r="M437" s="189">
        <f>IFERROR(__xludf.DUMMYFUNCTION("""COMPUTED_VALUE"""),0.0)</f>
        <v>0</v>
      </c>
      <c r="N437" s="189">
        <f>IFERROR(__xludf.DUMMYFUNCTION("""COMPUTED_VALUE"""),0.0)</f>
        <v>0</v>
      </c>
      <c r="O437" s="189">
        <f>IFERROR(__xludf.DUMMYFUNCTION("""COMPUTED_VALUE"""),9.0)</f>
        <v>9</v>
      </c>
      <c r="P437" s="189">
        <f>IFERROR(__xludf.DUMMYFUNCTION("""COMPUTED_VALUE"""),3.0)</f>
        <v>3</v>
      </c>
      <c r="Q437" s="189">
        <f>IFERROR(__xludf.DUMMYFUNCTION("""COMPUTED_VALUE"""),4.0)</f>
        <v>4</v>
      </c>
      <c r="R437" s="189">
        <f>IFERROR(__xludf.DUMMYFUNCTION("""COMPUTED_VALUE"""),6.0)</f>
        <v>6</v>
      </c>
      <c r="S437" s="189">
        <f>IFERROR(__xludf.DUMMYFUNCTION("""COMPUTED_VALUE"""),1.0)</f>
        <v>1</v>
      </c>
      <c r="T437" s="189">
        <f>IFERROR(__xludf.DUMMYFUNCTION("""COMPUTED_VALUE"""),1.0)</f>
        <v>1</v>
      </c>
      <c r="U437" s="189">
        <f>IFERROR(__xludf.DUMMYFUNCTION("""COMPUTED_VALUE"""),6.0)</f>
        <v>6</v>
      </c>
      <c r="V437" s="189">
        <f>IFERROR(__xludf.DUMMYFUNCTION("""COMPUTED_VALUE"""),4.0)</f>
        <v>4</v>
      </c>
      <c r="W437" s="189">
        <f>IFERROR(__xludf.DUMMYFUNCTION("""COMPUTED_VALUE"""),3.0)</f>
        <v>3</v>
      </c>
      <c r="X437" s="189">
        <f>IFERROR(__xludf.DUMMYFUNCTION("""COMPUTED_VALUE"""),9.0)</f>
        <v>9</v>
      </c>
      <c r="Y437" s="208" t="str">
        <f>IFERROR(__xludf.DUMMYFUNCTION("""COMPUTED_VALUE"""),"2025-07-22T00:00:00.000Z")</f>
        <v>2025-07-22T00:00:00.000Z</v>
      </c>
      <c r="Z437" s="189" t="s">
        <v>88</v>
      </c>
      <c r="AA437" s="189" t="s">
        <v>190</v>
      </c>
    </row>
    <row r="438">
      <c r="A438" s="189">
        <f>IFERROR(__xludf.DUMMYFUNCTION("""COMPUTED_VALUE"""),210903.0)</f>
        <v>210903</v>
      </c>
      <c r="B438" s="189">
        <f>IFERROR(__xludf.DUMMYFUNCTION("""COMPUTED_VALUE"""),92757.0)</f>
        <v>92757</v>
      </c>
      <c r="C438" s="189" t="str">
        <f>IFERROR(__xludf.DUMMYFUNCTION("""COMPUTED_VALUE"""),"Challengers League 2025 NORTH EAST: Split 3 - Upper Swiss Phase")</f>
        <v>Challengers League 2025 NORTH EAST: Split 3 - Upper Swiss Phase</v>
      </c>
      <c r="D438" s="189" t="str">
        <f>IFERROR(__xludf.DUMMYFUNCTION("""COMPUTED_VALUE"""),"Lotus")</f>
        <v>Lotus</v>
      </c>
      <c r="E438" s="189" t="str">
        <f>IFERROR(__xludf.DUMMYFUNCTION("""COMPUTED_VALUE"""),"děti ulice")</f>
        <v>děti ulice</v>
      </c>
      <c r="F438" s="189" t="str">
        <f>IFERROR(__xludf.DUMMYFUNCTION("""COMPUTED_VALUE"""),"Twisted Saints Esports")</f>
        <v>Twisted Saints Esports</v>
      </c>
      <c r="G438" s="189" t="str">
        <f>IFERROR(__xludf.DUMMYFUNCTION("""COMPUTED_VALUE"""),"Raze,Killjoy,Viper,Omen,Fade")</f>
        <v>Raze,Killjoy,Viper,Omen,Fade</v>
      </c>
      <c r="H438" s="189" t="str">
        <f>IFERROR(__xludf.DUMMYFUNCTION("""COMPUTED_VALUE"""),"Raze,Killjoy,Viper,Omen,Fade")</f>
        <v>Raze,Killjoy,Viper,Omen,Fade</v>
      </c>
      <c r="I438" s="189">
        <f>IFERROR(__xludf.DUMMYFUNCTION("""COMPUTED_VALUE"""),3.0)</f>
        <v>3</v>
      </c>
      <c r="J438" s="189">
        <f>IFERROR(__xludf.DUMMYFUNCTION("""COMPUTED_VALUE"""),13.0)</f>
        <v>13</v>
      </c>
      <c r="K438" s="189">
        <f>IFERROR(__xludf.DUMMYFUNCTION("""COMPUTED_VALUE"""),3.0)</f>
        <v>3</v>
      </c>
      <c r="L438" s="189">
        <f>IFERROR(__xludf.DUMMYFUNCTION("""COMPUTED_VALUE"""),9.0)</f>
        <v>9</v>
      </c>
      <c r="M438" s="189">
        <f>IFERROR(__xludf.DUMMYFUNCTION("""COMPUTED_VALUE"""),0.0)</f>
        <v>0</v>
      </c>
      <c r="N438" s="189">
        <f>IFERROR(__xludf.DUMMYFUNCTION("""COMPUTED_VALUE"""),0.0)</f>
        <v>0</v>
      </c>
      <c r="O438" s="189">
        <f>IFERROR(__xludf.DUMMYFUNCTION("""COMPUTED_VALUE"""),0.0)</f>
        <v>0</v>
      </c>
      <c r="P438" s="189">
        <f>IFERROR(__xludf.DUMMYFUNCTION("""COMPUTED_VALUE"""),4.0)</f>
        <v>4</v>
      </c>
      <c r="Q438" s="189">
        <f>IFERROR(__xludf.DUMMYFUNCTION("""COMPUTED_VALUE"""),3.0)</f>
        <v>3</v>
      </c>
      <c r="R438" s="189">
        <f>IFERROR(__xludf.DUMMYFUNCTION("""COMPUTED_VALUE"""),9.0)</f>
        <v>9</v>
      </c>
      <c r="S438" s="189">
        <f>IFERROR(__xludf.DUMMYFUNCTION("""COMPUTED_VALUE"""),1.0)</f>
        <v>1</v>
      </c>
      <c r="T438" s="189">
        <f>IFERROR(__xludf.DUMMYFUNCTION("""COMPUTED_VALUE"""),1.0)</f>
        <v>1</v>
      </c>
      <c r="U438" s="189">
        <f>IFERROR(__xludf.DUMMYFUNCTION("""COMPUTED_VALUE"""),9.0)</f>
        <v>9</v>
      </c>
      <c r="V438" s="189">
        <f>IFERROR(__xludf.DUMMYFUNCTION("""COMPUTED_VALUE"""),3.0)</f>
        <v>3</v>
      </c>
      <c r="W438" s="189">
        <f>IFERROR(__xludf.DUMMYFUNCTION("""COMPUTED_VALUE"""),4.0)</f>
        <v>4</v>
      </c>
      <c r="X438" s="189">
        <f>IFERROR(__xludf.DUMMYFUNCTION("""COMPUTED_VALUE"""),0.0)</f>
        <v>0</v>
      </c>
      <c r="Y438" s="208" t="str">
        <f>IFERROR(__xludf.DUMMYFUNCTION("""COMPUTED_VALUE"""),"2025-07-22T00:00:00.000Z")</f>
        <v>2025-07-22T00:00:00.000Z</v>
      </c>
      <c r="Z438" s="189" t="s">
        <v>90</v>
      </c>
      <c r="AA438" s="189" t="s">
        <v>425</v>
      </c>
    </row>
    <row r="439">
      <c r="A439" s="189">
        <f>IFERROR(__xludf.DUMMYFUNCTION("""COMPUTED_VALUE"""),210901.0)</f>
        <v>210901</v>
      </c>
      <c r="B439" s="189">
        <f>IFERROR(__xludf.DUMMYFUNCTION("""COMPUTED_VALUE"""),92756.0)</f>
        <v>92756</v>
      </c>
      <c r="C439" s="189" t="str">
        <f>IFERROR(__xludf.DUMMYFUNCTION("""COMPUTED_VALUE"""),"Challengers League 2025 NORTH EAST: Split 3 - Upper Swiss Phase")</f>
        <v>Challengers League 2025 NORTH EAST: Split 3 - Upper Swiss Phase</v>
      </c>
      <c r="D439" s="189" t="str">
        <f>IFERROR(__xludf.DUMMYFUNCTION("""COMPUTED_VALUE"""),"Icebox")</f>
        <v>Icebox</v>
      </c>
      <c r="E439" s="189" t="str">
        <f>IFERROR(__xludf.DUMMYFUNCTION("""COMPUTED_VALUE"""),"Boars Gaming")</f>
        <v>Boars Gaming</v>
      </c>
      <c r="F439" s="189" t="str">
        <f>IFERROR(__xludf.DUMMYFUNCTION("""COMPUTED_VALUE"""),"Input Lag Enjoyer")</f>
        <v>Input Lag Enjoyer</v>
      </c>
      <c r="G439" s="189" t="str">
        <f>IFERROR(__xludf.DUMMYFUNCTION("""COMPUTED_VALUE"""),"Sova,Killjoy,Viper,Omen,Jett")</f>
        <v>Sova,Killjoy,Viper,Omen,Jett</v>
      </c>
      <c r="H439" s="189" t="str">
        <f>IFERROR(__xludf.DUMMYFUNCTION("""COMPUTED_VALUE"""),"Sova,Killjoy,Viper,Reyna,Jett")</f>
        <v>Sova,Killjoy,Viper,Reyna,Jett</v>
      </c>
      <c r="I439" s="189">
        <f>IFERROR(__xludf.DUMMYFUNCTION("""COMPUTED_VALUE"""),13.0)</f>
        <v>13</v>
      </c>
      <c r="J439" s="189">
        <f>IFERROR(__xludf.DUMMYFUNCTION("""COMPUTED_VALUE"""),9.0)</f>
        <v>9</v>
      </c>
      <c r="K439" s="189">
        <f>IFERROR(__xludf.DUMMYFUNCTION("""COMPUTED_VALUE"""),6.0)</f>
        <v>6</v>
      </c>
      <c r="L439" s="189">
        <f>IFERROR(__xludf.DUMMYFUNCTION("""COMPUTED_VALUE"""),6.0)</f>
        <v>6</v>
      </c>
      <c r="M439" s="189">
        <f>IFERROR(__xludf.DUMMYFUNCTION("""COMPUTED_VALUE"""),1.0)</f>
        <v>1</v>
      </c>
      <c r="N439" s="189">
        <f>IFERROR(__xludf.DUMMYFUNCTION("""COMPUTED_VALUE"""),1.0)</f>
        <v>1</v>
      </c>
      <c r="O439" s="189">
        <f>IFERROR(__xludf.DUMMYFUNCTION("""COMPUTED_VALUE"""),6.0)</f>
        <v>6</v>
      </c>
      <c r="P439" s="189">
        <f>IFERROR(__xludf.DUMMYFUNCTION("""COMPUTED_VALUE"""),6.0)</f>
        <v>6</v>
      </c>
      <c r="Q439" s="189">
        <f>IFERROR(__xludf.DUMMYFUNCTION("""COMPUTED_VALUE"""),7.0)</f>
        <v>7</v>
      </c>
      <c r="R439" s="189">
        <f>IFERROR(__xludf.DUMMYFUNCTION("""COMPUTED_VALUE"""),3.0)</f>
        <v>3</v>
      </c>
      <c r="S439" s="189">
        <f>IFERROR(__xludf.DUMMYFUNCTION("""COMPUTED_VALUE"""),0.0)</f>
        <v>0</v>
      </c>
      <c r="T439" s="189">
        <f>IFERROR(__xludf.DUMMYFUNCTION("""COMPUTED_VALUE"""),0.0)</f>
        <v>0</v>
      </c>
      <c r="U439" s="189">
        <f>IFERROR(__xludf.DUMMYFUNCTION("""COMPUTED_VALUE"""),3.0)</f>
        <v>3</v>
      </c>
      <c r="V439" s="189">
        <f>IFERROR(__xludf.DUMMYFUNCTION("""COMPUTED_VALUE"""),7.0)</f>
        <v>7</v>
      </c>
      <c r="W439" s="189">
        <f>IFERROR(__xludf.DUMMYFUNCTION("""COMPUTED_VALUE"""),6.0)</f>
        <v>6</v>
      </c>
      <c r="X439" s="189">
        <f>IFERROR(__xludf.DUMMYFUNCTION("""COMPUTED_VALUE"""),6.0)</f>
        <v>6</v>
      </c>
      <c r="Y439" s="208" t="str">
        <f>IFERROR(__xludf.DUMMYFUNCTION("""COMPUTED_VALUE"""),"2025-07-22T00:00:00.000Z")</f>
        <v>2025-07-22T00:00:00.000Z</v>
      </c>
      <c r="Z439" s="189" t="s">
        <v>80</v>
      </c>
      <c r="AA439" s="189" t="s">
        <v>181</v>
      </c>
    </row>
    <row r="440">
      <c r="A440" s="189">
        <f>IFERROR(__xludf.DUMMYFUNCTION("""COMPUTED_VALUE"""),210900.0)</f>
        <v>210900</v>
      </c>
      <c r="B440" s="189">
        <f>IFERROR(__xludf.DUMMYFUNCTION("""COMPUTED_VALUE"""),92756.0)</f>
        <v>92756</v>
      </c>
      <c r="C440" s="189" t="str">
        <f>IFERROR(__xludf.DUMMYFUNCTION("""COMPUTED_VALUE"""),"Challengers League 2025 NORTH EAST: Split 3 - Upper Swiss Phase")</f>
        <v>Challengers League 2025 NORTH EAST: Split 3 - Upper Swiss Phase</v>
      </c>
      <c r="D440" s="189" t="str">
        <f>IFERROR(__xludf.DUMMYFUNCTION("""COMPUTED_VALUE"""),"Haven")</f>
        <v>Haven</v>
      </c>
      <c r="E440" s="189" t="str">
        <f>IFERROR(__xludf.DUMMYFUNCTION("""COMPUTED_VALUE"""),"Boars Gaming")</f>
        <v>Boars Gaming</v>
      </c>
      <c r="F440" s="189" t="str">
        <f>IFERROR(__xludf.DUMMYFUNCTION("""COMPUTED_VALUE"""),"Input Lag Enjoyer")</f>
        <v>Input Lag Enjoyer</v>
      </c>
      <c r="G440" s="189" t="str">
        <f>IFERROR(__xludf.DUMMYFUNCTION("""COMPUTED_VALUE"""),"Breach,Cypher,Sova,Omen,Neon")</f>
        <v>Breach,Cypher,Sova,Omen,Neon</v>
      </c>
      <c r="H440" s="189" t="str">
        <f>IFERROR(__xludf.DUMMYFUNCTION("""COMPUTED_VALUE"""),"Breach,Cypher,Sova,Omen,Jett")</f>
        <v>Breach,Cypher,Sova,Omen,Jett</v>
      </c>
      <c r="I440" s="189">
        <f>IFERROR(__xludf.DUMMYFUNCTION("""COMPUTED_VALUE"""),13.0)</f>
        <v>13</v>
      </c>
      <c r="J440" s="189">
        <f>IFERROR(__xludf.DUMMYFUNCTION("""COMPUTED_VALUE"""),11.0)</f>
        <v>11</v>
      </c>
      <c r="K440" s="189">
        <f>IFERROR(__xludf.DUMMYFUNCTION("""COMPUTED_VALUE"""),7.0)</f>
        <v>7</v>
      </c>
      <c r="L440" s="189">
        <f>IFERROR(__xludf.DUMMYFUNCTION("""COMPUTED_VALUE"""),5.0)</f>
        <v>5</v>
      </c>
      <c r="M440" s="189">
        <f>IFERROR(__xludf.DUMMYFUNCTION("""COMPUTED_VALUE"""),1.0)</f>
        <v>1</v>
      </c>
      <c r="N440" s="189">
        <f>IFERROR(__xludf.DUMMYFUNCTION("""COMPUTED_VALUE"""),0.0)</f>
        <v>0</v>
      </c>
      <c r="O440" s="189">
        <f>IFERROR(__xludf.DUMMYFUNCTION("""COMPUTED_VALUE"""),7.0)</f>
        <v>7</v>
      </c>
      <c r="P440" s="189">
        <f>IFERROR(__xludf.DUMMYFUNCTION("""COMPUTED_VALUE"""),5.0)</f>
        <v>5</v>
      </c>
      <c r="Q440" s="189">
        <f>IFERROR(__xludf.DUMMYFUNCTION("""COMPUTED_VALUE"""),6.0)</f>
        <v>6</v>
      </c>
      <c r="R440" s="189">
        <f>IFERROR(__xludf.DUMMYFUNCTION("""COMPUTED_VALUE"""),6.0)</f>
        <v>6</v>
      </c>
      <c r="S440" s="189">
        <f>IFERROR(__xludf.DUMMYFUNCTION("""COMPUTED_VALUE"""),1.0)</f>
        <v>1</v>
      </c>
      <c r="T440" s="189">
        <f>IFERROR(__xludf.DUMMYFUNCTION("""COMPUTED_VALUE"""),0.0)</f>
        <v>0</v>
      </c>
      <c r="U440" s="189">
        <f>IFERROR(__xludf.DUMMYFUNCTION("""COMPUTED_VALUE"""),6.0)</f>
        <v>6</v>
      </c>
      <c r="V440" s="189">
        <f>IFERROR(__xludf.DUMMYFUNCTION("""COMPUTED_VALUE"""),6.0)</f>
        <v>6</v>
      </c>
      <c r="W440" s="189">
        <f>IFERROR(__xludf.DUMMYFUNCTION("""COMPUTED_VALUE"""),5.0)</f>
        <v>5</v>
      </c>
      <c r="X440" s="189">
        <f>IFERROR(__xludf.DUMMYFUNCTION("""COMPUTED_VALUE"""),7.0)</f>
        <v>7</v>
      </c>
      <c r="Y440" s="208" t="str">
        <f>IFERROR(__xludf.DUMMYFUNCTION("""COMPUTED_VALUE"""),"2025-07-22T00:00:00.000Z")</f>
        <v>2025-07-22T00:00:00.000Z</v>
      </c>
      <c r="Z440" s="189" t="s">
        <v>79</v>
      </c>
      <c r="AA440" s="189" t="s">
        <v>181</v>
      </c>
    </row>
    <row r="441">
      <c r="A441" s="189">
        <f>IFERROR(__xludf.DUMMYFUNCTION("""COMPUTED_VALUE"""),210899.0)</f>
        <v>210899</v>
      </c>
      <c r="B441" s="189">
        <f>IFERROR(__xludf.DUMMYFUNCTION("""COMPUTED_VALUE"""),92755.0)</f>
        <v>92755</v>
      </c>
      <c r="C441" s="189" t="str">
        <f>IFERROR(__xludf.DUMMYFUNCTION("""COMPUTED_VALUE"""),"Challengers League 2025 NORTH EAST: Split 3 - Upper Swiss Phase")</f>
        <v>Challengers League 2025 NORTH EAST: Split 3 - Upper Swiss Phase</v>
      </c>
      <c r="D441" s="189" t="str">
        <f>IFERROR(__xludf.DUMMYFUNCTION("""COMPUTED_VALUE"""),"Haven")</f>
        <v>Haven</v>
      </c>
      <c r="E441" s="189" t="str">
        <f>IFERROR(__xludf.DUMMYFUNCTION("""COMPUTED_VALUE"""),"ESC Gaming")</f>
        <v>ESC Gaming</v>
      </c>
      <c r="F441" s="189" t="str">
        <f>IFERROR(__xludf.DUMMYFUNCTION("""COMPUTED_VALUE"""),"Team Liquid Academy")</f>
        <v>Team Liquid Academy</v>
      </c>
      <c r="G441" s="189" t="str">
        <f>IFERROR(__xludf.DUMMYFUNCTION("""COMPUTED_VALUE"""),"Breach,Cypher,Sova,Omen,Neon")</f>
        <v>Breach,Cypher,Sova,Omen,Neon</v>
      </c>
      <c r="H441" s="189" t="str">
        <f>IFERROR(__xludf.DUMMYFUNCTION("""COMPUTED_VALUE"""),"Cypher,Sova,Omen,Yoru,Iso")</f>
        <v>Cypher,Sova,Omen,Yoru,Iso</v>
      </c>
      <c r="I441" s="189">
        <f>IFERROR(__xludf.DUMMYFUNCTION("""COMPUTED_VALUE"""),9.0)</f>
        <v>9</v>
      </c>
      <c r="J441" s="189">
        <f>IFERROR(__xludf.DUMMYFUNCTION("""COMPUTED_VALUE"""),13.0)</f>
        <v>13</v>
      </c>
      <c r="K441" s="189">
        <f>IFERROR(__xludf.DUMMYFUNCTION("""COMPUTED_VALUE"""),4.0)</f>
        <v>4</v>
      </c>
      <c r="L441" s="189">
        <f>IFERROR(__xludf.DUMMYFUNCTION("""COMPUTED_VALUE"""),8.0)</f>
        <v>8</v>
      </c>
      <c r="M441" s="189">
        <f>IFERROR(__xludf.DUMMYFUNCTION("""COMPUTED_VALUE"""),0.0)</f>
        <v>0</v>
      </c>
      <c r="N441" s="189">
        <f>IFERROR(__xludf.DUMMYFUNCTION("""COMPUTED_VALUE"""),0.0)</f>
        <v>0</v>
      </c>
      <c r="O441" s="189">
        <f>IFERROR(__xludf.DUMMYFUNCTION("""COMPUTED_VALUE"""),4.0)</f>
        <v>4</v>
      </c>
      <c r="P441" s="189">
        <f>IFERROR(__xludf.DUMMYFUNCTION("""COMPUTED_VALUE"""),8.0)</f>
        <v>8</v>
      </c>
      <c r="Q441" s="189">
        <f>IFERROR(__xludf.DUMMYFUNCTION("""COMPUTED_VALUE"""),5.0)</f>
        <v>5</v>
      </c>
      <c r="R441" s="189">
        <f>IFERROR(__xludf.DUMMYFUNCTION("""COMPUTED_VALUE"""),5.0)</f>
        <v>5</v>
      </c>
      <c r="S441" s="189">
        <f>IFERROR(__xludf.DUMMYFUNCTION("""COMPUTED_VALUE"""),1.0)</f>
        <v>1</v>
      </c>
      <c r="T441" s="189">
        <f>IFERROR(__xludf.DUMMYFUNCTION("""COMPUTED_VALUE"""),1.0)</f>
        <v>1</v>
      </c>
      <c r="U441" s="189">
        <f>IFERROR(__xludf.DUMMYFUNCTION("""COMPUTED_VALUE"""),5.0)</f>
        <v>5</v>
      </c>
      <c r="V441" s="189">
        <f>IFERROR(__xludf.DUMMYFUNCTION("""COMPUTED_VALUE"""),5.0)</f>
        <v>5</v>
      </c>
      <c r="W441" s="189">
        <f>IFERROR(__xludf.DUMMYFUNCTION("""COMPUTED_VALUE"""),8.0)</f>
        <v>8</v>
      </c>
      <c r="X441" s="189">
        <f>IFERROR(__xludf.DUMMYFUNCTION("""COMPUTED_VALUE"""),4.0)</f>
        <v>4</v>
      </c>
      <c r="Y441" s="208" t="str">
        <f>IFERROR(__xludf.DUMMYFUNCTION("""COMPUTED_VALUE"""),"2025-07-21T00:00:00.000Z")</f>
        <v>2025-07-21T00:00:00.000Z</v>
      </c>
      <c r="Z441" s="189" t="s">
        <v>527</v>
      </c>
      <c r="AA441" s="189" t="s">
        <v>1</v>
      </c>
    </row>
    <row r="442">
      <c r="A442" s="189">
        <f>IFERROR(__xludf.DUMMYFUNCTION("""COMPUTED_VALUE"""),210898.0)</f>
        <v>210898</v>
      </c>
      <c r="B442" s="189">
        <f>IFERROR(__xludf.DUMMYFUNCTION("""COMPUTED_VALUE"""),92755.0)</f>
        <v>92755</v>
      </c>
      <c r="C442" s="189" t="str">
        <f>IFERROR(__xludf.DUMMYFUNCTION("""COMPUTED_VALUE"""),"Challengers League 2025 NORTH EAST: Split 3 - Upper Swiss Phase")</f>
        <v>Challengers League 2025 NORTH EAST: Split 3 - Upper Swiss Phase</v>
      </c>
      <c r="D442" s="189" t="str">
        <f>IFERROR(__xludf.DUMMYFUNCTION("""COMPUTED_VALUE"""),"Ascent")</f>
        <v>Ascent</v>
      </c>
      <c r="E442" s="189" t="str">
        <f>IFERROR(__xludf.DUMMYFUNCTION("""COMPUTED_VALUE"""),"ESC Gaming")</f>
        <v>ESC Gaming</v>
      </c>
      <c r="F442" s="189" t="str">
        <f>IFERROR(__xludf.DUMMYFUNCTION("""COMPUTED_VALUE"""),"Team Liquid Academy")</f>
        <v>Team Liquid Academy</v>
      </c>
      <c r="G442" s="189" t="str">
        <f>IFERROR(__xludf.DUMMYFUNCTION("""COMPUTED_VALUE"""),"Sova,Killjoy,Viper,Omen,Neon")</f>
        <v>Sova,Killjoy,Viper,Omen,Neon</v>
      </c>
      <c r="H442" s="189" t="str">
        <f>IFERROR(__xludf.DUMMYFUNCTION("""COMPUTED_VALUE"""),"Sova,Omen,Yoru,Vyse,Waylay")</f>
        <v>Sova,Omen,Yoru,Vyse,Waylay</v>
      </c>
      <c r="I442" s="189">
        <f>IFERROR(__xludf.DUMMYFUNCTION("""COMPUTED_VALUE"""),6.0)</f>
        <v>6</v>
      </c>
      <c r="J442" s="189">
        <f>IFERROR(__xludf.DUMMYFUNCTION("""COMPUTED_VALUE"""),13.0)</f>
        <v>13</v>
      </c>
      <c r="K442" s="189">
        <f>IFERROR(__xludf.DUMMYFUNCTION("""COMPUTED_VALUE"""),6.0)</f>
        <v>6</v>
      </c>
      <c r="L442" s="189">
        <f>IFERROR(__xludf.DUMMYFUNCTION("""COMPUTED_VALUE"""),6.0)</f>
        <v>6</v>
      </c>
      <c r="M442" s="189">
        <f>IFERROR(__xludf.DUMMYFUNCTION("""COMPUTED_VALUE"""),0.0)</f>
        <v>0</v>
      </c>
      <c r="N442" s="189">
        <f>IFERROR(__xludf.DUMMYFUNCTION("""COMPUTED_VALUE"""),0.0)</f>
        <v>0</v>
      </c>
      <c r="O442" s="189">
        <f>IFERROR(__xludf.DUMMYFUNCTION("""COMPUTED_VALUE"""),0.0)</f>
        <v>0</v>
      </c>
      <c r="P442" s="189">
        <f>IFERROR(__xludf.DUMMYFUNCTION("""COMPUTED_VALUE"""),7.0)</f>
        <v>7</v>
      </c>
      <c r="Q442" s="189">
        <f>IFERROR(__xludf.DUMMYFUNCTION("""COMPUTED_VALUE"""),6.0)</f>
        <v>6</v>
      </c>
      <c r="R442" s="189">
        <f>IFERROR(__xludf.DUMMYFUNCTION("""COMPUTED_VALUE"""),6.0)</f>
        <v>6</v>
      </c>
      <c r="S442" s="189">
        <f>IFERROR(__xludf.DUMMYFUNCTION("""COMPUTED_VALUE"""),1.0)</f>
        <v>1</v>
      </c>
      <c r="T442" s="189">
        <f>IFERROR(__xludf.DUMMYFUNCTION("""COMPUTED_VALUE"""),1.0)</f>
        <v>1</v>
      </c>
      <c r="U442" s="189">
        <f>IFERROR(__xludf.DUMMYFUNCTION("""COMPUTED_VALUE"""),6.0)</f>
        <v>6</v>
      </c>
      <c r="V442" s="189">
        <f>IFERROR(__xludf.DUMMYFUNCTION("""COMPUTED_VALUE"""),6.0)</f>
        <v>6</v>
      </c>
      <c r="W442" s="189">
        <f>IFERROR(__xludf.DUMMYFUNCTION("""COMPUTED_VALUE"""),7.0)</f>
        <v>7</v>
      </c>
      <c r="X442" s="189">
        <f>IFERROR(__xludf.DUMMYFUNCTION("""COMPUTED_VALUE"""),0.0)</f>
        <v>0</v>
      </c>
      <c r="Y442" s="208" t="str">
        <f>IFERROR(__xludf.DUMMYFUNCTION("""COMPUTED_VALUE"""),"2025-07-21T00:00:00.000Z")</f>
        <v>2025-07-21T00:00:00.000Z</v>
      </c>
      <c r="Z442" s="189" t="s">
        <v>528</v>
      </c>
      <c r="AA442" s="189" t="s">
        <v>1</v>
      </c>
    </row>
    <row r="443">
      <c r="A443" s="189">
        <f>IFERROR(__xludf.DUMMYFUNCTION("""COMPUTED_VALUE"""),210362.0)</f>
        <v>210362</v>
      </c>
      <c r="B443" s="189">
        <f>IFERROR(__xludf.DUMMYFUNCTION("""COMPUTED_VALUE"""),92557.0)</f>
        <v>92557</v>
      </c>
      <c r="C443" s="189" t="str">
        <f>IFERROR(__xludf.DUMMYFUNCTION("""COMPUTED_VALUE"""),"Challengers League 2025 MENA: Resilience - GPI - Split 2 - Playoffs")</f>
        <v>Challengers League 2025 MENA: Resilience - GPI - Split 2 - Playoffs</v>
      </c>
      <c r="D443" s="189" t="str">
        <f>IFERROR(__xludf.DUMMYFUNCTION("""COMPUTED_VALUE"""),"Sunset")</f>
        <v>Sunset</v>
      </c>
      <c r="E443" s="189" t="str">
        <f>IFERROR(__xludf.DUMMYFUNCTION("""COMPUTED_VALUE"""),"The Ultimates")</f>
        <v>The Ultimates</v>
      </c>
      <c r="F443" s="189" t="str">
        <f>IFERROR(__xludf.DUMMYFUNCTION("""COMPUTED_VALUE"""),"Twisted Minds Esports")</f>
        <v>Twisted Minds Esports</v>
      </c>
      <c r="G443" s="189" t="str">
        <f>IFERROR(__xludf.DUMMYFUNCTION("""COMPUTED_VALUE"""),"Breach,Cypher,Sova,Omen,Neon")</f>
        <v>Breach,Cypher,Sova,Omen,Neon</v>
      </c>
      <c r="H443" s="189" t="str">
        <f>IFERROR(__xludf.DUMMYFUNCTION("""COMPUTED_VALUE"""),"Breach,Cypher,Omen,Neon,Fade")</f>
        <v>Breach,Cypher,Omen,Neon,Fade</v>
      </c>
      <c r="I443" s="189">
        <f>IFERROR(__xludf.DUMMYFUNCTION("""COMPUTED_VALUE"""),9.0)</f>
        <v>9</v>
      </c>
      <c r="J443" s="189">
        <f>IFERROR(__xludf.DUMMYFUNCTION("""COMPUTED_VALUE"""),13.0)</f>
        <v>13</v>
      </c>
      <c r="K443" s="189">
        <f>IFERROR(__xludf.DUMMYFUNCTION("""COMPUTED_VALUE"""),5.0)</f>
        <v>5</v>
      </c>
      <c r="L443" s="189">
        <f>IFERROR(__xludf.DUMMYFUNCTION("""COMPUTED_VALUE"""),7.0)</f>
        <v>7</v>
      </c>
      <c r="M443" s="189">
        <f>IFERROR(__xludf.DUMMYFUNCTION("""COMPUTED_VALUE"""),0.0)</f>
        <v>0</v>
      </c>
      <c r="N443" s="189">
        <f>IFERROR(__xludf.DUMMYFUNCTION("""COMPUTED_VALUE"""),0.0)</f>
        <v>0</v>
      </c>
      <c r="O443" s="189">
        <f>IFERROR(__xludf.DUMMYFUNCTION("""COMPUTED_VALUE"""),4.0)</f>
        <v>4</v>
      </c>
      <c r="P443" s="189">
        <f>IFERROR(__xludf.DUMMYFUNCTION("""COMPUTED_VALUE"""),6.0)</f>
        <v>6</v>
      </c>
      <c r="Q443" s="189">
        <f>IFERROR(__xludf.DUMMYFUNCTION("""COMPUTED_VALUE"""),5.0)</f>
        <v>5</v>
      </c>
      <c r="R443" s="189">
        <f>IFERROR(__xludf.DUMMYFUNCTION("""COMPUTED_VALUE"""),7.0)</f>
        <v>7</v>
      </c>
      <c r="S443" s="189">
        <f>IFERROR(__xludf.DUMMYFUNCTION("""COMPUTED_VALUE"""),1.0)</f>
        <v>1</v>
      </c>
      <c r="T443" s="189">
        <f>IFERROR(__xludf.DUMMYFUNCTION("""COMPUTED_VALUE"""),1.0)</f>
        <v>1</v>
      </c>
      <c r="U443" s="189">
        <f>IFERROR(__xludf.DUMMYFUNCTION("""COMPUTED_VALUE"""),7.0)</f>
        <v>7</v>
      </c>
      <c r="V443" s="189">
        <f>IFERROR(__xludf.DUMMYFUNCTION("""COMPUTED_VALUE"""),5.0)</f>
        <v>5</v>
      </c>
      <c r="W443" s="189">
        <f>IFERROR(__xludf.DUMMYFUNCTION("""COMPUTED_VALUE"""),6.0)</f>
        <v>6</v>
      </c>
      <c r="X443" s="189">
        <f>IFERROR(__xludf.DUMMYFUNCTION("""COMPUTED_VALUE"""),4.0)</f>
        <v>4</v>
      </c>
      <c r="Y443" s="208" t="str">
        <f>IFERROR(__xludf.DUMMYFUNCTION("""COMPUTED_VALUE"""),"2025-07-21T00:00:00.000Z")</f>
        <v>2025-07-21T00:00:00.000Z</v>
      </c>
      <c r="Z443" s="189" t="s">
        <v>158</v>
      </c>
      <c r="AA443" s="189" t="s">
        <v>184</v>
      </c>
    </row>
    <row r="444">
      <c r="A444" s="189">
        <f>IFERROR(__xludf.DUMMYFUNCTION("""COMPUTED_VALUE"""),210897.0)</f>
        <v>210897</v>
      </c>
      <c r="B444" s="189">
        <f>IFERROR(__xludf.DUMMYFUNCTION("""COMPUTED_VALUE"""),92755.0)</f>
        <v>92755</v>
      </c>
      <c r="C444" s="189" t="str">
        <f>IFERROR(__xludf.DUMMYFUNCTION("""COMPUTED_VALUE"""),"Challengers League 2025 NORTH EAST: Split 3 - Upper Swiss Phase")</f>
        <v>Challengers League 2025 NORTH EAST: Split 3 - Upper Swiss Phase</v>
      </c>
      <c r="D444" s="189" t="str">
        <f>IFERROR(__xludf.DUMMYFUNCTION("""COMPUTED_VALUE"""),"Lotus")</f>
        <v>Lotus</v>
      </c>
      <c r="E444" s="189" t="str">
        <f>IFERROR(__xludf.DUMMYFUNCTION("""COMPUTED_VALUE"""),"ESC Gaming")</f>
        <v>ESC Gaming</v>
      </c>
      <c r="F444" s="189" t="str">
        <f>IFERROR(__xludf.DUMMYFUNCTION("""COMPUTED_VALUE"""),"Team Liquid Academy")</f>
        <v>Team Liquid Academy</v>
      </c>
      <c r="G444" s="189" t="str">
        <f>IFERROR(__xludf.DUMMYFUNCTION("""COMPUTED_VALUE"""),"Raze,Viper,Omen,Fade,Vyse")</f>
        <v>Raze,Viper,Omen,Fade,Vyse</v>
      </c>
      <c r="H444" s="189" t="str">
        <f>IFERROR(__xludf.DUMMYFUNCTION("""COMPUTED_VALUE"""),"Breach,Cypher,Omen,Neon,Fade")</f>
        <v>Breach,Cypher,Omen,Neon,Fade</v>
      </c>
      <c r="I444" s="189">
        <f>IFERROR(__xludf.DUMMYFUNCTION("""COMPUTED_VALUE"""),16.0)</f>
        <v>16</v>
      </c>
      <c r="J444" s="189">
        <f>IFERROR(__xludf.DUMMYFUNCTION("""COMPUTED_VALUE"""),14.0)</f>
        <v>14</v>
      </c>
      <c r="K444" s="189">
        <f>IFERROR(__xludf.DUMMYFUNCTION("""COMPUTED_VALUE"""),3.0)</f>
        <v>3</v>
      </c>
      <c r="L444" s="189">
        <f>IFERROR(__xludf.DUMMYFUNCTION("""COMPUTED_VALUE"""),9.0)</f>
        <v>9</v>
      </c>
      <c r="M444" s="189">
        <f>IFERROR(__xludf.DUMMYFUNCTION("""COMPUTED_VALUE"""),0.0)</f>
        <v>0</v>
      </c>
      <c r="N444" s="189">
        <f>IFERROR(__xludf.DUMMYFUNCTION("""COMPUTED_VALUE"""),0.0)</f>
        <v>0</v>
      </c>
      <c r="O444" s="189">
        <f>IFERROR(__xludf.DUMMYFUNCTION("""COMPUTED_VALUE"""),5.0)</f>
        <v>5</v>
      </c>
      <c r="P444" s="189">
        <f>IFERROR(__xludf.DUMMYFUNCTION("""COMPUTED_VALUE"""),10.0)</f>
        <v>10</v>
      </c>
      <c r="Q444" s="189">
        <f>IFERROR(__xludf.DUMMYFUNCTION("""COMPUTED_VALUE"""),11.0)</f>
        <v>11</v>
      </c>
      <c r="R444" s="189">
        <f>IFERROR(__xludf.DUMMYFUNCTION("""COMPUTED_VALUE"""),4.0)</f>
        <v>4</v>
      </c>
      <c r="S444" s="189">
        <f>IFERROR(__xludf.DUMMYFUNCTION("""COMPUTED_VALUE"""),1.0)</f>
        <v>1</v>
      </c>
      <c r="T444" s="189">
        <f>IFERROR(__xludf.DUMMYFUNCTION("""COMPUTED_VALUE"""),1.0)</f>
        <v>1</v>
      </c>
      <c r="U444" s="189">
        <f>IFERROR(__xludf.DUMMYFUNCTION("""COMPUTED_VALUE"""),4.0)</f>
        <v>4</v>
      </c>
      <c r="V444" s="189">
        <f>IFERROR(__xludf.DUMMYFUNCTION("""COMPUTED_VALUE"""),11.0)</f>
        <v>11</v>
      </c>
      <c r="W444" s="189">
        <f>IFERROR(__xludf.DUMMYFUNCTION("""COMPUTED_VALUE"""),10.0)</f>
        <v>10</v>
      </c>
      <c r="X444" s="189">
        <f>IFERROR(__xludf.DUMMYFUNCTION("""COMPUTED_VALUE"""),5.0)</f>
        <v>5</v>
      </c>
      <c r="Y444" s="208" t="str">
        <f>IFERROR(__xludf.DUMMYFUNCTION("""COMPUTED_VALUE"""),"2025-07-21T00:00:00.000Z")</f>
        <v>2025-07-21T00:00:00.000Z</v>
      </c>
      <c r="Z444" s="189" t="s">
        <v>440</v>
      </c>
      <c r="AA444" s="189" t="s">
        <v>428</v>
      </c>
    </row>
    <row r="445">
      <c r="A445" s="189">
        <f>IFERROR(__xludf.DUMMYFUNCTION("""COMPUTED_VALUE"""),207571.0)</f>
        <v>207571</v>
      </c>
      <c r="B445" s="189">
        <f>IFERROR(__xludf.DUMMYFUNCTION("""COMPUTED_VALUE"""),91451.0)</f>
        <v>91451</v>
      </c>
      <c r="C445" s="189" t="str">
        <f>IFERROR(__xludf.DUMMYFUNCTION("""COMPUTED_VALUE"""),"Challengers League 2025 Spain Rising: Split 3 - Group Stage")</f>
        <v>Challengers League 2025 Spain Rising: Split 3 - Group Stage</v>
      </c>
      <c r="D445" s="189" t="str">
        <f>IFERROR(__xludf.DUMMYFUNCTION("""COMPUTED_VALUE"""),"Bind")</f>
        <v>Bind</v>
      </c>
      <c r="E445" s="189" t="str">
        <f>IFERROR(__xludf.DUMMYFUNCTION("""COMPUTED_VALUE"""),"DNSTY")</f>
        <v>DNSTY</v>
      </c>
      <c r="F445" s="189" t="str">
        <f>IFERROR(__xludf.DUMMYFUNCTION("""COMPUTED_VALUE"""),"Barça eSports")</f>
        <v>Barça eSports</v>
      </c>
      <c r="G445" s="189" t="str">
        <f>IFERROR(__xludf.DUMMYFUNCTION("""COMPUTED_VALUE"""),"Yoru,Astra,Gekko,Deadlock,Vyse")</f>
        <v>Yoru,Astra,Gekko,Deadlock,Vyse</v>
      </c>
      <c r="H445" s="189" t="str">
        <f>IFERROR(__xludf.DUMMYFUNCTION("""COMPUTED_VALUE"""),"Viper,Brimstone,Yoru,Fade,Gekko")</f>
        <v>Viper,Brimstone,Yoru,Fade,Gekko</v>
      </c>
      <c r="I445" s="189">
        <f>IFERROR(__xludf.DUMMYFUNCTION("""COMPUTED_VALUE"""),13.0)</f>
        <v>13</v>
      </c>
      <c r="J445" s="189">
        <f>IFERROR(__xludf.DUMMYFUNCTION("""COMPUTED_VALUE"""),8.0)</f>
        <v>8</v>
      </c>
      <c r="K445" s="189">
        <f>IFERROR(__xludf.DUMMYFUNCTION("""COMPUTED_VALUE"""),5.0)</f>
        <v>5</v>
      </c>
      <c r="L445" s="189">
        <f>IFERROR(__xludf.DUMMYFUNCTION("""COMPUTED_VALUE"""),7.0)</f>
        <v>7</v>
      </c>
      <c r="M445" s="189">
        <f>IFERROR(__xludf.DUMMYFUNCTION("""COMPUTED_VALUE"""),0.0)</f>
        <v>0</v>
      </c>
      <c r="N445" s="189">
        <f>IFERROR(__xludf.DUMMYFUNCTION("""COMPUTED_VALUE"""),1.0)</f>
        <v>1</v>
      </c>
      <c r="O445" s="189">
        <f>IFERROR(__xludf.DUMMYFUNCTION("""COMPUTED_VALUE"""),5.0)</f>
        <v>5</v>
      </c>
      <c r="P445" s="189">
        <f>IFERROR(__xludf.DUMMYFUNCTION("""COMPUTED_VALUE"""),7.0)</f>
        <v>7</v>
      </c>
      <c r="Q445" s="189">
        <f>IFERROR(__xludf.DUMMYFUNCTION("""COMPUTED_VALUE"""),8.0)</f>
        <v>8</v>
      </c>
      <c r="R445" s="189">
        <f>IFERROR(__xludf.DUMMYFUNCTION("""COMPUTED_VALUE"""),1.0)</f>
        <v>1</v>
      </c>
      <c r="S445" s="189">
        <f>IFERROR(__xludf.DUMMYFUNCTION("""COMPUTED_VALUE"""),0.0)</f>
        <v>0</v>
      </c>
      <c r="T445" s="189">
        <f>IFERROR(__xludf.DUMMYFUNCTION("""COMPUTED_VALUE"""),1.0)</f>
        <v>1</v>
      </c>
      <c r="U445" s="189">
        <f>IFERROR(__xludf.DUMMYFUNCTION("""COMPUTED_VALUE"""),1.0)</f>
        <v>1</v>
      </c>
      <c r="V445" s="189">
        <f>IFERROR(__xludf.DUMMYFUNCTION("""COMPUTED_VALUE"""),8.0)</f>
        <v>8</v>
      </c>
      <c r="W445" s="189">
        <f>IFERROR(__xludf.DUMMYFUNCTION("""COMPUTED_VALUE"""),7.0)</f>
        <v>7</v>
      </c>
      <c r="X445" s="189">
        <f>IFERROR(__xludf.DUMMYFUNCTION("""COMPUTED_VALUE"""),5.0)</f>
        <v>5</v>
      </c>
      <c r="Y445" s="208" t="str">
        <f>IFERROR(__xludf.DUMMYFUNCTION("""COMPUTED_VALUE"""),"2025-07-21T00:00:00.000Z")</f>
        <v>2025-07-21T00:00:00.000Z</v>
      </c>
      <c r="Z445" s="189" t="s">
        <v>94</v>
      </c>
      <c r="AA445" s="189" t="s">
        <v>182</v>
      </c>
    </row>
    <row r="446">
      <c r="A446" s="189">
        <f>IFERROR(__xludf.DUMMYFUNCTION("""COMPUTED_VALUE"""),210361.0)</f>
        <v>210361</v>
      </c>
      <c r="B446" s="189">
        <f>IFERROR(__xludf.DUMMYFUNCTION("""COMPUTED_VALUE"""),92557.0)</f>
        <v>92557</v>
      </c>
      <c r="C446" s="189" t="str">
        <f>IFERROR(__xludf.DUMMYFUNCTION("""COMPUTED_VALUE"""),"Challengers League 2025 MENA: Resilience - GPI - Split 2 - Playoffs")</f>
        <v>Challengers League 2025 MENA: Resilience - GPI - Split 2 - Playoffs</v>
      </c>
      <c r="D446" s="189" t="str">
        <f>IFERROR(__xludf.DUMMYFUNCTION("""COMPUTED_VALUE"""),"Lotus")</f>
        <v>Lotus</v>
      </c>
      <c r="E446" s="189" t="str">
        <f>IFERROR(__xludf.DUMMYFUNCTION("""COMPUTED_VALUE"""),"The Ultimates")</f>
        <v>The Ultimates</v>
      </c>
      <c r="F446" s="189" t="str">
        <f>IFERROR(__xludf.DUMMYFUNCTION("""COMPUTED_VALUE"""),"Twisted Minds Esports")</f>
        <v>Twisted Minds Esports</v>
      </c>
      <c r="G446" s="189" t="str">
        <f>IFERROR(__xludf.DUMMYFUNCTION("""COMPUTED_VALUE"""),"Omen,Yoru,Neon,Fade,Vyse")</f>
        <v>Omen,Yoru,Neon,Fade,Vyse</v>
      </c>
      <c r="H446" s="189" t="str">
        <f>IFERROR(__xludf.DUMMYFUNCTION("""COMPUTED_VALUE"""),"Raze,Killjoy,Viper,Omen,Fade")</f>
        <v>Raze,Killjoy,Viper,Omen,Fade</v>
      </c>
      <c r="I446" s="189">
        <f>IFERROR(__xludf.DUMMYFUNCTION("""COMPUTED_VALUE"""),9.0)</f>
        <v>9</v>
      </c>
      <c r="J446" s="189">
        <f>IFERROR(__xludf.DUMMYFUNCTION("""COMPUTED_VALUE"""),13.0)</f>
        <v>13</v>
      </c>
      <c r="K446" s="189">
        <f>IFERROR(__xludf.DUMMYFUNCTION("""COMPUTED_VALUE"""),6.0)</f>
        <v>6</v>
      </c>
      <c r="L446" s="189">
        <f>IFERROR(__xludf.DUMMYFUNCTION("""COMPUTED_VALUE"""),6.0)</f>
        <v>6</v>
      </c>
      <c r="M446" s="189">
        <f>IFERROR(__xludf.DUMMYFUNCTION("""COMPUTED_VALUE"""),1.0)</f>
        <v>1</v>
      </c>
      <c r="N446" s="189">
        <f>IFERROR(__xludf.DUMMYFUNCTION("""COMPUTED_VALUE"""),0.0)</f>
        <v>0</v>
      </c>
      <c r="O446" s="189">
        <f>IFERROR(__xludf.DUMMYFUNCTION("""COMPUTED_VALUE"""),6.0)</f>
        <v>6</v>
      </c>
      <c r="P446" s="189">
        <f>IFERROR(__xludf.DUMMYFUNCTION("""COMPUTED_VALUE"""),6.0)</f>
        <v>6</v>
      </c>
      <c r="Q446" s="189">
        <f>IFERROR(__xludf.DUMMYFUNCTION("""COMPUTED_VALUE"""),3.0)</f>
        <v>3</v>
      </c>
      <c r="R446" s="189">
        <f>IFERROR(__xludf.DUMMYFUNCTION("""COMPUTED_VALUE"""),7.0)</f>
        <v>7</v>
      </c>
      <c r="S446" s="189">
        <f>IFERROR(__xludf.DUMMYFUNCTION("""COMPUTED_VALUE"""),1.0)</f>
        <v>1</v>
      </c>
      <c r="T446" s="189">
        <f>IFERROR(__xludf.DUMMYFUNCTION("""COMPUTED_VALUE"""),0.0)</f>
        <v>0</v>
      </c>
      <c r="U446" s="189">
        <f>IFERROR(__xludf.DUMMYFUNCTION("""COMPUTED_VALUE"""),7.0)</f>
        <v>7</v>
      </c>
      <c r="V446" s="189">
        <f>IFERROR(__xludf.DUMMYFUNCTION("""COMPUTED_VALUE"""),3.0)</f>
        <v>3</v>
      </c>
      <c r="W446" s="189">
        <f>IFERROR(__xludf.DUMMYFUNCTION("""COMPUTED_VALUE"""),6.0)</f>
        <v>6</v>
      </c>
      <c r="X446" s="189">
        <f>IFERROR(__xludf.DUMMYFUNCTION("""COMPUTED_VALUE"""),6.0)</f>
        <v>6</v>
      </c>
      <c r="Y446" s="208" t="str">
        <f>IFERROR(__xludf.DUMMYFUNCTION("""COMPUTED_VALUE"""),"2025-07-21T00:00:00.000Z")</f>
        <v>2025-07-21T00:00:00.000Z</v>
      </c>
      <c r="Z446" s="189" t="s">
        <v>155</v>
      </c>
      <c r="AA446" s="189" t="s">
        <v>184</v>
      </c>
    </row>
    <row r="447">
      <c r="A447" s="189">
        <f>IFERROR(__xludf.DUMMYFUNCTION("""COMPUTED_VALUE"""),207570.0)</f>
        <v>207570</v>
      </c>
      <c r="B447" s="189">
        <f>IFERROR(__xludf.DUMMYFUNCTION("""COMPUTED_VALUE"""),91451.0)</f>
        <v>91451</v>
      </c>
      <c r="C447" s="189" t="str">
        <f>IFERROR(__xludf.DUMMYFUNCTION("""COMPUTED_VALUE"""),"Challengers League 2025 Spain Rising: Split 3 - Group Stage")</f>
        <v>Challengers League 2025 Spain Rising: Split 3 - Group Stage</v>
      </c>
      <c r="D447" s="189" t="str">
        <f>IFERROR(__xludf.DUMMYFUNCTION("""COMPUTED_VALUE"""),"Lotus")</f>
        <v>Lotus</v>
      </c>
      <c r="E447" s="189" t="str">
        <f>IFERROR(__xludf.DUMMYFUNCTION("""COMPUTED_VALUE"""),"DNSTY")</f>
        <v>DNSTY</v>
      </c>
      <c r="F447" s="189" t="str">
        <f>IFERROR(__xludf.DUMMYFUNCTION("""COMPUTED_VALUE"""),"Barça eSports")</f>
        <v>Barça eSports</v>
      </c>
      <c r="G447" s="189" t="str">
        <f>IFERROR(__xludf.DUMMYFUNCTION("""COMPUTED_VALUE"""),"Raze,Killjoy,Viper,Omen,Fade")</f>
        <v>Raze,Killjoy,Viper,Omen,Fade</v>
      </c>
      <c r="H447" s="189" t="str">
        <f>IFERROR(__xludf.DUMMYFUNCTION("""COMPUTED_VALUE"""),"Breach,Sova,Viper,Omen,Neon")</f>
        <v>Breach,Sova,Viper,Omen,Neon</v>
      </c>
      <c r="I447" s="189">
        <f>IFERROR(__xludf.DUMMYFUNCTION("""COMPUTED_VALUE"""),13.0)</f>
        <v>13</v>
      </c>
      <c r="J447" s="189">
        <f>IFERROR(__xludf.DUMMYFUNCTION("""COMPUTED_VALUE"""),6.0)</f>
        <v>6</v>
      </c>
      <c r="K447" s="189">
        <f>IFERROR(__xludf.DUMMYFUNCTION("""COMPUTED_VALUE"""),7.0)</f>
        <v>7</v>
      </c>
      <c r="L447" s="189">
        <f>IFERROR(__xludf.DUMMYFUNCTION("""COMPUTED_VALUE"""),5.0)</f>
        <v>5</v>
      </c>
      <c r="M447" s="189">
        <f>IFERROR(__xludf.DUMMYFUNCTION("""COMPUTED_VALUE"""),1.0)</f>
        <v>1</v>
      </c>
      <c r="N447" s="189">
        <f>IFERROR(__xludf.DUMMYFUNCTION("""COMPUTED_VALUE"""),1.0)</f>
        <v>1</v>
      </c>
      <c r="O447" s="189">
        <f>IFERROR(__xludf.DUMMYFUNCTION("""COMPUTED_VALUE"""),7.0)</f>
        <v>7</v>
      </c>
      <c r="P447" s="189">
        <f>IFERROR(__xludf.DUMMYFUNCTION("""COMPUTED_VALUE"""),5.0)</f>
        <v>5</v>
      </c>
      <c r="Q447" s="189">
        <f>IFERROR(__xludf.DUMMYFUNCTION("""COMPUTED_VALUE"""),6.0)</f>
        <v>6</v>
      </c>
      <c r="R447" s="189">
        <f>IFERROR(__xludf.DUMMYFUNCTION("""COMPUTED_VALUE"""),1.0)</f>
        <v>1</v>
      </c>
      <c r="S447" s="189">
        <f>IFERROR(__xludf.DUMMYFUNCTION("""COMPUTED_VALUE"""),0.0)</f>
        <v>0</v>
      </c>
      <c r="T447" s="189">
        <f>IFERROR(__xludf.DUMMYFUNCTION("""COMPUTED_VALUE"""),0.0)</f>
        <v>0</v>
      </c>
      <c r="U447" s="189">
        <f>IFERROR(__xludf.DUMMYFUNCTION("""COMPUTED_VALUE"""),1.0)</f>
        <v>1</v>
      </c>
      <c r="V447" s="189">
        <f>IFERROR(__xludf.DUMMYFUNCTION("""COMPUTED_VALUE"""),6.0)</f>
        <v>6</v>
      </c>
      <c r="W447" s="189">
        <f>IFERROR(__xludf.DUMMYFUNCTION("""COMPUTED_VALUE"""),5.0)</f>
        <v>5</v>
      </c>
      <c r="X447" s="189">
        <f>IFERROR(__xludf.DUMMYFUNCTION("""COMPUTED_VALUE"""),7.0)</f>
        <v>7</v>
      </c>
      <c r="Y447" s="208" t="str">
        <f>IFERROR(__xludf.DUMMYFUNCTION("""COMPUTED_VALUE"""),"2025-07-21T00:00:00.000Z")</f>
        <v>2025-07-21T00:00:00.000Z</v>
      </c>
      <c r="Z447" s="189" t="s">
        <v>97</v>
      </c>
      <c r="AA447" s="189" t="s">
        <v>182</v>
      </c>
    </row>
    <row r="448">
      <c r="A448" s="189">
        <f>IFERROR(__xludf.DUMMYFUNCTION("""COMPUTED_VALUE"""),210360.0)</f>
        <v>210360</v>
      </c>
      <c r="B448" s="189">
        <f>IFERROR(__xludf.DUMMYFUNCTION("""COMPUTED_VALUE"""),92557.0)</f>
        <v>92557</v>
      </c>
      <c r="C448" s="189" t="str">
        <f>IFERROR(__xludf.DUMMYFUNCTION("""COMPUTED_VALUE"""),"Challengers League 2025 MENA: Resilience - GPI - Split 2 - Playoffs")</f>
        <v>Challengers League 2025 MENA: Resilience - GPI - Split 2 - Playoffs</v>
      </c>
      <c r="D448" s="189" t="str">
        <f>IFERROR(__xludf.DUMMYFUNCTION("""COMPUTED_VALUE"""),"Ascent")</f>
        <v>Ascent</v>
      </c>
      <c r="E448" s="189" t="str">
        <f>IFERROR(__xludf.DUMMYFUNCTION("""COMPUTED_VALUE"""),"The Ultimates")</f>
        <v>The Ultimates</v>
      </c>
      <c r="F448" s="189" t="str">
        <f>IFERROR(__xludf.DUMMYFUNCTION("""COMPUTED_VALUE"""),"Twisted Minds Esports")</f>
        <v>Twisted Minds Esports</v>
      </c>
      <c r="G448" s="189" t="str">
        <f>IFERROR(__xludf.DUMMYFUNCTION("""COMPUTED_VALUE"""),"Cypher,Sova,Omen,Yoru,Iso")</f>
        <v>Cypher,Sova,Omen,Yoru,Iso</v>
      </c>
      <c r="H448" s="189" t="str">
        <f>IFERROR(__xludf.DUMMYFUNCTION("""COMPUTED_VALUE"""),"Cypher,Sova,Omen,Yoru,Deadlock")</f>
        <v>Cypher,Sova,Omen,Yoru,Deadlock</v>
      </c>
      <c r="I448" s="189">
        <f>IFERROR(__xludf.DUMMYFUNCTION("""COMPUTED_VALUE"""),13.0)</f>
        <v>13</v>
      </c>
      <c r="J448" s="189">
        <f>IFERROR(__xludf.DUMMYFUNCTION("""COMPUTED_VALUE"""),5.0)</f>
        <v>5</v>
      </c>
      <c r="K448" s="189">
        <f>IFERROR(__xludf.DUMMYFUNCTION("""COMPUTED_VALUE"""),7.0)</f>
        <v>7</v>
      </c>
      <c r="L448" s="189">
        <f>IFERROR(__xludf.DUMMYFUNCTION("""COMPUTED_VALUE"""),5.0)</f>
        <v>5</v>
      </c>
      <c r="M448" s="189">
        <f>IFERROR(__xludf.DUMMYFUNCTION("""COMPUTED_VALUE"""),1.0)</f>
        <v>1</v>
      </c>
      <c r="N448" s="189">
        <f>IFERROR(__xludf.DUMMYFUNCTION("""COMPUTED_VALUE"""),1.0)</f>
        <v>1</v>
      </c>
      <c r="O448" s="189">
        <f>IFERROR(__xludf.DUMMYFUNCTION("""COMPUTED_VALUE"""),7.0)</f>
        <v>7</v>
      </c>
      <c r="P448" s="189">
        <f>IFERROR(__xludf.DUMMYFUNCTION("""COMPUTED_VALUE"""),5.0)</f>
        <v>5</v>
      </c>
      <c r="Q448" s="189">
        <f>IFERROR(__xludf.DUMMYFUNCTION("""COMPUTED_VALUE"""),6.0)</f>
        <v>6</v>
      </c>
      <c r="R448" s="189">
        <f>IFERROR(__xludf.DUMMYFUNCTION("""COMPUTED_VALUE"""),0.0)</f>
        <v>0</v>
      </c>
      <c r="S448" s="189">
        <f>IFERROR(__xludf.DUMMYFUNCTION("""COMPUTED_VALUE"""),0.0)</f>
        <v>0</v>
      </c>
      <c r="T448" s="189">
        <f>IFERROR(__xludf.DUMMYFUNCTION("""COMPUTED_VALUE"""),0.0)</f>
        <v>0</v>
      </c>
      <c r="U448" s="189">
        <f>IFERROR(__xludf.DUMMYFUNCTION("""COMPUTED_VALUE"""),0.0)</f>
        <v>0</v>
      </c>
      <c r="V448" s="189">
        <f>IFERROR(__xludf.DUMMYFUNCTION("""COMPUTED_VALUE"""),6.0)</f>
        <v>6</v>
      </c>
      <c r="W448" s="189">
        <f>IFERROR(__xludf.DUMMYFUNCTION("""COMPUTED_VALUE"""),5.0)</f>
        <v>5</v>
      </c>
      <c r="X448" s="189">
        <f>IFERROR(__xludf.DUMMYFUNCTION("""COMPUTED_VALUE"""),7.0)</f>
        <v>7</v>
      </c>
      <c r="Y448" s="208" t="str">
        <f>IFERROR(__xludf.DUMMYFUNCTION("""COMPUTED_VALUE"""),"2025-07-21T00:00:00.000Z")</f>
        <v>2025-07-21T00:00:00.000Z</v>
      </c>
      <c r="Z448" s="189" t="s">
        <v>150</v>
      </c>
      <c r="AA448" s="189" t="s">
        <v>185</v>
      </c>
    </row>
    <row r="449">
      <c r="A449" s="189">
        <f>IFERROR(__xludf.DUMMYFUNCTION("""COMPUTED_VALUE"""),210756.0)</f>
        <v>210756</v>
      </c>
      <c r="B449" s="189">
        <f>IFERROR(__xludf.DUMMYFUNCTION("""COMPUTED_VALUE"""),92708.0)</f>
        <v>92708</v>
      </c>
      <c r="C449" s="189" t="str">
        <f>IFERROR(__xludf.DUMMYFUNCTION("""COMPUTED_VALUE"""),"Challengers League 2025 NORTH EAST: Split 3 - Upper Swiss Phase")</f>
        <v>Challengers League 2025 NORTH EAST: Split 3 - Upper Swiss Phase</v>
      </c>
      <c r="D449" s="189" t="str">
        <f>IFERROR(__xludf.DUMMYFUNCTION("""COMPUTED_VALUE"""),"Bind")</f>
        <v>Bind</v>
      </c>
      <c r="E449" s="189" t="str">
        <f>IFERROR(__xludf.DUMMYFUNCTION("""COMPUTED_VALUE"""),"Enterprise Esports")</f>
        <v>Enterprise Esports</v>
      </c>
      <c r="F449" s="189" t="str">
        <f>IFERROR(__xludf.DUMMYFUNCTION("""COMPUTED_VALUE"""),"Boars Gaming")</f>
        <v>Boars Gaming</v>
      </c>
      <c r="G449" s="189" t="str">
        <f>IFERROR(__xludf.DUMMYFUNCTION("""COMPUTED_VALUE"""),"Raze,Viper,Brimstone,Yoru,Fade")</f>
        <v>Raze,Viper,Brimstone,Yoru,Fade</v>
      </c>
      <c r="H449" s="189" t="str">
        <f>IFERROR(__xludf.DUMMYFUNCTION("""COMPUTED_VALUE"""),"Raze,Astra,Gekko,Deadlock,Vyse")</f>
        <v>Raze,Astra,Gekko,Deadlock,Vyse</v>
      </c>
      <c r="I449" s="189">
        <f>IFERROR(__xludf.DUMMYFUNCTION("""COMPUTED_VALUE"""),13.0)</f>
        <v>13</v>
      </c>
      <c r="J449" s="189">
        <f>IFERROR(__xludf.DUMMYFUNCTION("""COMPUTED_VALUE"""),10.0)</f>
        <v>10</v>
      </c>
      <c r="K449" s="189">
        <f>IFERROR(__xludf.DUMMYFUNCTION("""COMPUTED_VALUE"""),5.0)</f>
        <v>5</v>
      </c>
      <c r="L449" s="189">
        <f>IFERROR(__xludf.DUMMYFUNCTION("""COMPUTED_VALUE"""),7.0)</f>
        <v>7</v>
      </c>
      <c r="M449" s="189">
        <f>IFERROR(__xludf.DUMMYFUNCTION("""COMPUTED_VALUE"""),0.0)</f>
        <v>0</v>
      </c>
      <c r="N449" s="189">
        <f>IFERROR(__xludf.DUMMYFUNCTION("""COMPUTED_VALUE"""),0.0)</f>
        <v>0</v>
      </c>
      <c r="O449" s="189">
        <f>IFERROR(__xludf.DUMMYFUNCTION("""COMPUTED_VALUE"""),8.0)</f>
        <v>8</v>
      </c>
      <c r="P449" s="189">
        <f>IFERROR(__xludf.DUMMYFUNCTION("""COMPUTED_VALUE"""),3.0)</f>
        <v>3</v>
      </c>
      <c r="Q449" s="189">
        <f>IFERROR(__xludf.DUMMYFUNCTION("""COMPUTED_VALUE"""),5.0)</f>
        <v>5</v>
      </c>
      <c r="R449" s="189">
        <f>IFERROR(__xludf.DUMMYFUNCTION("""COMPUTED_VALUE"""),7.0)</f>
        <v>7</v>
      </c>
      <c r="S449" s="189">
        <f>IFERROR(__xludf.DUMMYFUNCTION("""COMPUTED_VALUE"""),1.0)</f>
        <v>1</v>
      </c>
      <c r="T449" s="189">
        <f>IFERROR(__xludf.DUMMYFUNCTION("""COMPUTED_VALUE"""),1.0)</f>
        <v>1</v>
      </c>
      <c r="U449" s="189">
        <f>IFERROR(__xludf.DUMMYFUNCTION("""COMPUTED_VALUE"""),7.0)</f>
        <v>7</v>
      </c>
      <c r="V449" s="189">
        <f>IFERROR(__xludf.DUMMYFUNCTION("""COMPUTED_VALUE"""),5.0)</f>
        <v>5</v>
      </c>
      <c r="W449" s="189">
        <f>IFERROR(__xludf.DUMMYFUNCTION("""COMPUTED_VALUE"""),3.0)</f>
        <v>3</v>
      </c>
      <c r="X449" s="189">
        <f>IFERROR(__xludf.DUMMYFUNCTION("""COMPUTED_VALUE"""),8.0)</f>
        <v>8</v>
      </c>
      <c r="Y449" s="208" t="str">
        <f>IFERROR(__xludf.DUMMYFUNCTION("""COMPUTED_VALUE"""),"2025-07-21T00:00:00.000Z")</f>
        <v>2025-07-21T00:00:00.000Z</v>
      </c>
      <c r="Z449" s="189" t="s">
        <v>108</v>
      </c>
      <c r="AA449" s="189" t="s">
        <v>179</v>
      </c>
    </row>
    <row r="450">
      <c r="A450" s="189">
        <f>IFERROR(__xludf.DUMMYFUNCTION("""COMPUTED_VALUE"""),210359.0)</f>
        <v>210359</v>
      </c>
      <c r="B450" s="189">
        <f>IFERROR(__xludf.DUMMYFUNCTION("""COMPUTED_VALUE"""),92557.0)</f>
        <v>92557</v>
      </c>
      <c r="C450" s="189" t="str">
        <f>IFERROR(__xludf.DUMMYFUNCTION("""COMPUTED_VALUE"""),"Challengers League 2025 MENA: Resilience - GPI - Split 2 - Playoffs")</f>
        <v>Challengers League 2025 MENA: Resilience - GPI - Split 2 - Playoffs</v>
      </c>
      <c r="D450" s="189" t="str">
        <f>IFERROR(__xludf.DUMMYFUNCTION("""COMPUTED_VALUE"""),"Corrode")</f>
        <v>Corrode</v>
      </c>
      <c r="E450" s="189" t="str">
        <f>IFERROR(__xludf.DUMMYFUNCTION("""COMPUTED_VALUE"""),"The Ultimates")</f>
        <v>The Ultimates</v>
      </c>
      <c r="F450" s="189" t="str">
        <f>IFERROR(__xludf.DUMMYFUNCTION("""COMPUTED_VALUE"""),"Twisted Minds Esports")</f>
        <v>Twisted Minds Esports</v>
      </c>
      <c r="G450" s="189" t="str">
        <f>IFERROR(__xludf.DUMMYFUNCTION("""COMPUTED_VALUE"""),"Cypher,Omen,Yoru,Fade,Iso")</f>
        <v>Cypher,Omen,Yoru,Fade,Iso</v>
      </c>
      <c r="H450" s="189" t="str">
        <f>IFERROR(__xludf.DUMMYFUNCTION("""COMPUTED_VALUE"""),"Omen,Yoru,Chamber,Fade,Vyse")</f>
        <v>Omen,Yoru,Chamber,Fade,Vyse</v>
      </c>
      <c r="I450" s="189">
        <f>IFERROR(__xludf.DUMMYFUNCTION("""COMPUTED_VALUE"""),12.0)</f>
        <v>12</v>
      </c>
      <c r="J450" s="189">
        <f>IFERROR(__xludf.DUMMYFUNCTION("""COMPUTED_VALUE"""),14.0)</f>
        <v>14</v>
      </c>
      <c r="K450" s="189">
        <f>IFERROR(__xludf.DUMMYFUNCTION("""COMPUTED_VALUE"""),6.0)</f>
        <v>6</v>
      </c>
      <c r="L450" s="189">
        <f>IFERROR(__xludf.DUMMYFUNCTION("""COMPUTED_VALUE"""),6.0)</f>
        <v>6</v>
      </c>
      <c r="M450" s="189">
        <f>IFERROR(__xludf.DUMMYFUNCTION("""COMPUTED_VALUE"""),0.0)</f>
        <v>0</v>
      </c>
      <c r="N450" s="189">
        <f>IFERROR(__xludf.DUMMYFUNCTION("""COMPUTED_VALUE"""),0.0)</f>
        <v>0</v>
      </c>
      <c r="O450" s="189">
        <f>IFERROR(__xludf.DUMMYFUNCTION("""COMPUTED_VALUE"""),6.0)</f>
        <v>6</v>
      </c>
      <c r="P450" s="189">
        <f>IFERROR(__xludf.DUMMYFUNCTION("""COMPUTED_VALUE"""),7.0)</f>
        <v>7</v>
      </c>
      <c r="Q450" s="189">
        <f>IFERROR(__xludf.DUMMYFUNCTION("""COMPUTED_VALUE"""),6.0)</f>
        <v>6</v>
      </c>
      <c r="R450" s="189">
        <f>IFERROR(__xludf.DUMMYFUNCTION("""COMPUTED_VALUE"""),7.0)</f>
        <v>7</v>
      </c>
      <c r="S450" s="189">
        <f>IFERROR(__xludf.DUMMYFUNCTION("""COMPUTED_VALUE"""),1.0)</f>
        <v>1</v>
      </c>
      <c r="T450" s="189">
        <f>IFERROR(__xludf.DUMMYFUNCTION("""COMPUTED_VALUE"""),1.0)</f>
        <v>1</v>
      </c>
      <c r="U450" s="189">
        <f>IFERROR(__xludf.DUMMYFUNCTION("""COMPUTED_VALUE"""),7.0)</f>
        <v>7</v>
      </c>
      <c r="V450" s="189">
        <f>IFERROR(__xludf.DUMMYFUNCTION("""COMPUTED_VALUE"""),6.0)</f>
        <v>6</v>
      </c>
      <c r="W450" s="189">
        <f>IFERROR(__xludf.DUMMYFUNCTION("""COMPUTED_VALUE"""),7.0)</f>
        <v>7</v>
      </c>
      <c r="X450" s="189">
        <f>IFERROR(__xludf.DUMMYFUNCTION("""COMPUTED_VALUE"""),6.0)</f>
        <v>6</v>
      </c>
      <c r="Y450" s="208" t="str">
        <f>IFERROR(__xludf.DUMMYFUNCTION("""COMPUTED_VALUE"""),"2025-07-21T00:00:00.000Z")</f>
        <v>2025-07-21T00:00:00.000Z</v>
      </c>
      <c r="Z450" s="189" t="s">
        <v>152</v>
      </c>
      <c r="AA450" s="189" t="s">
        <v>184</v>
      </c>
    </row>
    <row r="451">
      <c r="A451" s="189">
        <f>IFERROR(__xludf.DUMMYFUNCTION("""COMPUTED_VALUE"""),210755.0)</f>
        <v>210755</v>
      </c>
      <c r="B451" s="189">
        <f>IFERROR(__xludf.DUMMYFUNCTION("""COMPUTED_VALUE"""),92708.0)</f>
        <v>92708</v>
      </c>
      <c r="C451" s="189" t="str">
        <f>IFERROR(__xludf.DUMMYFUNCTION("""COMPUTED_VALUE"""),"Challengers League 2025 NORTH EAST: Split 3 - Upper Swiss Phase")</f>
        <v>Challengers League 2025 NORTH EAST: Split 3 - Upper Swiss Phase</v>
      </c>
      <c r="D451" s="189" t="str">
        <f>IFERROR(__xludf.DUMMYFUNCTION("""COMPUTED_VALUE"""),"Lotus")</f>
        <v>Lotus</v>
      </c>
      <c r="E451" s="189" t="str">
        <f>IFERROR(__xludf.DUMMYFUNCTION("""COMPUTED_VALUE"""),"Enterprise Esports")</f>
        <v>Enterprise Esports</v>
      </c>
      <c r="F451" s="189" t="str">
        <f>IFERROR(__xludf.DUMMYFUNCTION("""COMPUTED_VALUE"""),"Boars Gaming")</f>
        <v>Boars Gaming</v>
      </c>
      <c r="G451" s="189" t="str">
        <f>IFERROR(__xludf.DUMMYFUNCTION("""COMPUTED_VALUE"""),"Breach,Cypher,Omen,Neon,Fade")</f>
        <v>Breach,Cypher,Omen,Neon,Fade</v>
      </c>
      <c r="H451" s="189" t="str">
        <f>IFERROR(__xludf.DUMMYFUNCTION("""COMPUTED_VALUE"""),"Breach,Cypher,Omen,Neon,Fade")</f>
        <v>Breach,Cypher,Omen,Neon,Fade</v>
      </c>
      <c r="I451" s="189">
        <f>IFERROR(__xludf.DUMMYFUNCTION("""COMPUTED_VALUE"""),11.0)</f>
        <v>11</v>
      </c>
      <c r="J451" s="189">
        <f>IFERROR(__xludf.DUMMYFUNCTION("""COMPUTED_VALUE"""),13.0)</f>
        <v>13</v>
      </c>
      <c r="K451" s="189">
        <f>IFERROR(__xludf.DUMMYFUNCTION("""COMPUTED_VALUE"""),4.0)</f>
        <v>4</v>
      </c>
      <c r="L451" s="189">
        <f>IFERROR(__xludf.DUMMYFUNCTION("""COMPUTED_VALUE"""),8.0)</f>
        <v>8</v>
      </c>
      <c r="M451" s="189">
        <f>IFERROR(__xludf.DUMMYFUNCTION("""COMPUTED_VALUE"""),0.0)</f>
        <v>0</v>
      </c>
      <c r="N451" s="189">
        <f>IFERROR(__xludf.DUMMYFUNCTION("""COMPUTED_VALUE"""),0.0)</f>
        <v>0</v>
      </c>
      <c r="O451" s="189">
        <f>IFERROR(__xludf.DUMMYFUNCTION("""COMPUTED_VALUE"""),7.0)</f>
        <v>7</v>
      </c>
      <c r="P451" s="189">
        <f>IFERROR(__xludf.DUMMYFUNCTION("""COMPUTED_VALUE"""),5.0)</f>
        <v>5</v>
      </c>
      <c r="Q451" s="189">
        <f>IFERROR(__xludf.DUMMYFUNCTION("""COMPUTED_VALUE"""),4.0)</f>
        <v>4</v>
      </c>
      <c r="R451" s="189">
        <f>IFERROR(__xludf.DUMMYFUNCTION("""COMPUTED_VALUE"""),8.0)</f>
        <v>8</v>
      </c>
      <c r="S451" s="189">
        <f>IFERROR(__xludf.DUMMYFUNCTION("""COMPUTED_VALUE"""),1.0)</f>
        <v>1</v>
      </c>
      <c r="T451" s="189">
        <f>IFERROR(__xludf.DUMMYFUNCTION("""COMPUTED_VALUE"""),1.0)</f>
        <v>1</v>
      </c>
      <c r="U451" s="189">
        <f>IFERROR(__xludf.DUMMYFUNCTION("""COMPUTED_VALUE"""),8.0)</f>
        <v>8</v>
      </c>
      <c r="V451" s="189">
        <f>IFERROR(__xludf.DUMMYFUNCTION("""COMPUTED_VALUE"""),4.0)</f>
        <v>4</v>
      </c>
      <c r="W451" s="189">
        <f>IFERROR(__xludf.DUMMYFUNCTION("""COMPUTED_VALUE"""),5.0)</f>
        <v>5</v>
      </c>
      <c r="X451" s="189">
        <f>IFERROR(__xludf.DUMMYFUNCTION("""COMPUTED_VALUE"""),7.0)</f>
        <v>7</v>
      </c>
      <c r="Y451" s="208" t="str">
        <f>IFERROR(__xludf.DUMMYFUNCTION("""COMPUTED_VALUE"""),"2025-07-21T00:00:00.000Z")</f>
        <v>2025-07-21T00:00:00.000Z</v>
      </c>
      <c r="Z451" s="189" t="s">
        <v>111</v>
      </c>
      <c r="AA451" s="189" t="s">
        <v>181</v>
      </c>
    </row>
    <row r="452">
      <c r="A452" s="189">
        <f>IFERROR(__xludf.DUMMYFUNCTION("""COMPUTED_VALUE"""),210754.0)</f>
        <v>210754</v>
      </c>
      <c r="B452" s="189">
        <f>IFERROR(__xludf.DUMMYFUNCTION("""COMPUTED_VALUE"""),92708.0)</f>
        <v>92708</v>
      </c>
      <c r="C452" s="189" t="str">
        <f>IFERROR(__xludf.DUMMYFUNCTION("""COMPUTED_VALUE"""),"Challengers League 2025 NORTH EAST: Split 3 - Upper Swiss Phase")</f>
        <v>Challengers League 2025 NORTH EAST: Split 3 - Upper Swiss Phase</v>
      </c>
      <c r="D452" s="189" t="str">
        <f>IFERROR(__xludf.DUMMYFUNCTION("""COMPUTED_VALUE"""),"Corrode")</f>
        <v>Corrode</v>
      </c>
      <c r="E452" s="189" t="str">
        <f>IFERROR(__xludf.DUMMYFUNCTION("""COMPUTED_VALUE"""),"Enterprise Esports")</f>
        <v>Enterprise Esports</v>
      </c>
      <c r="F452" s="189" t="str">
        <f>IFERROR(__xludf.DUMMYFUNCTION("""COMPUTED_VALUE"""),"Boars Gaming")</f>
        <v>Boars Gaming</v>
      </c>
      <c r="G452" s="189" t="str">
        <f>IFERROR(__xludf.DUMMYFUNCTION("""COMPUTED_VALUE"""),"Sova,Viper,Omen,Yoru,Fade")</f>
        <v>Sova,Viper,Omen,Yoru,Fade</v>
      </c>
      <c r="H452" s="189" t="str">
        <f>IFERROR(__xludf.DUMMYFUNCTION("""COMPUTED_VALUE"""),"Omen,Yoru,Chamber,Neon,Fade")</f>
        <v>Omen,Yoru,Chamber,Neon,Fade</v>
      </c>
      <c r="I452" s="189">
        <f>IFERROR(__xludf.DUMMYFUNCTION("""COMPUTED_VALUE"""),13.0)</f>
        <v>13</v>
      </c>
      <c r="J452" s="189">
        <f>IFERROR(__xludf.DUMMYFUNCTION("""COMPUTED_VALUE"""),9.0)</f>
        <v>9</v>
      </c>
      <c r="K452" s="189">
        <f>IFERROR(__xludf.DUMMYFUNCTION("""COMPUTED_VALUE"""),9.0)</f>
        <v>9</v>
      </c>
      <c r="L452" s="189">
        <f>IFERROR(__xludf.DUMMYFUNCTION("""COMPUTED_VALUE"""),3.0)</f>
        <v>3</v>
      </c>
      <c r="M452" s="189">
        <f>IFERROR(__xludf.DUMMYFUNCTION("""COMPUTED_VALUE"""),0.0)</f>
        <v>0</v>
      </c>
      <c r="N452" s="189">
        <f>IFERROR(__xludf.DUMMYFUNCTION("""COMPUTED_VALUE"""),0.0)</f>
        <v>0</v>
      </c>
      <c r="O452" s="189">
        <f>IFERROR(__xludf.DUMMYFUNCTION("""COMPUTED_VALUE"""),4.0)</f>
        <v>4</v>
      </c>
      <c r="P452" s="189">
        <f>IFERROR(__xludf.DUMMYFUNCTION("""COMPUTED_VALUE"""),6.0)</f>
        <v>6</v>
      </c>
      <c r="Q452" s="189">
        <f>IFERROR(__xludf.DUMMYFUNCTION("""COMPUTED_VALUE"""),9.0)</f>
        <v>9</v>
      </c>
      <c r="R452" s="189">
        <f>IFERROR(__xludf.DUMMYFUNCTION("""COMPUTED_VALUE"""),3.0)</f>
        <v>3</v>
      </c>
      <c r="S452" s="189">
        <f>IFERROR(__xludf.DUMMYFUNCTION("""COMPUTED_VALUE"""),1.0)</f>
        <v>1</v>
      </c>
      <c r="T452" s="189">
        <f>IFERROR(__xludf.DUMMYFUNCTION("""COMPUTED_VALUE"""),1.0)</f>
        <v>1</v>
      </c>
      <c r="U452" s="189">
        <f>IFERROR(__xludf.DUMMYFUNCTION("""COMPUTED_VALUE"""),3.0)</f>
        <v>3</v>
      </c>
      <c r="V452" s="189">
        <f>IFERROR(__xludf.DUMMYFUNCTION("""COMPUTED_VALUE"""),9.0)</f>
        <v>9</v>
      </c>
      <c r="W452" s="189">
        <f>IFERROR(__xludf.DUMMYFUNCTION("""COMPUTED_VALUE"""),6.0)</f>
        <v>6</v>
      </c>
      <c r="X452" s="189">
        <f>IFERROR(__xludf.DUMMYFUNCTION("""COMPUTED_VALUE"""),4.0)</f>
        <v>4</v>
      </c>
      <c r="Y452" s="208" t="str">
        <f>IFERROR(__xludf.DUMMYFUNCTION("""COMPUTED_VALUE"""),"2025-07-21T00:00:00.000Z")</f>
        <v>2025-07-21T00:00:00.000Z</v>
      </c>
      <c r="Z452" s="189" t="s">
        <v>109</v>
      </c>
      <c r="AA452" s="189" t="s">
        <v>179</v>
      </c>
    </row>
    <row r="453">
      <c r="A453" s="189">
        <f>IFERROR(__xludf.DUMMYFUNCTION("""COMPUTED_VALUE"""),210744.0)</f>
        <v>210744</v>
      </c>
      <c r="B453" s="189">
        <f>IFERROR(__xludf.DUMMYFUNCTION("""COMPUTED_VALUE"""),92704.0)</f>
        <v>92704</v>
      </c>
      <c r="C453" s="189" t="str">
        <f>IFERROR(__xludf.DUMMYFUNCTION("""COMPUTED_VALUE"""),"Challengers League 2025 NORTH EAST: Split 3 - Upper Swiss Phase")</f>
        <v>Challengers League 2025 NORTH EAST: Split 3 - Upper Swiss Phase</v>
      </c>
      <c r="D453" s="189" t="str">
        <f>IFERROR(__xludf.DUMMYFUNCTION("""COMPUTED_VALUE"""),"Ascent")</f>
        <v>Ascent</v>
      </c>
      <c r="E453" s="189" t="str">
        <f>IFERROR(__xludf.DUMMYFUNCTION("""COMPUTED_VALUE"""),"Metizport")</f>
        <v>Metizport</v>
      </c>
      <c r="F453" s="189" t="str">
        <f>IFERROR(__xludf.DUMMYFUNCTION("""COMPUTED_VALUE"""),"děti ulice")</f>
        <v>děti ulice</v>
      </c>
      <c r="G453" s="189" t="str">
        <f>IFERROR(__xludf.DUMMYFUNCTION("""COMPUTED_VALUE"""),"Cypher,Sova,Omen,Jett,KAY/O")</f>
        <v>Cypher,Sova,Omen,Jett,KAY/O</v>
      </c>
      <c r="H453" s="189" t="str">
        <f>IFERROR(__xludf.DUMMYFUNCTION("""COMPUTED_VALUE"""),"Sova,Killjoy,Omen,Jett,KAY/O")</f>
        <v>Sova,Killjoy,Omen,Jett,KAY/O</v>
      </c>
      <c r="I453" s="189">
        <f>IFERROR(__xludf.DUMMYFUNCTION("""COMPUTED_VALUE"""),14.0)</f>
        <v>14</v>
      </c>
      <c r="J453" s="189">
        <f>IFERROR(__xludf.DUMMYFUNCTION("""COMPUTED_VALUE"""),12.0)</f>
        <v>12</v>
      </c>
      <c r="K453" s="189">
        <f>IFERROR(__xludf.DUMMYFUNCTION("""COMPUTED_VALUE"""),7.0)</f>
        <v>7</v>
      </c>
      <c r="L453" s="189">
        <f>IFERROR(__xludf.DUMMYFUNCTION("""COMPUTED_VALUE"""),5.0)</f>
        <v>5</v>
      </c>
      <c r="M453" s="189">
        <f>IFERROR(__xludf.DUMMYFUNCTION("""COMPUTED_VALUE"""),1.0)</f>
        <v>1</v>
      </c>
      <c r="N453" s="189">
        <f>IFERROR(__xludf.DUMMYFUNCTION("""COMPUTED_VALUE"""),0.0)</f>
        <v>0</v>
      </c>
      <c r="O453" s="189">
        <f>IFERROR(__xludf.DUMMYFUNCTION("""COMPUTED_VALUE"""),8.0)</f>
        <v>8</v>
      </c>
      <c r="P453" s="189">
        <f>IFERROR(__xludf.DUMMYFUNCTION("""COMPUTED_VALUE"""),5.0)</f>
        <v>5</v>
      </c>
      <c r="Q453" s="189">
        <f>IFERROR(__xludf.DUMMYFUNCTION("""COMPUTED_VALUE"""),6.0)</f>
        <v>6</v>
      </c>
      <c r="R453" s="189">
        <f>IFERROR(__xludf.DUMMYFUNCTION("""COMPUTED_VALUE"""),7.0)</f>
        <v>7</v>
      </c>
      <c r="S453" s="189">
        <f>IFERROR(__xludf.DUMMYFUNCTION("""COMPUTED_VALUE"""),1.0)</f>
        <v>1</v>
      </c>
      <c r="T453" s="189">
        <f>IFERROR(__xludf.DUMMYFUNCTION("""COMPUTED_VALUE"""),0.0)</f>
        <v>0</v>
      </c>
      <c r="U453" s="189">
        <f>IFERROR(__xludf.DUMMYFUNCTION("""COMPUTED_VALUE"""),7.0)</f>
        <v>7</v>
      </c>
      <c r="V453" s="189">
        <f>IFERROR(__xludf.DUMMYFUNCTION("""COMPUTED_VALUE"""),6.0)</f>
        <v>6</v>
      </c>
      <c r="W453" s="189">
        <f>IFERROR(__xludf.DUMMYFUNCTION("""COMPUTED_VALUE"""),5.0)</f>
        <v>5</v>
      </c>
      <c r="X453" s="189">
        <f>IFERROR(__xludf.DUMMYFUNCTION("""COMPUTED_VALUE"""),8.0)</f>
        <v>8</v>
      </c>
      <c r="Y453" s="208" t="str">
        <f>IFERROR(__xludf.DUMMYFUNCTION("""COMPUTED_VALUE"""),"2025-07-20T00:00:00.000Z")</f>
        <v>2025-07-20T00:00:00.000Z</v>
      </c>
      <c r="Z453" s="189" t="s">
        <v>513</v>
      </c>
      <c r="AA453" s="189" t="s">
        <v>404</v>
      </c>
    </row>
    <row r="454">
      <c r="A454" s="189">
        <f>IFERROR(__xludf.DUMMYFUNCTION("""COMPUTED_VALUE"""),208401.0)</f>
        <v>208401</v>
      </c>
      <c r="B454" s="189">
        <f>IFERROR(__xludf.DUMMYFUNCTION("""COMPUTED_VALUE"""),91782.0)</f>
        <v>91782</v>
      </c>
      <c r="C454" s="189" t="str">
        <f>IFERROR(__xludf.DUMMYFUNCTION("""COMPUTED_VALUE"""),"Challengers League 2025 Türkiye Birlik: Split 3 - Group Stage")</f>
        <v>Challengers League 2025 Türkiye Birlik: Split 3 - Group Stage</v>
      </c>
      <c r="D454" s="189" t="str">
        <f>IFERROR(__xludf.DUMMYFUNCTION("""COMPUTED_VALUE"""),"Lotus")</f>
        <v>Lotus</v>
      </c>
      <c r="E454" s="189" t="str">
        <f>IFERROR(__xludf.DUMMYFUNCTION("""COMPUTED_VALUE"""),"Misa Esports")</f>
        <v>Misa Esports</v>
      </c>
      <c r="F454" s="189" t="str">
        <f>IFERROR(__xludf.DUMMYFUNCTION("""COMPUTED_VALUE"""),"ULF Esports")</f>
        <v>ULF Esports</v>
      </c>
      <c r="G454" s="189" t="str">
        <f>IFERROR(__xludf.DUMMYFUNCTION("""COMPUTED_VALUE"""),"Raze,Viper,Omen,Fade,Vyse")</f>
        <v>Raze,Viper,Omen,Fade,Vyse</v>
      </c>
      <c r="H454" s="189" t="str">
        <f>IFERROR(__xludf.DUMMYFUNCTION("""COMPUTED_VALUE"""),"Raze,Omen,Yoru,Fade,Vyse")</f>
        <v>Raze,Omen,Yoru,Fade,Vyse</v>
      </c>
      <c r="I454" s="189">
        <f>IFERROR(__xludf.DUMMYFUNCTION("""COMPUTED_VALUE"""),1.0)</f>
        <v>1</v>
      </c>
      <c r="J454" s="189">
        <f>IFERROR(__xludf.DUMMYFUNCTION("""COMPUTED_VALUE"""),13.0)</f>
        <v>13</v>
      </c>
      <c r="K454" s="189">
        <f>IFERROR(__xludf.DUMMYFUNCTION("""COMPUTED_VALUE"""),1.0)</f>
        <v>1</v>
      </c>
      <c r="L454" s="189">
        <f>IFERROR(__xludf.DUMMYFUNCTION("""COMPUTED_VALUE"""),11.0)</f>
        <v>11</v>
      </c>
      <c r="M454" s="189">
        <f>IFERROR(__xludf.DUMMYFUNCTION("""COMPUTED_VALUE"""),0.0)</f>
        <v>0</v>
      </c>
      <c r="N454" s="189">
        <f>IFERROR(__xludf.DUMMYFUNCTION("""COMPUTED_VALUE"""),0.0)</f>
        <v>0</v>
      </c>
      <c r="O454" s="189">
        <f>IFERROR(__xludf.DUMMYFUNCTION("""COMPUTED_VALUE"""),0.0)</f>
        <v>0</v>
      </c>
      <c r="P454" s="189">
        <f>IFERROR(__xludf.DUMMYFUNCTION("""COMPUTED_VALUE"""),2.0)</f>
        <v>2</v>
      </c>
      <c r="Q454" s="189">
        <f>IFERROR(__xludf.DUMMYFUNCTION("""COMPUTED_VALUE"""),1.0)</f>
        <v>1</v>
      </c>
      <c r="R454" s="189">
        <f>IFERROR(__xludf.DUMMYFUNCTION("""COMPUTED_VALUE"""),11.0)</f>
        <v>11</v>
      </c>
      <c r="S454" s="189">
        <f>IFERROR(__xludf.DUMMYFUNCTION("""COMPUTED_VALUE"""),1.0)</f>
        <v>1</v>
      </c>
      <c r="T454" s="189">
        <f>IFERROR(__xludf.DUMMYFUNCTION("""COMPUTED_VALUE"""),1.0)</f>
        <v>1</v>
      </c>
      <c r="U454" s="189">
        <f>IFERROR(__xludf.DUMMYFUNCTION("""COMPUTED_VALUE"""),11.0)</f>
        <v>11</v>
      </c>
      <c r="V454" s="189">
        <f>IFERROR(__xludf.DUMMYFUNCTION("""COMPUTED_VALUE"""),1.0)</f>
        <v>1</v>
      </c>
      <c r="W454" s="189">
        <f>IFERROR(__xludf.DUMMYFUNCTION("""COMPUTED_VALUE"""),2.0)</f>
        <v>2</v>
      </c>
      <c r="X454" s="189">
        <f>IFERROR(__xludf.DUMMYFUNCTION("""COMPUTED_VALUE"""),0.0)</f>
        <v>0</v>
      </c>
      <c r="Y454" s="208" t="str">
        <f>IFERROR(__xludf.DUMMYFUNCTION("""COMPUTED_VALUE"""),"2025-07-20T00:00:00.000Z")</f>
        <v>2025-07-20T00:00:00.000Z</v>
      </c>
      <c r="Z454" s="189" t="s">
        <v>529</v>
      </c>
      <c r="AA454" s="189" t="s">
        <v>188</v>
      </c>
    </row>
    <row r="455">
      <c r="A455" s="189">
        <f>IFERROR(__xludf.DUMMYFUNCTION("""COMPUTED_VALUE"""),210558.0)</f>
        <v>210558</v>
      </c>
      <c r="B455" s="189">
        <f>IFERROR(__xludf.DUMMYFUNCTION("""COMPUTED_VALUE"""),92622.0)</f>
        <v>92622</v>
      </c>
      <c r="C455" s="189" t="str">
        <f>IFERROR(__xludf.DUMMYFUNCTION("""COMPUTED_VALUE"""),"Challengers 2025: France Revolution Split 3 - Group Stage")</f>
        <v>Challengers 2025: France Revolution Split 3 - Group Stage</v>
      </c>
      <c r="D455" s="189" t="str">
        <f>IFERROR(__xludf.DUMMYFUNCTION("""COMPUTED_VALUE"""),"Lotus")</f>
        <v>Lotus</v>
      </c>
      <c r="E455" s="189" t="str">
        <f>IFERROR(__xludf.DUMMYFUNCTION("""COMPUTED_VALUE"""),"Mandatory")</f>
        <v>Mandatory</v>
      </c>
      <c r="F455" s="189" t="str">
        <f>IFERROR(__xludf.DUMMYFUNCTION("""COMPUTED_VALUE"""),"Team Valiant")</f>
        <v>Team Valiant</v>
      </c>
      <c r="G455" s="189" t="str">
        <f>IFERROR(__xludf.DUMMYFUNCTION("""COMPUTED_VALUE"""),"Cypher,Sova,Omen,Yoru,Deadlock")</f>
        <v>Cypher,Sova,Omen,Yoru,Deadlock</v>
      </c>
      <c r="H455" s="189" t="str">
        <f>IFERROR(__xludf.DUMMYFUNCTION("""COMPUTED_VALUE"""),"Raze,Killjoy,Viper,Omen,Fade")</f>
        <v>Raze,Killjoy,Viper,Omen,Fade</v>
      </c>
      <c r="I455" s="189">
        <f>IFERROR(__xludf.DUMMYFUNCTION("""COMPUTED_VALUE"""),2.0)</f>
        <v>2</v>
      </c>
      <c r="J455" s="189">
        <f>IFERROR(__xludf.DUMMYFUNCTION("""COMPUTED_VALUE"""),13.0)</f>
        <v>13</v>
      </c>
      <c r="K455" s="189">
        <f>IFERROR(__xludf.DUMMYFUNCTION("""COMPUTED_VALUE"""),2.0)</f>
        <v>2</v>
      </c>
      <c r="L455" s="189">
        <f>IFERROR(__xludf.DUMMYFUNCTION("""COMPUTED_VALUE"""),10.0)</f>
        <v>10</v>
      </c>
      <c r="M455" s="189">
        <f>IFERROR(__xludf.DUMMYFUNCTION("""COMPUTED_VALUE"""),0.0)</f>
        <v>0</v>
      </c>
      <c r="N455" s="189">
        <f>IFERROR(__xludf.DUMMYFUNCTION("""COMPUTED_VALUE"""),0.0)</f>
        <v>0</v>
      </c>
      <c r="O455" s="189">
        <f>IFERROR(__xludf.DUMMYFUNCTION("""COMPUTED_VALUE"""),2.0)</f>
        <v>2</v>
      </c>
      <c r="P455" s="189">
        <f>IFERROR(__xludf.DUMMYFUNCTION("""COMPUTED_VALUE"""),10.0)</f>
        <v>10</v>
      </c>
      <c r="Q455" s="189">
        <f>IFERROR(__xludf.DUMMYFUNCTION("""COMPUTED_VALUE"""),0.0)</f>
        <v>0</v>
      </c>
      <c r="R455" s="189">
        <f>IFERROR(__xludf.DUMMYFUNCTION("""COMPUTED_VALUE"""),3.0)</f>
        <v>3</v>
      </c>
      <c r="S455" s="189">
        <f>IFERROR(__xludf.DUMMYFUNCTION("""COMPUTED_VALUE"""),1.0)</f>
        <v>1</v>
      </c>
      <c r="T455" s="189">
        <f>IFERROR(__xludf.DUMMYFUNCTION("""COMPUTED_VALUE"""),1.0)</f>
        <v>1</v>
      </c>
      <c r="U455" s="189">
        <f>IFERROR(__xludf.DUMMYFUNCTION("""COMPUTED_VALUE"""),3.0)</f>
        <v>3</v>
      </c>
      <c r="V455" s="189">
        <f>IFERROR(__xludf.DUMMYFUNCTION("""COMPUTED_VALUE"""),0.0)</f>
        <v>0</v>
      </c>
      <c r="W455" s="189">
        <f>IFERROR(__xludf.DUMMYFUNCTION("""COMPUTED_VALUE"""),10.0)</f>
        <v>10</v>
      </c>
      <c r="X455" s="189">
        <f>IFERROR(__xludf.DUMMYFUNCTION("""COMPUTED_VALUE"""),2.0)</f>
        <v>2</v>
      </c>
      <c r="Y455" s="208" t="str">
        <f>IFERROR(__xludf.DUMMYFUNCTION("""COMPUTED_VALUE"""),"2025-07-20T00:00:00.000Z")</f>
        <v>2025-07-20T00:00:00.000Z</v>
      </c>
      <c r="Z455" s="189" t="s">
        <v>130</v>
      </c>
      <c r="AA455" s="189" t="s">
        <v>393</v>
      </c>
    </row>
    <row r="456">
      <c r="A456" s="189">
        <f>IFERROR(__xludf.DUMMYFUNCTION("""COMPUTED_VALUE"""),210743.0)</f>
        <v>210743</v>
      </c>
      <c r="B456" s="189">
        <f>IFERROR(__xludf.DUMMYFUNCTION("""COMPUTED_VALUE"""),92704.0)</f>
        <v>92704</v>
      </c>
      <c r="C456" s="189" t="str">
        <f>IFERROR(__xludf.DUMMYFUNCTION("""COMPUTED_VALUE"""),"Challengers League 2025 NORTH EAST: Split 3 - Upper Swiss Phase")</f>
        <v>Challengers League 2025 NORTH EAST: Split 3 - Upper Swiss Phase</v>
      </c>
      <c r="D456" s="189" t="str">
        <f>IFERROR(__xludf.DUMMYFUNCTION("""COMPUTED_VALUE"""),"Icebox")</f>
        <v>Icebox</v>
      </c>
      <c r="E456" s="189" t="str">
        <f>IFERROR(__xludf.DUMMYFUNCTION("""COMPUTED_VALUE"""),"Metizport")</f>
        <v>Metizport</v>
      </c>
      <c r="F456" s="189" t="str">
        <f>IFERROR(__xludf.DUMMYFUNCTION("""COMPUTED_VALUE"""),"děti ulice")</f>
        <v>děti ulice</v>
      </c>
      <c r="G456" s="189" t="str">
        <f>IFERROR(__xludf.DUMMYFUNCTION("""COMPUTED_VALUE"""),"Sova,Killjoy,Viper,Jett,Harbor")</f>
        <v>Sova,Killjoy,Viper,Jett,Harbor</v>
      </c>
      <c r="H456" s="189" t="str">
        <f>IFERROR(__xludf.DUMMYFUNCTION("""COMPUTED_VALUE"""),"Sova,Killjoy,Viper,Reyna,Jett")</f>
        <v>Sova,Killjoy,Viper,Reyna,Jett</v>
      </c>
      <c r="I456" s="189">
        <f>IFERROR(__xludf.DUMMYFUNCTION("""COMPUTED_VALUE"""),15.0)</f>
        <v>15</v>
      </c>
      <c r="J456" s="189">
        <f>IFERROR(__xludf.DUMMYFUNCTION("""COMPUTED_VALUE"""),17.0)</f>
        <v>17</v>
      </c>
      <c r="K456" s="189">
        <f>IFERROR(__xludf.DUMMYFUNCTION("""COMPUTED_VALUE"""),6.0)</f>
        <v>6</v>
      </c>
      <c r="L456" s="189">
        <f>IFERROR(__xludf.DUMMYFUNCTION("""COMPUTED_VALUE"""),6.0)</f>
        <v>6</v>
      </c>
      <c r="M456" s="189">
        <f>IFERROR(__xludf.DUMMYFUNCTION("""COMPUTED_VALUE"""),1.0)</f>
        <v>1</v>
      </c>
      <c r="N456" s="189">
        <f>IFERROR(__xludf.DUMMYFUNCTION("""COMPUTED_VALUE"""),0.0)</f>
        <v>0</v>
      </c>
      <c r="O456" s="189">
        <f>IFERROR(__xludf.DUMMYFUNCTION("""COMPUTED_VALUE"""),9.0)</f>
        <v>9</v>
      </c>
      <c r="P456" s="189">
        <f>IFERROR(__xludf.DUMMYFUNCTION("""COMPUTED_VALUE"""),7.0)</f>
        <v>7</v>
      </c>
      <c r="Q456" s="189">
        <f>IFERROR(__xludf.DUMMYFUNCTION("""COMPUTED_VALUE"""),6.0)</f>
        <v>6</v>
      </c>
      <c r="R456" s="189">
        <f>IFERROR(__xludf.DUMMYFUNCTION("""COMPUTED_VALUE"""),10.0)</f>
        <v>10</v>
      </c>
      <c r="S456" s="189">
        <f>IFERROR(__xludf.DUMMYFUNCTION("""COMPUTED_VALUE"""),1.0)</f>
        <v>1</v>
      </c>
      <c r="T456" s="189">
        <f>IFERROR(__xludf.DUMMYFUNCTION("""COMPUTED_VALUE"""),0.0)</f>
        <v>0</v>
      </c>
      <c r="U456" s="189">
        <f>IFERROR(__xludf.DUMMYFUNCTION("""COMPUTED_VALUE"""),10.0)</f>
        <v>10</v>
      </c>
      <c r="V456" s="189">
        <f>IFERROR(__xludf.DUMMYFUNCTION("""COMPUTED_VALUE"""),6.0)</f>
        <v>6</v>
      </c>
      <c r="W456" s="189">
        <f>IFERROR(__xludf.DUMMYFUNCTION("""COMPUTED_VALUE"""),7.0)</f>
        <v>7</v>
      </c>
      <c r="X456" s="189">
        <f>IFERROR(__xludf.DUMMYFUNCTION("""COMPUTED_VALUE"""),9.0)</f>
        <v>9</v>
      </c>
      <c r="Y456" s="208" t="str">
        <f>IFERROR(__xludf.DUMMYFUNCTION("""COMPUTED_VALUE"""),"2025-07-20T00:00:00.000Z")</f>
        <v>2025-07-20T00:00:00.000Z</v>
      </c>
      <c r="Z456" s="189" t="s">
        <v>530</v>
      </c>
      <c r="AA456" s="189" t="s">
        <v>190</v>
      </c>
    </row>
    <row r="457">
      <c r="A457" s="189">
        <f>IFERROR(__xludf.DUMMYFUNCTION("""COMPUTED_VALUE"""),210357.0)</f>
        <v>210357</v>
      </c>
      <c r="B457" s="189">
        <f>IFERROR(__xludf.DUMMYFUNCTION("""COMPUTED_VALUE"""),92556.0)</f>
        <v>92556</v>
      </c>
      <c r="C457" s="189" t="str">
        <f>IFERROR(__xludf.DUMMYFUNCTION("""COMPUTED_VALUE"""),"Challengers League 2025 MENA: Resilience - GPI - Split 2 - Playoffs")</f>
        <v>Challengers League 2025 MENA: Resilience - GPI - Split 2 - Playoffs</v>
      </c>
      <c r="D457" s="189" t="str">
        <f>IFERROR(__xludf.DUMMYFUNCTION("""COMPUTED_VALUE"""),"Corrode")</f>
        <v>Corrode</v>
      </c>
      <c r="E457" s="189" t="str">
        <f>IFERROR(__xludf.DUMMYFUNCTION("""COMPUTED_VALUE"""),"The Ultimates")</f>
        <v>The Ultimates</v>
      </c>
      <c r="F457" s="189" t="str">
        <f>IFERROR(__xludf.DUMMYFUNCTION("""COMPUTED_VALUE"""),"AlQadsiah Esports")</f>
        <v>AlQadsiah Esports</v>
      </c>
      <c r="G457" s="189" t="str">
        <f>IFERROR(__xludf.DUMMYFUNCTION("""COMPUTED_VALUE"""),"Cypher,Omen,Yoru,Fade,Iso")</f>
        <v>Cypher,Omen,Yoru,Fade,Iso</v>
      </c>
      <c r="H457" s="189" t="str">
        <f>IFERROR(__xludf.DUMMYFUNCTION("""COMPUTED_VALUE"""),"Viper,Omen,Yoru,Chamber,Fade")</f>
        <v>Viper,Omen,Yoru,Chamber,Fade</v>
      </c>
      <c r="I457" s="189">
        <f>IFERROR(__xludf.DUMMYFUNCTION("""COMPUTED_VALUE"""),13.0)</f>
        <v>13</v>
      </c>
      <c r="J457" s="189">
        <f>IFERROR(__xludf.DUMMYFUNCTION("""COMPUTED_VALUE"""),7.0)</f>
        <v>7</v>
      </c>
      <c r="K457" s="189">
        <f>IFERROR(__xludf.DUMMYFUNCTION("""COMPUTED_VALUE"""),7.0)</f>
        <v>7</v>
      </c>
      <c r="L457" s="189">
        <f>IFERROR(__xludf.DUMMYFUNCTION("""COMPUTED_VALUE"""),5.0)</f>
        <v>5</v>
      </c>
      <c r="M457" s="189">
        <f>IFERROR(__xludf.DUMMYFUNCTION("""COMPUTED_VALUE"""),1.0)</f>
        <v>1</v>
      </c>
      <c r="N457" s="189">
        <f>IFERROR(__xludf.DUMMYFUNCTION("""COMPUTED_VALUE"""),1.0)</f>
        <v>1</v>
      </c>
      <c r="O457" s="189">
        <f>IFERROR(__xludf.DUMMYFUNCTION("""COMPUTED_VALUE"""),7.0)</f>
        <v>7</v>
      </c>
      <c r="P457" s="189">
        <f>IFERROR(__xludf.DUMMYFUNCTION("""COMPUTED_VALUE"""),5.0)</f>
        <v>5</v>
      </c>
      <c r="Q457" s="189">
        <f>IFERROR(__xludf.DUMMYFUNCTION("""COMPUTED_VALUE"""),6.0)</f>
        <v>6</v>
      </c>
      <c r="R457" s="189">
        <f>IFERROR(__xludf.DUMMYFUNCTION("""COMPUTED_VALUE"""),2.0)</f>
        <v>2</v>
      </c>
      <c r="S457" s="189">
        <f>IFERROR(__xludf.DUMMYFUNCTION("""COMPUTED_VALUE"""),0.0)</f>
        <v>0</v>
      </c>
      <c r="T457" s="189">
        <f>IFERROR(__xludf.DUMMYFUNCTION("""COMPUTED_VALUE"""),0.0)</f>
        <v>0</v>
      </c>
      <c r="U457" s="189">
        <f>IFERROR(__xludf.DUMMYFUNCTION("""COMPUTED_VALUE"""),2.0)</f>
        <v>2</v>
      </c>
      <c r="V457" s="189">
        <f>IFERROR(__xludf.DUMMYFUNCTION("""COMPUTED_VALUE"""),6.0)</f>
        <v>6</v>
      </c>
      <c r="W457" s="189">
        <f>IFERROR(__xludf.DUMMYFUNCTION("""COMPUTED_VALUE"""),5.0)</f>
        <v>5</v>
      </c>
      <c r="X457" s="189">
        <f>IFERROR(__xludf.DUMMYFUNCTION("""COMPUTED_VALUE"""),7.0)</f>
        <v>7</v>
      </c>
      <c r="Y457" s="208" t="str">
        <f>IFERROR(__xludf.DUMMYFUNCTION("""COMPUTED_VALUE"""),"2025-07-20T00:00:00.000Z")</f>
        <v>2025-07-20T00:00:00.000Z</v>
      </c>
      <c r="Z457" s="189" t="s">
        <v>152</v>
      </c>
      <c r="AA457" s="189" t="s">
        <v>185</v>
      </c>
    </row>
    <row r="458">
      <c r="A458" s="189">
        <f>IFERROR(__xludf.DUMMYFUNCTION("""COMPUTED_VALUE"""),207544.0)</f>
        <v>207544</v>
      </c>
      <c r="B458" s="189">
        <f>IFERROR(__xludf.DUMMYFUNCTION("""COMPUTED_VALUE"""),91442.0)</f>
        <v>91442</v>
      </c>
      <c r="C458" s="189" t="str">
        <f>IFERROR(__xludf.DUMMYFUNCTION("""COMPUTED_VALUE"""),"Challengers League 2025 Spain Rising: Split 3 - Group Stage")</f>
        <v>Challengers League 2025 Spain Rising: Split 3 - Group Stage</v>
      </c>
      <c r="D458" s="189" t="str">
        <f>IFERROR(__xludf.DUMMYFUNCTION("""COMPUTED_VALUE"""),"Corrode")</f>
        <v>Corrode</v>
      </c>
      <c r="E458" s="189" t="str">
        <f>IFERROR(__xludf.DUMMYFUNCTION("""COMPUTED_VALUE"""),"KOI Fénix")</f>
        <v>KOI Fénix</v>
      </c>
      <c r="F458" s="189" t="str">
        <f>IFERROR(__xludf.DUMMYFUNCTION("""COMPUTED_VALUE"""),"KPI Gaming")</f>
        <v>KPI Gaming</v>
      </c>
      <c r="G458" s="189" t="str">
        <f>IFERROR(__xludf.DUMMYFUNCTION("""COMPUTED_VALUE"""),"Omen,Jett,Yoru,Chamber,Fade")</f>
        <v>Omen,Jett,Yoru,Chamber,Fade</v>
      </c>
      <c r="H458" s="189" t="str">
        <f>IFERROR(__xludf.DUMMYFUNCTION("""COMPUTED_VALUE"""),"Viper,Omen,Yoru,Fade,Deadlock")</f>
        <v>Viper,Omen,Yoru,Fade,Deadlock</v>
      </c>
      <c r="I458" s="189">
        <f>IFERROR(__xludf.DUMMYFUNCTION("""COMPUTED_VALUE"""),13.0)</f>
        <v>13</v>
      </c>
      <c r="J458" s="189">
        <f>IFERROR(__xludf.DUMMYFUNCTION("""COMPUTED_VALUE"""),6.0)</f>
        <v>6</v>
      </c>
      <c r="K458" s="189">
        <f>IFERROR(__xludf.DUMMYFUNCTION("""COMPUTED_VALUE"""),8.0)</f>
        <v>8</v>
      </c>
      <c r="L458" s="189">
        <f>IFERROR(__xludf.DUMMYFUNCTION("""COMPUTED_VALUE"""),4.0)</f>
        <v>4</v>
      </c>
      <c r="M458" s="189">
        <f>IFERROR(__xludf.DUMMYFUNCTION("""COMPUTED_VALUE"""),1.0)</f>
        <v>1</v>
      </c>
      <c r="N458" s="189">
        <f>IFERROR(__xludf.DUMMYFUNCTION("""COMPUTED_VALUE"""),1.0)</f>
        <v>1</v>
      </c>
      <c r="O458" s="189">
        <f>IFERROR(__xludf.DUMMYFUNCTION("""COMPUTED_VALUE"""),5.0)</f>
        <v>5</v>
      </c>
      <c r="P458" s="189">
        <f>IFERROR(__xludf.DUMMYFUNCTION("""COMPUTED_VALUE"""),2.0)</f>
        <v>2</v>
      </c>
      <c r="Q458" s="189">
        <f>IFERROR(__xludf.DUMMYFUNCTION("""COMPUTED_VALUE"""),8.0)</f>
        <v>8</v>
      </c>
      <c r="R458" s="189">
        <f>IFERROR(__xludf.DUMMYFUNCTION("""COMPUTED_VALUE"""),4.0)</f>
        <v>4</v>
      </c>
      <c r="S458" s="189">
        <f>IFERROR(__xludf.DUMMYFUNCTION("""COMPUTED_VALUE"""),0.0)</f>
        <v>0</v>
      </c>
      <c r="T458" s="189">
        <f>IFERROR(__xludf.DUMMYFUNCTION("""COMPUTED_VALUE"""),0.0)</f>
        <v>0</v>
      </c>
      <c r="U458" s="189">
        <f>IFERROR(__xludf.DUMMYFUNCTION("""COMPUTED_VALUE"""),4.0)</f>
        <v>4</v>
      </c>
      <c r="V458" s="189">
        <f>IFERROR(__xludf.DUMMYFUNCTION("""COMPUTED_VALUE"""),8.0)</f>
        <v>8</v>
      </c>
      <c r="W458" s="189">
        <f>IFERROR(__xludf.DUMMYFUNCTION("""COMPUTED_VALUE"""),2.0)</f>
        <v>2</v>
      </c>
      <c r="X458" s="189">
        <f>IFERROR(__xludf.DUMMYFUNCTION("""COMPUTED_VALUE"""),5.0)</f>
        <v>5</v>
      </c>
      <c r="Y458" s="208" t="str">
        <f>IFERROR(__xludf.DUMMYFUNCTION("""COMPUTED_VALUE"""),"2025-07-20T00:00:00.000Z")</f>
        <v>2025-07-20T00:00:00.000Z</v>
      </c>
      <c r="Z458" s="189" t="s">
        <v>121</v>
      </c>
      <c r="AA458" s="189" t="s">
        <v>187</v>
      </c>
    </row>
    <row r="459">
      <c r="A459" s="189">
        <f>IFERROR(__xludf.DUMMYFUNCTION("""COMPUTED_VALUE"""),208400.0)</f>
        <v>208400</v>
      </c>
      <c r="B459" s="189">
        <f>IFERROR(__xludf.DUMMYFUNCTION("""COMPUTED_VALUE"""),91782.0)</f>
        <v>91782</v>
      </c>
      <c r="C459" s="189" t="str">
        <f>IFERROR(__xludf.DUMMYFUNCTION("""COMPUTED_VALUE"""),"Challengers League 2025 Türkiye Birlik: Split 3 - Group Stage")</f>
        <v>Challengers League 2025 Türkiye Birlik: Split 3 - Group Stage</v>
      </c>
      <c r="D459" s="189" t="str">
        <f>IFERROR(__xludf.DUMMYFUNCTION("""COMPUTED_VALUE"""),"Ascent")</f>
        <v>Ascent</v>
      </c>
      <c r="E459" s="189" t="str">
        <f>IFERROR(__xludf.DUMMYFUNCTION("""COMPUTED_VALUE"""),"Misa Esports")</f>
        <v>Misa Esports</v>
      </c>
      <c r="F459" s="189" t="str">
        <f>IFERROR(__xludf.DUMMYFUNCTION("""COMPUTED_VALUE"""),"ULF Esports")</f>
        <v>ULF Esports</v>
      </c>
      <c r="G459" s="189" t="str">
        <f>IFERROR(__xludf.DUMMYFUNCTION("""COMPUTED_VALUE"""),"Sova,Omen,Yoru,Deadlock,Vyse")</f>
        <v>Sova,Omen,Yoru,Deadlock,Vyse</v>
      </c>
      <c r="H459" s="189" t="str">
        <f>IFERROR(__xludf.DUMMYFUNCTION("""COMPUTED_VALUE"""),"Cypher,Sova,Omen,Jett,Deadlock")</f>
        <v>Cypher,Sova,Omen,Jett,Deadlock</v>
      </c>
      <c r="I459" s="189">
        <f>IFERROR(__xludf.DUMMYFUNCTION("""COMPUTED_VALUE"""),9.0)</f>
        <v>9</v>
      </c>
      <c r="J459" s="189">
        <f>IFERROR(__xludf.DUMMYFUNCTION("""COMPUTED_VALUE"""),13.0)</f>
        <v>13</v>
      </c>
      <c r="K459" s="189">
        <f>IFERROR(__xludf.DUMMYFUNCTION("""COMPUTED_VALUE"""),9.0)</f>
        <v>9</v>
      </c>
      <c r="L459" s="189">
        <f>IFERROR(__xludf.DUMMYFUNCTION("""COMPUTED_VALUE"""),3.0)</f>
        <v>3</v>
      </c>
      <c r="M459" s="189">
        <f>IFERROR(__xludf.DUMMYFUNCTION("""COMPUTED_VALUE"""),1.0)</f>
        <v>1</v>
      </c>
      <c r="N459" s="189">
        <f>IFERROR(__xludf.DUMMYFUNCTION("""COMPUTED_VALUE"""),0.0)</f>
        <v>0</v>
      </c>
      <c r="O459" s="189">
        <f>IFERROR(__xludf.DUMMYFUNCTION("""COMPUTED_VALUE"""),9.0)</f>
        <v>9</v>
      </c>
      <c r="P459" s="189">
        <f>IFERROR(__xludf.DUMMYFUNCTION("""COMPUTED_VALUE"""),3.0)</f>
        <v>3</v>
      </c>
      <c r="Q459" s="189">
        <f>IFERROR(__xludf.DUMMYFUNCTION("""COMPUTED_VALUE"""),0.0)</f>
        <v>0</v>
      </c>
      <c r="R459" s="189">
        <f>IFERROR(__xludf.DUMMYFUNCTION("""COMPUTED_VALUE"""),10.0)</f>
        <v>10</v>
      </c>
      <c r="S459" s="189">
        <f>IFERROR(__xludf.DUMMYFUNCTION("""COMPUTED_VALUE"""),1.0)</f>
        <v>1</v>
      </c>
      <c r="T459" s="189">
        <f>IFERROR(__xludf.DUMMYFUNCTION("""COMPUTED_VALUE"""),0.0)</f>
        <v>0</v>
      </c>
      <c r="U459" s="189">
        <f>IFERROR(__xludf.DUMMYFUNCTION("""COMPUTED_VALUE"""),10.0)</f>
        <v>10</v>
      </c>
      <c r="V459" s="189">
        <f>IFERROR(__xludf.DUMMYFUNCTION("""COMPUTED_VALUE"""),0.0)</f>
        <v>0</v>
      </c>
      <c r="W459" s="189">
        <f>IFERROR(__xludf.DUMMYFUNCTION("""COMPUTED_VALUE"""),3.0)</f>
        <v>3</v>
      </c>
      <c r="X459" s="189">
        <f>IFERROR(__xludf.DUMMYFUNCTION("""COMPUTED_VALUE"""),9.0)</f>
        <v>9</v>
      </c>
      <c r="Y459" s="208" t="str">
        <f>IFERROR(__xludf.DUMMYFUNCTION("""COMPUTED_VALUE"""),"2025-07-20T00:00:00.000Z")</f>
        <v>2025-07-20T00:00:00.000Z</v>
      </c>
      <c r="Z459" s="189" t="s">
        <v>531</v>
      </c>
      <c r="AA459" s="189" t="s">
        <v>188</v>
      </c>
    </row>
    <row r="460">
      <c r="A460" s="189">
        <f>IFERROR(__xludf.DUMMYFUNCTION("""COMPUTED_VALUE"""),210742.0)</f>
        <v>210742</v>
      </c>
      <c r="B460" s="189">
        <f>IFERROR(__xludf.DUMMYFUNCTION("""COMPUTED_VALUE"""),92704.0)</f>
        <v>92704</v>
      </c>
      <c r="C460" s="189" t="str">
        <f>IFERROR(__xludf.DUMMYFUNCTION("""COMPUTED_VALUE"""),"Challengers League 2025 NORTH EAST: Split 3 - Upper Swiss Phase")</f>
        <v>Challengers League 2025 NORTH EAST: Split 3 - Upper Swiss Phase</v>
      </c>
      <c r="D460" s="189" t="str">
        <f>IFERROR(__xludf.DUMMYFUNCTION("""COMPUTED_VALUE"""),"Haven")</f>
        <v>Haven</v>
      </c>
      <c r="E460" s="189" t="str">
        <f>IFERROR(__xludf.DUMMYFUNCTION("""COMPUTED_VALUE"""),"Metizport")</f>
        <v>Metizport</v>
      </c>
      <c r="F460" s="189" t="str">
        <f>IFERROR(__xludf.DUMMYFUNCTION("""COMPUTED_VALUE"""),"děti ulice")</f>
        <v>děti ulice</v>
      </c>
      <c r="G460" s="189" t="str">
        <f>IFERROR(__xludf.DUMMYFUNCTION("""COMPUTED_VALUE"""),"Sova,Killjoy,Viper,Omen,Neon")</f>
        <v>Sova,Killjoy,Viper,Omen,Neon</v>
      </c>
      <c r="H460" s="189" t="str">
        <f>IFERROR(__xludf.DUMMYFUNCTION("""COMPUTED_VALUE"""),"Cypher,Sova,Omen,Yoru,Iso")</f>
        <v>Cypher,Sova,Omen,Yoru,Iso</v>
      </c>
      <c r="I460" s="189">
        <f>IFERROR(__xludf.DUMMYFUNCTION("""COMPUTED_VALUE"""),13.0)</f>
        <v>13</v>
      </c>
      <c r="J460" s="189">
        <f>IFERROR(__xludf.DUMMYFUNCTION("""COMPUTED_VALUE"""),6.0)</f>
        <v>6</v>
      </c>
      <c r="K460" s="189">
        <f>IFERROR(__xludf.DUMMYFUNCTION("""COMPUTED_VALUE"""),9.0)</f>
        <v>9</v>
      </c>
      <c r="L460" s="189">
        <f>IFERROR(__xludf.DUMMYFUNCTION("""COMPUTED_VALUE"""),3.0)</f>
        <v>3</v>
      </c>
      <c r="M460" s="189">
        <f>IFERROR(__xludf.DUMMYFUNCTION("""COMPUTED_VALUE"""),0.0)</f>
        <v>0</v>
      </c>
      <c r="N460" s="189">
        <f>IFERROR(__xludf.DUMMYFUNCTION("""COMPUTED_VALUE"""),1.0)</f>
        <v>1</v>
      </c>
      <c r="O460" s="189">
        <f>IFERROR(__xludf.DUMMYFUNCTION("""COMPUTED_VALUE"""),9.0)</f>
        <v>9</v>
      </c>
      <c r="P460" s="189">
        <f>IFERROR(__xludf.DUMMYFUNCTION("""COMPUTED_VALUE"""),3.0)</f>
        <v>3</v>
      </c>
      <c r="Q460" s="189">
        <f>IFERROR(__xludf.DUMMYFUNCTION("""COMPUTED_VALUE"""),4.0)</f>
        <v>4</v>
      </c>
      <c r="R460" s="189">
        <f>IFERROR(__xludf.DUMMYFUNCTION("""COMPUTED_VALUE"""),3.0)</f>
        <v>3</v>
      </c>
      <c r="S460" s="189">
        <f>IFERROR(__xludf.DUMMYFUNCTION("""COMPUTED_VALUE"""),0.0)</f>
        <v>0</v>
      </c>
      <c r="T460" s="189">
        <f>IFERROR(__xludf.DUMMYFUNCTION("""COMPUTED_VALUE"""),1.0)</f>
        <v>1</v>
      </c>
      <c r="U460" s="189">
        <f>IFERROR(__xludf.DUMMYFUNCTION("""COMPUTED_VALUE"""),3.0)</f>
        <v>3</v>
      </c>
      <c r="V460" s="189">
        <f>IFERROR(__xludf.DUMMYFUNCTION("""COMPUTED_VALUE"""),4.0)</f>
        <v>4</v>
      </c>
      <c r="W460" s="189">
        <f>IFERROR(__xludf.DUMMYFUNCTION("""COMPUTED_VALUE"""),3.0)</f>
        <v>3</v>
      </c>
      <c r="X460" s="189">
        <f>IFERROR(__xludf.DUMMYFUNCTION("""COMPUTED_VALUE"""),9.0)</f>
        <v>9</v>
      </c>
      <c r="Y460" s="208" t="str">
        <f>IFERROR(__xludf.DUMMYFUNCTION("""COMPUTED_VALUE"""),"2025-07-20T00:00:00.000Z")</f>
        <v>2025-07-20T00:00:00.000Z</v>
      </c>
      <c r="Z460" s="189" t="s">
        <v>417</v>
      </c>
      <c r="AA460" s="189" t="s">
        <v>404</v>
      </c>
    </row>
    <row r="461">
      <c r="A461" s="189">
        <f>IFERROR(__xludf.DUMMYFUNCTION("""COMPUTED_VALUE"""),210557.0)</f>
        <v>210557</v>
      </c>
      <c r="B461" s="189">
        <f>IFERROR(__xludf.DUMMYFUNCTION("""COMPUTED_VALUE"""),92622.0)</f>
        <v>92622</v>
      </c>
      <c r="C461" s="189" t="str">
        <f>IFERROR(__xludf.DUMMYFUNCTION("""COMPUTED_VALUE"""),"Challengers 2025: France Revolution Split 3 - Group Stage")</f>
        <v>Challengers 2025: France Revolution Split 3 - Group Stage</v>
      </c>
      <c r="D461" s="189" t="str">
        <f>IFERROR(__xludf.DUMMYFUNCTION("""COMPUTED_VALUE"""),"Ascent")</f>
        <v>Ascent</v>
      </c>
      <c r="E461" s="189" t="str">
        <f>IFERROR(__xludf.DUMMYFUNCTION("""COMPUTED_VALUE"""),"Mandatory")</f>
        <v>Mandatory</v>
      </c>
      <c r="F461" s="189" t="str">
        <f>IFERROR(__xludf.DUMMYFUNCTION("""COMPUTED_VALUE"""),"Team Valiant")</f>
        <v>Team Valiant</v>
      </c>
      <c r="G461" s="189" t="str">
        <f>IFERROR(__xludf.DUMMYFUNCTION("""COMPUTED_VALUE"""),"Sova,Viper,Omen,Yoru,Deadlock")</f>
        <v>Sova,Viper,Omen,Yoru,Deadlock</v>
      </c>
      <c r="H461" s="189" t="str">
        <f>IFERROR(__xludf.DUMMYFUNCTION("""COMPUTED_VALUE"""),"Cypher,Sova,Omen,Jett,KAY/O")</f>
        <v>Cypher,Sova,Omen,Jett,KAY/O</v>
      </c>
      <c r="I461" s="189">
        <f>IFERROR(__xludf.DUMMYFUNCTION("""COMPUTED_VALUE"""),10.0)</f>
        <v>10</v>
      </c>
      <c r="J461" s="189">
        <f>IFERROR(__xludf.DUMMYFUNCTION("""COMPUTED_VALUE"""),13.0)</f>
        <v>13</v>
      </c>
      <c r="K461" s="189">
        <f>IFERROR(__xludf.DUMMYFUNCTION("""COMPUTED_VALUE"""),6.0)</f>
        <v>6</v>
      </c>
      <c r="L461" s="189">
        <f>IFERROR(__xludf.DUMMYFUNCTION("""COMPUTED_VALUE"""),6.0)</f>
        <v>6</v>
      </c>
      <c r="M461" s="189">
        <f>IFERROR(__xludf.DUMMYFUNCTION("""COMPUTED_VALUE"""),0.0)</f>
        <v>0</v>
      </c>
      <c r="N461" s="189">
        <f>IFERROR(__xludf.DUMMYFUNCTION("""COMPUTED_VALUE"""),0.0)</f>
        <v>0</v>
      </c>
      <c r="O461" s="189">
        <f>IFERROR(__xludf.DUMMYFUNCTION("""COMPUTED_VALUE"""),6.0)</f>
        <v>6</v>
      </c>
      <c r="P461" s="189">
        <f>IFERROR(__xludf.DUMMYFUNCTION("""COMPUTED_VALUE"""),6.0)</f>
        <v>6</v>
      </c>
      <c r="Q461" s="189">
        <f>IFERROR(__xludf.DUMMYFUNCTION("""COMPUTED_VALUE"""),4.0)</f>
        <v>4</v>
      </c>
      <c r="R461" s="189">
        <f>IFERROR(__xludf.DUMMYFUNCTION("""COMPUTED_VALUE"""),7.0)</f>
        <v>7</v>
      </c>
      <c r="S461" s="189">
        <f>IFERROR(__xludf.DUMMYFUNCTION("""COMPUTED_VALUE"""),1.0)</f>
        <v>1</v>
      </c>
      <c r="T461" s="189">
        <f>IFERROR(__xludf.DUMMYFUNCTION("""COMPUTED_VALUE"""),1.0)</f>
        <v>1</v>
      </c>
      <c r="U461" s="189">
        <f>IFERROR(__xludf.DUMMYFUNCTION("""COMPUTED_VALUE"""),7.0)</f>
        <v>7</v>
      </c>
      <c r="V461" s="189">
        <f>IFERROR(__xludf.DUMMYFUNCTION("""COMPUTED_VALUE"""),4.0)</f>
        <v>4</v>
      </c>
      <c r="W461" s="189">
        <f>IFERROR(__xludf.DUMMYFUNCTION("""COMPUTED_VALUE"""),6.0)</f>
        <v>6</v>
      </c>
      <c r="X461" s="189">
        <f>IFERROR(__xludf.DUMMYFUNCTION("""COMPUTED_VALUE"""),6.0)</f>
        <v>6</v>
      </c>
      <c r="Y461" s="208" t="str">
        <f>IFERROR(__xludf.DUMMYFUNCTION("""COMPUTED_VALUE"""),"2025-07-20T00:00:00.000Z")</f>
        <v>2025-07-20T00:00:00.000Z</v>
      </c>
      <c r="Z461" s="189" t="s">
        <v>126</v>
      </c>
      <c r="AA461" s="189" t="s">
        <v>393</v>
      </c>
    </row>
    <row r="462">
      <c r="A462" s="189">
        <f>IFERROR(__xludf.DUMMYFUNCTION("""COMPUTED_VALUE"""),210356.0)</f>
        <v>210356</v>
      </c>
      <c r="B462" s="189">
        <f>IFERROR(__xludf.DUMMYFUNCTION("""COMPUTED_VALUE"""),92556.0)</f>
        <v>92556</v>
      </c>
      <c r="C462" s="189" t="str">
        <f>IFERROR(__xludf.DUMMYFUNCTION("""COMPUTED_VALUE"""),"Challengers League 2025 MENA: Resilience - GPI - Split 2 - Playoffs")</f>
        <v>Challengers League 2025 MENA: Resilience - GPI - Split 2 - Playoffs</v>
      </c>
      <c r="D462" s="189" t="str">
        <f>IFERROR(__xludf.DUMMYFUNCTION("""COMPUTED_VALUE"""),"Haven")</f>
        <v>Haven</v>
      </c>
      <c r="E462" s="189" t="str">
        <f>IFERROR(__xludf.DUMMYFUNCTION("""COMPUTED_VALUE"""),"The Ultimates")</f>
        <v>The Ultimates</v>
      </c>
      <c r="F462" s="189" t="str">
        <f>IFERROR(__xludf.DUMMYFUNCTION("""COMPUTED_VALUE"""),"AlQadsiah Esports")</f>
        <v>AlQadsiah Esports</v>
      </c>
      <c r="G462" s="189" t="str">
        <f>IFERROR(__xludf.DUMMYFUNCTION("""COMPUTED_VALUE"""),"Breach,Cypher,Sova,Omen,Neon")</f>
        <v>Breach,Cypher,Sova,Omen,Neon</v>
      </c>
      <c r="H462" s="189" t="str">
        <f>IFERROR(__xludf.DUMMYFUNCTION("""COMPUTED_VALUE"""),"Breach,Cypher,Sova,Omen,Yoru")</f>
        <v>Breach,Cypher,Sova,Omen,Yoru</v>
      </c>
      <c r="I462" s="189">
        <f>IFERROR(__xludf.DUMMYFUNCTION("""COMPUTED_VALUE"""),13.0)</f>
        <v>13</v>
      </c>
      <c r="J462" s="189">
        <f>IFERROR(__xludf.DUMMYFUNCTION("""COMPUTED_VALUE"""),9.0)</f>
        <v>9</v>
      </c>
      <c r="K462" s="189">
        <f>IFERROR(__xludf.DUMMYFUNCTION("""COMPUTED_VALUE"""),6.0)</f>
        <v>6</v>
      </c>
      <c r="L462" s="189">
        <f>IFERROR(__xludf.DUMMYFUNCTION("""COMPUTED_VALUE"""),6.0)</f>
        <v>6</v>
      </c>
      <c r="M462" s="189">
        <f>IFERROR(__xludf.DUMMYFUNCTION("""COMPUTED_VALUE"""),1.0)</f>
        <v>1</v>
      </c>
      <c r="N462" s="189">
        <f>IFERROR(__xludf.DUMMYFUNCTION("""COMPUTED_VALUE"""),0.0)</f>
        <v>0</v>
      </c>
      <c r="O462" s="189">
        <f>IFERROR(__xludf.DUMMYFUNCTION("""COMPUTED_VALUE"""),7.0)</f>
        <v>7</v>
      </c>
      <c r="P462" s="189">
        <f>IFERROR(__xludf.DUMMYFUNCTION("""COMPUTED_VALUE"""),3.0)</f>
        <v>3</v>
      </c>
      <c r="Q462" s="189">
        <f>IFERROR(__xludf.DUMMYFUNCTION("""COMPUTED_VALUE"""),6.0)</f>
        <v>6</v>
      </c>
      <c r="R462" s="189">
        <f>IFERROR(__xludf.DUMMYFUNCTION("""COMPUTED_VALUE"""),6.0)</f>
        <v>6</v>
      </c>
      <c r="S462" s="189">
        <f>IFERROR(__xludf.DUMMYFUNCTION("""COMPUTED_VALUE"""),1.0)</f>
        <v>1</v>
      </c>
      <c r="T462" s="189">
        <f>IFERROR(__xludf.DUMMYFUNCTION("""COMPUTED_VALUE"""),0.0)</f>
        <v>0</v>
      </c>
      <c r="U462" s="189">
        <f>IFERROR(__xludf.DUMMYFUNCTION("""COMPUTED_VALUE"""),6.0)</f>
        <v>6</v>
      </c>
      <c r="V462" s="189">
        <f>IFERROR(__xludf.DUMMYFUNCTION("""COMPUTED_VALUE"""),6.0)</f>
        <v>6</v>
      </c>
      <c r="W462" s="189">
        <f>IFERROR(__xludf.DUMMYFUNCTION("""COMPUTED_VALUE"""),3.0)</f>
        <v>3</v>
      </c>
      <c r="X462" s="189">
        <f>IFERROR(__xludf.DUMMYFUNCTION("""COMPUTED_VALUE"""),7.0)</f>
        <v>7</v>
      </c>
      <c r="Y462" s="208" t="str">
        <f>IFERROR(__xludf.DUMMYFUNCTION("""COMPUTED_VALUE"""),"2025-07-20T00:00:00.000Z")</f>
        <v>2025-07-20T00:00:00.000Z</v>
      </c>
      <c r="Z462" s="189" t="s">
        <v>153</v>
      </c>
      <c r="AA462" s="189" t="s">
        <v>185</v>
      </c>
    </row>
    <row r="463">
      <c r="A463" s="189">
        <f>IFERROR(__xludf.DUMMYFUNCTION("""COMPUTED_VALUE"""),209522.0)</f>
        <v>209522</v>
      </c>
      <c r="B463" s="189">
        <f>IFERROR(__xludf.DUMMYFUNCTION("""COMPUTED_VALUE"""),92187.0)</f>
        <v>92187</v>
      </c>
      <c r="C463" s="189" t="str">
        <f>IFERROR(__xludf.DUMMYFUNCTION("""COMPUTED_VALUE"""),"Challengers League 2025 DACH: Evolution Stage 3 - Group Stage")</f>
        <v>Challengers League 2025 DACH: Evolution Stage 3 - Group Stage</v>
      </c>
      <c r="D463" s="189" t="str">
        <f>IFERROR(__xludf.DUMMYFUNCTION("""COMPUTED_VALUE"""),"Ascent")</f>
        <v>Ascent</v>
      </c>
      <c r="E463" s="189" t="str">
        <f>IFERROR(__xludf.DUMMYFUNCTION("""COMPUTED_VALUE"""),"6GPA")</f>
        <v>6GPA</v>
      </c>
      <c r="F463" s="189" t="str">
        <f>IFERROR(__xludf.DUMMYFUNCTION("""COMPUTED_VALUE"""),"Eintracht Frankfurt")</f>
        <v>Eintracht Frankfurt</v>
      </c>
      <c r="G463" s="189" t="str">
        <f>IFERROR(__xludf.DUMMYFUNCTION("""COMPUTED_VALUE"""),"Sova,Omen,Yoru,Chamber,Vyse")</f>
        <v>Sova,Omen,Yoru,Chamber,Vyse</v>
      </c>
      <c r="H463" s="189" t="str">
        <f>IFERROR(__xludf.DUMMYFUNCTION("""COMPUTED_VALUE"""),"Cypher,Sova,Omen,Jett,KAY/O")</f>
        <v>Cypher,Sova,Omen,Jett,KAY/O</v>
      </c>
      <c r="I463" s="189">
        <f>IFERROR(__xludf.DUMMYFUNCTION("""COMPUTED_VALUE"""),14.0)</f>
        <v>14</v>
      </c>
      <c r="J463" s="189">
        <f>IFERROR(__xludf.DUMMYFUNCTION("""COMPUTED_VALUE"""),12.0)</f>
        <v>12</v>
      </c>
      <c r="K463" s="189">
        <f>IFERROR(__xludf.DUMMYFUNCTION("""COMPUTED_VALUE"""),6.0)</f>
        <v>6</v>
      </c>
      <c r="L463" s="189">
        <f>IFERROR(__xludf.DUMMYFUNCTION("""COMPUTED_VALUE"""),6.0)</f>
        <v>6</v>
      </c>
      <c r="M463" s="189">
        <f>IFERROR(__xludf.DUMMYFUNCTION("""COMPUTED_VALUE"""),1.0)</f>
        <v>1</v>
      </c>
      <c r="N463" s="189">
        <f>IFERROR(__xludf.DUMMYFUNCTION("""COMPUTED_VALUE"""),0.0)</f>
        <v>0</v>
      </c>
      <c r="O463" s="189">
        <f>IFERROR(__xludf.DUMMYFUNCTION("""COMPUTED_VALUE"""),7.0)</f>
        <v>7</v>
      </c>
      <c r="P463" s="189">
        <f>IFERROR(__xludf.DUMMYFUNCTION("""COMPUTED_VALUE"""),6.0)</f>
        <v>6</v>
      </c>
      <c r="Q463" s="189">
        <f>IFERROR(__xludf.DUMMYFUNCTION("""COMPUTED_VALUE"""),7.0)</f>
        <v>7</v>
      </c>
      <c r="R463" s="189">
        <f>IFERROR(__xludf.DUMMYFUNCTION("""COMPUTED_VALUE"""),6.0)</f>
        <v>6</v>
      </c>
      <c r="S463" s="189">
        <f>IFERROR(__xludf.DUMMYFUNCTION("""COMPUTED_VALUE"""),1.0)</f>
        <v>1</v>
      </c>
      <c r="T463" s="189">
        <f>IFERROR(__xludf.DUMMYFUNCTION("""COMPUTED_VALUE"""),0.0)</f>
        <v>0</v>
      </c>
      <c r="U463" s="189">
        <f>IFERROR(__xludf.DUMMYFUNCTION("""COMPUTED_VALUE"""),6.0)</f>
        <v>6</v>
      </c>
      <c r="V463" s="189">
        <f>IFERROR(__xludf.DUMMYFUNCTION("""COMPUTED_VALUE"""),7.0)</f>
        <v>7</v>
      </c>
      <c r="W463" s="189">
        <f>IFERROR(__xludf.DUMMYFUNCTION("""COMPUTED_VALUE"""),6.0)</f>
        <v>6</v>
      </c>
      <c r="X463" s="189">
        <f>IFERROR(__xludf.DUMMYFUNCTION("""COMPUTED_VALUE"""),7.0)</f>
        <v>7</v>
      </c>
      <c r="Y463" s="208" t="str">
        <f>IFERROR(__xludf.DUMMYFUNCTION("""COMPUTED_VALUE"""),"2025-07-20T00:00:00.000Z")</f>
        <v>2025-07-20T00:00:00.000Z</v>
      </c>
      <c r="Z463" s="189" t="s">
        <v>532</v>
      </c>
      <c r="AA463" s="189" t="s">
        <v>434</v>
      </c>
    </row>
    <row r="464">
      <c r="A464" s="189">
        <f>IFERROR(__xludf.DUMMYFUNCTION("""COMPUTED_VALUE"""),207543.0)</f>
        <v>207543</v>
      </c>
      <c r="B464" s="189">
        <f>IFERROR(__xludf.DUMMYFUNCTION("""COMPUTED_VALUE"""),91442.0)</f>
        <v>91442</v>
      </c>
      <c r="C464" s="189" t="str">
        <f>IFERROR(__xludf.DUMMYFUNCTION("""COMPUTED_VALUE"""),"Challengers League 2025 Spain Rising: Split 3 - Group Stage")</f>
        <v>Challengers League 2025 Spain Rising: Split 3 - Group Stage</v>
      </c>
      <c r="D464" s="189" t="str">
        <f>IFERROR(__xludf.DUMMYFUNCTION("""COMPUTED_VALUE"""),"Lotus")</f>
        <v>Lotus</v>
      </c>
      <c r="E464" s="189" t="str">
        <f>IFERROR(__xludf.DUMMYFUNCTION("""COMPUTED_VALUE"""),"KOI Fénix")</f>
        <v>KOI Fénix</v>
      </c>
      <c r="F464" s="189" t="str">
        <f>IFERROR(__xludf.DUMMYFUNCTION("""COMPUTED_VALUE"""),"KPI Gaming")</f>
        <v>KPI Gaming</v>
      </c>
      <c r="G464" s="189" t="str">
        <f>IFERROR(__xludf.DUMMYFUNCTION("""COMPUTED_VALUE"""),"Breach,Sova,Killjoy,Omen,Neon")</f>
        <v>Breach,Sova,Killjoy,Omen,Neon</v>
      </c>
      <c r="H464" s="189" t="str">
        <f>IFERROR(__xludf.DUMMYFUNCTION("""COMPUTED_VALUE"""),"Cypher,Omen,Yoru,Neon,Fade")</f>
        <v>Cypher,Omen,Yoru,Neon,Fade</v>
      </c>
      <c r="I464" s="189">
        <f>IFERROR(__xludf.DUMMYFUNCTION("""COMPUTED_VALUE"""),15.0)</f>
        <v>15</v>
      </c>
      <c r="J464" s="189">
        <f>IFERROR(__xludf.DUMMYFUNCTION("""COMPUTED_VALUE"""),13.0)</f>
        <v>13</v>
      </c>
      <c r="K464" s="189">
        <f>IFERROR(__xludf.DUMMYFUNCTION("""COMPUTED_VALUE"""),6.0)</f>
        <v>6</v>
      </c>
      <c r="L464" s="189">
        <f>IFERROR(__xludf.DUMMYFUNCTION("""COMPUTED_VALUE"""),6.0)</f>
        <v>6</v>
      </c>
      <c r="M464" s="189">
        <f>IFERROR(__xludf.DUMMYFUNCTION("""COMPUTED_VALUE"""),0.0)</f>
        <v>0</v>
      </c>
      <c r="N464" s="189">
        <f>IFERROR(__xludf.DUMMYFUNCTION("""COMPUTED_VALUE"""),0.0)</f>
        <v>0</v>
      </c>
      <c r="O464" s="189">
        <f>IFERROR(__xludf.DUMMYFUNCTION("""COMPUTED_VALUE"""),7.0)</f>
        <v>7</v>
      </c>
      <c r="P464" s="189">
        <f>IFERROR(__xludf.DUMMYFUNCTION("""COMPUTED_VALUE"""),7.0)</f>
        <v>7</v>
      </c>
      <c r="Q464" s="189">
        <f>IFERROR(__xludf.DUMMYFUNCTION("""COMPUTED_VALUE"""),8.0)</f>
        <v>8</v>
      </c>
      <c r="R464" s="189">
        <f>IFERROR(__xludf.DUMMYFUNCTION("""COMPUTED_VALUE"""),6.0)</f>
        <v>6</v>
      </c>
      <c r="S464" s="189">
        <f>IFERROR(__xludf.DUMMYFUNCTION("""COMPUTED_VALUE"""),1.0)</f>
        <v>1</v>
      </c>
      <c r="T464" s="189">
        <f>IFERROR(__xludf.DUMMYFUNCTION("""COMPUTED_VALUE"""),1.0)</f>
        <v>1</v>
      </c>
      <c r="U464" s="189">
        <f>IFERROR(__xludf.DUMMYFUNCTION("""COMPUTED_VALUE"""),6.0)</f>
        <v>6</v>
      </c>
      <c r="V464" s="189">
        <f>IFERROR(__xludf.DUMMYFUNCTION("""COMPUTED_VALUE"""),8.0)</f>
        <v>8</v>
      </c>
      <c r="W464" s="189">
        <f>IFERROR(__xludf.DUMMYFUNCTION("""COMPUTED_VALUE"""),7.0)</f>
        <v>7</v>
      </c>
      <c r="X464" s="189">
        <f>IFERROR(__xludf.DUMMYFUNCTION("""COMPUTED_VALUE"""),7.0)</f>
        <v>7</v>
      </c>
      <c r="Y464" s="208" t="str">
        <f>IFERROR(__xludf.DUMMYFUNCTION("""COMPUTED_VALUE"""),"2025-07-20T00:00:00.000Z")</f>
        <v>2025-07-20T00:00:00.000Z</v>
      </c>
      <c r="Z464" s="189" t="s">
        <v>123</v>
      </c>
      <c r="AA464" s="189" t="s">
        <v>187</v>
      </c>
    </row>
    <row r="465">
      <c r="A465" s="189">
        <f>IFERROR(__xludf.DUMMYFUNCTION("""COMPUTED_VALUE"""),208398.0)</f>
        <v>208398</v>
      </c>
      <c r="B465" s="189">
        <f>IFERROR(__xludf.DUMMYFUNCTION("""COMPUTED_VALUE"""),91781.0)</f>
        <v>91781</v>
      </c>
      <c r="C465" s="189" t="str">
        <f>IFERROR(__xludf.DUMMYFUNCTION("""COMPUTED_VALUE"""),"Challengers League 2025 Türkiye Birlik: Split 3 - Group Stage")</f>
        <v>Challengers League 2025 Türkiye Birlik: Split 3 - Group Stage</v>
      </c>
      <c r="D465" s="189" t="str">
        <f>IFERROR(__xludf.DUMMYFUNCTION("""COMPUTED_VALUE"""),"Ascent")</f>
        <v>Ascent</v>
      </c>
      <c r="E465" s="189" t="str">
        <f>IFERROR(__xludf.DUMMYFUNCTION("""COMPUTED_VALUE"""),"BBL PCIFIC")</f>
        <v>BBL PCIFIC</v>
      </c>
      <c r="F465" s="189" t="str">
        <f>IFERROR(__xludf.DUMMYFUNCTION("""COMPUTED_VALUE"""),"Fire Flux Esports")</f>
        <v>Fire Flux Esports</v>
      </c>
      <c r="G465" s="189" t="str">
        <f>IFERROR(__xludf.DUMMYFUNCTION("""COMPUTED_VALUE"""),"Cypher,Sova,Omen,Jett,Deadlock")</f>
        <v>Cypher,Sova,Omen,Jett,Deadlock</v>
      </c>
      <c r="H465" s="189" t="str">
        <f>IFERROR(__xludf.DUMMYFUNCTION("""COMPUTED_VALUE"""),"Cypher,Sova,Omen,Jett,KAY/O")</f>
        <v>Cypher,Sova,Omen,Jett,KAY/O</v>
      </c>
      <c r="I465" s="189">
        <f>IFERROR(__xludf.DUMMYFUNCTION("""COMPUTED_VALUE"""),13.0)</f>
        <v>13</v>
      </c>
      <c r="J465" s="189">
        <f>IFERROR(__xludf.DUMMYFUNCTION("""COMPUTED_VALUE"""),3.0)</f>
        <v>3</v>
      </c>
      <c r="K465" s="189">
        <f>IFERROR(__xludf.DUMMYFUNCTION("""COMPUTED_VALUE"""),9.0)</f>
        <v>9</v>
      </c>
      <c r="L465" s="189">
        <f>IFERROR(__xludf.DUMMYFUNCTION("""COMPUTED_VALUE"""),3.0)</f>
        <v>3</v>
      </c>
      <c r="M465" s="189">
        <f>IFERROR(__xludf.DUMMYFUNCTION("""COMPUTED_VALUE"""),1.0)</f>
        <v>1</v>
      </c>
      <c r="N465" s="189">
        <f>IFERROR(__xludf.DUMMYFUNCTION("""COMPUTED_VALUE"""),0.0)</f>
        <v>0</v>
      </c>
      <c r="O465" s="189">
        <f>IFERROR(__xludf.DUMMYFUNCTION("""COMPUTED_VALUE"""),4.0)</f>
        <v>4</v>
      </c>
      <c r="P465" s="189">
        <f>IFERROR(__xludf.DUMMYFUNCTION("""COMPUTED_VALUE"""),0.0)</f>
        <v>0</v>
      </c>
      <c r="Q465" s="189">
        <f>IFERROR(__xludf.DUMMYFUNCTION("""COMPUTED_VALUE"""),9.0)</f>
        <v>9</v>
      </c>
      <c r="R465" s="189">
        <f>IFERROR(__xludf.DUMMYFUNCTION("""COMPUTED_VALUE"""),3.0)</f>
        <v>3</v>
      </c>
      <c r="S465" s="189">
        <f>IFERROR(__xludf.DUMMYFUNCTION("""COMPUTED_VALUE"""),1.0)</f>
        <v>1</v>
      </c>
      <c r="T465" s="189">
        <f>IFERROR(__xludf.DUMMYFUNCTION("""COMPUTED_VALUE"""),0.0)</f>
        <v>0</v>
      </c>
      <c r="U465" s="189">
        <f>IFERROR(__xludf.DUMMYFUNCTION("""COMPUTED_VALUE"""),3.0)</f>
        <v>3</v>
      </c>
      <c r="V465" s="189">
        <f>IFERROR(__xludf.DUMMYFUNCTION("""COMPUTED_VALUE"""),9.0)</f>
        <v>9</v>
      </c>
      <c r="W465" s="189">
        <f>IFERROR(__xludf.DUMMYFUNCTION("""COMPUTED_VALUE"""),0.0)</f>
        <v>0</v>
      </c>
      <c r="X465" s="189">
        <f>IFERROR(__xludf.DUMMYFUNCTION("""COMPUTED_VALUE"""),4.0)</f>
        <v>4</v>
      </c>
      <c r="Y465" s="208" t="str">
        <f>IFERROR(__xludf.DUMMYFUNCTION("""COMPUTED_VALUE"""),"2025-07-20T00:00:00.000Z")</f>
        <v>2025-07-20T00:00:00.000Z</v>
      </c>
      <c r="Z465" s="189" t="s">
        <v>230</v>
      </c>
      <c r="AA465" s="189" t="s">
        <v>186</v>
      </c>
    </row>
    <row r="466">
      <c r="A466" s="189">
        <f>IFERROR(__xludf.DUMMYFUNCTION("""COMPUTED_VALUE"""),210556.0)</f>
        <v>210556</v>
      </c>
      <c r="B466" s="189">
        <f>IFERROR(__xludf.DUMMYFUNCTION("""COMPUTED_VALUE"""),92622.0)</f>
        <v>92622</v>
      </c>
      <c r="C466" s="189" t="str">
        <f>IFERROR(__xludf.DUMMYFUNCTION("""COMPUTED_VALUE"""),"Challengers 2025: France Revolution Split 3 - Group Stage")</f>
        <v>Challengers 2025: France Revolution Split 3 - Group Stage</v>
      </c>
      <c r="D466" s="189" t="str">
        <f>IFERROR(__xludf.DUMMYFUNCTION("""COMPUTED_VALUE"""),"Haven")</f>
        <v>Haven</v>
      </c>
      <c r="E466" s="189" t="str">
        <f>IFERROR(__xludf.DUMMYFUNCTION("""COMPUTED_VALUE"""),"Mandatory")</f>
        <v>Mandatory</v>
      </c>
      <c r="F466" s="189" t="str">
        <f>IFERROR(__xludf.DUMMYFUNCTION("""COMPUTED_VALUE"""),"Team Valiant")</f>
        <v>Team Valiant</v>
      </c>
      <c r="G466" s="189" t="str">
        <f>IFERROR(__xludf.DUMMYFUNCTION("""COMPUTED_VALUE"""),"Cypher,Sova,Omen,Yoru,Iso")</f>
        <v>Cypher,Sova,Omen,Yoru,Iso</v>
      </c>
      <c r="H466" s="189" t="str">
        <f>IFERROR(__xludf.DUMMYFUNCTION("""COMPUTED_VALUE"""),"Sova,Viper,Omen,Neon,Vyse")</f>
        <v>Sova,Viper,Omen,Neon,Vyse</v>
      </c>
      <c r="I466" s="189">
        <f>IFERROR(__xludf.DUMMYFUNCTION("""COMPUTED_VALUE"""),14.0)</f>
        <v>14</v>
      </c>
      <c r="J466" s="189">
        <f>IFERROR(__xludf.DUMMYFUNCTION("""COMPUTED_VALUE"""),12.0)</f>
        <v>12</v>
      </c>
      <c r="K466" s="189">
        <f>IFERROR(__xludf.DUMMYFUNCTION("""COMPUTED_VALUE"""),7.0)</f>
        <v>7</v>
      </c>
      <c r="L466" s="189">
        <f>IFERROR(__xludf.DUMMYFUNCTION("""COMPUTED_VALUE"""),5.0)</f>
        <v>5</v>
      </c>
      <c r="M466" s="189">
        <f>IFERROR(__xludf.DUMMYFUNCTION("""COMPUTED_VALUE"""),1.0)</f>
        <v>1</v>
      </c>
      <c r="N466" s="189">
        <f>IFERROR(__xludf.DUMMYFUNCTION("""COMPUTED_VALUE"""),0.0)</f>
        <v>0</v>
      </c>
      <c r="O466" s="189">
        <f>IFERROR(__xludf.DUMMYFUNCTION("""COMPUTED_VALUE"""),6.0)</f>
        <v>6</v>
      </c>
      <c r="P466" s="189">
        <f>IFERROR(__xludf.DUMMYFUNCTION("""COMPUTED_VALUE"""),7.0)</f>
        <v>7</v>
      </c>
      <c r="Q466" s="189">
        <f>IFERROR(__xludf.DUMMYFUNCTION("""COMPUTED_VALUE"""),8.0)</f>
        <v>8</v>
      </c>
      <c r="R466" s="189">
        <f>IFERROR(__xludf.DUMMYFUNCTION("""COMPUTED_VALUE"""),5.0)</f>
        <v>5</v>
      </c>
      <c r="S466" s="189">
        <f>IFERROR(__xludf.DUMMYFUNCTION("""COMPUTED_VALUE"""),1.0)</f>
        <v>1</v>
      </c>
      <c r="T466" s="189">
        <f>IFERROR(__xludf.DUMMYFUNCTION("""COMPUTED_VALUE"""),0.0)</f>
        <v>0</v>
      </c>
      <c r="U466" s="189">
        <f>IFERROR(__xludf.DUMMYFUNCTION("""COMPUTED_VALUE"""),5.0)</f>
        <v>5</v>
      </c>
      <c r="V466" s="189">
        <f>IFERROR(__xludf.DUMMYFUNCTION("""COMPUTED_VALUE"""),8.0)</f>
        <v>8</v>
      </c>
      <c r="W466" s="189">
        <f>IFERROR(__xludf.DUMMYFUNCTION("""COMPUTED_VALUE"""),7.0)</f>
        <v>7</v>
      </c>
      <c r="X466" s="189">
        <f>IFERROR(__xludf.DUMMYFUNCTION("""COMPUTED_VALUE"""),6.0)</f>
        <v>6</v>
      </c>
      <c r="Y466" s="208" t="str">
        <f>IFERROR(__xludf.DUMMYFUNCTION("""COMPUTED_VALUE"""),"2025-07-20T00:00:00.000Z")</f>
        <v>2025-07-20T00:00:00.000Z</v>
      </c>
      <c r="Z466" s="189" t="s">
        <v>128</v>
      </c>
      <c r="AA466" s="189" t="s">
        <v>189</v>
      </c>
    </row>
    <row r="467">
      <c r="A467" s="189">
        <f>IFERROR(__xludf.DUMMYFUNCTION("""COMPUTED_VALUE"""),209521.0)</f>
        <v>209521</v>
      </c>
      <c r="B467" s="189">
        <f>IFERROR(__xludf.DUMMYFUNCTION("""COMPUTED_VALUE"""),92187.0)</f>
        <v>92187</v>
      </c>
      <c r="C467" s="189" t="str">
        <f>IFERROR(__xludf.DUMMYFUNCTION("""COMPUTED_VALUE"""),"Challengers League 2025 DACH: Evolution Stage 3 - Group Stage")</f>
        <v>Challengers League 2025 DACH: Evolution Stage 3 - Group Stage</v>
      </c>
      <c r="D467" s="189" t="str">
        <f>IFERROR(__xludf.DUMMYFUNCTION("""COMPUTED_VALUE"""),"Lotus")</f>
        <v>Lotus</v>
      </c>
      <c r="E467" s="189" t="str">
        <f>IFERROR(__xludf.DUMMYFUNCTION("""COMPUTED_VALUE"""),"6GPA")</f>
        <v>6GPA</v>
      </c>
      <c r="F467" s="189" t="str">
        <f>IFERROR(__xludf.DUMMYFUNCTION("""COMPUTED_VALUE"""),"Eintracht Frankfurt")</f>
        <v>Eintracht Frankfurt</v>
      </c>
      <c r="G467" s="189" t="str">
        <f>IFERROR(__xludf.DUMMYFUNCTION("""COMPUTED_VALUE"""),"Raze,Cypher,Omen,Fade,Iso")</f>
        <v>Raze,Cypher,Omen,Fade,Iso</v>
      </c>
      <c r="H467" s="189" t="str">
        <f>IFERROR(__xludf.DUMMYFUNCTION("""COMPUTED_VALUE"""),"Cypher,Viper,Omen,Yoru,Fade")</f>
        <v>Cypher,Viper,Omen,Yoru,Fade</v>
      </c>
      <c r="I467" s="189">
        <f>IFERROR(__xludf.DUMMYFUNCTION("""COMPUTED_VALUE"""),13.0)</f>
        <v>13</v>
      </c>
      <c r="J467" s="189">
        <f>IFERROR(__xludf.DUMMYFUNCTION("""COMPUTED_VALUE"""),9.0)</f>
        <v>9</v>
      </c>
      <c r="K467" s="189">
        <f>IFERROR(__xludf.DUMMYFUNCTION("""COMPUTED_VALUE"""),5.0)</f>
        <v>5</v>
      </c>
      <c r="L467" s="189">
        <f>IFERROR(__xludf.DUMMYFUNCTION("""COMPUTED_VALUE"""),7.0)</f>
        <v>7</v>
      </c>
      <c r="M467" s="189">
        <f>IFERROR(__xludf.DUMMYFUNCTION("""COMPUTED_VALUE"""),0.0)</f>
        <v>0</v>
      </c>
      <c r="N467" s="189">
        <f>IFERROR(__xludf.DUMMYFUNCTION("""COMPUTED_VALUE"""),0.0)</f>
        <v>0</v>
      </c>
      <c r="O467" s="189">
        <f>IFERROR(__xludf.DUMMYFUNCTION("""COMPUTED_VALUE"""),8.0)</f>
        <v>8</v>
      </c>
      <c r="P467" s="189">
        <f>IFERROR(__xludf.DUMMYFUNCTION("""COMPUTED_VALUE"""),2.0)</f>
        <v>2</v>
      </c>
      <c r="Q467" s="189">
        <f>IFERROR(__xludf.DUMMYFUNCTION("""COMPUTED_VALUE"""),5.0)</f>
        <v>5</v>
      </c>
      <c r="R467" s="189">
        <f>IFERROR(__xludf.DUMMYFUNCTION("""COMPUTED_VALUE"""),7.0)</f>
        <v>7</v>
      </c>
      <c r="S467" s="189">
        <f>IFERROR(__xludf.DUMMYFUNCTION("""COMPUTED_VALUE"""),1.0)</f>
        <v>1</v>
      </c>
      <c r="T467" s="189">
        <f>IFERROR(__xludf.DUMMYFUNCTION("""COMPUTED_VALUE"""),1.0)</f>
        <v>1</v>
      </c>
      <c r="U467" s="189">
        <f>IFERROR(__xludf.DUMMYFUNCTION("""COMPUTED_VALUE"""),7.0)</f>
        <v>7</v>
      </c>
      <c r="V467" s="189">
        <f>IFERROR(__xludf.DUMMYFUNCTION("""COMPUTED_VALUE"""),5.0)</f>
        <v>5</v>
      </c>
      <c r="W467" s="189">
        <f>IFERROR(__xludf.DUMMYFUNCTION("""COMPUTED_VALUE"""),2.0)</f>
        <v>2</v>
      </c>
      <c r="X467" s="189">
        <f>IFERROR(__xludf.DUMMYFUNCTION("""COMPUTED_VALUE"""),8.0)</f>
        <v>8</v>
      </c>
      <c r="Y467" s="208" t="str">
        <f>IFERROR(__xludf.DUMMYFUNCTION("""COMPUTED_VALUE"""),"2025-07-20T00:00:00.000Z")</f>
        <v>2025-07-20T00:00:00.000Z</v>
      </c>
      <c r="Z467" s="189" t="s">
        <v>533</v>
      </c>
      <c r="AA467" s="189" t="s">
        <v>434</v>
      </c>
    </row>
    <row r="468">
      <c r="A468" s="189">
        <f>IFERROR(__xludf.DUMMYFUNCTION("""COMPUTED_VALUE"""),208397.0)</f>
        <v>208397</v>
      </c>
      <c r="B468" s="189">
        <f>IFERROR(__xludf.DUMMYFUNCTION("""COMPUTED_VALUE"""),91781.0)</f>
        <v>91781</v>
      </c>
      <c r="C468" s="189" t="str">
        <f>IFERROR(__xludf.DUMMYFUNCTION("""COMPUTED_VALUE"""),"Challengers League 2025 Türkiye Birlik: Split 3 - Group Stage")</f>
        <v>Challengers League 2025 Türkiye Birlik: Split 3 - Group Stage</v>
      </c>
      <c r="D468" s="189" t="str">
        <f>IFERROR(__xludf.DUMMYFUNCTION("""COMPUTED_VALUE"""),"Lotus")</f>
        <v>Lotus</v>
      </c>
      <c r="E468" s="189" t="str">
        <f>IFERROR(__xludf.DUMMYFUNCTION("""COMPUTED_VALUE"""),"BBL PCIFIC")</f>
        <v>BBL PCIFIC</v>
      </c>
      <c r="F468" s="189" t="str">
        <f>IFERROR(__xludf.DUMMYFUNCTION("""COMPUTED_VALUE"""),"Fire Flux Esports")</f>
        <v>Fire Flux Esports</v>
      </c>
      <c r="G468" s="189" t="str">
        <f>IFERROR(__xludf.DUMMYFUNCTION("""COMPUTED_VALUE"""),"Raze,Omen,Yoru,Fade,Vyse")</f>
        <v>Raze,Omen,Yoru,Fade,Vyse</v>
      </c>
      <c r="H468" s="189" t="str">
        <f>IFERROR(__xludf.DUMMYFUNCTION("""COMPUTED_VALUE"""),"Viper,Omen,Neon,Fade,Vyse")</f>
        <v>Viper,Omen,Neon,Fade,Vyse</v>
      </c>
      <c r="I468" s="189">
        <f>IFERROR(__xludf.DUMMYFUNCTION("""COMPUTED_VALUE"""),13.0)</f>
        <v>13</v>
      </c>
      <c r="J468" s="189">
        <f>IFERROR(__xludf.DUMMYFUNCTION("""COMPUTED_VALUE"""),8.0)</f>
        <v>8</v>
      </c>
      <c r="K468" s="189">
        <f>IFERROR(__xludf.DUMMYFUNCTION("""COMPUTED_VALUE"""),7.0)</f>
        <v>7</v>
      </c>
      <c r="L468" s="189">
        <f>IFERROR(__xludf.DUMMYFUNCTION("""COMPUTED_VALUE"""),5.0)</f>
        <v>5</v>
      </c>
      <c r="M468" s="189">
        <f>IFERROR(__xludf.DUMMYFUNCTION("""COMPUTED_VALUE"""),1.0)</f>
        <v>1</v>
      </c>
      <c r="N468" s="189">
        <f>IFERROR(__xludf.DUMMYFUNCTION("""COMPUTED_VALUE"""),0.0)</f>
        <v>0</v>
      </c>
      <c r="O468" s="189">
        <f>IFERROR(__xludf.DUMMYFUNCTION("""COMPUTED_VALUE"""),6.0)</f>
        <v>6</v>
      </c>
      <c r="P468" s="189">
        <f>IFERROR(__xludf.DUMMYFUNCTION("""COMPUTED_VALUE"""),3.0)</f>
        <v>3</v>
      </c>
      <c r="Q468" s="189">
        <f>IFERROR(__xludf.DUMMYFUNCTION("""COMPUTED_VALUE"""),7.0)</f>
        <v>7</v>
      </c>
      <c r="R468" s="189">
        <f>IFERROR(__xludf.DUMMYFUNCTION("""COMPUTED_VALUE"""),5.0)</f>
        <v>5</v>
      </c>
      <c r="S468" s="189">
        <f>IFERROR(__xludf.DUMMYFUNCTION("""COMPUTED_VALUE"""),1.0)</f>
        <v>1</v>
      </c>
      <c r="T468" s="189">
        <f>IFERROR(__xludf.DUMMYFUNCTION("""COMPUTED_VALUE"""),0.0)</f>
        <v>0</v>
      </c>
      <c r="U468" s="189">
        <f>IFERROR(__xludf.DUMMYFUNCTION("""COMPUTED_VALUE"""),5.0)</f>
        <v>5</v>
      </c>
      <c r="V468" s="189">
        <f>IFERROR(__xludf.DUMMYFUNCTION("""COMPUTED_VALUE"""),7.0)</f>
        <v>7</v>
      </c>
      <c r="W468" s="189">
        <f>IFERROR(__xludf.DUMMYFUNCTION("""COMPUTED_VALUE"""),3.0)</f>
        <v>3</v>
      </c>
      <c r="X468" s="189">
        <f>IFERROR(__xludf.DUMMYFUNCTION("""COMPUTED_VALUE"""),6.0)</f>
        <v>6</v>
      </c>
      <c r="Y468" s="208" t="str">
        <f>IFERROR(__xludf.DUMMYFUNCTION("""COMPUTED_VALUE"""),"2025-07-20T00:00:00.000Z")</f>
        <v>2025-07-20T00:00:00.000Z</v>
      </c>
      <c r="Z468" s="189" t="s">
        <v>72</v>
      </c>
      <c r="AA468" s="189" t="s">
        <v>186</v>
      </c>
    </row>
    <row r="469">
      <c r="A469" s="189">
        <f>IFERROR(__xludf.DUMMYFUNCTION("""COMPUTED_VALUE"""),210752.0)</f>
        <v>210752</v>
      </c>
      <c r="B469" s="189">
        <f>IFERROR(__xludf.DUMMYFUNCTION("""COMPUTED_VALUE"""),92707.0)</f>
        <v>92707</v>
      </c>
      <c r="C469" s="189" t="str">
        <f>IFERROR(__xludf.DUMMYFUNCTION("""COMPUTED_VALUE"""),"Challengers League 2025 NORTH EAST: Split 3 - Upper Swiss Phase")</f>
        <v>Challengers League 2025 NORTH EAST: Split 3 - Upper Swiss Phase</v>
      </c>
      <c r="D469" s="189" t="str">
        <f>IFERROR(__xludf.DUMMYFUNCTION("""COMPUTED_VALUE"""),"Corrode")</f>
        <v>Corrode</v>
      </c>
      <c r="E469" s="189" t="str">
        <f>IFERROR(__xludf.DUMMYFUNCTION("""COMPUTED_VALUE"""),"BONK")</f>
        <v>BONK</v>
      </c>
      <c r="F469" s="189" t="str">
        <f>IFERROR(__xludf.DUMMYFUNCTION("""COMPUTED_VALUE"""),"Team Liquid Academy")</f>
        <v>Team Liquid Academy</v>
      </c>
      <c r="G469" s="189" t="str">
        <f>IFERROR(__xludf.DUMMYFUNCTION("""COMPUTED_VALUE"""),"Omen,Jett,Yoru,Fade,Vyse")</f>
        <v>Omen,Jett,Yoru,Fade,Vyse</v>
      </c>
      <c r="H469" s="189" t="str">
        <f>IFERROR(__xludf.DUMMYFUNCTION("""COMPUTED_VALUE"""),"Cypher,Phoenix,Omen,Yoru,Fade")</f>
        <v>Cypher,Phoenix,Omen,Yoru,Fade</v>
      </c>
      <c r="I469" s="189">
        <f>IFERROR(__xludf.DUMMYFUNCTION("""COMPUTED_VALUE"""),5.0)</f>
        <v>5</v>
      </c>
      <c r="J469" s="189">
        <f>IFERROR(__xludf.DUMMYFUNCTION("""COMPUTED_VALUE"""),13.0)</f>
        <v>13</v>
      </c>
      <c r="K469" s="189">
        <f>IFERROR(__xludf.DUMMYFUNCTION("""COMPUTED_VALUE"""),2.0)</f>
        <v>2</v>
      </c>
      <c r="L469" s="189">
        <f>IFERROR(__xludf.DUMMYFUNCTION("""COMPUTED_VALUE"""),10.0)</f>
        <v>10</v>
      </c>
      <c r="M469" s="189">
        <f>IFERROR(__xludf.DUMMYFUNCTION("""COMPUTED_VALUE"""),0.0)</f>
        <v>0</v>
      </c>
      <c r="N469" s="189">
        <f>IFERROR(__xludf.DUMMYFUNCTION("""COMPUTED_VALUE"""),1.0)</f>
        <v>1</v>
      </c>
      <c r="O469" s="189">
        <f>IFERROR(__xludf.DUMMYFUNCTION("""COMPUTED_VALUE"""),2.0)</f>
        <v>2</v>
      </c>
      <c r="P469" s="189">
        <f>IFERROR(__xludf.DUMMYFUNCTION("""COMPUTED_VALUE"""),10.0)</f>
        <v>10</v>
      </c>
      <c r="Q469" s="189">
        <f>IFERROR(__xludf.DUMMYFUNCTION("""COMPUTED_VALUE"""),3.0)</f>
        <v>3</v>
      </c>
      <c r="R469" s="189">
        <f>IFERROR(__xludf.DUMMYFUNCTION("""COMPUTED_VALUE"""),3.0)</f>
        <v>3</v>
      </c>
      <c r="S469" s="189">
        <f>IFERROR(__xludf.DUMMYFUNCTION("""COMPUTED_VALUE"""),0.0)</f>
        <v>0</v>
      </c>
      <c r="T469" s="189">
        <f>IFERROR(__xludf.DUMMYFUNCTION("""COMPUTED_VALUE"""),1.0)</f>
        <v>1</v>
      </c>
      <c r="U469" s="189">
        <f>IFERROR(__xludf.DUMMYFUNCTION("""COMPUTED_VALUE"""),3.0)</f>
        <v>3</v>
      </c>
      <c r="V469" s="189">
        <f>IFERROR(__xludf.DUMMYFUNCTION("""COMPUTED_VALUE"""),3.0)</f>
        <v>3</v>
      </c>
      <c r="W469" s="189">
        <f>IFERROR(__xludf.DUMMYFUNCTION("""COMPUTED_VALUE"""),10.0)</f>
        <v>10</v>
      </c>
      <c r="X469" s="189">
        <f>IFERROR(__xludf.DUMMYFUNCTION("""COMPUTED_VALUE"""),2.0)</f>
        <v>2</v>
      </c>
      <c r="Y469" s="208" t="str">
        <f>IFERROR(__xludf.DUMMYFUNCTION("""COMPUTED_VALUE"""),"2025-07-20T00:00:00.000Z")</f>
        <v>2025-07-20T00:00:00.000Z</v>
      </c>
      <c r="Z469" s="189" t="s">
        <v>534</v>
      </c>
      <c r="AA469" s="189" t="s">
        <v>1</v>
      </c>
    </row>
    <row r="470">
      <c r="A470" s="189">
        <f>IFERROR(__xludf.DUMMYFUNCTION("""COMPUTED_VALUE"""),210751.0)</f>
        <v>210751</v>
      </c>
      <c r="B470" s="189">
        <f>IFERROR(__xludf.DUMMYFUNCTION("""COMPUTED_VALUE"""),92707.0)</f>
        <v>92707</v>
      </c>
      <c r="C470" s="189" t="str">
        <f>IFERROR(__xludf.DUMMYFUNCTION("""COMPUTED_VALUE"""),"Challengers League 2025 NORTH EAST: Split 3 - Upper Swiss Phase")</f>
        <v>Challengers League 2025 NORTH EAST: Split 3 - Upper Swiss Phase</v>
      </c>
      <c r="D470" s="189" t="str">
        <f>IFERROR(__xludf.DUMMYFUNCTION("""COMPUTED_VALUE"""),"Icebox")</f>
        <v>Icebox</v>
      </c>
      <c r="E470" s="189" t="str">
        <f>IFERROR(__xludf.DUMMYFUNCTION("""COMPUTED_VALUE"""),"BONK")</f>
        <v>BONK</v>
      </c>
      <c r="F470" s="189" t="str">
        <f>IFERROR(__xludf.DUMMYFUNCTION("""COMPUTED_VALUE"""),"Team Liquid Academy")</f>
        <v>Team Liquid Academy</v>
      </c>
      <c r="G470" s="189" t="str">
        <f>IFERROR(__xludf.DUMMYFUNCTION("""COMPUTED_VALUE"""),"Sova,Killjoy,Viper,Reyna,Jett")</f>
        <v>Sova,Killjoy,Viper,Reyna,Jett</v>
      </c>
      <c r="H470" s="189" t="str">
        <f>IFERROR(__xludf.DUMMYFUNCTION("""COMPUTED_VALUE"""),"Sova,Killjoy,Viper,Sage,Gekko")</f>
        <v>Sova,Killjoy,Viper,Sage,Gekko</v>
      </c>
      <c r="I470" s="189">
        <f>IFERROR(__xludf.DUMMYFUNCTION("""COMPUTED_VALUE"""),9.0)</f>
        <v>9</v>
      </c>
      <c r="J470" s="189">
        <f>IFERROR(__xludf.DUMMYFUNCTION("""COMPUTED_VALUE"""),13.0)</f>
        <v>13</v>
      </c>
      <c r="K470" s="189">
        <f>IFERROR(__xludf.DUMMYFUNCTION("""COMPUTED_VALUE"""),7.0)</f>
        <v>7</v>
      </c>
      <c r="L470" s="189">
        <f>IFERROR(__xludf.DUMMYFUNCTION("""COMPUTED_VALUE"""),5.0)</f>
        <v>5</v>
      </c>
      <c r="M470" s="189">
        <f>IFERROR(__xludf.DUMMYFUNCTION("""COMPUTED_VALUE"""),0.0)</f>
        <v>0</v>
      </c>
      <c r="N470" s="189">
        <f>IFERROR(__xludf.DUMMYFUNCTION("""COMPUTED_VALUE"""),1.0)</f>
        <v>1</v>
      </c>
      <c r="O470" s="189">
        <f>IFERROR(__xludf.DUMMYFUNCTION("""COMPUTED_VALUE"""),2.0)</f>
        <v>2</v>
      </c>
      <c r="P470" s="189">
        <f>IFERROR(__xludf.DUMMYFUNCTION("""COMPUTED_VALUE"""),8.0)</f>
        <v>8</v>
      </c>
      <c r="Q470" s="189">
        <f>IFERROR(__xludf.DUMMYFUNCTION("""COMPUTED_VALUE"""),7.0)</f>
        <v>7</v>
      </c>
      <c r="R470" s="189">
        <f>IFERROR(__xludf.DUMMYFUNCTION("""COMPUTED_VALUE"""),5.0)</f>
        <v>5</v>
      </c>
      <c r="S470" s="189">
        <f>IFERROR(__xludf.DUMMYFUNCTION("""COMPUTED_VALUE"""),0.0)</f>
        <v>0</v>
      </c>
      <c r="T470" s="189">
        <f>IFERROR(__xludf.DUMMYFUNCTION("""COMPUTED_VALUE"""),1.0)</f>
        <v>1</v>
      </c>
      <c r="U470" s="189">
        <f>IFERROR(__xludf.DUMMYFUNCTION("""COMPUTED_VALUE"""),5.0)</f>
        <v>5</v>
      </c>
      <c r="V470" s="189">
        <f>IFERROR(__xludf.DUMMYFUNCTION("""COMPUTED_VALUE"""),7.0)</f>
        <v>7</v>
      </c>
      <c r="W470" s="189">
        <f>IFERROR(__xludf.DUMMYFUNCTION("""COMPUTED_VALUE"""),8.0)</f>
        <v>8</v>
      </c>
      <c r="X470" s="189">
        <f>IFERROR(__xludf.DUMMYFUNCTION("""COMPUTED_VALUE"""),2.0)</f>
        <v>2</v>
      </c>
      <c r="Y470" s="208" t="str">
        <f>IFERROR(__xludf.DUMMYFUNCTION("""COMPUTED_VALUE"""),"2025-07-20T00:00:00.000Z")</f>
        <v>2025-07-20T00:00:00.000Z</v>
      </c>
      <c r="Z470" s="189" t="s">
        <v>535</v>
      </c>
      <c r="AA470" s="189" t="s">
        <v>1</v>
      </c>
    </row>
    <row r="471">
      <c r="A471" s="189">
        <f>IFERROR(__xludf.DUMMYFUNCTION("""COMPUTED_VALUE"""),209531.0)</f>
        <v>209531</v>
      </c>
      <c r="B471" s="189">
        <f>IFERROR(__xludf.DUMMYFUNCTION("""COMPUTED_VALUE"""),92190.0)</f>
        <v>92190</v>
      </c>
      <c r="C471" s="189" t="str">
        <f>IFERROR(__xludf.DUMMYFUNCTION("""COMPUTED_VALUE"""),"Challengers League 2025 DACH: Evolution Stage 3 - Group Stage")</f>
        <v>Challengers League 2025 DACH: Evolution Stage 3 - Group Stage</v>
      </c>
      <c r="D471" s="189" t="str">
        <f>IFERROR(__xludf.DUMMYFUNCTION("""COMPUTED_VALUE"""),"Icebox")</f>
        <v>Icebox</v>
      </c>
      <c r="E471" s="189" t="str">
        <f>IFERROR(__xludf.DUMMYFUNCTION("""COMPUTED_VALUE"""),"FOKUS")</f>
        <v>FOKUS</v>
      </c>
      <c r="F471" s="189" t="str">
        <f>IFERROR(__xludf.DUMMYFUNCTION("""COMPUTED_VALUE"""),"MOUZ")</f>
        <v>MOUZ</v>
      </c>
      <c r="G471" s="189" t="str">
        <f>IFERROR(__xludf.DUMMYFUNCTION("""COMPUTED_VALUE"""),"Sova,Killjoy,Viper,Reyna,Jett")</f>
        <v>Sova,Killjoy,Viper,Reyna,Jett</v>
      </c>
      <c r="H471" s="189" t="str">
        <f>IFERROR(__xludf.DUMMYFUNCTION("""COMPUTED_VALUE"""),"Sova,Killjoy,Viper,Jett,KAY/O")</f>
        <v>Sova,Killjoy,Viper,Jett,KAY/O</v>
      </c>
      <c r="I471" s="189">
        <f>IFERROR(__xludf.DUMMYFUNCTION("""COMPUTED_VALUE"""),9.0)</f>
        <v>9</v>
      </c>
      <c r="J471" s="189">
        <f>IFERROR(__xludf.DUMMYFUNCTION("""COMPUTED_VALUE"""),13.0)</f>
        <v>13</v>
      </c>
      <c r="K471" s="189">
        <f>IFERROR(__xludf.DUMMYFUNCTION("""COMPUTED_VALUE"""),4.0)</f>
        <v>4</v>
      </c>
      <c r="L471" s="189">
        <f>IFERROR(__xludf.DUMMYFUNCTION("""COMPUTED_VALUE"""),8.0)</f>
        <v>8</v>
      </c>
      <c r="M471" s="189">
        <f>IFERROR(__xludf.DUMMYFUNCTION("""COMPUTED_VALUE"""),1.0)</f>
        <v>1</v>
      </c>
      <c r="N471" s="189">
        <f>IFERROR(__xludf.DUMMYFUNCTION("""COMPUTED_VALUE"""),1.0)</f>
        <v>1</v>
      </c>
      <c r="O471" s="189">
        <f>IFERROR(__xludf.DUMMYFUNCTION("""COMPUTED_VALUE"""),4.0)</f>
        <v>4</v>
      </c>
      <c r="P471" s="189">
        <f>IFERROR(__xludf.DUMMYFUNCTION("""COMPUTED_VALUE"""),8.0)</f>
        <v>8</v>
      </c>
      <c r="Q471" s="189">
        <f>IFERROR(__xludf.DUMMYFUNCTION("""COMPUTED_VALUE"""),5.0)</f>
        <v>5</v>
      </c>
      <c r="R471" s="189">
        <f>IFERROR(__xludf.DUMMYFUNCTION("""COMPUTED_VALUE"""),5.0)</f>
        <v>5</v>
      </c>
      <c r="S471" s="189">
        <f>IFERROR(__xludf.DUMMYFUNCTION("""COMPUTED_VALUE"""),0.0)</f>
        <v>0</v>
      </c>
      <c r="T471" s="189">
        <f>IFERROR(__xludf.DUMMYFUNCTION("""COMPUTED_VALUE"""),0.0)</f>
        <v>0</v>
      </c>
      <c r="U471" s="189">
        <f>IFERROR(__xludf.DUMMYFUNCTION("""COMPUTED_VALUE"""),5.0)</f>
        <v>5</v>
      </c>
      <c r="V471" s="189">
        <f>IFERROR(__xludf.DUMMYFUNCTION("""COMPUTED_VALUE"""),5.0)</f>
        <v>5</v>
      </c>
      <c r="W471" s="189">
        <f>IFERROR(__xludf.DUMMYFUNCTION("""COMPUTED_VALUE"""),8.0)</f>
        <v>8</v>
      </c>
      <c r="X471" s="189">
        <f>IFERROR(__xludf.DUMMYFUNCTION("""COMPUTED_VALUE"""),4.0)</f>
        <v>4</v>
      </c>
      <c r="Y471" s="208" t="str">
        <f>IFERROR(__xludf.DUMMYFUNCTION("""COMPUTED_VALUE"""),"2025-07-19T00:00:00.000Z")</f>
        <v>2025-07-19T00:00:00.000Z</v>
      </c>
      <c r="Z471" s="189" t="s">
        <v>536</v>
      </c>
      <c r="AA471" s="189" t="s">
        <v>180</v>
      </c>
    </row>
    <row r="472">
      <c r="A472" s="189">
        <f>IFERROR(__xludf.DUMMYFUNCTION("""COMPUTED_VALUE"""),209530.0)</f>
        <v>209530</v>
      </c>
      <c r="B472" s="189">
        <f>IFERROR(__xludf.DUMMYFUNCTION("""COMPUTED_VALUE"""),92190.0)</f>
        <v>92190</v>
      </c>
      <c r="C472" s="189" t="str">
        <f>IFERROR(__xludf.DUMMYFUNCTION("""COMPUTED_VALUE"""),"Challengers League 2025 DACH: Evolution Stage 3 - Group Stage")</f>
        <v>Challengers League 2025 DACH: Evolution Stage 3 - Group Stage</v>
      </c>
      <c r="D472" s="189" t="str">
        <f>IFERROR(__xludf.DUMMYFUNCTION("""COMPUTED_VALUE"""),"Lotus")</f>
        <v>Lotus</v>
      </c>
      <c r="E472" s="189" t="str">
        <f>IFERROR(__xludf.DUMMYFUNCTION("""COMPUTED_VALUE"""),"FOKUS")</f>
        <v>FOKUS</v>
      </c>
      <c r="F472" s="189" t="str">
        <f>IFERROR(__xludf.DUMMYFUNCTION("""COMPUTED_VALUE"""),"MOUZ")</f>
        <v>MOUZ</v>
      </c>
      <c r="G472" s="189" t="str">
        <f>IFERROR(__xludf.DUMMYFUNCTION("""COMPUTED_VALUE"""),"Breach,Sova,Viper,Omen,Neon")</f>
        <v>Breach,Sova,Viper,Omen,Neon</v>
      </c>
      <c r="H472" s="189" t="str">
        <f>IFERROR(__xludf.DUMMYFUNCTION("""COMPUTED_VALUE"""),"Cypher,Omen,Yoru,Neon,Fade")</f>
        <v>Cypher,Omen,Yoru,Neon,Fade</v>
      </c>
      <c r="I472" s="189">
        <f>IFERROR(__xludf.DUMMYFUNCTION("""COMPUTED_VALUE"""),9.0)</f>
        <v>9</v>
      </c>
      <c r="J472" s="189">
        <f>IFERROR(__xludf.DUMMYFUNCTION("""COMPUTED_VALUE"""),13.0)</f>
        <v>13</v>
      </c>
      <c r="K472" s="189">
        <f>IFERROR(__xludf.DUMMYFUNCTION("""COMPUTED_VALUE"""),6.0)</f>
        <v>6</v>
      </c>
      <c r="L472" s="189">
        <f>IFERROR(__xludf.DUMMYFUNCTION("""COMPUTED_VALUE"""),6.0)</f>
        <v>6</v>
      </c>
      <c r="M472" s="189">
        <f>IFERROR(__xludf.DUMMYFUNCTION("""COMPUTED_VALUE"""),0.0)</f>
        <v>0</v>
      </c>
      <c r="N472" s="189">
        <f>IFERROR(__xludf.DUMMYFUNCTION("""COMPUTED_VALUE"""),1.0)</f>
        <v>1</v>
      </c>
      <c r="O472" s="189">
        <f>IFERROR(__xludf.DUMMYFUNCTION("""COMPUTED_VALUE"""),6.0)</f>
        <v>6</v>
      </c>
      <c r="P472" s="189">
        <f>IFERROR(__xludf.DUMMYFUNCTION("""COMPUTED_VALUE"""),6.0)</f>
        <v>6</v>
      </c>
      <c r="Q472" s="189">
        <f>IFERROR(__xludf.DUMMYFUNCTION("""COMPUTED_VALUE"""),3.0)</f>
        <v>3</v>
      </c>
      <c r="R472" s="189">
        <f>IFERROR(__xludf.DUMMYFUNCTION("""COMPUTED_VALUE"""),7.0)</f>
        <v>7</v>
      </c>
      <c r="S472" s="189">
        <f>IFERROR(__xludf.DUMMYFUNCTION("""COMPUTED_VALUE"""),0.0)</f>
        <v>0</v>
      </c>
      <c r="T472" s="189">
        <f>IFERROR(__xludf.DUMMYFUNCTION("""COMPUTED_VALUE"""),1.0)</f>
        <v>1</v>
      </c>
      <c r="U472" s="189">
        <f>IFERROR(__xludf.DUMMYFUNCTION("""COMPUTED_VALUE"""),7.0)</f>
        <v>7</v>
      </c>
      <c r="V472" s="189">
        <f>IFERROR(__xludf.DUMMYFUNCTION("""COMPUTED_VALUE"""),3.0)</f>
        <v>3</v>
      </c>
      <c r="W472" s="189">
        <f>IFERROR(__xludf.DUMMYFUNCTION("""COMPUTED_VALUE"""),6.0)</f>
        <v>6</v>
      </c>
      <c r="X472" s="189">
        <f>IFERROR(__xludf.DUMMYFUNCTION("""COMPUTED_VALUE"""),6.0)</f>
        <v>6</v>
      </c>
      <c r="Y472" s="208" t="str">
        <f>IFERROR(__xludf.DUMMYFUNCTION("""COMPUTED_VALUE"""),"2025-07-19T00:00:00.000Z")</f>
        <v>2025-07-19T00:00:00.000Z</v>
      </c>
      <c r="Z472" s="189" t="s">
        <v>537</v>
      </c>
      <c r="AA472" s="189" t="s">
        <v>180</v>
      </c>
    </row>
    <row r="473">
      <c r="A473" s="189">
        <f>IFERROR(__xludf.DUMMYFUNCTION("""COMPUTED_VALUE"""),210563.0)</f>
        <v>210563</v>
      </c>
      <c r="B473" s="189">
        <f>IFERROR(__xludf.DUMMYFUNCTION("""COMPUTED_VALUE"""),92624.0)</f>
        <v>92624</v>
      </c>
      <c r="C473" s="189" t="str">
        <f>IFERROR(__xludf.DUMMYFUNCTION("""COMPUTED_VALUE"""),"Challengers 2025: France Revolution Split 3 - Group Stage")</f>
        <v>Challengers 2025: France Revolution Split 3 - Group Stage</v>
      </c>
      <c r="D473" s="189" t="str">
        <f>IFERROR(__xludf.DUMMYFUNCTION("""COMPUTED_VALUE"""),"Sunset")</f>
        <v>Sunset</v>
      </c>
      <c r="E473" s="189" t="str">
        <f>IFERROR(__xludf.DUMMYFUNCTION("""COMPUTED_VALUE"""),"KCORP Blue Stars")</f>
        <v>KCORP Blue Stars</v>
      </c>
      <c r="F473" s="189" t="str">
        <f>IFERROR(__xludf.DUMMYFUNCTION("""COMPUTED_VALUE"""),"Joblife")</f>
        <v>Joblife</v>
      </c>
      <c r="G473" s="189" t="str">
        <f>IFERROR(__xludf.DUMMYFUNCTION("""COMPUTED_VALUE"""),"Killjoy,Omen,Astra,Neon,Fade")</f>
        <v>Killjoy,Omen,Astra,Neon,Fade</v>
      </c>
      <c r="H473" s="189" t="str">
        <f>IFERROR(__xludf.DUMMYFUNCTION("""COMPUTED_VALUE"""),"Breach,Cypher,Sova,Omen,Neon")</f>
        <v>Breach,Cypher,Sova,Omen,Neon</v>
      </c>
      <c r="I473" s="189">
        <f>IFERROR(__xludf.DUMMYFUNCTION("""COMPUTED_VALUE"""),11.0)</f>
        <v>11</v>
      </c>
      <c r="J473" s="189">
        <f>IFERROR(__xludf.DUMMYFUNCTION("""COMPUTED_VALUE"""),13.0)</f>
        <v>13</v>
      </c>
      <c r="K473" s="189">
        <f>IFERROR(__xludf.DUMMYFUNCTION("""COMPUTED_VALUE"""),7.0)</f>
        <v>7</v>
      </c>
      <c r="L473" s="189">
        <f>IFERROR(__xludf.DUMMYFUNCTION("""COMPUTED_VALUE"""),5.0)</f>
        <v>5</v>
      </c>
      <c r="M473" s="189">
        <f>IFERROR(__xludf.DUMMYFUNCTION("""COMPUTED_VALUE"""),0.0)</f>
        <v>0</v>
      </c>
      <c r="N473" s="189">
        <f>IFERROR(__xludf.DUMMYFUNCTION("""COMPUTED_VALUE"""),0.0)</f>
        <v>0</v>
      </c>
      <c r="O473" s="189">
        <f>IFERROR(__xludf.DUMMYFUNCTION("""COMPUTED_VALUE"""),7.0)</f>
        <v>7</v>
      </c>
      <c r="P473" s="189">
        <f>IFERROR(__xludf.DUMMYFUNCTION("""COMPUTED_VALUE"""),5.0)</f>
        <v>5</v>
      </c>
      <c r="Q473" s="189">
        <f>IFERROR(__xludf.DUMMYFUNCTION("""COMPUTED_VALUE"""),4.0)</f>
        <v>4</v>
      </c>
      <c r="R473" s="189">
        <f>IFERROR(__xludf.DUMMYFUNCTION("""COMPUTED_VALUE"""),8.0)</f>
        <v>8</v>
      </c>
      <c r="S473" s="189">
        <f>IFERROR(__xludf.DUMMYFUNCTION("""COMPUTED_VALUE"""),1.0)</f>
        <v>1</v>
      </c>
      <c r="T473" s="189">
        <f>IFERROR(__xludf.DUMMYFUNCTION("""COMPUTED_VALUE"""),1.0)</f>
        <v>1</v>
      </c>
      <c r="U473" s="189">
        <f>IFERROR(__xludf.DUMMYFUNCTION("""COMPUTED_VALUE"""),8.0)</f>
        <v>8</v>
      </c>
      <c r="V473" s="189">
        <f>IFERROR(__xludf.DUMMYFUNCTION("""COMPUTED_VALUE"""),4.0)</f>
        <v>4</v>
      </c>
      <c r="W473" s="189">
        <f>IFERROR(__xludf.DUMMYFUNCTION("""COMPUTED_VALUE"""),5.0)</f>
        <v>5</v>
      </c>
      <c r="X473" s="189">
        <f>IFERROR(__xludf.DUMMYFUNCTION("""COMPUTED_VALUE"""),7.0)</f>
        <v>7</v>
      </c>
      <c r="Y473" s="208" t="str">
        <f>IFERROR(__xludf.DUMMYFUNCTION("""COMPUTED_VALUE"""),"2025-07-19T00:00:00.000Z")</f>
        <v>2025-07-19T00:00:00.000Z</v>
      </c>
      <c r="Z473" s="189" t="s">
        <v>538</v>
      </c>
      <c r="AA473" s="189" t="s">
        <v>232</v>
      </c>
    </row>
    <row r="474">
      <c r="A474" s="189">
        <f>IFERROR(__xludf.DUMMYFUNCTION("""COMPUTED_VALUE"""),210562.0)</f>
        <v>210562</v>
      </c>
      <c r="B474" s="189">
        <f>IFERROR(__xludf.DUMMYFUNCTION("""COMPUTED_VALUE"""),92624.0)</f>
        <v>92624</v>
      </c>
      <c r="C474" s="189" t="str">
        <f>IFERROR(__xludf.DUMMYFUNCTION("""COMPUTED_VALUE"""),"Challengers 2025: France Revolution Split 3 - Group Stage")</f>
        <v>Challengers 2025: France Revolution Split 3 - Group Stage</v>
      </c>
      <c r="D474" s="189" t="str">
        <f>IFERROR(__xludf.DUMMYFUNCTION("""COMPUTED_VALUE"""),"Haven")</f>
        <v>Haven</v>
      </c>
      <c r="E474" s="189" t="str">
        <f>IFERROR(__xludf.DUMMYFUNCTION("""COMPUTED_VALUE"""),"KCORP Blue Stars")</f>
        <v>KCORP Blue Stars</v>
      </c>
      <c r="F474" s="189" t="str">
        <f>IFERROR(__xludf.DUMMYFUNCTION("""COMPUTED_VALUE"""),"Joblife")</f>
        <v>Joblife</v>
      </c>
      <c r="G474" s="189" t="str">
        <f>IFERROR(__xludf.DUMMYFUNCTION("""COMPUTED_VALUE"""),"Sova,Omen,Neon,Fade,Vyse")</f>
        <v>Sova,Omen,Neon,Fade,Vyse</v>
      </c>
      <c r="H474" s="189" t="str">
        <f>IFERROR(__xludf.DUMMYFUNCTION("""COMPUTED_VALUE"""),"Breach,Cypher,Sova,Omen,Jett")</f>
        <v>Breach,Cypher,Sova,Omen,Jett</v>
      </c>
      <c r="I474" s="189">
        <f>IFERROR(__xludf.DUMMYFUNCTION("""COMPUTED_VALUE"""),6.0)</f>
        <v>6</v>
      </c>
      <c r="J474" s="189">
        <f>IFERROR(__xludf.DUMMYFUNCTION("""COMPUTED_VALUE"""),13.0)</f>
        <v>13</v>
      </c>
      <c r="K474" s="189">
        <f>IFERROR(__xludf.DUMMYFUNCTION("""COMPUTED_VALUE"""),3.0)</f>
        <v>3</v>
      </c>
      <c r="L474" s="189">
        <f>IFERROR(__xludf.DUMMYFUNCTION("""COMPUTED_VALUE"""),9.0)</f>
        <v>9</v>
      </c>
      <c r="M474" s="189">
        <f>IFERROR(__xludf.DUMMYFUNCTION("""COMPUTED_VALUE"""),0.0)</f>
        <v>0</v>
      </c>
      <c r="N474" s="189">
        <f>IFERROR(__xludf.DUMMYFUNCTION("""COMPUTED_VALUE"""),0.0)</f>
        <v>0</v>
      </c>
      <c r="O474" s="189">
        <f>IFERROR(__xludf.DUMMYFUNCTION("""COMPUTED_VALUE"""),3.0)</f>
        <v>3</v>
      </c>
      <c r="P474" s="189">
        <f>IFERROR(__xludf.DUMMYFUNCTION("""COMPUTED_VALUE"""),4.0)</f>
        <v>4</v>
      </c>
      <c r="Q474" s="189">
        <f>IFERROR(__xludf.DUMMYFUNCTION("""COMPUTED_VALUE"""),3.0)</f>
        <v>3</v>
      </c>
      <c r="R474" s="189">
        <f>IFERROR(__xludf.DUMMYFUNCTION("""COMPUTED_VALUE"""),9.0)</f>
        <v>9</v>
      </c>
      <c r="S474" s="189">
        <f>IFERROR(__xludf.DUMMYFUNCTION("""COMPUTED_VALUE"""),1.0)</f>
        <v>1</v>
      </c>
      <c r="T474" s="189">
        <f>IFERROR(__xludf.DUMMYFUNCTION("""COMPUTED_VALUE"""),1.0)</f>
        <v>1</v>
      </c>
      <c r="U474" s="189">
        <f>IFERROR(__xludf.DUMMYFUNCTION("""COMPUTED_VALUE"""),9.0)</f>
        <v>9</v>
      </c>
      <c r="V474" s="189">
        <f>IFERROR(__xludf.DUMMYFUNCTION("""COMPUTED_VALUE"""),3.0)</f>
        <v>3</v>
      </c>
      <c r="W474" s="189">
        <f>IFERROR(__xludf.DUMMYFUNCTION("""COMPUTED_VALUE"""),4.0)</f>
        <v>4</v>
      </c>
      <c r="X474" s="189">
        <f>IFERROR(__xludf.DUMMYFUNCTION("""COMPUTED_VALUE"""),3.0)</f>
        <v>3</v>
      </c>
      <c r="Y474" s="208" t="str">
        <f>IFERROR(__xludf.DUMMYFUNCTION("""COMPUTED_VALUE"""),"2025-07-19T00:00:00.000Z")</f>
        <v>2025-07-19T00:00:00.000Z</v>
      </c>
      <c r="Z474" s="189" t="s">
        <v>539</v>
      </c>
      <c r="AA474" s="189" t="s">
        <v>232</v>
      </c>
    </row>
    <row r="475">
      <c r="A475" s="189">
        <f>IFERROR(__xludf.DUMMYFUNCTION("""COMPUTED_VALUE"""),210355.0)</f>
        <v>210355</v>
      </c>
      <c r="B475" s="189">
        <f>IFERROR(__xludf.DUMMYFUNCTION("""COMPUTED_VALUE"""),92555.0)</f>
        <v>92555</v>
      </c>
      <c r="C475" s="189" t="str">
        <f>IFERROR(__xludf.DUMMYFUNCTION("""COMPUTED_VALUE"""),"Challengers League 2025 MENA: Resilience - GPI - Split 2 - Playoffs")</f>
        <v>Challengers League 2025 MENA: Resilience - GPI - Split 2 - Playoffs</v>
      </c>
      <c r="D475" s="189" t="str">
        <f>IFERROR(__xludf.DUMMYFUNCTION("""COMPUTED_VALUE"""),"Haven")</f>
        <v>Haven</v>
      </c>
      <c r="E475" s="189" t="str">
        <f>IFERROR(__xludf.DUMMYFUNCTION("""COMPUTED_VALUE"""),"RvN")</f>
        <v>RvN</v>
      </c>
      <c r="F475" s="189" t="str">
        <f>IFERROR(__xludf.DUMMYFUNCTION("""COMPUTED_VALUE"""),"The Ultimates")</f>
        <v>The Ultimates</v>
      </c>
      <c r="G475" s="189" t="str">
        <f>IFERROR(__xludf.DUMMYFUNCTION("""COMPUTED_VALUE"""),"Sova,Killjoy,Viper,Omen,Neon")</f>
        <v>Sova,Killjoy,Viper,Omen,Neon</v>
      </c>
      <c r="H475" s="189" t="str">
        <f>IFERROR(__xludf.DUMMYFUNCTION("""COMPUTED_VALUE"""),"Breach,Cypher,Sova,Omen,Neon")</f>
        <v>Breach,Cypher,Sova,Omen,Neon</v>
      </c>
      <c r="I475" s="189">
        <f>IFERROR(__xludf.DUMMYFUNCTION("""COMPUTED_VALUE"""),7.0)</f>
        <v>7</v>
      </c>
      <c r="J475" s="189">
        <f>IFERROR(__xludf.DUMMYFUNCTION("""COMPUTED_VALUE"""),13.0)</f>
        <v>13</v>
      </c>
      <c r="K475" s="189">
        <f>IFERROR(__xludf.DUMMYFUNCTION("""COMPUTED_VALUE"""),2.0)</f>
        <v>2</v>
      </c>
      <c r="L475" s="189">
        <f>IFERROR(__xludf.DUMMYFUNCTION("""COMPUTED_VALUE"""),10.0)</f>
        <v>10</v>
      </c>
      <c r="M475" s="189">
        <f>IFERROR(__xludf.DUMMYFUNCTION("""COMPUTED_VALUE"""),1.0)</f>
        <v>1</v>
      </c>
      <c r="N475" s="189">
        <f>IFERROR(__xludf.DUMMYFUNCTION("""COMPUTED_VALUE"""),0.0)</f>
        <v>0</v>
      </c>
      <c r="O475" s="189">
        <f>IFERROR(__xludf.DUMMYFUNCTION("""COMPUTED_VALUE"""),5.0)</f>
        <v>5</v>
      </c>
      <c r="P475" s="189">
        <f>IFERROR(__xludf.DUMMYFUNCTION("""COMPUTED_VALUE"""),3.0)</f>
        <v>3</v>
      </c>
      <c r="Q475" s="189">
        <f>IFERROR(__xludf.DUMMYFUNCTION("""COMPUTED_VALUE"""),2.0)</f>
        <v>2</v>
      </c>
      <c r="R475" s="189">
        <f>IFERROR(__xludf.DUMMYFUNCTION("""COMPUTED_VALUE"""),10.0)</f>
        <v>10</v>
      </c>
      <c r="S475" s="189">
        <f>IFERROR(__xludf.DUMMYFUNCTION("""COMPUTED_VALUE"""),1.0)</f>
        <v>1</v>
      </c>
      <c r="T475" s="189">
        <f>IFERROR(__xludf.DUMMYFUNCTION("""COMPUTED_VALUE"""),0.0)</f>
        <v>0</v>
      </c>
      <c r="U475" s="189">
        <f>IFERROR(__xludf.DUMMYFUNCTION("""COMPUTED_VALUE"""),10.0)</f>
        <v>10</v>
      </c>
      <c r="V475" s="189">
        <f>IFERROR(__xludf.DUMMYFUNCTION("""COMPUTED_VALUE"""),2.0)</f>
        <v>2</v>
      </c>
      <c r="W475" s="189">
        <f>IFERROR(__xludf.DUMMYFUNCTION("""COMPUTED_VALUE"""),3.0)</f>
        <v>3</v>
      </c>
      <c r="X475" s="189">
        <f>IFERROR(__xludf.DUMMYFUNCTION("""COMPUTED_VALUE"""),5.0)</f>
        <v>5</v>
      </c>
      <c r="Y475" s="208" t="str">
        <f>IFERROR(__xludf.DUMMYFUNCTION("""COMPUTED_VALUE"""),"2025-07-15T00:00:00.000Z")</f>
        <v>2025-07-15T00:00:00.000Z</v>
      </c>
      <c r="Z475" s="189" t="s">
        <v>540</v>
      </c>
      <c r="AA475" s="189" t="s">
        <v>185</v>
      </c>
    </row>
    <row r="476">
      <c r="A476" s="189">
        <f>IFERROR(__xludf.DUMMYFUNCTION("""COMPUTED_VALUE"""),210354.0)</f>
        <v>210354</v>
      </c>
      <c r="B476" s="189">
        <f>IFERROR(__xludf.DUMMYFUNCTION("""COMPUTED_VALUE"""),92555.0)</f>
        <v>92555</v>
      </c>
      <c r="C476" s="189" t="str">
        <f>IFERROR(__xludf.DUMMYFUNCTION("""COMPUTED_VALUE"""),"Challengers League 2025 MENA: Resilience - GPI - Split 2 - Playoffs")</f>
        <v>Challengers League 2025 MENA: Resilience - GPI - Split 2 - Playoffs</v>
      </c>
      <c r="D476" s="189" t="str">
        <f>IFERROR(__xludf.DUMMYFUNCTION("""COMPUTED_VALUE"""),"Icebox")</f>
        <v>Icebox</v>
      </c>
      <c r="E476" s="189" t="str">
        <f>IFERROR(__xludf.DUMMYFUNCTION("""COMPUTED_VALUE"""),"RvN")</f>
        <v>RvN</v>
      </c>
      <c r="F476" s="189" t="str">
        <f>IFERROR(__xludf.DUMMYFUNCTION("""COMPUTED_VALUE"""),"The Ultimates")</f>
        <v>The Ultimates</v>
      </c>
      <c r="G476" s="189" t="str">
        <f>IFERROR(__xludf.DUMMYFUNCTION("""COMPUTED_VALUE"""),"Sova,Killjoy,Viper,Jett,Harbor")</f>
        <v>Sova,Killjoy,Viper,Jett,Harbor</v>
      </c>
      <c r="H476" s="189" t="str">
        <f>IFERROR(__xludf.DUMMYFUNCTION("""COMPUTED_VALUE"""),"Reyna,Omen,KAY/O,Harbor,Gekko")</f>
        <v>Reyna,Omen,KAY/O,Harbor,Gekko</v>
      </c>
      <c r="I476" s="189">
        <f>IFERROR(__xludf.DUMMYFUNCTION("""COMPUTED_VALUE"""),5.0)</f>
        <v>5</v>
      </c>
      <c r="J476" s="189">
        <f>IFERROR(__xludf.DUMMYFUNCTION("""COMPUTED_VALUE"""),13.0)</f>
        <v>13</v>
      </c>
      <c r="K476" s="189">
        <f>IFERROR(__xludf.DUMMYFUNCTION("""COMPUTED_VALUE"""),4.0)</f>
        <v>4</v>
      </c>
      <c r="L476" s="189">
        <f>IFERROR(__xludf.DUMMYFUNCTION("""COMPUTED_VALUE"""),8.0)</f>
        <v>8</v>
      </c>
      <c r="M476" s="189">
        <f>IFERROR(__xludf.DUMMYFUNCTION("""COMPUTED_VALUE"""),0.0)</f>
        <v>0</v>
      </c>
      <c r="N476" s="189">
        <f>IFERROR(__xludf.DUMMYFUNCTION("""COMPUTED_VALUE"""),1.0)</f>
        <v>1</v>
      </c>
      <c r="O476" s="189">
        <f>IFERROR(__xludf.DUMMYFUNCTION("""COMPUTED_VALUE"""),4.0)</f>
        <v>4</v>
      </c>
      <c r="P476" s="189">
        <f>IFERROR(__xludf.DUMMYFUNCTION("""COMPUTED_VALUE"""),8.0)</f>
        <v>8</v>
      </c>
      <c r="Q476" s="189">
        <f>IFERROR(__xludf.DUMMYFUNCTION("""COMPUTED_VALUE"""),1.0)</f>
        <v>1</v>
      </c>
      <c r="R476" s="189">
        <f>IFERROR(__xludf.DUMMYFUNCTION("""COMPUTED_VALUE"""),5.0)</f>
        <v>5</v>
      </c>
      <c r="S476" s="189">
        <f>IFERROR(__xludf.DUMMYFUNCTION("""COMPUTED_VALUE"""),0.0)</f>
        <v>0</v>
      </c>
      <c r="T476" s="189">
        <f>IFERROR(__xludf.DUMMYFUNCTION("""COMPUTED_VALUE"""),1.0)</f>
        <v>1</v>
      </c>
      <c r="U476" s="189">
        <f>IFERROR(__xludf.DUMMYFUNCTION("""COMPUTED_VALUE"""),5.0)</f>
        <v>5</v>
      </c>
      <c r="V476" s="189">
        <f>IFERROR(__xludf.DUMMYFUNCTION("""COMPUTED_VALUE"""),1.0)</f>
        <v>1</v>
      </c>
      <c r="W476" s="189">
        <f>IFERROR(__xludf.DUMMYFUNCTION("""COMPUTED_VALUE"""),8.0)</f>
        <v>8</v>
      </c>
      <c r="X476" s="189">
        <f>IFERROR(__xludf.DUMMYFUNCTION("""COMPUTED_VALUE"""),4.0)</f>
        <v>4</v>
      </c>
      <c r="Y476" s="208" t="str">
        <f>IFERROR(__xludf.DUMMYFUNCTION("""COMPUTED_VALUE"""),"2025-07-15T00:00:00.000Z")</f>
        <v>2025-07-15T00:00:00.000Z</v>
      </c>
      <c r="Z476" s="189" t="s">
        <v>541</v>
      </c>
      <c r="AA476" s="189" t="s">
        <v>185</v>
      </c>
    </row>
    <row r="477">
      <c r="A477" s="189">
        <f>IFERROR(__xludf.DUMMYFUNCTION("""COMPUTED_VALUE"""),210097.0)</f>
        <v>210097</v>
      </c>
      <c r="B477" s="189">
        <f>IFERROR(__xludf.DUMMYFUNCTION("""COMPUTED_VALUE"""),92404.0)</f>
        <v>92404</v>
      </c>
      <c r="C477" s="189" t="str">
        <f>IFERROR(__xludf.DUMMYFUNCTION("""COMPUTED_VALUE"""),"Challengers League 2025 MENA: Resilience - GPI - Split 2 - Playoffs")</f>
        <v>Challengers League 2025 MENA: Resilience - GPI - Split 2 - Playoffs</v>
      </c>
      <c r="D477" s="189" t="str">
        <f>IFERROR(__xludf.DUMMYFUNCTION("""COMPUTED_VALUE"""),"Bind")</f>
        <v>Bind</v>
      </c>
      <c r="E477" s="189" t="str">
        <f>IFERROR(__xludf.DUMMYFUNCTION("""COMPUTED_VALUE"""),"AlQadsiah Esports")</f>
        <v>AlQadsiah Esports</v>
      </c>
      <c r="F477" s="189" t="str">
        <f>IFERROR(__xludf.DUMMYFUNCTION("""COMPUTED_VALUE"""),"Twisted Minds Esports")</f>
        <v>Twisted Minds Esports</v>
      </c>
      <c r="G477" s="189" t="str">
        <f>IFERROR(__xludf.DUMMYFUNCTION("""COMPUTED_VALUE"""),"Raze,Viper,Brimstone,Skye,Deadlock")</f>
        <v>Raze,Viper,Brimstone,Skye,Deadlock</v>
      </c>
      <c r="H477" s="189" t="str">
        <f>IFERROR(__xludf.DUMMYFUNCTION("""COMPUTED_VALUE"""),"Raze,Viper,Brimstone,Yoru,Fade")</f>
        <v>Raze,Viper,Brimstone,Yoru,Fade</v>
      </c>
      <c r="I477" s="189">
        <f>IFERROR(__xludf.DUMMYFUNCTION("""COMPUTED_VALUE"""),7.0)</f>
        <v>7</v>
      </c>
      <c r="J477" s="189">
        <f>IFERROR(__xludf.DUMMYFUNCTION("""COMPUTED_VALUE"""),13.0)</f>
        <v>13</v>
      </c>
      <c r="K477" s="189">
        <f>IFERROR(__xludf.DUMMYFUNCTION("""COMPUTED_VALUE"""),6.0)</f>
        <v>6</v>
      </c>
      <c r="L477" s="189">
        <f>IFERROR(__xludf.DUMMYFUNCTION("""COMPUTED_VALUE"""),6.0)</f>
        <v>6</v>
      </c>
      <c r="M477" s="189">
        <f>IFERROR(__xludf.DUMMYFUNCTION("""COMPUTED_VALUE"""),0.0)</f>
        <v>0</v>
      </c>
      <c r="N477" s="189">
        <f>IFERROR(__xludf.DUMMYFUNCTION("""COMPUTED_VALUE"""),0.0)</f>
        <v>0</v>
      </c>
      <c r="O477" s="189">
        <f>IFERROR(__xludf.DUMMYFUNCTION("""COMPUTED_VALUE"""),6.0)</f>
        <v>6</v>
      </c>
      <c r="P477" s="189">
        <f>IFERROR(__xludf.DUMMYFUNCTION("""COMPUTED_VALUE"""),6.0)</f>
        <v>6</v>
      </c>
      <c r="Q477" s="189">
        <f>IFERROR(__xludf.DUMMYFUNCTION("""COMPUTED_VALUE"""),1.0)</f>
        <v>1</v>
      </c>
      <c r="R477" s="189">
        <f>IFERROR(__xludf.DUMMYFUNCTION("""COMPUTED_VALUE"""),7.0)</f>
        <v>7</v>
      </c>
      <c r="S477" s="189">
        <f>IFERROR(__xludf.DUMMYFUNCTION("""COMPUTED_VALUE"""),1.0)</f>
        <v>1</v>
      </c>
      <c r="T477" s="189">
        <f>IFERROR(__xludf.DUMMYFUNCTION("""COMPUTED_VALUE"""),1.0)</f>
        <v>1</v>
      </c>
      <c r="U477" s="189">
        <f>IFERROR(__xludf.DUMMYFUNCTION("""COMPUTED_VALUE"""),7.0)</f>
        <v>7</v>
      </c>
      <c r="V477" s="189">
        <f>IFERROR(__xludf.DUMMYFUNCTION("""COMPUTED_VALUE"""),1.0)</f>
        <v>1</v>
      </c>
      <c r="W477" s="189">
        <f>IFERROR(__xludf.DUMMYFUNCTION("""COMPUTED_VALUE"""),6.0)</f>
        <v>6</v>
      </c>
      <c r="X477" s="189">
        <f>IFERROR(__xludf.DUMMYFUNCTION("""COMPUTED_VALUE"""),6.0)</f>
        <v>6</v>
      </c>
      <c r="Y477" s="208" t="str">
        <f>IFERROR(__xludf.DUMMYFUNCTION("""COMPUTED_VALUE"""),"2025-07-15T00:00:00.000Z")</f>
        <v>2025-07-15T00:00:00.000Z</v>
      </c>
      <c r="Z477" s="189" t="s">
        <v>542</v>
      </c>
      <c r="AA477" s="189" t="s">
        <v>184</v>
      </c>
    </row>
    <row r="478">
      <c r="A478" s="189">
        <f>IFERROR(__xludf.DUMMYFUNCTION("""COMPUTED_VALUE"""),210353.0)</f>
        <v>210353</v>
      </c>
      <c r="B478" s="189">
        <f>IFERROR(__xludf.DUMMYFUNCTION("""COMPUTED_VALUE"""),92555.0)</f>
        <v>92555</v>
      </c>
      <c r="C478" s="189" t="str">
        <f>IFERROR(__xludf.DUMMYFUNCTION("""COMPUTED_VALUE"""),"Challengers League 2025 MENA: Resilience - GPI - Split 2 - Playoffs")</f>
        <v>Challengers League 2025 MENA: Resilience - GPI - Split 2 - Playoffs</v>
      </c>
      <c r="D478" s="189" t="str">
        <f>IFERROR(__xludf.DUMMYFUNCTION("""COMPUTED_VALUE"""),"Sunset")</f>
        <v>Sunset</v>
      </c>
      <c r="E478" s="189" t="str">
        <f>IFERROR(__xludf.DUMMYFUNCTION("""COMPUTED_VALUE"""),"RvN")</f>
        <v>RvN</v>
      </c>
      <c r="F478" s="189" t="str">
        <f>IFERROR(__xludf.DUMMYFUNCTION("""COMPUTED_VALUE"""),"The Ultimates")</f>
        <v>The Ultimates</v>
      </c>
      <c r="G478" s="189" t="str">
        <f>IFERROR(__xludf.DUMMYFUNCTION("""COMPUTED_VALUE"""),"Breach,Cypher,Sova,Omen,Neon")</f>
        <v>Breach,Cypher,Sova,Omen,Neon</v>
      </c>
      <c r="H478" s="189" t="str">
        <f>IFERROR(__xludf.DUMMYFUNCTION("""COMPUTED_VALUE"""),"Breach,Cypher,Sova,Omen,Neon")</f>
        <v>Breach,Cypher,Sova,Omen,Neon</v>
      </c>
      <c r="I478" s="189">
        <f>IFERROR(__xludf.DUMMYFUNCTION("""COMPUTED_VALUE"""),13.0)</f>
        <v>13</v>
      </c>
      <c r="J478" s="189">
        <f>IFERROR(__xludf.DUMMYFUNCTION("""COMPUTED_VALUE"""),10.0)</f>
        <v>10</v>
      </c>
      <c r="K478" s="189">
        <f>IFERROR(__xludf.DUMMYFUNCTION("""COMPUTED_VALUE"""),3.0)</f>
        <v>3</v>
      </c>
      <c r="L478" s="189">
        <f>IFERROR(__xludf.DUMMYFUNCTION("""COMPUTED_VALUE"""),9.0)</f>
        <v>9</v>
      </c>
      <c r="M478" s="189">
        <f>IFERROR(__xludf.DUMMYFUNCTION("""COMPUTED_VALUE"""),0.0)</f>
        <v>0</v>
      </c>
      <c r="N478" s="189">
        <f>IFERROR(__xludf.DUMMYFUNCTION("""COMPUTED_VALUE"""),1.0)</f>
        <v>1</v>
      </c>
      <c r="O478" s="189">
        <f>IFERROR(__xludf.DUMMYFUNCTION("""COMPUTED_VALUE"""),3.0)</f>
        <v>3</v>
      </c>
      <c r="P478" s="189">
        <f>IFERROR(__xludf.DUMMYFUNCTION("""COMPUTED_VALUE"""),9.0)</f>
        <v>9</v>
      </c>
      <c r="Q478" s="189">
        <f>IFERROR(__xludf.DUMMYFUNCTION("""COMPUTED_VALUE"""),10.0)</f>
        <v>10</v>
      </c>
      <c r="R478" s="189">
        <f>IFERROR(__xludf.DUMMYFUNCTION("""COMPUTED_VALUE"""),1.0)</f>
        <v>1</v>
      </c>
      <c r="S478" s="189">
        <f>IFERROR(__xludf.DUMMYFUNCTION("""COMPUTED_VALUE"""),0.0)</f>
        <v>0</v>
      </c>
      <c r="T478" s="189">
        <f>IFERROR(__xludf.DUMMYFUNCTION("""COMPUTED_VALUE"""),1.0)</f>
        <v>1</v>
      </c>
      <c r="U478" s="189">
        <f>IFERROR(__xludf.DUMMYFUNCTION("""COMPUTED_VALUE"""),1.0)</f>
        <v>1</v>
      </c>
      <c r="V478" s="189">
        <f>IFERROR(__xludf.DUMMYFUNCTION("""COMPUTED_VALUE"""),10.0)</f>
        <v>10</v>
      </c>
      <c r="W478" s="189">
        <f>IFERROR(__xludf.DUMMYFUNCTION("""COMPUTED_VALUE"""),9.0)</f>
        <v>9</v>
      </c>
      <c r="X478" s="189">
        <f>IFERROR(__xludf.DUMMYFUNCTION("""COMPUTED_VALUE"""),3.0)</f>
        <v>3</v>
      </c>
      <c r="Y478" s="208" t="str">
        <f>IFERROR(__xludf.DUMMYFUNCTION("""COMPUTED_VALUE"""),"2025-07-15T00:00:00.000Z")</f>
        <v>2025-07-15T00:00:00.000Z</v>
      </c>
      <c r="Z478" s="189" t="s">
        <v>543</v>
      </c>
      <c r="AA478" s="189" t="s">
        <v>438</v>
      </c>
    </row>
    <row r="479">
      <c r="A479" s="189">
        <f>IFERROR(__xludf.DUMMYFUNCTION("""COMPUTED_VALUE"""),210096.0)</f>
        <v>210096</v>
      </c>
      <c r="B479" s="189">
        <f>IFERROR(__xludf.DUMMYFUNCTION("""COMPUTED_VALUE"""),92404.0)</f>
        <v>92404</v>
      </c>
      <c r="C479" s="189" t="str">
        <f>IFERROR(__xludf.DUMMYFUNCTION("""COMPUTED_VALUE"""),"Challengers League 2025 MENA: Resilience - GPI - Split 2 - Playoffs")</f>
        <v>Challengers League 2025 MENA: Resilience - GPI - Split 2 - Playoffs</v>
      </c>
      <c r="D479" s="189" t="str">
        <f>IFERROR(__xludf.DUMMYFUNCTION("""COMPUTED_VALUE"""),"Corrode")</f>
        <v>Corrode</v>
      </c>
      <c r="E479" s="189" t="str">
        <f>IFERROR(__xludf.DUMMYFUNCTION("""COMPUTED_VALUE"""),"AlQadsiah Esports")</f>
        <v>AlQadsiah Esports</v>
      </c>
      <c r="F479" s="189" t="str">
        <f>IFERROR(__xludf.DUMMYFUNCTION("""COMPUTED_VALUE"""),"Twisted Minds Esports")</f>
        <v>Twisted Minds Esports</v>
      </c>
      <c r="G479" s="189" t="str">
        <f>IFERROR(__xludf.DUMMYFUNCTION("""COMPUTED_VALUE"""),"Viper,Omen,Yoru,Chamber,Fade")</f>
        <v>Viper,Omen,Yoru,Chamber,Fade</v>
      </c>
      <c r="H479" s="189" t="str">
        <f>IFERROR(__xludf.DUMMYFUNCTION("""COMPUTED_VALUE"""),"Omen,Yoru,Chamber,Fade,Vyse")</f>
        <v>Omen,Yoru,Chamber,Fade,Vyse</v>
      </c>
      <c r="I479" s="189">
        <f>IFERROR(__xludf.DUMMYFUNCTION("""COMPUTED_VALUE"""),5.0)</f>
        <v>5</v>
      </c>
      <c r="J479" s="189">
        <f>IFERROR(__xludf.DUMMYFUNCTION("""COMPUTED_VALUE"""),13.0)</f>
        <v>13</v>
      </c>
      <c r="K479" s="189">
        <f>IFERROR(__xludf.DUMMYFUNCTION("""COMPUTED_VALUE"""),5.0)</f>
        <v>5</v>
      </c>
      <c r="L479" s="189">
        <f>IFERROR(__xludf.DUMMYFUNCTION("""COMPUTED_VALUE"""),7.0)</f>
        <v>7</v>
      </c>
      <c r="M479" s="189">
        <f>IFERROR(__xludf.DUMMYFUNCTION("""COMPUTED_VALUE"""),0.0)</f>
        <v>0</v>
      </c>
      <c r="N479" s="189">
        <f>IFERROR(__xludf.DUMMYFUNCTION("""COMPUTED_VALUE"""),0.0)</f>
        <v>0</v>
      </c>
      <c r="O479" s="189">
        <f>IFERROR(__xludf.DUMMYFUNCTION("""COMPUTED_VALUE"""),0.0)</f>
        <v>0</v>
      </c>
      <c r="P479" s="189">
        <f>IFERROR(__xludf.DUMMYFUNCTION("""COMPUTED_VALUE"""),6.0)</f>
        <v>6</v>
      </c>
      <c r="Q479" s="189">
        <f>IFERROR(__xludf.DUMMYFUNCTION("""COMPUTED_VALUE"""),5.0)</f>
        <v>5</v>
      </c>
      <c r="R479" s="189">
        <f>IFERROR(__xludf.DUMMYFUNCTION("""COMPUTED_VALUE"""),7.0)</f>
        <v>7</v>
      </c>
      <c r="S479" s="189">
        <f>IFERROR(__xludf.DUMMYFUNCTION("""COMPUTED_VALUE"""),1.0)</f>
        <v>1</v>
      </c>
      <c r="T479" s="189">
        <f>IFERROR(__xludf.DUMMYFUNCTION("""COMPUTED_VALUE"""),1.0)</f>
        <v>1</v>
      </c>
      <c r="U479" s="189">
        <f>IFERROR(__xludf.DUMMYFUNCTION("""COMPUTED_VALUE"""),7.0)</f>
        <v>7</v>
      </c>
      <c r="V479" s="189">
        <f>IFERROR(__xludf.DUMMYFUNCTION("""COMPUTED_VALUE"""),5.0)</f>
        <v>5</v>
      </c>
      <c r="W479" s="189">
        <f>IFERROR(__xludf.DUMMYFUNCTION("""COMPUTED_VALUE"""),6.0)</f>
        <v>6</v>
      </c>
      <c r="X479" s="189">
        <f>IFERROR(__xludf.DUMMYFUNCTION("""COMPUTED_VALUE"""),0.0)</f>
        <v>0</v>
      </c>
      <c r="Y479" s="208" t="str">
        <f>IFERROR(__xludf.DUMMYFUNCTION("""COMPUTED_VALUE"""),"2025-07-15T00:00:00.000Z")</f>
        <v>2025-07-15T00:00:00.000Z</v>
      </c>
      <c r="Z479" s="189" t="s">
        <v>431</v>
      </c>
      <c r="AA479" s="189" t="s">
        <v>184</v>
      </c>
    </row>
    <row r="480">
      <c r="A480" s="189">
        <f>IFERROR(__xludf.DUMMYFUNCTION("""COMPUTED_VALUE"""),207566.0)</f>
        <v>207566</v>
      </c>
      <c r="B480" s="189">
        <f>IFERROR(__xludf.DUMMYFUNCTION("""COMPUTED_VALUE"""),91449.0)</f>
        <v>91449</v>
      </c>
      <c r="C480" s="189" t="str">
        <f>IFERROR(__xludf.DUMMYFUNCTION("""COMPUTED_VALUE"""),"Challengers League 2025 Spain Rising: Split 3 - Group Stage")</f>
        <v>Challengers League 2025 Spain Rising: Split 3 - Group Stage</v>
      </c>
      <c r="D480" s="189" t="str">
        <f>IFERROR(__xludf.DUMMYFUNCTION("""COMPUTED_VALUE"""),"Haven")</f>
        <v>Haven</v>
      </c>
      <c r="E480" s="189" t="str">
        <f>IFERROR(__xludf.DUMMYFUNCTION("""COMPUTED_VALUE"""),"ZETA Gaming")</f>
        <v>ZETA Gaming</v>
      </c>
      <c r="F480" s="189" t="str">
        <f>IFERROR(__xludf.DUMMYFUNCTION("""COMPUTED_VALUE"""),"DNSTY")</f>
        <v>DNSTY</v>
      </c>
      <c r="G480" s="189" t="str">
        <f>IFERROR(__xludf.DUMMYFUNCTION("""COMPUTED_VALUE"""),"Viper,Omen,Yoru,Fade,Vyse")</f>
        <v>Viper,Omen,Yoru,Fade,Vyse</v>
      </c>
      <c r="H480" s="189" t="str">
        <f>IFERROR(__xludf.DUMMYFUNCTION("""COMPUTED_VALUE"""),"Sova,Killjoy,Viper,Omen,Neon")</f>
        <v>Sova,Killjoy,Viper,Omen,Neon</v>
      </c>
      <c r="I480" s="189">
        <f>IFERROR(__xludf.DUMMYFUNCTION("""COMPUTED_VALUE"""),11.0)</f>
        <v>11</v>
      </c>
      <c r="J480" s="189">
        <f>IFERROR(__xludf.DUMMYFUNCTION("""COMPUTED_VALUE"""),13.0)</f>
        <v>13</v>
      </c>
      <c r="K480" s="189">
        <f>IFERROR(__xludf.DUMMYFUNCTION("""COMPUTED_VALUE"""),8.0)</f>
        <v>8</v>
      </c>
      <c r="L480" s="189">
        <f>IFERROR(__xludf.DUMMYFUNCTION("""COMPUTED_VALUE"""),4.0)</f>
        <v>4</v>
      </c>
      <c r="M480" s="189">
        <f>IFERROR(__xludf.DUMMYFUNCTION("""COMPUTED_VALUE"""),0.0)</f>
        <v>0</v>
      </c>
      <c r="N480" s="189">
        <f>IFERROR(__xludf.DUMMYFUNCTION("""COMPUTED_VALUE"""),0.0)</f>
        <v>0</v>
      </c>
      <c r="O480" s="189">
        <f>IFERROR(__xludf.DUMMYFUNCTION("""COMPUTED_VALUE"""),8.0)</f>
        <v>8</v>
      </c>
      <c r="P480" s="189">
        <f>IFERROR(__xludf.DUMMYFUNCTION("""COMPUTED_VALUE"""),4.0)</f>
        <v>4</v>
      </c>
      <c r="Q480" s="189">
        <f>IFERROR(__xludf.DUMMYFUNCTION("""COMPUTED_VALUE"""),3.0)</f>
        <v>3</v>
      </c>
      <c r="R480" s="189">
        <f>IFERROR(__xludf.DUMMYFUNCTION("""COMPUTED_VALUE"""),9.0)</f>
        <v>9</v>
      </c>
      <c r="S480" s="189">
        <f>IFERROR(__xludf.DUMMYFUNCTION("""COMPUTED_VALUE"""),1.0)</f>
        <v>1</v>
      </c>
      <c r="T480" s="189">
        <f>IFERROR(__xludf.DUMMYFUNCTION("""COMPUTED_VALUE"""),1.0)</f>
        <v>1</v>
      </c>
      <c r="U480" s="189">
        <f>IFERROR(__xludf.DUMMYFUNCTION("""COMPUTED_VALUE"""),9.0)</f>
        <v>9</v>
      </c>
      <c r="V480" s="189">
        <f>IFERROR(__xludf.DUMMYFUNCTION("""COMPUTED_VALUE"""),3.0)</f>
        <v>3</v>
      </c>
      <c r="W480" s="189">
        <f>IFERROR(__xludf.DUMMYFUNCTION("""COMPUTED_VALUE"""),4.0)</f>
        <v>4</v>
      </c>
      <c r="X480" s="189">
        <f>IFERROR(__xludf.DUMMYFUNCTION("""COMPUTED_VALUE"""),8.0)</f>
        <v>8</v>
      </c>
      <c r="Y480" s="208" t="str">
        <f>IFERROR(__xludf.DUMMYFUNCTION("""COMPUTED_VALUE"""),"2025-07-14T00:00:00.000Z")</f>
        <v>2025-07-14T00:00:00.000Z</v>
      </c>
      <c r="Z480" s="189" t="s">
        <v>544</v>
      </c>
      <c r="AA480" s="189" t="s">
        <v>182</v>
      </c>
    </row>
    <row r="481">
      <c r="A481" s="189">
        <f>IFERROR(__xludf.DUMMYFUNCTION("""COMPUTED_VALUE"""),207565.0)</f>
        <v>207565</v>
      </c>
      <c r="B481" s="189">
        <f>IFERROR(__xludf.DUMMYFUNCTION("""COMPUTED_VALUE"""),91449.0)</f>
        <v>91449</v>
      </c>
      <c r="C481" s="189" t="str">
        <f>IFERROR(__xludf.DUMMYFUNCTION("""COMPUTED_VALUE"""),"Challengers League 2025 Spain Rising: Split 3 - Group Stage")</f>
        <v>Challengers League 2025 Spain Rising: Split 3 - Group Stage</v>
      </c>
      <c r="D481" s="189" t="str">
        <f>IFERROR(__xludf.DUMMYFUNCTION("""COMPUTED_VALUE"""),"Sunset")</f>
        <v>Sunset</v>
      </c>
      <c r="E481" s="189" t="str">
        <f>IFERROR(__xludf.DUMMYFUNCTION("""COMPUTED_VALUE"""),"ZETA Gaming")</f>
        <v>ZETA Gaming</v>
      </c>
      <c r="F481" s="189" t="str">
        <f>IFERROR(__xludf.DUMMYFUNCTION("""COMPUTED_VALUE"""),"DNSTY")</f>
        <v>DNSTY</v>
      </c>
      <c r="G481" s="189" t="str">
        <f>IFERROR(__xludf.DUMMYFUNCTION("""COMPUTED_VALUE"""),"Cypher,Sova,Omen,KAY/O,Neon")</f>
        <v>Cypher,Sova,Omen,KAY/O,Neon</v>
      </c>
      <c r="H481" s="189" t="str">
        <f>IFERROR(__xludf.DUMMYFUNCTION("""COMPUTED_VALUE"""),"Sova,Viper,Omen,Neon,Deadlock")</f>
        <v>Sova,Viper,Omen,Neon,Deadlock</v>
      </c>
      <c r="I481" s="189">
        <f>IFERROR(__xludf.DUMMYFUNCTION("""COMPUTED_VALUE"""),2.0)</f>
        <v>2</v>
      </c>
      <c r="J481" s="189">
        <f>IFERROR(__xludf.DUMMYFUNCTION("""COMPUTED_VALUE"""),13.0)</f>
        <v>13</v>
      </c>
      <c r="K481" s="189">
        <f>IFERROR(__xludf.DUMMYFUNCTION("""COMPUTED_VALUE"""),2.0)</f>
        <v>2</v>
      </c>
      <c r="L481" s="189">
        <f>IFERROR(__xludf.DUMMYFUNCTION("""COMPUTED_VALUE"""),10.0)</f>
        <v>10</v>
      </c>
      <c r="M481" s="189">
        <f>IFERROR(__xludf.DUMMYFUNCTION("""COMPUTED_VALUE"""),0.0)</f>
        <v>0</v>
      </c>
      <c r="N481" s="189">
        <f>IFERROR(__xludf.DUMMYFUNCTION("""COMPUTED_VALUE"""),0.0)</f>
        <v>0</v>
      </c>
      <c r="O481" s="189">
        <f>IFERROR(__xludf.DUMMYFUNCTION("""COMPUTED_VALUE"""),0.0)</f>
        <v>0</v>
      </c>
      <c r="P481" s="189">
        <f>IFERROR(__xludf.DUMMYFUNCTION("""COMPUTED_VALUE"""),3.0)</f>
        <v>3</v>
      </c>
      <c r="Q481" s="189">
        <f>IFERROR(__xludf.DUMMYFUNCTION("""COMPUTED_VALUE"""),2.0)</f>
        <v>2</v>
      </c>
      <c r="R481" s="189">
        <f>IFERROR(__xludf.DUMMYFUNCTION("""COMPUTED_VALUE"""),10.0)</f>
        <v>10</v>
      </c>
      <c r="S481" s="189">
        <f>IFERROR(__xludf.DUMMYFUNCTION("""COMPUTED_VALUE"""),1.0)</f>
        <v>1</v>
      </c>
      <c r="T481" s="189">
        <f>IFERROR(__xludf.DUMMYFUNCTION("""COMPUTED_VALUE"""),1.0)</f>
        <v>1</v>
      </c>
      <c r="U481" s="189">
        <f>IFERROR(__xludf.DUMMYFUNCTION("""COMPUTED_VALUE"""),10.0)</f>
        <v>10</v>
      </c>
      <c r="V481" s="189">
        <f>IFERROR(__xludf.DUMMYFUNCTION("""COMPUTED_VALUE"""),2.0)</f>
        <v>2</v>
      </c>
      <c r="W481" s="189">
        <f>IFERROR(__xludf.DUMMYFUNCTION("""COMPUTED_VALUE"""),3.0)</f>
        <v>3</v>
      </c>
      <c r="X481" s="189">
        <f>IFERROR(__xludf.DUMMYFUNCTION("""COMPUTED_VALUE"""),0.0)</f>
        <v>0</v>
      </c>
      <c r="Y481" s="208" t="str">
        <f>IFERROR(__xludf.DUMMYFUNCTION("""COMPUTED_VALUE"""),"2025-07-14T00:00:00.000Z")</f>
        <v>2025-07-14T00:00:00.000Z</v>
      </c>
      <c r="Z481" s="189" t="s">
        <v>545</v>
      </c>
      <c r="AA481" s="189" t="s">
        <v>182</v>
      </c>
    </row>
    <row r="482">
      <c r="A482" s="189">
        <f>IFERROR(__xludf.DUMMYFUNCTION("""COMPUTED_VALUE"""),207564.0)</f>
        <v>207564</v>
      </c>
      <c r="B482" s="189">
        <f>IFERROR(__xludf.DUMMYFUNCTION("""COMPUTED_VALUE"""),91449.0)</f>
        <v>91449</v>
      </c>
      <c r="C482" s="189" t="str">
        <f>IFERROR(__xludf.DUMMYFUNCTION("""COMPUTED_VALUE"""),"Challengers League 2025 Spain Rising: Split 3 - Group Stage")</f>
        <v>Challengers League 2025 Spain Rising: Split 3 - Group Stage</v>
      </c>
      <c r="D482" s="189" t="str">
        <f>IFERROR(__xludf.DUMMYFUNCTION("""COMPUTED_VALUE"""),"Lotus")</f>
        <v>Lotus</v>
      </c>
      <c r="E482" s="189" t="str">
        <f>IFERROR(__xludf.DUMMYFUNCTION("""COMPUTED_VALUE"""),"ZETA Gaming")</f>
        <v>ZETA Gaming</v>
      </c>
      <c r="F482" s="189" t="str">
        <f>IFERROR(__xludf.DUMMYFUNCTION("""COMPUTED_VALUE"""),"DNSTY")</f>
        <v>DNSTY</v>
      </c>
      <c r="G482" s="189" t="str">
        <f>IFERROR(__xludf.DUMMYFUNCTION("""COMPUTED_VALUE"""),"Raze,Omen,Yoru,Fade,Vyse")</f>
        <v>Raze,Omen,Yoru,Fade,Vyse</v>
      </c>
      <c r="H482" s="189" t="str">
        <f>IFERROR(__xludf.DUMMYFUNCTION("""COMPUTED_VALUE"""),"Raze,Killjoy,Viper,Omen,Fade")</f>
        <v>Raze,Killjoy,Viper,Omen,Fade</v>
      </c>
      <c r="I482" s="189">
        <f>IFERROR(__xludf.DUMMYFUNCTION("""COMPUTED_VALUE"""),13.0)</f>
        <v>13</v>
      </c>
      <c r="J482" s="189">
        <f>IFERROR(__xludf.DUMMYFUNCTION("""COMPUTED_VALUE"""),8.0)</f>
        <v>8</v>
      </c>
      <c r="K482" s="189">
        <f>IFERROR(__xludf.DUMMYFUNCTION("""COMPUTED_VALUE"""),10.0)</f>
        <v>10</v>
      </c>
      <c r="L482" s="189">
        <f>IFERROR(__xludf.DUMMYFUNCTION("""COMPUTED_VALUE"""),2.0)</f>
        <v>2</v>
      </c>
      <c r="M482" s="189">
        <f>IFERROR(__xludf.DUMMYFUNCTION("""COMPUTED_VALUE"""),0.0)</f>
        <v>0</v>
      </c>
      <c r="N482" s="189">
        <f>IFERROR(__xludf.DUMMYFUNCTION("""COMPUTED_VALUE"""),1.0)</f>
        <v>1</v>
      </c>
      <c r="O482" s="189">
        <f>IFERROR(__xludf.DUMMYFUNCTION("""COMPUTED_VALUE"""),3.0)</f>
        <v>3</v>
      </c>
      <c r="P482" s="189">
        <f>IFERROR(__xludf.DUMMYFUNCTION("""COMPUTED_VALUE"""),6.0)</f>
        <v>6</v>
      </c>
      <c r="Q482" s="189">
        <f>IFERROR(__xludf.DUMMYFUNCTION("""COMPUTED_VALUE"""),10.0)</f>
        <v>10</v>
      </c>
      <c r="R482" s="189">
        <f>IFERROR(__xludf.DUMMYFUNCTION("""COMPUTED_VALUE"""),2.0)</f>
        <v>2</v>
      </c>
      <c r="S482" s="189">
        <f>IFERROR(__xludf.DUMMYFUNCTION("""COMPUTED_VALUE"""),0.0)</f>
        <v>0</v>
      </c>
      <c r="T482" s="189">
        <f>IFERROR(__xludf.DUMMYFUNCTION("""COMPUTED_VALUE"""),1.0)</f>
        <v>1</v>
      </c>
      <c r="U482" s="189">
        <f>IFERROR(__xludf.DUMMYFUNCTION("""COMPUTED_VALUE"""),2.0)</f>
        <v>2</v>
      </c>
      <c r="V482" s="189">
        <f>IFERROR(__xludf.DUMMYFUNCTION("""COMPUTED_VALUE"""),10.0)</f>
        <v>10</v>
      </c>
      <c r="W482" s="189">
        <f>IFERROR(__xludf.DUMMYFUNCTION("""COMPUTED_VALUE"""),6.0)</f>
        <v>6</v>
      </c>
      <c r="X482" s="189">
        <f>IFERROR(__xludf.DUMMYFUNCTION("""COMPUTED_VALUE"""),3.0)</f>
        <v>3</v>
      </c>
      <c r="Y482" s="208" t="str">
        <f>IFERROR(__xludf.DUMMYFUNCTION("""COMPUTED_VALUE"""),"2025-07-14T00:00:00.000Z")</f>
        <v>2025-07-14T00:00:00.000Z</v>
      </c>
      <c r="Z482" s="189" t="s">
        <v>546</v>
      </c>
      <c r="AA482" s="189" t="s">
        <v>439</v>
      </c>
    </row>
    <row r="483">
      <c r="A483" s="189">
        <f>IFERROR(__xludf.DUMMYFUNCTION("""COMPUTED_VALUE"""),209295.0)</f>
        <v>209295</v>
      </c>
      <c r="B483" s="189">
        <f>IFERROR(__xludf.DUMMYFUNCTION("""COMPUTED_VALUE"""),92095.0)</f>
        <v>92095</v>
      </c>
      <c r="C483" s="189" t="str">
        <f>IFERROR(__xludf.DUMMYFUNCTION("""COMPUTED_VALUE"""),"Challengers League 2025 MENA: Resilience - GPI - Split 2 - Playoffs")</f>
        <v>Challengers League 2025 MENA: Resilience - GPI - Split 2 - Playoffs</v>
      </c>
      <c r="D483" s="189" t="str">
        <f>IFERROR(__xludf.DUMMYFUNCTION("""COMPUTED_VALUE"""),"Ascent")</f>
        <v>Ascent</v>
      </c>
      <c r="E483" s="189" t="str">
        <f>IFERROR(__xludf.DUMMYFUNCTION("""COMPUTED_VALUE"""),"Twisted Minds Esports")</f>
        <v>Twisted Minds Esports</v>
      </c>
      <c r="F483" s="189" t="str">
        <f>IFERROR(__xludf.DUMMYFUNCTION("""COMPUTED_VALUE"""),"The Ultimates")</f>
        <v>The Ultimates</v>
      </c>
      <c r="G483" s="189" t="str">
        <f>IFERROR(__xludf.DUMMYFUNCTION("""COMPUTED_VALUE"""),"Cypher,Sova,Omen,Yoru,Deadlock")</f>
        <v>Cypher,Sova,Omen,Yoru,Deadlock</v>
      </c>
      <c r="H483" s="189" t="str">
        <f>IFERROR(__xludf.DUMMYFUNCTION("""COMPUTED_VALUE"""),"Cypher,Sova,Omen,Yoru,Deadlock")</f>
        <v>Cypher,Sova,Omen,Yoru,Deadlock</v>
      </c>
      <c r="I483" s="189">
        <f>IFERROR(__xludf.DUMMYFUNCTION("""COMPUTED_VALUE"""),13.0)</f>
        <v>13</v>
      </c>
      <c r="J483" s="189">
        <f>IFERROR(__xludf.DUMMYFUNCTION("""COMPUTED_VALUE"""),6.0)</f>
        <v>6</v>
      </c>
      <c r="K483" s="189">
        <f>IFERROR(__xludf.DUMMYFUNCTION("""COMPUTED_VALUE"""),9.0)</f>
        <v>9</v>
      </c>
      <c r="L483" s="189">
        <f>IFERROR(__xludf.DUMMYFUNCTION("""COMPUTED_VALUE"""),3.0)</f>
        <v>3</v>
      </c>
      <c r="M483" s="189">
        <f>IFERROR(__xludf.DUMMYFUNCTION("""COMPUTED_VALUE"""),1.0)</f>
        <v>1</v>
      </c>
      <c r="N483" s="189">
        <f>IFERROR(__xludf.DUMMYFUNCTION("""COMPUTED_VALUE"""),1.0)</f>
        <v>1</v>
      </c>
      <c r="O483" s="189">
        <f>IFERROR(__xludf.DUMMYFUNCTION("""COMPUTED_VALUE"""),4.0)</f>
        <v>4</v>
      </c>
      <c r="P483" s="189">
        <f>IFERROR(__xludf.DUMMYFUNCTION("""COMPUTED_VALUE"""),3.0)</f>
        <v>3</v>
      </c>
      <c r="Q483" s="189">
        <f>IFERROR(__xludf.DUMMYFUNCTION("""COMPUTED_VALUE"""),9.0)</f>
        <v>9</v>
      </c>
      <c r="R483" s="189">
        <f>IFERROR(__xludf.DUMMYFUNCTION("""COMPUTED_VALUE"""),3.0)</f>
        <v>3</v>
      </c>
      <c r="S483" s="189">
        <f>IFERROR(__xludf.DUMMYFUNCTION("""COMPUTED_VALUE"""),0.0)</f>
        <v>0</v>
      </c>
      <c r="T483" s="189">
        <f>IFERROR(__xludf.DUMMYFUNCTION("""COMPUTED_VALUE"""),0.0)</f>
        <v>0</v>
      </c>
      <c r="U483" s="189">
        <f>IFERROR(__xludf.DUMMYFUNCTION("""COMPUTED_VALUE"""),3.0)</f>
        <v>3</v>
      </c>
      <c r="V483" s="189">
        <f>IFERROR(__xludf.DUMMYFUNCTION("""COMPUTED_VALUE"""),9.0)</f>
        <v>9</v>
      </c>
      <c r="W483" s="189">
        <f>IFERROR(__xludf.DUMMYFUNCTION("""COMPUTED_VALUE"""),3.0)</f>
        <v>3</v>
      </c>
      <c r="X483" s="189">
        <f>IFERROR(__xludf.DUMMYFUNCTION("""COMPUTED_VALUE"""),4.0)</f>
        <v>4</v>
      </c>
      <c r="Y483" s="208" t="str">
        <f>IFERROR(__xludf.DUMMYFUNCTION("""COMPUTED_VALUE"""),"2025-07-14T00:00:00.000Z")</f>
        <v>2025-07-14T00:00:00.000Z</v>
      </c>
      <c r="Z483" s="189" t="s">
        <v>159</v>
      </c>
      <c r="AA483" s="189" t="s">
        <v>184</v>
      </c>
    </row>
    <row r="484">
      <c r="A484" s="189">
        <f>IFERROR(__xludf.DUMMYFUNCTION("""COMPUTED_VALUE"""),209294.0)</f>
        <v>209294</v>
      </c>
      <c r="B484" s="189">
        <f>IFERROR(__xludf.DUMMYFUNCTION("""COMPUTED_VALUE"""),92095.0)</f>
        <v>92095</v>
      </c>
      <c r="C484" s="189" t="str">
        <f>IFERROR(__xludf.DUMMYFUNCTION("""COMPUTED_VALUE"""),"Challengers League 2025 MENA: Resilience - GPI - Split 2 - Playoffs")</f>
        <v>Challengers League 2025 MENA: Resilience - GPI - Split 2 - Playoffs</v>
      </c>
      <c r="D484" s="189" t="str">
        <f>IFERROR(__xludf.DUMMYFUNCTION("""COMPUTED_VALUE"""),"Haven")</f>
        <v>Haven</v>
      </c>
      <c r="E484" s="189" t="str">
        <f>IFERROR(__xludf.DUMMYFUNCTION("""COMPUTED_VALUE"""),"Twisted Minds Esports")</f>
        <v>Twisted Minds Esports</v>
      </c>
      <c r="F484" s="189" t="str">
        <f>IFERROR(__xludf.DUMMYFUNCTION("""COMPUTED_VALUE"""),"The Ultimates")</f>
        <v>The Ultimates</v>
      </c>
      <c r="G484" s="189" t="str">
        <f>IFERROR(__xludf.DUMMYFUNCTION("""COMPUTED_VALUE"""),"Breach,Cypher,Sova,Omen,Jett")</f>
        <v>Breach,Cypher,Sova,Omen,Jett</v>
      </c>
      <c r="H484" s="189" t="str">
        <f>IFERROR(__xludf.DUMMYFUNCTION("""COMPUTED_VALUE"""),"Breach,Cypher,Sova,Omen,Neon")</f>
        <v>Breach,Cypher,Sova,Omen,Neon</v>
      </c>
      <c r="I484" s="189">
        <f>IFERROR(__xludf.DUMMYFUNCTION("""COMPUTED_VALUE"""),6.0)</f>
        <v>6</v>
      </c>
      <c r="J484" s="189">
        <f>IFERROR(__xludf.DUMMYFUNCTION("""COMPUTED_VALUE"""),13.0)</f>
        <v>13</v>
      </c>
      <c r="K484" s="189">
        <f>IFERROR(__xludf.DUMMYFUNCTION("""COMPUTED_VALUE"""),3.0)</f>
        <v>3</v>
      </c>
      <c r="L484" s="189">
        <f>IFERROR(__xludf.DUMMYFUNCTION("""COMPUTED_VALUE"""),9.0)</f>
        <v>9</v>
      </c>
      <c r="M484" s="189">
        <f>IFERROR(__xludf.DUMMYFUNCTION("""COMPUTED_VALUE"""),1.0)</f>
        <v>1</v>
      </c>
      <c r="N484" s="189">
        <f>IFERROR(__xludf.DUMMYFUNCTION("""COMPUTED_VALUE"""),0.0)</f>
        <v>0</v>
      </c>
      <c r="O484" s="189">
        <f>IFERROR(__xludf.DUMMYFUNCTION("""COMPUTED_VALUE"""),3.0)</f>
        <v>3</v>
      </c>
      <c r="P484" s="189">
        <f>IFERROR(__xludf.DUMMYFUNCTION("""COMPUTED_VALUE"""),4.0)</f>
        <v>4</v>
      </c>
      <c r="Q484" s="189">
        <f>IFERROR(__xludf.DUMMYFUNCTION("""COMPUTED_VALUE"""),3.0)</f>
        <v>3</v>
      </c>
      <c r="R484" s="189">
        <f>IFERROR(__xludf.DUMMYFUNCTION("""COMPUTED_VALUE"""),9.0)</f>
        <v>9</v>
      </c>
      <c r="S484" s="189">
        <f>IFERROR(__xludf.DUMMYFUNCTION("""COMPUTED_VALUE"""),1.0)</f>
        <v>1</v>
      </c>
      <c r="T484" s="189">
        <f>IFERROR(__xludf.DUMMYFUNCTION("""COMPUTED_VALUE"""),0.0)</f>
        <v>0</v>
      </c>
      <c r="U484" s="189">
        <f>IFERROR(__xludf.DUMMYFUNCTION("""COMPUTED_VALUE"""),9.0)</f>
        <v>9</v>
      </c>
      <c r="V484" s="189">
        <f>IFERROR(__xludf.DUMMYFUNCTION("""COMPUTED_VALUE"""),3.0)</f>
        <v>3</v>
      </c>
      <c r="W484" s="189">
        <f>IFERROR(__xludf.DUMMYFUNCTION("""COMPUTED_VALUE"""),4.0)</f>
        <v>4</v>
      </c>
      <c r="X484" s="189">
        <f>IFERROR(__xludf.DUMMYFUNCTION("""COMPUTED_VALUE"""),3.0)</f>
        <v>3</v>
      </c>
      <c r="Y484" s="208" t="str">
        <f>IFERROR(__xludf.DUMMYFUNCTION("""COMPUTED_VALUE"""),"2025-07-14T00:00:00.000Z")</f>
        <v>2025-07-14T00:00:00.000Z</v>
      </c>
      <c r="Z484" s="189" t="s">
        <v>162</v>
      </c>
      <c r="AA484" s="189" t="s">
        <v>185</v>
      </c>
    </row>
    <row r="485">
      <c r="A485" s="189">
        <f>IFERROR(__xludf.DUMMYFUNCTION("""COMPUTED_VALUE"""),210102.0)</f>
        <v>210102</v>
      </c>
      <c r="B485" s="189">
        <f>IFERROR(__xludf.DUMMYFUNCTION("""COMPUTED_VALUE"""),92406.0)</f>
        <v>92406</v>
      </c>
      <c r="C485" s="189" t="str">
        <f>IFERROR(__xludf.DUMMYFUNCTION("""COMPUTED_VALUE"""),"Challengers League 2025 NORTH EAST: Split 3 - Upper Swiss Phase")</f>
        <v>Challengers League 2025 NORTH EAST: Split 3 - Upper Swiss Phase</v>
      </c>
      <c r="D485" s="189" t="str">
        <f>IFERROR(__xludf.DUMMYFUNCTION("""COMPUTED_VALUE"""),"Lotus")</f>
        <v>Lotus</v>
      </c>
      <c r="E485" s="189" t="str">
        <f>IFERROR(__xludf.DUMMYFUNCTION("""COMPUTED_VALUE"""),"děti ulice")</f>
        <v>děti ulice</v>
      </c>
      <c r="F485" s="189" t="str">
        <f>IFERROR(__xludf.DUMMYFUNCTION("""COMPUTED_VALUE"""),"ESC Gaming")</f>
        <v>ESC Gaming</v>
      </c>
      <c r="G485" s="189" t="str">
        <f>IFERROR(__xludf.DUMMYFUNCTION("""COMPUTED_VALUE"""),"Raze,Killjoy,Viper,Omen,Fade")</f>
        <v>Raze,Killjoy,Viper,Omen,Fade</v>
      </c>
      <c r="H485" s="189" t="str">
        <f>IFERROR(__xludf.DUMMYFUNCTION("""COMPUTED_VALUE"""),"Breach,Sova,Viper,Omen,Neon")</f>
        <v>Breach,Sova,Viper,Omen,Neon</v>
      </c>
      <c r="I485" s="189">
        <f>IFERROR(__xludf.DUMMYFUNCTION("""COMPUTED_VALUE"""),16.0)</f>
        <v>16</v>
      </c>
      <c r="J485" s="189">
        <f>IFERROR(__xludf.DUMMYFUNCTION("""COMPUTED_VALUE"""),14.0)</f>
        <v>14</v>
      </c>
      <c r="K485" s="189">
        <f>IFERROR(__xludf.DUMMYFUNCTION("""COMPUTED_VALUE"""),4.0)</f>
        <v>4</v>
      </c>
      <c r="L485" s="189">
        <f>IFERROR(__xludf.DUMMYFUNCTION("""COMPUTED_VALUE"""),8.0)</f>
        <v>8</v>
      </c>
      <c r="M485" s="189">
        <f>IFERROR(__xludf.DUMMYFUNCTION("""COMPUTED_VALUE"""),0.0)</f>
        <v>0</v>
      </c>
      <c r="N485" s="189">
        <f>IFERROR(__xludf.DUMMYFUNCTION("""COMPUTED_VALUE"""),0.0)</f>
        <v>0</v>
      </c>
      <c r="O485" s="189">
        <f>IFERROR(__xludf.DUMMYFUNCTION("""COMPUTED_VALUE"""),9.0)</f>
        <v>9</v>
      </c>
      <c r="P485" s="189">
        <f>IFERROR(__xludf.DUMMYFUNCTION("""COMPUTED_VALUE"""),6.0)</f>
        <v>6</v>
      </c>
      <c r="Q485" s="189">
        <f>IFERROR(__xludf.DUMMYFUNCTION("""COMPUTED_VALUE"""),7.0)</f>
        <v>7</v>
      </c>
      <c r="R485" s="189">
        <f>IFERROR(__xludf.DUMMYFUNCTION("""COMPUTED_VALUE"""),8.0)</f>
        <v>8</v>
      </c>
      <c r="S485" s="189">
        <f>IFERROR(__xludf.DUMMYFUNCTION("""COMPUTED_VALUE"""),1.0)</f>
        <v>1</v>
      </c>
      <c r="T485" s="189">
        <f>IFERROR(__xludf.DUMMYFUNCTION("""COMPUTED_VALUE"""),1.0)</f>
        <v>1</v>
      </c>
      <c r="U485" s="189">
        <f>IFERROR(__xludf.DUMMYFUNCTION("""COMPUTED_VALUE"""),8.0)</f>
        <v>8</v>
      </c>
      <c r="V485" s="189">
        <f>IFERROR(__xludf.DUMMYFUNCTION("""COMPUTED_VALUE"""),7.0)</f>
        <v>7</v>
      </c>
      <c r="W485" s="189">
        <f>IFERROR(__xludf.DUMMYFUNCTION("""COMPUTED_VALUE"""),6.0)</f>
        <v>6</v>
      </c>
      <c r="X485" s="189">
        <f>IFERROR(__xludf.DUMMYFUNCTION("""COMPUTED_VALUE"""),9.0)</f>
        <v>9</v>
      </c>
      <c r="Y485" s="208" t="str">
        <f>IFERROR(__xludf.DUMMYFUNCTION("""COMPUTED_VALUE"""),"2025-07-14T00:00:00.000Z")</f>
        <v>2025-07-14T00:00:00.000Z</v>
      </c>
      <c r="Z485" s="189" t="s">
        <v>90</v>
      </c>
      <c r="AA485" s="189" t="s">
        <v>190</v>
      </c>
    </row>
    <row r="486">
      <c r="A486" s="189">
        <f>IFERROR(__xludf.DUMMYFUNCTION("""COMPUTED_VALUE"""),210104.0)</f>
        <v>210104</v>
      </c>
      <c r="B486" s="189">
        <f>IFERROR(__xludf.DUMMYFUNCTION("""COMPUTED_VALUE"""),92408.0)</f>
        <v>92408</v>
      </c>
      <c r="C486" s="189" t="str">
        <f>IFERROR(__xludf.DUMMYFUNCTION("""COMPUTED_VALUE"""),"Challengers League 2025 NORTH EAST: Split 3 - Upper Swiss Phase")</f>
        <v>Challengers League 2025 NORTH EAST: Split 3 - Upper Swiss Phase</v>
      </c>
      <c r="D486" s="189" t="str">
        <f>IFERROR(__xludf.DUMMYFUNCTION("""COMPUTED_VALUE"""),"Lotus")</f>
        <v>Lotus</v>
      </c>
      <c r="E486" s="189" t="str">
        <f>IFERROR(__xludf.DUMMYFUNCTION("""COMPUTED_VALUE"""),"Boars Gaming")</f>
        <v>Boars Gaming</v>
      </c>
      <c r="F486" s="189" t="str">
        <f>IFERROR(__xludf.DUMMYFUNCTION("""COMPUTED_VALUE"""),"Team Liquid Academy")</f>
        <v>Team Liquid Academy</v>
      </c>
      <c r="G486" s="189" t="str">
        <f>IFERROR(__xludf.DUMMYFUNCTION("""COMPUTED_VALUE"""),"Breach,Cypher,Omen,Neon,Fade")</f>
        <v>Breach,Cypher,Omen,Neon,Fade</v>
      </c>
      <c r="H486" s="189" t="str">
        <f>IFERROR(__xludf.DUMMYFUNCTION("""COMPUTED_VALUE"""),"Raze,Viper,Omen,Fade,Vyse")</f>
        <v>Raze,Viper,Omen,Fade,Vyse</v>
      </c>
      <c r="I486" s="189">
        <f>IFERROR(__xludf.DUMMYFUNCTION("""COMPUTED_VALUE"""),13.0)</f>
        <v>13</v>
      </c>
      <c r="J486" s="189">
        <f>IFERROR(__xludf.DUMMYFUNCTION("""COMPUTED_VALUE"""),7.0)</f>
        <v>7</v>
      </c>
      <c r="K486" s="189">
        <f>IFERROR(__xludf.DUMMYFUNCTION("""COMPUTED_VALUE"""),5.0)</f>
        <v>5</v>
      </c>
      <c r="L486" s="189">
        <f>IFERROR(__xludf.DUMMYFUNCTION("""COMPUTED_VALUE"""),7.0)</f>
        <v>7</v>
      </c>
      <c r="M486" s="189">
        <f>IFERROR(__xludf.DUMMYFUNCTION("""COMPUTED_VALUE"""),0.0)</f>
        <v>0</v>
      </c>
      <c r="N486" s="189">
        <f>IFERROR(__xludf.DUMMYFUNCTION("""COMPUTED_VALUE"""),1.0)</f>
        <v>1</v>
      </c>
      <c r="O486" s="189">
        <f>IFERROR(__xludf.DUMMYFUNCTION("""COMPUTED_VALUE"""),5.0)</f>
        <v>5</v>
      </c>
      <c r="P486" s="189">
        <f>IFERROR(__xludf.DUMMYFUNCTION("""COMPUTED_VALUE"""),7.0)</f>
        <v>7</v>
      </c>
      <c r="Q486" s="189">
        <f>IFERROR(__xludf.DUMMYFUNCTION("""COMPUTED_VALUE"""),8.0)</f>
        <v>8</v>
      </c>
      <c r="R486" s="189">
        <f>IFERROR(__xludf.DUMMYFUNCTION("""COMPUTED_VALUE"""),0.0)</f>
        <v>0</v>
      </c>
      <c r="S486" s="189">
        <f>IFERROR(__xludf.DUMMYFUNCTION("""COMPUTED_VALUE"""),0.0)</f>
        <v>0</v>
      </c>
      <c r="T486" s="189">
        <f>IFERROR(__xludf.DUMMYFUNCTION("""COMPUTED_VALUE"""),1.0)</f>
        <v>1</v>
      </c>
      <c r="U486" s="189">
        <f>IFERROR(__xludf.DUMMYFUNCTION("""COMPUTED_VALUE"""),0.0)</f>
        <v>0</v>
      </c>
      <c r="V486" s="189">
        <f>IFERROR(__xludf.DUMMYFUNCTION("""COMPUTED_VALUE"""),8.0)</f>
        <v>8</v>
      </c>
      <c r="W486" s="189">
        <f>IFERROR(__xludf.DUMMYFUNCTION("""COMPUTED_VALUE"""),7.0)</f>
        <v>7</v>
      </c>
      <c r="X486" s="189">
        <f>IFERROR(__xludf.DUMMYFUNCTION("""COMPUTED_VALUE"""),5.0)</f>
        <v>5</v>
      </c>
      <c r="Y486" s="208" t="str">
        <f>IFERROR(__xludf.DUMMYFUNCTION("""COMPUTED_VALUE"""),"2025-07-14T00:00:00.000Z")</f>
        <v>2025-07-14T00:00:00.000Z</v>
      </c>
      <c r="Z486" s="189" t="s">
        <v>81</v>
      </c>
      <c r="AA486" s="189" t="s">
        <v>181</v>
      </c>
    </row>
    <row r="487">
      <c r="A487" s="189">
        <f>IFERROR(__xludf.DUMMYFUNCTION("""COMPUTED_VALUE"""),210103.0)</f>
        <v>210103</v>
      </c>
      <c r="B487" s="189">
        <f>IFERROR(__xludf.DUMMYFUNCTION("""COMPUTED_VALUE"""),92407.0)</f>
        <v>92407</v>
      </c>
      <c r="C487" s="189" t="str">
        <f>IFERROR(__xludf.DUMMYFUNCTION("""COMPUTED_VALUE"""),"Challengers League 2025 NORTH EAST: Split 3 - Upper Swiss Phase")</f>
        <v>Challengers League 2025 NORTH EAST: Split 3 - Upper Swiss Phase</v>
      </c>
      <c r="D487" s="189" t="str">
        <f>IFERROR(__xludf.DUMMYFUNCTION("""COMPUTED_VALUE"""),"Ascent")</f>
        <v>Ascent</v>
      </c>
      <c r="E487" s="189" t="str">
        <f>IFERROR(__xludf.DUMMYFUNCTION("""COMPUTED_VALUE"""),"MANIA Esports")</f>
        <v>MANIA Esports</v>
      </c>
      <c r="F487" s="189" t="str">
        <f>IFERROR(__xludf.DUMMYFUNCTION("""COMPUTED_VALUE"""),"Enterprise Esports")</f>
        <v>Enterprise Esports</v>
      </c>
      <c r="G487" s="189" t="str">
        <f>IFERROR(__xludf.DUMMYFUNCTION("""COMPUTED_VALUE"""),"Cypher,Sova,Omen,Yoru,Deadlock")</f>
        <v>Cypher,Sova,Omen,Yoru,Deadlock</v>
      </c>
      <c r="H487" s="189" t="str">
        <f>IFERROR(__xludf.DUMMYFUNCTION("""COMPUTED_VALUE"""),"Cypher,Sova,Omen,Jett,KAY/O")</f>
        <v>Cypher,Sova,Omen,Jett,KAY/O</v>
      </c>
      <c r="I487" s="189">
        <f>IFERROR(__xludf.DUMMYFUNCTION("""COMPUTED_VALUE"""),7.0)</f>
        <v>7</v>
      </c>
      <c r="J487" s="189">
        <f>IFERROR(__xludf.DUMMYFUNCTION("""COMPUTED_VALUE"""),13.0)</f>
        <v>13</v>
      </c>
      <c r="K487" s="189">
        <f>IFERROR(__xludf.DUMMYFUNCTION("""COMPUTED_VALUE"""),5.0)</f>
        <v>5</v>
      </c>
      <c r="L487" s="189">
        <f>IFERROR(__xludf.DUMMYFUNCTION("""COMPUTED_VALUE"""),7.0)</f>
        <v>7</v>
      </c>
      <c r="M487" s="189">
        <f>IFERROR(__xludf.DUMMYFUNCTION("""COMPUTED_VALUE"""),0.0)</f>
        <v>0</v>
      </c>
      <c r="N487" s="189">
        <f>IFERROR(__xludf.DUMMYFUNCTION("""COMPUTED_VALUE"""),0.0)</f>
        <v>0</v>
      </c>
      <c r="O487" s="189">
        <f>IFERROR(__xludf.DUMMYFUNCTION("""COMPUTED_VALUE"""),5.0)</f>
        <v>5</v>
      </c>
      <c r="P487" s="189">
        <f>IFERROR(__xludf.DUMMYFUNCTION("""COMPUTED_VALUE"""),7.0)</f>
        <v>7</v>
      </c>
      <c r="Q487" s="189">
        <f>IFERROR(__xludf.DUMMYFUNCTION("""COMPUTED_VALUE"""),2.0)</f>
        <v>2</v>
      </c>
      <c r="R487" s="189">
        <f>IFERROR(__xludf.DUMMYFUNCTION("""COMPUTED_VALUE"""),6.0)</f>
        <v>6</v>
      </c>
      <c r="S487" s="189">
        <f>IFERROR(__xludf.DUMMYFUNCTION("""COMPUTED_VALUE"""),1.0)</f>
        <v>1</v>
      </c>
      <c r="T487" s="189">
        <f>IFERROR(__xludf.DUMMYFUNCTION("""COMPUTED_VALUE"""),1.0)</f>
        <v>1</v>
      </c>
      <c r="U487" s="189">
        <f>IFERROR(__xludf.DUMMYFUNCTION("""COMPUTED_VALUE"""),6.0)</f>
        <v>6</v>
      </c>
      <c r="V487" s="189">
        <f>IFERROR(__xludf.DUMMYFUNCTION("""COMPUTED_VALUE"""),2.0)</f>
        <v>2</v>
      </c>
      <c r="W487" s="189">
        <f>IFERROR(__xludf.DUMMYFUNCTION("""COMPUTED_VALUE"""),7.0)</f>
        <v>7</v>
      </c>
      <c r="X487" s="189">
        <f>IFERROR(__xludf.DUMMYFUNCTION("""COMPUTED_VALUE"""),5.0)</f>
        <v>5</v>
      </c>
      <c r="Y487" s="208" t="str">
        <f>IFERROR(__xludf.DUMMYFUNCTION("""COMPUTED_VALUE"""),"2025-07-14T00:00:00.000Z")</f>
        <v>2025-07-14T00:00:00.000Z</v>
      </c>
      <c r="Z487" s="189" t="s">
        <v>547</v>
      </c>
      <c r="AA487" s="189" t="s">
        <v>179</v>
      </c>
    </row>
    <row r="488">
      <c r="A488" s="189">
        <f>IFERROR(__xludf.DUMMYFUNCTION("""COMPUTED_VALUE"""),209293.0)</f>
        <v>209293</v>
      </c>
      <c r="B488" s="189">
        <f>IFERROR(__xludf.DUMMYFUNCTION("""COMPUTED_VALUE"""),92095.0)</f>
        <v>92095</v>
      </c>
      <c r="C488" s="189" t="str">
        <f>IFERROR(__xludf.DUMMYFUNCTION("""COMPUTED_VALUE"""),"Challengers League 2025 MENA: Resilience - GPI - Split 2 - Playoffs")</f>
        <v>Challengers League 2025 MENA: Resilience - GPI - Split 2 - Playoffs</v>
      </c>
      <c r="D488" s="189" t="str">
        <f>IFERROR(__xludf.DUMMYFUNCTION("""COMPUTED_VALUE"""),"Lotus")</f>
        <v>Lotus</v>
      </c>
      <c r="E488" s="189" t="str">
        <f>IFERROR(__xludf.DUMMYFUNCTION("""COMPUTED_VALUE"""),"Twisted Minds Esports")</f>
        <v>Twisted Minds Esports</v>
      </c>
      <c r="F488" s="189" t="str">
        <f>IFERROR(__xludf.DUMMYFUNCTION("""COMPUTED_VALUE"""),"The Ultimates")</f>
        <v>The Ultimates</v>
      </c>
      <c r="G488" s="189" t="str">
        <f>IFERROR(__xludf.DUMMYFUNCTION("""COMPUTED_VALUE"""),"Raze,Killjoy,Viper,Omen,Fade")</f>
        <v>Raze,Killjoy,Viper,Omen,Fade</v>
      </c>
      <c r="H488" s="189" t="str">
        <f>IFERROR(__xludf.DUMMYFUNCTION("""COMPUTED_VALUE"""),"Breach,Cypher,Sova,Omen,Neon")</f>
        <v>Breach,Cypher,Sova,Omen,Neon</v>
      </c>
      <c r="I488" s="189">
        <f>IFERROR(__xludf.DUMMYFUNCTION("""COMPUTED_VALUE"""),13.0)</f>
        <v>13</v>
      </c>
      <c r="J488" s="189">
        <f>IFERROR(__xludf.DUMMYFUNCTION("""COMPUTED_VALUE"""),6.0)</f>
        <v>6</v>
      </c>
      <c r="K488" s="189">
        <f>IFERROR(__xludf.DUMMYFUNCTION("""COMPUTED_VALUE"""),8.0)</f>
        <v>8</v>
      </c>
      <c r="L488" s="189">
        <f>IFERROR(__xludf.DUMMYFUNCTION("""COMPUTED_VALUE"""),4.0)</f>
        <v>4</v>
      </c>
      <c r="M488" s="189">
        <f>IFERROR(__xludf.DUMMYFUNCTION("""COMPUTED_VALUE"""),1.0)</f>
        <v>1</v>
      </c>
      <c r="N488" s="189">
        <f>IFERROR(__xludf.DUMMYFUNCTION("""COMPUTED_VALUE"""),1.0)</f>
        <v>1</v>
      </c>
      <c r="O488" s="189">
        <f>IFERROR(__xludf.DUMMYFUNCTION("""COMPUTED_VALUE"""),5.0)</f>
        <v>5</v>
      </c>
      <c r="P488" s="189">
        <f>IFERROR(__xludf.DUMMYFUNCTION("""COMPUTED_VALUE"""),2.0)</f>
        <v>2</v>
      </c>
      <c r="Q488" s="189">
        <f>IFERROR(__xludf.DUMMYFUNCTION("""COMPUTED_VALUE"""),8.0)</f>
        <v>8</v>
      </c>
      <c r="R488" s="189">
        <f>IFERROR(__xludf.DUMMYFUNCTION("""COMPUTED_VALUE"""),4.0)</f>
        <v>4</v>
      </c>
      <c r="S488" s="189">
        <f>IFERROR(__xludf.DUMMYFUNCTION("""COMPUTED_VALUE"""),0.0)</f>
        <v>0</v>
      </c>
      <c r="T488" s="189">
        <f>IFERROR(__xludf.DUMMYFUNCTION("""COMPUTED_VALUE"""),0.0)</f>
        <v>0</v>
      </c>
      <c r="U488" s="189">
        <f>IFERROR(__xludf.DUMMYFUNCTION("""COMPUTED_VALUE"""),4.0)</f>
        <v>4</v>
      </c>
      <c r="V488" s="189">
        <f>IFERROR(__xludf.DUMMYFUNCTION("""COMPUTED_VALUE"""),8.0)</f>
        <v>8</v>
      </c>
      <c r="W488" s="189">
        <f>IFERROR(__xludf.DUMMYFUNCTION("""COMPUTED_VALUE"""),2.0)</f>
        <v>2</v>
      </c>
      <c r="X488" s="189">
        <f>IFERROR(__xludf.DUMMYFUNCTION("""COMPUTED_VALUE"""),5.0)</f>
        <v>5</v>
      </c>
      <c r="Y488" s="208" t="str">
        <f>IFERROR(__xludf.DUMMYFUNCTION("""COMPUTED_VALUE"""),"2025-07-14T00:00:00.000Z")</f>
        <v>2025-07-14T00:00:00.000Z</v>
      </c>
      <c r="Z488" s="189" t="s">
        <v>164</v>
      </c>
      <c r="AA488" s="189" t="s">
        <v>184</v>
      </c>
    </row>
    <row r="489">
      <c r="A489" s="189">
        <f>IFERROR(__xludf.DUMMYFUNCTION("""COMPUTED_VALUE"""),209861.0)</f>
        <v>209861</v>
      </c>
      <c r="B489" s="189">
        <f>IFERROR(__xludf.DUMMYFUNCTION("""COMPUTED_VALUE"""),92323.0)</f>
        <v>92323</v>
      </c>
      <c r="C489" s="189" t="str">
        <f>IFERROR(__xludf.DUMMYFUNCTION("""COMPUTED_VALUE"""),"Challengers League 2025 NORTH EAST: Split 3 - Upper Swiss Phase")</f>
        <v>Challengers League 2025 NORTH EAST: Split 3 - Upper Swiss Phase</v>
      </c>
      <c r="D489" s="189" t="str">
        <f>IFERROR(__xludf.DUMMYFUNCTION("""COMPUTED_VALUE"""),"Ascent")</f>
        <v>Ascent</v>
      </c>
      <c r="E489" s="189" t="str">
        <f>IFERROR(__xludf.DUMMYFUNCTION("""COMPUTED_VALUE"""),"děti ulice")</f>
        <v>děti ulice</v>
      </c>
      <c r="F489" s="189" t="str">
        <f>IFERROR(__xludf.DUMMYFUNCTION("""COMPUTED_VALUE"""),"Bitfix Gaming")</f>
        <v>Bitfix Gaming</v>
      </c>
      <c r="G489" s="189" t="str">
        <f>IFERROR(__xludf.DUMMYFUNCTION("""COMPUTED_VALUE"""),"Sova,Killjoy,Omen,Jett,KAY/O")</f>
        <v>Sova,Killjoy,Omen,Jett,KAY/O</v>
      </c>
      <c r="H489" s="189" t="str">
        <f>IFERROR(__xludf.DUMMYFUNCTION("""COMPUTED_VALUE"""),"Cypher,Sova,Omen,Yoru,Deadlock")</f>
        <v>Cypher,Sova,Omen,Yoru,Deadlock</v>
      </c>
      <c r="I489" s="189">
        <f>IFERROR(__xludf.DUMMYFUNCTION("""COMPUTED_VALUE"""),13.0)</f>
        <v>13</v>
      </c>
      <c r="J489" s="189">
        <f>IFERROR(__xludf.DUMMYFUNCTION("""COMPUTED_VALUE"""),5.0)</f>
        <v>5</v>
      </c>
      <c r="K489" s="189">
        <f>IFERROR(__xludf.DUMMYFUNCTION("""COMPUTED_VALUE"""),9.0)</f>
        <v>9</v>
      </c>
      <c r="L489" s="189">
        <f>IFERROR(__xludf.DUMMYFUNCTION("""COMPUTED_VALUE"""),3.0)</f>
        <v>3</v>
      </c>
      <c r="M489" s="189">
        <f>IFERROR(__xludf.DUMMYFUNCTION("""COMPUTED_VALUE"""),0.0)</f>
        <v>0</v>
      </c>
      <c r="N489" s="189">
        <f>IFERROR(__xludf.DUMMYFUNCTION("""COMPUTED_VALUE"""),1.0)</f>
        <v>1</v>
      </c>
      <c r="O489" s="189">
        <f>IFERROR(__xludf.DUMMYFUNCTION("""COMPUTED_VALUE"""),4.0)</f>
        <v>4</v>
      </c>
      <c r="P489" s="189">
        <f>IFERROR(__xludf.DUMMYFUNCTION("""COMPUTED_VALUE"""),2.0)</f>
        <v>2</v>
      </c>
      <c r="Q489" s="189">
        <f>IFERROR(__xludf.DUMMYFUNCTION("""COMPUTED_VALUE"""),9.0)</f>
        <v>9</v>
      </c>
      <c r="R489" s="189">
        <f>IFERROR(__xludf.DUMMYFUNCTION("""COMPUTED_VALUE"""),3.0)</f>
        <v>3</v>
      </c>
      <c r="S489" s="189">
        <f>IFERROR(__xludf.DUMMYFUNCTION("""COMPUTED_VALUE"""),0.0)</f>
        <v>0</v>
      </c>
      <c r="T489" s="189">
        <f>IFERROR(__xludf.DUMMYFUNCTION("""COMPUTED_VALUE"""),1.0)</f>
        <v>1</v>
      </c>
      <c r="U489" s="189">
        <f>IFERROR(__xludf.DUMMYFUNCTION("""COMPUTED_VALUE"""),3.0)</f>
        <v>3</v>
      </c>
      <c r="V489" s="189">
        <f>IFERROR(__xludf.DUMMYFUNCTION("""COMPUTED_VALUE"""),9.0)</f>
        <v>9</v>
      </c>
      <c r="W489" s="189">
        <f>IFERROR(__xludf.DUMMYFUNCTION("""COMPUTED_VALUE"""),2.0)</f>
        <v>2</v>
      </c>
      <c r="X489" s="189">
        <f>IFERROR(__xludf.DUMMYFUNCTION("""COMPUTED_VALUE"""),4.0)</f>
        <v>4</v>
      </c>
      <c r="Y489" s="208" t="str">
        <f>IFERROR(__xludf.DUMMYFUNCTION("""COMPUTED_VALUE"""),"2025-07-14T00:00:00.000Z")</f>
        <v>2025-07-14T00:00:00.000Z</v>
      </c>
      <c r="Z489" s="189" t="s">
        <v>85</v>
      </c>
      <c r="AA489" s="189" t="s">
        <v>190</v>
      </c>
    </row>
    <row r="490">
      <c r="A490" s="189">
        <f>IFERROR(__xludf.DUMMYFUNCTION("""COMPUTED_VALUE"""),209857.0)</f>
        <v>209857</v>
      </c>
      <c r="B490" s="189">
        <f>IFERROR(__xludf.DUMMYFUNCTION("""COMPUTED_VALUE"""),92319.0)</f>
        <v>92319</v>
      </c>
      <c r="C490" s="189" t="str">
        <f>IFERROR(__xludf.DUMMYFUNCTION("""COMPUTED_VALUE"""),"Challengers League 2025 NORTH EAST: Split 3 - Upper Swiss Phase")</f>
        <v>Challengers League 2025 NORTH EAST: Split 3 - Upper Swiss Phase</v>
      </c>
      <c r="D490" s="189" t="str">
        <f>IFERROR(__xludf.DUMMYFUNCTION("""COMPUTED_VALUE"""),"Sunset")</f>
        <v>Sunset</v>
      </c>
      <c r="E490" s="189" t="str">
        <f>IFERROR(__xludf.DUMMYFUNCTION("""COMPUTED_VALUE"""),"Metizport")</f>
        <v>Metizport</v>
      </c>
      <c r="F490" s="189" t="str">
        <f>IFERROR(__xludf.DUMMYFUNCTION("""COMPUTED_VALUE"""),"Enterprise Esports")</f>
        <v>Enterprise Esports</v>
      </c>
      <c r="G490" s="189" t="str">
        <f>IFERROR(__xludf.DUMMYFUNCTION("""COMPUTED_VALUE"""),"Breach,Cypher,Sova,Omen,Neon")</f>
        <v>Breach,Cypher,Sova,Omen,Neon</v>
      </c>
      <c r="H490" s="189" t="str">
        <f>IFERROR(__xludf.DUMMYFUNCTION("""COMPUTED_VALUE"""),"Cypher,Sova,Omen,KAY/O,Neon")</f>
        <v>Cypher,Sova,Omen,KAY/O,Neon</v>
      </c>
      <c r="I490" s="189">
        <f>IFERROR(__xludf.DUMMYFUNCTION("""COMPUTED_VALUE"""),13.0)</f>
        <v>13</v>
      </c>
      <c r="J490" s="189">
        <f>IFERROR(__xludf.DUMMYFUNCTION("""COMPUTED_VALUE"""),4.0)</f>
        <v>4</v>
      </c>
      <c r="K490" s="189">
        <f>IFERROR(__xludf.DUMMYFUNCTION("""COMPUTED_VALUE"""),8.0)</f>
        <v>8</v>
      </c>
      <c r="L490" s="189">
        <f>IFERROR(__xludf.DUMMYFUNCTION("""COMPUTED_VALUE"""),4.0)</f>
        <v>4</v>
      </c>
      <c r="M490" s="189">
        <f>IFERROR(__xludf.DUMMYFUNCTION("""COMPUTED_VALUE"""),0.0)</f>
        <v>0</v>
      </c>
      <c r="N490" s="189">
        <f>IFERROR(__xludf.DUMMYFUNCTION("""COMPUTED_VALUE"""),1.0)</f>
        <v>1</v>
      </c>
      <c r="O490" s="189">
        <f>IFERROR(__xludf.DUMMYFUNCTION("""COMPUTED_VALUE"""),8.0)</f>
        <v>8</v>
      </c>
      <c r="P490" s="189">
        <f>IFERROR(__xludf.DUMMYFUNCTION("""COMPUTED_VALUE"""),4.0)</f>
        <v>4</v>
      </c>
      <c r="Q490" s="189">
        <f>IFERROR(__xludf.DUMMYFUNCTION("""COMPUTED_VALUE"""),5.0)</f>
        <v>5</v>
      </c>
      <c r="R490" s="189">
        <f>IFERROR(__xludf.DUMMYFUNCTION("""COMPUTED_VALUE"""),0.0)</f>
        <v>0</v>
      </c>
      <c r="S490" s="189">
        <f>IFERROR(__xludf.DUMMYFUNCTION("""COMPUTED_VALUE"""),0.0)</f>
        <v>0</v>
      </c>
      <c r="T490" s="189">
        <f>IFERROR(__xludf.DUMMYFUNCTION("""COMPUTED_VALUE"""),1.0)</f>
        <v>1</v>
      </c>
      <c r="U490" s="189">
        <f>IFERROR(__xludf.DUMMYFUNCTION("""COMPUTED_VALUE"""),0.0)</f>
        <v>0</v>
      </c>
      <c r="V490" s="189">
        <f>IFERROR(__xludf.DUMMYFUNCTION("""COMPUTED_VALUE"""),5.0)</f>
        <v>5</v>
      </c>
      <c r="W490" s="189">
        <f>IFERROR(__xludf.DUMMYFUNCTION("""COMPUTED_VALUE"""),4.0)</f>
        <v>4</v>
      </c>
      <c r="X490" s="189">
        <f>IFERROR(__xludf.DUMMYFUNCTION("""COMPUTED_VALUE"""),8.0)</f>
        <v>8</v>
      </c>
      <c r="Y490" s="208" t="str">
        <f>IFERROR(__xludf.DUMMYFUNCTION("""COMPUTED_VALUE"""),"2025-07-14T00:00:00.000Z")</f>
        <v>2025-07-14T00:00:00.000Z</v>
      </c>
      <c r="Z490" s="189" t="s">
        <v>418</v>
      </c>
      <c r="AA490" s="189" t="s">
        <v>404</v>
      </c>
    </row>
    <row r="491">
      <c r="A491" s="189">
        <f>IFERROR(__xludf.DUMMYFUNCTION("""COMPUTED_VALUE"""),209864.0)</f>
        <v>209864</v>
      </c>
      <c r="B491" s="189">
        <f>IFERROR(__xludf.DUMMYFUNCTION("""COMPUTED_VALUE"""),92326.0)</f>
        <v>92326</v>
      </c>
      <c r="C491" s="189" t="str">
        <f>IFERROR(__xludf.DUMMYFUNCTION("""COMPUTED_VALUE"""),"Challengers League 2025 NORTH EAST: Split 3 - Upper Swiss Phase")</f>
        <v>Challengers League 2025 NORTH EAST: Split 3 - Upper Swiss Phase</v>
      </c>
      <c r="D491" s="189" t="str">
        <f>IFERROR(__xludf.DUMMYFUNCTION("""COMPUTED_VALUE"""),"Haven")</f>
        <v>Haven</v>
      </c>
      <c r="E491" s="189" t="str">
        <f>IFERROR(__xludf.DUMMYFUNCTION("""COMPUTED_VALUE"""),"Easties")</f>
        <v>Easties</v>
      </c>
      <c r="F491" s="189" t="str">
        <f>IFERROR(__xludf.DUMMYFUNCTION("""COMPUTED_VALUE"""),"Boars Gaming")</f>
        <v>Boars Gaming</v>
      </c>
      <c r="G491" s="189" t="str">
        <f>IFERROR(__xludf.DUMMYFUNCTION("""COMPUTED_VALUE"""),"Sova,Killjoy,Viper,Omen,Yoru")</f>
        <v>Sova,Killjoy,Viper,Omen,Yoru</v>
      </c>
      <c r="H491" s="189" t="str">
        <f>IFERROR(__xludf.DUMMYFUNCTION("""COMPUTED_VALUE"""),"Breach,Cypher,Sova,Omen,Neon")</f>
        <v>Breach,Cypher,Sova,Omen,Neon</v>
      </c>
      <c r="I491" s="189">
        <f>IFERROR(__xludf.DUMMYFUNCTION("""COMPUTED_VALUE"""),2.0)</f>
        <v>2</v>
      </c>
      <c r="J491" s="189">
        <f>IFERROR(__xludf.DUMMYFUNCTION("""COMPUTED_VALUE"""),13.0)</f>
        <v>13</v>
      </c>
      <c r="K491" s="189">
        <f>IFERROR(__xludf.DUMMYFUNCTION("""COMPUTED_VALUE"""),2.0)</f>
        <v>2</v>
      </c>
      <c r="L491" s="189">
        <f>IFERROR(__xludf.DUMMYFUNCTION("""COMPUTED_VALUE"""),10.0)</f>
        <v>10</v>
      </c>
      <c r="M491" s="189">
        <f>IFERROR(__xludf.DUMMYFUNCTION("""COMPUTED_VALUE"""),0.0)</f>
        <v>0</v>
      </c>
      <c r="N491" s="189">
        <f>IFERROR(__xludf.DUMMYFUNCTION("""COMPUTED_VALUE"""),0.0)</f>
        <v>0</v>
      </c>
      <c r="O491" s="189">
        <f>IFERROR(__xludf.DUMMYFUNCTION("""COMPUTED_VALUE"""),0.0)</f>
        <v>0</v>
      </c>
      <c r="P491" s="189">
        <f>IFERROR(__xludf.DUMMYFUNCTION("""COMPUTED_VALUE"""),3.0)</f>
        <v>3</v>
      </c>
      <c r="Q491" s="189">
        <f>IFERROR(__xludf.DUMMYFUNCTION("""COMPUTED_VALUE"""),2.0)</f>
        <v>2</v>
      </c>
      <c r="R491" s="189">
        <f>IFERROR(__xludf.DUMMYFUNCTION("""COMPUTED_VALUE"""),10.0)</f>
        <v>10</v>
      </c>
      <c r="S491" s="189">
        <f>IFERROR(__xludf.DUMMYFUNCTION("""COMPUTED_VALUE"""),1.0)</f>
        <v>1</v>
      </c>
      <c r="T491" s="189">
        <f>IFERROR(__xludf.DUMMYFUNCTION("""COMPUTED_VALUE"""),1.0)</f>
        <v>1</v>
      </c>
      <c r="U491" s="189">
        <f>IFERROR(__xludf.DUMMYFUNCTION("""COMPUTED_VALUE"""),10.0)</f>
        <v>10</v>
      </c>
      <c r="V491" s="189">
        <f>IFERROR(__xludf.DUMMYFUNCTION("""COMPUTED_VALUE"""),2.0)</f>
        <v>2</v>
      </c>
      <c r="W491" s="189">
        <f>IFERROR(__xludf.DUMMYFUNCTION("""COMPUTED_VALUE"""),3.0)</f>
        <v>3</v>
      </c>
      <c r="X491" s="189">
        <f>IFERROR(__xludf.DUMMYFUNCTION("""COMPUTED_VALUE"""),0.0)</f>
        <v>0</v>
      </c>
      <c r="Y491" s="208" t="str">
        <f>IFERROR(__xludf.DUMMYFUNCTION("""COMPUTED_VALUE"""),"2025-07-14T00:00:00.000Z")</f>
        <v>2025-07-14T00:00:00.000Z</v>
      </c>
      <c r="Z491" s="189" t="s">
        <v>548</v>
      </c>
      <c r="AA491" s="189" t="s">
        <v>181</v>
      </c>
    </row>
    <row r="492">
      <c r="A492" s="189">
        <f>IFERROR(__xludf.DUMMYFUNCTION("""COMPUTED_VALUE"""),209860.0)</f>
        <v>209860</v>
      </c>
      <c r="B492" s="189">
        <f>IFERROR(__xludf.DUMMYFUNCTION("""COMPUTED_VALUE"""),92322.0)</f>
        <v>92322</v>
      </c>
      <c r="C492" s="189" t="str">
        <f>IFERROR(__xludf.DUMMYFUNCTION("""COMPUTED_VALUE"""),"Challengers League 2025 NORTH EAST: Split 3 - Upper Swiss Phase")</f>
        <v>Challengers League 2025 NORTH EAST: Split 3 - Upper Swiss Phase</v>
      </c>
      <c r="D492" s="189" t="str">
        <f>IFERROR(__xludf.DUMMYFUNCTION("""COMPUTED_VALUE"""),"Lotus")</f>
        <v>Lotus</v>
      </c>
      <c r="E492" s="189" t="str">
        <f>IFERROR(__xludf.DUMMYFUNCTION("""COMPUTED_VALUE"""),"Formulation Gaming")</f>
        <v>Formulation Gaming</v>
      </c>
      <c r="F492" s="189" t="str">
        <f>IFERROR(__xludf.DUMMYFUNCTION("""COMPUTED_VALUE"""),"Team Liquid Academy")</f>
        <v>Team Liquid Academy</v>
      </c>
      <c r="G492" s="189" t="str">
        <f>IFERROR(__xludf.DUMMYFUNCTION("""COMPUTED_VALUE"""),"Cypher,Omen,Neon,Fade,Deadlock")</f>
        <v>Cypher,Omen,Neon,Fade,Deadlock</v>
      </c>
      <c r="H492" s="189" t="str">
        <f>IFERROR(__xludf.DUMMYFUNCTION("""COMPUTED_VALUE"""),"Raze,Viper,Omen,Fade,Vyse")</f>
        <v>Raze,Viper,Omen,Fade,Vyse</v>
      </c>
      <c r="I492" s="189">
        <f>IFERROR(__xludf.DUMMYFUNCTION("""COMPUTED_VALUE"""),13.0)</f>
        <v>13</v>
      </c>
      <c r="J492" s="189">
        <f>IFERROR(__xludf.DUMMYFUNCTION("""COMPUTED_VALUE"""),9.0)</f>
        <v>9</v>
      </c>
      <c r="K492" s="189">
        <f>IFERROR(__xludf.DUMMYFUNCTION("""COMPUTED_VALUE"""),8.0)</f>
        <v>8</v>
      </c>
      <c r="L492" s="189">
        <f>IFERROR(__xludf.DUMMYFUNCTION("""COMPUTED_VALUE"""),4.0)</f>
        <v>4</v>
      </c>
      <c r="M492" s="189">
        <f>IFERROR(__xludf.DUMMYFUNCTION("""COMPUTED_VALUE"""),1.0)</f>
        <v>1</v>
      </c>
      <c r="N492" s="189">
        <f>IFERROR(__xludf.DUMMYFUNCTION("""COMPUTED_VALUE"""),1.0)</f>
        <v>1</v>
      </c>
      <c r="O492" s="189">
        <f>IFERROR(__xludf.DUMMYFUNCTION("""COMPUTED_VALUE"""),8.0)</f>
        <v>8</v>
      </c>
      <c r="P492" s="189">
        <f>IFERROR(__xludf.DUMMYFUNCTION("""COMPUTED_VALUE"""),4.0)</f>
        <v>4</v>
      </c>
      <c r="Q492" s="189">
        <f>IFERROR(__xludf.DUMMYFUNCTION("""COMPUTED_VALUE"""),5.0)</f>
        <v>5</v>
      </c>
      <c r="R492" s="189">
        <f>IFERROR(__xludf.DUMMYFUNCTION("""COMPUTED_VALUE"""),5.0)</f>
        <v>5</v>
      </c>
      <c r="S492" s="189">
        <f>IFERROR(__xludf.DUMMYFUNCTION("""COMPUTED_VALUE"""),0.0)</f>
        <v>0</v>
      </c>
      <c r="T492" s="189">
        <f>IFERROR(__xludf.DUMMYFUNCTION("""COMPUTED_VALUE"""),0.0)</f>
        <v>0</v>
      </c>
      <c r="U492" s="189">
        <f>IFERROR(__xludf.DUMMYFUNCTION("""COMPUTED_VALUE"""),5.0)</f>
        <v>5</v>
      </c>
      <c r="V492" s="189">
        <f>IFERROR(__xludf.DUMMYFUNCTION("""COMPUTED_VALUE"""),5.0)</f>
        <v>5</v>
      </c>
      <c r="W492" s="189">
        <f>IFERROR(__xludf.DUMMYFUNCTION("""COMPUTED_VALUE"""),4.0)</f>
        <v>4</v>
      </c>
      <c r="X492" s="189">
        <f>IFERROR(__xludf.DUMMYFUNCTION("""COMPUTED_VALUE"""),8.0)</f>
        <v>8</v>
      </c>
      <c r="Y492" s="208" t="str">
        <f>IFERROR(__xludf.DUMMYFUNCTION("""COMPUTED_VALUE"""),"2025-07-14T00:00:00.000Z")</f>
        <v>2025-07-14T00:00:00.000Z</v>
      </c>
      <c r="Z492" s="189" t="s">
        <v>415</v>
      </c>
      <c r="AA492" s="189" t="s">
        <v>401</v>
      </c>
    </row>
    <row r="493">
      <c r="A493" s="189">
        <f>IFERROR(__xludf.DUMMYFUNCTION("""COMPUTED_VALUE"""),208389.0)</f>
        <v>208389</v>
      </c>
      <c r="B493" s="189">
        <f>IFERROR(__xludf.DUMMYFUNCTION("""COMPUTED_VALUE"""),91778.0)</f>
        <v>91778</v>
      </c>
      <c r="C493" s="189" t="str">
        <f>IFERROR(__xludf.DUMMYFUNCTION("""COMPUTED_VALUE"""),"Challengers League 2025 Türkiye Birlik: Split 3 - Group Stage")</f>
        <v>Challengers League 2025 Türkiye Birlik: Split 3 - Group Stage</v>
      </c>
      <c r="D493" s="189" t="str">
        <f>IFERROR(__xludf.DUMMYFUNCTION("""COMPUTED_VALUE"""),"Lotus")</f>
        <v>Lotus</v>
      </c>
      <c r="E493" s="189" t="str">
        <f>IFERROR(__xludf.DUMMYFUNCTION("""COMPUTED_VALUE"""),"Galatasaray Esports")</f>
        <v>Galatasaray Esports</v>
      </c>
      <c r="F493" s="189" t="str">
        <f>IFERROR(__xludf.DUMMYFUNCTION("""COMPUTED_VALUE"""),"BBL PCIFIC")</f>
        <v>BBL PCIFIC</v>
      </c>
      <c r="G493" s="189" t="str">
        <f>IFERROR(__xludf.DUMMYFUNCTION("""COMPUTED_VALUE"""),"Breach,Raze,Viper,Omen,Fade")</f>
        <v>Breach,Raze,Viper,Omen,Fade</v>
      </c>
      <c r="H493" s="189" t="str">
        <f>IFERROR(__xludf.DUMMYFUNCTION("""COMPUTED_VALUE"""),"Raze,Omen,Yoru,Fade,Vyse")</f>
        <v>Raze,Omen,Yoru,Fade,Vyse</v>
      </c>
      <c r="I493" s="189">
        <f>IFERROR(__xludf.DUMMYFUNCTION("""COMPUTED_VALUE"""),9.0)</f>
        <v>9</v>
      </c>
      <c r="J493" s="189">
        <f>IFERROR(__xludf.DUMMYFUNCTION("""COMPUTED_VALUE"""),13.0)</f>
        <v>13</v>
      </c>
      <c r="K493" s="189">
        <f>IFERROR(__xludf.DUMMYFUNCTION("""COMPUTED_VALUE"""),5.0)</f>
        <v>5</v>
      </c>
      <c r="L493" s="189">
        <f>IFERROR(__xludf.DUMMYFUNCTION("""COMPUTED_VALUE"""),7.0)</f>
        <v>7</v>
      </c>
      <c r="M493" s="189">
        <f>IFERROR(__xludf.DUMMYFUNCTION("""COMPUTED_VALUE"""),0.0)</f>
        <v>0</v>
      </c>
      <c r="N493" s="189">
        <f>IFERROR(__xludf.DUMMYFUNCTION("""COMPUTED_VALUE"""),1.0)</f>
        <v>1</v>
      </c>
      <c r="O493" s="189">
        <f>IFERROR(__xludf.DUMMYFUNCTION("""COMPUTED_VALUE"""),5.0)</f>
        <v>5</v>
      </c>
      <c r="P493" s="189">
        <f>IFERROR(__xludf.DUMMYFUNCTION("""COMPUTED_VALUE"""),7.0)</f>
        <v>7</v>
      </c>
      <c r="Q493" s="189">
        <f>IFERROR(__xludf.DUMMYFUNCTION("""COMPUTED_VALUE"""),4.0)</f>
        <v>4</v>
      </c>
      <c r="R493" s="189">
        <f>IFERROR(__xludf.DUMMYFUNCTION("""COMPUTED_VALUE"""),6.0)</f>
        <v>6</v>
      </c>
      <c r="S493" s="189">
        <f>IFERROR(__xludf.DUMMYFUNCTION("""COMPUTED_VALUE"""),0.0)</f>
        <v>0</v>
      </c>
      <c r="T493" s="189">
        <f>IFERROR(__xludf.DUMMYFUNCTION("""COMPUTED_VALUE"""),1.0)</f>
        <v>1</v>
      </c>
      <c r="U493" s="189">
        <f>IFERROR(__xludf.DUMMYFUNCTION("""COMPUTED_VALUE"""),6.0)</f>
        <v>6</v>
      </c>
      <c r="V493" s="189">
        <f>IFERROR(__xludf.DUMMYFUNCTION("""COMPUTED_VALUE"""),4.0)</f>
        <v>4</v>
      </c>
      <c r="W493" s="189">
        <f>IFERROR(__xludf.DUMMYFUNCTION("""COMPUTED_VALUE"""),7.0)</f>
        <v>7</v>
      </c>
      <c r="X493" s="189">
        <f>IFERROR(__xludf.DUMMYFUNCTION("""COMPUTED_VALUE"""),5.0)</f>
        <v>5</v>
      </c>
      <c r="Y493" s="208" t="str">
        <f>IFERROR(__xludf.DUMMYFUNCTION("""COMPUTED_VALUE"""),"2025-07-13T00:00:00.000Z")</f>
        <v>2025-07-13T00:00:00.000Z</v>
      </c>
      <c r="Z493" s="189" t="s">
        <v>505</v>
      </c>
      <c r="AA493" s="189" t="s">
        <v>186</v>
      </c>
    </row>
    <row r="494">
      <c r="A494" s="189">
        <f>IFERROR(__xludf.DUMMYFUNCTION("""COMPUTED_VALUE"""),208388.0)</f>
        <v>208388</v>
      </c>
      <c r="B494" s="189">
        <f>IFERROR(__xludf.DUMMYFUNCTION("""COMPUTED_VALUE"""),91778.0)</f>
        <v>91778</v>
      </c>
      <c r="C494" s="189" t="str">
        <f>IFERROR(__xludf.DUMMYFUNCTION("""COMPUTED_VALUE"""),"Challengers League 2025 Türkiye Birlik: Split 3 - Group Stage")</f>
        <v>Challengers League 2025 Türkiye Birlik: Split 3 - Group Stage</v>
      </c>
      <c r="D494" s="189" t="str">
        <f>IFERROR(__xludf.DUMMYFUNCTION("""COMPUTED_VALUE"""),"Sunset")</f>
        <v>Sunset</v>
      </c>
      <c r="E494" s="189" t="str">
        <f>IFERROR(__xludf.DUMMYFUNCTION("""COMPUTED_VALUE"""),"Galatasaray Esports")</f>
        <v>Galatasaray Esports</v>
      </c>
      <c r="F494" s="189" t="str">
        <f>IFERROR(__xludf.DUMMYFUNCTION("""COMPUTED_VALUE"""),"BBL PCIFIC")</f>
        <v>BBL PCIFIC</v>
      </c>
      <c r="G494" s="189" t="str">
        <f>IFERROR(__xludf.DUMMYFUNCTION("""COMPUTED_VALUE"""),"Cypher,Sova,Viper,Omen,Waylay")</f>
        <v>Cypher,Sova,Viper,Omen,Waylay</v>
      </c>
      <c r="H494" s="189" t="str">
        <f>IFERROR(__xludf.DUMMYFUNCTION("""COMPUTED_VALUE"""),"Breach,Cypher,Sova,Omen,Neon")</f>
        <v>Breach,Cypher,Sova,Omen,Neon</v>
      </c>
      <c r="I494" s="189">
        <f>IFERROR(__xludf.DUMMYFUNCTION("""COMPUTED_VALUE"""),12.0)</f>
        <v>12</v>
      </c>
      <c r="J494" s="189">
        <f>IFERROR(__xludf.DUMMYFUNCTION("""COMPUTED_VALUE"""),14.0)</f>
        <v>14</v>
      </c>
      <c r="K494" s="189">
        <f>IFERROR(__xludf.DUMMYFUNCTION("""COMPUTED_VALUE"""),6.0)</f>
        <v>6</v>
      </c>
      <c r="L494" s="189">
        <f>IFERROR(__xludf.DUMMYFUNCTION("""COMPUTED_VALUE"""),6.0)</f>
        <v>6</v>
      </c>
      <c r="M494" s="189">
        <f>IFERROR(__xludf.DUMMYFUNCTION("""COMPUTED_VALUE"""),1.0)</f>
        <v>1</v>
      </c>
      <c r="N494" s="189">
        <f>IFERROR(__xludf.DUMMYFUNCTION("""COMPUTED_VALUE"""),1.0)</f>
        <v>1</v>
      </c>
      <c r="O494" s="189">
        <f>IFERROR(__xludf.DUMMYFUNCTION("""COMPUTED_VALUE"""),6.0)</f>
        <v>6</v>
      </c>
      <c r="P494" s="189">
        <f>IFERROR(__xludf.DUMMYFUNCTION("""COMPUTED_VALUE"""),7.0)</f>
        <v>7</v>
      </c>
      <c r="Q494" s="189">
        <f>IFERROR(__xludf.DUMMYFUNCTION("""COMPUTED_VALUE"""),6.0)</f>
        <v>6</v>
      </c>
      <c r="R494" s="189">
        <f>IFERROR(__xludf.DUMMYFUNCTION("""COMPUTED_VALUE"""),7.0)</f>
        <v>7</v>
      </c>
      <c r="S494" s="189">
        <f>IFERROR(__xludf.DUMMYFUNCTION("""COMPUTED_VALUE"""),0.0)</f>
        <v>0</v>
      </c>
      <c r="T494" s="189">
        <f>IFERROR(__xludf.DUMMYFUNCTION("""COMPUTED_VALUE"""),0.0)</f>
        <v>0</v>
      </c>
      <c r="U494" s="189">
        <f>IFERROR(__xludf.DUMMYFUNCTION("""COMPUTED_VALUE"""),7.0)</f>
        <v>7</v>
      </c>
      <c r="V494" s="189">
        <f>IFERROR(__xludf.DUMMYFUNCTION("""COMPUTED_VALUE"""),6.0)</f>
        <v>6</v>
      </c>
      <c r="W494" s="189">
        <f>IFERROR(__xludf.DUMMYFUNCTION("""COMPUTED_VALUE"""),7.0)</f>
        <v>7</v>
      </c>
      <c r="X494" s="189">
        <f>IFERROR(__xludf.DUMMYFUNCTION("""COMPUTED_VALUE"""),6.0)</f>
        <v>6</v>
      </c>
      <c r="Y494" s="208" t="str">
        <f>IFERROR(__xludf.DUMMYFUNCTION("""COMPUTED_VALUE"""),"2025-07-13T00:00:00.000Z")</f>
        <v>2025-07-13T00:00:00.000Z</v>
      </c>
      <c r="Z494" s="189" t="s">
        <v>549</v>
      </c>
      <c r="AA494" s="189" t="s">
        <v>186</v>
      </c>
    </row>
    <row r="495">
      <c r="A495" s="189">
        <f>IFERROR(__xludf.DUMMYFUNCTION("""COMPUTED_VALUE"""),209540.0)</f>
        <v>209540</v>
      </c>
      <c r="B495" s="189">
        <f>IFERROR(__xludf.DUMMYFUNCTION("""COMPUTED_VALUE"""),92193.0)</f>
        <v>92193</v>
      </c>
      <c r="C495" s="189" t="str">
        <f>IFERROR(__xludf.DUMMYFUNCTION("""COMPUTED_VALUE"""),"Challengers 2025: France Revolution Split 3 - Group Stage")</f>
        <v>Challengers 2025: France Revolution Split 3 - Group Stage</v>
      </c>
      <c r="D495" s="189" t="str">
        <f>IFERROR(__xludf.DUMMYFUNCTION("""COMPUTED_VALUE"""),"Ascent")</f>
        <v>Ascent</v>
      </c>
      <c r="E495" s="189" t="str">
        <f>IFERROR(__xludf.DUMMYFUNCTION("""COMPUTED_VALUE"""),"F9 EICAR")</f>
        <v>F9 EICAR</v>
      </c>
      <c r="F495" s="189" t="str">
        <f>IFERROR(__xludf.DUMMYFUNCTION("""COMPUTED_VALUE"""),"Mandatory")</f>
        <v>Mandatory</v>
      </c>
      <c r="G495" s="189" t="str">
        <f>IFERROR(__xludf.DUMMYFUNCTION("""COMPUTED_VALUE"""),"Cypher,Sova,Omen,Yoru,Deadlock")</f>
        <v>Cypher,Sova,Omen,Yoru,Deadlock</v>
      </c>
      <c r="H495" s="189" t="str">
        <f>IFERROR(__xludf.DUMMYFUNCTION("""COMPUTED_VALUE"""),"Sova,Viper,Omen,Yoru,Deadlock")</f>
        <v>Sova,Viper,Omen,Yoru,Deadlock</v>
      </c>
      <c r="I495" s="189">
        <f>IFERROR(__xludf.DUMMYFUNCTION("""COMPUTED_VALUE"""),12.0)</f>
        <v>12</v>
      </c>
      <c r="J495" s="189">
        <f>IFERROR(__xludf.DUMMYFUNCTION("""COMPUTED_VALUE"""),14.0)</f>
        <v>14</v>
      </c>
      <c r="K495" s="189">
        <f>IFERROR(__xludf.DUMMYFUNCTION("""COMPUTED_VALUE"""),5.0)</f>
        <v>5</v>
      </c>
      <c r="L495" s="189">
        <f>IFERROR(__xludf.DUMMYFUNCTION("""COMPUTED_VALUE"""),7.0)</f>
        <v>7</v>
      </c>
      <c r="M495" s="189">
        <f>IFERROR(__xludf.DUMMYFUNCTION("""COMPUTED_VALUE"""),1.0)</f>
        <v>1</v>
      </c>
      <c r="N495" s="189">
        <f>IFERROR(__xludf.DUMMYFUNCTION("""COMPUTED_VALUE"""),0.0)</f>
        <v>0</v>
      </c>
      <c r="O495" s="189">
        <f>IFERROR(__xludf.DUMMYFUNCTION("""COMPUTED_VALUE"""),5.0)</f>
        <v>5</v>
      </c>
      <c r="P495" s="189">
        <f>IFERROR(__xludf.DUMMYFUNCTION("""COMPUTED_VALUE"""),8.0)</f>
        <v>8</v>
      </c>
      <c r="Q495" s="189">
        <f>IFERROR(__xludf.DUMMYFUNCTION("""COMPUTED_VALUE"""),7.0)</f>
        <v>7</v>
      </c>
      <c r="R495" s="189">
        <f>IFERROR(__xludf.DUMMYFUNCTION("""COMPUTED_VALUE"""),6.0)</f>
        <v>6</v>
      </c>
      <c r="S495" s="189">
        <f>IFERROR(__xludf.DUMMYFUNCTION("""COMPUTED_VALUE"""),1.0)</f>
        <v>1</v>
      </c>
      <c r="T495" s="189">
        <f>IFERROR(__xludf.DUMMYFUNCTION("""COMPUTED_VALUE"""),0.0)</f>
        <v>0</v>
      </c>
      <c r="U495" s="189">
        <f>IFERROR(__xludf.DUMMYFUNCTION("""COMPUTED_VALUE"""),6.0)</f>
        <v>6</v>
      </c>
      <c r="V495" s="189">
        <f>IFERROR(__xludf.DUMMYFUNCTION("""COMPUTED_VALUE"""),7.0)</f>
        <v>7</v>
      </c>
      <c r="W495" s="189">
        <f>IFERROR(__xludf.DUMMYFUNCTION("""COMPUTED_VALUE"""),8.0)</f>
        <v>8</v>
      </c>
      <c r="X495" s="189">
        <f>IFERROR(__xludf.DUMMYFUNCTION("""COMPUTED_VALUE"""),5.0)</f>
        <v>5</v>
      </c>
      <c r="Y495" s="208" t="str">
        <f>IFERROR(__xludf.DUMMYFUNCTION("""COMPUTED_VALUE"""),"2025-07-13T00:00:00.000Z")</f>
        <v>2025-07-13T00:00:00.000Z</v>
      </c>
      <c r="Z495" s="189" t="s">
        <v>550</v>
      </c>
      <c r="AA495" s="189" t="s">
        <v>189</v>
      </c>
    </row>
    <row r="496">
      <c r="A496" s="189">
        <f>IFERROR(__xludf.DUMMYFUNCTION("""COMPUTED_VALUE"""),209528.0)</f>
        <v>209528</v>
      </c>
      <c r="B496" s="189">
        <f>IFERROR(__xludf.DUMMYFUNCTION("""COMPUTED_VALUE"""),92189.0)</f>
        <v>92189</v>
      </c>
      <c r="C496" s="189" t="str">
        <f>IFERROR(__xludf.DUMMYFUNCTION("""COMPUTED_VALUE"""),"Challengers League 2025 DACH: Evolution Stage 3 - Group Stage")</f>
        <v>Challengers League 2025 DACH: Evolution Stage 3 - Group Stage</v>
      </c>
      <c r="D496" s="189" t="str">
        <f>IFERROR(__xludf.DUMMYFUNCTION("""COMPUTED_VALUE"""),"Icebox")</f>
        <v>Icebox</v>
      </c>
      <c r="E496" s="189" t="str">
        <f>IFERROR(__xludf.DUMMYFUNCTION("""COMPUTED_VALUE"""),"RIZON")</f>
        <v>RIZON</v>
      </c>
      <c r="F496" s="189" t="str">
        <f>IFERROR(__xludf.DUMMYFUNCTION("""COMPUTED_VALUE"""),"MOUZ")</f>
        <v>MOUZ</v>
      </c>
      <c r="G496" s="189" t="str">
        <f>IFERROR(__xludf.DUMMYFUNCTION("""COMPUTED_VALUE"""),"Sova,Killjoy,Viper,Neon,Gekko")</f>
        <v>Sova,Killjoy,Viper,Neon,Gekko</v>
      </c>
      <c r="H496" s="189" t="str">
        <f>IFERROR(__xludf.DUMMYFUNCTION("""COMPUTED_VALUE"""),"Sova,Killjoy,Viper,Jett,KAY/O")</f>
        <v>Sova,Killjoy,Viper,Jett,KAY/O</v>
      </c>
      <c r="I496" s="189">
        <f>IFERROR(__xludf.DUMMYFUNCTION("""COMPUTED_VALUE"""),6.0)</f>
        <v>6</v>
      </c>
      <c r="J496" s="189">
        <f>IFERROR(__xludf.DUMMYFUNCTION("""COMPUTED_VALUE"""),13.0)</f>
        <v>13</v>
      </c>
      <c r="K496" s="189">
        <f>IFERROR(__xludf.DUMMYFUNCTION("""COMPUTED_VALUE"""),5.0)</f>
        <v>5</v>
      </c>
      <c r="L496" s="189">
        <f>IFERROR(__xludf.DUMMYFUNCTION("""COMPUTED_VALUE"""),7.0)</f>
        <v>7</v>
      </c>
      <c r="M496" s="189">
        <f>IFERROR(__xludf.DUMMYFUNCTION("""COMPUTED_VALUE"""),1.0)</f>
        <v>1</v>
      </c>
      <c r="N496" s="189">
        <f>IFERROR(__xludf.DUMMYFUNCTION("""COMPUTED_VALUE"""),0.0)</f>
        <v>0</v>
      </c>
      <c r="O496" s="189">
        <f>IFERROR(__xludf.DUMMYFUNCTION("""COMPUTED_VALUE"""),5.0)</f>
        <v>5</v>
      </c>
      <c r="P496" s="189">
        <f>IFERROR(__xludf.DUMMYFUNCTION("""COMPUTED_VALUE"""),7.0)</f>
        <v>7</v>
      </c>
      <c r="Q496" s="189">
        <f>IFERROR(__xludf.DUMMYFUNCTION("""COMPUTED_VALUE"""),1.0)</f>
        <v>1</v>
      </c>
      <c r="R496" s="189">
        <f>IFERROR(__xludf.DUMMYFUNCTION("""COMPUTED_VALUE"""),6.0)</f>
        <v>6</v>
      </c>
      <c r="S496" s="189">
        <f>IFERROR(__xludf.DUMMYFUNCTION("""COMPUTED_VALUE"""),1.0)</f>
        <v>1</v>
      </c>
      <c r="T496" s="189">
        <f>IFERROR(__xludf.DUMMYFUNCTION("""COMPUTED_VALUE"""),0.0)</f>
        <v>0</v>
      </c>
      <c r="U496" s="189">
        <f>IFERROR(__xludf.DUMMYFUNCTION("""COMPUTED_VALUE"""),6.0)</f>
        <v>6</v>
      </c>
      <c r="V496" s="189">
        <f>IFERROR(__xludf.DUMMYFUNCTION("""COMPUTED_VALUE"""),1.0)</f>
        <v>1</v>
      </c>
      <c r="W496" s="189">
        <f>IFERROR(__xludf.DUMMYFUNCTION("""COMPUTED_VALUE"""),7.0)</f>
        <v>7</v>
      </c>
      <c r="X496" s="189">
        <f>IFERROR(__xludf.DUMMYFUNCTION("""COMPUTED_VALUE"""),5.0)</f>
        <v>5</v>
      </c>
      <c r="Y496" s="208" t="str">
        <f>IFERROR(__xludf.DUMMYFUNCTION("""COMPUTED_VALUE"""),"2025-07-13T00:00:00.000Z")</f>
        <v>2025-07-13T00:00:00.000Z</v>
      </c>
      <c r="Z496" s="189" t="s">
        <v>551</v>
      </c>
      <c r="AA496" s="189" t="s">
        <v>180</v>
      </c>
    </row>
    <row r="497">
      <c r="A497" s="189">
        <f>IFERROR(__xludf.DUMMYFUNCTION("""COMPUTED_VALUE"""),209348.0)</f>
        <v>209348</v>
      </c>
      <c r="B497" s="189">
        <f>IFERROR(__xludf.DUMMYFUNCTION("""COMPUTED_VALUE"""),92128.0)</f>
        <v>92128</v>
      </c>
      <c r="C497" s="189" t="str">
        <f>IFERROR(__xludf.DUMMYFUNCTION("""COMPUTED_VALUE"""),"Challengers League 2025 NORTH EAST: Split 3 - Upper Swiss Phase")</f>
        <v>Challengers League 2025 NORTH EAST: Split 3 - Upper Swiss Phase</v>
      </c>
      <c r="D497" s="189" t="str">
        <f>IFERROR(__xludf.DUMMYFUNCTION("""COMPUTED_VALUE"""),"Sunset")</f>
        <v>Sunset</v>
      </c>
      <c r="E497" s="189" t="str">
        <f>IFERROR(__xludf.DUMMYFUNCTION("""COMPUTED_VALUE"""),"Boars Gaming")</f>
        <v>Boars Gaming</v>
      </c>
      <c r="F497" s="189" t="str">
        <f>IFERROR(__xludf.DUMMYFUNCTION("""COMPUTED_VALUE"""),"Formulation Gaming")</f>
        <v>Formulation Gaming</v>
      </c>
      <c r="G497" s="189" t="str">
        <f>IFERROR(__xludf.DUMMYFUNCTION("""COMPUTED_VALUE"""),"Cypher,Sova,Omen,KAY/O,Neon")</f>
        <v>Cypher,Sova,Omen,KAY/O,Neon</v>
      </c>
      <c r="H497" s="189" t="str">
        <f>IFERROR(__xludf.DUMMYFUNCTION("""COMPUTED_VALUE"""),"Cypher,Sova,Viper,Omen,Neon")</f>
        <v>Cypher,Sova,Viper,Omen,Neon</v>
      </c>
      <c r="I497" s="189">
        <f>IFERROR(__xludf.DUMMYFUNCTION("""COMPUTED_VALUE"""),2.0)</f>
        <v>2</v>
      </c>
      <c r="J497" s="189">
        <f>IFERROR(__xludf.DUMMYFUNCTION("""COMPUTED_VALUE"""),13.0)</f>
        <v>13</v>
      </c>
      <c r="K497" s="189">
        <f>IFERROR(__xludf.DUMMYFUNCTION("""COMPUTED_VALUE"""),2.0)</f>
        <v>2</v>
      </c>
      <c r="L497" s="189">
        <f>IFERROR(__xludf.DUMMYFUNCTION("""COMPUTED_VALUE"""),10.0)</f>
        <v>10</v>
      </c>
      <c r="M497" s="189">
        <f>IFERROR(__xludf.DUMMYFUNCTION("""COMPUTED_VALUE"""),0.0)</f>
        <v>0</v>
      </c>
      <c r="N497" s="189">
        <f>IFERROR(__xludf.DUMMYFUNCTION("""COMPUTED_VALUE"""),0.0)</f>
        <v>0</v>
      </c>
      <c r="O497" s="189">
        <f>IFERROR(__xludf.DUMMYFUNCTION("""COMPUTED_VALUE"""),2.0)</f>
        <v>2</v>
      </c>
      <c r="P497" s="189">
        <f>IFERROR(__xludf.DUMMYFUNCTION("""COMPUTED_VALUE"""),10.0)</f>
        <v>10</v>
      </c>
      <c r="Q497" s="189">
        <f>IFERROR(__xludf.DUMMYFUNCTION("""COMPUTED_VALUE"""),0.0)</f>
        <v>0</v>
      </c>
      <c r="R497" s="189">
        <f>IFERROR(__xludf.DUMMYFUNCTION("""COMPUTED_VALUE"""),3.0)</f>
        <v>3</v>
      </c>
      <c r="S497" s="189">
        <f>IFERROR(__xludf.DUMMYFUNCTION("""COMPUTED_VALUE"""),1.0)</f>
        <v>1</v>
      </c>
      <c r="T497" s="189">
        <f>IFERROR(__xludf.DUMMYFUNCTION("""COMPUTED_VALUE"""),1.0)</f>
        <v>1</v>
      </c>
      <c r="U497" s="189">
        <f>IFERROR(__xludf.DUMMYFUNCTION("""COMPUTED_VALUE"""),3.0)</f>
        <v>3</v>
      </c>
      <c r="V497" s="189">
        <f>IFERROR(__xludf.DUMMYFUNCTION("""COMPUTED_VALUE"""),0.0)</f>
        <v>0</v>
      </c>
      <c r="W497" s="189">
        <f>IFERROR(__xludf.DUMMYFUNCTION("""COMPUTED_VALUE"""),10.0)</f>
        <v>10</v>
      </c>
      <c r="X497" s="189">
        <f>IFERROR(__xludf.DUMMYFUNCTION("""COMPUTED_VALUE"""),2.0)</f>
        <v>2</v>
      </c>
      <c r="Y497" s="208" t="str">
        <f>IFERROR(__xludf.DUMMYFUNCTION("""COMPUTED_VALUE"""),"2025-07-13T00:00:00.000Z")</f>
        <v>2025-07-13T00:00:00.000Z</v>
      </c>
      <c r="Z497" s="189" t="s">
        <v>84</v>
      </c>
      <c r="AA497" s="189" t="s">
        <v>401</v>
      </c>
    </row>
    <row r="498">
      <c r="A498" s="189">
        <f>IFERROR(__xludf.DUMMYFUNCTION("""COMPUTED_VALUE"""),209539.0)</f>
        <v>209539</v>
      </c>
      <c r="B498" s="189">
        <f>IFERROR(__xludf.DUMMYFUNCTION("""COMPUTED_VALUE"""),92193.0)</f>
        <v>92193</v>
      </c>
      <c r="C498" s="189" t="str">
        <f>IFERROR(__xludf.DUMMYFUNCTION("""COMPUTED_VALUE"""),"Challengers 2025: France Revolution Split 3 - Group Stage")</f>
        <v>Challengers 2025: France Revolution Split 3 - Group Stage</v>
      </c>
      <c r="D498" s="189" t="str">
        <f>IFERROR(__xludf.DUMMYFUNCTION("""COMPUTED_VALUE"""),"Haven")</f>
        <v>Haven</v>
      </c>
      <c r="E498" s="189" t="str">
        <f>IFERROR(__xludf.DUMMYFUNCTION("""COMPUTED_VALUE"""),"F9 EICAR")</f>
        <v>F9 EICAR</v>
      </c>
      <c r="F498" s="189" t="str">
        <f>IFERROR(__xludf.DUMMYFUNCTION("""COMPUTED_VALUE"""),"Mandatory")</f>
        <v>Mandatory</v>
      </c>
      <c r="G498" s="189" t="str">
        <f>IFERROR(__xludf.DUMMYFUNCTION("""COMPUTED_VALUE"""),"Breach,Cypher,Sova,Omen,Jett")</f>
        <v>Breach,Cypher,Sova,Omen,Jett</v>
      </c>
      <c r="H498" s="189" t="str">
        <f>IFERROR(__xludf.DUMMYFUNCTION("""COMPUTED_VALUE"""),"Cypher,Sova,Omen,Yoru,Iso")</f>
        <v>Cypher,Sova,Omen,Yoru,Iso</v>
      </c>
      <c r="I498" s="189">
        <f>IFERROR(__xludf.DUMMYFUNCTION("""COMPUTED_VALUE"""),7.0)</f>
        <v>7</v>
      </c>
      <c r="J498" s="189">
        <f>IFERROR(__xludf.DUMMYFUNCTION("""COMPUTED_VALUE"""),13.0)</f>
        <v>13</v>
      </c>
      <c r="K498" s="189">
        <f>IFERROR(__xludf.DUMMYFUNCTION("""COMPUTED_VALUE"""),5.0)</f>
        <v>5</v>
      </c>
      <c r="L498" s="189">
        <f>IFERROR(__xludf.DUMMYFUNCTION("""COMPUTED_VALUE"""),7.0)</f>
        <v>7</v>
      </c>
      <c r="M498" s="189">
        <f>IFERROR(__xludf.DUMMYFUNCTION("""COMPUTED_VALUE"""),0.0)</f>
        <v>0</v>
      </c>
      <c r="N498" s="189">
        <f>IFERROR(__xludf.DUMMYFUNCTION("""COMPUTED_VALUE"""),1.0)</f>
        <v>1</v>
      </c>
      <c r="O498" s="189">
        <f>IFERROR(__xludf.DUMMYFUNCTION("""COMPUTED_VALUE"""),2.0)</f>
        <v>2</v>
      </c>
      <c r="P498" s="189">
        <f>IFERROR(__xludf.DUMMYFUNCTION("""COMPUTED_VALUE"""),6.0)</f>
        <v>6</v>
      </c>
      <c r="Q498" s="189">
        <f>IFERROR(__xludf.DUMMYFUNCTION("""COMPUTED_VALUE"""),5.0)</f>
        <v>5</v>
      </c>
      <c r="R498" s="189">
        <f>IFERROR(__xludf.DUMMYFUNCTION("""COMPUTED_VALUE"""),7.0)</f>
        <v>7</v>
      </c>
      <c r="S498" s="189">
        <f>IFERROR(__xludf.DUMMYFUNCTION("""COMPUTED_VALUE"""),0.0)</f>
        <v>0</v>
      </c>
      <c r="T498" s="189">
        <f>IFERROR(__xludf.DUMMYFUNCTION("""COMPUTED_VALUE"""),1.0)</f>
        <v>1</v>
      </c>
      <c r="U498" s="189">
        <f>IFERROR(__xludf.DUMMYFUNCTION("""COMPUTED_VALUE"""),7.0)</f>
        <v>7</v>
      </c>
      <c r="V498" s="189">
        <f>IFERROR(__xludf.DUMMYFUNCTION("""COMPUTED_VALUE"""),5.0)</f>
        <v>5</v>
      </c>
      <c r="W498" s="189">
        <f>IFERROR(__xludf.DUMMYFUNCTION("""COMPUTED_VALUE"""),6.0)</f>
        <v>6</v>
      </c>
      <c r="X498" s="189">
        <f>IFERROR(__xludf.DUMMYFUNCTION("""COMPUTED_VALUE"""),2.0)</f>
        <v>2</v>
      </c>
      <c r="Y498" s="208" t="str">
        <f>IFERROR(__xludf.DUMMYFUNCTION("""COMPUTED_VALUE"""),"2025-07-13T00:00:00.000Z")</f>
        <v>2025-07-13T00:00:00.000Z</v>
      </c>
      <c r="Z498" s="189" t="s">
        <v>552</v>
      </c>
      <c r="AA498" s="189" t="s">
        <v>189</v>
      </c>
    </row>
    <row r="499">
      <c r="A499" s="189">
        <f>IFERROR(__xludf.DUMMYFUNCTION("""COMPUTED_VALUE"""),209527.0)</f>
        <v>209527</v>
      </c>
      <c r="B499" s="189">
        <f>IFERROR(__xludf.DUMMYFUNCTION("""COMPUTED_VALUE"""),92189.0)</f>
        <v>92189</v>
      </c>
      <c r="C499" s="189" t="str">
        <f>IFERROR(__xludf.DUMMYFUNCTION("""COMPUTED_VALUE"""),"Challengers League 2025 DACH: Evolution Stage 3 - Group Stage")</f>
        <v>Challengers League 2025 DACH: Evolution Stage 3 - Group Stage</v>
      </c>
      <c r="D499" s="189" t="str">
        <f>IFERROR(__xludf.DUMMYFUNCTION("""COMPUTED_VALUE"""),"Haven")</f>
        <v>Haven</v>
      </c>
      <c r="E499" s="189" t="str">
        <f>IFERROR(__xludf.DUMMYFUNCTION("""COMPUTED_VALUE"""),"RIZON")</f>
        <v>RIZON</v>
      </c>
      <c r="F499" s="189" t="str">
        <f>IFERROR(__xludf.DUMMYFUNCTION("""COMPUTED_VALUE"""),"MOUZ")</f>
        <v>MOUZ</v>
      </c>
      <c r="G499" s="189" t="str">
        <f>IFERROR(__xludf.DUMMYFUNCTION("""COMPUTED_VALUE"""),"Sova,Killjoy,Viper,Omen,Neon")</f>
        <v>Sova,Killjoy,Viper,Omen,Neon</v>
      </c>
      <c r="H499" s="189" t="str">
        <f>IFERROR(__xludf.DUMMYFUNCTION("""COMPUTED_VALUE"""),"Cypher,Sova,Omen,Yoru,Iso")</f>
        <v>Cypher,Sova,Omen,Yoru,Iso</v>
      </c>
      <c r="I499" s="189">
        <f>IFERROR(__xludf.DUMMYFUNCTION("""COMPUTED_VALUE"""),3.0)</f>
        <v>3</v>
      </c>
      <c r="J499" s="189">
        <f>IFERROR(__xludf.DUMMYFUNCTION("""COMPUTED_VALUE"""),13.0)</f>
        <v>13</v>
      </c>
      <c r="K499" s="189">
        <f>IFERROR(__xludf.DUMMYFUNCTION("""COMPUTED_VALUE"""),3.0)</f>
        <v>3</v>
      </c>
      <c r="L499" s="189">
        <f>IFERROR(__xludf.DUMMYFUNCTION("""COMPUTED_VALUE"""),9.0)</f>
        <v>9</v>
      </c>
      <c r="M499" s="189">
        <f>IFERROR(__xludf.DUMMYFUNCTION("""COMPUTED_VALUE"""),0.0)</f>
        <v>0</v>
      </c>
      <c r="N499" s="189">
        <f>IFERROR(__xludf.DUMMYFUNCTION("""COMPUTED_VALUE"""),0.0)</f>
        <v>0</v>
      </c>
      <c r="O499" s="189">
        <f>IFERROR(__xludf.DUMMYFUNCTION("""COMPUTED_VALUE"""),3.0)</f>
        <v>3</v>
      </c>
      <c r="P499" s="189">
        <f>IFERROR(__xludf.DUMMYFUNCTION("""COMPUTED_VALUE"""),9.0)</f>
        <v>9</v>
      </c>
      <c r="Q499" s="189">
        <f>IFERROR(__xludf.DUMMYFUNCTION("""COMPUTED_VALUE"""),0.0)</f>
        <v>0</v>
      </c>
      <c r="R499" s="189">
        <f>IFERROR(__xludf.DUMMYFUNCTION("""COMPUTED_VALUE"""),4.0)</f>
        <v>4</v>
      </c>
      <c r="S499" s="189">
        <f>IFERROR(__xludf.DUMMYFUNCTION("""COMPUTED_VALUE"""),1.0)</f>
        <v>1</v>
      </c>
      <c r="T499" s="189">
        <f>IFERROR(__xludf.DUMMYFUNCTION("""COMPUTED_VALUE"""),1.0)</f>
        <v>1</v>
      </c>
      <c r="U499" s="189">
        <f>IFERROR(__xludf.DUMMYFUNCTION("""COMPUTED_VALUE"""),4.0)</f>
        <v>4</v>
      </c>
      <c r="V499" s="189">
        <f>IFERROR(__xludf.DUMMYFUNCTION("""COMPUTED_VALUE"""),0.0)</f>
        <v>0</v>
      </c>
      <c r="W499" s="189">
        <f>IFERROR(__xludf.DUMMYFUNCTION("""COMPUTED_VALUE"""),9.0)</f>
        <v>9</v>
      </c>
      <c r="X499" s="189">
        <f>IFERROR(__xludf.DUMMYFUNCTION("""COMPUTED_VALUE"""),3.0)</f>
        <v>3</v>
      </c>
      <c r="Y499" s="208" t="str">
        <f>IFERROR(__xludf.DUMMYFUNCTION("""COMPUTED_VALUE"""),"2025-07-13T00:00:00.000Z")</f>
        <v>2025-07-13T00:00:00.000Z</v>
      </c>
      <c r="Z499" s="189" t="s">
        <v>403</v>
      </c>
      <c r="AA499" s="189" t="s">
        <v>180</v>
      </c>
    </row>
    <row r="500">
      <c r="A500" s="189">
        <f>IFERROR(__xludf.DUMMYFUNCTION("""COMPUTED_VALUE"""),209347.0)</f>
        <v>209347</v>
      </c>
      <c r="B500" s="189">
        <f>IFERROR(__xludf.DUMMYFUNCTION("""COMPUTED_VALUE"""),92127.0)</f>
        <v>92127</v>
      </c>
      <c r="C500" s="189" t="str">
        <f>IFERROR(__xludf.DUMMYFUNCTION("""COMPUTED_VALUE"""),"Challengers League 2025 NORTH EAST: Split 3 - Upper Swiss Phase")</f>
        <v>Challengers League 2025 NORTH EAST: Split 3 - Upper Swiss Phase</v>
      </c>
      <c r="D500" s="189" t="str">
        <f>IFERROR(__xludf.DUMMYFUNCTION("""COMPUTED_VALUE"""),"Ascent")</f>
        <v>Ascent</v>
      </c>
      <c r="E500" s="189" t="str">
        <f>IFERROR(__xludf.DUMMYFUNCTION("""COMPUTED_VALUE"""),"Easties")</f>
        <v>Easties</v>
      </c>
      <c r="F500" s="189" t="str">
        <f>IFERROR(__xludf.DUMMYFUNCTION("""COMPUTED_VALUE"""),"Team Liquid Academy")</f>
        <v>Team Liquid Academy</v>
      </c>
      <c r="G500" s="189" t="str">
        <f>IFERROR(__xludf.DUMMYFUNCTION("""COMPUTED_VALUE"""),"Cypher,Sova,Omen,Yoru,Deadlock")</f>
        <v>Cypher,Sova,Omen,Yoru,Deadlock</v>
      </c>
      <c r="H500" s="189" t="str">
        <f>IFERROR(__xludf.DUMMYFUNCTION("""COMPUTED_VALUE"""),"Sova,Omen,Yoru,Vyse,Waylay")</f>
        <v>Sova,Omen,Yoru,Vyse,Waylay</v>
      </c>
      <c r="I500" s="189">
        <f>IFERROR(__xludf.DUMMYFUNCTION("""COMPUTED_VALUE"""),0.0)</f>
        <v>0</v>
      </c>
      <c r="J500" s="189">
        <f>IFERROR(__xludf.DUMMYFUNCTION("""COMPUTED_VALUE"""),13.0)</f>
        <v>13</v>
      </c>
      <c r="K500" s="189">
        <f>IFERROR(__xludf.DUMMYFUNCTION("""COMPUTED_VALUE"""),0.0)</f>
        <v>0</v>
      </c>
      <c r="L500" s="189">
        <f>IFERROR(__xludf.DUMMYFUNCTION("""COMPUTED_VALUE"""),12.0)</f>
        <v>12</v>
      </c>
      <c r="M500" s="189">
        <f>IFERROR(__xludf.DUMMYFUNCTION("""COMPUTED_VALUE"""),0.0)</f>
        <v>0</v>
      </c>
      <c r="N500" s="189">
        <f>IFERROR(__xludf.DUMMYFUNCTION("""COMPUTED_VALUE"""),0.0)</f>
        <v>0</v>
      </c>
      <c r="O500" s="189">
        <f>IFERROR(__xludf.DUMMYFUNCTION("""COMPUTED_VALUE"""),0.0)</f>
        <v>0</v>
      </c>
      <c r="P500" s="189">
        <f>IFERROR(__xludf.DUMMYFUNCTION("""COMPUTED_VALUE"""),12.0)</f>
        <v>12</v>
      </c>
      <c r="Q500" s="189">
        <f>IFERROR(__xludf.DUMMYFUNCTION("""COMPUTED_VALUE"""),0.0)</f>
        <v>0</v>
      </c>
      <c r="R500" s="189">
        <f>IFERROR(__xludf.DUMMYFUNCTION("""COMPUTED_VALUE"""),1.0)</f>
        <v>1</v>
      </c>
      <c r="S500" s="189">
        <f>IFERROR(__xludf.DUMMYFUNCTION("""COMPUTED_VALUE"""),1.0)</f>
        <v>1</v>
      </c>
      <c r="T500" s="189">
        <f>IFERROR(__xludf.DUMMYFUNCTION("""COMPUTED_VALUE"""),1.0)</f>
        <v>1</v>
      </c>
      <c r="U500" s="189">
        <f>IFERROR(__xludf.DUMMYFUNCTION("""COMPUTED_VALUE"""),1.0)</f>
        <v>1</v>
      </c>
      <c r="V500" s="189">
        <f>IFERROR(__xludf.DUMMYFUNCTION("""COMPUTED_VALUE"""),0.0)</f>
        <v>0</v>
      </c>
      <c r="W500" s="189">
        <f>IFERROR(__xludf.DUMMYFUNCTION("""COMPUTED_VALUE"""),12.0)</f>
        <v>12</v>
      </c>
      <c r="X500" s="189">
        <f>IFERROR(__xludf.DUMMYFUNCTION("""COMPUTED_VALUE"""),0.0)</f>
        <v>0</v>
      </c>
      <c r="Y500" s="208" t="str">
        <f>IFERROR(__xludf.DUMMYFUNCTION("""COMPUTED_VALUE"""),"2025-07-13T00:00:00.000Z")</f>
        <v>2025-07-13T00:00:00.000Z</v>
      </c>
      <c r="Z500" s="189" t="s">
        <v>553</v>
      </c>
      <c r="AA500" s="189" t="s">
        <v>1</v>
      </c>
    </row>
    <row r="501">
      <c r="A501" s="189">
        <f>IFERROR(__xludf.DUMMYFUNCTION("""COMPUTED_VALUE"""),209544.0)</f>
        <v>209544</v>
      </c>
      <c r="B501" s="189">
        <f>IFERROR(__xludf.DUMMYFUNCTION("""COMPUTED_VALUE"""),92194.0)</f>
        <v>92194</v>
      </c>
      <c r="C501" s="189" t="str">
        <f>IFERROR(__xludf.DUMMYFUNCTION("""COMPUTED_VALUE"""),"Challengers 2025: France Revolution Split 3 - Group Stage")</f>
        <v>Challengers 2025: France Revolution Split 3 - Group Stage</v>
      </c>
      <c r="D501" s="189" t="str">
        <f>IFERROR(__xludf.DUMMYFUNCTION("""COMPUTED_VALUE"""),"Ascent")</f>
        <v>Ascent</v>
      </c>
      <c r="E501" s="189" t="str">
        <f>IFERROR(__xludf.DUMMYFUNCTION("""COMPUTED_VALUE"""),"Hide On Bush")</f>
        <v>Hide On Bush</v>
      </c>
      <c r="F501" s="189" t="str">
        <f>IFERROR(__xludf.DUMMYFUNCTION("""COMPUTED_VALUE"""),"Joblife")</f>
        <v>Joblife</v>
      </c>
      <c r="G501" s="189" t="str">
        <f>IFERROR(__xludf.DUMMYFUNCTION("""COMPUTED_VALUE"""),"Sova,Omen,Yoru,Chamber,Vyse")</f>
        <v>Sova,Omen,Yoru,Chamber,Vyse</v>
      </c>
      <c r="H501" s="189" t="str">
        <f>IFERROR(__xludf.DUMMYFUNCTION("""COMPUTED_VALUE"""),"Sova,Killjoy,Omen,Jett,KAY/O")</f>
        <v>Sova,Killjoy,Omen,Jett,KAY/O</v>
      </c>
      <c r="I501" s="189">
        <f>IFERROR(__xludf.DUMMYFUNCTION("""COMPUTED_VALUE"""),13.0)</f>
        <v>13</v>
      </c>
      <c r="J501" s="189">
        <f>IFERROR(__xludf.DUMMYFUNCTION("""COMPUTED_VALUE"""),10.0)</f>
        <v>10</v>
      </c>
      <c r="K501" s="189">
        <f>IFERROR(__xludf.DUMMYFUNCTION("""COMPUTED_VALUE"""),5.0)</f>
        <v>5</v>
      </c>
      <c r="L501" s="189">
        <f>IFERROR(__xludf.DUMMYFUNCTION("""COMPUTED_VALUE"""),7.0)</f>
        <v>7</v>
      </c>
      <c r="M501" s="189">
        <f>IFERROR(__xludf.DUMMYFUNCTION("""COMPUTED_VALUE"""),0.0)</f>
        <v>0</v>
      </c>
      <c r="N501" s="189">
        <f>IFERROR(__xludf.DUMMYFUNCTION("""COMPUTED_VALUE"""),0.0)</f>
        <v>0</v>
      </c>
      <c r="O501" s="189">
        <f>IFERROR(__xludf.DUMMYFUNCTION("""COMPUTED_VALUE"""),5.0)</f>
        <v>5</v>
      </c>
      <c r="P501" s="189">
        <f>IFERROR(__xludf.DUMMYFUNCTION("""COMPUTED_VALUE"""),7.0)</f>
        <v>7</v>
      </c>
      <c r="Q501" s="189">
        <f>IFERROR(__xludf.DUMMYFUNCTION("""COMPUTED_VALUE"""),8.0)</f>
        <v>8</v>
      </c>
      <c r="R501" s="189">
        <f>IFERROR(__xludf.DUMMYFUNCTION("""COMPUTED_VALUE"""),3.0)</f>
        <v>3</v>
      </c>
      <c r="S501" s="189">
        <f>IFERROR(__xludf.DUMMYFUNCTION("""COMPUTED_VALUE"""),1.0)</f>
        <v>1</v>
      </c>
      <c r="T501" s="189">
        <f>IFERROR(__xludf.DUMMYFUNCTION("""COMPUTED_VALUE"""),1.0)</f>
        <v>1</v>
      </c>
      <c r="U501" s="189">
        <f>IFERROR(__xludf.DUMMYFUNCTION("""COMPUTED_VALUE"""),3.0)</f>
        <v>3</v>
      </c>
      <c r="V501" s="189">
        <f>IFERROR(__xludf.DUMMYFUNCTION("""COMPUTED_VALUE"""),8.0)</f>
        <v>8</v>
      </c>
      <c r="W501" s="189">
        <f>IFERROR(__xludf.DUMMYFUNCTION("""COMPUTED_VALUE"""),7.0)</f>
        <v>7</v>
      </c>
      <c r="X501" s="189">
        <f>IFERROR(__xludf.DUMMYFUNCTION("""COMPUTED_VALUE"""),5.0)</f>
        <v>5</v>
      </c>
      <c r="Y501" s="208" t="str">
        <f>IFERROR(__xludf.DUMMYFUNCTION("""COMPUTED_VALUE"""),"2025-07-12T00:00:00.000Z")</f>
        <v>2025-07-12T00:00:00.000Z</v>
      </c>
      <c r="Z501" s="189" t="s">
        <v>554</v>
      </c>
      <c r="AA501" s="189" t="s">
        <v>443</v>
      </c>
    </row>
    <row r="502">
      <c r="A502" s="189">
        <f>IFERROR(__xludf.DUMMYFUNCTION("""COMPUTED_VALUE"""),209543.0)</f>
        <v>209543</v>
      </c>
      <c r="B502" s="189">
        <f>IFERROR(__xludf.DUMMYFUNCTION("""COMPUTED_VALUE"""),92194.0)</f>
        <v>92194</v>
      </c>
      <c r="C502" s="189" t="str">
        <f>IFERROR(__xludf.DUMMYFUNCTION("""COMPUTED_VALUE"""),"Challengers 2025: France Revolution Split 3 - Group Stage")</f>
        <v>Challengers 2025: France Revolution Split 3 - Group Stage</v>
      </c>
      <c r="D502" s="189" t="str">
        <f>IFERROR(__xludf.DUMMYFUNCTION("""COMPUTED_VALUE"""),"Haven")</f>
        <v>Haven</v>
      </c>
      <c r="E502" s="189" t="str">
        <f>IFERROR(__xludf.DUMMYFUNCTION("""COMPUTED_VALUE"""),"Hide On Bush")</f>
        <v>Hide On Bush</v>
      </c>
      <c r="F502" s="189" t="str">
        <f>IFERROR(__xludf.DUMMYFUNCTION("""COMPUTED_VALUE"""),"Joblife")</f>
        <v>Joblife</v>
      </c>
      <c r="G502" s="189" t="str">
        <f>IFERROR(__xludf.DUMMYFUNCTION("""COMPUTED_VALUE"""),"Breach,Cypher,Sova,Omen,Jett")</f>
        <v>Breach,Cypher,Sova,Omen,Jett</v>
      </c>
      <c r="H502" s="189" t="str">
        <f>IFERROR(__xludf.DUMMYFUNCTION("""COMPUTED_VALUE"""),"Breach,Cypher,Sova,Omen,Jett")</f>
        <v>Breach,Cypher,Sova,Omen,Jett</v>
      </c>
      <c r="I502" s="189">
        <f>IFERROR(__xludf.DUMMYFUNCTION("""COMPUTED_VALUE"""),9.0)</f>
        <v>9</v>
      </c>
      <c r="J502" s="189">
        <f>IFERROR(__xludf.DUMMYFUNCTION("""COMPUTED_VALUE"""),13.0)</f>
        <v>13</v>
      </c>
      <c r="K502" s="189">
        <f>IFERROR(__xludf.DUMMYFUNCTION("""COMPUTED_VALUE"""),6.0)</f>
        <v>6</v>
      </c>
      <c r="L502" s="189">
        <f>IFERROR(__xludf.DUMMYFUNCTION("""COMPUTED_VALUE"""),6.0)</f>
        <v>6</v>
      </c>
      <c r="M502" s="189">
        <f>IFERROR(__xludf.DUMMYFUNCTION("""COMPUTED_VALUE"""),1.0)</f>
        <v>1</v>
      </c>
      <c r="N502" s="189">
        <f>IFERROR(__xludf.DUMMYFUNCTION("""COMPUTED_VALUE"""),1.0)</f>
        <v>1</v>
      </c>
      <c r="O502" s="189">
        <f>IFERROR(__xludf.DUMMYFUNCTION("""COMPUTED_VALUE"""),6.0)</f>
        <v>6</v>
      </c>
      <c r="P502" s="189">
        <f>IFERROR(__xludf.DUMMYFUNCTION("""COMPUTED_VALUE"""),6.0)</f>
        <v>6</v>
      </c>
      <c r="Q502" s="189">
        <f>IFERROR(__xludf.DUMMYFUNCTION("""COMPUTED_VALUE"""),3.0)</f>
        <v>3</v>
      </c>
      <c r="R502" s="189">
        <f>IFERROR(__xludf.DUMMYFUNCTION("""COMPUTED_VALUE"""),7.0)</f>
        <v>7</v>
      </c>
      <c r="S502" s="189">
        <f>IFERROR(__xludf.DUMMYFUNCTION("""COMPUTED_VALUE"""),0.0)</f>
        <v>0</v>
      </c>
      <c r="T502" s="189">
        <f>IFERROR(__xludf.DUMMYFUNCTION("""COMPUTED_VALUE"""),0.0)</f>
        <v>0</v>
      </c>
      <c r="U502" s="189">
        <f>IFERROR(__xludf.DUMMYFUNCTION("""COMPUTED_VALUE"""),7.0)</f>
        <v>7</v>
      </c>
      <c r="V502" s="189">
        <f>IFERROR(__xludf.DUMMYFUNCTION("""COMPUTED_VALUE"""),3.0)</f>
        <v>3</v>
      </c>
      <c r="W502" s="189">
        <f>IFERROR(__xludf.DUMMYFUNCTION("""COMPUTED_VALUE"""),6.0)</f>
        <v>6</v>
      </c>
      <c r="X502" s="189">
        <f>IFERROR(__xludf.DUMMYFUNCTION("""COMPUTED_VALUE"""),6.0)</f>
        <v>6</v>
      </c>
      <c r="Y502" s="208" t="str">
        <f>IFERROR(__xludf.DUMMYFUNCTION("""COMPUTED_VALUE"""),"2025-07-12T00:00:00.000Z")</f>
        <v>2025-07-12T00:00:00.000Z</v>
      </c>
      <c r="Z502" s="189" t="s">
        <v>555</v>
      </c>
      <c r="AA502" s="189" t="s">
        <v>232</v>
      </c>
    </row>
    <row r="503">
      <c r="A503" s="189">
        <f>IFERROR(__xludf.DUMMYFUNCTION("""COMPUTED_VALUE"""),209513.0)</f>
        <v>209513</v>
      </c>
      <c r="B503" s="189">
        <f>IFERROR(__xludf.DUMMYFUNCTION("""COMPUTED_VALUE"""),92184.0)</f>
        <v>92184</v>
      </c>
      <c r="C503" s="189" t="str">
        <f>IFERROR(__xludf.DUMMYFUNCTION("""COMPUTED_VALUE"""),"Challengers League 2025 DACH: Evolution Stage 3 - Group Stage")</f>
        <v>Challengers League 2025 DACH: Evolution Stage 3 - Group Stage</v>
      </c>
      <c r="D503" s="189" t="str">
        <f>IFERROR(__xludf.DUMMYFUNCTION("""COMPUTED_VALUE"""),"Ascent")</f>
        <v>Ascent</v>
      </c>
      <c r="E503" s="189" t="str">
        <f>IFERROR(__xludf.DUMMYFUNCTION("""COMPUTED_VALUE"""),"CGN Esports")</f>
        <v>CGN Esports</v>
      </c>
      <c r="F503" s="189" t="str">
        <f>IFERROR(__xludf.DUMMYFUNCTION("""COMPUTED_VALUE"""),"Eintracht Frankfurt")</f>
        <v>Eintracht Frankfurt</v>
      </c>
      <c r="G503" s="189" t="str">
        <f>IFERROR(__xludf.DUMMYFUNCTION("""COMPUTED_VALUE"""),"Cypher,Sova,Omen,Yoru,Deadlock")</f>
        <v>Cypher,Sova,Omen,Yoru,Deadlock</v>
      </c>
      <c r="H503" s="189" t="str">
        <f>IFERROR(__xludf.DUMMYFUNCTION("""COMPUTED_VALUE"""),"Cypher,Sova,Omen,Jett,KAY/O")</f>
        <v>Cypher,Sova,Omen,Jett,KAY/O</v>
      </c>
      <c r="I503" s="189">
        <f>IFERROR(__xludf.DUMMYFUNCTION("""COMPUTED_VALUE"""),3.0)</f>
        <v>3</v>
      </c>
      <c r="J503" s="189">
        <f>IFERROR(__xludf.DUMMYFUNCTION("""COMPUTED_VALUE"""),13.0)</f>
        <v>13</v>
      </c>
      <c r="K503" s="189">
        <f>IFERROR(__xludf.DUMMYFUNCTION("""COMPUTED_VALUE"""),2.0)</f>
        <v>2</v>
      </c>
      <c r="L503" s="189">
        <f>IFERROR(__xludf.DUMMYFUNCTION("""COMPUTED_VALUE"""),10.0)</f>
        <v>10</v>
      </c>
      <c r="M503" s="189">
        <f>IFERROR(__xludf.DUMMYFUNCTION("""COMPUTED_VALUE"""),0.0)</f>
        <v>0</v>
      </c>
      <c r="N503" s="189">
        <f>IFERROR(__xludf.DUMMYFUNCTION("""COMPUTED_VALUE"""),0.0)</f>
        <v>0</v>
      </c>
      <c r="O503" s="189">
        <f>IFERROR(__xludf.DUMMYFUNCTION("""COMPUTED_VALUE"""),2.0)</f>
        <v>2</v>
      </c>
      <c r="P503" s="189">
        <f>IFERROR(__xludf.DUMMYFUNCTION("""COMPUTED_VALUE"""),10.0)</f>
        <v>10</v>
      </c>
      <c r="Q503" s="189">
        <f>IFERROR(__xludf.DUMMYFUNCTION("""COMPUTED_VALUE"""),1.0)</f>
        <v>1</v>
      </c>
      <c r="R503" s="189">
        <f>IFERROR(__xludf.DUMMYFUNCTION("""COMPUTED_VALUE"""),3.0)</f>
        <v>3</v>
      </c>
      <c r="S503" s="189">
        <f>IFERROR(__xludf.DUMMYFUNCTION("""COMPUTED_VALUE"""),1.0)</f>
        <v>1</v>
      </c>
      <c r="T503" s="189">
        <f>IFERROR(__xludf.DUMMYFUNCTION("""COMPUTED_VALUE"""),1.0)</f>
        <v>1</v>
      </c>
      <c r="U503" s="189">
        <f>IFERROR(__xludf.DUMMYFUNCTION("""COMPUTED_VALUE"""),3.0)</f>
        <v>3</v>
      </c>
      <c r="V503" s="189">
        <f>IFERROR(__xludf.DUMMYFUNCTION("""COMPUTED_VALUE"""),1.0)</f>
        <v>1</v>
      </c>
      <c r="W503" s="189">
        <f>IFERROR(__xludf.DUMMYFUNCTION("""COMPUTED_VALUE"""),10.0)</f>
        <v>10</v>
      </c>
      <c r="X503" s="189">
        <f>IFERROR(__xludf.DUMMYFUNCTION("""COMPUTED_VALUE"""),2.0)</f>
        <v>2</v>
      </c>
      <c r="Y503" s="208" t="str">
        <f>IFERROR(__xludf.DUMMYFUNCTION("""COMPUTED_VALUE"""),"2025-07-12T00:00:00.000Z")</f>
        <v>2025-07-12T00:00:00.000Z</v>
      </c>
      <c r="Z503" s="189" t="s">
        <v>556</v>
      </c>
      <c r="AA503" s="189" t="s">
        <v>183</v>
      </c>
    </row>
    <row r="504">
      <c r="A504" s="189">
        <f>IFERROR(__xludf.DUMMYFUNCTION("""COMPUTED_VALUE"""),209542.0)</f>
        <v>209542</v>
      </c>
      <c r="B504" s="189">
        <f>IFERROR(__xludf.DUMMYFUNCTION("""COMPUTED_VALUE"""),92194.0)</f>
        <v>92194</v>
      </c>
      <c r="C504" s="189" t="str">
        <f>IFERROR(__xludf.DUMMYFUNCTION("""COMPUTED_VALUE"""),"Challengers 2025: France Revolution Split 3 - Group Stage")</f>
        <v>Challengers 2025: France Revolution Split 3 - Group Stage</v>
      </c>
      <c r="D504" s="189" t="str">
        <f>IFERROR(__xludf.DUMMYFUNCTION("""COMPUTED_VALUE"""),"Bind")</f>
        <v>Bind</v>
      </c>
      <c r="E504" s="189" t="str">
        <f>IFERROR(__xludf.DUMMYFUNCTION("""COMPUTED_VALUE"""),"Hide On Bush")</f>
        <v>Hide On Bush</v>
      </c>
      <c r="F504" s="189" t="str">
        <f>IFERROR(__xludf.DUMMYFUNCTION("""COMPUTED_VALUE"""),"Joblife")</f>
        <v>Joblife</v>
      </c>
      <c r="G504" s="189" t="str">
        <f>IFERROR(__xludf.DUMMYFUNCTION("""COMPUTED_VALUE"""),"Brimstone,Yoru,Chamber,Fade,Deadlock")</f>
        <v>Brimstone,Yoru,Chamber,Fade,Deadlock</v>
      </c>
      <c r="H504" s="189" t="str">
        <f>IFERROR(__xludf.DUMMYFUNCTION("""COMPUTED_VALUE"""),"Raze,Viper,Brimstone,Skye,Gekko")</f>
        <v>Raze,Viper,Brimstone,Skye,Gekko</v>
      </c>
      <c r="I504" s="189">
        <f>IFERROR(__xludf.DUMMYFUNCTION("""COMPUTED_VALUE"""),13.0)</f>
        <v>13</v>
      </c>
      <c r="J504" s="189">
        <f>IFERROR(__xludf.DUMMYFUNCTION("""COMPUTED_VALUE"""),8.0)</f>
        <v>8</v>
      </c>
      <c r="K504" s="189">
        <f>IFERROR(__xludf.DUMMYFUNCTION("""COMPUTED_VALUE"""),5.0)</f>
        <v>5</v>
      </c>
      <c r="L504" s="189">
        <f>IFERROR(__xludf.DUMMYFUNCTION("""COMPUTED_VALUE"""),7.0)</f>
        <v>7</v>
      </c>
      <c r="M504" s="189">
        <f>IFERROR(__xludf.DUMMYFUNCTION("""COMPUTED_VALUE"""),1.0)</f>
        <v>1</v>
      </c>
      <c r="N504" s="189">
        <f>IFERROR(__xludf.DUMMYFUNCTION("""COMPUTED_VALUE"""),0.0)</f>
        <v>0</v>
      </c>
      <c r="O504" s="189">
        <f>IFERROR(__xludf.DUMMYFUNCTION("""COMPUTED_VALUE"""),8.0)</f>
        <v>8</v>
      </c>
      <c r="P504" s="189">
        <f>IFERROR(__xludf.DUMMYFUNCTION("""COMPUTED_VALUE"""),1.0)</f>
        <v>1</v>
      </c>
      <c r="Q504" s="189">
        <f>IFERROR(__xludf.DUMMYFUNCTION("""COMPUTED_VALUE"""),5.0)</f>
        <v>5</v>
      </c>
      <c r="R504" s="189">
        <f>IFERROR(__xludf.DUMMYFUNCTION("""COMPUTED_VALUE"""),7.0)</f>
        <v>7</v>
      </c>
      <c r="S504" s="189">
        <f>IFERROR(__xludf.DUMMYFUNCTION("""COMPUTED_VALUE"""),1.0)</f>
        <v>1</v>
      </c>
      <c r="T504" s="189">
        <f>IFERROR(__xludf.DUMMYFUNCTION("""COMPUTED_VALUE"""),0.0)</f>
        <v>0</v>
      </c>
      <c r="U504" s="189">
        <f>IFERROR(__xludf.DUMMYFUNCTION("""COMPUTED_VALUE"""),7.0)</f>
        <v>7</v>
      </c>
      <c r="V504" s="189">
        <f>IFERROR(__xludf.DUMMYFUNCTION("""COMPUTED_VALUE"""),5.0)</f>
        <v>5</v>
      </c>
      <c r="W504" s="189">
        <f>IFERROR(__xludf.DUMMYFUNCTION("""COMPUTED_VALUE"""),1.0)</f>
        <v>1</v>
      </c>
      <c r="X504" s="189">
        <f>IFERROR(__xludf.DUMMYFUNCTION("""COMPUTED_VALUE"""),8.0)</f>
        <v>8</v>
      </c>
      <c r="Y504" s="208" t="str">
        <f>IFERROR(__xludf.DUMMYFUNCTION("""COMPUTED_VALUE"""),"2025-07-12T00:00:00.000Z")</f>
        <v>2025-07-12T00:00:00.000Z</v>
      </c>
      <c r="Z504" s="189" t="s">
        <v>557</v>
      </c>
      <c r="AA504" s="189" t="s">
        <v>443</v>
      </c>
    </row>
    <row r="505">
      <c r="A505" s="189">
        <f>IFERROR(__xludf.DUMMYFUNCTION("""COMPUTED_VALUE"""),209512.0)</f>
        <v>209512</v>
      </c>
      <c r="B505" s="189">
        <f>IFERROR(__xludf.DUMMYFUNCTION("""COMPUTED_VALUE"""),92184.0)</f>
        <v>92184</v>
      </c>
      <c r="C505" s="189" t="str">
        <f>IFERROR(__xludf.DUMMYFUNCTION("""COMPUTED_VALUE"""),"Challengers League 2025 DACH: Evolution Stage 3 - Group Stage")</f>
        <v>Challengers League 2025 DACH: Evolution Stage 3 - Group Stage</v>
      </c>
      <c r="D505" s="189" t="str">
        <f>IFERROR(__xludf.DUMMYFUNCTION("""COMPUTED_VALUE"""),"Lotus")</f>
        <v>Lotus</v>
      </c>
      <c r="E505" s="189" t="str">
        <f>IFERROR(__xludf.DUMMYFUNCTION("""COMPUTED_VALUE"""),"CGN Esports")</f>
        <v>CGN Esports</v>
      </c>
      <c r="F505" s="189" t="str">
        <f>IFERROR(__xludf.DUMMYFUNCTION("""COMPUTED_VALUE"""),"Eintracht Frankfurt")</f>
        <v>Eintracht Frankfurt</v>
      </c>
      <c r="G505" s="189" t="str">
        <f>IFERROR(__xludf.DUMMYFUNCTION("""COMPUTED_VALUE"""),"Raze,Viper,Omen,Neon,Fade")</f>
        <v>Raze,Viper,Omen,Neon,Fade</v>
      </c>
      <c r="H505" s="189" t="str">
        <f>IFERROR(__xludf.DUMMYFUNCTION("""COMPUTED_VALUE"""),"Cypher,Viper,Omen,Yoru,Fade")</f>
        <v>Cypher,Viper,Omen,Yoru,Fade</v>
      </c>
      <c r="I505" s="189">
        <f>IFERROR(__xludf.DUMMYFUNCTION("""COMPUTED_VALUE"""),9.0)</f>
        <v>9</v>
      </c>
      <c r="J505" s="189">
        <f>IFERROR(__xludf.DUMMYFUNCTION("""COMPUTED_VALUE"""),13.0)</f>
        <v>13</v>
      </c>
      <c r="K505" s="189">
        <f>IFERROR(__xludf.DUMMYFUNCTION("""COMPUTED_VALUE"""),7.0)</f>
        <v>7</v>
      </c>
      <c r="L505" s="189">
        <f>IFERROR(__xludf.DUMMYFUNCTION("""COMPUTED_VALUE"""),5.0)</f>
        <v>5</v>
      </c>
      <c r="M505" s="189">
        <f>IFERROR(__xludf.DUMMYFUNCTION("""COMPUTED_VALUE"""),0.0)</f>
        <v>0</v>
      </c>
      <c r="N505" s="189">
        <f>IFERROR(__xludf.DUMMYFUNCTION("""COMPUTED_VALUE"""),0.0)</f>
        <v>0</v>
      </c>
      <c r="O505" s="189">
        <f>IFERROR(__xludf.DUMMYFUNCTION("""COMPUTED_VALUE"""),2.0)</f>
        <v>2</v>
      </c>
      <c r="P505" s="189">
        <f>IFERROR(__xludf.DUMMYFUNCTION("""COMPUTED_VALUE"""),8.0)</f>
        <v>8</v>
      </c>
      <c r="Q505" s="189">
        <f>IFERROR(__xludf.DUMMYFUNCTION("""COMPUTED_VALUE"""),7.0)</f>
        <v>7</v>
      </c>
      <c r="R505" s="189">
        <f>IFERROR(__xludf.DUMMYFUNCTION("""COMPUTED_VALUE"""),5.0)</f>
        <v>5</v>
      </c>
      <c r="S505" s="189">
        <f>IFERROR(__xludf.DUMMYFUNCTION("""COMPUTED_VALUE"""),1.0)</f>
        <v>1</v>
      </c>
      <c r="T505" s="189">
        <f>IFERROR(__xludf.DUMMYFUNCTION("""COMPUTED_VALUE"""),1.0)</f>
        <v>1</v>
      </c>
      <c r="U505" s="189">
        <f>IFERROR(__xludf.DUMMYFUNCTION("""COMPUTED_VALUE"""),5.0)</f>
        <v>5</v>
      </c>
      <c r="V505" s="189">
        <f>IFERROR(__xludf.DUMMYFUNCTION("""COMPUTED_VALUE"""),7.0)</f>
        <v>7</v>
      </c>
      <c r="W505" s="189">
        <f>IFERROR(__xludf.DUMMYFUNCTION("""COMPUTED_VALUE"""),8.0)</f>
        <v>8</v>
      </c>
      <c r="X505" s="189">
        <f>IFERROR(__xludf.DUMMYFUNCTION("""COMPUTED_VALUE"""),2.0)</f>
        <v>2</v>
      </c>
      <c r="Y505" s="208" t="str">
        <f>IFERROR(__xludf.DUMMYFUNCTION("""COMPUTED_VALUE"""),"2025-07-12T00:00:00.000Z")</f>
        <v>2025-07-12T00:00:00.000Z</v>
      </c>
      <c r="Z505" s="189" t="s">
        <v>489</v>
      </c>
      <c r="AA505" s="189" t="s">
        <v>183</v>
      </c>
    </row>
    <row r="506">
      <c r="A506" s="189">
        <f>IFERROR(__xludf.DUMMYFUNCTION("""COMPUTED_VALUE"""),208380.0)</f>
        <v>208380</v>
      </c>
      <c r="B506" s="189">
        <f>IFERROR(__xludf.DUMMYFUNCTION("""COMPUTED_VALUE"""),91775.0)</f>
        <v>91775</v>
      </c>
      <c r="C506" s="189" t="str">
        <f>IFERROR(__xludf.DUMMYFUNCTION("""COMPUTED_VALUE"""),"Challengers League 2025 Türkiye Birlik: Split 3 - Group Stage")</f>
        <v>Challengers League 2025 Türkiye Birlik: Split 3 - Group Stage</v>
      </c>
      <c r="D506" s="189" t="str">
        <f>IFERROR(__xludf.DUMMYFUNCTION("""COMPUTED_VALUE"""),"Pearl")</f>
        <v>Pearl</v>
      </c>
      <c r="E506" s="189" t="str">
        <f>IFERROR(__xludf.DUMMYFUNCTION("""COMPUTED_VALUE"""),"ULF Esports")</f>
        <v>ULF Esports</v>
      </c>
      <c r="F506" s="189" t="str">
        <f>IFERROR(__xludf.DUMMYFUNCTION("""COMPUTED_VALUE"""),"Eternal Fire")</f>
        <v>Eternal Fire</v>
      </c>
      <c r="G506" s="189" t="str">
        <f>IFERROR(__xludf.DUMMYFUNCTION("""COMPUTED_VALUE"""),"Cypher,Sova,Yoru,Astra,Neon")</f>
        <v>Cypher,Sova,Yoru,Astra,Neon</v>
      </c>
      <c r="H506" s="189" t="str">
        <f>IFERROR(__xludf.DUMMYFUNCTION("""COMPUTED_VALUE"""),"Cypher,Sova,Yoru,Astra,Iso")</f>
        <v>Cypher,Sova,Yoru,Astra,Iso</v>
      </c>
      <c r="I506" s="189">
        <f>IFERROR(__xludf.DUMMYFUNCTION("""COMPUTED_VALUE"""),13.0)</f>
        <v>13</v>
      </c>
      <c r="J506" s="189">
        <f>IFERROR(__xludf.DUMMYFUNCTION("""COMPUTED_VALUE"""),8.0)</f>
        <v>8</v>
      </c>
      <c r="K506" s="189">
        <f>IFERROR(__xludf.DUMMYFUNCTION("""COMPUTED_VALUE"""),6.0)</f>
        <v>6</v>
      </c>
      <c r="L506" s="189">
        <f>IFERROR(__xludf.DUMMYFUNCTION("""COMPUTED_VALUE"""),6.0)</f>
        <v>6</v>
      </c>
      <c r="M506" s="189">
        <f>IFERROR(__xludf.DUMMYFUNCTION("""COMPUTED_VALUE"""),0.0)</f>
        <v>0</v>
      </c>
      <c r="N506" s="189">
        <f>IFERROR(__xludf.DUMMYFUNCTION("""COMPUTED_VALUE"""),1.0)</f>
        <v>1</v>
      </c>
      <c r="O506" s="189">
        <f>IFERROR(__xludf.DUMMYFUNCTION("""COMPUTED_VALUE"""),6.0)</f>
        <v>6</v>
      </c>
      <c r="P506" s="189">
        <f>IFERROR(__xludf.DUMMYFUNCTION("""COMPUTED_VALUE"""),6.0)</f>
        <v>6</v>
      </c>
      <c r="Q506" s="189">
        <f>IFERROR(__xludf.DUMMYFUNCTION("""COMPUTED_VALUE"""),7.0)</f>
        <v>7</v>
      </c>
      <c r="R506" s="189">
        <f>IFERROR(__xludf.DUMMYFUNCTION("""COMPUTED_VALUE"""),2.0)</f>
        <v>2</v>
      </c>
      <c r="S506" s="189">
        <f>IFERROR(__xludf.DUMMYFUNCTION("""COMPUTED_VALUE"""),0.0)</f>
        <v>0</v>
      </c>
      <c r="T506" s="189">
        <f>IFERROR(__xludf.DUMMYFUNCTION("""COMPUTED_VALUE"""),1.0)</f>
        <v>1</v>
      </c>
      <c r="U506" s="189">
        <f>IFERROR(__xludf.DUMMYFUNCTION("""COMPUTED_VALUE"""),2.0)</f>
        <v>2</v>
      </c>
      <c r="V506" s="189">
        <f>IFERROR(__xludf.DUMMYFUNCTION("""COMPUTED_VALUE"""),7.0)</f>
        <v>7</v>
      </c>
      <c r="W506" s="189">
        <f>IFERROR(__xludf.DUMMYFUNCTION("""COMPUTED_VALUE"""),6.0)</f>
        <v>6</v>
      </c>
      <c r="X506" s="189">
        <f>IFERROR(__xludf.DUMMYFUNCTION("""COMPUTED_VALUE"""),6.0)</f>
        <v>6</v>
      </c>
      <c r="Y506" s="208" t="str">
        <f>IFERROR(__xludf.DUMMYFUNCTION("""COMPUTED_VALUE"""),"2025-07-12T00:00:00.000Z")</f>
        <v>2025-07-12T00:00:00.000Z</v>
      </c>
      <c r="Z506" s="189" t="s">
        <v>173</v>
      </c>
      <c r="AA506" s="189" t="s">
        <v>188</v>
      </c>
    </row>
    <row r="507">
      <c r="A507" s="189">
        <f>IFERROR(__xludf.DUMMYFUNCTION("""COMPUTED_VALUE"""),208379.0)</f>
        <v>208379</v>
      </c>
      <c r="B507" s="189">
        <f>IFERROR(__xludf.DUMMYFUNCTION("""COMPUTED_VALUE"""),91775.0)</f>
        <v>91775</v>
      </c>
      <c r="C507" s="189" t="str">
        <f>IFERROR(__xludf.DUMMYFUNCTION("""COMPUTED_VALUE"""),"Challengers League 2025 Türkiye Birlik: Split 3 - Group Stage")</f>
        <v>Challengers League 2025 Türkiye Birlik: Split 3 - Group Stage</v>
      </c>
      <c r="D507" s="189" t="str">
        <f>IFERROR(__xludf.DUMMYFUNCTION("""COMPUTED_VALUE"""),"Lotus")</f>
        <v>Lotus</v>
      </c>
      <c r="E507" s="189" t="str">
        <f>IFERROR(__xludf.DUMMYFUNCTION("""COMPUTED_VALUE"""),"ULF Esports")</f>
        <v>ULF Esports</v>
      </c>
      <c r="F507" s="189" t="str">
        <f>IFERROR(__xludf.DUMMYFUNCTION("""COMPUTED_VALUE"""),"Eternal Fire")</f>
        <v>Eternal Fire</v>
      </c>
      <c r="G507" s="189" t="str">
        <f>IFERROR(__xludf.DUMMYFUNCTION("""COMPUTED_VALUE"""),"Raze,Omen,Yoru,Fade,Vyse")</f>
        <v>Raze,Omen,Yoru,Fade,Vyse</v>
      </c>
      <c r="H507" s="189" t="str">
        <f>IFERROR(__xludf.DUMMYFUNCTION("""COMPUTED_VALUE"""),"Viper,Omen,Yoru,Fade,Iso")</f>
        <v>Viper,Omen,Yoru,Fade,Iso</v>
      </c>
      <c r="I507" s="189">
        <f>IFERROR(__xludf.DUMMYFUNCTION("""COMPUTED_VALUE"""),13.0)</f>
        <v>13</v>
      </c>
      <c r="J507" s="189">
        <f>IFERROR(__xludf.DUMMYFUNCTION("""COMPUTED_VALUE"""),3.0)</f>
        <v>3</v>
      </c>
      <c r="K507" s="189">
        <f>IFERROR(__xludf.DUMMYFUNCTION("""COMPUTED_VALUE"""),10.0)</f>
        <v>10</v>
      </c>
      <c r="L507" s="189">
        <f>IFERROR(__xludf.DUMMYFUNCTION("""COMPUTED_VALUE"""),2.0)</f>
        <v>2</v>
      </c>
      <c r="M507" s="189">
        <f>IFERROR(__xludf.DUMMYFUNCTION("""COMPUTED_VALUE"""),0.0)</f>
        <v>0</v>
      </c>
      <c r="N507" s="189">
        <f>IFERROR(__xludf.DUMMYFUNCTION("""COMPUTED_VALUE"""),1.0)</f>
        <v>1</v>
      </c>
      <c r="O507" s="189">
        <f>IFERROR(__xludf.DUMMYFUNCTION("""COMPUTED_VALUE"""),10.0)</f>
        <v>10</v>
      </c>
      <c r="P507" s="189">
        <f>IFERROR(__xludf.DUMMYFUNCTION("""COMPUTED_VALUE"""),2.0)</f>
        <v>2</v>
      </c>
      <c r="Q507" s="189">
        <f>IFERROR(__xludf.DUMMYFUNCTION("""COMPUTED_VALUE"""),3.0)</f>
        <v>3</v>
      </c>
      <c r="R507" s="189">
        <f>IFERROR(__xludf.DUMMYFUNCTION("""COMPUTED_VALUE"""),1.0)</f>
        <v>1</v>
      </c>
      <c r="S507" s="189">
        <f>IFERROR(__xludf.DUMMYFUNCTION("""COMPUTED_VALUE"""),0.0)</f>
        <v>0</v>
      </c>
      <c r="T507" s="189">
        <f>IFERROR(__xludf.DUMMYFUNCTION("""COMPUTED_VALUE"""),1.0)</f>
        <v>1</v>
      </c>
      <c r="U507" s="189">
        <f>IFERROR(__xludf.DUMMYFUNCTION("""COMPUTED_VALUE"""),1.0)</f>
        <v>1</v>
      </c>
      <c r="V507" s="189">
        <f>IFERROR(__xludf.DUMMYFUNCTION("""COMPUTED_VALUE"""),3.0)</f>
        <v>3</v>
      </c>
      <c r="W507" s="189">
        <f>IFERROR(__xludf.DUMMYFUNCTION("""COMPUTED_VALUE"""),2.0)</f>
        <v>2</v>
      </c>
      <c r="X507" s="189">
        <f>IFERROR(__xludf.DUMMYFUNCTION("""COMPUTED_VALUE"""),10.0)</f>
        <v>10</v>
      </c>
      <c r="Y507" s="208" t="str">
        <f>IFERROR(__xludf.DUMMYFUNCTION("""COMPUTED_VALUE"""),"2025-07-12T00:00:00.000Z")</f>
        <v>2025-07-12T00:00:00.000Z</v>
      </c>
      <c r="Z507" s="189" t="s">
        <v>172</v>
      </c>
      <c r="AA507" s="189" t="s">
        <v>188</v>
      </c>
    </row>
    <row r="508">
      <c r="A508" s="189">
        <f>IFERROR(__xludf.DUMMYFUNCTION("""COMPUTED_VALUE"""),209342.0)</f>
        <v>209342</v>
      </c>
      <c r="B508" s="189">
        <f>IFERROR(__xludf.DUMMYFUNCTION("""COMPUTED_VALUE"""),92122.0)</f>
        <v>92122</v>
      </c>
      <c r="C508" s="189" t="str">
        <f>IFERROR(__xludf.DUMMYFUNCTION("""COMPUTED_VALUE"""),"Challengers League 2025 NORTH EAST: Split 3 - Upper Swiss Phase")</f>
        <v>Challengers League 2025 NORTH EAST: Split 3 - Upper Swiss Phase</v>
      </c>
      <c r="D508" s="189" t="str">
        <f>IFERROR(__xludf.DUMMYFUNCTION("""COMPUTED_VALUE"""),"Ascent")</f>
        <v>Ascent</v>
      </c>
      <c r="E508" s="189" t="str">
        <f>IFERROR(__xludf.DUMMYFUNCTION("""COMPUTED_VALUE"""),"děti ulice")</f>
        <v>děti ulice</v>
      </c>
      <c r="F508" s="189" t="str">
        <f>IFERROR(__xludf.DUMMYFUNCTION("""COMPUTED_VALUE"""),"Enterprise Esports")</f>
        <v>Enterprise Esports</v>
      </c>
      <c r="G508" s="189" t="str">
        <f>IFERROR(__xludf.DUMMYFUNCTION("""COMPUTED_VALUE"""),"Sova,Killjoy,Omen,Jett,KAY/O")</f>
        <v>Sova,Killjoy,Omen,Jett,KAY/O</v>
      </c>
      <c r="H508" s="189" t="str">
        <f>IFERROR(__xludf.DUMMYFUNCTION("""COMPUTED_VALUE"""),"Cypher,Sova,Omen,Jett,KAY/O")</f>
        <v>Cypher,Sova,Omen,Jett,KAY/O</v>
      </c>
      <c r="I508" s="189">
        <f>IFERROR(__xludf.DUMMYFUNCTION("""COMPUTED_VALUE"""),8.0)</f>
        <v>8</v>
      </c>
      <c r="J508" s="189">
        <f>IFERROR(__xludf.DUMMYFUNCTION("""COMPUTED_VALUE"""),13.0)</f>
        <v>13</v>
      </c>
      <c r="K508" s="189">
        <f>IFERROR(__xludf.DUMMYFUNCTION("""COMPUTED_VALUE"""),3.0)</f>
        <v>3</v>
      </c>
      <c r="L508" s="189">
        <f>IFERROR(__xludf.DUMMYFUNCTION("""COMPUTED_VALUE"""),9.0)</f>
        <v>9</v>
      </c>
      <c r="M508" s="189">
        <f>IFERROR(__xludf.DUMMYFUNCTION("""COMPUTED_VALUE"""),0.0)</f>
        <v>0</v>
      </c>
      <c r="N508" s="189">
        <f>IFERROR(__xludf.DUMMYFUNCTION("""COMPUTED_VALUE"""),1.0)</f>
        <v>1</v>
      </c>
      <c r="O508" s="189">
        <f>IFERROR(__xludf.DUMMYFUNCTION("""COMPUTED_VALUE"""),3.0)</f>
        <v>3</v>
      </c>
      <c r="P508" s="189">
        <f>IFERROR(__xludf.DUMMYFUNCTION("""COMPUTED_VALUE"""),9.0)</f>
        <v>9</v>
      </c>
      <c r="Q508" s="189">
        <f>IFERROR(__xludf.DUMMYFUNCTION("""COMPUTED_VALUE"""),5.0)</f>
        <v>5</v>
      </c>
      <c r="R508" s="189">
        <f>IFERROR(__xludf.DUMMYFUNCTION("""COMPUTED_VALUE"""),4.0)</f>
        <v>4</v>
      </c>
      <c r="S508" s="189">
        <f>IFERROR(__xludf.DUMMYFUNCTION("""COMPUTED_VALUE"""),0.0)</f>
        <v>0</v>
      </c>
      <c r="T508" s="189">
        <f>IFERROR(__xludf.DUMMYFUNCTION("""COMPUTED_VALUE"""),1.0)</f>
        <v>1</v>
      </c>
      <c r="U508" s="189">
        <f>IFERROR(__xludf.DUMMYFUNCTION("""COMPUTED_VALUE"""),4.0)</f>
        <v>4</v>
      </c>
      <c r="V508" s="189">
        <f>IFERROR(__xludf.DUMMYFUNCTION("""COMPUTED_VALUE"""),5.0)</f>
        <v>5</v>
      </c>
      <c r="W508" s="189">
        <f>IFERROR(__xludf.DUMMYFUNCTION("""COMPUTED_VALUE"""),9.0)</f>
        <v>9</v>
      </c>
      <c r="X508" s="189">
        <f>IFERROR(__xludf.DUMMYFUNCTION("""COMPUTED_VALUE"""),3.0)</f>
        <v>3</v>
      </c>
      <c r="Y508" s="208" t="str">
        <f>IFERROR(__xludf.DUMMYFUNCTION("""COMPUTED_VALUE"""),"2025-07-12T00:00:00.000Z")</f>
        <v>2025-07-12T00:00:00.000Z</v>
      </c>
      <c r="Z508" s="189" t="s">
        <v>85</v>
      </c>
      <c r="AA508" s="189" t="s">
        <v>179</v>
      </c>
    </row>
    <row r="509">
      <c r="A509" s="189">
        <f>IFERROR(__xludf.DUMMYFUNCTION("""COMPUTED_VALUE"""),207559.0)</f>
        <v>207559</v>
      </c>
      <c r="B509" s="189">
        <f>IFERROR(__xludf.DUMMYFUNCTION("""COMPUTED_VALUE"""),91447.0)</f>
        <v>91447</v>
      </c>
      <c r="C509" s="189" t="str">
        <f>IFERROR(__xludf.DUMMYFUNCTION("""COMPUTED_VALUE"""),"Challengers League 2025 Spain Rising: Split 3 - Group Stage")</f>
        <v>Challengers League 2025 Spain Rising: Split 3 - Group Stage</v>
      </c>
      <c r="D509" s="189" t="str">
        <f>IFERROR(__xludf.DUMMYFUNCTION("""COMPUTED_VALUE"""),"Ascent")</f>
        <v>Ascent</v>
      </c>
      <c r="E509" s="189" t="str">
        <f>IFERROR(__xludf.DUMMYFUNCTION("""COMPUTED_VALUE"""),"DNSTY")</f>
        <v>DNSTY</v>
      </c>
      <c r="F509" s="189" t="str">
        <f>IFERROR(__xludf.DUMMYFUNCTION("""COMPUTED_VALUE"""),"HGE Esports")</f>
        <v>HGE Esports</v>
      </c>
      <c r="G509" s="189" t="str">
        <f>IFERROR(__xludf.DUMMYFUNCTION("""COMPUTED_VALUE"""),"Sova,Killjoy,Omen,Jett,KAY/O")</f>
        <v>Sova,Killjoy,Omen,Jett,KAY/O</v>
      </c>
      <c r="H509" s="189" t="str">
        <f>IFERROR(__xludf.DUMMYFUNCTION("""COMPUTED_VALUE"""),"Sova,Omen,Yoru,Chamber,Vyse")</f>
        <v>Sova,Omen,Yoru,Chamber,Vyse</v>
      </c>
      <c r="I509" s="189">
        <f>IFERROR(__xludf.DUMMYFUNCTION("""COMPUTED_VALUE"""),13.0)</f>
        <v>13</v>
      </c>
      <c r="J509" s="189">
        <f>IFERROR(__xludf.DUMMYFUNCTION("""COMPUTED_VALUE"""),3.0)</f>
        <v>3</v>
      </c>
      <c r="K509" s="189">
        <f>IFERROR(__xludf.DUMMYFUNCTION("""COMPUTED_VALUE"""),11.0)</f>
        <v>11</v>
      </c>
      <c r="L509" s="189">
        <f>IFERROR(__xludf.DUMMYFUNCTION("""COMPUTED_VALUE"""),1.0)</f>
        <v>1</v>
      </c>
      <c r="M509" s="189">
        <f>IFERROR(__xludf.DUMMYFUNCTION("""COMPUTED_VALUE"""),0.0)</f>
        <v>0</v>
      </c>
      <c r="N509" s="189">
        <f>IFERROR(__xludf.DUMMYFUNCTION("""COMPUTED_VALUE"""),1.0)</f>
        <v>1</v>
      </c>
      <c r="O509" s="189">
        <f>IFERROR(__xludf.DUMMYFUNCTION("""COMPUTED_VALUE"""),2.0)</f>
        <v>2</v>
      </c>
      <c r="P509" s="189">
        <f>IFERROR(__xludf.DUMMYFUNCTION("""COMPUTED_VALUE"""),2.0)</f>
        <v>2</v>
      </c>
      <c r="Q509" s="189">
        <f>IFERROR(__xludf.DUMMYFUNCTION("""COMPUTED_VALUE"""),11.0)</f>
        <v>11</v>
      </c>
      <c r="R509" s="189">
        <f>IFERROR(__xludf.DUMMYFUNCTION("""COMPUTED_VALUE"""),1.0)</f>
        <v>1</v>
      </c>
      <c r="S509" s="189">
        <f>IFERROR(__xludf.DUMMYFUNCTION("""COMPUTED_VALUE"""),0.0)</f>
        <v>0</v>
      </c>
      <c r="T509" s="189">
        <f>IFERROR(__xludf.DUMMYFUNCTION("""COMPUTED_VALUE"""),1.0)</f>
        <v>1</v>
      </c>
      <c r="U509" s="189">
        <f>IFERROR(__xludf.DUMMYFUNCTION("""COMPUTED_VALUE"""),1.0)</f>
        <v>1</v>
      </c>
      <c r="V509" s="189">
        <f>IFERROR(__xludf.DUMMYFUNCTION("""COMPUTED_VALUE"""),11.0)</f>
        <v>11</v>
      </c>
      <c r="W509" s="189">
        <f>IFERROR(__xludf.DUMMYFUNCTION("""COMPUTED_VALUE"""),2.0)</f>
        <v>2</v>
      </c>
      <c r="X509" s="189">
        <f>IFERROR(__xludf.DUMMYFUNCTION("""COMPUTED_VALUE"""),2.0)</f>
        <v>2</v>
      </c>
      <c r="Y509" s="208" t="str">
        <f>IFERROR(__xludf.DUMMYFUNCTION("""COMPUTED_VALUE"""),"2025-07-09T00:00:00.000Z")</f>
        <v>2025-07-09T00:00:00.000Z</v>
      </c>
      <c r="Z509" s="189" t="s">
        <v>93</v>
      </c>
      <c r="AA509" s="189" t="s">
        <v>182</v>
      </c>
    </row>
    <row r="510">
      <c r="A510" s="189">
        <f>IFERROR(__xludf.DUMMYFUNCTION("""COMPUTED_VALUE"""),207558.0)</f>
        <v>207558</v>
      </c>
      <c r="B510" s="189">
        <f>IFERROR(__xludf.DUMMYFUNCTION("""COMPUTED_VALUE"""),91447.0)</f>
        <v>91447</v>
      </c>
      <c r="C510" s="189" t="str">
        <f>IFERROR(__xludf.DUMMYFUNCTION("""COMPUTED_VALUE"""),"Challengers League 2025 Spain Rising: Split 3 - Group Stage")</f>
        <v>Challengers League 2025 Spain Rising: Split 3 - Group Stage</v>
      </c>
      <c r="D510" s="189" t="str">
        <f>IFERROR(__xludf.DUMMYFUNCTION("""COMPUTED_VALUE"""),"Lotus")</f>
        <v>Lotus</v>
      </c>
      <c r="E510" s="189" t="str">
        <f>IFERROR(__xludf.DUMMYFUNCTION("""COMPUTED_VALUE"""),"DNSTY")</f>
        <v>DNSTY</v>
      </c>
      <c r="F510" s="189" t="str">
        <f>IFERROR(__xludf.DUMMYFUNCTION("""COMPUTED_VALUE"""),"HGE Esports")</f>
        <v>HGE Esports</v>
      </c>
      <c r="G510" s="189" t="str">
        <f>IFERROR(__xludf.DUMMYFUNCTION("""COMPUTED_VALUE"""),"Raze,Killjoy,Viper,Omen,Fade")</f>
        <v>Raze,Killjoy,Viper,Omen,Fade</v>
      </c>
      <c r="H510" s="189" t="str">
        <f>IFERROR(__xludf.DUMMYFUNCTION("""COMPUTED_VALUE"""),"Breach,Cypher,Omen,Neon,Fade")</f>
        <v>Breach,Cypher,Omen,Neon,Fade</v>
      </c>
      <c r="I510" s="189">
        <f>IFERROR(__xludf.DUMMYFUNCTION("""COMPUTED_VALUE"""),13.0)</f>
        <v>13</v>
      </c>
      <c r="J510" s="189">
        <f>IFERROR(__xludf.DUMMYFUNCTION("""COMPUTED_VALUE"""),4.0)</f>
        <v>4</v>
      </c>
      <c r="K510" s="189">
        <f>IFERROR(__xludf.DUMMYFUNCTION("""COMPUTED_VALUE"""),10.0)</f>
        <v>10</v>
      </c>
      <c r="L510" s="189">
        <f>IFERROR(__xludf.DUMMYFUNCTION("""COMPUTED_VALUE"""),2.0)</f>
        <v>2</v>
      </c>
      <c r="M510" s="189">
        <f>IFERROR(__xludf.DUMMYFUNCTION("""COMPUTED_VALUE"""),0.0)</f>
        <v>0</v>
      </c>
      <c r="N510" s="189">
        <f>IFERROR(__xludf.DUMMYFUNCTION("""COMPUTED_VALUE"""),0.0)</f>
        <v>0</v>
      </c>
      <c r="O510" s="189">
        <f>IFERROR(__xludf.DUMMYFUNCTION("""COMPUTED_VALUE"""),3.0)</f>
        <v>3</v>
      </c>
      <c r="P510" s="189">
        <f>IFERROR(__xludf.DUMMYFUNCTION("""COMPUTED_VALUE"""),2.0)</f>
        <v>2</v>
      </c>
      <c r="Q510" s="189">
        <f>IFERROR(__xludf.DUMMYFUNCTION("""COMPUTED_VALUE"""),10.0)</f>
        <v>10</v>
      </c>
      <c r="R510" s="189">
        <f>IFERROR(__xludf.DUMMYFUNCTION("""COMPUTED_VALUE"""),2.0)</f>
        <v>2</v>
      </c>
      <c r="S510" s="189">
        <f>IFERROR(__xludf.DUMMYFUNCTION("""COMPUTED_VALUE"""),1.0)</f>
        <v>1</v>
      </c>
      <c r="T510" s="189">
        <f>IFERROR(__xludf.DUMMYFUNCTION("""COMPUTED_VALUE"""),1.0)</f>
        <v>1</v>
      </c>
      <c r="U510" s="189">
        <f>IFERROR(__xludf.DUMMYFUNCTION("""COMPUTED_VALUE"""),2.0)</f>
        <v>2</v>
      </c>
      <c r="V510" s="189">
        <f>IFERROR(__xludf.DUMMYFUNCTION("""COMPUTED_VALUE"""),10.0)</f>
        <v>10</v>
      </c>
      <c r="W510" s="189">
        <f>IFERROR(__xludf.DUMMYFUNCTION("""COMPUTED_VALUE"""),2.0)</f>
        <v>2</v>
      </c>
      <c r="X510" s="189">
        <f>IFERROR(__xludf.DUMMYFUNCTION("""COMPUTED_VALUE"""),3.0)</f>
        <v>3</v>
      </c>
      <c r="Y510" s="208" t="str">
        <f>IFERROR(__xludf.DUMMYFUNCTION("""COMPUTED_VALUE"""),"2025-07-09T00:00:00.000Z")</f>
        <v>2025-07-09T00:00:00.000Z</v>
      </c>
      <c r="Z510" s="189" t="s">
        <v>97</v>
      </c>
      <c r="AA510" s="189" t="s">
        <v>182</v>
      </c>
    </row>
    <row r="511">
      <c r="A511" s="189">
        <f>IFERROR(__xludf.DUMMYFUNCTION("""COMPUTED_VALUE"""),207530.0)</f>
        <v>207530</v>
      </c>
      <c r="B511" s="189">
        <f>IFERROR(__xludf.DUMMYFUNCTION("""COMPUTED_VALUE"""),91437.0)</f>
        <v>91437</v>
      </c>
      <c r="C511" s="189" t="str">
        <f>IFERROR(__xludf.DUMMYFUNCTION("""COMPUTED_VALUE"""),"Challengers League 2025 Spain Rising: Split 3 - Group Stage")</f>
        <v>Challengers League 2025 Spain Rising: Split 3 - Group Stage</v>
      </c>
      <c r="D511" s="189" t="str">
        <f>IFERROR(__xludf.DUMMYFUNCTION("""COMPUTED_VALUE"""),"Ascent")</f>
        <v>Ascent</v>
      </c>
      <c r="E511" s="189" t="str">
        <f>IFERROR(__xludf.DUMMYFUNCTION("""COMPUTED_VALUE"""),"UCAM Esports Club")</f>
        <v>UCAM Esports Club</v>
      </c>
      <c r="F511" s="189" t="str">
        <f>IFERROR(__xludf.DUMMYFUNCTION("""COMPUTED_VALUE"""),"KOI Fénix")</f>
        <v>KOI Fénix</v>
      </c>
      <c r="G511" s="189" t="str">
        <f>IFERROR(__xludf.DUMMYFUNCTION("""COMPUTED_VALUE"""),"Cypher,Sova,Omen,Jett,KAY/O")</f>
        <v>Cypher,Sova,Omen,Jett,KAY/O</v>
      </c>
      <c r="H511" s="189" t="str">
        <f>IFERROR(__xludf.DUMMYFUNCTION("""COMPUTED_VALUE"""),"Sova,Omen,Yoru,Chamber,Vyse")</f>
        <v>Sova,Omen,Yoru,Chamber,Vyse</v>
      </c>
      <c r="I511" s="189">
        <f>IFERROR(__xludf.DUMMYFUNCTION("""COMPUTED_VALUE"""),12.0)</f>
        <v>12</v>
      </c>
      <c r="J511" s="189">
        <f>IFERROR(__xludf.DUMMYFUNCTION("""COMPUTED_VALUE"""),14.0)</f>
        <v>14</v>
      </c>
      <c r="K511" s="189">
        <f>IFERROR(__xludf.DUMMYFUNCTION("""COMPUTED_VALUE"""),7.0)</f>
        <v>7</v>
      </c>
      <c r="L511" s="189">
        <f>IFERROR(__xludf.DUMMYFUNCTION("""COMPUTED_VALUE"""),5.0)</f>
        <v>5</v>
      </c>
      <c r="M511" s="189">
        <f>IFERROR(__xludf.DUMMYFUNCTION("""COMPUTED_VALUE"""),1.0)</f>
        <v>1</v>
      </c>
      <c r="N511" s="189">
        <f>IFERROR(__xludf.DUMMYFUNCTION("""COMPUTED_VALUE"""),0.0)</f>
        <v>0</v>
      </c>
      <c r="O511" s="189">
        <f>IFERROR(__xludf.DUMMYFUNCTION("""COMPUTED_VALUE"""),5.0)</f>
        <v>5</v>
      </c>
      <c r="P511" s="189">
        <f>IFERROR(__xludf.DUMMYFUNCTION("""COMPUTED_VALUE"""),8.0)</f>
        <v>8</v>
      </c>
      <c r="Q511" s="189">
        <f>IFERROR(__xludf.DUMMYFUNCTION("""COMPUTED_VALUE"""),7.0)</f>
        <v>7</v>
      </c>
      <c r="R511" s="189">
        <f>IFERROR(__xludf.DUMMYFUNCTION("""COMPUTED_VALUE"""),6.0)</f>
        <v>6</v>
      </c>
      <c r="S511" s="189">
        <f>IFERROR(__xludf.DUMMYFUNCTION("""COMPUTED_VALUE"""),1.0)</f>
        <v>1</v>
      </c>
      <c r="T511" s="189">
        <f>IFERROR(__xludf.DUMMYFUNCTION("""COMPUTED_VALUE"""),0.0)</f>
        <v>0</v>
      </c>
      <c r="U511" s="189">
        <f>IFERROR(__xludf.DUMMYFUNCTION("""COMPUTED_VALUE"""),6.0)</f>
        <v>6</v>
      </c>
      <c r="V511" s="189">
        <f>IFERROR(__xludf.DUMMYFUNCTION("""COMPUTED_VALUE"""),7.0)</f>
        <v>7</v>
      </c>
      <c r="W511" s="189">
        <f>IFERROR(__xludf.DUMMYFUNCTION("""COMPUTED_VALUE"""),8.0)</f>
        <v>8</v>
      </c>
      <c r="X511" s="189">
        <f>IFERROR(__xludf.DUMMYFUNCTION("""COMPUTED_VALUE"""),5.0)</f>
        <v>5</v>
      </c>
      <c r="Y511" s="208" t="str">
        <f>IFERROR(__xludf.DUMMYFUNCTION("""COMPUTED_VALUE"""),"2025-07-08T00:00:00.000Z")</f>
        <v>2025-07-08T00:00:00.000Z</v>
      </c>
      <c r="Z511" s="189" t="s">
        <v>558</v>
      </c>
      <c r="AA511" s="189" t="s">
        <v>187</v>
      </c>
    </row>
    <row r="512">
      <c r="A512" s="189">
        <f>IFERROR(__xludf.DUMMYFUNCTION("""COMPUTED_VALUE"""),207529.0)</f>
        <v>207529</v>
      </c>
      <c r="B512" s="189">
        <f>IFERROR(__xludf.DUMMYFUNCTION("""COMPUTED_VALUE"""),91437.0)</f>
        <v>91437</v>
      </c>
      <c r="C512" s="189" t="str">
        <f>IFERROR(__xludf.DUMMYFUNCTION("""COMPUTED_VALUE"""),"Challengers League 2025 Spain Rising: Split 3 - Group Stage")</f>
        <v>Challengers League 2025 Spain Rising: Split 3 - Group Stage</v>
      </c>
      <c r="D512" s="189" t="str">
        <f>IFERROR(__xludf.DUMMYFUNCTION("""COMPUTED_VALUE"""),"Lotus")</f>
        <v>Lotus</v>
      </c>
      <c r="E512" s="189" t="str">
        <f>IFERROR(__xludf.DUMMYFUNCTION("""COMPUTED_VALUE"""),"UCAM Esports Club")</f>
        <v>UCAM Esports Club</v>
      </c>
      <c r="F512" s="189" t="str">
        <f>IFERROR(__xludf.DUMMYFUNCTION("""COMPUTED_VALUE"""),"KOI Fénix")</f>
        <v>KOI Fénix</v>
      </c>
      <c r="G512" s="189" t="str">
        <f>IFERROR(__xludf.DUMMYFUNCTION("""COMPUTED_VALUE"""),"Breach,Cypher,Sova,Omen,Neon")</f>
        <v>Breach,Cypher,Sova,Omen,Neon</v>
      </c>
      <c r="H512" s="189" t="str">
        <f>IFERROR(__xludf.DUMMYFUNCTION("""COMPUTED_VALUE"""),"Breach,Sova,Killjoy,Omen,Neon")</f>
        <v>Breach,Sova,Killjoy,Omen,Neon</v>
      </c>
      <c r="I512" s="189">
        <f>IFERROR(__xludf.DUMMYFUNCTION("""COMPUTED_VALUE"""),11.0)</f>
        <v>11</v>
      </c>
      <c r="J512" s="189">
        <f>IFERROR(__xludf.DUMMYFUNCTION("""COMPUTED_VALUE"""),13.0)</f>
        <v>13</v>
      </c>
      <c r="K512" s="189">
        <f>IFERROR(__xludf.DUMMYFUNCTION("""COMPUTED_VALUE"""),6.0)</f>
        <v>6</v>
      </c>
      <c r="L512" s="189">
        <f>IFERROR(__xludf.DUMMYFUNCTION("""COMPUTED_VALUE"""),6.0)</f>
        <v>6</v>
      </c>
      <c r="M512" s="189">
        <f>IFERROR(__xludf.DUMMYFUNCTION("""COMPUTED_VALUE"""),0.0)</f>
        <v>0</v>
      </c>
      <c r="N512" s="189">
        <f>IFERROR(__xludf.DUMMYFUNCTION("""COMPUTED_VALUE"""),1.0)</f>
        <v>1</v>
      </c>
      <c r="O512" s="189">
        <f>IFERROR(__xludf.DUMMYFUNCTION("""COMPUTED_VALUE"""),6.0)</f>
        <v>6</v>
      </c>
      <c r="P512" s="189">
        <f>IFERROR(__xludf.DUMMYFUNCTION("""COMPUTED_VALUE"""),6.0)</f>
        <v>6</v>
      </c>
      <c r="Q512" s="189">
        <f>IFERROR(__xludf.DUMMYFUNCTION("""COMPUTED_VALUE"""),5.0)</f>
        <v>5</v>
      </c>
      <c r="R512" s="189">
        <f>IFERROR(__xludf.DUMMYFUNCTION("""COMPUTED_VALUE"""),7.0)</f>
        <v>7</v>
      </c>
      <c r="S512" s="189">
        <f>IFERROR(__xludf.DUMMYFUNCTION("""COMPUTED_VALUE"""),0.0)</f>
        <v>0</v>
      </c>
      <c r="T512" s="189">
        <f>IFERROR(__xludf.DUMMYFUNCTION("""COMPUTED_VALUE"""),1.0)</f>
        <v>1</v>
      </c>
      <c r="U512" s="189">
        <f>IFERROR(__xludf.DUMMYFUNCTION("""COMPUTED_VALUE"""),7.0)</f>
        <v>7</v>
      </c>
      <c r="V512" s="189">
        <f>IFERROR(__xludf.DUMMYFUNCTION("""COMPUTED_VALUE"""),5.0)</f>
        <v>5</v>
      </c>
      <c r="W512" s="189">
        <f>IFERROR(__xludf.DUMMYFUNCTION("""COMPUTED_VALUE"""),6.0)</f>
        <v>6</v>
      </c>
      <c r="X512" s="189">
        <f>IFERROR(__xludf.DUMMYFUNCTION("""COMPUTED_VALUE"""),6.0)</f>
        <v>6</v>
      </c>
      <c r="Y512" s="208" t="str">
        <f>IFERROR(__xludf.DUMMYFUNCTION("""COMPUTED_VALUE"""),"2025-07-08T00:00:00.000Z")</f>
        <v>2025-07-08T00:00:00.000Z</v>
      </c>
      <c r="Z512" s="189" t="s">
        <v>499</v>
      </c>
      <c r="AA512" s="189" t="s">
        <v>187</v>
      </c>
    </row>
    <row r="513">
      <c r="A513" s="189">
        <f>IFERROR(__xludf.DUMMYFUNCTION("""COMPUTED_VALUE"""),207528.0)</f>
        <v>207528</v>
      </c>
      <c r="B513" s="189">
        <f>IFERROR(__xludf.DUMMYFUNCTION("""COMPUTED_VALUE"""),91437.0)</f>
        <v>91437</v>
      </c>
      <c r="C513" s="189" t="str">
        <f>IFERROR(__xludf.DUMMYFUNCTION("""COMPUTED_VALUE"""),"Challengers League 2025 Spain Rising: Split 3 - Group Stage")</f>
        <v>Challengers League 2025 Spain Rising: Split 3 - Group Stage</v>
      </c>
      <c r="D513" s="189" t="str">
        <f>IFERROR(__xludf.DUMMYFUNCTION("""COMPUTED_VALUE"""),"Bind")</f>
        <v>Bind</v>
      </c>
      <c r="E513" s="189" t="str">
        <f>IFERROR(__xludf.DUMMYFUNCTION("""COMPUTED_VALUE"""),"UCAM Esports Club")</f>
        <v>UCAM Esports Club</v>
      </c>
      <c r="F513" s="189" t="str">
        <f>IFERROR(__xludf.DUMMYFUNCTION("""COMPUTED_VALUE"""),"KOI Fénix")</f>
        <v>KOI Fénix</v>
      </c>
      <c r="G513" s="189" t="str">
        <f>IFERROR(__xludf.DUMMYFUNCTION("""COMPUTED_VALUE"""),"Raze,Cypher,Brimstone,Skye,Gekko")</f>
        <v>Raze,Cypher,Brimstone,Skye,Gekko</v>
      </c>
      <c r="H513" s="189" t="str">
        <f>IFERROR(__xludf.DUMMYFUNCTION("""COMPUTED_VALUE"""),"Yoru,Astra,Gekko,Deadlock,Vyse")</f>
        <v>Yoru,Astra,Gekko,Deadlock,Vyse</v>
      </c>
      <c r="I513" s="189">
        <f>IFERROR(__xludf.DUMMYFUNCTION("""COMPUTED_VALUE"""),14.0)</f>
        <v>14</v>
      </c>
      <c r="J513" s="189">
        <f>IFERROR(__xludf.DUMMYFUNCTION("""COMPUTED_VALUE"""),12.0)</f>
        <v>12</v>
      </c>
      <c r="K513" s="189">
        <f>IFERROR(__xludf.DUMMYFUNCTION("""COMPUTED_VALUE"""),7.0)</f>
        <v>7</v>
      </c>
      <c r="L513" s="189">
        <f>IFERROR(__xludf.DUMMYFUNCTION("""COMPUTED_VALUE"""),5.0)</f>
        <v>5</v>
      </c>
      <c r="M513" s="189">
        <f>IFERROR(__xludf.DUMMYFUNCTION("""COMPUTED_VALUE"""),1.0)</f>
        <v>1</v>
      </c>
      <c r="N513" s="189">
        <f>IFERROR(__xludf.DUMMYFUNCTION("""COMPUTED_VALUE"""),1.0)</f>
        <v>1</v>
      </c>
      <c r="O513" s="189">
        <f>IFERROR(__xludf.DUMMYFUNCTION("""COMPUTED_VALUE"""),6.0)</f>
        <v>6</v>
      </c>
      <c r="P513" s="189">
        <f>IFERROR(__xludf.DUMMYFUNCTION("""COMPUTED_VALUE"""),7.0)</f>
        <v>7</v>
      </c>
      <c r="Q513" s="189">
        <f>IFERROR(__xludf.DUMMYFUNCTION("""COMPUTED_VALUE"""),8.0)</f>
        <v>8</v>
      </c>
      <c r="R513" s="189">
        <f>IFERROR(__xludf.DUMMYFUNCTION("""COMPUTED_VALUE"""),5.0)</f>
        <v>5</v>
      </c>
      <c r="S513" s="189">
        <f>IFERROR(__xludf.DUMMYFUNCTION("""COMPUTED_VALUE"""),0.0)</f>
        <v>0</v>
      </c>
      <c r="T513" s="189">
        <f>IFERROR(__xludf.DUMMYFUNCTION("""COMPUTED_VALUE"""),0.0)</f>
        <v>0</v>
      </c>
      <c r="U513" s="189">
        <f>IFERROR(__xludf.DUMMYFUNCTION("""COMPUTED_VALUE"""),5.0)</f>
        <v>5</v>
      </c>
      <c r="V513" s="189">
        <f>IFERROR(__xludf.DUMMYFUNCTION("""COMPUTED_VALUE"""),8.0)</f>
        <v>8</v>
      </c>
      <c r="W513" s="189">
        <f>IFERROR(__xludf.DUMMYFUNCTION("""COMPUTED_VALUE"""),7.0)</f>
        <v>7</v>
      </c>
      <c r="X513" s="189">
        <f>IFERROR(__xludf.DUMMYFUNCTION("""COMPUTED_VALUE"""),6.0)</f>
        <v>6</v>
      </c>
      <c r="Y513" s="208" t="str">
        <f>IFERROR(__xludf.DUMMYFUNCTION("""COMPUTED_VALUE"""),"2025-07-08T00:00:00.000Z")</f>
        <v>2025-07-08T00:00:00.000Z</v>
      </c>
      <c r="Z513" s="189" t="s">
        <v>559</v>
      </c>
      <c r="AA513" s="189" t="s">
        <v>448</v>
      </c>
    </row>
    <row r="514">
      <c r="A514" s="189">
        <f>IFERROR(__xludf.DUMMYFUNCTION("""COMPUTED_VALUE"""),209340.0)</f>
        <v>209340</v>
      </c>
      <c r="B514" s="189">
        <f>IFERROR(__xludf.DUMMYFUNCTION("""COMPUTED_VALUE"""),92121.0)</f>
        <v>92121</v>
      </c>
      <c r="C514" s="189" t="str">
        <f>IFERROR(__xludf.DUMMYFUNCTION("""COMPUTED_VALUE"""),"Challengers League 2025 NORTH EAST: Split 3 - Lower Swiss Phase")</f>
        <v>Challengers League 2025 NORTH EAST: Split 3 - Lower Swiss Phase</v>
      </c>
      <c r="D514" s="189" t="str">
        <f>IFERROR(__xludf.DUMMYFUNCTION("""COMPUTED_VALUE"""),"Lotus")</f>
        <v>Lotus</v>
      </c>
      <c r="E514" s="189" t="str">
        <f>IFERROR(__xludf.DUMMYFUNCTION("""COMPUTED_VALUE"""),"děti ulice")</f>
        <v>děti ulice</v>
      </c>
      <c r="F514" s="189" t="str">
        <f>IFERROR(__xludf.DUMMYFUNCTION("""COMPUTED_VALUE"""),"FULL BOX 200")</f>
        <v>FULL BOX 200</v>
      </c>
      <c r="G514" s="189" t="str">
        <f>IFERROR(__xludf.DUMMYFUNCTION("""COMPUTED_VALUE"""),"Breach,Sova,Viper,Omen,Neon")</f>
        <v>Breach,Sova,Viper,Omen,Neon</v>
      </c>
      <c r="H514" s="189" t="str">
        <f>IFERROR(__xludf.DUMMYFUNCTION("""COMPUTED_VALUE"""),"Breach,Killjoy,Omen,Neon,Fade")</f>
        <v>Breach,Killjoy,Omen,Neon,Fade</v>
      </c>
      <c r="I514" s="189">
        <f>IFERROR(__xludf.DUMMYFUNCTION("""COMPUTED_VALUE"""),11.0)</f>
        <v>11</v>
      </c>
      <c r="J514" s="189">
        <f>IFERROR(__xludf.DUMMYFUNCTION("""COMPUTED_VALUE"""),13.0)</f>
        <v>13</v>
      </c>
      <c r="K514" s="189">
        <f>IFERROR(__xludf.DUMMYFUNCTION("""COMPUTED_VALUE"""),7.0)</f>
        <v>7</v>
      </c>
      <c r="L514" s="189">
        <f>IFERROR(__xludf.DUMMYFUNCTION("""COMPUTED_VALUE"""),5.0)</f>
        <v>5</v>
      </c>
      <c r="M514" s="189">
        <f>IFERROR(__xludf.DUMMYFUNCTION("""COMPUTED_VALUE"""),1.0)</f>
        <v>1</v>
      </c>
      <c r="N514" s="189">
        <f>IFERROR(__xludf.DUMMYFUNCTION("""COMPUTED_VALUE"""),0.0)</f>
        <v>0</v>
      </c>
      <c r="O514" s="189">
        <f>IFERROR(__xludf.DUMMYFUNCTION("""COMPUTED_VALUE"""),7.0)</f>
        <v>7</v>
      </c>
      <c r="P514" s="189">
        <f>IFERROR(__xludf.DUMMYFUNCTION("""COMPUTED_VALUE"""),5.0)</f>
        <v>5</v>
      </c>
      <c r="Q514" s="189">
        <f>IFERROR(__xludf.DUMMYFUNCTION("""COMPUTED_VALUE"""),4.0)</f>
        <v>4</v>
      </c>
      <c r="R514" s="189">
        <f>IFERROR(__xludf.DUMMYFUNCTION("""COMPUTED_VALUE"""),8.0)</f>
        <v>8</v>
      </c>
      <c r="S514" s="189">
        <f>IFERROR(__xludf.DUMMYFUNCTION("""COMPUTED_VALUE"""),1.0)</f>
        <v>1</v>
      </c>
      <c r="T514" s="189">
        <f>IFERROR(__xludf.DUMMYFUNCTION("""COMPUTED_VALUE"""),0.0)</f>
        <v>0</v>
      </c>
      <c r="U514" s="189">
        <f>IFERROR(__xludf.DUMMYFUNCTION("""COMPUTED_VALUE"""),8.0)</f>
        <v>8</v>
      </c>
      <c r="V514" s="189">
        <f>IFERROR(__xludf.DUMMYFUNCTION("""COMPUTED_VALUE"""),4.0)</f>
        <v>4</v>
      </c>
      <c r="W514" s="189">
        <f>IFERROR(__xludf.DUMMYFUNCTION("""COMPUTED_VALUE"""),5.0)</f>
        <v>5</v>
      </c>
      <c r="X514" s="189">
        <f>IFERROR(__xludf.DUMMYFUNCTION("""COMPUTED_VALUE"""),7.0)</f>
        <v>7</v>
      </c>
      <c r="Y514" s="208" t="str">
        <f>IFERROR(__xludf.DUMMYFUNCTION("""COMPUTED_VALUE"""),"2025-07-07T00:00:00.000Z")</f>
        <v>2025-07-07T00:00:00.000Z</v>
      </c>
      <c r="Z514" s="189" t="s">
        <v>90</v>
      </c>
      <c r="AA514" s="189" t="s">
        <v>450</v>
      </c>
    </row>
    <row r="515">
      <c r="A515" s="189">
        <f>IFERROR(__xludf.DUMMYFUNCTION("""COMPUTED_VALUE"""),209339.0)</f>
        <v>209339</v>
      </c>
      <c r="B515" s="189">
        <f>IFERROR(__xludf.DUMMYFUNCTION("""COMPUTED_VALUE"""),92121.0)</f>
        <v>92121</v>
      </c>
      <c r="C515" s="189" t="str">
        <f>IFERROR(__xludf.DUMMYFUNCTION("""COMPUTED_VALUE"""),"Challengers League 2025 NORTH EAST: Split 3 - Lower Swiss Phase")</f>
        <v>Challengers League 2025 NORTH EAST: Split 3 - Lower Swiss Phase</v>
      </c>
      <c r="D515" s="189" t="str">
        <f>IFERROR(__xludf.DUMMYFUNCTION("""COMPUTED_VALUE"""),"Split")</f>
        <v>Split</v>
      </c>
      <c r="E515" s="189" t="str">
        <f>IFERROR(__xludf.DUMMYFUNCTION("""COMPUTED_VALUE"""),"děti ulice")</f>
        <v>děti ulice</v>
      </c>
      <c r="F515" s="189" t="str">
        <f>IFERROR(__xludf.DUMMYFUNCTION("""COMPUTED_VALUE"""),"FULL BOX 200")</f>
        <v>FULL BOX 200</v>
      </c>
      <c r="G515" s="189" t="str">
        <f>IFERROR(__xludf.DUMMYFUNCTION("""COMPUTED_VALUE"""),"Raze,Viper,Yoru,Astra,Fade")</f>
        <v>Raze,Viper,Yoru,Astra,Fade</v>
      </c>
      <c r="H515" s="189" t="str">
        <f>IFERROR(__xludf.DUMMYFUNCTION("""COMPUTED_VALUE"""),"Viper,Sage,Omen,Yoru,Fade")</f>
        <v>Viper,Sage,Omen,Yoru,Fade</v>
      </c>
      <c r="I515" s="189">
        <f>IFERROR(__xludf.DUMMYFUNCTION("""COMPUTED_VALUE"""),11.0)</f>
        <v>11</v>
      </c>
      <c r="J515" s="189">
        <f>IFERROR(__xludf.DUMMYFUNCTION("""COMPUTED_VALUE"""),13.0)</f>
        <v>13</v>
      </c>
      <c r="K515" s="189">
        <f>IFERROR(__xludf.DUMMYFUNCTION("""COMPUTED_VALUE"""),2.0)</f>
        <v>2</v>
      </c>
      <c r="L515" s="189">
        <f>IFERROR(__xludf.DUMMYFUNCTION("""COMPUTED_VALUE"""),10.0)</f>
        <v>10</v>
      </c>
      <c r="M515" s="189">
        <f>IFERROR(__xludf.DUMMYFUNCTION("""COMPUTED_VALUE"""),0.0)</f>
        <v>0</v>
      </c>
      <c r="N515" s="189">
        <f>IFERROR(__xludf.DUMMYFUNCTION("""COMPUTED_VALUE"""),0.0)</f>
        <v>0</v>
      </c>
      <c r="O515" s="189">
        <f>IFERROR(__xludf.DUMMYFUNCTION("""COMPUTED_VALUE"""),2.0)</f>
        <v>2</v>
      </c>
      <c r="P515" s="189">
        <f>IFERROR(__xludf.DUMMYFUNCTION("""COMPUTED_VALUE"""),10.0)</f>
        <v>10</v>
      </c>
      <c r="Q515" s="189">
        <f>IFERROR(__xludf.DUMMYFUNCTION("""COMPUTED_VALUE"""),9.0)</f>
        <v>9</v>
      </c>
      <c r="R515" s="189">
        <f>IFERROR(__xludf.DUMMYFUNCTION("""COMPUTED_VALUE"""),3.0)</f>
        <v>3</v>
      </c>
      <c r="S515" s="189">
        <f>IFERROR(__xludf.DUMMYFUNCTION("""COMPUTED_VALUE"""),1.0)</f>
        <v>1</v>
      </c>
      <c r="T515" s="189">
        <f>IFERROR(__xludf.DUMMYFUNCTION("""COMPUTED_VALUE"""),1.0)</f>
        <v>1</v>
      </c>
      <c r="U515" s="189">
        <f>IFERROR(__xludf.DUMMYFUNCTION("""COMPUTED_VALUE"""),3.0)</f>
        <v>3</v>
      </c>
      <c r="V515" s="189">
        <f>IFERROR(__xludf.DUMMYFUNCTION("""COMPUTED_VALUE"""),9.0)</f>
        <v>9</v>
      </c>
      <c r="W515" s="189">
        <f>IFERROR(__xludf.DUMMYFUNCTION("""COMPUTED_VALUE"""),10.0)</f>
        <v>10</v>
      </c>
      <c r="X515" s="189">
        <f>IFERROR(__xludf.DUMMYFUNCTION("""COMPUTED_VALUE"""),2.0)</f>
        <v>2</v>
      </c>
      <c r="Y515" s="208" t="str">
        <f>IFERROR(__xludf.DUMMYFUNCTION("""COMPUTED_VALUE"""),"2025-07-07T00:00:00.000Z")</f>
        <v>2025-07-07T00:00:00.000Z</v>
      </c>
      <c r="Z515" s="189" t="s">
        <v>91</v>
      </c>
      <c r="AA515" s="189" t="s">
        <v>450</v>
      </c>
    </row>
    <row r="516">
      <c r="A516" s="189">
        <f>IFERROR(__xludf.DUMMYFUNCTION("""COMPUTED_VALUE"""),209298.0)</f>
        <v>209298</v>
      </c>
      <c r="B516" s="189">
        <f>IFERROR(__xludf.DUMMYFUNCTION("""COMPUTED_VALUE"""),92096.0)</f>
        <v>92096</v>
      </c>
      <c r="C516" s="189" t="str">
        <f>IFERROR(__xludf.DUMMYFUNCTION("""COMPUTED_VALUE"""),"Challengers League 2025 NORTH EAST: Split 3 - Lower Swiss Phase")</f>
        <v>Challengers League 2025 NORTH EAST: Split 3 - Lower Swiss Phase</v>
      </c>
      <c r="D516" s="189" t="str">
        <f>IFERROR(__xludf.DUMMYFUNCTION("""COMPUTED_VALUE"""),"Sunset")</f>
        <v>Sunset</v>
      </c>
      <c r="E516" s="189" t="str">
        <f>IFERROR(__xludf.DUMMYFUNCTION("""COMPUTED_VALUE"""),"ACEGEAR TEMPEST")</f>
        <v>ACEGEAR TEMPEST</v>
      </c>
      <c r="F516" s="189" t="str">
        <f>IFERROR(__xludf.DUMMYFUNCTION("""COMPUTED_VALUE"""),"děti ulice")</f>
        <v>děti ulice</v>
      </c>
      <c r="G516" s="189" t="str">
        <f>IFERROR(__xludf.DUMMYFUNCTION("""COMPUTED_VALUE"""),"Breach,Raze,Cypher,Sova,Omen")</f>
        <v>Breach,Raze,Cypher,Sova,Omen</v>
      </c>
      <c r="H516" s="189" t="str">
        <f>IFERROR(__xludf.DUMMYFUNCTION("""COMPUTED_VALUE"""),"Raze,Viper,Skye,Astra,Gekko")</f>
        <v>Raze,Viper,Skye,Astra,Gekko</v>
      </c>
      <c r="I516" s="189">
        <f>IFERROR(__xludf.DUMMYFUNCTION("""COMPUTED_VALUE"""),7.0)</f>
        <v>7</v>
      </c>
      <c r="J516" s="189">
        <f>IFERROR(__xludf.DUMMYFUNCTION("""COMPUTED_VALUE"""),13.0)</f>
        <v>13</v>
      </c>
      <c r="K516" s="189">
        <f>IFERROR(__xludf.DUMMYFUNCTION("""COMPUTED_VALUE"""),1.0)</f>
        <v>1</v>
      </c>
      <c r="L516" s="189">
        <f>IFERROR(__xludf.DUMMYFUNCTION("""COMPUTED_VALUE"""),11.0)</f>
        <v>11</v>
      </c>
      <c r="M516" s="189">
        <f>IFERROR(__xludf.DUMMYFUNCTION("""COMPUTED_VALUE"""),1.0)</f>
        <v>1</v>
      </c>
      <c r="N516" s="189">
        <f>IFERROR(__xludf.DUMMYFUNCTION("""COMPUTED_VALUE"""),0.0)</f>
        <v>0</v>
      </c>
      <c r="O516" s="189">
        <f>IFERROR(__xludf.DUMMYFUNCTION("""COMPUTED_VALUE"""),6.0)</f>
        <v>6</v>
      </c>
      <c r="P516" s="189">
        <f>IFERROR(__xludf.DUMMYFUNCTION("""COMPUTED_VALUE"""),2.0)</f>
        <v>2</v>
      </c>
      <c r="Q516" s="189">
        <f>IFERROR(__xludf.DUMMYFUNCTION("""COMPUTED_VALUE"""),1.0)</f>
        <v>1</v>
      </c>
      <c r="R516" s="189">
        <f>IFERROR(__xludf.DUMMYFUNCTION("""COMPUTED_VALUE"""),11.0)</f>
        <v>11</v>
      </c>
      <c r="S516" s="189">
        <f>IFERROR(__xludf.DUMMYFUNCTION("""COMPUTED_VALUE"""),1.0)</f>
        <v>1</v>
      </c>
      <c r="T516" s="189">
        <f>IFERROR(__xludf.DUMMYFUNCTION("""COMPUTED_VALUE"""),0.0)</f>
        <v>0</v>
      </c>
      <c r="U516" s="189">
        <f>IFERROR(__xludf.DUMMYFUNCTION("""COMPUTED_VALUE"""),11.0)</f>
        <v>11</v>
      </c>
      <c r="V516" s="189">
        <f>IFERROR(__xludf.DUMMYFUNCTION("""COMPUTED_VALUE"""),1.0)</f>
        <v>1</v>
      </c>
      <c r="W516" s="189">
        <f>IFERROR(__xludf.DUMMYFUNCTION("""COMPUTED_VALUE"""),2.0)</f>
        <v>2</v>
      </c>
      <c r="X516" s="189">
        <f>IFERROR(__xludf.DUMMYFUNCTION("""COMPUTED_VALUE"""),6.0)</f>
        <v>6</v>
      </c>
      <c r="Y516" s="208" t="str">
        <f>IFERROR(__xludf.DUMMYFUNCTION("""COMPUTED_VALUE"""),"2025-07-07T00:00:00.000Z")</f>
        <v>2025-07-07T00:00:00.000Z</v>
      </c>
      <c r="Z516" s="189" t="s">
        <v>560</v>
      </c>
      <c r="AA516" s="189" t="s">
        <v>190</v>
      </c>
    </row>
    <row r="517">
      <c r="A517" s="189">
        <f>IFERROR(__xludf.DUMMYFUNCTION("""COMPUTED_VALUE"""),209297.0)</f>
        <v>209297</v>
      </c>
      <c r="B517" s="189">
        <f>IFERROR(__xludf.DUMMYFUNCTION("""COMPUTED_VALUE"""),92096.0)</f>
        <v>92096</v>
      </c>
      <c r="C517" s="189" t="str">
        <f>IFERROR(__xludf.DUMMYFUNCTION("""COMPUTED_VALUE"""),"Challengers League 2025 NORTH EAST: Split 3 - Lower Swiss Phase")</f>
        <v>Challengers League 2025 NORTH EAST: Split 3 - Lower Swiss Phase</v>
      </c>
      <c r="D517" s="189" t="str">
        <f>IFERROR(__xludf.DUMMYFUNCTION("""COMPUTED_VALUE"""),"Split")</f>
        <v>Split</v>
      </c>
      <c r="E517" s="189" t="str">
        <f>IFERROR(__xludf.DUMMYFUNCTION("""COMPUTED_VALUE"""),"ACEGEAR TEMPEST")</f>
        <v>ACEGEAR TEMPEST</v>
      </c>
      <c r="F517" s="189" t="str">
        <f>IFERROR(__xludf.DUMMYFUNCTION("""COMPUTED_VALUE"""),"děti ulice")</f>
        <v>děti ulice</v>
      </c>
      <c r="G517" s="189" t="str">
        <f>IFERROR(__xludf.DUMMYFUNCTION("""COMPUTED_VALUE"""),"Raze,Viper,Yoru,Astra,Fade")</f>
        <v>Raze,Viper,Yoru,Astra,Fade</v>
      </c>
      <c r="H517" s="189" t="str">
        <f>IFERROR(__xludf.DUMMYFUNCTION("""COMPUTED_VALUE"""),"Raze,Viper,Yoru,Astra,Fade")</f>
        <v>Raze,Viper,Yoru,Astra,Fade</v>
      </c>
      <c r="I517" s="189">
        <f>IFERROR(__xludf.DUMMYFUNCTION("""COMPUTED_VALUE"""),5.0)</f>
        <v>5</v>
      </c>
      <c r="J517" s="189">
        <f>IFERROR(__xludf.DUMMYFUNCTION("""COMPUTED_VALUE"""),13.0)</f>
        <v>13</v>
      </c>
      <c r="K517" s="189">
        <f>IFERROR(__xludf.DUMMYFUNCTION("""COMPUTED_VALUE"""),4.0)</f>
        <v>4</v>
      </c>
      <c r="L517" s="189">
        <f>IFERROR(__xludf.DUMMYFUNCTION("""COMPUTED_VALUE"""),8.0)</f>
        <v>8</v>
      </c>
      <c r="M517" s="189">
        <f>IFERROR(__xludf.DUMMYFUNCTION("""COMPUTED_VALUE"""),0.0)</f>
        <v>0</v>
      </c>
      <c r="N517" s="189">
        <f>IFERROR(__xludf.DUMMYFUNCTION("""COMPUTED_VALUE"""),0.0)</f>
        <v>0</v>
      </c>
      <c r="O517" s="189">
        <f>IFERROR(__xludf.DUMMYFUNCTION("""COMPUTED_VALUE"""),1.0)</f>
        <v>1</v>
      </c>
      <c r="P517" s="189">
        <f>IFERROR(__xludf.DUMMYFUNCTION("""COMPUTED_VALUE"""),5.0)</f>
        <v>5</v>
      </c>
      <c r="Q517" s="189">
        <f>IFERROR(__xludf.DUMMYFUNCTION("""COMPUTED_VALUE"""),4.0)</f>
        <v>4</v>
      </c>
      <c r="R517" s="189">
        <f>IFERROR(__xludf.DUMMYFUNCTION("""COMPUTED_VALUE"""),8.0)</f>
        <v>8</v>
      </c>
      <c r="S517" s="189">
        <f>IFERROR(__xludf.DUMMYFUNCTION("""COMPUTED_VALUE"""),1.0)</f>
        <v>1</v>
      </c>
      <c r="T517" s="189">
        <f>IFERROR(__xludf.DUMMYFUNCTION("""COMPUTED_VALUE"""),1.0)</f>
        <v>1</v>
      </c>
      <c r="U517" s="189">
        <f>IFERROR(__xludf.DUMMYFUNCTION("""COMPUTED_VALUE"""),8.0)</f>
        <v>8</v>
      </c>
      <c r="V517" s="189">
        <f>IFERROR(__xludf.DUMMYFUNCTION("""COMPUTED_VALUE"""),4.0)</f>
        <v>4</v>
      </c>
      <c r="W517" s="189">
        <f>IFERROR(__xludf.DUMMYFUNCTION("""COMPUTED_VALUE"""),5.0)</f>
        <v>5</v>
      </c>
      <c r="X517" s="189">
        <f>IFERROR(__xludf.DUMMYFUNCTION("""COMPUTED_VALUE"""),1.0)</f>
        <v>1</v>
      </c>
      <c r="Y517" s="208" t="str">
        <f>IFERROR(__xludf.DUMMYFUNCTION("""COMPUTED_VALUE"""),"2025-07-07T00:00:00.000Z")</f>
        <v>2025-07-07T00:00:00.000Z</v>
      </c>
      <c r="Z517" s="189" t="s">
        <v>561</v>
      </c>
      <c r="AA517" s="189" t="s">
        <v>190</v>
      </c>
    </row>
    <row r="518">
      <c r="A518" s="189">
        <f>IFERROR(__xludf.DUMMYFUNCTION("""COMPUTED_VALUE"""),209296.0)</f>
        <v>209296</v>
      </c>
      <c r="B518" s="189">
        <f>IFERROR(__xludf.DUMMYFUNCTION("""COMPUTED_VALUE"""),92096.0)</f>
        <v>92096</v>
      </c>
      <c r="C518" s="189" t="str">
        <f>IFERROR(__xludf.DUMMYFUNCTION("""COMPUTED_VALUE"""),"Challengers League 2025 NORTH EAST: Split 3 - Lower Swiss Phase")</f>
        <v>Challengers League 2025 NORTH EAST: Split 3 - Lower Swiss Phase</v>
      </c>
      <c r="D518" s="189" t="str">
        <f>IFERROR(__xludf.DUMMYFUNCTION("""COMPUTED_VALUE"""),"Lotus")</f>
        <v>Lotus</v>
      </c>
      <c r="E518" s="189" t="str">
        <f>IFERROR(__xludf.DUMMYFUNCTION("""COMPUTED_VALUE"""),"ACEGEAR TEMPEST")</f>
        <v>ACEGEAR TEMPEST</v>
      </c>
      <c r="F518" s="189" t="str">
        <f>IFERROR(__xludf.DUMMYFUNCTION("""COMPUTED_VALUE"""),"děti ulice")</f>
        <v>děti ulice</v>
      </c>
      <c r="G518" s="189" t="str">
        <f>IFERROR(__xludf.DUMMYFUNCTION("""COMPUTED_VALUE"""),"Raze,Viper,Omen,Fade,Vyse")</f>
        <v>Raze,Viper,Omen,Fade,Vyse</v>
      </c>
      <c r="H518" s="189" t="str">
        <f>IFERROR(__xludf.DUMMYFUNCTION("""COMPUTED_VALUE"""),"Sova,Viper,Omen,Yoru,Fade")</f>
        <v>Sova,Viper,Omen,Yoru,Fade</v>
      </c>
      <c r="I518" s="189">
        <f>IFERROR(__xludf.DUMMYFUNCTION("""COMPUTED_VALUE"""),13.0)</f>
        <v>13</v>
      </c>
      <c r="J518" s="189">
        <f>IFERROR(__xludf.DUMMYFUNCTION("""COMPUTED_VALUE"""),11.0)</f>
        <v>11</v>
      </c>
      <c r="K518" s="189">
        <f>IFERROR(__xludf.DUMMYFUNCTION("""COMPUTED_VALUE"""),6.0)</f>
        <v>6</v>
      </c>
      <c r="L518" s="189">
        <f>IFERROR(__xludf.DUMMYFUNCTION("""COMPUTED_VALUE"""),6.0)</f>
        <v>6</v>
      </c>
      <c r="M518" s="189">
        <f>IFERROR(__xludf.DUMMYFUNCTION("""COMPUTED_VALUE"""),1.0)</f>
        <v>1</v>
      </c>
      <c r="N518" s="189">
        <f>IFERROR(__xludf.DUMMYFUNCTION("""COMPUTED_VALUE"""),0.0)</f>
        <v>0</v>
      </c>
      <c r="O518" s="189">
        <f>IFERROR(__xludf.DUMMYFUNCTION("""COMPUTED_VALUE"""),7.0)</f>
        <v>7</v>
      </c>
      <c r="P518" s="189">
        <f>IFERROR(__xludf.DUMMYFUNCTION("""COMPUTED_VALUE"""),5.0)</f>
        <v>5</v>
      </c>
      <c r="Q518" s="189">
        <f>IFERROR(__xludf.DUMMYFUNCTION("""COMPUTED_VALUE"""),6.0)</f>
        <v>6</v>
      </c>
      <c r="R518" s="189">
        <f>IFERROR(__xludf.DUMMYFUNCTION("""COMPUTED_VALUE"""),6.0)</f>
        <v>6</v>
      </c>
      <c r="S518" s="189">
        <f>IFERROR(__xludf.DUMMYFUNCTION("""COMPUTED_VALUE"""),1.0)</f>
        <v>1</v>
      </c>
      <c r="T518" s="189">
        <f>IFERROR(__xludf.DUMMYFUNCTION("""COMPUTED_VALUE"""),0.0)</f>
        <v>0</v>
      </c>
      <c r="U518" s="189">
        <f>IFERROR(__xludf.DUMMYFUNCTION("""COMPUTED_VALUE"""),6.0)</f>
        <v>6</v>
      </c>
      <c r="V518" s="189">
        <f>IFERROR(__xludf.DUMMYFUNCTION("""COMPUTED_VALUE"""),6.0)</f>
        <v>6</v>
      </c>
      <c r="W518" s="189">
        <f>IFERROR(__xludf.DUMMYFUNCTION("""COMPUTED_VALUE"""),5.0)</f>
        <v>5</v>
      </c>
      <c r="X518" s="189">
        <f>IFERROR(__xludf.DUMMYFUNCTION("""COMPUTED_VALUE"""),7.0)</f>
        <v>7</v>
      </c>
      <c r="Y518" s="208" t="str">
        <f>IFERROR(__xludf.DUMMYFUNCTION("""COMPUTED_VALUE"""),"2025-07-07T00:00:00.000Z")</f>
        <v>2025-07-07T00:00:00.000Z</v>
      </c>
      <c r="Z518" s="189" t="s">
        <v>562</v>
      </c>
      <c r="AA518" s="189" t="s">
        <v>452</v>
      </c>
    </row>
    <row r="519">
      <c r="A519" s="189">
        <f>IFERROR(__xludf.DUMMYFUNCTION("""COMPUTED_VALUE"""),208378.0)</f>
        <v>208378</v>
      </c>
      <c r="B519" s="189">
        <f>IFERROR(__xludf.DUMMYFUNCTION("""COMPUTED_VALUE"""),91774.0)</f>
        <v>91774</v>
      </c>
      <c r="C519" s="189" t="str">
        <f>IFERROR(__xludf.DUMMYFUNCTION("""COMPUTED_VALUE"""),"Challengers League 2025 Türkiye Birlik: Split 3 - Group Stage")</f>
        <v>Challengers League 2025 Türkiye Birlik: Split 3 - Group Stage</v>
      </c>
      <c r="D519" s="189" t="str">
        <f>IFERROR(__xludf.DUMMYFUNCTION("""COMPUTED_VALUE"""),"Sunset")</f>
        <v>Sunset</v>
      </c>
      <c r="E519" s="189" t="str">
        <f>IFERROR(__xludf.DUMMYFUNCTION("""COMPUTED_VALUE"""),"Galakticos")</f>
        <v>Galakticos</v>
      </c>
      <c r="F519" s="189" t="str">
        <f>IFERROR(__xludf.DUMMYFUNCTION("""COMPUTED_VALUE"""),"ULF Esports")</f>
        <v>ULF Esports</v>
      </c>
      <c r="G519" s="189" t="str">
        <f>IFERROR(__xludf.DUMMYFUNCTION("""COMPUTED_VALUE"""),"Breach,Raze,Cypher,Omen,Neon")</f>
        <v>Breach,Raze,Cypher,Omen,Neon</v>
      </c>
      <c r="H519" s="189" t="str">
        <f>IFERROR(__xludf.DUMMYFUNCTION("""COMPUTED_VALUE"""),"Breach,Sova,Omen,Neon,Vyse")</f>
        <v>Breach,Sova,Omen,Neon,Vyse</v>
      </c>
      <c r="I519" s="189">
        <f>IFERROR(__xludf.DUMMYFUNCTION("""COMPUTED_VALUE"""),5.0)</f>
        <v>5</v>
      </c>
      <c r="J519" s="189">
        <f>IFERROR(__xludf.DUMMYFUNCTION("""COMPUTED_VALUE"""),13.0)</f>
        <v>13</v>
      </c>
      <c r="K519" s="189">
        <f>IFERROR(__xludf.DUMMYFUNCTION("""COMPUTED_VALUE"""),3.0)</f>
        <v>3</v>
      </c>
      <c r="L519" s="189">
        <f>IFERROR(__xludf.DUMMYFUNCTION("""COMPUTED_VALUE"""),9.0)</f>
        <v>9</v>
      </c>
      <c r="M519" s="189">
        <f>IFERROR(__xludf.DUMMYFUNCTION("""COMPUTED_VALUE"""),1.0)</f>
        <v>1</v>
      </c>
      <c r="N519" s="189">
        <f>IFERROR(__xludf.DUMMYFUNCTION("""COMPUTED_VALUE"""),0.0)</f>
        <v>0</v>
      </c>
      <c r="O519" s="189">
        <f>IFERROR(__xludf.DUMMYFUNCTION("""COMPUTED_VALUE"""),2.0)</f>
        <v>2</v>
      </c>
      <c r="P519" s="189">
        <f>IFERROR(__xludf.DUMMYFUNCTION("""COMPUTED_VALUE"""),4.0)</f>
        <v>4</v>
      </c>
      <c r="Q519" s="189">
        <f>IFERROR(__xludf.DUMMYFUNCTION("""COMPUTED_VALUE"""),3.0)</f>
        <v>3</v>
      </c>
      <c r="R519" s="189">
        <f>IFERROR(__xludf.DUMMYFUNCTION("""COMPUTED_VALUE"""),9.0)</f>
        <v>9</v>
      </c>
      <c r="S519" s="189">
        <f>IFERROR(__xludf.DUMMYFUNCTION("""COMPUTED_VALUE"""),1.0)</f>
        <v>1</v>
      </c>
      <c r="T519" s="189">
        <f>IFERROR(__xludf.DUMMYFUNCTION("""COMPUTED_VALUE"""),0.0)</f>
        <v>0</v>
      </c>
      <c r="U519" s="189">
        <f>IFERROR(__xludf.DUMMYFUNCTION("""COMPUTED_VALUE"""),9.0)</f>
        <v>9</v>
      </c>
      <c r="V519" s="189">
        <f>IFERROR(__xludf.DUMMYFUNCTION("""COMPUTED_VALUE"""),3.0)</f>
        <v>3</v>
      </c>
      <c r="W519" s="189">
        <f>IFERROR(__xludf.DUMMYFUNCTION("""COMPUTED_VALUE"""),4.0)</f>
        <v>4</v>
      </c>
      <c r="X519" s="189">
        <f>IFERROR(__xludf.DUMMYFUNCTION("""COMPUTED_VALUE"""),2.0)</f>
        <v>2</v>
      </c>
      <c r="Y519" s="208" t="str">
        <f>IFERROR(__xludf.DUMMYFUNCTION("""COMPUTED_VALUE"""),"2025-07-06T00:00:00.000Z")</f>
        <v>2025-07-06T00:00:00.000Z</v>
      </c>
      <c r="Z519" s="189" t="s">
        <v>563</v>
      </c>
      <c r="AA519" s="189" t="s">
        <v>188</v>
      </c>
    </row>
    <row r="520">
      <c r="A520" s="189">
        <f>IFERROR(__xludf.DUMMYFUNCTION("""COMPUTED_VALUE"""),209285.0)</f>
        <v>209285</v>
      </c>
      <c r="B520" s="189">
        <f>IFERROR(__xludf.DUMMYFUNCTION("""COMPUTED_VALUE"""),92092.0)</f>
        <v>92092</v>
      </c>
      <c r="C520" s="189" t="str">
        <f>IFERROR(__xludf.DUMMYFUNCTION("""COMPUTED_VALUE"""),"Challengers League 2025 NORTH EAST: Split 3 - Lower Swiss Phase")</f>
        <v>Challengers League 2025 NORTH EAST: Split 3 - Lower Swiss Phase</v>
      </c>
      <c r="D520" s="189" t="str">
        <f>IFERROR(__xludf.DUMMYFUNCTION("""COMPUTED_VALUE"""),"Lotus")</f>
        <v>Lotus</v>
      </c>
      <c r="E520" s="189" t="str">
        <f>IFERROR(__xludf.DUMMYFUNCTION("""COMPUTED_VALUE"""),"Twisted Saints Esports")</f>
        <v>Twisted Saints Esports</v>
      </c>
      <c r="F520" s="189" t="str">
        <f>IFERROR(__xludf.DUMMYFUNCTION("""COMPUTED_VALUE"""),"Boars Gaming")</f>
        <v>Boars Gaming</v>
      </c>
      <c r="G520" s="189" t="str">
        <f>IFERROR(__xludf.DUMMYFUNCTION("""COMPUTED_VALUE"""),"Raze,Killjoy,Viper,Omen,Fade")</f>
        <v>Raze,Killjoy,Viper,Omen,Fade</v>
      </c>
      <c r="H520" s="189" t="str">
        <f>IFERROR(__xludf.DUMMYFUNCTION("""COMPUTED_VALUE"""),"Breach,Cypher,Omen,Neon,Fade")</f>
        <v>Breach,Cypher,Omen,Neon,Fade</v>
      </c>
      <c r="I520" s="189">
        <f>IFERROR(__xludf.DUMMYFUNCTION("""COMPUTED_VALUE"""),7.0)</f>
        <v>7</v>
      </c>
      <c r="J520" s="189">
        <f>IFERROR(__xludf.DUMMYFUNCTION("""COMPUTED_VALUE"""),13.0)</f>
        <v>13</v>
      </c>
      <c r="K520" s="189">
        <f>IFERROR(__xludf.DUMMYFUNCTION("""COMPUTED_VALUE"""),2.0)</f>
        <v>2</v>
      </c>
      <c r="L520" s="189">
        <f>IFERROR(__xludf.DUMMYFUNCTION("""COMPUTED_VALUE"""),10.0)</f>
        <v>10</v>
      </c>
      <c r="M520" s="189">
        <f>IFERROR(__xludf.DUMMYFUNCTION("""COMPUTED_VALUE"""),1.0)</f>
        <v>1</v>
      </c>
      <c r="N520" s="189">
        <f>IFERROR(__xludf.DUMMYFUNCTION("""COMPUTED_VALUE"""),0.0)</f>
        <v>0</v>
      </c>
      <c r="O520" s="189">
        <f>IFERROR(__xludf.DUMMYFUNCTION("""COMPUTED_VALUE"""),5.0)</f>
        <v>5</v>
      </c>
      <c r="P520" s="189">
        <f>IFERROR(__xludf.DUMMYFUNCTION("""COMPUTED_VALUE"""),3.0)</f>
        <v>3</v>
      </c>
      <c r="Q520" s="189">
        <f>IFERROR(__xludf.DUMMYFUNCTION("""COMPUTED_VALUE"""),2.0)</f>
        <v>2</v>
      </c>
      <c r="R520" s="189">
        <f>IFERROR(__xludf.DUMMYFUNCTION("""COMPUTED_VALUE"""),10.0)</f>
        <v>10</v>
      </c>
      <c r="S520" s="189">
        <f>IFERROR(__xludf.DUMMYFUNCTION("""COMPUTED_VALUE"""),1.0)</f>
        <v>1</v>
      </c>
      <c r="T520" s="189">
        <f>IFERROR(__xludf.DUMMYFUNCTION("""COMPUTED_VALUE"""),0.0)</f>
        <v>0</v>
      </c>
      <c r="U520" s="189">
        <f>IFERROR(__xludf.DUMMYFUNCTION("""COMPUTED_VALUE"""),10.0)</f>
        <v>10</v>
      </c>
      <c r="V520" s="189">
        <f>IFERROR(__xludf.DUMMYFUNCTION("""COMPUTED_VALUE"""),2.0)</f>
        <v>2</v>
      </c>
      <c r="W520" s="189">
        <f>IFERROR(__xludf.DUMMYFUNCTION("""COMPUTED_VALUE"""),3.0)</f>
        <v>3</v>
      </c>
      <c r="X520" s="189">
        <f>IFERROR(__xludf.DUMMYFUNCTION("""COMPUTED_VALUE"""),5.0)</f>
        <v>5</v>
      </c>
      <c r="Y520" s="208" t="str">
        <f>IFERROR(__xludf.DUMMYFUNCTION("""COMPUTED_VALUE"""),"2025-07-06T00:00:00.000Z")</f>
        <v>2025-07-06T00:00:00.000Z</v>
      </c>
      <c r="Z520" s="189" t="s">
        <v>424</v>
      </c>
      <c r="AA520" s="189" t="s">
        <v>181</v>
      </c>
    </row>
    <row r="521">
      <c r="A521" s="189">
        <f>IFERROR(__xludf.DUMMYFUNCTION("""COMPUTED_VALUE"""),208377.0)</f>
        <v>208377</v>
      </c>
      <c r="B521" s="189">
        <f>IFERROR(__xludf.DUMMYFUNCTION("""COMPUTED_VALUE"""),91774.0)</f>
        <v>91774</v>
      </c>
      <c r="C521" s="189" t="str">
        <f>IFERROR(__xludf.DUMMYFUNCTION("""COMPUTED_VALUE"""),"Challengers League 2025 Türkiye Birlik: Split 3 - Group Stage")</f>
        <v>Challengers League 2025 Türkiye Birlik: Split 3 - Group Stage</v>
      </c>
      <c r="D521" s="189" t="str">
        <f>IFERROR(__xludf.DUMMYFUNCTION("""COMPUTED_VALUE"""),"Lotus")</f>
        <v>Lotus</v>
      </c>
      <c r="E521" s="189" t="str">
        <f>IFERROR(__xludf.DUMMYFUNCTION("""COMPUTED_VALUE"""),"Galakticos")</f>
        <v>Galakticos</v>
      </c>
      <c r="F521" s="189" t="str">
        <f>IFERROR(__xludf.DUMMYFUNCTION("""COMPUTED_VALUE"""),"ULF Esports")</f>
        <v>ULF Esports</v>
      </c>
      <c r="G521" s="189" t="str">
        <f>IFERROR(__xludf.DUMMYFUNCTION("""COMPUTED_VALUE"""),"Breach,Cypher,Sova,Omen,Neon")</f>
        <v>Breach,Cypher,Sova,Omen,Neon</v>
      </c>
      <c r="H521" s="189" t="str">
        <f>IFERROR(__xludf.DUMMYFUNCTION("""COMPUTED_VALUE"""),"Raze,Omen,Yoru,Fade,Vyse")</f>
        <v>Raze,Omen,Yoru,Fade,Vyse</v>
      </c>
      <c r="I521" s="189">
        <f>IFERROR(__xludf.DUMMYFUNCTION("""COMPUTED_VALUE"""),13.0)</f>
        <v>13</v>
      </c>
      <c r="J521" s="189">
        <f>IFERROR(__xludf.DUMMYFUNCTION("""COMPUTED_VALUE"""),11.0)</f>
        <v>11</v>
      </c>
      <c r="K521" s="189">
        <f>IFERROR(__xludf.DUMMYFUNCTION("""COMPUTED_VALUE"""),6.0)</f>
        <v>6</v>
      </c>
      <c r="L521" s="189">
        <f>IFERROR(__xludf.DUMMYFUNCTION("""COMPUTED_VALUE"""),6.0)</f>
        <v>6</v>
      </c>
      <c r="M521" s="189">
        <f>IFERROR(__xludf.DUMMYFUNCTION("""COMPUTED_VALUE"""),1.0)</f>
        <v>1</v>
      </c>
      <c r="N521" s="189">
        <f>IFERROR(__xludf.DUMMYFUNCTION("""COMPUTED_VALUE"""),0.0)</f>
        <v>0</v>
      </c>
      <c r="O521" s="189">
        <f>IFERROR(__xludf.DUMMYFUNCTION("""COMPUTED_VALUE"""),7.0)</f>
        <v>7</v>
      </c>
      <c r="P521" s="189">
        <f>IFERROR(__xludf.DUMMYFUNCTION("""COMPUTED_VALUE"""),5.0)</f>
        <v>5</v>
      </c>
      <c r="Q521" s="189">
        <f>IFERROR(__xludf.DUMMYFUNCTION("""COMPUTED_VALUE"""),6.0)</f>
        <v>6</v>
      </c>
      <c r="R521" s="189">
        <f>IFERROR(__xludf.DUMMYFUNCTION("""COMPUTED_VALUE"""),6.0)</f>
        <v>6</v>
      </c>
      <c r="S521" s="189">
        <f>IFERROR(__xludf.DUMMYFUNCTION("""COMPUTED_VALUE"""),1.0)</f>
        <v>1</v>
      </c>
      <c r="T521" s="189">
        <f>IFERROR(__xludf.DUMMYFUNCTION("""COMPUTED_VALUE"""),0.0)</f>
        <v>0</v>
      </c>
      <c r="U521" s="189">
        <f>IFERROR(__xludf.DUMMYFUNCTION("""COMPUTED_VALUE"""),6.0)</f>
        <v>6</v>
      </c>
      <c r="V521" s="189">
        <f>IFERROR(__xludf.DUMMYFUNCTION("""COMPUTED_VALUE"""),6.0)</f>
        <v>6</v>
      </c>
      <c r="W521" s="189">
        <f>IFERROR(__xludf.DUMMYFUNCTION("""COMPUTED_VALUE"""),5.0)</f>
        <v>5</v>
      </c>
      <c r="X521" s="189">
        <f>IFERROR(__xludf.DUMMYFUNCTION("""COMPUTED_VALUE"""),7.0)</f>
        <v>7</v>
      </c>
      <c r="Y521" s="208" t="str">
        <f>IFERROR(__xludf.DUMMYFUNCTION("""COMPUTED_VALUE"""),"2025-07-06T00:00:00.000Z")</f>
        <v>2025-07-06T00:00:00.000Z</v>
      </c>
      <c r="Z521" s="189" t="s">
        <v>564</v>
      </c>
      <c r="AA521" s="189" t="s">
        <v>453</v>
      </c>
    </row>
    <row r="522">
      <c r="A522" s="189">
        <f>IFERROR(__xludf.DUMMYFUNCTION("""COMPUTED_VALUE"""),209279.0)</f>
        <v>209279</v>
      </c>
      <c r="B522" s="189">
        <f>IFERROR(__xludf.DUMMYFUNCTION("""COMPUTED_VALUE"""),92090.0)</f>
        <v>92090</v>
      </c>
      <c r="C522" s="189" t="str">
        <f>IFERROR(__xludf.DUMMYFUNCTION("""COMPUTED_VALUE"""),"Challengers 2025: France Revolution Split 3 - Group Stage")</f>
        <v>Challengers 2025: France Revolution Split 3 - Group Stage</v>
      </c>
      <c r="D522" s="189" t="str">
        <f>IFERROR(__xludf.DUMMYFUNCTION("""COMPUTED_VALUE"""),"Icebox")</f>
        <v>Icebox</v>
      </c>
      <c r="E522" s="189" t="str">
        <f>IFERROR(__xludf.DUMMYFUNCTION("""COMPUTED_VALUE"""),"BLX CORP")</f>
        <v>BLX CORP</v>
      </c>
      <c r="F522" s="189" t="str">
        <f>IFERROR(__xludf.DUMMYFUNCTION("""COMPUTED_VALUE"""),"Joblife")</f>
        <v>Joblife</v>
      </c>
      <c r="G522" s="189" t="str">
        <f>IFERROR(__xludf.DUMMYFUNCTION("""COMPUTED_VALUE"""),"Killjoy,Viper,Jett,KAY/O,Gekko")</f>
        <v>Killjoy,Viper,Jett,KAY/O,Gekko</v>
      </c>
      <c r="H522" s="189" t="str">
        <f>IFERROR(__xludf.DUMMYFUNCTION("""COMPUTED_VALUE"""),"Sova,Killjoy,Viper,Jett,KAY/O")</f>
        <v>Sova,Killjoy,Viper,Jett,KAY/O</v>
      </c>
      <c r="I522" s="189">
        <f>IFERROR(__xludf.DUMMYFUNCTION("""COMPUTED_VALUE"""),6.0)</f>
        <v>6</v>
      </c>
      <c r="J522" s="189">
        <f>IFERROR(__xludf.DUMMYFUNCTION("""COMPUTED_VALUE"""),13.0)</f>
        <v>13</v>
      </c>
      <c r="K522" s="189">
        <f>IFERROR(__xludf.DUMMYFUNCTION("""COMPUTED_VALUE"""),6.0)</f>
        <v>6</v>
      </c>
      <c r="L522" s="189">
        <f>IFERROR(__xludf.DUMMYFUNCTION("""COMPUTED_VALUE"""),6.0)</f>
        <v>6</v>
      </c>
      <c r="M522" s="189">
        <f>IFERROR(__xludf.DUMMYFUNCTION("""COMPUTED_VALUE"""),1.0)</f>
        <v>1</v>
      </c>
      <c r="N522" s="189">
        <f>IFERROR(__xludf.DUMMYFUNCTION("""COMPUTED_VALUE"""),0.0)</f>
        <v>0</v>
      </c>
      <c r="O522" s="189">
        <f>IFERROR(__xludf.DUMMYFUNCTION("""COMPUTED_VALUE"""),6.0)</f>
        <v>6</v>
      </c>
      <c r="P522" s="189">
        <f>IFERROR(__xludf.DUMMYFUNCTION("""COMPUTED_VALUE"""),6.0)</f>
        <v>6</v>
      </c>
      <c r="Q522" s="189">
        <f>IFERROR(__xludf.DUMMYFUNCTION("""COMPUTED_VALUE"""),0.0)</f>
        <v>0</v>
      </c>
      <c r="R522" s="189">
        <f>IFERROR(__xludf.DUMMYFUNCTION("""COMPUTED_VALUE"""),7.0)</f>
        <v>7</v>
      </c>
      <c r="S522" s="189">
        <f>IFERROR(__xludf.DUMMYFUNCTION("""COMPUTED_VALUE"""),1.0)</f>
        <v>1</v>
      </c>
      <c r="T522" s="189">
        <f>IFERROR(__xludf.DUMMYFUNCTION("""COMPUTED_VALUE"""),0.0)</f>
        <v>0</v>
      </c>
      <c r="U522" s="189">
        <f>IFERROR(__xludf.DUMMYFUNCTION("""COMPUTED_VALUE"""),7.0)</f>
        <v>7</v>
      </c>
      <c r="V522" s="189">
        <f>IFERROR(__xludf.DUMMYFUNCTION("""COMPUTED_VALUE"""),0.0)</f>
        <v>0</v>
      </c>
      <c r="W522" s="189">
        <f>IFERROR(__xludf.DUMMYFUNCTION("""COMPUTED_VALUE"""),6.0)</f>
        <v>6</v>
      </c>
      <c r="X522" s="189">
        <f>IFERROR(__xludf.DUMMYFUNCTION("""COMPUTED_VALUE"""),6.0)</f>
        <v>6</v>
      </c>
      <c r="Y522" s="208" t="str">
        <f>IFERROR(__xludf.DUMMYFUNCTION("""COMPUTED_VALUE"""),"2025-07-06T00:00:00.000Z")</f>
        <v>2025-07-06T00:00:00.000Z</v>
      </c>
      <c r="Z522" s="189" t="s">
        <v>498</v>
      </c>
      <c r="AA522" s="189" t="s">
        <v>232</v>
      </c>
    </row>
    <row r="523">
      <c r="A523" s="189">
        <f>IFERROR(__xludf.DUMMYFUNCTION("""COMPUTED_VALUE"""),209284.0)</f>
        <v>209284</v>
      </c>
      <c r="B523" s="189">
        <f>IFERROR(__xludf.DUMMYFUNCTION("""COMPUTED_VALUE"""),92092.0)</f>
        <v>92092</v>
      </c>
      <c r="C523" s="189" t="str">
        <f>IFERROR(__xludf.DUMMYFUNCTION("""COMPUTED_VALUE"""),"Challengers League 2025 NORTH EAST: Split 3 - Lower Swiss Phase")</f>
        <v>Challengers League 2025 NORTH EAST: Split 3 - Lower Swiss Phase</v>
      </c>
      <c r="D523" s="189" t="str">
        <f>IFERROR(__xludf.DUMMYFUNCTION("""COMPUTED_VALUE"""),"Sunset")</f>
        <v>Sunset</v>
      </c>
      <c r="E523" s="189" t="str">
        <f>IFERROR(__xludf.DUMMYFUNCTION("""COMPUTED_VALUE"""),"Twisted Saints Esports")</f>
        <v>Twisted Saints Esports</v>
      </c>
      <c r="F523" s="189" t="str">
        <f>IFERROR(__xludf.DUMMYFUNCTION("""COMPUTED_VALUE"""),"Boars Gaming")</f>
        <v>Boars Gaming</v>
      </c>
      <c r="G523" s="189" t="str">
        <f>IFERROR(__xludf.DUMMYFUNCTION("""COMPUTED_VALUE"""),"Sova,Viper,Omen,Neon,Deadlock")</f>
        <v>Sova,Viper,Omen,Neon,Deadlock</v>
      </c>
      <c r="H523" s="189" t="str">
        <f>IFERROR(__xludf.DUMMYFUNCTION("""COMPUTED_VALUE"""),"Cypher,Sova,Omen,KAY/O,Neon")</f>
        <v>Cypher,Sova,Omen,KAY/O,Neon</v>
      </c>
      <c r="I523" s="189">
        <f>IFERROR(__xludf.DUMMYFUNCTION("""COMPUTED_VALUE"""),10.0)</f>
        <v>10</v>
      </c>
      <c r="J523" s="189">
        <f>IFERROR(__xludf.DUMMYFUNCTION("""COMPUTED_VALUE"""),13.0)</f>
        <v>13</v>
      </c>
      <c r="K523" s="189">
        <f>IFERROR(__xludf.DUMMYFUNCTION("""COMPUTED_VALUE"""),5.0)</f>
        <v>5</v>
      </c>
      <c r="L523" s="189">
        <f>IFERROR(__xludf.DUMMYFUNCTION("""COMPUTED_VALUE"""),7.0)</f>
        <v>7</v>
      </c>
      <c r="M523" s="189">
        <f>IFERROR(__xludf.DUMMYFUNCTION("""COMPUTED_VALUE"""),1.0)</f>
        <v>1</v>
      </c>
      <c r="N523" s="189">
        <f>IFERROR(__xludf.DUMMYFUNCTION("""COMPUTED_VALUE"""),1.0)</f>
        <v>1</v>
      </c>
      <c r="O523" s="189">
        <f>IFERROR(__xludf.DUMMYFUNCTION("""COMPUTED_VALUE"""),5.0)</f>
        <v>5</v>
      </c>
      <c r="P523" s="189">
        <f>IFERROR(__xludf.DUMMYFUNCTION("""COMPUTED_VALUE"""),6.0)</f>
        <v>6</v>
      </c>
      <c r="Q523" s="189">
        <f>IFERROR(__xludf.DUMMYFUNCTION("""COMPUTED_VALUE"""),5.0)</f>
        <v>5</v>
      </c>
      <c r="R523" s="189">
        <f>IFERROR(__xludf.DUMMYFUNCTION("""COMPUTED_VALUE"""),7.0)</f>
        <v>7</v>
      </c>
      <c r="S523" s="189">
        <f>IFERROR(__xludf.DUMMYFUNCTION("""COMPUTED_VALUE"""),0.0)</f>
        <v>0</v>
      </c>
      <c r="T523" s="189">
        <f>IFERROR(__xludf.DUMMYFUNCTION("""COMPUTED_VALUE"""),0.0)</f>
        <v>0</v>
      </c>
      <c r="U523" s="189">
        <f>IFERROR(__xludf.DUMMYFUNCTION("""COMPUTED_VALUE"""),7.0)</f>
        <v>7</v>
      </c>
      <c r="V523" s="189">
        <f>IFERROR(__xludf.DUMMYFUNCTION("""COMPUTED_VALUE"""),5.0)</f>
        <v>5</v>
      </c>
      <c r="W523" s="189">
        <f>IFERROR(__xludf.DUMMYFUNCTION("""COMPUTED_VALUE"""),6.0)</f>
        <v>6</v>
      </c>
      <c r="X523" s="189">
        <f>IFERROR(__xludf.DUMMYFUNCTION("""COMPUTED_VALUE"""),5.0)</f>
        <v>5</v>
      </c>
      <c r="Y523" s="208" t="str">
        <f>IFERROR(__xludf.DUMMYFUNCTION("""COMPUTED_VALUE"""),"2025-07-06T00:00:00.000Z")</f>
        <v>2025-07-06T00:00:00.000Z</v>
      </c>
      <c r="Z523" s="189" t="s">
        <v>565</v>
      </c>
      <c r="AA523" s="189" t="s">
        <v>181</v>
      </c>
    </row>
    <row r="524">
      <c r="A524" s="189">
        <f>IFERROR(__xludf.DUMMYFUNCTION("""COMPUTED_VALUE"""),208376.0)</f>
        <v>208376</v>
      </c>
      <c r="B524" s="189">
        <f>IFERROR(__xludf.DUMMYFUNCTION("""COMPUTED_VALUE"""),91774.0)</f>
        <v>91774</v>
      </c>
      <c r="C524" s="189" t="str">
        <f>IFERROR(__xludf.DUMMYFUNCTION("""COMPUTED_VALUE"""),"Challengers League 2025 Türkiye Birlik: Split 3 - Group Stage")</f>
        <v>Challengers League 2025 Türkiye Birlik: Split 3 - Group Stage</v>
      </c>
      <c r="D524" s="189" t="str">
        <f>IFERROR(__xludf.DUMMYFUNCTION("""COMPUTED_VALUE"""),"Haven")</f>
        <v>Haven</v>
      </c>
      <c r="E524" s="189" t="str">
        <f>IFERROR(__xludf.DUMMYFUNCTION("""COMPUTED_VALUE"""),"Galakticos")</f>
        <v>Galakticos</v>
      </c>
      <c r="F524" s="189" t="str">
        <f>IFERROR(__xludf.DUMMYFUNCTION("""COMPUTED_VALUE"""),"ULF Esports")</f>
        <v>ULF Esports</v>
      </c>
      <c r="G524" s="189" t="str">
        <f>IFERROR(__xludf.DUMMYFUNCTION("""COMPUTED_VALUE"""),"Breach,Cypher,Sova,Omen,Neon")</f>
        <v>Breach,Cypher,Sova,Omen,Neon</v>
      </c>
      <c r="H524" s="189" t="str">
        <f>IFERROR(__xludf.DUMMYFUNCTION("""COMPUTED_VALUE"""),"Sova,Viper,Omen,Neon,Vyse")</f>
        <v>Sova,Viper,Omen,Neon,Vyse</v>
      </c>
      <c r="I524" s="189">
        <f>IFERROR(__xludf.DUMMYFUNCTION("""COMPUTED_VALUE"""),11.0)</f>
        <v>11</v>
      </c>
      <c r="J524" s="189">
        <f>IFERROR(__xludf.DUMMYFUNCTION("""COMPUTED_VALUE"""),13.0)</f>
        <v>13</v>
      </c>
      <c r="K524" s="189">
        <f>IFERROR(__xludf.DUMMYFUNCTION("""COMPUTED_VALUE"""),5.0)</f>
        <v>5</v>
      </c>
      <c r="L524" s="189">
        <f>IFERROR(__xludf.DUMMYFUNCTION("""COMPUTED_VALUE"""),7.0)</f>
        <v>7</v>
      </c>
      <c r="M524" s="189">
        <f>IFERROR(__xludf.DUMMYFUNCTION("""COMPUTED_VALUE"""),1.0)</f>
        <v>1</v>
      </c>
      <c r="N524" s="189">
        <f>IFERROR(__xludf.DUMMYFUNCTION("""COMPUTED_VALUE"""),0.0)</f>
        <v>0</v>
      </c>
      <c r="O524" s="189">
        <f>IFERROR(__xludf.DUMMYFUNCTION("""COMPUTED_VALUE"""),6.0)</f>
        <v>6</v>
      </c>
      <c r="P524" s="189">
        <f>IFERROR(__xludf.DUMMYFUNCTION("""COMPUTED_VALUE"""),6.0)</f>
        <v>6</v>
      </c>
      <c r="Q524" s="189">
        <f>IFERROR(__xludf.DUMMYFUNCTION("""COMPUTED_VALUE"""),5.0)</f>
        <v>5</v>
      </c>
      <c r="R524" s="189">
        <f>IFERROR(__xludf.DUMMYFUNCTION("""COMPUTED_VALUE"""),7.0)</f>
        <v>7</v>
      </c>
      <c r="S524" s="189">
        <f>IFERROR(__xludf.DUMMYFUNCTION("""COMPUTED_VALUE"""),1.0)</f>
        <v>1</v>
      </c>
      <c r="T524" s="189">
        <f>IFERROR(__xludf.DUMMYFUNCTION("""COMPUTED_VALUE"""),0.0)</f>
        <v>0</v>
      </c>
      <c r="U524" s="189">
        <f>IFERROR(__xludf.DUMMYFUNCTION("""COMPUTED_VALUE"""),7.0)</f>
        <v>7</v>
      </c>
      <c r="V524" s="189">
        <f>IFERROR(__xludf.DUMMYFUNCTION("""COMPUTED_VALUE"""),5.0)</f>
        <v>5</v>
      </c>
      <c r="W524" s="189">
        <f>IFERROR(__xludf.DUMMYFUNCTION("""COMPUTED_VALUE"""),6.0)</f>
        <v>6</v>
      </c>
      <c r="X524" s="189">
        <f>IFERROR(__xludf.DUMMYFUNCTION("""COMPUTED_VALUE"""),6.0)</f>
        <v>6</v>
      </c>
      <c r="Y524" s="208" t="str">
        <f>IFERROR(__xludf.DUMMYFUNCTION("""COMPUTED_VALUE"""),"2025-07-06T00:00:00.000Z")</f>
        <v>2025-07-06T00:00:00.000Z</v>
      </c>
      <c r="Z524" s="189" t="s">
        <v>566</v>
      </c>
      <c r="AA524" s="189" t="s">
        <v>188</v>
      </c>
    </row>
    <row r="525">
      <c r="A525" s="189">
        <f>IFERROR(__xludf.DUMMYFUNCTION("""COMPUTED_VALUE"""),209278.0)</f>
        <v>209278</v>
      </c>
      <c r="B525" s="189">
        <f>IFERROR(__xludf.DUMMYFUNCTION("""COMPUTED_VALUE"""),92090.0)</f>
        <v>92090</v>
      </c>
      <c r="C525" s="189" t="str">
        <f>IFERROR(__xludf.DUMMYFUNCTION("""COMPUTED_VALUE"""),"Challengers 2025: France Revolution Split 3 - Group Stage")</f>
        <v>Challengers 2025: France Revolution Split 3 - Group Stage</v>
      </c>
      <c r="D525" s="189" t="str">
        <f>IFERROR(__xludf.DUMMYFUNCTION("""COMPUTED_VALUE"""),"Lotus")</f>
        <v>Lotus</v>
      </c>
      <c r="E525" s="189" t="str">
        <f>IFERROR(__xludf.DUMMYFUNCTION("""COMPUTED_VALUE"""),"BLX CORP")</f>
        <v>BLX CORP</v>
      </c>
      <c r="F525" s="189" t="str">
        <f>IFERROR(__xludf.DUMMYFUNCTION("""COMPUTED_VALUE"""),"Joblife")</f>
        <v>Joblife</v>
      </c>
      <c r="G525" s="189" t="str">
        <f>IFERROR(__xludf.DUMMYFUNCTION("""COMPUTED_VALUE"""),"Raze,Viper,Omen,Fade,Iso")</f>
        <v>Raze,Viper,Omen,Fade,Iso</v>
      </c>
      <c r="H525" s="189" t="str">
        <f>IFERROR(__xludf.DUMMYFUNCTION("""COMPUTED_VALUE"""),"Raze,Killjoy,Viper,Omen,Fade")</f>
        <v>Raze,Killjoy,Viper,Omen,Fade</v>
      </c>
      <c r="I525" s="189">
        <f>IFERROR(__xludf.DUMMYFUNCTION("""COMPUTED_VALUE"""),8.0)</f>
        <v>8</v>
      </c>
      <c r="J525" s="189">
        <f>IFERROR(__xludf.DUMMYFUNCTION("""COMPUTED_VALUE"""),13.0)</f>
        <v>13</v>
      </c>
      <c r="K525" s="189">
        <f>IFERROR(__xludf.DUMMYFUNCTION("""COMPUTED_VALUE"""),4.0)</f>
        <v>4</v>
      </c>
      <c r="L525" s="189">
        <f>IFERROR(__xludf.DUMMYFUNCTION("""COMPUTED_VALUE"""),8.0)</f>
        <v>8</v>
      </c>
      <c r="M525" s="189">
        <f>IFERROR(__xludf.DUMMYFUNCTION("""COMPUTED_VALUE"""),0.0)</f>
        <v>0</v>
      </c>
      <c r="N525" s="189">
        <f>IFERROR(__xludf.DUMMYFUNCTION("""COMPUTED_VALUE"""),0.0)</f>
        <v>0</v>
      </c>
      <c r="O525" s="189">
        <f>IFERROR(__xludf.DUMMYFUNCTION("""COMPUTED_VALUE"""),4.0)</f>
        <v>4</v>
      </c>
      <c r="P525" s="189">
        <f>IFERROR(__xludf.DUMMYFUNCTION("""COMPUTED_VALUE"""),5.0)</f>
        <v>5</v>
      </c>
      <c r="Q525" s="189">
        <f>IFERROR(__xludf.DUMMYFUNCTION("""COMPUTED_VALUE"""),4.0)</f>
        <v>4</v>
      </c>
      <c r="R525" s="189">
        <f>IFERROR(__xludf.DUMMYFUNCTION("""COMPUTED_VALUE"""),8.0)</f>
        <v>8</v>
      </c>
      <c r="S525" s="189">
        <f>IFERROR(__xludf.DUMMYFUNCTION("""COMPUTED_VALUE"""),1.0)</f>
        <v>1</v>
      </c>
      <c r="T525" s="189">
        <f>IFERROR(__xludf.DUMMYFUNCTION("""COMPUTED_VALUE"""),1.0)</f>
        <v>1</v>
      </c>
      <c r="U525" s="189">
        <f>IFERROR(__xludf.DUMMYFUNCTION("""COMPUTED_VALUE"""),8.0)</f>
        <v>8</v>
      </c>
      <c r="V525" s="189">
        <f>IFERROR(__xludf.DUMMYFUNCTION("""COMPUTED_VALUE"""),4.0)</f>
        <v>4</v>
      </c>
      <c r="W525" s="189">
        <f>IFERROR(__xludf.DUMMYFUNCTION("""COMPUTED_VALUE"""),5.0)</f>
        <v>5</v>
      </c>
      <c r="X525" s="189">
        <f>IFERROR(__xludf.DUMMYFUNCTION("""COMPUTED_VALUE"""),4.0)</f>
        <v>4</v>
      </c>
      <c r="Y525" s="208" t="str">
        <f>IFERROR(__xludf.DUMMYFUNCTION("""COMPUTED_VALUE"""),"2025-07-06T00:00:00.000Z")</f>
        <v>2025-07-06T00:00:00.000Z</v>
      </c>
      <c r="Z525" s="189" t="s">
        <v>500</v>
      </c>
      <c r="AA525" s="189" t="s">
        <v>232</v>
      </c>
    </row>
    <row r="526">
      <c r="A526" s="189">
        <f>IFERROR(__xludf.DUMMYFUNCTION("""COMPUTED_VALUE"""),208432.0)</f>
        <v>208432</v>
      </c>
      <c r="B526" s="189">
        <f>IFERROR(__xludf.DUMMYFUNCTION("""COMPUTED_VALUE"""),91792.0)</f>
        <v>91792</v>
      </c>
      <c r="C526" s="189" t="str">
        <f>IFERROR(__xludf.DUMMYFUNCTION("""COMPUTED_VALUE"""),"Challengers League 2025 DACH: Evolution Stage 3 - Group Stage")</f>
        <v>Challengers League 2025 DACH: Evolution Stage 3 - Group Stage</v>
      </c>
      <c r="D526" s="189" t="str">
        <f>IFERROR(__xludf.DUMMYFUNCTION("""COMPUTED_VALUE"""),"Haven")</f>
        <v>Haven</v>
      </c>
      <c r="E526" s="189" t="str">
        <f>IFERROR(__xludf.DUMMYFUNCTION("""COMPUTED_VALUE"""),"MOUZ")</f>
        <v>MOUZ</v>
      </c>
      <c r="F526" s="189" t="str">
        <f>IFERROR(__xludf.DUMMYFUNCTION("""COMPUTED_VALUE"""),"XPERION NXT")</f>
        <v>XPERION NXT</v>
      </c>
      <c r="G526" s="189" t="str">
        <f>IFERROR(__xludf.DUMMYFUNCTION("""COMPUTED_VALUE"""),"Cypher,Sova,Omen,Yoru,Iso")</f>
        <v>Cypher,Sova,Omen,Yoru,Iso</v>
      </c>
      <c r="H526" s="189" t="str">
        <f>IFERROR(__xludf.DUMMYFUNCTION("""COMPUTED_VALUE"""),"Breach,Cypher,Sova,Omen,Neon")</f>
        <v>Breach,Cypher,Sova,Omen,Neon</v>
      </c>
      <c r="I526" s="189">
        <f>IFERROR(__xludf.DUMMYFUNCTION("""COMPUTED_VALUE"""),13.0)</f>
        <v>13</v>
      </c>
      <c r="J526" s="189">
        <f>IFERROR(__xludf.DUMMYFUNCTION("""COMPUTED_VALUE"""),7.0)</f>
        <v>7</v>
      </c>
      <c r="K526" s="189">
        <f>IFERROR(__xludf.DUMMYFUNCTION("""COMPUTED_VALUE"""),7.0)</f>
        <v>7</v>
      </c>
      <c r="L526" s="189">
        <f>IFERROR(__xludf.DUMMYFUNCTION("""COMPUTED_VALUE"""),5.0)</f>
        <v>5</v>
      </c>
      <c r="M526" s="189">
        <f>IFERROR(__xludf.DUMMYFUNCTION("""COMPUTED_VALUE"""),1.0)</f>
        <v>1</v>
      </c>
      <c r="N526" s="189">
        <f>IFERROR(__xludf.DUMMYFUNCTION("""COMPUTED_VALUE"""),1.0)</f>
        <v>1</v>
      </c>
      <c r="O526" s="189">
        <f>IFERROR(__xludf.DUMMYFUNCTION("""COMPUTED_VALUE"""),6.0)</f>
        <v>6</v>
      </c>
      <c r="P526" s="189">
        <f>IFERROR(__xludf.DUMMYFUNCTION("""COMPUTED_VALUE"""),2.0)</f>
        <v>2</v>
      </c>
      <c r="Q526" s="189">
        <f>IFERROR(__xludf.DUMMYFUNCTION("""COMPUTED_VALUE"""),7.0)</f>
        <v>7</v>
      </c>
      <c r="R526" s="189">
        <f>IFERROR(__xludf.DUMMYFUNCTION("""COMPUTED_VALUE"""),5.0)</f>
        <v>5</v>
      </c>
      <c r="S526" s="189">
        <f>IFERROR(__xludf.DUMMYFUNCTION("""COMPUTED_VALUE"""),0.0)</f>
        <v>0</v>
      </c>
      <c r="T526" s="189">
        <f>IFERROR(__xludf.DUMMYFUNCTION("""COMPUTED_VALUE"""),0.0)</f>
        <v>0</v>
      </c>
      <c r="U526" s="189">
        <f>IFERROR(__xludf.DUMMYFUNCTION("""COMPUTED_VALUE"""),5.0)</f>
        <v>5</v>
      </c>
      <c r="V526" s="189">
        <f>IFERROR(__xludf.DUMMYFUNCTION("""COMPUTED_VALUE"""),7.0)</f>
        <v>7</v>
      </c>
      <c r="W526" s="189">
        <f>IFERROR(__xludf.DUMMYFUNCTION("""COMPUTED_VALUE"""),2.0)</f>
        <v>2</v>
      </c>
      <c r="X526" s="189">
        <f>IFERROR(__xludf.DUMMYFUNCTION("""COMPUTED_VALUE"""),6.0)</f>
        <v>6</v>
      </c>
      <c r="Y526" s="208" t="str">
        <f>IFERROR(__xludf.DUMMYFUNCTION("""COMPUTED_VALUE"""),"2025-07-06T00:00:00.000Z")</f>
        <v>2025-07-06T00:00:00.000Z</v>
      </c>
      <c r="Z526" s="189" t="s">
        <v>136</v>
      </c>
      <c r="AA526" s="189" t="s">
        <v>180</v>
      </c>
    </row>
    <row r="527">
      <c r="A527" s="189">
        <f>IFERROR(__xludf.DUMMYFUNCTION("""COMPUTED_VALUE"""),209276.0)</f>
        <v>209276</v>
      </c>
      <c r="B527" s="189">
        <f>IFERROR(__xludf.DUMMYFUNCTION("""COMPUTED_VALUE"""),92089.0)</f>
        <v>92089</v>
      </c>
      <c r="C527" s="189" t="str">
        <f>IFERROR(__xludf.DUMMYFUNCTION("""COMPUTED_VALUE"""),"Challengers 2025: France Revolution Split 3 - Group Stage")</f>
        <v>Challengers 2025: France Revolution Split 3 - Group Stage</v>
      </c>
      <c r="D527" s="189" t="str">
        <f>IFERROR(__xludf.DUMMYFUNCTION("""COMPUTED_VALUE"""),"Lotus")</f>
        <v>Lotus</v>
      </c>
      <c r="E527" s="189" t="str">
        <f>IFERROR(__xludf.DUMMYFUNCTION("""COMPUTED_VALUE"""),"WIP Esports")</f>
        <v>WIP Esports</v>
      </c>
      <c r="F527" s="189" t="str">
        <f>IFERROR(__xludf.DUMMYFUNCTION("""COMPUTED_VALUE"""),"Mandatory")</f>
        <v>Mandatory</v>
      </c>
      <c r="G527" s="189" t="str">
        <f>IFERROR(__xludf.DUMMYFUNCTION("""COMPUTED_VALUE"""),"Cypher,Omen,Yoru,Fade,Iso")</f>
        <v>Cypher,Omen,Yoru,Fade,Iso</v>
      </c>
      <c r="H527" s="189" t="str">
        <f>IFERROR(__xludf.DUMMYFUNCTION("""COMPUTED_VALUE"""),"Cypher,Sova,Omen,Yoru,Deadlock")</f>
        <v>Cypher,Sova,Omen,Yoru,Deadlock</v>
      </c>
      <c r="I527" s="189">
        <f>IFERROR(__xludf.DUMMYFUNCTION("""COMPUTED_VALUE"""),12.0)</f>
        <v>12</v>
      </c>
      <c r="J527" s="189">
        <f>IFERROR(__xludf.DUMMYFUNCTION("""COMPUTED_VALUE"""),14.0)</f>
        <v>14</v>
      </c>
      <c r="K527" s="189">
        <f>IFERROR(__xludf.DUMMYFUNCTION("""COMPUTED_VALUE"""),7.0)</f>
        <v>7</v>
      </c>
      <c r="L527" s="189">
        <f>IFERROR(__xludf.DUMMYFUNCTION("""COMPUTED_VALUE"""),5.0)</f>
        <v>5</v>
      </c>
      <c r="M527" s="189">
        <f>IFERROR(__xludf.DUMMYFUNCTION("""COMPUTED_VALUE"""),0.0)</f>
        <v>0</v>
      </c>
      <c r="N527" s="189">
        <f>IFERROR(__xludf.DUMMYFUNCTION("""COMPUTED_VALUE"""),1.0)</f>
        <v>1</v>
      </c>
      <c r="O527" s="189">
        <f>IFERROR(__xludf.DUMMYFUNCTION("""COMPUTED_VALUE"""),5.0)</f>
        <v>5</v>
      </c>
      <c r="P527" s="189">
        <f>IFERROR(__xludf.DUMMYFUNCTION("""COMPUTED_VALUE"""),8.0)</f>
        <v>8</v>
      </c>
      <c r="Q527" s="189">
        <f>IFERROR(__xludf.DUMMYFUNCTION("""COMPUTED_VALUE"""),7.0)</f>
        <v>7</v>
      </c>
      <c r="R527" s="189">
        <f>IFERROR(__xludf.DUMMYFUNCTION("""COMPUTED_VALUE"""),6.0)</f>
        <v>6</v>
      </c>
      <c r="S527" s="189">
        <f>IFERROR(__xludf.DUMMYFUNCTION("""COMPUTED_VALUE"""),0.0)</f>
        <v>0</v>
      </c>
      <c r="T527" s="189">
        <f>IFERROR(__xludf.DUMMYFUNCTION("""COMPUTED_VALUE"""),1.0)</f>
        <v>1</v>
      </c>
      <c r="U527" s="189">
        <f>IFERROR(__xludf.DUMMYFUNCTION("""COMPUTED_VALUE"""),6.0)</f>
        <v>6</v>
      </c>
      <c r="V527" s="189">
        <f>IFERROR(__xludf.DUMMYFUNCTION("""COMPUTED_VALUE"""),7.0)</f>
        <v>7</v>
      </c>
      <c r="W527" s="189">
        <f>IFERROR(__xludf.DUMMYFUNCTION("""COMPUTED_VALUE"""),8.0)</f>
        <v>8</v>
      </c>
      <c r="X527" s="189">
        <f>IFERROR(__xludf.DUMMYFUNCTION("""COMPUTED_VALUE"""),5.0)</f>
        <v>5</v>
      </c>
      <c r="Y527" s="208" t="str">
        <f>IFERROR(__xludf.DUMMYFUNCTION("""COMPUTED_VALUE"""),"2025-07-06T00:00:00.000Z")</f>
        <v>2025-07-06T00:00:00.000Z</v>
      </c>
      <c r="Z527" s="189" t="s">
        <v>567</v>
      </c>
      <c r="AA527" s="189" t="s">
        <v>189</v>
      </c>
    </row>
    <row r="528">
      <c r="A528" s="189">
        <f>IFERROR(__xludf.DUMMYFUNCTION("""COMPUTED_VALUE"""),208431.0)</f>
        <v>208431</v>
      </c>
      <c r="B528" s="189">
        <f>IFERROR(__xludf.DUMMYFUNCTION("""COMPUTED_VALUE"""),91792.0)</f>
        <v>91792</v>
      </c>
      <c r="C528" s="189" t="str">
        <f>IFERROR(__xludf.DUMMYFUNCTION("""COMPUTED_VALUE"""),"Challengers League 2025 DACH: Evolution Stage 3 - Group Stage")</f>
        <v>Challengers League 2025 DACH: Evolution Stage 3 - Group Stage</v>
      </c>
      <c r="D528" s="189" t="str">
        <f>IFERROR(__xludf.DUMMYFUNCTION("""COMPUTED_VALUE"""),"Split")</f>
        <v>Split</v>
      </c>
      <c r="E528" s="189" t="str">
        <f>IFERROR(__xludf.DUMMYFUNCTION("""COMPUTED_VALUE"""),"MOUZ")</f>
        <v>MOUZ</v>
      </c>
      <c r="F528" s="189" t="str">
        <f>IFERROR(__xludf.DUMMYFUNCTION("""COMPUTED_VALUE"""),"XPERION NXT")</f>
        <v>XPERION NXT</v>
      </c>
      <c r="G528" s="189" t="str">
        <f>IFERROR(__xludf.DUMMYFUNCTION("""COMPUTED_VALUE"""),"Raze,Viper,Yoru,Astra,Fade")</f>
        <v>Raze,Viper,Yoru,Astra,Fade</v>
      </c>
      <c r="H528" s="189" t="str">
        <f>IFERROR(__xludf.DUMMYFUNCTION("""COMPUTED_VALUE"""),"Raze,Viper,Omen,Yoru,Fade")</f>
        <v>Raze,Viper,Omen,Yoru,Fade</v>
      </c>
      <c r="I528" s="189">
        <f>IFERROR(__xludf.DUMMYFUNCTION("""COMPUTED_VALUE"""),11.0)</f>
        <v>11</v>
      </c>
      <c r="J528" s="189">
        <f>IFERROR(__xludf.DUMMYFUNCTION("""COMPUTED_VALUE"""),13.0)</f>
        <v>13</v>
      </c>
      <c r="K528" s="189">
        <f>IFERROR(__xludf.DUMMYFUNCTION("""COMPUTED_VALUE"""),7.0)</f>
        <v>7</v>
      </c>
      <c r="L528" s="189">
        <f>IFERROR(__xludf.DUMMYFUNCTION("""COMPUTED_VALUE"""),5.0)</f>
        <v>5</v>
      </c>
      <c r="M528" s="189">
        <f>IFERROR(__xludf.DUMMYFUNCTION("""COMPUTED_VALUE"""),0.0)</f>
        <v>0</v>
      </c>
      <c r="N528" s="189">
        <f>IFERROR(__xludf.DUMMYFUNCTION("""COMPUTED_VALUE"""),1.0)</f>
        <v>1</v>
      </c>
      <c r="O528" s="189">
        <f>IFERROR(__xludf.DUMMYFUNCTION("""COMPUTED_VALUE"""),4.0)</f>
        <v>4</v>
      </c>
      <c r="P528" s="189">
        <f>IFERROR(__xludf.DUMMYFUNCTION("""COMPUTED_VALUE"""),8.0)</f>
        <v>8</v>
      </c>
      <c r="Q528" s="189">
        <f>IFERROR(__xludf.DUMMYFUNCTION("""COMPUTED_VALUE"""),7.0)</f>
        <v>7</v>
      </c>
      <c r="R528" s="189">
        <f>IFERROR(__xludf.DUMMYFUNCTION("""COMPUTED_VALUE"""),5.0)</f>
        <v>5</v>
      </c>
      <c r="S528" s="189">
        <f>IFERROR(__xludf.DUMMYFUNCTION("""COMPUTED_VALUE"""),0.0)</f>
        <v>0</v>
      </c>
      <c r="T528" s="189">
        <f>IFERROR(__xludf.DUMMYFUNCTION("""COMPUTED_VALUE"""),1.0)</f>
        <v>1</v>
      </c>
      <c r="U528" s="189">
        <f>IFERROR(__xludf.DUMMYFUNCTION("""COMPUTED_VALUE"""),5.0)</f>
        <v>5</v>
      </c>
      <c r="V528" s="189">
        <f>IFERROR(__xludf.DUMMYFUNCTION("""COMPUTED_VALUE"""),7.0)</f>
        <v>7</v>
      </c>
      <c r="W528" s="189">
        <f>IFERROR(__xludf.DUMMYFUNCTION("""COMPUTED_VALUE"""),8.0)</f>
        <v>8</v>
      </c>
      <c r="X528" s="189">
        <f>IFERROR(__xludf.DUMMYFUNCTION("""COMPUTED_VALUE"""),4.0)</f>
        <v>4</v>
      </c>
      <c r="Y528" s="208" t="str">
        <f>IFERROR(__xludf.DUMMYFUNCTION("""COMPUTED_VALUE"""),"2025-07-06T00:00:00.000Z")</f>
        <v>2025-07-06T00:00:00.000Z</v>
      </c>
      <c r="Z528" s="189" t="s">
        <v>140</v>
      </c>
      <c r="AA528" s="189" t="s">
        <v>456</v>
      </c>
    </row>
    <row r="529">
      <c r="A529" s="189">
        <f>IFERROR(__xludf.DUMMYFUNCTION("""COMPUTED_VALUE"""),209075.0)</f>
        <v>209075</v>
      </c>
      <c r="B529" s="189">
        <f>IFERROR(__xludf.DUMMYFUNCTION("""COMPUTED_VALUE"""),92019.0)</f>
        <v>92019</v>
      </c>
      <c r="C529" s="189" t="str">
        <f>IFERROR(__xludf.DUMMYFUNCTION("""COMPUTED_VALUE"""),"Challengers League 2025 NORTH EAST: Split 3 - Lower Swiss Phase")</f>
        <v>Challengers League 2025 NORTH EAST: Split 3 - Lower Swiss Phase</v>
      </c>
      <c r="D529" s="189" t="str">
        <f>IFERROR(__xludf.DUMMYFUNCTION("""COMPUTED_VALUE"""),"Lotus")</f>
        <v>Lotus</v>
      </c>
      <c r="E529" s="189" t="str">
        <f>IFERROR(__xludf.DUMMYFUNCTION("""COMPUTED_VALUE"""),"Twisted Saints Esports")</f>
        <v>Twisted Saints Esports</v>
      </c>
      <c r="F529" s="189" t="str">
        <f>IFERROR(__xludf.DUMMYFUNCTION("""COMPUTED_VALUE"""),"Team Liquid Academy")</f>
        <v>Team Liquid Academy</v>
      </c>
      <c r="G529" s="189" t="str">
        <f>IFERROR(__xludf.DUMMYFUNCTION("""COMPUTED_VALUE"""),"Raze,Killjoy,Viper,Omen,Fade")</f>
        <v>Raze,Killjoy,Viper,Omen,Fade</v>
      </c>
      <c r="H529" s="189" t="str">
        <f>IFERROR(__xludf.DUMMYFUNCTION("""COMPUTED_VALUE"""),"Raze,Viper,Omen,Fade,Vyse")</f>
        <v>Raze,Viper,Omen,Fade,Vyse</v>
      </c>
      <c r="I529" s="189">
        <f>IFERROR(__xludf.DUMMYFUNCTION("""COMPUTED_VALUE"""),3.0)</f>
        <v>3</v>
      </c>
      <c r="J529" s="189">
        <f>IFERROR(__xludf.DUMMYFUNCTION("""COMPUTED_VALUE"""),13.0)</f>
        <v>13</v>
      </c>
      <c r="K529" s="189">
        <f>IFERROR(__xludf.DUMMYFUNCTION("""COMPUTED_VALUE"""),3.0)</f>
        <v>3</v>
      </c>
      <c r="L529" s="189">
        <f>IFERROR(__xludf.DUMMYFUNCTION("""COMPUTED_VALUE"""),9.0)</f>
        <v>9</v>
      </c>
      <c r="M529" s="189">
        <f>IFERROR(__xludf.DUMMYFUNCTION("""COMPUTED_VALUE"""),0.0)</f>
        <v>0</v>
      </c>
      <c r="N529" s="189">
        <f>IFERROR(__xludf.DUMMYFUNCTION("""COMPUTED_VALUE"""),1.0)</f>
        <v>1</v>
      </c>
      <c r="O529" s="189">
        <f>IFERROR(__xludf.DUMMYFUNCTION("""COMPUTED_VALUE"""),0.0)</f>
        <v>0</v>
      </c>
      <c r="P529" s="189">
        <f>IFERROR(__xludf.DUMMYFUNCTION("""COMPUTED_VALUE"""),4.0)</f>
        <v>4</v>
      </c>
      <c r="Q529" s="189">
        <f>IFERROR(__xludf.DUMMYFUNCTION("""COMPUTED_VALUE"""),3.0)</f>
        <v>3</v>
      </c>
      <c r="R529" s="189">
        <f>IFERROR(__xludf.DUMMYFUNCTION("""COMPUTED_VALUE"""),9.0)</f>
        <v>9</v>
      </c>
      <c r="S529" s="189">
        <f>IFERROR(__xludf.DUMMYFUNCTION("""COMPUTED_VALUE"""),0.0)</f>
        <v>0</v>
      </c>
      <c r="T529" s="189">
        <f>IFERROR(__xludf.DUMMYFUNCTION("""COMPUTED_VALUE"""),1.0)</f>
        <v>1</v>
      </c>
      <c r="U529" s="189">
        <f>IFERROR(__xludf.DUMMYFUNCTION("""COMPUTED_VALUE"""),9.0)</f>
        <v>9</v>
      </c>
      <c r="V529" s="189">
        <f>IFERROR(__xludf.DUMMYFUNCTION("""COMPUTED_VALUE"""),3.0)</f>
        <v>3</v>
      </c>
      <c r="W529" s="189">
        <f>IFERROR(__xludf.DUMMYFUNCTION("""COMPUTED_VALUE"""),4.0)</f>
        <v>4</v>
      </c>
      <c r="X529" s="189">
        <f>IFERROR(__xludf.DUMMYFUNCTION("""COMPUTED_VALUE"""),0.0)</f>
        <v>0</v>
      </c>
      <c r="Y529" s="208" t="str">
        <f>IFERROR(__xludf.DUMMYFUNCTION("""COMPUTED_VALUE"""),"2025-07-06T00:00:00.000Z")</f>
        <v>2025-07-06T00:00:00.000Z</v>
      </c>
      <c r="Z529" s="189" t="s">
        <v>424</v>
      </c>
      <c r="AA529" s="189" t="s">
        <v>1</v>
      </c>
    </row>
    <row r="530">
      <c r="A530" s="189">
        <f>IFERROR(__xludf.DUMMYFUNCTION("""COMPUTED_VALUE"""),209275.0)</f>
        <v>209275</v>
      </c>
      <c r="B530" s="189">
        <f>IFERROR(__xludf.DUMMYFUNCTION("""COMPUTED_VALUE"""),92089.0)</f>
        <v>92089</v>
      </c>
      <c r="C530" s="189" t="str">
        <f>IFERROR(__xludf.DUMMYFUNCTION("""COMPUTED_VALUE"""),"Challengers 2025: France Revolution Split 3 - Group Stage")</f>
        <v>Challengers 2025: France Revolution Split 3 - Group Stage</v>
      </c>
      <c r="D530" s="189" t="str">
        <f>IFERROR(__xludf.DUMMYFUNCTION("""COMPUTED_VALUE"""),"Split")</f>
        <v>Split</v>
      </c>
      <c r="E530" s="189" t="str">
        <f>IFERROR(__xludf.DUMMYFUNCTION("""COMPUTED_VALUE"""),"WIP Esports")</f>
        <v>WIP Esports</v>
      </c>
      <c r="F530" s="189" t="str">
        <f>IFERROR(__xludf.DUMMYFUNCTION("""COMPUTED_VALUE"""),"Mandatory")</f>
        <v>Mandatory</v>
      </c>
      <c r="G530" s="189" t="str">
        <f>IFERROR(__xludf.DUMMYFUNCTION("""COMPUTED_VALUE"""),"Raze,Viper,Omen,Yoru,Fade")</f>
        <v>Raze,Viper,Omen,Yoru,Fade</v>
      </c>
      <c r="H530" s="189" t="str">
        <f>IFERROR(__xludf.DUMMYFUNCTION("""COMPUTED_VALUE"""),"Breach,Raze,Viper,Omen,Yoru")</f>
        <v>Breach,Raze,Viper,Omen,Yoru</v>
      </c>
      <c r="I530" s="189">
        <f>IFERROR(__xludf.DUMMYFUNCTION("""COMPUTED_VALUE"""),13.0)</f>
        <v>13</v>
      </c>
      <c r="J530" s="189">
        <f>IFERROR(__xludf.DUMMYFUNCTION("""COMPUTED_VALUE"""),15.0)</f>
        <v>15</v>
      </c>
      <c r="K530" s="189">
        <f>IFERROR(__xludf.DUMMYFUNCTION("""COMPUTED_VALUE"""),6.0)</f>
        <v>6</v>
      </c>
      <c r="L530" s="189">
        <f>IFERROR(__xludf.DUMMYFUNCTION("""COMPUTED_VALUE"""),6.0)</f>
        <v>6</v>
      </c>
      <c r="M530" s="189">
        <f>IFERROR(__xludf.DUMMYFUNCTION("""COMPUTED_VALUE"""),0.0)</f>
        <v>0</v>
      </c>
      <c r="N530" s="189">
        <f>IFERROR(__xludf.DUMMYFUNCTION("""COMPUTED_VALUE"""),0.0)</f>
        <v>0</v>
      </c>
      <c r="O530" s="189">
        <f>IFERROR(__xludf.DUMMYFUNCTION("""COMPUTED_VALUE"""),7.0)</f>
        <v>7</v>
      </c>
      <c r="P530" s="189">
        <f>IFERROR(__xludf.DUMMYFUNCTION("""COMPUTED_VALUE"""),7.0)</f>
        <v>7</v>
      </c>
      <c r="Q530" s="189">
        <f>IFERROR(__xludf.DUMMYFUNCTION("""COMPUTED_VALUE"""),6.0)</f>
        <v>6</v>
      </c>
      <c r="R530" s="189">
        <f>IFERROR(__xludf.DUMMYFUNCTION("""COMPUTED_VALUE"""),8.0)</f>
        <v>8</v>
      </c>
      <c r="S530" s="189">
        <f>IFERROR(__xludf.DUMMYFUNCTION("""COMPUTED_VALUE"""),1.0)</f>
        <v>1</v>
      </c>
      <c r="T530" s="189">
        <f>IFERROR(__xludf.DUMMYFUNCTION("""COMPUTED_VALUE"""),1.0)</f>
        <v>1</v>
      </c>
      <c r="U530" s="189">
        <f>IFERROR(__xludf.DUMMYFUNCTION("""COMPUTED_VALUE"""),8.0)</f>
        <v>8</v>
      </c>
      <c r="V530" s="189">
        <f>IFERROR(__xludf.DUMMYFUNCTION("""COMPUTED_VALUE"""),6.0)</f>
        <v>6</v>
      </c>
      <c r="W530" s="189">
        <f>IFERROR(__xludf.DUMMYFUNCTION("""COMPUTED_VALUE"""),7.0)</f>
        <v>7</v>
      </c>
      <c r="X530" s="189">
        <f>IFERROR(__xludf.DUMMYFUNCTION("""COMPUTED_VALUE"""),7.0)</f>
        <v>7</v>
      </c>
      <c r="Y530" s="208" t="str">
        <f>IFERROR(__xludf.DUMMYFUNCTION("""COMPUTED_VALUE"""),"2025-07-06T00:00:00.000Z")</f>
        <v>2025-07-06T00:00:00.000Z</v>
      </c>
      <c r="Z530" s="189" t="s">
        <v>568</v>
      </c>
      <c r="AA530" s="189" t="s">
        <v>189</v>
      </c>
    </row>
    <row r="531">
      <c r="A531" s="189">
        <f>IFERROR(__xludf.DUMMYFUNCTION("""COMPUTED_VALUE"""),208430.0)</f>
        <v>208430</v>
      </c>
      <c r="B531" s="189">
        <f>IFERROR(__xludf.DUMMYFUNCTION("""COMPUTED_VALUE"""),91792.0)</f>
        <v>91792</v>
      </c>
      <c r="C531" s="189" t="str">
        <f>IFERROR(__xludf.DUMMYFUNCTION("""COMPUTED_VALUE"""),"Challengers League 2025 DACH: Evolution Stage 3 - Group Stage")</f>
        <v>Challengers League 2025 DACH: Evolution Stage 3 - Group Stage</v>
      </c>
      <c r="D531" s="189" t="str">
        <f>IFERROR(__xludf.DUMMYFUNCTION("""COMPUTED_VALUE"""),"Icebox")</f>
        <v>Icebox</v>
      </c>
      <c r="E531" s="189" t="str">
        <f>IFERROR(__xludf.DUMMYFUNCTION("""COMPUTED_VALUE"""),"MOUZ")</f>
        <v>MOUZ</v>
      </c>
      <c r="F531" s="189" t="str">
        <f>IFERROR(__xludf.DUMMYFUNCTION("""COMPUTED_VALUE"""),"XPERION NXT")</f>
        <v>XPERION NXT</v>
      </c>
      <c r="G531" s="189" t="str">
        <f>IFERROR(__xludf.DUMMYFUNCTION("""COMPUTED_VALUE"""),"Sova,Killjoy,Viper,Jett,KAY/O")</f>
        <v>Sova,Killjoy,Viper,Jett,KAY/O</v>
      </c>
      <c r="H531" s="189" t="str">
        <f>IFERROR(__xludf.DUMMYFUNCTION("""COMPUTED_VALUE"""),"Killjoy,Viper,Omen,KAY/O,Gekko")</f>
        <v>Killjoy,Viper,Omen,KAY/O,Gekko</v>
      </c>
      <c r="I531" s="189">
        <f>IFERROR(__xludf.DUMMYFUNCTION("""COMPUTED_VALUE"""),13.0)</f>
        <v>13</v>
      </c>
      <c r="J531" s="189">
        <f>IFERROR(__xludf.DUMMYFUNCTION("""COMPUTED_VALUE"""),8.0)</f>
        <v>8</v>
      </c>
      <c r="K531" s="189">
        <f>IFERROR(__xludf.DUMMYFUNCTION("""COMPUTED_VALUE"""),6.0)</f>
        <v>6</v>
      </c>
      <c r="L531" s="189">
        <f>IFERROR(__xludf.DUMMYFUNCTION("""COMPUTED_VALUE"""),6.0)</f>
        <v>6</v>
      </c>
      <c r="M531" s="189">
        <f>IFERROR(__xludf.DUMMYFUNCTION("""COMPUTED_VALUE"""),0.0)</f>
        <v>0</v>
      </c>
      <c r="N531" s="189">
        <f>IFERROR(__xludf.DUMMYFUNCTION("""COMPUTED_VALUE"""),1.0)</f>
        <v>1</v>
      </c>
      <c r="O531" s="189">
        <f>IFERROR(__xludf.DUMMYFUNCTION("""COMPUTED_VALUE"""),6.0)</f>
        <v>6</v>
      </c>
      <c r="P531" s="189">
        <f>IFERROR(__xludf.DUMMYFUNCTION("""COMPUTED_VALUE"""),6.0)</f>
        <v>6</v>
      </c>
      <c r="Q531" s="189">
        <f>IFERROR(__xludf.DUMMYFUNCTION("""COMPUTED_VALUE"""),7.0)</f>
        <v>7</v>
      </c>
      <c r="R531" s="189">
        <f>IFERROR(__xludf.DUMMYFUNCTION("""COMPUTED_VALUE"""),2.0)</f>
        <v>2</v>
      </c>
      <c r="S531" s="189">
        <f>IFERROR(__xludf.DUMMYFUNCTION("""COMPUTED_VALUE"""),0.0)</f>
        <v>0</v>
      </c>
      <c r="T531" s="189">
        <f>IFERROR(__xludf.DUMMYFUNCTION("""COMPUTED_VALUE"""),1.0)</f>
        <v>1</v>
      </c>
      <c r="U531" s="189">
        <f>IFERROR(__xludf.DUMMYFUNCTION("""COMPUTED_VALUE"""),2.0)</f>
        <v>2</v>
      </c>
      <c r="V531" s="189">
        <f>IFERROR(__xludf.DUMMYFUNCTION("""COMPUTED_VALUE"""),7.0)</f>
        <v>7</v>
      </c>
      <c r="W531" s="189">
        <f>IFERROR(__xludf.DUMMYFUNCTION("""COMPUTED_VALUE"""),6.0)</f>
        <v>6</v>
      </c>
      <c r="X531" s="189">
        <f>IFERROR(__xludf.DUMMYFUNCTION("""COMPUTED_VALUE"""),6.0)</f>
        <v>6</v>
      </c>
      <c r="Y531" s="208" t="str">
        <f>IFERROR(__xludf.DUMMYFUNCTION("""COMPUTED_VALUE"""),"2025-07-06T00:00:00.000Z")</f>
        <v>2025-07-06T00:00:00.000Z</v>
      </c>
      <c r="Z531" s="189" t="s">
        <v>137</v>
      </c>
      <c r="AA531" s="189" t="s">
        <v>180</v>
      </c>
    </row>
    <row r="532">
      <c r="A532" s="189">
        <f>IFERROR(__xludf.DUMMYFUNCTION("""COMPUTED_VALUE"""),209074.0)</f>
        <v>209074</v>
      </c>
      <c r="B532" s="189">
        <f>IFERROR(__xludf.DUMMYFUNCTION("""COMPUTED_VALUE"""),92019.0)</f>
        <v>92019</v>
      </c>
      <c r="C532" s="189" t="str">
        <f>IFERROR(__xludf.DUMMYFUNCTION("""COMPUTED_VALUE"""),"Challengers League 2025 NORTH EAST: Split 3 - Lower Swiss Phase")</f>
        <v>Challengers League 2025 NORTH EAST: Split 3 - Lower Swiss Phase</v>
      </c>
      <c r="D532" s="189" t="str">
        <f>IFERROR(__xludf.DUMMYFUNCTION("""COMPUTED_VALUE"""),"Split")</f>
        <v>Split</v>
      </c>
      <c r="E532" s="189" t="str">
        <f>IFERROR(__xludf.DUMMYFUNCTION("""COMPUTED_VALUE"""),"Twisted Saints Esports")</f>
        <v>Twisted Saints Esports</v>
      </c>
      <c r="F532" s="189" t="str">
        <f>IFERROR(__xludf.DUMMYFUNCTION("""COMPUTED_VALUE"""),"Team Liquid Academy")</f>
        <v>Team Liquid Academy</v>
      </c>
      <c r="G532" s="189" t="str">
        <f>IFERROR(__xludf.DUMMYFUNCTION("""COMPUTED_VALUE"""),"Breach,Raze,Viper,Omen,Fade")</f>
        <v>Breach,Raze,Viper,Omen,Fade</v>
      </c>
      <c r="H532" s="189" t="str">
        <f>IFERROR(__xludf.DUMMYFUNCTION("""COMPUTED_VALUE"""),"Viper,Yoru,Astra,Fade,Vyse")</f>
        <v>Viper,Yoru,Astra,Fade,Vyse</v>
      </c>
      <c r="I532" s="189">
        <f>IFERROR(__xludf.DUMMYFUNCTION("""COMPUTED_VALUE"""),13.0)</f>
        <v>13</v>
      </c>
      <c r="J532" s="189">
        <f>IFERROR(__xludf.DUMMYFUNCTION("""COMPUTED_VALUE"""),9.0)</f>
        <v>9</v>
      </c>
      <c r="K532" s="189">
        <f>IFERROR(__xludf.DUMMYFUNCTION("""COMPUTED_VALUE"""),10.0)</f>
        <v>10</v>
      </c>
      <c r="L532" s="189">
        <f>IFERROR(__xludf.DUMMYFUNCTION("""COMPUTED_VALUE"""),2.0)</f>
        <v>2</v>
      </c>
      <c r="M532" s="189">
        <f>IFERROR(__xludf.DUMMYFUNCTION("""COMPUTED_VALUE"""),0.0)</f>
        <v>0</v>
      </c>
      <c r="N532" s="189">
        <f>IFERROR(__xludf.DUMMYFUNCTION("""COMPUTED_VALUE"""),1.0)</f>
        <v>1</v>
      </c>
      <c r="O532" s="189">
        <f>IFERROR(__xludf.DUMMYFUNCTION("""COMPUTED_VALUE"""),3.0)</f>
        <v>3</v>
      </c>
      <c r="P532" s="189">
        <f>IFERROR(__xludf.DUMMYFUNCTION("""COMPUTED_VALUE"""),7.0)</f>
        <v>7</v>
      </c>
      <c r="Q532" s="189">
        <f>IFERROR(__xludf.DUMMYFUNCTION("""COMPUTED_VALUE"""),10.0)</f>
        <v>10</v>
      </c>
      <c r="R532" s="189">
        <f>IFERROR(__xludf.DUMMYFUNCTION("""COMPUTED_VALUE"""),2.0)</f>
        <v>2</v>
      </c>
      <c r="S532" s="189">
        <f>IFERROR(__xludf.DUMMYFUNCTION("""COMPUTED_VALUE"""),0.0)</f>
        <v>0</v>
      </c>
      <c r="T532" s="189">
        <f>IFERROR(__xludf.DUMMYFUNCTION("""COMPUTED_VALUE"""),1.0)</f>
        <v>1</v>
      </c>
      <c r="U532" s="189">
        <f>IFERROR(__xludf.DUMMYFUNCTION("""COMPUTED_VALUE"""),2.0)</f>
        <v>2</v>
      </c>
      <c r="V532" s="189">
        <f>IFERROR(__xludf.DUMMYFUNCTION("""COMPUTED_VALUE"""),10.0)</f>
        <v>10</v>
      </c>
      <c r="W532" s="189">
        <f>IFERROR(__xludf.DUMMYFUNCTION("""COMPUTED_VALUE"""),7.0)</f>
        <v>7</v>
      </c>
      <c r="X532" s="189">
        <f>IFERROR(__xludf.DUMMYFUNCTION("""COMPUTED_VALUE"""),3.0)</f>
        <v>3</v>
      </c>
      <c r="Y532" s="208" t="str">
        <f>IFERROR(__xludf.DUMMYFUNCTION("""COMPUTED_VALUE"""),"2025-07-06T00:00:00.000Z")</f>
        <v>2025-07-06T00:00:00.000Z</v>
      </c>
      <c r="Z532" s="189" t="s">
        <v>569</v>
      </c>
      <c r="AA532" s="189" t="s">
        <v>425</v>
      </c>
    </row>
    <row r="533">
      <c r="A533" s="189">
        <f>IFERROR(__xludf.DUMMYFUNCTION("""COMPUTED_VALUE"""),209073.0)</f>
        <v>209073</v>
      </c>
      <c r="B533" s="189">
        <f>IFERROR(__xludf.DUMMYFUNCTION("""COMPUTED_VALUE"""),92019.0)</f>
        <v>92019</v>
      </c>
      <c r="C533" s="189" t="str">
        <f>IFERROR(__xludf.DUMMYFUNCTION("""COMPUTED_VALUE"""),"Challengers League 2025 NORTH EAST: Split 3 - Lower Swiss Phase")</f>
        <v>Challengers League 2025 NORTH EAST: Split 3 - Lower Swiss Phase</v>
      </c>
      <c r="D533" s="189" t="str">
        <f>IFERROR(__xludf.DUMMYFUNCTION("""COMPUTED_VALUE"""),"Ascent")</f>
        <v>Ascent</v>
      </c>
      <c r="E533" s="189" t="str">
        <f>IFERROR(__xludf.DUMMYFUNCTION("""COMPUTED_VALUE"""),"Twisted Saints Esports")</f>
        <v>Twisted Saints Esports</v>
      </c>
      <c r="F533" s="189" t="str">
        <f>IFERROR(__xludf.DUMMYFUNCTION("""COMPUTED_VALUE"""),"Team Liquid Academy")</f>
        <v>Team Liquid Academy</v>
      </c>
      <c r="G533" s="189" t="str">
        <f>IFERROR(__xludf.DUMMYFUNCTION("""COMPUTED_VALUE"""),"Sova,Killjoy,Omen,Jett,KAY/O")</f>
        <v>Sova,Killjoy,Omen,Jett,KAY/O</v>
      </c>
      <c r="H533" s="189" t="str">
        <f>IFERROR(__xludf.DUMMYFUNCTION("""COMPUTED_VALUE"""),"Sova,Omen,Yoru,Vyse,Waylay")</f>
        <v>Sova,Omen,Yoru,Vyse,Waylay</v>
      </c>
      <c r="I533" s="189">
        <f>IFERROR(__xludf.DUMMYFUNCTION("""COMPUTED_VALUE"""),5.0)</f>
        <v>5</v>
      </c>
      <c r="J533" s="189">
        <f>IFERROR(__xludf.DUMMYFUNCTION("""COMPUTED_VALUE"""),13.0)</f>
        <v>13</v>
      </c>
      <c r="K533" s="189">
        <f>IFERROR(__xludf.DUMMYFUNCTION("""COMPUTED_VALUE"""),4.0)</f>
        <v>4</v>
      </c>
      <c r="L533" s="189">
        <f>IFERROR(__xludf.DUMMYFUNCTION("""COMPUTED_VALUE"""),8.0)</f>
        <v>8</v>
      </c>
      <c r="M533" s="189">
        <f>IFERROR(__xludf.DUMMYFUNCTION("""COMPUTED_VALUE"""),0.0)</f>
        <v>0</v>
      </c>
      <c r="N533" s="189">
        <f>IFERROR(__xludf.DUMMYFUNCTION("""COMPUTED_VALUE"""),0.0)</f>
        <v>0</v>
      </c>
      <c r="O533" s="189">
        <f>IFERROR(__xludf.DUMMYFUNCTION("""COMPUTED_VALUE"""),1.0)</f>
        <v>1</v>
      </c>
      <c r="P533" s="189">
        <f>IFERROR(__xludf.DUMMYFUNCTION("""COMPUTED_VALUE"""),5.0)</f>
        <v>5</v>
      </c>
      <c r="Q533" s="189">
        <f>IFERROR(__xludf.DUMMYFUNCTION("""COMPUTED_VALUE"""),4.0)</f>
        <v>4</v>
      </c>
      <c r="R533" s="189">
        <f>IFERROR(__xludf.DUMMYFUNCTION("""COMPUTED_VALUE"""),8.0)</f>
        <v>8</v>
      </c>
      <c r="S533" s="189">
        <f>IFERROR(__xludf.DUMMYFUNCTION("""COMPUTED_VALUE"""),1.0)</f>
        <v>1</v>
      </c>
      <c r="T533" s="189">
        <f>IFERROR(__xludf.DUMMYFUNCTION("""COMPUTED_VALUE"""),1.0)</f>
        <v>1</v>
      </c>
      <c r="U533" s="189">
        <f>IFERROR(__xludf.DUMMYFUNCTION("""COMPUTED_VALUE"""),8.0)</f>
        <v>8</v>
      </c>
      <c r="V533" s="189">
        <f>IFERROR(__xludf.DUMMYFUNCTION("""COMPUTED_VALUE"""),4.0)</f>
        <v>4</v>
      </c>
      <c r="W533" s="189">
        <f>IFERROR(__xludf.DUMMYFUNCTION("""COMPUTED_VALUE"""),5.0)</f>
        <v>5</v>
      </c>
      <c r="X533" s="189">
        <f>IFERROR(__xludf.DUMMYFUNCTION("""COMPUTED_VALUE"""),1.0)</f>
        <v>1</v>
      </c>
      <c r="Y533" s="208" t="str">
        <f>IFERROR(__xludf.DUMMYFUNCTION("""COMPUTED_VALUE"""),"2025-07-06T00:00:00.000Z")</f>
        <v>2025-07-06T00:00:00.000Z</v>
      </c>
      <c r="Z533" s="189" t="s">
        <v>422</v>
      </c>
      <c r="AA533" s="189" t="s">
        <v>1</v>
      </c>
    </row>
    <row r="534">
      <c r="A534" s="189">
        <f>IFERROR(__xludf.DUMMYFUNCTION("""COMPUTED_VALUE"""),209080.0)</f>
        <v>209080</v>
      </c>
      <c r="B534" s="189">
        <f>IFERROR(__xludf.DUMMYFUNCTION("""COMPUTED_VALUE"""),92022.0)</f>
        <v>92022</v>
      </c>
      <c r="C534" s="189" t="str">
        <f>IFERROR(__xludf.DUMMYFUNCTION("""COMPUTED_VALUE"""),"Challengers League 2025 NORTH EAST: Split 3 - Lower Swiss Phase")</f>
        <v>Challengers League 2025 NORTH EAST: Split 3 - Lower Swiss Phase</v>
      </c>
      <c r="D534" s="189" t="str">
        <f>IFERROR(__xludf.DUMMYFUNCTION("""COMPUTED_VALUE"""),"Haven")</f>
        <v>Haven</v>
      </c>
      <c r="E534" s="189" t="str">
        <f>IFERROR(__xludf.DUMMYFUNCTION("""COMPUTED_VALUE"""),"MIR")</f>
        <v>MIR</v>
      </c>
      <c r="F534" s="189" t="str">
        <f>IFERROR(__xludf.DUMMYFUNCTION("""COMPUTED_VALUE"""),"Boars Gaming")</f>
        <v>Boars Gaming</v>
      </c>
      <c r="G534" s="189" t="str">
        <f>IFERROR(__xludf.DUMMYFUNCTION("""COMPUTED_VALUE"""),"Sova,Killjoy,Viper,Omen,Neon")</f>
        <v>Sova,Killjoy,Viper,Omen,Neon</v>
      </c>
      <c r="H534" s="189" t="str">
        <f>IFERROR(__xludf.DUMMYFUNCTION("""COMPUTED_VALUE"""),"Breach,Cypher,Sova,Omen,Neon")</f>
        <v>Breach,Cypher,Sova,Omen,Neon</v>
      </c>
      <c r="I534" s="189">
        <f>IFERROR(__xludf.DUMMYFUNCTION("""COMPUTED_VALUE"""),11.0)</f>
        <v>11</v>
      </c>
      <c r="J534" s="189">
        <f>IFERROR(__xludf.DUMMYFUNCTION("""COMPUTED_VALUE"""),13.0)</f>
        <v>13</v>
      </c>
      <c r="K534" s="189">
        <f>IFERROR(__xludf.DUMMYFUNCTION("""COMPUTED_VALUE"""),4.0)</f>
        <v>4</v>
      </c>
      <c r="L534" s="189">
        <f>IFERROR(__xludf.DUMMYFUNCTION("""COMPUTED_VALUE"""),8.0)</f>
        <v>8</v>
      </c>
      <c r="M534" s="189">
        <f>IFERROR(__xludf.DUMMYFUNCTION("""COMPUTED_VALUE"""),0.0)</f>
        <v>0</v>
      </c>
      <c r="N534" s="189">
        <f>IFERROR(__xludf.DUMMYFUNCTION("""COMPUTED_VALUE"""),1.0)</f>
        <v>1</v>
      </c>
      <c r="O534" s="189">
        <f>IFERROR(__xludf.DUMMYFUNCTION("""COMPUTED_VALUE"""),4.0)</f>
        <v>4</v>
      </c>
      <c r="P534" s="189">
        <f>IFERROR(__xludf.DUMMYFUNCTION("""COMPUTED_VALUE"""),8.0)</f>
        <v>8</v>
      </c>
      <c r="Q534" s="189">
        <f>IFERROR(__xludf.DUMMYFUNCTION("""COMPUTED_VALUE"""),7.0)</f>
        <v>7</v>
      </c>
      <c r="R534" s="189">
        <f>IFERROR(__xludf.DUMMYFUNCTION("""COMPUTED_VALUE"""),5.0)</f>
        <v>5</v>
      </c>
      <c r="S534" s="189">
        <f>IFERROR(__xludf.DUMMYFUNCTION("""COMPUTED_VALUE"""),0.0)</f>
        <v>0</v>
      </c>
      <c r="T534" s="189">
        <f>IFERROR(__xludf.DUMMYFUNCTION("""COMPUTED_VALUE"""),1.0)</f>
        <v>1</v>
      </c>
      <c r="U534" s="189">
        <f>IFERROR(__xludf.DUMMYFUNCTION("""COMPUTED_VALUE"""),5.0)</f>
        <v>5</v>
      </c>
      <c r="V534" s="189">
        <f>IFERROR(__xludf.DUMMYFUNCTION("""COMPUTED_VALUE"""),7.0)</f>
        <v>7</v>
      </c>
      <c r="W534" s="189">
        <f>IFERROR(__xludf.DUMMYFUNCTION("""COMPUTED_VALUE"""),8.0)</f>
        <v>8</v>
      </c>
      <c r="X534" s="189">
        <f>IFERROR(__xludf.DUMMYFUNCTION("""COMPUTED_VALUE"""),4.0)</f>
        <v>4</v>
      </c>
      <c r="Y534" s="208" t="str">
        <f>IFERROR(__xludf.DUMMYFUNCTION("""COMPUTED_VALUE"""),"2025-07-06T00:00:00.000Z")</f>
        <v>2025-07-06T00:00:00.000Z</v>
      </c>
      <c r="Z534" s="189" t="s">
        <v>570</v>
      </c>
      <c r="AA534" s="189" t="s">
        <v>181</v>
      </c>
    </row>
    <row r="535">
      <c r="A535" s="189">
        <f>IFERROR(__xludf.DUMMYFUNCTION("""COMPUTED_VALUE"""),209081.0)</f>
        <v>209081</v>
      </c>
      <c r="B535" s="189">
        <f>IFERROR(__xludf.DUMMYFUNCTION("""COMPUTED_VALUE"""),92023.0)</f>
        <v>92023</v>
      </c>
      <c r="C535" s="189" t="str">
        <f>IFERROR(__xludf.DUMMYFUNCTION("""COMPUTED_VALUE"""),"Challengers League 2025 NORTH EAST: Split 3 - Lower Swiss Phase")</f>
        <v>Challengers League 2025 NORTH EAST: Split 3 - Lower Swiss Phase</v>
      </c>
      <c r="D535" s="189" t="str">
        <f>IFERROR(__xludf.DUMMYFUNCTION("""COMPUTED_VALUE"""),"Haven")</f>
        <v>Haven</v>
      </c>
      <c r="E535" s="189" t="str">
        <f>IFERROR(__xludf.DUMMYFUNCTION("""COMPUTED_VALUE"""),"MANIA Esports")</f>
        <v>MANIA Esports</v>
      </c>
      <c r="F535" s="189" t="str">
        <f>IFERROR(__xludf.DUMMYFUNCTION("""COMPUTED_VALUE"""),"děti ulice")</f>
        <v>děti ulice</v>
      </c>
      <c r="G535" s="189" t="str">
        <f>IFERROR(__xludf.DUMMYFUNCTION("""COMPUTED_VALUE"""),"Cypher,Sova,Omen,Yoru,Iso")</f>
        <v>Cypher,Sova,Omen,Yoru,Iso</v>
      </c>
      <c r="H535" s="189" t="str">
        <f>IFERROR(__xludf.DUMMYFUNCTION("""COMPUTED_VALUE"""),"Breach,Cypher,Sova,Omen,Jett")</f>
        <v>Breach,Cypher,Sova,Omen,Jett</v>
      </c>
      <c r="I535" s="189">
        <f>IFERROR(__xludf.DUMMYFUNCTION("""COMPUTED_VALUE"""),13.0)</f>
        <v>13</v>
      </c>
      <c r="J535" s="189">
        <f>IFERROR(__xludf.DUMMYFUNCTION("""COMPUTED_VALUE"""),9.0)</f>
        <v>9</v>
      </c>
      <c r="K535" s="189">
        <f>IFERROR(__xludf.DUMMYFUNCTION("""COMPUTED_VALUE"""),7.0)</f>
        <v>7</v>
      </c>
      <c r="L535" s="189">
        <f>IFERROR(__xludf.DUMMYFUNCTION("""COMPUTED_VALUE"""),5.0)</f>
        <v>5</v>
      </c>
      <c r="M535" s="189">
        <f>IFERROR(__xludf.DUMMYFUNCTION("""COMPUTED_VALUE"""),0.0)</f>
        <v>0</v>
      </c>
      <c r="N535" s="189">
        <f>IFERROR(__xludf.DUMMYFUNCTION("""COMPUTED_VALUE"""),0.0)</f>
        <v>0</v>
      </c>
      <c r="O535" s="189">
        <f>IFERROR(__xludf.DUMMYFUNCTION("""COMPUTED_VALUE"""),6.0)</f>
        <v>6</v>
      </c>
      <c r="P535" s="189">
        <f>IFERROR(__xludf.DUMMYFUNCTION("""COMPUTED_VALUE"""),4.0)</f>
        <v>4</v>
      </c>
      <c r="Q535" s="189">
        <f>IFERROR(__xludf.DUMMYFUNCTION("""COMPUTED_VALUE"""),7.0)</f>
        <v>7</v>
      </c>
      <c r="R535" s="189">
        <f>IFERROR(__xludf.DUMMYFUNCTION("""COMPUTED_VALUE"""),5.0)</f>
        <v>5</v>
      </c>
      <c r="S535" s="189">
        <f>IFERROR(__xludf.DUMMYFUNCTION("""COMPUTED_VALUE"""),1.0)</f>
        <v>1</v>
      </c>
      <c r="T535" s="189">
        <f>IFERROR(__xludf.DUMMYFUNCTION("""COMPUTED_VALUE"""),1.0)</f>
        <v>1</v>
      </c>
      <c r="U535" s="189">
        <f>IFERROR(__xludf.DUMMYFUNCTION("""COMPUTED_VALUE"""),5.0)</f>
        <v>5</v>
      </c>
      <c r="V535" s="189">
        <f>IFERROR(__xludf.DUMMYFUNCTION("""COMPUTED_VALUE"""),7.0)</f>
        <v>7</v>
      </c>
      <c r="W535" s="189">
        <f>IFERROR(__xludf.DUMMYFUNCTION("""COMPUTED_VALUE"""),4.0)</f>
        <v>4</v>
      </c>
      <c r="X535" s="189">
        <f>IFERROR(__xludf.DUMMYFUNCTION("""COMPUTED_VALUE"""),6.0)</f>
        <v>6</v>
      </c>
      <c r="Y535" s="208" t="str">
        <f>IFERROR(__xludf.DUMMYFUNCTION("""COMPUTED_VALUE"""),"2025-07-06T00:00:00.000Z")</f>
        <v>2025-07-06T00:00:00.000Z</v>
      </c>
      <c r="Z535" s="189" t="s">
        <v>571</v>
      </c>
      <c r="AA535" s="189" t="s">
        <v>458</v>
      </c>
    </row>
    <row r="536">
      <c r="A536" s="189">
        <f>IFERROR(__xludf.DUMMYFUNCTION("""COMPUTED_VALUE"""),206636.0)</f>
        <v>206636</v>
      </c>
      <c r="B536" s="189">
        <f>IFERROR(__xludf.DUMMYFUNCTION("""COMPUTED_VALUE"""),91112.0)</f>
        <v>91112</v>
      </c>
      <c r="C536" s="189" t="str">
        <f>IFERROR(__xludf.DUMMYFUNCTION("""COMPUTED_VALUE"""),"A1 eSports Cup #8")</f>
        <v>A1 eSports Cup #8</v>
      </c>
      <c r="D536" s="189" t="str">
        <f>IFERROR(__xludf.DUMMYFUNCTION("""COMPUTED_VALUE"""),"Sunset")</f>
        <v>Sunset</v>
      </c>
      <c r="E536" s="189" t="str">
        <f>IFERROR(__xludf.DUMMYFUNCTION("""COMPUTED_VALUE"""),"MOUZ")</f>
        <v>MOUZ</v>
      </c>
      <c r="F536" s="189" t="str">
        <f>IFERROR(__xludf.DUMMYFUNCTION("""COMPUTED_VALUE"""),"Eintracht Frankfurt")</f>
        <v>Eintracht Frankfurt</v>
      </c>
      <c r="G536" s="189" t="str">
        <f>IFERROR(__xludf.DUMMYFUNCTION("""COMPUTED_VALUE"""),"Breach,Sova,Omen,Neon,Vyse")</f>
        <v>Breach,Sova,Omen,Neon,Vyse</v>
      </c>
      <c r="H536" s="189" t="str">
        <f>IFERROR(__xludf.DUMMYFUNCTION("""COMPUTED_VALUE"""),"Cypher,Sova,Omen,KAY/O,Neon")</f>
        <v>Cypher,Sova,Omen,KAY/O,Neon</v>
      </c>
      <c r="I536" s="189">
        <f>IFERROR(__xludf.DUMMYFUNCTION("""COMPUTED_VALUE"""),8.0)</f>
        <v>8</v>
      </c>
      <c r="J536" s="189">
        <f>IFERROR(__xludf.DUMMYFUNCTION("""COMPUTED_VALUE"""),13.0)</f>
        <v>13</v>
      </c>
      <c r="K536" s="189">
        <f>IFERROR(__xludf.DUMMYFUNCTION("""COMPUTED_VALUE"""),5.0)</f>
        <v>5</v>
      </c>
      <c r="L536" s="189">
        <f>IFERROR(__xludf.DUMMYFUNCTION("""COMPUTED_VALUE"""),7.0)</f>
        <v>7</v>
      </c>
      <c r="M536" s="189">
        <f>IFERROR(__xludf.DUMMYFUNCTION("""COMPUTED_VALUE"""),1.0)</f>
        <v>1</v>
      </c>
      <c r="N536" s="189">
        <f>IFERROR(__xludf.DUMMYFUNCTION("""COMPUTED_VALUE"""),1.0)</f>
        <v>1</v>
      </c>
      <c r="O536" s="189">
        <f>IFERROR(__xludf.DUMMYFUNCTION("""COMPUTED_VALUE"""),5.0)</f>
        <v>5</v>
      </c>
      <c r="P536" s="189">
        <f>IFERROR(__xludf.DUMMYFUNCTION("""COMPUTED_VALUE"""),7.0)</f>
        <v>7</v>
      </c>
      <c r="Q536" s="189">
        <f>IFERROR(__xludf.DUMMYFUNCTION("""COMPUTED_VALUE"""),3.0)</f>
        <v>3</v>
      </c>
      <c r="R536" s="189">
        <f>IFERROR(__xludf.DUMMYFUNCTION("""COMPUTED_VALUE"""),6.0)</f>
        <v>6</v>
      </c>
      <c r="S536" s="189">
        <f>IFERROR(__xludf.DUMMYFUNCTION("""COMPUTED_VALUE"""),0.0)</f>
        <v>0</v>
      </c>
      <c r="T536" s="189">
        <f>IFERROR(__xludf.DUMMYFUNCTION("""COMPUTED_VALUE"""),0.0)</f>
        <v>0</v>
      </c>
      <c r="U536" s="189">
        <f>IFERROR(__xludf.DUMMYFUNCTION("""COMPUTED_VALUE"""),6.0)</f>
        <v>6</v>
      </c>
      <c r="V536" s="189">
        <f>IFERROR(__xludf.DUMMYFUNCTION("""COMPUTED_VALUE"""),3.0)</f>
        <v>3</v>
      </c>
      <c r="W536" s="189">
        <f>IFERROR(__xludf.DUMMYFUNCTION("""COMPUTED_VALUE"""),7.0)</f>
        <v>7</v>
      </c>
      <c r="X536" s="189">
        <f>IFERROR(__xludf.DUMMYFUNCTION("""COMPUTED_VALUE"""),5.0)</f>
        <v>5</v>
      </c>
      <c r="Y536" s="208" t="str">
        <f>IFERROR(__xludf.DUMMYFUNCTION("""COMPUTED_VALUE"""),"2025-07-05T00:00:00.000Z")</f>
        <v>2025-07-05T00:00:00.000Z</v>
      </c>
      <c r="Z536" s="189" t="s">
        <v>141</v>
      </c>
      <c r="AA536" s="189" t="s">
        <v>183</v>
      </c>
    </row>
    <row r="537">
      <c r="A537" s="189">
        <f>IFERROR(__xludf.DUMMYFUNCTION("""COMPUTED_VALUE"""),206635.0)</f>
        <v>206635</v>
      </c>
      <c r="B537" s="189">
        <f>IFERROR(__xludf.DUMMYFUNCTION("""COMPUTED_VALUE"""),91112.0)</f>
        <v>91112</v>
      </c>
      <c r="C537" s="189" t="str">
        <f>IFERROR(__xludf.DUMMYFUNCTION("""COMPUTED_VALUE"""),"A1 eSports Cup #8")</f>
        <v>A1 eSports Cup #8</v>
      </c>
      <c r="D537" s="189" t="str">
        <f>IFERROR(__xludf.DUMMYFUNCTION("""COMPUTED_VALUE"""),"Ascent")</f>
        <v>Ascent</v>
      </c>
      <c r="E537" s="189" t="str">
        <f>IFERROR(__xludf.DUMMYFUNCTION("""COMPUTED_VALUE"""),"MOUZ")</f>
        <v>MOUZ</v>
      </c>
      <c r="F537" s="189" t="str">
        <f>IFERROR(__xludf.DUMMYFUNCTION("""COMPUTED_VALUE"""),"Eintracht Frankfurt")</f>
        <v>Eintracht Frankfurt</v>
      </c>
      <c r="G537" s="189" t="str">
        <f>IFERROR(__xludf.DUMMYFUNCTION("""COMPUTED_VALUE"""),"Sova,Phoenix,Omen,Yoru,Vyse")</f>
        <v>Sova,Phoenix,Omen,Yoru,Vyse</v>
      </c>
      <c r="H537" s="189" t="str">
        <f>IFERROR(__xludf.DUMMYFUNCTION("""COMPUTED_VALUE"""),"Cypher,Sova,Omen,Jett,KAY/O")</f>
        <v>Cypher,Sova,Omen,Jett,KAY/O</v>
      </c>
      <c r="I537" s="189">
        <f>IFERROR(__xludf.DUMMYFUNCTION("""COMPUTED_VALUE"""),8.0)</f>
        <v>8</v>
      </c>
      <c r="J537" s="189">
        <f>IFERROR(__xludf.DUMMYFUNCTION("""COMPUTED_VALUE"""),13.0)</f>
        <v>13</v>
      </c>
      <c r="K537" s="189">
        <f>IFERROR(__xludf.DUMMYFUNCTION("""COMPUTED_VALUE"""),5.0)</f>
        <v>5</v>
      </c>
      <c r="L537" s="189">
        <f>IFERROR(__xludf.DUMMYFUNCTION("""COMPUTED_VALUE"""),7.0)</f>
        <v>7</v>
      </c>
      <c r="M537" s="189">
        <f>IFERROR(__xludf.DUMMYFUNCTION("""COMPUTED_VALUE"""),0.0)</f>
        <v>0</v>
      </c>
      <c r="N537" s="189">
        <f>IFERROR(__xludf.DUMMYFUNCTION("""COMPUTED_VALUE"""),1.0)</f>
        <v>1</v>
      </c>
      <c r="O537" s="189">
        <f>IFERROR(__xludf.DUMMYFUNCTION("""COMPUTED_VALUE"""),3.0)</f>
        <v>3</v>
      </c>
      <c r="P537" s="189">
        <f>IFERROR(__xludf.DUMMYFUNCTION("""COMPUTED_VALUE"""),6.0)</f>
        <v>6</v>
      </c>
      <c r="Q537" s="189">
        <f>IFERROR(__xludf.DUMMYFUNCTION("""COMPUTED_VALUE"""),5.0)</f>
        <v>5</v>
      </c>
      <c r="R537" s="189">
        <f>IFERROR(__xludf.DUMMYFUNCTION("""COMPUTED_VALUE"""),7.0)</f>
        <v>7</v>
      </c>
      <c r="S537" s="189">
        <f>IFERROR(__xludf.DUMMYFUNCTION("""COMPUTED_VALUE"""),0.0)</f>
        <v>0</v>
      </c>
      <c r="T537" s="189">
        <f>IFERROR(__xludf.DUMMYFUNCTION("""COMPUTED_VALUE"""),1.0)</f>
        <v>1</v>
      </c>
      <c r="U537" s="189">
        <f>IFERROR(__xludf.DUMMYFUNCTION("""COMPUTED_VALUE"""),7.0)</f>
        <v>7</v>
      </c>
      <c r="V537" s="189">
        <f>IFERROR(__xludf.DUMMYFUNCTION("""COMPUTED_VALUE"""),5.0)</f>
        <v>5</v>
      </c>
      <c r="W537" s="189">
        <f>IFERROR(__xludf.DUMMYFUNCTION("""COMPUTED_VALUE"""),6.0)</f>
        <v>6</v>
      </c>
      <c r="X537" s="189">
        <f>IFERROR(__xludf.DUMMYFUNCTION("""COMPUTED_VALUE"""),3.0)</f>
        <v>3</v>
      </c>
      <c r="Y537" s="208" t="str">
        <f>IFERROR(__xludf.DUMMYFUNCTION("""COMPUTED_VALUE"""),"2025-07-05T00:00:00.000Z")</f>
        <v>2025-07-05T00:00:00.000Z</v>
      </c>
      <c r="Z537" s="189" t="s">
        <v>133</v>
      </c>
      <c r="AA537" s="189" t="s">
        <v>183</v>
      </c>
    </row>
    <row r="538">
      <c r="A538" s="189">
        <f>IFERROR(__xludf.DUMMYFUNCTION("""COMPUTED_VALUE"""),209062.0)</f>
        <v>209062</v>
      </c>
      <c r="B538" s="189">
        <f>IFERROR(__xludf.DUMMYFUNCTION("""COMPUTED_VALUE"""),92012.0)</f>
        <v>92012</v>
      </c>
      <c r="C538" s="189" t="str">
        <f>IFERROR(__xludf.DUMMYFUNCTION("""COMPUTED_VALUE"""),"Challengers League 2025 NORTH EAST: Split 3 - Lower Swiss Phase")</f>
        <v>Challengers League 2025 NORTH EAST: Split 3 - Lower Swiss Phase</v>
      </c>
      <c r="D538" s="189" t="str">
        <f>IFERROR(__xludf.DUMMYFUNCTION("""COMPUTED_VALUE"""),"Sunset")</f>
        <v>Sunset</v>
      </c>
      <c r="E538" s="189" t="str">
        <f>IFERROR(__xludf.DUMMYFUNCTION("""COMPUTED_VALUE"""),"Boars Gaming")</f>
        <v>Boars Gaming</v>
      </c>
      <c r="F538" s="189" t="str">
        <f>IFERROR(__xludf.DUMMYFUNCTION("""COMPUTED_VALUE"""),"Formulation Gaming")</f>
        <v>Formulation Gaming</v>
      </c>
      <c r="G538" s="189" t="str">
        <f>IFERROR(__xludf.DUMMYFUNCTION("""COMPUTED_VALUE"""),"Cypher,Sova,Omen,KAY/O,Neon")</f>
        <v>Cypher,Sova,Omen,KAY/O,Neon</v>
      </c>
      <c r="H538" s="189" t="str">
        <f>IFERROR(__xludf.DUMMYFUNCTION("""COMPUTED_VALUE"""),"Cypher,Sova,Viper,Omen,Neon")</f>
        <v>Cypher,Sova,Viper,Omen,Neon</v>
      </c>
      <c r="I538" s="189">
        <f>IFERROR(__xludf.DUMMYFUNCTION("""COMPUTED_VALUE"""),7.0)</f>
        <v>7</v>
      </c>
      <c r="J538" s="189">
        <f>IFERROR(__xludf.DUMMYFUNCTION("""COMPUTED_VALUE"""),13.0)</f>
        <v>13</v>
      </c>
      <c r="K538" s="189">
        <f>IFERROR(__xludf.DUMMYFUNCTION("""COMPUTED_VALUE"""),6.0)</f>
        <v>6</v>
      </c>
      <c r="L538" s="189">
        <f>IFERROR(__xludf.DUMMYFUNCTION("""COMPUTED_VALUE"""),6.0)</f>
        <v>6</v>
      </c>
      <c r="M538" s="189">
        <f>IFERROR(__xludf.DUMMYFUNCTION("""COMPUTED_VALUE"""),0.0)</f>
        <v>0</v>
      </c>
      <c r="N538" s="189">
        <f>IFERROR(__xludf.DUMMYFUNCTION("""COMPUTED_VALUE"""),0.0)</f>
        <v>0</v>
      </c>
      <c r="O538" s="189">
        <f>IFERROR(__xludf.DUMMYFUNCTION("""COMPUTED_VALUE"""),6.0)</f>
        <v>6</v>
      </c>
      <c r="P538" s="189">
        <f>IFERROR(__xludf.DUMMYFUNCTION("""COMPUTED_VALUE"""),6.0)</f>
        <v>6</v>
      </c>
      <c r="Q538" s="189">
        <f>IFERROR(__xludf.DUMMYFUNCTION("""COMPUTED_VALUE"""),1.0)</f>
        <v>1</v>
      </c>
      <c r="R538" s="189">
        <f>IFERROR(__xludf.DUMMYFUNCTION("""COMPUTED_VALUE"""),7.0)</f>
        <v>7</v>
      </c>
      <c r="S538" s="189">
        <f>IFERROR(__xludf.DUMMYFUNCTION("""COMPUTED_VALUE"""),1.0)</f>
        <v>1</v>
      </c>
      <c r="T538" s="189">
        <f>IFERROR(__xludf.DUMMYFUNCTION("""COMPUTED_VALUE"""),1.0)</f>
        <v>1</v>
      </c>
      <c r="U538" s="189">
        <f>IFERROR(__xludf.DUMMYFUNCTION("""COMPUTED_VALUE"""),7.0)</f>
        <v>7</v>
      </c>
      <c r="V538" s="189">
        <f>IFERROR(__xludf.DUMMYFUNCTION("""COMPUTED_VALUE"""),1.0)</f>
        <v>1</v>
      </c>
      <c r="W538" s="189">
        <f>IFERROR(__xludf.DUMMYFUNCTION("""COMPUTED_VALUE"""),6.0)</f>
        <v>6</v>
      </c>
      <c r="X538" s="189">
        <f>IFERROR(__xludf.DUMMYFUNCTION("""COMPUTED_VALUE"""),6.0)</f>
        <v>6</v>
      </c>
      <c r="Y538" s="208" t="str">
        <f>IFERROR(__xludf.DUMMYFUNCTION("""COMPUTED_VALUE"""),"2025-07-05T00:00:00.000Z")</f>
        <v>2025-07-05T00:00:00.000Z</v>
      </c>
      <c r="Z538" s="189" t="s">
        <v>84</v>
      </c>
      <c r="AA538" s="189" t="s">
        <v>401</v>
      </c>
    </row>
    <row r="539">
      <c r="A539" s="189">
        <f>IFERROR(__xludf.DUMMYFUNCTION("""COMPUTED_VALUE"""),209059.0)</f>
        <v>209059</v>
      </c>
      <c r="B539" s="189">
        <f>IFERROR(__xludf.DUMMYFUNCTION("""COMPUTED_VALUE"""),92009.0)</f>
        <v>92009</v>
      </c>
      <c r="C539" s="189" t="str">
        <f>IFERROR(__xludf.DUMMYFUNCTION("""COMPUTED_VALUE"""),"Challengers League 2025 NORTH EAST: Split 3 - Lower Swiss Phase")</f>
        <v>Challengers League 2025 NORTH EAST: Split 3 - Lower Swiss Phase</v>
      </c>
      <c r="D539" s="189" t="str">
        <f>IFERROR(__xludf.DUMMYFUNCTION("""COMPUTED_VALUE"""),"Lotus")</f>
        <v>Lotus</v>
      </c>
      <c r="E539" s="189" t="str">
        <f>IFERROR(__xludf.DUMMYFUNCTION("""COMPUTED_VALUE"""),"Extreme Gaming")</f>
        <v>Extreme Gaming</v>
      </c>
      <c r="F539" s="189" t="str">
        <f>IFERROR(__xludf.DUMMYFUNCTION("""COMPUTED_VALUE"""),"děti ulice")</f>
        <v>děti ulice</v>
      </c>
      <c r="G539" s="189" t="str">
        <f>IFERROR(__xludf.DUMMYFUNCTION("""COMPUTED_VALUE"""),"Raze,Killjoy,Viper,Omen,Fade")</f>
        <v>Raze,Killjoy,Viper,Omen,Fade</v>
      </c>
      <c r="H539" s="189" t="str">
        <f>IFERROR(__xludf.DUMMYFUNCTION("""COMPUTED_VALUE"""),"Sova,Viper,Omen,Yoru,Fade")</f>
        <v>Sova,Viper,Omen,Yoru,Fade</v>
      </c>
      <c r="I539" s="189">
        <f>IFERROR(__xludf.DUMMYFUNCTION("""COMPUTED_VALUE"""),15.0)</f>
        <v>15</v>
      </c>
      <c r="J539" s="189">
        <f>IFERROR(__xludf.DUMMYFUNCTION("""COMPUTED_VALUE"""),13.0)</f>
        <v>13</v>
      </c>
      <c r="K539" s="189">
        <f>IFERROR(__xludf.DUMMYFUNCTION("""COMPUTED_VALUE"""),2.0)</f>
        <v>2</v>
      </c>
      <c r="L539" s="189">
        <f>IFERROR(__xludf.DUMMYFUNCTION("""COMPUTED_VALUE"""),10.0)</f>
        <v>10</v>
      </c>
      <c r="M539" s="189">
        <f>IFERROR(__xludf.DUMMYFUNCTION("""COMPUTED_VALUE"""),0.0)</f>
        <v>0</v>
      </c>
      <c r="N539" s="189">
        <f>IFERROR(__xludf.DUMMYFUNCTION("""COMPUTED_VALUE"""),0.0)</f>
        <v>0</v>
      </c>
      <c r="O539" s="189">
        <f>IFERROR(__xludf.DUMMYFUNCTION("""COMPUTED_VALUE"""),12.0)</f>
        <v>12</v>
      </c>
      <c r="P539" s="189">
        <f>IFERROR(__xludf.DUMMYFUNCTION("""COMPUTED_VALUE"""),2.0)</f>
        <v>2</v>
      </c>
      <c r="Q539" s="189">
        <f>IFERROR(__xludf.DUMMYFUNCTION("""COMPUTED_VALUE"""),3.0)</f>
        <v>3</v>
      </c>
      <c r="R539" s="189">
        <f>IFERROR(__xludf.DUMMYFUNCTION("""COMPUTED_VALUE"""),11.0)</f>
        <v>11</v>
      </c>
      <c r="S539" s="189">
        <f>IFERROR(__xludf.DUMMYFUNCTION("""COMPUTED_VALUE"""),1.0)</f>
        <v>1</v>
      </c>
      <c r="T539" s="189">
        <f>IFERROR(__xludf.DUMMYFUNCTION("""COMPUTED_VALUE"""),1.0)</f>
        <v>1</v>
      </c>
      <c r="U539" s="189">
        <f>IFERROR(__xludf.DUMMYFUNCTION("""COMPUTED_VALUE"""),11.0)</f>
        <v>11</v>
      </c>
      <c r="V539" s="189">
        <f>IFERROR(__xludf.DUMMYFUNCTION("""COMPUTED_VALUE"""),3.0)</f>
        <v>3</v>
      </c>
      <c r="W539" s="189">
        <f>IFERROR(__xludf.DUMMYFUNCTION("""COMPUTED_VALUE"""),2.0)</f>
        <v>2</v>
      </c>
      <c r="X539" s="189">
        <f>IFERROR(__xludf.DUMMYFUNCTION("""COMPUTED_VALUE"""),12.0)</f>
        <v>12</v>
      </c>
      <c r="Y539" s="208" t="str">
        <f>IFERROR(__xludf.DUMMYFUNCTION("""COMPUTED_VALUE"""),"2025-07-05T00:00:00.000Z")</f>
        <v>2025-07-05T00:00:00.000Z</v>
      </c>
      <c r="Z539" s="189" t="s">
        <v>572</v>
      </c>
      <c r="AA539" s="189" t="s">
        <v>459</v>
      </c>
    </row>
    <row r="540">
      <c r="A540" s="189">
        <f>IFERROR(__xludf.DUMMYFUNCTION("""COMPUTED_VALUE"""),209060.0)</f>
        <v>209060</v>
      </c>
      <c r="B540" s="189">
        <f>IFERROR(__xludf.DUMMYFUNCTION("""COMPUTED_VALUE"""),92010.0)</f>
        <v>92010</v>
      </c>
      <c r="C540" s="189" t="str">
        <f>IFERROR(__xludf.DUMMYFUNCTION("""COMPUTED_VALUE"""),"Challengers League 2025 NORTH EAST: Split 3 - Lower Swiss Phase")</f>
        <v>Challengers League 2025 NORTH EAST: Split 3 - Lower Swiss Phase</v>
      </c>
      <c r="D540" s="189" t="str">
        <f>IFERROR(__xludf.DUMMYFUNCTION("""COMPUTED_VALUE"""),"Lotus")</f>
        <v>Lotus</v>
      </c>
      <c r="E540" s="189" t="str">
        <f>IFERROR(__xludf.DUMMYFUNCTION("""COMPUTED_VALUE"""),"MANIA Esports")</f>
        <v>MANIA Esports</v>
      </c>
      <c r="F540" s="189" t="str">
        <f>IFERROR(__xludf.DUMMYFUNCTION("""COMPUTED_VALUE"""),"Team Liquid Academy")</f>
        <v>Team Liquid Academy</v>
      </c>
      <c r="G540" s="189" t="str">
        <f>IFERROR(__xludf.DUMMYFUNCTION("""COMPUTED_VALUE"""),"Raze,Killjoy,Viper,Omen,Fade")</f>
        <v>Raze,Killjoy,Viper,Omen,Fade</v>
      </c>
      <c r="H540" s="189" t="str">
        <f>IFERROR(__xludf.DUMMYFUNCTION("""COMPUTED_VALUE"""),"Raze,Viper,Omen,Fade,Vyse")</f>
        <v>Raze,Viper,Omen,Fade,Vyse</v>
      </c>
      <c r="I540" s="189">
        <f>IFERROR(__xludf.DUMMYFUNCTION("""COMPUTED_VALUE"""),2.0)</f>
        <v>2</v>
      </c>
      <c r="J540" s="189">
        <f>IFERROR(__xludf.DUMMYFUNCTION("""COMPUTED_VALUE"""),13.0)</f>
        <v>13</v>
      </c>
      <c r="K540" s="189">
        <f>IFERROR(__xludf.DUMMYFUNCTION("""COMPUTED_VALUE"""),2.0)</f>
        <v>2</v>
      </c>
      <c r="L540" s="189">
        <f>IFERROR(__xludf.DUMMYFUNCTION("""COMPUTED_VALUE"""),10.0)</f>
        <v>10</v>
      </c>
      <c r="M540" s="189">
        <f>IFERROR(__xludf.DUMMYFUNCTION("""COMPUTED_VALUE"""),0.0)</f>
        <v>0</v>
      </c>
      <c r="N540" s="189">
        <f>IFERROR(__xludf.DUMMYFUNCTION("""COMPUTED_VALUE"""),0.0)</f>
        <v>0</v>
      </c>
      <c r="O540" s="189">
        <f>IFERROR(__xludf.DUMMYFUNCTION("""COMPUTED_VALUE"""),0.0)</f>
        <v>0</v>
      </c>
      <c r="P540" s="189">
        <f>IFERROR(__xludf.DUMMYFUNCTION("""COMPUTED_VALUE"""),3.0)</f>
        <v>3</v>
      </c>
      <c r="Q540" s="189">
        <f>IFERROR(__xludf.DUMMYFUNCTION("""COMPUTED_VALUE"""),2.0)</f>
        <v>2</v>
      </c>
      <c r="R540" s="189">
        <f>IFERROR(__xludf.DUMMYFUNCTION("""COMPUTED_VALUE"""),10.0)</f>
        <v>10</v>
      </c>
      <c r="S540" s="189">
        <f>IFERROR(__xludf.DUMMYFUNCTION("""COMPUTED_VALUE"""),1.0)</f>
        <v>1</v>
      </c>
      <c r="T540" s="189">
        <f>IFERROR(__xludf.DUMMYFUNCTION("""COMPUTED_VALUE"""),1.0)</f>
        <v>1</v>
      </c>
      <c r="U540" s="189">
        <f>IFERROR(__xludf.DUMMYFUNCTION("""COMPUTED_VALUE"""),10.0)</f>
        <v>10</v>
      </c>
      <c r="V540" s="189">
        <f>IFERROR(__xludf.DUMMYFUNCTION("""COMPUTED_VALUE"""),2.0)</f>
        <v>2</v>
      </c>
      <c r="W540" s="189">
        <f>IFERROR(__xludf.DUMMYFUNCTION("""COMPUTED_VALUE"""),3.0)</f>
        <v>3</v>
      </c>
      <c r="X540" s="189">
        <f>IFERROR(__xludf.DUMMYFUNCTION("""COMPUTED_VALUE"""),0.0)</f>
        <v>0</v>
      </c>
      <c r="Y540" s="208" t="str">
        <f>IFERROR(__xludf.DUMMYFUNCTION("""COMPUTED_VALUE"""),"2025-07-05T00:00:00.000Z")</f>
        <v>2025-07-05T00:00:00.000Z</v>
      </c>
      <c r="Z540" s="189" t="s">
        <v>573</v>
      </c>
      <c r="AA540" s="189" t="s">
        <v>1</v>
      </c>
    </row>
    <row r="541">
      <c r="A541" s="189">
        <f>IFERROR(__xludf.DUMMYFUNCTION("""COMPUTED_VALUE"""),208369.0)</f>
        <v>208369</v>
      </c>
      <c r="B541" s="189">
        <f>IFERROR(__xludf.DUMMYFUNCTION("""COMPUTED_VALUE"""),91771.0)</f>
        <v>91771</v>
      </c>
      <c r="C541" s="189" t="str">
        <f>IFERROR(__xludf.DUMMYFUNCTION("""COMPUTED_VALUE"""),"Challengers League 2025 Türkiye Birlik: Split 3 - Group Stage")</f>
        <v>Challengers League 2025 Türkiye Birlik: Split 3 - Group Stage</v>
      </c>
      <c r="D541" s="189" t="str">
        <f>IFERROR(__xludf.DUMMYFUNCTION("""COMPUTED_VALUE"""),"Haven")</f>
        <v>Haven</v>
      </c>
      <c r="E541" s="189" t="str">
        <f>IFERROR(__xludf.DUMMYFUNCTION("""COMPUTED_VALUE"""),"Papara SuperMassive")</f>
        <v>Papara SuperMassive</v>
      </c>
      <c r="F541" s="189" t="str">
        <f>IFERROR(__xludf.DUMMYFUNCTION("""COMPUTED_VALUE"""),"BBL PCIFIC")</f>
        <v>BBL PCIFIC</v>
      </c>
      <c r="G541" s="189" t="str">
        <f>IFERROR(__xludf.DUMMYFUNCTION("""COMPUTED_VALUE"""),"Breach,Cypher,Sova,Omen,Neon")</f>
        <v>Breach,Cypher,Sova,Omen,Neon</v>
      </c>
      <c r="H541" s="189" t="str">
        <f>IFERROR(__xludf.DUMMYFUNCTION("""COMPUTED_VALUE"""),"Breach,Cypher,Sova,Omen,Jett")</f>
        <v>Breach,Cypher,Sova,Omen,Jett</v>
      </c>
      <c r="I541" s="189">
        <f>IFERROR(__xludf.DUMMYFUNCTION("""COMPUTED_VALUE"""),13.0)</f>
        <v>13</v>
      </c>
      <c r="J541" s="189">
        <f>IFERROR(__xludf.DUMMYFUNCTION("""COMPUTED_VALUE"""),10.0)</f>
        <v>10</v>
      </c>
      <c r="K541" s="189">
        <f>IFERROR(__xludf.DUMMYFUNCTION("""COMPUTED_VALUE"""),4.0)</f>
        <v>4</v>
      </c>
      <c r="L541" s="189">
        <f>IFERROR(__xludf.DUMMYFUNCTION("""COMPUTED_VALUE"""),8.0)</f>
        <v>8</v>
      </c>
      <c r="M541" s="189">
        <f>IFERROR(__xludf.DUMMYFUNCTION("""COMPUTED_VALUE"""),0.0)</f>
        <v>0</v>
      </c>
      <c r="N541" s="189">
        <f>IFERROR(__xludf.DUMMYFUNCTION("""COMPUTED_VALUE"""),1.0)</f>
        <v>1</v>
      </c>
      <c r="O541" s="189">
        <f>IFERROR(__xludf.DUMMYFUNCTION("""COMPUTED_VALUE"""),4.0)</f>
        <v>4</v>
      </c>
      <c r="P541" s="189">
        <f>IFERROR(__xludf.DUMMYFUNCTION("""COMPUTED_VALUE"""),8.0)</f>
        <v>8</v>
      </c>
      <c r="Q541" s="189">
        <f>IFERROR(__xludf.DUMMYFUNCTION("""COMPUTED_VALUE"""),9.0)</f>
        <v>9</v>
      </c>
      <c r="R541" s="189">
        <f>IFERROR(__xludf.DUMMYFUNCTION("""COMPUTED_VALUE"""),2.0)</f>
        <v>2</v>
      </c>
      <c r="S541" s="189">
        <f>IFERROR(__xludf.DUMMYFUNCTION("""COMPUTED_VALUE"""),0.0)</f>
        <v>0</v>
      </c>
      <c r="T541" s="189">
        <f>IFERROR(__xludf.DUMMYFUNCTION("""COMPUTED_VALUE"""),1.0)</f>
        <v>1</v>
      </c>
      <c r="U541" s="189">
        <f>IFERROR(__xludf.DUMMYFUNCTION("""COMPUTED_VALUE"""),2.0)</f>
        <v>2</v>
      </c>
      <c r="V541" s="189">
        <f>IFERROR(__xludf.DUMMYFUNCTION("""COMPUTED_VALUE"""),9.0)</f>
        <v>9</v>
      </c>
      <c r="W541" s="189">
        <f>IFERROR(__xludf.DUMMYFUNCTION("""COMPUTED_VALUE"""),8.0)</f>
        <v>8</v>
      </c>
      <c r="X541" s="189">
        <f>IFERROR(__xludf.DUMMYFUNCTION("""COMPUTED_VALUE"""),4.0)</f>
        <v>4</v>
      </c>
      <c r="Y541" s="208" t="str">
        <f>IFERROR(__xludf.DUMMYFUNCTION("""COMPUTED_VALUE"""),"2025-07-05T00:00:00.000Z")</f>
        <v>2025-07-05T00:00:00.000Z</v>
      </c>
      <c r="Z541" s="189" t="s">
        <v>509</v>
      </c>
      <c r="AA541" s="189" t="s">
        <v>399</v>
      </c>
    </row>
    <row r="542">
      <c r="A542" s="189">
        <f>IFERROR(__xludf.DUMMYFUNCTION("""COMPUTED_VALUE"""),209057.0)</f>
        <v>209057</v>
      </c>
      <c r="B542" s="189">
        <f>IFERROR(__xludf.DUMMYFUNCTION("""COMPUTED_VALUE"""),92007.0)</f>
        <v>92007</v>
      </c>
      <c r="C542" s="189" t="str">
        <f>IFERROR(__xludf.DUMMYFUNCTION("""COMPUTED_VALUE"""),"Challengers League 2025 NORTH EAST: Split 3 - Lower Swiss Phase")</f>
        <v>Challengers League 2025 NORTH EAST: Split 3 - Lower Swiss Phase</v>
      </c>
      <c r="D542" s="189" t="str">
        <f>IFERROR(__xludf.DUMMYFUNCTION("""COMPUTED_VALUE"""),"Sunset")</f>
        <v>Sunset</v>
      </c>
      <c r="E542" s="189" t="str">
        <f>IFERROR(__xludf.DUMMYFUNCTION("""COMPUTED_VALUE"""),"Boars Gaming")</f>
        <v>Boars Gaming</v>
      </c>
      <c r="F542" s="189" t="str">
        <f>IFERROR(__xludf.DUMMYFUNCTION("""COMPUTED_VALUE"""),"Metizport")</f>
        <v>Metizport</v>
      </c>
      <c r="G542" s="189" t="str">
        <f>IFERROR(__xludf.DUMMYFUNCTION("""COMPUTED_VALUE"""),"Cypher,Sova,Omen,KAY/O,Neon")</f>
        <v>Cypher,Sova,Omen,KAY/O,Neon</v>
      </c>
      <c r="H542" s="189" t="str">
        <f>IFERROR(__xludf.DUMMYFUNCTION("""COMPUTED_VALUE"""),"Sova,Viper,Omen,Neon,Deadlock")</f>
        <v>Sova,Viper,Omen,Neon,Deadlock</v>
      </c>
      <c r="I542" s="189">
        <f>IFERROR(__xludf.DUMMYFUNCTION("""COMPUTED_VALUE"""),13.0)</f>
        <v>13</v>
      </c>
      <c r="J542" s="189">
        <f>IFERROR(__xludf.DUMMYFUNCTION("""COMPUTED_VALUE"""),8.0)</f>
        <v>8</v>
      </c>
      <c r="K542" s="189">
        <f>IFERROR(__xludf.DUMMYFUNCTION("""COMPUTED_VALUE"""),5.0)</f>
        <v>5</v>
      </c>
      <c r="L542" s="189">
        <f>IFERROR(__xludf.DUMMYFUNCTION("""COMPUTED_VALUE"""),7.0)</f>
        <v>7</v>
      </c>
      <c r="M542" s="189">
        <f>IFERROR(__xludf.DUMMYFUNCTION("""COMPUTED_VALUE"""),1.0)</f>
        <v>1</v>
      </c>
      <c r="N542" s="189">
        <f>IFERROR(__xludf.DUMMYFUNCTION("""COMPUTED_VALUE"""),1.0)</f>
        <v>1</v>
      </c>
      <c r="O542" s="189">
        <f>IFERROR(__xludf.DUMMYFUNCTION("""COMPUTED_VALUE"""),5.0)</f>
        <v>5</v>
      </c>
      <c r="P542" s="189">
        <f>IFERROR(__xludf.DUMMYFUNCTION("""COMPUTED_VALUE"""),7.0)</f>
        <v>7</v>
      </c>
      <c r="Q542" s="189">
        <f>IFERROR(__xludf.DUMMYFUNCTION("""COMPUTED_VALUE"""),8.0)</f>
        <v>8</v>
      </c>
      <c r="R542" s="189">
        <f>IFERROR(__xludf.DUMMYFUNCTION("""COMPUTED_VALUE"""),1.0)</f>
        <v>1</v>
      </c>
      <c r="S542" s="189">
        <f>IFERROR(__xludf.DUMMYFUNCTION("""COMPUTED_VALUE"""),0.0)</f>
        <v>0</v>
      </c>
      <c r="T542" s="189">
        <f>IFERROR(__xludf.DUMMYFUNCTION("""COMPUTED_VALUE"""),0.0)</f>
        <v>0</v>
      </c>
      <c r="U542" s="189">
        <f>IFERROR(__xludf.DUMMYFUNCTION("""COMPUTED_VALUE"""),1.0)</f>
        <v>1</v>
      </c>
      <c r="V542" s="189">
        <f>IFERROR(__xludf.DUMMYFUNCTION("""COMPUTED_VALUE"""),8.0)</f>
        <v>8</v>
      </c>
      <c r="W542" s="189">
        <f>IFERROR(__xludf.DUMMYFUNCTION("""COMPUTED_VALUE"""),7.0)</f>
        <v>7</v>
      </c>
      <c r="X542" s="189">
        <f>IFERROR(__xludf.DUMMYFUNCTION("""COMPUTED_VALUE"""),5.0)</f>
        <v>5</v>
      </c>
      <c r="Y542" s="208" t="str">
        <f>IFERROR(__xludf.DUMMYFUNCTION("""COMPUTED_VALUE"""),"2025-07-05T00:00:00.000Z")</f>
        <v>2025-07-05T00:00:00.000Z</v>
      </c>
      <c r="Z542" s="189" t="s">
        <v>84</v>
      </c>
      <c r="AA542" s="189" t="s">
        <v>181</v>
      </c>
    </row>
    <row r="543">
      <c r="A543" s="189">
        <f>IFERROR(__xludf.DUMMYFUNCTION("""COMPUTED_VALUE"""),208368.0)</f>
        <v>208368</v>
      </c>
      <c r="B543" s="189">
        <f>IFERROR(__xludf.DUMMYFUNCTION("""COMPUTED_VALUE"""),91771.0)</f>
        <v>91771</v>
      </c>
      <c r="C543" s="189" t="str">
        <f>IFERROR(__xludf.DUMMYFUNCTION("""COMPUTED_VALUE"""),"Challengers League 2025 Türkiye Birlik: Split 3 - Group Stage")</f>
        <v>Challengers League 2025 Türkiye Birlik: Split 3 - Group Stage</v>
      </c>
      <c r="D543" s="189" t="str">
        <f>IFERROR(__xludf.DUMMYFUNCTION("""COMPUTED_VALUE"""),"Lotus")</f>
        <v>Lotus</v>
      </c>
      <c r="E543" s="189" t="str">
        <f>IFERROR(__xludf.DUMMYFUNCTION("""COMPUTED_VALUE"""),"Papara SuperMassive")</f>
        <v>Papara SuperMassive</v>
      </c>
      <c r="F543" s="189" t="str">
        <f>IFERROR(__xludf.DUMMYFUNCTION("""COMPUTED_VALUE"""),"BBL PCIFIC")</f>
        <v>BBL PCIFIC</v>
      </c>
      <c r="G543" s="189" t="str">
        <f>IFERROR(__xludf.DUMMYFUNCTION("""COMPUTED_VALUE"""),"Raze,Viper,Omen,Fade,Vyse")</f>
        <v>Raze,Viper,Omen,Fade,Vyse</v>
      </c>
      <c r="H543" s="189" t="str">
        <f>IFERROR(__xludf.DUMMYFUNCTION("""COMPUTED_VALUE"""),"Breach,Cypher,Sova,Omen,Neon")</f>
        <v>Breach,Cypher,Sova,Omen,Neon</v>
      </c>
      <c r="I543" s="189">
        <f>IFERROR(__xludf.DUMMYFUNCTION("""COMPUTED_VALUE"""),13.0)</f>
        <v>13</v>
      </c>
      <c r="J543" s="189">
        <f>IFERROR(__xludf.DUMMYFUNCTION("""COMPUTED_VALUE"""),1.0)</f>
        <v>1</v>
      </c>
      <c r="K543" s="189">
        <f>IFERROR(__xludf.DUMMYFUNCTION("""COMPUTED_VALUE"""),11.0)</f>
        <v>11</v>
      </c>
      <c r="L543" s="189">
        <f>IFERROR(__xludf.DUMMYFUNCTION("""COMPUTED_VALUE"""),1.0)</f>
        <v>1</v>
      </c>
      <c r="M543" s="189">
        <f>IFERROR(__xludf.DUMMYFUNCTION("""COMPUTED_VALUE"""),1.0)</f>
        <v>1</v>
      </c>
      <c r="N543" s="189">
        <f>IFERROR(__xludf.DUMMYFUNCTION("""COMPUTED_VALUE"""),1.0)</f>
        <v>1</v>
      </c>
      <c r="O543" s="189">
        <f>IFERROR(__xludf.DUMMYFUNCTION("""COMPUTED_VALUE"""),11.0)</f>
        <v>11</v>
      </c>
      <c r="P543" s="189">
        <f>IFERROR(__xludf.DUMMYFUNCTION("""COMPUTED_VALUE"""),1.0)</f>
        <v>1</v>
      </c>
      <c r="Q543" s="189">
        <f>IFERROR(__xludf.DUMMYFUNCTION("""COMPUTED_VALUE"""),2.0)</f>
        <v>2</v>
      </c>
      <c r="R543" s="189">
        <f>IFERROR(__xludf.DUMMYFUNCTION("""COMPUTED_VALUE"""),0.0)</f>
        <v>0</v>
      </c>
      <c r="S543" s="189">
        <f>IFERROR(__xludf.DUMMYFUNCTION("""COMPUTED_VALUE"""),0.0)</f>
        <v>0</v>
      </c>
      <c r="T543" s="189">
        <f>IFERROR(__xludf.DUMMYFUNCTION("""COMPUTED_VALUE"""),0.0)</f>
        <v>0</v>
      </c>
      <c r="U543" s="189">
        <f>IFERROR(__xludf.DUMMYFUNCTION("""COMPUTED_VALUE"""),0.0)</f>
        <v>0</v>
      </c>
      <c r="V543" s="189">
        <f>IFERROR(__xludf.DUMMYFUNCTION("""COMPUTED_VALUE"""),2.0)</f>
        <v>2</v>
      </c>
      <c r="W543" s="189">
        <f>IFERROR(__xludf.DUMMYFUNCTION("""COMPUTED_VALUE"""),1.0)</f>
        <v>1</v>
      </c>
      <c r="X543" s="189">
        <f>IFERROR(__xludf.DUMMYFUNCTION("""COMPUTED_VALUE"""),11.0)</f>
        <v>11</v>
      </c>
      <c r="Y543" s="208" t="str">
        <f>IFERROR(__xludf.DUMMYFUNCTION("""COMPUTED_VALUE"""),"2025-07-05T00:00:00.000Z")</f>
        <v>2025-07-05T00:00:00.000Z</v>
      </c>
      <c r="Z543" s="189" t="s">
        <v>508</v>
      </c>
      <c r="AA543" s="189" t="s">
        <v>399</v>
      </c>
    </row>
    <row r="544">
      <c r="A544" s="189">
        <f>IFERROR(__xludf.DUMMYFUNCTION("""COMPUTED_VALUE"""),208367.0)</f>
        <v>208367</v>
      </c>
      <c r="B544" s="189">
        <f>IFERROR(__xludf.DUMMYFUNCTION("""COMPUTED_VALUE"""),91771.0)</f>
        <v>91771</v>
      </c>
      <c r="C544" s="189" t="str">
        <f>IFERROR(__xludf.DUMMYFUNCTION("""COMPUTED_VALUE"""),"Challengers League 2025 Türkiye Birlik: Split 3 - Group Stage")</f>
        <v>Challengers League 2025 Türkiye Birlik: Split 3 - Group Stage</v>
      </c>
      <c r="D544" s="189" t="str">
        <f>IFERROR(__xludf.DUMMYFUNCTION("""COMPUTED_VALUE"""),"Pearl")</f>
        <v>Pearl</v>
      </c>
      <c r="E544" s="189" t="str">
        <f>IFERROR(__xludf.DUMMYFUNCTION("""COMPUTED_VALUE"""),"Papara SuperMassive")</f>
        <v>Papara SuperMassive</v>
      </c>
      <c r="F544" s="189" t="str">
        <f>IFERROR(__xludf.DUMMYFUNCTION("""COMPUTED_VALUE"""),"BBL PCIFIC")</f>
        <v>BBL PCIFIC</v>
      </c>
      <c r="G544" s="189" t="str">
        <f>IFERROR(__xludf.DUMMYFUNCTION("""COMPUTED_VALUE"""),"Raze,Yoru,Astra,Fade,Vyse")</f>
        <v>Raze,Yoru,Astra,Fade,Vyse</v>
      </c>
      <c r="H544" s="189" t="str">
        <f>IFERROR(__xludf.DUMMYFUNCTION("""COMPUTED_VALUE"""),"Cypher,Sova,Yoru,Astra,Neon")</f>
        <v>Cypher,Sova,Yoru,Astra,Neon</v>
      </c>
      <c r="I544" s="189">
        <f>IFERROR(__xludf.DUMMYFUNCTION("""COMPUTED_VALUE"""),6.0)</f>
        <v>6</v>
      </c>
      <c r="J544" s="189">
        <f>IFERROR(__xludf.DUMMYFUNCTION("""COMPUTED_VALUE"""),13.0)</f>
        <v>13</v>
      </c>
      <c r="K544" s="189">
        <f>IFERROR(__xludf.DUMMYFUNCTION("""COMPUTED_VALUE"""),2.0)</f>
        <v>2</v>
      </c>
      <c r="L544" s="189">
        <f>IFERROR(__xludf.DUMMYFUNCTION("""COMPUTED_VALUE"""),10.0)</f>
        <v>10</v>
      </c>
      <c r="M544" s="189">
        <f>IFERROR(__xludf.DUMMYFUNCTION("""COMPUTED_VALUE"""),0.0)</f>
        <v>0</v>
      </c>
      <c r="N544" s="189">
        <f>IFERROR(__xludf.DUMMYFUNCTION("""COMPUTED_VALUE"""),1.0)</f>
        <v>1</v>
      </c>
      <c r="O544" s="189">
        <f>IFERROR(__xludf.DUMMYFUNCTION("""COMPUTED_VALUE"""),2.0)</f>
        <v>2</v>
      </c>
      <c r="P544" s="189">
        <f>IFERROR(__xludf.DUMMYFUNCTION("""COMPUTED_VALUE"""),10.0)</f>
        <v>10</v>
      </c>
      <c r="Q544" s="189">
        <f>IFERROR(__xludf.DUMMYFUNCTION("""COMPUTED_VALUE"""),4.0)</f>
        <v>4</v>
      </c>
      <c r="R544" s="189">
        <f>IFERROR(__xludf.DUMMYFUNCTION("""COMPUTED_VALUE"""),3.0)</f>
        <v>3</v>
      </c>
      <c r="S544" s="189">
        <f>IFERROR(__xludf.DUMMYFUNCTION("""COMPUTED_VALUE"""),0.0)</f>
        <v>0</v>
      </c>
      <c r="T544" s="189">
        <f>IFERROR(__xludf.DUMMYFUNCTION("""COMPUTED_VALUE"""),1.0)</f>
        <v>1</v>
      </c>
      <c r="U544" s="189">
        <f>IFERROR(__xludf.DUMMYFUNCTION("""COMPUTED_VALUE"""),3.0)</f>
        <v>3</v>
      </c>
      <c r="V544" s="189">
        <f>IFERROR(__xludf.DUMMYFUNCTION("""COMPUTED_VALUE"""),4.0)</f>
        <v>4</v>
      </c>
      <c r="W544" s="189">
        <f>IFERROR(__xludf.DUMMYFUNCTION("""COMPUTED_VALUE"""),10.0)</f>
        <v>10</v>
      </c>
      <c r="X544" s="189">
        <f>IFERROR(__xludf.DUMMYFUNCTION("""COMPUTED_VALUE"""),2.0)</f>
        <v>2</v>
      </c>
      <c r="Y544" s="208" t="str">
        <f>IFERROR(__xludf.DUMMYFUNCTION("""COMPUTED_VALUE"""),"2025-07-05T00:00:00.000Z")</f>
        <v>2025-07-05T00:00:00.000Z</v>
      </c>
      <c r="Z544" s="189" t="s">
        <v>574</v>
      </c>
      <c r="AA544" s="189" t="s">
        <v>186</v>
      </c>
    </row>
    <row r="545">
      <c r="A545" s="189">
        <f>IFERROR(__xludf.DUMMYFUNCTION("""COMPUTED_VALUE"""),209044.0)</f>
        <v>209044</v>
      </c>
      <c r="B545" s="189">
        <f>IFERROR(__xludf.DUMMYFUNCTION("""COMPUTED_VALUE"""),92000.0)</f>
        <v>92000</v>
      </c>
      <c r="C545" s="189" t="str">
        <f>IFERROR(__xludf.DUMMYFUNCTION("""COMPUTED_VALUE"""),"Challengers League 2025 NORTH EAST: Split 3 - Lower Swiss Phase")</f>
        <v>Challengers League 2025 NORTH EAST: Split 3 - Lower Swiss Phase</v>
      </c>
      <c r="D545" s="189" t="str">
        <f>IFERROR(__xludf.DUMMYFUNCTION("""COMPUTED_VALUE"""),"Lotus")</f>
        <v>Lotus</v>
      </c>
      <c r="E545" s="189" t="str">
        <f>IFERROR(__xludf.DUMMYFUNCTION("""COMPUTED_VALUE"""),"FULL BOX 200")</f>
        <v>FULL BOX 200</v>
      </c>
      <c r="F545" s="189" t="str">
        <f>IFERROR(__xludf.DUMMYFUNCTION("""COMPUTED_VALUE"""),"Team Liquid Academy")</f>
        <v>Team Liquid Academy</v>
      </c>
      <c r="G545" s="189" t="str">
        <f>IFERROR(__xludf.DUMMYFUNCTION("""COMPUTED_VALUE"""),"Breach,Killjoy,Omen,Neon,Fade")</f>
        <v>Breach,Killjoy,Omen,Neon,Fade</v>
      </c>
      <c r="H545" s="189" t="str">
        <f>IFERROR(__xludf.DUMMYFUNCTION("""COMPUTED_VALUE"""),"Raze,Viper,Omen,Fade,Vyse")</f>
        <v>Raze,Viper,Omen,Fade,Vyse</v>
      </c>
      <c r="I545" s="189">
        <f>IFERROR(__xludf.DUMMYFUNCTION("""COMPUTED_VALUE"""),14.0)</f>
        <v>14</v>
      </c>
      <c r="J545" s="189">
        <f>IFERROR(__xludf.DUMMYFUNCTION("""COMPUTED_VALUE"""),16.0)</f>
        <v>16</v>
      </c>
      <c r="K545" s="189">
        <f>IFERROR(__xludf.DUMMYFUNCTION("""COMPUTED_VALUE"""),9.0)</f>
        <v>9</v>
      </c>
      <c r="L545" s="189">
        <f>IFERROR(__xludf.DUMMYFUNCTION("""COMPUTED_VALUE"""),3.0)</f>
        <v>3</v>
      </c>
      <c r="M545" s="189">
        <f>IFERROR(__xludf.DUMMYFUNCTION("""COMPUTED_VALUE"""),1.0)</f>
        <v>1</v>
      </c>
      <c r="N545" s="189">
        <f>IFERROR(__xludf.DUMMYFUNCTION("""COMPUTED_VALUE"""),0.0)</f>
        <v>0</v>
      </c>
      <c r="O545" s="189">
        <f>IFERROR(__xludf.DUMMYFUNCTION("""COMPUTED_VALUE"""),10.0)</f>
        <v>10</v>
      </c>
      <c r="P545" s="189">
        <f>IFERROR(__xludf.DUMMYFUNCTION("""COMPUTED_VALUE"""),5.0)</f>
        <v>5</v>
      </c>
      <c r="Q545" s="189">
        <f>IFERROR(__xludf.DUMMYFUNCTION("""COMPUTED_VALUE"""),4.0)</f>
        <v>4</v>
      </c>
      <c r="R545" s="189">
        <f>IFERROR(__xludf.DUMMYFUNCTION("""COMPUTED_VALUE"""),11.0)</f>
        <v>11</v>
      </c>
      <c r="S545" s="189">
        <f>IFERROR(__xludf.DUMMYFUNCTION("""COMPUTED_VALUE"""),1.0)</f>
        <v>1</v>
      </c>
      <c r="T545" s="189">
        <f>IFERROR(__xludf.DUMMYFUNCTION("""COMPUTED_VALUE"""),0.0)</f>
        <v>0</v>
      </c>
      <c r="U545" s="189">
        <f>IFERROR(__xludf.DUMMYFUNCTION("""COMPUTED_VALUE"""),11.0)</f>
        <v>11</v>
      </c>
      <c r="V545" s="189">
        <f>IFERROR(__xludf.DUMMYFUNCTION("""COMPUTED_VALUE"""),4.0)</f>
        <v>4</v>
      </c>
      <c r="W545" s="189">
        <f>IFERROR(__xludf.DUMMYFUNCTION("""COMPUTED_VALUE"""),5.0)</f>
        <v>5</v>
      </c>
      <c r="X545" s="189">
        <f>IFERROR(__xludf.DUMMYFUNCTION("""COMPUTED_VALUE"""),10.0)</f>
        <v>10</v>
      </c>
      <c r="Y545" s="208" t="str">
        <f>IFERROR(__xludf.DUMMYFUNCTION("""COMPUTED_VALUE"""),"2025-07-05T00:00:00.000Z")</f>
        <v>2025-07-05T00:00:00.000Z</v>
      </c>
      <c r="Z545" s="189" t="s">
        <v>449</v>
      </c>
      <c r="AA545" s="189" t="s">
        <v>1</v>
      </c>
    </row>
    <row r="546">
      <c r="A546" s="189">
        <f>IFERROR(__xludf.DUMMYFUNCTION("""COMPUTED_VALUE"""),209041.0)</f>
        <v>209041</v>
      </c>
      <c r="B546" s="189">
        <f>IFERROR(__xludf.DUMMYFUNCTION("""COMPUTED_VALUE"""),91999.0)</f>
        <v>91999</v>
      </c>
      <c r="C546" s="189" t="str">
        <f>IFERROR(__xludf.DUMMYFUNCTION("""COMPUTED_VALUE"""),"Challengers League 2025 NORTH EAST: Split 3 - Lower Swiss Phase")</f>
        <v>Challengers League 2025 NORTH EAST: Split 3 - Lower Swiss Phase</v>
      </c>
      <c r="D546" s="189" t="str">
        <f>IFERROR(__xludf.DUMMYFUNCTION("""COMPUTED_VALUE"""),"Haven")</f>
        <v>Haven</v>
      </c>
      <c r="E546" s="189" t="str">
        <f>IFERROR(__xludf.DUMMYFUNCTION("""COMPUTED_VALUE"""),"CTRL Esports")</f>
        <v>CTRL Esports</v>
      </c>
      <c r="F546" s="189" t="str">
        <f>IFERROR(__xludf.DUMMYFUNCTION("""COMPUTED_VALUE"""),"děti ulice")</f>
        <v>děti ulice</v>
      </c>
      <c r="G546" s="189" t="str">
        <f>IFERROR(__xludf.DUMMYFUNCTION("""COMPUTED_VALUE"""),"Breach,Cypher,Sova,Omen,Neon")</f>
        <v>Breach,Cypher,Sova,Omen,Neon</v>
      </c>
      <c r="H546" s="189" t="str">
        <f>IFERROR(__xludf.DUMMYFUNCTION("""COMPUTED_VALUE"""),"Breach,Cypher,Sova,Omen,Jett")</f>
        <v>Breach,Cypher,Sova,Omen,Jett</v>
      </c>
      <c r="I546" s="189">
        <f>IFERROR(__xludf.DUMMYFUNCTION("""COMPUTED_VALUE"""),3.0)</f>
        <v>3</v>
      </c>
      <c r="J546" s="189">
        <f>IFERROR(__xludf.DUMMYFUNCTION("""COMPUTED_VALUE"""),13.0)</f>
        <v>13</v>
      </c>
      <c r="K546" s="189">
        <f>IFERROR(__xludf.DUMMYFUNCTION("""COMPUTED_VALUE"""),3.0)</f>
        <v>3</v>
      </c>
      <c r="L546" s="189">
        <f>IFERROR(__xludf.DUMMYFUNCTION("""COMPUTED_VALUE"""),9.0)</f>
        <v>9</v>
      </c>
      <c r="M546" s="189">
        <f>IFERROR(__xludf.DUMMYFUNCTION("""COMPUTED_VALUE"""),0.0)</f>
        <v>0</v>
      </c>
      <c r="N546" s="189">
        <f>IFERROR(__xludf.DUMMYFUNCTION("""COMPUTED_VALUE"""),0.0)</f>
        <v>0</v>
      </c>
      <c r="O546" s="189">
        <f>IFERROR(__xludf.DUMMYFUNCTION("""COMPUTED_VALUE"""),0.0)</f>
        <v>0</v>
      </c>
      <c r="P546" s="189">
        <f>IFERROR(__xludf.DUMMYFUNCTION("""COMPUTED_VALUE"""),4.0)</f>
        <v>4</v>
      </c>
      <c r="Q546" s="189">
        <f>IFERROR(__xludf.DUMMYFUNCTION("""COMPUTED_VALUE"""),3.0)</f>
        <v>3</v>
      </c>
      <c r="R546" s="189">
        <f>IFERROR(__xludf.DUMMYFUNCTION("""COMPUTED_VALUE"""),9.0)</f>
        <v>9</v>
      </c>
      <c r="S546" s="189">
        <f>IFERROR(__xludf.DUMMYFUNCTION("""COMPUTED_VALUE"""),1.0)</f>
        <v>1</v>
      </c>
      <c r="T546" s="189">
        <f>IFERROR(__xludf.DUMMYFUNCTION("""COMPUTED_VALUE"""),1.0)</f>
        <v>1</v>
      </c>
      <c r="U546" s="189">
        <f>IFERROR(__xludf.DUMMYFUNCTION("""COMPUTED_VALUE"""),9.0)</f>
        <v>9</v>
      </c>
      <c r="V546" s="189">
        <f>IFERROR(__xludf.DUMMYFUNCTION("""COMPUTED_VALUE"""),3.0)</f>
        <v>3</v>
      </c>
      <c r="W546" s="189">
        <f>IFERROR(__xludf.DUMMYFUNCTION("""COMPUTED_VALUE"""),4.0)</f>
        <v>4</v>
      </c>
      <c r="X546" s="189">
        <f>IFERROR(__xludf.DUMMYFUNCTION("""COMPUTED_VALUE"""),0.0)</f>
        <v>0</v>
      </c>
      <c r="Y546" s="208" t="str">
        <f>IFERROR(__xludf.DUMMYFUNCTION("""COMPUTED_VALUE"""),"2025-07-05T00:00:00.000Z")</f>
        <v>2025-07-05T00:00:00.000Z</v>
      </c>
      <c r="Z546" s="189" t="s">
        <v>575</v>
      </c>
      <c r="AA546" s="189" t="s">
        <v>190</v>
      </c>
    </row>
    <row r="547">
      <c r="A547" s="189">
        <f>IFERROR(__xludf.DUMMYFUNCTION("""COMPUTED_VALUE"""),207524.0)</f>
        <v>207524</v>
      </c>
      <c r="B547" s="189">
        <f>IFERROR(__xludf.DUMMYFUNCTION("""COMPUTED_VALUE"""),91435.0)</f>
        <v>91435</v>
      </c>
      <c r="C547" s="189" t="str">
        <f>IFERROR(__xludf.DUMMYFUNCTION("""COMPUTED_VALUE"""),"Challengers League 2025 Spain Rising: Split 3 - Group Stage")</f>
        <v>Challengers League 2025 Spain Rising: Split 3 - Group Stage</v>
      </c>
      <c r="D547" s="189" t="str">
        <f>IFERROR(__xludf.DUMMYFUNCTION("""COMPUTED_VALUE"""),"Ascent")</f>
        <v>Ascent</v>
      </c>
      <c r="E547" s="189" t="str">
        <f>IFERROR(__xludf.DUMMYFUNCTION("""COMPUTED_VALUE"""),"KOI Fénix")</f>
        <v>KOI Fénix</v>
      </c>
      <c r="F547" s="189" t="str">
        <f>IFERROR(__xludf.DUMMYFUNCTION("""COMPUTED_VALUE"""),"NOVO Esports")</f>
        <v>NOVO Esports</v>
      </c>
      <c r="G547" s="189" t="str">
        <f>IFERROR(__xludf.DUMMYFUNCTION("""COMPUTED_VALUE"""),"Sova,Omen,Yoru,Chamber,Vyse")</f>
        <v>Sova,Omen,Yoru,Chamber,Vyse</v>
      </c>
      <c r="H547" s="189" t="str">
        <f>IFERROR(__xludf.DUMMYFUNCTION("""COMPUTED_VALUE"""),"Sova,Killjoy,Omen,Jett,KAY/O")</f>
        <v>Sova,Killjoy,Omen,Jett,KAY/O</v>
      </c>
      <c r="I547" s="189">
        <f>IFERROR(__xludf.DUMMYFUNCTION("""COMPUTED_VALUE"""),13.0)</f>
        <v>13</v>
      </c>
      <c r="J547" s="189">
        <f>IFERROR(__xludf.DUMMYFUNCTION("""COMPUTED_VALUE"""),7.0)</f>
        <v>7</v>
      </c>
      <c r="K547" s="189">
        <f>IFERROR(__xludf.DUMMYFUNCTION("""COMPUTED_VALUE"""),8.0)</f>
        <v>8</v>
      </c>
      <c r="L547" s="189">
        <f>IFERROR(__xludf.DUMMYFUNCTION("""COMPUTED_VALUE"""),4.0)</f>
        <v>4</v>
      </c>
      <c r="M547" s="189">
        <f>IFERROR(__xludf.DUMMYFUNCTION("""COMPUTED_VALUE"""),0.0)</f>
        <v>0</v>
      </c>
      <c r="N547" s="189">
        <f>IFERROR(__xludf.DUMMYFUNCTION("""COMPUTED_VALUE"""),1.0)</f>
        <v>1</v>
      </c>
      <c r="O547" s="189">
        <f>IFERROR(__xludf.DUMMYFUNCTION("""COMPUTED_VALUE"""),5.0)</f>
        <v>5</v>
      </c>
      <c r="P547" s="189">
        <f>IFERROR(__xludf.DUMMYFUNCTION("""COMPUTED_VALUE"""),3.0)</f>
        <v>3</v>
      </c>
      <c r="Q547" s="189">
        <f>IFERROR(__xludf.DUMMYFUNCTION("""COMPUTED_VALUE"""),8.0)</f>
        <v>8</v>
      </c>
      <c r="R547" s="189">
        <f>IFERROR(__xludf.DUMMYFUNCTION("""COMPUTED_VALUE"""),4.0)</f>
        <v>4</v>
      </c>
      <c r="S547" s="189">
        <f>IFERROR(__xludf.DUMMYFUNCTION("""COMPUTED_VALUE"""),0.0)</f>
        <v>0</v>
      </c>
      <c r="T547" s="189">
        <f>IFERROR(__xludf.DUMMYFUNCTION("""COMPUTED_VALUE"""),1.0)</f>
        <v>1</v>
      </c>
      <c r="U547" s="189">
        <f>IFERROR(__xludf.DUMMYFUNCTION("""COMPUTED_VALUE"""),4.0)</f>
        <v>4</v>
      </c>
      <c r="V547" s="189">
        <f>IFERROR(__xludf.DUMMYFUNCTION("""COMPUTED_VALUE"""),8.0)</f>
        <v>8</v>
      </c>
      <c r="W547" s="189">
        <f>IFERROR(__xludf.DUMMYFUNCTION("""COMPUTED_VALUE"""),3.0)</f>
        <v>3</v>
      </c>
      <c r="X547" s="189">
        <f>IFERROR(__xludf.DUMMYFUNCTION("""COMPUTED_VALUE"""),5.0)</f>
        <v>5</v>
      </c>
      <c r="Y547" s="208" t="str">
        <f>IFERROR(__xludf.DUMMYFUNCTION("""COMPUTED_VALUE"""),"2025-07-02T00:00:00.000Z")</f>
        <v>2025-07-02T00:00:00.000Z</v>
      </c>
      <c r="Z547" s="189" t="s">
        <v>119</v>
      </c>
      <c r="AA547" s="189" t="s">
        <v>187</v>
      </c>
    </row>
    <row r="548">
      <c r="A548" s="189">
        <f>IFERROR(__xludf.DUMMYFUNCTION("""COMPUTED_VALUE"""),207523.0)</f>
        <v>207523</v>
      </c>
      <c r="B548" s="189">
        <f>IFERROR(__xludf.DUMMYFUNCTION("""COMPUTED_VALUE"""),91435.0)</f>
        <v>91435</v>
      </c>
      <c r="C548" s="189" t="str">
        <f>IFERROR(__xludf.DUMMYFUNCTION("""COMPUTED_VALUE"""),"Challengers League 2025 Spain Rising: Split 3 - Group Stage")</f>
        <v>Challengers League 2025 Spain Rising: Split 3 - Group Stage</v>
      </c>
      <c r="D548" s="189" t="str">
        <f>IFERROR(__xludf.DUMMYFUNCTION("""COMPUTED_VALUE"""),"Split")</f>
        <v>Split</v>
      </c>
      <c r="E548" s="189" t="str">
        <f>IFERROR(__xludf.DUMMYFUNCTION("""COMPUTED_VALUE"""),"KOI Fénix")</f>
        <v>KOI Fénix</v>
      </c>
      <c r="F548" s="189" t="str">
        <f>IFERROR(__xludf.DUMMYFUNCTION("""COMPUTED_VALUE"""),"NOVO Esports")</f>
        <v>NOVO Esports</v>
      </c>
      <c r="G548" s="189" t="str">
        <f>IFERROR(__xludf.DUMMYFUNCTION("""COMPUTED_VALUE"""),"Breach,Raze,Sage,Omen,Jett")</f>
        <v>Breach,Raze,Sage,Omen,Jett</v>
      </c>
      <c r="H548" s="189" t="str">
        <f>IFERROR(__xludf.DUMMYFUNCTION("""COMPUTED_VALUE"""),"Breach,Raze,Cypher,Omen,Skye")</f>
        <v>Breach,Raze,Cypher,Omen,Skye</v>
      </c>
      <c r="I548" s="189">
        <f>IFERROR(__xludf.DUMMYFUNCTION("""COMPUTED_VALUE"""),13.0)</f>
        <v>13</v>
      </c>
      <c r="J548" s="189">
        <f>IFERROR(__xludf.DUMMYFUNCTION("""COMPUTED_VALUE"""),9.0)</f>
        <v>9</v>
      </c>
      <c r="K548" s="189">
        <f>IFERROR(__xludf.DUMMYFUNCTION("""COMPUTED_VALUE"""),6.0)</f>
        <v>6</v>
      </c>
      <c r="L548" s="189">
        <f>IFERROR(__xludf.DUMMYFUNCTION("""COMPUTED_VALUE"""),6.0)</f>
        <v>6</v>
      </c>
      <c r="M548" s="189">
        <f>IFERROR(__xludf.DUMMYFUNCTION("""COMPUTED_VALUE"""),1.0)</f>
        <v>1</v>
      </c>
      <c r="N548" s="189">
        <f>IFERROR(__xludf.DUMMYFUNCTION("""COMPUTED_VALUE"""),1.0)</f>
        <v>1</v>
      </c>
      <c r="O548" s="189">
        <f>IFERROR(__xludf.DUMMYFUNCTION("""COMPUTED_VALUE"""),7.0)</f>
        <v>7</v>
      </c>
      <c r="P548" s="189">
        <f>IFERROR(__xludf.DUMMYFUNCTION("""COMPUTED_VALUE"""),3.0)</f>
        <v>3</v>
      </c>
      <c r="Q548" s="189">
        <f>IFERROR(__xludf.DUMMYFUNCTION("""COMPUTED_VALUE"""),6.0)</f>
        <v>6</v>
      </c>
      <c r="R548" s="189">
        <f>IFERROR(__xludf.DUMMYFUNCTION("""COMPUTED_VALUE"""),6.0)</f>
        <v>6</v>
      </c>
      <c r="S548" s="189">
        <f>IFERROR(__xludf.DUMMYFUNCTION("""COMPUTED_VALUE"""),0.0)</f>
        <v>0</v>
      </c>
      <c r="T548" s="189">
        <f>IFERROR(__xludf.DUMMYFUNCTION("""COMPUTED_VALUE"""),0.0)</f>
        <v>0</v>
      </c>
      <c r="U548" s="189">
        <f>IFERROR(__xludf.DUMMYFUNCTION("""COMPUTED_VALUE"""),6.0)</f>
        <v>6</v>
      </c>
      <c r="V548" s="189">
        <f>IFERROR(__xludf.DUMMYFUNCTION("""COMPUTED_VALUE"""),6.0)</f>
        <v>6</v>
      </c>
      <c r="W548" s="189">
        <f>IFERROR(__xludf.DUMMYFUNCTION("""COMPUTED_VALUE"""),3.0)</f>
        <v>3</v>
      </c>
      <c r="X548" s="189">
        <f>IFERROR(__xludf.DUMMYFUNCTION("""COMPUTED_VALUE"""),7.0)</f>
        <v>7</v>
      </c>
      <c r="Y548" s="208" t="str">
        <f>IFERROR(__xludf.DUMMYFUNCTION("""COMPUTED_VALUE"""),"2025-07-02T00:00:00.000Z")</f>
        <v>2025-07-02T00:00:00.000Z</v>
      </c>
      <c r="Z548" s="189" t="s">
        <v>124</v>
      </c>
      <c r="AA548" s="189" t="s">
        <v>187</v>
      </c>
    </row>
    <row r="549">
      <c r="A549" s="189">
        <f>IFERROR(__xludf.DUMMYFUNCTION("""COMPUTED_VALUE"""),207522.0)</f>
        <v>207522</v>
      </c>
      <c r="B549" s="189">
        <f>IFERROR(__xludf.DUMMYFUNCTION("""COMPUTED_VALUE"""),91435.0)</f>
        <v>91435</v>
      </c>
      <c r="C549" s="189" t="str">
        <f>IFERROR(__xludf.DUMMYFUNCTION("""COMPUTED_VALUE"""),"Challengers League 2025 Spain Rising: Split 3 - Group Stage")</f>
        <v>Challengers League 2025 Spain Rising: Split 3 - Group Stage</v>
      </c>
      <c r="D549" s="189" t="str">
        <f>IFERROR(__xludf.DUMMYFUNCTION("""COMPUTED_VALUE"""),"Lotus")</f>
        <v>Lotus</v>
      </c>
      <c r="E549" s="189" t="str">
        <f>IFERROR(__xludf.DUMMYFUNCTION("""COMPUTED_VALUE"""),"KOI Fénix")</f>
        <v>KOI Fénix</v>
      </c>
      <c r="F549" s="189" t="str">
        <f>IFERROR(__xludf.DUMMYFUNCTION("""COMPUTED_VALUE"""),"NOVO Esports")</f>
        <v>NOVO Esports</v>
      </c>
      <c r="G549" s="189" t="str">
        <f>IFERROR(__xludf.DUMMYFUNCTION("""COMPUTED_VALUE"""),"Breach,Sova,Killjoy,Omen,Neon")</f>
        <v>Breach,Sova,Killjoy,Omen,Neon</v>
      </c>
      <c r="H549" s="189" t="str">
        <f>IFERROR(__xludf.DUMMYFUNCTION("""COMPUTED_VALUE"""),"Raze,Viper,Omen,Fade,Vyse")</f>
        <v>Raze,Viper,Omen,Fade,Vyse</v>
      </c>
      <c r="I549" s="189">
        <f>IFERROR(__xludf.DUMMYFUNCTION("""COMPUTED_VALUE"""),9.0)</f>
        <v>9</v>
      </c>
      <c r="J549" s="189">
        <f>IFERROR(__xludf.DUMMYFUNCTION("""COMPUTED_VALUE"""),13.0)</f>
        <v>13</v>
      </c>
      <c r="K549" s="189">
        <f>IFERROR(__xludf.DUMMYFUNCTION("""COMPUTED_VALUE"""),5.0)</f>
        <v>5</v>
      </c>
      <c r="L549" s="189">
        <f>IFERROR(__xludf.DUMMYFUNCTION("""COMPUTED_VALUE"""),7.0)</f>
        <v>7</v>
      </c>
      <c r="M549" s="189">
        <f>IFERROR(__xludf.DUMMYFUNCTION("""COMPUTED_VALUE"""),1.0)</f>
        <v>1</v>
      </c>
      <c r="N549" s="189">
        <f>IFERROR(__xludf.DUMMYFUNCTION("""COMPUTED_VALUE"""),0.0)</f>
        <v>0</v>
      </c>
      <c r="O549" s="189">
        <f>IFERROR(__xludf.DUMMYFUNCTION("""COMPUTED_VALUE"""),4.0)</f>
        <v>4</v>
      </c>
      <c r="P549" s="189">
        <f>IFERROR(__xludf.DUMMYFUNCTION("""COMPUTED_VALUE"""),6.0)</f>
        <v>6</v>
      </c>
      <c r="Q549" s="189">
        <f>IFERROR(__xludf.DUMMYFUNCTION("""COMPUTED_VALUE"""),5.0)</f>
        <v>5</v>
      </c>
      <c r="R549" s="189">
        <f>IFERROR(__xludf.DUMMYFUNCTION("""COMPUTED_VALUE"""),7.0)</f>
        <v>7</v>
      </c>
      <c r="S549" s="189">
        <f>IFERROR(__xludf.DUMMYFUNCTION("""COMPUTED_VALUE"""),1.0)</f>
        <v>1</v>
      </c>
      <c r="T549" s="189">
        <f>IFERROR(__xludf.DUMMYFUNCTION("""COMPUTED_VALUE"""),0.0)</f>
        <v>0</v>
      </c>
      <c r="U549" s="189">
        <f>IFERROR(__xludf.DUMMYFUNCTION("""COMPUTED_VALUE"""),7.0)</f>
        <v>7</v>
      </c>
      <c r="V549" s="189">
        <f>IFERROR(__xludf.DUMMYFUNCTION("""COMPUTED_VALUE"""),5.0)</f>
        <v>5</v>
      </c>
      <c r="W549" s="189">
        <f>IFERROR(__xludf.DUMMYFUNCTION("""COMPUTED_VALUE"""),6.0)</f>
        <v>6</v>
      </c>
      <c r="X549" s="189">
        <f>IFERROR(__xludf.DUMMYFUNCTION("""COMPUTED_VALUE"""),4.0)</f>
        <v>4</v>
      </c>
      <c r="Y549" s="208" t="str">
        <f>IFERROR(__xludf.DUMMYFUNCTION("""COMPUTED_VALUE"""),"2025-07-02T00:00:00.000Z")</f>
        <v>2025-07-02T00:00:00.000Z</v>
      </c>
      <c r="Z549" s="189" t="s">
        <v>123</v>
      </c>
      <c r="AA549" s="189" t="s">
        <v>463</v>
      </c>
    </row>
    <row r="550">
      <c r="A550" s="189">
        <f>IFERROR(__xludf.DUMMYFUNCTION("""COMPUTED_VALUE"""),207551.0)</f>
        <v>207551</v>
      </c>
      <c r="B550" s="189">
        <f>IFERROR(__xludf.DUMMYFUNCTION("""COMPUTED_VALUE"""),91444.0)</f>
        <v>91444</v>
      </c>
      <c r="C550" s="189" t="str">
        <f>IFERROR(__xludf.DUMMYFUNCTION("""COMPUTED_VALUE"""),"Challengers League 2025 Spain Rising: Split 3 - Group Stage")</f>
        <v>Challengers League 2025 Spain Rising: Split 3 - Group Stage</v>
      </c>
      <c r="D550" s="189" t="str">
        <f>IFERROR(__xludf.DUMMYFUNCTION("""COMPUTED_VALUE"""),"Lotus")</f>
        <v>Lotus</v>
      </c>
      <c r="E550" s="189" t="str">
        <f>IFERROR(__xludf.DUMMYFUNCTION("""COMPUTED_VALUE"""),"FALKE ESPORTS")</f>
        <v>FALKE ESPORTS</v>
      </c>
      <c r="F550" s="189" t="str">
        <f>IFERROR(__xludf.DUMMYFUNCTION("""COMPUTED_VALUE"""),"DNSTY")</f>
        <v>DNSTY</v>
      </c>
      <c r="G550" s="189" t="str">
        <f>IFERROR(__xludf.DUMMYFUNCTION("""COMPUTED_VALUE"""),"Breach,Cypher,Sova,Omen,Yoru")</f>
        <v>Breach,Cypher,Sova,Omen,Yoru</v>
      </c>
      <c r="H550" s="189" t="str">
        <f>IFERROR(__xludf.DUMMYFUNCTION("""COMPUTED_VALUE"""),"Raze,Killjoy,Viper,Omen,Fade")</f>
        <v>Raze,Killjoy,Viper,Omen,Fade</v>
      </c>
      <c r="I550" s="189">
        <f>IFERROR(__xludf.DUMMYFUNCTION("""COMPUTED_VALUE"""),8.0)</f>
        <v>8</v>
      </c>
      <c r="J550" s="189">
        <f>IFERROR(__xludf.DUMMYFUNCTION("""COMPUTED_VALUE"""),13.0)</f>
        <v>13</v>
      </c>
      <c r="K550" s="189">
        <f>IFERROR(__xludf.DUMMYFUNCTION("""COMPUTED_VALUE"""),3.0)</f>
        <v>3</v>
      </c>
      <c r="L550" s="189">
        <f>IFERROR(__xludf.DUMMYFUNCTION("""COMPUTED_VALUE"""),9.0)</f>
        <v>9</v>
      </c>
      <c r="M550" s="189">
        <f>IFERROR(__xludf.DUMMYFUNCTION("""COMPUTED_VALUE"""),0.0)</f>
        <v>0</v>
      </c>
      <c r="N550" s="189">
        <f>IFERROR(__xludf.DUMMYFUNCTION("""COMPUTED_VALUE"""),1.0)</f>
        <v>1</v>
      </c>
      <c r="O550" s="189">
        <f>IFERROR(__xludf.DUMMYFUNCTION("""COMPUTED_VALUE"""),5.0)</f>
        <v>5</v>
      </c>
      <c r="P550" s="189">
        <f>IFERROR(__xludf.DUMMYFUNCTION("""COMPUTED_VALUE"""),4.0)</f>
        <v>4</v>
      </c>
      <c r="Q550" s="189">
        <f>IFERROR(__xludf.DUMMYFUNCTION("""COMPUTED_VALUE"""),3.0)</f>
        <v>3</v>
      </c>
      <c r="R550" s="189">
        <f>IFERROR(__xludf.DUMMYFUNCTION("""COMPUTED_VALUE"""),9.0)</f>
        <v>9</v>
      </c>
      <c r="S550" s="189">
        <f>IFERROR(__xludf.DUMMYFUNCTION("""COMPUTED_VALUE"""),0.0)</f>
        <v>0</v>
      </c>
      <c r="T550" s="189">
        <f>IFERROR(__xludf.DUMMYFUNCTION("""COMPUTED_VALUE"""),1.0)</f>
        <v>1</v>
      </c>
      <c r="U550" s="189">
        <f>IFERROR(__xludf.DUMMYFUNCTION("""COMPUTED_VALUE"""),9.0)</f>
        <v>9</v>
      </c>
      <c r="V550" s="189">
        <f>IFERROR(__xludf.DUMMYFUNCTION("""COMPUTED_VALUE"""),3.0)</f>
        <v>3</v>
      </c>
      <c r="W550" s="189">
        <f>IFERROR(__xludf.DUMMYFUNCTION("""COMPUTED_VALUE"""),4.0)</f>
        <v>4</v>
      </c>
      <c r="X550" s="189">
        <f>IFERROR(__xludf.DUMMYFUNCTION("""COMPUTED_VALUE"""),5.0)</f>
        <v>5</v>
      </c>
      <c r="Y550" s="208" t="str">
        <f>IFERROR(__xludf.DUMMYFUNCTION("""COMPUTED_VALUE"""),"2025-07-01T00:00:00.000Z")</f>
        <v>2025-07-01T00:00:00.000Z</v>
      </c>
      <c r="Z550" s="189" t="s">
        <v>576</v>
      </c>
      <c r="AA550" s="189" t="s">
        <v>182</v>
      </c>
    </row>
    <row r="551">
      <c r="A551" s="189">
        <f>IFERROR(__xludf.DUMMYFUNCTION("""COMPUTED_VALUE"""),207550.0)</f>
        <v>207550</v>
      </c>
      <c r="B551" s="189">
        <f>IFERROR(__xludf.DUMMYFUNCTION("""COMPUTED_VALUE"""),91444.0)</f>
        <v>91444</v>
      </c>
      <c r="C551" s="189" t="str">
        <f>IFERROR(__xludf.DUMMYFUNCTION("""COMPUTED_VALUE"""),"Challengers League 2025 Spain Rising: Split 3 - Group Stage")</f>
        <v>Challengers League 2025 Spain Rising: Split 3 - Group Stage</v>
      </c>
      <c r="D551" s="189" t="str">
        <f>IFERROR(__xludf.DUMMYFUNCTION("""COMPUTED_VALUE"""),"Icebox")</f>
        <v>Icebox</v>
      </c>
      <c r="E551" s="189" t="str">
        <f>IFERROR(__xludf.DUMMYFUNCTION("""COMPUTED_VALUE"""),"FALKE ESPORTS")</f>
        <v>FALKE ESPORTS</v>
      </c>
      <c r="F551" s="189" t="str">
        <f>IFERROR(__xludf.DUMMYFUNCTION("""COMPUTED_VALUE"""),"DNSTY")</f>
        <v>DNSTY</v>
      </c>
      <c r="G551" s="189" t="str">
        <f>IFERROR(__xludf.DUMMYFUNCTION("""COMPUTED_VALUE"""),"Sova,Killjoy,Viper,Sage,Omen")</f>
        <v>Sova,Killjoy,Viper,Sage,Omen</v>
      </c>
      <c r="H551" s="189" t="str">
        <f>IFERROR(__xludf.DUMMYFUNCTION("""COMPUTED_VALUE"""),"Sova,Killjoy,Viper,Jett,Harbor")</f>
        <v>Sova,Killjoy,Viper,Jett,Harbor</v>
      </c>
      <c r="I551" s="189">
        <f>IFERROR(__xludf.DUMMYFUNCTION("""COMPUTED_VALUE"""),13.0)</f>
        <v>13</v>
      </c>
      <c r="J551" s="189">
        <f>IFERROR(__xludf.DUMMYFUNCTION("""COMPUTED_VALUE"""),4.0)</f>
        <v>4</v>
      </c>
      <c r="K551" s="189">
        <f>IFERROR(__xludf.DUMMYFUNCTION("""COMPUTED_VALUE"""),8.0)</f>
        <v>8</v>
      </c>
      <c r="L551" s="189">
        <f>IFERROR(__xludf.DUMMYFUNCTION("""COMPUTED_VALUE"""),4.0)</f>
        <v>4</v>
      </c>
      <c r="M551" s="189">
        <f>IFERROR(__xludf.DUMMYFUNCTION("""COMPUTED_VALUE"""),1.0)</f>
        <v>1</v>
      </c>
      <c r="N551" s="189">
        <f>IFERROR(__xludf.DUMMYFUNCTION("""COMPUTED_VALUE"""),0.0)</f>
        <v>0</v>
      </c>
      <c r="O551" s="189">
        <f>IFERROR(__xludf.DUMMYFUNCTION("""COMPUTED_VALUE"""),5.0)</f>
        <v>5</v>
      </c>
      <c r="P551" s="189">
        <f>IFERROR(__xludf.DUMMYFUNCTION("""COMPUTED_VALUE"""),0.0)</f>
        <v>0</v>
      </c>
      <c r="Q551" s="189">
        <f>IFERROR(__xludf.DUMMYFUNCTION("""COMPUTED_VALUE"""),8.0)</f>
        <v>8</v>
      </c>
      <c r="R551" s="189">
        <f>IFERROR(__xludf.DUMMYFUNCTION("""COMPUTED_VALUE"""),4.0)</f>
        <v>4</v>
      </c>
      <c r="S551" s="189">
        <f>IFERROR(__xludf.DUMMYFUNCTION("""COMPUTED_VALUE"""),1.0)</f>
        <v>1</v>
      </c>
      <c r="T551" s="189">
        <f>IFERROR(__xludf.DUMMYFUNCTION("""COMPUTED_VALUE"""),0.0)</f>
        <v>0</v>
      </c>
      <c r="U551" s="189">
        <f>IFERROR(__xludf.DUMMYFUNCTION("""COMPUTED_VALUE"""),4.0)</f>
        <v>4</v>
      </c>
      <c r="V551" s="189">
        <f>IFERROR(__xludf.DUMMYFUNCTION("""COMPUTED_VALUE"""),8.0)</f>
        <v>8</v>
      </c>
      <c r="W551" s="189">
        <f>IFERROR(__xludf.DUMMYFUNCTION("""COMPUTED_VALUE"""),0.0)</f>
        <v>0</v>
      </c>
      <c r="X551" s="189">
        <f>IFERROR(__xludf.DUMMYFUNCTION("""COMPUTED_VALUE"""),5.0)</f>
        <v>5</v>
      </c>
      <c r="Y551" s="208" t="str">
        <f>IFERROR(__xludf.DUMMYFUNCTION("""COMPUTED_VALUE"""),"2025-07-01T00:00:00.000Z")</f>
        <v>2025-07-01T00:00:00.000Z</v>
      </c>
      <c r="Z551" s="189" t="s">
        <v>577</v>
      </c>
      <c r="AA551" s="189" t="s">
        <v>464</v>
      </c>
    </row>
    <row r="552">
      <c r="A552" s="189">
        <f>IFERROR(__xludf.DUMMYFUNCTION("""COMPUTED_VALUE"""),207549.0)</f>
        <v>207549</v>
      </c>
      <c r="B552" s="189">
        <f>IFERROR(__xludf.DUMMYFUNCTION("""COMPUTED_VALUE"""),91444.0)</f>
        <v>91444</v>
      </c>
      <c r="C552" s="189" t="str">
        <f>IFERROR(__xludf.DUMMYFUNCTION("""COMPUTED_VALUE"""),"Challengers League 2025 Spain Rising: Split 3 - Group Stage")</f>
        <v>Challengers League 2025 Spain Rising: Split 3 - Group Stage</v>
      </c>
      <c r="D552" s="189" t="str">
        <f>IFERROR(__xludf.DUMMYFUNCTION("""COMPUTED_VALUE"""),"Sunset")</f>
        <v>Sunset</v>
      </c>
      <c r="E552" s="189" t="str">
        <f>IFERROR(__xludf.DUMMYFUNCTION("""COMPUTED_VALUE"""),"FALKE ESPORTS")</f>
        <v>FALKE ESPORTS</v>
      </c>
      <c r="F552" s="189" t="str">
        <f>IFERROR(__xludf.DUMMYFUNCTION("""COMPUTED_VALUE"""),"DNSTY")</f>
        <v>DNSTY</v>
      </c>
      <c r="G552" s="189" t="str">
        <f>IFERROR(__xludf.DUMMYFUNCTION("""COMPUTED_VALUE"""),"Sova,Viper,Omen,Yoru,Chamber")</f>
        <v>Sova,Viper,Omen,Yoru,Chamber</v>
      </c>
      <c r="H552" s="189" t="str">
        <f>IFERROR(__xludf.DUMMYFUNCTION("""COMPUTED_VALUE"""),"Sova,Viper,Omen,Neon,Deadlock")</f>
        <v>Sova,Viper,Omen,Neon,Deadlock</v>
      </c>
      <c r="I552" s="189">
        <f>IFERROR(__xludf.DUMMYFUNCTION("""COMPUTED_VALUE"""),4.0)</f>
        <v>4</v>
      </c>
      <c r="J552" s="189">
        <f>IFERROR(__xludf.DUMMYFUNCTION("""COMPUTED_VALUE"""),13.0)</f>
        <v>13</v>
      </c>
      <c r="K552" s="189">
        <f>IFERROR(__xludf.DUMMYFUNCTION("""COMPUTED_VALUE"""),2.0)</f>
        <v>2</v>
      </c>
      <c r="L552" s="189">
        <f>IFERROR(__xludf.DUMMYFUNCTION("""COMPUTED_VALUE"""),10.0)</f>
        <v>10</v>
      </c>
      <c r="M552" s="189">
        <f>IFERROR(__xludf.DUMMYFUNCTION("""COMPUTED_VALUE"""),0.0)</f>
        <v>0</v>
      </c>
      <c r="N552" s="189">
        <f>IFERROR(__xludf.DUMMYFUNCTION("""COMPUTED_VALUE"""),0.0)</f>
        <v>0</v>
      </c>
      <c r="O552" s="189">
        <f>IFERROR(__xludf.DUMMYFUNCTION("""COMPUTED_VALUE"""),2.0)</f>
        <v>2</v>
      </c>
      <c r="P552" s="189">
        <f>IFERROR(__xludf.DUMMYFUNCTION("""COMPUTED_VALUE"""),10.0)</f>
        <v>10</v>
      </c>
      <c r="Q552" s="189">
        <f>IFERROR(__xludf.DUMMYFUNCTION("""COMPUTED_VALUE"""),2.0)</f>
        <v>2</v>
      </c>
      <c r="R552" s="189">
        <f>IFERROR(__xludf.DUMMYFUNCTION("""COMPUTED_VALUE"""),3.0)</f>
        <v>3</v>
      </c>
      <c r="S552" s="189">
        <f>IFERROR(__xludf.DUMMYFUNCTION("""COMPUTED_VALUE"""),1.0)</f>
        <v>1</v>
      </c>
      <c r="T552" s="189">
        <f>IFERROR(__xludf.DUMMYFUNCTION("""COMPUTED_VALUE"""),1.0)</f>
        <v>1</v>
      </c>
      <c r="U552" s="189">
        <f>IFERROR(__xludf.DUMMYFUNCTION("""COMPUTED_VALUE"""),3.0)</f>
        <v>3</v>
      </c>
      <c r="V552" s="189">
        <f>IFERROR(__xludf.DUMMYFUNCTION("""COMPUTED_VALUE"""),2.0)</f>
        <v>2</v>
      </c>
      <c r="W552" s="189">
        <f>IFERROR(__xludf.DUMMYFUNCTION("""COMPUTED_VALUE"""),10.0)</f>
        <v>10</v>
      </c>
      <c r="X552" s="189">
        <f>IFERROR(__xludf.DUMMYFUNCTION("""COMPUTED_VALUE"""),2.0)</f>
        <v>2</v>
      </c>
      <c r="Y552" s="208" t="str">
        <f>IFERROR(__xludf.DUMMYFUNCTION("""COMPUTED_VALUE"""),"2025-07-01T00:00:00.000Z")</f>
        <v>2025-07-01T00:00:00.000Z</v>
      </c>
      <c r="Z552" s="189" t="s">
        <v>578</v>
      </c>
      <c r="AA552" s="189" t="s">
        <v>182</v>
      </c>
    </row>
    <row r="553">
      <c r="A553" s="189">
        <f>IFERROR(__xludf.DUMMYFUNCTION("""COMPUTED_VALUE"""),207517.0)</f>
        <v>207517</v>
      </c>
      <c r="B553" s="189">
        <f>IFERROR(__xludf.DUMMYFUNCTION("""COMPUTED_VALUE"""),91433.0)</f>
        <v>91433</v>
      </c>
      <c r="C553" s="189" t="str">
        <f>IFERROR(__xludf.DUMMYFUNCTION("""COMPUTED_VALUE"""),"Challengers League 2025 Spain Rising: Split 3 - Group Stage")</f>
        <v>Challengers League 2025 Spain Rising: Split 3 - Group Stage</v>
      </c>
      <c r="D553" s="189" t="str">
        <f>IFERROR(__xludf.DUMMYFUNCTION("""COMPUTED_VALUE"""),"Lotus")</f>
        <v>Lotus</v>
      </c>
      <c r="E553" s="189" t="str">
        <f>IFERROR(__xludf.DUMMYFUNCTION("""COMPUTED_VALUE"""),"Ramboot Club")</f>
        <v>Ramboot Club</v>
      </c>
      <c r="F553" s="189" t="str">
        <f>IFERROR(__xludf.DUMMYFUNCTION("""COMPUTED_VALUE"""),"KOI Fénix")</f>
        <v>KOI Fénix</v>
      </c>
      <c r="G553" s="189" t="str">
        <f>IFERROR(__xludf.DUMMYFUNCTION("""COMPUTED_VALUE"""),"Viper,Omen,Chamber,Neon,Fade")</f>
        <v>Viper,Omen,Chamber,Neon,Fade</v>
      </c>
      <c r="H553" s="189" t="str">
        <f>IFERROR(__xludf.DUMMYFUNCTION("""COMPUTED_VALUE"""),"Breach,Sova,Killjoy,Omen,Neon")</f>
        <v>Breach,Sova,Killjoy,Omen,Neon</v>
      </c>
      <c r="I553" s="189">
        <f>IFERROR(__xludf.DUMMYFUNCTION("""COMPUTED_VALUE"""),6.0)</f>
        <v>6</v>
      </c>
      <c r="J553" s="189">
        <f>IFERROR(__xludf.DUMMYFUNCTION("""COMPUTED_VALUE"""),13.0)</f>
        <v>13</v>
      </c>
      <c r="K553" s="189">
        <f>IFERROR(__xludf.DUMMYFUNCTION("""COMPUTED_VALUE"""),5.0)</f>
        <v>5</v>
      </c>
      <c r="L553" s="189">
        <f>IFERROR(__xludf.DUMMYFUNCTION("""COMPUTED_VALUE"""),7.0)</f>
        <v>7</v>
      </c>
      <c r="M553" s="189">
        <f>IFERROR(__xludf.DUMMYFUNCTION("""COMPUTED_VALUE"""),0.0)</f>
        <v>0</v>
      </c>
      <c r="N553" s="189">
        <f>IFERROR(__xludf.DUMMYFUNCTION("""COMPUTED_VALUE"""),1.0)</f>
        <v>1</v>
      </c>
      <c r="O553" s="189">
        <f>IFERROR(__xludf.DUMMYFUNCTION("""COMPUTED_VALUE"""),5.0)</f>
        <v>5</v>
      </c>
      <c r="P553" s="189">
        <f>IFERROR(__xludf.DUMMYFUNCTION("""COMPUTED_VALUE"""),7.0)</f>
        <v>7</v>
      </c>
      <c r="Q553" s="189">
        <f>IFERROR(__xludf.DUMMYFUNCTION("""COMPUTED_VALUE"""),1.0)</f>
        <v>1</v>
      </c>
      <c r="R553" s="189">
        <f>IFERROR(__xludf.DUMMYFUNCTION("""COMPUTED_VALUE"""),6.0)</f>
        <v>6</v>
      </c>
      <c r="S553" s="189">
        <f>IFERROR(__xludf.DUMMYFUNCTION("""COMPUTED_VALUE"""),0.0)</f>
        <v>0</v>
      </c>
      <c r="T553" s="189">
        <f>IFERROR(__xludf.DUMMYFUNCTION("""COMPUTED_VALUE"""),1.0)</f>
        <v>1</v>
      </c>
      <c r="U553" s="189">
        <f>IFERROR(__xludf.DUMMYFUNCTION("""COMPUTED_VALUE"""),6.0)</f>
        <v>6</v>
      </c>
      <c r="V553" s="189">
        <f>IFERROR(__xludf.DUMMYFUNCTION("""COMPUTED_VALUE"""),1.0)</f>
        <v>1</v>
      </c>
      <c r="W553" s="189">
        <f>IFERROR(__xludf.DUMMYFUNCTION("""COMPUTED_VALUE"""),7.0)</f>
        <v>7</v>
      </c>
      <c r="X553" s="189">
        <f>IFERROR(__xludf.DUMMYFUNCTION("""COMPUTED_VALUE"""),5.0)</f>
        <v>5</v>
      </c>
      <c r="Y553" s="208" t="str">
        <f>IFERROR(__xludf.DUMMYFUNCTION("""COMPUTED_VALUE"""),"2025-06-30T00:00:00.000Z")</f>
        <v>2025-06-30T00:00:00.000Z</v>
      </c>
      <c r="Z553" s="189" t="s">
        <v>412</v>
      </c>
      <c r="AA553" s="189" t="s">
        <v>187</v>
      </c>
    </row>
    <row r="554">
      <c r="A554" s="189">
        <f>IFERROR(__xludf.DUMMYFUNCTION("""COMPUTED_VALUE"""),207516.0)</f>
        <v>207516</v>
      </c>
      <c r="B554" s="189">
        <f>IFERROR(__xludf.DUMMYFUNCTION("""COMPUTED_VALUE"""),91433.0)</f>
        <v>91433</v>
      </c>
      <c r="C554" s="189" t="str">
        <f>IFERROR(__xludf.DUMMYFUNCTION("""COMPUTED_VALUE"""),"Challengers League 2025 Spain Rising: Split 3 - Group Stage")</f>
        <v>Challengers League 2025 Spain Rising: Split 3 - Group Stage</v>
      </c>
      <c r="D554" s="189" t="str">
        <f>IFERROR(__xludf.DUMMYFUNCTION("""COMPUTED_VALUE"""),"Split")</f>
        <v>Split</v>
      </c>
      <c r="E554" s="189" t="str">
        <f>IFERROR(__xludf.DUMMYFUNCTION("""COMPUTED_VALUE"""),"Ramboot Club")</f>
        <v>Ramboot Club</v>
      </c>
      <c r="F554" s="189" t="str">
        <f>IFERROR(__xludf.DUMMYFUNCTION("""COMPUTED_VALUE"""),"KOI Fénix")</f>
        <v>KOI Fénix</v>
      </c>
      <c r="G554" s="189" t="str">
        <f>IFERROR(__xludf.DUMMYFUNCTION("""COMPUTED_VALUE"""),"Raze,Viper,Omen,Yoru,Fade")</f>
        <v>Raze,Viper,Omen,Yoru,Fade</v>
      </c>
      <c r="H554" s="189" t="str">
        <f>IFERROR(__xludf.DUMMYFUNCTION("""COMPUTED_VALUE"""),"Breach,Raze,Sage,Omen,Jett")</f>
        <v>Breach,Raze,Sage,Omen,Jett</v>
      </c>
      <c r="I554" s="189">
        <f>IFERROR(__xludf.DUMMYFUNCTION("""COMPUTED_VALUE"""),7.0)</f>
        <v>7</v>
      </c>
      <c r="J554" s="189">
        <f>IFERROR(__xludf.DUMMYFUNCTION("""COMPUTED_VALUE"""),13.0)</f>
        <v>13</v>
      </c>
      <c r="K554" s="189">
        <f>IFERROR(__xludf.DUMMYFUNCTION("""COMPUTED_VALUE"""),6.0)</f>
        <v>6</v>
      </c>
      <c r="L554" s="189">
        <f>IFERROR(__xludf.DUMMYFUNCTION("""COMPUTED_VALUE"""),6.0)</f>
        <v>6</v>
      </c>
      <c r="M554" s="189">
        <f>IFERROR(__xludf.DUMMYFUNCTION("""COMPUTED_VALUE"""),0.0)</f>
        <v>0</v>
      </c>
      <c r="N554" s="189">
        <f>IFERROR(__xludf.DUMMYFUNCTION("""COMPUTED_VALUE"""),0.0)</f>
        <v>0</v>
      </c>
      <c r="O554" s="189">
        <f>IFERROR(__xludf.DUMMYFUNCTION("""COMPUTED_VALUE"""),6.0)</f>
        <v>6</v>
      </c>
      <c r="P554" s="189">
        <f>IFERROR(__xludf.DUMMYFUNCTION("""COMPUTED_VALUE"""),6.0)</f>
        <v>6</v>
      </c>
      <c r="Q554" s="189">
        <f>IFERROR(__xludf.DUMMYFUNCTION("""COMPUTED_VALUE"""),1.0)</f>
        <v>1</v>
      </c>
      <c r="R554" s="189">
        <f>IFERROR(__xludf.DUMMYFUNCTION("""COMPUTED_VALUE"""),7.0)</f>
        <v>7</v>
      </c>
      <c r="S554" s="189">
        <f>IFERROR(__xludf.DUMMYFUNCTION("""COMPUTED_VALUE"""),1.0)</f>
        <v>1</v>
      </c>
      <c r="T554" s="189">
        <f>IFERROR(__xludf.DUMMYFUNCTION("""COMPUTED_VALUE"""),1.0)</f>
        <v>1</v>
      </c>
      <c r="U554" s="189">
        <f>IFERROR(__xludf.DUMMYFUNCTION("""COMPUTED_VALUE"""),7.0)</f>
        <v>7</v>
      </c>
      <c r="V554" s="189">
        <f>IFERROR(__xludf.DUMMYFUNCTION("""COMPUTED_VALUE"""),1.0)</f>
        <v>1</v>
      </c>
      <c r="W554" s="189">
        <f>IFERROR(__xludf.DUMMYFUNCTION("""COMPUTED_VALUE"""),6.0)</f>
        <v>6</v>
      </c>
      <c r="X554" s="189">
        <f>IFERROR(__xludf.DUMMYFUNCTION("""COMPUTED_VALUE"""),6.0)</f>
        <v>6</v>
      </c>
      <c r="Y554" s="208" t="str">
        <f>IFERROR(__xludf.DUMMYFUNCTION("""COMPUTED_VALUE"""),"2025-06-30T00:00:00.000Z")</f>
        <v>2025-06-30T00:00:00.000Z</v>
      </c>
      <c r="Z554" s="189" t="s">
        <v>579</v>
      </c>
      <c r="AA554" s="189" t="s">
        <v>187</v>
      </c>
    </row>
    <row r="555">
      <c r="A555" s="189">
        <f>IFERROR(__xludf.DUMMYFUNCTION("""COMPUTED_VALUE"""),208062.0)</f>
        <v>208062</v>
      </c>
      <c r="B555" s="189">
        <f>IFERROR(__xludf.DUMMYFUNCTION("""COMPUTED_VALUE"""),91668.0)</f>
        <v>91668</v>
      </c>
      <c r="C555" s="189" t="str">
        <f>IFERROR(__xludf.DUMMYFUNCTION("""COMPUTED_VALUE"""),"Challengers League 2025 NORTH EAST: Split 3 - East Qualifier")</f>
        <v>Challengers League 2025 NORTH EAST: Split 3 - East Qualifier</v>
      </c>
      <c r="D555" s="189" t="str">
        <f>IFERROR(__xludf.DUMMYFUNCTION("""COMPUTED_VALUE"""),"Lotus")</f>
        <v>Lotus</v>
      </c>
      <c r="E555" s="189" t="str">
        <f>IFERROR(__xludf.DUMMYFUNCTION("""COMPUTED_VALUE"""),"Easties")</f>
        <v>Easties</v>
      </c>
      <c r="F555" s="189" t="str">
        <f>IFERROR(__xludf.DUMMYFUNCTION("""COMPUTED_VALUE"""),"Boars Gaming")</f>
        <v>Boars Gaming</v>
      </c>
      <c r="G555" s="189" t="str">
        <f>IFERROR(__xludf.DUMMYFUNCTION("""COMPUTED_VALUE"""),"Omen,Chamber,Neon,Fade,Clove")</f>
        <v>Omen,Chamber,Neon,Fade,Clove</v>
      </c>
      <c r="H555" s="189" t="str">
        <f>IFERROR(__xludf.DUMMYFUNCTION("""COMPUTED_VALUE"""),"Breach,Cypher,Omen,Neon,Fade")</f>
        <v>Breach,Cypher,Omen,Neon,Fade</v>
      </c>
      <c r="I555" s="189">
        <f>IFERROR(__xludf.DUMMYFUNCTION("""COMPUTED_VALUE"""),11.0)</f>
        <v>11</v>
      </c>
      <c r="J555" s="189">
        <f>IFERROR(__xludf.DUMMYFUNCTION("""COMPUTED_VALUE"""),13.0)</f>
        <v>13</v>
      </c>
      <c r="K555" s="189">
        <f>IFERROR(__xludf.DUMMYFUNCTION("""COMPUTED_VALUE"""),5.0)</f>
        <v>5</v>
      </c>
      <c r="L555" s="189">
        <f>IFERROR(__xludf.DUMMYFUNCTION("""COMPUTED_VALUE"""),7.0)</f>
        <v>7</v>
      </c>
      <c r="M555" s="189">
        <f>IFERROR(__xludf.DUMMYFUNCTION("""COMPUTED_VALUE"""),0.0)</f>
        <v>0</v>
      </c>
      <c r="N555" s="189">
        <f>IFERROR(__xludf.DUMMYFUNCTION("""COMPUTED_VALUE"""),1.0)</f>
        <v>1</v>
      </c>
      <c r="O555" s="189">
        <f>IFERROR(__xludf.DUMMYFUNCTION("""COMPUTED_VALUE"""),6.0)</f>
        <v>6</v>
      </c>
      <c r="P555" s="189">
        <f>IFERROR(__xludf.DUMMYFUNCTION("""COMPUTED_VALUE"""),6.0)</f>
        <v>6</v>
      </c>
      <c r="Q555" s="189">
        <f>IFERROR(__xludf.DUMMYFUNCTION("""COMPUTED_VALUE"""),5.0)</f>
        <v>5</v>
      </c>
      <c r="R555" s="189">
        <f>IFERROR(__xludf.DUMMYFUNCTION("""COMPUTED_VALUE"""),7.0)</f>
        <v>7</v>
      </c>
      <c r="S555" s="189">
        <f>IFERROR(__xludf.DUMMYFUNCTION("""COMPUTED_VALUE"""),0.0)</f>
        <v>0</v>
      </c>
      <c r="T555" s="189">
        <f>IFERROR(__xludf.DUMMYFUNCTION("""COMPUTED_VALUE"""),1.0)</f>
        <v>1</v>
      </c>
      <c r="U555" s="189">
        <f>IFERROR(__xludf.DUMMYFUNCTION("""COMPUTED_VALUE"""),7.0)</f>
        <v>7</v>
      </c>
      <c r="V555" s="189">
        <f>IFERROR(__xludf.DUMMYFUNCTION("""COMPUTED_VALUE"""),5.0)</f>
        <v>5</v>
      </c>
      <c r="W555" s="189">
        <f>IFERROR(__xludf.DUMMYFUNCTION("""COMPUTED_VALUE"""),6.0)</f>
        <v>6</v>
      </c>
      <c r="X555" s="189">
        <f>IFERROR(__xludf.DUMMYFUNCTION("""COMPUTED_VALUE"""),6.0)</f>
        <v>6</v>
      </c>
      <c r="Y555" s="208" t="str">
        <f>IFERROR(__xludf.DUMMYFUNCTION("""COMPUTED_VALUE"""),"2025-06-29T00:00:00.000Z")</f>
        <v>2025-06-29T00:00:00.000Z</v>
      </c>
      <c r="Z555" s="189" t="s">
        <v>476</v>
      </c>
      <c r="AA555" s="189" t="s">
        <v>181</v>
      </c>
    </row>
    <row r="556">
      <c r="A556" s="189">
        <f>IFERROR(__xludf.DUMMYFUNCTION("""COMPUTED_VALUE"""),207510.0)</f>
        <v>207510</v>
      </c>
      <c r="B556" s="189">
        <f>IFERROR(__xludf.DUMMYFUNCTION("""COMPUTED_VALUE"""),91431.0)</f>
        <v>91431</v>
      </c>
      <c r="C556" s="189" t="str">
        <f>IFERROR(__xludf.DUMMYFUNCTION("""COMPUTED_VALUE"""),"Challengers League 2025 DACH: Evolution Stage 3 - Group Stage")</f>
        <v>Challengers League 2025 DACH: Evolution Stage 3 - Group Stage</v>
      </c>
      <c r="D556" s="189" t="str">
        <f>IFERROR(__xludf.DUMMYFUNCTION("""COMPUTED_VALUE"""),"Icebox")</f>
        <v>Icebox</v>
      </c>
      <c r="E556" s="189" t="str">
        <f>IFERROR(__xludf.DUMMYFUNCTION("""COMPUTED_VALUE"""),"ALTERNATE aTTaX")</f>
        <v>ALTERNATE aTTaX</v>
      </c>
      <c r="F556" s="189" t="str">
        <f>IFERROR(__xludf.DUMMYFUNCTION("""COMPUTED_VALUE"""),"Eintracht Frankfurt")</f>
        <v>Eintracht Frankfurt</v>
      </c>
      <c r="G556" s="189" t="str">
        <f>IFERROR(__xludf.DUMMYFUNCTION("""COMPUTED_VALUE"""),"Sova,Killjoy,Viper,Reyna,Jett")</f>
        <v>Sova,Killjoy,Viper,Reyna,Jett</v>
      </c>
      <c r="H556" s="189" t="str">
        <f>IFERROR(__xludf.DUMMYFUNCTION("""COMPUTED_VALUE"""),"Sova,Killjoy,Viper,Sage,Jett")</f>
        <v>Sova,Killjoy,Viper,Sage,Jett</v>
      </c>
      <c r="I556" s="189">
        <f>IFERROR(__xludf.DUMMYFUNCTION("""COMPUTED_VALUE"""),15.0)</f>
        <v>15</v>
      </c>
      <c r="J556" s="189">
        <f>IFERROR(__xludf.DUMMYFUNCTION("""COMPUTED_VALUE"""),17.0)</f>
        <v>17</v>
      </c>
      <c r="K556" s="189">
        <f>IFERROR(__xludf.DUMMYFUNCTION("""COMPUTED_VALUE"""),5.0)</f>
        <v>5</v>
      </c>
      <c r="L556" s="189">
        <f>IFERROR(__xludf.DUMMYFUNCTION("""COMPUTED_VALUE"""),7.0)</f>
        <v>7</v>
      </c>
      <c r="M556" s="189">
        <f>IFERROR(__xludf.DUMMYFUNCTION("""COMPUTED_VALUE"""),0.0)</f>
        <v>0</v>
      </c>
      <c r="N556" s="189">
        <f>IFERROR(__xludf.DUMMYFUNCTION("""COMPUTED_VALUE"""),1.0)</f>
        <v>1</v>
      </c>
      <c r="O556" s="189">
        <f>IFERROR(__xludf.DUMMYFUNCTION("""COMPUTED_VALUE"""),8.0)</f>
        <v>8</v>
      </c>
      <c r="P556" s="189">
        <f>IFERROR(__xludf.DUMMYFUNCTION("""COMPUTED_VALUE"""),8.0)</f>
        <v>8</v>
      </c>
      <c r="Q556" s="189">
        <f>IFERROR(__xludf.DUMMYFUNCTION("""COMPUTED_VALUE"""),7.0)</f>
        <v>7</v>
      </c>
      <c r="R556" s="189">
        <f>IFERROR(__xludf.DUMMYFUNCTION("""COMPUTED_VALUE"""),9.0)</f>
        <v>9</v>
      </c>
      <c r="S556" s="189">
        <f>IFERROR(__xludf.DUMMYFUNCTION("""COMPUTED_VALUE"""),0.0)</f>
        <v>0</v>
      </c>
      <c r="T556" s="189">
        <f>IFERROR(__xludf.DUMMYFUNCTION("""COMPUTED_VALUE"""),1.0)</f>
        <v>1</v>
      </c>
      <c r="U556" s="189">
        <f>IFERROR(__xludf.DUMMYFUNCTION("""COMPUTED_VALUE"""),9.0)</f>
        <v>9</v>
      </c>
      <c r="V556" s="189">
        <f>IFERROR(__xludf.DUMMYFUNCTION("""COMPUTED_VALUE"""),7.0)</f>
        <v>7</v>
      </c>
      <c r="W556" s="189">
        <f>IFERROR(__xludf.DUMMYFUNCTION("""COMPUTED_VALUE"""),8.0)</f>
        <v>8</v>
      </c>
      <c r="X556" s="189">
        <f>IFERROR(__xludf.DUMMYFUNCTION("""COMPUTED_VALUE"""),8.0)</f>
        <v>8</v>
      </c>
      <c r="Y556" s="208" t="str">
        <f>IFERROR(__xludf.DUMMYFUNCTION("""COMPUTED_VALUE"""),"2025-06-28T00:00:00.000Z")</f>
        <v>2025-06-28T00:00:00.000Z</v>
      </c>
      <c r="Z556" s="189" t="s">
        <v>580</v>
      </c>
      <c r="AA556" s="189" t="s">
        <v>183</v>
      </c>
    </row>
    <row r="557">
      <c r="A557" s="189">
        <f>IFERROR(__xludf.DUMMYFUNCTION("""COMPUTED_VALUE"""),207509.0)</f>
        <v>207509</v>
      </c>
      <c r="B557" s="189">
        <f>IFERROR(__xludf.DUMMYFUNCTION("""COMPUTED_VALUE"""),91431.0)</f>
        <v>91431</v>
      </c>
      <c r="C557" s="189" t="str">
        <f>IFERROR(__xludf.DUMMYFUNCTION("""COMPUTED_VALUE"""),"Challengers League 2025 DACH: Evolution Stage 3 - Group Stage")</f>
        <v>Challengers League 2025 DACH: Evolution Stage 3 - Group Stage</v>
      </c>
      <c r="D557" s="189" t="str">
        <f>IFERROR(__xludf.DUMMYFUNCTION("""COMPUTED_VALUE"""),"Haven")</f>
        <v>Haven</v>
      </c>
      <c r="E557" s="189" t="str">
        <f>IFERROR(__xludf.DUMMYFUNCTION("""COMPUTED_VALUE"""),"ALTERNATE aTTaX")</f>
        <v>ALTERNATE aTTaX</v>
      </c>
      <c r="F557" s="189" t="str">
        <f>IFERROR(__xludf.DUMMYFUNCTION("""COMPUTED_VALUE"""),"Eintracht Frankfurt")</f>
        <v>Eintracht Frankfurt</v>
      </c>
      <c r="G557" s="189" t="str">
        <f>IFERROR(__xludf.DUMMYFUNCTION("""COMPUTED_VALUE"""),"Sova,Killjoy,Viper,Omen,Neon")</f>
        <v>Sova,Killjoy,Viper,Omen,Neon</v>
      </c>
      <c r="H557" s="189" t="str">
        <f>IFERROR(__xludf.DUMMYFUNCTION("""COMPUTED_VALUE"""),"Cypher,Sova,Omen,Yoru,Neon")</f>
        <v>Cypher,Sova,Omen,Yoru,Neon</v>
      </c>
      <c r="I557" s="189">
        <f>IFERROR(__xludf.DUMMYFUNCTION("""COMPUTED_VALUE"""),13.0)</f>
        <v>13</v>
      </c>
      <c r="J557" s="189">
        <f>IFERROR(__xludf.DUMMYFUNCTION("""COMPUTED_VALUE"""),8.0)</f>
        <v>8</v>
      </c>
      <c r="K557" s="189">
        <f>IFERROR(__xludf.DUMMYFUNCTION("""COMPUTED_VALUE"""),7.0)</f>
        <v>7</v>
      </c>
      <c r="L557" s="189">
        <f>IFERROR(__xludf.DUMMYFUNCTION("""COMPUTED_VALUE"""),5.0)</f>
        <v>5</v>
      </c>
      <c r="M557" s="189">
        <f>IFERROR(__xludf.DUMMYFUNCTION("""COMPUTED_VALUE"""),1.0)</f>
        <v>1</v>
      </c>
      <c r="N557" s="189">
        <f>IFERROR(__xludf.DUMMYFUNCTION("""COMPUTED_VALUE"""),1.0)</f>
        <v>1</v>
      </c>
      <c r="O557" s="189">
        <f>IFERROR(__xludf.DUMMYFUNCTION("""COMPUTED_VALUE"""),6.0)</f>
        <v>6</v>
      </c>
      <c r="P557" s="189">
        <f>IFERROR(__xludf.DUMMYFUNCTION("""COMPUTED_VALUE"""),3.0)</f>
        <v>3</v>
      </c>
      <c r="Q557" s="189">
        <f>IFERROR(__xludf.DUMMYFUNCTION("""COMPUTED_VALUE"""),7.0)</f>
        <v>7</v>
      </c>
      <c r="R557" s="189">
        <f>IFERROR(__xludf.DUMMYFUNCTION("""COMPUTED_VALUE"""),5.0)</f>
        <v>5</v>
      </c>
      <c r="S557" s="189">
        <f>IFERROR(__xludf.DUMMYFUNCTION("""COMPUTED_VALUE"""),0.0)</f>
        <v>0</v>
      </c>
      <c r="T557" s="189">
        <f>IFERROR(__xludf.DUMMYFUNCTION("""COMPUTED_VALUE"""),0.0)</f>
        <v>0</v>
      </c>
      <c r="U557" s="189">
        <f>IFERROR(__xludf.DUMMYFUNCTION("""COMPUTED_VALUE"""),5.0)</f>
        <v>5</v>
      </c>
      <c r="V557" s="189">
        <f>IFERROR(__xludf.DUMMYFUNCTION("""COMPUTED_VALUE"""),7.0)</f>
        <v>7</v>
      </c>
      <c r="W557" s="189">
        <f>IFERROR(__xludf.DUMMYFUNCTION("""COMPUTED_VALUE"""),3.0)</f>
        <v>3</v>
      </c>
      <c r="X557" s="189">
        <f>IFERROR(__xludf.DUMMYFUNCTION("""COMPUTED_VALUE"""),6.0)</f>
        <v>6</v>
      </c>
      <c r="Y557" s="208" t="str">
        <f>IFERROR(__xludf.DUMMYFUNCTION("""COMPUTED_VALUE"""),"2025-06-28T00:00:00.000Z")</f>
        <v>2025-06-28T00:00:00.000Z</v>
      </c>
      <c r="Z557" s="189" t="s">
        <v>491</v>
      </c>
      <c r="AA557" s="189" t="s">
        <v>465</v>
      </c>
    </row>
    <row r="558">
      <c r="A558" s="189">
        <f>IFERROR(__xludf.DUMMYFUNCTION("""COMPUTED_VALUE"""),207805.0)</f>
        <v>207805</v>
      </c>
      <c r="B558" s="189">
        <f>IFERROR(__xludf.DUMMYFUNCTION("""COMPUTED_VALUE"""),91581.0)</f>
        <v>91581</v>
      </c>
      <c r="C558" s="189" t="str">
        <f>IFERROR(__xludf.DUMMYFUNCTION("""COMPUTED_VALUE"""),"BtcTurk GameFest - Stage 3")</f>
        <v>BtcTurk GameFest - Stage 3</v>
      </c>
      <c r="D558" s="189" t="str">
        <f>IFERROR(__xludf.DUMMYFUNCTION("""COMPUTED_VALUE"""),"Sunset")</f>
        <v>Sunset</v>
      </c>
      <c r="E558" s="189" t="str">
        <f>IFERROR(__xludf.DUMMYFUNCTION("""COMPUTED_VALUE"""),"BBL PCIFIC")</f>
        <v>BBL PCIFIC</v>
      </c>
      <c r="F558" s="189" t="str">
        <f>IFERROR(__xludf.DUMMYFUNCTION("""COMPUTED_VALUE"""),"Gentle Mates")</f>
        <v>Gentle Mates</v>
      </c>
      <c r="G558" s="189" t="str">
        <f>IFERROR(__xludf.DUMMYFUNCTION("""COMPUTED_VALUE"""),"Breach,Cypher,Sova,Omen,Neon")</f>
        <v>Breach,Cypher,Sova,Omen,Neon</v>
      </c>
      <c r="H558" s="189" t="str">
        <f>IFERROR(__xludf.DUMMYFUNCTION("""COMPUTED_VALUE"""),"Cypher,Sova,Viper,Omen,Neon")</f>
        <v>Cypher,Sova,Viper,Omen,Neon</v>
      </c>
      <c r="I558" s="189">
        <f>IFERROR(__xludf.DUMMYFUNCTION("""COMPUTED_VALUE"""),11.0)</f>
        <v>11</v>
      </c>
      <c r="J558" s="189">
        <f>IFERROR(__xludf.DUMMYFUNCTION("""COMPUTED_VALUE"""),13.0)</f>
        <v>13</v>
      </c>
      <c r="K558" s="189">
        <f>IFERROR(__xludf.DUMMYFUNCTION("""COMPUTED_VALUE"""),8.0)</f>
        <v>8</v>
      </c>
      <c r="L558" s="189">
        <f>IFERROR(__xludf.DUMMYFUNCTION("""COMPUTED_VALUE"""),4.0)</f>
        <v>4</v>
      </c>
      <c r="M558" s="189">
        <f>IFERROR(__xludf.DUMMYFUNCTION("""COMPUTED_VALUE"""),1.0)</f>
        <v>1</v>
      </c>
      <c r="N558" s="189">
        <f>IFERROR(__xludf.DUMMYFUNCTION("""COMPUTED_VALUE"""),0.0)</f>
        <v>0</v>
      </c>
      <c r="O558" s="189">
        <f>IFERROR(__xludf.DUMMYFUNCTION("""COMPUTED_VALUE"""),8.0)</f>
        <v>8</v>
      </c>
      <c r="P558" s="189">
        <f>IFERROR(__xludf.DUMMYFUNCTION("""COMPUTED_VALUE"""),4.0)</f>
        <v>4</v>
      </c>
      <c r="Q558" s="189">
        <f>IFERROR(__xludf.DUMMYFUNCTION("""COMPUTED_VALUE"""),3.0)</f>
        <v>3</v>
      </c>
      <c r="R558" s="189">
        <f>IFERROR(__xludf.DUMMYFUNCTION("""COMPUTED_VALUE"""),9.0)</f>
        <v>9</v>
      </c>
      <c r="S558" s="189">
        <f>IFERROR(__xludf.DUMMYFUNCTION("""COMPUTED_VALUE"""),1.0)</f>
        <v>1</v>
      </c>
      <c r="T558" s="189">
        <f>IFERROR(__xludf.DUMMYFUNCTION("""COMPUTED_VALUE"""),0.0)</f>
        <v>0</v>
      </c>
      <c r="U558" s="189">
        <f>IFERROR(__xludf.DUMMYFUNCTION("""COMPUTED_VALUE"""),9.0)</f>
        <v>9</v>
      </c>
      <c r="V558" s="189">
        <f>IFERROR(__xludf.DUMMYFUNCTION("""COMPUTED_VALUE"""),3.0)</f>
        <v>3</v>
      </c>
      <c r="W558" s="189">
        <f>IFERROR(__xludf.DUMMYFUNCTION("""COMPUTED_VALUE"""),4.0)</f>
        <v>4</v>
      </c>
      <c r="X558" s="189">
        <f>IFERROR(__xludf.DUMMYFUNCTION("""COMPUTED_VALUE"""),8.0)</f>
        <v>8</v>
      </c>
      <c r="Y558" s="208" t="str">
        <f>IFERROR(__xludf.DUMMYFUNCTION("""COMPUTED_VALUE"""),"2025-06-28T00:00:00.000Z")</f>
        <v>2025-06-28T00:00:00.000Z</v>
      </c>
      <c r="Z558" s="189" t="s">
        <v>75</v>
      </c>
      <c r="AA558" s="189" t="s">
        <v>467</v>
      </c>
    </row>
    <row r="559">
      <c r="A559" s="189">
        <f>IFERROR(__xludf.DUMMYFUNCTION("""COMPUTED_VALUE"""),207508.0)</f>
        <v>207508</v>
      </c>
      <c r="B559" s="189">
        <f>IFERROR(__xludf.DUMMYFUNCTION("""COMPUTED_VALUE"""),91431.0)</f>
        <v>91431</v>
      </c>
      <c r="C559" s="189" t="str">
        <f>IFERROR(__xludf.DUMMYFUNCTION("""COMPUTED_VALUE"""),"Challengers League 2025 DACH: Evolution Stage 3 - Group Stage")</f>
        <v>Challengers League 2025 DACH: Evolution Stage 3 - Group Stage</v>
      </c>
      <c r="D559" s="189" t="str">
        <f>IFERROR(__xludf.DUMMYFUNCTION("""COMPUTED_VALUE"""),"Lotus")</f>
        <v>Lotus</v>
      </c>
      <c r="E559" s="189" t="str">
        <f>IFERROR(__xludf.DUMMYFUNCTION("""COMPUTED_VALUE"""),"ALTERNATE aTTaX")</f>
        <v>ALTERNATE aTTaX</v>
      </c>
      <c r="F559" s="189" t="str">
        <f>IFERROR(__xludf.DUMMYFUNCTION("""COMPUTED_VALUE"""),"Eintracht Frankfurt")</f>
        <v>Eintracht Frankfurt</v>
      </c>
      <c r="G559" s="189" t="str">
        <f>IFERROR(__xludf.DUMMYFUNCTION("""COMPUTED_VALUE"""),"Raze,Killjoy,Viper,Omen,Fade")</f>
        <v>Raze,Killjoy,Viper,Omen,Fade</v>
      </c>
      <c r="H559" s="189" t="str">
        <f>IFERROR(__xludf.DUMMYFUNCTION("""COMPUTED_VALUE"""),"Cypher,Viper,Omen,Yoru,Fade")</f>
        <v>Cypher,Viper,Omen,Yoru,Fade</v>
      </c>
      <c r="I559" s="189">
        <f>IFERROR(__xludf.DUMMYFUNCTION("""COMPUTED_VALUE"""),7.0)</f>
        <v>7</v>
      </c>
      <c r="J559" s="189">
        <f>IFERROR(__xludf.DUMMYFUNCTION("""COMPUTED_VALUE"""),13.0)</f>
        <v>13</v>
      </c>
      <c r="K559" s="189">
        <f>IFERROR(__xludf.DUMMYFUNCTION("""COMPUTED_VALUE"""),5.0)</f>
        <v>5</v>
      </c>
      <c r="L559" s="189">
        <f>IFERROR(__xludf.DUMMYFUNCTION("""COMPUTED_VALUE"""),7.0)</f>
        <v>7</v>
      </c>
      <c r="M559" s="189">
        <f>IFERROR(__xludf.DUMMYFUNCTION("""COMPUTED_VALUE"""),1.0)</f>
        <v>1</v>
      </c>
      <c r="N559" s="189">
        <f>IFERROR(__xludf.DUMMYFUNCTION("""COMPUTED_VALUE"""),0.0)</f>
        <v>0</v>
      </c>
      <c r="O559" s="189">
        <f>IFERROR(__xludf.DUMMYFUNCTION("""COMPUTED_VALUE"""),2.0)</f>
        <v>2</v>
      </c>
      <c r="P559" s="189">
        <f>IFERROR(__xludf.DUMMYFUNCTION("""COMPUTED_VALUE"""),6.0)</f>
        <v>6</v>
      </c>
      <c r="Q559" s="189">
        <f>IFERROR(__xludf.DUMMYFUNCTION("""COMPUTED_VALUE"""),5.0)</f>
        <v>5</v>
      </c>
      <c r="R559" s="189">
        <f>IFERROR(__xludf.DUMMYFUNCTION("""COMPUTED_VALUE"""),7.0)</f>
        <v>7</v>
      </c>
      <c r="S559" s="189">
        <f>IFERROR(__xludf.DUMMYFUNCTION("""COMPUTED_VALUE"""),1.0)</f>
        <v>1</v>
      </c>
      <c r="T559" s="189">
        <f>IFERROR(__xludf.DUMMYFUNCTION("""COMPUTED_VALUE"""),0.0)</f>
        <v>0</v>
      </c>
      <c r="U559" s="189">
        <f>IFERROR(__xludf.DUMMYFUNCTION("""COMPUTED_VALUE"""),7.0)</f>
        <v>7</v>
      </c>
      <c r="V559" s="189">
        <f>IFERROR(__xludf.DUMMYFUNCTION("""COMPUTED_VALUE"""),5.0)</f>
        <v>5</v>
      </c>
      <c r="W559" s="189">
        <f>IFERROR(__xludf.DUMMYFUNCTION("""COMPUTED_VALUE"""),6.0)</f>
        <v>6</v>
      </c>
      <c r="X559" s="189">
        <f>IFERROR(__xludf.DUMMYFUNCTION("""COMPUTED_VALUE"""),2.0)</f>
        <v>2</v>
      </c>
      <c r="Y559" s="208" t="str">
        <f>IFERROR(__xludf.DUMMYFUNCTION("""COMPUTED_VALUE"""),"2025-06-28T00:00:00.000Z")</f>
        <v>2025-06-28T00:00:00.000Z</v>
      </c>
      <c r="Z559" s="189" t="s">
        <v>581</v>
      </c>
      <c r="AA559" s="189" t="s">
        <v>183</v>
      </c>
    </row>
    <row r="560">
      <c r="A560" s="189">
        <f>IFERROR(__xludf.DUMMYFUNCTION("""COMPUTED_VALUE"""),207804.0)</f>
        <v>207804</v>
      </c>
      <c r="B560" s="189">
        <f>IFERROR(__xludf.DUMMYFUNCTION("""COMPUTED_VALUE"""),91581.0)</f>
        <v>91581</v>
      </c>
      <c r="C560" s="189" t="str">
        <f>IFERROR(__xludf.DUMMYFUNCTION("""COMPUTED_VALUE"""),"BtcTurk GameFest - Stage 3")</f>
        <v>BtcTurk GameFest - Stage 3</v>
      </c>
      <c r="D560" s="189" t="str">
        <f>IFERROR(__xludf.DUMMYFUNCTION("""COMPUTED_VALUE"""),"Haven")</f>
        <v>Haven</v>
      </c>
      <c r="E560" s="189" t="str">
        <f>IFERROR(__xludf.DUMMYFUNCTION("""COMPUTED_VALUE"""),"BBL PCIFIC")</f>
        <v>BBL PCIFIC</v>
      </c>
      <c r="F560" s="189" t="str">
        <f>IFERROR(__xludf.DUMMYFUNCTION("""COMPUTED_VALUE"""),"Gentle Mates")</f>
        <v>Gentle Mates</v>
      </c>
      <c r="G560" s="189" t="str">
        <f>IFERROR(__xludf.DUMMYFUNCTION("""COMPUTED_VALUE"""),"Breach,Cypher,Sova,Omen,Jett")</f>
        <v>Breach,Cypher,Sova,Omen,Jett</v>
      </c>
      <c r="H560" s="189" t="str">
        <f>IFERROR(__xludf.DUMMYFUNCTION("""COMPUTED_VALUE"""),"Sova,Killjoy,Viper,Omen,Neon")</f>
        <v>Sova,Killjoy,Viper,Omen,Neon</v>
      </c>
      <c r="I560" s="189">
        <f>IFERROR(__xludf.DUMMYFUNCTION("""COMPUTED_VALUE"""),13.0)</f>
        <v>13</v>
      </c>
      <c r="J560" s="189">
        <f>IFERROR(__xludf.DUMMYFUNCTION("""COMPUTED_VALUE"""),11.0)</f>
        <v>11</v>
      </c>
      <c r="K560" s="189">
        <f>IFERROR(__xludf.DUMMYFUNCTION("""COMPUTED_VALUE"""),9.0)</f>
        <v>9</v>
      </c>
      <c r="L560" s="189">
        <f>IFERROR(__xludf.DUMMYFUNCTION("""COMPUTED_VALUE"""),3.0)</f>
        <v>3</v>
      </c>
      <c r="M560" s="189">
        <f>IFERROR(__xludf.DUMMYFUNCTION("""COMPUTED_VALUE"""),1.0)</f>
        <v>1</v>
      </c>
      <c r="N560" s="189">
        <f>IFERROR(__xludf.DUMMYFUNCTION("""COMPUTED_VALUE"""),0.0)</f>
        <v>0</v>
      </c>
      <c r="O560" s="189">
        <f>IFERROR(__xludf.DUMMYFUNCTION("""COMPUTED_VALUE"""),9.0)</f>
        <v>9</v>
      </c>
      <c r="P560" s="189">
        <f>IFERROR(__xludf.DUMMYFUNCTION("""COMPUTED_VALUE"""),3.0)</f>
        <v>3</v>
      </c>
      <c r="Q560" s="189">
        <f>IFERROR(__xludf.DUMMYFUNCTION("""COMPUTED_VALUE"""),4.0)</f>
        <v>4</v>
      </c>
      <c r="R560" s="189">
        <f>IFERROR(__xludf.DUMMYFUNCTION("""COMPUTED_VALUE"""),8.0)</f>
        <v>8</v>
      </c>
      <c r="S560" s="189">
        <f>IFERROR(__xludf.DUMMYFUNCTION("""COMPUTED_VALUE"""),1.0)</f>
        <v>1</v>
      </c>
      <c r="T560" s="189">
        <f>IFERROR(__xludf.DUMMYFUNCTION("""COMPUTED_VALUE"""),0.0)</f>
        <v>0</v>
      </c>
      <c r="U560" s="189">
        <f>IFERROR(__xludf.DUMMYFUNCTION("""COMPUTED_VALUE"""),8.0)</f>
        <v>8</v>
      </c>
      <c r="V560" s="189">
        <f>IFERROR(__xludf.DUMMYFUNCTION("""COMPUTED_VALUE"""),4.0)</f>
        <v>4</v>
      </c>
      <c r="W560" s="189">
        <f>IFERROR(__xludf.DUMMYFUNCTION("""COMPUTED_VALUE"""),3.0)</f>
        <v>3</v>
      </c>
      <c r="X560" s="189">
        <f>IFERROR(__xludf.DUMMYFUNCTION("""COMPUTED_VALUE"""),9.0)</f>
        <v>9</v>
      </c>
      <c r="Y560" s="208" t="str">
        <f>IFERROR(__xludf.DUMMYFUNCTION("""COMPUTED_VALUE"""),"2025-06-28T00:00:00.000Z")</f>
        <v>2025-06-28T00:00:00.000Z</v>
      </c>
      <c r="Z560" s="189" t="s">
        <v>70</v>
      </c>
      <c r="AA560" s="189" t="s">
        <v>186</v>
      </c>
    </row>
    <row r="561">
      <c r="A561" s="189">
        <f>IFERROR(__xludf.DUMMYFUNCTION("""COMPUTED_VALUE"""),205625.0)</f>
        <v>205625</v>
      </c>
      <c r="B561" s="189">
        <f>IFERROR(__xludf.DUMMYFUNCTION("""COMPUTED_VALUE"""),90707.0)</f>
        <v>90707</v>
      </c>
      <c r="C561" s="189" t="str">
        <f>IFERROR(__xludf.DUMMYFUNCTION("""COMPUTED_VALUE"""),"Challengers League 2025 MENA: Resilience - GPI - Split 2 - Group Stage")</f>
        <v>Challengers League 2025 MENA: Resilience - GPI - Split 2 - Group Stage</v>
      </c>
      <c r="D561" s="189" t="str">
        <f>IFERROR(__xludf.DUMMYFUNCTION("""COMPUTED_VALUE"""),"Lotus")</f>
        <v>Lotus</v>
      </c>
      <c r="E561" s="189" t="str">
        <f>IFERROR(__xludf.DUMMYFUNCTION("""COMPUTED_VALUE"""),"VillianArc")</f>
        <v>VillianArc</v>
      </c>
      <c r="F561" s="189" t="str">
        <f>IFERROR(__xludf.DUMMYFUNCTION("""COMPUTED_VALUE"""),"Twisted Minds Esports")</f>
        <v>Twisted Minds Esports</v>
      </c>
      <c r="G561" s="189" t="str">
        <f>IFERROR(__xludf.DUMMYFUNCTION("""COMPUTED_VALUE"""),"Raze,Omen,Yoru,Fade,Vyse")</f>
        <v>Raze,Omen,Yoru,Fade,Vyse</v>
      </c>
      <c r="H561" s="189" t="str">
        <f>IFERROR(__xludf.DUMMYFUNCTION("""COMPUTED_VALUE"""),"Raze,Killjoy,Viper,Omen,Fade")</f>
        <v>Raze,Killjoy,Viper,Omen,Fade</v>
      </c>
      <c r="I561" s="189">
        <f>IFERROR(__xludf.DUMMYFUNCTION("""COMPUTED_VALUE"""),6.0)</f>
        <v>6</v>
      </c>
      <c r="J561" s="189">
        <f>IFERROR(__xludf.DUMMYFUNCTION("""COMPUTED_VALUE"""),13.0)</f>
        <v>13</v>
      </c>
      <c r="K561" s="189">
        <f>IFERROR(__xludf.DUMMYFUNCTION("""COMPUTED_VALUE"""),6.0)</f>
        <v>6</v>
      </c>
      <c r="L561" s="189">
        <f>IFERROR(__xludf.DUMMYFUNCTION("""COMPUTED_VALUE"""),6.0)</f>
        <v>6</v>
      </c>
      <c r="M561" s="189">
        <f>IFERROR(__xludf.DUMMYFUNCTION("""COMPUTED_VALUE"""),1.0)</f>
        <v>1</v>
      </c>
      <c r="N561" s="189">
        <f>IFERROR(__xludf.DUMMYFUNCTION("""COMPUTED_VALUE"""),0.0)</f>
        <v>0</v>
      </c>
      <c r="O561" s="189">
        <f>IFERROR(__xludf.DUMMYFUNCTION("""COMPUTED_VALUE"""),6.0)</f>
        <v>6</v>
      </c>
      <c r="P561" s="189">
        <f>IFERROR(__xludf.DUMMYFUNCTION("""COMPUTED_VALUE"""),6.0)</f>
        <v>6</v>
      </c>
      <c r="Q561" s="189">
        <f>IFERROR(__xludf.DUMMYFUNCTION("""COMPUTED_VALUE"""),0.0)</f>
        <v>0</v>
      </c>
      <c r="R561" s="189">
        <f>IFERROR(__xludf.DUMMYFUNCTION("""COMPUTED_VALUE"""),7.0)</f>
        <v>7</v>
      </c>
      <c r="S561" s="189">
        <f>IFERROR(__xludf.DUMMYFUNCTION("""COMPUTED_VALUE"""),1.0)</f>
        <v>1</v>
      </c>
      <c r="T561" s="189">
        <f>IFERROR(__xludf.DUMMYFUNCTION("""COMPUTED_VALUE"""),0.0)</f>
        <v>0</v>
      </c>
      <c r="U561" s="189">
        <f>IFERROR(__xludf.DUMMYFUNCTION("""COMPUTED_VALUE"""),7.0)</f>
        <v>7</v>
      </c>
      <c r="V561" s="189">
        <f>IFERROR(__xludf.DUMMYFUNCTION("""COMPUTED_VALUE"""),0.0)</f>
        <v>0</v>
      </c>
      <c r="W561" s="189">
        <f>IFERROR(__xludf.DUMMYFUNCTION("""COMPUTED_VALUE"""),6.0)</f>
        <v>6</v>
      </c>
      <c r="X561" s="189">
        <f>IFERROR(__xludf.DUMMYFUNCTION("""COMPUTED_VALUE"""),6.0)</f>
        <v>6</v>
      </c>
      <c r="Y561" s="208" t="str">
        <f>IFERROR(__xludf.DUMMYFUNCTION("""COMPUTED_VALUE"""),"2025-06-28T00:00:00.000Z")</f>
        <v>2025-06-28T00:00:00.000Z</v>
      </c>
      <c r="Z561" s="189" t="s">
        <v>582</v>
      </c>
      <c r="AA561" s="189" t="s">
        <v>184</v>
      </c>
    </row>
    <row r="562">
      <c r="A562" s="189">
        <f>IFERROR(__xludf.DUMMYFUNCTION("""COMPUTED_VALUE"""),207803.0)</f>
        <v>207803</v>
      </c>
      <c r="B562" s="189">
        <f>IFERROR(__xludf.DUMMYFUNCTION("""COMPUTED_VALUE"""),91581.0)</f>
        <v>91581</v>
      </c>
      <c r="C562" s="189" t="str">
        <f>IFERROR(__xludf.DUMMYFUNCTION("""COMPUTED_VALUE"""),"BtcTurk GameFest - Stage 3")</f>
        <v>BtcTurk GameFest - Stage 3</v>
      </c>
      <c r="D562" s="189" t="str">
        <f>IFERROR(__xludf.DUMMYFUNCTION("""COMPUTED_VALUE"""),"Lotus")</f>
        <v>Lotus</v>
      </c>
      <c r="E562" s="189" t="str">
        <f>IFERROR(__xludf.DUMMYFUNCTION("""COMPUTED_VALUE"""),"BBL PCIFIC")</f>
        <v>BBL PCIFIC</v>
      </c>
      <c r="F562" s="189" t="str">
        <f>IFERROR(__xludf.DUMMYFUNCTION("""COMPUTED_VALUE"""),"Gentle Mates")</f>
        <v>Gentle Mates</v>
      </c>
      <c r="G562" s="189" t="str">
        <f>IFERROR(__xludf.DUMMYFUNCTION("""COMPUTED_VALUE"""),"Breach,Cypher,Sova,Omen,Neon")</f>
        <v>Breach,Cypher,Sova,Omen,Neon</v>
      </c>
      <c r="H562" s="189" t="str">
        <f>IFERROR(__xludf.DUMMYFUNCTION("""COMPUTED_VALUE"""),"Viper,Omen,Yoru,Chamber,Fade")</f>
        <v>Viper,Omen,Yoru,Chamber,Fade</v>
      </c>
      <c r="I562" s="189">
        <f>IFERROR(__xludf.DUMMYFUNCTION("""COMPUTED_VALUE"""),7.0)</f>
        <v>7</v>
      </c>
      <c r="J562" s="189">
        <f>IFERROR(__xludf.DUMMYFUNCTION("""COMPUTED_VALUE"""),13.0)</f>
        <v>13</v>
      </c>
      <c r="K562" s="189">
        <f>IFERROR(__xludf.DUMMYFUNCTION("""COMPUTED_VALUE"""),5.0)</f>
        <v>5</v>
      </c>
      <c r="L562" s="189">
        <f>IFERROR(__xludf.DUMMYFUNCTION("""COMPUTED_VALUE"""),7.0)</f>
        <v>7</v>
      </c>
      <c r="M562" s="189">
        <f>IFERROR(__xludf.DUMMYFUNCTION("""COMPUTED_VALUE"""),0.0)</f>
        <v>0</v>
      </c>
      <c r="N562" s="189">
        <f>IFERROR(__xludf.DUMMYFUNCTION("""COMPUTED_VALUE"""),0.0)</f>
        <v>0</v>
      </c>
      <c r="O562" s="189">
        <f>IFERROR(__xludf.DUMMYFUNCTION("""COMPUTED_VALUE"""),2.0)</f>
        <v>2</v>
      </c>
      <c r="P562" s="189">
        <f>IFERROR(__xludf.DUMMYFUNCTION("""COMPUTED_VALUE"""),6.0)</f>
        <v>6</v>
      </c>
      <c r="Q562" s="189">
        <f>IFERROR(__xludf.DUMMYFUNCTION("""COMPUTED_VALUE"""),5.0)</f>
        <v>5</v>
      </c>
      <c r="R562" s="189">
        <f>IFERROR(__xludf.DUMMYFUNCTION("""COMPUTED_VALUE"""),7.0)</f>
        <v>7</v>
      </c>
      <c r="S562" s="189">
        <f>IFERROR(__xludf.DUMMYFUNCTION("""COMPUTED_VALUE"""),1.0)</f>
        <v>1</v>
      </c>
      <c r="T562" s="189">
        <f>IFERROR(__xludf.DUMMYFUNCTION("""COMPUTED_VALUE"""),1.0)</f>
        <v>1</v>
      </c>
      <c r="U562" s="189">
        <f>IFERROR(__xludf.DUMMYFUNCTION("""COMPUTED_VALUE"""),7.0)</f>
        <v>7</v>
      </c>
      <c r="V562" s="189">
        <f>IFERROR(__xludf.DUMMYFUNCTION("""COMPUTED_VALUE"""),5.0)</f>
        <v>5</v>
      </c>
      <c r="W562" s="189">
        <f>IFERROR(__xludf.DUMMYFUNCTION("""COMPUTED_VALUE"""),6.0)</f>
        <v>6</v>
      </c>
      <c r="X562" s="189">
        <f>IFERROR(__xludf.DUMMYFUNCTION("""COMPUTED_VALUE"""),2.0)</f>
        <v>2</v>
      </c>
      <c r="Y562" s="208" t="str">
        <f>IFERROR(__xludf.DUMMYFUNCTION("""COMPUTED_VALUE"""),"2025-06-28T00:00:00.000Z")</f>
        <v>2025-06-28T00:00:00.000Z</v>
      </c>
      <c r="Z562" s="189" t="s">
        <v>72</v>
      </c>
      <c r="AA562" s="189" t="s">
        <v>467</v>
      </c>
    </row>
    <row r="563">
      <c r="A563" s="189">
        <f>IFERROR(__xludf.DUMMYFUNCTION("""COMPUTED_VALUE"""),205624.0)</f>
        <v>205624</v>
      </c>
      <c r="B563" s="189">
        <f>IFERROR(__xludf.DUMMYFUNCTION("""COMPUTED_VALUE"""),90707.0)</f>
        <v>90707</v>
      </c>
      <c r="C563" s="189" t="str">
        <f>IFERROR(__xludf.DUMMYFUNCTION("""COMPUTED_VALUE"""),"Challengers League 2025 MENA: Resilience - GPI - Split 2 - Group Stage")</f>
        <v>Challengers League 2025 MENA: Resilience - GPI - Split 2 - Group Stage</v>
      </c>
      <c r="D563" s="189" t="str">
        <f>IFERROR(__xludf.DUMMYFUNCTION("""COMPUTED_VALUE"""),"Icebox")</f>
        <v>Icebox</v>
      </c>
      <c r="E563" s="189" t="str">
        <f>IFERROR(__xludf.DUMMYFUNCTION("""COMPUTED_VALUE"""),"VillianArc")</f>
        <v>VillianArc</v>
      </c>
      <c r="F563" s="189" t="str">
        <f>IFERROR(__xludf.DUMMYFUNCTION("""COMPUTED_VALUE"""),"Twisted Minds Esports")</f>
        <v>Twisted Minds Esports</v>
      </c>
      <c r="G563" s="189" t="str">
        <f>IFERROR(__xludf.DUMMYFUNCTION("""COMPUTED_VALUE"""),"Sova,Killjoy,Viper,Reyna,Omen")</f>
        <v>Sova,Killjoy,Viper,Reyna,Omen</v>
      </c>
      <c r="H563" s="189" t="str">
        <f>IFERROR(__xludf.DUMMYFUNCTION("""COMPUTED_VALUE"""),"Sova,Killjoy,Viper,Jett,Harbor")</f>
        <v>Sova,Killjoy,Viper,Jett,Harbor</v>
      </c>
      <c r="I563" s="189">
        <f>IFERROR(__xludf.DUMMYFUNCTION("""COMPUTED_VALUE"""),4.0)</f>
        <v>4</v>
      </c>
      <c r="J563" s="189">
        <f>IFERROR(__xludf.DUMMYFUNCTION("""COMPUTED_VALUE"""),13.0)</f>
        <v>13</v>
      </c>
      <c r="K563" s="189">
        <f>IFERROR(__xludf.DUMMYFUNCTION("""COMPUTED_VALUE"""),2.0)</f>
        <v>2</v>
      </c>
      <c r="L563" s="189">
        <f>IFERROR(__xludf.DUMMYFUNCTION("""COMPUTED_VALUE"""),10.0)</f>
        <v>10</v>
      </c>
      <c r="M563" s="189">
        <f>IFERROR(__xludf.DUMMYFUNCTION("""COMPUTED_VALUE"""),0.0)</f>
        <v>0</v>
      </c>
      <c r="N563" s="189">
        <f>IFERROR(__xludf.DUMMYFUNCTION("""COMPUTED_VALUE"""),1.0)</f>
        <v>1</v>
      </c>
      <c r="O563" s="189">
        <f>IFERROR(__xludf.DUMMYFUNCTION("""COMPUTED_VALUE"""),2.0)</f>
        <v>2</v>
      </c>
      <c r="P563" s="189">
        <f>IFERROR(__xludf.DUMMYFUNCTION("""COMPUTED_VALUE"""),10.0)</f>
        <v>10</v>
      </c>
      <c r="Q563" s="189">
        <f>IFERROR(__xludf.DUMMYFUNCTION("""COMPUTED_VALUE"""),2.0)</f>
        <v>2</v>
      </c>
      <c r="R563" s="189">
        <f>IFERROR(__xludf.DUMMYFUNCTION("""COMPUTED_VALUE"""),3.0)</f>
        <v>3</v>
      </c>
      <c r="S563" s="189">
        <f>IFERROR(__xludf.DUMMYFUNCTION("""COMPUTED_VALUE"""),0.0)</f>
        <v>0</v>
      </c>
      <c r="T563" s="189">
        <f>IFERROR(__xludf.DUMMYFUNCTION("""COMPUTED_VALUE"""),1.0)</f>
        <v>1</v>
      </c>
      <c r="U563" s="189">
        <f>IFERROR(__xludf.DUMMYFUNCTION("""COMPUTED_VALUE"""),3.0)</f>
        <v>3</v>
      </c>
      <c r="V563" s="189">
        <f>IFERROR(__xludf.DUMMYFUNCTION("""COMPUTED_VALUE"""),2.0)</f>
        <v>2</v>
      </c>
      <c r="W563" s="189">
        <f>IFERROR(__xludf.DUMMYFUNCTION("""COMPUTED_VALUE"""),10.0)</f>
        <v>10</v>
      </c>
      <c r="X563" s="189">
        <f>IFERROR(__xludf.DUMMYFUNCTION("""COMPUTED_VALUE"""),2.0)</f>
        <v>2</v>
      </c>
      <c r="Y563" s="208" t="str">
        <f>IFERROR(__xludf.DUMMYFUNCTION("""COMPUTED_VALUE"""),"2025-06-28T00:00:00.000Z")</f>
        <v>2025-06-28T00:00:00.000Z</v>
      </c>
      <c r="Z563" s="189" t="s">
        <v>583</v>
      </c>
      <c r="AA563" s="189" t="s">
        <v>184</v>
      </c>
    </row>
    <row r="564">
      <c r="A564" s="189">
        <f>IFERROR(__xludf.DUMMYFUNCTION("""COMPUTED_VALUE"""),208061.0)</f>
        <v>208061</v>
      </c>
      <c r="B564" s="189">
        <f>IFERROR(__xludf.DUMMYFUNCTION("""COMPUTED_VALUE"""),91667.0)</f>
        <v>91667</v>
      </c>
      <c r="C564" s="189" t="str">
        <f>IFERROR(__xludf.DUMMYFUNCTION("""COMPUTED_VALUE"""),"Challengers League 2025 NORTH EAST: Split 3 - East Qualifier")</f>
        <v>Challengers League 2025 NORTH EAST: Split 3 - East Qualifier</v>
      </c>
      <c r="D564" s="189" t="str">
        <f>IFERROR(__xludf.DUMMYFUNCTION("""COMPUTED_VALUE"""),"Sunset")</f>
        <v>Sunset</v>
      </c>
      <c r="E564" s="189" t="str">
        <f>IFERROR(__xludf.DUMMYFUNCTION("""COMPUTED_VALUE"""),"FULL BOX 200")</f>
        <v>FULL BOX 200</v>
      </c>
      <c r="F564" s="189" t="str">
        <f>IFERROR(__xludf.DUMMYFUNCTION("""COMPUTED_VALUE"""),"Boars Gaming")</f>
        <v>Boars Gaming</v>
      </c>
      <c r="G564" s="189" t="str">
        <f>IFERROR(__xludf.DUMMYFUNCTION("""COMPUTED_VALUE"""),"Breach,Cypher,Sova,Omen,Neon")</f>
        <v>Breach,Cypher,Sova,Omen,Neon</v>
      </c>
      <c r="H564" s="189" t="str">
        <f>IFERROR(__xludf.DUMMYFUNCTION("""COMPUTED_VALUE"""),"Cypher,Sova,Omen,KAY/O,Neon")</f>
        <v>Cypher,Sova,Omen,KAY/O,Neon</v>
      </c>
      <c r="I564" s="189">
        <f>IFERROR(__xludf.DUMMYFUNCTION("""COMPUTED_VALUE"""),9.0)</f>
        <v>9</v>
      </c>
      <c r="J564" s="189">
        <f>IFERROR(__xludf.DUMMYFUNCTION("""COMPUTED_VALUE"""),13.0)</f>
        <v>13</v>
      </c>
      <c r="K564" s="189">
        <f>IFERROR(__xludf.DUMMYFUNCTION("""COMPUTED_VALUE"""),5.0)</f>
        <v>5</v>
      </c>
      <c r="L564" s="189">
        <f>IFERROR(__xludf.DUMMYFUNCTION("""COMPUTED_VALUE"""),7.0)</f>
        <v>7</v>
      </c>
      <c r="M564" s="189">
        <f>IFERROR(__xludf.DUMMYFUNCTION("""COMPUTED_VALUE"""),1.0)</f>
        <v>1</v>
      </c>
      <c r="N564" s="189">
        <f>IFERROR(__xludf.DUMMYFUNCTION("""COMPUTED_VALUE"""),0.0)</f>
        <v>0</v>
      </c>
      <c r="O564" s="189">
        <f>IFERROR(__xludf.DUMMYFUNCTION("""COMPUTED_VALUE"""),4.0)</f>
        <v>4</v>
      </c>
      <c r="P564" s="189">
        <f>IFERROR(__xludf.DUMMYFUNCTION("""COMPUTED_VALUE"""),6.0)</f>
        <v>6</v>
      </c>
      <c r="Q564" s="189">
        <f>IFERROR(__xludf.DUMMYFUNCTION("""COMPUTED_VALUE"""),5.0)</f>
        <v>5</v>
      </c>
      <c r="R564" s="189">
        <f>IFERROR(__xludf.DUMMYFUNCTION("""COMPUTED_VALUE"""),7.0)</f>
        <v>7</v>
      </c>
      <c r="S564" s="189">
        <f>IFERROR(__xludf.DUMMYFUNCTION("""COMPUTED_VALUE"""),1.0)</f>
        <v>1</v>
      </c>
      <c r="T564" s="189">
        <f>IFERROR(__xludf.DUMMYFUNCTION("""COMPUTED_VALUE"""),0.0)</f>
        <v>0</v>
      </c>
      <c r="U564" s="189">
        <f>IFERROR(__xludf.DUMMYFUNCTION("""COMPUTED_VALUE"""),7.0)</f>
        <v>7</v>
      </c>
      <c r="V564" s="189">
        <f>IFERROR(__xludf.DUMMYFUNCTION("""COMPUTED_VALUE"""),5.0)</f>
        <v>5</v>
      </c>
      <c r="W564" s="189">
        <f>IFERROR(__xludf.DUMMYFUNCTION("""COMPUTED_VALUE"""),6.0)</f>
        <v>6</v>
      </c>
      <c r="X564" s="189">
        <f>IFERROR(__xludf.DUMMYFUNCTION("""COMPUTED_VALUE"""),4.0)</f>
        <v>4</v>
      </c>
      <c r="Y564" s="208" t="str">
        <f>IFERROR(__xludf.DUMMYFUNCTION("""COMPUTED_VALUE"""),"2025-06-28T00:00:00.000Z")</f>
        <v>2025-06-28T00:00:00.000Z</v>
      </c>
      <c r="Z564" s="189" t="s">
        <v>421</v>
      </c>
      <c r="AA564" s="189" t="s">
        <v>181</v>
      </c>
    </row>
    <row r="565">
      <c r="A565" s="189">
        <f>IFERROR(__xludf.DUMMYFUNCTION("""COMPUTED_VALUE"""),207801.0)</f>
        <v>207801</v>
      </c>
      <c r="B565" s="189">
        <f>IFERROR(__xludf.DUMMYFUNCTION("""COMPUTED_VALUE"""),91580.0)</f>
        <v>91580</v>
      </c>
      <c r="C565" s="189" t="str">
        <f>IFERROR(__xludf.DUMMYFUNCTION("""COMPUTED_VALUE"""),"BtcTurk GameFest - Stage 3")</f>
        <v>BtcTurk GameFest - Stage 3</v>
      </c>
      <c r="D565" s="189" t="str">
        <f>IFERROR(__xludf.DUMMYFUNCTION("""COMPUTED_VALUE"""),"Icebox")</f>
        <v>Icebox</v>
      </c>
      <c r="E565" s="189" t="str">
        <f>IFERROR(__xludf.DUMMYFUNCTION("""COMPUTED_VALUE"""),"ULF Esports")</f>
        <v>ULF Esports</v>
      </c>
      <c r="F565" s="189" t="str">
        <f>IFERROR(__xludf.DUMMYFUNCTION("""COMPUTED_VALUE"""),"Natus Vincere")</f>
        <v>Natus Vincere</v>
      </c>
      <c r="G565" s="189" t="str">
        <f>IFERROR(__xludf.DUMMYFUNCTION("""COMPUTED_VALUE"""),"Sova,Killjoy,Viper,Omen,Jett")</f>
        <v>Sova,Killjoy,Viper,Omen,Jett</v>
      </c>
      <c r="H565" s="189" t="str">
        <f>IFERROR(__xludf.DUMMYFUNCTION("""COMPUTED_VALUE"""),"Sova,Killjoy,Viper,Sage,Jett")</f>
        <v>Sova,Killjoy,Viper,Sage,Jett</v>
      </c>
      <c r="I565" s="189">
        <f>IFERROR(__xludf.DUMMYFUNCTION("""COMPUTED_VALUE"""),7.0)</f>
        <v>7</v>
      </c>
      <c r="J565" s="189">
        <f>IFERROR(__xludf.DUMMYFUNCTION("""COMPUTED_VALUE"""),13.0)</f>
        <v>13</v>
      </c>
      <c r="K565" s="189">
        <f>IFERROR(__xludf.DUMMYFUNCTION("""COMPUTED_VALUE"""),4.0)</f>
        <v>4</v>
      </c>
      <c r="L565" s="189">
        <f>IFERROR(__xludf.DUMMYFUNCTION("""COMPUTED_VALUE"""),8.0)</f>
        <v>8</v>
      </c>
      <c r="M565" s="189">
        <f>IFERROR(__xludf.DUMMYFUNCTION("""COMPUTED_VALUE"""),0.0)</f>
        <v>0</v>
      </c>
      <c r="N565" s="189">
        <f>IFERROR(__xludf.DUMMYFUNCTION("""COMPUTED_VALUE"""),1.0)</f>
        <v>1</v>
      </c>
      <c r="O565" s="189">
        <f>IFERROR(__xludf.DUMMYFUNCTION("""COMPUTED_VALUE"""),4.0)</f>
        <v>4</v>
      </c>
      <c r="P565" s="189">
        <f>IFERROR(__xludf.DUMMYFUNCTION("""COMPUTED_VALUE"""),8.0)</f>
        <v>8</v>
      </c>
      <c r="Q565" s="189">
        <f>IFERROR(__xludf.DUMMYFUNCTION("""COMPUTED_VALUE"""),3.0)</f>
        <v>3</v>
      </c>
      <c r="R565" s="189">
        <f>IFERROR(__xludf.DUMMYFUNCTION("""COMPUTED_VALUE"""),5.0)</f>
        <v>5</v>
      </c>
      <c r="S565" s="189">
        <f>IFERROR(__xludf.DUMMYFUNCTION("""COMPUTED_VALUE"""),0.0)</f>
        <v>0</v>
      </c>
      <c r="T565" s="189">
        <f>IFERROR(__xludf.DUMMYFUNCTION("""COMPUTED_VALUE"""),1.0)</f>
        <v>1</v>
      </c>
      <c r="U565" s="189">
        <f>IFERROR(__xludf.DUMMYFUNCTION("""COMPUTED_VALUE"""),5.0)</f>
        <v>5</v>
      </c>
      <c r="V565" s="189">
        <f>IFERROR(__xludf.DUMMYFUNCTION("""COMPUTED_VALUE"""),3.0)</f>
        <v>3</v>
      </c>
      <c r="W565" s="189">
        <f>IFERROR(__xludf.DUMMYFUNCTION("""COMPUTED_VALUE"""),8.0)</f>
        <v>8</v>
      </c>
      <c r="X565" s="189">
        <f>IFERROR(__xludf.DUMMYFUNCTION("""COMPUTED_VALUE"""),4.0)</f>
        <v>4</v>
      </c>
      <c r="Y565" s="208" t="str">
        <f>IFERROR(__xludf.DUMMYFUNCTION("""COMPUTED_VALUE"""),"2025-06-28T00:00:00.000Z")</f>
        <v>2025-06-28T00:00:00.000Z</v>
      </c>
      <c r="Z565" s="189" t="s">
        <v>171</v>
      </c>
      <c r="AA565" s="189" t="s">
        <v>471</v>
      </c>
    </row>
    <row r="566">
      <c r="A566" s="189">
        <f>IFERROR(__xludf.DUMMYFUNCTION("""COMPUTED_VALUE"""),208057.0)</f>
        <v>208057</v>
      </c>
      <c r="B566" s="189">
        <f>IFERROR(__xludf.DUMMYFUNCTION("""COMPUTED_VALUE"""),91665.0)</f>
        <v>91665</v>
      </c>
      <c r="C566" s="189" t="str">
        <f>IFERROR(__xludf.DUMMYFUNCTION("""COMPUTED_VALUE"""),"Challengers League 2025 NORTH EAST: Split 3 - East Qualifier")</f>
        <v>Challengers League 2025 NORTH EAST: Split 3 - East Qualifier</v>
      </c>
      <c r="D566" s="189" t="str">
        <f>IFERROR(__xludf.DUMMYFUNCTION("""COMPUTED_VALUE"""),"Pearl")</f>
        <v>Pearl</v>
      </c>
      <c r="E566" s="189" t="str">
        <f>IFERROR(__xludf.DUMMYFUNCTION("""COMPUTED_VALUE"""),"Boars Gaming")</f>
        <v>Boars Gaming</v>
      </c>
      <c r="F566" s="189" t="str">
        <f>IFERROR(__xludf.DUMMYFUNCTION("""COMPUTED_VALUE"""),"Easties")</f>
        <v>Easties</v>
      </c>
      <c r="G566" s="189" t="str">
        <f>IFERROR(__xludf.DUMMYFUNCTION("""COMPUTED_VALUE"""),"Cypher,Sova,Astra,KAY/O,Neon")</f>
        <v>Cypher,Sova,Astra,KAY/O,Neon</v>
      </c>
      <c r="H566" s="189" t="str">
        <f>IFERROR(__xludf.DUMMYFUNCTION("""COMPUTED_VALUE"""),"Cypher,Sova,Astra,KAY/O,Neon")</f>
        <v>Cypher,Sova,Astra,KAY/O,Neon</v>
      </c>
      <c r="I566" s="189">
        <f>IFERROR(__xludf.DUMMYFUNCTION("""COMPUTED_VALUE"""),13.0)</f>
        <v>13</v>
      </c>
      <c r="J566" s="189">
        <f>IFERROR(__xludf.DUMMYFUNCTION("""COMPUTED_VALUE"""),6.0)</f>
        <v>6</v>
      </c>
      <c r="K566" s="189">
        <f>IFERROR(__xludf.DUMMYFUNCTION("""COMPUTED_VALUE"""),8.0)</f>
        <v>8</v>
      </c>
      <c r="L566" s="189">
        <f>IFERROR(__xludf.DUMMYFUNCTION("""COMPUTED_VALUE"""),4.0)</f>
        <v>4</v>
      </c>
      <c r="M566" s="189">
        <f>IFERROR(__xludf.DUMMYFUNCTION("""COMPUTED_VALUE"""),1.0)</f>
        <v>1</v>
      </c>
      <c r="N566" s="189">
        <f>IFERROR(__xludf.DUMMYFUNCTION("""COMPUTED_VALUE"""),0.0)</f>
        <v>0</v>
      </c>
      <c r="O566" s="189">
        <f>IFERROR(__xludf.DUMMYFUNCTION("""COMPUTED_VALUE"""),8.0)</f>
        <v>8</v>
      </c>
      <c r="P566" s="189">
        <f>IFERROR(__xludf.DUMMYFUNCTION("""COMPUTED_VALUE"""),4.0)</f>
        <v>4</v>
      </c>
      <c r="Q566" s="189">
        <f>IFERROR(__xludf.DUMMYFUNCTION("""COMPUTED_VALUE"""),5.0)</f>
        <v>5</v>
      </c>
      <c r="R566" s="189">
        <f>IFERROR(__xludf.DUMMYFUNCTION("""COMPUTED_VALUE"""),2.0)</f>
        <v>2</v>
      </c>
      <c r="S566" s="189">
        <f>IFERROR(__xludf.DUMMYFUNCTION("""COMPUTED_VALUE"""),1.0)</f>
        <v>1</v>
      </c>
      <c r="T566" s="189">
        <f>IFERROR(__xludf.DUMMYFUNCTION("""COMPUTED_VALUE"""),0.0)</f>
        <v>0</v>
      </c>
      <c r="U566" s="189">
        <f>IFERROR(__xludf.DUMMYFUNCTION("""COMPUTED_VALUE"""),2.0)</f>
        <v>2</v>
      </c>
      <c r="V566" s="189">
        <f>IFERROR(__xludf.DUMMYFUNCTION("""COMPUTED_VALUE"""),5.0)</f>
        <v>5</v>
      </c>
      <c r="W566" s="189">
        <f>IFERROR(__xludf.DUMMYFUNCTION("""COMPUTED_VALUE"""),4.0)</f>
        <v>4</v>
      </c>
      <c r="X566" s="189">
        <f>IFERROR(__xludf.DUMMYFUNCTION("""COMPUTED_VALUE"""),8.0)</f>
        <v>8</v>
      </c>
      <c r="Y566" s="208" t="str">
        <f>IFERROR(__xludf.DUMMYFUNCTION("""COMPUTED_VALUE"""),"2025-06-28T00:00:00.000Z")</f>
        <v>2025-06-28T00:00:00.000Z</v>
      </c>
      <c r="Z566" s="189" t="s">
        <v>82</v>
      </c>
      <c r="AA566" s="189" t="s">
        <v>181</v>
      </c>
    </row>
    <row r="567">
      <c r="A567" s="189">
        <f>IFERROR(__xludf.DUMMYFUNCTION("""COMPUTED_VALUE"""),207800.0)</f>
        <v>207800</v>
      </c>
      <c r="B567" s="189">
        <f>IFERROR(__xludf.DUMMYFUNCTION("""COMPUTED_VALUE"""),91580.0)</f>
        <v>91580</v>
      </c>
      <c r="C567" s="189" t="str">
        <f>IFERROR(__xludf.DUMMYFUNCTION("""COMPUTED_VALUE"""),"BtcTurk GameFest - Stage 3")</f>
        <v>BtcTurk GameFest - Stage 3</v>
      </c>
      <c r="D567" s="189" t="str">
        <f>IFERROR(__xludf.DUMMYFUNCTION("""COMPUTED_VALUE"""),"Sunset")</f>
        <v>Sunset</v>
      </c>
      <c r="E567" s="189" t="str">
        <f>IFERROR(__xludf.DUMMYFUNCTION("""COMPUTED_VALUE"""),"ULF Esports")</f>
        <v>ULF Esports</v>
      </c>
      <c r="F567" s="189" t="str">
        <f>IFERROR(__xludf.DUMMYFUNCTION("""COMPUTED_VALUE"""),"Natus Vincere")</f>
        <v>Natus Vincere</v>
      </c>
      <c r="G567" s="189" t="str">
        <f>IFERROR(__xludf.DUMMYFUNCTION("""COMPUTED_VALUE"""),"Breach,Sova,Omen,Neon,Vyse")</f>
        <v>Breach,Sova,Omen,Neon,Vyse</v>
      </c>
      <c r="H567" s="189" t="str">
        <f>IFERROR(__xludf.DUMMYFUNCTION("""COMPUTED_VALUE"""),"Cypher,Sova,Omen,KAY/O,Neon")</f>
        <v>Cypher,Sova,Omen,KAY/O,Neon</v>
      </c>
      <c r="I567" s="189">
        <f>IFERROR(__xludf.DUMMYFUNCTION("""COMPUTED_VALUE"""),3.0)</f>
        <v>3</v>
      </c>
      <c r="J567" s="189">
        <f>IFERROR(__xludf.DUMMYFUNCTION("""COMPUTED_VALUE"""),13.0)</f>
        <v>13</v>
      </c>
      <c r="K567" s="189">
        <f>IFERROR(__xludf.DUMMYFUNCTION("""COMPUTED_VALUE"""),3.0)</f>
        <v>3</v>
      </c>
      <c r="L567" s="189">
        <f>IFERROR(__xludf.DUMMYFUNCTION("""COMPUTED_VALUE"""),9.0)</f>
        <v>9</v>
      </c>
      <c r="M567" s="189">
        <f>IFERROR(__xludf.DUMMYFUNCTION("""COMPUTED_VALUE"""),0.0)</f>
        <v>0</v>
      </c>
      <c r="N567" s="189">
        <f>IFERROR(__xludf.DUMMYFUNCTION("""COMPUTED_VALUE"""),0.0)</f>
        <v>0</v>
      </c>
      <c r="O567" s="189">
        <f>IFERROR(__xludf.DUMMYFUNCTION("""COMPUTED_VALUE"""),3.0)</f>
        <v>3</v>
      </c>
      <c r="P567" s="189">
        <f>IFERROR(__xludf.DUMMYFUNCTION("""COMPUTED_VALUE"""),9.0)</f>
        <v>9</v>
      </c>
      <c r="Q567" s="189">
        <f>IFERROR(__xludf.DUMMYFUNCTION("""COMPUTED_VALUE"""),0.0)</f>
        <v>0</v>
      </c>
      <c r="R567" s="189">
        <f>IFERROR(__xludf.DUMMYFUNCTION("""COMPUTED_VALUE"""),4.0)</f>
        <v>4</v>
      </c>
      <c r="S567" s="189">
        <f>IFERROR(__xludf.DUMMYFUNCTION("""COMPUTED_VALUE"""),1.0)</f>
        <v>1</v>
      </c>
      <c r="T567" s="189">
        <f>IFERROR(__xludf.DUMMYFUNCTION("""COMPUTED_VALUE"""),1.0)</f>
        <v>1</v>
      </c>
      <c r="U567" s="189">
        <f>IFERROR(__xludf.DUMMYFUNCTION("""COMPUTED_VALUE"""),4.0)</f>
        <v>4</v>
      </c>
      <c r="V567" s="189">
        <f>IFERROR(__xludf.DUMMYFUNCTION("""COMPUTED_VALUE"""),0.0)</f>
        <v>0</v>
      </c>
      <c r="W567" s="189">
        <f>IFERROR(__xludf.DUMMYFUNCTION("""COMPUTED_VALUE"""),9.0)</f>
        <v>9</v>
      </c>
      <c r="X567" s="189">
        <f>IFERROR(__xludf.DUMMYFUNCTION("""COMPUTED_VALUE"""),3.0)</f>
        <v>3</v>
      </c>
      <c r="Y567" s="208" t="str">
        <f>IFERROR(__xludf.DUMMYFUNCTION("""COMPUTED_VALUE"""),"2025-06-28T00:00:00.000Z")</f>
        <v>2025-06-28T00:00:00.000Z</v>
      </c>
      <c r="Z567" s="189" t="s">
        <v>175</v>
      </c>
      <c r="AA567" s="189" t="s">
        <v>471</v>
      </c>
    </row>
    <row r="568">
      <c r="A568" s="189">
        <f>IFERROR(__xludf.DUMMYFUNCTION("""COMPUTED_VALUE"""),208056.0)</f>
        <v>208056</v>
      </c>
      <c r="B568" s="189">
        <f>IFERROR(__xludf.DUMMYFUNCTION("""COMPUTED_VALUE"""),91665.0)</f>
        <v>91665</v>
      </c>
      <c r="C568" s="189" t="str">
        <f>IFERROR(__xludf.DUMMYFUNCTION("""COMPUTED_VALUE"""),"Challengers League 2025 NORTH EAST: Split 3 - East Qualifier")</f>
        <v>Challengers League 2025 NORTH EAST: Split 3 - East Qualifier</v>
      </c>
      <c r="D568" s="189" t="str">
        <f>IFERROR(__xludf.DUMMYFUNCTION("""COMPUTED_VALUE"""),"Split")</f>
        <v>Split</v>
      </c>
      <c r="E568" s="189" t="str">
        <f>IFERROR(__xludf.DUMMYFUNCTION("""COMPUTED_VALUE"""),"Boars Gaming")</f>
        <v>Boars Gaming</v>
      </c>
      <c r="F568" s="189" t="str">
        <f>IFERROR(__xludf.DUMMYFUNCTION("""COMPUTED_VALUE"""),"Easties")</f>
        <v>Easties</v>
      </c>
      <c r="G568" s="189" t="str">
        <f>IFERROR(__xludf.DUMMYFUNCTION("""COMPUTED_VALUE"""),"Breach,Cypher,Omen,Neon,Tejo")</f>
        <v>Breach,Cypher,Omen,Neon,Tejo</v>
      </c>
      <c r="H568" s="189" t="str">
        <f>IFERROR(__xludf.DUMMYFUNCTION("""COMPUTED_VALUE"""),"Viper,Omen,Yoru,Fade,Vyse")</f>
        <v>Viper,Omen,Yoru,Fade,Vyse</v>
      </c>
      <c r="I568" s="189">
        <f>IFERROR(__xludf.DUMMYFUNCTION("""COMPUTED_VALUE"""),13.0)</f>
        <v>13</v>
      </c>
      <c r="J568" s="189">
        <f>IFERROR(__xludf.DUMMYFUNCTION("""COMPUTED_VALUE"""),15.0)</f>
        <v>15</v>
      </c>
      <c r="K568" s="189">
        <f>IFERROR(__xludf.DUMMYFUNCTION("""COMPUTED_VALUE"""),7.0)</f>
        <v>7</v>
      </c>
      <c r="L568" s="189">
        <f>IFERROR(__xludf.DUMMYFUNCTION("""COMPUTED_VALUE"""),5.0)</f>
        <v>5</v>
      </c>
      <c r="M568" s="189">
        <f>IFERROR(__xludf.DUMMYFUNCTION("""COMPUTED_VALUE"""),0.0)</f>
        <v>0</v>
      </c>
      <c r="N568" s="189">
        <f>IFERROR(__xludf.DUMMYFUNCTION("""COMPUTED_VALUE"""),1.0)</f>
        <v>1</v>
      </c>
      <c r="O568" s="189">
        <f>IFERROR(__xludf.DUMMYFUNCTION("""COMPUTED_VALUE"""),7.0)</f>
        <v>7</v>
      </c>
      <c r="P568" s="189">
        <f>IFERROR(__xludf.DUMMYFUNCTION("""COMPUTED_VALUE"""),7.0)</f>
        <v>7</v>
      </c>
      <c r="Q568" s="189">
        <f>IFERROR(__xludf.DUMMYFUNCTION("""COMPUTED_VALUE"""),6.0)</f>
        <v>6</v>
      </c>
      <c r="R568" s="189">
        <f>IFERROR(__xludf.DUMMYFUNCTION("""COMPUTED_VALUE"""),8.0)</f>
        <v>8</v>
      </c>
      <c r="S568" s="189">
        <f>IFERROR(__xludf.DUMMYFUNCTION("""COMPUTED_VALUE"""),0.0)</f>
        <v>0</v>
      </c>
      <c r="T568" s="189">
        <f>IFERROR(__xludf.DUMMYFUNCTION("""COMPUTED_VALUE"""),1.0)</f>
        <v>1</v>
      </c>
      <c r="U568" s="189">
        <f>IFERROR(__xludf.DUMMYFUNCTION("""COMPUTED_VALUE"""),8.0)</f>
        <v>8</v>
      </c>
      <c r="V568" s="189">
        <f>IFERROR(__xludf.DUMMYFUNCTION("""COMPUTED_VALUE"""),6.0)</f>
        <v>6</v>
      </c>
      <c r="W568" s="189">
        <f>IFERROR(__xludf.DUMMYFUNCTION("""COMPUTED_VALUE"""),7.0)</f>
        <v>7</v>
      </c>
      <c r="X568" s="189">
        <f>IFERROR(__xludf.DUMMYFUNCTION("""COMPUTED_VALUE"""),7.0)</f>
        <v>7</v>
      </c>
      <c r="Y568" s="208" t="str">
        <f>IFERROR(__xludf.DUMMYFUNCTION("""COMPUTED_VALUE"""),"2025-06-28T00:00:00.000Z")</f>
        <v>2025-06-28T00:00:00.000Z</v>
      </c>
      <c r="Z568" s="189" t="s">
        <v>83</v>
      </c>
      <c r="AA568" s="189" t="s">
        <v>475</v>
      </c>
    </row>
    <row r="569">
      <c r="A569" s="189">
        <f>IFERROR(__xludf.DUMMYFUNCTION("""COMPUTED_VALUE"""),208055.0)</f>
        <v>208055</v>
      </c>
      <c r="B569" s="189">
        <f>IFERROR(__xludf.DUMMYFUNCTION("""COMPUTED_VALUE"""),91665.0)</f>
        <v>91665</v>
      </c>
      <c r="C569" s="189" t="str">
        <f>IFERROR(__xludf.DUMMYFUNCTION("""COMPUTED_VALUE"""),"Challengers League 2025 NORTH EAST: Split 3 - East Qualifier")</f>
        <v>Challengers League 2025 NORTH EAST: Split 3 - East Qualifier</v>
      </c>
      <c r="D569" s="189" t="str">
        <f>IFERROR(__xludf.DUMMYFUNCTION("""COMPUTED_VALUE"""),"Lotus")</f>
        <v>Lotus</v>
      </c>
      <c r="E569" s="189" t="str">
        <f>IFERROR(__xludf.DUMMYFUNCTION("""COMPUTED_VALUE"""),"Boars Gaming")</f>
        <v>Boars Gaming</v>
      </c>
      <c r="F569" s="189" t="str">
        <f>IFERROR(__xludf.DUMMYFUNCTION("""COMPUTED_VALUE"""),"Easties")</f>
        <v>Easties</v>
      </c>
      <c r="G569" s="189" t="str">
        <f>IFERROR(__xludf.DUMMYFUNCTION("""COMPUTED_VALUE"""),"Breach,Cypher,Omen,Neon,Fade")</f>
        <v>Breach,Cypher,Omen,Neon,Fade</v>
      </c>
      <c r="H569" s="189" t="str">
        <f>IFERROR(__xludf.DUMMYFUNCTION("""COMPUTED_VALUE"""),"Breach,Sova,Viper,Omen,Neon")</f>
        <v>Breach,Sova,Viper,Omen,Neon</v>
      </c>
      <c r="I569" s="189">
        <f>IFERROR(__xludf.DUMMYFUNCTION("""COMPUTED_VALUE"""),13.0)</f>
        <v>13</v>
      </c>
      <c r="J569" s="189">
        <f>IFERROR(__xludf.DUMMYFUNCTION("""COMPUTED_VALUE"""),9.0)</f>
        <v>9</v>
      </c>
      <c r="K569" s="189">
        <f>IFERROR(__xludf.DUMMYFUNCTION("""COMPUTED_VALUE"""),7.0)</f>
        <v>7</v>
      </c>
      <c r="L569" s="189">
        <f>IFERROR(__xludf.DUMMYFUNCTION("""COMPUTED_VALUE"""),5.0)</f>
        <v>5</v>
      </c>
      <c r="M569" s="189">
        <f>IFERROR(__xludf.DUMMYFUNCTION("""COMPUTED_VALUE"""),0.0)</f>
        <v>0</v>
      </c>
      <c r="N569" s="189">
        <f>IFERROR(__xludf.DUMMYFUNCTION("""COMPUTED_VALUE"""),1.0)</f>
        <v>1</v>
      </c>
      <c r="O569" s="189">
        <f>IFERROR(__xludf.DUMMYFUNCTION("""COMPUTED_VALUE"""),7.0)</f>
        <v>7</v>
      </c>
      <c r="P569" s="189">
        <f>IFERROR(__xludf.DUMMYFUNCTION("""COMPUTED_VALUE"""),5.0)</f>
        <v>5</v>
      </c>
      <c r="Q569" s="189">
        <f>IFERROR(__xludf.DUMMYFUNCTION("""COMPUTED_VALUE"""),6.0)</f>
        <v>6</v>
      </c>
      <c r="R569" s="189">
        <f>IFERROR(__xludf.DUMMYFUNCTION("""COMPUTED_VALUE"""),4.0)</f>
        <v>4</v>
      </c>
      <c r="S569" s="189">
        <f>IFERROR(__xludf.DUMMYFUNCTION("""COMPUTED_VALUE"""),0.0)</f>
        <v>0</v>
      </c>
      <c r="T569" s="189">
        <f>IFERROR(__xludf.DUMMYFUNCTION("""COMPUTED_VALUE"""),1.0)</f>
        <v>1</v>
      </c>
      <c r="U569" s="189">
        <f>IFERROR(__xludf.DUMMYFUNCTION("""COMPUTED_VALUE"""),4.0)</f>
        <v>4</v>
      </c>
      <c r="V569" s="189">
        <f>IFERROR(__xludf.DUMMYFUNCTION("""COMPUTED_VALUE"""),6.0)</f>
        <v>6</v>
      </c>
      <c r="W569" s="189">
        <f>IFERROR(__xludf.DUMMYFUNCTION("""COMPUTED_VALUE"""),5.0)</f>
        <v>5</v>
      </c>
      <c r="X569" s="189">
        <f>IFERROR(__xludf.DUMMYFUNCTION("""COMPUTED_VALUE"""),7.0)</f>
        <v>7</v>
      </c>
      <c r="Y569" s="208" t="str">
        <f>IFERROR(__xludf.DUMMYFUNCTION("""COMPUTED_VALUE"""),"2025-06-28T00:00:00.000Z")</f>
        <v>2025-06-28T00:00:00.000Z</v>
      </c>
      <c r="Z569" s="189" t="s">
        <v>81</v>
      </c>
      <c r="AA569" s="189" t="s">
        <v>181</v>
      </c>
    </row>
    <row r="570">
      <c r="A570" s="189">
        <f>IFERROR(__xludf.DUMMYFUNCTION("""COMPUTED_VALUE"""),208047.0)</f>
        <v>208047</v>
      </c>
      <c r="B570" s="189">
        <f>IFERROR(__xludf.DUMMYFUNCTION("""COMPUTED_VALUE"""),91662.0)</f>
        <v>91662</v>
      </c>
      <c r="C570" s="189" t="str">
        <f>IFERROR(__xludf.DUMMYFUNCTION("""COMPUTED_VALUE"""),"Challengers League 2025 NORTH EAST: Split 3 - East Qualifier")</f>
        <v>Challengers League 2025 NORTH EAST: Split 3 - East Qualifier</v>
      </c>
      <c r="D570" s="189" t="str">
        <f>IFERROR(__xludf.DUMMYFUNCTION("""COMPUTED_VALUE"""),"Haven")</f>
        <v>Haven</v>
      </c>
      <c r="E570" s="189" t="str">
        <f>IFERROR(__xludf.DUMMYFUNCTION("""COMPUTED_VALUE"""),"Boars Gaming")</f>
        <v>Boars Gaming</v>
      </c>
      <c r="F570" s="189" t="str">
        <f>IFERROR(__xludf.DUMMYFUNCTION("""COMPUTED_VALUE"""),"UNIWAY")</f>
        <v>UNIWAY</v>
      </c>
      <c r="G570" s="189" t="str">
        <f>IFERROR(__xludf.DUMMYFUNCTION("""COMPUTED_VALUE"""),"Breach,Cypher,Sova,Omen,Neon")</f>
        <v>Breach,Cypher,Sova,Omen,Neon</v>
      </c>
      <c r="H570" s="189" t="str">
        <f>IFERROR(__xludf.DUMMYFUNCTION("""COMPUTED_VALUE"""),"Breach,Sova,Killjoy,Omen,Waylay")</f>
        <v>Breach,Sova,Killjoy,Omen,Waylay</v>
      </c>
      <c r="I570" s="189">
        <f>IFERROR(__xludf.DUMMYFUNCTION("""COMPUTED_VALUE"""),13.0)</f>
        <v>13</v>
      </c>
      <c r="J570" s="189">
        <f>IFERROR(__xludf.DUMMYFUNCTION("""COMPUTED_VALUE"""),3.0)</f>
        <v>3</v>
      </c>
      <c r="K570" s="189">
        <f>IFERROR(__xludf.DUMMYFUNCTION("""COMPUTED_VALUE"""),9.0)</f>
        <v>9</v>
      </c>
      <c r="L570" s="189">
        <f>IFERROR(__xludf.DUMMYFUNCTION("""COMPUTED_VALUE"""),3.0)</f>
        <v>3</v>
      </c>
      <c r="M570" s="189">
        <f>IFERROR(__xludf.DUMMYFUNCTION("""COMPUTED_VALUE"""),0.0)</f>
        <v>0</v>
      </c>
      <c r="N570" s="189">
        <f>IFERROR(__xludf.DUMMYFUNCTION("""COMPUTED_VALUE"""),1.0)</f>
        <v>1</v>
      </c>
      <c r="O570" s="189">
        <f>IFERROR(__xludf.DUMMYFUNCTION("""COMPUTED_VALUE"""),9.0)</f>
        <v>9</v>
      </c>
      <c r="P570" s="189">
        <f>IFERROR(__xludf.DUMMYFUNCTION("""COMPUTED_VALUE"""),3.0)</f>
        <v>3</v>
      </c>
      <c r="Q570" s="189">
        <f>IFERROR(__xludf.DUMMYFUNCTION("""COMPUTED_VALUE"""),4.0)</f>
        <v>4</v>
      </c>
      <c r="R570" s="189">
        <f>IFERROR(__xludf.DUMMYFUNCTION("""COMPUTED_VALUE"""),0.0)</f>
        <v>0</v>
      </c>
      <c r="S570" s="189">
        <f>IFERROR(__xludf.DUMMYFUNCTION("""COMPUTED_VALUE"""),0.0)</f>
        <v>0</v>
      </c>
      <c r="T570" s="189">
        <f>IFERROR(__xludf.DUMMYFUNCTION("""COMPUTED_VALUE"""),1.0)</f>
        <v>1</v>
      </c>
      <c r="U570" s="189">
        <f>IFERROR(__xludf.DUMMYFUNCTION("""COMPUTED_VALUE"""),0.0)</f>
        <v>0</v>
      </c>
      <c r="V570" s="189">
        <f>IFERROR(__xludf.DUMMYFUNCTION("""COMPUTED_VALUE"""),4.0)</f>
        <v>4</v>
      </c>
      <c r="W570" s="189">
        <f>IFERROR(__xludf.DUMMYFUNCTION("""COMPUTED_VALUE"""),3.0)</f>
        <v>3</v>
      </c>
      <c r="X570" s="189">
        <f>IFERROR(__xludf.DUMMYFUNCTION("""COMPUTED_VALUE"""),9.0)</f>
        <v>9</v>
      </c>
      <c r="Y570" s="208" t="str">
        <f>IFERROR(__xludf.DUMMYFUNCTION("""COMPUTED_VALUE"""),"2025-06-27T00:00:00.000Z")</f>
        <v>2025-06-27T00:00:00.000Z</v>
      </c>
      <c r="Z570" s="189" t="s">
        <v>79</v>
      </c>
      <c r="AA570" s="189" t="s">
        <v>181</v>
      </c>
    </row>
    <row r="571">
      <c r="A571" s="189">
        <f>IFERROR(__xludf.DUMMYFUNCTION("""COMPUTED_VALUE"""),208046.0)</f>
        <v>208046</v>
      </c>
      <c r="B571" s="189">
        <f>IFERROR(__xludf.DUMMYFUNCTION("""COMPUTED_VALUE"""),91662.0)</f>
        <v>91662</v>
      </c>
      <c r="C571" s="189" t="str">
        <f>IFERROR(__xludf.DUMMYFUNCTION("""COMPUTED_VALUE"""),"Challengers League 2025 NORTH EAST: Split 3 - East Qualifier")</f>
        <v>Challengers League 2025 NORTH EAST: Split 3 - East Qualifier</v>
      </c>
      <c r="D571" s="189" t="str">
        <f>IFERROR(__xludf.DUMMYFUNCTION("""COMPUTED_VALUE"""),"Lotus")</f>
        <v>Lotus</v>
      </c>
      <c r="E571" s="189" t="str">
        <f>IFERROR(__xludf.DUMMYFUNCTION("""COMPUTED_VALUE"""),"Boars Gaming")</f>
        <v>Boars Gaming</v>
      </c>
      <c r="F571" s="189" t="str">
        <f>IFERROR(__xludf.DUMMYFUNCTION("""COMPUTED_VALUE"""),"UNIWAY")</f>
        <v>UNIWAY</v>
      </c>
      <c r="G571" s="189" t="str">
        <f>IFERROR(__xludf.DUMMYFUNCTION("""COMPUTED_VALUE"""),"Breach,Cypher,Omen,Neon,Fade")</f>
        <v>Breach,Cypher,Omen,Neon,Fade</v>
      </c>
      <c r="H571" s="189" t="str">
        <f>IFERROR(__xludf.DUMMYFUNCTION("""COMPUTED_VALUE"""),"Breach,Raze,Omen,Fade,Clove")</f>
        <v>Breach,Raze,Omen,Fade,Clove</v>
      </c>
      <c r="I571" s="189">
        <f>IFERROR(__xludf.DUMMYFUNCTION("""COMPUTED_VALUE"""),14.0)</f>
        <v>14</v>
      </c>
      <c r="J571" s="189">
        <f>IFERROR(__xludf.DUMMYFUNCTION("""COMPUTED_VALUE"""),12.0)</f>
        <v>12</v>
      </c>
      <c r="K571" s="189">
        <f>IFERROR(__xludf.DUMMYFUNCTION("""COMPUTED_VALUE"""),4.0)</f>
        <v>4</v>
      </c>
      <c r="L571" s="189">
        <f>IFERROR(__xludf.DUMMYFUNCTION("""COMPUTED_VALUE"""),8.0)</f>
        <v>8</v>
      </c>
      <c r="M571" s="189">
        <f>IFERROR(__xludf.DUMMYFUNCTION("""COMPUTED_VALUE"""),0.0)</f>
        <v>0</v>
      </c>
      <c r="N571" s="189">
        <f>IFERROR(__xludf.DUMMYFUNCTION("""COMPUTED_VALUE"""),0.0)</f>
        <v>0</v>
      </c>
      <c r="O571" s="189">
        <f>IFERROR(__xludf.DUMMYFUNCTION("""COMPUTED_VALUE"""),9.0)</f>
        <v>9</v>
      </c>
      <c r="P571" s="189">
        <f>IFERROR(__xludf.DUMMYFUNCTION("""COMPUTED_VALUE"""),4.0)</f>
        <v>4</v>
      </c>
      <c r="Q571" s="189">
        <f>IFERROR(__xludf.DUMMYFUNCTION("""COMPUTED_VALUE"""),5.0)</f>
        <v>5</v>
      </c>
      <c r="R571" s="189">
        <f>IFERROR(__xludf.DUMMYFUNCTION("""COMPUTED_VALUE"""),8.0)</f>
        <v>8</v>
      </c>
      <c r="S571" s="189">
        <f>IFERROR(__xludf.DUMMYFUNCTION("""COMPUTED_VALUE"""),1.0)</f>
        <v>1</v>
      </c>
      <c r="T571" s="189">
        <f>IFERROR(__xludf.DUMMYFUNCTION("""COMPUTED_VALUE"""),1.0)</f>
        <v>1</v>
      </c>
      <c r="U571" s="189">
        <f>IFERROR(__xludf.DUMMYFUNCTION("""COMPUTED_VALUE"""),8.0)</f>
        <v>8</v>
      </c>
      <c r="V571" s="189">
        <f>IFERROR(__xludf.DUMMYFUNCTION("""COMPUTED_VALUE"""),5.0)</f>
        <v>5</v>
      </c>
      <c r="W571" s="189">
        <f>IFERROR(__xludf.DUMMYFUNCTION("""COMPUTED_VALUE"""),4.0)</f>
        <v>4</v>
      </c>
      <c r="X571" s="189">
        <f>IFERROR(__xludf.DUMMYFUNCTION("""COMPUTED_VALUE"""),9.0)</f>
        <v>9</v>
      </c>
      <c r="Y571" s="208" t="str">
        <f>IFERROR(__xludf.DUMMYFUNCTION("""COMPUTED_VALUE"""),"2025-06-27T00:00:00.000Z")</f>
        <v>2025-06-27T00:00:00.000Z</v>
      </c>
      <c r="Z571" s="189" t="s">
        <v>81</v>
      </c>
      <c r="AA571" s="189" t="s">
        <v>181</v>
      </c>
    </row>
    <row r="572">
      <c r="A572" s="189">
        <f>IFERROR(__xludf.DUMMYFUNCTION("""COMPUTED_VALUE"""),208033.0)</f>
        <v>208033</v>
      </c>
      <c r="B572" s="189">
        <f>IFERROR(__xludf.DUMMYFUNCTION("""COMPUTED_VALUE"""),91657.0)</f>
        <v>91657</v>
      </c>
      <c r="C572" s="189" t="str">
        <f>IFERROR(__xludf.DUMMYFUNCTION("""COMPUTED_VALUE"""),"Challengers League 2025 NORTH EAST: Split 3 - East Qualifier")</f>
        <v>Challengers League 2025 NORTH EAST: Split 3 - East Qualifier</v>
      </c>
      <c r="D572" s="189" t="str">
        <f>IFERROR(__xludf.DUMMYFUNCTION("""COMPUTED_VALUE"""),"Sunset")</f>
        <v>Sunset</v>
      </c>
      <c r="E572" s="189" t="str">
        <f>IFERROR(__xludf.DUMMYFUNCTION("""COMPUTED_VALUE"""),"STORMBORN GG")</f>
        <v>STORMBORN GG</v>
      </c>
      <c r="F572" s="189" t="str">
        <f>IFERROR(__xludf.DUMMYFUNCTION("""COMPUTED_VALUE"""),"Boars Gaming")</f>
        <v>Boars Gaming</v>
      </c>
      <c r="G572" s="189" t="str">
        <f>IFERROR(__xludf.DUMMYFUNCTION("""COMPUTED_VALUE"""),"Raze,Cypher,Sova,Omen,Yoru")</f>
        <v>Raze,Cypher,Sova,Omen,Yoru</v>
      </c>
      <c r="H572" s="189" t="str">
        <f>IFERROR(__xludf.DUMMYFUNCTION("""COMPUTED_VALUE"""),"Cypher,Sova,Omen,KAY/O,Neon")</f>
        <v>Cypher,Sova,Omen,KAY/O,Neon</v>
      </c>
      <c r="I572" s="189">
        <f>IFERROR(__xludf.DUMMYFUNCTION("""COMPUTED_VALUE"""),7.0)</f>
        <v>7</v>
      </c>
      <c r="J572" s="189">
        <f>IFERROR(__xludf.DUMMYFUNCTION("""COMPUTED_VALUE"""),13.0)</f>
        <v>13</v>
      </c>
      <c r="K572" s="189">
        <f>IFERROR(__xludf.DUMMYFUNCTION("""COMPUTED_VALUE"""),5.0)</f>
        <v>5</v>
      </c>
      <c r="L572" s="189">
        <f>IFERROR(__xludf.DUMMYFUNCTION("""COMPUTED_VALUE"""),7.0)</f>
        <v>7</v>
      </c>
      <c r="M572" s="189">
        <f>IFERROR(__xludf.DUMMYFUNCTION("""COMPUTED_VALUE"""),0.0)</f>
        <v>0</v>
      </c>
      <c r="N572" s="189">
        <f>IFERROR(__xludf.DUMMYFUNCTION("""COMPUTED_VALUE"""),1.0)</f>
        <v>1</v>
      </c>
      <c r="O572" s="189">
        <f>IFERROR(__xludf.DUMMYFUNCTION("""COMPUTED_VALUE"""),2.0)</f>
        <v>2</v>
      </c>
      <c r="P572" s="189">
        <f>IFERROR(__xludf.DUMMYFUNCTION("""COMPUTED_VALUE"""),6.0)</f>
        <v>6</v>
      </c>
      <c r="Q572" s="189">
        <f>IFERROR(__xludf.DUMMYFUNCTION("""COMPUTED_VALUE"""),5.0)</f>
        <v>5</v>
      </c>
      <c r="R572" s="189">
        <f>IFERROR(__xludf.DUMMYFUNCTION("""COMPUTED_VALUE"""),7.0)</f>
        <v>7</v>
      </c>
      <c r="S572" s="189">
        <f>IFERROR(__xludf.DUMMYFUNCTION("""COMPUTED_VALUE"""),0.0)</f>
        <v>0</v>
      </c>
      <c r="T572" s="189">
        <f>IFERROR(__xludf.DUMMYFUNCTION("""COMPUTED_VALUE"""),1.0)</f>
        <v>1</v>
      </c>
      <c r="U572" s="189">
        <f>IFERROR(__xludf.DUMMYFUNCTION("""COMPUTED_VALUE"""),7.0)</f>
        <v>7</v>
      </c>
      <c r="V572" s="189">
        <f>IFERROR(__xludf.DUMMYFUNCTION("""COMPUTED_VALUE"""),5.0)</f>
        <v>5</v>
      </c>
      <c r="W572" s="189">
        <f>IFERROR(__xludf.DUMMYFUNCTION("""COMPUTED_VALUE"""),6.0)</f>
        <v>6</v>
      </c>
      <c r="X572" s="189">
        <f>IFERROR(__xludf.DUMMYFUNCTION("""COMPUTED_VALUE"""),2.0)</f>
        <v>2</v>
      </c>
      <c r="Y572" s="208" t="str">
        <f>IFERROR(__xludf.DUMMYFUNCTION("""COMPUTED_VALUE"""),"2025-06-27T00:00:00.000Z")</f>
        <v>2025-06-27T00:00:00.000Z</v>
      </c>
      <c r="Z572" s="189" t="s">
        <v>584</v>
      </c>
      <c r="AA572" s="189" t="s">
        <v>181</v>
      </c>
    </row>
    <row r="573">
      <c r="A573" s="189">
        <f>IFERROR(__xludf.DUMMYFUNCTION("""COMPUTED_VALUE"""),208032.0)</f>
        <v>208032</v>
      </c>
      <c r="B573" s="189">
        <f>IFERROR(__xludf.DUMMYFUNCTION("""COMPUTED_VALUE"""),91657.0)</f>
        <v>91657</v>
      </c>
      <c r="C573" s="189" t="str">
        <f>IFERROR(__xludf.DUMMYFUNCTION("""COMPUTED_VALUE"""),"Challengers League 2025 NORTH EAST: Split 3 - East Qualifier")</f>
        <v>Challengers League 2025 NORTH EAST: Split 3 - East Qualifier</v>
      </c>
      <c r="D573" s="189" t="str">
        <f>IFERROR(__xludf.DUMMYFUNCTION("""COMPUTED_VALUE"""),"Haven")</f>
        <v>Haven</v>
      </c>
      <c r="E573" s="189" t="str">
        <f>IFERROR(__xludf.DUMMYFUNCTION("""COMPUTED_VALUE"""),"STORMBORN GG")</f>
        <v>STORMBORN GG</v>
      </c>
      <c r="F573" s="189" t="str">
        <f>IFERROR(__xludf.DUMMYFUNCTION("""COMPUTED_VALUE"""),"Boars Gaming")</f>
        <v>Boars Gaming</v>
      </c>
      <c r="G573" s="189" t="str">
        <f>IFERROR(__xludf.DUMMYFUNCTION("""COMPUTED_VALUE"""),"Cypher,Sova,Reyna,Omen,Jett")</f>
        <v>Cypher,Sova,Reyna,Omen,Jett</v>
      </c>
      <c r="H573" s="189" t="str">
        <f>IFERROR(__xludf.DUMMYFUNCTION("""COMPUTED_VALUE"""),"Breach,Cypher,Sova,Omen,Neon")</f>
        <v>Breach,Cypher,Sova,Omen,Neon</v>
      </c>
      <c r="I573" s="189">
        <f>IFERROR(__xludf.DUMMYFUNCTION("""COMPUTED_VALUE"""),4.0)</f>
        <v>4</v>
      </c>
      <c r="J573" s="189">
        <f>IFERROR(__xludf.DUMMYFUNCTION("""COMPUTED_VALUE"""),13.0)</f>
        <v>13</v>
      </c>
      <c r="K573" s="189">
        <f>IFERROR(__xludf.DUMMYFUNCTION("""COMPUTED_VALUE"""),4.0)</f>
        <v>4</v>
      </c>
      <c r="L573" s="189">
        <f>IFERROR(__xludf.DUMMYFUNCTION("""COMPUTED_VALUE"""),8.0)</f>
        <v>8</v>
      </c>
      <c r="M573" s="189">
        <f>IFERROR(__xludf.DUMMYFUNCTION("""COMPUTED_VALUE"""),0.0)</f>
        <v>0</v>
      </c>
      <c r="N573" s="189">
        <f>IFERROR(__xludf.DUMMYFUNCTION("""COMPUTED_VALUE"""),0.0)</f>
        <v>0</v>
      </c>
      <c r="O573" s="189">
        <f>IFERROR(__xludf.DUMMYFUNCTION("""COMPUTED_VALUE"""),0.0)</f>
        <v>0</v>
      </c>
      <c r="P573" s="189">
        <f>IFERROR(__xludf.DUMMYFUNCTION("""COMPUTED_VALUE"""),5.0)</f>
        <v>5</v>
      </c>
      <c r="Q573" s="189">
        <f>IFERROR(__xludf.DUMMYFUNCTION("""COMPUTED_VALUE"""),4.0)</f>
        <v>4</v>
      </c>
      <c r="R573" s="189">
        <f>IFERROR(__xludf.DUMMYFUNCTION("""COMPUTED_VALUE"""),8.0)</f>
        <v>8</v>
      </c>
      <c r="S573" s="189">
        <f>IFERROR(__xludf.DUMMYFUNCTION("""COMPUTED_VALUE"""),1.0)</f>
        <v>1</v>
      </c>
      <c r="T573" s="189">
        <f>IFERROR(__xludf.DUMMYFUNCTION("""COMPUTED_VALUE"""),1.0)</f>
        <v>1</v>
      </c>
      <c r="U573" s="189">
        <f>IFERROR(__xludf.DUMMYFUNCTION("""COMPUTED_VALUE"""),8.0)</f>
        <v>8</v>
      </c>
      <c r="V573" s="189">
        <f>IFERROR(__xludf.DUMMYFUNCTION("""COMPUTED_VALUE"""),4.0)</f>
        <v>4</v>
      </c>
      <c r="W573" s="189">
        <f>IFERROR(__xludf.DUMMYFUNCTION("""COMPUTED_VALUE"""),5.0)</f>
        <v>5</v>
      </c>
      <c r="X573" s="189">
        <f>IFERROR(__xludf.DUMMYFUNCTION("""COMPUTED_VALUE"""),0.0)</f>
        <v>0</v>
      </c>
      <c r="Y573" s="208" t="str">
        <f>IFERROR(__xludf.DUMMYFUNCTION("""COMPUTED_VALUE"""),"2025-06-27T00:00:00.000Z")</f>
        <v>2025-06-27T00:00:00.000Z</v>
      </c>
      <c r="Z573" s="189" t="s">
        <v>585</v>
      </c>
      <c r="AA573" s="189" t="s">
        <v>181</v>
      </c>
    </row>
    <row r="574">
      <c r="A574" s="189">
        <f>IFERROR(__xludf.DUMMYFUNCTION("""COMPUTED_VALUE"""),208031.0)</f>
        <v>208031</v>
      </c>
      <c r="B574" s="189">
        <f>IFERROR(__xludf.DUMMYFUNCTION("""COMPUTED_VALUE"""),91657.0)</f>
        <v>91657</v>
      </c>
      <c r="C574" s="189" t="str">
        <f>IFERROR(__xludf.DUMMYFUNCTION("""COMPUTED_VALUE"""),"Challengers League 2025 NORTH EAST: Split 3 - East Qualifier")</f>
        <v>Challengers League 2025 NORTH EAST: Split 3 - East Qualifier</v>
      </c>
      <c r="D574" s="189" t="str">
        <f>IFERROR(__xludf.DUMMYFUNCTION("""COMPUTED_VALUE"""),"Ascent")</f>
        <v>Ascent</v>
      </c>
      <c r="E574" s="189" t="str">
        <f>IFERROR(__xludf.DUMMYFUNCTION("""COMPUTED_VALUE"""),"STORMBORN GG")</f>
        <v>STORMBORN GG</v>
      </c>
      <c r="F574" s="189" t="str">
        <f>IFERROR(__xludf.DUMMYFUNCTION("""COMPUTED_VALUE"""),"Boars Gaming")</f>
        <v>Boars Gaming</v>
      </c>
      <c r="G574" s="189" t="str">
        <f>IFERROR(__xludf.DUMMYFUNCTION("""COMPUTED_VALUE"""),"Cypher,Sova,Phoenix,Omen,Jett")</f>
        <v>Cypher,Sova,Phoenix,Omen,Jett</v>
      </c>
      <c r="H574" s="189" t="str">
        <f>IFERROR(__xludf.DUMMYFUNCTION("""COMPUTED_VALUE"""),"Cypher,Sage,Omen,Yoru,Fade")</f>
        <v>Cypher,Sage,Omen,Yoru,Fade</v>
      </c>
      <c r="I574" s="189">
        <f>IFERROR(__xludf.DUMMYFUNCTION("""COMPUTED_VALUE"""),13.0)</f>
        <v>13</v>
      </c>
      <c r="J574" s="189">
        <f>IFERROR(__xludf.DUMMYFUNCTION("""COMPUTED_VALUE"""),9.0)</f>
        <v>9</v>
      </c>
      <c r="K574" s="189">
        <f>IFERROR(__xludf.DUMMYFUNCTION("""COMPUTED_VALUE"""),4.0)</f>
        <v>4</v>
      </c>
      <c r="L574" s="189">
        <f>IFERROR(__xludf.DUMMYFUNCTION("""COMPUTED_VALUE"""),8.0)</f>
        <v>8</v>
      </c>
      <c r="M574" s="189">
        <f>IFERROR(__xludf.DUMMYFUNCTION("""COMPUTED_VALUE"""),0.0)</f>
        <v>0</v>
      </c>
      <c r="N574" s="189">
        <f>IFERROR(__xludf.DUMMYFUNCTION("""COMPUTED_VALUE"""),1.0)</f>
        <v>1</v>
      </c>
      <c r="O574" s="189">
        <f>IFERROR(__xludf.DUMMYFUNCTION("""COMPUTED_VALUE"""),4.0)</f>
        <v>4</v>
      </c>
      <c r="P574" s="189">
        <f>IFERROR(__xludf.DUMMYFUNCTION("""COMPUTED_VALUE"""),8.0)</f>
        <v>8</v>
      </c>
      <c r="Q574" s="189">
        <f>IFERROR(__xludf.DUMMYFUNCTION("""COMPUTED_VALUE"""),9.0)</f>
        <v>9</v>
      </c>
      <c r="R574" s="189">
        <f>IFERROR(__xludf.DUMMYFUNCTION("""COMPUTED_VALUE"""),1.0)</f>
        <v>1</v>
      </c>
      <c r="S574" s="189">
        <f>IFERROR(__xludf.DUMMYFUNCTION("""COMPUTED_VALUE"""),0.0)</f>
        <v>0</v>
      </c>
      <c r="T574" s="189">
        <f>IFERROR(__xludf.DUMMYFUNCTION("""COMPUTED_VALUE"""),1.0)</f>
        <v>1</v>
      </c>
      <c r="U574" s="189">
        <f>IFERROR(__xludf.DUMMYFUNCTION("""COMPUTED_VALUE"""),1.0)</f>
        <v>1</v>
      </c>
      <c r="V574" s="189">
        <f>IFERROR(__xludf.DUMMYFUNCTION("""COMPUTED_VALUE"""),9.0)</f>
        <v>9</v>
      </c>
      <c r="W574" s="189">
        <f>IFERROR(__xludf.DUMMYFUNCTION("""COMPUTED_VALUE"""),8.0)</f>
        <v>8</v>
      </c>
      <c r="X574" s="189">
        <f>IFERROR(__xludf.DUMMYFUNCTION("""COMPUTED_VALUE"""),4.0)</f>
        <v>4</v>
      </c>
      <c r="Y574" s="208" t="str">
        <f>IFERROR(__xludf.DUMMYFUNCTION("""COMPUTED_VALUE"""),"2025-06-27T00:00:00.000Z")</f>
        <v>2025-06-27T00:00:00.000Z</v>
      </c>
      <c r="Z574" s="189" t="s">
        <v>586</v>
      </c>
      <c r="AA574" s="189" t="s">
        <v>479</v>
      </c>
    </row>
    <row r="575">
      <c r="A575" s="189">
        <f>IFERROR(__xludf.DUMMYFUNCTION("""COMPUTED_VALUE"""),204952.0)</f>
        <v>204952</v>
      </c>
      <c r="B575" s="189">
        <f>IFERROR(__xludf.DUMMYFUNCTION("""COMPUTED_VALUE"""),90469.0)</f>
        <v>90469</v>
      </c>
      <c r="C575" s="189" t="str">
        <f>IFERROR(__xludf.DUMMYFUNCTION("""COMPUTED_VALUE"""),"Challengers League 2025 MENA: Resilience - GPI - Split 2 - Group Stage")</f>
        <v>Challengers League 2025 MENA: Resilience - GPI - Split 2 - Group Stage</v>
      </c>
      <c r="D575" s="189" t="str">
        <f>IFERROR(__xludf.DUMMYFUNCTION("""COMPUTED_VALUE"""),"Lotus")</f>
        <v>Lotus</v>
      </c>
      <c r="E575" s="189" t="str">
        <f>IFERROR(__xludf.DUMMYFUNCTION("""COMPUTED_VALUE"""),"Fraggerz")</f>
        <v>Fraggerz</v>
      </c>
      <c r="F575" s="189" t="str">
        <f>IFERROR(__xludf.DUMMYFUNCTION("""COMPUTED_VALUE"""),"Twisted Minds Esports")</f>
        <v>Twisted Minds Esports</v>
      </c>
      <c r="G575" s="189" t="str">
        <f>IFERROR(__xludf.DUMMYFUNCTION("""COMPUTED_VALUE"""),"Breach,Omen,Jett,Skye,Vyse")</f>
        <v>Breach,Omen,Jett,Skye,Vyse</v>
      </c>
      <c r="H575" s="189" t="str">
        <f>IFERROR(__xludf.DUMMYFUNCTION("""COMPUTED_VALUE"""),"Raze,Killjoy,Viper,Omen,Fade")</f>
        <v>Raze,Killjoy,Viper,Omen,Fade</v>
      </c>
      <c r="I575" s="189">
        <f>IFERROR(__xludf.DUMMYFUNCTION("""COMPUTED_VALUE"""),4.0)</f>
        <v>4</v>
      </c>
      <c r="J575" s="189">
        <f>IFERROR(__xludf.DUMMYFUNCTION("""COMPUTED_VALUE"""),13.0)</f>
        <v>13</v>
      </c>
      <c r="K575" s="189">
        <f>IFERROR(__xludf.DUMMYFUNCTION("""COMPUTED_VALUE"""),4.0)</f>
        <v>4</v>
      </c>
      <c r="L575" s="189">
        <f>IFERROR(__xludf.DUMMYFUNCTION("""COMPUTED_VALUE"""),8.0)</f>
        <v>8</v>
      </c>
      <c r="M575" s="189">
        <f>IFERROR(__xludf.DUMMYFUNCTION("""COMPUTED_VALUE"""),0.0)</f>
        <v>0</v>
      </c>
      <c r="N575" s="189">
        <f>IFERROR(__xludf.DUMMYFUNCTION("""COMPUTED_VALUE"""),0.0)</f>
        <v>0</v>
      </c>
      <c r="O575" s="189">
        <f>IFERROR(__xludf.DUMMYFUNCTION("""COMPUTED_VALUE"""),0.0)</f>
        <v>0</v>
      </c>
      <c r="P575" s="189">
        <f>IFERROR(__xludf.DUMMYFUNCTION("""COMPUTED_VALUE"""),5.0)</f>
        <v>5</v>
      </c>
      <c r="Q575" s="189">
        <f>IFERROR(__xludf.DUMMYFUNCTION("""COMPUTED_VALUE"""),4.0)</f>
        <v>4</v>
      </c>
      <c r="R575" s="189">
        <f>IFERROR(__xludf.DUMMYFUNCTION("""COMPUTED_VALUE"""),8.0)</f>
        <v>8</v>
      </c>
      <c r="S575" s="189">
        <f>IFERROR(__xludf.DUMMYFUNCTION("""COMPUTED_VALUE"""),1.0)</f>
        <v>1</v>
      </c>
      <c r="T575" s="189">
        <f>IFERROR(__xludf.DUMMYFUNCTION("""COMPUTED_VALUE"""),1.0)</f>
        <v>1</v>
      </c>
      <c r="U575" s="189">
        <f>IFERROR(__xludf.DUMMYFUNCTION("""COMPUTED_VALUE"""),8.0)</f>
        <v>8</v>
      </c>
      <c r="V575" s="189">
        <f>IFERROR(__xludf.DUMMYFUNCTION("""COMPUTED_VALUE"""),4.0)</f>
        <v>4</v>
      </c>
      <c r="W575" s="189">
        <f>IFERROR(__xludf.DUMMYFUNCTION("""COMPUTED_VALUE"""),5.0)</f>
        <v>5</v>
      </c>
      <c r="X575" s="189">
        <f>IFERROR(__xludf.DUMMYFUNCTION("""COMPUTED_VALUE"""),0.0)</f>
        <v>0</v>
      </c>
      <c r="Y575" s="208" t="str">
        <f>IFERROR(__xludf.DUMMYFUNCTION("""COMPUTED_VALUE"""),"2025-06-22T00:00:00.000Z")</f>
        <v>2025-06-22T00:00:00.000Z</v>
      </c>
      <c r="Z575" s="189" t="s">
        <v>587</v>
      </c>
      <c r="AA575" s="189" t="s">
        <v>184</v>
      </c>
    </row>
    <row r="576">
      <c r="A576" s="189">
        <f>IFERROR(__xludf.DUMMYFUNCTION("""COMPUTED_VALUE"""),204951.0)</f>
        <v>204951</v>
      </c>
      <c r="B576" s="189">
        <f>IFERROR(__xludf.DUMMYFUNCTION("""COMPUTED_VALUE"""),90469.0)</f>
        <v>90469</v>
      </c>
      <c r="C576" s="189" t="str">
        <f>IFERROR(__xludf.DUMMYFUNCTION("""COMPUTED_VALUE"""),"Challengers League 2025 MENA: Resilience - GPI - Split 2 - Group Stage")</f>
        <v>Challengers League 2025 MENA: Resilience - GPI - Split 2 - Group Stage</v>
      </c>
      <c r="D576" s="189" t="str">
        <f>IFERROR(__xludf.DUMMYFUNCTION("""COMPUTED_VALUE"""),"Haven")</f>
        <v>Haven</v>
      </c>
      <c r="E576" s="189" t="str">
        <f>IFERROR(__xludf.DUMMYFUNCTION("""COMPUTED_VALUE"""),"Fraggerz")</f>
        <v>Fraggerz</v>
      </c>
      <c r="F576" s="189" t="str">
        <f>IFERROR(__xludf.DUMMYFUNCTION("""COMPUTED_VALUE"""),"Twisted Minds Esports")</f>
        <v>Twisted Minds Esports</v>
      </c>
      <c r="G576" s="189" t="str">
        <f>IFERROR(__xludf.DUMMYFUNCTION("""COMPUTED_VALUE"""),"Raze,Cypher,Sova,Omen,Jett")</f>
        <v>Raze,Cypher,Sova,Omen,Jett</v>
      </c>
      <c r="H576" s="189" t="str">
        <f>IFERROR(__xludf.DUMMYFUNCTION("""COMPUTED_VALUE"""),"Breach,Cypher,Sova,Omen,Jett")</f>
        <v>Breach,Cypher,Sova,Omen,Jett</v>
      </c>
      <c r="I576" s="189">
        <f>IFERROR(__xludf.DUMMYFUNCTION("""COMPUTED_VALUE"""),7.0)</f>
        <v>7</v>
      </c>
      <c r="J576" s="189">
        <f>IFERROR(__xludf.DUMMYFUNCTION("""COMPUTED_VALUE"""),13.0)</f>
        <v>13</v>
      </c>
      <c r="K576" s="189">
        <f>IFERROR(__xludf.DUMMYFUNCTION("""COMPUTED_VALUE"""),5.0)</f>
        <v>5</v>
      </c>
      <c r="L576" s="189">
        <f>IFERROR(__xludf.DUMMYFUNCTION("""COMPUTED_VALUE"""),7.0)</f>
        <v>7</v>
      </c>
      <c r="M576" s="189">
        <f>IFERROR(__xludf.DUMMYFUNCTION("""COMPUTED_VALUE"""),0.0)</f>
        <v>0</v>
      </c>
      <c r="N576" s="189">
        <f>IFERROR(__xludf.DUMMYFUNCTION("""COMPUTED_VALUE"""),1.0)</f>
        <v>1</v>
      </c>
      <c r="O576" s="189">
        <f>IFERROR(__xludf.DUMMYFUNCTION("""COMPUTED_VALUE"""),5.0)</f>
        <v>5</v>
      </c>
      <c r="P576" s="189">
        <f>IFERROR(__xludf.DUMMYFUNCTION("""COMPUTED_VALUE"""),7.0)</f>
        <v>7</v>
      </c>
      <c r="Q576" s="189">
        <f>IFERROR(__xludf.DUMMYFUNCTION("""COMPUTED_VALUE"""),2.0)</f>
        <v>2</v>
      </c>
      <c r="R576" s="189">
        <f>IFERROR(__xludf.DUMMYFUNCTION("""COMPUTED_VALUE"""),6.0)</f>
        <v>6</v>
      </c>
      <c r="S576" s="189">
        <f>IFERROR(__xludf.DUMMYFUNCTION("""COMPUTED_VALUE"""),0.0)</f>
        <v>0</v>
      </c>
      <c r="T576" s="189">
        <f>IFERROR(__xludf.DUMMYFUNCTION("""COMPUTED_VALUE"""),1.0)</f>
        <v>1</v>
      </c>
      <c r="U576" s="189">
        <f>IFERROR(__xludf.DUMMYFUNCTION("""COMPUTED_VALUE"""),6.0)</f>
        <v>6</v>
      </c>
      <c r="V576" s="189">
        <f>IFERROR(__xludf.DUMMYFUNCTION("""COMPUTED_VALUE"""),2.0)</f>
        <v>2</v>
      </c>
      <c r="W576" s="189">
        <f>IFERROR(__xludf.DUMMYFUNCTION("""COMPUTED_VALUE"""),7.0)</f>
        <v>7</v>
      </c>
      <c r="X576" s="189">
        <f>IFERROR(__xludf.DUMMYFUNCTION("""COMPUTED_VALUE"""),5.0)</f>
        <v>5</v>
      </c>
      <c r="Y576" s="208" t="str">
        <f>IFERROR(__xludf.DUMMYFUNCTION("""COMPUTED_VALUE"""),"2025-06-22T00:00:00.000Z")</f>
        <v>2025-06-22T00:00:00.000Z</v>
      </c>
      <c r="Z576" s="189" t="s">
        <v>588</v>
      </c>
      <c r="AA576" s="189" t="s">
        <v>184</v>
      </c>
    </row>
    <row r="577">
      <c r="A577" s="189">
        <f>IFERROR(__xludf.DUMMYFUNCTION("""COMPUTED_VALUE"""),207311.0)</f>
        <v>207311</v>
      </c>
      <c r="B577" s="189">
        <f>IFERROR(__xludf.DUMMYFUNCTION("""COMPUTED_VALUE"""),91356.0)</f>
        <v>91356</v>
      </c>
      <c r="C577" s="189" t="str">
        <f>IFERROR(__xludf.DUMMYFUNCTION("""COMPUTED_VALUE"""),"Saudi eLeague 2025: Major 2 - Playoffs")</f>
        <v>Saudi eLeague 2025: Major 2 - Playoffs</v>
      </c>
      <c r="D577" s="189" t="str">
        <f>IFERROR(__xludf.DUMMYFUNCTION("""COMPUTED_VALUE"""),"Sunset")</f>
        <v>Sunset</v>
      </c>
      <c r="E577" s="189" t="str">
        <f>IFERROR(__xludf.DUMMYFUNCTION("""COMPUTED_VALUE"""),"Twisted Minds Esports")</f>
        <v>Twisted Minds Esports</v>
      </c>
      <c r="F577" s="189" t="str">
        <f>IFERROR(__xludf.DUMMYFUNCTION("""COMPUTED_VALUE"""),"The Ultimates")</f>
        <v>The Ultimates</v>
      </c>
      <c r="G577" s="189" t="str">
        <f>IFERROR(__xludf.DUMMYFUNCTION("""COMPUTED_VALUE"""),"Breach,Cypher,Sova,Omen,Neon")</f>
        <v>Breach,Cypher,Sova,Omen,Neon</v>
      </c>
      <c r="H577" s="189" t="str">
        <f>IFERROR(__xludf.DUMMYFUNCTION("""COMPUTED_VALUE"""),"Breach,Raze,Cypher,Omen,Fade")</f>
        <v>Breach,Raze,Cypher,Omen,Fade</v>
      </c>
      <c r="I577" s="189">
        <f>IFERROR(__xludf.DUMMYFUNCTION("""COMPUTED_VALUE"""),13.0)</f>
        <v>13</v>
      </c>
      <c r="J577" s="189">
        <f>IFERROR(__xludf.DUMMYFUNCTION("""COMPUTED_VALUE"""),9.0)</f>
        <v>9</v>
      </c>
      <c r="K577" s="189">
        <f>IFERROR(__xludf.DUMMYFUNCTION("""COMPUTED_VALUE"""),8.0)</f>
        <v>8</v>
      </c>
      <c r="L577" s="189">
        <f>IFERROR(__xludf.DUMMYFUNCTION("""COMPUTED_VALUE"""),4.0)</f>
        <v>4</v>
      </c>
      <c r="M577" s="189">
        <f>IFERROR(__xludf.DUMMYFUNCTION("""COMPUTED_VALUE"""),0.0)</f>
        <v>0</v>
      </c>
      <c r="N577" s="189">
        <f>IFERROR(__xludf.DUMMYFUNCTION("""COMPUTED_VALUE"""),0.0)</f>
        <v>0</v>
      </c>
      <c r="O577" s="189">
        <f>IFERROR(__xludf.DUMMYFUNCTION("""COMPUTED_VALUE"""),8.0)</f>
        <v>8</v>
      </c>
      <c r="P577" s="189">
        <f>IFERROR(__xludf.DUMMYFUNCTION("""COMPUTED_VALUE"""),4.0)</f>
        <v>4</v>
      </c>
      <c r="Q577" s="189">
        <f>IFERROR(__xludf.DUMMYFUNCTION("""COMPUTED_VALUE"""),5.0)</f>
        <v>5</v>
      </c>
      <c r="R577" s="189">
        <f>IFERROR(__xludf.DUMMYFUNCTION("""COMPUTED_VALUE"""),5.0)</f>
        <v>5</v>
      </c>
      <c r="S577" s="189">
        <f>IFERROR(__xludf.DUMMYFUNCTION("""COMPUTED_VALUE"""),1.0)</f>
        <v>1</v>
      </c>
      <c r="T577" s="189">
        <f>IFERROR(__xludf.DUMMYFUNCTION("""COMPUTED_VALUE"""),1.0)</f>
        <v>1</v>
      </c>
      <c r="U577" s="189">
        <f>IFERROR(__xludf.DUMMYFUNCTION("""COMPUTED_VALUE"""),5.0)</f>
        <v>5</v>
      </c>
      <c r="V577" s="189">
        <f>IFERROR(__xludf.DUMMYFUNCTION("""COMPUTED_VALUE"""),5.0)</f>
        <v>5</v>
      </c>
      <c r="W577" s="189">
        <f>IFERROR(__xludf.DUMMYFUNCTION("""COMPUTED_VALUE"""),4.0)</f>
        <v>4</v>
      </c>
      <c r="X577" s="189">
        <f>IFERROR(__xludf.DUMMYFUNCTION("""COMPUTED_VALUE"""),8.0)</f>
        <v>8</v>
      </c>
      <c r="Y577" s="208" t="str">
        <f>IFERROR(__xludf.DUMMYFUNCTION("""COMPUTED_VALUE"""),"2025-06-19T00:00:00.000Z")</f>
        <v>2025-06-19T00:00:00.000Z</v>
      </c>
      <c r="Z577" s="189" t="s">
        <v>166</v>
      </c>
      <c r="AA577" s="189" t="s">
        <v>184</v>
      </c>
    </row>
    <row r="578">
      <c r="A578" s="189">
        <f>IFERROR(__xludf.DUMMYFUNCTION("""COMPUTED_VALUE"""),207310.0)</f>
        <v>207310</v>
      </c>
      <c r="B578" s="189">
        <f>IFERROR(__xludf.DUMMYFUNCTION("""COMPUTED_VALUE"""),91356.0)</f>
        <v>91356</v>
      </c>
      <c r="C578" s="189" t="str">
        <f>IFERROR(__xludf.DUMMYFUNCTION("""COMPUTED_VALUE"""),"Saudi eLeague 2025: Major 2 - Playoffs")</f>
        <v>Saudi eLeague 2025: Major 2 - Playoffs</v>
      </c>
      <c r="D578" s="189" t="str">
        <f>IFERROR(__xludf.DUMMYFUNCTION("""COMPUTED_VALUE"""),"Ascent")</f>
        <v>Ascent</v>
      </c>
      <c r="E578" s="189" t="str">
        <f>IFERROR(__xludf.DUMMYFUNCTION("""COMPUTED_VALUE"""),"Twisted Minds Esports")</f>
        <v>Twisted Minds Esports</v>
      </c>
      <c r="F578" s="189" t="str">
        <f>IFERROR(__xludf.DUMMYFUNCTION("""COMPUTED_VALUE"""),"The Ultimates")</f>
        <v>The Ultimates</v>
      </c>
      <c r="G578" s="189" t="str">
        <f>IFERROR(__xludf.DUMMYFUNCTION("""COMPUTED_VALUE"""),"Cypher,Sova,Omen,Yoru,Deadlock")</f>
        <v>Cypher,Sova,Omen,Yoru,Deadlock</v>
      </c>
      <c r="H578" s="189" t="str">
        <f>IFERROR(__xludf.DUMMYFUNCTION("""COMPUTED_VALUE"""),"Cypher,Sova,Omen,Yoru,Deadlock")</f>
        <v>Cypher,Sova,Omen,Yoru,Deadlock</v>
      </c>
      <c r="I578" s="189">
        <f>IFERROR(__xludf.DUMMYFUNCTION("""COMPUTED_VALUE"""),13.0)</f>
        <v>13</v>
      </c>
      <c r="J578" s="189">
        <f>IFERROR(__xludf.DUMMYFUNCTION("""COMPUTED_VALUE"""),8.0)</f>
        <v>8</v>
      </c>
      <c r="K578" s="189">
        <f>IFERROR(__xludf.DUMMYFUNCTION("""COMPUTED_VALUE"""),8.0)</f>
        <v>8</v>
      </c>
      <c r="L578" s="189">
        <f>IFERROR(__xludf.DUMMYFUNCTION("""COMPUTED_VALUE"""),4.0)</f>
        <v>4</v>
      </c>
      <c r="M578" s="189">
        <f>IFERROR(__xludf.DUMMYFUNCTION("""COMPUTED_VALUE"""),1.0)</f>
        <v>1</v>
      </c>
      <c r="N578" s="189">
        <f>IFERROR(__xludf.DUMMYFUNCTION("""COMPUTED_VALUE"""),0.0)</f>
        <v>0</v>
      </c>
      <c r="O578" s="189">
        <f>IFERROR(__xludf.DUMMYFUNCTION("""COMPUTED_VALUE"""),8.0)</f>
        <v>8</v>
      </c>
      <c r="P578" s="189">
        <f>IFERROR(__xludf.DUMMYFUNCTION("""COMPUTED_VALUE"""),4.0)</f>
        <v>4</v>
      </c>
      <c r="Q578" s="189">
        <f>IFERROR(__xludf.DUMMYFUNCTION("""COMPUTED_VALUE"""),5.0)</f>
        <v>5</v>
      </c>
      <c r="R578" s="189">
        <f>IFERROR(__xludf.DUMMYFUNCTION("""COMPUTED_VALUE"""),4.0)</f>
        <v>4</v>
      </c>
      <c r="S578" s="189">
        <f>IFERROR(__xludf.DUMMYFUNCTION("""COMPUTED_VALUE"""),1.0)</f>
        <v>1</v>
      </c>
      <c r="T578" s="189">
        <f>IFERROR(__xludf.DUMMYFUNCTION("""COMPUTED_VALUE"""),0.0)</f>
        <v>0</v>
      </c>
      <c r="U578" s="189">
        <f>IFERROR(__xludf.DUMMYFUNCTION("""COMPUTED_VALUE"""),4.0)</f>
        <v>4</v>
      </c>
      <c r="V578" s="189">
        <f>IFERROR(__xludf.DUMMYFUNCTION("""COMPUTED_VALUE"""),5.0)</f>
        <v>5</v>
      </c>
      <c r="W578" s="189">
        <f>IFERROR(__xludf.DUMMYFUNCTION("""COMPUTED_VALUE"""),4.0)</f>
        <v>4</v>
      </c>
      <c r="X578" s="189">
        <f>IFERROR(__xludf.DUMMYFUNCTION("""COMPUTED_VALUE"""),8.0)</f>
        <v>8</v>
      </c>
      <c r="Y578" s="208" t="str">
        <f>IFERROR(__xludf.DUMMYFUNCTION("""COMPUTED_VALUE"""),"2025-06-19T00:00:00.000Z")</f>
        <v>2025-06-19T00:00:00.000Z</v>
      </c>
      <c r="Z578" s="189" t="s">
        <v>159</v>
      </c>
      <c r="AA578" s="189" t="s">
        <v>184</v>
      </c>
    </row>
    <row r="579">
      <c r="A579" s="189">
        <f>IFERROR(__xludf.DUMMYFUNCTION("""COMPUTED_VALUE"""),207309.0)</f>
        <v>207309</v>
      </c>
      <c r="B579" s="189">
        <f>IFERROR(__xludf.DUMMYFUNCTION("""COMPUTED_VALUE"""),91356.0)</f>
        <v>91356</v>
      </c>
      <c r="C579" s="189" t="str">
        <f>IFERROR(__xludf.DUMMYFUNCTION("""COMPUTED_VALUE"""),"Saudi eLeague 2025: Major 2 - Playoffs")</f>
        <v>Saudi eLeague 2025: Major 2 - Playoffs</v>
      </c>
      <c r="D579" s="189" t="str">
        <f>IFERROR(__xludf.DUMMYFUNCTION("""COMPUTED_VALUE"""),"Icebox")</f>
        <v>Icebox</v>
      </c>
      <c r="E579" s="189" t="str">
        <f>IFERROR(__xludf.DUMMYFUNCTION("""COMPUTED_VALUE"""),"Twisted Minds Esports")</f>
        <v>Twisted Minds Esports</v>
      </c>
      <c r="F579" s="189" t="str">
        <f>IFERROR(__xludf.DUMMYFUNCTION("""COMPUTED_VALUE"""),"The Ultimates")</f>
        <v>The Ultimates</v>
      </c>
      <c r="G579" s="189" t="str">
        <f>IFERROR(__xludf.DUMMYFUNCTION("""COMPUTED_VALUE"""),"Sova,Killjoy,Viper,Jett,Harbor")</f>
        <v>Sova,Killjoy,Viper,Jett,Harbor</v>
      </c>
      <c r="H579" s="189" t="str">
        <f>IFERROR(__xludf.DUMMYFUNCTION("""COMPUTED_VALUE"""),"Reyna,Omen,KAY/O,Harbor,Gekko")</f>
        <v>Reyna,Omen,KAY/O,Harbor,Gekko</v>
      </c>
      <c r="I579" s="189">
        <f>IFERROR(__xludf.DUMMYFUNCTION("""COMPUTED_VALUE"""),4.0)</f>
        <v>4</v>
      </c>
      <c r="J579" s="189">
        <f>IFERROR(__xludf.DUMMYFUNCTION("""COMPUTED_VALUE"""),13.0)</f>
        <v>13</v>
      </c>
      <c r="K579" s="189">
        <f>IFERROR(__xludf.DUMMYFUNCTION("""COMPUTED_VALUE"""),2.0)</f>
        <v>2</v>
      </c>
      <c r="L579" s="189">
        <f>IFERROR(__xludf.DUMMYFUNCTION("""COMPUTED_VALUE"""),10.0)</f>
        <v>10</v>
      </c>
      <c r="M579" s="189">
        <f>IFERROR(__xludf.DUMMYFUNCTION("""COMPUTED_VALUE"""),0.0)</f>
        <v>0</v>
      </c>
      <c r="N579" s="189">
        <f>IFERROR(__xludf.DUMMYFUNCTION("""COMPUTED_VALUE"""),1.0)</f>
        <v>1</v>
      </c>
      <c r="O579" s="189">
        <f>IFERROR(__xludf.DUMMYFUNCTION("""COMPUTED_VALUE"""),2.0)</f>
        <v>2</v>
      </c>
      <c r="P579" s="189">
        <f>IFERROR(__xludf.DUMMYFUNCTION("""COMPUTED_VALUE"""),10.0)</f>
        <v>10</v>
      </c>
      <c r="Q579" s="189">
        <f>IFERROR(__xludf.DUMMYFUNCTION("""COMPUTED_VALUE"""),2.0)</f>
        <v>2</v>
      </c>
      <c r="R579" s="189">
        <f>IFERROR(__xludf.DUMMYFUNCTION("""COMPUTED_VALUE"""),3.0)</f>
        <v>3</v>
      </c>
      <c r="S579" s="189">
        <f>IFERROR(__xludf.DUMMYFUNCTION("""COMPUTED_VALUE"""),0.0)</f>
        <v>0</v>
      </c>
      <c r="T579" s="189">
        <f>IFERROR(__xludf.DUMMYFUNCTION("""COMPUTED_VALUE"""),1.0)</f>
        <v>1</v>
      </c>
      <c r="U579" s="189">
        <f>IFERROR(__xludf.DUMMYFUNCTION("""COMPUTED_VALUE"""),3.0)</f>
        <v>3</v>
      </c>
      <c r="V579" s="189">
        <f>IFERROR(__xludf.DUMMYFUNCTION("""COMPUTED_VALUE"""),2.0)</f>
        <v>2</v>
      </c>
      <c r="W579" s="189">
        <f>IFERROR(__xludf.DUMMYFUNCTION("""COMPUTED_VALUE"""),10.0)</f>
        <v>10</v>
      </c>
      <c r="X579" s="189">
        <f>IFERROR(__xludf.DUMMYFUNCTION("""COMPUTED_VALUE"""),2.0)</f>
        <v>2</v>
      </c>
      <c r="Y579" s="208" t="str">
        <f>IFERROR(__xludf.DUMMYFUNCTION("""COMPUTED_VALUE"""),"2025-06-19T00:00:00.000Z")</f>
        <v>2025-06-19T00:00:00.000Z</v>
      </c>
      <c r="Z579" s="189" t="s">
        <v>163</v>
      </c>
      <c r="AA579" s="189" t="s">
        <v>185</v>
      </c>
    </row>
    <row r="580">
      <c r="A580" s="189">
        <f>IFERROR(__xludf.DUMMYFUNCTION("""COMPUTED_VALUE"""),207515.0)</f>
        <v>207515</v>
      </c>
      <c r="B580" s="189">
        <f>IFERROR(__xludf.DUMMYFUNCTION("""COMPUTED_VALUE"""),91432.0)</f>
        <v>91432</v>
      </c>
      <c r="C580" s="189" t="str">
        <f>IFERROR(__xludf.DUMMYFUNCTION("""COMPUTED_VALUE"""),"BtcTurk GameFest - Stage 2")</f>
        <v>BtcTurk GameFest - Stage 2</v>
      </c>
      <c r="D580" s="189" t="str">
        <f>IFERROR(__xludf.DUMMYFUNCTION("""COMPUTED_VALUE"""),"Haven")</f>
        <v>Haven</v>
      </c>
      <c r="E580" s="189" t="str">
        <f>IFERROR(__xludf.DUMMYFUNCTION("""COMPUTED_VALUE"""),"Eternal Fire")</f>
        <v>Eternal Fire</v>
      </c>
      <c r="F580" s="189" t="str">
        <f>IFERROR(__xludf.DUMMYFUNCTION("""COMPUTED_VALUE"""),"BBL PCIFIC")</f>
        <v>BBL PCIFIC</v>
      </c>
      <c r="G580" s="189" t="str">
        <f>IFERROR(__xludf.DUMMYFUNCTION("""COMPUTED_VALUE"""),"Cypher,Sova,Omen,Yoru,Iso")</f>
        <v>Cypher,Sova,Omen,Yoru,Iso</v>
      </c>
      <c r="H580" s="189" t="str">
        <f>IFERROR(__xludf.DUMMYFUNCTION("""COMPUTED_VALUE"""),"Breach,Cypher,Sova,Omen,Jett")</f>
        <v>Breach,Cypher,Sova,Omen,Jett</v>
      </c>
      <c r="I580" s="189">
        <f>IFERROR(__xludf.DUMMYFUNCTION("""COMPUTED_VALUE"""),11.0)</f>
        <v>11</v>
      </c>
      <c r="J580" s="189">
        <f>IFERROR(__xludf.DUMMYFUNCTION("""COMPUTED_VALUE"""),13.0)</f>
        <v>13</v>
      </c>
      <c r="K580" s="189">
        <f>IFERROR(__xludf.DUMMYFUNCTION("""COMPUTED_VALUE"""),7.0)</f>
        <v>7</v>
      </c>
      <c r="L580" s="189">
        <f>IFERROR(__xludf.DUMMYFUNCTION("""COMPUTED_VALUE"""),5.0)</f>
        <v>5</v>
      </c>
      <c r="M580" s="189">
        <f>IFERROR(__xludf.DUMMYFUNCTION("""COMPUTED_VALUE"""),0.0)</f>
        <v>0</v>
      </c>
      <c r="N580" s="189">
        <f>IFERROR(__xludf.DUMMYFUNCTION("""COMPUTED_VALUE"""),1.0)</f>
        <v>1</v>
      </c>
      <c r="O580" s="189">
        <f>IFERROR(__xludf.DUMMYFUNCTION("""COMPUTED_VALUE"""),4.0)</f>
        <v>4</v>
      </c>
      <c r="P580" s="189">
        <f>IFERROR(__xludf.DUMMYFUNCTION("""COMPUTED_VALUE"""),8.0)</f>
        <v>8</v>
      </c>
      <c r="Q580" s="189">
        <f>IFERROR(__xludf.DUMMYFUNCTION("""COMPUTED_VALUE"""),7.0)</f>
        <v>7</v>
      </c>
      <c r="R580" s="189">
        <f>IFERROR(__xludf.DUMMYFUNCTION("""COMPUTED_VALUE"""),5.0)</f>
        <v>5</v>
      </c>
      <c r="S580" s="189">
        <f>IFERROR(__xludf.DUMMYFUNCTION("""COMPUTED_VALUE"""),0.0)</f>
        <v>0</v>
      </c>
      <c r="T580" s="189">
        <f>IFERROR(__xludf.DUMMYFUNCTION("""COMPUTED_VALUE"""),1.0)</f>
        <v>1</v>
      </c>
      <c r="U580" s="189">
        <f>IFERROR(__xludf.DUMMYFUNCTION("""COMPUTED_VALUE"""),5.0)</f>
        <v>5</v>
      </c>
      <c r="V580" s="189">
        <f>IFERROR(__xludf.DUMMYFUNCTION("""COMPUTED_VALUE"""),7.0)</f>
        <v>7</v>
      </c>
      <c r="W580" s="189">
        <f>IFERROR(__xludf.DUMMYFUNCTION("""COMPUTED_VALUE"""),8.0)</f>
        <v>8</v>
      </c>
      <c r="X580" s="189">
        <f>IFERROR(__xludf.DUMMYFUNCTION("""COMPUTED_VALUE"""),4.0)</f>
        <v>4</v>
      </c>
      <c r="Y580" s="208" t="str">
        <f>IFERROR(__xludf.DUMMYFUNCTION("""COMPUTED_VALUE"""),"2025-06-19T00:00:00.000Z")</f>
        <v>2025-06-19T00:00:00.000Z</v>
      </c>
      <c r="Z580" s="189" t="s">
        <v>589</v>
      </c>
      <c r="AA580" s="189" t="s">
        <v>186</v>
      </c>
    </row>
    <row r="581">
      <c r="A581" s="189">
        <f>IFERROR(__xludf.DUMMYFUNCTION("""COMPUTED_VALUE"""),207308.0)</f>
        <v>207308</v>
      </c>
      <c r="B581" s="189">
        <f>IFERROR(__xludf.DUMMYFUNCTION("""COMPUTED_VALUE"""),91356.0)</f>
        <v>91356</v>
      </c>
      <c r="C581" s="189" t="str">
        <f>IFERROR(__xludf.DUMMYFUNCTION("""COMPUTED_VALUE"""),"Saudi eLeague 2025: Major 2 - Playoffs")</f>
        <v>Saudi eLeague 2025: Major 2 - Playoffs</v>
      </c>
      <c r="D581" s="189" t="str">
        <f>IFERROR(__xludf.DUMMYFUNCTION("""COMPUTED_VALUE"""),"Split")</f>
        <v>Split</v>
      </c>
      <c r="E581" s="189" t="str">
        <f>IFERROR(__xludf.DUMMYFUNCTION("""COMPUTED_VALUE"""),"Twisted Minds Esports")</f>
        <v>Twisted Minds Esports</v>
      </c>
      <c r="F581" s="189" t="str">
        <f>IFERROR(__xludf.DUMMYFUNCTION("""COMPUTED_VALUE"""),"The Ultimates")</f>
        <v>The Ultimates</v>
      </c>
      <c r="G581" s="189" t="str">
        <f>IFERROR(__xludf.DUMMYFUNCTION("""COMPUTED_VALUE"""),"Raze,Viper,Omen,Yoru,Fade")</f>
        <v>Raze,Viper,Omen,Yoru,Fade</v>
      </c>
      <c r="H581" s="189" t="str">
        <f>IFERROR(__xludf.DUMMYFUNCTION("""COMPUTED_VALUE"""),"Breach,Raze,Cypher,Omen,Skye")</f>
        <v>Breach,Raze,Cypher,Omen,Skye</v>
      </c>
      <c r="I581" s="189">
        <f>IFERROR(__xludf.DUMMYFUNCTION("""COMPUTED_VALUE"""),13.0)</f>
        <v>13</v>
      </c>
      <c r="J581" s="189">
        <f>IFERROR(__xludf.DUMMYFUNCTION("""COMPUTED_VALUE"""),11.0)</f>
        <v>11</v>
      </c>
      <c r="K581" s="189">
        <f>IFERROR(__xludf.DUMMYFUNCTION("""COMPUTED_VALUE"""),4.0)</f>
        <v>4</v>
      </c>
      <c r="L581" s="189">
        <f>IFERROR(__xludf.DUMMYFUNCTION("""COMPUTED_VALUE"""),8.0)</f>
        <v>8</v>
      </c>
      <c r="M581" s="189">
        <f>IFERROR(__xludf.DUMMYFUNCTION("""COMPUTED_VALUE"""),1.0)</f>
        <v>1</v>
      </c>
      <c r="N581" s="189">
        <f>IFERROR(__xludf.DUMMYFUNCTION("""COMPUTED_VALUE"""),0.0)</f>
        <v>0</v>
      </c>
      <c r="O581" s="189">
        <f>IFERROR(__xludf.DUMMYFUNCTION("""COMPUTED_VALUE"""),4.0)</f>
        <v>4</v>
      </c>
      <c r="P581" s="189">
        <f>IFERROR(__xludf.DUMMYFUNCTION("""COMPUTED_VALUE"""),8.0)</f>
        <v>8</v>
      </c>
      <c r="Q581" s="189">
        <f>IFERROR(__xludf.DUMMYFUNCTION("""COMPUTED_VALUE"""),9.0)</f>
        <v>9</v>
      </c>
      <c r="R581" s="189">
        <f>IFERROR(__xludf.DUMMYFUNCTION("""COMPUTED_VALUE"""),3.0)</f>
        <v>3</v>
      </c>
      <c r="S581" s="189">
        <f>IFERROR(__xludf.DUMMYFUNCTION("""COMPUTED_VALUE"""),1.0)</f>
        <v>1</v>
      </c>
      <c r="T581" s="189">
        <f>IFERROR(__xludf.DUMMYFUNCTION("""COMPUTED_VALUE"""),0.0)</f>
        <v>0</v>
      </c>
      <c r="U581" s="189">
        <f>IFERROR(__xludf.DUMMYFUNCTION("""COMPUTED_VALUE"""),3.0)</f>
        <v>3</v>
      </c>
      <c r="V581" s="189">
        <f>IFERROR(__xludf.DUMMYFUNCTION("""COMPUTED_VALUE"""),9.0)</f>
        <v>9</v>
      </c>
      <c r="W581" s="189">
        <f>IFERROR(__xludf.DUMMYFUNCTION("""COMPUTED_VALUE"""),8.0)</f>
        <v>8</v>
      </c>
      <c r="X581" s="189">
        <f>IFERROR(__xludf.DUMMYFUNCTION("""COMPUTED_VALUE"""),4.0)</f>
        <v>4</v>
      </c>
      <c r="Y581" s="208" t="str">
        <f>IFERROR(__xludf.DUMMYFUNCTION("""COMPUTED_VALUE"""),"2025-06-19T00:00:00.000Z")</f>
        <v>2025-06-19T00:00:00.000Z</v>
      </c>
      <c r="Z581" s="189" t="s">
        <v>165</v>
      </c>
      <c r="AA581" s="189" t="s">
        <v>184</v>
      </c>
    </row>
    <row r="582">
      <c r="A582" s="189">
        <f>IFERROR(__xludf.DUMMYFUNCTION("""COMPUTED_VALUE"""),207514.0)</f>
        <v>207514</v>
      </c>
      <c r="B582" s="189">
        <f>IFERROR(__xludf.DUMMYFUNCTION("""COMPUTED_VALUE"""),91432.0)</f>
        <v>91432</v>
      </c>
      <c r="C582" s="189" t="str">
        <f>IFERROR(__xludf.DUMMYFUNCTION("""COMPUTED_VALUE"""),"BtcTurk GameFest - Stage 2")</f>
        <v>BtcTurk GameFest - Stage 2</v>
      </c>
      <c r="D582" s="189" t="str">
        <f>IFERROR(__xludf.DUMMYFUNCTION("""COMPUTED_VALUE"""),"Split")</f>
        <v>Split</v>
      </c>
      <c r="E582" s="189" t="str">
        <f>IFERROR(__xludf.DUMMYFUNCTION("""COMPUTED_VALUE"""),"Eternal Fire")</f>
        <v>Eternal Fire</v>
      </c>
      <c r="F582" s="189" t="str">
        <f>IFERROR(__xludf.DUMMYFUNCTION("""COMPUTED_VALUE"""),"BBL PCIFIC")</f>
        <v>BBL PCIFIC</v>
      </c>
      <c r="G582" s="189" t="str">
        <f>IFERROR(__xludf.DUMMYFUNCTION("""COMPUTED_VALUE"""),"Raze,Viper,Omen,Yoru,Fade")</f>
        <v>Raze,Viper,Omen,Yoru,Fade</v>
      </c>
      <c r="H582" s="189" t="str">
        <f>IFERROR(__xludf.DUMMYFUNCTION("""COMPUTED_VALUE"""),"Raze,Viper,Omen,Yoru,Fade")</f>
        <v>Raze,Viper,Omen,Yoru,Fade</v>
      </c>
      <c r="I582" s="189">
        <f>IFERROR(__xludf.DUMMYFUNCTION("""COMPUTED_VALUE"""),9.0)</f>
        <v>9</v>
      </c>
      <c r="J582" s="189">
        <f>IFERROR(__xludf.DUMMYFUNCTION("""COMPUTED_VALUE"""),13.0)</f>
        <v>13</v>
      </c>
      <c r="K582" s="189">
        <f>IFERROR(__xludf.DUMMYFUNCTION("""COMPUTED_VALUE"""),5.0)</f>
        <v>5</v>
      </c>
      <c r="L582" s="189">
        <f>IFERROR(__xludf.DUMMYFUNCTION("""COMPUTED_VALUE"""),7.0)</f>
        <v>7</v>
      </c>
      <c r="M582" s="189">
        <f>IFERROR(__xludf.DUMMYFUNCTION("""COMPUTED_VALUE"""),1.0)</f>
        <v>1</v>
      </c>
      <c r="N582" s="189">
        <f>IFERROR(__xludf.DUMMYFUNCTION("""COMPUTED_VALUE"""),0.0)</f>
        <v>0</v>
      </c>
      <c r="O582" s="189">
        <f>IFERROR(__xludf.DUMMYFUNCTION("""COMPUTED_VALUE"""),5.0)</f>
        <v>5</v>
      </c>
      <c r="P582" s="189">
        <f>IFERROR(__xludf.DUMMYFUNCTION("""COMPUTED_VALUE"""),7.0)</f>
        <v>7</v>
      </c>
      <c r="Q582" s="189">
        <f>IFERROR(__xludf.DUMMYFUNCTION("""COMPUTED_VALUE"""),4.0)</f>
        <v>4</v>
      </c>
      <c r="R582" s="189">
        <f>IFERROR(__xludf.DUMMYFUNCTION("""COMPUTED_VALUE"""),6.0)</f>
        <v>6</v>
      </c>
      <c r="S582" s="189">
        <f>IFERROR(__xludf.DUMMYFUNCTION("""COMPUTED_VALUE"""),1.0)</f>
        <v>1</v>
      </c>
      <c r="T582" s="189">
        <f>IFERROR(__xludf.DUMMYFUNCTION("""COMPUTED_VALUE"""),0.0)</f>
        <v>0</v>
      </c>
      <c r="U582" s="189">
        <f>IFERROR(__xludf.DUMMYFUNCTION("""COMPUTED_VALUE"""),6.0)</f>
        <v>6</v>
      </c>
      <c r="V582" s="189">
        <f>IFERROR(__xludf.DUMMYFUNCTION("""COMPUTED_VALUE"""),4.0)</f>
        <v>4</v>
      </c>
      <c r="W582" s="189">
        <f>IFERROR(__xludf.DUMMYFUNCTION("""COMPUTED_VALUE"""),7.0)</f>
        <v>7</v>
      </c>
      <c r="X582" s="189">
        <f>IFERROR(__xludf.DUMMYFUNCTION("""COMPUTED_VALUE"""),5.0)</f>
        <v>5</v>
      </c>
      <c r="Y582" s="208" t="str">
        <f>IFERROR(__xludf.DUMMYFUNCTION("""COMPUTED_VALUE"""),"2025-06-19T00:00:00.000Z")</f>
        <v>2025-06-19T00:00:00.000Z</v>
      </c>
      <c r="Z582" s="189" t="s">
        <v>590</v>
      </c>
      <c r="AA582" s="189" t="s">
        <v>186</v>
      </c>
    </row>
    <row r="583">
      <c r="A583" s="189">
        <f>IFERROR(__xludf.DUMMYFUNCTION("""COMPUTED_VALUE"""),207307.0)</f>
        <v>207307</v>
      </c>
      <c r="B583" s="189">
        <f>IFERROR(__xludf.DUMMYFUNCTION("""COMPUTED_VALUE"""),91356.0)</f>
        <v>91356</v>
      </c>
      <c r="C583" s="189" t="str">
        <f>IFERROR(__xludf.DUMMYFUNCTION("""COMPUTED_VALUE"""),"Saudi eLeague 2025: Major 2 - Playoffs")</f>
        <v>Saudi eLeague 2025: Major 2 - Playoffs</v>
      </c>
      <c r="D583" s="189" t="str">
        <f>IFERROR(__xludf.DUMMYFUNCTION("""COMPUTED_VALUE"""),"Haven")</f>
        <v>Haven</v>
      </c>
      <c r="E583" s="189" t="str">
        <f>IFERROR(__xludf.DUMMYFUNCTION("""COMPUTED_VALUE"""),"Twisted Minds Esports")</f>
        <v>Twisted Minds Esports</v>
      </c>
      <c r="F583" s="189" t="str">
        <f>IFERROR(__xludf.DUMMYFUNCTION("""COMPUTED_VALUE"""),"The Ultimates")</f>
        <v>The Ultimates</v>
      </c>
      <c r="G583" s="189" t="str">
        <f>IFERROR(__xludf.DUMMYFUNCTION("""COMPUTED_VALUE"""),"Breach,Cypher,Sova,Omen,Jett")</f>
        <v>Breach,Cypher,Sova,Omen,Jett</v>
      </c>
      <c r="H583" s="189" t="str">
        <f>IFERROR(__xludf.DUMMYFUNCTION("""COMPUTED_VALUE"""),"Breach,Cypher,Sova,Omen,Neon")</f>
        <v>Breach,Cypher,Sova,Omen,Neon</v>
      </c>
      <c r="I583" s="189">
        <f>IFERROR(__xludf.DUMMYFUNCTION("""COMPUTED_VALUE"""),12.0)</f>
        <v>12</v>
      </c>
      <c r="J583" s="189">
        <f>IFERROR(__xludf.DUMMYFUNCTION("""COMPUTED_VALUE"""),14.0)</f>
        <v>14</v>
      </c>
      <c r="K583" s="189">
        <f>IFERROR(__xludf.DUMMYFUNCTION("""COMPUTED_VALUE"""),4.0)</f>
        <v>4</v>
      </c>
      <c r="L583" s="189">
        <f>IFERROR(__xludf.DUMMYFUNCTION("""COMPUTED_VALUE"""),8.0)</f>
        <v>8</v>
      </c>
      <c r="M583" s="189">
        <f>IFERROR(__xludf.DUMMYFUNCTION("""COMPUTED_VALUE"""),0.0)</f>
        <v>0</v>
      </c>
      <c r="N583" s="189">
        <f>IFERROR(__xludf.DUMMYFUNCTION("""COMPUTED_VALUE"""),0.0)</f>
        <v>0</v>
      </c>
      <c r="O583" s="189">
        <f>IFERROR(__xludf.DUMMYFUNCTION("""COMPUTED_VALUE"""),4.0)</f>
        <v>4</v>
      </c>
      <c r="P583" s="189">
        <f>IFERROR(__xludf.DUMMYFUNCTION("""COMPUTED_VALUE"""),9.0)</f>
        <v>9</v>
      </c>
      <c r="Q583" s="189">
        <f>IFERROR(__xludf.DUMMYFUNCTION("""COMPUTED_VALUE"""),8.0)</f>
        <v>8</v>
      </c>
      <c r="R583" s="189">
        <f>IFERROR(__xludf.DUMMYFUNCTION("""COMPUTED_VALUE"""),5.0)</f>
        <v>5</v>
      </c>
      <c r="S583" s="189">
        <f>IFERROR(__xludf.DUMMYFUNCTION("""COMPUTED_VALUE"""),1.0)</f>
        <v>1</v>
      </c>
      <c r="T583" s="189">
        <f>IFERROR(__xludf.DUMMYFUNCTION("""COMPUTED_VALUE"""),1.0)</f>
        <v>1</v>
      </c>
      <c r="U583" s="189">
        <f>IFERROR(__xludf.DUMMYFUNCTION("""COMPUTED_VALUE"""),5.0)</f>
        <v>5</v>
      </c>
      <c r="V583" s="189">
        <f>IFERROR(__xludf.DUMMYFUNCTION("""COMPUTED_VALUE"""),8.0)</f>
        <v>8</v>
      </c>
      <c r="W583" s="189">
        <f>IFERROR(__xludf.DUMMYFUNCTION("""COMPUTED_VALUE"""),9.0)</f>
        <v>9</v>
      </c>
      <c r="X583" s="189">
        <f>IFERROR(__xludf.DUMMYFUNCTION("""COMPUTED_VALUE"""),4.0)</f>
        <v>4</v>
      </c>
      <c r="Y583" s="208" t="str">
        <f>IFERROR(__xludf.DUMMYFUNCTION("""COMPUTED_VALUE"""),"2025-06-19T00:00:00.000Z")</f>
        <v>2025-06-19T00:00:00.000Z</v>
      </c>
      <c r="Z583" s="189" t="s">
        <v>162</v>
      </c>
      <c r="AA583" s="189" t="s">
        <v>185</v>
      </c>
    </row>
    <row r="584">
      <c r="A584" s="189">
        <f>IFERROR(__xludf.DUMMYFUNCTION("""COMPUTED_VALUE"""),207513.0)</f>
        <v>207513</v>
      </c>
      <c r="B584" s="189">
        <f>IFERROR(__xludf.DUMMYFUNCTION("""COMPUTED_VALUE"""),91432.0)</f>
        <v>91432</v>
      </c>
      <c r="C584" s="189" t="str">
        <f>IFERROR(__xludf.DUMMYFUNCTION("""COMPUTED_VALUE"""),"BtcTurk GameFest - Stage 2")</f>
        <v>BtcTurk GameFest - Stage 2</v>
      </c>
      <c r="D584" s="189" t="str">
        <f>IFERROR(__xludf.DUMMYFUNCTION("""COMPUTED_VALUE"""),"Icebox")</f>
        <v>Icebox</v>
      </c>
      <c r="E584" s="189" t="str">
        <f>IFERROR(__xludf.DUMMYFUNCTION("""COMPUTED_VALUE"""),"Eternal Fire")</f>
        <v>Eternal Fire</v>
      </c>
      <c r="F584" s="189" t="str">
        <f>IFERROR(__xludf.DUMMYFUNCTION("""COMPUTED_VALUE"""),"BBL PCIFIC")</f>
        <v>BBL PCIFIC</v>
      </c>
      <c r="G584" s="189" t="str">
        <f>IFERROR(__xludf.DUMMYFUNCTION("""COMPUTED_VALUE"""),"Sova,Killjoy,Viper,Omen,Jett")</f>
        <v>Sova,Killjoy,Viper,Omen,Jett</v>
      </c>
      <c r="H584" s="189" t="str">
        <f>IFERROR(__xludf.DUMMYFUNCTION("""COMPUTED_VALUE"""),"Sova,Killjoy,Viper,Jett,Gekko")</f>
        <v>Sova,Killjoy,Viper,Jett,Gekko</v>
      </c>
      <c r="I584" s="189">
        <f>IFERROR(__xludf.DUMMYFUNCTION("""COMPUTED_VALUE"""),13.0)</f>
        <v>13</v>
      </c>
      <c r="J584" s="189">
        <f>IFERROR(__xludf.DUMMYFUNCTION("""COMPUTED_VALUE"""),8.0)</f>
        <v>8</v>
      </c>
      <c r="K584" s="189">
        <f>IFERROR(__xludf.DUMMYFUNCTION("""COMPUTED_VALUE"""),7.0)</f>
        <v>7</v>
      </c>
      <c r="L584" s="189">
        <f>IFERROR(__xludf.DUMMYFUNCTION("""COMPUTED_VALUE"""),5.0)</f>
        <v>5</v>
      </c>
      <c r="M584" s="189">
        <f>IFERROR(__xludf.DUMMYFUNCTION("""COMPUTED_VALUE"""),1.0)</f>
        <v>1</v>
      </c>
      <c r="N584" s="189">
        <f>IFERROR(__xludf.DUMMYFUNCTION("""COMPUTED_VALUE"""),0.0)</f>
        <v>0</v>
      </c>
      <c r="O584" s="189">
        <f>IFERROR(__xludf.DUMMYFUNCTION("""COMPUTED_VALUE"""),6.0)</f>
        <v>6</v>
      </c>
      <c r="P584" s="189">
        <f>IFERROR(__xludf.DUMMYFUNCTION("""COMPUTED_VALUE"""),3.0)</f>
        <v>3</v>
      </c>
      <c r="Q584" s="189">
        <f>IFERROR(__xludf.DUMMYFUNCTION("""COMPUTED_VALUE"""),7.0)</f>
        <v>7</v>
      </c>
      <c r="R584" s="189">
        <f>IFERROR(__xludf.DUMMYFUNCTION("""COMPUTED_VALUE"""),5.0)</f>
        <v>5</v>
      </c>
      <c r="S584" s="189">
        <f>IFERROR(__xludf.DUMMYFUNCTION("""COMPUTED_VALUE"""),1.0)</f>
        <v>1</v>
      </c>
      <c r="T584" s="189">
        <f>IFERROR(__xludf.DUMMYFUNCTION("""COMPUTED_VALUE"""),0.0)</f>
        <v>0</v>
      </c>
      <c r="U584" s="189">
        <f>IFERROR(__xludf.DUMMYFUNCTION("""COMPUTED_VALUE"""),5.0)</f>
        <v>5</v>
      </c>
      <c r="V584" s="189">
        <f>IFERROR(__xludf.DUMMYFUNCTION("""COMPUTED_VALUE"""),7.0)</f>
        <v>7</v>
      </c>
      <c r="W584" s="189">
        <f>IFERROR(__xludf.DUMMYFUNCTION("""COMPUTED_VALUE"""),3.0)</f>
        <v>3</v>
      </c>
      <c r="X584" s="189">
        <f>IFERROR(__xludf.DUMMYFUNCTION("""COMPUTED_VALUE"""),6.0)</f>
        <v>6</v>
      </c>
      <c r="Y584" s="208" t="str">
        <f>IFERROR(__xludf.DUMMYFUNCTION("""COMPUTED_VALUE"""),"2025-06-19T00:00:00.000Z")</f>
        <v>2025-06-19T00:00:00.000Z</v>
      </c>
      <c r="Z584" s="189" t="s">
        <v>591</v>
      </c>
      <c r="AA584" s="189" t="s">
        <v>480</v>
      </c>
    </row>
    <row r="585">
      <c r="A585" s="189">
        <f>IFERROR(__xludf.DUMMYFUNCTION("""COMPUTED_VALUE"""),207512.0)</f>
        <v>207512</v>
      </c>
      <c r="B585" s="189">
        <f>IFERROR(__xludf.DUMMYFUNCTION("""COMPUTED_VALUE"""),91432.0)</f>
        <v>91432</v>
      </c>
      <c r="C585" s="189" t="str">
        <f>IFERROR(__xludf.DUMMYFUNCTION("""COMPUTED_VALUE"""),"BtcTurk GameFest - Stage 2")</f>
        <v>BtcTurk GameFest - Stage 2</v>
      </c>
      <c r="D585" s="189" t="str">
        <f>IFERROR(__xludf.DUMMYFUNCTION("""COMPUTED_VALUE"""),"Sunset")</f>
        <v>Sunset</v>
      </c>
      <c r="E585" s="189" t="str">
        <f>IFERROR(__xludf.DUMMYFUNCTION("""COMPUTED_VALUE"""),"Eternal Fire")</f>
        <v>Eternal Fire</v>
      </c>
      <c r="F585" s="189" t="str">
        <f>IFERROR(__xludf.DUMMYFUNCTION("""COMPUTED_VALUE"""),"BBL PCIFIC")</f>
        <v>BBL PCIFIC</v>
      </c>
      <c r="G585" s="189" t="str">
        <f>IFERROR(__xludf.DUMMYFUNCTION("""COMPUTED_VALUE"""),"Cypher,Sova,Omen,Yoru,Iso")</f>
        <v>Cypher,Sova,Omen,Yoru,Iso</v>
      </c>
      <c r="H585" s="189" t="str">
        <f>IFERROR(__xludf.DUMMYFUNCTION("""COMPUTED_VALUE"""),"Breach,Cypher,Sova,Omen,Neon")</f>
        <v>Breach,Cypher,Sova,Omen,Neon</v>
      </c>
      <c r="I585" s="189">
        <f>IFERROR(__xludf.DUMMYFUNCTION("""COMPUTED_VALUE"""),13.0)</f>
        <v>13</v>
      </c>
      <c r="J585" s="189">
        <f>IFERROR(__xludf.DUMMYFUNCTION("""COMPUTED_VALUE"""),4.0)</f>
        <v>4</v>
      </c>
      <c r="K585" s="189">
        <f>IFERROR(__xludf.DUMMYFUNCTION("""COMPUTED_VALUE"""),10.0)</f>
        <v>10</v>
      </c>
      <c r="L585" s="189">
        <f>IFERROR(__xludf.DUMMYFUNCTION("""COMPUTED_VALUE"""),2.0)</f>
        <v>2</v>
      </c>
      <c r="M585" s="189">
        <f>IFERROR(__xludf.DUMMYFUNCTION("""COMPUTED_VALUE"""),1.0)</f>
        <v>1</v>
      </c>
      <c r="N585" s="189">
        <f>IFERROR(__xludf.DUMMYFUNCTION("""COMPUTED_VALUE"""),1.0)</f>
        <v>1</v>
      </c>
      <c r="O585" s="189">
        <f>IFERROR(__xludf.DUMMYFUNCTION("""COMPUTED_VALUE"""),3.0)</f>
        <v>3</v>
      </c>
      <c r="P585" s="189">
        <f>IFERROR(__xludf.DUMMYFUNCTION("""COMPUTED_VALUE"""),2.0)</f>
        <v>2</v>
      </c>
      <c r="Q585" s="189">
        <f>IFERROR(__xludf.DUMMYFUNCTION("""COMPUTED_VALUE"""),10.0)</f>
        <v>10</v>
      </c>
      <c r="R585" s="189">
        <f>IFERROR(__xludf.DUMMYFUNCTION("""COMPUTED_VALUE"""),2.0)</f>
        <v>2</v>
      </c>
      <c r="S585" s="189">
        <f>IFERROR(__xludf.DUMMYFUNCTION("""COMPUTED_VALUE"""),0.0)</f>
        <v>0</v>
      </c>
      <c r="T585" s="189">
        <f>IFERROR(__xludf.DUMMYFUNCTION("""COMPUTED_VALUE"""),0.0)</f>
        <v>0</v>
      </c>
      <c r="U585" s="189">
        <f>IFERROR(__xludf.DUMMYFUNCTION("""COMPUTED_VALUE"""),2.0)</f>
        <v>2</v>
      </c>
      <c r="V585" s="189">
        <f>IFERROR(__xludf.DUMMYFUNCTION("""COMPUTED_VALUE"""),10.0)</f>
        <v>10</v>
      </c>
      <c r="W585" s="189">
        <f>IFERROR(__xludf.DUMMYFUNCTION("""COMPUTED_VALUE"""),2.0)</f>
        <v>2</v>
      </c>
      <c r="X585" s="189">
        <f>IFERROR(__xludf.DUMMYFUNCTION("""COMPUTED_VALUE"""),3.0)</f>
        <v>3</v>
      </c>
      <c r="Y585" s="208" t="str">
        <f>IFERROR(__xludf.DUMMYFUNCTION("""COMPUTED_VALUE"""),"2025-06-19T00:00:00.000Z")</f>
        <v>2025-06-19T00:00:00.000Z</v>
      </c>
      <c r="Z585" s="189" t="s">
        <v>495</v>
      </c>
      <c r="AA585" s="189" t="s">
        <v>480</v>
      </c>
    </row>
    <row r="586">
      <c r="A586" s="189">
        <f>IFERROR(__xludf.DUMMYFUNCTION("""COMPUTED_VALUE"""),207306.0)</f>
        <v>207306</v>
      </c>
      <c r="B586" s="189">
        <f>IFERROR(__xludf.DUMMYFUNCTION("""COMPUTED_VALUE"""),91355.0)</f>
        <v>91355</v>
      </c>
      <c r="C586" s="189" t="str">
        <f>IFERROR(__xludf.DUMMYFUNCTION("""COMPUTED_VALUE"""),"Saudi eLeague 2025: Major 2 - Playoffs")</f>
        <v>Saudi eLeague 2025: Major 2 - Playoffs</v>
      </c>
      <c r="D586" s="189" t="str">
        <f>IFERROR(__xludf.DUMMYFUNCTION("""COMPUTED_VALUE"""),"Lotus")</f>
        <v>Lotus</v>
      </c>
      <c r="E586" s="189" t="str">
        <f>IFERROR(__xludf.DUMMYFUNCTION("""COMPUTED_VALUE"""),"Twisted Minds Esports")</f>
        <v>Twisted Minds Esports</v>
      </c>
      <c r="F586" s="189" t="str">
        <f>IFERROR(__xludf.DUMMYFUNCTION("""COMPUTED_VALUE"""),"Stallions Esports")</f>
        <v>Stallions Esports</v>
      </c>
      <c r="G586" s="189" t="str">
        <f>IFERROR(__xludf.DUMMYFUNCTION("""COMPUTED_VALUE"""),"Raze,Killjoy,Viper,Omen,Fade")</f>
        <v>Raze,Killjoy,Viper,Omen,Fade</v>
      </c>
      <c r="H586" s="189" t="str">
        <f>IFERROR(__xludf.DUMMYFUNCTION("""COMPUTED_VALUE"""),"Cypher,Omen,Yoru,Fade,Iso")</f>
        <v>Cypher,Omen,Yoru,Fade,Iso</v>
      </c>
      <c r="I586" s="189">
        <f>IFERROR(__xludf.DUMMYFUNCTION("""COMPUTED_VALUE"""),16.0)</f>
        <v>16</v>
      </c>
      <c r="J586" s="189">
        <f>IFERROR(__xludf.DUMMYFUNCTION("""COMPUTED_VALUE"""),14.0)</f>
        <v>14</v>
      </c>
      <c r="K586" s="189">
        <f>IFERROR(__xludf.DUMMYFUNCTION("""COMPUTED_VALUE"""),8.0)</f>
        <v>8</v>
      </c>
      <c r="L586" s="189">
        <f>IFERROR(__xludf.DUMMYFUNCTION("""COMPUTED_VALUE"""),4.0)</f>
        <v>4</v>
      </c>
      <c r="M586" s="189">
        <f>IFERROR(__xludf.DUMMYFUNCTION("""COMPUTED_VALUE"""),1.0)</f>
        <v>1</v>
      </c>
      <c r="N586" s="189">
        <f>IFERROR(__xludf.DUMMYFUNCTION("""COMPUTED_VALUE"""),1.0)</f>
        <v>1</v>
      </c>
      <c r="O586" s="189">
        <f>IFERROR(__xludf.DUMMYFUNCTION("""COMPUTED_VALUE"""),9.0)</f>
        <v>9</v>
      </c>
      <c r="P586" s="189">
        <f>IFERROR(__xludf.DUMMYFUNCTION("""COMPUTED_VALUE"""),6.0)</f>
        <v>6</v>
      </c>
      <c r="Q586" s="189">
        <f>IFERROR(__xludf.DUMMYFUNCTION("""COMPUTED_VALUE"""),7.0)</f>
        <v>7</v>
      </c>
      <c r="R586" s="189">
        <f>IFERROR(__xludf.DUMMYFUNCTION("""COMPUTED_VALUE"""),8.0)</f>
        <v>8</v>
      </c>
      <c r="S586" s="189">
        <f>IFERROR(__xludf.DUMMYFUNCTION("""COMPUTED_VALUE"""),0.0)</f>
        <v>0</v>
      </c>
      <c r="T586" s="189">
        <f>IFERROR(__xludf.DUMMYFUNCTION("""COMPUTED_VALUE"""),0.0)</f>
        <v>0</v>
      </c>
      <c r="U586" s="189">
        <f>IFERROR(__xludf.DUMMYFUNCTION("""COMPUTED_VALUE"""),8.0)</f>
        <v>8</v>
      </c>
      <c r="V586" s="189">
        <f>IFERROR(__xludf.DUMMYFUNCTION("""COMPUTED_VALUE"""),7.0)</f>
        <v>7</v>
      </c>
      <c r="W586" s="189">
        <f>IFERROR(__xludf.DUMMYFUNCTION("""COMPUTED_VALUE"""),6.0)</f>
        <v>6</v>
      </c>
      <c r="X586" s="189">
        <f>IFERROR(__xludf.DUMMYFUNCTION("""COMPUTED_VALUE"""),9.0)</f>
        <v>9</v>
      </c>
      <c r="Y586" s="208" t="str">
        <f>IFERROR(__xludf.DUMMYFUNCTION("""COMPUTED_VALUE"""),"2025-06-19T00:00:00.000Z")</f>
        <v>2025-06-19T00:00:00.000Z</v>
      </c>
      <c r="Z586" s="189" t="s">
        <v>164</v>
      </c>
      <c r="AA586" s="189" t="s">
        <v>184</v>
      </c>
    </row>
    <row r="587">
      <c r="A587" s="189">
        <f>IFERROR(__xludf.DUMMYFUNCTION("""COMPUTED_VALUE"""),207511.0)</f>
        <v>207511</v>
      </c>
      <c r="B587" s="189">
        <f>IFERROR(__xludf.DUMMYFUNCTION("""COMPUTED_VALUE"""),91432.0)</f>
        <v>91432</v>
      </c>
      <c r="C587" s="189" t="str">
        <f>IFERROR(__xludf.DUMMYFUNCTION("""COMPUTED_VALUE"""),"BtcTurk GameFest - Stage 2")</f>
        <v>BtcTurk GameFest - Stage 2</v>
      </c>
      <c r="D587" s="189" t="str">
        <f>IFERROR(__xludf.DUMMYFUNCTION("""COMPUTED_VALUE"""),"Lotus")</f>
        <v>Lotus</v>
      </c>
      <c r="E587" s="189" t="str">
        <f>IFERROR(__xludf.DUMMYFUNCTION("""COMPUTED_VALUE"""),"Eternal Fire")</f>
        <v>Eternal Fire</v>
      </c>
      <c r="F587" s="189" t="str">
        <f>IFERROR(__xludf.DUMMYFUNCTION("""COMPUTED_VALUE"""),"BBL PCIFIC")</f>
        <v>BBL PCIFIC</v>
      </c>
      <c r="G587" s="189" t="str">
        <f>IFERROR(__xludf.DUMMYFUNCTION("""COMPUTED_VALUE"""),"Viper,Omen,Yoru,Fade,Iso")</f>
        <v>Viper,Omen,Yoru,Fade,Iso</v>
      </c>
      <c r="H587" s="189" t="str">
        <f>IFERROR(__xludf.DUMMYFUNCTION("""COMPUTED_VALUE"""),"Breach,Cypher,Sova,Omen,Neon")</f>
        <v>Breach,Cypher,Sova,Omen,Neon</v>
      </c>
      <c r="I587" s="189">
        <f>IFERROR(__xludf.DUMMYFUNCTION("""COMPUTED_VALUE"""),9.0)</f>
        <v>9</v>
      </c>
      <c r="J587" s="189">
        <f>IFERROR(__xludf.DUMMYFUNCTION("""COMPUTED_VALUE"""),13.0)</f>
        <v>13</v>
      </c>
      <c r="K587" s="189">
        <f>IFERROR(__xludf.DUMMYFUNCTION("""COMPUTED_VALUE"""),6.0)</f>
        <v>6</v>
      </c>
      <c r="L587" s="189">
        <f>IFERROR(__xludf.DUMMYFUNCTION("""COMPUTED_VALUE"""),6.0)</f>
        <v>6</v>
      </c>
      <c r="M587" s="189">
        <f>IFERROR(__xludf.DUMMYFUNCTION("""COMPUTED_VALUE"""),0.0)</f>
        <v>0</v>
      </c>
      <c r="N587" s="189">
        <f>IFERROR(__xludf.DUMMYFUNCTION("""COMPUTED_VALUE"""),1.0)</f>
        <v>1</v>
      </c>
      <c r="O587" s="189">
        <f>IFERROR(__xludf.DUMMYFUNCTION("""COMPUTED_VALUE"""),3.0)</f>
        <v>3</v>
      </c>
      <c r="P587" s="189">
        <f>IFERROR(__xludf.DUMMYFUNCTION("""COMPUTED_VALUE"""),7.0)</f>
        <v>7</v>
      </c>
      <c r="Q587" s="189">
        <f>IFERROR(__xludf.DUMMYFUNCTION("""COMPUTED_VALUE"""),6.0)</f>
        <v>6</v>
      </c>
      <c r="R587" s="189">
        <f>IFERROR(__xludf.DUMMYFUNCTION("""COMPUTED_VALUE"""),6.0)</f>
        <v>6</v>
      </c>
      <c r="S587" s="189">
        <f>IFERROR(__xludf.DUMMYFUNCTION("""COMPUTED_VALUE"""),0.0)</f>
        <v>0</v>
      </c>
      <c r="T587" s="189">
        <f>IFERROR(__xludf.DUMMYFUNCTION("""COMPUTED_VALUE"""),1.0)</f>
        <v>1</v>
      </c>
      <c r="U587" s="189">
        <f>IFERROR(__xludf.DUMMYFUNCTION("""COMPUTED_VALUE"""),6.0)</f>
        <v>6</v>
      </c>
      <c r="V587" s="189">
        <f>IFERROR(__xludf.DUMMYFUNCTION("""COMPUTED_VALUE"""),6.0)</f>
        <v>6</v>
      </c>
      <c r="W587" s="189">
        <f>IFERROR(__xludf.DUMMYFUNCTION("""COMPUTED_VALUE"""),7.0)</f>
        <v>7</v>
      </c>
      <c r="X587" s="189">
        <f>IFERROR(__xludf.DUMMYFUNCTION("""COMPUTED_VALUE"""),3.0)</f>
        <v>3</v>
      </c>
      <c r="Y587" s="208" t="str">
        <f>IFERROR(__xludf.DUMMYFUNCTION("""COMPUTED_VALUE"""),"2025-06-19T00:00:00.000Z")</f>
        <v>2025-06-19T00:00:00.000Z</v>
      </c>
      <c r="Z587" s="189" t="s">
        <v>445</v>
      </c>
      <c r="AA587" s="189" t="s">
        <v>186</v>
      </c>
    </row>
    <row r="588">
      <c r="A588" s="189">
        <f>IFERROR(__xludf.DUMMYFUNCTION("""COMPUTED_VALUE"""),207305.0)</f>
        <v>207305</v>
      </c>
      <c r="B588" s="189">
        <f>IFERROR(__xludf.DUMMYFUNCTION("""COMPUTED_VALUE"""),91355.0)</f>
        <v>91355</v>
      </c>
      <c r="C588" s="189" t="str">
        <f>IFERROR(__xludf.DUMMYFUNCTION("""COMPUTED_VALUE"""),"Saudi eLeague 2025: Major 2 - Playoffs")</f>
        <v>Saudi eLeague 2025: Major 2 - Playoffs</v>
      </c>
      <c r="D588" s="189" t="str">
        <f>IFERROR(__xludf.DUMMYFUNCTION("""COMPUTED_VALUE"""),"Icebox")</f>
        <v>Icebox</v>
      </c>
      <c r="E588" s="189" t="str">
        <f>IFERROR(__xludf.DUMMYFUNCTION("""COMPUTED_VALUE"""),"Twisted Minds Esports")</f>
        <v>Twisted Minds Esports</v>
      </c>
      <c r="F588" s="189" t="str">
        <f>IFERROR(__xludf.DUMMYFUNCTION("""COMPUTED_VALUE"""),"Stallions Esports")</f>
        <v>Stallions Esports</v>
      </c>
      <c r="G588" s="189" t="str">
        <f>IFERROR(__xludf.DUMMYFUNCTION("""COMPUTED_VALUE"""),"Sova,Killjoy,Viper,Jett,Harbor")</f>
        <v>Sova,Killjoy,Viper,Jett,Harbor</v>
      </c>
      <c r="H588" s="189" t="str">
        <f>IFERROR(__xludf.DUMMYFUNCTION("""COMPUTED_VALUE"""),"Sova,Killjoy,Viper,Reyna,Omen")</f>
        <v>Sova,Killjoy,Viper,Reyna,Omen</v>
      </c>
      <c r="I588" s="189">
        <f>IFERROR(__xludf.DUMMYFUNCTION("""COMPUTED_VALUE"""),13.0)</f>
        <v>13</v>
      </c>
      <c r="J588" s="189">
        <f>IFERROR(__xludf.DUMMYFUNCTION("""COMPUTED_VALUE"""),11.0)</f>
        <v>11</v>
      </c>
      <c r="K588" s="189">
        <f>IFERROR(__xludf.DUMMYFUNCTION("""COMPUTED_VALUE"""),6.0)</f>
        <v>6</v>
      </c>
      <c r="L588" s="189">
        <f>IFERROR(__xludf.DUMMYFUNCTION("""COMPUTED_VALUE"""),6.0)</f>
        <v>6</v>
      </c>
      <c r="M588" s="189">
        <f>IFERROR(__xludf.DUMMYFUNCTION("""COMPUTED_VALUE"""),1.0)</f>
        <v>1</v>
      </c>
      <c r="N588" s="189">
        <f>IFERROR(__xludf.DUMMYFUNCTION("""COMPUTED_VALUE"""),1.0)</f>
        <v>1</v>
      </c>
      <c r="O588" s="189">
        <f>IFERROR(__xludf.DUMMYFUNCTION("""COMPUTED_VALUE"""),6.0)</f>
        <v>6</v>
      </c>
      <c r="P588" s="189">
        <f>IFERROR(__xludf.DUMMYFUNCTION("""COMPUTED_VALUE"""),6.0)</f>
        <v>6</v>
      </c>
      <c r="Q588" s="189">
        <f>IFERROR(__xludf.DUMMYFUNCTION("""COMPUTED_VALUE"""),7.0)</f>
        <v>7</v>
      </c>
      <c r="R588" s="189">
        <f>IFERROR(__xludf.DUMMYFUNCTION("""COMPUTED_VALUE"""),5.0)</f>
        <v>5</v>
      </c>
      <c r="S588" s="189">
        <f>IFERROR(__xludf.DUMMYFUNCTION("""COMPUTED_VALUE"""),0.0)</f>
        <v>0</v>
      </c>
      <c r="T588" s="189">
        <f>IFERROR(__xludf.DUMMYFUNCTION("""COMPUTED_VALUE"""),0.0)</f>
        <v>0</v>
      </c>
      <c r="U588" s="189">
        <f>IFERROR(__xludf.DUMMYFUNCTION("""COMPUTED_VALUE"""),5.0)</f>
        <v>5</v>
      </c>
      <c r="V588" s="189">
        <f>IFERROR(__xludf.DUMMYFUNCTION("""COMPUTED_VALUE"""),7.0)</f>
        <v>7</v>
      </c>
      <c r="W588" s="189">
        <f>IFERROR(__xludf.DUMMYFUNCTION("""COMPUTED_VALUE"""),6.0)</f>
        <v>6</v>
      </c>
      <c r="X588" s="189">
        <f>IFERROR(__xludf.DUMMYFUNCTION("""COMPUTED_VALUE"""),6.0)</f>
        <v>6</v>
      </c>
      <c r="Y588" s="208" t="str">
        <f>IFERROR(__xludf.DUMMYFUNCTION("""COMPUTED_VALUE"""),"2025-06-19T00:00:00.000Z")</f>
        <v>2025-06-19T00:00:00.000Z</v>
      </c>
      <c r="Z588" s="189" t="s">
        <v>163</v>
      </c>
      <c r="AA588" s="189" t="s">
        <v>184</v>
      </c>
    </row>
    <row r="589">
      <c r="A589" s="189">
        <f>IFERROR(__xludf.DUMMYFUNCTION("""COMPUTED_VALUE"""),207304.0)</f>
        <v>207304</v>
      </c>
      <c r="B589" s="189">
        <f>IFERROR(__xludf.DUMMYFUNCTION("""COMPUTED_VALUE"""),91355.0)</f>
        <v>91355</v>
      </c>
      <c r="C589" s="189" t="str">
        <f>IFERROR(__xludf.DUMMYFUNCTION("""COMPUTED_VALUE"""),"Saudi eLeague 2025: Major 2 - Playoffs")</f>
        <v>Saudi eLeague 2025: Major 2 - Playoffs</v>
      </c>
      <c r="D589" s="189" t="str">
        <f>IFERROR(__xludf.DUMMYFUNCTION("""COMPUTED_VALUE"""),"Sunset")</f>
        <v>Sunset</v>
      </c>
      <c r="E589" s="189" t="str">
        <f>IFERROR(__xludf.DUMMYFUNCTION("""COMPUTED_VALUE"""),"Twisted Minds Esports")</f>
        <v>Twisted Minds Esports</v>
      </c>
      <c r="F589" s="189" t="str">
        <f>IFERROR(__xludf.DUMMYFUNCTION("""COMPUTED_VALUE"""),"Stallions Esports")</f>
        <v>Stallions Esports</v>
      </c>
      <c r="G589" s="189" t="str">
        <f>IFERROR(__xludf.DUMMYFUNCTION("""COMPUTED_VALUE"""),"Breach,Cypher,Sova,Omen,Neon")</f>
        <v>Breach,Cypher,Sova,Omen,Neon</v>
      </c>
      <c r="H589" s="189" t="str">
        <f>IFERROR(__xludf.DUMMYFUNCTION("""COMPUTED_VALUE"""),"Breach,Cypher,Sova,Omen,Neon")</f>
        <v>Breach,Cypher,Sova,Omen,Neon</v>
      </c>
      <c r="I589" s="189">
        <f>IFERROR(__xludf.DUMMYFUNCTION("""COMPUTED_VALUE"""),13.0)</f>
        <v>13</v>
      </c>
      <c r="J589" s="189">
        <f>IFERROR(__xludf.DUMMYFUNCTION("""COMPUTED_VALUE"""),15.0)</f>
        <v>15</v>
      </c>
      <c r="K589" s="189">
        <f>IFERROR(__xludf.DUMMYFUNCTION("""COMPUTED_VALUE"""),3.0)</f>
        <v>3</v>
      </c>
      <c r="L589" s="189">
        <f>IFERROR(__xludf.DUMMYFUNCTION("""COMPUTED_VALUE"""),9.0)</f>
        <v>9</v>
      </c>
      <c r="M589" s="189">
        <f>IFERROR(__xludf.DUMMYFUNCTION("""COMPUTED_VALUE"""),1.0)</f>
        <v>1</v>
      </c>
      <c r="N589" s="189">
        <f>IFERROR(__xludf.DUMMYFUNCTION("""COMPUTED_VALUE"""),1.0)</f>
        <v>1</v>
      </c>
      <c r="O589" s="189">
        <f>IFERROR(__xludf.DUMMYFUNCTION("""COMPUTED_VALUE"""),10.0)</f>
        <v>10</v>
      </c>
      <c r="P589" s="189">
        <f>IFERROR(__xludf.DUMMYFUNCTION("""COMPUTED_VALUE"""),4.0)</f>
        <v>4</v>
      </c>
      <c r="Q589" s="189">
        <f>IFERROR(__xludf.DUMMYFUNCTION("""COMPUTED_VALUE"""),3.0)</f>
        <v>3</v>
      </c>
      <c r="R589" s="189">
        <f>IFERROR(__xludf.DUMMYFUNCTION("""COMPUTED_VALUE"""),11.0)</f>
        <v>11</v>
      </c>
      <c r="S589" s="189">
        <f>IFERROR(__xludf.DUMMYFUNCTION("""COMPUTED_VALUE"""),0.0)</f>
        <v>0</v>
      </c>
      <c r="T589" s="189">
        <f>IFERROR(__xludf.DUMMYFUNCTION("""COMPUTED_VALUE"""),0.0)</f>
        <v>0</v>
      </c>
      <c r="U589" s="189">
        <f>IFERROR(__xludf.DUMMYFUNCTION("""COMPUTED_VALUE"""),11.0)</f>
        <v>11</v>
      </c>
      <c r="V589" s="189">
        <f>IFERROR(__xludf.DUMMYFUNCTION("""COMPUTED_VALUE"""),3.0)</f>
        <v>3</v>
      </c>
      <c r="W589" s="189">
        <f>IFERROR(__xludf.DUMMYFUNCTION("""COMPUTED_VALUE"""),4.0)</f>
        <v>4</v>
      </c>
      <c r="X589" s="189">
        <f>IFERROR(__xludf.DUMMYFUNCTION("""COMPUTED_VALUE"""),10.0)</f>
        <v>10</v>
      </c>
      <c r="Y589" s="208" t="str">
        <f>IFERROR(__xludf.DUMMYFUNCTION("""COMPUTED_VALUE"""),"2025-06-19T00:00:00.000Z")</f>
        <v>2025-06-19T00:00:00.000Z</v>
      </c>
      <c r="Z589" s="189" t="s">
        <v>166</v>
      </c>
      <c r="AA589" s="189" t="s">
        <v>484</v>
      </c>
    </row>
    <row r="590">
      <c r="A590" s="189">
        <f>IFERROR(__xludf.DUMMYFUNCTION("""COMPUTED_VALUE"""),206696.0)</f>
        <v>206696</v>
      </c>
      <c r="B590" s="189">
        <f>IFERROR(__xludf.DUMMYFUNCTION("""COMPUTED_VALUE"""),91132.0)</f>
        <v>91132</v>
      </c>
      <c r="C590" s="189" t="str">
        <f>IFERROR(__xludf.DUMMYFUNCTION("""COMPUTED_VALUE"""),"BtcTurk GameFest - Stage 2")</f>
        <v>BtcTurk GameFest - Stage 2</v>
      </c>
      <c r="D590" s="189" t="str">
        <f>IFERROR(__xludf.DUMMYFUNCTION("""COMPUTED_VALUE"""),"Split")</f>
        <v>Split</v>
      </c>
      <c r="E590" s="189" t="str">
        <f>IFERROR(__xludf.DUMMYFUNCTION("""COMPUTED_VALUE"""),"ULF Esports")</f>
        <v>ULF Esports</v>
      </c>
      <c r="F590" s="189" t="str">
        <f>IFERROR(__xludf.DUMMYFUNCTION("""COMPUTED_VALUE"""),"BBL PCIFIC")</f>
        <v>BBL PCIFIC</v>
      </c>
      <c r="G590" s="189" t="str">
        <f>IFERROR(__xludf.DUMMYFUNCTION("""COMPUTED_VALUE"""),"Raze,Viper,Omen,Yoru,Fade")</f>
        <v>Raze,Viper,Omen,Yoru,Fade</v>
      </c>
      <c r="H590" s="189" t="str">
        <f>IFERROR(__xludf.DUMMYFUNCTION("""COMPUTED_VALUE"""),"Raze,Viper,Omen,Yoru,Fade")</f>
        <v>Raze,Viper,Omen,Yoru,Fade</v>
      </c>
      <c r="I590" s="189">
        <f>IFERROR(__xludf.DUMMYFUNCTION("""COMPUTED_VALUE"""),13.0)</f>
        <v>13</v>
      </c>
      <c r="J590" s="189">
        <f>IFERROR(__xludf.DUMMYFUNCTION("""COMPUTED_VALUE"""),4.0)</f>
        <v>4</v>
      </c>
      <c r="K590" s="189">
        <f>IFERROR(__xludf.DUMMYFUNCTION("""COMPUTED_VALUE"""),10.0)</f>
        <v>10</v>
      </c>
      <c r="L590" s="189">
        <f>IFERROR(__xludf.DUMMYFUNCTION("""COMPUTED_VALUE"""),2.0)</f>
        <v>2</v>
      </c>
      <c r="M590" s="189">
        <f>IFERROR(__xludf.DUMMYFUNCTION("""COMPUTED_VALUE"""),1.0)</f>
        <v>1</v>
      </c>
      <c r="N590" s="189">
        <f>IFERROR(__xludf.DUMMYFUNCTION("""COMPUTED_VALUE"""),1.0)</f>
        <v>1</v>
      </c>
      <c r="O590" s="189">
        <f>IFERROR(__xludf.DUMMYFUNCTION("""COMPUTED_VALUE"""),10.0)</f>
        <v>10</v>
      </c>
      <c r="P590" s="189">
        <f>IFERROR(__xludf.DUMMYFUNCTION("""COMPUTED_VALUE"""),2.0)</f>
        <v>2</v>
      </c>
      <c r="Q590" s="189">
        <f>IFERROR(__xludf.DUMMYFUNCTION("""COMPUTED_VALUE"""),3.0)</f>
        <v>3</v>
      </c>
      <c r="R590" s="189">
        <f>IFERROR(__xludf.DUMMYFUNCTION("""COMPUTED_VALUE"""),2.0)</f>
        <v>2</v>
      </c>
      <c r="S590" s="189">
        <f>IFERROR(__xludf.DUMMYFUNCTION("""COMPUTED_VALUE"""),0.0)</f>
        <v>0</v>
      </c>
      <c r="T590" s="189">
        <f>IFERROR(__xludf.DUMMYFUNCTION("""COMPUTED_VALUE"""),0.0)</f>
        <v>0</v>
      </c>
      <c r="U590" s="189">
        <f>IFERROR(__xludf.DUMMYFUNCTION("""COMPUTED_VALUE"""),2.0)</f>
        <v>2</v>
      </c>
      <c r="V590" s="189">
        <f>IFERROR(__xludf.DUMMYFUNCTION("""COMPUTED_VALUE"""),3.0)</f>
        <v>3</v>
      </c>
      <c r="W590" s="189">
        <f>IFERROR(__xludf.DUMMYFUNCTION("""COMPUTED_VALUE"""),2.0)</f>
        <v>2</v>
      </c>
      <c r="X590" s="189">
        <f>IFERROR(__xludf.DUMMYFUNCTION("""COMPUTED_VALUE"""),10.0)</f>
        <v>10</v>
      </c>
      <c r="Y590" s="208" t="str">
        <f>IFERROR(__xludf.DUMMYFUNCTION("""COMPUTED_VALUE"""),"2025-06-18T00:00:00.000Z")</f>
        <v>2025-06-18T00:00:00.000Z</v>
      </c>
      <c r="Z590" s="189" t="s">
        <v>174</v>
      </c>
      <c r="AA590" s="189" t="s">
        <v>188</v>
      </c>
    </row>
    <row r="591">
      <c r="A591" s="189">
        <f>IFERROR(__xludf.DUMMYFUNCTION("""COMPUTED_VALUE"""),207249.0)</f>
        <v>207249</v>
      </c>
      <c r="B591" s="189">
        <f>IFERROR(__xludf.DUMMYFUNCTION("""COMPUTED_VALUE"""),91336.0)</f>
        <v>91336</v>
      </c>
      <c r="C591" s="189" t="str">
        <f>IFERROR(__xludf.DUMMYFUNCTION("""COMPUTED_VALUE"""),"Saudi eLeague 2025: Major 2 - Playoffs")</f>
        <v>Saudi eLeague 2025: Major 2 - Playoffs</v>
      </c>
      <c r="D591" s="189" t="str">
        <f>IFERROR(__xludf.DUMMYFUNCTION("""COMPUTED_VALUE"""),"Pearl")</f>
        <v>Pearl</v>
      </c>
      <c r="E591" s="189" t="str">
        <f>IFERROR(__xludf.DUMMYFUNCTION("""COMPUTED_VALUE"""),"The Ultimates")</f>
        <v>The Ultimates</v>
      </c>
      <c r="F591" s="189" t="str">
        <f>IFERROR(__xludf.DUMMYFUNCTION("""COMPUTED_VALUE"""),"Stallions Esports")</f>
        <v>Stallions Esports</v>
      </c>
      <c r="G591" s="189" t="str">
        <f>IFERROR(__xludf.DUMMYFUNCTION("""COMPUTED_VALUE"""),"Sova,Killjoy,Yoru,Astra,Neon")</f>
        <v>Sova,Killjoy,Yoru,Astra,Neon</v>
      </c>
      <c r="H591" s="189" t="str">
        <f>IFERROR(__xludf.DUMMYFUNCTION("""COMPUTED_VALUE"""),"Cypher,Sova,Reyna,Yoru,Astra")</f>
        <v>Cypher,Sova,Reyna,Yoru,Astra</v>
      </c>
      <c r="I591" s="189">
        <f>IFERROR(__xludf.DUMMYFUNCTION("""COMPUTED_VALUE"""),13.0)</f>
        <v>13</v>
      </c>
      <c r="J591" s="189">
        <f>IFERROR(__xludf.DUMMYFUNCTION("""COMPUTED_VALUE"""),8.0)</f>
        <v>8</v>
      </c>
      <c r="K591" s="189">
        <f>IFERROR(__xludf.DUMMYFUNCTION("""COMPUTED_VALUE"""),5.0)</f>
        <v>5</v>
      </c>
      <c r="L591" s="189">
        <f>IFERROR(__xludf.DUMMYFUNCTION("""COMPUTED_VALUE"""),7.0)</f>
        <v>7</v>
      </c>
      <c r="M591" s="189">
        <f>IFERROR(__xludf.DUMMYFUNCTION("""COMPUTED_VALUE"""),0.0)</f>
        <v>0</v>
      </c>
      <c r="N591" s="189">
        <f>IFERROR(__xludf.DUMMYFUNCTION("""COMPUTED_VALUE"""),1.0)</f>
        <v>1</v>
      </c>
      <c r="O591" s="189">
        <f>IFERROR(__xludf.DUMMYFUNCTION("""COMPUTED_VALUE"""),5.0)</f>
        <v>5</v>
      </c>
      <c r="P591" s="189">
        <f>IFERROR(__xludf.DUMMYFUNCTION("""COMPUTED_VALUE"""),7.0)</f>
        <v>7</v>
      </c>
      <c r="Q591" s="189">
        <f>IFERROR(__xludf.DUMMYFUNCTION("""COMPUTED_VALUE"""),8.0)</f>
        <v>8</v>
      </c>
      <c r="R591" s="189">
        <f>IFERROR(__xludf.DUMMYFUNCTION("""COMPUTED_VALUE"""),1.0)</f>
        <v>1</v>
      </c>
      <c r="S591" s="189">
        <f>IFERROR(__xludf.DUMMYFUNCTION("""COMPUTED_VALUE"""),0.0)</f>
        <v>0</v>
      </c>
      <c r="T591" s="189">
        <f>IFERROR(__xludf.DUMMYFUNCTION("""COMPUTED_VALUE"""),1.0)</f>
        <v>1</v>
      </c>
      <c r="U591" s="189">
        <f>IFERROR(__xludf.DUMMYFUNCTION("""COMPUTED_VALUE"""),1.0)</f>
        <v>1</v>
      </c>
      <c r="V591" s="189">
        <f>IFERROR(__xludf.DUMMYFUNCTION("""COMPUTED_VALUE"""),8.0)</f>
        <v>8</v>
      </c>
      <c r="W591" s="189">
        <f>IFERROR(__xludf.DUMMYFUNCTION("""COMPUTED_VALUE"""),7.0)</f>
        <v>7</v>
      </c>
      <c r="X591" s="189">
        <f>IFERROR(__xludf.DUMMYFUNCTION("""COMPUTED_VALUE"""),5.0)</f>
        <v>5</v>
      </c>
      <c r="Y591" s="208" t="str">
        <f>IFERROR(__xludf.DUMMYFUNCTION("""COMPUTED_VALUE"""),"2025-06-18T00:00:00.000Z")</f>
        <v>2025-06-18T00:00:00.000Z</v>
      </c>
      <c r="Z591" s="189" t="s">
        <v>156</v>
      </c>
      <c r="AA591" s="189" t="s">
        <v>185</v>
      </c>
    </row>
    <row r="592">
      <c r="A592" s="189">
        <f>IFERROR(__xludf.DUMMYFUNCTION("""COMPUTED_VALUE"""),207251.0)</f>
        <v>207251</v>
      </c>
      <c r="B592" s="189">
        <f>IFERROR(__xludf.DUMMYFUNCTION("""COMPUTED_VALUE"""),91337.0)</f>
        <v>91337</v>
      </c>
      <c r="C592" s="189" t="str">
        <f>IFERROR(__xludf.DUMMYFUNCTION("""COMPUTED_VALUE"""),"Saudi eLeague 2025: Major 2 - Playoffs")</f>
        <v>Saudi eLeague 2025: Major 2 - Playoffs</v>
      </c>
      <c r="D592" s="189" t="str">
        <f>IFERROR(__xludf.DUMMYFUNCTION("""COMPUTED_VALUE"""),"Split")</f>
        <v>Split</v>
      </c>
      <c r="E592" s="189" t="str">
        <f>IFERROR(__xludf.DUMMYFUNCTION("""COMPUTED_VALUE"""),"AlQadsiah Esports")</f>
        <v>AlQadsiah Esports</v>
      </c>
      <c r="F592" s="189" t="str">
        <f>IFERROR(__xludf.DUMMYFUNCTION("""COMPUTED_VALUE"""),"Twisted Minds Esports")</f>
        <v>Twisted Minds Esports</v>
      </c>
      <c r="G592" s="189" t="str">
        <f>IFERROR(__xludf.DUMMYFUNCTION("""COMPUTED_VALUE"""),"Breach,Raze,Viper,Omen,Fade")</f>
        <v>Breach,Raze,Viper,Omen,Fade</v>
      </c>
      <c r="H592" s="189" t="str">
        <f>IFERROR(__xludf.DUMMYFUNCTION("""COMPUTED_VALUE"""),"Raze,Viper,Omen,Yoru,Fade")</f>
        <v>Raze,Viper,Omen,Yoru,Fade</v>
      </c>
      <c r="I592" s="189">
        <f>IFERROR(__xludf.DUMMYFUNCTION("""COMPUTED_VALUE"""),14.0)</f>
        <v>14</v>
      </c>
      <c r="J592" s="189">
        <f>IFERROR(__xludf.DUMMYFUNCTION("""COMPUTED_VALUE"""),16.0)</f>
        <v>16</v>
      </c>
      <c r="K592" s="189">
        <f>IFERROR(__xludf.DUMMYFUNCTION("""COMPUTED_VALUE"""),8.0)</f>
        <v>8</v>
      </c>
      <c r="L592" s="189">
        <f>IFERROR(__xludf.DUMMYFUNCTION("""COMPUTED_VALUE"""),4.0)</f>
        <v>4</v>
      </c>
      <c r="M592" s="189">
        <f>IFERROR(__xludf.DUMMYFUNCTION("""COMPUTED_VALUE"""),1.0)</f>
        <v>1</v>
      </c>
      <c r="N592" s="189">
        <f>IFERROR(__xludf.DUMMYFUNCTION("""COMPUTED_VALUE"""),1.0)</f>
        <v>1</v>
      </c>
      <c r="O592" s="189">
        <f>IFERROR(__xludf.DUMMYFUNCTION("""COMPUTED_VALUE"""),9.0)</f>
        <v>9</v>
      </c>
      <c r="P592" s="189">
        <f>IFERROR(__xludf.DUMMYFUNCTION("""COMPUTED_VALUE"""),6.0)</f>
        <v>6</v>
      </c>
      <c r="Q592" s="189">
        <f>IFERROR(__xludf.DUMMYFUNCTION("""COMPUTED_VALUE"""),5.0)</f>
        <v>5</v>
      </c>
      <c r="R592" s="189">
        <f>IFERROR(__xludf.DUMMYFUNCTION("""COMPUTED_VALUE"""),10.0)</f>
        <v>10</v>
      </c>
      <c r="S592" s="189">
        <f>IFERROR(__xludf.DUMMYFUNCTION("""COMPUTED_VALUE"""),0.0)</f>
        <v>0</v>
      </c>
      <c r="T592" s="189">
        <f>IFERROR(__xludf.DUMMYFUNCTION("""COMPUTED_VALUE"""),0.0)</f>
        <v>0</v>
      </c>
      <c r="U592" s="189">
        <f>IFERROR(__xludf.DUMMYFUNCTION("""COMPUTED_VALUE"""),10.0)</f>
        <v>10</v>
      </c>
      <c r="V592" s="189">
        <f>IFERROR(__xludf.DUMMYFUNCTION("""COMPUTED_VALUE"""),5.0)</f>
        <v>5</v>
      </c>
      <c r="W592" s="189">
        <f>IFERROR(__xludf.DUMMYFUNCTION("""COMPUTED_VALUE"""),6.0)</f>
        <v>6</v>
      </c>
      <c r="X592" s="189">
        <f>IFERROR(__xludf.DUMMYFUNCTION("""COMPUTED_VALUE"""),9.0)</f>
        <v>9</v>
      </c>
      <c r="Y592" s="208" t="str">
        <f>IFERROR(__xludf.DUMMYFUNCTION("""COMPUTED_VALUE"""),"2025-06-18T00:00:00.000Z")</f>
        <v>2025-06-18T00:00:00.000Z</v>
      </c>
      <c r="Z592" s="189" t="s">
        <v>592</v>
      </c>
      <c r="AA592" s="189" t="s">
        <v>184</v>
      </c>
    </row>
    <row r="593">
      <c r="A593" s="189">
        <f>IFERROR(__xludf.DUMMYFUNCTION("""COMPUTED_VALUE"""),207248.0)</f>
        <v>207248</v>
      </c>
      <c r="B593" s="189">
        <f>IFERROR(__xludf.DUMMYFUNCTION("""COMPUTED_VALUE"""),91336.0)</f>
        <v>91336</v>
      </c>
      <c r="C593" s="189" t="str">
        <f>IFERROR(__xludf.DUMMYFUNCTION("""COMPUTED_VALUE"""),"Saudi eLeague 2025: Major 2 - Playoffs")</f>
        <v>Saudi eLeague 2025: Major 2 - Playoffs</v>
      </c>
      <c r="D593" s="189" t="str">
        <f>IFERROR(__xludf.DUMMYFUNCTION("""COMPUTED_VALUE"""),"Icebox")</f>
        <v>Icebox</v>
      </c>
      <c r="E593" s="189" t="str">
        <f>IFERROR(__xludf.DUMMYFUNCTION("""COMPUTED_VALUE"""),"The Ultimates")</f>
        <v>The Ultimates</v>
      </c>
      <c r="F593" s="189" t="str">
        <f>IFERROR(__xludf.DUMMYFUNCTION("""COMPUTED_VALUE"""),"Stallions Esports")</f>
        <v>Stallions Esports</v>
      </c>
      <c r="G593" s="189" t="str">
        <f>IFERROR(__xludf.DUMMYFUNCTION("""COMPUTED_VALUE"""),"Reyna,Omen,KAY/O,Harbor,Gekko")</f>
        <v>Reyna,Omen,KAY/O,Harbor,Gekko</v>
      </c>
      <c r="H593" s="189" t="str">
        <f>IFERROR(__xludf.DUMMYFUNCTION("""COMPUTED_VALUE"""),"Sova,Killjoy,Viper,Reyna,Jett")</f>
        <v>Sova,Killjoy,Viper,Reyna,Jett</v>
      </c>
      <c r="I593" s="189">
        <f>IFERROR(__xludf.DUMMYFUNCTION("""COMPUTED_VALUE"""),13.0)</f>
        <v>13</v>
      </c>
      <c r="J593" s="189">
        <f>IFERROR(__xludf.DUMMYFUNCTION("""COMPUTED_VALUE"""),3.0)</f>
        <v>3</v>
      </c>
      <c r="K593" s="189">
        <f>IFERROR(__xludf.DUMMYFUNCTION("""COMPUTED_VALUE"""),9.0)</f>
        <v>9</v>
      </c>
      <c r="L593" s="189">
        <f>IFERROR(__xludf.DUMMYFUNCTION("""COMPUTED_VALUE"""),3.0)</f>
        <v>3</v>
      </c>
      <c r="M593" s="189">
        <f>IFERROR(__xludf.DUMMYFUNCTION("""COMPUTED_VALUE"""),1.0)</f>
        <v>1</v>
      </c>
      <c r="N593" s="189">
        <f>IFERROR(__xludf.DUMMYFUNCTION("""COMPUTED_VALUE"""),0.0)</f>
        <v>0</v>
      </c>
      <c r="O593" s="189">
        <f>IFERROR(__xludf.DUMMYFUNCTION("""COMPUTED_VALUE"""),4.0)</f>
        <v>4</v>
      </c>
      <c r="P593" s="189">
        <f>IFERROR(__xludf.DUMMYFUNCTION("""COMPUTED_VALUE"""),0.0)</f>
        <v>0</v>
      </c>
      <c r="Q593" s="189">
        <f>IFERROR(__xludf.DUMMYFUNCTION("""COMPUTED_VALUE"""),9.0)</f>
        <v>9</v>
      </c>
      <c r="R593" s="189">
        <f>IFERROR(__xludf.DUMMYFUNCTION("""COMPUTED_VALUE"""),3.0)</f>
        <v>3</v>
      </c>
      <c r="S593" s="189">
        <f>IFERROR(__xludf.DUMMYFUNCTION("""COMPUTED_VALUE"""),1.0)</f>
        <v>1</v>
      </c>
      <c r="T593" s="189">
        <f>IFERROR(__xludf.DUMMYFUNCTION("""COMPUTED_VALUE"""),0.0)</f>
        <v>0</v>
      </c>
      <c r="U593" s="189">
        <f>IFERROR(__xludf.DUMMYFUNCTION("""COMPUTED_VALUE"""),3.0)</f>
        <v>3</v>
      </c>
      <c r="V593" s="189">
        <f>IFERROR(__xludf.DUMMYFUNCTION("""COMPUTED_VALUE"""),9.0)</f>
        <v>9</v>
      </c>
      <c r="W593" s="189">
        <f>IFERROR(__xludf.DUMMYFUNCTION("""COMPUTED_VALUE"""),0.0)</f>
        <v>0</v>
      </c>
      <c r="X593" s="189">
        <f>IFERROR(__xludf.DUMMYFUNCTION("""COMPUTED_VALUE"""),4.0)</f>
        <v>4</v>
      </c>
      <c r="Y593" s="208" t="str">
        <f>IFERROR(__xludf.DUMMYFUNCTION("""COMPUTED_VALUE"""),"2025-06-18T00:00:00.000Z")</f>
        <v>2025-06-18T00:00:00.000Z</v>
      </c>
      <c r="Z593" s="189" t="s">
        <v>154</v>
      </c>
      <c r="AA593" s="189" t="s">
        <v>185</v>
      </c>
    </row>
    <row r="594">
      <c r="A594" s="189">
        <f>IFERROR(__xludf.DUMMYFUNCTION("""COMPUTED_VALUE"""),206695.0)</f>
        <v>206695</v>
      </c>
      <c r="B594" s="189">
        <f>IFERROR(__xludf.DUMMYFUNCTION("""COMPUTED_VALUE"""),91132.0)</f>
        <v>91132</v>
      </c>
      <c r="C594" s="189" t="str">
        <f>IFERROR(__xludf.DUMMYFUNCTION("""COMPUTED_VALUE"""),"BtcTurk GameFest - Stage 2")</f>
        <v>BtcTurk GameFest - Stage 2</v>
      </c>
      <c r="D594" s="189" t="str">
        <f>IFERROR(__xludf.DUMMYFUNCTION("""COMPUTED_VALUE"""),"Lotus")</f>
        <v>Lotus</v>
      </c>
      <c r="E594" s="189" t="str">
        <f>IFERROR(__xludf.DUMMYFUNCTION("""COMPUTED_VALUE"""),"ULF Esports")</f>
        <v>ULF Esports</v>
      </c>
      <c r="F594" s="189" t="str">
        <f>IFERROR(__xludf.DUMMYFUNCTION("""COMPUTED_VALUE"""),"BBL PCIFIC")</f>
        <v>BBL PCIFIC</v>
      </c>
      <c r="G594" s="189" t="str">
        <f>IFERROR(__xludf.DUMMYFUNCTION("""COMPUTED_VALUE"""),"Raze,Omen,Yoru,Fade,Vyse")</f>
        <v>Raze,Omen,Yoru,Fade,Vyse</v>
      </c>
      <c r="H594" s="189" t="str">
        <f>IFERROR(__xludf.DUMMYFUNCTION("""COMPUTED_VALUE"""),"Breach,Cypher,Sova,Omen,Neon")</f>
        <v>Breach,Cypher,Sova,Omen,Neon</v>
      </c>
      <c r="I594" s="189">
        <f>IFERROR(__xludf.DUMMYFUNCTION("""COMPUTED_VALUE"""),13.0)</f>
        <v>13</v>
      </c>
      <c r="J594" s="189">
        <f>IFERROR(__xludf.DUMMYFUNCTION("""COMPUTED_VALUE"""),9.0)</f>
        <v>9</v>
      </c>
      <c r="K594" s="189">
        <f>IFERROR(__xludf.DUMMYFUNCTION("""COMPUTED_VALUE"""),6.0)</f>
        <v>6</v>
      </c>
      <c r="L594" s="189">
        <f>IFERROR(__xludf.DUMMYFUNCTION("""COMPUTED_VALUE"""),6.0)</f>
        <v>6</v>
      </c>
      <c r="M594" s="189">
        <f>IFERROR(__xludf.DUMMYFUNCTION("""COMPUTED_VALUE"""),0.0)</f>
        <v>0</v>
      </c>
      <c r="N594" s="189">
        <f>IFERROR(__xludf.DUMMYFUNCTION("""COMPUTED_VALUE"""),1.0)</f>
        <v>1</v>
      </c>
      <c r="O594" s="189">
        <f>IFERROR(__xludf.DUMMYFUNCTION("""COMPUTED_VALUE"""),7.0)</f>
        <v>7</v>
      </c>
      <c r="P594" s="189">
        <f>IFERROR(__xludf.DUMMYFUNCTION("""COMPUTED_VALUE"""),3.0)</f>
        <v>3</v>
      </c>
      <c r="Q594" s="189">
        <f>IFERROR(__xludf.DUMMYFUNCTION("""COMPUTED_VALUE"""),6.0)</f>
        <v>6</v>
      </c>
      <c r="R594" s="189">
        <f>IFERROR(__xludf.DUMMYFUNCTION("""COMPUTED_VALUE"""),6.0)</f>
        <v>6</v>
      </c>
      <c r="S594" s="189">
        <f>IFERROR(__xludf.DUMMYFUNCTION("""COMPUTED_VALUE"""),0.0)</f>
        <v>0</v>
      </c>
      <c r="T594" s="189">
        <f>IFERROR(__xludf.DUMMYFUNCTION("""COMPUTED_VALUE"""),1.0)</f>
        <v>1</v>
      </c>
      <c r="U594" s="189">
        <f>IFERROR(__xludf.DUMMYFUNCTION("""COMPUTED_VALUE"""),6.0)</f>
        <v>6</v>
      </c>
      <c r="V594" s="189">
        <f>IFERROR(__xludf.DUMMYFUNCTION("""COMPUTED_VALUE"""),6.0)</f>
        <v>6</v>
      </c>
      <c r="W594" s="189">
        <f>IFERROR(__xludf.DUMMYFUNCTION("""COMPUTED_VALUE"""),3.0)</f>
        <v>3</v>
      </c>
      <c r="X594" s="189">
        <f>IFERROR(__xludf.DUMMYFUNCTION("""COMPUTED_VALUE"""),7.0)</f>
        <v>7</v>
      </c>
      <c r="Y594" s="208" t="str">
        <f>IFERROR(__xludf.DUMMYFUNCTION("""COMPUTED_VALUE"""),"2025-06-18T00:00:00.000Z")</f>
        <v>2025-06-18T00:00:00.000Z</v>
      </c>
      <c r="Z594" s="189" t="s">
        <v>172</v>
      </c>
      <c r="AA594" s="189" t="s">
        <v>188</v>
      </c>
    </row>
    <row r="595">
      <c r="A595" s="189">
        <f>IFERROR(__xludf.DUMMYFUNCTION("""COMPUTED_VALUE"""),207250.0)</f>
        <v>207250</v>
      </c>
      <c r="B595" s="189">
        <f>IFERROR(__xludf.DUMMYFUNCTION("""COMPUTED_VALUE"""),91337.0)</f>
        <v>91337</v>
      </c>
      <c r="C595" s="189" t="str">
        <f>IFERROR(__xludf.DUMMYFUNCTION("""COMPUTED_VALUE"""),"Saudi eLeague 2025: Major 2 - Playoffs")</f>
        <v>Saudi eLeague 2025: Major 2 - Playoffs</v>
      </c>
      <c r="D595" s="189" t="str">
        <f>IFERROR(__xludf.DUMMYFUNCTION("""COMPUTED_VALUE"""),"Icebox")</f>
        <v>Icebox</v>
      </c>
      <c r="E595" s="189" t="str">
        <f>IFERROR(__xludf.DUMMYFUNCTION("""COMPUTED_VALUE"""),"AlQadsiah Esports")</f>
        <v>AlQadsiah Esports</v>
      </c>
      <c r="F595" s="189" t="str">
        <f>IFERROR(__xludf.DUMMYFUNCTION("""COMPUTED_VALUE"""),"Twisted Minds Esports")</f>
        <v>Twisted Minds Esports</v>
      </c>
      <c r="G595" s="189" t="str">
        <f>IFERROR(__xludf.DUMMYFUNCTION("""COMPUTED_VALUE"""),"Sova,Killjoy,Viper,Jett,Gekko")</f>
        <v>Sova,Killjoy,Viper,Jett,Gekko</v>
      </c>
      <c r="H595" s="189" t="str">
        <f>IFERROR(__xludf.DUMMYFUNCTION("""COMPUTED_VALUE"""),"Sova,Killjoy,Viper,Jett,Harbor")</f>
        <v>Sova,Killjoy,Viper,Jett,Harbor</v>
      </c>
      <c r="I595" s="189">
        <f>IFERROR(__xludf.DUMMYFUNCTION("""COMPUTED_VALUE"""),8.0)</f>
        <v>8</v>
      </c>
      <c r="J595" s="189">
        <f>IFERROR(__xludf.DUMMYFUNCTION("""COMPUTED_VALUE"""),13.0)</f>
        <v>13</v>
      </c>
      <c r="K595" s="189">
        <f>IFERROR(__xludf.DUMMYFUNCTION("""COMPUTED_VALUE"""),3.0)</f>
        <v>3</v>
      </c>
      <c r="L595" s="189">
        <f>IFERROR(__xludf.DUMMYFUNCTION("""COMPUTED_VALUE"""),9.0)</f>
        <v>9</v>
      </c>
      <c r="M595" s="189">
        <f>IFERROR(__xludf.DUMMYFUNCTION("""COMPUTED_VALUE"""),0.0)</f>
        <v>0</v>
      </c>
      <c r="N595" s="189">
        <f>IFERROR(__xludf.DUMMYFUNCTION("""COMPUTED_VALUE"""),1.0)</f>
        <v>1</v>
      </c>
      <c r="O595" s="189">
        <f>IFERROR(__xludf.DUMMYFUNCTION("""COMPUTED_VALUE"""),3.0)</f>
        <v>3</v>
      </c>
      <c r="P595" s="189">
        <f>IFERROR(__xludf.DUMMYFUNCTION("""COMPUTED_VALUE"""),9.0)</f>
        <v>9</v>
      </c>
      <c r="Q595" s="189">
        <f>IFERROR(__xludf.DUMMYFUNCTION("""COMPUTED_VALUE"""),5.0)</f>
        <v>5</v>
      </c>
      <c r="R595" s="189">
        <f>IFERROR(__xludf.DUMMYFUNCTION("""COMPUTED_VALUE"""),4.0)</f>
        <v>4</v>
      </c>
      <c r="S595" s="189">
        <f>IFERROR(__xludf.DUMMYFUNCTION("""COMPUTED_VALUE"""),0.0)</f>
        <v>0</v>
      </c>
      <c r="T595" s="189">
        <f>IFERROR(__xludf.DUMMYFUNCTION("""COMPUTED_VALUE"""),1.0)</f>
        <v>1</v>
      </c>
      <c r="U595" s="189">
        <f>IFERROR(__xludf.DUMMYFUNCTION("""COMPUTED_VALUE"""),4.0)</f>
        <v>4</v>
      </c>
      <c r="V595" s="189">
        <f>IFERROR(__xludf.DUMMYFUNCTION("""COMPUTED_VALUE"""),5.0)</f>
        <v>5</v>
      </c>
      <c r="W595" s="189">
        <f>IFERROR(__xludf.DUMMYFUNCTION("""COMPUTED_VALUE"""),9.0)</f>
        <v>9</v>
      </c>
      <c r="X595" s="189">
        <f>IFERROR(__xludf.DUMMYFUNCTION("""COMPUTED_VALUE"""),3.0)</f>
        <v>3</v>
      </c>
      <c r="Y595" s="208" t="str">
        <f>IFERROR(__xludf.DUMMYFUNCTION("""COMPUTED_VALUE"""),"2025-06-18T00:00:00.000Z")</f>
        <v>2025-06-18T00:00:00.000Z</v>
      </c>
      <c r="Z595" s="189" t="s">
        <v>593</v>
      </c>
      <c r="AA595" s="189" t="s">
        <v>184</v>
      </c>
    </row>
    <row r="596">
      <c r="A596" s="189">
        <f>IFERROR(__xludf.DUMMYFUNCTION("""COMPUTED_VALUE"""),207247.0)</f>
        <v>207247</v>
      </c>
      <c r="B596" s="189">
        <f>IFERROR(__xludf.DUMMYFUNCTION("""COMPUTED_VALUE"""),91336.0)</f>
        <v>91336</v>
      </c>
      <c r="C596" s="189" t="str">
        <f>IFERROR(__xludf.DUMMYFUNCTION("""COMPUTED_VALUE"""),"Saudi eLeague 2025: Major 2 - Playoffs")</f>
        <v>Saudi eLeague 2025: Major 2 - Playoffs</v>
      </c>
      <c r="D596" s="189" t="str">
        <f>IFERROR(__xludf.DUMMYFUNCTION("""COMPUTED_VALUE"""),"Lotus")</f>
        <v>Lotus</v>
      </c>
      <c r="E596" s="189" t="str">
        <f>IFERROR(__xludf.DUMMYFUNCTION("""COMPUTED_VALUE"""),"The Ultimates")</f>
        <v>The Ultimates</v>
      </c>
      <c r="F596" s="189" t="str">
        <f>IFERROR(__xludf.DUMMYFUNCTION("""COMPUTED_VALUE"""),"Stallions Esports")</f>
        <v>Stallions Esports</v>
      </c>
      <c r="G596" s="189" t="str">
        <f>IFERROR(__xludf.DUMMYFUNCTION("""COMPUTED_VALUE"""),"Breach,Viper,Omen,Neon,Fade")</f>
        <v>Breach,Viper,Omen,Neon,Fade</v>
      </c>
      <c r="H596" s="189" t="str">
        <f>IFERROR(__xludf.DUMMYFUNCTION("""COMPUTED_VALUE"""),"Cypher,Omen,Yoru,Fade,Iso")</f>
        <v>Cypher,Omen,Yoru,Fade,Iso</v>
      </c>
      <c r="I596" s="189">
        <f>IFERROR(__xludf.DUMMYFUNCTION("""COMPUTED_VALUE"""),7.0)</f>
        <v>7</v>
      </c>
      <c r="J596" s="189">
        <f>IFERROR(__xludf.DUMMYFUNCTION("""COMPUTED_VALUE"""),13.0)</f>
        <v>13</v>
      </c>
      <c r="K596" s="189">
        <f>IFERROR(__xludf.DUMMYFUNCTION("""COMPUTED_VALUE"""),5.0)</f>
        <v>5</v>
      </c>
      <c r="L596" s="189">
        <f>IFERROR(__xludf.DUMMYFUNCTION("""COMPUTED_VALUE"""),7.0)</f>
        <v>7</v>
      </c>
      <c r="M596" s="189">
        <f>IFERROR(__xludf.DUMMYFUNCTION("""COMPUTED_VALUE"""),1.0)</f>
        <v>1</v>
      </c>
      <c r="N596" s="189">
        <f>IFERROR(__xludf.DUMMYFUNCTION("""COMPUTED_VALUE"""),0.0)</f>
        <v>0</v>
      </c>
      <c r="O596" s="189">
        <f>IFERROR(__xludf.DUMMYFUNCTION("""COMPUTED_VALUE"""),5.0)</f>
        <v>5</v>
      </c>
      <c r="P596" s="189">
        <f>IFERROR(__xludf.DUMMYFUNCTION("""COMPUTED_VALUE"""),7.0)</f>
        <v>7</v>
      </c>
      <c r="Q596" s="189">
        <f>IFERROR(__xludf.DUMMYFUNCTION("""COMPUTED_VALUE"""),2.0)</f>
        <v>2</v>
      </c>
      <c r="R596" s="189">
        <f>IFERROR(__xludf.DUMMYFUNCTION("""COMPUTED_VALUE"""),6.0)</f>
        <v>6</v>
      </c>
      <c r="S596" s="189">
        <f>IFERROR(__xludf.DUMMYFUNCTION("""COMPUTED_VALUE"""),1.0)</f>
        <v>1</v>
      </c>
      <c r="T596" s="189">
        <f>IFERROR(__xludf.DUMMYFUNCTION("""COMPUTED_VALUE"""),0.0)</f>
        <v>0</v>
      </c>
      <c r="U596" s="189">
        <f>IFERROR(__xludf.DUMMYFUNCTION("""COMPUTED_VALUE"""),6.0)</f>
        <v>6</v>
      </c>
      <c r="V596" s="189">
        <f>IFERROR(__xludf.DUMMYFUNCTION("""COMPUTED_VALUE"""),2.0)</f>
        <v>2</v>
      </c>
      <c r="W596" s="189">
        <f>IFERROR(__xludf.DUMMYFUNCTION("""COMPUTED_VALUE"""),7.0)</f>
        <v>7</v>
      </c>
      <c r="X596" s="189">
        <f>IFERROR(__xludf.DUMMYFUNCTION("""COMPUTED_VALUE"""),5.0)</f>
        <v>5</v>
      </c>
      <c r="Y596" s="208" t="str">
        <f>IFERROR(__xludf.DUMMYFUNCTION("""COMPUTED_VALUE"""),"2025-06-18T00:00:00.000Z")</f>
        <v>2025-06-18T00:00:00.000Z</v>
      </c>
      <c r="Z596" s="189" t="s">
        <v>155</v>
      </c>
      <c r="AA596" s="189" t="s">
        <v>484</v>
      </c>
    </row>
    <row r="597">
      <c r="A597" s="189">
        <f>IFERROR(__xludf.DUMMYFUNCTION("""COMPUTED_VALUE"""),207086.0)</f>
        <v>207086</v>
      </c>
      <c r="B597" s="189">
        <f>IFERROR(__xludf.DUMMYFUNCTION("""COMPUTED_VALUE"""),91268.0)</f>
        <v>91268</v>
      </c>
      <c r="C597" s="189" t="str">
        <f>IFERROR(__xludf.DUMMYFUNCTION("""COMPUTED_VALUE"""),"Saudi eLeague 2025: Major 2 - Playoffs")</f>
        <v>Saudi eLeague 2025: Major 2 - Playoffs</v>
      </c>
      <c r="D597" s="189" t="str">
        <f>IFERROR(__xludf.DUMMYFUNCTION("""COMPUTED_VALUE"""),"Ascent")</f>
        <v>Ascent</v>
      </c>
      <c r="E597" s="189" t="str">
        <f>IFERROR(__xludf.DUMMYFUNCTION("""COMPUTED_VALUE"""),"The Ultimates")</f>
        <v>The Ultimates</v>
      </c>
      <c r="F597" s="189" t="str">
        <f>IFERROR(__xludf.DUMMYFUNCTION("""COMPUTED_VALUE"""),"AlQadsiah Esports")</f>
        <v>AlQadsiah Esports</v>
      </c>
      <c r="G597" s="189" t="str">
        <f>IFERROR(__xludf.DUMMYFUNCTION("""COMPUTED_VALUE"""),"Cypher,Sova,Omen,Yoru,Deadlock")</f>
        <v>Cypher,Sova,Omen,Yoru,Deadlock</v>
      </c>
      <c r="H597" s="189" t="str">
        <f>IFERROR(__xludf.DUMMYFUNCTION("""COMPUTED_VALUE"""),"Cypher,Sova,Omen,Jett,KAY/O")</f>
        <v>Cypher,Sova,Omen,Jett,KAY/O</v>
      </c>
      <c r="I597" s="189">
        <f>IFERROR(__xludf.DUMMYFUNCTION("""COMPUTED_VALUE"""),13.0)</f>
        <v>13</v>
      </c>
      <c r="J597" s="189">
        <f>IFERROR(__xludf.DUMMYFUNCTION("""COMPUTED_VALUE"""),2.0)</f>
        <v>2</v>
      </c>
      <c r="K597" s="189">
        <f>IFERROR(__xludf.DUMMYFUNCTION("""COMPUTED_VALUE"""),10.0)</f>
        <v>10</v>
      </c>
      <c r="L597" s="189">
        <f>IFERROR(__xludf.DUMMYFUNCTION("""COMPUTED_VALUE"""),2.0)</f>
        <v>2</v>
      </c>
      <c r="M597" s="189">
        <f>IFERROR(__xludf.DUMMYFUNCTION("""COMPUTED_VALUE"""),1.0)</f>
        <v>1</v>
      </c>
      <c r="N597" s="189">
        <f>IFERROR(__xludf.DUMMYFUNCTION("""COMPUTED_VALUE"""),1.0)</f>
        <v>1</v>
      </c>
      <c r="O597" s="189">
        <f>IFERROR(__xludf.DUMMYFUNCTION("""COMPUTED_VALUE"""),3.0)</f>
        <v>3</v>
      </c>
      <c r="P597" s="189">
        <f>IFERROR(__xludf.DUMMYFUNCTION("""COMPUTED_VALUE"""),0.0)</f>
        <v>0</v>
      </c>
      <c r="Q597" s="189">
        <f>IFERROR(__xludf.DUMMYFUNCTION("""COMPUTED_VALUE"""),10.0)</f>
        <v>10</v>
      </c>
      <c r="R597" s="189">
        <f>IFERROR(__xludf.DUMMYFUNCTION("""COMPUTED_VALUE"""),2.0)</f>
        <v>2</v>
      </c>
      <c r="S597" s="189">
        <f>IFERROR(__xludf.DUMMYFUNCTION("""COMPUTED_VALUE"""),0.0)</f>
        <v>0</v>
      </c>
      <c r="T597" s="189">
        <f>IFERROR(__xludf.DUMMYFUNCTION("""COMPUTED_VALUE"""),0.0)</f>
        <v>0</v>
      </c>
      <c r="U597" s="189">
        <f>IFERROR(__xludf.DUMMYFUNCTION("""COMPUTED_VALUE"""),2.0)</f>
        <v>2</v>
      </c>
      <c r="V597" s="189">
        <f>IFERROR(__xludf.DUMMYFUNCTION("""COMPUTED_VALUE"""),10.0)</f>
        <v>10</v>
      </c>
      <c r="W597" s="189">
        <f>IFERROR(__xludf.DUMMYFUNCTION("""COMPUTED_VALUE"""),0.0)</f>
        <v>0</v>
      </c>
      <c r="X597" s="189">
        <f>IFERROR(__xludf.DUMMYFUNCTION("""COMPUTED_VALUE"""),3.0)</f>
        <v>3</v>
      </c>
      <c r="Y597" s="208" t="str">
        <f>IFERROR(__xludf.DUMMYFUNCTION("""COMPUTED_VALUE"""),"2025-06-18T00:00:00.000Z")</f>
        <v>2025-06-18T00:00:00.000Z</v>
      </c>
      <c r="Z597" s="189" t="s">
        <v>150</v>
      </c>
      <c r="AA597" s="189" t="s">
        <v>185</v>
      </c>
    </row>
    <row r="598">
      <c r="A598" s="189">
        <f>IFERROR(__xludf.DUMMYFUNCTION("""COMPUTED_VALUE"""),207085.0)</f>
        <v>207085</v>
      </c>
      <c r="B598" s="189">
        <f>IFERROR(__xludf.DUMMYFUNCTION("""COMPUTED_VALUE"""),91268.0)</f>
        <v>91268</v>
      </c>
      <c r="C598" s="189" t="str">
        <f>IFERROR(__xludf.DUMMYFUNCTION("""COMPUTED_VALUE"""),"Saudi eLeague 2025: Major 2 - Playoffs")</f>
        <v>Saudi eLeague 2025: Major 2 - Playoffs</v>
      </c>
      <c r="D598" s="189" t="str">
        <f>IFERROR(__xludf.DUMMYFUNCTION("""COMPUTED_VALUE"""),"Sunset")</f>
        <v>Sunset</v>
      </c>
      <c r="E598" s="189" t="str">
        <f>IFERROR(__xludf.DUMMYFUNCTION("""COMPUTED_VALUE"""),"The Ultimates")</f>
        <v>The Ultimates</v>
      </c>
      <c r="F598" s="189" t="str">
        <f>IFERROR(__xludf.DUMMYFUNCTION("""COMPUTED_VALUE"""),"AlQadsiah Esports")</f>
        <v>AlQadsiah Esports</v>
      </c>
      <c r="G598" s="189" t="str">
        <f>IFERROR(__xludf.DUMMYFUNCTION("""COMPUTED_VALUE"""),"Breach,Raze,Cypher,Omen,Fade")</f>
        <v>Breach,Raze,Cypher,Omen,Fade</v>
      </c>
      <c r="H598" s="189" t="str">
        <f>IFERROR(__xludf.DUMMYFUNCTION("""COMPUTED_VALUE"""),"Breach,Raze,Cypher,Omen,Fade")</f>
        <v>Breach,Raze,Cypher,Omen,Fade</v>
      </c>
      <c r="I598" s="189">
        <f>IFERROR(__xludf.DUMMYFUNCTION("""COMPUTED_VALUE"""),16.0)</f>
        <v>16</v>
      </c>
      <c r="J598" s="189">
        <f>IFERROR(__xludf.DUMMYFUNCTION("""COMPUTED_VALUE"""),14.0)</f>
        <v>14</v>
      </c>
      <c r="K598" s="189">
        <f>IFERROR(__xludf.DUMMYFUNCTION("""COMPUTED_VALUE"""),6.0)</f>
        <v>6</v>
      </c>
      <c r="L598" s="189">
        <f>IFERROR(__xludf.DUMMYFUNCTION("""COMPUTED_VALUE"""),6.0)</f>
        <v>6</v>
      </c>
      <c r="M598" s="189">
        <f>IFERROR(__xludf.DUMMYFUNCTION("""COMPUTED_VALUE"""),0.0)</f>
        <v>0</v>
      </c>
      <c r="N598" s="189">
        <f>IFERROR(__xludf.DUMMYFUNCTION("""COMPUTED_VALUE"""),1.0)</f>
        <v>1</v>
      </c>
      <c r="O598" s="189">
        <f>IFERROR(__xludf.DUMMYFUNCTION("""COMPUTED_VALUE"""),8.0)</f>
        <v>8</v>
      </c>
      <c r="P598" s="189">
        <f>IFERROR(__xludf.DUMMYFUNCTION("""COMPUTED_VALUE"""),7.0)</f>
        <v>7</v>
      </c>
      <c r="Q598" s="189">
        <f>IFERROR(__xludf.DUMMYFUNCTION("""COMPUTED_VALUE"""),8.0)</f>
        <v>8</v>
      </c>
      <c r="R598" s="189">
        <f>IFERROR(__xludf.DUMMYFUNCTION("""COMPUTED_VALUE"""),7.0)</f>
        <v>7</v>
      </c>
      <c r="S598" s="189">
        <f>IFERROR(__xludf.DUMMYFUNCTION("""COMPUTED_VALUE"""),0.0)</f>
        <v>0</v>
      </c>
      <c r="T598" s="189">
        <f>IFERROR(__xludf.DUMMYFUNCTION("""COMPUTED_VALUE"""),1.0)</f>
        <v>1</v>
      </c>
      <c r="U598" s="189">
        <f>IFERROR(__xludf.DUMMYFUNCTION("""COMPUTED_VALUE"""),7.0)</f>
        <v>7</v>
      </c>
      <c r="V598" s="189">
        <f>IFERROR(__xludf.DUMMYFUNCTION("""COMPUTED_VALUE"""),8.0)</f>
        <v>8</v>
      </c>
      <c r="W598" s="189">
        <f>IFERROR(__xludf.DUMMYFUNCTION("""COMPUTED_VALUE"""),7.0)</f>
        <v>7</v>
      </c>
      <c r="X598" s="189">
        <f>IFERROR(__xludf.DUMMYFUNCTION("""COMPUTED_VALUE"""),8.0)</f>
        <v>8</v>
      </c>
      <c r="Y598" s="208" t="str">
        <f>IFERROR(__xludf.DUMMYFUNCTION("""COMPUTED_VALUE"""),"2025-06-18T00:00:00.000Z")</f>
        <v>2025-06-18T00:00:00.000Z</v>
      </c>
      <c r="Z598" s="189" t="s">
        <v>158</v>
      </c>
      <c r="AA598" s="189" t="s">
        <v>185</v>
      </c>
    </row>
    <row r="599">
      <c r="A599" s="189">
        <f>IFERROR(__xludf.DUMMYFUNCTION("""COMPUTED_VALUE"""),206633.0)</f>
        <v>206633</v>
      </c>
      <c r="B599" s="189">
        <f>IFERROR(__xludf.DUMMYFUNCTION("""COMPUTED_VALUE"""),91111.0)</f>
        <v>91111</v>
      </c>
      <c r="C599" s="189" t="str">
        <f>IFERROR(__xludf.DUMMYFUNCTION("""COMPUTED_VALUE"""),"A1 eSports Cup #8")</f>
        <v>A1 eSports Cup #8</v>
      </c>
      <c r="D599" s="189" t="str">
        <f>IFERROR(__xludf.DUMMYFUNCTION("""COMPUTED_VALUE"""),"Icebox")</f>
        <v>Icebox</v>
      </c>
      <c r="E599" s="189" t="str">
        <f>IFERROR(__xludf.DUMMYFUNCTION("""COMPUTED_VALUE"""),"CGN Esports")</f>
        <v>CGN Esports</v>
      </c>
      <c r="F599" s="189" t="str">
        <f>IFERROR(__xludf.DUMMYFUNCTION("""COMPUTED_VALUE"""),"MOUZ")</f>
        <v>MOUZ</v>
      </c>
      <c r="G599" s="189" t="str">
        <f>IFERROR(__xludf.DUMMYFUNCTION("""COMPUTED_VALUE"""),"Sova,Killjoy,Viper,Jett,KAY/O")</f>
        <v>Sova,Killjoy,Viper,Jett,KAY/O</v>
      </c>
      <c r="H599" s="189" t="str">
        <f>IFERROR(__xludf.DUMMYFUNCTION("""COMPUTED_VALUE"""),"Sova,Killjoy,Viper,Jett,KAY/O")</f>
        <v>Sova,Killjoy,Viper,Jett,KAY/O</v>
      </c>
      <c r="I599" s="189">
        <f>IFERROR(__xludf.DUMMYFUNCTION("""COMPUTED_VALUE"""),4.0)</f>
        <v>4</v>
      </c>
      <c r="J599" s="189">
        <f>IFERROR(__xludf.DUMMYFUNCTION("""COMPUTED_VALUE"""),13.0)</f>
        <v>13</v>
      </c>
      <c r="K599" s="189">
        <f>IFERROR(__xludf.DUMMYFUNCTION("""COMPUTED_VALUE"""),4.0)</f>
        <v>4</v>
      </c>
      <c r="L599" s="189">
        <f>IFERROR(__xludf.DUMMYFUNCTION("""COMPUTED_VALUE"""),8.0)</f>
        <v>8</v>
      </c>
      <c r="M599" s="189">
        <f>IFERROR(__xludf.DUMMYFUNCTION("""COMPUTED_VALUE"""),0.0)</f>
        <v>0</v>
      </c>
      <c r="N599" s="189">
        <f>IFERROR(__xludf.DUMMYFUNCTION("""COMPUTED_VALUE"""),0.0)</f>
        <v>0</v>
      </c>
      <c r="O599" s="189">
        <f>IFERROR(__xludf.DUMMYFUNCTION("""COMPUTED_VALUE"""),4.0)</f>
        <v>4</v>
      </c>
      <c r="P599" s="189">
        <f>IFERROR(__xludf.DUMMYFUNCTION("""COMPUTED_VALUE"""),8.0)</f>
        <v>8</v>
      </c>
      <c r="Q599" s="189">
        <f>IFERROR(__xludf.DUMMYFUNCTION("""COMPUTED_VALUE"""),0.0)</f>
        <v>0</v>
      </c>
      <c r="R599" s="189">
        <f>IFERROR(__xludf.DUMMYFUNCTION("""COMPUTED_VALUE"""),5.0)</f>
        <v>5</v>
      </c>
      <c r="S599" s="189">
        <f>IFERROR(__xludf.DUMMYFUNCTION("""COMPUTED_VALUE"""),1.0)</f>
        <v>1</v>
      </c>
      <c r="T599" s="189">
        <f>IFERROR(__xludf.DUMMYFUNCTION("""COMPUTED_VALUE"""),1.0)</f>
        <v>1</v>
      </c>
      <c r="U599" s="189">
        <f>IFERROR(__xludf.DUMMYFUNCTION("""COMPUTED_VALUE"""),5.0)</f>
        <v>5</v>
      </c>
      <c r="V599" s="189">
        <f>IFERROR(__xludf.DUMMYFUNCTION("""COMPUTED_VALUE"""),0.0)</f>
        <v>0</v>
      </c>
      <c r="W599" s="189">
        <f>IFERROR(__xludf.DUMMYFUNCTION("""COMPUTED_VALUE"""),8.0)</f>
        <v>8</v>
      </c>
      <c r="X599" s="189">
        <f>IFERROR(__xludf.DUMMYFUNCTION("""COMPUTED_VALUE"""),4.0)</f>
        <v>4</v>
      </c>
      <c r="Y599" s="208" t="str">
        <f>IFERROR(__xludf.DUMMYFUNCTION("""COMPUTED_VALUE"""),"2025-06-17T00:00:00.000Z")</f>
        <v>2025-06-17T00:00:00.000Z</v>
      </c>
      <c r="Z599" s="189" t="s">
        <v>594</v>
      </c>
      <c r="AA599" s="189" t="s">
        <v>180</v>
      </c>
    </row>
    <row r="600">
      <c r="A600" s="189">
        <f>IFERROR(__xludf.DUMMYFUNCTION("""COMPUTED_VALUE"""),206632.0)</f>
        <v>206632</v>
      </c>
      <c r="B600" s="189">
        <f>IFERROR(__xludf.DUMMYFUNCTION("""COMPUTED_VALUE"""),91111.0)</f>
        <v>91111</v>
      </c>
      <c r="C600" s="189" t="str">
        <f>IFERROR(__xludf.DUMMYFUNCTION("""COMPUTED_VALUE"""),"A1 eSports Cup #8")</f>
        <v>A1 eSports Cup #8</v>
      </c>
      <c r="D600" s="189" t="str">
        <f>IFERROR(__xludf.DUMMYFUNCTION("""COMPUTED_VALUE"""),"Pearl")</f>
        <v>Pearl</v>
      </c>
      <c r="E600" s="189" t="str">
        <f>IFERROR(__xludf.DUMMYFUNCTION("""COMPUTED_VALUE"""),"CGN Esports")</f>
        <v>CGN Esports</v>
      </c>
      <c r="F600" s="189" t="str">
        <f>IFERROR(__xludf.DUMMYFUNCTION("""COMPUTED_VALUE"""),"MOUZ")</f>
        <v>MOUZ</v>
      </c>
      <c r="G600" s="189" t="str">
        <f>IFERROR(__xludf.DUMMYFUNCTION("""COMPUTED_VALUE"""),"Cypher,Sova,Yoru,Astra,KAY/O")</f>
        <v>Cypher,Sova,Yoru,Astra,KAY/O</v>
      </c>
      <c r="H600" s="189" t="str">
        <f>IFERROR(__xludf.DUMMYFUNCTION("""COMPUTED_VALUE"""),"Yoru,Astra,KAY/O,Fade,Vyse")</f>
        <v>Yoru,Astra,KAY/O,Fade,Vyse</v>
      </c>
      <c r="I600" s="189">
        <f>IFERROR(__xludf.DUMMYFUNCTION("""COMPUTED_VALUE"""),8.0)</f>
        <v>8</v>
      </c>
      <c r="J600" s="189">
        <f>IFERROR(__xludf.DUMMYFUNCTION("""COMPUTED_VALUE"""),13.0)</f>
        <v>13</v>
      </c>
      <c r="K600" s="189">
        <f>IFERROR(__xludf.DUMMYFUNCTION("""COMPUTED_VALUE"""),5.0)</f>
        <v>5</v>
      </c>
      <c r="L600" s="189">
        <f>IFERROR(__xludf.DUMMYFUNCTION("""COMPUTED_VALUE"""),7.0)</f>
        <v>7</v>
      </c>
      <c r="M600" s="189">
        <f>IFERROR(__xludf.DUMMYFUNCTION("""COMPUTED_VALUE"""),0.0)</f>
        <v>0</v>
      </c>
      <c r="N600" s="189">
        <f>IFERROR(__xludf.DUMMYFUNCTION("""COMPUTED_VALUE"""),0.0)</f>
        <v>0</v>
      </c>
      <c r="O600" s="189">
        <f>IFERROR(__xludf.DUMMYFUNCTION("""COMPUTED_VALUE"""),5.0)</f>
        <v>5</v>
      </c>
      <c r="P600" s="189">
        <f>IFERROR(__xludf.DUMMYFUNCTION("""COMPUTED_VALUE"""),7.0)</f>
        <v>7</v>
      </c>
      <c r="Q600" s="189">
        <f>IFERROR(__xludf.DUMMYFUNCTION("""COMPUTED_VALUE"""),3.0)</f>
        <v>3</v>
      </c>
      <c r="R600" s="189">
        <f>IFERROR(__xludf.DUMMYFUNCTION("""COMPUTED_VALUE"""),6.0)</f>
        <v>6</v>
      </c>
      <c r="S600" s="189">
        <f>IFERROR(__xludf.DUMMYFUNCTION("""COMPUTED_VALUE"""),1.0)</f>
        <v>1</v>
      </c>
      <c r="T600" s="189">
        <f>IFERROR(__xludf.DUMMYFUNCTION("""COMPUTED_VALUE"""),1.0)</f>
        <v>1</v>
      </c>
      <c r="U600" s="189">
        <f>IFERROR(__xludf.DUMMYFUNCTION("""COMPUTED_VALUE"""),6.0)</f>
        <v>6</v>
      </c>
      <c r="V600" s="189">
        <f>IFERROR(__xludf.DUMMYFUNCTION("""COMPUTED_VALUE"""),3.0)</f>
        <v>3</v>
      </c>
      <c r="W600" s="189">
        <f>IFERROR(__xludf.DUMMYFUNCTION("""COMPUTED_VALUE"""),7.0)</f>
        <v>7</v>
      </c>
      <c r="X600" s="189">
        <f>IFERROR(__xludf.DUMMYFUNCTION("""COMPUTED_VALUE"""),5.0)</f>
        <v>5</v>
      </c>
      <c r="Y600" s="208" t="str">
        <f>IFERROR(__xludf.DUMMYFUNCTION("""COMPUTED_VALUE"""),"2025-06-17T00:00:00.000Z")</f>
        <v>2025-06-17T00:00:00.000Z</v>
      </c>
      <c r="Z600" s="189" t="s">
        <v>595</v>
      </c>
      <c r="AA600" s="189" t="s">
        <v>180</v>
      </c>
    </row>
    <row r="601">
      <c r="A601" s="189">
        <f>IFERROR(__xludf.DUMMYFUNCTION("""COMPUTED_VALUE"""),204947.0)</f>
        <v>204947</v>
      </c>
      <c r="B601" s="189">
        <f>IFERROR(__xludf.DUMMYFUNCTION("""COMPUTED_VALUE"""),90467.0)</f>
        <v>90467</v>
      </c>
      <c r="C601" s="189" t="str">
        <f>IFERROR(__xludf.DUMMYFUNCTION("""COMPUTED_VALUE"""),"Challengers League 2025 MENA: Resilience - GPI - Split 2 - Group Stage")</f>
        <v>Challengers League 2025 MENA: Resilience - GPI - Split 2 - Group Stage</v>
      </c>
      <c r="D601" s="189" t="str">
        <f>IFERROR(__xludf.DUMMYFUNCTION("""COMPUTED_VALUE"""),"Sunset")</f>
        <v>Sunset</v>
      </c>
      <c r="E601" s="189" t="str">
        <f>IFERROR(__xludf.DUMMYFUNCTION("""COMPUTED_VALUE"""),"RvN")</f>
        <v>RvN</v>
      </c>
      <c r="F601" s="189" t="str">
        <f>IFERROR(__xludf.DUMMYFUNCTION("""COMPUTED_VALUE"""),"The Ultimates")</f>
        <v>The Ultimates</v>
      </c>
      <c r="G601" s="189" t="str">
        <f>IFERROR(__xludf.DUMMYFUNCTION("""COMPUTED_VALUE"""),"Breach,Cypher,Sova,Omen,Neon")</f>
        <v>Breach,Cypher,Sova,Omen,Neon</v>
      </c>
      <c r="H601" s="189" t="str">
        <f>IFERROR(__xludf.DUMMYFUNCTION("""COMPUTED_VALUE"""),"Breach,Raze,Cypher,Omen,Fade")</f>
        <v>Breach,Raze,Cypher,Omen,Fade</v>
      </c>
      <c r="I601" s="189">
        <f>IFERROR(__xludf.DUMMYFUNCTION("""COMPUTED_VALUE"""),13.0)</f>
        <v>13</v>
      </c>
      <c r="J601" s="189">
        <f>IFERROR(__xludf.DUMMYFUNCTION("""COMPUTED_VALUE"""),10.0)</f>
        <v>10</v>
      </c>
      <c r="K601" s="189">
        <f>IFERROR(__xludf.DUMMYFUNCTION("""COMPUTED_VALUE"""),8.0)</f>
        <v>8</v>
      </c>
      <c r="L601" s="189">
        <f>IFERROR(__xludf.DUMMYFUNCTION("""COMPUTED_VALUE"""),4.0)</f>
        <v>4</v>
      </c>
      <c r="M601" s="189">
        <f>IFERROR(__xludf.DUMMYFUNCTION("""COMPUTED_VALUE"""),1.0)</f>
        <v>1</v>
      </c>
      <c r="N601" s="189">
        <f>IFERROR(__xludf.DUMMYFUNCTION("""COMPUTED_VALUE"""),0.0)</f>
        <v>0</v>
      </c>
      <c r="O601" s="189">
        <f>IFERROR(__xludf.DUMMYFUNCTION("""COMPUTED_VALUE"""),8.0)</f>
        <v>8</v>
      </c>
      <c r="P601" s="189">
        <f>IFERROR(__xludf.DUMMYFUNCTION("""COMPUTED_VALUE"""),4.0)</f>
        <v>4</v>
      </c>
      <c r="Q601" s="189">
        <f>IFERROR(__xludf.DUMMYFUNCTION("""COMPUTED_VALUE"""),5.0)</f>
        <v>5</v>
      </c>
      <c r="R601" s="189">
        <f>IFERROR(__xludf.DUMMYFUNCTION("""COMPUTED_VALUE"""),6.0)</f>
        <v>6</v>
      </c>
      <c r="S601" s="189">
        <f>IFERROR(__xludf.DUMMYFUNCTION("""COMPUTED_VALUE"""),1.0)</f>
        <v>1</v>
      </c>
      <c r="T601" s="189">
        <f>IFERROR(__xludf.DUMMYFUNCTION("""COMPUTED_VALUE"""),0.0)</f>
        <v>0</v>
      </c>
      <c r="U601" s="189">
        <f>IFERROR(__xludf.DUMMYFUNCTION("""COMPUTED_VALUE"""),6.0)</f>
        <v>6</v>
      </c>
      <c r="V601" s="189">
        <f>IFERROR(__xludf.DUMMYFUNCTION("""COMPUTED_VALUE"""),5.0)</f>
        <v>5</v>
      </c>
      <c r="W601" s="189">
        <f>IFERROR(__xludf.DUMMYFUNCTION("""COMPUTED_VALUE"""),4.0)</f>
        <v>4</v>
      </c>
      <c r="X601" s="189">
        <f>IFERROR(__xludf.DUMMYFUNCTION("""COMPUTED_VALUE"""),8.0)</f>
        <v>8</v>
      </c>
      <c r="Y601" s="208" t="str">
        <f>IFERROR(__xludf.DUMMYFUNCTION("""COMPUTED_VALUE"""),"2025-06-14T00:00:00.000Z")</f>
        <v>2025-06-14T00:00:00.000Z</v>
      </c>
      <c r="Z601" s="189" t="s">
        <v>543</v>
      </c>
      <c r="AA601" s="189" t="s">
        <v>438</v>
      </c>
    </row>
    <row r="602">
      <c r="A602" s="189">
        <f>IFERROR(__xludf.DUMMYFUNCTION("""COMPUTED_VALUE"""),204946.0)</f>
        <v>204946</v>
      </c>
      <c r="B602" s="189">
        <f>IFERROR(__xludf.DUMMYFUNCTION("""COMPUTED_VALUE"""),90467.0)</f>
        <v>90467</v>
      </c>
      <c r="C602" s="189" t="str">
        <f>IFERROR(__xludf.DUMMYFUNCTION("""COMPUTED_VALUE"""),"Challengers League 2025 MENA: Resilience - GPI - Split 2 - Group Stage")</f>
        <v>Challengers League 2025 MENA: Resilience - GPI - Split 2 - Group Stage</v>
      </c>
      <c r="D602" s="189" t="str">
        <f>IFERROR(__xludf.DUMMYFUNCTION("""COMPUTED_VALUE"""),"Icebox")</f>
        <v>Icebox</v>
      </c>
      <c r="E602" s="189" t="str">
        <f>IFERROR(__xludf.DUMMYFUNCTION("""COMPUTED_VALUE"""),"RvN")</f>
        <v>RvN</v>
      </c>
      <c r="F602" s="189" t="str">
        <f>IFERROR(__xludf.DUMMYFUNCTION("""COMPUTED_VALUE"""),"The Ultimates")</f>
        <v>The Ultimates</v>
      </c>
      <c r="G602" s="189" t="str">
        <f>IFERROR(__xludf.DUMMYFUNCTION("""COMPUTED_VALUE"""),"Sova,Killjoy,Viper,Jett,Harbor")</f>
        <v>Sova,Killjoy,Viper,Jett,Harbor</v>
      </c>
      <c r="H602" s="189" t="str">
        <f>IFERROR(__xludf.DUMMYFUNCTION("""COMPUTED_VALUE"""),"Reyna,Omen,KAY/O,Harbor,Gekko")</f>
        <v>Reyna,Omen,KAY/O,Harbor,Gekko</v>
      </c>
      <c r="I602" s="189">
        <f>IFERROR(__xludf.DUMMYFUNCTION("""COMPUTED_VALUE"""),8.0)</f>
        <v>8</v>
      </c>
      <c r="J602" s="189">
        <f>IFERROR(__xludf.DUMMYFUNCTION("""COMPUTED_VALUE"""),13.0)</f>
        <v>13</v>
      </c>
      <c r="K602" s="189">
        <f>IFERROR(__xludf.DUMMYFUNCTION("""COMPUTED_VALUE"""),5.0)</f>
        <v>5</v>
      </c>
      <c r="L602" s="189">
        <f>IFERROR(__xludf.DUMMYFUNCTION("""COMPUTED_VALUE"""),7.0)</f>
        <v>7</v>
      </c>
      <c r="M602" s="189">
        <f>IFERROR(__xludf.DUMMYFUNCTION("""COMPUTED_VALUE"""),1.0)</f>
        <v>1</v>
      </c>
      <c r="N602" s="189">
        <f>IFERROR(__xludf.DUMMYFUNCTION("""COMPUTED_VALUE"""),0.0)</f>
        <v>0</v>
      </c>
      <c r="O602" s="189">
        <f>IFERROR(__xludf.DUMMYFUNCTION("""COMPUTED_VALUE"""),5.0)</f>
        <v>5</v>
      </c>
      <c r="P602" s="189">
        <f>IFERROR(__xludf.DUMMYFUNCTION("""COMPUTED_VALUE"""),7.0)</f>
        <v>7</v>
      </c>
      <c r="Q602" s="189">
        <f>IFERROR(__xludf.DUMMYFUNCTION("""COMPUTED_VALUE"""),3.0)</f>
        <v>3</v>
      </c>
      <c r="R602" s="189">
        <f>IFERROR(__xludf.DUMMYFUNCTION("""COMPUTED_VALUE"""),6.0)</f>
        <v>6</v>
      </c>
      <c r="S602" s="189">
        <f>IFERROR(__xludf.DUMMYFUNCTION("""COMPUTED_VALUE"""),1.0)</f>
        <v>1</v>
      </c>
      <c r="T602" s="189">
        <f>IFERROR(__xludf.DUMMYFUNCTION("""COMPUTED_VALUE"""),0.0)</f>
        <v>0</v>
      </c>
      <c r="U602" s="189">
        <f>IFERROR(__xludf.DUMMYFUNCTION("""COMPUTED_VALUE"""),6.0)</f>
        <v>6</v>
      </c>
      <c r="V602" s="189">
        <f>IFERROR(__xludf.DUMMYFUNCTION("""COMPUTED_VALUE"""),3.0)</f>
        <v>3</v>
      </c>
      <c r="W602" s="189">
        <f>IFERROR(__xludf.DUMMYFUNCTION("""COMPUTED_VALUE"""),7.0)</f>
        <v>7</v>
      </c>
      <c r="X602" s="189">
        <f>IFERROR(__xludf.DUMMYFUNCTION("""COMPUTED_VALUE"""),5.0)</f>
        <v>5</v>
      </c>
      <c r="Y602" s="208" t="str">
        <f>IFERROR(__xludf.DUMMYFUNCTION("""COMPUTED_VALUE"""),"2025-06-14T00:00:00.000Z")</f>
        <v>2025-06-14T00:00:00.000Z</v>
      </c>
      <c r="Z602" s="189" t="s">
        <v>541</v>
      </c>
      <c r="AA602" s="189" t="s">
        <v>185</v>
      </c>
    </row>
    <row r="603">
      <c r="A603" s="189">
        <f>IFERROR(__xludf.DUMMYFUNCTION("""COMPUTED_VALUE"""),204945.0)</f>
        <v>204945</v>
      </c>
      <c r="B603" s="189">
        <f>IFERROR(__xludf.DUMMYFUNCTION("""COMPUTED_VALUE"""),90467.0)</f>
        <v>90467</v>
      </c>
      <c r="C603" s="189" t="str">
        <f>IFERROR(__xludf.DUMMYFUNCTION("""COMPUTED_VALUE"""),"Challengers League 2025 MENA: Resilience - GPI - Split 2 - Group Stage")</f>
        <v>Challengers League 2025 MENA: Resilience - GPI - Split 2 - Group Stage</v>
      </c>
      <c r="D603" s="189" t="str">
        <f>IFERROR(__xludf.DUMMYFUNCTION("""COMPUTED_VALUE"""),"Lotus")</f>
        <v>Lotus</v>
      </c>
      <c r="E603" s="189" t="str">
        <f>IFERROR(__xludf.DUMMYFUNCTION("""COMPUTED_VALUE"""),"RvN")</f>
        <v>RvN</v>
      </c>
      <c r="F603" s="189" t="str">
        <f>IFERROR(__xludf.DUMMYFUNCTION("""COMPUTED_VALUE"""),"The Ultimates")</f>
        <v>The Ultimates</v>
      </c>
      <c r="G603" s="189" t="str">
        <f>IFERROR(__xludf.DUMMYFUNCTION("""COMPUTED_VALUE"""),"Breach,Cypher,Omen,Neon,Fade")</f>
        <v>Breach,Cypher,Omen,Neon,Fade</v>
      </c>
      <c r="H603" s="189" t="str">
        <f>IFERROR(__xludf.DUMMYFUNCTION("""COMPUTED_VALUE"""),"Breach,Viper,Omen,Neon,Fade")</f>
        <v>Breach,Viper,Omen,Neon,Fade</v>
      </c>
      <c r="I603" s="189">
        <f>IFERROR(__xludf.DUMMYFUNCTION("""COMPUTED_VALUE"""),13.0)</f>
        <v>13</v>
      </c>
      <c r="J603" s="189">
        <f>IFERROR(__xludf.DUMMYFUNCTION("""COMPUTED_VALUE"""),11.0)</f>
        <v>11</v>
      </c>
      <c r="K603" s="189">
        <f>IFERROR(__xludf.DUMMYFUNCTION("""COMPUTED_VALUE"""),8.0)</f>
        <v>8</v>
      </c>
      <c r="L603" s="189">
        <f>IFERROR(__xludf.DUMMYFUNCTION("""COMPUTED_VALUE"""),4.0)</f>
        <v>4</v>
      </c>
      <c r="M603" s="189">
        <f>IFERROR(__xludf.DUMMYFUNCTION("""COMPUTED_VALUE"""),0.0)</f>
        <v>0</v>
      </c>
      <c r="N603" s="189">
        <f>IFERROR(__xludf.DUMMYFUNCTION("""COMPUTED_VALUE"""),1.0)</f>
        <v>1</v>
      </c>
      <c r="O603" s="189">
        <f>IFERROR(__xludf.DUMMYFUNCTION("""COMPUTED_VALUE"""),8.0)</f>
        <v>8</v>
      </c>
      <c r="P603" s="189">
        <f>IFERROR(__xludf.DUMMYFUNCTION("""COMPUTED_VALUE"""),4.0)</f>
        <v>4</v>
      </c>
      <c r="Q603" s="189">
        <f>IFERROR(__xludf.DUMMYFUNCTION("""COMPUTED_VALUE"""),5.0)</f>
        <v>5</v>
      </c>
      <c r="R603" s="189">
        <f>IFERROR(__xludf.DUMMYFUNCTION("""COMPUTED_VALUE"""),7.0)</f>
        <v>7</v>
      </c>
      <c r="S603" s="189">
        <f>IFERROR(__xludf.DUMMYFUNCTION("""COMPUTED_VALUE"""),0.0)</f>
        <v>0</v>
      </c>
      <c r="T603" s="189">
        <f>IFERROR(__xludf.DUMMYFUNCTION("""COMPUTED_VALUE"""),1.0)</f>
        <v>1</v>
      </c>
      <c r="U603" s="189">
        <f>IFERROR(__xludf.DUMMYFUNCTION("""COMPUTED_VALUE"""),7.0)</f>
        <v>7</v>
      </c>
      <c r="V603" s="189">
        <f>IFERROR(__xludf.DUMMYFUNCTION("""COMPUTED_VALUE"""),5.0)</f>
        <v>5</v>
      </c>
      <c r="W603" s="189">
        <f>IFERROR(__xludf.DUMMYFUNCTION("""COMPUTED_VALUE"""),4.0)</f>
        <v>4</v>
      </c>
      <c r="X603" s="189">
        <f>IFERROR(__xludf.DUMMYFUNCTION("""COMPUTED_VALUE"""),8.0)</f>
        <v>8</v>
      </c>
      <c r="Y603" s="208" t="str">
        <f>IFERROR(__xludf.DUMMYFUNCTION("""COMPUTED_VALUE"""),"2025-06-14T00:00:00.000Z")</f>
        <v>2025-06-14T00:00:00.000Z</v>
      </c>
      <c r="Z603" s="189" t="s">
        <v>596</v>
      </c>
      <c r="AA603" s="189" t="s">
        <v>438</v>
      </c>
    </row>
    <row r="604">
      <c r="A604" s="189">
        <f>IFERROR(__xludf.DUMMYFUNCTION("""COMPUTED_VALUE"""),206693.0)</f>
        <v>206693</v>
      </c>
      <c r="B604" s="189">
        <f>IFERROR(__xludf.DUMMYFUNCTION("""COMPUTED_VALUE"""),91131.0)</f>
        <v>91131</v>
      </c>
      <c r="C604" s="189" t="str">
        <f>IFERROR(__xludf.DUMMYFUNCTION("""COMPUTED_VALUE"""),"BtcTurk GameFest - Stage 2")</f>
        <v>BtcTurk GameFest - Stage 2</v>
      </c>
      <c r="D604" s="189" t="str">
        <f>IFERROR(__xludf.DUMMYFUNCTION("""COMPUTED_VALUE"""),"Sunset")</f>
        <v>Sunset</v>
      </c>
      <c r="E604" s="189" t="str">
        <f>IFERROR(__xludf.DUMMYFUNCTION("""COMPUTED_VALUE"""),"Eternal Fire")</f>
        <v>Eternal Fire</v>
      </c>
      <c r="F604" s="189" t="str">
        <f>IFERROR(__xludf.DUMMYFUNCTION("""COMPUTED_VALUE"""),"ULF Esports")</f>
        <v>ULF Esports</v>
      </c>
      <c r="G604" s="189" t="str">
        <f>IFERROR(__xludf.DUMMYFUNCTION("""COMPUTED_VALUE"""),"Cypher,Sova,Omen,Yoru,Iso")</f>
        <v>Cypher,Sova,Omen,Yoru,Iso</v>
      </c>
      <c r="H604" s="189" t="str">
        <f>IFERROR(__xludf.DUMMYFUNCTION("""COMPUTED_VALUE"""),"Breach,Sova,Omen,Neon,Vyse")</f>
        <v>Breach,Sova,Omen,Neon,Vyse</v>
      </c>
      <c r="I604" s="189">
        <f>IFERROR(__xludf.DUMMYFUNCTION("""COMPUTED_VALUE"""),9.0)</f>
        <v>9</v>
      </c>
      <c r="J604" s="189">
        <f>IFERROR(__xludf.DUMMYFUNCTION("""COMPUTED_VALUE"""),13.0)</f>
        <v>13</v>
      </c>
      <c r="K604" s="189">
        <f>IFERROR(__xludf.DUMMYFUNCTION("""COMPUTED_VALUE"""),5.0)</f>
        <v>5</v>
      </c>
      <c r="L604" s="189">
        <f>IFERROR(__xludf.DUMMYFUNCTION("""COMPUTED_VALUE"""),7.0)</f>
        <v>7</v>
      </c>
      <c r="M604" s="189">
        <f>IFERROR(__xludf.DUMMYFUNCTION("""COMPUTED_VALUE"""),0.0)</f>
        <v>0</v>
      </c>
      <c r="N604" s="189">
        <f>IFERROR(__xludf.DUMMYFUNCTION("""COMPUTED_VALUE"""),0.0)</f>
        <v>0</v>
      </c>
      <c r="O604" s="189">
        <f>IFERROR(__xludf.DUMMYFUNCTION("""COMPUTED_VALUE"""),4.0)</f>
        <v>4</v>
      </c>
      <c r="P604" s="189">
        <f>IFERROR(__xludf.DUMMYFUNCTION("""COMPUTED_VALUE"""),6.0)</f>
        <v>6</v>
      </c>
      <c r="Q604" s="189">
        <f>IFERROR(__xludf.DUMMYFUNCTION("""COMPUTED_VALUE"""),5.0)</f>
        <v>5</v>
      </c>
      <c r="R604" s="189">
        <f>IFERROR(__xludf.DUMMYFUNCTION("""COMPUTED_VALUE"""),7.0)</f>
        <v>7</v>
      </c>
      <c r="S604" s="189">
        <f>IFERROR(__xludf.DUMMYFUNCTION("""COMPUTED_VALUE"""),1.0)</f>
        <v>1</v>
      </c>
      <c r="T604" s="189">
        <f>IFERROR(__xludf.DUMMYFUNCTION("""COMPUTED_VALUE"""),1.0)</f>
        <v>1</v>
      </c>
      <c r="U604" s="189">
        <f>IFERROR(__xludf.DUMMYFUNCTION("""COMPUTED_VALUE"""),7.0)</f>
        <v>7</v>
      </c>
      <c r="V604" s="189">
        <f>IFERROR(__xludf.DUMMYFUNCTION("""COMPUTED_VALUE"""),5.0)</f>
        <v>5</v>
      </c>
      <c r="W604" s="189">
        <f>IFERROR(__xludf.DUMMYFUNCTION("""COMPUTED_VALUE"""),6.0)</f>
        <v>6</v>
      </c>
      <c r="X604" s="189">
        <f>IFERROR(__xludf.DUMMYFUNCTION("""COMPUTED_VALUE"""),4.0)</f>
        <v>4</v>
      </c>
      <c r="Y604" s="208" t="str">
        <f>IFERROR(__xludf.DUMMYFUNCTION("""COMPUTED_VALUE"""),"2025-06-12T00:00:00.000Z")</f>
        <v>2025-06-12T00:00:00.000Z</v>
      </c>
      <c r="Z604" s="189" t="s">
        <v>495</v>
      </c>
      <c r="AA604" s="189" t="s">
        <v>188</v>
      </c>
    </row>
    <row r="605">
      <c r="A605" s="189">
        <f>IFERROR(__xludf.DUMMYFUNCTION("""COMPUTED_VALUE"""),205852.0)</f>
        <v>205852</v>
      </c>
      <c r="B605" s="189">
        <f>IFERROR(__xludf.DUMMYFUNCTION("""COMPUTED_VALUE"""),90797.0)</f>
        <v>90797</v>
      </c>
      <c r="C605" s="189" t="str">
        <f>IFERROR(__xludf.DUMMYFUNCTION("""COMPUTED_VALUE"""),"A1 eSports Cup #8")</f>
        <v>A1 eSports Cup #8</v>
      </c>
      <c r="D605" s="189" t="str">
        <f>IFERROR(__xludf.DUMMYFUNCTION("""COMPUTED_VALUE"""),"Split")</f>
        <v>Split</v>
      </c>
      <c r="E605" s="189" t="str">
        <f>IFERROR(__xludf.DUMMYFUNCTION("""COMPUTED_VALUE"""),"MOUZ")</f>
        <v>MOUZ</v>
      </c>
      <c r="F605" s="189" t="str">
        <f>IFERROR(__xludf.DUMMYFUNCTION("""COMPUTED_VALUE"""),"Eintracht Frankfurt")</f>
        <v>Eintracht Frankfurt</v>
      </c>
      <c r="G605" s="189" t="str">
        <f>IFERROR(__xludf.DUMMYFUNCTION("""COMPUTED_VALUE"""),"Raze,Viper,Yoru,Astra,Fade")</f>
        <v>Raze,Viper,Yoru,Astra,Fade</v>
      </c>
      <c r="H605" s="189" t="str">
        <f>IFERROR(__xludf.DUMMYFUNCTION("""COMPUTED_VALUE"""),"Raze,Viper,Yoru,Astra,Fade")</f>
        <v>Raze,Viper,Yoru,Astra,Fade</v>
      </c>
      <c r="I605" s="189">
        <f>IFERROR(__xludf.DUMMYFUNCTION("""COMPUTED_VALUE"""),4.0)</f>
        <v>4</v>
      </c>
      <c r="J605" s="189">
        <f>IFERROR(__xludf.DUMMYFUNCTION("""COMPUTED_VALUE"""),13.0)</f>
        <v>13</v>
      </c>
      <c r="K605" s="189">
        <f>IFERROR(__xludf.DUMMYFUNCTION("""COMPUTED_VALUE"""),2.0)</f>
        <v>2</v>
      </c>
      <c r="L605" s="189">
        <f>IFERROR(__xludf.DUMMYFUNCTION("""COMPUTED_VALUE"""),10.0)</f>
        <v>10</v>
      </c>
      <c r="M605" s="189">
        <f>IFERROR(__xludf.DUMMYFUNCTION("""COMPUTED_VALUE"""),0.0)</f>
        <v>0</v>
      </c>
      <c r="N605" s="189">
        <f>IFERROR(__xludf.DUMMYFUNCTION("""COMPUTED_VALUE"""),0.0)</f>
        <v>0</v>
      </c>
      <c r="O605" s="189">
        <f>IFERROR(__xludf.DUMMYFUNCTION("""COMPUTED_VALUE"""),2.0)</f>
        <v>2</v>
      </c>
      <c r="P605" s="189">
        <f>IFERROR(__xludf.DUMMYFUNCTION("""COMPUTED_VALUE"""),10.0)</f>
        <v>10</v>
      </c>
      <c r="Q605" s="189">
        <f>IFERROR(__xludf.DUMMYFUNCTION("""COMPUTED_VALUE"""),2.0)</f>
        <v>2</v>
      </c>
      <c r="R605" s="189">
        <f>IFERROR(__xludf.DUMMYFUNCTION("""COMPUTED_VALUE"""),3.0)</f>
        <v>3</v>
      </c>
      <c r="S605" s="189">
        <f>IFERROR(__xludf.DUMMYFUNCTION("""COMPUTED_VALUE"""),1.0)</f>
        <v>1</v>
      </c>
      <c r="T605" s="189">
        <f>IFERROR(__xludf.DUMMYFUNCTION("""COMPUTED_VALUE"""),1.0)</f>
        <v>1</v>
      </c>
      <c r="U605" s="189">
        <f>IFERROR(__xludf.DUMMYFUNCTION("""COMPUTED_VALUE"""),3.0)</f>
        <v>3</v>
      </c>
      <c r="V605" s="189">
        <f>IFERROR(__xludf.DUMMYFUNCTION("""COMPUTED_VALUE"""),2.0)</f>
        <v>2</v>
      </c>
      <c r="W605" s="189">
        <f>IFERROR(__xludf.DUMMYFUNCTION("""COMPUTED_VALUE"""),10.0)</f>
        <v>10</v>
      </c>
      <c r="X605" s="189">
        <f>IFERROR(__xludf.DUMMYFUNCTION("""COMPUTED_VALUE"""),2.0)</f>
        <v>2</v>
      </c>
      <c r="Y605" s="208" t="str">
        <f>IFERROR(__xludf.DUMMYFUNCTION("""COMPUTED_VALUE"""),"2025-06-12T00:00:00.000Z")</f>
        <v>2025-06-12T00:00:00.000Z</v>
      </c>
      <c r="Z605" s="189" t="s">
        <v>140</v>
      </c>
      <c r="AA605" s="189" t="s">
        <v>183</v>
      </c>
    </row>
    <row r="606">
      <c r="A606" s="189">
        <f>IFERROR(__xludf.DUMMYFUNCTION("""COMPUTED_VALUE"""),206692.0)</f>
        <v>206692</v>
      </c>
      <c r="B606" s="189">
        <f>IFERROR(__xludf.DUMMYFUNCTION("""COMPUTED_VALUE"""),91131.0)</f>
        <v>91131</v>
      </c>
      <c r="C606" s="189" t="str">
        <f>IFERROR(__xludf.DUMMYFUNCTION("""COMPUTED_VALUE"""),"BtcTurk GameFest - Stage 2")</f>
        <v>BtcTurk GameFest - Stage 2</v>
      </c>
      <c r="D606" s="189" t="str">
        <f>IFERROR(__xludf.DUMMYFUNCTION("""COMPUTED_VALUE"""),"Ascent")</f>
        <v>Ascent</v>
      </c>
      <c r="E606" s="189" t="str">
        <f>IFERROR(__xludf.DUMMYFUNCTION("""COMPUTED_VALUE"""),"Eternal Fire")</f>
        <v>Eternal Fire</v>
      </c>
      <c r="F606" s="189" t="str">
        <f>IFERROR(__xludf.DUMMYFUNCTION("""COMPUTED_VALUE"""),"ULF Esports")</f>
        <v>ULF Esports</v>
      </c>
      <c r="G606" s="189" t="str">
        <f>IFERROR(__xludf.DUMMYFUNCTION("""COMPUTED_VALUE"""),"Cypher,Sova,Omen,Yoru,Iso")</f>
        <v>Cypher,Sova,Omen,Yoru,Iso</v>
      </c>
      <c r="H606" s="189" t="str">
        <f>IFERROR(__xludf.DUMMYFUNCTION("""COMPUTED_VALUE"""),"Cypher,Sova,Omen,Yoru,Neon")</f>
        <v>Cypher,Sova,Omen,Yoru,Neon</v>
      </c>
      <c r="I606" s="189">
        <f>IFERROR(__xludf.DUMMYFUNCTION("""COMPUTED_VALUE"""),8.0)</f>
        <v>8</v>
      </c>
      <c r="J606" s="189">
        <f>IFERROR(__xludf.DUMMYFUNCTION("""COMPUTED_VALUE"""),13.0)</f>
        <v>13</v>
      </c>
      <c r="K606" s="189">
        <f>IFERROR(__xludf.DUMMYFUNCTION("""COMPUTED_VALUE"""),7.0)</f>
        <v>7</v>
      </c>
      <c r="L606" s="189">
        <f>IFERROR(__xludf.DUMMYFUNCTION("""COMPUTED_VALUE"""),5.0)</f>
        <v>5</v>
      </c>
      <c r="M606" s="189">
        <f>IFERROR(__xludf.DUMMYFUNCTION("""COMPUTED_VALUE"""),0.0)</f>
        <v>0</v>
      </c>
      <c r="N606" s="189">
        <f>IFERROR(__xludf.DUMMYFUNCTION("""COMPUTED_VALUE"""),0.0)</f>
        <v>0</v>
      </c>
      <c r="O606" s="189">
        <f>IFERROR(__xludf.DUMMYFUNCTION("""COMPUTED_VALUE"""),1.0)</f>
        <v>1</v>
      </c>
      <c r="P606" s="189">
        <f>IFERROR(__xludf.DUMMYFUNCTION("""COMPUTED_VALUE"""),8.0)</f>
        <v>8</v>
      </c>
      <c r="Q606" s="189">
        <f>IFERROR(__xludf.DUMMYFUNCTION("""COMPUTED_VALUE"""),7.0)</f>
        <v>7</v>
      </c>
      <c r="R606" s="189">
        <f>IFERROR(__xludf.DUMMYFUNCTION("""COMPUTED_VALUE"""),5.0)</f>
        <v>5</v>
      </c>
      <c r="S606" s="189">
        <f>IFERROR(__xludf.DUMMYFUNCTION("""COMPUTED_VALUE"""),1.0)</f>
        <v>1</v>
      </c>
      <c r="T606" s="189">
        <f>IFERROR(__xludf.DUMMYFUNCTION("""COMPUTED_VALUE"""),1.0)</f>
        <v>1</v>
      </c>
      <c r="U606" s="189">
        <f>IFERROR(__xludf.DUMMYFUNCTION("""COMPUTED_VALUE"""),5.0)</f>
        <v>5</v>
      </c>
      <c r="V606" s="189">
        <f>IFERROR(__xludf.DUMMYFUNCTION("""COMPUTED_VALUE"""),7.0)</f>
        <v>7</v>
      </c>
      <c r="W606" s="189">
        <f>IFERROR(__xludf.DUMMYFUNCTION("""COMPUTED_VALUE"""),8.0)</f>
        <v>8</v>
      </c>
      <c r="X606" s="189">
        <f>IFERROR(__xludf.DUMMYFUNCTION("""COMPUTED_VALUE"""),1.0)</f>
        <v>1</v>
      </c>
      <c r="Y606" s="208" t="str">
        <f>IFERROR(__xludf.DUMMYFUNCTION("""COMPUTED_VALUE"""),"2025-06-12T00:00:00.000Z")</f>
        <v>2025-06-12T00:00:00.000Z</v>
      </c>
      <c r="Z606" s="189" t="s">
        <v>597</v>
      </c>
      <c r="AA606" s="189" t="s">
        <v>188</v>
      </c>
    </row>
    <row r="607">
      <c r="A607" s="189">
        <f>IFERROR(__xludf.DUMMYFUNCTION("""COMPUTED_VALUE"""),205851.0)</f>
        <v>205851</v>
      </c>
      <c r="B607" s="189">
        <f>IFERROR(__xludf.DUMMYFUNCTION("""COMPUTED_VALUE"""),90797.0)</f>
        <v>90797</v>
      </c>
      <c r="C607" s="189" t="str">
        <f>IFERROR(__xludf.DUMMYFUNCTION("""COMPUTED_VALUE"""),"A1 eSports Cup #8")</f>
        <v>A1 eSports Cup #8</v>
      </c>
      <c r="D607" s="189" t="str">
        <f>IFERROR(__xludf.DUMMYFUNCTION("""COMPUTED_VALUE"""),"Sunset")</f>
        <v>Sunset</v>
      </c>
      <c r="E607" s="189" t="str">
        <f>IFERROR(__xludf.DUMMYFUNCTION("""COMPUTED_VALUE"""),"MOUZ")</f>
        <v>MOUZ</v>
      </c>
      <c r="F607" s="189" t="str">
        <f>IFERROR(__xludf.DUMMYFUNCTION("""COMPUTED_VALUE"""),"Eintracht Frankfurt")</f>
        <v>Eintracht Frankfurt</v>
      </c>
      <c r="G607" s="189" t="str">
        <f>IFERROR(__xludf.DUMMYFUNCTION("""COMPUTED_VALUE"""),"Breach,Sova,Omen,Neon,Vyse")</f>
        <v>Breach,Sova,Omen,Neon,Vyse</v>
      </c>
      <c r="H607" s="189" t="str">
        <f>IFERROR(__xludf.DUMMYFUNCTION("""COMPUTED_VALUE"""),"Cypher,Sova,Omen,KAY/O,Neon")</f>
        <v>Cypher,Sova,Omen,KAY/O,Neon</v>
      </c>
      <c r="I607" s="189">
        <f>IFERROR(__xludf.DUMMYFUNCTION("""COMPUTED_VALUE"""),11.0)</f>
        <v>11</v>
      </c>
      <c r="J607" s="189">
        <f>IFERROR(__xludf.DUMMYFUNCTION("""COMPUTED_VALUE"""),13.0)</f>
        <v>13</v>
      </c>
      <c r="K607" s="189">
        <f>IFERROR(__xludf.DUMMYFUNCTION("""COMPUTED_VALUE"""),4.0)</f>
        <v>4</v>
      </c>
      <c r="L607" s="189">
        <f>IFERROR(__xludf.DUMMYFUNCTION("""COMPUTED_VALUE"""),8.0)</f>
        <v>8</v>
      </c>
      <c r="M607" s="189">
        <f>IFERROR(__xludf.DUMMYFUNCTION("""COMPUTED_VALUE"""),1.0)</f>
        <v>1</v>
      </c>
      <c r="N607" s="189">
        <f>IFERROR(__xludf.DUMMYFUNCTION("""COMPUTED_VALUE"""),0.0)</f>
        <v>0</v>
      </c>
      <c r="O607" s="189">
        <f>IFERROR(__xludf.DUMMYFUNCTION("""COMPUTED_VALUE"""),7.0)</f>
        <v>7</v>
      </c>
      <c r="P607" s="189">
        <f>IFERROR(__xludf.DUMMYFUNCTION("""COMPUTED_VALUE"""),5.0)</f>
        <v>5</v>
      </c>
      <c r="Q607" s="189">
        <f>IFERROR(__xludf.DUMMYFUNCTION("""COMPUTED_VALUE"""),4.0)</f>
        <v>4</v>
      </c>
      <c r="R607" s="189">
        <f>IFERROR(__xludf.DUMMYFUNCTION("""COMPUTED_VALUE"""),8.0)</f>
        <v>8</v>
      </c>
      <c r="S607" s="189">
        <f>IFERROR(__xludf.DUMMYFUNCTION("""COMPUTED_VALUE"""),1.0)</f>
        <v>1</v>
      </c>
      <c r="T607" s="189">
        <f>IFERROR(__xludf.DUMMYFUNCTION("""COMPUTED_VALUE"""),0.0)</f>
        <v>0</v>
      </c>
      <c r="U607" s="189">
        <f>IFERROR(__xludf.DUMMYFUNCTION("""COMPUTED_VALUE"""),8.0)</f>
        <v>8</v>
      </c>
      <c r="V607" s="189">
        <f>IFERROR(__xludf.DUMMYFUNCTION("""COMPUTED_VALUE"""),4.0)</f>
        <v>4</v>
      </c>
      <c r="W607" s="189">
        <f>IFERROR(__xludf.DUMMYFUNCTION("""COMPUTED_VALUE"""),5.0)</f>
        <v>5</v>
      </c>
      <c r="X607" s="189">
        <f>IFERROR(__xludf.DUMMYFUNCTION("""COMPUTED_VALUE"""),7.0)</f>
        <v>7</v>
      </c>
      <c r="Y607" s="208" t="str">
        <f>IFERROR(__xludf.DUMMYFUNCTION("""COMPUTED_VALUE"""),"2025-06-12T00:00:00.000Z")</f>
        <v>2025-06-12T00:00:00.000Z</v>
      </c>
      <c r="Z607" s="189" t="s">
        <v>141</v>
      </c>
      <c r="AA607" s="189" t="s">
        <v>183</v>
      </c>
    </row>
    <row r="608">
      <c r="A608" s="189">
        <f>IFERROR(__xludf.DUMMYFUNCTION("""COMPUTED_VALUE"""),206690.0)</f>
        <v>206690</v>
      </c>
      <c r="B608" s="189">
        <f>IFERROR(__xludf.DUMMYFUNCTION("""COMPUTED_VALUE"""),91130.0)</f>
        <v>91130</v>
      </c>
      <c r="C608" s="189" t="str">
        <f>IFERROR(__xludf.DUMMYFUNCTION("""COMPUTED_VALUE"""),"BtcTurk GameFest - Stage 2")</f>
        <v>BtcTurk GameFest - Stage 2</v>
      </c>
      <c r="D608" s="189" t="str">
        <f>IFERROR(__xludf.DUMMYFUNCTION("""COMPUTED_VALUE"""),"Lotus")</f>
        <v>Lotus</v>
      </c>
      <c r="E608" s="189" t="str">
        <f>IFERROR(__xludf.DUMMYFUNCTION("""COMPUTED_VALUE"""),"Papara SuperMassive")</f>
        <v>Papara SuperMassive</v>
      </c>
      <c r="F608" s="189" t="str">
        <f>IFERROR(__xludf.DUMMYFUNCTION("""COMPUTED_VALUE"""),"BBL PCIFIC")</f>
        <v>BBL PCIFIC</v>
      </c>
      <c r="G608" s="189" t="str">
        <f>IFERROR(__xludf.DUMMYFUNCTION("""COMPUTED_VALUE"""),"Raze,Viper,Omen,Fade,Vyse")</f>
        <v>Raze,Viper,Omen,Fade,Vyse</v>
      </c>
      <c r="H608" s="189" t="str">
        <f>IFERROR(__xludf.DUMMYFUNCTION("""COMPUTED_VALUE"""),"Breach,Cypher,Sova,Omen,Neon")</f>
        <v>Breach,Cypher,Sova,Omen,Neon</v>
      </c>
      <c r="I608" s="189">
        <f>IFERROR(__xludf.DUMMYFUNCTION("""COMPUTED_VALUE"""),8.0)</f>
        <v>8</v>
      </c>
      <c r="J608" s="189">
        <f>IFERROR(__xludf.DUMMYFUNCTION("""COMPUTED_VALUE"""),13.0)</f>
        <v>13</v>
      </c>
      <c r="K608" s="189">
        <f>IFERROR(__xludf.DUMMYFUNCTION("""COMPUTED_VALUE"""),4.0)</f>
        <v>4</v>
      </c>
      <c r="L608" s="189">
        <f>IFERROR(__xludf.DUMMYFUNCTION("""COMPUTED_VALUE"""),8.0)</f>
        <v>8</v>
      </c>
      <c r="M608" s="189">
        <f>IFERROR(__xludf.DUMMYFUNCTION("""COMPUTED_VALUE"""),0.0)</f>
        <v>0</v>
      </c>
      <c r="N608" s="189">
        <f>IFERROR(__xludf.DUMMYFUNCTION("""COMPUTED_VALUE"""),0.0)</f>
        <v>0</v>
      </c>
      <c r="O608" s="189">
        <f>IFERROR(__xludf.DUMMYFUNCTION("""COMPUTED_VALUE"""),4.0)</f>
        <v>4</v>
      </c>
      <c r="P608" s="189">
        <f>IFERROR(__xludf.DUMMYFUNCTION("""COMPUTED_VALUE"""),8.0)</f>
        <v>8</v>
      </c>
      <c r="Q608" s="189">
        <f>IFERROR(__xludf.DUMMYFUNCTION("""COMPUTED_VALUE"""),4.0)</f>
        <v>4</v>
      </c>
      <c r="R608" s="189">
        <f>IFERROR(__xludf.DUMMYFUNCTION("""COMPUTED_VALUE"""),5.0)</f>
        <v>5</v>
      </c>
      <c r="S608" s="189">
        <f>IFERROR(__xludf.DUMMYFUNCTION("""COMPUTED_VALUE"""),1.0)</f>
        <v>1</v>
      </c>
      <c r="T608" s="189">
        <f>IFERROR(__xludf.DUMMYFUNCTION("""COMPUTED_VALUE"""),1.0)</f>
        <v>1</v>
      </c>
      <c r="U608" s="189">
        <f>IFERROR(__xludf.DUMMYFUNCTION("""COMPUTED_VALUE"""),5.0)</f>
        <v>5</v>
      </c>
      <c r="V608" s="189">
        <f>IFERROR(__xludf.DUMMYFUNCTION("""COMPUTED_VALUE"""),4.0)</f>
        <v>4</v>
      </c>
      <c r="W608" s="189">
        <f>IFERROR(__xludf.DUMMYFUNCTION("""COMPUTED_VALUE"""),8.0)</f>
        <v>8</v>
      </c>
      <c r="X608" s="189">
        <f>IFERROR(__xludf.DUMMYFUNCTION("""COMPUTED_VALUE"""),4.0)</f>
        <v>4</v>
      </c>
      <c r="Y608" s="208" t="str">
        <f>IFERROR(__xludf.DUMMYFUNCTION("""COMPUTED_VALUE"""),"2025-06-12T00:00:00.000Z")</f>
        <v>2025-06-12T00:00:00.000Z</v>
      </c>
      <c r="Z608" s="189" t="s">
        <v>508</v>
      </c>
      <c r="AA608" s="189" t="s">
        <v>186</v>
      </c>
    </row>
    <row r="609">
      <c r="A609" s="189">
        <f>IFERROR(__xludf.DUMMYFUNCTION("""COMPUTED_VALUE"""),205850.0)</f>
        <v>205850</v>
      </c>
      <c r="B609" s="189">
        <f>IFERROR(__xludf.DUMMYFUNCTION("""COMPUTED_VALUE"""),90797.0)</f>
        <v>90797</v>
      </c>
      <c r="C609" s="189" t="str">
        <f>IFERROR(__xludf.DUMMYFUNCTION("""COMPUTED_VALUE"""),"A1 eSports Cup #8")</f>
        <v>A1 eSports Cup #8</v>
      </c>
      <c r="D609" s="189" t="str">
        <f>IFERROR(__xludf.DUMMYFUNCTION("""COMPUTED_VALUE"""),"Lotus")</f>
        <v>Lotus</v>
      </c>
      <c r="E609" s="189" t="str">
        <f>IFERROR(__xludf.DUMMYFUNCTION("""COMPUTED_VALUE"""),"MOUZ")</f>
        <v>MOUZ</v>
      </c>
      <c r="F609" s="189" t="str">
        <f>IFERROR(__xludf.DUMMYFUNCTION("""COMPUTED_VALUE"""),"Eintracht Frankfurt")</f>
        <v>Eintracht Frankfurt</v>
      </c>
      <c r="G609" s="189" t="str">
        <f>IFERROR(__xludf.DUMMYFUNCTION("""COMPUTED_VALUE"""),"Breach,Cypher,Omen,Yoru,Fade")</f>
        <v>Breach,Cypher,Omen,Yoru,Fade</v>
      </c>
      <c r="H609" s="189" t="str">
        <f>IFERROR(__xludf.DUMMYFUNCTION("""COMPUTED_VALUE"""),"Cypher,Viper,Omen,Yoru,Fade")</f>
        <v>Cypher,Viper,Omen,Yoru,Fade</v>
      </c>
      <c r="I609" s="189">
        <f>IFERROR(__xludf.DUMMYFUNCTION("""COMPUTED_VALUE"""),13.0)</f>
        <v>13</v>
      </c>
      <c r="J609" s="189">
        <f>IFERROR(__xludf.DUMMYFUNCTION("""COMPUTED_VALUE"""),9.0)</f>
        <v>9</v>
      </c>
      <c r="K609" s="189">
        <f>IFERROR(__xludf.DUMMYFUNCTION("""COMPUTED_VALUE"""),6.0)</f>
        <v>6</v>
      </c>
      <c r="L609" s="189">
        <f>IFERROR(__xludf.DUMMYFUNCTION("""COMPUTED_VALUE"""),6.0)</f>
        <v>6</v>
      </c>
      <c r="M609" s="189">
        <f>IFERROR(__xludf.DUMMYFUNCTION("""COMPUTED_VALUE"""),0.0)</f>
        <v>0</v>
      </c>
      <c r="N609" s="189">
        <f>IFERROR(__xludf.DUMMYFUNCTION("""COMPUTED_VALUE"""),1.0)</f>
        <v>1</v>
      </c>
      <c r="O609" s="189">
        <f>IFERROR(__xludf.DUMMYFUNCTION("""COMPUTED_VALUE"""),7.0)</f>
        <v>7</v>
      </c>
      <c r="P609" s="189">
        <f>IFERROR(__xludf.DUMMYFUNCTION("""COMPUTED_VALUE"""),3.0)</f>
        <v>3</v>
      </c>
      <c r="Q609" s="189">
        <f>IFERROR(__xludf.DUMMYFUNCTION("""COMPUTED_VALUE"""),6.0)</f>
        <v>6</v>
      </c>
      <c r="R609" s="189">
        <f>IFERROR(__xludf.DUMMYFUNCTION("""COMPUTED_VALUE"""),6.0)</f>
        <v>6</v>
      </c>
      <c r="S609" s="189">
        <f>IFERROR(__xludf.DUMMYFUNCTION("""COMPUTED_VALUE"""),0.0)</f>
        <v>0</v>
      </c>
      <c r="T609" s="189">
        <f>IFERROR(__xludf.DUMMYFUNCTION("""COMPUTED_VALUE"""),1.0)</f>
        <v>1</v>
      </c>
      <c r="U609" s="189">
        <f>IFERROR(__xludf.DUMMYFUNCTION("""COMPUTED_VALUE"""),6.0)</f>
        <v>6</v>
      </c>
      <c r="V609" s="189">
        <f>IFERROR(__xludf.DUMMYFUNCTION("""COMPUTED_VALUE"""),6.0)</f>
        <v>6</v>
      </c>
      <c r="W609" s="189">
        <f>IFERROR(__xludf.DUMMYFUNCTION("""COMPUTED_VALUE"""),3.0)</f>
        <v>3</v>
      </c>
      <c r="X609" s="189">
        <f>IFERROR(__xludf.DUMMYFUNCTION("""COMPUTED_VALUE"""),7.0)</f>
        <v>7</v>
      </c>
      <c r="Y609" s="208" t="str">
        <f>IFERROR(__xludf.DUMMYFUNCTION("""COMPUTED_VALUE"""),"2025-06-12T00:00:00.000Z")</f>
        <v>2025-06-12T00:00:00.000Z</v>
      </c>
      <c r="Z609" s="189" t="s">
        <v>138</v>
      </c>
      <c r="AA609" s="189" t="s">
        <v>180</v>
      </c>
    </row>
    <row r="610">
      <c r="A610" s="189">
        <f>IFERROR(__xludf.DUMMYFUNCTION("""COMPUTED_VALUE"""),206689.0)</f>
        <v>206689</v>
      </c>
      <c r="B610" s="189">
        <f>IFERROR(__xludf.DUMMYFUNCTION("""COMPUTED_VALUE"""),91130.0)</f>
        <v>91130</v>
      </c>
      <c r="C610" s="189" t="str">
        <f>IFERROR(__xludf.DUMMYFUNCTION("""COMPUTED_VALUE"""),"BtcTurk GameFest - Stage 2")</f>
        <v>BtcTurk GameFest - Stage 2</v>
      </c>
      <c r="D610" s="189" t="str">
        <f>IFERROR(__xludf.DUMMYFUNCTION("""COMPUTED_VALUE"""),"Pearl")</f>
        <v>Pearl</v>
      </c>
      <c r="E610" s="189" t="str">
        <f>IFERROR(__xludf.DUMMYFUNCTION("""COMPUTED_VALUE"""),"Papara SuperMassive")</f>
        <v>Papara SuperMassive</v>
      </c>
      <c r="F610" s="189" t="str">
        <f>IFERROR(__xludf.DUMMYFUNCTION("""COMPUTED_VALUE"""),"BBL PCIFIC")</f>
        <v>BBL PCIFIC</v>
      </c>
      <c r="G610" s="189" t="str">
        <f>IFERROR(__xludf.DUMMYFUNCTION("""COMPUTED_VALUE"""),"Raze,Yoru,Astra,Fade,Vyse")</f>
        <v>Raze,Yoru,Astra,Fade,Vyse</v>
      </c>
      <c r="H610" s="189" t="str">
        <f>IFERROR(__xludf.DUMMYFUNCTION("""COMPUTED_VALUE"""),"Cypher,Sova,Yoru,Astra,Neon")</f>
        <v>Cypher,Sova,Yoru,Astra,Neon</v>
      </c>
      <c r="I610" s="189">
        <f>IFERROR(__xludf.DUMMYFUNCTION("""COMPUTED_VALUE"""),8.0)</f>
        <v>8</v>
      </c>
      <c r="J610" s="189">
        <f>IFERROR(__xludf.DUMMYFUNCTION("""COMPUTED_VALUE"""),13.0)</f>
        <v>13</v>
      </c>
      <c r="K610" s="189">
        <f>IFERROR(__xludf.DUMMYFUNCTION("""COMPUTED_VALUE"""),6.0)</f>
        <v>6</v>
      </c>
      <c r="L610" s="189">
        <f>IFERROR(__xludf.DUMMYFUNCTION("""COMPUTED_VALUE"""),6.0)</f>
        <v>6</v>
      </c>
      <c r="M610" s="189">
        <f>IFERROR(__xludf.DUMMYFUNCTION("""COMPUTED_VALUE"""),0.0)</f>
        <v>0</v>
      </c>
      <c r="N610" s="189">
        <f>IFERROR(__xludf.DUMMYFUNCTION("""COMPUTED_VALUE"""),0.0)</f>
        <v>0</v>
      </c>
      <c r="O610" s="189">
        <f>IFERROR(__xludf.DUMMYFUNCTION("""COMPUTED_VALUE"""),6.0)</f>
        <v>6</v>
      </c>
      <c r="P610" s="189">
        <f>IFERROR(__xludf.DUMMYFUNCTION("""COMPUTED_VALUE"""),6.0)</f>
        <v>6</v>
      </c>
      <c r="Q610" s="189">
        <f>IFERROR(__xludf.DUMMYFUNCTION("""COMPUTED_VALUE"""),2.0)</f>
        <v>2</v>
      </c>
      <c r="R610" s="189">
        <f>IFERROR(__xludf.DUMMYFUNCTION("""COMPUTED_VALUE"""),7.0)</f>
        <v>7</v>
      </c>
      <c r="S610" s="189">
        <f>IFERROR(__xludf.DUMMYFUNCTION("""COMPUTED_VALUE"""),1.0)</f>
        <v>1</v>
      </c>
      <c r="T610" s="189">
        <f>IFERROR(__xludf.DUMMYFUNCTION("""COMPUTED_VALUE"""),1.0)</f>
        <v>1</v>
      </c>
      <c r="U610" s="189">
        <f>IFERROR(__xludf.DUMMYFUNCTION("""COMPUTED_VALUE"""),7.0)</f>
        <v>7</v>
      </c>
      <c r="V610" s="189">
        <f>IFERROR(__xludf.DUMMYFUNCTION("""COMPUTED_VALUE"""),2.0)</f>
        <v>2</v>
      </c>
      <c r="W610" s="189">
        <f>IFERROR(__xludf.DUMMYFUNCTION("""COMPUTED_VALUE"""),6.0)</f>
        <v>6</v>
      </c>
      <c r="X610" s="189">
        <f>IFERROR(__xludf.DUMMYFUNCTION("""COMPUTED_VALUE"""),6.0)</f>
        <v>6</v>
      </c>
      <c r="Y610" s="208" t="str">
        <f>IFERROR(__xludf.DUMMYFUNCTION("""COMPUTED_VALUE"""),"2025-06-12T00:00:00.000Z")</f>
        <v>2025-06-12T00:00:00.000Z</v>
      </c>
      <c r="Z610" s="189" t="s">
        <v>574</v>
      </c>
      <c r="AA610" s="189" t="s">
        <v>186</v>
      </c>
    </row>
    <row r="611">
      <c r="A611" s="189">
        <f>IFERROR(__xludf.DUMMYFUNCTION("""COMPUTED_VALUE"""),206625.0)</f>
        <v>206625</v>
      </c>
      <c r="B611" s="189">
        <f>IFERROR(__xludf.DUMMYFUNCTION("""COMPUTED_VALUE"""),91108.0)</f>
        <v>91108</v>
      </c>
      <c r="C611" s="189" t="str">
        <f>IFERROR(__xludf.DUMMYFUNCTION("""COMPUTED_VALUE"""),"A1 eSports Cup #8")</f>
        <v>A1 eSports Cup #8</v>
      </c>
      <c r="D611" s="189" t="str">
        <f>IFERROR(__xludf.DUMMYFUNCTION("""COMPUTED_VALUE"""),"Split")</f>
        <v>Split</v>
      </c>
      <c r="E611" s="189" t="str">
        <f>IFERROR(__xludf.DUMMYFUNCTION("""COMPUTED_VALUE"""),"ALTERNATE aTTaX")</f>
        <v>ALTERNATE aTTaX</v>
      </c>
      <c r="F611" s="189" t="str">
        <f>IFERROR(__xludf.DUMMYFUNCTION("""COMPUTED_VALUE"""),"MOUZ")</f>
        <v>MOUZ</v>
      </c>
      <c r="G611" s="189" t="str">
        <f>IFERROR(__xludf.DUMMYFUNCTION("""COMPUTED_VALUE"""),"Raze,Omen,Yoru,Fade,Clove")</f>
        <v>Raze,Omen,Yoru,Fade,Clove</v>
      </c>
      <c r="H611" s="189" t="str">
        <f>IFERROR(__xludf.DUMMYFUNCTION("""COMPUTED_VALUE"""),"Raze,Viper,Yoru,Astra,Fade")</f>
        <v>Raze,Viper,Yoru,Astra,Fade</v>
      </c>
      <c r="I611" s="189">
        <f>IFERROR(__xludf.DUMMYFUNCTION("""COMPUTED_VALUE"""),1.0)</f>
        <v>1</v>
      </c>
      <c r="J611" s="189">
        <f>IFERROR(__xludf.DUMMYFUNCTION("""COMPUTED_VALUE"""),13.0)</f>
        <v>13</v>
      </c>
      <c r="K611" s="189">
        <f>IFERROR(__xludf.DUMMYFUNCTION("""COMPUTED_VALUE"""),1.0)</f>
        <v>1</v>
      </c>
      <c r="L611" s="189">
        <f>IFERROR(__xludf.DUMMYFUNCTION("""COMPUTED_VALUE"""),11.0)</f>
        <v>11</v>
      </c>
      <c r="M611" s="189">
        <f>IFERROR(__xludf.DUMMYFUNCTION("""COMPUTED_VALUE"""),0.0)</f>
        <v>0</v>
      </c>
      <c r="N611" s="189">
        <f>IFERROR(__xludf.DUMMYFUNCTION("""COMPUTED_VALUE"""),0.0)</f>
        <v>0</v>
      </c>
      <c r="O611" s="189">
        <f>IFERROR(__xludf.DUMMYFUNCTION("""COMPUTED_VALUE"""),0.0)</f>
        <v>0</v>
      </c>
      <c r="P611" s="189">
        <f>IFERROR(__xludf.DUMMYFUNCTION("""COMPUTED_VALUE"""),2.0)</f>
        <v>2</v>
      </c>
      <c r="Q611" s="189">
        <f>IFERROR(__xludf.DUMMYFUNCTION("""COMPUTED_VALUE"""),1.0)</f>
        <v>1</v>
      </c>
      <c r="R611" s="189">
        <f>IFERROR(__xludf.DUMMYFUNCTION("""COMPUTED_VALUE"""),11.0)</f>
        <v>11</v>
      </c>
      <c r="S611" s="189">
        <f>IFERROR(__xludf.DUMMYFUNCTION("""COMPUTED_VALUE"""),1.0)</f>
        <v>1</v>
      </c>
      <c r="T611" s="189">
        <f>IFERROR(__xludf.DUMMYFUNCTION("""COMPUTED_VALUE"""),1.0)</f>
        <v>1</v>
      </c>
      <c r="U611" s="189">
        <f>IFERROR(__xludf.DUMMYFUNCTION("""COMPUTED_VALUE"""),11.0)</f>
        <v>11</v>
      </c>
      <c r="V611" s="189">
        <f>IFERROR(__xludf.DUMMYFUNCTION("""COMPUTED_VALUE"""),1.0)</f>
        <v>1</v>
      </c>
      <c r="W611" s="189">
        <f>IFERROR(__xludf.DUMMYFUNCTION("""COMPUTED_VALUE"""),2.0)</f>
        <v>2</v>
      </c>
      <c r="X611" s="189">
        <f>IFERROR(__xludf.DUMMYFUNCTION("""COMPUTED_VALUE"""),0.0)</f>
        <v>0</v>
      </c>
      <c r="Y611" s="208" t="str">
        <f>IFERROR(__xludf.DUMMYFUNCTION("""COMPUTED_VALUE"""),"2025-06-05T00:00:00.000Z")</f>
        <v>2025-06-05T00:00:00.000Z</v>
      </c>
      <c r="Z611" s="189" t="s">
        <v>598</v>
      </c>
      <c r="AA611" s="189" t="s">
        <v>180</v>
      </c>
    </row>
    <row r="612">
      <c r="A612" s="189">
        <f>IFERROR(__xludf.DUMMYFUNCTION("""COMPUTED_VALUE"""),206624.0)</f>
        <v>206624</v>
      </c>
      <c r="B612" s="189">
        <f>IFERROR(__xludf.DUMMYFUNCTION("""COMPUTED_VALUE"""),91108.0)</f>
        <v>91108</v>
      </c>
      <c r="C612" s="189" t="str">
        <f>IFERROR(__xludf.DUMMYFUNCTION("""COMPUTED_VALUE"""),"A1 eSports Cup #8")</f>
        <v>A1 eSports Cup #8</v>
      </c>
      <c r="D612" s="189" t="str">
        <f>IFERROR(__xludf.DUMMYFUNCTION("""COMPUTED_VALUE"""),"Haven")</f>
        <v>Haven</v>
      </c>
      <c r="E612" s="189" t="str">
        <f>IFERROR(__xludf.DUMMYFUNCTION("""COMPUTED_VALUE"""),"ALTERNATE aTTaX")</f>
        <v>ALTERNATE aTTaX</v>
      </c>
      <c r="F612" s="189" t="str">
        <f>IFERROR(__xludf.DUMMYFUNCTION("""COMPUTED_VALUE"""),"MOUZ")</f>
        <v>MOUZ</v>
      </c>
      <c r="G612" s="189" t="str">
        <f>IFERROR(__xludf.DUMMYFUNCTION("""COMPUTED_VALUE"""),"Breach,Cypher,Sova,Omen,Neon")</f>
        <v>Breach,Cypher,Sova,Omen,Neon</v>
      </c>
      <c r="H612" s="189" t="str">
        <f>IFERROR(__xludf.DUMMYFUNCTION("""COMPUTED_VALUE"""),"Cypher,Sova,Omen,Yoru,Iso")</f>
        <v>Cypher,Sova,Omen,Yoru,Iso</v>
      </c>
      <c r="I612" s="189">
        <f>IFERROR(__xludf.DUMMYFUNCTION("""COMPUTED_VALUE"""),5.0)</f>
        <v>5</v>
      </c>
      <c r="J612" s="189">
        <f>IFERROR(__xludf.DUMMYFUNCTION("""COMPUTED_VALUE"""),13.0)</f>
        <v>13</v>
      </c>
      <c r="K612" s="189">
        <f>IFERROR(__xludf.DUMMYFUNCTION("""COMPUTED_VALUE"""),3.0)</f>
        <v>3</v>
      </c>
      <c r="L612" s="189">
        <f>IFERROR(__xludf.DUMMYFUNCTION("""COMPUTED_VALUE"""),9.0)</f>
        <v>9</v>
      </c>
      <c r="M612" s="189">
        <f>IFERROR(__xludf.DUMMYFUNCTION("""COMPUTED_VALUE"""),0.0)</f>
        <v>0</v>
      </c>
      <c r="N612" s="189">
        <f>IFERROR(__xludf.DUMMYFUNCTION("""COMPUTED_VALUE"""),1.0)</f>
        <v>1</v>
      </c>
      <c r="O612" s="189">
        <f>IFERROR(__xludf.DUMMYFUNCTION("""COMPUTED_VALUE"""),3.0)</f>
        <v>3</v>
      </c>
      <c r="P612" s="189">
        <f>IFERROR(__xludf.DUMMYFUNCTION("""COMPUTED_VALUE"""),9.0)</f>
        <v>9</v>
      </c>
      <c r="Q612" s="189">
        <f>IFERROR(__xludf.DUMMYFUNCTION("""COMPUTED_VALUE"""),2.0)</f>
        <v>2</v>
      </c>
      <c r="R612" s="189">
        <f>IFERROR(__xludf.DUMMYFUNCTION("""COMPUTED_VALUE"""),4.0)</f>
        <v>4</v>
      </c>
      <c r="S612" s="189">
        <f>IFERROR(__xludf.DUMMYFUNCTION("""COMPUTED_VALUE"""),0.0)</f>
        <v>0</v>
      </c>
      <c r="T612" s="189">
        <f>IFERROR(__xludf.DUMMYFUNCTION("""COMPUTED_VALUE"""),1.0)</f>
        <v>1</v>
      </c>
      <c r="U612" s="189">
        <f>IFERROR(__xludf.DUMMYFUNCTION("""COMPUTED_VALUE"""),4.0)</f>
        <v>4</v>
      </c>
      <c r="V612" s="189">
        <f>IFERROR(__xludf.DUMMYFUNCTION("""COMPUTED_VALUE"""),2.0)</f>
        <v>2</v>
      </c>
      <c r="W612" s="189">
        <f>IFERROR(__xludf.DUMMYFUNCTION("""COMPUTED_VALUE"""),9.0)</f>
        <v>9</v>
      </c>
      <c r="X612" s="189">
        <f>IFERROR(__xludf.DUMMYFUNCTION("""COMPUTED_VALUE"""),3.0)</f>
        <v>3</v>
      </c>
      <c r="Y612" s="208" t="str">
        <f>IFERROR(__xludf.DUMMYFUNCTION("""COMPUTED_VALUE"""),"2025-06-05T00:00:00.000Z")</f>
        <v>2025-06-05T00:00:00.000Z</v>
      </c>
      <c r="Z612" s="189" t="s">
        <v>491</v>
      </c>
      <c r="AA612" s="189" t="s">
        <v>180</v>
      </c>
    </row>
    <row r="613">
      <c r="A613" s="189">
        <f>IFERROR(__xludf.DUMMYFUNCTION("""COMPUTED_VALUE"""),206623.0)</f>
        <v>206623</v>
      </c>
      <c r="B613" s="189">
        <f>IFERROR(__xludf.DUMMYFUNCTION("""COMPUTED_VALUE"""),91108.0)</f>
        <v>91108</v>
      </c>
      <c r="C613" s="189" t="str">
        <f>IFERROR(__xludf.DUMMYFUNCTION("""COMPUTED_VALUE"""),"A1 eSports Cup #8")</f>
        <v>A1 eSports Cup #8</v>
      </c>
      <c r="D613" s="189" t="str">
        <f>IFERROR(__xludf.DUMMYFUNCTION("""COMPUTED_VALUE"""),"Lotus")</f>
        <v>Lotus</v>
      </c>
      <c r="E613" s="189" t="str">
        <f>IFERROR(__xludf.DUMMYFUNCTION("""COMPUTED_VALUE"""),"ALTERNATE aTTaX")</f>
        <v>ALTERNATE aTTaX</v>
      </c>
      <c r="F613" s="189" t="str">
        <f>IFERROR(__xludf.DUMMYFUNCTION("""COMPUTED_VALUE"""),"MOUZ")</f>
        <v>MOUZ</v>
      </c>
      <c r="G613" s="189" t="str">
        <f>IFERROR(__xludf.DUMMYFUNCTION("""COMPUTED_VALUE"""),"Phoenix,Omen,Jett,Deadlock,Iso")</f>
        <v>Phoenix,Omen,Jett,Deadlock,Iso</v>
      </c>
      <c r="H613" s="189" t="str">
        <f>IFERROR(__xludf.DUMMYFUNCTION("""COMPUTED_VALUE"""),"Breach,Cypher,Omen,Yoru,Fade")</f>
        <v>Breach,Cypher,Omen,Yoru,Fade</v>
      </c>
      <c r="I613" s="189">
        <f>IFERROR(__xludf.DUMMYFUNCTION("""COMPUTED_VALUE"""),13.0)</f>
        <v>13</v>
      </c>
      <c r="J613" s="189">
        <f>IFERROR(__xludf.DUMMYFUNCTION("""COMPUTED_VALUE"""),7.0)</f>
        <v>7</v>
      </c>
      <c r="K613" s="189">
        <f>IFERROR(__xludf.DUMMYFUNCTION("""COMPUTED_VALUE"""),8.0)</f>
        <v>8</v>
      </c>
      <c r="L613" s="189">
        <f>IFERROR(__xludf.DUMMYFUNCTION("""COMPUTED_VALUE"""),4.0)</f>
        <v>4</v>
      </c>
      <c r="M613" s="189">
        <f>IFERROR(__xludf.DUMMYFUNCTION("""COMPUTED_VALUE"""),1.0)</f>
        <v>1</v>
      </c>
      <c r="N613" s="189">
        <f>IFERROR(__xludf.DUMMYFUNCTION("""COMPUTED_VALUE"""),0.0)</f>
        <v>0</v>
      </c>
      <c r="O613" s="189">
        <f>IFERROR(__xludf.DUMMYFUNCTION("""COMPUTED_VALUE"""),8.0)</f>
        <v>8</v>
      </c>
      <c r="P613" s="189">
        <f>IFERROR(__xludf.DUMMYFUNCTION("""COMPUTED_VALUE"""),4.0)</f>
        <v>4</v>
      </c>
      <c r="Q613" s="189">
        <f>IFERROR(__xludf.DUMMYFUNCTION("""COMPUTED_VALUE"""),5.0)</f>
        <v>5</v>
      </c>
      <c r="R613" s="189">
        <f>IFERROR(__xludf.DUMMYFUNCTION("""COMPUTED_VALUE"""),3.0)</f>
        <v>3</v>
      </c>
      <c r="S613" s="189">
        <f>IFERROR(__xludf.DUMMYFUNCTION("""COMPUTED_VALUE"""),1.0)</f>
        <v>1</v>
      </c>
      <c r="T613" s="189">
        <f>IFERROR(__xludf.DUMMYFUNCTION("""COMPUTED_VALUE"""),0.0)</f>
        <v>0</v>
      </c>
      <c r="U613" s="189">
        <f>IFERROR(__xludf.DUMMYFUNCTION("""COMPUTED_VALUE"""),3.0)</f>
        <v>3</v>
      </c>
      <c r="V613" s="189">
        <f>IFERROR(__xludf.DUMMYFUNCTION("""COMPUTED_VALUE"""),5.0)</f>
        <v>5</v>
      </c>
      <c r="W613" s="189">
        <f>IFERROR(__xludf.DUMMYFUNCTION("""COMPUTED_VALUE"""),4.0)</f>
        <v>4</v>
      </c>
      <c r="X613" s="189">
        <f>IFERROR(__xludf.DUMMYFUNCTION("""COMPUTED_VALUE"""),8.0)</f>
        <v>8</v>
      </c>
      <c r="Y613" s="208" t="str">
        <f>IFERROR(__xludf.DUMMYFUNCTION("""COMPUTED_VALUE"""),"2025-06-05T00:00:00.000Z")</f>
        <v>2025-06-05T00:00:00.000Z</v>
      </c>
      <c r="Z613" s="189" t="s">
        <v>581</v>
      </c>
      <c r="AA613" s="189" t="s">
        <v>465</v>
      </c>
    </row>
    <row r="614">
      <c r="A614" s="189">
        <f>IFERROR(__xludf.DUMMYFUNCTION("""COMPUTED_VALUE"""),204968.0)</f>
        <v>204968</v>
      </c>
      <c r="B614" s="189">
        <f>IFERROR(__xludf.DUMMYFUNCTION("""COMPUTED_VALUE"""),90473.0)</f>
        <v>90473</v>
      </c>
      <c r="C614" s="189" t="str">
        <f>IFERROR(__xludf.DUMMYFUNCTION("""COMPUTED_VALUE"""),"A1 eSports Cup #8")</f>
        <v>A1 eSports Cup #8</v>
      </c>
      <c r="D614" s="189" t="str">
        <f>IFERROR(__xludf.DUMMYFUNCTION("""COMPUTED_VALUE"""),"Sunset")</f>
        <v>Sunset</v>
      </c>
      <c r="E614" s="189" t="str">
        <f>IFERROR(__xludf.DUMMYFUNCTION("""COMPUTED_VALUE"""),"Eintracht Frankfurt")</f>
        <v>Eintracht Frankfurt</v>
      </c>
      <c r="F614" s="189" t="str">
        <f>IFERROR(__xludf.DUMMYFUNCTION("""COMPUTED_VALUE"""),"CGN Esports")</f>
        <v>CGN Esports</v>
      </c>
      <c r="G614" s="189" t="str">
        <f>IFERROR(__xludf.DUMMYFUNCTION("""COMPUTED_VALUE"""),"Cypher,Sova,Omen,KAY/O,Neon")</f>
        <v>Cypher,Sova,Omen,KAY/O,Neon</v>
      </c>
      <c r="H614" s="189" t="str">
        <f>IFERROR(__xludf.DUMMYFUNCTION("""COMPUTED_VALUE"""),"Cypher,Sova,Omen,Yoru,KAY/O")</f>
        <v>Cypher,Sova,Omen,Yoru,KAY/O</v>
      </c>
      <c r="I614" s="189">
        <f>IFERROR(__xludf.DUMMYFUNCTION("""COMPUTED_VALUE"""),13.0)</f>
        <v>13</v>
      </c>
      <c r="J614" s="189">
        <f>IFERROR(__xludf.DUMMYFUNCTION("""COMPUTED_VALUE"""),6.0)</f>
        <v>6</v>
      </c>
      <c r="K614" s="189">
        <f>IFERROR(__xludf.DUMMYFUNCTION("""COMPUTED_VALUE"""),6.0)</f>
        <v>6</v>
      </c>
      <c r="L614" s="189">
        <f>IFERROR(__xludf.DUMMYFUNCTION("""COMPUTED_VALUE"""),6.0)</f>
        <v>6</v>
      </c>
      <c r="M614" s="189">
        <f>IFERROR(__xludf.DUMMYFUNCTION("""COMPUTED_VALUE"""),1.0)</f>
        <v>1</v>
      </c>
      <c r="N614" s="189">
        <f>IFERROR(__xludf.DUMMYFUNCTION("""COMPUTED_VALUE"""),1.0)</f>
        <v>1</v>
      </c>
      <c r="O614" s="189">
        <f>IFERROR(__xludf.DUMMYFUNCTION("""COMPUTED_VALUE"""),7.0)</f>
        <v>7</v>
      </c>
      <c r="P614" s="189">
        <f>IFERROR(__xludf.DUMMYFUNCTION("""COMPUTED_VALUE"""),0.0)</f>
        <v>0</v>
      </c>
      <c r="Q614" s="189">
        <f>IFERROR(__xludf.DUMMYFUNCTION("""COMPUTED_VALUE"""),6.0)</f>
        <v>6</v>
      </c>
      <c r="R614" s="189">
        <f>IFERROR(__xludf.DUMMYFUNCTION("""COMPUTED_VALUE"""),6.0)</f>
        <v>6</v>
      </c>
      <c r="S614" s="189">
        <f>IFERROR(__xludf.DUMMYFUNCTION("""COMPUTED_VALUE"""),0.0)</f>
        <v>0</v>
      </c>
      <c r="T614" s="189">
        <f>IFERROR(__xludf.DUMMYFUNCTION("""COMPUTED_VALUE"""),0.0)</f>
        <v>0</v>
      </c>
      <c r="U614" s="189">
        <f>IFERROR(__xludf.DUMMYFUNCTION("""COMPUTED_VALUE"""),6.0)</f>
        <v>6</v>
      </c>
      <c r="V614" s="189">
        <f>IFERROR(__xludf.DUMMYFUNCTION("""COMPUTED_VALUE"""),6.0)</f>
        <v>6</v>
      </c>
      <c r="W614" s="189">
        <f>IFERROR(__xludf.DUMMYFUNCTION("""COMPUTED_VALUE"""),0.0)</f>
        <v>0</v>
      </c>
      <c r="X614" s="189">
        <f>IFERROR(__xludf.DUMMYFUNCTION("""COMPUTED_VALUE"""),7.0)</f>
        <v>7</v>
      </c>
      <c r="Y614" s="208" t="str">
        <f>IFERROR(__xludf.DUMMYFUNCTION("""COMPUTED_VALUE"""),"2025-06-05T00:00:00.000Z")</f>
        <v>2025-06-05T00:00:00.000Z</v>
      </c>
      <c r="Z614" s="189" t="s">
        <v>106</v>
      </c>
      <c r="AA614" s="189" t="s">
        <v>183</v>
      </c>
    </row>
    <row r="615">
      <c r="A615" s="189">
        <f>IFERROR(__xludf.DUMMYFUNCTION("""COMPUTED_VALUE"""),204967.0)</f>
        <v>204967</v>
      </c>
      <c r="B615" s="189">
        <f>IFERROR(__xludf.DUMMYFUNCTION("""COMPUTED_VALUE"""),90473.0)</f>
        <v>90473</v>
      </c>
      <c r="C615" s="189" t="str">
        <f>IFERROR(__xludf.DUMMYFUNCTION("""COMPUTED_VALUE"""),"A1 eSports Cup #8")</f>
        <v>A1 eSports Cup #8</v>
      </c>
      <c r="D615" s="189" t="str">
        <f>IFERROR(__xludf.DUMMYFUNCTION("""COMPUTED_VALUE"""),"Lotus")</f>
        <v>Lotus</v>
      </c>
      <c r="E615" s="189" t="str">
        <f>IFERROR(__xludf.DUMMYFUNCTION("""COMPUTED_VALUE"""),"Eintracht Frankfurt")</f>
        <v>Eintracht Frankfurt</v>
      </c>
      <c r="F615" s="189" t="str">
        <f>IFERROR(__xludf.DUMMYFUNCTION("""COMPUTED_VALUE"""),"CGN Esports")</f>
        <v>CGN Esports</v>
      </c>
      <c r="G615" s="189" t="str">
        <f>IFERROR(__xludf.DUMMYFUNCTION("""COMPUTED_VALUE"""),"Cypher,Viper,Omen,Yoru,Fade")</f>
        <v>Cypher,Viper,Omen,Yoru,Fade</v>
      </c>
      <c r="H615" s="189" t="str">
        <f>IFERROR(__xludf.DUMMYFUNCTION("""COMPUTED_VALUE"""),"Breach,Cypher,Sova,Omen,Jett")</f>
        <v>Breach,Cypher,Sova,Omen,Jett</v>
      </c>
      <c r="I615" s="189">
        <f>IFERROR(__xludf.DUMMYFUNCTION("""COMPUTED_VALUE"""),13.0)</f>
        <v>13</v>
      </c>
      <c r="J615" s="189">
        <f>IFERROR(__xludf.DUMMYFUNCTION("""COMPUTED_VALUE"""),6.0)</f>
        <v>6</v>
      </c>
      <c r="K615" s="189">
        <f>IFERROR(__xludf.DUMMYFUNCTION("""COMPUTED_VALUE"""),6.0)</f>
        <v>6</v>
      </c>
      <c r="L615" s="189">
        <f>IFERROR(__xludf.DUMMYFUNCTION("""COMPUTED_VALUE"""),6.0)</f>
        <v>6</v>
      </c>
      <c r="M615" s="189">
        <f>IFERROR(__xludf.DUMMYFUNCTION("""COMPUTED_VALUE"""),1.0)</f>
        <v>1</v>
      </c>
      <c r="N615" s="189">
        <f>IFERROR(__xludf.DUMMYFUNCTION("""COMPUTED_VALUE"""),1.0)</f>
        <v>1</v>
      </c>
      <c r="O615" s="189">
        <f>IFERROR(__xludf.DUMMYFUNCTION("""COMPUTED_VALUE"""),7.0)</f>
        <v>7</v>
      </c>
      <c r="P615" s="189">
        <f>IFERROR(__xludf.DUMMYFUNCTION("""COMPUTED_VALUE"""),0.0)</f>
        <v>0</v>
      </c>
      <c r="Q615" s="189">
        <f>IFERROR(__xludf.DUMMYFUNCTION("""COMPUTED_VALUE"""),6.0)</f>
        <v>6</v>
      </c>
      <c r="R615" s="189">
        <f>IFERROR(__xludf.DUMMYFUNCTION("""COMPUTED_VALUE"""),6.0)</f>
        <v>6</v>
      </c>
      <c r="S615" s="189">
        <f>IFERROR(__xludf.DUMMYFUNCTION("""COMPUTED_VALUE"""),0.0)</f>
        <v>0</v>
      </c>
      <c r="T615" s="189">
        <f>IFERROR(__xludf.DUMMYFUNCTION("""COMPUTED_VALUE"""),0.0)</f>
        <v>0</v>
      </c>
      <c r="U615" s="189">
        <f>IFERROR(__xludf.DUMMYFUNCTION("""COMPUTED_VALUE"""),6.0)</f>
        <v>6</v>
      </c>
      <c r="V615" s="189">
        <f>IFERROR(__xludf.DUMMYFUNCTION("""COMPUTED_VALUE"""),6.0)</f>
        <v>6</v>
      </c>
      <c r="W615" s="189">
        <f>IFERROR(__xludf.DUMMYFUNCTION("""COMPUTED_VALUE"""),0.0)</f>
        <v>0</v>
      </c>
      <c r="X615" s="189">
        <f>IFERROR(__xludf.DUMMYFUNCTION("""COMPUTED_VALUE"""),7.0)</f>
        <v>7</v>
      </c>
      <c r="Y615" s="208" t="str">
        <f>IFERROR(__xludf.DUMMYFUNCTION("""COMPUTED_VALUE"""),"2025-06-05T00:00:00.000Z")</f>
        <v>2025-06-05T00:00:00.000Z</v>
      </c>
      <c r="Z615" s="189" t="s">
        <v>104</v>
      </c>
      <c r="AA615" s="189" t="s">
        <v>183</v>
      </c>
    </row>
    <row r="616">
      <c r="A616" s="189">
        <f>IFERROR(__xludf.DUMMYFUNCTION("""COMPUTED_VALUE"""),204726.0)</f>
        <v>204726</v>
      </c>
      <c r="B616" s="189">
        <f>IFERROR(__xludf.DUMMYFUNCTION("""COMPUTED_VALUE"""),90395.0)</f>
        <v>90395</v>
      </c>
      <c r="C616" s="189" t="str">
        <f>IFERROR(__xludf.DUMMYFUNCTION("""COMPUTED_VALUE"""),"A1 eSports Cup #8")</f>
        <v>A1 eSports Cup #8</v>
      </c>
      <c r="D616" s="189" t="str">
        <f>IFERROR(__xludf.DUMMYFUNCTION("""COMPUTED_VALUE"""),"Sunset")</f>
        <v>Sunset</v>
      </c>
      <c r="E616" s="189" t="str">
        <f>IFERROR(__xludf.DUMMYFUNCTION("""COMPUTED_VALUE"""),"RIZON")</f>
        <v>RIZON</v>
      </c>
      <c r="F616" s="189" t="str">
        <f>IFERROR(__xludf.DUMMYFUNCTION("""COMPUTED_VALUE"""),"MOUZ")</f>
        <v>MOUZ</v>
      </c>
      <c r="G616" s="189" t="str">
        <f>IFERROR(__xludf.DUMMYFUNCTION("""COMPUTED_VALUE"""),"Cypher,Sova,Omen,Yoru,Deadlock")</f>
        <v>Cypher,Sova,Omen,Yoru,Deadlock</v>
      </c>
      <c r="H616" s="189" t="str">
        <f>IFERROR(__xludf.DUMMYFUNCTION("""COMPUTED_VALUE"""),"Breach,Sova,Omen,Neon,Vyse")</f>
        <v>Breach,Sova,Omen,Neon,Vyse</v>
      </c>
      <c r="I616" s="189">
        <f>IFERROR(__xludf.DUMMYFUNCTION("""COMPUTED_VALUE"""),12.0)</f>
        <v>12</v>
      </c>
      <c r="J616" s="189">
        <f>IFERROR(__xludf.DUMMYFUNCTION("""COMPUTED_VALUE"""),14.0)</f>
        <v>14</v>
      </c>
      <c r="K616" s="189">
        <f>IFERROR(__xludf.DUMMYFUNCTION("""COMPUTED_VALUE"""),6.0)</f>
        <v>6</v>
      </c>
      <c r="L616" s="189">
        <f>IFERROR(__xludf.DUMMYFUNCTION("""COMPUTED_VALUE"""),6.0)</f>
        <v>6</v>
      </c>
      <c r="M616" s="189">
        <f>IFERROR(__xludf.DUMMYFUNCTION("""COMPUTED_VALUE"""),1.0)</f>
        <v>1</v>
      </c>
      <c r="N616" s="189">
        <f>IFERROR(__xludf.DUMMYFUNCTION("""COMPUTED_VALUE"""),1.0)</f>
        <v>1</v>
      </c>
      <c r="O616" s="189">
        <f>IFERROR(__xludf.DUMMYFUNCTION("""COMPUTED_VALUE"""),6.0)</f>
        <v>6</v>
      </c>
      <c r="P616" s="189">
        <f>IFERROR(__xludf.DUMMYFUNCTION("""COMPUTED_VALUE"""),7.0)</f>
        <v>7</v>
      </c>
      <c r="Q616" s="189">
        <f>IFERROR(__xludf.DUMMYFUNCTION("""COMPUTED_VALUE"""),6.0)</f>
        <v>6</v>
      </c>
      <c r="R616" s="189">
        <f>IFERROR(__xludf.DUMMYFUNCTION("""COMPUTED_VALUE"""),7.0)</f>
        <v>7</v>
      </c>
      <c r="S616" s="189">
        <f>IFERROR(__xludf.DUMMYFUNCTION("""COMPUTED_VALUE"""),0.0)</f>
        <v>0</v>
      </c>
      <c r="T616" s="189">
        <f>IFERROR(__xludf.DUMMYFUNCTION("""COMPUTED_VALUE"""),0.0)</f>
        <v>0</v>
      </c>
      <c r="U616" s="189">
        <f>IFERROR(__xludf.DUMMYFUNCTION("""COMPUTED_VALUE"""),7.0)</f>
        <v>7</v>
      </c>
      <c r="V616" s="189">
        <f>IFERROR(__xludf.DUMMYFUNCTION("""COMPUTED_VALUE"""),6.0)</f>
        <v>6</v>
      </c>
      <c r="W616" s="189">
        <f>IFERROR(__xludf.DUMMYFUNCTION("""COMPUTED_VALUE"""),7.0)</f>
        <v>7</v>
      </c>
      <c r="X616" s="189">
        <f>IFERROR(__xludf.DUMMYFUNCTION("""COMPUTED_VALUE"""),6.0)</f>
        <v>6</v>
      </c>
      <c r="Y616" s="208" t="str">
        <f>IFERROR(__xludf.DUMMYFUNCTION("""COMPUTED_VALUE"""),"2025-05-29T00:00:00.000Z")</f>
        <v>2025-05-29T00:00:00.000Z</v>
      </c>
      <c r="Z616" s="189" t="s">
        <v>599</v>
      </c>
      <c r="AA616" s="189" t="s">
        <v>180</v>
      </c>
    </row>
    <row r="617">
      <c r="A617" s="189">
        <f>IFERROR(__xludf.DUMMYFUNCTION("""COMPUTED_VALUE"""),204725.0)</f>
        <v>204725</v>
      </c>
      <c r="B617" s="189">
        <f>IFERROR(__xludf.DUMMYFUNCTION("""COMPUTED_VALUE"""),90395.0)</f>
        <v>90395</v>
      </c>
      <c r="C617" s="189" t="str">
        <f>IFERROR(__xludf.DUMMYFUNCTION("""COMPUTED_VALUE"""),"A1 eSports Cup #8")</f>
        <v>A1 eSports Cup #8</v>
      </c>
      <c r="D617" s="189" t="str">
        <f>IFERROR(__xludf.DUMMYFUNCTION("""COMPUTED_VALUE"""),"Lotus")</f>
        <v>Lotus</v>
      </c>
      <c r="E617" s="189" t="str">
        <f>IFERROR(__xludf.DUMMYFUNCTION("""COMPUTED_VALUE"""),"RIZON")</f>
        <v>RIZON</v>
      </c>
      <c r="F617" s="189" t="str">
        <f>IFERROR(__xludf.DUMMYFUNCTION("""COMPUTED_VALUE"""),"MOUZ")</f>
        <v>MOUZ</v>
      </c>
      <c r="G617" s="189" t="str">
        <f>IFERROR(__xludf.DUMMYFUNCTION("""COMPUTED_VALUE"""),"Cypher,Omen,Yoru,Fade,Iso")</f>
        <v>Cypher,Omen,Yoru,Fade,Iso</v>
      </c>
      <c r="H617" s="189" t="str">
        <f>IFERROR(__xludf.DUMMYFUNCTION("""COMPUTED_VALUE"""),"Breach,Cypher,Omen,Yoru,Fade")</f>
        <v>Breach,Cypher,Omen,Yoru,Fade</v>
      </c>
      <c r="I617" s="189">
        <f>IFERROR(__xludf.DUMMYFUNCTION("""COMPUTED_VALUE"""),7.0)</f>
        <v>7</v>
      </c>
      <c r="J617" s="189">
        <f>IFERROR(__xludf.DUMMYFUNCTION("""COMPUTED_VALUE"""),13.0)</f>
        <v>13</v>
      </c>
      <c r="K617" s="189">
        <f>IFERROR(__xludf.DUMMYFUNCTION("""COMPUTED_VALUE"""),6.0)</f>
        <v>6</v>
      </c>
      <c r="L617" s="189">
        <f>IFERROR(__xludf.DUMMYFUNCTION("""COMPUTED_VALUE"""),6.0)</f>
        <v>6</v>
      </c>
      <c r="M617" s="189">
        <f>IFERROR(__xludf.DUMMYFUNCTION("""COMPUTED_VALUE"""),1.0)</f>
        <v>1</v>
      </c>
      <c r="N617" s="189">
        <f>IFERROR(__xludf.DUMMYFUNCTION("""COMPUTED_VALUE"""),1.0)</f>
        <v>1</v>
      </c>
      <c r="O617" s="189">
        <f>IFERROR(__xludf.DUMMYFUNCTION("""COMPUTED_VALUE"""),6.0)</f>
        <v>6</v>
      </c>
      <c r="P617" s="189">
        <f>IFERROR(__xludf.DUMMYFUNCTION("""COMPUTED_VALUE"""),6.0)</f>
        <v>6</v>
      </c>
      <c r="Q617" s="189">
        <f>IFERROR(__xludf.DUMMYFUNCTION("""COMPUTED_VALUE"""),1.0)</f>
        <v>1</v>
      </c>
      <c r="R617" s="189">
        <f>IFERROR(__xludf.DUMMYFUNCTION("""COMPUTED_VALUE"""),7.0)</f>
        <v>7</v>
      </c>
      <c r="S617" s="189">
        <f>IFERROR(__xludf.DUMMYFUNCTION("""COMPUTED_VALUE"""),0.0)</f>
        <v>0</v>
      </c>
      <c r="T617" s="189">
        <f>IFERROR(__xludf.DUMMYFUNCTION("""COMPUTED_VALUE"""),0.0)</f>
        <v>0</v>
      </c>
      <c r="U617" s="189">
        <f>IFERROR(__xludf.DUMMYFUNCTION("""COMPUTED_VALUE"""),7.0)</f>
        <v>7</v>
      </c>
      <c r="V617" s="189">
        <f>IFERROR(__xludf.DUMMYFUNCTION("""COMPUTED_VALUE"""),1.0)</f>
        <v>1</v>
      </c>
      <c r="W617" s="189">
        <f>IFERROR(__xludf.DUMMYFUNCTION("""COMPUTED_VALUE"""),6.0)</f>
        <v>6</v>
      </c>
      <c r="X617" s="189">
        <f>IFERROR(__xludf.DUMMYFUNCTION("""COMPUTED_VALUE"""),6.0)</f>
        <v>6</v>
      </c>
      <c r="Y617" s="208" t="str">
        <f>IFERROR(__xludf.DUMMYFUNCTION("""COMPUTED_VALUE"""),"2025-05-29T00:00:00.000Z")</f>
        <v>2025-05-29T00:00:00.000Z</v>
      </c>
      <c r="Z617" s="189" t="s">
        <v>600</v>
      </c>
      <c r="AA617" s="189" t="s">
        <v>180</v>
      </c>
    </row>
    <row r="618">
      <c r="A618" s="189">
        <f>IFERROR(__xludf.DUMMYFUNCTION("""COMPUTED_VALUE"""),204723.0)</f>
        <v>204723</v>
      </c>
      <c r="B618" s="189">
        <f>IFERROR(__xludf.DUMMYFUNCTION("""COMPUTED_VALUE"""),90394.0)</f>
        <v>90394</v>
      </c>
      <c r="C618" s="189" t="str">
        <f>IFERROR(__xludf.DUMMYFUNCTION("""COMPUTED_VALUE"""),"A1 eSports Cup #8")</f>
        <v>A1 eSports Cup #8</v>
      </c>
      <c r="D618" s="189" t="str">
        <f>IFERROR(__xludf.DUMMYFUNCTION("""COMPUTED_VALUE"""),"Haven")</f>
        <v>Haven</v>
      </c>
      <c r="E618" s="189" t="str">
        <f>IFERROR(__xludf.DUMMYFUNCTION("""COMPUTED_VALUE"""),"XPERION NXT")</f>
        <v>XPERION NXT</v>
      </c>
      <c r="F618" s="189" t="str">
        <f>IFERROR(__xludf.DUMMYFUNCTION("""COMPUTED_VALUE"""),"Eintracht Frankfurt")</f>
        <v>Eintracht Frankfurt</v>
      </c>
      <c r="G618" s="189" t="str">
        <f>IFERROR(__xludf.DUMMYFUNCTION("""COMPUTED_VALUE"""),"Breach,Cypher,Sova,Omen,Neon")</f>
        <v>Breach,Cypher,Sova,Omen,Neon</v>
      </c>
      <c r="H618" s="189" t="str">
        <f>IFERROR(__xludf.DUMMYFUNCTION("""COMPUTED_VALUE"""),"Breach,Cypher,Sova,Omen,Jett")</f>
        <v>Breach,Cypher,Sova,Omen,Jett</v>
      </c>
      <c r="I618" s="189">
        <f>IFERROR(__xludf.DUMMYFUNCTION("""COMPUTED_VALUE"""),11.0)</f>
        <v>11</v>
      </c>
      <c r="J618" s="189">
        <f>IFERROR(__xludf.DUMMYFUNCTION("""COMPUTED_VALUE"""),13.0)</f>
        <v>13</v>
      </c>
      <c r="K618" s="189">
        <f>IFERROR(__xludf.DUMMYFUNCTION("""COMPUTED_VALUE"""),4.0)</f>
        <v>4</v>
      </c>
      <c r="L618" s="189">
        <f>IFERROR(__xludf.DUMMYFUNCTION("""COMPUTED_VALUE"""),8.0)</f>
        <v>8</v>
      </c>
      <c r="M618" s="189">
        <f>IFERROR(__xludf.DUMMYFUNCTION("""COMPUTED_VALUE"""),0.0)</f>
        <v>0</v>
      </c>
      <c r="N618" s="189">
        <f>IFERROR(__xludf.DUMMYFUNCTION("""COMPUTED_VALUE"""),1.0)</f>
        <v>1</v>
      </c>
      <c r="O618" s="189">
        <f>IFERROR(__xludf.DUMMYFUNCTION("""COMPUTED_VALUE"""),4.0)</f>
        <v>4</v>
      </c>
      <c r="P618" s="189">
        <f>IFERROR(__xludf.DUMMYFUNCTION("""COMPUTED_VALUE"""),8.0)</f>
        <v>8</v>
      </c>
      <c r="Q618" s="189">
        <f>IFERROR(__xludf.DUMMYFUNCTION("""COMPUTED_VALUE"""),7.0)</f>
        <v>7</v>
      </c>
      <c r="R618" s="189">
        <f>IFERROR(__xludf.DUMMYFUNCTION("""COMPUTED_VALUE"""),5.0)</f>
        <v>5</v>
      </c>
      <c r="S618" s="189">
        <f>IFERROR(__xludf.DUMMYFUNCTION("""COMPUTED_VALUE"""),0.0)</f>
        <v>0</v>
      </c>
      <c r="T618" s="189">
        <f>IFERROR(__xludf.DUMMYFUNCTION("""COMPUTED_VALUE"""),1.0)</f>
        <v>1</v>
      </c>
      <c r="U618" s="189">
        <f>IFERROR(__xludf.DUMMYFUNCTION("""COMPUTED_VALUE"""),5.0)</f>
        <v>5</v>
      </c>
      <c r="V618" s="189">
        <f>IFERROR(__xludf.DUMMYFUNCTION("""COMPUTED_VALUE"""),7.0)</f>
        <v>7</v>
      </c>
      <c r="W618" s="189">
        <f>IFERROR(__xludf.DUMMYFUNCTION("""COMPUTED_VALUE"""),8.0)</f>
        <v>8</v>
      </c>
      <c r="X618" s="189">
        <f>IFERROR(__xludf.DUMMYFUNCTION("""COMPUTED_VALUE"""),4.0)</f>
        <v>4</v>
      </c>
      <c r="Y618" s="208" t="str">
        <f>IFERROR(__xludf.DUMMYFUNCTION("""COMPUTED_VALUE"""),"2025-05-27T00:00:00.000Z")</f>
        <v>2025-05-27T00:00:00.000Z</v>
      </c>
      <c r="Z618" s="189" t="s">
        <v>454</v>
      </c>
      <c r="AA618" s="189" t="s">
        <v>183</v>
      </c>
    </row>
    <row r="619">
      <c r="A619" s="189">
        <f>IFERROR(__xludf.DUMMYFUNCTION("""COMPUTED_VALUE"""),204722.0)</f>
        <v>204722</v>
      </c>
      <c r="B619" s="189">
        <f>IFERROR(__xludf.DUMMYFUNCTION("""COMPUTED_VALUE"""),90394.0)</f>
        <v>90394</v>
      </c>
      <c r="C619" s="189" t="str">
        <f>IFERROR(__xludf.DUMMYFUNCTION("""COMPUTED_VALUE"""),"A1 eSports Cup #8")</f>
        <v>A1 eSports Cup #8</v>
      </c>
      <c r="D619" s="189" t="str">
        <f>IFERROR(__xludf.DUMMYFUNCTION("""COMPUTED_VALUE"""),"Lotus")</f>
        <v>Lotus</v>
      </c>
      <c r="E619" s="189" t="str">
        <f>IFERROR(__xludf.DUMMYFUNCTION("""COMPUTED_VALUE"""),"XPERION NXT")</f>
        <v>XPERION NXT</v>
      </c>
      <c r="F619" s="189" t="str">
        <f>IFERROR(__xludf.DUMMYFUNCTION("""COMPUTED_VALUE"""),"Eintracht Frankfurt")</f>
        <v>Eintracht Frankfurt</v>
      </c>
      <c r="G619" s="189" t="str">
        <f>IFERROR(__xludf.DUMMYFUNCTION("""COMPUTED_VALUE"""),"Breach,Cypher,Omen,Neon,Fade")</f>
        <v>Breach,Cypher,Omen,Neon,Fade</v>
      </c>
      <c r="H619" s="189" t="str">
        <f>IFERROR(__xludf.DUMMYFUNCTION("""COMPUTED_VALUE"""),"Cypher,Viper,Omen,Yoru,Fade")</f>
        <v>Cypher,Viper,Omen,Yoru,Fade</v>
      </c>
      <c r="I619" s="189">
        <f>IFERROR(__xludf.DUMMYFUNCTION("""COMPUTED_VALUE"""),7.0)</f>
        <v>7</v>
      </c>
      <c r="J619" s="189">
        <f>IFERROR(__xludf.DUMMYFUNCTION("""COMPUTED_VALUE"""),13.0)</f>
        <v>13</v>
      </c>
      <c r="K619" s="189">
        <f>IFERROR(__xludf.DUMMYFUNCTION("""COMPUTED_VALUE"""),4.0)</f>
        <v>4</v>
      </c>
      <c r="L619" s="189">
        <f>IFERROR(__xludf.DUMMYFUNCTION("""COMPUTED_VALUE"""),8.0)</f>
        <v>8</v>
      </c>
      <c r="M619" s="189">
        <f>IFERROR(__xludf.DUMMYFUNCTION("""COMPUTED_VALUE"""),1.0)</f>
        <v>1</v>
      </c>
      <c r="N619" s="189">
        <f>IFERROR(__xludf.DUMMYFUNCTION("""COMPUTED_VALUE"""),0.0)</f>
        <v>0</v>
      </c>
      <c r="O619" s="189">
        <f>IFERROR(__xludf.DUMMYFUNCTION("""COMPUTED_VALUE"""),4.0)</f>
        <v>4</v>
      </c>
      <c r="P619" s="189">
        <f>IFERROR(__xludf.DUMMYFUNCTION("""COMPUTED_VALUE"""),8.0)</f>
        <v>8</v>
      </c>
      <c r="Q619" s="189">
        <f>IFERROR(__xludf.DUMMYFUNCTION("""COMPUTED_VALUE"""),3.0)</f>
        <v>3</v>
      </c>
      <c r="R619" s="189">
        <f>IFERROR(__xludf.DUMMYFUNCTION("""COMPUTED_VALUE"""),5.0)</f>
        <v>5</v>
      </c>
      <c r="S619" s="189">
        <f>IFERROR(__xludf.DUMMYFUNCTION("""COMPUTED_VALUE"""),1.0)</f>
        <v>1</v>
      </c>
      <c r="T619" s="189">
        <f>IFERROR(__xludf.DUMMYFUNCTION("""COMPUTED_VALUE"""),0.0)</f>
        <v>0</v>
      </c>
      <c r="U619" s="189">
        <f>IFERROR(__xludf.DUMMYFUNCTION("""COMPUTED_VALUE"""),5.0)</f>
        <v>5</v>
      </c>
      <c r="V619" s="189">
        <f>IFERROR(__xludf.DUMMYFUNCTION("""COMPUTED_VALUE"""),3.0)</f>
        <v>3</v>
      </c>
      <c r="W619" s="189">
        <f>IFERROR(__xludf.DUMMYFUNCTION("""COMPUTED_VALUE"""),8.0)</f>
        <v>8</v>
      </c>
      <c r="X619" s="189">
        <f>IFERROR(__xludf.DUMMYFUNCTION("""COMPUTED_VALUE"""),4.0)</f>
        <v>4</v>
      </c>
      <c r="Y619" s="208" t="str">
        <f>IFERROR(__xludf.DUMMYFUNCTION("""COMPUTED_VALUE"""),"2025-05-27T00:00:00.000Z")</f>
        <v>2025-05-27T00:00:00.000Z</v>
      </c>
      <c r="Z619" s="189" t="s">
        <v>601</v>
      </c>
      <c r="AA619" s="189" t="s">
        <v>183</v>
      </c>
    </row>
    <row r="620">
      <c r="Y620" s="208"/>
      <c r="Z620" s="189" t="s">
        <v>176</v>
      </c>
      <c r="AA620" s="189"/>
    </row>
    <row r="621">
      <c r="Y621" s="208"/>
      <c r="Z621" s="189" t="s">
        <v>176</v>
      </c>
      <c r="AA621" s="189"/>
    </row>
    <row r="622">
      <c r="Y622" s="208"/>
      <c r="Z622" s="189" t="s">
        <v>176</v>
      </c>
      <c r="AA622" s="189"/>
    </row>
    <row r="623">
      <c r="Y623" s="208"/>
      <c r="Z623" s="189" t="s">
        <v>176</v>
      </c>
      <c r="AA623" s="189"/>
    </row>
    <row r="624">
      <c r="Y624" s="208"/>
      <c r="Z624" s="189" t="s">
        <v>176</v>
      </c>
      <c r="AA624" s="189"/>
    </row>
    <row r="625">
      <c r="Y625" s="208"/>
      <c r="Z625" s="189" t="s">
        <v>176</v>
      </c>
      <c r="AA625" s="189"/>
    </row>
    <row r="626">
      <c r="Y626" s="208"/>
      <c r="Z626" s="189" t="s">
        <v>176</v>
      </c>
      <c r="AA626" s="189"/>
    </row>
    <row r="627">
      <c r="Y627" s="208"/>
      <c r="Z627" s="189" t="s">
        <v>176</v>
      </c>
      <c r="AA627" s="189"/>
    </row>
    <row r="628">
      <c r="Y628" s="208"/>
      <c r="Z628" s="189" t="s">
        <v>176</v>
      </c>
      <c r="AA628" s="189"/>
    </row>
    <row r="629">
      <c r="Y629" s="208"/>
      <c r="Z629" s="189" t="s">
        <v>176</v>
      </c>
      <c r="AA629" s="189"/>
    </row>
    <row r="630">
      <c r="Y630" s="208"/>
      <c r="Z630" s="189" t="s">
        <v>176</v>
      </c>
      <c r="AA630" s="189"/>
    </row>
    <row r="631">
      <c r="Y631" s="208"/>
      <c r="Z631" s="189" t="s">
        <v>176</v>
      </c>
      <c r="AA631" s="189"/>
    </row>
    <row r="632">
      <c r="Y632" s="208"/>
      <c r="Z632" s="189" t="s">
        <v>176</v>
      </c>
      <c r="AA632" s="189"/>
    </row>
    <row r="633">
      <c r="Y633" s="208"/>
      <c r="Z633" s="189" t="s">
        <v>176</v>
      </c>
      <c r="AA633" s="189"/>
    </row>
    <row r="634">
      <c r="Y634" s="208"/>
      <c r="Z634" s="189" t="s">
        <v>176</v>
      </c>
      <c r="AA634" s="189"/>
    </row>
    <row r="635">
      <c r="Y635" s="208"/>
      <c r="Z635" s="189" t="s">
        <v>176</v>
      </c>
      <c r="AA635" s="189"/>
    </row>
    <row r="636">
      <c r="Y636" s="208"/>
      <c r="Z636" s="189" t="s">
        <v>176</v>
      </c>
      <c r="AA636" s="189"/>
    </row>
    <row r="637">
      <c r="Y637" s="208"/>
      <c r="Z637" s="189" t="s">
        <v>176</v>
      </c>
      <c r="AA637" s="189"/>
    </row>
    <row r="638">
      <c r="Y638" s="208"/>
      <c r="Z638" s="189" t="s">
        <v>176</v>
      </c>
      <c r="AA638" s="189"/>
    </row>
    <row r="639">
      <c r="Y639" s="208"/>
      <c r="Z639" s="189" t="s">
        <v>176</v>
      </c>
      <c r="AA639" s="189"/>
    </row>
    <row r="640">
      <c r="Y640" s="208"/>
      <c r="Z640" s="189" t="s">
        <v>176</v>
      </c>
      <c r="AA640" s="189"/>
    </row>
    <row r="641">
      <c r="Y641" s="208"/>
      <c r="Z641" s="189" t="s">
        <v>176</v>
      </c>
      <c r="AA641" s="189"/>
    </row>
    <row r="642">
      <c r="Y642" s="208"/>
      <c r="Z642" s="189" t="s">
        <v>176</v>
      </c>
      <c r="AA642" s="189"/>
    </row>
    <row r="643">
      <c r="Y643" s="208"/>
      <c r="Z643" s="189" t="s">
        <v>176</v>
      </c>
      <c r="AA643" s="189"/>
    </row>
    <row r="644">
      <c r="Y644" s="208"/>
      <c r="Z644" s="189" t="s">
        <v>176</v>
      </c>
      <c r="AA644" s="189"/>
    </row>
    <row r="645">
      <c r="Y645" s="208"/>
      <c r="Z645" s="189" t="s">
        <v>176</v>
      </c>
      <c r="AA645" s="189"/>
    </row>
    <row r="646">
      <c r="Y646" s="208"/>
      <c r="Z646" s="189" t="s">
        <v>176</v>
      </c>
      <c r="AA646" s="189"/>
    </row>
    <row r="647">
      <c r="Y647" s="208"/>
      <c r="Z647" s="189" t="s">
        <v>176</v>
      </c>
      <c r="AA647" s="189"/>
    </row>
    <row r="648">
      <c r="Y648" s="208"/>
      <c r="Z648" s="189" t="s">
        <v>176</v>
      </c>
      <c r="AA648" s="189"/>
    </row>
    <row r="649">
      <c r="Y649" s="208"/>
      <c r="Z649" s="189" t="s">
        <v>176</v>
      </c>
      <c r="AA649" s="189"/>
    </row>
    <row r="650">
      <c r="Y650" s="208"/>
      <c r="Z650" s="189" t="s">
        <v>176</v>
      </c>
      <c r="AA650" s="189"/>
    </row>
    <row r="651">
      <c r="Y651" s="208"/>
      <c r="Z651" s="189" t="s">
        <v>176</v>
      </c>
      <c r="AA651" s="189"/>
    </row>
    <row r="652">
      <c r="Y652" s="208"/>
      <c r="Z652" s="189" t="s">
        <v>176</v>
      </c>
      <c r="AA652" s="189"/>
    </row>
    <row r="653">
      <c r="Y653" s="208"/>
      <c r="Z653" s="189" t="s">
        <v>176</v>
      </c>
      <c r="AA653" s="189"/>
    </row>
    <row r="654">
      <c r="Y654" s="208"/>
      <c r="Z654" s="189" t="s">
        <v>176</v>
      </c>
      <c r="AA654" s="189"/>
    </row>
    <row r="655">
      <c r="Y655" s="208"/>
      <c r="Z655" s="189" t="s">
        <v>176</v>
      </c>
      <c r="AA655" s="189"/>
    </row>
    <row r="656">
      <c r="Y656" s="208"/>
      <c r="Z656" s="189" t="s">
        <v>176</v>
      </c>
      <c r="AA656" s="189"/>
    </row>
    <row r="657">
      <c r="Y657" s="208"/>
      <c r="Z657" s="189" t="s">
        <v>176</v>
      </c>
      <c r="AA657" s="189"/>
    </row>
    <row r="658">
      <c r="Y658" s="208"/>
      <c r="Z658" s="189" t="s">
        <v>176</v>
      </c>
      <c r="AA658" s="189"/>
    </row>
    <row r="659">
      <c r="Y659" s="208"/>
      <c r="Z659" s="189" t="s">
        <v>176</v>
      </c>
      <c r="AA659" s="189"/>
    </row>
    <row r="660">
      <c r="Y660" s="208"/>
      <c r="Z660" s="189" t="s">
        <v>176</v>
      </c>
      <c r="AA660" s="189"/>
    </row>
    <row r="661">
      <c r="Y661" s="208"/>
      <c r="Z661" s="189" t="s">
        <v>176</v>
      </c>
      <c r="AA661" s="189"/>
    </row>
    <row r="662">
      <c r="Y662" s="208"/>
      <c r="Z662" s="189" t="s">
        <v>176</v>
      </c>
      <c r="AA662" s="189"/>
    </row>
    <row r="663">
      <c r="Y663" s="208"/>
      <c r="Z663" s="189" t="s">
        <v>176</v>
      </c>
      <c r="AA663" s="189"/>
    </row>
    <row r="664">
      <c r="Y664" s="208"/>
      <c r="Z664" s="189" t="s">
        <v>176</v>
      </c>
      <c r="AA664" s="189"/>
    </row>
    <row r="665">
      <c r="Y665" s="208"/>
      <c r="Z665" s="189" t="s">
        <v>176</v>
      </c>
      <c r="AA665" s="189"/>
    </row>
    <row r="666">
      <c r="Y666" s="208"/>
      <c r="Z666" s="189" t="s">
        <v>176</v>
      </c>
      <c r="AA666" s="189"/>
    </row>
    <row r="667">
      <c r="Y667" s="208"/>
      <c r="Z667" s="189" t="s">
        <v>176</v>
      </c>
      <c r="AA667" s="189"/>
    </row>
    <row r="668">
      <c r="Y668" s="208"/>
      <c r="Z668" s="189" t="s">
        <v>176</v>
      </c>
      <c r="AA668" s="189"/>
    </row>
    <row r="669">
      <c r="Y669" s="208"/>
      <c r="Z669" s="189" t="s">
        <v>176</v>
      </c>
      <c r="AA669" s="189"/>
    </row>
    <row r="670">
      <c r="Y670" s="208"/>
      <c r="Z670" s="189" t="s">
        <v>176</v>
      </c>
      <c r="AA670" s="189"/>
    </row>
    <row r="671">
      <c r="Y671" s="208"/>
      <c r="Z671" s="189" t="s">
        <v>176</v>
      </c>
      <c r="AA671" s="189"/>
    </row>
    <row r="672">
      <c r="Y672" s="208"/>
      <c r="Z672" s="189" t="s">
        <v>176</v>
      </c>
      <c r="AA672" s="189"/>
    </row>
    <row r="673">
      <c r="Y673" s="208"/>
      <c r="Z673" s="189" t="s">
        <v>176</v>
      </c>
      <c r="AA673" s="189"/>
    </row>
    <row r="674">
      <c r="Y674" s="208"/>
      <c r="Z674" s="189" t="s">
        <v>176</v>
      </c>
      <c r="AA674" s="189"/>
    </row>
    <row r="675">
      <c r="Y675" s="208"/>
      <c r="Z675" s="189" t="s">
        <v>176</v>
      </c>
      <c r="AA675" s="189"/>
    </row>
    <row r="676">
      <c r="Y676" s="208"/>
      <c r="Z676" s="189" t="s">
        <v>176</v>
      </c>
      <c r="AA676" s="189"/>
    </row>
    <row r="677">
      <c r="Y677" s="208"/>
      <c r="Z677" s="189" t="s">
        <v>176</v>
      </c>
      <c r="AA677" s="189"/>
    </row>
    <row r="678">
      <c r="Y678" s="208"/>
      <c r="Z678" s="189" t="s">
        <v>176</v>
      </c>
      <c r="AA678" s="189"/>
    </row>
    <row r="679">
      <c r="Y679" s="208"/>
      <c r="Z679" s="189" t="s">
        <v>176</v>
      </c>
      <c r="AA679" s="189"/>
    </row>
    <row r="680">
      <c r="Y680" s="208"/>
      <c r="Z680" s="189" t="s">
        <v>176</v>
      </c>
      <c r="AA680" s="189"/>
    </row>
    <row r="681">
      <c r="Y681" s="208"/>
      <c r="Z681" s="189" t="s">
        <v>176</v>
      </c>
      <c r="AA681" s="189"/>
    </row>
    <row r="682">
      <c r="Y682" s="208"/>
      <c r="Z682" s="189" t="s">
        <v>176</v>
      </c>
      <c r="AA682" s="189"/>
    </row>
    <row r="683">
      <c r="Y683" s="208"/>
      <c r="Z683" s="189" t="s">
        <v>176</v>
      </c>
      <c r="AA683" s="189"/>
    </row>
    <row r="684">
      <c r="Y684" s="208"/>
      <c r="Z684" s="189" t="s">
        <v>176</v>
      </c>
      <c r="AA684" s="189"/>
    </row>
    <row r="685">
      <c r="Y685" s="208"/>
      <c r="Z685" s="189" t="s">
        <v>176</v>
      </c>
      <c r="AA685" s="189"/>
    </row>
    <row r="686">
      <c r="Y686" s="208"/>
      <c r="Z686" s="189" t="s">
        <v>176</v>
      </c>
      <c r="AA686" s="189"/>
    </row>
    <row r="687">
      <c r="Y687" s="208"/>
      <c r="Z687" s="189" t="s">
        <v>176</v>
      </c>
      <c r="AA687" s="189"/>
    </row>
    <row r="688">
      <c r="Y688" s="208"/>
      <c r="Z688" s="189" t="s">
        <v>176</v>
      </c>
      <c r="AA688" s="189"/>
    </row>
    <row r="689">
      <c r="Y689" s="208"/>
      <c r="Z689" s="189" t="s">
        <v>176</v>
      </c>
      <c r="AA689" s="189"/>
    </row>
    <row r="690">
      <c r="Y690" s="208"/>
      <c r="Z690" s="189" t="s">
        <v>176</v>
      </c>
      <c r="AA690" s="189"/>
    </row>
    <row r="691">
      <c r="Y691" s="208"/>
      <c r="Z691" s="189" t="s">
        <v>176</v>
      </c>
      <c r="AA691" s="189"/>
    </row>
    <row r="692">
      <c r="Y692" s="208"/>
      <c r="Z692" s="189" t="s">
        <v>176</v>
      </c>
      <c r="AA692" s="189"/>
    </row>
    <row r="693">
      <c r="Y693" s="208"/>
      <c r="Z693" s="189" t="s">
        <v>176</v>
      </c>
      <c r="AA693" s="189"/>
    </row>
    <row r="694">
      <c r="Y694" s="208"/>
      <c r="Z694" s="189" t="s">
        <v>176</v>
      </c>
      <c r="AA694" s="189"/>
    </row>
    <row r="695">
      <c r="Y695" s="208"/>
      <c r="Z695" s="189" t="s">
        <v>176</v>
      </c>
      <c r="AA695" s="189"/>
    </row>
    <row r="696">
      <c r="Y696" s="208"/>
      <c r="Z696" s="189" t="s">
        <v>176</v>
      </c>
      <c r="AA696" s="189"/>
    </row>
    <row r="697">
      <c r="Y697" s="208"/>
      <c r="Z697" s="189" t="s">
        <v>176</v>
      </c>
      <c r="AA697" s="189"/>
    </row>
    <row r="698">
      <c r="Y698" s="208"/>
      <c r="Z698" s="189" t="s">
        <v>176</v>
      </c>
      <c r="AA698" s="189"/>
    </row>
    <row r="699">
      <c r="Y699" s="208"/>
      <c r="Z699" s="189" t="s">
        <v>176</v>
      </c>
      <c r="AA699" s="189"/>
    </row>
    <row r="700">
      <c r="Y700" s="208"/>
      <c r="Z700" s="189" t="s">
        <v>176</v>
      </c>
      <c r="AA700" s="189"/>
    </row>
    <row r="701">
      <c r="Y701" s="208"/>
      <c r="Z701" s="189" t="s">
        <v>176</v>
      </c>
      <c r="AA701" s="189"/>
    </row>
    <row r="702">
      <c r="Y702" s="208"/>
      <c r="Z702" s="189" t="s">
        <v>176</v>
      </c>
      <c r="AA702" s="189"/>
    </row>
    <row r="703">
      <c r="Y703" s="208"/>
      <c r="Z703" s="189" t="s">
        <v>176</v>
      </c>
      <c r="AA703" s="189"/>
    </row>
    <row r="704">
      <c r="Y704" s="208"/>
      <c r="Z704" s="189" t="s">
        <v>176</v>
      </c>
      <c r="AA704" s="189"/>
    </row>
    <row r="705">
      <c r="Y705" s="208"/>
      <c r="Z705" s="189" t="s">
        <v>176</v>
      </c>
      <c r="AA705" s="189"/>
    </row>
    <row r="706">
      <c r="Y706" s="208"/>
      <c r="Z706" s="189" t="s">
        <v>176</v>
      </c>
      <c r="AA706" s="189"/>
    </row>
    <row r="707">
      <c r="Y707" s="208"/>
      <c r="Z707" s="189" t="s">
        <v>176</v>
      </c>
      <c r="AA707" s="189"/>
    </row>
    <row r="708">
      <c r="Y708" s="208"/>
      <c r="Z708" s="189" t="s">
        <v>176</v>
      </c>
      <c r="AA708" s="189"/>
    </row>
    <row r="709">
      <c r="Y709" s="208"/>
      <c r="Z709" s="189" t="s">
        <v>176</v>
      </c>
      <c r="AA709" s="189"/>
    </row>
    <row r="710">
      <c r="Y710" s="208"/>
      <c r="Z710" s="189" t="s">
        <v>176</v>
      </c>
      <c r="AA710" s="189"/>
    </row>
    <row r="711">
      <c r="Y711" s="208"/>
      <c r="Z711" s="189" t="s">
        <v>176</v>
      </c>
      <c r="AA711" s="189"/>
    </row>
    <row r="712">
      <c r="Y712" s="208"/>
      <c r="Z712" s="189" t="s">
        <v>176</v>
      </c>
      <c r="AA712" s="189"/>
    </row>
    <row r="713">
      <c r="Y713" s="208"/>
      <c r="Z713" s="189" t="s">
        <v>176</v>
      </c>
      <c r="AA713" s="189"/>
    </row>
    <row r="714">
      <c r="Y714" s="208"/>
      <c r="Z714" s="189" t="s">
        <v>176</v>
      </c>
      <c r="AA714" s="189"/>
    </row>
    <row r="715">
      <c r="Y715" s="208"/>
      <c r="Z715" s="189" t="s">
        <v>176</v>
      </c>
      <c r="AA715" s="189"/>
    </row>
    <row r="716">
      <c r="Y716" s="208"/>
      <c r="Z716" s="189" t="s">
        <v>176</v>
      </c>
      <c r="AA716" s="189"/>
    </row>
    <row r="717">
      <c r="Y717" s="208"/>
      <c r="Z717" s="189" t="s">
        <v>176</v>
      </c>
      <c r="AA717" s="189"/>
    </row>
    <row r="718">
      <c r="Y718" s="208"/>
      <c r="Z718" s="189" t="s">
        <v>176</v>
      </c>
      <c r="AA718" s="189"/>
    </row>
    <row r="719">
      <c r="Y719" s="208"/>
      <c r="Z719" s="189" t="s">
        <v>176</v>
      </c>
      <c r="AA719" s="189"/>
    </row>
    <row r="720">
      <c r="Y720" s="208"/>
      <c r="Z720" s="189" t="s">
        <v>176</v>
      </c>
      <c r="AA720" s="189"/>
    </row>
    <row r="721">
      <c r="Y721" s="208"/>
      <c r="Z721" s="189" t="s">
        <v>176</v>
      </c>
      <c r="AA721" s="189"/>
    </row>
    <row r="722">
      <c r="Y722" s="208"/>
      <c r="Z722" s="189" t="s">
        <v>176</v>
      </c>
      <c r="AA722" s="189"/>
    </row>
    <row r="723">
      <c r="Y723" s="208"/>
      <c r="Z723" s="189" t="s">
        <v>176</v>
      </c>
      <c r="AA723" s="189"/>
    </row>
    <row r="724">
      <c r="Y724" s="208"/>
      <c r="Z724" s="189" t="s">
        <v>176</v>
      </c>
      <c r="AA724" s="189"/>
    </row>
    <row r="725">
      <c r="Y725" s="208"/>
      <c r="Z725" s="189" t="s">
        <v>176</v>
      </c>
      <c r="AA725" s="189"/>
    </row>
    <row r="726">
      <c r="Y726" s="208"/>
      <c r="Z726" s="189" t="s">
        <v>176</v>
      </c>
      <c r="AA726" s="189"/>
    </row>
    <row r="727">
      <c r="Y727" s="208"/>
      <c r="Z727" s="189" t="s">
        <v>176</v>
      </c>
      <c r="AA727" s="189"/>
    </row>
    <row r="728">
      <c r="Y728" s="208"/>
      <c r="Z728" s="189" t="s">
        <v>176</v>
      </c>
      <c r="AA728" s="189"/>
    </row>
    <row r="729">
      <c r="Y729" s="208"/>
      <c r="Z729" s="189" t="s">
        <v>176</v>
      </c>
      <c r="AA729" s="189"/>
    </row>
    <row r="730">
      <c r="Y730" s="208"/>
      <c r="Z730" s="189" t="s">
        <v>176</v>
      </c>
      <c r="AA730" s="189"/>
    </row>
    <row r="731">
      <c r="Y731" s="208"/>
      <c r="Z731" s="189" t="s">
        <v>176</v>
      </c>
      <c r="AA731" s="189"/>
    </row>
    <row r="732">
      <c r="Y732" s="208"/>
      <c r="Z732" s="189" t="s">
        <v>176</v>
      </c>
      <c r="AA732" s="189"/>
    </row>
    <row r="733">
      <c r="Y733" s="208"/>
      <c r="Z733" s="189" t="s">
        <v>176</v>
      </c>
      <c r="AA733" s="189"/>
    </row>
    <row r="734">
      <c r="Y734" s="208"/>
      <c r="Z734" s="189" t="s">
        <v>176</v>
      </c>
      <c r="AA734" s="189"/>
    </row>
    <row r="735">
      <c r="Y735" s="208"/>
      <c r="Z735" s="189" t="s">
        <v>176</v>
      </c>
      <c r="AA735" s="189"/>
    </row>
    <row r="736">
      <c r="Y736" s="208"/>
      <c r="Z736" s="189" t="s">
        <v>176</v>
      </c>
      <c r="AA736" s="189"/>
    </row>
    <row r="737">
      <c r="Y737" s="208"/>
      <c r="Z737" s="189" t="s">
        <v>176</v>
      </c>
      <c r="AA737" s="189"/>
    </row>
    <row r="738">
      <c r="Y738" s="208"/>
      <c r="Z738" s="189" t="s">
        <v>176</v>
      </c>
      <c r="AA738" s="189"/>
    </row>
    <row r="739">
      <c r="Y739" s="208"/>
      <c r="Z739" s="189" t="s">
        <v>176</v>
      </c>
      <c r="AA739" s="189"/>
    </row>
    <row r="740">
      <c r="Y740" s="208"/>
      <c r="Z740" s="189" t="s">
        <v>176</v>
      </c>
      <c r="AA740" s="189"/>
    </row>
    <row r="741">
      <c r="Y741" s="208"/>
      <c r="Z741" s="189" t="s">
        <v>176</v>
      </c>
      <c r="AA741" s="189"/>
    </row>
    <row r="742">
      <c r="Y742" s="208"/>
      <c r="Z742" s="189" t="s">
        <v>176</v>
      </c>
      <c r="AA742" s="189"/>
    </row>
    <row r="743">
      <c r="Y743" s="208"/>
      <c r="Z743" s="189" t="s">
        <v>176</v>
      </c>
      <c r="AA743" s="189"/>
    </row>
    <row r="744">
      <c r="Y744" s="208"/>
      <c r="Z744" s="189" t="s">
        <v>176</v>
      </c>
      <c r="AA744" s="189"/>
    </row>
    <row r="745">
      <c r="Y745" s="208"/>
      <c r="Z745" s="189" t="s">
        <v>176</v>
      </c>
      <c r="AA745" s="189"/>
    </row>
    <row r="746">
      <c r="Y746" s="208"/>
      <c r="Z746" s="189" t="s">
        <v>176</v>
      </c>
      <c r="AA746" s="189"/>
    </row>
    <row r="747">
      <c r="Y747" s="208"/>
      <c r="Z747" s="189" t="s">
        <v>176</v>
      </c>
      <c r="AA747" s="189"/>
    </row>
    <row r="748">
      <c r="Y748" s="208"/>
      <c r="Z748" s="189" t="s">
        <v>176</v>
      </c>
      <c r="AA748" s="189"/>
    </row>
    <row r="749">
      <c r="Y749" s="208"/>
      <c r="Z749" s="189" t="s">
        <v>176</v>
      </c>
      <c r="AA749" s="189"/>
    </row>
    <row r="750">
      <c r="Y750" s="208"/>
      <c r="Z750" s="189" t="s">
        <v>176</v>
      </c>
      <c r="AA750" s="189"/>
    </row>
    <row r="751">
      <c r="Y751" s="208"/>
      <c r="Z751" s="189" t="s">
        <v>176</v>
      </c>
      <c r="AA751" s="189"/>
    </row>
    <row r="752">
      <c r="Y752" s="208"/>
      <c r="Z752" s="189" t="s">
        <v>176</v>
      </c>
      <c r="AA752" s="189"/>
    </row>
    <row r="753">
      <c r="Y753" s="208"/>
      <c r="Z753" s="189" t="s">
        <v>176</v>
      </c>
      <c r="AA753" s="189"/>
    </row>
    <row r="754">
      <c r="Y754" s="208"/>
      <c r="Z754" s="189" t="s">
        <v>176</v>
      </c>
      <c r="AA754" s="189"/>
    </row>
    <row r="755">
      <c r="Y755" s="208"/>
      <c r="Z755" s="189" t="s">
        <v>176</v>
      </c>
      <c r="AA755" s="189"/>
    </row>
    <row r="756">
      <c r="Y756" s="208"/>
      <c r="Z756" s="189" t="s">
        <v>176</v>
      </c>
      <c r="AA756" s="189"/>
    </row>
    <row r="757">
      <c r="Y757" s="208"/>
      <c r="Z757" s="189" t="s">
        <v>176</v>
      </c>
      <c r="AA757" s="189"/>
    </row>
    <row r="758">
      <c r="Y758" s="208"/>
      <c r="Z758" s="189" t="s">
        <v>176</v>
      </c>
      <c r="AA758" s="189"/>
    </row>
    <row r="759">
      <c r="Y759" s="208"/>
      <c r="Z759" s="189" t="s">
        <v>176</v>
      </c>
      <c r="AA759" s="189"/>
    </row>
    <row r="760">
      <c r="Y760" s="208"/>
      <c r="Z760" s="189" t="s">
        <v>176</v>
      </c>
      <c r="AA760" s="189"/>
    </row>
    <row r="761">
      <c r="Y761" s="208"/>
      <c r="Z761" s="189" t="s">
        <v>176</v>
      </c>
      <c r="AA761" s="189"/>
    </row>
    <row r="762">
      <c r="Y762" s="208"/>
      <c r="Z762" s="189" t="s">
        <v>176</v>
      </c>
      <c r="AA762" s="189"/>
    </row>
    <row r="763">
      <c r="Y763" s="208"/>
      <c r="Z763" s="189" t="s">
        <v>176</v>
      </c>
      <c r="AA763" s="189"/>
    </row>
    <row r="764">
      <c r="Y764" s="208"/>
      <c r="Z764" s="189" t="s">
        <v>176</v>
      </c>
      <c r="AA764" s="189"/>
    </row>
    <row r="765">
      <c r="Y765" s="208"/>
      <c r="Z765" s="189" t="s">
        <v>176</v>
      </c>
      <c r="AA765" s="189"/>
    </row>
    <row r="766">
      <c r="Y766" s="208"/>
      <c r="Z766" s="189" t="s">
        <v>176</v>
      </c>
      <c r="AA766" s="189"/>
    </row>
    <row r="767">
      <c r="Y767" s="208"/>
      <c r="Z767" s="189" t="s">
        <v>176</v>
      </c>
      <c r="AA767" s="189"/>
    </row>
    <row r="768">
      <c r="Y768" s="208"/>
      <c r="Z768" s="189" t="s">
        <v>176</v>
      </c>
      <c r="AA768" s="189"/>
    </row>
    <row r="769">
      <c r="Y769" s="208"/>
      <c r="Z769" s="189" t="s">
        <v>176</v>
      </c>
      <c r="AA769" s="189"/>
    </row>
    <row r="770">
      <c r="Y770" s="208"/>
      <c r="Z770" s="189" t="s">
        <v>176</v>
      </c>
      <c r="AA770" s="189"/>
    </row>
    <row r="771">
      <c r="Y771" s="208"/>
      <c r="Z771" s="189" t="s">
        <v>176</v>
      </c>
      <c r="AA771" s="189"/>
    </row>
    <row r="772">
      <c r="Y772" s="208"/>
      <c r="Z772" s="189" t="s">
        <v>176</v>
      </c>
      <c r="AA772" s="189"/>
    </row>
    <row r="773">
      <c r="Y773" s="208"/>
      <c r="Z773" s="189" t="s">
        <v>176</v>
      </c>
      <c r="AA773" s="189"/>
    </row>
    <row r="774">
      <c r="Y774" s="208"/>
      <c r="Z774" s="189" t="s">
        <v>176</v>
      </c>
      <c r="AA774" s="189"/>
    </row>
    <row r="775">
      <c r="Y775" s="208"/>
      <c r="Z775" s="189" t="s">
        <v>176</v>
      </c>
      <c r="AA775" s="189"/>
    </row>
    <row r="776">
      <c r="Y776" s="208"/>
      <c r="Z776" s="189" t="s">
        <v>176</v>
      </c>
      <c r="AA776" s="189"/>
    </row>
    <row r="777">
      <c r="Y777" s="208"/>
      <c r="Z777" s="189" t="s">
        <v>176</v>
      </c>
      <c r="AA777" s="189"/>
    </row>
    <row r="778">
      <c r="Y778" s="208"/>
      <c r="Z778" s="189" t="s">
        <v>176</v>
      </c>
      <c r="AA778" s="189"/>
    </row>
    <row r="779">
      <c r="Y779" s="208"/>
      <c r="Z779" s="189" t="s">
        <v>176</v>
      </c>
      <c r="AA779" s="189"/>
    </row>
    <row r="780">
      <c r="Y780" s="208"/>
      <c r="Z780" s="189" t="s">
        <v>176</v>
      </c>
      <c r="AA780" s="189"/>
    </row>
    <row r="781">
      <c r="Y781" s="208"/>
      <c r="Z781" s="189" t="s">
        <v>176</v>
      </c>
      <c r="AA781" s="189"/>
    </row>
    <row r="782">
      <c r="Y782" s="208"/>
      <c r="Z782" s="189" t="s">
        <v>176</v>
      </c>
      <c r="AA782" s="189"/>
    </row>
    <row r="783">
      <c r="Y783" s="208"/>
      <c r="Z783" s="189" t="s">
        <v>176</v>
      </c>
      <c r="AA783" s="189"/>
    </row>
    <row r="784">
      <c r="Y784" s="208"/>
      <c r="Z784" s="189" t="s">
        <v>176</v>
      </c>
      <c r="AA784" s="189"/>
    </row>
    <row r="785">
      <c r="Y785" s="208"/>
      <c r="Z785" s="189" t="s">
        <v>176</v>
      </c>
      <c r="AA785" s="189"/>
    </row>
    <row r="786">
      <c r="Y786" s="208"/>
      <c r="Z786" s="189" t="s">
        <v>176</v>
      </c>
      <c r="AA786" s="189"/>
    </row>
    <row r="787">
      <c r="Y787" s="208"/>
      <c r="Z787" s="189" t="s">
        <v>176</v>
      </c>
      <c r="AA787" s="189"/>
    </row>
    <row r="788">
      <c r="Y788" s="208"/>
      <c r="Z788" s="189" t="s">
        <v>176</v>
      </c>
      <c r="AA788" s="189"/>
    </row>
    <row r="789">
      <c r="Y789" s="208"/>
      <c r="Z789" s="189" t="s">
        <v>176</v>
      </c>
      <c r="AA789" s="189"/>
    </row>
    <row r="790">
      <c r="Y790" s="208"/>
      <c r="Z790" s="189" t="s">
        <v>176</v>
      </c>
      <c r="AA790" s="189"/>
    </row>
    <row r="791">
      <c r="Y791" s="208"/>
      <c r="Z791" s="189" t="s">
        <v>176</v>
      </c>
      <c r="AA791" s="189"/>
    </row>
    <row r="792">
      <c r="Y792" s="208"/>
      <c r="Z792" s="189" t="s">
        <v>176</v>
      </c>
      <c r="AA792" s="189"/>
    </row>
    <row r="793">
      <c r="Y793" s="208"/>
      <c r="Z793" s="189" t="s">
        <v>176</v>
      </c>
      <c r="AA793" s="189"/>
    </row>
    <row r="794">
      <c r="Y794" s="208"/>
      <c r="Z794" s="189" t="s">
        <v>176</v>
      </c>
      <c r="AA794" s="189"/>
    </row>
    <row r="795">
      <c r="Y795" s="208"/>
      <c r="Z795" s="189" t="s">
        <v>176</v>
      </c>
      <c r="AA795" s="189"/>
    </row>
    <row r="796">
      <c r="Y796" s="208"/>
      <c r="Z796" s="189" t="s">
        <v>176</v>
      </c>
      <c r="AA796" s="189"/>
    </row>
    <row r="797">
      <c r="Y797" s="208"/>
      <c r="Z797" s="189" t="s">
        <v>176</v>
      </c>
      <c r="AA797" s="189"/>
    </row>
    <row r="798">
      <c r="Y798" s="208"/>
      <c r="Z798" s="189" t="s">
        <v>176</v>
      </c>
      <c r="AA798" s="189"/>
    </row>
    <row r="799">
      <c r="Y799" s="208"/>
      <c r="Z799" s="189" t="s">
        <v>176</v>
      </c>
      <c r="AA799" s="189"/>
    </row>
    <row r="800">
      <c r="Y800" s="208"/>
      <c r="Z800" s="189" t="s">
        <v>176</v>
      </c>
      <c r="AA800" s="189"/>
    </row>
    <row r="801">
      <c r="Y801" s="208"/>
      <c r="Z801" s="189" t="s">
        <v>176</v>
      </c>
      <c r="AA801" s="189"/>
    </row>
    <row r="802">
      <c r="Y802" s="208"/>
      <c r="Z802" s="189" t="s">
        <v>176</v>
      </c>
      <c r="AA802" s="189"/>
    </row>
    <row r="803">
      <c r="Y803" s="208"/>
      <c r="Z803" s="189" t="s">
        <v>176</v>
      </c>
      <c r="AA803" s="189"/>
    </row>
    <row r="804">
      <c r="Y804" s="208"/>
      <c r="Z804" s="189" t="s">
        <v>176</v>
      </c>
      <c r="AA804" s="189"/>
    </row>
    <row r="805">
      <c r="Y805" s="208"/>
      <c r="Z805" s="189" t="s">
        <v>176</v>
      </c>
      <c r="AA805" s="189"/>
    </row>
    <row r="806">
      <c r="Y806" s="208"/>
      <c r="Z806" s="189" t="s">
        <v>176</v>
      </c>
      <c r="AA806" s="189"/>
    </row>
    <row r="807">
      <c r="Y807" s="208"/>
      <c r="Z807" s="189" t="s">
        <v>176</v>
      </c>
      <c r="AA807" s="189"/>
    </row>
    <row r="808">
      <c r="Y808" s="208"/>
      <c r="Z808" s="189" t="s">
        <v>176</v>
      </c>
      <c r="AA808" s="189"/>
    </row>
    <row r="809">
      <c r="Y809" s="208"/>
      <c r="Z809" s="189" t="s">
        <v>176</v>
      </c>
      <c r="AA809" s="189"/>
    </row>
    <row r="810">
      <c r="Y810" s="208"/>
      <c r="Z810" s="189" t="s">
        <v>176</v>
      </c>
      <c r="AA810" s="189"/>
    </row>
    <row r="811">
      <c r="Y811" s="208"/>
      <c r="Z811" s="189" t="s">
        <v>176</v>
      </c>
      <c r="AA811" s="189"/>
    </row>
    <row r="812">
      <c r="Y812" s="208"/>
      <c r="Z812" s="189" t="s">
        <v>176</v>
      </c>
      <c r="AA812" s="189"/>
    </row>
    <row r="813">
      <c r="Y813" s="208"/>
      <c r="Z813" s="189" t="s">
        <v>176</v>
      </c>
      <c r="AA813" s="189"/>
    </row>
    <row r="814">
      <c r="Y814" s="208"/>
      <c r="Z814" s="189" t="s">
        <v>176</v>
      </c>
      <c r="AA814" s="189"/>
    </row>
    <row r="815">
      <c r="Y815" s="208"/>
      <c r="Z815" s="189" t="s">
        <v>176</v>
      </c>
      <c r="AA815" s="189"/>
    </row>
    <row r="816">
      <c r="Y816" s="208"/>
      <c r="Z816" s="189" t="s">
        <v>176</v>
      </c>
      <c r="AA816" s="189"/>
    </row>
    <row r="817">
      <c r="Y817" s="208"/>
      <c r="Z817" s="189" t="s">
        <v>176</v>
      </c>
      <c r="AA817" s="189"/>
    </row>
    <row r="818">
      <c r="Y818" s="208"/>
      <c r="Z818" s="189" t="s">
        <v>176</v>
      </c>
      <c r="AA818" s="189"/>
    </row>
    <row r="819">
      <c r="Y819" s="208"/>
      <c r="Z819" s="189" t="s">
        <v>176</v>
      </c>
      <c r="AA819" s="189"/>
    </row>
    <row r="820">
      <c r="Y820" s="208"/>
      <c r="Z820" s="189" t="s">
        <v>176</v>
      </c>
      <c r="AA820" s="189"/>
    </row>
    <row r="821">
      <c r="Y821" s="208"/>
      <c r="Z821" s="189" t="s">
        <v>176</v>
      </c>
      <c r="AA821" s="189"/>
    </row>
    <row r="822">
      <c r="Y822" s="208"/>
      <c r="Z822" s="189" t="s">
        <v>176</v>
      </c>
      <c r="AA822" s="189"/>
    </row>
    <row r="823">
      <c r="Y823" s="208"/>
      <c r="Z823" s="189" t="s">
        <v>176</v>
      </c>
      <c r="AA823" s="189"/>
    </row>
    <row r="824">
      <c r="Y824" s="208"/>
      <c r="Z824" s="189" t="s">
        <v>176</v>
      </c>
      <c r="AA824" s="189"/>
    </row>
    <row r="825">
      <c r="Y825" s="208"/>
      <c r="Z825" s="189" t="s">
        <v>176</v>
      </c>
      <c r="AA825" s="189"/>
    </row>
    <row r="826">
      <c r="Y826" s="208"/>
      <c r="Z826" s="189" t="s">
        <v>176</v>
      </c>
      <c r="AA826" s="189"/>
    </row>
    <row r="827">
      <c r="Y827" s="208"/>
      <c r="Z827" s="189" t="s">
        <v>176</v>
      </c>
      <c r="AA827" s="189"/>
    </row>
    <row r="828">
      <c r="Y828" s="208"/>
      <c r="Z828" s="189" t="s">
        <v>176</v>
      </c>
      <c r="AA828" s="189"/>
    </row>
    <row r="829">
      <c r="Y829" s="208"/>
      <c r="Z829" s="189" t="s">
        <v>176</v>
      </c>
      <c r="AA829" s="189"/>
    </row>
    <row r="830">
      <c r="Y830" s="208"/>
      <c r="Z830" s="189" t="s">
        <v>176</v>
      </c>
      <c r="AA830" s="189"/>
    </row>
    <row r="831">
      <c r="Y831" s="208"/>
      <c r="Z831" s="189" t="s">
        <v>176</v>
      </c>
      <c r="AA831" s="189"/>
    </row>
    <row r="832">
      <c r="Y832" s="208"/>
      <c r="Z832" s="189" t="s">
        <v>176</v>
      </c>
      <c r="AA832" s="189"/>
    </row>
    <row r="833">
      <c r="Y833" s="208"/>
      <c r="Z833" s="189" t="s">
        <v>176</v>
      </c>
      <c r="AA833" s="189"/>
    </row>
    <row r="834">
      <c r="Y834" s="208"/>
      <c r="Z834" s="189" t="s">
        <v>176</v>
      </c>
      <c r="AA834" s="189"/>
    </row>
    <row r="835">
      <c r="Y835" s="208"/>
      <c r="Z835" s="189" t="s">
        <v>176</v>
      </c>
      <c r="AA835" s="189"/>
    </row>
    <row r="836">
      <c r="Y836" s="208"/>
      <c r="Z836" s="189" t="s">
        <v>176</v>
      </c>
      <c r="AA836" s="189"/>
    </row>
    <row r="837">
      <c r="Y837" s="208"/>
      <c r="Z837" s="189" t="s">
        <v>176</v>
      </c>
      <c r="AA837" s="189"/>
    </row>
    <row r="838">
      <c r="Y838" s="208"/>
      <c r="Z838" s="189" t="s">
        <v>176</v>
      </c>
      <c r="AA838" s="189"/>
    </row>
    <row r="839">
      <c r="Y839" s="208"/>
      <c r="Z839" s="189" t="s">
        <v>176</v>
      </c>
      <c r="AA839" s="189"/>
    </row>
    <row r="840">
      <c r="Y840" s="208"/>
      <c r="Z840" s="189" t="s">
        <v>176</v>
      </c>
      <c r="AA840" s="189"/>
    </row>
    <row r="841">
      <c r="Y841" s="208"/>
      <c r="Z841" s="189" t="s">
        <v>176</v>
      </c>
      <c r="AA841" s="189"/>
    </row>
    <row r="842">
      <c r="Y842" s="208"/>
      <c r="Z842" s="189" t="s">
        <v>176</v>
      </c>
      <c r="AA842" s="189"/>
    </row>
    <row r="843">
      <c r="Y843" s="208"/>
      <c r="Z843" s="189" t="s">
        <v>176</v>
      </c>
      <c r="AA843" s="189"/>
    </row>
    <row r="844">
      <c r="Y844" s="208"/>
      <c r="Z844" s="189" t="s">
        <v>176</v>
      </c>
      <c r="AA844" s="189"/>
    </row>
    <row r="845">
      <c r="Y845" s="208"/>
      <c r="Z845" s="189" t="s">
        <v>176</v>
      </c>
      <c r="AA845" s="189"/>
    </row>
    <row r="846">
      <c r="Y846" s="208"/>
      <c r="Z846" s="189" t="s">
        <v>176</v>
      </c>
      <c r="AA846" s="189"/>
    </row>
    <row r="847">
      <c r="Y847" s="208"/>
      <c r="Z847" s="189" t="s">
        <v>176</v>
      </c>
      <c r="AA847" s="189"/>
    </row>
    <row r="848">
      <c r="Y848" s="208"/>
      <c r="Z848" s="189" t="s">
        <v>176</v>
      </c>
      <c r="AA848" s="189"/>
    </row>
    <row r="849">
      <c r="Y849" s="208"/>
      <c r="Z849" s="189" t="s">
        <v>176</v>
      </c>
      <c r="AA849" s="189"/>
    </row>
    <row r="850">
      <c r="Y850" s="208"/>
      <c r="Z850" s="189" t="s">
        <v>176</v>
      </c>
      <c r="AA850" s="189"/>
    </row>
    <row r="851">
      <c r="Y851" s="208"/>
      <c r="Z851" s="189" t="s">
        <v>176</v>
      </c>
      <c r="AA851" s="189"/>
    </row>
    <row r="852">
      <c r="Y852" s="208"/>
      <c r="Z852" s="189" t="s">
        <v>176</v>
      </c>
      <c r="AA852" s="189"/>
    </row>
    <row r="853">
      <c r="Y853" s="208"/>
      <c r="Z853" s="189" t="s">
        <v>176</v>
      </c>
      <c r="AA853" s="189"/>
    </row>
    <row r="854">
      <c r="Y854" s="208"/>
      <c r="Z854" s="189" t="s">
        <v>176</v>
      </c>
      <c r="AA854" s="189"/>
    </row>
    <row r="855">
      <c r="Y855" s="208"/>
      <c r="Z855" s="189" t="s">
        <v>176</v>
      </c>
      <c r="AA855" s="189"/>
    </row>
    <row r="856">
      <c r="Y856" s="208"/>
      <c r="Z856" s="189" t="s">
        <v>176</v>
      </c>
      <c r="AA856" s="189"/>
    </row>
    <row r="857">
      <c r="Y857" s="208"/>
      <c r="Z857" s="189" t="s">
        <v>176</v>
      </c>
      <c r="AA857" s="189"/>
    </row>
    <row r="858">
      <c r="Y858" s="208"/>
      <c r="Z858" s="189" t="s">
        <v>176</v>
      </c>
      <c r="AA858" s="189"/>
    </row>
    <row r="859">
      <c r="Y859" s="208"/>
      <c r="Z859" s="189" t="s">
        <v>176</v>
      </c>
      <c r="AA859" s="189"/>
    </row>
    <row r="860">
      <c r="Y860" s="208"/>
      <c r="Z860" s="189" t="s">
        <v>176</v>
      </c>
      <c r="AA860" s="189"/>
    </row>
    <row r="861">
      <c r="Y861" s="208"/>
      <c r="Z861" s="189" t="s">
        <v>176</v>
      </c>
      <c r="AA861" s="189"/>
    </row>
    <row r="862">
      <c r="Y862" s="208"/>
      <c r="Z862" s="189" t="s">
        <v>176</v>
      </c>
      <c r="AA862" s="189"/>
    </row>
    <row r="863">
      <c r="Y863" s="208"/>
      <c r="Z863" s="189" t="s">
        <v>176</v>
      </c>
      <c r="AA863" s="189"/>
    </row>
    <row r="864">
      <c r="Y864" s="208"/>
      <c r="Z864" s="189" t="s">
        <v>176</v>
      </c>
      <c r="AA864" s="189"/>
    </row>
    <row r="865">
      <c r="Y865" s="208"/>
      <c r="Z865" s="189" t="s">
        <v>176</v>
      </c>
      <c r="AA865" s="189"/>
    </row>
    <row r="866">
      <c r="Y866" s="208"/>
      <c r="Z866" s="189" t="s">
        <v>176</v>
      </c>
      <c r="AA866" s="189"/>
    </row>
    <row r="867">
      <c r="Y867" s="208"/>
      <c r="Z867" s="189" t="s">
        <v>176</v>
      </c>
      <c r="AA867" s="189"/>
    </row>
    <row r="868">
      <c r="Y868" s="208"/>
      <c r="Z868" s="189" t="s">
        <v>176</v>
      </c>
      <c r="AA868" s="189"/>
    </row>
    <row r="869">
      <c r="Y869" s="208"/>
      <c r="Z869" s="189" t="s">
        <v>176</v>
      </c>
      <c r="AA869" s="189"/>
    </row>
    <row r="870">
      <c r="Y870" s="208"/>
      <c r="Z870" s="189" t="s">
        <v>176</v>
      </c>
      <c r="AA870" s="189"/>
    </row>
    <row r="871">
      <c r="Y871" s="208"/>
      <c r="Z871" s="189" t="s">
        <v>176</v>
      </c>
      <c r="AA871" s="189"/>
    </row>
    <row r="872">
      <c r="Y872" s="208"/>
      <c r="Z872" s="189" t="s">
        <v>176</v>
      </c>
      <c r="AA872" s="189"/>
    </row>
    <row r="873">
      <c r="Y873" s="208"/>
      <c r="Z873" s="189" t="s">
        <v>176</v>
      </c>
      <c r="AA873" s="189"/>
    </row>
    <row r="874">
      <c r="Y874" s="208"/>
      <c r="Z874" s="189" t="s">
        <v>176</v>
      </c>
      <c r="AA874" s="189"/>
    </row>
    <row r="875">
      <c r="Y875" s="208"/>
      <c r="Z875" s="189" t="s">
        <v>176</v>
      </c>
      <c r="AA875" s="189"/>
    </row>
    <row r="876">
      <c r="Y876" s="208"/>
      <c r="Z876" s="189" t="s">
        <v>176</v>
      </c>
      <c r="AA876" s="189"/>
    </row>
    <row r="877">
      <c r="Y877" s="208"/>
      <c r="Z877" s="189" t="s">
        <v>176</v>
      </c>
      <c r="AA877" s="189"/>
    </row>
    <row r="878">
      <c r="Y878" s="208"/>
      <c r="Z878" s="189" t="s">
        <v>176</v>
      </c>
      <c r="AA878" s="189"/>
    </row>
    <row r="879">
      <c r="Y879" s="208"/>
      <c r="Z879" s="189" t="s">
        <v>176</v>
      </c>
      <c r="AA879" s="189"/>
    </row>
    <row r="880">
      <c r="Y880" s="208"/>
      <c r="Z880" s="189" t="s">
        <v>176</v>
      </c>
      <c r="AA880" s="189"/>
    </row>
    <row r="881">
      <c r="Y881" s="208"/>
      <c r="Z881" s="189" t="s">
        <v>176</v>
      </c>
      <c r="AA881" s="189"/>
    </row>
    <row r="882">
      <c r="Y882" s="208"/>
      <c r="Z882" s="189" t="s">
        <v>176</v>
      </c>
      <c r="AA882" s="189"/>
    </row>
    <row r="883">
      <c r="Y883" s="208"/>
      <c r="Z883" s="189" t="s">
        <v>176</v>
      </c>
      <c r="AA883" s="189"/>
    </row>
    <row r="884">
      <c r="Y884" s="208"/>
      <c r="Z884" s="189" t="s">
        <v>176</v>
      </c>
      <c r="AA884" s="189"/>
    </row>
    <row r="885">
      <c r="Y885" s="208"/>
      <c r="Z885" s="189" t="s">
        <v>176</v>
      </c>
      <c r="AA885" s="189"/>
    </row>
    <row r="886">
      <c r="Y886" s="208"/>
      <c r="Z886" s="189" t="s">
        <v>176</v>
      </c>
      <c r="AA886" s="189"/>
    </row>
    <row r="887">
      <c r="Y887" s="208"/>
      <c r="Z887" s="189" t="s">
        <v>176</v>
      </c>
      <c r="AA887" s="189"/>
    </row>
    <row r="888">
      <c r="Y888" s="208"/>
      <c r="Z888" s="189" t="s">
        <v>176</v>
      </c>
      <c r="AA888" s="189"/>
    </row>
    <row r="889">
      <c r="Y889" s="208"/>
      <c r="Z889" s="189" t="s">
        <v>176</v>
      </c>
      <c r="AA889" s="189"/>
    </row>
    <row r="890">
      <c r="Y890" s="208"/>
      <c r="Z890" s="189" t="s">
        <v>176</v>
      </c>
      <c r="AA890" s="189"/>
    </row>
    <row r="891">
      <c r="Y891" s="208"/>
      <c r="Z891" s="189" t="s">
        <v>176</v>
      </c>
      <c r="AA891" s="189"/>
    </row>
    <row r="892">
      <c r="Y892" s="208"/>
      <c r="Z892" s="189" t="s">
        <v>176</v>
      </c>
      <c r="AA892" s="189"/>
    </row>
    <row r="893">
      <c r="Y893" s="208"/>
      <c r="Z893" s="189" t="s">
        <v>176</v>
      </c>
      <c r="AA893" s="189"/>
    </row>
    <row r="894">
      <c r="Y894" s="208"/>
      <c r="Z894" s="189" t="s">
        <v>176</v>
      </c>
      <c r="AA894" s="189"/>
    </row>
    <row r="895">
      <c r="Y895" s="208"/>
      <c r="Z895" s="189" t="s">
        <v>176</v>
      </c>
      <c r="AA895" s="189"/>
    </row>
    <row r="896">
      <c r="Y896" s="208"/>
      <c r="Z896" s="189" t="s">
        <v>176</v>
      </c>
      <c r="AA896" s="189"/>
    </row>
    <row r="897">
      <c r="Y897" s="208"/>
      <c r="Z897" s="189" t="s">
        <v>176</v>
      </c>
      <c r="AA897" s="189"/>
    </row>
    <row r="898">
      <c r="Y898" s="208"/>
      <c r="Z898" s="189" t="s">
        <v>176</v>
      </c>
      <c r="AA898" s="189"/>
    </row>
    <row r="899">
      <c r="Y899" s="208"/>
      <c r="Z899" s="189" t="s">
        <v>176</v>
      </c>
      <c r="AA899" s="189"/>
    </row>
    <row r="900">
      <c r="Y900" s="208"/>
      <c r="Z900" s="189" t="s">
        <v>176</v>
      </c>
      <c r="AA900" s="189"/>
    </row>
    <row r="901">
      <c r="Y901" s="208"/>
      <c r="Z901" s="189" t="s">
        <v>176</v>
      </c>
      <c r="AA901" s="189"/>
    </row>
    <row r="902">
      <c r="Y902" s="208"/>
      <c r="Z902" s="189" t="s">
        <v>176</v>
      </c>
      <c r="AA902" s="189"/>
    </row>
    <row r="903">
      <c r="Y903" s="208"/>
      <c r="Z903" s="189" t="s">
        <v>176</v>
      </c>
      <c r="AA903" s="189"/>
    </row>
    <row r="904">
      <c r="Y904" s="208"/>
      <c r="Z904" s="189" t="s">
        <v>176</v>
      </c>
      <c r="AA904" s="189"/>
    </row>
    <row r="905">
      <c r="Y905" s="208"/>
      <c r="Z905" s="189" t="s">
        <v>176</v>
      </c>
      <c r="AA905" s="189"/>
    </row>
    <row r="906">
      <c r="Y906" s="208"/>
      <c r="Z906" s="189" t="s">
        <v>176</v>
      </c>
      <c r="AA906" s="189"/>
    </row>
    <row r="907">
      <c r="Y907" s="208"/>
      <c r="Z907" s="189" t="s">
        <v>176</v>
      </c>
      <c r="AA907" s="189"/>
    </row>
    <row r="908">
      <c r="Y908" s="208"/>
      <c r="Z908" s="189" t="s">
        <v>176</v>
      </c>
      <c r="AA908" s="189"/>
    </row>
    <row r="909">
      <c r="Y909" s="208"/>
      <c r="Z909" s="189" t="s">
        <v>176</v>
      </c>
      <c r="AA909" s="189"/>
    </row>
    <row r="910">
      <c r="Y910" s="208"/>
      <c r="Z910" s="189" t="s">
        <v>176</v>
      </c>
      <c r="AA910" s="189"/>
    </row>
    <row r="911">
      <c r="Y911" s="208"/>
      <c r="Z911" s="189" t="s">
        <v>176</v>
      </c>
      <c r="AA911" s="189"/>
    </row>
    <row r="912">
      <c r="Y912" s="208"/>
      <c r="Z912" s="189" t="s">
        <v>176</v>
      </c>
      <c r="AA912" s="189"/>
    </row>
    <row r="913">
      <c r="Y913" s="208"/>
      <c r="Z913" s="189" t="s">
        <v>176</v>
      </c>
      <c r="AA913" s="189"/>
    </row>
    <row r="914">
      <c r="Y914" s="208"/>
      <c r="Z914" s="189" t="s">
        <v>176</v>
      </c>
      <c r="AA914" s="189"/>
    </row>
    <row r="915">
      <c r="Y915" s="208"/>
      <c r="Z915" s="189" t="s">
        <v>176</v>
      </c>
      <c r="AA915" s="189"/>
    </row>
    <row r="916">
      <c r="Y916" s="208"/>
      <c r="Z916" s="189" t="s">
        <v>176</v>
      </c>
      <c r="AA916" s="189"/>
    </row>
    <row r="917">
      <c r="Y917" s="208"/>
      <c r="Z917" s="189" t="s">
        <v>176</v>
      </c>
      <c r="AA917" s="189"/>
    </row>
    <row r="918">
      <c r="Y918" s="208"/>
      <c r="Z918" s="189" t="s">
        <v>176</v>
      </c>
      <c r="AA918" s="189"/>
    </row>
    <row r="919">
      <c r="Y919" s="208"/>
      <c r="Z919" s="189" t="s">
        <v>176</v>
      </c>
      <c r="AA919" s="189"/>
    </row>
    <row r="920">
      <c r="Y920" s="208"/>
      <c r="Z920" s="189" t="s">
        <v>176</v>
      </c>
      <c r="AA920" s="189"/>
    </row>
    <row r="921">
      <c r="Y921" s="208"/>
      <c r="Z921" s="189" t="s">
        <v>176</v>
      </c>
      <c r="AA921" s="189"/>
    </row>
    <row r="922">
      <c r="Y922" s="208"/>
      <c r="Z922" s="189" t="s">
        <v>176</v>
      </c>
      <c r="AA922" s="189"/>
    </row>
    <row r="923">
      <c r="Y923" s="208"/>
      <c r="Z923" s="189" t="s">
        <v>176</v>
      </c>
      <c r="AA923" s="189"/>
    </row>
    <row r="924">
      <c r="Y924" s="208"/>
      <c r="Z924" s="189" t="s">
        <v>176</v>
      </c>
      <c r="AA924" s="189"/>
    </row>
    <row r="925">
      <c r="Y925" s="208"/>
      <c r="Z925" s="189" t="s">
        <v>176</v>
      </c>
      <c r="AA925" s="189"/>
    </row>
    <row r="926">
      <c r="Y926" s="208"/>
      <c r="Z926" s="189" t="s">
        <v>176</v>
      </c>
      <c r="AA926" s="189"/>
    </row>
    <row r="927">
      <c r="Y927" s="208"/>
      <c r="Z927" s="189" t="s">
        <v>176</v>
      </c>
      <c r="AA927" s="189"/>
    </row>
    <row r="928">
      <c r="Y928" s="208"/>
      <c r="Z928" s="189" t="s">
        <v>176</v>
      </c>
      <c r="AA928" s="189"/>
    </row>
    <row r="929">
      <c r="Y929" s="208"/>
      <c r="Z929" s="189" t="s">
        <v>176</v>
      </c>
      <c r="AA929" s="189"/>
    </row>
    <row r="930">
      <c r="Y930" s="208"/>
      <c r="Z930" s="189" t="s">
        <v>176</v>
      </c>
      <c r="AA930" s="189"/>
    </row>
    <row r="931">
      <c r="Y931" s="208"/>
      <c r="Z931" s="189" t="s">
        <v>176</v>
      </c>
      <c r="AA931" s="189"/>
    </row>
    <row r="932">
      <c r="Y932" s="208"/>
      <c r="Z932" s="189" t="s">
        <v>176</v>
      </c>
      <c r="AA932" s="189"/>
    </row>
    <row r="933">
      <c r="Y933" s="208"/>
      <c r="Z933" s="189" t="s">
        <v>176</v>
      </c>
      <c r="AA933" s="189"/>
    </row>
    <row r="934">
      <c r="Y934" s="208"/>
      <c r="Z934" s="189" t="s">
        <v>176</v>
      </c>
      <c r="AA934" s="189"/>
    </row>
    <row r="935">
      <c r="Y935" s="208"/>
      <c r="Z935" s="189" t="s">
        <v>176</v>
      </c>
      <c r="AA935" s="189"/>
    </row>
    <row r="936">
      <c r="Y936" s="208"/>
      <c r="Z936" s="189" t="s">
        <v>176</v>
      </c>
      <c r="AA936" s="189"/>
    </row>
    <row r="937">
      <c r="Y937" s="208"/>
      <c r="Z937" s="189" t="s">
        <v>176</v>
      </c>
      <c r="AA937" s="189"/>
    </row>
    <row r="938">
      <c r="Y938" s="208"/>
      <c r="Z938" s="189" t="s">
        <v>176</v>
      </c>
      <c r="AA938" s="189"/>
    </row>
    <row r="939">
      <c r="Y939" s="208"/>
      <c r="Z939" s="189" t="s">
        <v>176</v>
      </c>
      <c r="AA939" s="189"/>
    </row>
    <row r="940">
      <c r="Y940" s="208"/>
      <c r="Z940" s="189" t="s">
        <v>176</v>
      </c>
      <c r="AA940" s="189"/>
    </row>
    <row r="941">
      <c r="Y941" s="208"/>
      <c r="Z941" s="189" t="s">
        <v>176</v>
      </c>
      <c r="AA941" s="189"/>
    </row>
    <row r="942">
      <c r="Y942" s="208"/>
      <c r="Z942" s="189" t="s">
        <v>176</v>
      </c>
      <c r="AA942" s="189"/>
    </row>
    <row r="943">
      <c r="Y943" s="208"/>
      <c r="Z943" s="189" t="s">
        <v>176</v>
      </c>
      <c r="AA943" s="189"/>
    </row>
    <row r="944">
      <c r="Y944" s="208"/>
      <c r="Z944" s="189" t="s">
        <v>176</v>
      </c>
      <c r="AA944" s="189"/>
    </row>
    <row r="945">
      <c r="Y945" s="208"/>
      <c r="Z945" s="189" t="s">
        <v>176</v>
      </c>
      <c r="AA945" s="189"/>
    </row>
    <row r="946">
      <c r="Y946" s="208"/>
      <c r="Z946" s="189" t="s">
        <v>176</v>
      </c>
      <c r="AA946" s="189"/>
    </row>
    <row r="947">
      <c r="Y947" s="208"/>
      <c r="Z947" s="189" t="s">
        <v>176</v>
      </c>
      <c r="AA947" s="189"/>
    </row>
    <row r="948">
      <c r="Y948" s="208"/>
      <c r="Z948" s="189" t="s">
        <v>176</v>
      </c>
      <c r="AA948" s="189"/>
    </row>
    <row r="949">
      <c r="Y949" s="208"/>
      <c r="Z949" s="189" t="s">
        <v>176</v>
      </c>
      <c r="AA949" s="189"/>
    </row>
    <row r="950">
      <c r="Y950" s="208"/>
      <c r="Z950" s="189" t="s">
        <v>176</v>
      </c>
      <c r="AA950" s="189"/>
    </row>
    <row r="951">
      <c r="Y951" s="208"/>
      <c r="Z951" s="189" t="s">
        <v>176</v>
      </c>
      <c r="AA951" s="189"/>
    </row>
    <row r="952">
      <c r="Y952" s="208"/>
      <c r="Z952" s="189" t="s">
        <v>176</v>
      </c>
      <c r="AA952" s="189"/>
    </row>
    <row r="953">
      <c r="Y953" s="208"/>
      <c r="Z953" s="189" t="s">
        <v>176</v>
      </c>
      <c r="AA953" s="189"/>
    </row>
    <row r="954">
      <c r="Y954" s="208"/>
      <c r="Z954" s="189" t="s">
        <v>176</v>
      </c>
      <c r="AA954" s="189"/>
    </row>
    <row r="955">
      <c r="Y955" s="208"/>
      <c r="Z955" s="189" t="s">
        <v>176</v>
      </c>
      <c r="AA955" s="189"/>
    </row>
    <row r="956">
      <c r="Y956" s="208"/>
      <c r="Z956" s="189" t="s">
        <v>176</v>
      </c>
      <c r="AA956" s="189"/>
    </row>
    <row r="957">
      <c r="Y957" s="208"/>
      <c r="Z957" s="189" t="s">
        <v>176</v>
      </c>
      <c r="AA957" s="189"/>
    </row>
    <row r="958">
      <c r="Y958" s="208"/>
      <c r="Z958" s="189" t="s">
        <v>176</v>
      </c>
      <c r="AA958" s="189"/>
    </row>
    <row r="959">
      <c r="Y959" s="208"/>
      <c r="Z959" s="189" t="s">
        <v>176</v>
      </c>
      <c r="AA959" s="189"/>
    </row>
    <row r="960">
      <c r="Y960" s="208"/>
      <c r="Z960" s="189" t="s">
        <v>176</v>
      </c>
      <c r="AA960" s="189"/>
    </row>
    <row r="961">
      <c r="Y961" s="208"/>
      <c r="Z961" s="189" t="s">
        <v>176</v>
      </c>
      <c r="AA961" s="189"/>
    </row>
    <row r="962">
      <c r="Y962" s="208"/>
      <c r="Z962" s="189" t="s">
        <v>176</v>
      </c>
      <c r="AA962" s="189"/>
    </row>
    <row r="963">
      <c r="Y963" s="208"/>
      <c r="Z963" s="189" t="s">
        <v>176</v>
      </c>
      <c r="AA963" s="189"/>
    </row>
    <row r="964">
      <c r="Y964" s="208"/>
      <c r="Z964" s="189" t="s">
        <v>176</v>
      </c>
      <c r="AA964" s="189"/>
    </row>
    <row r="965">
      <c r="Y965" s="208"/>
      <c r="Z965" s="189" t="s">
        <v>176</v>
      </c>
      <c r="AA965" s="189"/>
    </row>
    <row r="966">
      <c r="Y966" s="208"/>
      <c r="Z966" s="189" t="s">
        <v>176</v>
      </c>
      <c r="AA966" s="189"/>
    </row>
    <row r="967">
      <c r="Y967" s="208"/>
      <c r="Z967" s="189" t="s">
        <v>176</v>
      </c>
      <c r="AA967" s="189"/>
    </row>
    <row r="968">
      <c r="Y968" s="208"/>
      <c r="Z968" s="189" t="s">
        <v>176</v>
      </c>
      <c r="AA968" s="189"/>
    </row>
    <row r="969">
      <c r="Y969" s="208"/>
      <c r="Z969" s="189" t="s">
        <v>176</v>
      </c>
      <c r="AA969" s="189"/>
    </row>
    <row r="970">
      <c r="Y970" s="208"/>
      <c r="Z970" s="189" t="s">
        <v>176</v>
      </c>
      <c r="AA970" s="189"/>
    </row>
    <row r="971">
      <c r="Y971" s="208"/>
      <c r="Z971" s="189" t="s">
        <v>176</v>
      </c>
      <c r="AA971" s="189"/>
    </row>
    <row r="972">
      <c r="Y972" s="208"/>
      <c r="Z972" s="189" t="s">
        <v>176</v>
      </c>
      <c r="AA972" s="189"/>
    </row>
    <row r="973">
      <c r="Y973" s="208"/>
      <c r="Z973" s="189" t="s">
        <v>176</v>
      </c>
      <c r="AA973" s="189"/>
    </row>
    <row r="974">
      <c r="Y974" s="208"/>
      <c r="Z974" s="189" t="s">
        <v>176</v>
      </c>
      <c r="AA974" s="189"/>
    </row>
    <row r="975">
      <c r="Y975" s="208"/>
      <c r="Z975" s="189" t="s">
        <v>176</v>
      </c>
      <c r="AA975" s="189"/>
    </row>
    <row r="976">
      <c r="Y976" s="208"/>
      <c r="Z976" s="189" t="s">
        <v>176</v>
      </c>
      <c r="AA976" s="189"/>
    </row>
    <row r="977">
      <c r="Y977" s="208"/>
      <c r="Z977" s="189" t="s">
        <v>176</v>
      </c>
      <c r="AA977" s="189"/>
    </row>
    <row r="978">
      <c r="Y978" s="208"/>
      <c r="Z978" s="189" t="s">
        <v>176</v>
      </c>
      <c r="AA978" s="189"/>
    </row>
    <row r="979">
      <c r="Y979" s="208"/>
      <c r="Z979" s="189" t="s">
        <v>176</v>
      </c>
      <c r="AA979" s="189"/>
    </row>
    <row r="980">
      <c r="Y980" s="208"/>
      <c r="Z980" s="189" t="s">
        <v>176</v>
      </c>
      <c r="AA980" s="189"/>
    </row>
    <row r="981">
      <c r="Y981" s="208"/>
      <c r="Z981" s="189" t="s">
        <v>176</v>
      </c>
      <c r="AA981" s="189"/>
    </row>
    <row r="982">
      <c r="Y982" s="208"/>
      <c r="Z982" s="189" t="s">
        <v>176</v>
      </c>
      <c r="AA982" s="189"/>
    </row>
    <row r="983">
      <c r="Y983" s="208"/>
      <c r="Z983" s="189" t="s">
        <v>176</v>
      </c>
      <c r="AA983" s="189"/>
    </row>
    <row r="984">
      <c r="Y984" s="208"/>
      <c r="Z984" s="189" t="s">
        <v>176</v>
      </c>
      <c r="AA984" s="189"/>
    </row>
    <row r="985">
      <c r="Y985" s="208"/>
      <c r="Z985" s="189" t="s">
        <v>176</v>
      </c>
      <c r="AA985" s="189"/>
    </row>
    <row r="986">
      <c r="Y986" s="208"/>
      <c r="Z986" s="189" t="s">
        <v>176</v>
      </c>
      <c r="AA986" s="189"/>
    </row>
    <row r="987">
      <c r="Y987" s="208"/>
      <c r="Z987" s="189" t="s">
        <v>176</v>
      </c>
      <c r="AA987" s="189"/>
    </row>
    <row r="988">
      <c r="Y988" s="208"/>
      <c r="Z988" s="189" t="s">
        <v>176</v>
      </c>
      <c r="AA988" s="189"/>
    </row>
    <row r="989">
      <c r="Y989" s="208"/>
      <c r="Z989" s="189" t="s">
        <v>176</v>
      </c>
      <c r="AA989" s="189"/>
    </row>
    <row r="990">
      <c r="Y990" s="208"/>
      <c r="Z990" s="189" t="s">
        <v>176</v>
      </c>
      <c r="AA990" s="189"/>
    </row>
    <row r="991">
      <c r="Y991" s="208"/>
      <c r="Z991" s="189" t="s">
        <v>176</v>
      </c>
      <c r="AA991" s="189"/>
    </row>
    <row r="992">
      <c r="Y992" s="208"/>
      <c r="Z992" s="189" t="s">
        <v>176</v>
      </c>
      <c r="AA992" s="189"/>
    </row>
    <row r="993">
      <c r="Y993" s="208"/>
      <c r="Z993" s="189" t="s">
        <v>176</v>
      </c>
      <c r="AA993" s="189"/>
    </row>
    <row r="994">
      <c r="Y994" s="208"/>
      <c r="Z994" s="189" t="s">
        <v>176</v>
      </c>
      <c r="AA994" s="189"/>
    </row>
    <row r="995">
      <c r="Y995" s="208"/>
      <c r="Z995" s="189" t="s">
        <v>176</v>
      </c>
      <c r="AA995" s="189"/>
    </row>
    <row r="996">
      <c r="Y996" s="208"/>
      <c r="Z996" s="189" t="s">
        <v>176</v>
      </c>
      <c r="AA996" s="189"/>
    </row>
    <row r="997">
      <c r="Y997" s="208"/>
      <c r="Z997" s="189" t="s">
        <v>176</v>
      </c>
      <c r="AA997" s="189"/>
    </row>
    <row r="998">
      <c r="Y998" s="208"/>
      <c r="Z998" s="189" t="s">
        <v>176</v>
      </c>
      <c r="AA998" s="189"/>
    </row>
    <row r="999">
      <c r="Y999" s="208"/>
      <c r="Z999" s="189" t="s">
        <v>176</v>
      </c>
      <c r="AA999" s="189"/>
    </row>
    <row r="1000">
      <c r="Y1000" s="208"/>
      <c r="Z1000" s="189" t="s">
        <v>176</v>
      </c>
      <c r="AA1000" s="18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0</v>
      </c>
      <c r="B1" s="182" t="s">
        <v>3</v>
      </c>
      <c r="C1" s="182" t="s">
        <v>374</v>
      </c>
      <c r="D1" s="182" t="s">
        <v>375</v>
      </c>
      <c r="E1" s="182" t="s">
        <v>376</v>
      </c>
      <c r="F1" s="182" t="s">
        <v>377</v>
      </c>
    </row>
    <row r="2">
      <c r="A2" s="182" t="s">
        <v>186</v>
      </c>
      <c r="B2" s="182" t="s">
        <v>227</v>
      </c>
      <c r="C2" s="182">
        <v>1.0</v>
      </c>
      <c r="D2" s="182">
        <v>0.0</v>
      </c>
      <c r="E2" s="207">
        <v>1.0</v>
      </c>
      <c r="F2" s="182" t="s">
        <v>378</v>
      </c>
    </row>
    <row r="3">
      <c r="A3" s="182" t="s">
        <v>186</v>
      </c>
      <c r="B3" s="182" t="s">
        <v>42</v>
      </c>
      <c r="C3" s="182">
        <v>2.0</v>
      </c>
      <c r="D3" s="182">
        <v>0.0</v>
      </c>
      <c r="E3" s="207">
        <v>1.0</v>
      </c>
      <c r="F3" s="182" t="s">
        <v>378</v>
      </c>
    </row>
    <row r="4">
      <c r="A4" s="182" t="s">
        <v>186</v>
      </c>
      <c r="B4" s="182" t="s">
        <v>32</v>
      </c>
      <c r="C4" s="182">
        <v>11.0</v>
      </c>
      <c r="D4" s="182">
        <v>2.0</v>
      </c>
      <c r="E4" s="207">
        <v>0.85</v>
      </c>
      <c r="F4" s="182" t="s">
        <v>378</v>
      </c>
    </row>
    <row r="5">
      <c r="A5" s="182" t="s">
        <v>186</v>
      </c>
      <c r="B5" s="182" t="s">
        <v>36</v>
      </c>
      <c r="C5" s="182">
        <v>1.0</v>
      </c>
      <c r="D5" s="182">
        <v>1.0</v>
      </c>
      <c r="E5" s="207">
        <v>0.5</v>
      </c>
      <c r="F5" s="182" t="s">
        <v>378</v>
      </c>
    </row>
    <row r="6">
      <c r="A6" s="182" t="s">
        <v>186</v>
      </c>
      <c r="B6" s="182" t="s">
        <v>40</v>
      </c>
      <c r="C6" s="182">
        <v>11.0</v>
      </c>
      <c r="D6" s="182">
        <v>2.0</v>
      </c>
      <c r="E6" s="207">
        <v>0.85</v>
      </c>
      <c r="F6" s="182" t="s">
        <v>378</v>
      </c>
    </row>
    <row r="7">
      <c r="A7" s="182" t="s">
        <v>186</v>
      </c>
      <c r="B7" s="182" t="s">
        <v>43</v>
      </c>
      <c r="C7" s="182">
        <v>2.0</v>
      </c>
      <c r="D7" s="182">
        <v>0.0</v>
      </c>
      <c r="E7" s="207">
        <v>1.0</v>
      </c>
      <c r="F7" s="182" t="s">
        <v>378</v>
      </c>
    </row>
    <row r="8">
      <c r="A8" s="182" t="s">
        <v>186</v>
      </c>
      <c r="B8" s="182" t="s">
        <v>45</v>
      </c>
      <c r="C8" s="182">
        <v>3.0</v>
      </c>
      <c r="D8" s="182">
        <v>0.0</v>
      </c>
      <c r="E8" s="207">
        <v>1.0</v>
      </c>
      <c r="F8" s="182" t="s">
        <v>378</v>
      </c>
    </row>
    <row r="9">
      <c r="A9" s="182" t="s">
        <v>186</v>
      </c>
      <c r="B9" s="182" t="s">
        <v>38</v>
      </c>
      <c r="C9" s="182">
        <v>6.0</v>
      </c>
      <c r="D9" s="182">
        <v>2.0</v>
      </c>
      <c r="E9" s="207">
        <v>0.75</v>
      </c>
      <c r="F9" s="182" t="s">
        <v>378</v>
      </c>
    </row>
    <row r="10">
      <c r="A10" s="182" t="s">
        <v>181</v>
      </c>
      <c r="B10" s="182" t="s">
        <v>34</v>
      </c>
      <c r="C10" s="182">
        <v>2.0</v>
      </c>
      <c r="D10" s="182">
        <v>2.0</v>
      </c>
      <c r="E10" s="207">
        <v>0.5</v>
      </c>
      <c r="F10" s="182" t="s">
        <v>378</v>
      </c>
    </row>
    <row r="11">
      <c r="A11" s="182" t="s">
        <v>181</v>
      </c>
      <c r="B11" s="182" t="s">
        <v>42</v>
      </c>
      <c r="C11" s="182">
        <v>1.0</v>
      </c>
      <c r="D11" s="182">
        <v>0.0</v>
      </c>
      <c r="E11" s="207">
        <v>1.0</v>
      </c>
      <c r="F11" s="182" t="s">
        <v>378</v>
      </c>
    </row>
    <row r="12">
      <c r="A12" s="182" t="s">
        <v>181</v>
      </c>
      <c r="B12" s="182" t="s">
        <v>32</v>
      </c>
      <c r="C12" s="182">
        <v>11.0</v>
      </c>
      <c r="D12" s="182">
        <v>1.0</v>
      </c>
      <c r="E12" s="207">
        <v>0.92</v>
      </c>
      <c r="F12" s="182" t="s">
        <v>378</v>
      </c>
    </row>
    <row r="13">
      <c r="A13" s="182" t="s">
        <v>181</v>
      </c>
      <c r="B13" s="182" t="s">
        <v>36</v>
      </c>
      <c r="C13" s="182">
        <v>1.0</v>
      </c>
      <c r="D13" s="182">
        <v>0.0</v>
      </c>
      <c r="E13" s="207">
        <v>1.0</v>
      </c>
      <c r="F13" s="182" t="s">
        <v>378</v>
      </c>
    </row>
    <row r="14">
      <c r="A14" s="182" t="s">
        <v>181</v>
      </c>
      <c r="B14" s="182" t="s">
        <v>40</v>
      </c>
      <c r="C14" s="182">
        <v>15.0</v>
      </c>
      <c r="D14" s="182">
        <v>2.0</v>
      </c>
      <c r="E14" s="207">
        <v>0.88</v>
      </c>
      <c r="F14" s="182" t="s">
        <v>378</v>
      </c>
    </row>
    <row r="15">
      <c r="A15" s="182" t="s">
        <v>181</v>
      </c>
      <c r="B15" s="182" t="s">
        <v>43</v>
      </c>
      <c r="C15" s="182">
        <v>3.0</v>
      </c>
      <c r="D15" s="182">
        <v>0.0</v>
      </c>
      <c r="E15" s="207">
        <v>1.0</v>
      </c>
      <c r="F15" s="182" t="s">
        <v>378</v>
      </c>
    </row>
    <row r="16">
      <c r="A16" s="182" t="s">
        <v>181</v>
      </c>
      <c r="B16" s="182" t="s">
        <v>45</v>
      </c>
      <c r="C16" s="182">
        <v>2.0</v>
      </c>
      <c r="D16" s="182">
        <v>0.0</v>
      </c>
      <c r="E16" s="207">
        <v>1.0</v>
      </c>
      <c r="F16" s="182" t="s">
        <v>378</v>
      </c>
    </row>
    <row r="17">
      <c r="A17" s="182" t="s">
        <v>181</v>
      </c>
      <c r="B17" s="182" t="s">
        <v>38</v>
      </c>
      <c r="C17" s="182">
        <v>12.0</v>
      </c>
      <c r="D17" s="182">
        <v>4.0</v>
      </c>
      <c r="E17" s="207">
        <v>0.75</v>
      </c>
      <c r="F17" s="182" t="s">
        <v>378</v>
      </c>
    </row>
    <row r="18">
      <c r="A18" s="182" t="s">
        <v>190</v>
      </c>
      <c r="B18" s="182" t="s">
        <v>227</v>
      </c>
      <c r="C18" s="182">
        <v>3.0</v>
      </c>
      <c r="D18" s="182">
        <v>0.0</v>
      </c>
      <c r="E18" s="207">
        <v>1.0</v>
      </c>
      <c r="F18" s="182" t="s">
        <v>378</v>
      </c>
    </row>
    <row r="19">
      <c r="A19" s="182" t="s">
        <v>190</v>
      </c>
      <c r="B19" s="182" t="s">
        <v>34</v>
      </c>
      <c r="C19" s="182">
        <v>3.0</v>
      </c>
      <c r="D19" s="182">
        <v>0.0</v>
      </c>
      <c r="E19" s="207">
        <v>1.0</v>
      </c>
      <c r="F19" s="182" t="s">
        <v>378</v>
      </c>
    </row>
    <row r="20">
      <c r="A20" s="182" t="s">
        <v>190</v>
      </c>
      <c r="B20" s="182" t="s">
        <v>42</v>
      </c>
      <c r="C20" s="182">
        <v>0.0</v>
      </c>
      <c r="D20" s="182">
        <v>1.0</v>
      </c>
      <c r="E20" s="207">
        <v>0.0</v>
      </c>
      <c r="F20" s="182" t="s">
        <v>378</v>
      </c>
    </row>
    <row r="21">
      <c r="A21" s="182" t="s">
        <v>190</v>
      </c>
      <c r="B21" s="182" t="s">
        <v>32</v>
      </c>
      <c r="C21" s="182">
        <v>7.0</v>
      </c>
      <c r="D21" s="182">
        <v>2.0</v>
      </c>
      <c r="E21" s="207">
        <v>0.78</v>
      </c>
      <c r="F21" s="182" t="s">
        <v>378</v>
      </c>
    </row>
    <row r="22">
      <c r="A22" s="182" t="s">
        <v>190</v>
      </c>
      <c r="B22" s="182" t="s">
        <v>36</v>
      </c>
      <c r="C22" s="182">
        <v>1.0</v>
      </c>
      <c r="D22" s="182">
        <v>1.0</v>
      </c>
      <c r="E22" s="207">
        <v>0.5</v>
      </c>
      <c r="F22" s="182" t="s">
        <v>378</v>
      </c>
    </row>
    <row r="23">
      <c r="A23" s="182" t="s">
        <v>190</v>
      </c>
      <c r="B23" s="182" t="s">
        <v>40</v>
      </c>
      <c r="C23" s="182">
        <v>9.0</v>
      </c>
      <c r="D23" s="182">
        <v>2.0</v>
      </c>
      <c r="E23" s="207">
        <v>0.82</v>
      </c>
      <c r="F23" s="182" t="s">
        <v>378</v>
      </c>
    </row>
    <row r="24">
      <c r="A24" s="182" t="s">
        <v>190</v>
      </c>
      <c r="B24" s="182" t="s">
        <v>45</v>
      </c>
      <c r="C24" s="182">
        <v>2.0</v>
      </c>
      <c r="D24" s="182">
        <v>1.0</v>
      </c>
      <c r="E24" s="207">
        <v>0.67</v>
      </c>
      <c r="F24" s="182" t="s">
        <v>378</v>
      </c>
    </row>
    <row r="25">
      <c r="A25" s="182" t="s">
        <v>190</v>
      </c>
      <c r="B25" s="182" t="s">
        <v>38</v>
      </c>
      <c r="C25" s="182">
        <v>3.0</v>
      </c>
      <c r="D25" s="182">
        <v>0.0</v>
      </c>
      <c r="E25" s="207">
        <v>1.0</v>
      </c>
      <c r="F25" s="182" t="s">
        <v>378</v>
      </c>
    </row>
    <row r="26">
      <c r="A26" s="182" t="s">
        <v>182</v>
      </c>
      <c r="B26" s="182" t="s">
        <v>227</v>
      </c>
      <c r="C26" s="182">
        <v>2.0</v>
      </c>
      <c r="D26" s="182">
        <v>1.0</v>
      </c>
      <c r="E26" s="207">
        <v>0.67</v>
      </c>
      <c r="F26" s="182" t="s">
        <v>378</v>
      </c>
    </row>
    <row r="27">
      <c r="A27" s="182" t="s">
        <v>182</v>
      </c>
      <c r="B27" s="182" t="s">
        <v>34</v>
      </c>
      <c r="C27" s="182">
        <v>1.0</v>
      </c>
      <c r="D27" s="182">
        <v>1.0</v>
      </c>
      <c r="E27" s="207">
        <v>0.5</v>
      </c>
      <c r="F27" s="182" t="s">
        <v>378</v>
      </c>
    </row>
    <row r="28">
      <c r="A28" s="182" t="s">
        <v>182</v>
      </c>
      <c r="B28" s="182" t="s">
        <v>32</v>
      </c>
      <c r="C28" s="182">
        <v>10.0</v>
      </c>
      <c r="D28" s="182">
        <v>0.0</v>
      </c>
      <c r="E28" s="207">
        <v>1.0</v>
      </c>
      <c r="F28" s="182" t="s">
        <v>378</v>
      </c>
    </row>
    <row r="29">
      <c r="A29" s="182" t="s">
        <v>182</v>
      </c>
      <c r="B29" s="182" t="s">
        <v>36</v>
      </c>
      <c r="C29" s="182">
        <v>1.0</v>
      </c>
      <c r="D29" s="182">
        <v>0.0</v>
      </c>
      <c r="E29" s="207">
        <v>1.0</v>
      </c>
      <c r="F29" s="182" t="s">
        <v>378</v>
      </c>
    </row>
    <row r="30">
      <c r="A30" s="182" t="s">
        <v>182</v>
      </c>
      <c r="B30" s="182" t="s">
        <v>40</v>
      </c>
      <c r="C30" s="182">
        <v>7.0</v>
      </c>
      <c r="D30" s="182">
        <v>0.0</v>
      </c>
      <c r="E30" s="207">
        <v>1.0</v>
      </c>
      <c r="F30" s="182" t="s">
        <v>378</v>
      </c>
    </row>
    <row r="31">
      <c r="A31" s="182" t="s">
        <v>182</v>
      </c>
      <c r="B31" s="182" t="s">
        <v>38</v>
      </c>
      <c r="C31" s="182">
        <v>5.0</v>
      </c>
      <c r="D31" s="182">
        <v>1.0</v>
      </c>
      <c r="E31" s="207">
        <v>0.83</v>
      </c>
      <c r="F31" s="182" t="s">
        <v>378</v>
      </c>
    </row>
    <row r="32">
      <c r="A32" s="182" t="s">
        <v>183</v>
      </c>
      <c r="B32" s="182" t="s">
        <v>227</v>
      </c>
      <c r="C32" s="182">
        <v>3.0</v>
      </c>
      <c r="D32" s="182">
        <v>0.0</v>
      </c>
      <c r="E32" s="207">
        <v>1.0</v>
      </c>
      <c r="F32" s="182" t="s">
        <v>378</v>
      </c>
    </row>
    <row r="33">
      <c r="A33" s="182" t="s">
        <v>183</v>
      </c>
      <c r="B33" s="182" t="s">
        <v>34</v>
      </c>
      <c r="C33" s="182">
        <v>6.0</v>
      </c>
      <c r="D33" s="182">
        <v>1.0</v>
      </c>
      <c r="E33" s="207">
        <v>0.86</v>
      </c>
      <c r="F33" s="182" t="s">
        <v>378</v>
      </c>
    </row>
    <row r="34">
      <c r="A34" s="182" t="s">
        <v>183</v>
      </c>
      <c r="B34" s="182" t="s">
        <v>42</v>
      </c>
      <c r="C34" s="182">
        <v>3.0</v>
      </c>
      <c r="D34" s="182">
        <v>1.0</v>
      </c>
      <c r="E34" s="207">
        <v>0.75</v>
      </c>
      <c r="F34" s="182" t="s">
        <v>378</v>
      </c>
    </row>
    <row r="35">
      <c r="A35" s="182" t="s">
        <v>183</v>
      </c>
      <c r="B35" s="182" t="s">
        <v>32</v>
      </c>
      <c r="C35" s="182">
        <v>1.0</v>
      </c>
      <c r="D35" s="182">
        <v>1.0</v>
      </c>
      <c r="E35" s="207">
        <v>0.5</v>
      </c>
      <c r="F35" s="182" t="s">
        <v>378</v>
      </c>
    </row>
    <row r="36">
      <c r="A36" s="182" t="s">
        <v>183</v>
      </c>
      <c r="B36" s="182" t="s">
        <v>36</v>
      </c>
      <c r="C36" s="182">
        <v>2.0</v>
      </c>
      <c r="D36" s="182">
        <v>1.0</v>
      </c>
      <c r="E36" s="207">
        <v>0.67</v>
      </c>
      <c r="F36" s="182" t="s">
        <v>378</v>
      </c>
    </row>
    <row r="37">
      <c r="A37" s="182" t="s">
        <v>183</v>
      </c>
      <c r="B37" s="182" t="s">
        <v>40</v>
      </c>
      <c r="C37" s="182">
        <v>10.0</v>
      </c>
      <c r="D37" s="182">
        <v>0.0</v>
      </c>
      <c r="E37" s="207">
        <v>1.0</v>
      </c>
      <c r="F37" s="182" t="s">
        <v>378</v>
      </c>
    </row>
    <row r="38">
      <c r="A38" s="182" t="s">
        <v>183</v>
      </c>
      <c r="B38" s="182" t="s">
        <v>38</v>
      </c>
      <c r="C38" s="182">
        <v>7.0</v>
      </c>
      <c r="D38" s="182">
        <v>1.0</v>
      </c>
      <c r="E38" s="207">
        <v>0.88</v>
      </c>
      <c r="F38" s="182" t="s">
        <v>378</v>
      </c>
    </row>
    <row r="39">
      <c r="A39" s="182" t="s">
        <v>179</v>
      </c>
      <c r="B39" s="182" t="s">
        <v>227</v>
      </c>
      <c r="C39" s="182">
        <v>8.0</v>
      </c>
      <c r="D39" s="182">
        <v>2.0</v>
      </c>
      <c r="E39" s="207">
        <v>0.8</v>
      </c>
      <c r="F39" s="182" t="s">
        <v>378</v>
      </c>
    </row>
    <row r="40">
      <c r="A40" s="182" t="s">
        <v>179</v>
      </c>
      <c r="B40" s="182" t="s">
        <v>34</v>
      </c>
      <c r="C40" s="182">
        <v>4.0</v>
      </c>
      <c r="D40" s="182">
        <v>0.0</v>
      </c>
      <c r="E40" s="207">
        <v>1.0</v>
      </c>
      <c r="F40" s="182" t="s">
        <v>378</v>
      </c>
    </row>
    <row r="41">
      <c r="A41" s="182" t="s">
        <v>179</v>
      </c>
      <c r="B41" s="182" t="s">
        <v>42</v>
      </c>
      <c r="C41" s="182">
        <v>1.0</v>
      </c>
      <c r="D41" s="182">
        <v>1.0</v>
      </c>
      <c r="E41" s="207">
        <v>0.5</v>
      </c>
      <c r="F41" s="182" t="s">
        <v>378</v>
      </c>
    </row>
    <row r="42">
      <c r="A42" s="182" t="s">
        <v>179</v>
      </c>
      <c r="B42" s="182" t="s">
        <v>32</v>
      </c>
      <c r="C42" s="182">
        <v>4.0</v>
      </c>
      <c r="D42" s="182">
        <v>0.0</v>
      </c>
      <c r="E42" s="207">
        <v>1.0</v>
      </c>
      <c r="F42" s="182" t="s">
        <v>378</v>
      </c>
    </row>
    <row r="43">
      <c r="A43" s="182" t="s">
        <v>179</v>
      </c>
      <c r="B43" s="182" t="s">
        <v>40</v>
      </c>
      <c r="C43" s="182">
        <v>2.0</v>
      </c>
      <c r="D43" s="182">
        <v>0.0</v>
      </c>
      <c r="E43" s="207">
        <v>1.0</v>
      </c>
      <c r="F43" s="182" t="s">
        <v>378</v>
      </c>
    </row>
    <row r="44">
      <c r="A44" s="182" t="s">
        <v>232</v>
      </c>
      <c r="B44" s="182" t="s">
        <v>227</v>
      </c>
      <c r="C44" s="182">
        <v>2.0</v>
      </c>
      <c r="D44" s="182">
        <v>1.0</v>
      </c>
      <c r="E44" s="207">
        <v>0.67</v>
      </c>
      <c r="F44" s="182" t="s">
        <v>378</v>
      </c>
    </row>
    <row r="45">
      <c r="A45" s="182" t="s">
        <v>232</v>
      </c>
      <c r="B45" s="182" t="s">
        <v>34</v>
      </c>
      <c r="C45" s="182">
        <v>2.0</v>
      </c>
      <c r="D45" s="182">
        <v>1.0</v>
      </c>
      <c r="E45" s="207">
        <v>0.67</v>
      </c>
      <c r="F45" s="182" t="s">
        <v>378</v>
      </c>
    </row>
    <row r="46">
      <c r="A46" s="182" t="s">
        <v>232</v>
      </c>
      <c r="B46" s="182" t="s">
        <v>32</v>
      </c>
      <c r="C46" s="182">
        <v>8.0</v>
      </c>
      <c r="D46" s="182">
        <v>0.0</v>
      </c>
      <c r="E46" s="207">
        <v>1.0</v>
      </c>
      <c r="F46" s="182" t="s">
        <v>378</v>
      </c>
    </row>
    <row r="47">
      <c r="A47" s="182" t="s">
        <v>232</v>
      </c>
      <c r="B47" s="182" t="s">
        <v>36</v>
      </c>
      <c r="C47" s="182">
        <v>4.0</v>
      </c>
      <c r="D47" s="182">
        <v>0.0</v>
      </c>
      <c r="E47" s="207">
        <v>1.0</v>
      </c>
      <c r="F47" s="182" t="s">
        <v>378</v>
      </c>
    </row>
    <row r="48">
      <c r="A48" s="182" t="s">
        <v>232</v>
      </c>
      <c r="B48" s="182" t="s">
        <v>40</v>
      </c>
      <c r="C48" s="182">
        <v>1.0</v>
      </c>
      <c r="D48" s="182">
        <v>1.0</v>
      </c>
      <c r="E48" s="207">
        <v>0.5</v>
      </c>
      <c r="F48" s="182" t="s">
        <v>378</v>
      </c>
    </row>
    <row r="49">
      <c r="A49" s="182" t="s">
        <v>232</v>
      </c>
      <c r="B49" s="182" t="s">
        <v>38</v>
      </c>
      <c r="C49" s="182">
        <v>1.0</v>
      </c>
      <c r="D49" s="182">
        <v>0.0</v>
      </c>
      <c r="E49" s="207">
        <v>1.0</v>
      </c>
      <c r="F49" s="182" t="s">
        <v>378</v>
      </c>
    </row>
    <row r="50">
      <c r="A50" s="182" t="s">
        <v>187</v>
      </c>
      <c r="B50" s="182" t="s">
        <v>227</v>
      </c>
      <c r="C50" s="182">
        <v>5.0</v>
      </c>
      <c r="D50" s="182">
        <v>1.0</v>
      </c>
      <c r="E50" s="207">
        <v>0.83</v>
      </c>
      <c r="F50" s="182" t="s">
        <v>378</v>
      </c>
    </row>
    <row r="51">
      <c r="A51" s="182" t="s">
        <v>187</v>
      </c>
      <c r="B51" s="182" t="s">
        <v>34</v>
      </c>
      <c r="C51" s="182">
        <v>6.0</v>
      </c>
      <c r="D51" s="182">
        <v>0.0</v>
      </c>
      <c r="E51" s="207">
        <v>1.0</v>
      </c>
      <c r="F51" s="182" t="s">
        <v>378</v>
      </c>
    </row>
    <row r="52">
      <c r="A52" s="182" t="s">
        <v>187</v>
      </c>
      <c r="B52" s="182" t="s">
        <v>42</v>
      </c>
      <c r="C52" s="182">
        <v>7.0</v>
      </c>
      <c r="D52" s="182">
        <v>0.0</v>
      </c>
      <c r="E52" s="207">
        <v>1.0</v>
      </c>
      <c r="F52" s="182" t="s">
        <v>378</v>
      </c>
    </row>
    <row r="53">
      <c r="A53" s="182" t="s">
        <v>187</v>
      </c>
      <c r="B53" s="182" t="s">
        <v>32</v>
      </c>
      <c r="C53" s="182">
        <v>2.0</v>
      </c>
      <c r="D53" s="182">
        <v>0.0</v>
      </c>
      <c r="E53" s="207">
        <v>1.0</v>
      </c>
      <c r="F53" s="182" t="s">
        <v>378</v>
      </c>
    </row>
    <row r="54">
      <c r="A54" s="182" t="s">
        <v>187</v>
      </c>
      <c r="B54" s="182" t="s">
        <v>40</v>
      </c>
      <c r="C54" s="182">
        <v>7.0</v>
      </c>
      <c r="D54" s="182">
        <v>1.0</v>
      </c>
      <c r="E54" s="207">
        <v>0.88</v>
      </c>
      <c r="F54" s="182" t="s">
        <v>378</v>
      </c>
    </row>
    <row r="55">
      <c r="A55" s="182" t="s">
        <v>187</v>
      </c>
      <c r="B55" s="182" t="s">
        <v>45</v>
      </c>
      <c r="C55" s="182">
        <v>4.0</v>
      </c>
      <c r="D55" s="182">
        <v>0.0</v>
      </c>
      <c r="E55" s="207">
        <v>1.0</v>
      </c>
      <c r="F55" s="182" t="s">
        <v>378</v>
      </c>
    </row>
    <row r="56">
      <c r="A56" s="182" t="s">
        <v>187</v>
      </c>
      <c r="B56" s="182" t="s">
        <v>38</v>
      </c>
      <c r="C56" s="182">
        <v>1.0</v>
      </c>
      <c r="D56" s="182">
        <v>0.0</v>
      </c>
      <c r="E56" s="207">
        <v>1.0</v>
      </c>
      <c r="F56" s="182" t="s">
        <v>378</v>
      </c>
    </row>
    <row r="57">
      <c r="A57" s="182" t="s">
        <v>189</v>
      </c>
      <c r="B57" s="182" t="s">
        <v>227</v>
      </c>
      <c r="C57" s="182">
        <v>7.0</v>
      </c>
      <c r="D57" s="182">
        <v>0.0</v>
      </c>
      <c r="E57" s="207">
        <v>1.0</v>
      </c>
      <c r="F57" s="182" t="s">
        <v>378</v>
      </c>
    </row>
    <row r="58">
      <c r="A58" s="182" t="s">
        <v>189</v>
      </c>
      <c r="B58" s="182" t="s">
        <v>32</v>
      </c>
      <c r="C58" s="182">
        <v>3.0</v>
      </c>
      <c r="D58" s="182">
        <v>1.0</v>
      </c>
      <c r="E58" s="207">
        <v>0.75</v>
      </c>
      <c r="F58" s="182" t="s">
        <v>378</v>
      </c>
    </row>
    <row r="59">
      <c r="A59" s="182" t="s">
        <v>189</v>
      </c>
      <c r="B59" s="182" t="s">
        <v>36</v>
      </c>
      <c r="C59" s="182">
        <v>7.0</v>
      </c>
      <c r="D59" s="182">
        <v>1.0</v>
      </c>
      <c r="E59" s="207">
        <v>0.88</v>
      </c>
      <c r="F59" s="182" t="s">
        <v>378</v>
      </c>
    </row>
    <row r="60">
      <c r="A60" s="182" t="s">
        <v>189</v>
      </c>
      <c r="B60" s="182" t="s">
        <v>40</v>
      </c>
      <c r="C60" s="182">
        <v>11.0</v>
      </c>
      <c r="D60" s="182">
        <v>1.0</v>
      </c>
      <c r="E60" s="207">
        <v>0.92</v>
      </c>
      <c r="F60" s="182" t="s">
        <v>378</v>
      </c>
    </row>
    <row r="61">
      <c r="A61" s="182" t="s">
        <v>189</v>
      </c>
      <c r="B61" s="182" t="s">
        <v>45</v>
      </c>
      <c r="C61" s="182">
        <v>1.0</v>
      </c>
      <c r="D61" s="182">
        <v>0.0</v>
      </c>
      <c r="E61" s="207">
        <v>1.0</v>
      </c>
      <c r="F61" s="182" t="s">
        <v>378</v>
      </c>
    </row>
    <row r="62">
      <c r="A62" s="182" t="s">
        <v>180</v>
      </c>
      <c r="B62" s="182" t="s">
        <v>34</v>
      </c>
      <c r="C62" s="182">
        <v>2.0</v>
      </c>
      <c r="D62" s="182">
        <v>0.0</v>
      </c>
      <c r="E62" s="207">
        <v>1.0</v>
      </c>
      <c r="F62" s="182" t="s">
        <v>378</v>
      </c>
    </row>
    <row r="63">
      <c r="A63" s="182" t="s">
        <v>180</v>
      </c>
      <c r="B63" s="182" t="s">
        <v>42</v>
      </c>
      <c r="C63" s="182">
        <v>2.0</v>
      </c>
      <c r="D63" s="182">
        <v>0.0</v>
      </c>
      <c r="E63" s="207">
        <v>1.0</v>
      </c>
      <c r="F63" s="182" t="s">
        <v>378</v>
      </c>
    </row>
    <row r="64">
      <c r="A64" s="182" t="s">
        <v>180</v>
      </c>
      <c r="B64" s="182" t="s">
        <v>32</v>
      </c>
      <c r="C64" s="182">
        <v>11.0</v>
      </c>
      <c r="D64" s="182">
        <v>0.0</v>
      </c>
      <c r="E64" s="207">
        <v>1.0</v>
      </c>
      <c r="F64" s="182" t="s">
        <v>378</v>
      </c>
    </row>
    <row r="65">
      <c r="A65" s="182" t="s">
        <v>180</v>
      </c>
      <c r="B65" s="182" t="s">
        <v>36</v>
      </c>
      <c r="C65" s="182">
        <v>5.0</v>
      </c>
      <c r="D65" s="182">
        <v>0.0</v>
      </c>
      <c r="E65" s="207">
        <v>1.0</v>
      </c>
      <c r="F65" s="182" t="s">
        <v>378</v>
      </c>
    </row>
    <row r="66">
      <c r="A66" s="182" t="s">
        <v>180</v>
      </c>
      <c r="B66" s="182" t="s">
        <v>40</v>
      </c>
      <c r="C66" s="182">
        <v>9.0</v>
      </c>
      <c r="D66" s="182">
        <v>0.0</v>
      </c>
      <c r="E66" s="207">
        <v>1.0</v>
      </c>
      <c r="F66" s="182" t="s">
        <v>378</v>
      </c>
    </row>
    <row r="67">
      <c r="A67" s="182" t="s">
        <v>180</v>
      </c>
      <c r="B67" s="182" t="s">
        <v>43</v>
      </c>
      <c r="C67" s="182">
        <v>1.0</v>
      </c>
      <c r="D67" s="182">
        <v>0.0</v>
      </c>
      <c r="E67" s="207">
        <v>1.0</v>
      </c>
      <c r="F67" s="182" t="s">
        <v>378</v>
      </c>
    </row>
    <row r="68">
      <c r="A68" s="182" t="s">
        <v>180</v>
      </c>
      <c r="B68" s="182" t="s">
        <v>45</v>
      </c>
      <c r="C68" s="182">
        <v>3.0</v>
      </c>
      <c r="D68" s="182">
        <v>1.0</v>
      </c>
      <c r="E68" s="207">
        <v>0.75</v>
      </c>
      <c r="F68" s="182" t="s">
        <v>378</v>
      </c>
    </row>
    <row r="69">
      <c r="A69" s="182" t="s">
        <v>180</v>
      </c>
      <c r="B69" s="182" t="s">
        <v>38</v>
      </c>
      <c r="C69" s="182">
        <v>5.0</v>
      </c>
      <c r="D69" s="182">
        <v>0.0</v>
      </c>
      <c r="E69" s="207">
        <v>1.0</v>
      </c>
      <c r="F69" s="182" t="s">
        <v>378</v>
      </c>
    </row>
    <row r="70">
      <c r="A70" s="182" t="s">
        <v>1</v>
      </c>
      <c r="B70" s="182" t="s">
        <v>227</v>
      </c>
      <c r="C70" s="182">
        <v>4.0</v>
      </c>
      <c r="D70" s="182">
        <v>3.0</v>
      </c>
      <c r="E70" s="207">
        <v>0.57</v>
      </c>
      <c r="F70" s="182" t="s">
        <v>378</v>
      </c>
    </row>
    <row r="71">
      <c r="A71" s="182" t="s">
        <v>1</v>
      </c>
      <c r="B71" s="182" t="s">
        <v>34</v>
      </c>
      <c r="C71" s="182">
        <v>1.0</v>
      </c>
      <c r="D71" s="182">
        <v>0.0</v>
      </c>
      <c r="E71" s="207">
        <v>1.0</v>
      </c>
      <c r="F71" s="182" t="s">
        <v>378</v>
      </c>
    </row>
    <row r="72">
      <c r="A72" s="182" t="s">
        <v>1</v>
      </c>
      <c r="B72" s="182" t="s">
        <v>42</v>
      </c>
      <c r="C72" s="182">
        <v>2.0</v>
      </c>
      <c r="D72" s="182">
        <v>1.0</v>
      </c>
      <c r="E72" s="207">
        <v>0.67</v>
      </c>
      <c r="F72" s="182" t="s">
        <v>378</v>
      </c>
    </row>
    <row r="73">
      <c r="A73" s="182" t="s">
        <v>1</v>
      </c>
      <c r="B73" s="182" t="s">
        <v>32</v>
      </c>
      <c r="C73" s="182">
        <v>1.0</v>
      </c>
      <c r="D73" s="182">
        <v>1.0</v>
      </c>
      <c r="E73" s="207">
        <v>0.5</v>
      </c>
      <c r="F73" s="182" t="s">
        <v>378</v>
      </c>
    </row>
    <row r="74">
      <c r="A74" s="182" t="s">
        <v>1</v>
      </c>
      <c r="B74" s="182" t="s">
        <v>40</v>
      </c>
      <c r="C74" s="182">
        <v>13.0</v>
      </c>
      <c r="D74" s="182">
        <v>1.0</v>
      </c>
      <c r="E74" s="207">
        <v>0.93</v>
      </c>
      <c r="F74" s="182" t="s">
        <v>378</v>
      </c>
    </row>
    <row r="75">
      <c r="A75" s="182" t="s">
        <v>1</v>
      </c>
      <c r="B75" s="182" t="s">
        <v>38</v>
      </c>
      <c r="C75" s="182">
        <v>4.0</v>
      </c>
      <c r="D75" s="182">
        <v>0.0</v>
      </c>
      <c r="E75" s="207">
        <v>1.0</v>
      </c>
      <c r="F75" s="182" t="s">
        <v>378</v>
      </c>
    </row>
    <row r="76">
      <c r="A76" s="182" t="s">
        <v>185</v>
      </c>
      <c r="B76" s="182" t="s">
        <v>227</v>
      </c>
      <c r="C76" s="182">
        <v>4.0</v>
      </c>
      <c r="D76" s="182">
        <v>1.0</v>
      </c>
      <c r="E76" s="207">
        <v>0.8</v>
      </c>
      <c r="F76" s="182" t="s">
        <v>378</v>
      </c>
    </row>
    <row r="77">
      <c r="A77" s="182" t="s">
        <v>185</v>
      </c>
      <c r="B77" s="182" t="s">
        <v>34</v>
      </c>
      <c r="C77" s="182">
        <v>1.0</v>
      </c>
      <c r="D77" s="182">
        <v>0.0</v>
      </c>
      <c r="E77" s="207">
        <v>1.0</v>
      </c>
      <c r="F77" s="182" t="s">
        <v>378</v>
      </c>
    </row>
    <row r="78">
      <c r="A78" s="182" t="s">
        <v>185</v>
      </c>
      <c r="B78" s="182" t="s">
        <v>42</v>
      </c>
      <c r="C78" s="182">
        <v>5.0</v>
      </c>
      <c r="D78" s="182">
        <v>0.0</v>
      </c>
      <c r="E78" s="207">
        <v>1.0</v>
      </c>
      <c r="F78" s="182" t="s">
        <v>378</v>
      </c>
    </row>
    <row r="79">
      <c r="A79" s="182" t="s">
        <v>185</v>
      </c>
      <c r="B79" s="182" t="s">
        <v>32</v>
      </c>
      <c r="C79" s="182">
        <v>12.0</v>
      </c>
      <c r="D79" s="182">
        <v>1.0</v>
      </c>
      <c r="E79" s="207">
        <v>0.92</v>
      </c>
      <c r="F79" s="182" t="s">
        <v>378</v>
      </c>
    </row>
    <row r="80">
      <c r="A80" s="182" t="s">
        <v>185</v>
      </c>
      <c r="B80" s="182" t="s">
        <v>36</v>
      </c>
      <c r="C80" s="182">
        <v>6.0</v>
      </c>
      <c r="D80" s="182">
        <v>1.0</v>
      </c>
      <c r="E80" s="207">
        <v>0.86</v>
      </c>
      <c r="F80" s="182" t="s">
        <v>378</v>
      </c>
    </row>
    <row r="81">
      <c r="A81" s="182" t="s">
        <v>185</v>
      </c>
      <c r="B81" s="182" t="s">
        <v>40</v>
      </c>
      <c r="C81" s="182">
        <v>8.0</v>
      </c>
      <c r="D81" s="182">
        <v>2.0</v>
      </c>
      <c r="E81" s="207">
        <v>0.8</v>
      </c>
      <c r="F81" s="182" t="s">
        <v>378</v>
      </c>
    </row>
    <row r="82">
      <c r="A82" s="182" t="s">
        <v>185</v>
      </c>
      <c r="B82" s="182" t="s">
        <v>43</v>
      </c>
      <c r="C82" s="182">
        <v>1.0</v>
      </c>
      <c r="D82" s="182">
        <v>0.0</v>
      </c>
      <c r="E82" s="207">
        <v>1.0</v>
      </c>
      <c r="F82" s="182" t="s">
        <v>378</v>
      </c>
    </row>
    <row r="83">
      <c r="A83" s="182" t="s">
        <v>185</v>
      </c>
      <c r="B83" s="182" t="s">
        <v>45</v>
      </c>
      <c r="C83" s="182">
        <v>1.0</v>
      </c>
      <c r="D83" s="182">
        <v>0.0</v>
      </c>
      <c r="E83" s="207">
        <v>1.0</v>
      </c>
      <c r="F83" s="182" t="s">
        <v>378</v>
      </c>
    </row>
    <row r="84">
      <c r="A84" s="182" t="s">
        <v>185</v>
      </c>
      <c r="B84" s="182" t="s">
        <v>38</v>
      </c>
      <c r="C84" s="182">
        <v>4.0</v>
      </c>
      <c r="D84" s="182">
        <v>1.0</v>
      </c>
      <c r="E84" s="207">
        <v>0.8</v>
      </c>
      <c r="F84" s="182" t="s">
        <v>378</v>
      </c>
    </row>
    <row r="85">
      <c r="A85" s="182" t="s">
        <v>184</v>
      </c>
      <c r="B85" s="182" t="s">
        <v>227</v>
      </c>
      <c r="C85" s="182">
        <v>3.0</v>
      </c>
      <c r="D85" s="182">
        <v>1.0</v>
      </c>
      <c r="E85" s="207">
        <v>0.75</v>
      </c>
      <c r="F85" s="182" t="s">
        <v>378</v>
      </c>
    </row>
    <row r="86">
      <c r="A86" s="182" t="s">
        <v>184</v>
      </c>
      <c r="B86" s="182" t="s">
        <v>34</v>
      </c>
      <c r="C86" s="182">
        <v>5.0</v>
      </c>
      <c r="D86" s="182">
        <v>0.0</v>
      </c>
      <c r="E86" s="207">
        <v>1.0</v>
      </c>
      <c r="F86" s="182" t="s">
        <v>378</v>
      </c>
    </row>
    <row r="87">
      <c r="A87" s="182" t="s">
        <v>184</v>
      </c>
      <c r="B87" s="182" t="s">
        <v>42</v>
      </c>
      <c r="C87" s="182">
        <v>4.0</v>
      </c>
      <c r="D87" s="182">
        <v>1.0</v>
      </c>
      <c r="E87" s="207">
        <v>0.8</v>
      </c>
      <c r="F87" s="182" t="s">
        <v>378</v>
      </c>
    </row>
    <row r="88">
      <c r="A88" s="182" t="s">
        <v>184</v>
      </c>
      <c r="B88" s="182" t="s">
        <v>32</v>
      </c>
      <c r="C88" s="182">
        <v>5.0</v>
      </c>
      <c r="D88" s="182">
        <v>2.0</v>
      </c>
      <c r="E88" s="207">
        <v>0.71</v>
      </c>
      <c r="F88" s="182" t="s">
        <v>378</v>
      </c>
    </row>
    <row r="89">
      <c r="A89" s="182" t="s">
        <v>184</v>
      </c>
      <c r="B89" s="182" t="s">
        <v>36</v>
      </c>
      <c r="C89" s="182">
        <v>2.0</v>
      </c>
      <c r="D89" s="182">
        <v>0.0</v>
      </c>
      <c r="E89" s="207">
        <v>1.0</v>
      </c>
      <c r="F89" s="182" t="s">
        <v>378</v>
      </c>
    </row>
    <row r="90">
      <c r="A90" s="182" t="s">
        <v>184</v>
      </c>
      <c r="B90" s="182" t="s">
        <v>40</v>
      </c>
      <c r="C90" s="182">
        <v>10.0</v>
      </c>
      <c r="D90" s="182">
        <v>3.0</v>
      </c>
      <c r="E90" s="207">
        <v>0.77</v>
      </c>
      <c r="F90" s="182" t="s">
        <v>378</v>
      </c>
    </row>
    <row r="91">
      <c r="A91" s="182" t="s">
        <v>184</v>
      </c>
      <c r="B91" s="182" t="s">
        <v>45</v>
      </c>
      <c r="C91" s="182">
        <v>1.0</v>
      </c>
      <c r="D91" s="182">
        <v>0.0</v>
      </c>
      <c r="E91" s="207">
        <v>1.0</v>
      </c>
      <c r="F91" s="182" t="s">
        <v>378</v>
      </c>
    </row>
    <row r="92">
      <c r="A92" s="182" t="s">
        <v>184</v>
      </c>
      <c r="B92" s="182" t="s">
        <v>38</v>
      </c>
      <c r="C92" s="182">
        <v>7.0</v>
      </c>
      <c r="D92" s="182">
        <v>0.0</v>
      </c>
      <c r="E92" s="207">
        <v>1.0</v>
      </c>
      <c r="F92" s="182" t="s">
        <v>378</v>
      </c>
    </row>
    <row r="93">
      <c r="A93" s="182" t="s">
        <v>188</v>
      </c>
      <c r="B93" s="182" t="s">
        <v>227</v>
      </c>
      <c r="C93" s="182">
        <v>5.0</v>
      </c>
      <c r="D93" s="182">
        <v>0.0</v>
      </c>
      <c r="E93" s="207">
        <v>1.0</v>
      </c>
      <c r="F93" s="182" t="s">
        <v>378</v>
      </c>
    </row>
    <row r="94">
      <c r="A94" s="182" t="s">
        <v>188</v>
      </c>
      <c r="B94" s="182" t="s">
        <v>34</v>
      </c>
      <c r="C94" s="182">
        <v>1.0</v>
      </c>
      <c r="D94" s="182">
        <v>0.0</v>
      </c>
      <c r="E94" s="207">
        <v>1.0</v>
      </c>
      <c r="F94" s="182" t="s">
        <v>378</v>
      </c>
    </row>
    <row r="95">
      <c r="A95" s="182" t="s">
        <v>188</v>
      </c>
      <c r="B95" s="182" t="s">
        <v>42</v>
      </c>
      <c r="C95" s="182">
        <v>1.0</v>
      </c>
      <c r="D95" s="182">
        <v>0.0</v>
      </c>
      <c r="E95" s="207">
        <v>1.0</v>
      </c>
      <c r="F95" s="182" t="s">
        <v>378</v>
      </c>
    </row>
    <row r="96">
      <c r="A96" s="182" t="s">
        <v>188</v>
      </c>
      <c r="B96" s="182" t="s">
        <v>32</v>
      </c>
      <c r="C96" s="182">
        <v>7.0</v>
      </c>
      <c r="D96" s="182">
        <v>1.0</v>
      </c>
      <c r="E96" s="207">
        <v>0.88</v>
      </c>
      <c r="F96" s="182" t="s">
        <v>378</v>
      </c>
    </row>
    <row r="97">
      <c r="A97" s="182" t="s">
        <v>188</v>
      </c>
      <c r="B97" s="182" t="s">
        <v>36</v>
      </c>
      <c r="C97" s="182">
        <v>2.0</v>
      </c>
      <c r="D97" s="182">
        <v>0.0</v>
      </c>
      <c r="E97" s="207">
        <v>1.0</v>
      </c>
      <c r="F97" s="182" t="s">
        <v>378</v>
      </c>
    </row>
    <row r="98">
      <c r="A98" s="182" t="s">
        <v>188</v>
      </c>
      <c r="B98" s="182" t="s">
        <v>40</v>
      </c>
      <c r="C98" s="182">
        <v>9.0</v>
      </c>
      <c r="D98" s="182">
        <v>2.0</v>
      </c>
      <c r="E98" s="207">
        <v>0.82</v>
      </c>
      <c r="F98" s="182" t="s">
        <v>378</v>
      </c>
    </row>
    <row r="99">
      <c r="A99" s="182" t="s">
        <v>188</v>
      </c>
      <c r="B99" s="182" t="s">
        <v>43</v>
      </c>
      <c r="C99" s="182">
        <v>1.0</v>
      </c>
      <c r="D99" s="182">
        <v>0.0</v>
      </c>
      <c r="E99" s="207">
        <v>1.0</v>
      </c>
      <c r="F99" s="182" t="s">
        <v>378</v>
      </c>
    </row>
    <row r="100">
      <c r="A100" s="182" t="s">
        <v>188</v>
      </c>
      <c r="B100" s="182" t="s">
        <v>45</v>
      </c>
      <c r="C100" s="182">
        <v>4.0</v>
      </c>
      <c r="D100" s="182">
        <v>0.0</v>
      </c>
      <c r="E100" s="207">
        <v>1.0</v>
      </c>
      <c r="F100" s="182" t="s">
        <v>378</v>
      </c>
    </row>
    <row r="101">
      <c r="A101" s="182" t="s">
        <v>188</v>
      </c>
      <c r="B101" s="182" t="s">
        <v>38</v>
      </c>
      <c r="C101" s="182">
        <v>7.0</v>
      </c>
      <c r="D101" s="182">
        <v>1.0</v>
      </c>
      <c r="E101" s="207">
        <v>0.88</v>
      </c>
      <c r="F101" s="182" t="s">
        <v>378</v>
      </c>
    </row>
    <row r="102">
      <c r="A102" s="182" t="s">
        <v>186</v>
      </c>
      <c r="B102" s="182" t="s">
        <v>42</v>
      </c>
      <c r="C102" s="182">
        <v>4.0</v>
      </c>
      <c r="D102" s="182">
        <v>1.0</v>
      </c>
      <c r="E102" s="207">
        <v>0.8</v>
      </c>
      <c r="F102" s="182" t="s">
        <v>379</v>
      </c>
    </row>
    <row r="103">
      <c r="A103" s="182" t="s">
        <v>186</v>
      </c>
      <c r="B103" s="182" t="s">
        <v>32</v>
      </c>
      <c r="C103" s="182">
        <v>6.0</v>
      </c>
      <c r="D103" s="182">
        <v>0.0</v>
      </c>
      <c r="E103" s="207">
        <v>1.0</v>
      </c>
      <c r="F103" s="182" t="s">
        <v>379</v>
      </c>
    </row>
    <row r="104">
      <c r="A104" s="182" t="s">
        <v>186</v>
      </c>
      <c r="B104" s="182" t="s">
        <v>40</v>
      </c>
      <c r="C104" s="182">
        <v>14.0</v>
      </c>
      <c r="D104" s="182">
        <v>2.0</v>
      </c>
      <c r="E104" s="207">
        <v>0.88</v>
      </c>
      <c r="F104" s="182" t="s">
        <v>379</v>
      </c>
    </row>
    <row r="105">
      <c r="A105" s="182" t="s">
        <v>186</v>
      </c>
      <c r="B105" s="182" t="s">
        <v>43</v>
      </c>
      <c r="C105" s="182">
        <v>3.0</v>
      </c>
      <c r="D105" s="182">
        <v>0.0</v>
      </c>
      <c r="E105" s="207">
        <v>1.0</v>
      </c>
      <c r="F105" s="182" t="s">
        <v>379</v>
      </c>
    </row>
    <row r="106">
      <c r="A106" s="182" t="s">
        <v>186</v>
      </c>
      <c r="B106" s="182" t="s">
        <v>45</v>
      </c>
      <c r="C106" s="182">
        <v>1.0</v>
      </c>
      <c r="D106" s="182">
        <v>0.0</v>
      </c>
      <c r="E106" s="207">
        <v>1.0</v>
      </c>
      <c r="F106" s="182" t="s">
        <v>379</v>
      </c>
    </row>
    <row r="107">
      <c r="A107" s="182" t="s">
        <v>186</v>
      </c>
      <c r="B107" s="182" t="s">
        <v>38</v>
      </c>
      <c r="C107" s="182">
        <v>6.0</v>
      </c>
      <c r="D107" s="182">
        <v>0.0</v>
      </c>
      <c r="E107" s="207">
        <v>1.0</v>
      </c>
      <c r="F107" s="182" t="s">
        <v>379</v>
      </c>
    </row>
    <row r="108">
      <c r="A108" s="182" t="s">
        <v>181</v>
      </c>
      <c r="B108" s="182" t="s">
        <v>227</v>
      </c>
      <c r="C108" s="182">
        <v>2.0</v>
      </c>
      <c r="D108" s="182">
        <v>0.0</v>
      </c>
      <c r="E108" s="207">
        <v>1.0</v>
      </c>
      <c r="F108" s="182" t="s">
        <v>379</v>
      </c>
    </row>
    <row r="109">
      <c r="A109" s="182" t="s">
        <v>181</v>
      </c>
      <c r="B109" s="182" t="s">
        <v>34</v>
      </c>
      <c r="C109" s="182">
        <v>0.0</v>
      </c>
      <c r="D109" s="182">
        <v>1.0</v>
      </c>
      <c r="E109" s="207">
        <v>0.0</v>
      </c>
      <c r="F109" s="182" t="s">
        <v>379</v>
      </c>
    </row>
    <row r="110">
      <c r="A110" s="182" t="s">
        <v>181</v>
      </c>
      <c r="B110" s="182" t="s">
        <v>42</v>
      </c>
      <c r="C110" s="182">
        <v>2.0</v>
      </c>
      <c r="D110" s="182">
        <v>0.0</v>
      </c>
      <c r="E110" s="207">
        <v>1.0</v>
      </c>
      <c r="F110" s="182" t="s">
        <v>379</v>
      </c>
    </row>
    <row r="111">
      <c r="A111" s="182" t="s">
        <v>181</v>
      </c>
      <c r="B111" s="182" t="s">
        <v>32</v>
      </c>
      <c r="C111" s="182">
        <v>3.0</v>
      </c>
      <c r="D111" s="182">
        <v>0.0</v>
      </c>
      <c r="E111" s="207">
        <v>1.0</v>
      </c>
      <c r="F111" s="182" t="s">
        <v>379</v>
      </c>
    </row>
    <row r="112">
      <c r="A112" s="182" t="s">
        <v>181</v>
      </c>
      <c r="B112" s="182" t="s">
        <v>36</v>
      </c>
      <c r="C112" s="182">
        <v>1.0</v>
      </c>
      <c r="D112" s="182">
        <v>0.0</v>
      </c>
      <c r="E112" s="207">
        <v>1.0</v>
      </c>
      <c r="F112" s="182" t="s">
        <v>379</v>
      </c>
    </row>
    <row r="113">
      <c r="A113" s="182" t="s">
        <v>181</v>
      </c>
      <c r="B113" s="182" t="s">
        <v>40</v>
      </c>
      <c r="C113" s="182">
        <v>9.0</v>
      </c>
      <c r="D113" s="182">
        <v>1.0</v>
      </c>
      <c r="E113" s="207">
        <v>0.9</v>
      </c>
      <c r="F113" s="182" t="s">
        <v>379</v>
      </c>
    </row>
    <row r="114">
      <c r="A114" s="182" t="s">
        <v>181</v>
      </c>
      <c r="B114" s="182" t="s">
        <v>43</v>
      </c>
      <c r="C114" s="182">
        <v>1.0</v>
      </c>
      <c r="D114" s="182">
        <v>0.0</v>
      </c>
      <c r="E114" s="207">
        <v>1.0</v>
      </c>
      <c r="F114" s="182" t="s">
        <v>379</v>
      </c>
    </row>
    <row r="115">
      <c r="A115" s="182" t="s">
        <v>181</v>
      </c>
      <c r="B115" s="182" t="s">
        <v>45</v>
      </c>
      <c r="C115" s="182">
        <v>1.0</v>
      </c>
      <c r="D115" s="182">
        <v>1.0</v>
      </c>
      <c r="E115" s="207">
        <v>0.5</v>
      </c>
      <c r="F115" s="182" t="s">
        <v>379</v>
      </c>
    </row>
    <row r="116">
      <c r="A116" s="182" t="s">
        <v>181</v>
      </c>
      <c r="B116" s="182" t="s">
        <v>38</v>
      </c>
      <c r="C116" s="182">
        <v>5.0</v>
      </c>
      <c r="D116" s="182">
        <v>0.0</v>
      </c>
      <c r="E116" s="207">
        <v>1.0</v>
      </c>
      <c r="F116" s="182" t="s">
        <v>379</v>
      </c>
    </row>
    <row r="117">
      <c r="A117" s="182" t="s">
        <v>190</v>
      </c>
      <c r="B117" s="182" t="s">
        <v>227</v>
      </c>
      <c r="C117" s="182">
        <v>5.0</v>
      </c>
      <c r="D117" s="182">
        <v>0.0</v>
      </c>
      <c r="E117" s="207">
        <v>1.0</v>
      </c>
      <c r="F117" s="182" t="s">
        <v>379</v>
      </c>
    </row>
    <row r="118">
      <c r="A118" s="182" t="s">
        <v>190</v>
      </c>
      <c r="B118" s="182" t="s">
        <v>34</v>
      </c>
      <c r="C118" s="182">
        <v>1.0</v>
      </c>
      <c r="D118" s="182">
        <v>0.0</v>
      </c>
      <c r="E118" s="207">
        <v>1.0</v>
      </c>
      <c r="F118" s="182" t="s">
        <v>379</v>
      </c>
    </row>
    <row r="119">
      <c r="A119" s="182" t="s">
        <v>190</v>
      </c>
      <c r="B119" s="182" t="s">
        <v>42</v>
      </c>
      <c r="C119" s="182">
        <v>3.0</v>
      </c>
      <c r="D119" s="182">
        <v>0.0</v>
      </c>
      <c r="E119" s="207">
        <v>1.0</v>
      </c>
      <c r="F119" s="182" t="s">
        <v>379</v>
      </c>
    </row>
    <row r="120">
      <c r="A120" s="182" t="s">
        <v>190</v>
      </c>
      <c r="B120" s="182" t="s">
        <v>32</v>
      </c>
      <c r="C120" s="182">
        <v>4.0</v>
      </c>
      <c r="D120" s="182">
        <v>1.0</v>
      </c>
      <c r="E120" s="207">
        <v>0.8</v>
      </c>
      <c r="F120" s="182" t="s">
        <v>379</v>
      </c>
    </row>
    <row r="121">
      <c r="A121" s="182" t="s">
        <v>190</v>
      </c>
      <c r="B121" s="182" t="s">
        <v>40</v>
      </c>
      <c r="C121" s="182">
        <v>1.0</v>
      </c>
      <c r="D121" s="182">
        <v>0.0</v>
      </c>
      <c r="E121" s="207">
        <v>1.0</v>
      </c>
      <c r="F121" s="182" t="s">
        <v>379</v>
      </c>
    </row>
    <row r="122">
      <c r="A122" s="182" t="s">
        <v>190</v>
      </c>
      <c r="B122" s="182" t="s">
        <v>45</v>
      </c>
      <c r="C122" s="182">
        <v>3.0</v>
      </c>
      <c r="D122" s="182">
        <v>0.0</v>
      </c>
      <c r="E122" s="207">
        <v>1.0</v>
      </c>
      <c r="F122" s="182" t="s">
        <v>379</v>
      </c>
    </row>
    <row r="123">
      <c r="A123" s="182" t="s">
        <v>190</v>
      </c>
      <c r="B123" s="182" t="s">
        <v>38</v>
      </c>
      <c r="C123" s="182">
        <v>2.0</v>
      </c>
      <c r="D123" s="182">
        <v>0.0</v>
      </c>
      <c r="E123" s="207">
        <v>1.0</v>
      </c>
      <c r="F123" s="182" t="s">
        <v>379</v>
      </c>
    </row>
    <row r="124">
      <c r="A124" s="182" t="s">
        <v>182</v>
      </c>
      <c r="B124" s="182" t="s">
        <v>227</v>
      </c>
      <c r="C124" s="182">
        <v>4.0</v>
      </c>
      <c r="D124" s="182">
        <v>0.0</v>
      </c>
      <c r="E124" s="207">
        <v>1.0</v>
      </c>
      <c r="F124" s="182" t="s">
        <v>379</v>
      </c>
    </row>
    <row r="125">
      <c r="A125" s="182" t="s">
        <v>182</v>
      </c>
      <c r="B125" s="182" t="s">
        <v>34</v>
      </c>
      <c r="C125" s="182">
        <v>2.0</v>
      </c>
      <c r="D125" s="182">
        <v>0.0</v>
      </c>
      <c r="E125" s="207">
        <v>1.0</v>
      </c>
      <c r="F125" s="182" t="s">
        <v>379</v>
      </c>
    </row>
    <row r="126">
      <c r="A126" s="182" t="s">
        <v>182</v>
      </c>
      <c r="B126" s="182" t="s">
        <v>32</v>
      </c>
      <c r="C126" s="182">
        <v>3.0</v>
      </c>
      <c r="D126" s="182">
        <v>0.0</v>
      </c>
      <c r="E126" s="207">
        <v>1.0</v>
      </c>
      <c r="F126" s="182" t="s">
        <v>379</v>
      </c>
    </row>
    <row r="127">
      <c r="A127" s="182" t="s">
        <v>182</v>
      </c>
      <c r="B127" s="182" t="s">
        <v>40</v>
      </c>
      <c r="C127" s="182">
        <v>10.0</v>
      </c>
      <c r="D127" s="182">
        <v>0.0</v>
      </c>
      <c r="E127" s="207">
        <v>1.0</v>
      </c>
      <c r="F127" s="182" t="s">
        <v>379</v>
      </c>
    </row>
    <row r="128">
      <c r="A128" s="182" t="s">
        <v>182</v>
      </c>
      <c r="B128" s="182" t="s">
        <v>38</v>
      </c>
      <c r="C128" s="182">
        <v>7.0</v>
      </c>
      <c r="D128" s="182">
        <v>0.0</v>
      </c>
      <c r="E128" s="207">
        <v>1.0</v>
      </c>
      <c r="F128" s="182" t="s">
        <v>379</v>
      </c>
    </row>
    <row r="129">
      <c r="A129" s="182" t="s">
        <v>183</v>
      </c>
      <c r="B129" s="182" t="s">
        <v>227</v>
      </c>
      <c r="C129" s="182">
        <v>6.0</v>
      </c>
      <c r="D129" s="182">
        <v>0.0</v>
      </c>
      <c r="E129" s="207">
        <v>1.0</v>
      </c>
      <c r="F129" s="182" t="s">
        <v>379</v>
      </c>
    </row>
    <row r="130">
      <c r="A130" s="182" t="s">
        <v>183</v>
      </c>
      <c r="B130" s="182" t="s">
        <v>34</v>
      </c>
      <c r="C130" s="182">
        <v>2.0</v>
      </c>
      <c r="D130" s="182">
        <v>0.0</v>
      </c>
      <c r="E130" s="207">
        <v>1.0</v>
      </c>
      <c r="F130" s="182" t="s">
        <v>379</v>
      </c>
    </row>
    <row r="131">
      <c r="A131" s="182" t="s">
        <v>183</v>
      </c>
      <c r="B131" s="182" t="s">
        <v>42</v>
      </c>
      <c r="C131" s="182">
        <v>2.0</v>
      </c>
      <c r="D131" s="182">
        <v>1.0</v>
      </c>
      <c r="E131" s="207">
        <v>0.67</v>
      </c>
      <c r="F131" s="182" t="s">
        <v>379</v>
      </c>
    </row>
    <row r="132">
      <c r="A132" s="182" t="s">
        <v>183</v>
      </c>
      <c r="B132" s="182" t="s">
        <v>32</v>
      </c>
      <c r="C132" s="182">
        <v>2.0</v>
      </c>
      <c r="D132" s="182">
        <v>0.0</v>
      </c>
      <c r="E132" s="207">
        <v>1.0</v>
      </c>
      <c r="F132" s="182" t="s">
        <v>379</v>
      </c>
    </row>
    <row r="133">
      <c r="A133" s="182" t="s">
        <v>183</v>
      </c>
      <c r="B133" s="182" t="s">
        <v>36</v>
      </c>
      <c r="C133" s="182">
        <v>1.0</v>
      </c>
      <c r="D133" s="182">
        <v>0.0</v>
      </c>
      <c r="E133" s="207">
        <v>1.0</v>
      </c>
      <c r="F133" s="182" t="s">
        <v>379</v>
      </c>
    </row>
    <row r="134">
      <c r="A134" s="182" t="s">
        <v>183</v>
      </c>
      <c r="B134" s="182" t="s">
        <v>40</v>
      </c>
      <c r="C134" s="182">
        <v>8.0</v>
      </c>
      <c r="D134" s="182">
        <v>1.0</v>
      </c>
      <c r="E134" s="207">
        <v>0.89</v>
      </c>
      <c r="F134" s="182" t="s">
        <v>379</v>
      </c>
    </row>
    <row r="135">
      <c r="A135" s="182" t="s">
        <v>183</v>
      </c>
      <c r="B135" s="182" t="s">
        <v>45</v>
      </c>
      <c r="C135" s="182">
        <v>2.0</v>
      </c>
      <c r="D135" s="182">
        <v>0.0</v>
      </c>
      <c r="E135" s="207">
        <v>1.0</v>
      </c>
      <c r="F135" s="182" t="s">
        <v>379</v>
      </c>
    </row>
    <row r="136">
      <c r="A136" s="182" t="s">
        <v>183</v>
      </c>
      <c r="B136" s="182" t="s">
        <v>38</v>
      </c>
      <c r="C136" s="182">
        <v>6.0</v>
      </c>
      <c r="D136" s="182">
        <v>2.0</v>
      </c>
      <c r="E136" s="207">
        <v>0.75</v>
      </c>
      <c r="F136" s="182" t="s">
        <v>379</v>
      </c>
    </row>
    <row r="137">
      <c r="A137" s="182" t="s">
        <v>179</v>
      </c>
      <c r="B137" s="182" t="s">
        <v>227</v>
      </c>
      <c r="C137" s="182">
        <v>6.0</v>
      </c>
      <c r="D137" s="182">
        <v>0.0</v>
      </c>
      <c r="E137" s="207">
        <v>1.0</v>
      </c>
      <c r="F137" s="182" t="s">
        <v>379</v>
      </c>
    </row>
    <row r="138">
      <c r="A138" s="182" t="s">
        <v>179</v>
      </c>
      <c r="B138" s="182" t="s">
        <v>34</v>
      </c>
      <c r="C138" s="182">
        <v>1.0</v>
      </c>
      <c r="D138" s="182">
        <v>1.0</v>
      </c>
      <c r="E138" s="207">
        <v>0.5</v>
      </c>
      <c r="F138" s="182" t="s">
        <v>379</v>
      </c>
    </row>
    <row r="139">
      <c r="A139" s="182" t="s">
        <v>179</v>
      </c>
      <c r="B139" s="182" t="s">
        <v>42</v>
      </c>
      <c r="C139" s="182">
        <v>5.0</v>
      </c>
      <c r="D139" s="182">
        <v>0.0</v>
      </c>
      <c r="E139" s="207">
        <v>1.0</v>
      </c>
      <c r="F139" s="182" t="s">
        <v>379</v>
      </c>
    </row>
    <row r="140">
      <c r="A140" s="182" t="s">
        <v>179</v>
      </c>
      <c r="B140" s="182" t="s">
        <v>32</v>
      </c>
      <c r="C140" s="182">
        <v>0.0</v>
      </c>
      <c r="D140" s="182">
        <v>1.0</v>
      </c>
      <c r="E140" s="207">
        <v>0.0</v>
      </c>
      <c r="F140" s="182" t="s">
        <v>379</v>
      </c>
    </row>
    <row r="141">
      <c r="A141" s="182" t="s">
        <v>179</v>
      </c>
      <c r="B141" s="182" t="s">
        <v>40</v>
      </c>
      <c r="C141" s="182">
        <v>1.0</v>
      </c>
      <c r="D141" s="182">
        <v>0.0</v>
      </c>
      <c r="E141" s="207">
        <v>1.0</v>
      </c>
      <c r="F141" s="182" t="s">
        <v>379</v>
      </c>
    </row>
    <row r="142">
      <c r="A142" s="182" t="s">
        <v>179</v>
      </c>
      <c r="B142" s="182" t="s">
        <v>38</v>
      </c>
      <c r="C142" s="182">
        <v>1.0</v>
      </c>
      <c r="D142" s="182">
        <v>1.0</v>
      </c>
      <c r="E142" s="207">
        <v>0.5</v>
      </c>
      <c r="F142" s="182" t="s">
        <v>379</v>
      </c>
    </row>
    <row r="143">
      <c r="A143" s="182" t="s">
        <v>232</v>
      </c>
      <c r="B143" s="182" t="s">
        <v>227</v>
      </c>
      <c r="C143" s="182">
        <v>4.0</v>
      </c>
      <c r="D143" s="182">
        <v>0.0</v>
      </c>
      <c r="E143" s="207">
        <v>1.0</v>
      </c>
      <c r="F143" s="182" t="s">
        <v>379</v>
      </c>
    </row>
    <row r="144">
      <c r="A144" s="182" t="s">
        <v>232</v>
      </c>
      <c r="B144" s="182" t="s">
        <v>34</v>
      </c>
      <c r="C144" s="182">
        <v>2.0</v>
      </c>
      <c r="D144" s="182">
        <v>0.0</v>
      </c>
      <c r="E144" s="207">
        <v>1.0</v>
      </c>
      <c r="F144" s="182" t="s">
        <v>379</v>
      </c>
    </row>
    <row r="145">
      <c r="A145" s="182" t="s">
        <v>232</v>
      </c>
      <c r="B145" s="182" t="s">
        <v>32</v>
      </c>
      <c r="C145" s="182">
        <v>4.0</v>
      </c>
      <c r="D145" s="182">
        <v>1.0</v>
      </c>
      <c r="E145" s="207">
        <v>0.8</v>
      </c>
      <c r="F145" s="182" t="s">
        <v>379</v>
      </c>
    </row>
    <row r="146">
      <c r="A146" s="182" t="s">
        <v>232</v>
      </c>
      <c r="B146" s="182" t="s">
        <v>36</v>
      </c>
      <c r="C146" s="182">
        <v>2.0</v>
      </c>
      <c r="D146" s="182">
        <v>1.0</v>
      </c>
      <c r="E146" s="207">
        <v>0.67</v>
      </c>
      <c r="F146" s="182" t="s">
        <v>379</v>
      </c>
    </row>
    <row r="147">
      <c r="A147" s="182" t="s">
        <v>232</v>
      </c>
      <c r="B147" s="182" t="s">
        <v>40</v>
      </c>
      <c r="C147" s="182">
        <v>1.0</v>
      </c>
      <c r="D147" s="182">
        <v>0.0</v>
      </c>
      <c r="E147" s="207">
        <v>1.0</v>
      </c>
      <c r="F147" s="182" t="s">
        <v>379</v>
      </c>
    </row>
    <row r="148">
      <c r="A148" s="182" t="s">
        <v>232</v>
      </c>
      <c r="B148" s="182" t="s">
        <v>38</v>
      </c>
      <c r="C148" s="182">
        <v>3.0</v>
      </c>
      <c r="D148" s="182">
        <v>1.0</v>
      </c>
      <c r="E148" s="207">
        <v>0.75</v>
      </c>
      <c r="F148" s="182" t="s">
        <v>379</v>
      </c>
    </row>
    <row r="149">
      <c r="A149" s="182" t="s">
        <v>187</v>
      </c>
      <c r="B149" s="182" t="s">
        <v>227</v>
      </c>
      <c r="C149" s="182">
        <v>5.0</v>
      </c>
      <c r="D149" s="182">
        <v>2.0</v>
      </c>
      <c r="E149" s="207">
        <v>0.71</v>
      </c>
      <c r="F149" s="182" t="s">
        <v>379</v>
      </c>
    </row>
    <row r="150">
      <c r="A150" s="182" t="s">
        <v>187</v>
      </c>
      <c r="B150" s="182" t="s">
        <v>34</v>
      </c>
      <c r="C150" s="182">
        <v>0.0</v>
      </c>
      <c r="D150" s="182">
        <v>2.0</v>
      </c>
      <c r="E150" s="207">
        <v>0.0</v>
      </c>
      <c r="F150" s="182" t="s">
        <v>379</v>
      </c>
    </row>
    <row r="151">
      <c r="A151" s="182" t="s">
        <v>187</v>
      </c>
      <c r="B151" s="182" t="s">
        <v>42</v>
      </c>
      <c r="C151" s="182">
        <v>3.0</v>
      </c>
      <c r="D151" s="182">
        <v>0.0</v>
      </c>
      <c r="E151" s="207">
        <v>1.0</v>
      </c>
      <c r="F151" s="182" t="s">
        <v>379</v>
      </c>
    </row>
    <row r="152">
      <c r="A152" s="182" t="s">
        <v>187</v>
      </c>
      <c r="B152" s="182" t="s">
        <v>40</v>
      </c>
      <c r="C152" s="182">
        <v>5.0</v>
      </c>
      <c r="D152" s="182">
        <v>2.0</v>
      </c>
      <c r="E152" s="207">
        <v>0.71</v>
      </c>
      <c r="F152" s="182" t="s">
        <v>379</v>
      </c>
    </row>
    <row r="153">
      <c r="A153" s="182" t="s">
        <v>187</v>
      </c>
      <c r="B153" s="182" t="s">
        <v>45</v>
      </c>
      <c r="C153" s="182">
        <v>2.0</v>
      </c>
      <c r="D153" s="182">
        <v>0.0</v>
      </c>
      <c r="E153" s="207">
        <v>1.0</v>
      </c>
      <c r="F153" s="182" t="s">
        <v>379</v>
      </c>
    </row>
    <row r="154">
      <c r="A154" s="182" t="s">
        <v>187</v>
      </c>
      <c r="B154" s="182" t="s">
        <v>38</v>
      </c>
      <c r="C154" s="182">
        <v>2.0</v>
      </c>
      <c r="D154" s="182">
        <v>0.0</v>
      </c>
      <c r="E154" s="207">
        <v>1.0</v>
      </c>
      <c r="F154" s="182" t="s">
        <v>379</v>
      </c>
    </row>
    <row r="155">
      <c r="A155" s="182" t="s">
        <v>189</v>
      </c>
      <c r="B155" s="182" t="s">
        <v>227</v>
      </c>
      <c r="C155" s="182">
        <v>1.0</v>
      </c>
      <c r="D155" s="182">
        <v>1.0</v>
      </c>
      <c r="E155" s="207">
        <v>0.5</v>
      </c>
      <c r="F155" s="182" t="s">
        <v>379</v>
      </c>
    </row>
    <row r="156">
      <c r="A156" s="182" t="s">
        <v>189</v>
      </c>
      <c r="B156" s="182" t="s">
        <v>42</v>
      </c>
      <c r="C156" s="182">
        <v>4.0</v>
      </c>
      <c r="D156" s="182">
        <v>0.0</v>
      </c>
      <c r="E156" s="207">
        <v>1.0</v>
      </c>
      <c r="F156" s="182" t="s">
        <v>379</v>
      </c>
    </row>
    <row r="157">
      <c r="A157" s="182" t="s">
        <v>189</v>
      </c>
      <c r="B157" s="182" t="s">
        <v>32</v>
      </c>
      <c r="C157" s="182">
        <v>4.0</v>
      </c>
      <c r="D157" s="182">
        <v>2.0</v>
      </c>
      <c r="E157" s="207">
        <v>0.67</v>
      </c>
      <c r="F157" s="182" t="s">
        <v>379</v>
      </c>
    </row>
    <row r="158">
      <c r="A158" s="182" t="s">
        <v>189</v>
      </c>
      <c r="B158" s="182" t="s">
        <v>36</v>
      </c>
      <c r="C158" s="182">
        <v>5.0</v>
      </c>
      <c r="D158" s="182">
        <v>0.0</v>
      </c>
      <c r="E158" s="207">
        <v>1.0</v>
      </c>
      <c r="F158" s="182" t="s">
        <v>379</v>
      </c>
    </row>
    <row r="159">
      <c r="A159" s="182" t="s">
        <v>189</v>
      </c>
      <c r="B159" s="182" t="s">
        <v>40</v>
      </c>
      <c r="C159" s="182">
        <v>5.0</v>
      </c>
      <c r="D159" s="182">
        <v>0.0</v>
      </c>
      <c r="E159" s="207">
        <v>1.0</v>
      </c>
      <c r="F159" s="182" t="s">
        <v>379</v>
      </c>
    </row>
    <row r="160">
      <c r="A160" s="182" t="s">
        <v>189</v>
      </c>
      <c r="B160" s="182" t="s">
        <v>45</v>
      </c>
      <c r="C160" s="182">
        <v>1.0</v>
      </c>
      <c r="D160" s="182">
        <v>0.0</v>
      </c>
      <c r="E160" s="207">
        <v>1.0</v>
      </c>
      <c r="F160" s="182" t="s">
        <v>379</v>
      </c>
    </row>
    <row r="161">
      <c r="A161" s="182" t="s">
        <v>189</v>
      </c>
      <c r="B161" s="182" t="s">
        <v>38</v>
      </c>
      <c r="C161" s="182">
        <v>2.0</v>
      </c>
      <c r="D161" s="182">
        <v>0.0</v>
      </c>
      <c r="E161" s="207">
        <v>1.0</v>
      </c>
      <c r="F161" s="182" t="s">
        <v>379</v>
      </c>
    </row>
    <row r="162">
      <c r="A162" s="182" t="s">
        <v>180</v>
      </c>
      <c r="B162" s="182" t="s">
        <v>227</v>
      </c>
      <c r="C162" s="182">
        <v>1.0</v>
      </c>
      <c r="D162" s="182">
        <v>0.0</v>
      </c>
      <c r="E162" s="207">
        <v>1.0</v>
      </c>
      <c r="F162" s="182" t="s">
        <v>379</v>
      </c>
    </row>
    <row r="163">
      <c r="A163" s="182" t="s">
        <v>180</v>
      </c>
      <c r="B163" s="182" t="s">
        <v>34</v>
      </c>
      <c r="C163" s="182">
        <v>1.0</v>
      </c>
      <c r="D163" s="182">
        <v>0.0</v>
      </c>
      <c r="E163" s="207">
        <v>1.0</v>
      </c>
      <c r="F163" s="182" t="s">
        <v>379</v>
      </c>
    </row>
    <row r="164">
      <c r="A164" s="182" t="s">
        <v>180</v>
      </c>
      <c r="B164" s="182" t="s">
        <v>42</v>
      </c>
      <c r="C164" s="182">
        <v>5.0</v>
      </c>
      <c r="D164" s="182">
        <v>0.0</v>
      </c>
      <c r="E164" s="207">
        <v>1.0</v>
      </c>
      <c r="F164" s="182" t="s">
        <v>379</v>
      </c>
    </row>
    <row r="165">
      <c r="A165" s="182" t="s">
        <v>180</v>
      </c>
      <c r="B165" s="182" t="s">
        <v>32</v>
      </c>
      <c r="C165" s="182">
        <v>6.0</v>
      </c>
      <c r="D165" s="182">
        <v>2.0</v>
      </c>
      <c r="E165" s="207">
        <v>0.75</v>
      </c>
      <c r="F165" s="182" t="s">
        <v>379</v>
      </c>
    </row>
    <row r="166">
      <c r="A166" s="182" t="s">
        <v>180</v>
      </c>
      <c r="B166" s="182" t="s">
        <v>36</v>
      </c>
      <c r="C166" s="182">
        <v>7.0</v>
      </c>
      <c r="D166" s="182">
        <v>0.0</v>
      </c>
      <c r="E166" s="207">
        <v>1.0</v>
      </c>
      <c r="F166" s="182" t="s">
        <v>379</v>
      </c>
    </row>
    <row r="167">
      <c r="A167" s="182" t="s">
        <v>180</v>
      </c>
      <c r="B167" s="182" t="s">
        <v>40</v>
      </c>
      <c r="C167" s="182">
        <v>4.0</v>
      </c>
      <c r="D167" s="182">
        <v>1.0</v>
      </c>
      <c r="E167" s="207">
        <v>0.8</v>
      </c>
      <c r="F167" s="182" t="s">
        <v>379</v>
      </c>
    </row>
    <row r="168">
      <c r="A168" s="182" t="s">
        <v>180</v>
      </c>
      <c r="B168" s="182" t="s">
        <v>43</v>
      </c>
      <c r="C168" s="182">
        <v>2.0</v>
      </c>
      <c r="D168" s="182">
        <v>0.0</v>
      </c>
      <c r="E168" s="207">
        <v>1.0</v>
      </c>
      <c r="F168" s="182" t="s">
        <v>379</v>
      </c>
    </row>
    <row r="169">
      <c r="A169" s="182" t="s">
        <v>180</v>
      </c>
      <c r="B169" s="182" t="s">
        <v>45</v>
      </c>
      <c r="C169" s="182">
        <v>3.0</v>
      </c>
      <c r="D169" s="182">
        <v>1.0</v>
      </c>
      <c r="E169" s="207">
        <v>0.75</v>
      </c>
      <c r="F169" s="182" t="s">
        <v>379</v>
      </c>
    </row>
    <row r="170">
      <c r="A170" s="182" t="s">
        <v>180</v>
      </c>
      <c r="B170" s="182" t="s">
        <v>38</v>
      </c>
      <c r="C170" s="182">
        <v>1.0</v>
      </c>
      <c r="D170" s="182">
        <v>1.0</v>
      </c>
      <c r="E170" s="207">
        <v>0.5</v>
      </c>
      <c r="F170" s="182" t="s">
        <v>379</v>
      </c>
    </row>
    <row r="171">
      <c r="A171" s="182" t="s">
        <v>1</v>
      </c>
      <c r="B171" s="182" t="s">
        <v>227</v>
      </c>
      <c r="C171" s="182">
        <v>7.0</v>
      </c>
      <c r="D171" s="182">
        <v>2.0</v>
      </c>
      <c r="E171" s="207">
        <v>0.78</v>
      </c>
      <c r="F171" s="182" t="s">
        <v>379</v>
      </c>
    </row>
    <row r="172">
      <c r="A172" s="182" t="s">
        <v>1</v>
      </c>
      <c r="B172" s="182" t="s">
        <v>42</v>
      </c>
      <c r="C172" s="182">
        <v>5.0</v>
      </c>
      <c r="D172" s="182">
        <v>1.0</v>
      </c>
      <c r="E172" s="207">
        <v>0.83</v>
      </c>
      <c r="F172" s="182" t="s">
        <v>379</v>
      </c>
    </row>
    <row r="173">
      <c r="A173" s="182" t="s">
        <v>1</v>
      </c>
      <c r="B173" s="182" t="s">
        <v>32</v>
      </c>
      <c r="C173" s="182">
        <v>3.0</v>
      </c>
      <c r="D173" s="182">
        <v>1.0</v>
      </c>
      <c r="E173" s="207">
        <v>0.75</v>
      </c>
      <c r="F173" s="182" t="s">
        <v>379</v>
      </c>
    </row>
    <row r="174">
      <c r="A174" s="182" t="s">
        <v>1</v>
      </c>
      <c r="B174" s="182" t="s">
        <v>36</v>
      </c>
      <c r="C174" s="182">
        <v>1.0</v>
      </c>
      <c r="D174" s="182">
        <v>0.0</v>
      </c>
      <c r="E174" s="207">
        <v>1.0</v>
      </c>
      <c r="F174" s="182" t="s">
        <v>379</v>
      </c>
    </row>
    <row r="175">
      <c r="A175" s="182" t="s">
        <v>1</v>
      </c>
      <c r="B175" s="182" t="s">
        <v>40</v>
      </c>
      <c r="C175" s="182">
        <v>12.0</v>
      </c>
      <c r="D175" s="182">
        <v>2.0</v>
      </c>
      <c r="E175" s="207">
        <v>0.86</v>
      </c>
      <c r="F175" s="182" t="s">
        <v>379</v>
      </c>
    </row>
    <row r="176">
      <c r="A176" s="182" t="s">
        <v>1</v>
      </c>
      <c r="B176" s="182" t="s">
        <v>45</v>
      </c>
      <c r="C176" s="182">
        <v>2.0</v>
      </c>
      <c r="D176" s="182">
        <v>0.0</v>
      </c>
      <c r="E176" s="207">
        <v>1.0</v>
      </c>
      <c r="F176" s="182" t="s">
        <v>379</v>
      </c>
    </row>
    <row r="177">
      <c r="A177" s="182" t="s">
        <v>1</v>
      </c>
      <c r="B177" s="182" t="s">
        <v>38</v>
      </c>
      <c r="C177" s="182">
        <v>3.0</v>
      </c>
      <c r="D177" s="182">
        <v>0.0</v>
      </c>
      <c r="E177" s="207">
        <v>1.0</v>
      </c>
      <c r="F177" s="182" t="s">
        <v>379</v>
      </c>
    </row>
    <row r="178">
      <c r="A178" s="182" t="s">
        <v>185</v>
      </c>
      <c r="B178" s="182" t="s">
        <v>227</v>
      </c>
      <c r="C178" s="182">
        <v>3.0</v>
      </c>
      <c r="D178" s="182">
        <v>2.0</v>
      </c>
      <c r="E178" s="207">
        <v>0.6</v>
      </c>
      <c r="F178" s="182" t="s">
        <v>379</v>
      </c>
    </row>
    <row r="179">
      <c r="A179" s="182" t="s">
        <v>185</v>
      </c>
      <c r="B179" s="182" t="s">
        <v>42</v>
      </c>
      <c r="C179" s="182">
        <v>3.0</v>
      </c>
      <c r="D179" s="182">
        <v>1.0</v>
      </c>
      <c r="E179" s="207">
        <v>0.75</v>
      </c>
      <c r="F179" s="182" t="s">
        <v>379</v>
      </c>
    </row>
    <row r="180">
      <c r="A180" s="182" t="s">
        <v>185</v>
      </c>
      <c r="B180" s="182" t="s">
        <v>32</v>
      </c>
      <c r="C180" s="182">
        <v>4.0</v>
      </c>
      <c r="D180" s="182">
        <v>0.0</v>
      </c>
      <c r="E180" s="207">
        <v>1.0</v>
      </c>
      <c r="F180" s="182" t="s">
        <v>379</v>
      </c>
    </row>
    <row r="181">
      <c r="A181" s="182" t="s">
        <v>185</v>
      </c>
      <c r="B181" s="182" t="s">
        <v>36</v>
      </c>
      <c r="C181" s="182">
        <v>9.0</v>
      </c>
      <c r="D181" s="182">
        <v>1.0</v>
      </c>
      <c r="E181" s="207">
        <v>0.9</v>
      </c>
      <c r="F181" s="182" t="s">
        <v>379</v>
      </c>
    </row>
    <row r="182">
      <c r="A182" s="182" t="s">
        <v>185</v>
      </c>
      <c r="B182" s="182" t="s">
        <v>40</v>
      </c>
      <c r="C182" s="182">
        <v>1.0</v>
      </c>
      <c r="D182" s="182">
        <v>2.0</v>
      </c>
      <c r="E182" s="207">
        <v>0.33</v>
      </c>
      <c r="F182" s="182" t="s">
        <v>379</v>
      </c>
    </row>
    <row r="183">
      <c r="A183" s="182" t="s">
        <v>185</v>
      </c>
      <c r="B183" s="182" t="s">
        <v>43</v>
      </c>
      <c r="C183" s="182">
        <v>3.0</v>
      </c>
      <c r="D183" s="182">
        <v>0.0</v>
      </c>
      <c r="E183" s="207">
        <v>1.0</v>
      </c>
      <c r="F183" s="182" t="s">
        <v>379</v>
      </c>
    </row>
    <row r="184">
      <c r="A184" s="182" t="s">
        <v>185</v>
      </c>
      <c r="B184" s="182" t="s">
        <v>38</v>
      </c>
      <c r="C184" s="182">
        <v>7.0</v>
      </c>
      <c r="D184" s="182">
        <v>0.0</v>
      </c>
      <c r="E184" s="207">
        <v>1.0</v>
      </c>
      <c r="F184" s="182" t="s">
        <v>379</v>
      </c>
    </row>
    <row r="185">
      <c r="A185" s="182" t="s">
        <v>184</v>
      </c>
      <c r="B185" s="182" t="s">
        <v>227</v>
      </c>
      <c r="C185" s="182">
        <v>4.0</v>
      </c>
      <c r="D185" s="182">
        <v>1.0</v>
      </c>
      <c r="E185" s="207">
        <v>0.8</v>
      </c>
      <c r="F185" s="182" t="s">
        <v>379</v>
      </c>
    </row>
    <row r="186">
      <c r="A186" s="182" t="s">
        <v>184</v>
      </c>
      <c r="B186" s="182" t="s">
        <v>34</v>
      </c>
      <c r="C186" s="182">
        <v>1.0</v>
      </c>
      <c r="D186" s="182">
        <v>1.0</v>
      </c>
      <c r="E186" s="207">
        <v>0.5</v>
      </c>
      <c r="F186" s="182" t="s">
        <v>379</v>
      </c>
    </row>
    <row r="187">
      <c r="A187" s="182" t="s">
        <v>184</v>
      </c>
      <c r="B187" s="182" t="s">
        <v>42</v>
      </c>
      <c r="C187" s="182">
        <v>3.0</v>
      </c>
      <c r="D187" s="182">
        <v>1.0</v>
      </c>
      <c r="E187" s="207">
        <v>0.75</v>
      </c>
      <c r="F187" s="182" t="s">
        <v>379</v>
      </c>
    </row>
    <row r="188">
      <c r="A188" s="182" t="s">
        <v>184</v>
      </c>
      <c r="B188" s="182" t="s">
        <v>32</v>
      </c>
      <c r="C188" s="182">
        <v>5.0</v>
      </c>
      <c r="D188" s="182">
        <v>1.0</v>
      </c>
      <c r="E188" s="207">
        <v>0.83</v>
      </c>
      <c r="F188" s="182" t="s">
        <v>379</v>
      </c>
    </row>
    <row r="189">
      <c r="A189" s="182" t="s">
        <v>184</v>
      </c>
      <c r="B189" s="182" t="s">
        <v>36</v>
      </c>
      <c r="C189" s="182">
        <v>7.0</v>
      </c>
      <c r="D189" s="182">
        <v>0.0</v>
      </c>
      <c r="E189" s="207">
        <v>1.0</v>
      </c>
      <c r="F189" s="182" t="s">
        <v>379</v>
      </c>
    </row>
    <row r="190">
      <c r="A190" s="182" t="s">
        <v>184</v>
      </c>
      <c r="B190" s="182" t="s">
        <v>40</v>
      </c>
      <c r="C190" s="182">
        <v>5.0</v>
      </c>
      <c r="D190" s="182">
        <v>3.0</v>
      </c>
      <c r="E190" s="207">
        <v>0.63</v>
      </c>
      <c r="F190" s="182" t="s">
        <v>379</v>
      </c>
    </row>
    <row r="191">
      <c r="A191" s="182" t="s">
        <v>184</v>
      </c>
      <c r="B191" s="182" t="s">
        <v>45</v>
      </c>
      <c r="C191" s="182">
        <v>2.0</v>
      </c>
      <c r="D191" s="182">
        <v>0.0</v>
      </c>
      <c r="E191" s="207">
        <v>1.0</v>
      </c>
      <c r="F191" s="182" t="s">
        <v>379</v>
      </c>
    </row>
    <row r="192">
      <c r="A192" s="182" t="s">
        <v>184</v>
      </c>
      <c r="B192" s="182" t="s">
        <v>38</v>
      </c>
      <c r="C192" s="182">
        <v>4.0</v>
      </c>
      <c r="D192" s="182">
        <v>1.0</v>
      </c>
      <c r="E192" s="207">
        <v>0.8</v>
      </c>
      <c r="F192" s="182" t="s">
        <v>379</v>
      </c>
    </row>
    <row r="193">
      <c r="A193" s="182" t="s">
        <v>188</v>
      </c>
      <c r="B193" s="182" t="s">
        <v>227</v>
      </c>
      <c r="C193" s="182">
        <v>2.0</v>
      </c>
      <c r="D193" s="182">
        <v>0.0</v>
      </c>
      <c r="E193" s="207">
        <v>1.0</v>
      </c>
      <c r="F193" s="182" t="s">
        <v>379</v>
      </c>
    </row>
    <row r="194">
      <c r="A194" s="182" t="s">
        <v>188</v>
      </c>
      <c r="B194" s="182" t="s">
        <v>34</v>
      </c>
      <c r="C194" s="182">
        <v>5.0</v>
      </c>
      <c r="D194" s="182">
        <v>0.0</v>
      </c>
      <c r="E194" s="207">
        <v>1.0</v>
      </c>
      <c r="F194" s="182" t="s">
        <v>379</v>
      </c>
    </row>
    <row r="195">
      <c r="A195" s="182" t="s">
        <v>188</v>
      </c>
      <c r="B195" s="182" t="s">
        <v>42</v>
      </c>
      <c r="C195" s="182">
        <v>1.0</v>
      </c>
      <c r="D195" s="182">
        <v>0.0</v>
      </c>
      <c r="E195" s="207">
        <v>1.0</v>
      </c>
      <c r="F195" s="182" t="s">
        <v>379</v>
      </c>
    </row>
    <row r="196">
      <c r="A196" s="182" t="s">
        <v>188</v>
      </c>
      <c r="B196" s="182" t="s">
        <v>32</v>
      </c>
      <c r="C196" s="182">
        <v>1.0</v>
      </c>
      <c r="D196" s="182">
        <v>0.0</v>
      </c>
      <c r="E196" s="207">
        <v>1.0</v>
      </c>
      <c r="F196" s="182" t="s">
        <v>379</v>
      </c>
    </row>
    <row r="197">
      <c r="A197" s="182" t="s">
        <v>188</v>
      </c>
      <c r="B197" s="182" t="s">
        <v>40</v>
      </c>
      <c r="C197" s="182">
        <v>4.0</v>
      </c>
      <c r="D197" s="182">
        <v>1.0</v>
      </c>
      <c r="E197" s="207">
        <v>0.8</v>
      </c>
      <c r="F197" s="182" t="s">
        <v>379</v>
      </c>
    </row>
    <row r="198">
      <c r="A198" s="182" t="s">
        <v>188</v>
      </c>
      <c r="B198" s="182" t="s">
        <v>43</v>
      </c>
      <c r="C198" s="182">
        <v>1.0</v>
      </c>
      <c r="D198" s="182">
        <v>0.0</v>
      </c>
      <c r="E198" s="207">
        <v>1.0</v>
      </c>
      <c r="F198" s="182" t="s">
        <v>379</v>
      </c>
    </row>
    <row r="199">
      <c r="A199" s="182" t="s">
        <v>188</v>
      </c>
      <c r="B199" s="182" t="s">
        <v>38</v>
      </c>
      <c r="C199" s="182">
        <v>3.0</v>
      </c>
      <c r="D199" s="182">
        <v>0.0</v>
      </c>
      <c r="E199" s="207">
        <v>1.0</v>
      </c>
      <c r="F199" s="182" t="s">
        <v>379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4.0"/>
  </cols>
  <sheetData>
    <row r="1">
      <c r="A1" s="182" t="s">
        <v>0</v>
      </c>
      <c r="B1" s="182" t="s">
        <v>3</v>
      </c>
      <c r="C1" s="182" t="s">
        <v>374</v>
      </c>
      <c r="D1" s="182" t="s">
        <v>375</v>
      </c>
      <c r="E1" s="182" t="s">
        <v>376</v>
      </c>
      <c r="F1" s="182" t="s">
        <v>377</v>
      </c>
    </row>
    <row r="2">
      <c r="A2" s="182" t="s">
        <v>186</v>
      </c>
      <c r="B2" s="182" t="s">
        <v>227</v>
      </c>
      <c r="C2" s="182">
        <v>2.0</v>
      </c>
      <c r="D2" s="182">
        <v>0.0</v>
      </c>
      <c r="E2" s="207">
        <v>1.0</v>
      </c>
      <c r="F2" s="182" t="s">
        <v>379</v>
      </c>
    </row>
    <row r="3">
      <c r="A3" s="182" t="s">
        <v>186</v>
      </c>
      <c r="B3" s="182" t="s">
        <v>42</v>
      </c>
      <c r="C3" s="182">
        <v>6.0</v>
      </c>
      <c r="D3" s="182">
        <v>8.0</v>
      </c>
      <c r="E3" s="207">
        <v>0.43</v>
      </c>
      <c r="F3" s="182" t="s">
        <v>379</v>
      </c>
    </row>
    <row r="4">
      <c r="A4" s="182" t="s">
        <v>186</v>
      </c>
      <c r="B4" s="182" t="s">
        <v>32</v>
      </c>
      <c r="C4" s="182">
        <v>29.0</v>
      </c>
      <c r="D4" s="182">
        <v>26.0</v>
      </c>
      <c r="E4" s="207">
        <v>0.53</v>
      </c>
      <c r="F4" s="182" t="s">
        <v>379</v>
      </c>
    </row>
    <row r="5">
      <c r="A5" s="182" t="s">
        <v>186</v>
      </c>
      <c r="B5" s="182" t="s">
        <v>36</v>
      </c>
      <c r="C5" s="182">
        <v>7.0</v>
      </c>
      <c r="D5" s="182">
        <v>11.0</v>
      </c>
      <c r="E5" s="207">
        <v>0.39</v>
      </c>
      <c r="F5" s="182" t="s">
        <v>379</v>
      </c>
    </row>
    <row r="6">
      <c r="A6" s="182" t="s">
        <v>186</v>
      </c>
      <c r="B6" s="182" t="s">
        <v>40</v>
      </c>
      <c r="C6" s="182">
        <v>26.0</v>
      </c>
      <c r="D6" s="182">
        <v>20.0</v>
      </c>
      <c r="E6" s="207">
        <v>0.57</v>
      </c>
      <c r="F6" s="182" t="s">
        <v>379</v>
      </c>
    </row>
    <row r="7">
      <c r="A7" s="182" t="s">
        <v>186</v>
      </c>
      <c r="B7" s="182" t="s">
        <v>43</v>
      </c>
      <c r="C7" s="182">
        <v>7.0</v>
      </c>
      <c r="D7" s="182">
        <v>3.0</v>
      </c>
      <c r="E7" s="207">
        <v>0.7</v>
      </c>
      <c r="F7" s="182" t="s">
        <v>379</v>
      </c>
    </row>
    <row r="8">
      <c r="A8" s="182" t="s">
        <v>186</v>
      </c>
      <c r="B8" s="182" t="s">
        <v>45</v>
      </c>
      <c r="C8" s="182">
        <v>4.0</v>
      </c>
      <c r="D8" s="182">
        <v>6.0</v>
      </c>
      <c r="E8" s="207">
        <v>0.4</v>
      </c>
      <c r="F8" s="182" t="s">
        <v>379</v>
      </c>
    </row>
    <row r="9">
      <c r="A9" s="182" t="s">
        <v>186</v>
      </c>
      <c r="B9" s="182" t="s">
        <v>38</v>
      </c>
      <c r="C9" s="182">
        <v>20.0</v>
      </c>
      <c r="D9" s="182">
        <v>24.0</v>
      </c>
      <c r="E9" s="207">
        <v>0.45</v>
      </c>
      <c r="F9" s="182" t="s">
        <v>379</v>
      </c>
    </row>
    <row r="10">
      <c r="A10" s="182" t="s">
        <v>181</v>
      </c>
      <c r="B10" s="182" t="s">
        <v>227</v>
      </c>
      <c r="C10" s="182">
        <v>1.0</v>
      </c>
      <c r="D10" s="182">
        <v>7.0</v>
      </c>
      <c r="E10" s="207">
        <v>0.13</v>
      </c>
      <c r="F10" s="182" t="s">
        <v>379</v>
      </c>
    </row>
    <row r="11">
      <c r="A11" s="182" t="s">
        <v>181</v>
      </c>
      <c r="B11" s="182" t="s">
        <v>34</v>
      </c>
      <c r="C11" s="182">
        <v>4.0</v>
      </c>
      <c r="D11" s="182">
        <v>3.0</v>
      </c>
      <c r="E11" s="207">
        <v>0.57</v>
      </c>
      <c r="F11" s="182" t="s">
        <v>379</v>
      </c>
    </row>
    <row r="12">
      <c r="A12" s="182" t="s">
        <v>181</v>
      </c>
      <c r="B12" s="182" t="s">
        <v>42</v>
      </c>
      <c r="C12" s="182">
        <v>3.0</v>
      </c>
      <c r="D12" s="182">
        <v>17.0</v>
      </c>
      <c r="E12" s="207">
        <v>0.15</v>
      </c>
      <c r="F12" s="182" t="s">
        <v>379</v>
      </c>
    </row>
    <row r="13">
      <c r="A13" s="182" t="s">
        <v>181</v>
      </c>
      <c r="B13" s="182" t="s">
        <v>32</v>
      </c>
      <c r="C13" s="182">
        <v>39.0</v>
      </c>
      <c r="D13" s="182">
        <v>24.0</v>
      </c>
      <c r="E13" s="207">
        <v>0.62</v>
      </c>
      <c r="F13" s="182" t="s">
        <v>379</v>
      </c>
    </row>
    <row r="14">
      <c r="A14" s="182" t="s">
        <v>181</v>
      </c>
      <c r="B14" s="182" t="s">
        <v>36</v>
      </c>
      <c r="C14" s="182">
        <v>4.0</v>
      </c>
      <c r="D14" s="182">
        <v>6.0</v>
      </c>
      <c r="E14" s="207">
        <v>0.4</v>
      </c>
      <c r="F14" s="182" t="s">
        <v>379</v>
      </c>
    </row>
    <row r="15">
      <c r="A15" s="182" t="s">
        <v>181</v>
      </c>
      <c r="B15" s="182" t="s">
        <v>40</v>
      </c>
      <c r="C15" s="182">
        <v>46.0</v>
      </c>
      <c r="D15" s="182">
        <v>40.0</v>
      </c>
      <c r="E15" s="207">
        <v>0.53</v>
      </c>
      <c r="F15" s="182" t="s">
        <v>379</v>
      </c>
    </row>
    <row r="16">
      <c r="A16" s="182" t="s">
        <v>181</v>
      </c>
      <c r="B16" s="182" t="s">
        <v>43</v>
      </c>
      <c r="C16" s="182">
        <v>4.0</v>
      </c>
      <c r="D16" s="182">
        <v>4.0</v>
      </c>
      <c r="E16" s="207">
        <v>0.5</v>
      </c>
      <c r="F16" s="182" t="s">
        <v>379</v>
      </c>
    </row>
    <row r="17">
      <c r="A17" s="182" t="s">
        <v>181</v>
      </c>
      <c r="B17" s="182" t="s">
        <v>45</v>
      </c>
      <c r="C17" s="182">
        <v>4.0</v>
      </c>
      <c r="D17" s="182">
        <v>6.0</v>
      </c>
      <c r="E17" s="207">
        <v>0.4</v>
      </c>
      <c r="F17" s="182" t="s">
        <v>379</v>
      </c>
    </row>
    <row r="18">
      <c r="A18" s="182" t="s">
        <v>181</v>
      </c>
      <c r="B18" s="182" t="s">
        <v>38</v>
      </c>
      <c r="C18" s="182">
        <v>39.0</v>
      </c>
      <c r="D18" s="182">
        <v>37.0</v>
      </c>
      <c r="E18" s="207">
        <v>0.51</v>
      </c>
      <c r="F18" s="182" t="s">
        <v>379</v>
      </c>
    </row>
    <row r="19">
      <c r="A19" s="182" t="s">
        <v>190</v>
      </c>
      <c r="B19" s="182" t="s">
        <v>227</v>
      </c>
      <c r="C19" s="182">
        <v>16.0</v>
      </c>
      <c r="D19" s="182">
        <v>22.0</v>
      </c>
      <c r="E19" s="207">
        <v>0.42</v>
      </c>
      <c r="F19" s="182" t="s">
        <v>379</v>
      </c>
    </row>
    <row r="20">
      <c r="A20" s="182" t="s">
        <v>190</v>
      </c>
      <c r="B20" s="182" t="s">
        <v>34</v>
      </c>
      <c r="C20" s="182">
        <v>12.0</v>
      </c>
      <c r="D20" s="182">
        <v>16.0</v>
      </c>
      <c r="E20" s="207">
        <v>0.43</v>
      </c>
      <c r="F20" s="182" t="s">
        <v>379</v>
      </c>
    </row>
    <row r="21">
      <c r="A21" s="182" t="s">
        <v>190</v>
      </c>
      <c r="B21" s="182" t="s">
        <v>42</v>
      </c>
      <c r="C21" s="182">
        <v>5.0</v>
      </c>
      <c r="D21" s="182">
        <v>6.0</v>
      </c>
      <c r="E21" s="207">
        <v>0.45</v>
      </c>
      <c r="F21" s="182" t="s">
        <v>379</v>
      </c>
    </row>
    <row r="22">
      <c r="A22" s="182" t="s">
        <v>190</v>
      </c>
      <c r="B22" s="182" t="s">
        <v>32</v>
      </c>
      <c r="C22" s="182">
        <v>29.0</v>
      </c>
      <c r="D22" s="182">
        <v>21.0</v>
      </c>
      <c r="E22" s="207">
        <v>0.58</v>
      </c>
      <c r="F22" s="182" t="s">
        <v>379</v>
      </c>
    </row>
    <row r="23">
      <c r="A23" s="182" t="s">
        <v>190</v>
      </c>
      <c r="B23" s="182" t="s">
        <v>36</v>
      </c>
      <c r="C23" s="182">
        <v>8.0</v>
      </c>
      <c r="D23" s="182">
        <v>5.0</v>
      </c>
      <c r="E23" s="207">
        <v>0.62</v>
      </c>
      <c r="F23" s="182" t="s">
        <v>379</v>
      </c>
    </row>
    <row r="24">
      <c r="A24" s="182" t="s">
        <v>190</v>
      </c>
      <c r="B24" s="182" t="s">
        <v>40</v>
      </c>
      <c r="C24" s="182">
        <v>41.0</v>
      </c>
      <c r="D24" s="182">
        <v>33.0</v>
      </c>
      <c r="E24" s="207">
        <v>0.55</v>
      </c>
      <c r="F24" s="182" t="s">
        <v>379</v>
      </c>
    </row>
    <row r="25">
      <c r="A25" s="182" t="s">
        <v>190</v>
      </c>
      <c r="B25" s="182" t="s">
        <v>45</v>
      </c>
      <c r="C25" s="182">
        <v>7.0</v>
      </c>
      <c r="D25" s="182">
        <v>10.0</v>
      </c>
      <c r="E25" s="207">
        <v>0.41</v>
      </c>
      <c r="F25" s="182" t="s">
        <v>379</v>
      </c>
    </row>
    <row r="26">
      <c r="A26" s="182" t="s">
        <v>190</v>
      </c>
      <c r="B26" s="182" t="s">
        <v>38</v>
      </c>
      <c r="C26" s="182">
        <v>16.0</v>
      </c>
      <c r="D26" s="182">
        <v>11.0</v>
      </c>
      <c r="E26" s="207">
        <v>0.59</v>
      </c>
      <c r="F26" s="182" t="s">
        <v>379</v>
      </c>
    </row>
    <row r="27">
      <c r="A27" s="182" t="s">
        <v>182</v>
      </c>
      <c r="B27" s="182" t="s">
        <v>227</v>
      </c>
      <c r="C27" s="182">
        <v>5.0</v>
      </c>
      <c r="D27" s="182">
        <v>6.0</v>
      </c>
      <c r="E27" s="207">
        <v>0.45</v>
      </c>
      <c r="F27" s="182" t="s">
        <v>379</v>
      </c>
    </row>
    <row r="28">
      <c r="A28" s="182" t="s">
        <v>182</v>
      </c>
      <c r="B28" s="182" t="s">
        <v>34</v>
      </c>
      <c r="C28" s="182">
        <v>8.0</v>
      </c>
      <c r="D28" s="182">
        <v>7.0</v>
      </c>
      <c r="E28" s="207">
        <v>0.53</v>
      </c>
      <c r="F28" s="182" t="s">
        <v>379</v>
      </c>
    </row>
    <row r="29">
      <c r="A29" s="182" t="s">
        <v>182</v>
      </c>
      <c r="B29" s="182" t="s">
        <v>32</v>
      </c>
      <c r="C29" s="182">
        <v>17.0</v>
      </c>
      <c r="D29" s="182">
        <v>14.0</v>
      </c>
      <c r="E29" s="207">
        <v>0.55</v>
      </c>
      <c r="F29" s="182" t="s">
        <v>379</v>
      </c>
    </row>
    <row r="30">
      <c r="A30" s="182" t="s">
        <v>182</v>
      </c>
      <c r="B30" s="182" t="s">
        <v>36</v>
      </c>
      <c r="C30" s="182">
        <v>2.0</v>
      </c>
      <c r="D30" s="182">
        <v>8.0</v>
      </c>
      <c r="E30" s="207">
        <v>0.2</v>
      </c>
      <c r="F30" s="182" t="s">
        <v>379</v>
      </c>
    </row>
    <row r="31">
      <c r="A31" s="182" t="s">
        <v>182</v>
      </c>
      <c r="B31" s="182" t="s">
        <v>40</v>
      </c>
      <c r="C31" s="182">
        <v>22.0</v>
      </c>
      <c r="D31" s="182">
        <v>22.0</v>
      </c>
      <c r="E31" s="207">
        <v>0.5</v>
      </c>
      <c r="F31" s="182" t="s">
        <v>379</v>
      </c>
    </row>
    <row r="32">
      <c r="A32" s="182" t="s">
        <v>182</v>
      </c>
      <c r="B32" s="182" t="s">
        <v>38</v>
      </c>
      <c r="C32" s="182">
        <v>12.0</v>
      </c>
      <c r="D32" s="182">
        <v>15.0</v>
      </c>
      <c r="E32" s="207">
        <v>0.44</v>
      </c>
      <c r="F32" s="182" t="s">
        <v>379</v>
      </c>
    </row>
    <row r="33">
      <c r="A33" s="182" t="s">
        <v>183</v>
      </c>
      <c r="B33" s="182" t="s">
        <v>227</v>
      </c>
      <c r="C33" s="182">
        <v>11.0</v>
      </c>
      <c r="D33" s="182">
        <v>10.0</v>
      </c>
      <c r="E33" s="207">
        <v>0.52</v>
      </c>
      <c r="F33" s="182" t="s">
        <v>379</v>
      </c>
    </row>
    <row r="34">
      <c r="A34" s="182" t="s">
        <v>183</v>
      </c>
      <c r="B34" s="182" t="s">
        <v>34</v>
      </c>
      <c r="C34" s="182">
        <v>13.0</v>
      </c>
      <c r="D34" s="182">
        <v>8.0</v>
      </c>
      <c r="E34" s="207">
        <v>0.62</v>
      </c>
      <c r="F34" s="182" t="s">
        <v>379</v>
      </c>
    </row>
    <row r="35">
      <c r="A35" s="182" t="s">
        <v>183</v>
      </c>
      <c r="B35" s="182" t="s">
        <v>42</v>
      </c>
      <c r="C35" s="182">
        <v>12.0</v>
      </c>
      <c r="D35" s="182">
        <v>11.0</v>
      </c>
      <c r="E35" s="207">
        <v>0.52</v>
      </c>
      <c r="F35" s="182" t="s">
        <v>379</v>
      </c>
    </row>
    <row r="36">
      <c r="A36" s="182" t="s">
        <v>183</v>
      </c>
      <c r="B36" s="182" t="s">
        <v>32</v>
      </c>
      <c r="C36" s="182">
        <v>8.0</v>
      </c>
      <c r="D36" s="182">
        <v>9.0</v>
      </c>
      <c r="E36" s="207">
        <v>0.47</v>
      </c>
      <c r="F36" s="182" t="s">
        <v>379</v>
      </c>
    </row>
    <row r="37">
      <c r="A37" s="182" t="s">
        <v>183</v>
      </c>
      <c r="B37" s="182" t="s">
        <v>36</v>
      </c>
      <c r="C37" s="182">
        <v>11.0</v>
      </c>
      <c r="D37" s="182">
        <v>8.0</v>
      </c>
      <c r="E37" s="207">
        <v>0.58</v>
      </c>
      <c r="F37" s="182" t="s">
        <v>379</v>
      </c>
    </row>
    <row r="38">
      <c r="A38" s="182" t="s">
        <v>183</v>
      </c>
      <c r="B38" s="182" t="s">
        <v>40</v>
      </c>
      <c r="C38" s="182">
        <v>21.0</v>
      </c>
      <c r="D38" s="182">
        <v>20.0</v>
      </c>
      <c r="E38" s="207">
        <v>0.51</v>
      </c>
      <c r="F38" s="182" t="s">
        <v>379</v>
      </c>
    </row>
    <row r="39">
      <c r="A39" s="182" t="s">
        <v>183</v>
      </c>
      <c r="B39" s="182" t="s">
        <v>45</v>
      </c>
      <c r="C39" s="182">
        <v>2.0</v>
      </c>
      <c r="D39" s="182">
        <v>1.0</v>
      </c>
      <c r="E39" s="207">
        <v>0.67</v>
      </c>
      <c r="F39" s="182" t="s">
        <v>379</v>
      </c>
    </row>
    <row r="40">
      <c r="A40" s="182" t="s">
        <v>183</v>
      </c>
      <c r="B40" s="182" t="s">
        <v>38</v>
      </c>
      <c r="C40" s="182">
        <v>26.0</v>
      </c>
      <c r="D40" s="182">
        <v>14.0</v>
      </c>
      <c r="E40" s="207">
        <v>0.65</v>
      </c>
      <c r="F40" s="182" t="s">
        <v>379</v>
      </c>
    </row>
    <row r="41">
      <c r="A41" s="182" t="s">
        <v>179</v>
      </c>
      <c r="B41" s="182" t="s">
        <v>227</v>
      </c>
      <c r="C41" s="182">
        <v>25.0</v>
      </c>
      <c r="D41" s="182">
        <v>18.0</v>
      </c>
      <c r="E41" s="207">
        <v>0.58</v>
      </c>
      <c r="F41" s="182" t="s">
        <v>379</v>
      </c>
    </row>
    <row r="42">
      <c r="A42" s="182" t="s">
        <v>179</v>
      </c>
      <c r="B42" s="182" t="s">
        <v>34</v>
      </c>
      <c r="C42" s="182">
        <v>6.0</v>
      </c>
      <c r="D42" s="182">
        <v>2.0</v>
      </c>
      <c r="E42" s="207">
        <v>0.75</v>
      </c>
      <c r="F42" s="182" t="s">
        <v>379</v>
      </c>
    </row>
    <row r="43">
      <c r="A43" s="182" t="s">
        <v>179</v>
      </c>
      <c r="B43" s="182" t="s">
        <v>42</v>
      </c>
      <c r="C43" s="182">
        <v>10.0</v>
      </c>
      <c r="D43" s="182">
        <v>9.0</v>
      </c>
      <c r="E43" s="207">
        <v>0.53</v>
      </c>
      <c r="F43" s="182" t="s">
        <v>379</v>
      </c>
    </row>
    <row r="44">
      <c r="A44" s="182" t="s">
        <v>179</v>
      </c>
      <c r="B44" s="182" t="s">
        <v>32</v>
      </c>
      <c r="C44" s="182">
        <v>7.0</v>
      </c>
      <c r="D44" s="182">
        <v>2.0</v>
      </c>
      <c r="E44" s="207">
        <v>0.78</v>
      </c>
      <c r="F44" s="182" t="s">
        <v>379</v>
      </c>
    </row>
    <row r="45">
      <c r="A45" s="182" t="s">
        <v>179</v>
      </c>
      <c r="B45" s="182" t="s">
        <v>40</v>
      </c>
      <c r="C45" s="182">
        <v>10.0</v>
      </c>
      <c r="D45" s="182">
        <v>14.0</v>
      </c>
      <c r="E45" s="207">
        <v>0.42</v>
      </c>
      <c r="F45" s="182" t="s">
        <v>379</v>
      </c>
    </row>
    <row r="46">
      <c r="A46" s="182" t="s">
        <v>179</v>
      </c>
      <c r="B46" s="182" t="s">
        <v>38</v>
      </c>
      <c r="C46" s="182">
        <v>0.0</v>
      </c>
      <c r="D46" s="182">
        <v>3.0</v>
      </c>
      <c r="E46" s="207">
        <v>0.0</v>
      </c>
      <c r="F46" s="182" t="s">
        <v>379</v>
      </c>
    </row>
    <row r="47">
      <c r="A47" s="182" t="s">
        <v>232</v>
      </c>
      <c r="B47" s="182" t="s">
        <v>227</v>
      </c>
      <c r="C47" s="182">
        <v>5.0</v>
      </c>
      <c r="D47" s="182">
        <v>6.0</v>
      </c>
      <c r="E47" s="207">
        <v>0.45</v>
      </c>
      <c r="F47" s="182" t="s">
        <v>379</v>
      </c>
    </row>
    <row r="48">
      <c r="A48" s="182" t="s">
        <v>232</v>
      </c>
      <c r="B48" s="182" t="s">
        <v>34</v>
      </c>
      <c r="C48" s="182">
        <v>7.0</v>
      </c>
      <c r="D48" s="182">
        <v>3.0</v>
      </c>
      <c r="E48" s="207">
        <v>0.7</v>
      </c>
      <c r="F48" s="182" t="s">
        <v>379</v>
      </c>
    </row>
    <row r="49">
      <c r="A49" s="182" t="s">
        <v>232</v>
      </c>
      <c r="B49" s="182" t="s">
        <v>32</v>
      </c>
      <c r="C49" s="182">
        <v>18.0</v>
      </c>
      <c r="D49" s="182">
        <v>14.0</v>
      </c>
      <c r="E49" s="207">
        <v>0.56</v>
      </c>
      <c r="F49" s="182" t="s">
        <v>379</v>
      </c>
    </row>
    <row r="50">
      <c r="A50" s="182" t="s">
        <v>232</v>
      </c>
      <c r="B50" s="182" t="s">
        <v>36</v>
      </c>
      <c r="C50" s="182">
        <v>11.0</v>
      </c>
      <c r="D50" s="182">
        <v>3.0</v>
      </c>
      <c r="E50" s="207">
        <v>0.79</v>
      </c>
      <c r="F50" s="182" t="s">
        <v>379</v>
      </c>
    </row>
    <row r="51">
      <c r="A51" s="182" t="s">
        <v>232</v>
      </c>
      <c r="B51" s="182" t="s">
        <v>40</v>
      </c>
      <c r="C51" s="182">
        <v>6.0</v>
      </c>
      <c r="D51" s="182">
        <v>1.0</v>
      </c>
      <c r="E51" s="207">
        <v>0.86</v>
      </c>
      <c r="F51" s="182" t="s">
        <v>379</v>
      </c>
    </row>
    <row r="52">
      <c r="A52" s="182" t="s">
        <v>232</v>
      </c>
      <c r="B52" s="182" t="s">
        <v>38</v>
      </c>
      <c r="C52" s="182">
        <v>14.0</v>
      </c>
      <c r="D52" s="182">
        <v>8.0</v>
      </c>
      <c r="E52" s="207">
        <v>0.64</v>
      </c>
      <c r="F52" s="182" t="s">
        <v>379</v>
      </c>
    </row>
    <row r="53">
      <c r="A53" s="182" t="s">
        <v>187</v>
      </c>
      <c r="B53" s="182" t="s">
        <v>227</v>
      </c>
      <c r="C53" s="182">
        <v>12.0</v>
      </c>
      <c r="D53" s="182">
        <v>23.0</v>
      </c>
      <c r="E53" s="207">
        <v>0.34</v>
      </c>
      <c r="F53" s="182" t="s">
        <v>379</v>
      </c>
    </row>
    <row r="54">
      <c r="A54" s="182" t="s">
        <v>187</v>
      </c>
      <c r="B54" s="182" t="s">
        <v>34</v>
      </c>
      <c r="C54" s="182">
        <v>21.0</v>
      </c>
      <c r="D54" s="182">
        <v>17.0</v>
      </c>
      <c r="E54" s="207">
        <v>0.55</v>
      </c>
      <c r="F54" s="182" t="s">
        <v>379</v>
      </c>
    </row>
    <row r="55">
      <c r="A55" s="182" t="s">
        <v>187</v>
      </c>
      <c r="B55" s="182" t="s">
        <v>42</v>
      </c>
      <c r="C55" s="182">
        <v>12.0</v>
      </c>
      <c r="D55" s="182">
        <v>7.0</v>
      </c>
      <c r="E55" s="207">
        <v>0.63</v>
      </c>
      <c r="F55" s="182" t="s">
        <v>379</v>
      </c>
    </row>
    <row r="56">
      <c r="A56" s="182" t="s">
        <v>187</v>
      </c>
      <c r="B56" s="182" t="s">
        <v>32</v>
      </c>
      <c r="C56" s="182">
        <v>6.0</v>
      </c>
      <c r="D56" s="182">
        <v>3.0</v>
      </c>
      <c r="E56" s="207">
        <v>0.67</v>
      </c>
      <c r="F56" s="182" t="s">
        <v>379</v>
      </c>
    </row>
    <row r="57">
      <c r="A57" s="182" t="s">
        <v>187</v>
      </c>
      <c r="B57" s="182" t="s">
        <v>40</v>
      </c>
      <c r="C57" s="182">
        <v>27.0</v>
      </c>
      <c r="D57" s="182">
        <v>17.0</v>
      </c>
      <c r="E57" s="207">
        <v>0.61</v>
      </c>
      <c r="F57" s="182" t="s">
        <v>379</v>
      </c>
    </row>
    <row r="58">
      <c r="A58" s="182" t="s">
        <v>187</v>
      </c>
      <c r="B58" s="182" t="s">
        <v>45</v>
      </c>
      <c r="C58" s="182">
        <v>8.0</v>
      </c>
      <c r="D58" s="182">
        <v>4.0</v>
      </c>
      <c r="E58" s="207">
        <v>0.67</v>
      </c>
      <c r="F58" s="182" t="s">
        <v>379</v>
      </c>
    </row>
    <row r="59">
      <c r="A59" s="182" t="s">
        <v>187</v>
      </c>
      <c r="B59" s="182" t="s">
        <v>38</v>
      </c>
      <c r="C59" s="182">
        <v>4.0</v>
      </c>
      <c r="D59" s="182">
        <v>8.0</v>
      </c>
      <c r="E59" s="207">
        <v>0.33</v>
      </c>
      <c r="F59" s="182" t="s">
        <v>379</v>
      </c>
    </row>
    <row r="60">
      <c r="A60" s="182" t="s">
        <v>189</v>
      </c>
      <c r="B60" s="182" t="s">
        <v>227</v>
      </c>
      <c r="C60" s="182">
        <v>17.0</v>
      </c>
      <c r="D60" s="182">
        <v>19.0</v>
      </c>
      <c r="E60" s="207">
        <v>0.47</v>
      </c>
      <c r="F60" s="182" t="s">
        <v>379</v>
      </c>
    </row>
    <row r="61">
      <c r="A61" s="182" t="s">
        <v>189</v>
      </c>
      <c r="B61" s="182" t="s">
        <v>42</v>
      </c>
      <c r="C61" s="182">
        <v>4.0</v>
      </c>
      <c r="D61" s="182">
        <v>2.0</v>
      </c>
      <c r="E61" s="207">
        <v>0.67</v>
      </c>
      <c r="F61" s="182" t="s">
        <v>379</v>
      </c>
    </row>
    <row r="62">
      <c r="A62" s="182" t="s">
        <v>189</v>
      </c>
      <c r="B62" s="182" t="s">
        <v>32</v>
      </c>
      <c r="C62" s="182">
        <v>19.0</v>
      </c>
      <c r="D62" s="182">
        <v>19.0</v>
      </c>
      <c r="E62" s="207">
        <v>0.5</v>
      </c>
      <c r="F62" s="182" t="s">
        <v>379</v>
      </c>
    </row>
    <row r="63">
      <c r="A63" s="182" t="s">
        <v>189</v>
      </c>
      <c r="B63" s="182" t="s">
        <v>36</v>
      </c>
      <c r="C63" s="182">
        <v>16.0</v>
      </c>
      <c r="D63" s="182">
        <v>16.0</v>
      </c>
      <c r="E63" s="207">
        <v>0.5</v>
      </c>
      <c r="F63" s="182" t="s">
        <v>379</v>
      </c>
    </row>
    <row r="64">
      <c r="A64" s="182" t="s">
        <v>189</v>
      </c>
      <c r="B64" s="182" t="s">
        <v>40</v>
      </c>
      <c r="C64" s="182">
        <v>24.0</v>
      </c>
      <c r="D64" s="182">
        <v>28.0</v>
      </c>
      <c r="E64" s="207">
        <v>0.46</v>
      </c>
      <c r="F64" s="182" t="s">
        <v>379</v>
      </c>
    </row>
    <row r="65">
      <c r="A65" s="182" t="s">
        <v>189</v>
      </c>
      <c r="B65" s="182" t="s">
        <v>45</v>
      </c>
      <c r="C65" s="182">
        <v>6.0</v>
      </c>
      <c r="D65" s="182">
        <v>6.0</v>
      </c>
      <c r="E65" s="207">
        <v>0.5</v>
      </c>
      <c r="F65" s="182" t="s">
        <v>379</v>
      </c>
    </row>
    <row r="66">
      <c r="A66" s="182" t="s">
        <v>189</v>
      </c>
      <c r="B66" s="182" t="s">
        <v>38</v>
      </c>
      <c r="C66" s="182">
        <v>2.0</v>
      </c>
      <c r="D66" s="182">
        <v>8.0</v>
      </c>
      <c r="E66" s="207">
        <v>0.2</v>
      </c>
      <c r="F66" s="182" t="s">
        <v>379</v>
      </c>
    </row>
    <row r="67">
      <c r="A67" s="182" t="s">
        <v>180</v>
      </c>
      <c r="B67" s="182" t="s">
        <v>227</v>
      </c>
      <c r="C67" s="182">
        <v>3.0</v>
      </c>
      <c r="D67" s="182">
        <v>4.0</v>
      </c>
      <c r="E67" s="207">
        <v>0.43</v>
      </c>
      <c r="F67" s="182" t="s">
        <v>379</v>
      </c>
    </row>
    <row r="68">
      <c r="A68" s="182" t="s">
        <v>180</v>
      </c>
      <c r="B68" s="182" t="s">
        <v>34</v>
      </c>
      <c r="C68" s="182">
        <v>9.0</v>
      </c>
      <c r="D68" s="182">
        <v>3.0</v>
      </c>
      <c r="E68" s="207">
        <v>0.75</v>
      </c>
      <c r="F68" s="182" t="s">
        <v>379</v>
      </c>
    </row>
    <row r="69">
      <c r="A69" s="182" t="s">
        <v>180</v>
      </c>
      <c r="B69" s="182" t="s">
        <v>42</v>
      </c>
      <c r="C69" s="182">
        <v>14.0</v>
      </c>
      <c r="D69" s="182">
        <v>7.0</v>
      </c>
      <c r="E69" s="207">
        <v>0.67</v>
      </c>
      <c r="F69" s="182" t="s">
        <v>379</v>
      </c>
    </row>
    <row r="70">
      <c r="A70" s="182" t="s">
        <v>180</v>
      </c>
      <c r="B70" s="182" t="s">
        <v>32</v>
      </c>
      <c r="C70" s="182">
        <v>25.0</v>
      </c>
      <c r="D70" s="182">
        <v>11.0</v>
      </c>
      <c r="E70" s="207">
        <v>0.69</v>
      </c>
      <c r="F70" s="182" t="s">
        <v>379</v>
      </c>
    </row>
    <row r="71">
      <c r="A71" s="182" t="s">
        <v>180</v>
      </c>
      <c r="B71" s="182" t="s">
        <v>36</v>
      </c>
      <c r="C71" s="182">
        <v>19.0</v>
      </c>
      <c r="D71" s="182">
        <v>11.0</v>
      </c>
      <c r="E71" s="207">
        <v>0.63</v>
      </c>
      <c r="F71" s="182" t="s">
        <v>379</v>
      </c>
    </row>
    <row r="72">
      <c r="A72" s="182" t="s">
        <v>180</v>
      </c>
      <c r="B72" s="182" t="s">
        <v>40</v>
      </c>
      <c r="C72" s="182">
        <v>12.0</v>
      </c>
      <c r="D72" s="182">
        <v>7.0</v>
      </c>
      <c r="E72" s="207">
        <v>0.63</v>
      </c>
      <c r="F72" s="182" t="s">
        <v>379</v>
      </c>
    </row>
    <row r="73">
      <c r="A73" s="182" t="s">
        <v>180</v>
      </c>
      <c r="B73" s="182" t="s">
        <v>43</v>
      </c>
      <c r="C73" s="182">
        <v>4.0</v>
      </c>
      <c r="D73" s="182">
        <v>3.0</v>
      </c>
      <c r="E73" s="207">
        <v>0.57</v>
      </c>
      <c r="F73" s="182" t="s">
        <v>379</v>
      </c>
    </row>
    <row r="74">
      <c r="A74" s="182" t="s">
        <v>180</v>
      </c>
      <c r="B74" s="182" t="s">
        <v>45</v>
      </c>
      <c r="C74" s="182">
        <v>12.0</v>
      </c>
      <c r="D74" s="182">
        <v>14.0</v>
      </c>
      <c r="E74" s="207">
        <v>0.46</v>
      </c>
      <c r="F74" s="182" t="s">
        <v>379</v>
      </c>
    </row>
    <row r="75">
      <c r="A75" s="182" t="s">
        <v>180</v>
      </c>
      <c r="B75" s="182" t="s">
        <v>38</v>
      </c>
      <c r="C75" s="182">
        <v>12.0</v>
      </c>
      <c r="D75" s="182">
        <v>16.0</v>
      </c>
      <c r="E75" s="207">
        <v>0.43</v>
      </c>
      <c r="F75" s="182" t="s">
        <v>379</v>
      </c>
    </row>
    <row r="76">
      <c r="A76" s="182" t="s">
        <v>1</v>
      </c>
      <c r="B76" s="182" t="s">
        <v>227</v>
      </c>
      <c r="C76" s="182">
        <v>20.0</v>
      </c>
      <c r="D76" s="182">
        <v>16.0</v>
      </c>
      <c r="E76" s="207">
        <v>0.56</v>
      </c>
      <c r="F76" s="182" t="s">
        <v>379</v>
      </c>
    </row>
    <row r="77">
      <c r="A77" s="182" t="s">
        <v>1</v>
      </c>
      <c r="B77" s="182" t="s">
        <v>34</v>
      </c>
      <c r="C77" s="182">
        <v>6.0</v>
      </c>
      <c r="D77" s="182">
        <v>1.0</v>
      </c>
      <c r="E77" s="207">
        <v>0.86</v>
      </c>
      <c r="F77" s="182" t="s">
        <v>379</v>
      </c>
    </row>
    <row r="78">
      <c r="A78" s="182" t="s">
        <v>1</v>
      </c>
      <c r="B78" s="182" t="s">
        <v>42</v>
      </c>
      <c r="C78" s="182">
        <v>23.0</v>
      </c>
      <c r="D78" s="182">
        <v>17.0</v>
      </c>
      <c r="E78" s="207">
        <v>0.58</v>
      </c>
      <c r="F78" s="182" t="s">
        <v>379</v>
      </c>
    </row>
    <row r="79">
      <c r="A79" s="182" t="s">
        <v>1</v>
      </c>
      <c r="B79" s="182" t="s">
        <v>32</v>
      </c>
      <c r="C79" s="182">
        <v>11.0</v>
      </c>
      <c r="D79" s="182">
        <v>12.0</v>
      </c>
      <c r="E79" s="207">
        <v>0.48</v>
      </c>
      <c r="F79" s="182" t="s">
        <v>379</v>
      </c>
    </row>
    <row r="80">
      <c r="A80" s="182" t="s">
        <v>1</v>
      </c>
      <c r="B80" s="182" t="s">
        <v>36</v>
      </c>
      <c r="C80" s="182">
        <v>5.0</v>
      </c>
      <c r="D80" s="182">
        <v>4.0</v>
      </c>
      <c r="E80" s="207">
        <v>0.56</v>
      </c>
      <c r="F80" s="182" t="s">
        <v>379</v>
      </c>
    </row>
    <row r="81">
      <c r="A81" s="182" t="s">
        <v>1</v>
      </c>
      <c r="B81" s="182" t="s">
        <v>40</v>
      </c>
      <c r="C81" s="182">
        <v>36.0</v>
      </c>
      <c r="D81" s="182">
        <v>37.0</v>
      </c>
      <c r="E81" s="207">
        <v>0.49</v>
      </c>
      <c r="F81" s="182" t="s">
        <v>379</v>
      </c>
    </row>
    <row r="82">
      <c r="A82" s="182" t="s">
        <v>1</v>
      </c>
      <c r="B82" s="182" t="s">
        <v>45</v>
      </c>
      <c r="C82" s="182">
        <v>2.0</v>
      </c>
      <c r="D82" s="182">
        <v>7.0</v>
      </c>
      <c r="E82" s="207">
        <v>0.22</v>
      </c>
      <c r="F82" s="182" t="s">
        <v>379</v>
      </c>
    </row>
    <row r="83">
      <c r="A83" s="182" t="s">
        <v>1</v>
      </c>
      <c r="B83" s="182" t="s">
        <v>38</v>
      </c>
      <c r="C83" s="182">
        <v>8.0</v>
      </c>
      <c r="D83" s="182">
        <v>10.0</v>
      </c>
      <c r="E83" s="207">
        <v>0.44</v>
      </c>
      <c r="F83" s="182" t="s">
        <v>379</v>
      </c>
    </row>
    <row r="84">
      <c r="A84" s="182" t="s">
        <v>185</v>
      </c>
      <c r="B84" s="182" t="s">
        <v>227</v>
      </c>
      <c r="C84" s="182">
        <v>9.0</v>
      </c>
      <c r="D84" s="182">
        <v>13.0</v>
      </c>
      <c r="E84" s="207">
        <v>0.41</v>
      </c>
      <c r="F84" s="182" t="s">
        <v>379</v>
      </c>
    </row>
    <row r="85">
      <c r="A85" s="182" t="s">
        <v>185</v>
      </c>
      <c r="B85" s="182" t="s">
        <v>34</v>
      </c>
      <c r="C85" s="182">
        <v>4.0</v>
      </c>
      <c r="D85" s="182">
        <v>6.0</v>
      </c>
      <c r="E85" s="207">
        <v>0.4</v>
      </c>
      <c r="F85" s="182" t="s">
        <v>379</v>
      </c>
    </row>
    <row r="86">
      <c r="A86" s="182" t="s">
        <v>185</v>
      </c>
      <c r="B86" s="182" t="s">
        <v>42</v>
      </c>
      <c r="C86" s="182">
        <v>15.0</v>
      </c>
      <c r="D86" s="182">
        <v>11.0</v>
      </c>
      <c r="E86" s="207">
        <v>0.58</v>
      </c>
      <c r="F86" s="182" t="s">
        <v>379</v>
      </c>
    </row>
    <row r="87">
      <c r="A87" s="182" t="s">
        <v>185</v>
      </c>
      <c r="B87" s="182" t="s">
        <v>32</v>
      </c>
      <c r="C87" s="182">
        <v>21.0</v>
      </c>
      <c r="D87" s="182">
        <v>28.0</v>
      </c>
      <c r="E87" s="207">
        <v>0.43</v>
      </c>
      <c r="F87" s="182" t="s">
        <v>379</v>
      </c>
    </row>
    <row r="88">
      <c r="A88" s="182" t="s">
        <v>185</v>
      </c>
      <c r="B88" s="182" t="s">
        <v>36</v>
      </c>
      <c r="C88" s="182">
        <v>14.0</v>
      </c>
      <c r="D88" s="182">
        <v>17.0</v>
      </c>
      <c r="E88" s="207">
        <v>0.45</v>
      </c>
      <c r="F88" s="182" t="s">
        <v>379</v>
      </c>
    </row>
    <row r="89">
      <c r="A89" s="182" t="s">
        <v>185</v>
      </c>
      <c r="B89" s="182" t="s">
        <v>40</v>
      </c>
      <c r="C89" s="182">
        <v>17.0</v>
      </c>
      <c r="D89" s="182">
        <v>23.0</v>
      </c>
      <c r="E89" s="207">
        <v>0.43</v>
      </c>
      <c r="F89" s="182" t="s">
        <v>379</v>
      </c>
    </row>
    <row r="90">
      <c r="A90" s="182" t="s">
        <v>185</v>
      </c>
      <c r="B90" s="182" t="s">
        <v>43</v>
      </c>
      <c r="C90" s="182">
        <v>4.0</v>
      </c>
      <c r="D90" s="182">
        <v>3.0</v>
      </c>
      <c r="E90" s="207">
        <v>0.57</v>
      </c>
      <c r="F90" s="182" t="s">
        <v>379</v>
      </c>
    </row>
    <row r="91">
      <c r="A91" s="182" t="s">
        <v>185</v>
      </c>
      <c r="B91" s="182" t="s">
        <v>45</v>
      </c>
      <c r="C91" s="182">
        <v>1.0</v>
      </c>
      <c r="D91" s="182">
        <v>7.0</v>
      </c>
      <c r="E91" s="207">
        <v>0.13</v>
      </c>
      <c r="F91" s="182" t="s">
        <v>379</v>
      </c>
    </row>
    <row r="92">
      <c r="A92" s="182" t="s">
        <v>185</v>
      </c>
      <c r="B92" s="182" t="s">
        <v>38</v>
      </c>
      <c r="C92" s="182">
        <v>16.0</v>
      </c>
      <c r="D92" s="182">
        <v>23.0</v>
      </c>
      <c r="E92" s="207">
        <v>0.41</v>
      </c>
      <c r="F92" s="182" t="s">
        <v>379</v>
      </c>
    </row>
    <row r="93">
      <c r="A93" s="182" t="s">
        <v>184</v>
      </c>
      <c r="B93" s="182" t="s">
        <v>227</v>
      </c>
      <c r="C93" s="182">
        <v>10.0</v>
      </c>
      <c r="D93" s="182">
        <v>12.0</v>
      </c>
      <c r="E93" s="207">
        <v>0.45</v>
      </c>
      <c r="F93" s="182" t="s">
        <v>379</v>
      </c>
    </row>
    <row r="94">
      <c r="A94" s="182" t="s">
        <v>184</v>
      </c>
      <c r="B94" s="182" t="s">
        <v>34</v>
      </c>
      <c r="C94" s="182">
        <v>14.0</v>
      </c>
      <c r="D94" s="182">
        <v>11.0</v>
      </c>
      <c r="E94" s="207">
        <v>0.56</v>
      </c>
      <c r="F94" s="182" t="s">
        <v>379</v>
      </c>
    </row>
    <row r="95">
      <c r="A95" s="182" t="s">
        <v>184</v>
      </c>
      <c r="B95" s="182" t="s">
        <v>42</v>
      </c>
      <c r="C95" s="182">
        <v>14.0</v>
      </c>
      <c r="D95" s="182">
        <v>12.0</v>
      </c>
      <c r="E95" s="207">
        <v>0.54</v>
      </c>
      <c r="F95" s="182" t="s">
        <v>379</v>
      </c>
    </row>
    <row r="96">
      <c r="A96" s="182" t="s">
        <v>184</v>
      </c>
      <c r="B96" s="182" t="s">
        <v>32</v>
      </c>
      <c r="C96" s="182">
        <v>18.0</v>
      </c>
      <c r="D96" s="182">
        <v>19.0</v>
      </c>
      <c r="E96" s="207">
        <v>0.49</v>
      </c>
      <c r="F96" s="182" t="s">
        <v>379</v>
      </c>
    </row>
    <row r="97">
      <c r="A97" s="182" t="s">
        <v>184</v>
      </c>
      <c r="B97" s="182" t="s">
        <v>36</v>
      </c>
      <c r="C97" s="182">
        <v>14.0</v>
      </c>
      <c r="D97" s="182">
        <v>14.0</v>
      </c>
      <c r="E97" s="207">
        <v>0.5</v>
      </c>
      <c r="F97" s="182" t="s">
        <v>379</v>
      </c>
    </row>
    <row r="98">
      <c r="A98" s="182" t="s">
        <v>184</v>
      </c>
      <c r="B98" s="182" t="s">
        <v>40</v>
      </c>
      <c r="C98" s="182">
        <v>28.0</v>
      </c>
      <c r="D98" s="182">
        <v>23.0</v>
      </c>
      <c r="E98" s="207">
        <v>0.55</v>
      </c>
      <c r="F98" s="182" t="s">
        <v>379</v>
      </c>
    </row>
    <row r="99">
      <c r="A99" s="182" t="s">
        <v>184</v>
      </c>
      <c r="B99" s="182" t="s">
        <v>45</v>
      </c>
      <c r="C99" s="182">
        <v>12.0</v>
      </c>
      <c r="D99" s="182">
        <v>11.0</v>
      </c>
      <c r="E99" s="207">
        <v>0.52</v>
      </c>
      <c r="F99" s="182" t="s">
        <v>379</v>
      </c>
    </row>
    <row r="100">
      <c r="A100" s="182" t="s">
        <v>184</v>
      </c>
      <c r="B100" s="182" t="s">
        <v>38</v>
      </c>
      <c r="C100" s="182">
        <v>18.0</v>
      </c>
      <c r="D100" s="182">
        <v>17.0</v>
      </c>
      <c r="E100" s="207">
        <v>0.51</v>
      </c>
      <c r="F100" s="182" t="s">
        <v>379</v>
      </c>
    </row>
    <row r="101">
      <c r="A101" s="182" t="s">
        <v>188</v>
      </c>
      <c r="B101" s="182" t="s">
        <v>227</v>
      </c>
      <c r="C101" s="182">
        <v>7.0</v>
      </c>
      <c r="D101" s="182">
        <v>6.0</v>
      </c>
      <c r="E101" s="207">
        <v>0.54</v>
      </c>
      <c r="F101" s="182" t="s">
        <v>379</v>
      </c>
    </row>
    <row r="102">
      <c r="A102" s="182" t="s">
        <v>188</v>
      </c>
      <c r="B102" s="182" t="s">
        <v>34</v>
      </c>
      <c r="C102" s="182">
        <v>9.0</v>
      </c>
      <c r="D102" s="182">
        <v>10.0</v>
      </c>
      <c r="E102" s="207">
        <v>0.47</v>
      </c>
      <c r="F102" s="182" t="s">
        <v>379</v>
      </c>
    </row>
    <row r="103">
      <c r="A103" s="182" t="s">
        <v>188</v>
      </c>
      <c r="B103" s="182" t="s">
        <v>42</v>
      </c>
      <c r="C103" s="182">
        <v>8.0</v>
      </c>
      <c r="D103" s="182">
        <v>9.0</v>
      </c>
      <c r="E103" s="207">
        <v>0.47</v>
      </c>
      <c r="F103" s="182" t="s">
        <v>379</v>
      </c>
    </row>
    <row r="104">
      <c r="A104" s="182" t="s">
        <v>188</v>
      </c>
      <c r="B104" s="182" t="s">
        <v>32</v>
      </c>
      <c r="C104" s="182">
        <v>16.0</v>
      </c>
      <c r="D104" s="182">
        <v>18.0</v>
      </c>
      <c r="E104" s="207">
        <v>0.47</v>
      </c>
      <c r="F104" s="182" t="s">
        <v>379</v>
      </c>
    </row>
    <row r="105">
      <c r="A105" s="182" t="s">
        <v>188</v>
      </c>
      <c r="B105" s="182" t="s">
        <v>36</v>
      </c>
      <c r="C105" s="182">
        <v>9.0</v>
      </c>
      <c r="D105" s="182">
        <v>9.0</v>
      </c>
      <c r="E105" s="207">
        <v>0.5</v>
      </c>
      <c r="F105" s="182" t="s">
        <v>379</v>
      </c>
    </row>
    <row r="106">
      <c r="A106" s="182" t="s">
        <v>188</v>
      </c>
      <c r="B106" s="182" t="s">
        <v>40</v>
      </c>
      <c r="C106" s="182">
        <v>35.0</v>
      </c>
      <c r="D106" s="182">
        <v>18.0</v>
      </c>
      <c r="E106" s="207">
        <v>0.66</v>
      </c>
      <c r="F106" s="182" t="s">
        <v>379</v>
      </c>
    </row>
    <row r="107">
      <c r="A107" s="182" t="s">
        <v>188</v>
      </c>
      <c r="B107" s="182" t="s">
        <v>43</v>
      </c>
      <c r="C107" s="182">
        <v>5.0</v>
      </c>
      <c r="D107" s="182">
        <v>3.0</v>
      </c>
      <c r="E107" s="207">
        <v>0.63</v>
      </c>
      <c r="F107" s="182" t="s">
        <v>379</v>
      </c>
    </row>
    <row r="108">
      <c r="A108" s="182" t="s">
        <v>188</v>
      </c>
      <c r="B108" s="182" t="s">
        <v>45</v>
      </c>
      <c r="C108" s="182">
        <v>5.0</v>
      </c>
      <c r="D108" s="182">
        <v>2.0</v>
      </c>
      <c r="E108" s="207">
        <v>0.71</v>
      </c>
      <c r="F108" s="182" t="s">
        <v>379</v>
      </c>
    </row>
    <row r="109">
      <c r="A109" s="182" t="s">
        <v>188</v>
      </c>
      <c r="B109" s="182" t="s">
        <v>38</v>
      </c>
      <c r="C109" s="182">
        <v>24.0</v>
      </c>
      <c r="D109" s="182">
        <v>24.0</v>
      </c>
      <c r="E109" s="207">
        <v>0.5</v>
      </c>
      <c r="F109" s="182" t="s">
        <v>379</v>
      </c>
    </row>
    <row r="110">
      <c r="A110" s="182" t="s">
        <v>186</v>
      </c>
      <c r="B110" s="182" t="s">
        <v>227</v>
      </c>
      <c r="C110" s="182">
        <v>8.0</v>
      </c>
      <c r="D110" s="182">
        <v>1.0</v>
      </c>
      <c r="E110" s="207">
        <v>0.89</v>
      </c>
      <c r="F110" s="182" t="s">
        <v>378</v>
      </c>
    </row>
    <row r="111">
      <c r="A111" s="182" t="s">
        <v>186</v>
      </c>
      <c r="B111" s="182" t="s">
        <v>42</v>
      </c>
      <c r="C111" s="182">
        <v>10.0</v>
      </c>
      <c r="D111" s="182">
        <v>7.0</v>
      </c>
      <c r="E111" s="207">
        <v>0.59</v>
      </c>
      <c r="F111" s="182" t="s">
        <v>378</v>
      </c>
    </row>
    <row r="112">
      <c r="A112" s="182" t="s">
        <v>186</v>
      </c>
      <c r="B112" s="182" t="s">
        <v>32</v>
      </c>
      <c r="C112" s="182">
        <v>29.0</v>
      </c>
      <c r="D112" s="182">
        <v>23.0</v>
      </c>
      <c r="E112" s="207">
        <v>0.56</v>
      </c>
      <c r="F112" s="182" t="s">
        <v>378</v>
      </c>
    </row>
    <row r="113">
      <c r="A113" s="182" t="s">
        <v>186</v>
      </c>
      <c r="B113" s="182" t="s">
        <v>36</v>
      </c>
      <c r="C113" s="182">
        <v>12.0</v>
      </c>
      <c r="D113" s="182">
        <v>5.0</v>
      </c>
      <c r="E113" s="207">
        <v>0.71</v>
      </c>
      <c r="F113" s="182" t="s">
        <v>378</v>
      </c>
    </row>
    <row r="114">
      <c r="A114" s="182" t="s">
        <v>186</v>
      </c>
      <c r="B114" s="182" t="s">
        <v>40</v>
      </c>
      <c r="C114" s="182">
        <v>31.0</v>
      </c>
      <c r="D114" s="182">
        <v>38.0</v>
      </c>
      <c r="E114" s="207">
        <v>0.45</v>
      </c>
      <c r="F114" s="182" t="s">
        <v>378</v>
      </c>
    </row>
    <row r="115">
      <c r="A115" s="182" t="s">
        <v>186</v>
      </c>
      <c r="B115" s="182" t="s">
        <v>43</v>
      </c>
      <c r="C115" s="182">
        <v>11.0</v>
      </c>
      <c r="D115" s="182">
        <v>6.0</v>
      </c>
      <c r="E115" s="207">
        <v>0.65</v>
      </c>
      <c r="F115" s="182" t="s">
        <v>378</v>
      </c>
    </row>
    <row r="116">
      <c r="A116" s="182" t="s">
        <v>186</v>
      </c>
      <c r="B116" s="182" t="s">
        <v>45</v>
      </c>
      <c r="C116" s="182">
        <v>7.0</v>
      </c>
      <c r="D116" s="182">
        <v>9.0</v>
      </c>
      <c r="E116" s="207">
        <v>0.44</v>
      </c>
      <c r="F116" s="182" t="s">
        <v>378</v>
      </c>
    </row>
    <row r="117">
      <c r="A117" s="182" t="s">
        <v>186</v>
      </c>
      <c r="B117" s="182" t="s">
        <v>38</v>
      </c>
      <c r="C117" s="182">
        <v>16.0</v>
      </c>
      <c r="D117" s="182">
        <v>19.0</v>
      </c>
      <c r="E117" s="207">
        <v>0.46</v>
      </c>
      <c r="F117" s="182" t="s">
        <v>378</v>
      </c>
    </row>
    <row r="118">
      <c r="A118" s="182" t="s">
        <v>181</v>
      </c>
      <c r="B118" s="182" t="s">
        <v>227</v>
      </c>
      <c r="C118" s="182">
        <v>5.0</v>
      </c>
      <c r="D118" s="182">
        <v>4.0</v>
      </c>
      <c r="E118" s="207">
        <v>0.56</v>
      </c>
      <c r="F118" s="182" t="s">
        <v>378</v>
      </c>
    </row>
    <row r="119">
      <c r="A119" s="182" t="s">
        <v>181</v>
      </c>
      <c r="B119" s="182" t="s">
        <v>34</v>
      </c>
      <c r="C119" s="182">
        <v>2.0</v>
      </c>
      <c r="D119" s="182">
        <v>4.0</v>
      </c>
      <c r="E119" s="207">
        <v>0.33</v>
      </c>
      <c r="F119" s="182" t="s">
        <v>378</v>
      </c>
    </row>
    <row r="120">
      <c r="A120" s="182" t="s">
        <v>181</v>
      </c>
      <c r="B120" s="182" t="s">
        <v>42</v>
      </c>
      <c r="C120" s="182">
        <v>4.0</v>
      </c>
      <c r="D120" s="182">
        <v>5.0</v>
      </c>
      <c r="E120" s="207">
        <v>0.44</v>
      </c>
      <c r="F120" s="182" t="s">
        <v>378</v>
      </c>
    </row>
    <row r="121">
      <c r="A121" s="182" t="s">
        <v>181</v>
      </c>
      <c r="B121" s="182" t="s">
        <v>32</v>
      </c>
      <c r="C121" s="182">
        <v>29.0</v>
      </c>
      <c r="D121" s="182">
        <v>18.0</v>
      </c>
      <c r="E121" s="207">
        <v>0.62</v>
      </c>
      <c r="F121" s="182" t="s">
        <v>378</v>
      </c>
    </row>
    <row r="122">
      <c r="A122" s="182" t="s">
        <v>181</v>
      </c>
      <c r="B122" s="182" t="s">
        <v>36</v>
      </c>
      <c r="C122" s="182">
        <v>5.0</v>
      </c>
      <c r="D122" s="182">
        <v>3.0</v>
      </c>
      <c r="E122" s="207">
        <v>0.63</v>
      </c>
      <c r="F122" s="182" t="s">
        <v>378</v>
      </c>
    </row>
    <row r="123">
      <c r="A123" s="182" t="s">
        <v>181</v>
      </c>
      <c r="B123" s="182" t="s">
        <v>40</v>
      </c>
      <c r="C123" s="182">
        <v>42.0</v>
      </c>
      <c r="D123" s="182">
        <v>36.0</v>
      </c>
      <c r="E123" s="207">
        <v>0.54</v>
      </c>
      <c r="F123" s="182" t="s">
        <v>378</v>
      </c>
    </row>
    <row r="124">
      <c r="A124" s="182" t="s">
        <v>181</v>
      </c>
      <c r="B124" s="182" t="s">
        <v>43</v>
      </c>
      <c r="C124" s="182">
        <v>4.0</v>
      </c>
      <c r="D124" s="182">
        <v>0.0</v>
      </c>
      <c r="E124" s="207">
        <v>1.0</v>
      </c>
      <c r="F124" s="182" t="s">
        <v>378</v>
      </c>
    </row>
    <row r="125">
      <c r="A125" s="182" t="s">
        <v>181</v>
      </c>
      <c r="B125" s="182" t="s">
        <v>45</v>
      </c>
      <c r="C125" s="182">
        <v>4.0</v>
      </c>
      <c r="D125" s="182">
        <v>7.0</v>
      </c>
      <c r="E125" s="207">
        <v>0.36</v>
      </c>
      <c r="F125" s="182" t="s">
        <v>378</v>
      </c>
    </row>
    <row r="126">
      <c r="A126" s="182" t="s">
        <v>181</v>
      </c>
      <c r="B126" s="182" t="s">
        <v>38</v>
      </c>
      <c r="C126" s="182">
        <v>29.0</v>
      </c>
      <c r="D126" s="182">
        <v>19.0</v>
      </c>
      <c r="E126" s="207">
        <v>0.6</v>
      </c>
      <c r="F126" s="182" t="s">
        <v>378</v>
      </c>
    </row>
    <row r="127">
      <c r="A127" s="182" t="s">
        <v>190</v>
      </c>
      <c r="B127" s="182" t="s">
        <v>227</v>
      </c>
      <c r="C127" s="182">
        <v>23.0</v>
      </c>
      <c r="D127" s="182">
        <v>21.0</v>
      </c>
      <c r="E127" s="207">
        <v>0.52</v>
      </c>
      <c r="F127" s="182" t="s">
        <v>378</v>
      </c>
    </row>
    <row r="128">
      <c r="A128" s="182" t="s">
        <v>190</v>
      </c>
      <c r="B128" s="182" t="s">
        <v>34</v>
      </c>
      <c r="C128" s="182">
        <v>4.0</v>
      </c>
      <c r="D128" s="182">
        <v>9.0</v>
      </c>
      <c r="E128" s="207">
        <v>0.31</v>
      </c>
      <c r="F128" s="182" t="s">
        <v>378</v>
      </c>
    </row>
    <row r="129">
      <c r="A129" s="182" t="s">
        <v>190</v>
      </c>
      <c r="B129" s="182" t="s">
        <v>42</v>
      </c>
      <c r="C129" s="182">
        <v>4.0</v>
      </c>
      <c r="D129" s="182">
        <v>6.0</v>
      </c>
      <c r="E129" s="207">
        <v>0.4</v>
      </c>
      <c r="F129" s="182" t="s">
        <v>378</v>
      </c>
    </row>
    <row r="130">
      <c r="A130" s="182" t="s">
        <v>190</v>
      </c>
      <c r="B130" s="182" t="s">
        <v>32</v>
      </c>
      <c r="C130" s="182">
        <v>17.0</v>
      </c>
      <c r="D130" s="182">
        <v>23.0</v>
      </c>
      <c r="E130" s="207">
        <v>0.43</v>
      </c>
      <c r="F130" s="182" t="s">
        <v>378</v>
      </c>
    </row>
    <row r="131">
      <c r="A131" s="182" t="s">
        <v>190</v>
      </c>
      <c r="B131" s="182" t="s">
        <v>36</v>
      </c>
      <c r="C131" s="182">
        <v>7.0</v>
      </c>
      <c r="D131" s="182">
        <v>7.0</v>
      </c>
      <c r="E131" s="207">
        <v>0.5</v>
      </c>
      <c r="F131" s="182" t="s">
        <v>378</v>
      </c>
    </row>
    <row r="132">
      <c r="A132" s="182" t="s">
        <v>190</v>
      </c>
      <c r="B132" s="182" t="s">
        <v>40</v>
      </c>
      <c r="C132" s="182">
        <v>40.0</v>
      </c>
      <c r="D132" s="182">
        <v>42.0</v>
      </c>
      <c r="E132" s="207">
        <v>0.49</v>
      </c>
      <c r="F132" s="182" t="s">
        <v>378</v>
      </c>
    </row>
    <row r="133">
      <c r="A133" s="182" t="s">
        <v>190</v>
      </c>
      <c r="B133" s="182" t="s">
        <v>45</v>
      </c>
      <c r="C133" s="182">
        <v>9.0</v>
      </c>
      <c r="D133" s="182">
        <v>3.0</v>
      </c>
      <c r="E133" s="207">
        <v>0.75</v>
      </c>
      <c r="F133" s="182" t="s">
        <v>378</v>
      </c>
    </row>
    <row r="134">
      <c r="A134" s="182" t="s">
        <v>190</v>
      </c>
      <c r="B134" s="182" t="s">
        <v>38</v>
      </c>
      <c r="C134" s="182">
        <v>12.0</v>
      </c>
      <c r="D134" s="182">
        <v>16.0</v>
      </c>
      <c r="E134" s="207">
        <v>0.43</v>
      </c>
      <c r="F134" s="182" t="s">
        <v>378</v>
      </c>
    </row>
    <row r="135">
      <c r="A135" s="182" t="s">
        <v>182</v>
      </c>
      <c r="B135" s="182" t="s">
        <v>227</v>
      </c>
      <c r="C135" s="182">
        <v>19.0</v>
      </c>
      <c r="D135" s="182">
        <v>7.0</v>
      </c>
      <c r="E135" s="207">
        <v>0.73</v>
      </c>
      <c r="F135" s="182" t="s">
        <v>378</v>
      </c>
    </row>
    <row r="136">
      <c r="A136" s="182" t="s">
        <v>182</v>
      </c>
      <c r="B136" s="182" t="s">
        <v>34</v>
      </c>
      <c r="C136" s="182">
        <v>9.0</v>
      </c>
      <c r="D136" s="182">
        <v>6.0</v>
      </c>
      <c r="E136" s="207">
        <v>0.6</v>
      </c>
      <c r="F136" s="182" t="s">
        <v>378</v>
      </c>
    </row>
    <row r="137">
      <c r="A137" s="182" t="s">
        <v>182</v>
      </c>
      <c r="B137" s="182" t="s">
        <v>32</v>
      </c>
      <c r="C137" s="182">
        <v>11.0</v>
      </c>
      <c r="D137" s="182">
        <v>19.0</v>
      </c>
      <c r="E137" s="207">
        <v>0.37</v>
      </c>
      <c r="F137" s="182" t="s">
        <v>378</v>
      </c>
    </row>
    <row r="138">
      <c r="A138" s="182" t="s">
        <v>182</v>
      </c>
      <c r="B138" s="182" t="s">
        <v>36</v>
      </c>
      <c r="C138" s="182">
        <v>0.0</v>
      </c>
      <c r="D138" s="182">
        <v>2.0</v>
      </c>
      <c r="E138" s="207">
        <v>0.0</v>
      </c>
      <c r="F138" s="182" t="s">
        <v>378</v>
      </c>
    </row>
    <row r="139">
      <c r="A139" s="182" t="s">
        <v>182</v>
      </c>
      <c r="B139" s="182" t="s">
        <v>40</v>
      </c>
      <c r="C139" s="182">
        <v>25.0</v>
      </c>
      <c r="D139" s="182">
        <v>15.0</v>
      </c>
      <c r="E139" s="207">
        <v>0.63</v>
      </c>
      <c r="F139" s="182" t="s">
        <v>378</v>
      </c>
    </row>
    <row r="140">
      <c r="A140" s="182" t="s">
        <v>182</v>
      </c>
      <c r="B140" s="182" t="s">
        <v>38</v>
      </c>
      <c r="C140" s="182">
        <v>21.0</v>
      </c>
      <c r="D140" s="182">
        <v>7.0</v>
      </c>
      <c r="E140" s="207">
        <v>0.75</v>
      </c>
      <c r="F140" s="182" t="s">
        <v>378</v>
      </c>
    </row>
    <row r="141">
      <c r="A141" s="182" t="s">
        <v>183</v>
      </c>
      <c r="B141" s="182" t="s">
        <v>227</v>
      </c>
      <c r="C141" s="182">
        <v>14.0</v>
      </c>
      <c r="D141" s="182">
        <v>10.0</v>
      </c>
      <c r="E141" s="207">
        <v>0.58</v>
      </c>
      <c r="F141" s="182" t="s">
        <v>378</v>
      </c>
    </row>
    <row r="142">
      <c r="A142" s="182" t="s">
        <v>183</v>
      </c>
      <c r="B142" s="182" t="s">
        <v>34</v>
      </c>
      <c r="C142" s="182">
        <v>9.0</v>
      </c>
      <c r="D142" s="182">
        <v>11.0</v>
      </c>
      <c r="E142" s="207">
        <v>0.45</v>
      </c>
      <c r="F142" s="182" t="s">
        <v>378</v>
      </c>
    </row>
    <row r="143">
      <c r="A143" s="182" t="s">
        <v>183</v>
      </c>
      <c r="B143" s="182" t="s">
        <v>42</v>
      </c>
      <c r="C143" s="182">
        <v>11.0</v>
      </c>
      <c r="D143" s="182">
        <v>13.0</v>
      </c>
      <c r="E143" s="207">
        <v>0.46</v>
      </c>
      <c r="F143" s="182" t="s">
        <v>378</v>
      </c>
    </row>
    <row r="144">
      <c r="A144" s="182" t="s">
        <v>183</v>
      </c>
      <c r="B144" s="182" t="s">
        <v>32</v>
      </c>
      <c r="C144" s="182">
        <v>8.0</v>
      </c>
      <c r="D144" s="182">
        <v>7.0</v>
      </c>
      <c r="E144" s="207">
        <v>0.53</v>
      </c>
      <c r="F144" s="182" t="s">
        <v>378</v>
      </c>
    </row>
    <row r="145">
      <c r="A145" s="182" t="s">
        <v>183</v>
      </c>
      <c r="B145" s="182" t="s">
        <v>36</v>
      </c>
      <c r="C145" s="182">
        <v>10.0</v>
      </c>
      <c r="D145" s="182">
        <v>9.0</v>
      </c>
      <c r="E145" s="207">
        <v>0.53</v>
      </c>
      <c r="F145" s="182" t="s">
        <v>378</v>
      </c>
    </row>
    <row r="146">
      <c r="A146" s="182" t="s">
        <v>183</v>
      </c>
      <c r="B146" s="182" t="s">
        <v>40</v>
      </c>
      <c r="C146" s="182">
        <v>19.0</v>
      </c>
      <c r="D146" s="182">
        <v>16.0</v>
      </c>
      <c r="E146" s="207">
        <v>0.54</v>
      </c>
      <c r="F146" s="182" t="s">
        <v>378</v>
      </c>
    </row>
    <row r="147">
      <c r="A147" s="182" t="s">
        <v>183</v>
      </c>
      <c r="B147" s="182" t="s">
        <v>45</v>
      </c>
      <c r="C147" s="182">
        <v>7.0</v>
      </c>
      <c r="D147" s="182">
        <v>2.0</v>
      </c>
      <c r="E147" s="207">
        <v>0.78</v>
      </c>
      <c r="F147" s="182" t="s">
        <v>378</v>
      </c>
    </row>
    <row r="148">
      <c r="A148" s="182" t="s">
        <v>183</v>
      </c>
      <c r="B148" s="182" t="s">
        <v>38</v>
      </c>
      <c r="C148" s="182">
        <v>28.0</v>
      </c>
      <c r="D148" s="182">
        <v>17.0</v>
      </c>
      <c r="E148" s="207">
        <v>0.62</v>
      </c>
      <c r="F148" s="182" t="s">
        <v>378</v>
      </c>
    </row>
    <row r="149">
      <c r="A149" s="182" t="s">
        <v>179</v>
      </c>
      <c r="B149" s="182" t="s">
        <v>227</v>
      </c>
      <c r="C149" s="182">
        <v>25.0</v>
      </c>
      <c r="D149" s="182">
        <v>19.0</v>
      </c>
      <c r="E149" s="207">
        <v>0.57</v>
      </c>
      <c r="F149" s="182" t="s">
        <v>378</v>
      </c>
    </row>
    <row r="150">
      <c r="A150" s="182" t="s">
        <v>179</v>
      </c>
      <c r="B150" s="182" t="s">
        <v>34</v>
      </c>
      <c r="C150" s="182">
        <v>10.0</v>
      </c>
      <c r="D150" s="182">
        <v>6.0</v>
      </c>
      <c r="E150" s="207">
        <v>0.63</v>
      </c>
      <c r="F150" s="182" t="s">
        <v>378</v>
      </c>
    </row>
    <row r="151">
      <c r="A151" s="182" t="s">
        <v>179</v>
      </c>
      <c r="B151" s="182" t="s">
        <v>42</v>
      </c>
      <c r="C151" s="182">
        <v>18.0</v>
      </c>
      <c r="D151" s="182">
        <v>7.0</v>
      </c>
      <c r="E151" s="207">
        <v>0.72</v>
      </c>
      <c r="F151" s="182" t="s">
        <v>378</v>
      </c>
    </row>
    <row r="152">
      <c r="A152" s="182" t="s">
        <v>179</v>
      </c>
      <c r="B152" s="182" t="s">
        <v>32</v>
      </c>
      <c r="C152" s="182">
        <v>11.0</v>
      </c>
      <c r="D152" s="182">
        <v>0.0</v>
      </c>
      <c r="E152" s="207">
        <v>1.0</v>
      </c>
      <c r="F152" s="182" t="s">
        <v>378</v>
      </c>
    </row>
    <row r="153">
      <c r="A153" s="182" t="s">
        <v>179</v>
      </c>
      <c r="B153" s="182" t="s">
        <v>40</v>
      </c>
      <c r="C153" s="182">
        <v>16.0</v>
      </c>
      <c r="D153" s="182">
        <v>13.0</v>
      </c>
      <c r="E153" s="207">
        <v>0.55</v>
      </c>
      <c r="F153" s="182" t="s">
        <v>378</v>
      </c>
    </row>
    <row r="154">
      <c r="A154" s="182" t="s">
        <v>179</v>
      </c>
      <c r="B154" s="182" t="s">
        <v>38</v>
      </c>
      <c r="C154" s="182">
        <v>2.0</v>
      </c>
      <c r="D154" s="182">
        <v>6.0</v>
      </c>
      <c r="E154" s="207">
        <v>0.25</v>
      </c>
      <c r="F154" s="182" t="s">
        <v>378</v>
      </c>
    </row>
    <row r="155">
      <c r="A155" s="182" t="s">
        <v>232</v>
      </c>
      <c r="B155" s="182" t="s">
        <v>227</v>
      </c>
      <c r="C155" s="182">
        <v>9.0</v>
      </c>
      <c r="D155" s="182">
        <v>8.0</v>
      </c>
      <c r="E155" s="207">
        <v>0.53</v>
      </c>
      <c r="F155" s="182" t="s">
        <v>378</v>
      </c>
    </row>
    <row r="156">
      <c r="A156" s="182" t="s">
        <v>232</v>
      </c>
      <c r="B156" s="182" t="s">
        <v>34</v>
      </c>
      <c r="C156" s="182">
        <v>6.0</v>
      </c>
      <c r="D156" s="182">
        <v>8.0</v>
      </c>
      <c r="E156" s="207">
        <v>0.43</v>
      </c>
      <c r="F156" s="182" t="s">
        <v>378</v>
      </c>
    </row>
    <row r="157">
      <c r="A157" s="182" t="s">
        <v>232</v>
      </c>
      <c r="B157" s="182" t="s">
        <v>32</v>
      </c>
      <c r="C157" s="182">
        <v>15.0</v>
      </c>
      <c r="D157" s="182">
        <v>9.0</v>
      </c>
      <c r="E157" s="207">
        <v>0.63</v>
      </c>
      <c r="F157" s="182" t="s">
        <v>378</v>
      </c>
    </row>
    <row r="158">
      <c r="A158" s="182" t="s">
        <v>232</v>
      </c>
      <c r="B158" s="182" t="s">
        <v>36</v>
      </c>
      <c r="C158" s="182">
        <v>15.0</v>
      </c>
      <c r="D158" s="182">
        <v>5.0</v>
      </c>
      <c r="E158" s="207">
        <v>0.75</v>
      </c>
      <c r="F158" s="182" t="s">
        <v>378</v>
      </c>
    </row>
    <row r="159">
      <c r="A159" s="182" t="s">
        <v>232</v>
      </c>
      <c r="B159" s="182" t="s">
        <v>40</v>
      </c>
      <c r="C159" s="182">
        <v>3.0</v>
      </c>
      <c r="D159" s="182">
        <v>3.0</v>
      </c>
      <c r="E159" s="207">
        <v>0.5</v>
      </c>
      <c r="F159" s="182" t="s">
        <v>378</v>
      </c>
    </row>
    <row r="160">
      <c r="A160" s="182" t="s">
        <v>232</v>
      </c>
      <c r="B160" s="182" t="s">
        <v>38</v>
      </c>
      <c r="C160" s="182">
        <v>9.0</v>
      </c>
      <c r="D160" s="182">
        <v>8.0</v>
      </c>
      <c r="E160" s="207">
        <v>0.53</v>
      </c>
      <c r="F160" s="182" t="s">
        <v>378</v>
      </c>
    </row>
    <row r="161">
      <c r="A161" s="182" t="s">
        <v>187</v>
      </c>
      <c r="B161" s="182" t="s">
        <v>227</v>
      </c>
      <c r="C161" s="182">
        <v>24.0</v>
      </c>
      <c r="D161" s="182">
        <v>14.0</v>
      </c>
      <c r="E161" s="207">
        <v>0.63</v>
      </c>
      <c r="F161" s="182" t="s">
        <v>378</v>
      </c>
    </row>
    <row r="162">
      <c r="A162" s="182" t="s">
        <v>187</v>
      </c>
      <c r="B162" s="182" t="s">
        <v>34</v>
      </c>
      <c r="C162" s="182">
        <v>16.0</v>
      </c>
      <c r="D162" s="182">
        <v>10.0</v>
      </c>
      <c r="E162" s="207">
        <v>0.62</v>
      </c>
      <c r="F162" s="182" t="s">
        <v>378</v>
      </c>
    </row>
    <row r="163">
      <c r="A163" s="182" t="s">
        <v>187</v>
      </c>
      <c r="B163" s="182" t="s">
        <v>42</v>
      </c>
      <c r="C163" s="182">
        <v>11.0</v>
      </c>
      <c r="D163" s="182">
        <v>11.0</v>
      </c>
      <c r="E163" s="207">
        <v>0.5</v>
      </c>
      <c r="F163" s="182" t="s">
        <v>378</v>
      </c>
    </row>
    <row r="164">
      <c r="A164" s="182" t="s">
        <v>187</v>
      </c>
      <c r="B164" s="182" t="s">
        <v>32</v>
      </c>
      <c r="C164" s="182">
        <v>1.0</v>
      </c>
      <c r="D164" s="182">
        <v>6.0</v>
      </c>
      <c r="E164" s="207">
        <v>0.14</v>
      </c>
      <c r="F164" s="182" t="s">
        <v>378</v>
      </c>
    </row>
    <row r="165">
      <c r="A165" s="182" t="s">
        <v>187</v>
      </c>
      <c r="B165" s="182" t="s">
        <v>40</v>
      </c>
      <c r="C165" s="182">
        <v>39.0</v>
      </c>
      <c r="D165" s="182">
        <v>25.0</v>
      </c>
      <c r="E165" s="207">
        <v>0.61</v>
      </c>
      <c r="F165" s="182" t="s">
        <v>378</v>
      </c>
    </row>
    <row r="166">
      <c r="A166" s="182" t="s">
        <v>187</v>
      </c>
      <c r="B166" s="182" t="s">
        <v>45</v>
      </c>
      <c r="C166" s="182">
        <v>8.0</v>
      </c>
      <c r="D166" s="182">
        <v>11.0</v>
      </c>
      <c r="E166" s="207">
        <v>0.42</v>
      </c>
      <c r="F166" s="182" t="s">
        <v>378</v>
      </c>
    </row>
    <row r="167">
      <c r="A167" s="182" t="s">
        <v>187</v>
      </c>
      <c r="B167" s="182" t="s">
        <v>38</v>
      </c>
      <c r="C167" s="182">
        <v>15.0</v>
      </c>
      <c r="D167" s="182">
        <v>2.0</v>
      </c>
      <c r="E167" s="207">
        <v>0.88</v>
      </c>
      <c r="F167" s="182" t="s">
        <v>378</v>
      </c>
    </row>
    <row r="168">
      <c r="A168" s="182" t="s">
        <v>189</v>
      </c>
      <c r="B168" s="182" t="s">
        <v>227</v>
      </c>
      <c r="C168" s="182">
        <v>14.0</v>
      </c>
      <c r="D168" s="182">
        <v>11.0</v>
      </c>
      <c r="E168" s="207">
        <v>0.56</v>
      </c>
      <c r="F168" s="182" t="s">
        <v>378</v>
      </c>
    </row>
    <row r="169">
      <c r="A169" s="182" t="s">
        <v>189</v>
      </c>
      <c r="B169" s="182" t="s">
        <v>42</v>
      </c>
      <c r="C169" s="182">
        <v>7.0</v>
      </c>
      <c r="D169" s="182">
        <v>8.0</v>
      </c>
      <c r="E169" s="207">
        <v>0.47</v>
      </c>
      <c r="F169" s="182" t="s">
        <v>378</v>
      </c>
    </row>
    <row r="170">
      <c r="A170" s="182" t="s">
        <v>189</v>
      </c>
      <c r="B170" s="182" t="s">
        <v>32</v>
      </c>
      <c r="C170" s="182">
        <v>22.0</v>
      </c>
      <c r="D170" s="182">
        <v>14.0</v>
      </c>
      <c r="E170" s="207">
        <v>0.61</v>
      </c>
      <c r="F170" s="182" t="s">
        <v>378</v>
      </c>
    </row>
    <row r="171">
      <c r="A171" s="182" t="s">
        <v>189</v>
      </c>
      <c r="B171" s="182" t="s">
        <v>36</v>
      </c>
      <c r="C171" s="182">
        <v>15.0</v>
      </c>
      <c r="D171" s="182">
        <v>26.0</v>
      </c>
      <c r="E171" s="207">
        <v>0.37</v>
      </c>
      <c r="F171" s="182" t="s">
        <v>378</v>
      </c>
    </row>
    <row r="172">
      <c r="A172" s="182" t="s">
        <v>189</v>
      </c>
      <c r="B172" s="182" t="s">
        <v>40</v>
      </c>
      <c r="C172" s="182">
        <v>14.0</v>
      </c>
      <c r="D172" s="182">
        <v>9.0</v>
      </c>
      <c r="E172" s="207">
        <v>0.61</v>
      </c>
      <c r="F172" s="182" t="s">
        <v>378</v>
      </c>
    </row>
    <row r="173">
      <c r="A173" s="182" t="s">
        <v>189</v>
      </c>
      <c r="B173" s="182" t="s">
        <v>45</v>
      </c>
      <c r="C173" s="182">
        <v>5.0</v>
      </c>
      <c r="D173" s="182">
        <v>6.0</v>
      </c>
      <c r="E173" s="207">
        <v>0.45</v>
      </c>
      <c r="F173" s="182" t="s">
        <v>378</v>
      </c>
    </row>
    <row r="174">
      <c r="A174" s="182" t="s">
        <v>189</v>
      </c>
      <c r="B174" s="182" t="s">
        <v>38</v>
      </c>
      <c r="C174" s="182">
        <v>6.0</v>
      </c>
      <c r="D174" s="182">
        <v>3.0</v>
      </c>
      <c r="E174" s="207">
        <v>0.67</v>
      </c>
      <c r="F174" s="182" t="s">
        <v>378</v>
      </c>
    </row>
    <row r="175">
      <c r="A175" s="182" t="s">
        <v>180</v>
      </c>
      <c r="B175" s="182" t="s">
        <v>227</v>
      </c>
      <c r="C175" s="182">
        <v>3.0</v>
      </c>
      <c r="D175" s="182">
        <v>6.0</v>
      </c>
      <c r="E175" s="207">
        <v>0.33</v>
      </c>
      <c r="F175" s="182" t="s">
        <v>378</v>
      </c>
    </row>
    <row r="176">
      <c r="A176" s="182" t="s">
        <v>180</v>
      </c>
      <c r="B176" s="182" t="s">
        <v>34</v>
      </c>
      <c r="C176" s="182">
        <v>13.0</v>
      </c>
      <c r="D176" s="182">
        <v>7.0</v>
      </c>
      <c r="E176" s="207">
        <v>0.65</v>
      </c>
      <c r="F176" s="182" t="s">
        <v>378</v>
      </c>
    </row>
    <row r="177">
      <c r="A177" s="182" t="s">
        <v>180</v>
      </c>
      <c r="B177" s="182" t="s">
        <v>42</v>
      </c>
      <c r="C177" s="182">
        <v>14.0</v>
      </c>
      <c r="D177" s="182">
        <v>11.0</v>
      </c>
      <c r="E177" s="207">
        <v>0.56</v>
      </c>
      <c r="F177" s="182" t="s">
        <v>378</v>
      </c>
    </row>
    <row r="178">
      <c r="A178" s="182" t="s">
        <v>180</v>
      </c>
      <c r="B178" s="182" t="s">
        <v>32</v>
      </c>
      <c r="C178" s="182">
        <v>25.0</v>
      </c>
      <c r="D178" s="182">
        <v>14.0</v>
      </c>
      <c r="E178" s="207">
        <v>0.64</v>
      </c>
      <c r="F178" s="182" t="s">
        <v>378</v>
      </c>
    </row>
    <row r="179">
      <c r="A179" s="182" t="s">
        <v>180</v>
      </c>
      <c r="B179" s="182" t="s">
        <v>36</v>
      </c>
      <c r="C179" s="182">
        <v>25.0</v>
      </c>
      <c r="D179" s="182">
        <v>15.0</v>
      </c>
      <c r="E179" s="207">
        <v>0.63</v>
      </c>
      <c r="F179" s="182" t="s">
        <v>378</v>
      </c>
    </row>
    <row r="180">
      <c r="A180" s="182" t="s">
        <v>180</v>
      </c>
      <c r="B180" s="182" t="s">
        <v>40</v>
      </c>
      <c r="C180" s="182">
        <v>16.0</v>
      </c>
      <c r="D180" s="182">
        <v>18.0</v>
      </c>
      <c r="E180" s="207">
        <v>0.47</v>
      </c>
      <c r="F180" s="182" t="s">
        <v>378</v>
      </c>
    </row>
    <row r="181">
      <c r="A181" s="182" t="s">
        <v>180</v>
      </c>
      <c r="B181" s="182" t="s">
        <v>43</v>
      </c>
      <c r="C181" s="182">
        <v>3.0</v>
      </c>
      <c r="D181" s="182">
        <v>3.0</v>
      </c>
      <c r="E181" s="207">
        <v>0.5</v>
      </c>
      <c r="F181" s="182" t="s">
        <v>378</v>
      </c>
    </row>
    <row r="182">
      <c r="A182" s="182" t="s">
        <v>180</v>
      </c>
      <c r="B182" s="182" t="s">
        <v>45</v>
      </c>
      <c r="C182" s="182">
        <v>6.0</v>
      </c>
      <c r="D182" s="182">
        <v>5.0</v>
      </c>
      <c r="E182" s="207">
        <v>0.55</v>
      </c>
      <c r="F182" s="182" t="s">
        <v>378</v>
      </c>
    </row>
    <row r="183">
      <c r="A183" s="182" t="s">
        <v>180</v>
      </c>
      <c r="B183" s="182" t="s">
        <v>38</v>
      </c>
      <c r="C183" s="182">
        <v>11.0</v>
      </c>
      <c r="D183" s="182">
        <v>13.0</v>
      </c>
      <c r="E183" s="207">
        <v>0.46</v>
      </c>
      <c r="F183" s="182" t="s">
        <v>378</v>
      </c>
    </row>
    <row r="184">
      <c r="A184" s="182" t="s">
        <v>1</v>
      </c>
      <c r="B184" s="182" t="s">
        <v>227</v>
      </c>
      <c r="C184" s="182">
        <v>25.0</v>
      </c>
      <c r="D184" s="182">
        <v>11.0</v>
      </c>
      <c r="E184" s="207">
        <v>0.69</v>
      </c>
      <c r="F184" s="182" t="s">
        <v>378</v>
      </c>
    </row>
    <row r="185">
      <c r="A185" s="182" t="s">
        <v>1</v>
      </c>
      <c r="B185" s="182" t="s">
        <v>34</v>
      </c>
      <c r="C185" s="182">
        <v>5.0</v>
      </c>
      <c r="D185" s="182">
        <v>5.0</v>
      </c>
      <c r="E185" s="207">
        <v>0.5</v>
      </c>
      <c r="F185" s="182" t="s">
        <v>378</v>
      </c>
    </row>
    <row r="186">
      <c r="A186" s="182" t="s">
        <v>1</v>
      </c>
      <c r="B186" s="182" t="s">
        <v>42</v>
      </c>
      <c r="C186" s="182">
        <v>33.0</v>
      </c>
      <c r="D186" s="182">
        <v>16.0</v>
      </c>
      <c r="E186" s="207">
        <v>0.67</v>
      </c>
      <c r="F186" s="182" t="s">
        <v>378</v>
      </c>
    </row>
    <row r="187">
      <c r="A187" s="182" t="s">
        <v>1</v>
      </c>
      <c r="B187" s="182" t="s">
        <v>32</v>
      </c>
      <c r="C187" s="182">
        <v>18.0</v>
      </c>
      <c r="D187" s="182">
        <v>16.0</v>
      </c>
      <c r="E187" s="207">
        <v>0.53</v>
      </c>
      <c r="F187" s="182" t="s">
        <v>378</v>
      </c>
    </row>
    <row r="188">
      <c r="A188" s="182" t="s">
        <v>1</v>
      </c>
      <c r="B188" s="182" t="s">
        <v>36</v>
      </c>
      <c r="C188" s="182">
        <v>5.0</v>
      </c>
      <c r="D188" s="182">
        <v>2.0</v>
      </c>
      <c r="E188" s="207">
        <v>0.71</v>
      </c>
      <c r="F188" s="182" t="s">
        <v>378</v>
      </c>
    </row>
    <row r="189">
      <c r="A189" s="182" t="s">
        <v>1</v>
      </c>
      <c r="B189" s="182" t="s">
        <v>40</v>
      </c>
      <c r="C189" s="182">
        <v>45.0</v>
      </c>
      <c r="D189" s="182">
        <v>31.0</v>
      </c>
      <c r="E189" s="207">
        <v>0.59</v>
      </c>
      <c r="F189" s="182" t="s">
        <v>378</v>
      </c>
    </row>
    <row r="190">
      <c r="A190" s="182" t="s">
        <v>1</v>
      </c>
      <c r="B190" s="182" t="s">
        <v>45</v>
      </c>
      <c r="C190" s="182">
        <v>4.0</v>
      </c>
      <c r="D190" s="182">
        <v>3.0</v>
      </c>
      <c r="E190" s="207">
        <v>0.57</v>
      </c>
      <c r="F190" s="182" t="s">
        <v>378</v>
      </c>
    </row>
    <row r="191">
      <c r="A191" s="182" t="s">
        <v>1</v>
      </c>
      <c r="B191" s="182" t="s">
        <v>38</v>
      </c>
      <c r="C191" s="182">
        <v>6.0</v>
      </c>
      <c r="D191" s="182">
        <v>8.0</v>
      </c>
      <c r="E191" s="207">
        <v>0.43</v>
      </c>
      <c r="F191" s="182" t="s">
        <v>378</v>
      </c>
    </row>
    <row r="192">
      <c r="A192" s="182" t="s">
        <v>185</v>
      </c>
      <c r="B192" s="182" t="s">
        <v>227</v>
      </c>
      <c r="C192" s="182">
        <v>17.0</v>
      </c>
      <c r="D192" s="182">
        <v>7.0</v>
      </c>
      <c r="E192" s="207">
        <v>0.71</v>
      </c>
      <c r="F192" s="182" t="s">
        <v>378</v>
      </c>
    </row>
    <row r="193">
      <c r="A193" s="182" t="s">
        <v>185</v>
      </c>
      <c r="B193" s="182" t="s">
        <v>34</v>
      </c>
      <c r="C193" s="182">
        <v>8.0</v>
      </c>
      <c r="D193" s="182">
        <v>6.0</v>
      </c>
      <c r="E193" s="207">
        <v>0.57</v>
      </c>
      <c r="F193" s="182" t="s">
        <v>378</v>
      </c>
    </row>
    <row r="194">
      <c r="A194" s="182" t="s">
        <v>185</v>
      </c>
      <c r="B194" s="182" t="s">
        <v>42</v>
      </c>
      <c r="C194" s="182">
        <v>10.0</v>
      </c>
      <c r="D194" s="182">
        <v>13.0</v>
      </c>
      <c r="E194" s="207">
        <v>0.43</v>
      </c>
      <c r="F194" s="182" t="s">
        <v>378</v>
      </c>
    </row>
    <row r="195">
      <c r="A195" s="182" t="s">
        <v>185</v>
      </c>
      <c r="B195" s="182" t="s">
        <v>32</v>
      </c>
      <c r="C195" s="182">
        <v>27.0</v>
      </c>
      <c r="D195" s="182">
        <v>18.0</v>
      </c>
      <c r="E195" s="207">
        <v>0.6</v>
      </c>
      <c r="F195" s="182" t="s">
        <v>378</v>
      </c>
    </row>
    <row r="196">
      <c r="A196" s="182" t="s">
        <v>185</v>
      </c>
      <c r="B196" s="182" t="s">
        <v>36</v>
      </c>
      <c r="C196" s="182">
        <v>23.0</v>
      </c>
      <c r="D196" s="182">
        <v>18.0</v>
      </c>
      <c r="E196" s="207">
        <v>0.56</v>
      </c>
      <c r="F196" s="182" t="s">
        <v>378</v>
      </c>
    </row>
    <row r="197">
      <c r="A197" s="182" t="s">
        <v>185</v>
      </c>
      <c r="B197" s="182" t="s">
        <v>40</v>
      </c>
      <c r="C197" s="182">
        <v>15.0</v>
      </c>
      <c r="D197" s="182">
        <v>18.0</v>
      </c>
      <c r="E197" s="207">
        <v>0.45</v>
      </c>
      <c r="F197" s="182" t="s">
        <v>378</v>
      </c>
    </row>
    <row r="198">
      <c r="A198" s="182" t="s">
        <v>185</v>
      </c>
      <c r="B198" s="182" t="s">
        <v>43</v>
      </c>
      <c r="C198" s="182">
        <v>4.0</v>
      </c>
      <c r="D198" s="182">
        <v>1.0</v>
      </c>
      <c r="E198" s="207">
        <v>0.8</v>
      </c>
      <c r="F198" s="182" t="s">
        <v>378</v>
      </c>
    </row>
    <row r="199">
      <c r="A199" s="182" t="s">
        <v>185</v>
      </c>
      <c r="B199" s="182" t="s">
        <v>45</v>
      </c>
      <c r="C199" s="182">
        <v>8.0</v>
      </c>
      <c r="D199" s="182">
        <v>2.0</v>
      </c>
      <c r="E199" s="207">
        <v>0.8</v>
      </c>
      <c r="F199" s="182" t="s">
        <v>378</v>
      </c>
    </row>
    <row r="200">
      <c r="A200" s="182" t="s">
        <v>185</v>
      </c>
      <c r="B200" s="182" t="s">
        <v>38</v>
      </c>
      <c r="C200" s="182">
        <v>19.0</v>
      </c>
      <c r="D200" s="182">
        <v>23.0</v>
      </c>
      <c r="E200" s="207">
        <v>0.45</v>
      </c>
      <c r="F200" s="182" t="s">
        <v>378</v>
      </c>
    </row>
    <row r="201">
      <c r="A201" s="182" t="s">
        <v>184</v>
      </c>
      <c r="B201" s="182" t="s">
        <v>227</v>
      </c>
      <c r="C201" s="182">
        <v>22.0</v>
      </c>
      <c r="D201" s="182">
        <v>8.0</v>
      </c>
      <c r="E201" s="207">
        <v>0.73</v>
      </c>
      <c r="F201" s="182" t="s">
        <v>378</v>
      </c>
    </row>
    <row r="202">
      <c r="A202" s="182" t="s">
        <v>184</v>
      </c>
      <c r="B202" s="182" t="s">
        <v>34</v>
      </c>
      <c r="C202" s="182">
        <v>12.0</v>
      </c>
      <c r="D202" s="182">
        <v>9.0</v>
      </c>
      <c r="E202" s="207">
        <v>0.57</v>
      </c>
      <c r="F202" s="182" t="s">
        <v>378</v>
      </c>
    </row>
    <row r="203">
      <c r="A203" s="182" t="s">
        <v>184</v>
      </c>
      <c r="B203" s="182" t="s">
        <v>42</v>
      </c>
      <c r="C203" s="182">
        <v>13.0</v>
      </c>
      <c r="D203" s="182">
        <v>10.0</v>
      </c>
      <c r="E203" s="207">
        <v>0.57</v>
      </c>
      <c r="F203" s="182" t="s">
        <v>378</v>
      </c>
    </row>
    <row r="204">
      <c r="A204" s="182" t="s">
        <v>184</v>
      </c>
      <c r="B204" s="182" t="s">
        <v>32</v>
      </c>
      <c r="C204" s="182">
        <v>23.0</v>
      </c>
      <c r="D204" s="182">
        <v>14.0</v>
      </c>
      <c r="E204" s="207">
        <v>0.62</v>
      </c>
      <c r="F204" s="182" t="s">
        <v>378</v>
      </c>
    </row>
    <row r="205">
      <c r="A205" s="182" t="s">
        <v>184</v>
      </c>
      <c r="B205" s="182" t="s">
        <v>36</v>
      </c>
      <c r="C205" s="182">
        <v>26.0</v>
      </c>
      <c r="D205" s="182">
        <v>12.0</v>
      </c>
      <c r="E205" s="207">
        <v>0.68</v>
      </c>
      <c r="F205" s="182" t="s">
        <v>378</v>
      </c>
    </row>
    <row r="206">
      <c r="A206" s="182" t="s">
        <v>184</v>
      </c>
      <c r="B206" s="182" t="s">
        <v>40</v>
      </c>
      <c r="C206" s="182">
        <v>34.0</v>
      </c>
      <c r="D206" s="182">
        <v>21.0</v>
      </c>
      <c r="E206" s="207">
        <v>0.62</v>
      </c>
      <c r="F206" s="182" t="s">
        <v>378</v>
      </c>
    </row>
    <row r="207">
      <c r="A207" s="182" t="s">
        <v>184</v>
      </c>
      <c r="B207" s="182" t="s">
        <v>45</v>
      </c>
      <c r="C207" s="182">
        <v>13.0</v>
      </c>
      <c r="D207" s="182">
        <v>6.0</v>
      </c>
      <c r="E207" s="207">
        <v>0.68</v>
      </c>
      <c r="F207" s="182" t="s">
        <v>378</v>
      </c>
    </row>
    <row r="208">
      <c r="A208" s="182" t="s">
        <v>184</v>
      </c>
      <c r="B208" s="182" t="s">
        <v>38</v>
      </c>
      <c r="C208" s="182">
        <v>14.0</v>
      </c>
      <c r="D208" s="182">
        <v>19.0</v>
      </c>
      <c r="E208" s="207">
        <v>0.42</v>
      </c>
      <c r="F208" s="182" t="s">
        <v>378</v>
      </c>
    </row>
    <row r="209">
      <c r="A209" s="182" t="s">
        <v>188</v>
      </c>
      <c r="B209" s="182" t="s">
        <v>227</v>
      </c>
      <c r="C209" s="182">
        <v>8.0</v>
      </c>
      <c r="D209" s="182">
        <v>6.0</v>
      </c>
      <c r="E209" s="207">
        <v>0.57</v>
      </c>
      <c r="F209" s="182" t="s">
        <v>378</v>
      </c>
    </row>
    <row r="210">
      <c r="A210" s="182" t="s">
        <v>188</v>
      </c>
      <c r="B210" s="182" t="s">
        <v>34</v>
      </c>
      <c r="C210" s="182">
        <v>9.0</v>
      </c>
      <c r="D210" s="182">
        <v>5.0</v>
      </c>
      <c r="E210" s="207">
        <v>0.64</v>
      </c>
      <c r="F210" s="182" t="s">
        <v>378</v>
      </c>
    </row>
    <row r="211">
      <c r="A211" s="182" t="s">
        <v>188</v>
      </c>
      <c r="B211" s="182" t="s">
        <v>42</v>
      </c>
      <c r="C211" s="182">
        <v>13.0</v>
      </c>
      <c r="D211" s="182">
        <v>5.0</v>
      </c>
      <c r="E211" s="207">
        <v>0.72</v>
      </c>
      <c r="F211" s="182" t="s">
        <v>378</v>
      </c>
    </row>
    <row r="212">
      <c r="A212" s="182" t="s">
        <v>188</v>
      </c>
      <c r="B212" s="182" t="s">
        <v>32</v>
      </c>
      <c r="C212" s="182">
        <v>23.0</v>
      </c>
      <c r="D212" s="182">
        <v>18.0</v>
      </c>
      <c r="E212" s="207">
        <v>0.56</v>
      </c>
      <c r="F212" s="182" t="s">
        <v>378</v>
      </c>
    </row>
    <row r="213">
      <c r="A213" s="182" t="s">
        <v>188</v>
      </c>
      <c r="B213" s="182" t="s">
        <v>36</v>
      </c>
      <c r="C213" s="182">
        <v>4.0</v>
      </c>
      <c r="D213" s="182">
        <v>9.0</v>
      </c>
      <c r="E213" s="207">
        <v>0.31</v>
      </c>
      <c r="F213" s="182" t="s">
        <v>378</v>
      </c>
    </row>
    <row r="214">
      <c r="A214" s="182" t="s">
        <v>188</v>
      </c>
      <c r="B214" s="182" t="s">
        <v>40</v>
      </c>
      <c r="C214" s="182">
        <v>15.0</v>
      </c>
      <c r="D214" s="182">
        <v>22.0</v>
      </c>
      <c r="E214" s="207">
        <v>0.41</v>
      </c>
      <c r="F214" s="182" t="s">
        <v>378</v>
      </c>
    </row>
    <row r="215">
      <c r="A215" s="182" t="s">
        <v>188</v>
      </c>
      <c r="B215" s="182" t="s">
        <v>43</v>
      </c>
      <c r="C215" s="182">
        <v>4.0</v>
      </c>
      <c r="D215" s="182">
        <v>2.0</v>
      </c>
      <c r="E215" s="207">
        <v>0.67</v>
      </c>
      <c r="F215" s="182" t="s">
        <v>378</v>
      </c>
    </row>
    <row r="216">
      <c r="A216" s="182" t="s">
        <v>188</v>
      </c>
      <c r="B216" s="182" t="s">
        <v>45</v>
      </c>
      <c r="C216" s="182">
        <v>2.0</v>
      </c>
      <c r="D216" s="182">
        <v>1.0</v>
      </c>
      <c r="E216" s="207">
        <v>0.67</v>
      </c>
      <c r="F216" s="182" t="s">
        <v>378</v>
      </c>
    </row>
    <row r="217">
      <c r="A217" s="182" t="s">
        <v>188</v>
      </c>
      <c r="B217" s="182" t="s">
        <v>38</v>
      </c>
      <c r="C217" s="182">
        <v>20.0</v>
      </c>
      <c r="D217" s="182">
        <v>15.0</v>
      </c>
      <c r="E217" s="207">
        <v>0.57</v>
      </c>
      <c r="F217" s="182" t="s">
        <v>378</v>
      </c>
    </row>
    <row r="218">
      <c r="E218" s="207"/>
    </row>
    <row r="219">
      <c r="E219" s="207"/>
    </row>
    <row r="220">
      <c r="E220" s="207"/>
    </row>
    <row r="221">
      <c r="E221" s="207"/>
    </row>
    <row r="222">
      <c r="E222" s="207"/>
    </row>
    <row r="223">
      <c r="E223" s="207"/>
    </row>
    <row r="224">
      <c r="E224" s="207"/>
    </row>
    <row r="225">
      <c r="E225" s="207"/>
    </row>
    <row r="226">
      <c r="E226" s="207"/>
    </row>
    <row r="227">
      <c r="E227" s="207"/>
    </row>
    <row r="228">
      <c r="E228" s="207"/>
    </row>
    <row r="229">
      <c r="E229" s="207"/>
    </row>
    <row r="230">
      <c r="E230" s="207"/>
    </row>
    <row r="231">
      <c r="E231" s="207"/>
    </row>
    <row r="232">
      <c r="E232" s="207"/>
    </row>
    <row r="233">
      <c r="E233" s="207"/>
    </row>
    <row r="234">
      <c r="E234" s="207"/>
    </row>
    <row r="235">
      <c r="E235" s="207"/>
    </row>
    <row r="236">
      <c r="E236" s="207"/>
    </row>
    <row r="237">
      <c r="E237" s="207"/>
    </row>
    <row r="238">
      <c r="E238" s="207"/>
    </row>
    <row r="239">
      <c r="E239" s="207"/>
    </row>
    <row r="240">
      <c r="E240" s="207"/>
    </row>
    <row r="241">
      <c r="E241" s="207"/>
    </row>
    <row r="242">
      <c r="E242" s="207"/>
    </row>
    <row r="243">
      <c r="E243" s="207"/>
    </row>
    <row r="244">
      <c r="E244" s="207"/>
    </row>
    <row r="245">
      <c r="E245" s="207"/>
    </row>
    <row r="246">
      <c r="E246" s="207"/>
    </row>
    <row r="247">
      <c r="E247" s="207"/>
    </row>
    <row r="248">
      <c r="E248" s="207"/>
    </row>
    <row r="249">
      <c r="E249" s="207"/>
    </row>
    <row r="250">
      <c r="E250" s="207"/>
    </row>
    <row r="251">
      <c r="E251" s="207"/>
    </row>
    <row r="252">
      <c r="E252" s="207"/>
    </row>
    <row r="253">
      <c r="E253" s="207"/>
    </row>
    <row r="254">
      <c r="E254" s="207"/>
    </row>
    <row r="255">
      <c r="E255" s="207"/>
    </row>
    <row r="256">
      <c r="E256" s="207"/>
    </row>
    <row r="257">
      <c r="E257" s="207"/>
    </row>
    <row r="258">
      <c r="E258" s="207"/>
    </row>
    <row r="259">
      <c r="E259" s="207"/>
    </row>
    <row r="260">
      <c r="E260" s="207"/>
    </row>
    <row r="261">
      <c r="E261" s="207"/>
    </row>
    <row r="262">
      <c r="E262" s="207"/>
    </row>
    <row r="263">
      <c r="E263" s="207"/>
    </row>
    <row r="264">
      <c r="E264" s="207"/>
    </row>
    <row r="265">
      <c r="E265" s="207"/>
    </row>
    <row r="266">
      <c r="E266" s="207"/>
    </row>
    <row r="267">
      <c r="E267" s="207"/>
    </row>
    <row r="268">
      <c r="E268" s="207"/>
    </row>
    <row r="269">
      <c r="E269" s="207"/>
    </row>
    <row r="270">
      <c r="E270" s="207"/>
    </row>
    <row r="271">
      <c r="E271" s="207"/>
    </row>
    <row r="272">
      <c r="E272" s="207"/>
    </row>
    <row r="273">
      <c r="E273" s="207"/>
    </row>
    <row r="274">
      <c r="E274" s="207"/>
    </row>
    <row r="275">
      <c r="E275" s="207"/>
    </row>
    <row r="276">
      <c r="E276" s="207"/>
    </row>
    <row r="277">
      <c r="E277" s="207"/>
    </row>
    <row r="278">
      <c r="E278" s="207"/>
    </row>
    <row r="279">
      <c r="E279" s="207"/>
    </row>
    <row r="280">
      <c r="E280" s="207"/>
    </row>
    <row r="281">
      <c r="E281" s="207"/>
    </row>
    <row r="282">
      <c r="E282" s="207"/>
    </row>
    <row r="283">
      <c r="E283" s="207"/>
    </row>
    <row r="284">
      <c r="E284" s="207"/>
    </row>
    <row r="285">
      <c r="E285" s="207"/>
    </row>
    <row r="286">
      <c r="E286" s="207"/>
    </row>
    <row r="287">
      <c r="E287" s="207"/>
    </row>
    <row r="288">
      <c r="E288" s="207"/>
    </row>
    <row r="289">
      <c r="E289" s="207"/>
    </row>
    <row r="290">
      <c r="E290" s="207"/>
    </row>
    <row r="291">
      <c r="E291" s="207"/>
    </row>
    <row r="292">
      <c r="E292" s="207"/>
    </row>
    <row r="293">
      <c r="E293" s="207"/>
    </row>
    <row r="294">
      <c r="E294" s="207"/>
    </row>
    <row r="295">
      <c r="E295" s="207"/>
    </row>
    <row r="296">
      <c r="E296" s="207"/>
    </row>
    <row r="297">
      <c r="E297" s="207"/>
    </row>
    <row r="298">
      <c r="E298" s="207"/>
    </row>
    <row r="299">
      <c r="E299" s="207"/>
    </row>
    <row r="300">
      <c r="E300" s="207"/>
    </row>
    <row r="301">
      <c r="E301" s="207"/>
    </row>
    <row r="302">
      <c r="E302" s="207"/>
    </row>
    <row r="303">
      <c r="E303" s="207"/>
    </row>
    <row r="304">
      <c r="E304" s="207"/>
    </row>
    <row r="305">
      <c r="E305" s="207"/>
    </row>
    <row r="306">
      <c r="E306" s="207"/>
    </row>
    <row r="307">
      <c r="E307" s="207"/>
    </row>
    <row r="308">
      <c r="E308" s="207"/>
    </row>
    <row r="309">
      <c r="E309" s="207"/>
    </row>
    <row r="310">
      <c r="E310" s="207"/>
    </row>
    <row r="311">
      <c r="E311" s="207"/>
    </row>
    <row r="312">
      <c r="E312" s="207"/>
    </row>
    <row r="313">
      <c r="E313" s="207"/>
    </row>
    <row r="314">
      <c r="E314" s="207"/>
    </row>
    <row r="315">
      <c r="E315" s="207"/>
    </row>
    <row r="316">
      <c r="E316" s="207"/>
    </row>
    <row r="317">
      <c r="E317" s="207"/>
    </row>
    <row r="318">
      <c r="E318" s="207"/>
    </row>
    <row r="319">
      <c r="E319" s="207"/>
    </row>
    <row r="320">
      <c r="E320" s="207"/>
    </row>
    <row r="321">
      <c r="E321" s="207"/>
    </row>
    <row r="322">
      <c r="E322" s="207"/>
    </row>
    <row r="323">
      <c r="E323" s="207"/>
    </row>
    <row r="324">
      <c r="E324" s="207"/>
    </row>
    <row r="325">
      <c r="E325" s="207"/>
    </row>
    <row r="326">
      <c r="E326" s="207"/>
    </row>
    <row r="327">
      <c r="E327" s="207"/>
    </row>
    <row r="328">
      <c r="E328" s="207"/>
    </row>
    <row r="329">
      <c r="E329" s="207"/>
    </row>
    <row r="330">
      <c r="E330" s="207"/>
    </row>
    <row r="331">
      <c r="E331" s="207"/>
    </row>
    <row r="332">
      <c r="E332" s="207"/>
    </row>
    <row r="333">
      <c r="E333" s="207"/>
    </row>
    <row r="334">
      <c r="E334" s="207"/>
    </row>
    <row r="335">
      <c r="E335" s="207"/>
    </row>
    <row r="336">
      <c r="E336" s="207"/>
    </row>
    <row r="337">
      <c r="E337" s="207"/>
    </row>
    <row r="338">
      <c r="E338" s="207"/>
    </row>
    <row r="339">
      <c r="E339" s="207"/>
    </row>
    <row r="340">
      <c r="E340" s="207"/>
    </row>
    <row r="341">
      <c r="E341" s="207"/>
    </row>
    <row r="342">
      <c r="E342" s="207"/>
    </row>
    <row r="343">
      <c r="E343" s="207"/>
    </row>
    <row r="344">
      <c r="E344" s="207"/>
    </row>
    <row r="345">
      <c r="E345" s="207"/>
    </row>
    <row r="346">
      <c r="E346" s="207"/>
    </row>
    <row r="347">
      <c r="E347" s="207"/>
    </row>
    <row r="348">
      <c r="E348" s="207"/>
    </row>
    <row r="349">
      <c r="E349" s="207"/>
    </row>
    <row r="350">
      <c r="E350" s="207"/>
    </row>
    <row r="351">
      <c r="E351" s="207"/>
    </row>
    <row r="352">
      <c r="E352" s="207"/>
    </row>
    <row r="353">
      <c r="E353" s="207"/>
    </row>
    <row r="354">
      <c r="E354" s="207"/>
    </row>
    <row r="355">
      <c r="E355" s="207"/>
    </row>
    <row r="356">
      <c r="E356" s="207"/>
    </row>
    <row r="357">
      <c r="E357" s="207"/>
    </row>
    <row r="358">
      <c r="E358" s="207"/>
    </row>
    <row r="359">
      <c r="E359" s="207"/>
    </row>
    <row r="360">
      <c r="E360" s="207"/>
    </row>
    <row r="361">
      <c r="E361" s="207"/>
    </row>
    <row r="362">
      <c r="E362" s="207"/>
    </row>
    <row r="363">
      <c r="E363" s="207"/>
    </row>
    <row r="364">
      <c r="E364" s="207"/>
    </row>
    <row r="365">
      <c r="E365" s="207"/>
    </row>
    <row r="366">
      <c r="E366" s="207"/>
    </row>
    <row r="367">
      <c r="E367" s="207"/>
    </row>
    <row r="368">
      <c r="E368" s="207"/>
    </row>
    <row r="369">
      <c r="E369" s="207"/>
    </row>
    <row r="370">
      <c r="E370" s="207"/>
    </row>
    <row r="371">
      <c r="E371" s="207"/>
    </row>
    <row r="372">
      <c r="E372" s="207"/>
    </row>
    <row r="373">
      <c r="E373" s="207"/>
    </row>
    <row r="374">
      <c r="E374" s="207"/>
    </row>
    <row r="375">
      <c r="E375" s="207"/>
    </row>
    <row r="376">
      <c r="E376" s="207"/>
    </row>
    <row r="377">
      <c r="E377" s="207"/>
    </row>
    <row r="378">
      <c r="E378" s="207"/>
    </row>
    <row r="379">
      <c r="E379" s="207"/>
    </row>
    <row r="380">
      <c r="E380" s="207"/>
    </row>
    <row r="381">
      <c r="E381" s="207"/>
    </row>
    <row r="382">
      <c r="E382" s="207"/>
    </row>
    <row r="383">
      <c r="E383" s="207"/>
    </row>
    <row r="384">
      <c r="E384" s="207"/>
    </row>
    <row r="385">
      <c r="E385" s="207"/>
    </row>
    <row r="386">
      <c r="E386" s="207"/>
    </row>
    <row r="387">
      <c r="E387" s="207"/>
    </row>
    <row r="388">
      <c r="E388" s="207"/>
    </row>
    <row r="389">
      <c r="E389" s="207"/>
    </row>
    <row r="390">
      <c r="E390" s="207"/>
    </row>
    <row r="391">
      <c r="E391" s="207"/>
    </row>
    <row r="392">
      <c r="E392" s="207"/>
    </row>
    <row r="393">
      <c r="E393" s="207"/>
    </row>
    <row r="394">
      <c r="E394" s="207"/>
    </row>
    <row r="395">
      <c r="E395" s="207"/>
    </row>
    <row r="396">
      <c r="E396" s="207"/>
    </row>
    <row r="397">
      <c r="E397" s="207"/>
    </row>
    <row r="398">
      <c r="E398" s="207"/>
    </row>
    <row r="399">
      <c r="E399" s="207"/>
    </row>
    <row r="400">
      <c r="E400" s="207"/>
    </row>
    <row r="401">
      <c r="E401" s="207"/>
    </row>
    <row r="402">
      <c r="E402" s="207"/>
    </row>
    <row r="403">
      <c r="E403" s="207"/>
    </row>
    <row r="404">
      <c r="E404" s="207"/>
    </row>
    <row r="405">
      <c r="E405" s="207"/>
    </row>
    <row r="406">
      <c r="E406" s="207"/>
    </row>
    <row r="407">
      <c r="E407" s="207"/>
    </row>
    <row r="408">
      <c r="E408" s="207"/>
    </row>
    <row r="409">
      <c r="E409" s="207"/>
    </row>
    <row r="410">
      <c r="E410" s="207"/>
    </row>
    <row r="411">
      <c r="E411" s="207"/>
    </row>
    <row r="412">
      <c r="E412" s="20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cols>
    <col customWidth="1" min="5" max="5" width="13.38"/>
    <col customWidth="1" min="6" max="6" width="55.0"/>
    <col customWidth="1" min="7" max="7" width="22.13"/>
  </cols>
  <sheetData>
    <row r="1">
      <c r="A1" s="182" t="s">
        <v>233</v>
      </c>
      <c r="B1" s="182" t="s">
        <v>0</v>
      </c>
      <c r="C1" s="182" t="s">
        <v>602</v>
      </c>
      <c r="D1" s="182" t="s">
        <v>603</v>
      </c>
      <c r="E1" s="182" t="s">
        <v>604</v>
      </c>
      <c r="F1" s="209" t="s">
        <v>605</v>
      </c>
      <c r="G1" s="210" t="str">
        <f>IFERROR(__xludf.DUMMYFUNCTION("QUERY(A1:F1000,""select * where C = 'Operator'"",1)"),"Ign")</f>
        <v>Ign</v>
      </c>
      <c r="H1" s="189" t="str">
        <f>IFERROR(__xludf.DUMMYFUNCTION("""COMPUTED_VALUE"""),"Team")</f>
        <v>Team</v>
      </c>
      <c r="I1" s="189" t="str">
        <f>IFERROR(__xludf.DUMMYFUNCTION("""COMPUTED_VALUE"""),"Weapon")</f>
        <v>Weapon</v>
      </c>
      <c r="J1" s="189" t="str">
        <f>IFERROR(__xludf.DUMMYFUNCTION("""COMPUTED_VALUE"""),"Picks")</f>
        <v>Picks</v>
      </c>
      <c r="K1" s="189" t="str">
        <f>IFERROR(__xludf.DUMMYFUNCTION("""COMPUTED_VALUE"""),"Rounds Played")</f>
        <v>Rounds Played</v>
      </c>
      <c r="L1" s="189" t="str">
        <f>IFERROR(__xludf.DUMMYFUNCTION("""COMPUTED_VALUE"""),"Pick Percentage")</f>
        <v>Pick Percentage</v>
      </c>
    </row>
    <row r="2">
      <c r="A2" s="182" t="s">
        <v>280</v>
      </c>
      <c r="B2" s="182" t="s">
        <v>186</v>
      </c>
      <c r="C2" s="182" t="s">
        <v>606</v>
      </c>
      <c r="D2" s="182">
        <v>393.0</v>
      </c>
      <c r="E2" s="182">
        <v>630.0</v>
      </c>
      <c r="F2" s="209">
        <v>62.38</v>
      </c>
      <c r="G2" s="210" t="str">
        <f>IFERROR(__xludf.DUMMYFUNCTION("""COMPUTED_VALUE"""),"Rosé")</f>
        <v>Rosé</v>
      </c>
      <c r="H2" s="189" t="str">
        <f>IFERROR(__xludf.DUMMYFUNCTION("""COMPUTED_VALUE"""),"BBL PCIFIC")</f>
        <v>BBL PCIFIC</v>
      </c>
      <c r="I2" s="189" t="str">
        <f>IFERROR(__xludf.DUMMYFUNCTION("""COMPUTED_VALUE"""),"Operator")</f>
        <v>Operator</v>
      </c>
      <c r="J2" s="189">
        <f>IFERROR(__xludf.DUMMYFUNCTION("""COMPUTED_VALUE"""),8.0)</f>
        <v>8</v>
      </c>
      <c r="K2" s="189">
        <f>IFERROR(__xludf.DUMMYFUNCTION("""COMPUTED_VALUE"""),630.0)</f>
        <v>630</v>
      </c>
      <c r="L2" s="189">
        <f>IFERROR(__xludf.DUMMYFUNCTION("""COMPUTED_VALUE"""),1.27)</f>
        <v>1.27</v>
      </c>
    </row>
    <row r="3">
      <c r="A3" s="182" t="s">
        <v>280</v>
      </c>
      <c r="B3" s="182" t="s">
        <v>186</v>
      </c>
      <c r="C3" s="182" t="s">
        <v>607</v>
      </c>
      <c r="D3" s="182">
        <v>78.0</v>
      </c>
      <c r="E3" s="182">
        <v>630.0</v>
      </c>
      <c r="F3" s="209">
        <v>12.38</v>
      </c>
      <c r="G3" s="210" t="str">
        <f>IFERROR(__xludf.DUMMYFUNCTION("""COMPUTED_VALUE"""),"umu7")</f>
        <v>umu7</v>
      </c>
      <c r="H3" s="189" t="str">
        <f>IFERROR(__xludf.DUMMYFUNCTION("""COMPUTED_VALUE"""),"BBL PCIFIC")</f>
        <v>BBL PCIFIC</v>
      </c>
      <c r="I3" s="189" t="str">
        <f>IFERROR(__xludf.DUMMYFUNCTION("""COMPUTED_VALUE"""),"Operator")</f>
        <v>Operator</v>
      </c>
      <c r="J3" s="189">
        <f>IFERROR(__xludf.DUMMYFUNCTION("""COMPUTED_VALUE"""),217.0)</f>
        <v>217</v>
      </c>
      <c r="K3" s="189">
        <f>IFERROR(__xludf.DUMMYFUNCTION("""COMPUTED_VALUE"""),630.0)</f>
        <v>630</v>
      </c>
      <c r="L3" s="189">
        <f>IFERROR(__xludf.DUMMYFUNCTION("""COMPUTED_VALUE"""),34.44)</f>
        <v>34.44</v>
      </c>
    </row>
    <row r="4">
      <c r="A4" s="182" t="s">
        <v>280</v>
      </c>
      <c r="B4" s="182" t="s">
        <v>186</v>
      </c>
      <c r="C4" s="182" t="s">
        <v>608</v>
      </c>
      <c r="D4" s="182">
        <v>56.0</v>
      </c>
      <c r="E4" s="182">
        <v>630.0</v>
      </c>
      <c r="F4" s="209">
        <v>8.89</v>
      </c>
      <c r="G4" s="210" t="str">
        <f>IFERROR(__xludf.DUMMYFUNCTION("""COMPUTED_VALUE"""),"Javelin")</f>
        <v>Javelin</v>
      </c>
      <c r="H4" s="189" t="str">
        <f>IFERROR(__xludf.DUMMYFUNCTION("""COMPUTED_VALUE"""),"Boars Gaming")</f>
        <v>Boars Gaming</v>
      </c>
      <c r="I4" s="189" t="str">
        <f>IFERROR(__xludf.DUMMYFUNCTION("""COMPUTED_VALUE"""),"Operator")</f>
        <v>Operator</v>
      </c>
      <c r="J4" s="189">
        <f>IFERROR(__xludf.DUMMYFUNCTION("""COMPUTED_VALUE"""),9.0)</f>
        <v>9</v>
      </c>
      <c r="K4" s="189">
        <f>IFERROR(__xludf.DUMMYFUNCTION("""COMPUTED_VALUE"""),708.0)</f>
        <v>708</v>
      </c>
      <c r="L4" s="189">
        <f>IFERROR(__xludf.DUMMYFUNCTION("""COMPUTED_VALUE"""),1.27)</f>
        <v>1.27</v>
      </c>
    </row>
    <row r="5">
      <c r="A5" s="182" t="s">
        <v>280</v>
      </c>
      <c r="B5" s="182" t="s">
        <v>186</v>
      </c>
      <c r="C5" s="182" t="s">
        <v>609</v>
      </c>
      <c r="D5" s="182">
        <v>46.0</v>
      </c>
      <c r="E5" s="182">
        <v>630.0</v>
      </c>
      <c r="F5" s="209">
        <v>7.3</v>
      </c>
      <c r="G5" s="210" t="str">
        <f>IFERROR(__xludf.DUMMYFUNCTION("""COMPUTED_VALUE"""),"Kolosha")</f>
        <v>Kolosha</v>
      </c>
      <c r="H5" s="189" t="str">
        <f>IFERROR(__xludf.DUMMYFUNCTION("""COMPUTED_VALUE"""),"Boars Gaming")</f>
        <v>Boars Gaming</v>
      </c>
      <c r="I5" s="189" t="str">
        <f>IFERROR(__xludf.DUMMYFUNCTION("""COMPUTED_VALUE"""),"Operator")</f>
        <v>Operator</v>
      </c>
      <c r="J5" s="189">
        <f>IFERROR(__xludf.DUMMYFUNCTION("""COMPUTED_VALUE"""),31.0)</f>
        <v>31</v>
      </c>
      <c r="K5" s="189">
        <f>IFERROR(__xludf.DUMMYFUNCTION("""COMPUTED_VALUE"""),708.0)</f>
        <v>708</v>
      </c>
      <c r="L5" s="189">
        <f>IFERROR(__xludf.DUMMYFUNCTION("""COMPUTED_VALUE"""),4.38)</f>
        <v>4.38</v>
      </c>
    </row>
    <row r="6">
      <c r="A6" s="182" t="s">
        <v>280</v>
      </c>
      <c r="B6" s="182" t="s">
        <v>186</v>
      </c>
      <c r="C6" s="182" t="s">
        <v>610</v>
      </c>
      <c r="D6" s="182">
        <v>23.0</v>
      </c>
      <c r="E6" s="182">
        <v>630.0</v>
      </c>
      <c r="F6" s="209">
        <v>3.65</v>
      </c>
      <c r="G6" s="210" t="str">
        <f>IFERROR(__xludf.DUMMYFUNCTION("""COMPUTED_VALUE"""),"nvrfear")</f>
        <v>nvrfear</v>
      </c>
      <c r="H6" s="189" t="str">
        <f>IFERROR(__xludf.DUMMYFUNCTION("""COMPUTED_VALUE"""),"Boars Gaming")</f>
        <v>Boars Gaming</v>
      </c>
      <c r="I6" s="189" t="str">
        <f>IFERROR(__xludf.DUMMYFUNCTION("""COMPUTED_VALUE"""),"Operator")</f>
        <v>Operator</v>
      </c>
      <c r="J6" s="189">
        <f>IFERROR(__xludf.DUMMYFUNCTION("""COMPUTED_VALUE"""),6.0)</f>
        <v>6</v>
      </c>
      <c r="K6" s="189">
        <f>IFERROR(__xludf.DUMMYFUNCTION("""COMPUTED_VALUE"""),708.0)</f>
        <v>708</v>
      </c>
      <c r="L6" s="189">
        <f>IFERROR(__xludf.DUMMYFUNCTION("""COMPUTED_VALUE"""),0.85)</f>
        <v>0.85</v>
      </c>
    </row>
    <row r="7">
      <c r="A7" s="182" t="s">
        <v>280</v>
      </c>
      <c r="B7" s="182" t="s">
        <v>186</v>
      </c>
      <c r="C7" s="182" t="s">
        <v>611</v>
      </c>
      <c r="D7" s="182">
        <v>21.0</v>
      </c>
      <c r="E7" s="182">
        <v>630.0</v>
      </c>
      <c r="F7" s="209">
        <v>3.33</v>
      </c>
      <c r="G7" s="210" t="str">
        <f>IFERROR(__xludf.DUMMYFUNCTION("""COMPUTED_VALUE"""),"RARE")</f>
        <v>RARE</v>
      </c>
      <c r="H7" s="189" t="str">
        <f>IFERROR(__xludf.DUMMYFUNCTION("""COMPUTED_VALUE"""),"Boars Gaming")</f>
        <v>Boars Gaming</v>
      </c>
      <c r="I7" s="189" t="str">
        <f>IFERROR(__xludf.DUMMYFUNCTION("""COMPUTED_VALUE"""),"Operator")</f>
        <v>Operator</v>
      </c>
      <c r="J7" s="189">
        <f>IFERROR(__xludf.DUMMYFUNCTION("""COMPUTED_VALUE"""),4.0)</f>
        <v>4</v>
      </c>
      <c r="K7" s="189">
        <f>IFERROR(__xludf.DUMMYFUNCTION("""COMPUTED_VALUE"""),708.0)</f>
        <v>708</v>
      </c>
      <c r="L7" s="189">
        <f>IFERROR(__xludf.DUMMYFUNCTION("""COMPUTED_VALUE"""),0.56)</f>
        <v>0.56</v>
      </c>
    </row>
    <row r="8">
      <c r="A8" s="182" t="s">
        <v>280</v>
      </c>
      <c r="B8" s="182" t="s">
        <v>186</v>
      </c>
      <c r="C8" s="182" t="s">
        <v>612</v>
      </c>
      <c r="D8" s="182">
        <v>8.0</v>
      </c>
      <c r="E8" s="182">
        <v>630.0</v>
      </c>
      <c r="F8" s="209">
        <v>1.27</v>
      </c>
      <c r="G8" s="210" t="str">
        <f>IFERROR(__xludf.DUMMYFUNCTION("""COMPUTED_VALUE"""),"basya")</f>
        <v>basya</v>
      </c>
      <c r="H8" s="189" t="str">
        <f>IFERROR(__xludf.DUMMYFUNCTION("""COMPUTED_VALUE"""),"děti ulice")</f>
        <v>děti ulice</v>
      </c>
      <c r="I8" s="189" t="str">
        <f>IFERROR(__xludf.DUMMYFUNCTION("""COMPUTED_VALUE"""),"Operator")</f>
        <v>Operator</v>
      </c>
      <c r="J8" s="189">
        <f>IFERROR(__xludf.DUMMYFUNCTION("""COMPUTED_VALUE"""),1.0)</f>
        <v>1</v>
      </c>
      <c r="K8" s="189">
        <f>IFERROR(__xludf.DUMMYFUNCTION("""COMPUTED_VALUE"""),667.0)</f>
        <v>667</v>
      </c>
      <c r="L8" s="189">
        <f>IFERROR(__xludf.DUMMYFUNCTION("""COMPUTED_VALUE"""),0.15)</f>
        <v>0.15</v>
      </c>
    </row>
    <row r="9">
      <c r="A9" s="182" t="s">
        <v>280</v>
      </c>
      <c r="B9" s="182" t="s">
        <v>186</v>
      </c>
      <c r="C9" s="182" t="s">
        <v>613</v>
      </c>
      <c r="D9" s="182">
        <v>2.0</v>
      </c>
      <c r="E9" s="182">
        <v>630.0</v>
      </c>
      <c r="F9" s="209">
        <v>0.32</v>
      </c>
      <c r="G9" s="210" t="str">
        <f>IFERROR(__xludf.DUMMYFUNCTION("""COMPUTED_VALUE"""),"Fractioned")</f>
        <v>Fractioned</v>
      </c>
      <c r="H9" s="189" t="str">
        <f>IFERROR(__xludf.DUMMYFUNCTION("""COMPUTED_VALUE"""),"děti ulice")</f>
        <v>děti ulice</v>
      </c>
      <c r="I9" s="189" t="str">
        <f>IFERROR(__xludf.DUMMYFUNCTION("""COMPUTED_VALUE"""),"Operator")</f>
        <v>Operator</v>
      </c>
      <c r="J9" s="189">
        <f>IFERROR(__xludf.DUMMYFUNCTION("""COMPUTED_VALUE"""),97.0)</f>
        <v>97</v>
      </c>
      <c r="K9" s="189">
        <f>IFERROR(__xludf.DUMMYFUNCTION("""COMPUTED_VALUE"""),667.0)</f>
        <v>667</v>
      </c>
      <c r="L9" s="189">
        <f>IFERROR(__xludf.DUMMYFUNCTION("""COMPUTED_VALUE"""),14.54)</f>
        <v>14.54</v>
      </c>
    </row>
    <row r="10">
      <c r="A10" s="182" t="s">
        <v>280</v>
      </c>
      <c r="B10" s="182" t="s">
        <v>186</v>
      </c>
      <c r="C10" s="182" t="s">
        <v>614</v>
      </c>
      <c r="D10" s="182">
        <v>2.0</v>
      </c>
      <c r="E10" s="182">
        <v>630.0</v>
      </c>
      <c r="F10" s="209">
        <v>0.32</v>
      </c>
      <c r="G10" s="210" t="str">
        <f>IFERROR(__xludf.DUMMYFUNCTION("""COMPUTED_VALUE"""),"MaximN")</f>
        <v>MaximN</v>
      </c>
      <c r="H10" s="189" t="str">
        <f>IFERROR(__xludf.DUMMYFUNCTION("""COMPUTED_VALUE"""),"děti ulice")</f>
        <v>děti ulice</v>
      </c>
      <c r="I10" s="189" t="str">
        <f>IFERROR(__xludf.DUMMYFUNCTION("""COMPUTED_VALUE"""),"Operator")</f>
        <v>Operator</v>
      </c>
      <c r="J10" s="189">
        <f>IFERROR(__xludf.DUMMYFUNCTION("""COMPUTED_VALUE"""),3.0)</f>
        <v>3</v>
      </c>
      <c r="K10" s="189">
        <f>IFERROR(__xludf.DUMMYFUNCTION("""COMPUTED_VALUE"""),667.0)</f>
        <v>667</v>
      </c>
      <c r="L10" s="189">
        <f>IFERROR(__xludf.DUMMYFUNCTION("""COMPUTED_VALUE"""),0.45)</f>
        <v>0.45</v>
      </c>
    </row>
    <row r="11">
      <c r="A11" s="182" t="s">
        <v>280</v>
      </c>
      <c r="B11" s="182" t="s">
        <v>186</v>
      </c>
      <c r="C11" s="182" t="s">
        <v>615</v>
      </c>
      <c r="D11" s="182">
        <v>1.0</v>
      </c>
      <c r="E11" s="182">
        <v>630.0</v>
      </c>
      <c r="F11" s="209">
        <v>0.16</v>
      </c>
      <c r="G11" s="210" t="str">
        <f>IFERROR(__xludf.DUMMYFUNCTION("""COMPUTED_VALUE"""),"Nunmeister")</f>
        <v>Nunmeister</v>
      </c>
      <c r="H11" s="189" t="str">
        <f>IFERROR(__xludf.DUMMYFUNCTION("""COMPUTED_VALUE"""),"děti ulice")</f>
        <v>děti ulice</v>
      </c>
      <c r="I11" s="189" t="str">
        <f>IFERROR(__xludf.DUMMYFUNCTION("""COMPUTED_VALUE"""),"Operator")</f>
        <v>Operator</v>
      </c>
      <c r="J11" s="189">
        <f>IFERROR(__xludf.DUMMYFUNCTION("""COMPUTED_VALUE"""),10.0)</f>
        <v>10</v>
      </c>
      <c r="K11" s="189">
        <f>IFERROR(__xludf.DUMMYFUNCTION("""COMPUTED_VALUE"""),667.0)</f>
        <v>667</v>
      </c>
      <c r="L11" s="189">
        <f>IFERROR(__xludf.DUMMYFUNCTION("""COMPUTED_VALUE"""),1.5)</f>
        <v>1.5</v>
      </c>
    </row>
    <row r="12">
      <c r="A12" s="182" t="s">
        <v>258</v>
      </c>
      <c r="B12" s="182" t="s">
        <v>186</v>
      </c>
      <c r="C12" s="182" t="s">
        <v>606</v>
      </c>
      <c r="D12" s="182">
        <v>339.0</v>
      </c>
      <c r="E12" s="182">
        <v>630.0</v>
      </c>
      <c r="F12" s="209">
        <v>53.81</v>
      </c>
      <c r="G12" s="210" t="str">
        <f>IFERROR(__xludf.DUMMYFUNCTION("""COMPUTED_VALUE"""),"Creamydreamy")</f>
        <v>Creamydreamy</v>
      </c>
      <c r="H12" s="189" t="str">
        <f>IFERROR(__xludf.DUMMYFUNCTION("""COMPUTED_VALUE"""),"DNSTY")</f>
        <v>DNSTY</v>
      </c>
      <c r="I12" s="189" t="str">
        <f>IFERROR(__xludf.DUMMYFUNCTION("""COMPUTED_VALUE"""),"Operator")</f>
        <v>Operator</v>
      </c>
      <c r="J12" s="189">
        <f>IFERROR(__xludf.DUMMYFUNCTION("""COMPUTED_VALUE"""),4.0)</f>
        <v>4</v>
      </c>
      <c r="K12" s="189">
        <f>IFERROR(__xludf.DUMMYFUNCTION("""COMPUTED_VALUE"""),405.0)</f>
        <v>405</v>
      </c>
      <c r="L12" s="189">
        <f>IFERROR(__xludf.DUMMYFUNCTION("""COMPUTED_VALUE"""),0.99)</f>
        <v>0.99</v>
      </c>
    </row>
    <row r="13">
      <c r="A13" s="182" t="s">
        <v>258</v>
      </c>
      <c r="B13" s="182" t="s">
        <v>186</v>
      </c>
      <c r="C13" s="182" t="s">
        <v>610</v>
      </c>
      <c r="D13" s="182">
        <v>77.0</v>
      </c>
      <c r="E13" s="182">
        <v>630.0</v>
      </c>
      <c r="F13" s="209">
        <v>12.22</v>
      </c>
      <c r="G13" s="210" t="str">
        <f>IFERROR(__xludf.DUMMYFUNCTION("""COMPUTED_VALUE"""),"Famsii")</f>
        <v>Famsii</v>
      </c>
      <c r="H13" s="189" t="str">
        <f>IFERROR(__xludf.DUMMYFUNCTION("""COMPUTED_VALUE"""),"DNSTY")</f>
        <v>DNSTY</v>
      </c>
      <c r="I13" s="189" t="str">
        <f>IFERROR(__xludf.DUMMYFUNCTION("""COMPUTED_VALUE"""),"Operator")</f>
        <v>Operator</v>
      </c>
      <c r="J13" s="189">
        <f>IFERROR(__xludf.DUMMYFUNCTION("""COMPUTED_VALUE"""),84.0)</f>
        <v>84</v>
      </c>
      <c r="K13" s="189">
        <f>IFERROR(__xludf.DUMMYFUNCTION("""COMPUTED_VALUE"""),405.0)</f>
        <v>405</v>
      </c>
      <c r="L13" s="189">
        <f>IFERROR(__xludf.DUMMYFUNCTION("""COMPUTED_VALUE"""),20.74)</f>
        <v>20.74</v>
      </c>
    </row>
    <row r="14">
      <c r="A14" s="182" t="s">
        <v>258</v>
      </c>
      <c r="B14" s="182" t="s">
        <v>186</v>
      </c>
      <c r="C14" s="182" t="s">
        <v>607</v>
      </c>
      <c r="D14" s="182">
        <v>64.0</v>
      </c>
      <c r="E14" s="182">
        <v>630.0</v>
      </c>
      <c r="F14" s="209">
        <v>10.16</v>
      </c>
      <c r="G14" s="210" t="str">
        <f>IFERROR(__xludf.DUMMYFUNCTION("""COMPUTED_VALUE"""),"Tag")</f>
        <v>Tag</v>
      </c>
      <c r="H14" s="189" t="str">
        <f>IFERROR(__xludf.DUMMYFUNCTION("""COMPUTED_VALUE"""),"DNSTY")</f>
        <v>DNSTY</v>
      </c>
      <c r="I14" s="189" t="str">
        <f>IFERROR(__xludf.DUMMYFUNCTION("""COMPUTED_VALUE"""),"Operator")</f>
        <v>Operator</v>
      </c>
      <c r="J14" s="189">
        <f>IFERROR(__xludf.DUMMYFUNCTION("""COMPUTED_VALUE"""),3.0)</f>
        <v>3</v>
      </c>
      <c r="K14" s="189">
        <f>IFERROR(__xludf.DUMMYFUNCTION("""COMPUTED_VALUE"""),405.0)</f>
        <v>405</v>
      </c>
      <c r="L14" s="189">
        <f>IFERROR(__xludf.DUMMYFUNCTION("""COMPUTED_VALUE"""),0.74)</f>
        <v>0.74</v>
      </c>
    </row>
    <row r="15">
      <c r="A15" s="182" t="s">
        <v>258</v>
      </c>
      <c r="B15" s="182" t="s">
        <v>186</v>
      </c>
      <c r="C15" s="182" t="s">
        <v>612</v>
      </c>
      <c r="D15" s="182">
        <v>40.0</v>
      </c>
      <c r="E15" s="182">
        <v>630.0</v>
      </c>
      <c r="F15" s="209">
        <v>6.35</v>
      </c>
      <c r="G15" s="210" t="str">
        <f>IFERROR(__xludf.DUMMYFUNCTION("""COMPUTED_VALUE"""),"Ticey")</f>
        <v>Ticey</v>
      </c>
      <c r="H15" s="189" t="str">
        <f>IFERROR(__xludf.DUMMYFUNCTION("""COMPUTED_VALUE"""),"DNSTY")</f>
        <v>DNSTY</v>
      </c>
      <c r="I15" s="189" t="str">
        <f>IFERROR(__xludf.DUMMYFUNCTION("""COMPUTED_VALUE"""),"Operator")</f>
        <v>Operator</v>
      </c>
      <c r="J15" s="189">
        <f>IFERROR(__xludf.DUMMYFUNCTION("""COMPUTED_VALUE"""),15.0)</f>
        <v>15</v>
      </c>
      <c r="K15" s="189">
        <f>IFERROR(__xludf.DUMMYFUNCTION("""COMPUTED_VALUE"""),405.0)</f>
        <v>405</v>
      </c>
      <c r="L15" s="189">
        <f>IFERROR(__xludf.DUMMYFUNCTION("""COMPUTED_VALUE"""),3.7)</f>
        <v>3.7</v>
      </c>
    </row>
    <row r="16">
      <c r="A16" s="182" t="s">
        <v>258</v>
      </c>
      <c r="B16" s="182" t="s">
        <v>186</v>
      </c>
      <c r="C16" s="182" t="s">
        <v>609</v>
      </c>
      <c r="D16" s="182">
        <v>38.0</v>
      </c>
      <c r="E16" s="182">
        <v>630.0</v>
      </c>
      <c r="F16" s="209">
        <v>6.03</v>
      </c>
      <c r="G16" s="210" t="str">
        <f>IFERROR(__xludf.DUMMYFUNCTION("""COMPUTED_VALUE"""),"DisisJohn")</f>
        <v>DisisJohn</v>
      </c>
      <c r="H16" s="189" t="str">
        <f>IFERROR(__xludf.DUMMYFUNCTION("""COMPUTED_VALUE"""),"Eintracht Frankfurt")</f>
        <v>Eintracht Frankfurt</v>
      </c>
      <c r="I16" s="189" t="str">
        <f>IFERROR(__xludf.DUMMYFUNCTION("""COMPUTED_VALUE"""),"Operator")</f>
        <v>Operator</v>
      </c>
      <c r="J16" s="189">
        <f>IFERROR(__xludf.DUMMYFUNCTION("""COMPUTED_VALUE"""),81.0)</f>
        <v>81</v>
      </c>
      <c r="K16" s="189">
        <f>IFERROR(__xludf.DUMMYFUNCTION("""COMPUTED_VALUE"""),554.0)</f>
        <v>554</v>
      </c>
      <c r="L16" s="189">
        <f>IFERROR(__xludf.DUMMYFUNCTION("""COMPUTED_VALUE"""),14.62)</f>
        <v>14.62</v>
      </c>
    </row>
    <row r="17">
      <c r="A17" s="182" t="s">
        <v>258</v>
      </c>
      <c r="B17" s="182" t="s">
        <v>186</v>
      </c>
      <c r="C17" s="182" t="s">
        <v>608</v>
      </c>
      <c r="D17" s="182">
        <v>23.0</v>
      </c>
      <c r="E17" s="182">
        <v>630.0</v>
      </c>
      <c r="F17" s="209">
        <v>3.65</v>
      </c>
      <c r="G17" s="210" t="str">
        <f>IFERROR(__xludf.DUMMYFUNCTION("""COMPUTED_VALUE"""),"Felix")</f>
        <v>Felix</v>
      </c>
      <c r="H17" s="189" t="str">
        <f>IFERROR(__xludf.DUMMYFUNCTION("""COMPUTED_VALUE"""),"Eintracht Frankfurt")</f>
        <v>Eintracht Frankfurt</v>
      </c>
      <c r="I17" s="189" t="str">
        <f>IFERROR(__xludf.DUMMYFUNCTION("""COMPUTED_VALUE"""),"Operator")</f>
        <v>Operator</v>
      </c>
      <c r="J17" s="189">
        <f>IFERROR(__xludf.DUMMYFUNCTION("""COMPUTED_VALUE"""),1.0)</f>
        <v>1</v>
      </c>
      <c r="K17" s="189">
        <f>IFERROR(__xludf.DUMMYFUNCTION("""COMPUTED_VALUE"""),409.0)</f>
        <v>409</v>
      </c>
      <c r="L17" s="189">
        <f>IFERROR(__xludf.DUMMYFUNCTION("""COMPUTED_VALUE"""),0.24)</f>
        <v>0.24</v>
      </c>
    </row>
    <row r="18">
      <c r="A18" s="182" t="s">
        <v>258</v>
      </c>
      <c r="B18" s="182" t="s">
        <v>186</v>
      </c>
      <c r="C18" s="182" t="s">
        <v>611</v>
      </c>
      <c r="D18" s="182">
        <v>18.0</v>
      </c>
      <c r="E18" s="182">
        <v>630.0</v>
      </c>
      <c r="F18" s="209">
        <v>2.86</v>
      </c>
      <c r="G18" s="210" t="str">
        <f>IFERROR(__xludf.DUMMYFUNCTION("""COMPUTED_VALUE"""),"Doma")</f>
        <v>Doma</v>
      </c>
      <c r="H18" s="189" t="str">
        <f>IFERROR(__xludf.DUMMYFUNCTION("""COMPUTED_VALUE"""),"Enterprise Esports")</f>
        <v>Enterprise Esports</v>
      </c>
      <c r="I18" s="189" t="str">
        <f>IFERROR(__xludf.DUMMYFUNCTION("""COMPUTED_VALUE"""),"Operator")</f>
        <v>Operator</v>
      </c>
      <c r="J18" s="189">
        <f>IFERROR(__xludf.DUMMYFUNCTION("""COMPUTED_VALUE"""),3.0)</f>
        <v>3</v>
      </c>
      <c r="K18" s="189">
        <f>IFERROR(__xludf.DUMMYFUNCTION("""COMPUTED_VALUE"""),342.0)</f>
        <v>342</v>
      </c>
      <c r="L18" s="189">
        <f>IFERROR(__xludf.DUMMYFUNCTION("""COMPUTED_VALUE"""),0.88)</f>
        <v>0.88</v>
      </c>
    </row>
    <row r="19">
      <c r="A19" s="182" t="s">
        <v>258</v>
      </c>
      <c r="B19" s="182" t="s">
        <v>186</v>
      </c>
      <c r="C19" s="182" t="s">
        <v>616</v>
      </c>
      <c r="D19" s="182">
        <v>9.0</v>
      </c>
      <c r="E19" s="182">
        <v>630.0</v>
      </c>
      <c r="F19" s="209">
        <v>1.43</v>
      </c>
      <c r="G19" s="210" t="str">
        <f>IFERROR(__xludf.DUMMYFUNCTION("""COMPUTED_VALUE"""),"jas")</f>
        <v>jas</v>
      </c>
      <c r="H19" s="189" t="str">
        <f>IFERROR(__xludf.DUMMYFUNCTION("""COMPUTED_VALUE"""),"Enterprise Esports")</f>
        <v>Enterprise Esports</v>
      </c>
      <c r="I19" s="189" t="str">
        <f>IFERROR(__xludf.DUMMYFUNCTION("""COMPUTED_VALUE"""),"Operator")</f>
        <v>Operator</v>
      </c>
      <c r="J19" s="189">
        <f>IFERROR(__xludf.DUMMYFUNCTION("""COMPUTED_VALUE"""),85.0)</f>
        <v>85</v>
      </c>
      <c r="K19" s="189">
        <f>IFERROR(__xludf.DUMMYFUNCTION("""COMPUTED_VALUE"""),342.0)</f>
        <v>342</v>
      </c>
      <c r="L19" s="189">
        <f>IFERROR(__xludf.DUMMYFUNCTION("""COMPUTED_VALUE"""),24.85)</f>
        <v>24.85</v>
      </c>
    </row>
    <row r="20">
      <c r="A20" s="182" t="s">
        <v>258</v>
      </c>
      <c r="B20" s="182" t="s">
        <v>186</v>
      </c>
      <c r="C20" s="182" t="s">
        <v>614</v>
      </c>
      <c r="D20" s="182">
        <v>7.0</v>
      </c>
      <c r="E20" s="182">
        <v>630.0</v>
      </c>
      <c r="F20" s="209">
        <v>1.11</v>
      </c>
      <c r="G20" s="210" t="str">
        <f>IFERROR(__xludf.DUMMYFUNCTION("""COMPUTED_VALUE"""),"kiles")</f>
        <v>kiles</v>
      </c>
      <c r="H20" s="189" t="str">
        <f>IFERROR(__xludf.DUMMYFUNCTION("""COMPUTED_VALUE"""),"Enterprise Esports")</f>
        <v>Enterprise Esports</v>
      </c>
      <c r="I20" s="189" t="str">
        <f>IFERROR(__xludf.DUMMYFUNCTION("""COMPUTED_VALUE"""),"Operator")</f>
        <v>Operator</v>
      </c>
      <c r="J20" s="189">
        <f>IFERROR(__xludf.DUMMYFUNCTION("""COMPUTED_VALUE"""),2.0)</f>
        <v>2</v>
      </c>
      <c r="K20" s="189">
        <f>IFERROR(__xludf.DUMMYFUNCTION("""COMPUTED_VALUE"""),342.0)</f>
        <v>342</v>
      </c>
      <c r="L20" s="189">
        <f>IFERROR(__xludf.DUMMYFUNCTION("""COMPUTED_VALUE"""),0.58)</f>
        <v>0.58</v>
      </c>
    </row>
    <row r="21">
      <c r="A21" s="182" t="s">
        <v>258</v>
      </c>
      <c r="B21" s="182" t="s">
        <v>186</v>
      </c>
      <c r="C21" s="182" t="s">
        <v>615</v>
      </c>
      <c r="D21" s="182">
        <v>4.0</v>
      </c>
      <c r="E21" s="182">
        <v>630.0</v>
      </c>
      <c r="F21" s="209">
        <v>0.63</v>
      </c>
      <c r="G21" s="210" t="str">
        <f>IFERROR(__xludf.DUMMYFUNCTION("""COMPUTED_VALUE"""),"zeek")</f>
        <v>zeek</v>
      </c>
      <c r="H21" s="189" t="str">
        <f>IFERROR(__xludf.DUMMYFUNCTION("""COMPUTED_VALUE"""),"Enterprise Esports")</f>
        <v>Enterprise Esports</v>
      </c>
      <c r="I21" s="189" t="str">
        <f>IFERROR(__xludf.DUMMYFUNCTION("""COMPUTED_VALUE"""),"Operator")</f>
        <v>Operator</v>
      </c>
      <c r="J21" s="189">
        <f>IFERROR(__xludf.DUMMYFUNCTION("""COMPUTED_VALUE"""),1.0)</f>
        <v>1</v>
      </c>
      <c r="K21" s="189">
        <f>IFERROR(__xludf.DUMMYFUNCTION("""COMPUTED_VALUE"""),342.0)</f>
        <v>342</v>
      </c>
      <c r="L21" s="189">
        <f>IFERROR(__xludf.DUMMYFUNCTION("""COMPUTED_VALUE"""),0.29)</f>
        <v>0.29</v>
      </c>
    </row>
    <row r="22">
      <c r="A22" s="182" t="s">
        <v>258</v>
      </c>
      <c r="B22" s="182" t="s">
        <v>186</v>
      </c>
      <c r="C22" s="182" t="s">
        <v>617</v>
      </c>
      <c r="D22" s="182">
        <v>3.0</v>
      </c>
      <c r="E22" s="182">
        <v>630.0</v>
      </c>
      <c r="F22" s="209">
        <v>0.48</v>
      </c>
      <c r="G22" s="210" t="str">
        <f>IFERROR(__xludf.DUMMYFUNCTION("""COMPUTED_VALUE"""),"chiwa")</f>
        <v>chiwa</v>
      </c>
      <c r="H22" s="189" t="str">
        <f>IFERROR(__xludf.DUMMYFUNCTION("""COMPUTED_VALUE"""),"Joblife")</f>
        <v>Joblife</v>
      </c>
      <c r="I22" s="189" t="str">
        <f>IFERROR(__xludf.DUMMYFUNCTION("""COMPUTED_VALUE"""),"Operator")</f>
        <v>Operator</v>
      </c>
      <c r="J22" s="189">
        <f>IFERROR(__xludf.DUMMYFUNCTION("""COMPUTED_VALUE"""),2.0)</f>
        <v>2</v>
      </c>
      <c r="K22" s="189">
        <f>IFERROR(__xludf.DUMMYFUNCTION("""COMPUTED_VALUE"""),289.0)</f>
        <v>289</v>
      </c>
      <c r="L22" s="189">
        <f>IFERROR(__xludf.DUMMYFUNCTION("""COMPUTED_VALUE"""),0.69)</f>
        <v>0.69</v>
      </c>
    </row>
    <row r="23">
      <c r="A23" s="182" t="s">
        <v>258</v>
      </c>
      <c r="B23" s="182" t="s">
        <v>186</v>
      </c>
      <c r="C23" s="182" t="s">
        <v>618</v>
      </c>
      <c r="D23" s="182">
        <v>3.0</v>
      </c>
      <c r="E23" s="182">
        <v>630.0</v>
      </c>
      <c r="F23" s="209">
        <v>0.48</v>
      </c>
      <c r="G23" s="210" t="str">
        <f>IFERROR(__xludf.DUMMYFUNCTION("""COMPUTED_VALUE"""),"CyvOph")</f>
        <v>CyvOph</v>
      </c>
      <c r="H23" s="189" t="str">
        <f>IFERROR(__xludf.DUMMYFUNCTION("""COMPUTED_VALUE"""),"Joblife")</f>
        <v>Joblife</v>
      </c>
      <c r="I23" s="189" t="str">
        <f>IFERROR(__xludf.DUMMYFUNCTION("""COMPUTED_VALUE"""),"Operator")</f>
        <v>Operator</v>
      </c>
      <c r="J23" s="189">
        <f>IFERROR(__xludf.DUMMYFUNCTION("""COMPUTED_VALUE"""),2.0)</f>
        <v>2</v>
      </c>
      <c r="K23" s="189">
        <f>IFERROR(__xludf.DUMMYFUNCTION("""COMPUTED_VALUE"""),289.0)</f>
        <v>289</v>
      </c>
      <c r="L23" s="189">
        <f>IFERROR(__xludf.DUMMYFUNCTION("""COMPUTED_VALUE"""),0.69)</f>
        <v>0.69</v>
      </c>
    </row>
    <row r="24">
      <c r="A24" s="182" t="s">
        <v>258</v>
      </c>
      <c r="B24" s="182" t="s">
        <v>186</v>
      </c>
      <c r="C24" s="182" t="s">
        <v>619</v>
      </c>
      <c r="D24" s="182">
        <v>2.0</v>
      </c>
      <c r="E24" s="182">
        <v>630.0</v>
      </c>
      <c r="F24" s="209">
        <v>0.32</v>
      </c>
      <c r="G24" s="210" t="str">
        <f>IFERROR(__xludf.DUMMYFUNCTION("""COMPUTED_VALUE"""),"Purp0")</f>
        <v>Purp0</v>
      </c>
      <c r="H24" s="189" t="str">
        <f>IFERROR(__xludf.DUMMYFUNCTION("""COMPUTED_VALUE"""),"Joblife")</f>
        <v>Joblife</v>
      </c>
      <c r="I24" s="189" t="str">
        <f>IFERROR(__xludf.DUMMYFUNCTION("""COMPUTED_VALUE"""),"Operator")</f>
        <v>Operator</v>
      </c>
      <c r="J24" s="189">
        <f>IFERROR(__xludf.DUMMYFUNCTION("""COMPUTED_VALUE"""),69.0)</f>
        <v>69</v>
      </c>
      <c r="K24" s="189">
        <f>IFERROR(__xludf.DUMMYFUNCTION("""COMPUTED_VALUE"""),289.0)</f>
        <v>289</v>
      </c>
      <c r="L24" s="189">
        <f>IFERROR(__xludf.DUMMYFUNCTION("""COMPUTED_VALUE"""),23.88)</f>
        <v>23.88</v>
      </c>
    </row>
    <row r="25">
      <c r="A25" s="182" t="s">
        <v>258</v>
      </c>
      <c r="B25" s="182" t="s">
        <v>186</v>
      </c>
      <c r="C25" s="182" t="s">
        <v>613</v>
      </c>
      <c r="D25" s="182">
        <v>1.0</v>
      </c>
      <c r="E25" s="182">
        <v>630.0</v>
      </c>
      <c r="F25" s="209">
        <v>0.16</v>
      </c>
      <c r="G25" s="210" t="str">
        <f>IFERROR(__xludf.DUMMYFUNCTION("""COMPUTED_VALUE"""),"sh1n")</f>
        <v>sh1n</v>
      </c>
      <c r="H25" s="189" t="str">
        <f>IFERROR(__xludf.DUMMYFUNCTION("""COMPUTED_VALUE"""),"Joblife")</f>
        <v>Joblife</v>
      </c>
      <c r="I25" s="189" t="str">
        <f>IFERROR(__xludf.DUMMYFUNCTION("""COMPUTED_VALUE"""),"Operator")</f>
        <v>Operator</v>
      </c>
      <c r="J25" s="189">
        <f>IFERROR(__xludf.DUMMYFUNCTION("""COMPUTED_VALUE"""),1.0)</f>
        <v>1</v>
      </c>
      <c r="K25" s="189">
        <f>IFERROR(__xludf.DUMMYFUNCTION("""COMPUTED_VALUE"""),289.0)</f>
        <v>289</v>
      </c>
      <c r="L25" s="189">
        <f>IFERROR(__xludf.DUMMYFUNCTION("""COMPUTED_VALUE"""),0.35)</f>
        <v>0.35</v>
      </c>
    </row>
    <row r="26">
      <c r="A26" s="182" t="s">
        <v>258</v>
      </c>
      <c r="B26" s="182" t="s">
        <v>186</v>
      </c>
      <c r="C26" s="182" t="s">
        <v>620</v>
      </c>
      <c r="D26" s="182">
        <v>1.0</v>
      </c>
      <c r="E26" s="182">
        <v>630.0</v>
      </c>
      <c r="F26" s="209">
        <v>0.16</v>
      </c>
      <c r="G26" s="210" t="str">
        <f>IFERROR(__xludf.DUMMYFUNCTION("""COMPUTED_VALUE"""),"Starxo")</f>
        <v>Starxo</v>
      </c>
      <c r="H26" s="189" t="str">
        <f>IFERROR(__xludf.DUMMYFUNCTION("""COMPUTED_VALUE"""),"Joblife")</f>
        <v>Joblife</v>
      </c>
      <c r="I26" s="189" t="str">
        <f>IFERROR(__xludf.DUMMYFUNCTION("""COMPUTED_VALUE"""),"Operator")</f>
        <v>Operator</v>
      </c>
      <c r="J26" s="189">
        <f>IFERROR(__xludf.DUMMYFUNCTION("""COMPUTED_VALUE"""),1.0)</f>
        <v>1</v>
      </c>
      <c r="K26" s="189">
        <f>IFERROR(__xludf.DUMMYFUNCTION("""COMPUTED_VALUE"""),289.0)</f>
        <v>289</v>
      </c>
      <c r="L26" s="189">
        <f>IFERROR(__xludf.DUMMYFUNCTION("""COMPUTED_VALUE"""),0.35)</f>
        <v>0.35</v>
      </c>
    </row>
    <row r="27">
      <c r="A27" s="182" t="s">
        <v>258</v>
      </c>
      <c r="B27" s="182" t="s">
        <v>186</v>
      </c>
      <c r="C27" s="182" t="s">
        <v>621</v>
      </c>
      <c r="D27" s="182">
        <v>1.0</v>
      </c>
      <c r="E27" s="182">
        <v>630.0</v>
      </c>
      <c r="F27" s="209">
        <v>0.16</v>
      </c>
      <c r="G27" s="210" t="str">
        <f>IFERROR(__xludf.DUMMYFUNCTION("""COMPUTED_VALUE"""),"demek")</f>
        <v>demek</v>
      </c>
      <c r="H27" s="189" t="str">
        <f>IFERROR(__xludf.DUMMYFUNCTION("""COMPUTED_VALUE"""),"KOI Fénix")</f>
        <v>KOI Fénix</v>
      </c>
      <c r="I27" s="189" t="str">
        <f>IFERROR(__xludf.DUMMYFUNCTION("""COMPUTED_VALUE"""),"Operator")</f>
        <v>Operator</v>
      </c>
      <c r="J27" s="189">
        <f>IFERROR(__xludf.DUMMYFUNCTION("""COMPUTED_VALUE"""),49.0)</f>
        <v>49</v>
      </c>
      <c r="K27" s="189">
        <f>IFERROR(__xludf.DUMMYFUNCTION("""COMPUTED_VALUE"""),519.0)</f>
        <v>519</v>
      </c>
      <c r="L27" s="189">
        <f>IFERROR(__xludf.DUMMYFUNCTION("""COMPUTED_VALUE"""),9.44)</f>
        <v>9.44</v>
      </c>
    </row>
    <row r="28">
      <c r="A28" s="182" t="s">
        <v>271</v>
      </c>
      <c r="B28" s="182" t="s">
        <v>186</v>
      </c>
      <c r="C28" s="182" t="s">
        <v>606</v>
      </c>
      <c r="D28" s="182">
        <v>362.0</v>
      </c>
      <c r="E28" s="182">
        <v>630.0</v>
      </c>
      <c r="F28" s="209">
        <v>57.46</v>
      </c>
      <c r="G28" s="210" t="str">
        <f>IFERROR(__xludf.DUMMYFUNCTION("""COMPUTED_VALUE"""),"Guardy")</f>
        <v>Guardy</v>
      </c>
      <c r="H28" s="189" t="str">
        <f>IFERROR(__xludf.DUMMYFUNCTION("""COMPUTED_VALUE"""),"KOI Fénix")</f>
        <v>KOI Fénix</v>
      </c>
      <c r="I28" s="189" t="str">
        <f>IFERROR(__xludf.DUMMYFUNCTION("""COMPUTED_VALUE"""),"Operator")</f>
        <v>Operator</v>
      </c>
      <c r="J28" s="189">
        <f>IFERROR(__xludf.DUMMYFUNCTION("""COMPUTED_VALUE"""),2.0)</f>
        <v>2</v>
      </c>
      <c r="K28" s="189">
        <f>IFERROR(__xludf.DUMMYFUNCTION("""COMPUTED_VALUE"""),519.0)</f>
        <v>519</v>
      </c>
      <c r="L28" s="189">
        <f>IFERROR(__xludf.DUMMYFUNCTION("""COMPUTED_VALUE"""),0.39)</f>
        <v>0.39</v>
      </c>
    </row>
    <row r="29">
      <c r="A29" s="182" t="s">
        <v>271</v>
      </c>
      <c r="B29" s="182" t="s">
        <v>186</v>
      </c>
      <c r="C29" s="182" t="s">
        <v>607</v>
      </c>
      <c r="D29" s="182">
        <v>78.0</v>
      </c>
      <c r="E29" s="182">
        <v>630.0</v>
      </c>
      <c r="F29" s="209">
        <v>12.38</v>
      </c>
      <c r="G29" s="210" t="str">
        <f>IFERROR(__xludf.DUMMYFUNCTION("""COMPUTED_VALUE"""),"pika")</f>
        <v>pika</v>
      </c>
      <c r="H29" s="189" t="str">
        <f>IFERROR(__xludf.DUMMYFUNCTION("""COMPUTED_VALUE"""),"KOI Fénix")</f>
        <v>KOI Fénix</v>
      </c>
      <c r="I29" s="189" t="str">
        <f>IFERROR(__xludf.DUMMYFUNCTION("""COMPUTED_VALUE"""),"Operator")</f>
        <v>Operator</v>
      </c>
      <c r="J29" s="189">
        <f>IFERROR(__xludf.DUMMYFUNCTION("""COMPUTED_VALUE"""),1.0)</f>
        <v>1</v>
      </c>
      <c r="K29" s="189">
        <f>IFERROR(__xludf.DUMMYFUNCTION("""COMPUTED_VALUE"""),519.0)</f>
        <v>519</v>
      </c>
      <c r="L29" s="189">
        <f>IFERROR(__xludf.DUMMYFUNCTION("""COMPUTED_VALUE"""),0.19)</f>
        <v>0.19</v>
      </c>
    </row>
    <row r="30">
      <c r="A30" s="182" t="s">
        <v>271</v>
      </c>
      <c r="B30" s="182" t="s">
        <v>186</v>
      </c>
      <c r="C30" s="182" t="s">
        <v>612</v>
      </c>
      <c r="D30" s="182">
        <v>64.0</v>
      </c>
      <c r="E30" s="182">
        <v>630.0</v>
      </c>
      <c r="F30" s="209">
        <v>10.16</v>
      </c>
      <c r="G30" s="210" t="str">
        <f>IFERROR(__xludf.DUMMYFUNCTION("""COMPUTED_VALUE"""),"ZachKappa")</f>
        <v>ZachKappa</v>
      </c>
      <c r="H30" s="189" t="str">
        <f>IFERROR(__xludf.DUMMYFUNCTION("""COMPUTED_VALUE"""),"KOI Fénix")</f>
        <v>KOI Fénix</v>
      </c>
      <c r="I30" s="189" t="str">
        <f>IFERROR(__xludf.DUMMYFUNCTION("""COMPUTED_VALUE"""),"Operator")</f>
        <v>Operator</v>
      </c>
      <c r="J30" s="189">
        <f>IFERROR(__xludf.DUMMYFUNCTION("""COMPUTED_VALUE"""),40.0)</f>
        <v>40</v>
      </c>
      <c r="K30" s="189">
        <f>IFERROR(__xludf.DUMMYFUNCTION("""COMPUTED_VALUE"""),519.0)</f>
        <v>519</v>
      </c>
      <c r="L30" s="189">
        <f>IFERROR(__xludf.DUMMYFUNCTION("""COMPUTED_VALUE"""),7.71)</f>
        <v>7.71</v>
      </c>
    </row>
    <row r="31">
      <c r="A31" s="182" t="s">
        <v>271</v>
      </c>
      <c r="B31" s="182" t="s">
        <v>186</v>
      </c>
      <c r="C31" s="182" t="s">
        <v>609</v>
      </c>
      <c r="D31" s="182">
        <v>53.0</v>
      </c>
      <c r="E31" s="182">
        <v>630.0</v>
      </c>
      <c r="F31" s="209">
        <v>8.41</v>
      </c>
      <c r="G31" s="210" t="str">
        <f>IFERROR(__xludf.DUMMYFUNCTION("""COMPUTED_VALUE"""),"keloqz")</f>
        <v>keloqz</v>
      </c>
      <c r="H31" s="189" t="str">
        <f>IFERROR(__xludf.DUMMYFUNCTION("""COMPUTED_VALUE"""),"Mandatory")</f>
        <v>Mandatory</v>
      </c>
      <c r="I31" s="189" t="str">
        <f>IFERROR(__xludf.DUMMYFUNCTION("""COMPUTED_VALUE"""),"Operator")</f>
        <v>Operator</v>
      </c>
      <c r="J31" s="189">
        <f>IFERROR(__xludf.DUMMYFUNCTION("""COMPUTED_VALUE"""),60.0)</f>
        <v>60</v>
      </c>
      <c r="K31" s="189">
        <f>IFERROR(__xludf.DUMMYFUNCTION("""COMPUTED_VALUE"""),485.0)</f>
        <v>485</v>
      </c>
      <c r="L31" s="189">
        <f>IFERROR(__xludf.DUMMYFUNCTION("""COMPUTED_VALUE"""),12.37)</f>
        <v>12.37</v>
      </c>
    </row>
    <row r="32">
      <c r="A32" s="182" t="s">
        <v>271</v>
      </c>
      <c r="B32" s="182" t="s">
        <v>186</v>
      </c>
      <c r="C32" s="182" t="s">
        <v>608</v>
      </c>
      <c r="D32" s="182">
        <v>25.0</v>
      </c>
      <c r="E32" s="182">
        <v>630.0</v>
      </c>
      <c r="F32" s="209">
        <v>3.97</v>
      </c>
      <c r="G32" s="210" t="str">
        <f>IFERROR(__xludf.DUMMYFUNCTION("""COMPUTED_VALUE"""),"mikee")</f>
        <v>mikee</v>
      </c>
      <c r="H32" s="189" t="str">
        <f>IFERROR(__xludf.DUMMYFUNCTION("""COMPUTED_VALUE"""),"Mandatory")</f>
        <v>Mandatory</v>
      </c>
      <c r="I32" s="189" t="str">
        <f>IFERROR(__xludf.DUMMYFUNCTION("""COMPUTED_VALUE"""),"Operator")</f>
        <v>Operator</v>
      </c>
      <c r="J32" s="189">
        <f>IFERROR(__xludf.DUMMYFUNCTION("""COMPUTED_VALUE"""),1.0)</f>
        <v>1</v>
      </c>
      <c r="K32" s="189">
        <f>IFERROR(__xludf.DUMMYFUNCTION("""COMPUTED_VALUE"""),485.0)</f>
        <v>485</v>
      </c>
      <c r="L32" s="189">
        <f>IFERROR(__xludf.DUMMYFUNCTION("""COMPUTED_VALUE"""),0.21)</f>
        <v>0.21</v>
      </c>
    </row>
    <row r="33">
      <c r="A33" s="182" t="s">
        <v>271</v>
      </c>
      <c r="B33" s="182" t="s">
        <v>186</v>
      </c>
      <c r="C33" s="182" t="s">
        <v>610</v>
      </c>
      <c r="D33" s="182">
        <v>22.0</v>
      </c>
      <c r="E33" s="182">
        <v>630.0</v>
      </c>
      <c r="F33" s="209">
        <v>3.49</v>
      </c>
      <c r="G33" s="210" t="str">
        <f>IFERROR(__xludf.DUMMYFUNCTION("""COMPUTED_VALUE"""),"TakaS")</f>
        <v>TakaS</v>
      </c>
      <c r="H33" s="189" t="str">
        <f>IFERROR(__xludf.DUMMYFUNCTION("""COMPUTED_VALUE"""),"Mandatory")</f>
        <v>Mandatory</v>
      </c>
      <c r="I33" s="189" t="str">
        <f>IFERROR(__xludf.DUMMYFUNCTION("""COMPUTED_VALUE"""),"Operator")</f>
        <v>Operator</v>
      </c>
      <c r="J33" s="189">
        <f>IFERROR(__xludf.DUMMYFUNCTION("""COMPUTED_VALUE"""),3.0)</f>
        <v>3</v>
      </c>
      <c r="K33" s="189">
        <f>IFERROR(__xludf.DUMMYFUNCTION("""COMPUTED_VALUE"""),485.0)</f>
        <v>485</v>
      </c>
      <c r="L33" s="189">
        <f>IFERROR(__xludf.DUMMYFUNCTION("""COMPUTED_VALUE"""),0.62)</f>
        <v>0.62</v>
      </c>
    </row>
    <row r="34">
      <c r="A34" s="182" t="s">
        <v>271</v>
      </c>
      <c r="B34" s="182" t="s">
        <v>186</v>
      </c>
      <c r="C34" s="182" t="s">
        <v>611</v>
      </c>
      <c r="D34" s="182">
        <v>20.0</v>
      </c>
      <c r="E34" s="182">
        <v>630.0</v>
      </c>
      <c r="F34" s="209">
        <v>3.17</v>
      </c>
      <c r="G34" s="210" t="str">
        <f>IFERROR(__xludf.DUMMYFUNCTION("""COMPUTED_VALUE"""),"bipo")</f>
        <v>bipo</v>
      </c>
      <c r="H34" s="189" t="str">
        <f>IFERROR(__xludf.DUMMYFUNCTION("""COMPUTED_VALUE"""),"MOUZ")</f>
        <v>MOUZ</v>
      </c>
      <c r="I34" s="189" t="str">
        <f>IFERROR(__xludf.DUMMYFUNCTION("""COMPUTED_VALUE"""),"Operator")</f>
        <v>Operator</v>
      </c>
      <c r="J34" s="189">
        <f>IFERROR(__xludf.DUMMYFUNCTION("""COMPUTED_VALUE"""),67.0)</f>
        <v>67</v>
      </c>
      <c r="K34" s="189">
        <f>IFERROR(__xludf.DUMMYFUNCTION("""COMPUTED_VALUE"""),567.0)</f>
        <v>567</v>
      </c>
      <c r="L34" s="189">
        <f>IFERROR(__xludf.DUMMYFUNCTION("""COMPUTED_VALUE"""),11.82)</f>
        <v>11.82</v>
      </c>
    </row>
    <row r="35">
      <c r="A35" s="182" t="s">
        <v>271</v>
      </c>
      <c r="B35" s="182" t="s">
        <v>186</v>
      </c>
      <c r="C35" s="182" t="s">
        <v>619</v>
      </c>
      <c r="D35" s="182">
        <v>5.0</v>
      </c>
      <c r="E35" s="182">
        <v>630.0</v>
      </c>
      <c r="F35" s="209">
        <v>0.79</v>
      </c>
      <c r="G35" s="210" t="str">
        <f>IFERROR(__xludf.DUMMYFUNCTION("""COMPUTED_VALUE"""),"Fizzy")</f>
        <v>Fizzy</v>
      </c>
      <c r="H35" s="189" t="str">
        <f>IFERROR(__xludf.DUMMYFUNCTION("""COMPUTED_VALUE"""),"MOUZ")</f>
        <v>MOUZ</v>
      </c>
      <c r="I35" s="189" t="str">
        <f>IFERROR(__xludf.DUMMYFUNCTION("""COMPUTED_VALUE"""),"Operator")</f>
        <v>Operator</v>
      </c>
      <c r="J35" s="189">
        <f>IFERROR(__xludf.DUMMYFUNCTION("""COMPUTED_VALUE"""),33.0)</f>
        <v>33</v>
      </c>
      <c r="K35" s="189">
        <f>IFERROR(__xludf.DUMMYFUNCTION("""COMPUTED_VALUE"""),567.0)</f>
        <v>567</v>
      </c>
      <c r="L35" s="189">
        <f>IFERROR(__xludf.DUMMYFUNCTION("""COMPUTED_VALUE"""),5.82)</f>
        <v>5.82</v>
      </c>
    </row>
    <row r="36">
      <c r="A36" s="182" t="s">
        <v>271</v>
      </c>
      <c r="B36" s="182" t="s">
        <v>186</v>
      </c>
      <c r="C36" s="182" t="s">
        <v>618</v>
      </c>
      <c r="D36" s="182">
        <v>1.0</v>
      </c>
      <c r="E36" s="182">
        <v>630.0</v>
      </c>
      <c r="F36" s="209">
        <v>0.16</v>
      </c>
      <c r="G36" s="210" t="str">
        <f>IFERROR(__xludf.DUMMYFUNCTION("""COMPUTED_VALUE"""),"iluri")</f>
        <v>iluri</v>
      </c>
      <c r="H36" s="189" t="str">
        <f>IFERROR(__xludf.DUMMYFUNCTION("""COMPUTED_VALUE"""),"MOUZ")</f>
        <v>MOUZ</v>
      </c>
      <c r="I36" s="189" t="str">
        <f>IFERROR(__xludf.DUMMYFUNCTION("""COMPUTED_VALUE"""),"Operator")</f>
        <v>Operator</v>
      </c>
      <c r="J36" s="189">
        <f>IFERROR(__xludf.DUMMYFUNCTION("""COMPUTED_VALUE"""),1.0)</f>
        <v>1</v>
      </c>
      <c r="K36" s="189">
        <f>IFERROR(__xludf.DUMMYFUNCTION("""COMPUTED_VALUE"""),567.0)</f>
        <v>567</v>
      </c>
      <c r="L36" s="189">
        <f>IFERROR(__xludf.DUMMYFUNCTION("""COMPUTED_VALUE"""),0.18)</f>
        <v>0.18</v>
      </c>
    </row>
    <row r="37">
      <c r="A37" s="182" t="s">
        <v>306</v>
      </c>
      <c r="B37" s="182" t="s">
        <v>186</v>
      </c>
      <c r="C37" s="182" t="s">
        <v>610</v>
      </c>
      <c r="D37" s="182">
        <v>288.0</v>
      </c>
      <c r="E37" s="182">
        <v>630.0</v>
      </c>
      <c r="F37" s="209">
        <v>45.71</v>
      </c>
      <c r="G37" s="210" t="str">
        <f>IFERROR(__xludf.DUMMYFUNCTION("""COMPUTED_VALUE"""),"Lime")</f>
        <v>Lime</v>
      </c>
      <c r="H37" s="189" t="str">
        <f>IFERROR(__xludf.DUMMYFUNCTION("""COMPUTED_VALUE"""),"MOUZ")</f>
        <v>MOUZ</v>
      </c>
      <c r="I37" s="189" t="str">
        <f>IFERROR(__xludf.DUMMYFUNCTION("""COMPUTED_VALUE"""),"Operator")</f>
        <v>Operator</v>
      </c>
      <c r="J37" s="189">
        <f>IFERROR(__xludf.DUMMYFUNCTION("""COMPUTED_VALUE"""),19.0)</f>
        <v>19</v>
      </c>
      <c r="K37" s="189">
        <f>IFERROR(__xludf.DUMMYFUNCTION("""COMPUTED_VALUE"""),567.0)</f>
        <v>567</v>
      </c>
      <c r="L37" s="189">
        <f>IFERROR(__xludf.DUMMYFUNCTION("""COMPUTED_VALUE"""),3.35)</f>
        <v>3.35</v>
      </c>
    </row>
    <row r="38">
      <c r="A38" s="182" t="s">
        <v>306</v>
      </c>
      <c r="B38" s="182" t="s">
        <v>186</v>
      </c>
      <c r="C38" s="182" t="s">
        <v>606</v>
      </c>
      <c r="D38" s="182">
        <v>85.0</v>
      </c>
      <c r="E38" s="182">
        <v>630.0</v>
      </c>
      <c r="F38" s="209">
        <v>13.49</v>
      </c>
      <c r="G38" s="210" t="str">
        <f>IFERROR(__xludf.DUMMYFUNCTION("""COMPUTED_VALUE"""),"Donatello")</f>
        <v>Donatello</v>
      </c>
      <c r="H38" s="189" t="str">
        <f>IFERROR(__xludf.DUMMYFUNCTION("""COMPUTED_VALUE"""),"Team Liquid Academy")</f>
        <v>Team Liquid Academy</v>
      </c>
      <c r="I38" s="189" t="str">
        <f>IFERROR(__xludf.DUMMYFUNCTION("""COMPUTED_VALUE"""),"Operator")</f>
        <v>Operator</v>
      </c>
      <c r="J38" s="189">
        <f>IFERROR(__xludf.DUMMYFUNCTION("""COMPUTED_VALUE"""),15.0)</f>
        <v>15</v>
      </c>
      <c r="K38" s="189">
        <f>IFERROR(__xludf.DUMMYFUNCTION("""COMPUTED_VALUE"""),641.0)</f>
        <v>641</v>
      </c>
      <c r="L38" s="189">
        <f>IFERROR(__xludf.DUMMYFUNCTION("""COMPUTED_VALUE"""),2.34)</f>
        <v>2.34</v>
      </c>
    </row>
    <row r="39">
      <c r="A39" s="182" t="s">
        <v>306</v>
      </c>
      <c r="B39" s="182" t="s">
        <v>186</v>
      </c>
      <c r="C39" s="182" t="s">
        <v>607</v>
      </c>
      <c r="D39" s="182">
        <v>63.0</v>
      </c>
      <c r="E39" s="182">
        <v>630.0</v>
      </c>
      <c r="F39" s="209">
        <v>10.0</v>
      </c>
      <c r="G39" s="210" t="str">
        <f>IFERROR(__xludf.DUMMYFUNCTION("""COMPUTED_VALUE"""),"GSR")</f>
        <v>GSR</v>
      </c>
      <c r="H39" s="189" t="str">
        <f>IFERROR(__xludf.DUMMYFUNCTION("""COMPUTED_VALUE"""),"Team Liquid Academy")</f>
        <v>Team Liquid Academy</v>
      </c>
      <c r="I39" s="189" t="str">
        <f>IFERROR(__xludf.DUMMYFUNCTION("""COMPUTED_VALUE"""),"Operator")</f>
        <v>Operator</v>
      </c>
      <c r="J39" s="189">
        <f>IFERROR(__xludf.DUMMYFUNCTION("""COMPUTED_VALUE"""),35.0)</f>
        <v>35</v>
      </c>
      <c r="K39" s="189">
        <f>IFERROR(__xludf.DUMMYFUNCTION("""COMPUTED_VALUE"""),641.0)</f>
        <v>641</v>
      </c>
      <c r="L39" s="189">
        <f>IFERROR(__xludf.DUMMYFUNCTION("""COMPUTED_VALUE"""),5.46)</f>
        <v>5.46</v>
      </c>
    </row>
    <row r="40">
      <c r="A40" s="182" t="s">
        <v>306</v>
      </c>
      <c r="B40" s="182" t="s">
        <v>186</v>
      </c>
      <c r="C40" s="182" t="s">
        <v>611</v>
      </c>
      <c r="D40" s="182">
        <v>48.0</v>
      </c>
      <c r="E40" s="182">
        <v>630.0</v>
      </c>
      <c r="F40" s="209">
        <v>7.62</v>
      </c>
      <c r="G40" s="210" t="str">
        <f>IFERROR(__xludf.DUMMYFUNCTION("""COMPUTED_VALUE"""),"NINJA")</f>
        <v>NINJA</v>
      </c>
      <c r="H40" s="189" t="str">
        <f>IFERROR(__xludf.DUMMYFUNCTION("""COMPUTED_VALUE"""),"Team Liquid Academy")</f>
        <v>Team Liquid Academy</v>
      </c>
      <c r="I40" s="189" t="str">
        <f>IFERROR(__xludf.DUMMYFUNCTION("""COMPUTED_VALUE"""),"Operator")</f>
        <v>Operator</v>
      </c>
      <c r="J40" s="189">
        <f>IFERROR(__xludf.DUMMYFUNCTION("""COMPUTED_VALUE"""),4.0)</f>
        <v>4</v>
      </c>
      <c r="K40" s="189">
        <f>IFERROR(__xludf.DUMMYFUNCTION("""COMPUTED_VALUE"""),641.0)</f>
        <v>641</v>
      </c>
      <c r="L40" s="189">
        <f>IFERROR(__xludf.DUMMYFUNCTION("""COMPUTED_VALUE"""),0.62)</f>
        <v>0.62</v>
      </c>
    </row>
    <row r="41">
      <c r="A41" s="182" t="s">
        <v>306</v>
      </c>
      <c r="B41" s="182" t="s">
        <v>186</v>
      </c>
      <c r="C41" s="182" t="s">
        <v>609</v>
      </c>
      <c r="D41" s="182">
        <v>37.0</v>
      </c>
      <c r="E41" s="182">
        <v>630.0</v>
      </c>
      <c r="F41" s="209">
        <v>5.87</v>
      </c>
      <c r="G41" s="210" t="str">
        <f>IFERROR(__xludf.DUMMYFUNCTION("""COMPUTED_VALUE"""),"Qpert")</f>
        <v>Qpert</v>
      </c>
      <c r="H41" s="189" t="str">
        <f>IFERROR(__xludf.DUMMYFUNCTION("""COMPUTED_VALUE"""),"Team Liquid Academy")</f>
        <v>Team Liquid Academy</v>
      </c>
      <c r="I41" s="189" t="str">
        <f>IFERROR(__xludf.DUMMYFUNCTION("""COMPUTED_VALUE"""),"Operator")</f>
        <v>Operator</v>
      </c>
      <c r="J41" s="189">
        <f>IFERROR(__xludf.DUMMYFUNCTION("""COMPUTED_VALUE"""),1.0)</f>
        <v>1</v>
      </c>
      <c r="K41" s="189">
        <f>IFERROR(__xludf.DUMMYFUNCTION("""COMPUTED_VALUE"""),641.0)</f>
        <v>641</v>
      </c>
      <c r="L41" s="189">
        <f>IFERROR(__xludf.DUMMYFUNCTION("""COMPUTED_VALUE"""),0.16)</f>
        <v>0.16</v>
      </c>
    </row>
    <row r="42">
      <c r="A42" s="182" t="s">
        <v>306</v>
      </c>
      <c r="B42" s="182" t="s">
        <v>186</v>
      </c>
      <c r="C42" s="182" t="s">
        <v>612</v>
      </c>
      <c r="D42" s="182">
        <v>31.0</v>
      </c>
      <c r="E42" s="182">
        <v>630.0</v>
      </c>
      <c r="F42" s="209">
        <v>4.92</v>
      </c>
      <c r="G42" s="210" t="str">
        <f>IFERROR(__xludf.DUMMYFUNCTION("""COMPUTED_VALUE"""),"b1sk")</f>
        <v>b1sk</v>
      </c>
      <c r="H42" s="189" t="str">
        <f>IFERROR(__xludf.DUMMYFUNCTION("""COMPUTED_VALUE"""),"The Ultimates")</f>
        <v>The Ultimates</v>
      </c>
      <c r="I42" s="189" t="str">
        <f>IFERROR(__xludf.DUMMYFUNCTION("""COMPUTED_VALUE"""),"Operator")</f>
        <v>Operator</v>
      </c>
      <c r="J42" s="189">
        <f>IFERROR(__xludf.DUMMYFUNCTION("""COMPUTED_VALUE"""),164.0)</f>
        <v>164</v>
      </c>
      <c r="K42" s="189">
        <f>IFERROR(__xludf.DUMMYFUNCTION("""COMPUTED_VALUE"""),721.0)</f>
        <v>721</v>
      </c>
      <c r="L42" s="189">
        <f>IFERROR(__xludf.DUMMYFUNCTION("""COMPUTED_VALUE"""),22.75)</f>
        <v>22.75</v>
      </c>
    </row>
    <row r="43">
      <c r="A43" s="182" t="s">
        <v>306</v>
      </c>
      <c r="B43" s="182" t="s">
        <v>186</v>
      </c>
      <c r="C43" s="182" t="s">
        <v>618</v>
      </c>
      <c r="D43" s="182">
        <v>23.0</v>
      </c>
      <c r="E43" s="182">
        <v>630.0</v>
      </c>
      <c r="F43" s="209">
        <v>3.65</v>
      </c>
      <c r="G43" s="210" t="str">
        <f>IFERROR(__xludf.DUMMYFUNCTION("""COMPUTED_VALUE"""),"Fighter")</f>
        <v>Fighter</v>
      </c>
      <c r="H43" s="189" t="str">
        <f>IFERROR(__xludf.DUMMYFUNCTION("""COMPUTED_VALUE"""),"The Ultimates")</f>
        <v>The Ultimates</v>
      </c>
      <c r="I43" s="189" t="str">
        <f>IFERROR(__xludf.DUMMYFUNCTION("""COMPUTED_VALUE"""),"Operator")</f>
        <v>Operator</v>
      </c>
      <c r="J43" s="189">
        <f>IFERROR(__xludf.DUMMYFUNCTION("""COMPUTED_VALUE"""),1.0)</f>
        <v>1</v>
      </c>
      <c r="K43" s="189">
        <f>IFERROR(__xludf.DUMMYFUNCTION("""COMPUTED_VALUE"""),630.0)</f>
        <v>630</v>
      </c>
      <c r="L43" s="189">
        <f>IFERROR(__xludf.DUMMYFUNCTION("""COMPUTED_VALUE"""),0.16)</f>
        <v>0.16</v>
      </c>
    </row>
    <row r="44">
      <c r="A44" s="182" t="s">
        <v>306</v>
      </c>
      <c r="B44" s="182" t="s">
        <v>186</v>
      </c>
      <c r="C44" s="182" t="s">
        <v>608</v>
      </c>
      <c r="D44" s="182">
        <v>21.0</v>
      </c>
      <c r="E44" s="182">
        <v>630.0</v>
      </c>
      <c r="F44" s="209">
        <v>3.33</v>
      </c>
      <c r="G44" s="210" t="str">
        <f>IFERROR(__xludf.DUMMYFUNCTION("""COMPUTED_VALUE"""),"Moh")</f>
        <v>Moh</v>
      </c>
      <c r="H44" s="189" t="str">
        <f>IFERROR(__xludf.DUMMYFUNCTION("""COMPUTED_VALUE"""),"The Ultimates")</f>
        <v>The Ultimates</v>
      </c>
      <c r="I44" s="189" t="str">
        <f>IFERROR(__xludf.DUMMYFUNCTION("""COMPUTED_VALUE"""),"Operator")</f>
        <v>Operator</v>
      </c>
      <c r="J44" s="189">
        <f>IFERROR(__xludf.DUMMYFUNCTION("""COMPUTED_VALUE"""),8.0)</f>
        <v>8</v>
      </c>
      <c r="K44" s="189">
        <f>IFERROR(__xludf.DUMMYFUNCTION("""COMPUTED_VALUE"""),698.0)</f>
        <v>698</v>
      </c>
      <c r="L44" s="189">
        <f>IFERROR(__xludf.DUMMYFUNCTION("""COMPUTED_VALUE"""),1.15)</f>
        <v>1.15</v>
      </c>
    </row>
    <row r="45">
      <c r="A45" s="182" t="s">
        <v>306</v>
      </c>
      <c r="B45" s="182" t="s">
        <v>186</v>
      </c>
      <c r="C45" s="182" t="s">
        <v>620</v>
      </c>
      <c r="D45" s="182">
        <v>10.0</v>
      </c>
      <c r="E45" s="182">
        <v>630.0</v>
      </c>
      <c r="F45" s="209">
        <v>1.59</v>
      </c>
      <c r="G45" s="210" t="str">
        <f>IFERROR(__xludf.DUMMYFUNCTION("""COMPUTED_VALUE"""),"Recoil")</f>
        <v>Recoil</v>
      </c>
      <c r="H45" s="189" t="str">
        <f>IFERROR(__xludf.DUMMYFUNCTION("""COMPUTED_VALUE"""),"The Ultimates")</f>
        <v>The Ultimates</v>
      </c>
      <c r="I45" s="189" t="str">
        <f>IFERROR(__xludf.DUMMYFUNCTION("""COMPUTED_VALUE"""),"Operator")</f>
        <v>Operator</v>
      </c>
      <c r="J45" s="189">
        <f>IFERROR(__xludf.DUMMYFUNCTION("""COMPUTED_VALUE"""),2.0)</f>
        <v>2</v>
      </c>
      <c r="K45" s="189">
        <f>IFERROR(__xludf.DUMMYFUNCTION("""COMPUTED_VALUE"""),418.0)</f>
        <v>418</v>
      </c>
      <c r="L45" s="189">
        <f>IFERROR(__xludf.DUMMYFUNCTION("""COMPUTED_VALUE"""),0.48)</f>
        <v>0.48</v>
      </c>
    </row>
    <row r="46">
      <c r="A46" s="182" t="s">
        <v>306</v>
      </c>
      <c r="B46" s="182" t="s">
        <v>186</v>
      </c>
      <c r="C46" s="182" t="s">
        <v>622</v>
      </c>
      <c r="D46" s="182">
        <v>8.0</v>
      </c>
      <c r="E46" s="182">
        <v>630.0</v>
      </c>
      <c r="F46" s="209">
        <v>1.27</v>
      </c>
      <c r="G46" s="210" t="str">
        <f>IFERROR(__xludf.DUMMYFUNCTION("""COMPUTED_VALUE"""),"ExiT")</f>
        <v>ExiT</v>
      </c>
      <c r="H46" s="189" t="str">
        <f>IFERROR(__xludf.DUMMYFUNCTION("""COMPUTED_VALUE"""),"Twisted Minds Esports")</f>
        <v>Twisted Minds Esports</v>
      </c>
      <c r="I46" s="189" t="str">
        <f>IFERROR(__xludf.DUMMYFUNCTION("""COMPUTED_VALUE"""),"Operator")</f>
        <v>Operator</v>
      </c>
      <c r="J46" s="189">
        <f>IFERROR(__xludf.DUMMYFUNCTION("""COMPUTED_VALUE"""),128.0)</f>
        <v>128</v>
      </c>
      <c r="K46" s="189">
        <f>IFERROR(__xludf.DUMMYFUNCTION("""COMPUTED_VALUE"""),724.0)</f>
        <v>724</v>
      </c>
      <c r="L46" s="189">
        <f>IFERROR(__xludf.DUMMYFUNCTION("""COMPUTED_VALUE"""),17.68)</f>
        <v>17.68</v>
      </c>
    </row>
    <row r="47">
      <c r="A47" s="182" t="s">
        <v>306</v>
      </c>
      <c r="B47" s="182" t="s">
        <v>186</v>
      </c>
      <c r="C47" s="182" t="s">
        <v>619</v>
      </c>
      <c r="D47" s="182">
        <v>7.0</v>
      </c>
      <c r="E47" s="182">
        <v>630.0</v>
      </c>
      <c r="F47" s="209">
        <v>1.11</v>
      </c>
      <c r="G47" s="210" t="str">
        <f>IFERROR(__xludf.DUMMYFUNCTION("""COMPUTED_VALUE"""),"SAND")</f>
        <v>SAND</v>
      </c>
      <c r="H47" s="189" t="str">
        <f>IFERROR(__xludf.DUMMYFUNCTION("""COMPUTED_VALUE"""),"Twisted Minds Esports")</f>
        <v>Twisted Minds Esports</v>
      </c>
      <c r="I47" s="189" t="str">
        <f>IFERROR(__xludf.DUMMYFUNCTION("""COMPUTED_VALUE"""),"Operator")</f>
        <v>Operator</v>
      </c>
      <c r="J47" s="189">
        <f>IFERROR(__xludf.DUMMYFUNCTION("""COMPUTED_VALUE"""),39.0)</f>
        <v>39</v>
      </c>
      <c r="K47" s="189">
        <f>IFERROR(__xludf.DUMMYFUNCTION("""COMPUTED_VALUE"""),724.0)</f>
        <v>724</v>
      </c>
      <c r="L47" s="189">
        <f>IFERROR(__xludf.DUMMYFUNCTION("""COMPUTED_VALUE"""),5.39)</f>
        <v>5.39</v>
      </c>
    </row>
    <row r="48">
      <c r="A48" s="182" t="s">
        <v>306</v>
      </c>
      <c r="B48" s="182" t="s">
        <v>186</v>
      </c>
      <c r="C48" s="182" t="s">
        <v>617</v>
      </c>
      <c r="D48" s="182">
        <v>3.0</v>
      </c>
      <c r="E48" s="182">
        <v>630.0</v>
      </c>
      <c r="F48" s="209">
        <v>0.48</v>
      </c>
      <c r="G48" s="210" t="str">
        <f>IFERROR(__xludf.DUMMYFUNCTION("""COMPUTED_VALUE"""),"sickrey")</f>
        <v>sickrey</v>
      </c>
      <c r="H48" s="189" t="str">
        <f>IFERROR(__xludf.DUMMYFUNCTION("""COMPUTED_VALUE"""),"Twisted Minds Esports")</f>
        <v>Twisted Minds Esports</v>
      </c>
      <c r="I48" s="189" t="str">
        <f>IFERROR(__xludf.DUMMYFUNCTION("""COMPUTED_VALUE"""),"Operator")</f>
        <v>Operator</v>
      </c>
      <c r="J48" s="189">
        <f>IFERROR(__xludf.DUMMYFUNCTION("""COMPUTED_VALUE"""),6.0)</f>
        <v>6</v>
      </c>
      <c r="K48" s="189">
        <f>IFERROR(__xludf.DUMMYFUNCTION("""COMPUTED_VALUE"""),724.0)</f>
        <v>724</v>
      </c>
      <c r="L48" s="189">
        <f>IFERROR(__xludf.DUMMYFUNCTION("""COMPUTED_VALUE"""),0.83)</f>
        <v>0.83</v>
      </c>
    </row>
    <row r="49">
      <c r="A49" s="182" t="s">
        <v>306</v>
      </c>
      <c r="B49" s="182" t="s">
        <v>186</v>
      </c>
      <c r="C49" s="182" t="s">
        <v>616</v>
      </c>
      <c r="D49" s="182">
        <v>3.0</v>
      </c>
      <c r="E49" s="182">
        <v>630.0</v>
      </c>
      <c r="F49" s="209">
        <v>0.48</v>
      </c>
      <c r="G49" s="210" t="str">
        <f>IFERROR(__xludf.DUMMYFUNCTION("""COMPUTED_VALUE"""),"audaz")</f>
        <v>audaz</v>
      </c>
      <c r="H49" s="189" t="str">
        <f>IFERROR(__xludf.DUMMYFUNCTION("""COMPUTED_VALUE"""),"ULF Esports")</f>
        <v>ULF Esports</v>
      </c>
      <c r="I49" s="189" t="str">
        <f>IFERROR(__xludf.DUMMYFUNCTION("""COMPUTED_VALUE"""),"Operator")</f>
        <v>Operator</v>
      </c>
      <c r="J49" s="189">
        <f>IFERROR(__xludf.DUMMYFUNCTION("""COMPUTED_VALUE"""),2.0)</f>
        <v>2</v>
      </c>
      <c r="K49" s="189">
        <f>IFERROR(__xludf.DUMMYFUNCTION("""COMPUTED_VALUE"""),588.0)</f>
        <v>588</v>
      </c>
      <c r="L49" s="189">
        <f>IFERROR(__xludf.DUMMYFUNCTION("""COMPUTED_VALUE"""),0.34)</f>
        <v>0.34</v>
      </c>
    </row>
    <row r="50">
      <c r="A50" s="182" t="s">
        <v>306</v>
      </c>
      <c r="B50" s="182" t="s">
        <v>186</v>
      </c>
      <c r="C50" s="182" t="s">
        <v>623</v>
      </c>
      <c r="D50" s="182">
        <v>2.0</v>
      </c>
      <c r="E50" s="182">
        <v>630.0</v>
      </c>
      <c r="F50" s="209">
        <v>0.32</v>
      </c>
      <c r="G50" s="210" t="str">
        <f>IFERROR(__xludf.DUMMYFUNCTION("""COMPUTED_VALUE"""),"ech0")</f>
        <v>ech0</v>
      </c>
      <c r="H50" s="189" t="str">
        <f>IFERROR(__xludf.DUMMYFUNCTION("""COMPUTED_VALUE"""),"ULF Esports")</f>
        <v>ULF Esports</v>
      </c>
      <c r="I50" s="189" t="str">
        <f>IFERROR(__xludf.DUMMYFUNCTION("""COMPUTED_VALUE"""),"Operator")</f>
        <v>Operator</v>
      </c>
      <c r="J50" s="189">
        <f>IFERROR(__xludf.DUMMYFUNCTION("""COMPUTED_VALUE"""),2.0)</f>
        <v>2</v>
      </c>
      <c r="K50" s="189">
        <f>IFERROR(__xludf.DUMMYFUNCTION("""COMPUTED_VALUE"""),588.0)</f>
        <v>588</v>
      </c>
      <c r="L50" s="189">
        <f>IFERROR(__xludf.DUMMYFUNCTION("""COMPUTED_VALUE"""),0.34)</f>
        <v>0.34</v>
      </c>
    </row>
    <row r="51">
      <c r="A51" s="182" t="s">
        <v>306</v>
      </c>
      <c r="B51" s="182" t="s">
        <v>186</v>
      </c>
      <c r="C51" s="182" t="s">
        <v>615</v>
      </c>
      <c r="D51" s="182">
        <v>1.0</v>
      </c>
      <c r="E51" s="182">
        <v>630.0</v>
      </c>
      <c r="F51" s="209">
        <v>0.16</v>
      </c>
      <c r="G51" s="210" t="str">
        <f>IFERROR(__xludf.DUMMYFUNCTION("""COMPUTED_VALUE"""),"FAVIANN")</f>
        <v>FAVIANN</v>
      </c>
      <c r="H51" s="189" t="str">
        <f>IFERROR(__xludf.DUMMYFUNCTION("""COMPUTED_VALUE"""),"ULF Esports (si)")</f>
        <v>ULF Esports (si)</v>
      </c>
      <c r="I51" s="189" t="str">
        <f>IFERROR(__xludf.DUMMYFUNCTION("""COMPUTED_VALUE"""),"Operator")</f>
        <v>Operator</v>
      </c>
      <c r="J51" s="189">
        <f>IFERROR(__xludf.DUMMYFUNCTION("""COMPUTED_VALUE"""),1.0)</f>
        <v>1</v>
      </c>
      <c r="K51" s="189">
        <f>IFERROR(__xludf.DUMMYFUNCTION("""COMPUTED_VALUE"""),588.0)</f>
        <v>588</v>
      </c>
      <c r="L51" s="189">
        <f>IFERROR(__xludf.DUMMYFUNCTION("""COMPUTED_VALUE"""),0.17)</f>
        <v>0.17</v>
      </c>
    </row>
    <row r="52">
      <c r="A52" s="182" t="s">
        <v>247</v>
      </c>
      <c r="B52" s="182" t="s">
        <v>186</v>
      </c>
      <c r="C52" s="182" t="s">
        <v>622</v>
      </c>
      <c r="D52" s="182">
        <v>217.0</v>
      </c>
      <c r="E52" s="182">
        <v>630.0</v>
      </c>
      <c r="F52" s="209">
        <v>34.44</v>
      </c>
      <c r="G52" s="210" t="str">
        <f>IFERROR(__xludf.DUMMYFUNCTION("""COMPUTED_VALUE"""),"nekky")</f>
        <v>nekky</v>
      </c>
      <c r="H52" s="189" t="str">
        <f>IFERROR(__xludf.DUMMYFUNCTION("""COMPUTED_VALUE"""),"ULF Esports")</f>
        <v>ULF Esports</v>
      </c>
      <c r="I52" s="189" t="str">
        <f>IFERROR(__xludf.DUMMYFUNCTION("""COMPUTED_VALUE"""),"Operator")</f>
        <v>Operator</v>
      </c>
      <c r="J52" s="189">
        <f>IFERROR(__xludf.DUMMYFUNCTION("""COMPUTED_VALUE"""),9.0)</f>
        <v>9</v>
      </c>
      <c r="K52" s="189">
        <f>IFERROR(__xludf.DUMMYFUNCTION("""COMPUTED_VALUE"""),588.0)</f>
        <v>588</v>
      </c>
      <c r="L52" s="189">
        <f>IFERROR(__xludf.DUMMYFUNCTION("""COMPUTED_VALUE"""),1.53)</f>
        <v>1.53</v>
      </c>
    </row>
    <row r="53">
      <c r="A53" s="182" t="s">
        <v>247</v>
      </c>
      <c r="B53" s="182" t="s">
        <v>186</v>
      </c>
      <c r="C53" s="182" t="s">
        <v>606</v>
      </c>
      <c r="D53" s="182">
        <v>102.0</v>
      </c>
      <c r="E53" s="182">
        <v>630.0</v>
      </c>
      <c r="F53" s="209">
        <v>16.19</v>
      </c>
      <c r="G53" s="210" t="str">
        <f>IFERROR(__xludf.DUMMYFUNCTION("""COMPUTED_VALUE"""),"s0pp")</f>
        <v>s0pp</v>
      </c>
      <c r="H53" s="189" t="str">
        <f>IFERROR(__xludf.DUMMYFUNCTION("""COMPUTED_VALUE"""),"ULF Esports")</f>
        <v>ULF Esports</v>
      </c>
      <c r="I53" s="189" t="str">
        <f>IFERROR(__xludf.DUMMYFUNCTION("""COMPUTED_VALUE"""),"Operator")</f>
        <v>Operator</v>
      </c>
      <c r="J53" s="189">
        <f>IFERROR(__xludf.DUMMYFUNCTION("""COMPUTED_VALUE"""),157.0)</f>
        <v>157</v>
      </c>
      <c r="K53" s="189">
        <f>IFERROR(__xludf.DUMMYFUNCTION("""COMPUTED_VALUE"""),588.0)</f>
        <v>588</v>
      </c>
      <c r="L53" s="189">
        <f>IFERROR(__xludf.DUMMYFUNCTION("""COMPUTED_VALUE"""),26.7)</f>
        <v>26.7</v>
      </c>
    </row>
    <row r="54">
      <c r="A54" s="182" t="s">
        <v>247</v>
      </c>
      <c r="B54" s="182" t="s">
        <v>186</v>
      </c>
      <c r="C54" s="182" t="s">
        <v>610</v>
      </c>
      <c r="D54" s="182">
        <v>74.0</v>
      </c>
      <c r="E54" s="182">
        <v>630.0</v>
      </c>
      <c r="F54" s="209">
        <v>11.75</v>
      </c>
      <c r="G54" s="210"/>
    </row>
    <row r="55">
      <c r="A55" s="182" t="s">
        <v>247</v>
      </c>
      <c r="B55" s="182" t="s">
        <v>186</v>
      </c>
      <c r="C55" s="182" t="s">
        <v>607</v>
      </c>
      <c r="D55" s="182">
        <v>46.0</v>
      </c>
      <c r="E55" s="182">
        <v>630.0</v>
      </c>
      <c r="F55" s="209">
        <v>7.3</v>
      </c>
      <c r="G55" s="210"/>
    </row>
    <row r="56">
      <c r="A56" s="182" t="s">
        <v>247</v>
      </c>
      <c r="B56" s="182" t="s">
        <v>186</v>
      </c>
      <c r="C56" s="182" t="s">
        <v>616</v>
      </c>
      <c r="D56" s="182">
        <v>43.0</v>
      </c>
      <c r="E56" s="182">
        <v>630.0</v>
      </c>
      <c r="F56" s="209">
        <v>6.83</v>
      </c>
      <c r="G56" s="210"/>
    </row>
    <row r="57">
      <c r="A57" s="182" t="s">
        <v>247</v>
      </c>
      <c r="B57" s="182" t="s">
        <v>186</v>
      </c>
      <c r="C57" s="182" t="s">
        <v>611</v>
      </c>
      <c r="D57" s="182">
        <v>37.0</v>
      </c>
      <c r="E57" s="182">
        <v>630.0</v>
      </c>
      <c r="F57" s="209">
        <v>5.87</v>
      </c>
      <c r="G57" s="210"/>
    </row>
    <row r="58">
      <c r="A58" s="182" t="s">
        <v>247</v>
      </c>
      <c r="B58" s="182" t="s">
        <v>186</v>
      </c>
      <c r="C58" s="182" t="s">
        <v>618</v>
      </c>
      <c r="D58" s="182">
        <v>27.0</v>
      </c>
      <c r="E58" s="182">
        <v>630.0</v>
      </c>
      <c r="F58" s="209">
        <v>4.29</v>
      </c>
      <c r="G58" s="210"/>
    </row>
    <row r="59">
      <c r="A59" s="182" t="s">
        <v>247</v>
      </c>
      <c r="B59" s="182" t="s">
        <v>186</v>
      </c>
      <c r="C59" s="182" t="s">
        <v>612</v>
      </c>
      <c r="D59" s="182">
        <v>22.0</v>
      </c>
      <c r="E59" s="182">
        <v>630.0</v>
      </c>
      <c r="F59" s="209">
        <v>3.49</v>
      </c>
      <c r="G59" s="210"/>
    </row>
    <row r="60">
      <c r="A60" s="182" t="s">
        <v>247</v>
      </c>
      <c r="B60" s="182" t="s">
        <v>186</v>
      </c>
      <c r="C60" s="182" t="s">
        <v>617</v>
      </c>
      <c r="D60" s="182">
        <v>15.0</v>
      </c>
      <c r="E60" s="182">
        <v>630.0</v>
      </c>
      <c r="F60" s="209">
        <v>2.38</v>
      </c>
      <c r="G60" s="210"/>
    </row>
    <row r="61">
      <c r="A61" s="182" t="s">
        <v>247</v>
      </c>
      <c r="B61" s="182" t="s">
        <v>186</v>
      </c>
      <c r="C61" s="182" t="s">
        <v>609</v>
      </c>
      <c r="D61" s="182">
        <v>14.0</v>
      </c>
      <c r="E61" s="182">
        <v>630.0</v>
      </c>
      <c r="F61" s="209">
        <v>2.22</v>
      </c>
      <c r="G61" s="210"/>
    </row>
    <row r="62">
      <c r="A62" s="182" t="s">
        <v>247</v>
      </c>
      <c r="B62" s="182" t="s">
        <v>186</v>
      </c>
      <c r="C62" s="182" t="s">
        <v>615</v>
      </c>
      <c r="D62" s="182">
        <v>9.0</v>
      </c>
      <c r="E62" s="182">
        <v>630.0</v>
      </c>
      <c r="F62" s="209">
        <v>1.43</v>
      </c>
      <c r="G62" s="210"/>
    </row>
    <row r="63">
      <c r="A63" s="182" t="s">
        <v>247</v>
      </c>
      <c r="B63" s="182" t="s">
        <v>186</v>
      </c>
      <c r="C63" s="182" t="s">
        <v>614</v>
      </c>
      <c r="D63" s="182">
        <v>9.0</v>
      </c>
      <c r="E63" s="182">
        <v>630.0</v>
      </c>
      <c r="F63" s="209">
        <v>1.43</v>
      </c>
      <c r="G63" s="210"/>
    </row>
    <row r="64">
      <c r="A64" s="182" t="s">
        <v>247</v>
      </c>
      <c r="B64" s="182" t="s">
        <v>186</v>
      </c>
      <c r="C64" s="182" t="s">
        <v>608</v>
      </c>
      <c r="D64" s="182">
        <v>6.0</v>
      </c>
      <c r="E64" s="182">
        <v>630.0</v>
      </c>
      <c r="F64" s="209">
        <v>0.95</v>
      </c>
      <c r="G64" s="210"/>
    </row>
    <row r="65">
      <c r="A65" s="182" t="s">
        <v>247</v>
      </c>
      <c r="B65" s="182" t="s">
        <v>186</v>
      </c>
      <c r="C65" s="182" t="s">
        <v>621</v>
      </c>
      <c r="D65" s="182">
        <v>5.0</v>
      </c>
      <c r="E65" s="182">
        <v>630.0</v>
      </c>
      <c r="F65" s="209">
        <v>0.79</v>
      </c>
      <c r="G65" s="210"/>
    </row>
    <row r="66">
      <c r="A66" s="182" t="s">
        <v>247</v>
      </c>
      <c r="B66" s="182" t="s">
        <v>186</v>
      </c>
      <c r="C66" s="182" t="s">
        <v>613</v>
      </c>
      <c r="D66" s="182">
        <v>3.0</v>
      </c>
      <c r="E66" s="182">
        <v>630.0</v>
      </c>
      <c r="F66" s="209">
        <v>0.48</v>
      </c>
      <c r="G66" s="210"/>
    </row>
    <row r="67">
      <c r="A67" s="182" t="s">
        <v>297</v>
      </c>
      <c r="B67" s="182" t="s">
        <v>181</v>
      </c>
      <c r="C67" s="182" t="s">
        <v>606</v>
      </c>
      <c r="D67" s="182">
        <v>322.0</v>
      </c>
      <c r="E67" s="182">
        <v>708.0</v>
      </c>
      <c r="F67" s="209">
        <v>45.48</v>
      </c>
      <c r="G67" s="210"/>
    </row>
    <row r="68">
      <c r="A68" s="182" t="s">
        <v>297</v>
      </c>
      <c r="B68" s="182" t="s">
        <v>181</v>
      </c>
      <c r="C68" s="182" t="s">
        <v>610</v>
      </c>
      <c r="D68" s="182">
        <v>80.0</v>
      </c>
      <c r="E68" s="182">
        <v>708.0</v>
      </c>
      <c r="F68" s="209">
        <v>11.3</v>
      </c>
      <c r="G68" s="210"/>
    </row>
    <row r="69">
      <c r="A69" s="182" t="s">
        <v>297</v>
      </c>
      <c r="B69" s="182" t="s">
        <v>181</v>
      </c>
      <c r="C69" s="182" t="s">
        <v>607</v>
      </c>
      <c r="D69" s="182">
        <v>68.0</v>
      </c>
      <c r="E69" s="182">
        <v>708.0</v>
      </c>
      <c r="F69" s="209">
        <v>9.6</v>
      </c>
      <c r="G69" s="210"/>
    </row>
    <row r="70">
      <c r="A70" s="182" t="s">
        <v>297</v>
      </c>
      <c r="B70" s="182" t="s">
        <v>181</v>
      </c>
      <c r="C70" s="182" t="s">
        <v>612</v>
      </c>
      <c r="D70" s="182">
        <v>60.0</v>
      </c>
      <c r="E70" s="182">
        <v>708.0</v>
      </c>
      <c r="F70" s="209">
        <v>8.47</v>
      </c>
      <c r="G70" s="210"/>
    </row>
    <row r="71">
      <c r="A71" s="182" t="s">
        <v>297</v>
      </c>
      <c r="B71" s="182" t="s">
        <v>181</v>
      </c>
      <c r="C71" s="182" t="s">
        <v>611</v>
      </c>
      <c r="D71" s="182">
        <v>42.0</v>
      </c>
      <c r="E71" s="182">
        <v>708.0</v>
      </c>
      <c r="F71" s="209">
        <v>5.93</v>
      </c>
      <c r="G71" s="210"/>
    </row>
    <row r="72">
      <c r="A72" s="182" t="s">
        <v>297</v>
      </c>
      <c r="B72" s="182" t="s">
        <v>181</v>
      </c>
      <c r="C72" s="182" t="s">
        <v>608</v>
      </c>
      <c r="D72" s="182">
        <v>34.0</v>
      </c>
      <c r="E72" s="182">
        <v>708.0</v>
      </c>
      <c r="F72" s="209">
        <v>4.8</v>
      </c>
      <c r="G72" s="210"/>
    </row>
    <row r="73">
      <c r="A73" s="182" t="s">
        <v>297</v>
      </c>
      <c r="B73" s="182" t="s">
        <v>181</v>
      </c>
      <c r="C73" s="182" t="s">
        <v>609</v>
      </c>
      <c r="D73" s="182">
        <v>34.0</v>
      </c>
      <c r="E73" s="182">
        <v>708.0</v>
      </c>
      <c r="F73" s="209">
        <v>4.8</v>
      </c>
      <c r="G73" s="210"/>
    </row>
    <row r="74">
      <c r="A74" s="182" t="s">
        <v>297</v>
      </c>
      <c r="B74" s="182" t="s">
        <v>181</v>
      </c>
      <c r="C74" s="182" t="s">
        <v>618</v>
      </c>
      <c r="D74" s="182">
        <v>31.0</v>
      </c>
      <c r="E74" s="182">
        <v>708.0</v>
      </c>
      <c r="F74" s="209">
        <v>4.38</v>
      </c>
      <c r="G74" s="210"/>
    </row>
    <row r="75">
      <c r="A75" s="182" t="s">
        <v>297</v>
      </c>
      <c r="B75" s="182" t="s">
        <v>181</v>
      </c>
      <c r="C75" s="182" t="s">
        <v>622</v>
      </c>
      <c r="D75" s="182">
        <v>9.0</v>
      </c>
      <c r="E75" s="182">
        <v>708.0</v>
      </c>
      <c r="F75" s="209">
        <v>1.27</v>
      </c>
      <c r="G75" s="210"/>
    </row>
    <row r="76">
      <c r="A76" s="182" t="s">
        <v>297</v>
      </c>
      <c r="B76" s="182" t="s">
        <v>181</v>
      </c>
      <c r="C76" s="182" t="s">
        <v>619</v>
      </c>
      <c r="D76" s="182">
        <v>9.0</v>
      </c>
      <c r="E76" s="182">
        <v>708.0</v>
      </c>
      <c r="F76" s="209">
        <v>1.27</v>
      </c>
      <c r="G76" s="210"/>
    </row>
    <row r="77">
      <c r="A77" s="182" t="s">
        <v>297</v>
      </c>
      <c r="B77" s="182" t="s">
        <v>181</v>
      </c>
      <c r="C77" s="182" t="s">
        <v>616</v>
      </c>
      <c r="D77" s="182">
        <v>6.0</v>
      </c>
      <c r="E77" s="182">
        <v>708.0</v>
      </c>
      <c r="F77" s="209">
        <v>0.85</v>
      </c>
      <c r="G77" s="210"/>
    </row>
    <row r="78">
      <c r="A78" s="182" t="s">
        <v>297</v>
      </c>
      <c r="B78" s="182" t="s">
        <v>181</v>
      </c>
      <c r="C78" s="182" t="s">
        <v>613</v>
      </c>
      <c r="D78" s="182">
        <v>4.0</v>
      </c>
      <c r="E78" s="182">
        <v>708.0</v>
      </c>
      <c r="F78" s="209">
        <v>0.56</v>
      </c>
      <c r="G78" s="210"/>
    </row>
    <row r="79">
      <c r="A79" s="182" t="s">
        <v>297</v>
      </c>
      <c r="B79" s="182" t="s">
        <v>181</v>
      </c>
      <c r="C79" s="182" t="s">
        <v>614</v>
      </c>
      <c r="D79" s="182">
        <v>3.0</v>
      </c>
      <c r="E79" s="182">
        <v>708.0</v>
      </c>
      <c r="F79" s="209">
        <v>0.42</v>
      </c>
      <c r="G79" s="210"/>
    </row>
    <row r="80">
      <c r="A80" s="182" t="s">
        <v>297</v>
      </c>
      <c r="B80" s="182" t="s">
        <v>181</v>
      </c>
      <c r="C80" s="182" t="s">
        <v>617</v>
      </c>
      <c r="D80" s="182">
        <v>3.0</v>
      </c>
      <c r="E80" s="182">
        <v>708.0</v>
      </c>
      <c r="F80" s="209">
        <v>0.42</v>
      </c>
      <c r="G80" s="210"/>
    </row>
    <row r="81">
      <c r="A81" s="182" t="s">
        <v>297</v>
      </c>
      <c r="B81" s="182" t="s">
        <v>181</v>
      </c>
      <c r="C81" s="182" t="s">
        <v>615</v>
      </c>
      <c r="D81" s="182">
        <v>2.0</v>
      </c>
      <c r="E81" s="182">
        <v>708.0</v>
      </c>
      <c r="F81" s="209">
        <v>0.28</v>
      </c>
      <c r="G81" s="210"/>
    </row>
    <row r="82">
      <c r="A82" s="182" t="s">
        <v>297</v>
      </c>
      <c r="B82" s="182" t="s">
        <v>181</v>
      </c>
      <c r="C82" s="182" t="s">
        <v>620</v>
      </c>
      <c r="D82" s="182">
        <v>1.0</v>
      </c>
      <c r="E82" s="182">
        <v>708.0</v>
      </c>
      <c r="F82" s="209">
        <v>0.14</v>
      </c>
      <c r="G82" s="210"/>
    </row>
    <row r="83">
      <c r="A83" s="182" t="s">
        <v>239</v>
      </c>
      <c r="B83" s="182" t="s">
        <v>181</v>
      </c>
      <c r="C83" s="182" t="s">
        <v>606</v>
      </c>
      <c r="D83" s="182">
        <v>332.0</v>
      </c>
      <c r="E83" s="182">
        <v>708.0</v>
      </c>
      <c r="F83" s="209">
        <v>46.89</v>
      </c>
      <c r="G83" s="210"/>
    </row>
    <row r="84">
      <c r="A84" s="182" t="s">
        <v>239</v>
      </c>
      <c r="B84" s="182" t="s">
        <v>181</v>
      </c>
      <c r="C84" s="182" t="s">
        <v>610</v>
      </c>
      <c r="D84" s="182">
        <v>83.0</v>
      </c>
      <c r="E84" s="182">
        <v>708.0</v>
      </c>
      <c r="F84" s="209">
        <v>11.72</v>
      </c>
      <c r="G84" s="210"/>
    </row>
    <row r="85">
      <c r="A85" s="182" t="s">
        <v>239</v>
      </c>
      <c r="B85" s="182" t="s">
        <v>181</v>
      </c>
      <c r="C85" s="182" t="s">
        <v>609</v>
      </c>
      <c r="D85" s="182">
        <v>53.0</v>
      </c>
      <c r="E85" s="182">
        <v>708.0</v>
      </c>
      <c r="F85" s="209">
        <v>7.49</v>
      </c>
      <c r="G85" s="210"/>
    </row>
    <row r="86">
      <c r="A86" s="182" t="s">
        <v>239</v>
      </c>
      <c r="B86" s="182" t="s">
        <v>181</v>
      </c>
      <c r="C86" s="182" t="s">
        <v>611</v>
      </c>
      <c r="D86" s="182">
        <v>43.0</v>
      </c>
      <c r="E86" s="182">
        <v>708.0</v>
      </c>
      <c r="F86" s="209">
        <v>6.07</v>
      </c>
      <c r="G86" s="210"/>
    </row>
    <row r="87">
      <c r="A87" s="182" t="s">
        <v>239</v>
      </c>
      <c r="B87" s="182" t="s">
        <v>181</v>
      </c>
      <c r="C87" s="182" t="s">
        <v>616</v>
      </c>
      <c r="D87" s="182">
        <v>42.0</v>
      </c>
      <c r="E87" s="182">
        <v>708.0</v>
      </c>
      <c r="F87" s="209">
        <v>5.93</v>
      </c>
      <c r="G87" s="210"/>
    </row>
    <row r="88">
      <c r="A88" s="182" t="s">
        <v>239</v>
      </c>
      <c r="B88" s="182" t="s">
        <v>181</v>
      </c>
      <c r="C88" s="182" t="s">
        <v>612</v>
      </c>
      <c r="D88" s="182">
        <v>32.0</v>
      </c>
      <c r="E88" s="182">
        <v>708.0</v>
      </c>
      <c r="F88" s="209">
        <v>4.52</v>
      </c>
      <c r="G88" s="210"/>
    </row>
    <row r="89">
      <c r="A89" s="182" t="s">
        <v>239</v>
      </c>
      <c r="B89" s="182" t="s">
        <v>181</v>
      </c>
      <c r="C89" s="182" t="s">
        <v>607</v>
      </c>
      <c r="D89" s="182">
        <v>31.0</v>
      </c>
      <c r="E89" s="182">
        <v>708.0</v>
      </c>
      <c r="F89" s="209">
        <v>4.38</v>
      </c>
      <c r="G89" s="210"/>
    </row>
    <row r="90">
      <c r="A90" s="182" t="s">
        <v>239</v>
      </c>
      <c r="B90" s="182" t="s">
        <v>181</v>
      </c>
      <c r="C90" s="182" t="s">
        <v>622</v>
      </c>
      <c r="D90" s="182">
        <v>31.0</v>
      </c>
      <c r="E90" s="182">
        <v>708.0</v>
      </c>
      <c r="F90" s="209">
        <v>4.38</v>
      </c>
      <c r="G90" s="210"/>
    </row>
    <row r="91">
      <c r="A91" s="182" t="s">
        <v>239</v>
      </c>
      <c r="B91" s="182" t="s">
        <v>181</v>
      </c>
      <c r="C91" s="182" t="s">
        <v>618</v>
      </c>
      <c r="D91" s="182">
        <v>21.0</v>
      </c>
      <c r="E91" s="182">
        <v>708.0</v>
      </c>
      <c r="F91" s="209">
        <v>2.97</v>
      </c>
      <c r="G91" s="210"/>
    </row>
    <row r="92">
      <c r="A92" s="182" t="s">
        <v>239</v>
      </c>
      <c r="B92" s="182" t="s">
        <v>181</v>
      </c>
      <c r="C92" s="182" t="s">
        <v>617</v>
      </c>
      <c r="D92" s="182">
        <v>14.0</v>
      </c>
      <c r="E92" s="182">
        <v>708.0</v>
      </c>
      <c r="F92" s="209">
        <v>1.98</v>
      </c>
      <c r="G92" s="210"/>
    </row>
    <row r="93">
      <c r="A93" s="182" t="s">
        <v>239</v>
      </c>
      <c r="B93" s="182" t="s">
        <v>181</v>
      </c>
      <c r="C93" s="182" t="s">
        <v>608</v>
      </c>
      <c r="D93" s="182">
        <v>11.0</v>
      </c>
      <c r="E93" s="182">
        <v>708.0</v>
      </c>
      <c r="F93" s="209">
        <v>1.55</v>
      </c>
      <c r="G93" s="210"/>
    </row>
    <row r="94">
      <c r="A94" s="182" t="s">
        <v>239</v>
      </c>
      <c r="B94" s="182" t="s">
        <v>181</v>
      </c>
      <c r="C94" s="182" t="s">
        <v>614</v>
      </c>
      <c r="D94" s="182">
        <v>9.0</v>
      </c>
      <c r="E94" s="182">
        <v>708.0</v>
      </c>
      <c r="F94" s="209">
        <v>1.27</v>
      </c>
      <c r="G94" s="210"/>
    </row>
    <row r="95">
      <c r="A95" s="182" t="s">
        <v>239</v>
      </c>
      <c r="B95" s="182" t="s">
        <v>181</v>
      </c>
      <c r="C95" s="182" t="s">
        <v>613</v>
      </c>
      <c r="D95" s="182">
        <v>3.0</v>
      </c>
      <c r="E95" s="182">
        <v>708.0</v>
      </c>
      <c r="F95" s="209">
        <v>0.42</v>
      </c>
      <c r="G95" s="210"/>
    </row>
    <row r="96">
      <c r="A96" s="182" t="s">
        <v>239</v>
      </c>
      <c r="B96" s="182" t="s">
        <v>181</v>
      </c>
      <c r="C96" s="182" t="s">
        <v>620</v>
      </c>
      <c r="D96" s="182">
        <v>2.0</v>
      </c>
      <c r="E96" s="182">
        <v>708.0</v>
      </c>
      <c r="F96" s="209">
        <v>0.28</v>
      </c>
      <c r="G96" s="210"/>
    </row>
    <row r="97">
      <c r="A97" s="182" t="s">
        <v>239</v>
      </c>
      <c r="B97" s="182" t="s">
        <v>181</v>
      </c>
      <c r="C97" s="182" t="s">
        <v>619</v>
      </c>
      <c r="D97" s="182">
        <v>1.0</v>
      </c>
      <c r="E97" s="182">
        <v>708.0</v>
      </c>
      <c r="F97" s="209">
        <v>0.14</v>
      </c>
      <c r="G97" s="210"/>
    </row>
    <row r="98">
      <c r="A98" s="182" t="s">
        <v>263</v>
      </c>
      <c r="B98" s="182" t="s">
        <v>181</v>
      </c>
      <c r="C98" s="182" t="s">
        <v>606</v>
      </c>
      <c r="D98" s="182">
        <v>290.0</v>
      </c>
      <c r="E98" s="182">
        <v>708.0</v>
      </c>
      <c r="F98" s="209">
        <v>40.96</v>
      </c>
      <c r="G98" s="210"/>
    </row>
    <row r="99">
      <c r="A99" s="182" t="s">
        <v>263</v>
      </c>
      <c r="B99" s="182" t="s">
        <v>181</v>
      </c>
      <c r="C99" s="182" t="s">
        <v>610</v>
      </c>
      <c r="D99" s="182">
        <v>146.0</v>
      </c>
      <c r="E99" s="182">
        <v>708.0</v>
      </c>
      <c r="F99" s="209">
        <v>20.62</v>
      </c>
      <c r="G99" s="210"/>
    </row>
    <row r="100">
      <c r="A100" s="182" t="s">
        <v>263</v>
      </c>
      <c r="B100" s="182" t="s">
        <v>181</v>
      </c>
      <c r="C100" s="182" t="s">
        <v>612</v>
      </c>
      <c r="D100" s="182">
        <v>59.0</v>
      </c>
      <c r="E100" s="182">
        <v>708.0</v>
      </c>
      <c r="F100" s="209">
        <v>8.33</v>
      </c>
      <c r="G100" s="210"/>
    </row>
    <row r="101">
      <c r="A101" s="182" t="s">
        <v>263</v>
      </c>
      <c r="B101" s="182" t="s">
        <v>181</v>
      </c>
      <c r="C101" s="182" t="s">
        <v>609</v>
      </c>
      <c r="D101" s="182">
        <v>56.0</v>
      </c>
      <c r="E101" s="182">
        <v>708.0</v>
      </c>
      <c r="F101" s="209">
        <v>7.91</v>
      </c>
      <c r="G101" s="210"/>
    </row>
    <row r="102">
      <c r="A102" s="182" t="s">
        <v>263</v>
      </c>
      <c r="B102" s="182" t="s">
        <v>181</v>
      </c>
      <c r="C102" s="182" t="s">
        <v>611</v>
      </c>
      <c r="D102" s="182">
        <v>42.0</v>
      </c>
      <c r="E102" s="182">
        <v>708.0</v>
      </c>
      <c r="F102" s="209">
        <v>5.93</v>
      </c>
      <c r="G102" s="210"/>
    </row>
    <row r="103">
      <c r="A103" s="182" t="s">
        <v>263</v>
      </c>
      <c r="B103" s="182" t="s">
        <v>181</v>
      </c>
      <c r="C103" s="182" t="s">
        <v>607</v>
      </c>
      <c r="D103" s="182">
        <v>32.0</v>
      </c>
      <c r="E103" s="182">
        <v>708.0</v>
      </c>
      <c r="F103" s="209">
        <v>4.52</v>
      </c>
      <c r="G103" s="210"/>
    </row>
    <row r="104">
      <c r="A104" s="182" t="s">
        <v>263</v>
      </c>
      <c r="B104" s="182" t="s">
        <v>181</v>
      </c>
      <c r="C104" s="182" t="s">
        <v>619</v>
      </c>
      <c r="D104" s="182">
        <v>23.0</v>
      </c>
      <c r="E104" s="182">
        <v>708.0</v>
      </c>
      <c r="F104" s="209">
        <v>3.25</v>
      </c>
      <c r="G104" s="210"/>
    </row>
    <row r="105">
      <c r="A105" s="182" t="s">
        <v>263</v>
      </c>
      <c r="B105" s="182" t="s">
        <v>181</v>
      </c>
      <c r="C105" s="182" t="s">
        <v>618</v>
      </c>
      <c r="D105" s="182">
        <v>21.0</v>
      </c>
      <c r="E105" s="182">
        <v>708.0</v>
      </c>
      <c r="F105" s="209">
        <v>2.97</v>
      </c>
      <c r="G105" s="210"/>
    </row>
    <row r="106">
      <c r="A106" s="182" t="s">
        <v>263</v>
      </c>
      <c r="B106" s="182" t="s">
        <v>181</v>
      </c>
      <c r="C106" s="182" t="s">
        <v>616</v>
      </c>
      <c r="D106" s="182">
        <v>17.0</v>
      </c>
      <c r="E106" s="182">
        <v>708.0</v>
      </c>
      <c r="F106" s="209">
        <v>2.4</v>
      </c>
      <c r="G106" s="210"/>
    </row>
    <row r="107">
      <c r="A107" s="182" t="s">
        <v>263</v>
      </c>
      <c r="B107" s="182" t="s">
        <v>181</v>
      </c>
      <c r="C107" s="182" t="s">
        <v>608</v>
      </c>
      <c r="D107" s="182">
        <v>12.0</v>
      </c>
      <c r="E107" s="182">
        <v>708.0</v>
      </c>
      <c r="F107" s="209">
        <v>1.69</v>
      </c>
      <c r="G107" s="210"/>
    </row>
    <row r="108">
      <c r="A108" s="182" t="s">
        <v>263</v>
      </c>
      <c r="B108" s="182" t="s">
        <v>181</v>
      </c>
      <c r="C108" s="182" t="s">
        <v>622</v>
      </c>
      <c r="D108" s="182">
        <v>6.0</v>
      </c>
      <c r="E108" s="182">
        <v>708.0</v>
      </c>
      <c r="F108" s="209">
        <v>0.85</v>
      </c>
      <c r="G108" s="210"/>
    </row>
    <row r="109">
      <c r="A109" s="182" t="s">
        <v>263</v>
      </c>
      <c r="B109" s="182" t="s">
        <v>181</v>
      </c>
      <c r="C109" s="182" t="s">
        <v>615</v>
      </c>
      <c r="D109" s="182">
        <v>2.0</v>
      </c>
      <c r="E109" s="182">
        <v>708.0</v>
      </c>
      <c r="F109" s="209">
        <v>0.28</v>
      </c>
      <c r="G109" s="210"/>
    </row>
    <row r="110">
      <c r="A110" s="182" t="s">
        <v>263</v>
      </c>
      <c r="B110" s="182" t="s">
        <v>181</v>
      </c>
      <c r="C110" s="182" t="s">
        <v>614</v>
      </c>
      <c r="D110" s="182">
        <v>1.0</v>
      </c>
      <c r="E110" s="182">
        <v>708.0</v>
      </c>
      <c r="F110" s="209">
        <v>0.14</v>
      </c>
      <c r="G110" s="210"/>
    </row>
    <row r="111">
      <c r="A111" s="182" t="s">
        <v>263</v>
      </c>
      <c r="B111" s="182" t="s">
        <v>181</v>
      </c>
      <c r="C111" s="182" t="s">
        <v>620</v>
      </c>
      <c r="D111" s="182">
        <v>1.0</v>
      </c>
      <c r="E111" s="182">
        <v>708.0</v>
      </c>
      <c r="F111" s="209">
        <v>0.14</v>
      </c>
      <c r="G111" s="210"/>
    </row>
    <row r="112">
      <c r="A112" s="182" t="s">
        <v>273</v>
      </c>
      <c r="B112" s="182" t="s">
        <v>181</v>
      </c>
      <c r="C112" s="182" t="s">
        <v>606</v>
      </c>
      <c r="D112" s="182">
        <v>239.0</v>
      </c>
      <c r="E112" s="182">
        <v>708.0</v>
      </c>
      <c r="F112" s="209">
        <v>33.76</v>
      </c>
      <c r="G112" s="210"/>
    </row>
    <row r="113">
      <c r="A113" s="182" t="s">
        <v>273</v>
      </c>
      <c r="B113" s="182" t="s">
        <v>181</v>
      </c>
      <c r="C113" s="182" t="s">
        <v>610</v>
      </c>
      <c r="D113" s="182">
        <v>201.0</v>
      </c>
      <c r="E113" s="182">
        <v>708.0</v>
      </c>
      <c r="F113" s="209">
        <v>28.39</v>
      </c>
      <c r="G113" s="210"/>
    </row>
    <row r="114">
      <c r="A114" s="182" t="s">
        <v>273</v>
      </c>
      <c r="B114" s="182" t="s">
        <v>181</v>
      </c>
      <c r="C114" s="182" t="s">
        <v>611</v>
      </c>
      <c r="D114" s="182">
        <v>98.0</v>
      </c>
      <c r="E114" s="182">
        <v>708.0</v>
      </c>
      <c r="F114" s="209">
        <v>13.84</v>
      </c>
      <c r="G114" s="210"/>
    </row>
    <row r="115">
      <c r="A115" s="182" t="s">
        <v>273</v>
      </c>
      <c r="B115" s="182" t="s">
        <v>181</v>
      </c>
      <c r="C115" s="182" t="s">
        <v>607</v>
      </c>
      <c r="D115" s="182">
        <v>46.0</v>
      </c>
      <c r="E115" s="182">
        <v>708.0</v>
      </c>
      <c r="F115" s="209">
        <v>6.5</v>
      </c>
      <c r="G115" s="210"/>
    </row>
    <row r="116">
      <c r="A116" s="182" t="s">
        <v>273</v>
      </c>
      <c r="B116" s="182" t="s">
        <v>181</v>
      </c>
      <c r="C116" s="182" t="s">
        <v>609</v>
      </c>
      <c r="D116" s="182">
        <v>40.0</v>
      </c>
      <c r="E116" s="182">
        <v>708.0</v>
      </c>
      <c r="F116" s="209">
        <v>5.65</v>
      </c>
      <c r="G116" s="210"/>
    </row>
    <row r="117">
      <c r="A117" s="182" t="s">
        <v>273</v>
      </c>
      <c r="B117" s="182" t="s">
        <v>181</v>
      </c>
      <c r="C117" s="182" t="s">
        <v>612</v>
      </c>
      <c r="D117" s="182">
        <v>24.0</v>
      </c>
      <c r="E117" s="182">
        <v>708.0</v>
      </c>
      <c r="F117" s="209">
        <v>3.39</v>
      </c>
      <c r="G117" s="210"/>
    </row>
    <row r="118">
      <c r="A118" s="182" t="s">
        <v>273</v>
      </c>
      <c r="B118" s="182" t="s">
        <v>181</v>
      </c>
      <c r="C118" s="182" t="s">
        <v>608</v>
      </c>
      <c r="D118" s="182">
        <v>21.0</v>
      </c>
      <c r="E118" s="182">
        <v>708.0</v>
      </c>
      <c r="F118" s="209">
        <v>2.97</v>
      </c>
      <c r="G118" s="210"/>
    </row>
    <row r="119">
      <c r="A119" s="182" t="s">
        <v>273</v>
      </c>
      <c r="B119" s="182" t="s">
        <v>181</v>
      </c>
      <c r="C119" s="182" t="s">
        <v>618</v>
      </c>
      <c r="D119" s="182">
        <v>14.0</v>
      </c>
      <c r="E119" s="182">
        <v>708.0</v>
      </c>
      <c r="F119" s="209">
        <v>1.98</v>
      </c>
      <c r="G119" s="210"/>
    </row>
    <row r="120">
      <c r="A120" s="182" t="s">
        <v>273</v>
      </c>
      <c r="B120" s="182" t="s">
        <v>181</v>
      </c>
      <c r="C120" s="182" t="s">
        <v>617</v>
      </c>
      <c r="D120" s="182">
        <v>6.0</v>
      </c>
      <c r="E120" s="182">
        <v>708.0</v>
      </c>
      <c r="F120" s="209">
        <v>0.85</v>
      </c>
      <c r="G120" s="210"/>
    </row>
    <row r="121">
      <c r="A121" s="182" t="s">
        <v>273</v>
      </c>
      <c r="B121" s="182" t="s">
        <v>181</v>
      </c>
      <c r="C121" s="182" t="s">
        <v>622</v>
      </c>
      <c r="D121" s="182">
        <v>4.0</v>
      </c>
      <c r="E121" s="182">
        <v>708.0</v>
      </c>
      <c r="F121" s="209">
        <v>0.56</v>
      </c>
      <c r="G121" s="210"/>
    </row>
    <row r="122">
      <c r="A122" s="182" t="s">
        <v>273</v>
      </c>
      <c r="B122" s="182" t="s">
        <v>181</v>
      </c>
      <c r="C122" s="182" t="s">
        <v>613</v>
      </c>
      <c r="D122" s="182">
        <v>3.0</v>
      </c>
      <c r="E122" s="182">
        <v>708.0</v>
      </c>
      <c r="F122" s="209">
        <v>0.42</v>
      </c>
      <c r="G122" s="210"/>
    </row>
    <row r="123">
      <c r="A123" s="182" t="s">
        <v>273</v>
      </c>
      <c r="B123" s="182" t="s">
        <v>181</v>
      </c>
      <c r="C123" s="182" t="s">
        <v>619</v>
      </c>
      <c r="D123" s="182">
        <v>3.0</v>
      </c>
      <c r="E123" s="182">
        <v>708.0</v>
      </c>
      <c r="F123" s="209">
        <v>0.42</v>
      </c>
      <c r="G123" s="210"/>
    </row>
    <row r="124">
      <c r="A124" s="182" t="s">
        <v>273</v>
      </c>
      <c r="B124" s="182" t="s">
        <v>181</v>
      </c>
      <c r="C124" s="182" t="s">
        <v>614</v>
      </c>
      <c r="D124" s="182">
        <v>2.0</v>
      </c>
      <c r="E124" s="182">
        <v>708.0</v>
      </c>
      <c r="F124" s="209">
        <v>0.28</v>
      </c>
      <c r="G124" s="210"/>
    </row>
    <row r="125">
      <c r="A125" s="182" t="s">
        <v>273</v>
      </c>
      <c r="B125" s="182" t="s">
        <v>181</v>
      </c>
      <c r="C125" s="182" t="s">
        <v>620</v>
      </c>
      <c r="D125" s="182">
        <v>2.0</v>
      </c>
      <c r="E125" s="182">
        <v>708.0</v>
      </c>
      <c r="F125" s="209">
        <v>0.28</v>
      </c>
      <c r="G125" s="210"/>
    </row>
    <row r="126">
      <c r="A126" s="182" t="s">
        <v>273</v>
      </c>
      <c r="B126" s="182" t="s">
        <v>181</v>
      </c>
      <c r="C126" s="182" t="s">
        <v>616</v>
      </c>
      <c r="D126" s="182">
        <v>2.0</v>
      </c>
      <c r="E126" s="182">
        <v>708.0</v>
      </c>
      <c r="F126" s="209">
        <v>0.28</v>
      </c>
      <c r="G126" s="210"/>
    </row>
    <row r="127">
      <c r="A127" s="182" t="s">
        <v>273</v>
      </c>
      <c r="B127" s="182" t="s">
        <v>181</v>
      </c>
      <c r="C127" s="182" t="s">
        <v>621</v>
      </c>
      <c r="D127" s="182">
        <v>2.0</v>
      </c>
      <c r="E127" s="182">
        <v>708.0</v>
      </c>
      <c r="F127" s="209">
        <v>0.28</v>
      </c>
      <c r="G127" s="210"/>
    </row>
    <row r="128">
      <c r="A128" s="182" t="s">
        <v>273</v>
      </c>
      <c r="B128" s="182" t="s">
        <v>181</v>
      </c>
      <c r="C128" s="182" t="s">
        <v>623</v>
      </c>
      <c r="D128" s="182">
        <v>1.0</v>
      </c>
      <c r="E128" s="182">
        <v>708.0</v>
      </c>
      <c r="F128" s="209">
        <v>0.14</v>
      </c>
      <c r="G128" s="210"/>
    </row>
    <row r="129">
      <c r="A129" s="182" t="s">
        <v>251</v>
      </c>
      <c r="B129" s="182" t="s">
        <v>181</v>
      </c>
      <c r="C129" s="182" t="s">
        <v>606</v>
      </c>
      <c r="D129" s="182">
        <v>470.0</v>
      </c>
      <c r="E129" s="182">
        <v>708.0</v>
      </c>
      <c r="F129" s="209">
        <v>66.38</v>
      </c>
      <c r="G129" s="210"/>
    </row>
    <row r="130">
      <c r="A130" s="182" t="s">
        <v>251</v>
      </c>
      <c r="B130" s="182" t="s">
        <v>181</v>
      </c>
      <c r="C130" s="182" t="s">
        <v>607</v>
      </c>
      <c r="D130" s="182">
        <v>67.0</v>
      </c>
      <c r="E130" s="182">
        <v>708.0</v>
      </c>
      <c r="F130" s="209">
        <v>9.46</v>
      </c>
      <c r="G130" s="210"/>
    </row>
    <row r="131">
      <c r="A131" s="182" t="s">
        <v>251</v>
      </c>
      <c r="B131" s="182" t="s">
        <v>181</v>
      </c>
      <c r="C131" s="182" t="s">
        <v>608</v>
      </c>
      <c r="D131" s="182">
        <v>47.0</v>
      </c>
      <c r="E131" s="182">
        <v>708.0</v>
      </c>
      <c r="F131" s="209">
        <v>6.64</v>
      </c>
      <c r="G131" s="210"/>
    </row>
    <row r="132">
      <c r="A132" s="182" t="s">
        <v>251</v>
      </c>
      <c r="B132" s="182" t="s">
        <v>181</v>
      </c>
      <c r="C132" s="182" t="s">
        <v>612</v>
      </c>
      <c r="D132" s="182">
        <v>30.0</v>
      </c>
      <c r="E132" s="182">
        <v>708.0</v>
      </c>
      <c r="F132" s="209">
        <v>4.24</v>
      </c>
      <c r="G132" s="210"/>
    </row>
    <row r="133">
      <c r="A133" s="182" t="s">
        <v>251</v>
      </c>
      <c r="B133" s="182" t="s">
        <v>181</v>
      </c>
      <c r="C133" s="182" t="s">
        <v>618</v>
      </c>
      <c r="D133" s="182">
        <v>29.0</v>
      </c>
      <c r="E133" s="182">
        <v>708.0</v>
      </c>
      <c r="F133" s="209">
        <v>4.1</v>
      </c>
      <c r="G133" s="210"/>
    </row>
    <row r="134">
      <c r="A134" s="182" t="s">
        <v>251</v>
      </c>
      <c r="B134" s="182" t="s">
        <v>181</v>
      </c>
      <c r="C134" s="182" t="s">
        <v>611</v>
      </c>
      <c r="D134" s="182">
        <v>28.0</v>
      </c>
      <c r="E134" s="182">
        <v>708.0</v>
      </c>
      <c r="F134" s="209">
        <v>3.95</v>
      </c>
      <c r="G134" s="210"/>
    </row>
    <row r="135">
      <c r="A135" s="182" t="s">
        <v>251</v>
      </c>
      <c r="B135" s="182" t="s">
        <v>181</v>
      </c>
      <c r="C135" s="182" t="s">
        <v>610</v>
      </c>
      <c r="D135" s="182">
        <v>19.0</v>
      </c>
      <c r="E135" s="182">
        <v>708.0</v>
      </c>
      <c r="F135" s="209">
        <v>2.68</v>
      </c>
      <c r="G135" s="210"/>
    </row>
    <row r="136">
      <c r="A136" s="182" t="s">
        <v>251</v>
      </c>
      <c r="B136" s="182" t="s">
        <v>181</v>
      </c>
      <c r="C136" s="182" t="s">
        <v>609</v>
      </c>
      <c r="D136" s="182">
        <v>10.0</v>
      </c>
      <c r="E136" s="182">
        <v>708.0</v>
      </c>
      <c r="F136" s="209">
        <v>1.41</v>
      </c>
      <c r="G136" s="210"/>
    </row>
    <row r="137">
      <c r="A137" s="182" t="s">
        <v>251</v>
      </c>
      <c r="B137" s="182" t="s">
        <v>181</v>
      </c>
      <c r="C137" s="182" t="s">
        <v>616</v>
      </c>
      <c r="D137" s="182">
        <v>5.0</v>
      </c>
      <c r="E137" s="182">
        <v>708.0</v>
      </c>
      <c r="F137" s="209">
        <v>0.71</v>
      </c>
      <c r="G137" s="210"/>
    </row>
    <row r="138">
      <c r="A138" s="182" t="s">
        <v>251</v>
      </c>
      <c r="B138" s="182" t="s">
        <v>181</v>
      </c>
      <c r="C138" s="182" t="s">
        <v>613</v>
      </c>
      <c r="D138" s="182">
        <v>1.0</v>
      </c>
      <c r="E138" s="182">
        <v>708.0</v>
      </c>
      <c r="F138" s="209">
        <v>0.14</v>
      </c>
      <c r="G138" s="210"/>
    </row>
    <row r="139">
      <c r="A139" s="182" t="s">
        <v>251</v>
      </c>
      <c r="B139" s="182" t="s">
        <v>181</v>
      </c>
      <c r="C139" s="182" t="s">
        <v>614</v>
      </c>
      <c r="D139" s="182">
        <v>1.0</v>
      </c>
      <c r="E139" s="182">
        <v>708.0</v>
      </c>
      <c r="F139" s="209">
        <v>0.14</v>
      </c>
      <c r="G139" s="210"/>
    </row>
    <row r="140">
      <c r="A140" s="182" t="s">
        <v>251</v>
      </c>
      <c r="B140" s="182" t="s">
        <v>181</v>
      </c>
      <c r="C140" s="182" t="s">
        <v>619</v>
      </c>
      <c r="D140" s="182">
        <v>1.0</v>
      </c>
      <c r="E140" s="182">
        <v>708.0</v>
      </c>
      <c r="F140" s="209">
        <v>0.14</v>
      </c>
      <c r="G140" s="210"/>
    </row>
    <row r="141">
      <c r="A141" s="182" t="s">
        <v>290</v>
      </c>
      <c r="B141" s="182" t="s">
        <v>190</v>
      </c>
      <c r="C141" s="182" t="s">
        <v>606</v>
      </c>
      <c r="D141" s="182">
        <v>455.0</v>
      </c>
      <c r="E141" s="182">
        <v>667.0</v>
      </c>
      <c r="F141" s="209">
        <v>68.22</v>
      </c>
      <c r="G141" s="210"/>
    </row>
    <row r="142">
      <c r="A142" s="182" t="s">
        <v>290</v>
      </c>
      <c r="B142" s="182" t="s">
        <v>190</v>
      </c>
      <c r="C142" s="182" t="s">
        <v>609</v>
      </c>
      <c r="D142" s="182">
        <v>64.0</v>
      </c>
      <c r="E142" s="182">
        <v>667.0</v>
      </c>
      <c r="F142" s="209">
        <v>9.6</v>
      </c>
      <c r="G142" s="210"/>
    </row>
    <row r="143">
      <c r="A143" s="182" t="s">
        <v>290</v>
      </c>
      <c r="B143" s="182" t="s">
        <v>190</v>
      </c>
      <c r="C143" s="182" t="s">
        <v>611</v>
      </c>
      <c r="D143" s="182">
        <v>56.0</v>
      </c>
      <c r="E143" s="182">
        <v>667.0</v>
      </c>
      <c r="F143" s="209">
        <v>8.4</v>
      </c>
      <c r="G143" s="210"/>
    </row>
    <row r="144">
      <c r="A144" s="182" t="s">
        <v>290</v>
      </c>
      <c r="B144" s="182" t="s">
        <v>190</v>
      </c>
      <c r="C144" s="182" t="s">
        <v>608</v>
      </c>
      <c r="D144" s="182">
        <v>36.0</v>
      </c>
      <c r="E144" s="182">
        <v>667.0</v>
      </c>
      <c r="F144" s="209">
        <v>5.4</v>
      </c>
      <c r="G144" s="210"/>
    </row>
    <row r="145">
      <c r="A145" s="182" t="s">
        <v>290</v>
      </c>
      <c r="B145" s="182" t="s">
        <v>190</v>
      </c>
      <c r="C145" s="182" t="s">
        <v>607</v>
      </c>
      <c r="D145" s="182">
        <v>23.0</v>
      </c>
      <c r="E145" s="182">
        <v>667.0</v>
      </c>
      <c r="F145" s="209">
        <v>3.45</v>
      </c>
      <c r="G145" s="210"/>
    </row>
    <row r="146">
      <c r="A146" s="182" t="s">
        <v>290</v>
      </c>
      <c r="B146" s="182" t="s">
        <v>190</v>
      </c>
      <c r="C146" s="182" t="s">
        <v>612</v>
      </c>
      <c r="D146" s="182">
        <v>9.0</v>
      </c>
      <c r="E146" s="182">
        <v>667.0</v>
      </c>
      <c r="F146" s="209">
        <v>1.35</v>
      </c>
      <c r="G146" s="210"/>
    </row>
    <row r="147">
      <c r="A147" s="182" t="s">
        <v>290</v>
      </c>
      <c r="B147" s="182" t="s">
        <v>190</v>
      </c>
      <c r="C147" s="182" t="s">
        <v>618</v>
      </c>
      <c r="D147" s="182">
        <v>8.0</v>
      </c>
      <c r="E147" s="182">
        <v>667.0</v>
      </c>
      <c r="F147" s="209">
        <v>1.2</v>
      </c>
      <c r="G147" s="210"/>
    </row>
    <row r="148">
      <c r="A148" s="182" t="s">
        <v>290</v>
      </c>
      <c r="B148" s="182" t="s">
        <v>190</v>
      </c>
      <c r="C148" s="182" t="s">
        <v>610</v>
      </c>
      <c r="D148" s="182">
        <v>7.0</v>
      </c>
      <c r="E148" s="182">
        <v>667.0</v>
      </c>
      <c r="F148" s="209">
        <v>1.05</v>
      </c>
      <c r="G148" s="210"/>
    </row>
    <row r="149">
      <c r="A149" s="182" t="s">
        <v>290</v>
      </c>
      <c r="B149" s="182" t="s">
        <v>190</v>
      </c>
      <c r="C149" s="182" t="s">
        <v>619</v>
      </c>
      <c r="D149" s="182">
        <v>4.0</v>
      </c>
      <c r="E149" s="182">
        <v>667.0</v>
      </c>
      <c r="F149" s="209">
        <v>0.6</v>
      </c>
      <c r="G149" s="210"/>
    </row>
    <row r="150">
      <c r="A150" s="182" t="s">
        <v>290</v>
      </c>
      <c r="B150" s="182" t="s">
        <v>190</v>
      </c>
      <c r="C150" s="182" t="s">
        <v>617</v>
      </c>
      <c r="D150" s="182">
        <v>2.0</v>
      </c>
      <c r="E150" s="182">
        <v>667.0</v>
      </c>
      <c r="F150" s="209">
        <v>0.3</v>
      </c>
      <c r="G150" s="210"/>
    </row>
    <row r="151">
      <c r="A151" s="182" t="s">
        <v>290</v>
      </c>
      <c r="B151" s="182" t="s">
        <v>190</v>
      </c>
      <c r="C151" s="182" t="s">
        <v>616</v>
      </c>
      <c r="D151" s="182">
        <v>2.0</v>
      </c>
      <c r="E151" s="182">
        <v>667.0</v>
      </c>
      <c r="F151" s="209">
        <v>0.3</v>
      </c>
      <c r="G151" s="210"/>
    </row>
    <row r="152">
      <c r="A152" s="182" t="s">
        <v>290</v>
      </c>
      <c r="B152" s="182" t="s">
        <v>190</v>
      </c>
      <c r="C152" s="182" t="s">
        <v>622</v>
      </c>
      <c r="D152" s="182">
        <v>1.0</v>
      </c>
      <c r="E152" s="182">
        <v>667.0</v>
      </c>
      <c r="F152" s="209">
        <v>0.15</v>
      </c>
      <c r="G152" s="210"/>
    </row>
    <row r="153">
      <c r="A153" s="182" t="s">
        <v>262</v>
      </c>
      <c r="B153" s="182" t="s">
        <v>190</v>
      </c>
      <c r="C153" s="182" t="s">
        <v>606</v>
      </c>
      <c r="D153" s="182">
        <v>240.0</v>
      </c>
      <c r="E153" s="182">
        <v>667.0</v>
      </c>
      <c r="F153" s="209">
        <v>35.98</v>
      </c>
      <c r="G153" s="210"/>
    </row>
    <row r="154">
      <c r="A154" s="182" t="s">
        <v>262</v>
      </c>
      <c r="B154" s="182" t="s">
        <v>190</v>
      </c>
      <c r="C154" s="182" t="s">
        <v>622</v>
      </c>
      <c r="D154" s="182">
        <v>97.0</v>
      </c>
      <c r="E154" s="182">
        <v>667.0</v>
      </c>
      <c r="F154" s="209">
        <v>14.54</v>
      </c>
      <c r="G154" s="210"/>
    </row>
    <row r="155">
      <c r="A155" s="182" t="s">
        <v>262</v>
      </c>
      <c r="B155" s="182" t="s">
        <v>190</v>
      </c>
      <c r="C155" s="182" t="s">
        <v>610</v>
      </c>
      <c r="D155" s="182">
        <v>93.0</v>
      </c>
      <c r="E155" s="182">
        <v>667.0</v>
      </c>
      <c r="F155" s="209">
        <v>13.94</v>
      </c>
      <c r="G155" s="210"/>
    </row>
    <row r="156">
      <c r="A156" s="182" t="s">
        <v>262</v>
      </c>
      <c r="B156" s="182" t="s">
        <v>190</v>
      </c>
      <c r="C156" s="182" t="s">
        <v>609</v>
      </c>
      <c r="D156" s="182">
        <v>52.0</v>
      </c>
      <c r="E156" s="182">
        <v>667.0</v>
      </c>
      <c r="F156" s="209">
        <v>7.8</v>
      </c>
      <c r="G156" s="210"/>
    </row>
    <row r="157">
      <c r="A157" s="182" t="s">
        <v>262</v>
      </c>
      <c r="B157" s="182" t="s">
        <v>190</v>
      </c>
      <c r="C157" s="182" t="s">
        <v>616</v>
      </c>
      <c r="D157" s="182">
        <v>39.0</v>
      </c>
      <c r="E157" s="182">
        <v>667.0</v>
      </c>
      <c r="F157" s="209">
        <v>5.85</v>
      </c>
      <c r="G157" s="210"/>
    </row>
    <row r="158">
      <c r="A158" s="182" t="s">
        <v>262</v>
      </c>
      <c r="B158" s="182" t="s">
        <v>190</v>
      </c>
      <c r="C158" s="182" t="s">
        <v>607</v>
      </c>
      <c r="D158" s="182">
        <v>32.0</v>
      </c>
      <c r="E158" s="182">
        <v>667.0</v>
      </c>
      <c r="F158" s="209">
        <v>4.8</v>
      </c>
      <c r="G158" s="210"/>
    </row>
    <row r="159">
      <c r="A159" s="182" t="s">
        <v>262</v>
      </c>
      <c r="B159" s="182" t="s">
        <v>190</v>
      </c>
      <c r="C159" s="182" t="s">
        <v>611</v>
      </c>
      <c r="D159" s="182">
        <v>27.0</v>
      </c>
      <c r="E159" s="182">
        <v>667.0</v>
      </c>
      <c r="F159" s="209">
        <v>4.05</v>
      </c>
      <c r="G159" s="210"/>
    </row>
    <row r="160">
      <c r="A160" s="182" t="s">
        <v>262</v>
      </c>
      <c r="B160" s="182" t="s">
        <v>190</v>
      </c>
      <c r="C160" s="182" t="s">
        <v>618</v>
      </c>
      <c r="D160" s="182">
        <v>17.0</v>
      </c>
      <c r="E160" s="182">
        <v>667.0</v>
      </c>
      <c r="F160" s="209">
        <v>2.55</v>
      </c>
      <c r="G160" s="210"/>
    </row>
    <row r="161">
      <c r="A161" s="182" t="s">
        <v>262</v>
      </c>
      <c r="B161" s="182" t="s">
        <v>190</v>
      </c>
      <c r="C161" s="182" t="s">
        <v>617</v>
      </c>
      <c r="D161" s="182">
        <v>13.0</v>
      </c>
      <c r="E161" s="182">
        <v>667.0</v>
      </c>
      <c r="F161" s="209">
        <v>1.95</v>
      </c>
      <c r="G161" s="210"/>
    </row>
    <row r="162">
      <c r="A162" s="182" t="s">
        <v>262</v>
      </c>
      <c r="B162" s="182" t="s">
        <v>190</v>
      </c>
      <c r="C162" s="182" t="s">
        <v>608</v>
      </c>
      <c r="D162" s="182">
        <v>11.0</v>
      </c>
      <c r="E162" s="182">
        <v>667.0</v>
      </c>
      <c r="F162" s="209">
        <v>1.65</v>
      </c>
      <c r="G162" s="210"/>
    </row>
    <row r="163">
      <c r="A163" s="182" t="s">
        <v>262</v>
      </c>
      <c r="B163" s="182" t="s">
        <v>190</v>
      </c>
      <c r="C163" s="182" t="s">
        <v>615</v>
      </c>
      <c r="D163" s="182">
        <v>9.0</v>
      </c>
      <c r="E163" s="182">
        <v>667.0</v>
      </c>
      <c r="F163" s="209">
        <v>1.35</v>
      </c>
      <c r="G163" s="210"/>
    </row>
    <row r="164">
      <c r="A164" s="182" t="s">
        <v>262</v>
      </c>
      <c r="B164" s="182" t="s">
        <v>190</v>
      </c>
      <c r="C164" s="182" t="s">
        <v>612</v>
      </c>
      <c r="D164" s="182">
        <v>9.0</v>
      </c>
      <c r="E164" s="182">
        <v>667.0</v>
      </c>
      <c r="F164" s="209">
        <v>1.35</v>
      </c>
      <c r="G164" s="210"/>
    </row>
    <row r="165">
      <c r="A165" s="182" t="s">
        <v>262</v>
      </c>
      <c r="B165" s="182" t="s">
        <v>190</v>
      </c>
      <c r="C165" s="182" t="s">
        <v>619</v>
      </c>
      <c r="D165" s="182">
        <v>9.0</v>
      </c>
      <c r="E165" s="182">
        <v>667.0</v>
      </c>
      <c r="F165" s="209">
        <v>1.35</v>
      </c>
      <c r="G165" s="210"/>
    </row>
    <row r="166">
      <c r="A166" s="182" t="s">
        <v>262</v>
      </c>
      <c r="B166" s="182" t="s">
        <v>190</v>
      </c>
      <c r="C166" s="182" t="s">
        <v>613</v>
      </c>
      <c r="D166" s="182">
        <v>7.0</v>
      </c>
      <c r="E166" s="182">
        <v>667.0</v>
      </c>
      <c r="F166" s="209">
        <v>1.05</v>
      </c>
      <c r="G166" s="210"/>
    </row>
    <row r="167">
      <c r="A167" s="182" t="s">
        <v>262</v>
      </c>
      <c r="B167" s="182" t="s">
        <v>190</v>
      </c>
      <c r="C167" s="182" t="s">
        <v>614</v>
      </c>
      <c r="D167" s="182">
        <v>6.0</v>
      </c>
      <c r="E167" s="182">
        <v>667.0</v>
      </c>
      <c r="F167" s="209">
        <v>0.9</v>
      </c>
      <c r="G167" s="210"/>
    </row>
    <row r="168">
      <c r="A168" s="182" t="s">
        <v>262</v>
      </c>
      <c r="B168" s="182" t="s">
        <v>190</v>
      </c>
      <c r="C168" s="182" t="s">
        <v>620</v>
      </c>
      <c r="D168" s="182">
        <v>3.0</v>
      </c>
      <c r="E168" s="182">
        <v>667.0</v>
      </c>
      <c r="F168" s="209">
        <v>0.45</v>
      </c>
      <c r="G168" s="210"/>
    </row>
    <row r="169">
      <c r="A169" s="182" t="s">
        <v>262</v>
      </c>
      <c r="B169" s="182" t="s">
        <v>190</v>
      </c>
      <c r="C169" s="182" t="s">
        <v>621</v>
      </c>
      <c r="D169" s="182">
        <v>3.0</v>
      </c>
      <c r="E169" s="182">
        <v>667.0</v>
      </c>
      <c r="F169" s="209">
        <v>0.45</v>
      </c>
      <c r="G169" s="210"/>
    </row>
    <row r="170">
      <c r="A170" s="182" t="s">
        <v>305</v>
      </c>
      <c r="B170" s="182" t="s">
        <v>190</v>
      </c>
      <c r="C170" s="182" t="s">
        <v>606</v>
      </c>
      <c r="D170" s="182">
        <v>314.0</v>
      </c>
      <c r="E170" s="182">
        <v>667.0</v>
      </c>
      <c r="F170" s="209">
        <v>47.08</v>
      </c>
      <c r="G170" s="210"/>
    </row>
    <row r="171">
      <c r="A171" s="182" t="s">
        <v>305</v>
      </c>
      <c r="B171" s="182" t="s">
        <v>190</v>
      </c>
      <c r="C171" s="182" t="s">
        <v>610</v>
      </c>
      <c r="D171" s="182">
        <v>116.0</v>
      </c>
      <c r="E171" s="182">
        <v>667.0</v>
      </c>
      <c r="F171" s="209">
        <v>17.39</v>
      </c>
      <c r="G171" s="210"/>
    </row>
    <row r="172">
      <c r="A172" s="182" t="s">
        <v>305</v>
      </c>
      <c r="B172" s="182" t="s">
        <v>190</v>
      </c>
      <c r="C172" s="182" t="s">
        <v>607</v>
      </c>
      <c r="D172" s="182">
        <v>81.0</v>
      </c>
      <c r="E172" s="182">
        <v>667.0</v>
      </c>
      <c r="F172" s="209">
        <v>12.14</v>
      </c>
      <c r="G172" s="210"/>
    </row>
    <row r="173">
      <c r="A173" s="182" t="s">
        <v>305</v>
      </c>
      <c r="B173" s="182" t="s">
        <v>190</v>
      </c>
      <c r="C173" s="182" t="s">
        <v>609</v>
      </c>
      <c r="D173" s="182">
        <v>52.0</v>
      </c>
      <c r="E173" s="182">
        <v>667.0</v>
      </c>
      <c r="F173" s="209">
        <v>7.8</v>
      </c>
      <c r="G173" s="210"/>
    </row>
    <row r="174">
      <c r="A174" s="182" t="s">
        <v>305</v>
      </c>
      <c r="B174" s="182" t="s">
        <v>190</v>
      </c>
      <c r="C174" s="182" t="s">
        <v>612</v>
      </c>
      <c r="D174" s="182">
        <v>23.0</v>
      </c>
      <c r="E174" s="182">
        <v>667.0</v>
      </c>
      <c r="F174" s="209">
        <v>3.45</v>
      </c>
      <c r="G174" s="210"/>
    </row>
    <row r="175">
      <c r="A175" s="182" t="s">
        <v>305</v>
      </c>
      <c r="B175" s="182" t="s">
        <v>190</v>
      </c>
      <c r="C175" s="182" t="s">
        <v>608</v>
      </c>
      <c r="D175" s="182">
        <v>20.0</v>
      </c>
      <c r="E175" s="182">
        <v>667.0</v>
      </c>
      <c r="F175" s="209">
        <v>3.0</v>
      </c>
      <c r="G175" s="210"/>
    </row>
    <row r="176">
      <c r="A176" s="182" t="s">
        <v>305</v>
      </c>
      <c r="B176" s="182" t="s">
        <v>190</v>
      </c>
      <c r="C176" s="182" t="s">
        <v>611</v>
      </c>
      <c r="D176" s="182">
        <v>19.0</v>
      </c>
      <c r="E176" s="182">
        <v>667.0</v>
      </c>
      <c r="F176" s="209">
        <v>2.85</v>
      </c>
      <c r="G176" s="210"/>
    </row>
    <row r="177">
      <c r="A177" s="182" t="s">
        <v>305</v>
      </c>
      <c r="B177" s="182" t="s">
        <v>190</v>
      </c>
      <c r="C177" s="182" t="s">
        <v>619</v>
      </c>
      <c r="D177" s="182">
        <v>14.0</v>
      </c>
      <c r="E177" s="182">
        <v>667.0</v>
      </c>
      <c r="F177" s="209">
        <v>2.1</v>
      </c>
      <c r="G177" s="210"/>
    </row>
    <row r="178">
      <c r="A178" s="182" t="s">
        <v>305</v>
      </c>
      <c r="B178" s="182" t="s">
        <v>190</v>
      </c>
      <c r="C178" s="182" t="s">
        <v>618</v>
      </c>
      <c r="D178" s="182">
        <v>11.0</v>
      </c>
      <c r="E178" s="182">
        <v>667.0</v>
      </c>
      <c r="F178" s="209">
        <v>1.65</v>
      </c>
      <c r="G178" s="210"/>
    </row>
    <row r="179">
      <c r="A179" s="182" t="s">
        <v>305</v>
      </c>
      <c r="B179" s="182" t="s">
        <v>190</v>
      </c>
      <c r="C179" s="182" t="s">
        <v>620</v>
      </c>
      <c r="D179" s="182">
        <v>8.0</v>
      </c>
      <c r="E179" s="182">
        <v>667.0</v>
      </c>
      <c r="F179" s="209">
        <v>1.2</v>
      </c>
      <c r="G179" s="210"/>
    </row>
    <row r="180">
      <c r="A180" s="182" t="s">
        <v>305</v>
      </c>
      <c r="B180" s="182" t="s">
        <v>190</v>
      </c>
      <c r="C180" s="182" t="s">
        <v>615</v>
      </c>
      <c r="D180" s="182">
        <v>5.0</v>
      </c>
      <c r="E180" s="182">
        <v>667.0</v>
      </c>
      <c r="F180" s="209">
        <v>0.75</v>
      </c>
      <c r="G180" s="210"/>
    </row>
    <row r="181">
      <c r="A181" s="182" t="s">
        <v>305</v>
      </c>
      <c r="B181" s="182" t="s">
        <v>190</v>
      </c>
      <c r="C181" s="182" t="s">
        <v>616</v>
      </c>
      <c r="D181" s="182">
        <v>2.0</v>
      </c>
      <c r="E181" s="182">
        <v>667.0</v>
      </c>
      <c r="F181" s="209">
        <v>0.3</v>
      </c>
      <c r="G181" s="210"/>
    </row>
    <row r="182">
      <c r="A182" s="182" t="s">
        <v>305</v>
      </c>
      <c r="B182" s="182" t="s">
        <v>190</v>
      </c>
      <c r="C182" s="182" t="s">
        <v>613</v>
      </c>
      <c r="D182" s="182">
        <v>1.0</v>
      </c>
      <c r="E182" s="182">
        <v>667.0</v>
      </c>
      <c r="F182" s="209">
        <v>0.15</v>
      </c>
      <c r="G182" s="210"/>
    </row>
    <row r="183">
      <c r="A183" s="182" t="s">
        <v>305</v>
      </c>
      <c r="B183" s="182" t="s">
        <v>190</v>
      </c>
      <c r="C183" s="182" t="s">
        <v>617</v>
      </c>
      <c r="D183" s="182">
        <v>1.0</v>
      </c>
      <c r="E183" s="182">
        <v>667.0</v>
      </c>
      <c r="F183" s="209">
        <v>0.15</v>
      </c>
      <c r="G183" s="210"/>
    </row>
    <row r="184">
      <c r="A184" s="182" t="s">
        <v>287</v>
      </c>
      <c r="B184" s="182" t="s">
        <v>190</v>
      </c>
      <c r="C184" s="182" t="s">
        <v>606</v>
      </c>
      <c r="D184" s="182">
        <v>298.0</v>
      </c>
      <c r="E184" s="182">
        <v>667.0</v>
      </c>
      <c r="F184" s="209">
        <v>44.68</v>
      </c>
      <c r="G184" s="210"/>
    </row>
    <row r="185">
      <c r="A185" s="182" t="s">
        <v>287</v>
      </c>
      <c r="B185" s="182" t="s">
        <v>190</v>
      </c>
      <c r="C185" s="182" t="s">
        <v>610</v>
      </c>
      <c r="D185" s="182">
        <v>88.0</v>
      </c>
      <c r="E185" s="182">
        <v>667.0</v>
      </c>
      <c r="F185" s="209">
        <v>13.19</v>
      </c>
      <c r="G185" s="210"/>
    </row>
    <row r="186">
      <c r="A186" s="182" t="s">
        <v>287</v>
      </c>
      <c r="B186" s="182" t="s">
        <v>190</v>
      </c>
      <c r="C186" s="182" t="s">
        <v>607</v>
      </c>
      <c r="D186" s="182">
        <v>54.0</v>
      </c>
      <c r="E186" s="182">
        <v>667.0</v>
      </c>
      <c r="F186" s="209">
        <v>8.1</v>
      </c>
      <c r="G186" s="210"/>
    </row>
    <row r="187">
      <c r="A187" s="182" t="s">
        <v>287</v>
      </c>
      <c r="B187" s="182" t="s">
        <v>190</v>
      </c>
      <c r="C187" s="182" t="s">
        <v>620</v>
      </c>
      <c r="D187" s="182">
        <v>51.0</v>
      </c>
      <c r="E187" s="182">
        <v>667.0</v>
      </c>
      <c r="F187" s="209">
        <v>7.65</v>
      </c>
      <c r="G187" s="210"/>
    </row>
    <row r="188">
      <c r="A188" s="182" t="s">
        <v>287</v>
      </c>
      <c r="B188" s="182" t="s">
        <v>190</v>
      </c>
      <c r="C188" s="182" t="s">
        <v>609</v>
      </c>
      <c r="D188" s="182">
        <v>37.0</v>
      </c>
      <c r="E188" s="182">
        <v>667.0</v>
      </c>
      <c r="F188" s="209">
        <v>5.55</v>
      </c>
      <c r="G188" s="210"/>
    </row>
    <row r="189">
      <c r="A189" s="182" t="s">
        <v>287</v>
      </c>
      <c r="B189" s="182" t="s">
        <v>190</v>
      </c>
      <c r="C189" s="182" t="s">
        <v>618</v>
      </c>
      <c r="D189" s="182">
        <v>37.0</v>
      </c>
      <c r="E189" s="182">
        <v>667.0</v>
      </c>
      <c r="F189" s="209">
        <v>5.55</v>
      </c>
      <c r="G189" s="210"/>
    </row>
    <row r="190">
      <c r="A190" s="182" t="s">
        <v>287</v>
      </c>
      <c r="B190" s="182" t="s">
        <v>190</v>
      </c>
      <c r="C190" s="182" t="s">
        <v>611</v>
      </c>
      <c r="D190" s="182">
        <v>35.0</v>
      </c>
      <c r="E190" s="182">
        <v>667.0</v>
      </c>
      <c r="F190" s="209">
        <v>5.25</v>
      </c>
      <c r="G190" s="210"/>
    </row>
    <row r="191">
      <c r="A191" s="182" t="s">
        <v>287</v>
      </c>
      <c r="B191" s="182" t="s">
        <v>190</v>
      </c>
      <c r="C191" s="182" t="s">
        <v>608</v>
      </c>
      <c r="D191" s="182">
        <v>26.0</v>
      </c>
      <c r="E191" s="182">
        <v>667.0</v>
      </c>
      <c r="F191" s="209">
        <v>3.9</v>
      </c>
      <c r="G191" s="210"/>
    </row>
    <row r="192">
      <c r="A192" s="182" t="s">
        <v>287</v>
      </c>
      <c r="B192" s="182" t="s">
        <v>190</v>
      </c>
      <c r="C192" s="182" t="s">
        <v>612</v>
      </c>
      <c r="D192" s="182">
        <v>18.0</v>
      </c>
      <c r="E192" s="182">
        <v>667.0</v>
      </c>
      <c r="F192" s="209">
        <v>2.7</v>
      </c>
      <c r="G192" s="210"/>
    </row>
    <row r="193">
      <c r="A193" s="182" t="s">
        <v>287</v>
      </c>
      <c r="B193" s="182" t="s">
        <v>190</v>
      </c>
      <c r="C193" s="182" t="s">
        <v>619</v>
      </c>
      <c r="D193" s="182">
        <v>5.0</v>
      </c>
      <c r="E193" s="182">
        <v>667.0</v>
      </c>
      <c r="F193" s="209">
        <v>0.75</v>
      </c>
      <c r="G193" s="210"/>
    </row>
    <row r="194">
      <c r="A194" s="182" t="s">
        <v>287</v>
      </c>
      <c r="B194" s="182" t="s">
        <v>190</v>
      </c>
      <c r="C194" s="182" t="s">
        <v>613</v>
      </c>
      <c r="D194" s="182">
        <v>4.0</v>
      </c>
      <c r="E194" s="182">
        <v>667.0</v>
      </c>
      <c r="F194" s="209">
        <v>0.6</v>
      </c>
      <c r="G194" s="210"/>
    </row>
    <row r="195">
      <c r="A195" s="182" t="s">
        <v>287</v>
      </c>
      <c r="B195" s="182" t="s">
        <v>190</v>
      </c>
      <c r="C195" s="182" t="s">
        <v>614</v>
      </c>
      <c r="D195" s="182">
        <v>4.0</v>
      </c>
      <c r="E195" s="182">
        <v>667.0</v>
      </c>
      <c r="F195" s="209">
        <v>0.6</v>
      </c>
      <c r="G195" s="210"/>
    </row>
    <row r="196">
      <c r="A196" s="182" t="s">
        <v>287</v>
      </c>
      <c r="B196" s="182" t="s">
        <v>190</v>
      </c>
      <c r="C196" s="182" t="s">
        <v>615</v>
      </c>
      <c r="D196" s="182">
        <v>3.0</v>
      </c>
      <c r="E196" s="182">
        <v>667.0</v>
      </c>
      <c r="F196" s="209">
        <v>0.45</v>
      </c>
      <c r="G196" s="210"/>
    </row>
    <row r="197">
      <c r="A197" s="182" t="s">
        <v>287</v>
      </c>
      <c r="B197" s="182" t="s">
        <v>190</v>
      </c>
      <c r="C197" s="182" t="s">
        <v>622</v>
      </c>
      <c r="D197" s="182">
        <v>3.0</v>
      </c>
      <c r="E197" s="182">
        <v>667.0</v>
      </c>
      <c r="F197" s="209">
        <v>0.45</v>
      </c>
      <c r="G197" s="210"/>
    </row>
    <row r="198">
      <c r="A198" s="182" t="s">
        <v>287</v>
      </c>
      <c r="B198" s="182" t="s">
        <v>190</v>
      </c>
      <c r="C198" s="182" t="s">
        <v>616</v>
      </c>
      <c r="D198" s="182">
        <v>3.0</v>
      </c>
      <c r="E198" s="182">
        <v>667.0</v>
      </c>
      <c r="F198" s="209">
        <v>0.45</v>
      </c>
      <c r="G198" s="210"/>
    </row>
    <row r="199">
      <c r="A199" s="182" t="s">
        <v>287</v>
      </c>
      <c r="B199" s="182" t="s">
        <v>190</v>
      </c>
      <c r="C199" s="182" t="s">
        <v>617</v>
      </c>
      <c r="D199" s="182">
        <v>1.0</v>
      </c>
      <c r="E199" s="182">
        <v>667.0</v>
      </c>
      <c r="F199" s="209">
        <v>0.15</v>
      </c>
      <c r="G199" s="210"/>
    </row>
    <row r="200">
      <c r="A200" s="182" t="s">
        <v>257</v>
      </c>
      <c r="B200" s="182" t="s">
        <v>190</v>
      </c>
      <c r="C200" s="182" t="s">
        <v>606</v>
      </c>
      <c r="D200" s="182">
        <v>350.0</v>
      </c>
      <c r="E200" s="182">
        <v>667.0</v>
      </c>
      <c r="F200" s="209">
        <v>52.47</v>
      </c>
      <c r="G200" s="210"/>
    </row>
    <row r="201">
      <c r="A201" s="182" t="s">
        <v>257</v>
      </c>
      <c r="B201" s="182" t="s">
        <v>190</v>
      </c>
      <c r="C201" s="182" t="s">
        <v>609</v>
      </c>
      <c r="D201" s="182">
        <v>79.0</v>
      </c>
      <c r="E201" s="182">
        <v>667.0</v>
      </c>
      <c r="F201" s="209">
        <v>11.84</v>
      </c>
      <c r="G201" s="210"/>
    </row>
    <row r="202">
      <c r="A202" s="182" t="s">
        <v>257</v>
      </c>
      <c r="B202" s="182" t="s">
        <v>190</v>
      </c>
      <c r="C202" s="182" t="s">
        <v>610</v>
      </c>
      <c r="D202" s="182">
        <v>74.0</v>
      </c>
      <c r="E202" s="182">
        <v>667.0</v>
      </c>
      <c r="F202" s="209">
        <v>11.09</v>
      </c>
      <c r="G202" s="210"/>
    </row>
    <row r="203">
      <c r="A203" s="182" t="s">
        <v>257</v>
      </c>
      <c r="B203" s="182" t="s">
        <v>190</v>
      </c>
      <c r="C203" s="182" t="s">
        <v>607</v>
      </c>
      <c r="D203" s="182">
        <v>39.0</v>
      </c>
      <c r="E203" s="182">
        <v>667.0</v>
      </c>
      <c r="F203" s="209">
        <v>5.85</v>
      </c>
      <c r="G203" s="210"/>
    </row>
    <row r="204">
      <c r="A204" s="182" t="s">
        <v>257</v>
      </c>
      <c r="B204" s="182" t="s">
        <v>190</v>
      </c>
      <c r="C204" s="182" t="s">
        <v>611</v>
      </c>
      <c r="D204" s="182">
        <v>39.0</v>
      </c>
      <c r="E204" s="182">
        <v>667.0</v>
      </c>
      <c r="F204" s="209">
        <v>5.85</v>
      </c>
      <c r="G204" s="210"/>
    </row>
    <row r="205">
      <c r="A205" s="182" t="s">
        <v>257</v>
      </c>
      <c r="B205" s="182" t="s">
        <v>190</v>
      </c>
      <c r="C205" s="182" t="s">
        <v>618</v>
      </c>
      <c r="D205" s="182">
        <v>26.0</v>
      </c>
      <c r="E205" s="182">
        <v>667.0</v>
      </c>
      <c r="F205" s="209">
        <v>3.9</v>
      </c>
      <c r="G205" s="210"/>
    </row>
    <row r="206">
      <c r="A206" s="182" t="s">
        <v>257</v>
      </c>
      <c r="B206" s="182" t="s">
        <v>190</v>
      </c>
      <c r="C206" s="182" t="s">
        <v>616</v>
      </c>
      <c r="D206" s="182">
        <v>19.0</v>
      </c>
      <c r="E206" s="182">
        <v>667.0</v>
      </c>
      <c r="F206" s="209">
        <v>2.85</v>
      </c>
      <c r="G206" s="210"/>
    </row>
    <row r="207">
      <c r="A207" s="182" t="s">
        <v>257</v>
      </c>
      <c r="B207" s="182" t="s">
        <v>190</v>
      </c>
      <c r="C207" s="182" t="s">
        <v>612</v>
      </c>
      <c r="D207" s="182">
        <v>15.0</v>
      </c>
      <c r="E207" s="182">
        <v>667.0</v>
      </c>
      <c r="F207" s="209">
        <v>2.25</v>
      </c>
      <c r="G207" s="210"/>
    </row>
    <row r="208">
      <c r="A208" s="182" t="s">
        <v>257</v>
      </c>
      <c r="B208" s="182" t="s">
        <v>190</v>
      </c>
      <c r="C208" s="182" t="s">
        <v>622</v>
      </c>
      <c r="D208" s="182">
        <v>10.0</v>
      </c>
      <c r="E208" s="182">
        <v>667.0</v>
      </c>
      <c r="F208" s="209">
        <v>1.5</v>
      </c>
      <c r="G208" s="210"/>
    </row>
    <row r="209">
      <c r="A209" s="182" t="s">
        <v>257</v>
      </c>
      <c r="B209" s="182" t="s">
        <v>190</v>
      </c>
      <c r="C209" s="182" t="s">
        <v>613</v>
      </c>
      <c r="D209" s="182">
        <v>5.0</v>
      </c>
      <c r="E209" s="182">
        <v>667.0</v>
      </c>
      <c r="F209" s="209">
        <v>0.75</v>
      </c>
      <c r="G209" s="210"/>
    </row>
    <row r="210">
      <c r="A210" s="182" t="s">
        <v>257</v>
      </c>
      <c r="B210" s="182" t="s">
        <v>190</v>
      </c>
      <c r="C210" s="182" t="s">
        <v>608</v>
      </c>
      <c r="D210" s="182">
        <v>4.0</v>
      </c>
      <c r="E210" s="182">
        <v>667.0</v>
      </c>
      <c r="F210" s="209">
        <v>0.6</v>
      </c>
      <c r="G210" s="210"/>
    </row>
    <row r="211">
      <c r="A211" s="182" t="s">
        <v>257</v>
      </c>
      <c r="B211" s="182" t="s">
        <v>190</v>
      </c>
      <c r="C211" s="182" t="s">
        <v>620</v>
      </c>
      <c r="D211" s="182">
        <v>3.0</v>
      </c>
      <c r="E211" s="182">
        <v>667.0</v>
      </c>
      <c r="F211" s="209">
        <v>0.45</v>
      </c>
      <c r="G211" s="210"/>
    </row>
    <row r="212">
      <c r="A212" s="182" t="s">
        <v>257</v>
      </c>
      <c r="B212" s="182" t="s">
        <v>190</v>
      </c>
      <c r="C212" s="182" t="s">
        <v>619</v>
      </c>
      <c r="D212" s="182">
        <v>2.0</v>
      </c>
      <c r="E212" s="182">
        <v>667.0</v>
      </c>
      <c r="F212" s="209">
        <v>0.3</v>
      </c>
      <c r="G212" s="210"/>
    </row>
    <row r="213">
      <c r="A213" s="182" t="s">
        <v>257</v>
      </c>
      <c r="B213" s="182" t="s">
        <v>190</v>
      </c>
      <c r="C213" s="182" t="s">
        <v>617</v>
      </c>
      <c r="D213" s="182">
        <v>1.0</v>
      </c>
      <c r="E213" s="182">
        <v>667.0</v>
      </c>
      <c r="F213" s="209">
        <v>0.15</v>
      </c>
      <c r="G213" s="210"/>
    </row>
    <row r="214">
      <c r="A214" s="182" t="s">
        <v>257</v>
      </c>
      <c r="B214" s="182" t="s">
        <v>190</v>
      </c>
      <c r="C214" s="182" t="s">
        <v>621</v>
      </c>
      <c r="D214" s="182">
        <v>1.0</v>
      </c>
      <c r="E214" s="182">
        <v>667.0</v>
      </c>
      <c r="F214" s="209">
        <v>0.15</v>
      </c>
      <c r="G214" s="210"/>
    </row>
    <row r="215">
      <c r="A215" s="182" t="s">
        <v>301</v>
      </c>
      <c r="B215" s="182" t="s">
        <v>182</v>
      </c>
      <c r="C215" s="182" t="s">
        <v>610</v>
      </c>
      <c r="D215" s="182">
        <v>167.0</v>
      </c>
      <c r="E215" s="182">
        <v>405.0</v>
      </c>
      <c r="F215" s="209">
        <v>41.23</v>
      </c>
      <c r="G215" s="210"/>
    </row>
    <row r="216">
      <c r="A216" s="182" t="s">
        <v>301</v>
      </c>
      <c r="B216" s="182" t="s">
        <v>182</v>
      </c>
      <c r="C216" s="182" t="s">
        <v>606</v>
      </c>
      <c r="D216" s="182">
        <v>78.0</v>
      </c>
      <c r="E216" s="182">
        <v>405.0</v>
      </c>
      <c r="F216" s="209">
        <v>19.26</v>
      </c>
      <c r="G216" s="210"/>
    </row>
    <row r="217">
      <c r="A217" s="182" t="s">
        <v>301</v>
      </c>
      <c r="B217" s="182" t="s">
        <v>182</v>
      </c>
      <c r="C217" s="182" t="s">
        <v>607</v>
      </c>
      <c r="D217" s="182">
        <v>38.0</v>
      </c>
      <c r="E217" s="182">
        <v>405.0</v>
      </c>
      <c r="F217" s="209">
        <v>9.38</v>
      </c>
      <c r="G217" s="210"/>
    </row>
    <row r="218">
      <c r="A218" s="182" t="s">
        <v>301</v>
      </c>
      <c r="B218" s="182" t="s">
        <v>182</v>
      </c>
      <c r="C218" s="182" t="s">
        <v>618</v>
      </c>
      <c r="D218" s="182">
        <v>29.0</v>
      </c>
      <c r="E218" s="182">
        <v>405.0</v>
      </c>
      <c r="F218" s="209">
        <v>7.16</v>
      </c>
      <c r="G218" s="210"/>
    </row>
    <row r="219">
      <c r="A219" s="182" t="s">
        <v>301</v>
      </c>
      <c r="B219" s="182" t="s">
        <v>182</v>
      </c>
      <c r="C219" s="182" t="s">
        <v>611</v>
      </c>
      <c r="D219" s="182">
        <v>22.0</v>
      </c>
      <c r="E219" s="182">
        <v>405.0</v>
      </c>
      <c r="F219" s="209">
        <v>5.43</v>
      </c>
      <c r="G219" s="210"/>
    </row>
    <row r="220">
      <c r="A220" s="182" t="s">
        <v>301</v>
      </c>
      <c r="B220" s="182" t="s">
        <v>182</v>
      </c>
      <c r="C220" s="182" t="s">
        <v>619</v>
      </c>
      <c r="D220" s="182">
        <v>20.0</v>
      </c>
      <c r="E220" s="182">
        <v>405.0</v>
      </c>
      <c r="F220" s="209">
        <v>4.94</v>
      </c>
      <c r="G220" s="210"/>
    </row>
    <row r="221">
      <c r="A221" s="182" t="s">
        <v>301</v>
      </c>
      <c r="B221" s="182" t="s">
        <v>182</v>
      </c>
      <c r="C221" s="182" t="s">
        <v>609</v>
      </c>
      <c r="D221" s="182">
        <v>16.0</v>
      </c>
      <c r="E221" s="182">
        <v>405.0</v>
      </c>
      <c r="F221" s="209">
        <v>3.95</v>
      </c>
      <c r="G221" s="210"/>
    </row>
    <row r="222">
      <c r="A222" s="182" t="s">
        <v>301</v>
      </c>
      <c r="B222" s="182" t="s">
        <v>182</v>
      </c>
      <c r="C222" s="182" t="s">
        <v>612</v>
      </c>
      <c r="D222" s="182">
        <v>14.0</v>
      </c>
      <c r="E222" s="182">
        <v>405.0</v>
      </c>
      <c r="F222" s="209">
        <v>3.46</v>
      </c>
      <c r="G222" s="210"/>
    </row>
    <row r="223">
      <c r="A223" s="182" t="s">
        <v>301</v>
      </c>
      <c r="B223" s="182" t="s">
        <v>182</v>
      </c>
      <c r="C223" s="182" t="s">
        <v>608</v>
      </c>
      <c r="D223" s="182">
        <v>7.0</v>
      </c>
      <c r="E223" s="182">
        <v>405.0</v>
      </c>
      <c r="F223" s="209">
        <v>1.73</v>
      </c>
      <c r="G223" s="210"/>
    </row>
    <row r="224">
      <c r="A224" s="182" t="s">
        <v>301</v>
      </c>
      <c r="B224" s="182" t="s">
        <v>182</v>
      </c>
      <c r="C224" s="182" t="s">
        <v>622</v>
      </c>
      <c r="D224" s="182">
        <v>4.0</v>
      </c>
      <c r="E224" s="182">
        <v>405.0</v>
      </c>
      <c r="F224" s="209">
        <v>0.99</v>
      </c>
      <c r="G224" s="210"/>
    </row>
    <row r="225">
      <c r="A225" s="182" t="s">
        <v>301</v>
      </c>
      <c r="B225" s="182" t="s">
        <v>182</v>
      </c>
      <c r="C225" s="182" t="s">
        <v>616</v>
      </c>
      <c r="D225" s="182">
        <v>4.0</v>
      </c>
      <c r="E225" s="182">
        <v>405.0</v>
      </c>
      <c r="F225" s="209">
        <v>0.99</v>
      </c>
      <c r="G225" s="210"/>
    </row>
    <row r="226">
      <c r="A226" s="182" t="s">
        <v>301</v>
      </c>
      <c r="B226" s="182" t="s">
        <v>182</v>
      </c>
      <c r="C226" s="182" t="s">
        <v>617</v>
      </c>
      <c r="D226" s="182">
        <v>3.0</v>
      </c>
      <c r="E226" s="182">
        <v>405.0</v>
      </c>
      <c r="F226" s="209">
        <v>0.74</v>
      </c>
      <c r="G226" s="210"/>
    </row>
    <row r="227">
      <c r="A227" s="182" t="s">
        <v>301</v>
      </c>
      <c r="B227" s="182" t="s">
        <v>182</v>
      </c>
      <c r="C227" s="182" t="s">
        <v>620</v>
      </c>
      <c r="D227" s="182">
        <v>3.0</v>
      </c>
      <c r="E227" s="182">
        <v>405.0</v>
      </c>
      <c r="F227" s="209">
        <v>0.74</v>
      </c>
      <c r="G227" s="210"/>
    </row>
    <row r="228">
      <c r="A228" s="182" t="s">
        <v>240</v>
      </c>
      <c r="B228" s="182" t="s">
        <v>182</v>
      </c>
      <c r="C228" s="182" t="s">
        <v>606</v>
      </c>
      <c r="D228" s="182">
        <v>158.0</v>
      </c>
      <c r="E228" s="182">
        <v>405.0</v>
      </c>
      <c r="F228" s="209">
        <v>39.01</v>
      </c>
      <c r="G228" s="210"/>
    </row>
    <row r="229">
      <c r="A229" s="182" t="s">
        <v>240</v>
      </c>
      <c r="B229" s="182" t="s">
        <v>182</v>
      </c>
      <c r="C229" s="182" t="s">
        <v>622</v>
      </c>
      <c r="D229" s="182">
        <v>84.0</v>
      </c>
      <c r="E229" s="182">
        <v>405.0</v>
      </c>
      <c r="F229" s="209">
        <v>20.74</v>
      </c>
      <c r="G229" s="210"/>
    </row>
    <row r="230">
      <c r="A230" s="182" t="s">
        <v>240</v>
      </c>
      <c r="B230" s="182" t="s">
        <v>182</v>
      </c>
      <c r="C230" s="182" t="s">
        <v>610</v>
      </c>
      <c r="D230" s="182">
        <v>43.0</v>
      </c>
      <c r="E230" s="182">
        <v>405.0</v>
      </c>
      <c r="F230" s="209">
        <v>10.62</v>
      </c>
      <c r="G230" s="210"/>
    </row>
    <row r="231">
      <c r="A231" s="182" t="s">
        <v>240</v>
      </c>
      <c r="B231" s="182" t="s">
        <v>182</v>
      </c>
      <c r="C231" s="182" t="s">
        <v>609</v>
      </c>
      <c r="D231" s="182">
        <v>33.0</v>
      </c>
      <c r="E231" s="182">
        <v>405.0</v>
      </c>
      <c r="F231" s="209">
        <v>8.15</v>
      </c>
      <c r="G231" s="210"/>
    </row>
    <row r="232">
      <c r="A232" s="182" t="s">
        <v>240</v>
      </c>
      <c r="B232" s="182" t="s">
        <v>182</v>
      </c>
      <c r="C232" s="182" t="s">
        <v>618</v>
      </c>
      <c r="D232" s="182">
        <v>17.0</v>
      </c>
      <c r="E232" s="182">
        <v>405.0</v>
      </c>
      <c r="F232" s="209">
        <v>4.2</v>
      </c>
      <c r="G232" s="210"/>
    </row>
    <row r="233">
      <c r="A233" s="182" t="s">
        <v>240</v>
      </c>
      <c r="B233" s="182" t="s">
        <v>182</v>
      </c>
      <c r="C233" s="182" t="s">
        <v>607</v>
      </c>
      <c r="D233" s="182">
        <v>16.0</v>
      </c>
      <c r="E233" s="182">
        <v>405.0</v>
      </c>
      <c r="F233" s="209">
        <v>3.95</v>
      </c>
      <c r="G233" s="210"/>
    </row>
    <row r="234">
      <c r="A234" s="182" t="s">
        <v>240</v>
      </c>
      <c r="B234" s="182" t="s">
        <v>182</v>
      </c>
      <c r="C234" s="182" t="s">
        <v>616</v>
      </c>
      <c r="D234" s="182">
        <v>16.0</v>
      </c>
      <c r="E234" s="182">
        <v>405.0</v>
      </c>
      <c r="F234" s="209">
        <v>3.95</v>
      </c>
      <c r="G234" s="210"/>
    </row>
    <row r="235">
      <c r="A235" s="182" t="s">
        <v>240</v>
      </c>
      <c r="B235" s="182" t="s">
        <v>182</v>
      </c>
      <c r="C235" s="182" t="s">
        <v>611</v>
      </c>
      <c r="D235" s="182">
        <v>15.0</v>
      </c>
      <c r="E235" s="182">
        <v>405.0</v>
      </c>
      <c r="F235" s="209">
        <v>3.7</v>
      </c>
      <c r="G235" s="210"/>
    </row>
    <row r="236">
      <c r="A236" s="182" t="s">
        <v>240</v>
      </c>
      <c r="B236" s="182" t="s">
        <v>182</v>
      </c>
      <c r="C236" s="182" t="s">
        <v>615</v>
      </c>
      <c r="D236" s="182">
        <v>8.0</v>
      </c>
      <c r="E236" s="182">
        <v>405.0</v>
      </c>
      <c r="F236" s="209">
        <v>1.98</v>
      </c>
      <c r="G236" s="210"/>
    </row>
    <row r="237">
      <c r="A237" s="182" t="s">
        <v>240</v>
      </c>
      <c r="B237" s="182" t="s">
        <v>182</v>
      </c>
      <c r="C237" s="182" t="s">
        <v>617</v>
      </c>
      <c r="D237" s="182">
        <v>5.0</v>
      </c>
      <c r="E237" s="182">
        <v>405.0</v>
      </c>
      <c r="F237" s="209">
        <v>1.23</v>
      </c>
      <c r="G237" s="210"/>
    </row>
    <row r="238">
      <c r="A238" s="182" t="s">
        <v>240</v>
      </c>
      <c r="B238" s="182" t="s">
        <v>182</v>
      </c>
      <c r="C238" s="182" t="s">
        <v>612</v>
      </c>
      <c r="D238" s="182">
        <v>4.0</v>
      </c>
      <c r="E238" s="182">
        <v>405.0</v>
      </c>
      <c r="F238" s="209">
        <v>0.99</v>
      </c>
      <c r="G238" s="210"/>
    </row>
    <row r="239">
      <c r="A239" s="182" t="s">
        <v>240</v>
      </c>
      <c r="B239" s="182" t="s">
        <v>182</v>
      </c>
      <c r="C239" s="182" t="s">
        <v>613</v>
      </c>
      <c r="D239" s="182">
        <v>2.0</v>
      </c>
      <c r="E239" s="182">
        <v>405.0</v>
      </c>
      <c r="F239" s="209">
        <v>0.49</v>
      </c>
      <c r="G239" s="210"/>
    </row>
    <row r="240">
      <c r="A240" s="182" t="s">
        <v>240</v>
      </c>
      <c r="B240" s="182" t="s">
        <v>182</v>
      </c>
      <c r="C240" s="182" t="s">
        <v>608</v>
      </c>
      <c r="D240" s="182">
        <v>2.0</v>
      </c>
      <c r="E240" s="182">
        <v>405.0</v>
      </c>
      <c r="F240" s="209">
        <v>0.49</v>
      </c>
      <c r="G240" s="210"/>
    </row>
    <row r="241">
      <c r="A241" s="182" t="s">
        <v>240</v>
      </c>
      <c r="B241" s="182" t="s">
        <v>182</v>
      </c>
      <c r="C241" s="182" t="s">
        <v>614</v>
      </c>
      <c r="D241" s="182">
        <v>1.0</v>
      </c>
      <c r="E241" s="182">
        <v>405.0</v>
      </c>
      <c r="F241" s="209">
        <v>0.25</v>
      </c>
      <c r="G241" s="210"/>
    </row>
    <row r="242">
      <c r="A242" s="182" t="s">
        <v>240</v>
      </c>
      <c r="B242" s="182" t="s">
        <v>182</v>
      </c>
      <c r="C242" s="182" t="s">
        <v>619</v>
      </c>
      <c r="D242" s="182">
        <v>1.0</v>
      </c>
      <c r="E242" s="182">
        <v>405.0</v>
      </c>
      <c r="F242" s="209">
        <v>0.25</v>
      </c>
      <c r="G242" s="210"/>
    </row>
    <row r="243">
      <c r="A243" s="182" t="s">
        <v>293</v>
      </c>
      <c r="B243" s="182" t="s">
        <v>182</v>
      </c>
      <c r="C243" s="182" t="s">
        <v>606</v>
      </c>
      <c r="D243" s="182">
        <v>241.0</v>
      </c>
      <c r="E243" s="182">
        <v>405.0</v>
      </c>
      <c r="F243" s="209">
        <v>59.51</v>
      </c>
      <c r="G243" s="210"/>
    </row>
    <row r="244">
      <c r="A244" s="182" t="s">
        <v>293</v>
      </c>
      <c r="B244" s="182" t="s">
        <v>182</v>
      </c>
      <c r="C244" s="182" t="s">
        <v>609</v>
      </c>
      <c r="D244" s="182">
        <v>33.0</v>
      </c>
      <c r="E244" s="182">
        <v>405.0</v>
      </c>
      <c r="F244" s="209">
        <v>8.15</v>
      </c>
      <c r="G244" s="210"/>
    </row>
    <row r="245">
      <c r="A245" s="182" t="s">
        <v>293</v>
      </c>
      <c r="B245" s="182" t="s">
        <v>182</v>
      </c>
      <c r="C245" s="182" t="s">
        <v>607</v>
      </c>
      <c r="D245" s="182">
        <v>25.0</v>
      </c>
      <c r="E245" s="182">
        <v>405.0</v>
      </c>
      <c r="F245" s="209">
        <v>6.17</v>
      </c>
      <c r="G245" s="210"/>
    </row>
    <row r="246">
      <c r="A246" s="182" t="s">
        <v>293</v>
      </c>
      <c r="B246" s="182" t="s">
        <v>182</v>
      </c>
      <c r="C246" s="182" t="s">
        <v>608</v>
      </c>
      <c r="D246" s="182">
        <v>22.0</v>
      </c>
      <c r="E246" s="182">
        <v>405.0</v>
      </c>
      <c r="F246" s="209">
        <v>5.43</v>
      </c>
      <c r="G246" s="210"/>
    </row>
    <row r="247">
      <c r="A247" s="182" t="s">
        <v>293</v>
      </c>
      <c r="B247" s="182" t="s">
        <v>182</v>
      </c>
      <c r="C247" s="182" t="s">
        <v>618</v>
      </c>
      <c r="D247" s="182">
        <v>22.0</v>
      </c>
      <c r="E247" s="182">
        <v>405.0</v>
      </c>
      <c r="F247" s="209">
        <v>5.43</v>
      </c>
      <c r="G247" s="210"/>
    </row>
    <row r="248">
      <c r="A248" s="182" t="s">
        <v>293</v>
      </c>
      <c r="B248" s="182" t="s">
        <v>182</v>
      </c>
      <c r="C248" s="182" t="s">
        <v>611</v>
      </c>
      <c r="D248" s="182">
        <v>20.0</v>
      </c>
      <c r="E248" s="182">
        <v>405.0</v>
      </c>
      <c r="F248" s="209">
        <v>4.94</v>
      </c>
      <c r="G248" s="210"/>
    </row>
    <row r="249">
      <c r="A249" s="182" t="s">
        <v>293</v>
      </c>
      <c r="B249" s="182" t="s">
        <v>182</v>
      </c>
      <c r="C249" s="182" t="s">
        <v>610</v>
      </c>
      <c r="D249" s="182">
        <v>15.0</v>
      </c>
      <c r="E249" s="182">
        <v>405.0</v>
      </c>
      <c r="F249" s="209">
        <v>3.7</v>
      </c>
      <c r="G249" s="210"/>
    </row>
    <row r="250">
      <c r="A250" s="182" t="s">
        <v>293</v>
      </c>
      <c r="B250" s="182" t="s">
        <v>182</v>
      </c>
      <c r="C250" s="182" t="s">
        <v>619</v>
      </c>
      <c r="D250" s="182">
        <v>9.0</v>
      </c>
      <c r="E250" s="182">
        <v>405.0</v>
      </c>
      <c r="F250" s="209">
        <v>2.22</v>
      </c>
      <c r="G250" s="210"/>
    </row>
    <row r="251">
      <c r="A251" s="182" t="s">
        <v>293</v>
      </c>
      <c r="B251" s="182" t="s">
        <v>182</v>
      </c>
      <c r="C251" s="182" t="s">
        <v>615</v>
      </c>
      <c r="D251" s="182">
        <v>8.0</v>
      </c>
      <c r="E251" s="182">
        <v>405.0</v>
      </c>
      <c r="F251" s="209">
        <v>1.98</v>
      </c>
      <c r="G251" s="210"/>
    </row>
    <row r="252">
      <c r="A252" s="182" t="s">
        <v>293</v>
      </c>
      <c r="B252" s="182" t="s">
        <v>182</v>
      </c>
      <c r="C252" s="182" t="s">
        <v>616</v>
      </c>
      <c r="D252" s="182">
        <v>5.0</v>
      </c>
      <c r="E252" s="182">
        <v>405.0</v>
      </c>
      <c r="F252" s="209">
        <v>1.23</v>
      </c>
      <c r="G252" s="210"/>
    </row>
    <row r="253">
      <c r="A253" s="182" t="s">
        <v>293</v>
      </c>
      <c r="B253" s="182" t="s">
        <v>182</v>
      </c>
      <c r="C253" s="182" t="s">
        <v>622</v>
      </c>
      <c r="D253" s="182">
        <v>3.0</v>
      </c>
      <c r="E253" s="182">
        <v>405.0</v>
      </c>
      <c r="F253" s="209">
        <v>0.74</v>
      </c>
      <c r="G253" s="210"/>
    </row>
    <row r="254">
      <c r="A254" s="182" t="s">
        <v>293</v>
      </c>
      <c r="B254" s="182" t="s">
        <v>182</v>
      </c>
      <c r="C254" s="182" t="s">
        <v>612</v>
      </c>
      <c r="D254" s="182">
        <v>1.0</v>
      </c>
      <c r="E254" s="182">
        <v>405.0</v>
      </c>
      <c r="F254" s="209">
        <v>0.25</v>
      </c>
      <c r="G254" s="210"/>
    </row>
    <row r="255">
      <c r="A255" s="182" t="s">
        <v>293</v>
      </c>
      <c r="B255" s="182" t="s">
        <v>182</v>
      </c>
      <c r="C255" s="182" t="s">
        <v>614</v>
      </c>
      <c r="D255" s="182">
        <v>1.0</v>
      </c>
      <c r="E255" s="182">
        <v>405.0</v>
      </c>
      <c r="F255" s="209">
        <v>0.25</v>
      </c>
      <c r="G255" s="210"/>
    </row>
    <row r="256">
      <c r="A256" s="182" t="s">
        <v>256</v>
      </c>
      <c r="B256" s="182" t="s">
        <v>182</v>
      </c>
      <c r="C256" s="182" t="s">
        <v>610</v>
      </c>
      <c r="D256" s="182">
        <v>120.0</v>
      </c>
      <c r="E256" s="182">
        <v>405.0</v>
      </c>
      <c r="F256" s="209">
        <v>29.63</v>
      </c>
      <c r="G256" s="210"/>
    </row>
    <row r="257">
      <c r="A257" s="182" t="s">
        <v>256</v>
      </c>
      <c r="B257" s="182" t="s">
        <v>182</v>
      </c>
      <c r="C257" s="182" t="s">
        <v>606</v>
      </c>
      <c r="D257" s="182">
        <v>80.0</v>
      </c>
      <c r="E257" s="182">
        <v>405.0</v>
      </c>
      <c r="F257" s="209">
        <v>19.75</v>
      </c>
      <c r="G257" s="210"/>
    </row>
    <row r="258">
      <c r="A258" s="182" t="s">
        <v>256</v>
      </c>
      <c r="B258" s="182" t="s">
        <v>182</v>
      </c>
      <c r="C258" s="182" t="s">
        <v>607</v>
      </c>
      <c r="D258" s="182">
        <v>45.0</v>
      </c>
      <c r="E258" s="182">
        <v>405.0</v>
      </c>
      <c r="F258" s="209">
        <v>11.11</v>
      </c>
      <c r="G258" s="210"/>
    </row>
    <row r="259">
      <c r="A259" s="182" t="s">
        <v>256</v>
      </c>
      <c r="B259" s="182" t="s">
        <v>182</v>
      </c>
      <c r="C259" s="182" t="s">
        <v>618</v>
      </c>
      <c r="D259" s="182">
        <v>42.0</v>
      </c>
      <c r="E259" s="182">
        <v>405.0</v>
      </c>
      <c r="F259" s="209">
        <v>10.37</v>
      </c>
      <c r="G259" s="210"/>
    </row>
    <row r="260">
      <c r="A260" s="182" t="s">
        <v>256</v>
      </c>
      <c r="B260" s="182" t="s">
        <v>182</v>
      </c>
      <c r="C260" s="182" t="s">
        <v>620</v>
      </c>
      <c r="D260" s="182">
        <v>38.0</v>
      </c>
      <c r="E260" s="182">
        <v>405.0</v>
      </c>
      <c r="F260" s="209">
        <v>9.38</v>
      </c>
      <c r="G260" s="210"/>
    </row>
    <row r="261">
      <c r="A261" s="182" t="s">
        <v>256</v>
      </c>
      <c r="B261" s="182" t="s">
        <v>182</v>
      </c>
      <c r="C261" s="182" t="s">
        <v>622</v>
      </c>
      <c r="D261" s="182">
        <v>15.0</v>
      </c>
      <c r="E261" s="182">
        <v>405.0</v>
      </c>
      <c r="F261" s="209">
        <v>3.7</v>
      </c>
      <c r="G261" s="210"/>
    </row>
    <row r="262">
      <c r="A262" s="182" t="s">
        <v>256</v>
      </c>
      <c r="B262" s="182" t="s">
        <v>182</v>
      </c>
      <c r="C262" s="182" t="s">
        <v>616</v>
      </c>
      <c r="D262" s="182">
        <v>14.0</v>
      </c>
      <c r="E262" s="182">
        <v>405.0</v>
      </c>
      <c r="F262" s="209">
        <v>3.46</v>
      </c>
      <c r="G262" s="210"/>
    </row>
    <row r="263">
      <c r="A263" s="182" t="s">
        <v>256</v>
      </c>
      <c r="B263" s="182" t="s">
        <v>182</v>
      </c>
      <c r="C263" s="182" t="s">
        <v>608</v>
      </c>
      <c r="D263" s="182">
        <v>12.0</v>
      </c>
      <c r="E263" s="182">
        <v>405.0</v>
      </c>
      <c r="F263" s="209">
        <v>2.96</v>
      </c>
      <c r="G263" s="210"/>
    </row>
    <row r="264">
      <c r="A264" s="182" t="s">
        <v>256</v>
      </c>
      <c r="B264" s="182" t="s">
        <v>182</v>
      </c>
      <c r="C264" s="182" t="s">
        <v>609</v>
      </c>
      <c r="D264" s="182">
        <v>12.0</v>
      </c>
      <c r="E264" s="182">
        <v>405.0</v>
      </c>
      <c r="F264" s="209">
        <v>2.96</v>
      </c>
      <c r="G264" s="210"/>
    </row>
    <row r="265">
      <c r="A265" s="182" t="s">
        <v>256</v>
      </c>
      <c r="B265" s="182" t="s">
        <v>182</v>
      </c>
      <c r="C265" s="182" t="s">
        <v>612</v>
      </c>
      <c r="D265" s="182">
        <v>7.0</v>
      </c>
      <c r="E265" s="182">
        <v>405.0</v>
      </c>
      <c r="F265" s="209">
        <v>1.73</v>
      </c>
      <c r="G265" s="210"/>
    </row>
    <row r="266">
      <c r="A266" s="182" t="s">
        <v>256</v>
      </c>
      <c r="B266" s="182" t="s">
        <v>182</v>
      </c>
      <c r="C266" s="182" t="s">
        <v>619</v>
      </c>
      <c r="D266" s="182">
        <v>7.0</v>
      </c>
      <c r="E266" s="182">
        <v>405.0</v>
      </c>
      <c r="F266" s="209">
        <v>1.73</v>
      </c>
      <c r="G266" s="210"/>
    </row>
    <row r="267">
      <c r="A267" s="182" t="s">
        <v>256</v>
      </c>
      <c r="B267" s="182" t="s">
        <v>182</v>
      </c>
      <c r="C267" s="182" t="s">
        <v>611</v>
      </c>
      <c r="D267" s="182">
        <v>6.0</v>
      </c>
      <c r="E267" s="182">
        <v>405.0</v>
      </c>
      <c r="F267" s="209">
        <v>1.48</v>
      </c>
      <c r="G267" s="210"/>
    </row>
    <row r="268">
      <c r="A268" s="182" t="s">
        <v>256</v>
      </c>
      <c r="B268" s="182" t="s">
        <v>182</v>
      </c>
      <c r="C268" s="182" t="s">
        <v>614</v>
      </c>
      <c r="D268" s="182">
        <v>3.0</v>
      </c>
      <c r="E268" s="182">
        <v>405.0</v>
      </c>
      <c r="F268" s="209">
        <v>0.74</v>
      </c>
      <c r="G268" s="210"/>
    </row>
    <row r="269">
      <c r="A269" s="182" t="s">
        <v>256</v>
      </c>
      <c r="B269" s="182" t="s">
        <v>182</v>
      </c>
      <c r="C269" s="182" t="s">
        <v>617</v>
      </c>
      <c r="D269" s="182">
        <v>2.0</v>
      </c>
      <c r="E269" s="182">
        <v>405.0</v>
      </c>
      <c r="F269" s="209">
        <v>0.49</v>
      </c>
      <c r="G269" s="210"/>
    </row>
    <row r="270">
      <c r="A270" s="182" t="s">
        <v>256</v>
      </c>
      <c r="B270" s="182" t="s">
        <v>182</v>
      </c>
      <c r="C270" s="182" t="s">
        <v>615</v>
      </c>
      <c r="D270" s="182">
        <v>1.0</v>
      </c>
      <c r="E270" s="182">
        <v>405.0</v>
      </c>
      <c r="F270" s="209">
        <v>0.25</v>
      </c>
      <c r="G270" s="210"/>
    </row>
    <row r="271">
      <c r="A271" s="182" t="s">
        <v>256</v>
      </c>
      <c r="B271" s="182" t="s">
        <v>182</v>
      </c>
      <c r="C271" s="182" t="s">
        <v>621</v>
      </c>
      <c r="D271" s="182">
        <v>1.0</v>
      </c>
      <c r="E271" s="182">
        <v>405.0</v>
      </c>
      <c r="F271" s="209">
        <v>0.25</v>
      </c>
      <c r="G271" s="210"/>
    </row>
    <row r="272">
      <c r="A272" s="182" t="s">
        <v>278</v>
      </c>
      <c r="B272" s="182" t="s">
        <v>182</v>
      </c>
      <c r="C272" s="182" t="s">
        <v>606</v>
      </c>
      <c r="D272" s="182">
        <v>225.0</v>
      </c>
      <c r="E272" s="182">
        <v>405.0</v>
      </c>
      <c r="F272" s="209">
        <v>55.56</v>
      </c>
      <c r="G272" s="210"/>
    </row>
    <row r="273">
      <c r="A273" s="182" t="s">
        <v>278</v>
      </c>
      <c r="B273" s="182" t="s">
        <v>182</v>
      </c>
      <c r="C273" s="182" t="s">
        <v>611</v>
      </c>
      <c r="D273" s="182">
        <v>33.0</v>
      </c>
      <c r="E273" s="182">
        <v>405.0</v>
      </c>
      <c r="F273" s="209">
        <v>8.15</v>
      </c>
      <c r="G273" s="210"/>
    </row>
    <row r="274">
      <c r="A274" s="182" t="s">
        <v>278</v>
      </c>
      <c r="B274" s="182" t="s">
        <v>182</v>
      </c>
      <c r="C274" s="182" t="s">
        <v>610</v>
      </c>
      <c r="D274" s="182">
        <v>24.0</v>
      </c>
      <c r="E274" s="182">
        <v>405.0</v>
      </c>
      <c r="F274" s="209">
        <v>5.93</v>
      </c>
      <c r="G274" s="210"/>
    </row>
    <row r="275">
      <c r="A275" s="182" t="s">
        <v>278</v>
      </c>
      <c r="B275" s="182" t="s">
        <v>182</v>
      </c>
      <c r="C275" s="182" t="s">
        <v>607</v>
      </c>
      <c r="D275" s="182">
        <v>23.0</v>
      </c>
      <c r="E275" s="182">
        <v>405.0</v>
      </c>
      <c r="F275" s="209">
        <v>5.68</v>
      </c>
      <c r="G275" s="210"/>
    </row>
    <row r="276">
      <c r="A276" s="182" t="s">
        <v>278</v>
      </c>
      <c r="B276" s="182" t="s">
        <v>182</v>
      </c>
      <c r="C276" s="182" t="s">
        <v>609</v>
      </c>
      <c r="D276" s="182">
        <v>20.0</v>
      </c>
      <c r="E276" s="182">
        <v>405.0</v>
      </c>
      <c r="F276" s="209">
        <v>4.94</v>
      </c>
      <c r="G276" s="210"/>
    </row>
    <row r="277">
      <c r="A277" s="182" t="s">
        <v>278</v>
      </c>
      <c r="B277" s="182" t="s">
        <v>182</v>
      </c>
      <c r="C277" s="182" t="s">
        <v>618</v>
      </c>
      <c r="D277" s="182">
        <v>18.0</v>
      </c>
      <c r="E277" s="182">
        <v>405.0</v>
      </c>
      <c r="F277" s="209">
        <v>4.44</v>
      </c>
      <c r="G277" s="210"/>
    </row>
    <row r="278">
      <c r="A278" s="182" t="s">
        <v>278</v>
      </c>
      <c r="B278" s="182" t="s">
        <v>182</v>
      </c>
      <c r="C278" s="182" t="s">
        <v>608</v>
      </c>
      <c r="D278" s="182">
        <v>16.0</v>
      </c>
      <c r="E278" s="182">
        <v>405.0</v>
      </c>
      <c r="F278" s="209">
        <v>3.95</v>
      </c>
      <c r="G278" s="210"/>
    </row>
    <row r="279">
      <c r="A279" s="182" t="s">
        <v>278</v>
      </c>
      <c r="B279" s="182" t="s">
        <v>182</v>
      </c>
      <c r="C279" s="182" t="s">
        <v>612</v>
      </c>
      <c r="D279" s="182">
        <v>15.0</v>
      </c>
      <c r="E279" s="182">
        <v>405.0</v>
      </c>
      <c r="F279" s="209">
        <v>3.7</v>
      </c>
      <c r="G279" s="210"/>
    </row>
    <row r="280">
      <c r="A280" s="182" t="s">
        <v>278</v>
      </c>
      <c r="B280" s="182" t="s">
        <v>182</v>
      </c>
      <c r="C280" s="182" t="s">
        <v>620</v>
      </c>
      <c r="D280" s="182">
        <v>15.0</v>
      </c>
      <c r="E280" s="182">
        <v>405.0</v>
      </c>
      <c r="F280" s="209">
        <v>3.7</v>
      </c>
      <c r="G280" s="210"/>
    </row>
    <row r="281">
      <c r="A281" s="182" t="s">
        <v>278</v>
      </c>
      <c r="B281" s="182" t="s">
        <v>182</v>
      </c>
      <c r="C281" s="182" t="s">
        <v>619</v>
      </c>
      <c r="D281" s="182">
        <v>14.0</v>
      </c>
      <c r="E281" s="182">
        <v>405.0</v>
      </c>
      <c r="F281" s="209">
        <v>3.46</v>
      </c>
      <c r="G281" s="210"/>
    </row>
    <row r="282">
      <c r="A282" s="182" t="s">
        <v>278</v>
      </c>
      <c r="B282" s="182" t="s">
        <v>182</v>
      </c>
      <c r="C282" s="182" t="s">
        <v>615</v>
      </c>
      <c r="D282" s="182">
        <v>1.0</v>
      </c>
      <c r="E282" s="182">
        <v>405.0</v>
      </c>
      <c r="F282" s="209">
        <v>0.25</v>
      </c>
      <c r="G282" s="210"/>
    </row>
    <row r="283">
      <c r="A283" s="182" t="s">
        <v>278</v>
      </c>
      <c r="B283" s="182" t="s">
        <v>182</v>
      </c>
      <c r="C283" s="182" t="s">
        <v>617</v>
      </c>
      <c r="D283" s="182">
        <v>1.0</v>
      </c>
      <c r="E283" s="182">
        <v>405.0</v>
      </c>
      <c r="F283" s="209">
        <v>0.25</v>
      </c>
      <c r="G283" s="210"/>
    </row>
    <row r="284">
      <c r="A284" s="182" t="s">
        <v>309</v>
      </c>
      <c r="B284" s="182" t="s">
        <v>193</v>
      </c>
      <c r="C284" s="182" t="s">
        <v>606</v>
      </c>
      <c r="D284" s="182">
        <v>64.0</v>
      </c>
      <c r="E284" s="182">
        <v>145.0</v>
      </c>
      <c r="F284" s="209">
        <v>44.14</v>
      </c>
      <c r="G284" s="210"/>
    </row>
    <row r="285">
      <c r="A285" s="182" t="s">
        <v>309</v>
      </c>
      <c r="B285" s="182" t="s">
        <v>193</v>
      </c>
      <c r="C285" s="182" t="s">
        <v>610</v>
      </c>
      <c r="D285" s="182">
        <v>27.0</v>
      </c>
      <c r="E285" s="182">
        <v>145.0</v>
      </c>
      <c r="F285" s="209">
        <v>18.62</v>
      </c>
      <c r="G285" s="210"/>
    </row>
    <row r="286">
      <c r="A286" s="182" t="s">
        <v>309</v>
      </c>
      <c r="B286" s="182" t="s">
        <v>193</v>
      </c>
      <c r="C286" s="182" t="s">
        <v>607</v>
      </c>
      <c r="D286" s="182">
        <v>21.0</v>
      </c>
      <c r="E286" s="182">
        <v>145.0</v>
      </c>
      <c r="F286" s="209">
        <v>14.48</v>
      </c>
      <c r="G286" s="210"/>
    </row>
    <row r="287">
      <c r="A287" s="182" t="s">
        <v>309</v>
      </c>
      <c r="B287" s="182" t="s">
        <v>193</v>
      </c>
      <c r="C287" s="182" t="s">
        <v>609</v>
      </c>
      <c r="D287" s="182">
        <v>8.0</v>
      </c>
      <c r="E287" s="182">
        <v>145.0</v>
      </c>
      <c r="F287" s="209">
        <v>5.52</v>
      </c>
      <c r="G287" s="210"/>
    </row>
    <row r="288">
      <c r="A288" s="182" t="s">
        <v>309</v>
      </c>
      <c r="B288" s="182" t="s">
        <v>193</v>
      </c>
      <c r="C288" s="182" t="s">
        <v>608</v>
      </c>
      <c r="D288" s="182">
        <v>7.0</v>
      </c>
      <c r="E288" s="182">
        <v>145.0</v>
      </c>
      <c r="F288" s="209">
        <v>4.83</v>
      </c>
      <c r="G288" s="210"/>
    </row>
    <row r="289">
      <c r="A289" s="182" t="s">
        <v>309</v>
      </c>
      <c r="B289" s="182" t="s">
        <v>193</v>
      </c>
      <c r="C289" s="182" t="s">
        <v>612</v>
      </c>
      <c r="D289" s="182">
        <v>7.0</v>
      </c>
      <c r="E289" s="182">
        <v>145.0</v>
      </c>
      <c r="F289" s="209">
        <v>4.83</v>
      </c>
      <c r="G289" s="210"/>
    </row>
    <row r="290">
      <c r="A290" s="182" t="s">
        <v>309</v>
      </c>
      <c r="B290" s="182" t="s">
        <v>193</v>
      </c>
      <c r="C290" s="182" t="s">
        <v>618</v>
      </c>
      <c r="D290" s="182">
        <v>5.0</v>
      </c>
      <c r="E290" s="182">
        <v>145.0</v>
      </c>
      <c r="F290" s="209">
        <v>3.45</v>
      </c>
      <c r="G290" s="210"/>
    </row>
    <row r="291">
      <c r="A291" s="182" t="s">
        <v>309</v>
      </c>
      <c r="B291" s="182" t="s">
        <v>193</v>
      </c>
      <c r="C291" s="182" t="s">
        <v>611</v>
      </c>
      <c r="D291" s="182">
        <v>3.0</v>
      </c>
      <c r="E291" s="182">
        <v>145.0</v>
      </c>
      <c r="F291" s="209">
        <v>2.07</v>
      </c>
      <c r="G291" s="210"/>
    </row>
    <row r="292">
      <c r="A292" s="182" t="s">
        <v>309</v>
      </c>
      <c r="B292" s="182" t="s">
        <v>193</v>
      </c>
      <c r="C292" s="182" t="s">
        <v>619</v>
      </c>
      <c r="D292" s="182">
        <v>2.0</v>
      </c>
      <c r="E292" s="182">
        <v>145.0</v>
      </c>
      <c r="F292" s="209">
        <v>1.38</v>
      </c>
      <c r="G292" s="210"/>
    </row>
    <row r="293">
      <c r="A293" s="182" t="s">
        <v>309</v>
      </c>
      <c r="B293" s="182" t="s">
        <v>193</v>
      </c>
      <c r="C293" s="182" t="s">
        <v>614</v>
      </c>
      <c r="D293" s="182">
        <v>1.0</v>
      </c>
      <c r="E293" s="182">
        <v>145.0</v>
      </c>
      <c r="F293" s="209">
        <v>0.69</v>
      </c>
      <c r="G293" s="210"/>
    </row>
    <row r="294">
      <c r="A294" s="182" t="s">
        <v>282</v>
      </c>
      <c r="B294" s="182" t="s">
        <v>183</v>
      </c>
      <c r="C294" s="182" t="s">
        <v>606</v>
      </c>
      <c r="D294" s="182">
        <v>207.0</v>
      </c>
      <c r="E294" s="182">
        <v>554.0</v>
      </c>
      <c r="F294" s="209">
        <v>37.36</v>
      </c>
      <c r="G294" s="210"/>
    </row>
    <row r="295">
      <c r="A295" s="182" t="s">
        <v>282</v>
      </c>
      <c r="B295" s="182" t="s">
        <v>183</v>
      </c>
      <c r="C295" s="182" t="s">
        <v>610</v>
      </c>
      <c r="D295" s="182">
        <v>156.0</v>
      </c>
      <c r="E295" s="182">
        <v>554.0</v>
      </c>
      <c r="F295" s="209">
        <v>28.16</v>
      </c>
      <c r="G295" s="210"/>
    </row>
    <row r="296">
      <c r="A296" s="182" t="s">
        <v>282</v>
      </c>
      <c r="B296" s="182" t="s">
        <v>183</v>
      </c>
      <c r="C296" s="182" t="s">
        <v>611</v>
      </c>
      <c r="D296" s="182">
        <v>57.0</v>
      </c>
      <c r="E296" s="182">
        <v>554.0</v>
      </c>
      <c r="F296" s="209">
        <v>10.29</v>
      </c>
      <c r="G296" s="210"/>
    </row>
    <row r="297">
      <c r="A297" s="182" t="s">
        <v>282</v>
      </c>
      <c r="B297" s="182" t="s">
        <v>183</v>
      </c>
      <c r="C297" s="182" t="s">
        <v>609</v>
      </c>
      <c r="D297" s="182">
        <v>46.0</v>
      </c>
      <c r="E297" s="182">
        <v>554.0</v>
      </c>
      <c r="F297" s="209">
        <v>8.3</v>
      </c>
      <c r="G297" s="210"/>
    </row>
    <row r="298">
      <c r="A298" s="182" t="s">
        <v>282</v>
      </c>
      <c r="B298" s="182" t="s">
        <v>183</v>
      </c>
      <c r="C298" s="182" t="s">
        <v>607</v>
      </c>
      <c r="D298" s="182">
        <v>21.0</v>
      </c>
      <c r="E298" s="182">
        <v>554.0</v>
      </c>
      <c r="F298" s="209">
        <v>3.79</v>
      </c>
      <c r="G298" s="210"/>
    </row>
    <row r="299">
      <c r="A299" s="182" t="s">
        <v>282</v>
      </c>
      <c r="B299" s="182" t="s">
        <v>183</v>
      </c>
      <c r="C299" s="182" t="s">
        <v>616</v>
      </c>
      <c r="D299" s="182">
        <v>18.0</v>
      </c>
      <c r="E299" s="182">
        <v>554.0</v>
      </c>
      <c r="F299" s="209">
        <v>3.25</v>
      </c>
      <c r="G299" s="210"/>
    </row>
    <row r="300">
      <c r="A300" s="182" t="s">
        <v>282</v>
      </c>
      <c r="B300" s="182" t="s">
        <v>183</v>
      </c>
      <c r="C300" s="182" t="s">
        <v>619</v>
      </c>
      <c r="D300" s="182">
        <v>18.0</v>
      </c>
      <c r="E300" s="182">
        <v>554.0</v>
      </c>
      <c r="F300" s="209">
        <v>3.25</v>
      </c>
      <c r="G300" s="210"/>
    </row>
    <row r="301">
      <c r="A301" s="182" t="s">
        <v>282</v>
      </c>
      <c r="B301" s="182" t="s">
        <v>183</v>
      </c>
      <c r="C301" s="182" t="s">
        <v>612</v>
      </c>
      <c r="D301" s="182">
        <v>16.0</v>
      </c>
      <c r="E301" s="182">
        <v>554.0</v>
      </c>
      <c r="F301" s="209">
        <v>2.89</v>
      </c>
      <c r="G301" s="210"/>
    </row>
    <row r="302">
      <c r="A302" s="182" t="s">
        <v>282</v>
      </c>
      <c r="B302" s="182" t="s">
        <v>183</v>
      </c>
      <c r="C302" s="182" t="s">
        <v>608</v>
      </c>
      <c r="D302" s="182">
        <v>10.0</v>
      </c>
      <c r="E302" s="182">
        <v>554.0</v>
      </c>
      <c r="F302" s="209">
        <v>1.81</v>
      </c>
      <c r="G302" s="210"/>
    </row>
    <row r="303">
      <c r="A303" s="182" t="s">
        <v>282</v>
      </c>
      <c r="B303" s="182" t="s">
        <v>183</v>
      </c>
      <c r="C303" s="182" t="s">
        <v>618</v>
      </c>
      <c r="D303" s="182">
        <v>4.0</v>
      </c>
      <c r="E303" s="182">
        <v>554.0</v>
      </c>
      <c r="F303" s="209">
        <v>0.72</v>
      </c>
      <c r="G303" s="210"/>
    </row>
    <row r="304">
      <c r="A304" s="182" t="s">
        <v>282</v>
      </c>
      <c r="B304" s="182" t="s">
        <v>183</v>
      </c>
      <c r="C304" s="182" t="s">
        <v>615</v>
      </c>
      <c r="D304" s="182">
        <v>1.0</v>
      </c>
      <c r="E304" s="182">
        <v>554.0</v>
      </c>
      <c r="F304" s="209">
        <v>0.18</v>
      </c>
      <c r="G304" s="210"/>
    </row>
    <row r="305">
      <c r="A305" s="182" t="s">
        <v>242</v>
      </c>
      <c r="B305" s="182" t="s">
        <v>183</v>
      </c>
      <c r="C305" s="182" t="s">
        <v>606</v>
      </c>
      <c r="D305" s="182">
        <v>166.0</v>
      </c>
      <c r="E305" s="182">
        <v>554.0</v>
      </c>
      <c r="F305" s="209">
        <v>29.96</v>
      </c>
      <c r="G305" s="210"/>
    </row>
    <row r="306">
      <c r="A306" s="182" t="s">
        <v>242</v>
      </c>
      <c r="B306" s="182" t="s">
        <v>183</v>
      </c>
      <c r="C306" s="182" t="s">
        <v>610</v>
      </c>
      <c r="D306" s="182">
        <v>108.0</v>
      </c>
      <c r="E306" s="182">
        <v>554.0</v>
      </c>
      <c r="F306" s="209">
        <v>19.49</v>
      </c>
      <c r="G306" s="210"/>
    </row>
    <row r="307">
      <c r="A307" s="182" t="s">
        <v>242</v>
      </c>
      <c r="B307" s="182" t="s">
        <v>183</v>
      </c>
      <c r="C307" s="182" t="s">
        <v>622</v>
      </c>
      <c r="D307" s="182">
        <v>81.0</v>
      </c>
      <c r="E307" s="182">
        <v>554.0</v>
      </c>
      <c r="F307" s="209">
        <v>14.62</v>
      </c>
      <c r="G307" s="210"/>
    </row>
    <row r="308">
      <c r="A308" s="182" t="s">
        <v>242</v>
      </c>
      <c r="B308" s="182" t="s">
        <v>183</v>
      </c>
      <c r="C308" s="182" t="s">
        <v>609</v>
      </c>
      <c r="D308" s="182">
        <v>47.0</v>
      </c>
      <c r="E308" s="182">
        <v>554.0</v>
      </c>
      <c r="F308" s="209">
        <v>8.48</v>
      </c>
      <c r="G308" s="210"/>
    </row>
    <row r="309">
      <c r="A309" s="182" t="s">
        <v>242</v>
      </c>
      <c r="B309" s="182" t="s">
        <v>183</v>
      </c>
      <c r="C309" s="182" t="s">
        <v>611</v>
      </c>
      <c r="D309" s="182">
        <v>39.0</v>
      </c>
      <c r="E309" s="182">
        <v>554.0</v>
      </c>
      <c r="F309" s="209">
        <v>7.04</v>
      </c>
      <c r="G309" s="210"/>
    </row>
    <row r="310">
      <c r="A310" s="182" t="s">
        <v>242</v>
      </c>
      <c r="B310" s="182" t="s">
        <v>183</v>
      </c>
      <c r="C310" s="182" t="s">
        <v>607</v>
      </c>
      <c r="D310" s="182">
        <v>24.0</v>
      </c>
      <c r="E310" s="182">
        <v>554.0</v>
      </c>
      <c r="F310" s="209">
        <v>4.33</v>
      </c>
      <c r="G310" s="210"/>
    </row>
    <row r="311">
      <c r="A311" s="182" t="s">
        <v>242</v>
      </c>
      <c r="B311" s="182" t="s">
        <v>183</v>
      </c>
      <c r="C311" s="182" t="s">
        <v>616</v>
      </c>
      <c r="D311" s="182">
        <v>24.0</v>
      </c>
      <c r="E311" s="182">
        <v>554.0</v>
      </c>
      <c r="F311" s="209">
        <v>4.33</v>
      </c>
      <c r="G311" s="210"/>
    </row>
    <row r="312">
      <c r="A312" s="182" t="s">
        <v>242</v>
      </c>
      <c r="B312" s="182" t="s">
        <v>183</v>
      </c>
      <c r="C312" s="182" t="s">
        <v>619</v>
      </c>
      <c r="D312" s="182">
        <v>15.0</v>
      </c>
      <c r="E312" s="182">
        <v>554.0</v>
      </c>
      <c r="F312" s="209">
        <v>2.71</v>
      </c>
      <c r="G312" s="210"/>
    </row>
    <row r="313">
      <c r="A313" s="182" t="s">
        <v>242</v>
      </c>
      <c r="B313" s="182" t="s">
        <v>183</v>
      </c>
      <c r="C313" s="182" t="s">
        <v>617</v>
      </c>
      <c r="D313" s="182">
        <v>14.0</v>
      </c>
      <c r="E313" s="182">
        <v>554.0</v>
      </c>
      <c r="F313" s="209">
        <v>2.53</v>
      </c>
      <c r="G313" s="210"/>
    </row>
    <row r="314">
      <c r="A314" s="182" t="s">
        <v>242</v>
      </c>
      <c r="B314" s="182" t="s">
        <v>183</v>
      </c>
      <c r="C314" s="182" t="s">
        <v>618</v>
      </c>
      <c r="D314" s="182">
        <v>14.0</v>
      </c>
      <c r="E314" s="182">
        <v>554.0</v>
      </c>
      <c r="F314" s="209">
        <v>2.53</v>
      </c>
      <c r="G314" s="210"/>
    </row>
    <row r="315">
      <c r="A315" s="182" t="s">
        <v>242</v>
      </c>
      <c r="B315" s="182" t="s">
        <v>183</v>
      </c>
      <c r="C315" s="182" t="s">
        <v>608</v>
      </c>
      <c r="D315" s="182">
        <v>9.0</v>
      </c>
      <c r="E315" s="182">
        <v>554.0</v>
      </c>
      <c r="F315" s="209">
        <v>1.62</v>
      </c>
      <c r="G315" s="210"/>
    </row>
    <row r="316">
      <c r="A316" s="182" t="s">
        <v>242</v>
      </c>
      <c r="B316" s="182" t="s">
        <v>183</v>
      </c>
      <c r="C316" s="182" t="s">
        <v>615</v>
      </c>
      <c r="D316" s="182">
        <v>5.0</v>
      </c>
      <c r="E316" s="182">
        <v>554.0</v>
      </c>
      <c r="F316" s="209">
        <v>0.9</v>
      </c>
      <c r="G316" s="210"/>
    </row>
    <row r="317">
      <c r="A317" s="182" t="s">
        <v>242</v>
      </c>
      <c r="B317" s="182" t="s">
        <v>183</v>
      </c>
      <c r="C317" s="182" t="s">
        <v>612</v>
      </c>
      <c r="D317" s="182">
        <v>5.0</v>
      </c>
      <c r="E317" s="182">
        <v>554.0</v>
      </c>
      <c r="F317" s="209">
        <v>0.9</v>
      </c>
      <c r="G317" s="210"/>
    </row>
    <row r="318">
      <c r="A318" s="182" t="s">
        <v>242</v>
      </c>
      <c r="B318" s="182" t="s">
        <v>183</v>
      </c>
      <c r="C318" s="182" t="s">
        <v>621</v>
      </c>
      <c r="D318" s="182">
        <v>2.0</v>
      </c>
      <c r="E318" s="182">
        <v>554.0</v>
      </c>
      <c r="F318" s="209">
        <v>0.36</v>
      </c>
      <c r="G318" s="210"/>
    </row>
    <row r="319">
      <c r="A319" s="182" t="s">
        <v>242</v>
      </c>
      <c r="B319" s="182" t="s">
        <v>183</v>
      </c>
      <c r="C319" s="182" t="s">
        <v>614</v>
      </c>
      <c r="D319" s="182">
        <v>1.0</v>
      </c>
      <c r="E319" s="182">
        <v>554.0</v>
      </c>
      <c r="F319" s="209">
        <v>0.18</v>
      </c>
      <c r="G319" s="210"/>
    </row>
    <row r="320">
      <c r="A320" s="182" t="s">
        <v>283</v>
      </c>
      <c r="B320" s="182" t="s">
        <v>183</v>
      </c>
      <c r="C320" s="182" t="s">
        <v>610</v>
      </c>
      <c r="D320" s="182">
        <v>221.0</v>
      </c>
      <c r="E320" s="182">
        <v>409.0</v>
      </c>
      <c r="F320" s="209">
        <v>54.03</v>
      </c>
      <c r="G320" s="210"/>
    </row>
    <row r="321">
      <c r="A321" s="182" t="s">
        <v>283</v>
      </c>
      <c r="B321" s="182" t="s">
        <v>183</v>
      </c>
      <c r="C321" s="182" t="s">
        <v>607</v>
      </c>
      <c r="D321" s="182">
        <v>52.0</v>
      </c>
      <c r="E321" s="182">
        <v>409.0</v>
      </c>
      <c r="F321" s="209">
        <v>12.71</v>
      </c>
      <c r="G321" s="210"/>
    </row>
    <row r="322">
      <c r="A322" s="182" t="s">
        <v>283</v>
      </c>
      <c r="B322" s="182" t="s">
        <v>183</v>
      </c>
      <c r="C322" s="182" t="s">
        <v>606</v>
      </c>
      <c r="D322" s="182">
        <v>45.0</v>
      </c>
      <c r="E322" s="182">
        <v>409.0</v>
      </c>
      <c r="F322" s="209">
        <v>11.0</v>
      </c>
      <c r="G322" s="210"/>
    </row>
    <row r="323">
      <c r="A323" s="182" t="s">
        <v>283</v>
      </c>
      <c r="B323" s="182" t="s">
        <v>183</v>
      </c>
      <c r="C323" s="182" t="s">
        <v>608</v>
      </c>
      <c r="D323" s="182">
        <v>28.0</v>
      </c>
      <c r="E323" s="182">
        <v>409.0</v>
      </c>
      <c r="F323" s="209">
        <v>6.85</v>
      </c>
      <c r="G323" s="210"/>
    </row>
    <row r="324">
      <c r="A324" s="182" t="s">
        <v>283</v>
      </c>
      <c r="B324" s="182" t="s">
        <v>183</v>
      </c>
      <c r="C324" s="182" t="s">
        <v>618</v>
      </c>
      <c r="D324" s="182">
        <v>22.0</v>
      </c>
      <c r="E324" s="182">
        <v>409.0</v>
      </c>
      <c r="F324" s="209">
        <v>5.38</v>
      </c>
      <c r="G324" s="210"/>
    </row>
    <row r="325">
      <c r="A325" s="182" t="s">
        <v>283</v>
      </c>
      <c r="B325" s="182" t="s">
        <v>183</v>
      </c>
      <c r="C325" s="182" t="s">
        <v>609</v>
      </c>
      <c r="D325" s="182">
        <v>17.0</v>
      </c>
      <c r="E325" s="182">
        <v>409.0</v>
      </c>
      <c r="F325" s="209">
        <v>4.16</v>
      </c>
      <c r="G325" s="210"/>
    </row>
    <row r="326">
      <c r="A326" s="182" t="s">
        <v>283</v>
      </c>
      <c r="B326" s="182" t="s">
        <v>183</v>
      </c>
      <c r="C326" s="182" t="s">
        <v>612</v>
      </c>
      <c r="D326" s="182">
        <v>7.0</v>
      </c>
      <c r="E326" s="182">
        <v>409.0</v>
      </c>
      <c r="F326" s="209">
        <v>1.71</v>
      </c>
      <c r="G326" s="210"/>
    </row>
    <row r="327">
      <c r="A327" s="182" t="s">
        <v>283</v>
      </c>
      <c r="B327" s="182" t="s">
        <v>183</v>
      </c>
      <c r="C327" s="182" t="s">
        <v>611</v>
      </c>
      <c r="D327" s="182">
        <v>6.0</v>
      </c>
      <c r="E327" s="182">
        <v>409.0</v>
      </c>
      <c r="F327" s="209">
        <v>1.47</v>
      </c>
      <c r="G327" s="210"/>
    </row>
    <row r="328">
      <c r="A328" s="182" t="s">
        <v>283</v>
      </c>
      <c r="B328" s="182" t="s">
        <v>183</v>
      </c>
      <c r="C328" s="182" t="s">
        <v>619</v>
      </c>
      <c r="D328" s="182">
        <v>4.0</v>
      </c>
      <c r="E328" s="182">
        <v>409.0</v>
      </c>
      <c r="F328" s="209">
        <v>0.98</v>
      </c>
      <c r="G328" s="210"/>
    </row>
    <row r="329">
      <c r="A329" s="182" t="s">
        <v>283</v>
      </c>
      <c r="B329" s="182" t="s">
        <v>183</v>
      </c>
      <c r="C329" s="182" t="s">
        <v>614</v>
      </c>
      <c r="D329" s="182">
        <v>3.0</v>
      </c>
      <c r="E329" s="182">
        <v>409.0</v>
      </c>
      <c r="F329" s="209">
        <v>0.73</v>
      </c>
      <c r="G329" s="210"/>
    </row>
    <row r="330">
      <c r="A330" s="182" t="s">
        <v>283</v>
      </c>
      <c r="B330" s="182" t="s">
        <v>183</v>
      </c>
      <c r="C330" s="182" t="s">
        <v>615</v>
      </c>
      <c r="D330" s="182">
        <v>1.0</v>
      </c>
      <c r="E330" s="182">
        <v>409.0</v>
      </c>
      <c r="F330" s="209">
        <v>0.24</v>
      </c>
      <c r="G330" s="210"/>
    </row>
    <row r="331">
      <c r="A331" s="182" t="s">
        <v>283</v>
      </c>
      <c r="B331" s="182" t="s">
        <v>183</v>
      </c>
      <c r="C331" s="182" t="s">
        <v>617</v>
      </c>
      <c r="D331" s="182">
        <v>1.0</v>
      </c>
      <c r="E331" s="182">
        <v>409.0</v>
      </c>
      <c r="F331" s="209">
        <v>0.24</v>
      </c>
      <c r="G331" s="210"/>
    </row>
    <row r="332">
      <c r="A332" s="182" t="s">
        <v>283</v>
      </c>
      <c r="B332" s="182" t="s">
        <v>183</v>
      </c>
      <c r="C332" s="182" t="s">
        <v>622</v>
      </c>
      <c r="D332" s="182">
        <v>1.0</v>
      </c>
      <c r="E332" s="182">
        <v>409.0</v>
      </c>
      <c r="F332" s="209">
        <v>0.24</v>
      </c>
      <c r="G332" s="210"/>
    </row>
    <row r="333">
      <c r="A333" s="182" t="s">
        <v>270</v>
      </c>
      <c r="B333" s="182" t="s">
        <v>183</v>
      </c>
      <c r="C333" s="182" t="s">
        <v>606</v>
      </c>
      <c r="D333" s="182">
        <v>344.0</v>
      </c>
      <c r="E333" s="182">
        <v>554.0</v>
      </c>
      <c r="F333" s="209">
        <v>62.09</v>
      </c>
      <c r="G333" s="210"/>
    </row>
    <row r="334">
      <c r="A334" s="182" t="s">
        <v>270</v>
      </c>
      <c r="B334" s="182" t="s">
        <v>183</v>
      </c>
      <c r="C334" s="182" t="s">
        <v>611</v>
      </c>
      <c r="D334" s="182">
        <v>48.0</v>
      </c>
      <c r="E334" s="182">
        <v>554.0</v>
      </c>
      <c r="F334" s="209">
        <v>8.66</v>
      </c>
      <c r="G334" s="210"/>
    </row>
    <row r="335">
      <c r="A335" s="182" t="s">
        <v>270</v>
      </c>
      <c r="B335" s="182" t="s">
        <v>183</v>
      </c>
      <c r="C335" s="182" t="s">
        <v>609</v>
      </c>
      <c r="D335" s="182">
        <v>39.0</v>
      </c>
      <c r="E335" s="182">
        <v>554.0</v>
      </c>
      <c r="F335" s="209">
        <v>7.04</v>
      </c>
      <c r="G335" s="210"/>
    </row>
    <row r="336">
      <c r="A336" s="182" t="s">
        <v>270</v>
      </c>
      <c r="B336" s="182" t="s">
        <v>183</v>
      </c>
      <c r="C336" s="182" t="s">
        <v>607</v>
      </c>
      <c r="D336" s="182">
        <v>33.0</v>
      </c>
      <c r="E336" s="182">
        <v>554.0</v>
      </c>
      <c r="F336" s="209">
        <v>5.96</v>
      </c>
      <c r="G336" s="210"/>
    </row>
    <row r="337">
      <c r="A337" s="182" t="s">
        <v>270</v>
      </c>
      <c r="B337" s="182" t="s">
        <v>183</v>
      </c>
      <c r="C337" s="182" t="s">
        <v>608</v>
      </c>
      <c r="D337" s="182">
        <v>29.0</v>
      </c>
      <c r="E337" s="182">
        <v>554.0</v>
      </c>
      <c r="F337" s="209">
        <v>5.23</v>
      </c>
      <c r="G337" s="210"/>
    </row>
    <row r="338">
      <c r="A338" s="182" t="s">
        <v>270</v>
      </c>
      <c r="B338" s="182" t="s">
        <v>183</v>
      </c>
      <c r="C338" s="182" t="s">
        <v>610</v>
      </c>
      <c r="D338" s="182">
        <v>18.0</v>
      </c>
      <c r="E338" s="182">
        <v>554.0</v>
      </c>
      <c r="F338" s="209">
        <v>3.25</v>
      </c>
      <c r="G338" s="210"/>
    </row>
    <row r="339">
      <c r="A339" s="182" t="s">
        <v>270</v>
      </c>
      <c r="B339" s="182" t="s">
        <v>183</v>
      </c>
      <c r="C339" s="182" t="s">
        <v>619</v>
      </c>
      <c r="D339" s="182">
        <v>17.0</v>
      </c>
      <c r="E339" s="182">
        <v>554.0</v>
      </c>
      <c r="F339" s="209">
        <v>3.07</v>
      </c>
      <c r="G339" s="210"/>
    </row>
    <row r="340">
      <c r="A340" s="182" t="s">
        <v>270</v>
      </c>
      <c r="B340" s="182" t="s">
        <v>183</v>
      </c>
      <c r="C340" s="182" t="s">
        <v>612</v>
      </c>
      <c r="D340" s="182">
        <v>15.0</v>
      </c>
      <c r="E340" s="182">
        <v>554.0</v>
      </c>
      <c r="F340" s="209">
        <v>2.71</v>
      </c>
      <c r="G340" s="210"/>
    </row>
    <row r="341">
      <c r="A341" s="182" t="s">
        <v>270</v>
      </c>
      <c r="B341" s="182" t="s">
        <v>183</v>
      </c>
      <c r="C341" s="182" t="s">
        <v>618</v>
      </c>
      <c r="D341" s="182">
        <v>7.0</v>
      </c>
      <c r="E341" s="182">
        <v>554.0</v>
      </c>
      <c r="F341" s="209">
        <v>1.26</v>
      </c>
      <c r="G341" s="210"/>
    </row>
    <row r="342">
      <c r="A342" s="182" t="s">
        <v>270</v>
      </c>
      <c r="B342" s="182" t="s">
        <v>183</v>
      </c>
      <c r="C342" s="182" t="s">
        <v>617</v>
      </c>
      <c r="D342" s="182">
        <v>4.0</v>
      </c>
      <c r="E342" s="182">
        <v>554.0</v>
      </c>
      <c r="F342" s="209">
        <v>0.72</v>
      </c>
      <c r="G342" s="210"/>
    </row>
    <row r="343">
      <c r="A343" s="182" t="s">
        <v>265</v>
      </c>
      <c r="B343" s="182" t="s">
        <v>183</v>
      </c>
      <c r="C343" s="182" t="s">
        <v>610</v>
      </c>
      <c r="D343" s="182">
        <v>328.0</v>
      </c>
      <c r="E343" s="182">
        <v>554.0</v>
      </c>
      <c r="F343" s="209">
        <v>59.21</v>
      </c>
      <c r="G343" s="210"/>
    </row>
    <row r="344">
      <c r="A344" s="182" t="s">
        <v>265</v>
      </c>
      <c r="B344" s="182" t="s">
        <v>183</v>
      </c>
      <c r="C344" s="182" t="s">
        <v>611</v>
      </c>
      <c r="D344" s="182">
        <v>65.0</v>
      </c>
      <c r="E344" s="182">
        <v>554.0</v>
      </c>
      <c r="F344" s="209">
        <v>11.73</v>
      </c>
      <c r="G344" s="210"/>
    </row>
    <row r="345">
      <c r="A345" s="182" t="s">
        <v>265</v>
      </c>
      <c r="B345" s="182" t="s">
        <v>183</v>
      </c>
      <c r="C345" s="182" t="s">
        <v>609</v>
      </c>
      <c r="D345" s="182">
        <v>42.0</v>
      </c>
      <c r="E345" s="182">
        <v>554.0</v>
      </c>
      <c r="F345" s="209">
        <v>7.58</v>
      </c>
      <c r="G345" s="210"/>
    </row>
    <row r="346">
      <c r="A346" s="182" t="s">
        <v>265</v>
      </c>
      <c r="B346" s="182" t="s">
        <v>183</v>
      </c>
      <c r="C346" s="182" t="s">
        <v>620</v>
      </c>
      <c r="D346" s="182">
        <v>39.0</v>
      </c>
      <c r="E346" s="182">
        <v>554.0</v>
      </c>
      <c r="F346" s="209">
        <v>7.04</v>
      </c>
      <c r="G346" s="210"/>
    </row>
    <row r="347">
      <c r="A347" s="182" t="s">
        <v>265</v>
      </c>
      <c r="B347" s="182" t="s">
        <v>183</v>
      </c>
      <c r="C347" s="182" t="s">
        <v>608</v>
      </c>
      <c r="D347" s="182">
        <v>25.0</v>
      </c>
      <c r="E347" s="182">
        <v>554.0</v>
      </c>
      <c r="F347" s="209">
        <v>4.51</v>
      </c>
      <c r="G347" s="210"/>
    </row>
    <row r="348">
      <c r="A348" s="182" t="s">
        <v>265</v>
      </c>
      <c r="B348" s="182" t="s">
        <v>183</v>
      </c>
      <c r="C348" s="182" t="s">
        <v>607</v>
      </c>
      <c r="D348" s="182">
        <v>22.0</v>
      </c>
      <c r="E348" s="182">
        <v>554.0</v>
      </c>
      <c r="F348" s="209">
        <v>3.97</v>
      </c>
      <c r="G348" s="210"/>
    </row>
    <row r="349">
      <c r="A349" s="182" t="s">
        <v>265</v>
      </c>
      <c r="B349" s="182" t="s">
        <v>183</v>
      </c>
      <c r="C349" s="182" t="s">
        <v>606</v>
      </c>
      <c r="D349" s="182">
        <v>16.0</v>
      </c>
      <c r="E349" s="182">
        <v>554.0</v>
      </c>
      <c r="F349" s="209">
        <v>2.89</v>
      </c>
      <c r="G349" s="210"/>
    </row>
    <row r="350">
      <c r="A350" s="182" t="s">
        <v>265</v>
      </c>
      <c r="B350" s="182" t="s">
        <v>183</v>
      </c>
      <c r="C350" s="182" t="s">
        <v>619</v>
      </c>
      <c r="D350" s="182">
        <v>10.0</v>
      </c>
      <c r="E350" s="182">
        <v>554.0</v>
      </c>
      <c r="F350" s="209">
        <v>1.81</v>
      </c>
      <c r="G350" s="210"/>
    </row>
    <row r="351">
      <c r="A351" s="182" t="s">
        <v>265</v>
      </c>
      <c r="B351" s="182" t="s">
        <v>183</v>
      </c>
      <c r="C351" s="182" t="s">
        <v>618</v>
      </c>
      <c r="D351" s="182">
        <v>5.0</v>
      </c>
      <c r="E351" s="182">
        <v>554.0</v>
      </c>
      <c r="F351" s="209">
        <v>0.9</v>
      </c>
      <c r="G351" s="210"/>
    </row>
    <row r="352">
      <c r="A352" s="182" t="s">
        <v>265</v>
      </c>
      <c r="B352" s="182" t="s">
        <v>183</v>
      </c>
      <c r="C352" s="182" t="s">
        <v>612</v>
      </c>
      <c r="D352" s="182">
        <v>1.0</v>
      </c>
      <c r="E352" s="182">
        <v>554.0</v>
      </c>
      <c r="F352" s="209">
        <v>0.18</v>
      </c>
      <c r="G352" s="210"/>
    </row>
    <row r="353">
      <c r="A353" s="182" t="s">
        <v>265</v>
      </c>
      <c r="B353" s="182" t="s">
        <v>183</v>
      </c>
      <c r="C353" s="182" t="s">
        <v>621</v>
      </c>
      <c r="D353" s="182">
        <v>1.0</v>
      </c>
      <c r="E353" s="182">
        <v>554.0</v>
      </c>
      <c r="F353" s="209">
        <v>0.18</v>
      </c>
      <c r="G353" s="210"/>
    </row>
    <row r="354">
      <c r="A354" s="182" t="s">
        <v>261</v>
      </c>
      <c r="B354" s="182" t="s">
        <v>179</v>
      </c>
      <c r="C354" s="182" t="s">
        <v>606</v>
      </c>
      <c r="D354" s="182">
        <v>137.0</v>
      </c>
      <c r="E354" s="182">
        <v>342.0</v>
      </c>
      <c r="F354" s="209">
        <v>40.06</v>
      </c>
      <c r="G354" s="210"/>
    </row>
    <row r="355">
      <c r="A355" s="182" t="s">
        <v>261</v>
      </c>
      <c r="B355" s="182" t="s">
        <v>179</v>
      </c>
      <c r="C355" s="182" t="s">
        <v>610</v>
      </c>
      <c r="D355" s="182">
        <v>63.0</v>
      </c>
      <c r="E355" s="182">
        <v>342.0</v>
      </c>
      <c r="F355" s="209">
        <v>18.42</v>
      </c>
      <c r="G355" s="210"/>
    </row>
    <row r="356">
      <c r="A356" s="182" t="s">
        <v>261</v>
      </c>
      <c r="B356" s="182" t="s">
        <v>179</v>
      </c>
      <c r="C356" s="182" t="s">
        <v>611</v>
      </c>
      <c r="D356" s="182">
        <v>29.0</v>
      </c>
      <c r="E356" s="182">
        <v>342.0</v>
      </c>
      <c r="F356" s="209">
        <v>8.48</v>
      </c>
      <c r="G356" s="210"/>
    </row>
    <row r="357">
      <c r="A357" s="182" t="s">
        <v>261</v>
      </c>
      <c r="B357" s="182" t="s">
        <v>179</v>
      </c>
      <c r="C357" s="182" t="s">
        <v>609</v>
      </c>
      <c r="D357" s="182">
        <v>29.0</v>
      </c>
      <c r="E357" s="182">
        <v>342.0</v>
      </c>
      <c r="F357" s="209">
        <v>8.48</v>
      </c>
      <c r="G357" s="210"/>
    </row>
    <row r="358">
      <c r="A358" s="182" t="s">
        <v>261</v>
      </c>
      <c r="B358" s="182" t="s">
        <v>179</v>
      </c>
      <c r="C358" s="182" t="s">
        <v>612</v>
      </c>
      <c r="D358" s="182">
        <v>18.0</v>
      </c>
      <c r="E358" s="182">
        <v>342.0</v>
      </c>
      <c r="F358" s="209">
        <v>5.26</v>
      </c>
      <c r="G358" s="210"/>
    </row>
    <row r="359">
      <c r="A359" s="182" t="s">
        <v>261</v>
      </c>
      <c r="B359" s="182" t="s">
        <v>179</v>
      </c>
      <c r="C359" s="182" t="s">
        <v>608</v>
      </c>
      <c r="D359" s="182">
        <v>17.0</v>
      </c>
      <c r="E359" s="182">
        <v>342.0</v>
      </c>
      <c r="F359" s="209">
        <v>4.97</v>
      </c>
      <c r="G359" s="210"/>
    </row>
    <row r="360">
      <c r="A360" s="182" t="s">
        <v>261</v>
      </c>
      <c r="B360" s="182" t="s">
        <v>179</v>
      </c>
      <c r="C360" s="182" t="s">
        <v>607</v>
      </c>
      <c r="D360" s="182">
        <v>17.0</v>
      </c>
      <c r="E360" s="182">
        <v>342.0</v>
      </c>
      <c r="F360" s="209">
        <v>4.97</v>
      </c>
      <c r="G360" s="210"/>
    </row>
    <row r="361">
      <c r="A361" s="182" t="s">
        <v>261</v>
      </c>
      <c r="B361" s="182" t="s">
        <v>179</v>
      </c>
      <c r="C361" s="182" t="s">
        <v>620</v>
      </c>
      <c r="D361" s="182">
        <v>16.0</v>
      </c>
      <c r="E361" s="182">
        <v>342.0</v>
      </c>
      <c r="F361" s="209">
        <v>4.68</v>
      </c>
      <c r="G361" s="210"/>
    </row>
    <row r="362">
      <c r="A362" s="182" t="s">
        <v>261</v>
      </c>
      <c r="B362" s="182" t="s">
        <v>179</v>
      </c>
      <c r="C362" s="182" t="s">
        <v>616</v>
      </c>
      <c r="D362" s="182">
        <v>6.0</v>
      </c>
      <c r="E362" s="182">
        <v>342.0</v>
      </c>
      <c r="F362" s="209">
        <v>1.75</v>
      </c>
      <c r="G362" s="210"/>
    </row>
    <row r="363">
      <c r="A363" s="182" t="s">
        <v>261</v>
      </c>
      <c r="B363" s="182" t="s">
        <v>179</v>
      </c>
      <c r="C363" s="182" t="s">
        <v>622</v>
      </c>
      <c r="D363" s="182">
        <v>3.0</v>
      </c>
      <c r="E363" s="182">
        <v>342.0</v>
      </c>
      <c r="F363" s="209">
        <v>0.88</v>
      </c>
      <c r="G363" s="210"/>
    </row>
    <row r="364">
      <c r="A364" s="182" t="s">
        <v>261</v>
      </c>
      <c r="B364" s="182" t="s">
        <v>179</v>
      </c>
      <c r="C364" s="182" t="s">
        <v>617</v>
      </c>
      <c r="D364" s="182">
        <v>2.0</v>
      </c>
      <c r="E364" s="182">
        <v>342.0</v>
      </c>
      <c r="F364" s="209">
        <v>0.58</v>
      </c>
      <c r="G364" s="210"/>
    </row>
    <row r="365">
      <c r="A365" s="182" t="s">
        <v>261</v>
      </c>
      <c r="B365" s="182" t="s">
        <v>179</v>
      </c>
      <c r="C365" s="182" t="s">
        <v>619</v>
      </c>
      <c r="D365" s="182">
        <v>2.0</v>
      </c>
      <c r="E365" s="182">
        <v>342.0</v>
      </c>
      <c r="F365" s="209">
        <v>0.58</v>
      </c>
      <c r="G365" s="210"/>
    </row>
    <row r="366">
      <c r="A366" s="182" t="s">
        <v>261</v>
      </c>
      <c r="B366" s="182" t="s">
        <v>179</v>
      </c>
      <c r="C366" s="182" t="s">
        <v>618</v>
      </c>
      <c r="D366" s="182">
        <v>2.0</v>
      </c>
      <c r="E366" s="182">
        <v>342.0</v>
      </c>
      <c r="F366" s="209">
        <v>0.58</v>
      </c>
      <c r="G366" s="210"/>
    </row>
    <row r="367">
      <c r="A367" s="182" t="s">
        <v>261</v>
      </c>
      <c r="B367" s="182" t="s">
        <v>179</v>
      </c>
      <c r="C367" s="182" t="s">
        <v>615</v>
      </c>
      <c r="D367" s="182">
        <v>1.0</v>
      </c>
      <c r="E367" s="182">
        <v>342.0</v>
      </c>
      <c r="F367" s="209">
        <v>0.29</v>
      </c>
      <c r="G367" s="210"/>
    </row>
    <row r="368">
      <c r="A368" s="182" t="s">
        <v>237</v>
      </c>
      <c r="B368" s="182" t="s">
        <v>179</v>
      </c>
      <c r="C368" s="182" t="s">
        <v>622</v>
      </c>
      <c r="D368" s="182">
        <v>85.0</v>
      </c>
      <c r="E368" s="182">
        <v>342.0</v>
      </c>
      <c r="F368" s="209">
        <v>24.85</v>
      </c>
      <c r="G368" s="210"/>
    </row>
    <row r="369">
      <c r="A369" s="182" t="s">
        <v>237</v>
      </c>
      <c r="B369" s="182" t="s">
        <v>179</v>
      </c>
      <c r="C369" s="182" t="s">
        <v>606</v>
      </c>
      <c r="D369" s="182">
        <v>76.0</v>
      </c>
      <c r="E369" s="182">
        <v>342.0</v>
      </c>
      <c r="F369" s="209">
        <v>22.22</v>
      </c>
      <c r="G369" s="210"/>
    </row>
    <row r="370">
      <c r="A370" s="182" t="s">
        <v>237</v>
      </c>
      <c r="B370" s="182" t="s">
        <v>179</v>
      </c>
      <c r="C370" s="182" t="s">
        <v>610</v>
      </c>
      <c r="D370" s="182">
        <v>45.0</v>
      </c>
      <c r="E370" s="182">
        <v>342.0</v>
      </c>
      <c r="F370" s="209">
        <v>13.16</v>
      </c>
      <c r="G370" s="210"/>
    </row>
    <row r="371">
      <c r="A371" s="182" t="s">
        <v>237</v>
      </c>
      <c r="B371" s="182" t="s">
        <v>179</v>
      </c>
      <c r="C371" s="182" t="s">
        <v>616</v>
      </c>
      <c r="D371" s="182">
        <v>42.0</v>
      </c>
      <c r="E371" s="182">
        <v>342.0</v>
      </c>
      <c r="F371" s="209">
        <v>12.28</v>
      </c>
      <c r="G371" s="210"/>
    </row>
    <row r="372">
      <c r="A372" s="182" t="s">
        <v>237</v>
      </c>
      <c r="B372" s="182" t="s">
        <v>179</v>
      </c>
      <c r="C372" s="182" t="s">
        <v>611</v>
      </c>
      <c r="D372" s="182">
        <v>34.0</v>
      </c>
      <c r="E372" s="182">
        <v>342.0</v>
      </c>
      <c r="F372" s="209">
        <v>9.94</v>
      </c>
      <c r="G372" s="210"/>
    </row>
    <row r="373">
      <c r="A373" s="182" t="s">
        <v>237</v>
      </c>
      <c r="B373" s="182" t="s">
        <v>179</v>
      </c>
      <c r="C373" s="182" t="s">
        <v>609</v>
      </c>
      <c r="D373" s="182">
        <v>19.0</v>
      </c>
      <c r="E373" s="182">
        <v>342.0</v>
      </c>
      <c r="F373" s="209">
        <v>5.56</v>
      </c>
      <c r="G373" s="210"/>
    </row>
    <row r="374">
      <c r="A374" s="182" t="s">
        <v>237</v>
      </c>
      <c r="B374" s="182" t="s">
        <v>179</v>
      </c>
      <c r="C374" s="182" t="s">
        <v>607</v>
      </c>
      <c r="D374" s="182">
        <v>16.0</v>
      </c>
      <c r="E374" s="182">
        <v>342.0</v>
      </c>
      <c r="F374" s="209">
        <v>4.68</v>
      </c>
      <c r="G374" s="210"/>
    </row>
    <row r="375">
      <c r="A375" s="182" t="s">
        <v>237</v>
      </c>
      <c r="B375" s="182" t="s">
        <v>179</v>
      </c>
      <c r="C375" s="182" t="s">
        <v>612</v>
      </c>
      <c r="D375" s="182">
        <v>7.0</v>
      </c>
      <c r="E375" s="182">
        <v>342.0</v>
      </c>
      <c r="F375" s="209">
        <v>2.05</v>
      </c>
      <c r="G375" s="210"/>
    </row>
    <row r="376">
      <c r="A376" s="182" t="s">
        <v>237</v>
      </c>
      <c r="B376" s="182" t="s">
        <v>179</v>
      </c>
      <c r="C376" s="182" t="s">
        <v>608</v>
      </c>
      <c r="D376" s="182">
        <v>6.0</v>
      </c>
      <c r="E376" s="182">
        <v>342.0</v>
      </c>
      <c r="F376" s="209">
        <v>1.75</v>
      </c>
      <c r="G376" s="210"/>
    </row>
    <row r="377">
      <c r="A377" s="182" t="s">
        <v>237</v>
      </c>
      <c r="B377" s="182" t="s">
        <v>179</v>
      </c>
      <c r="C377" s="182" t="s">
        <v>617</v>
      </c>
      <c r="D377" s="182">
        <v>6.0</v>
      </c>
      <c r="E377" s="182">
        <v>342.0</v>
      </c>
      <c r="F377" s="209">
        <v>1.75</v>
      </c>
      <c r="G377" s="210"/>
    </row>
    <row r="378">
      <c r="A378" s="182" t="s">
        <v>237</v>
      </c>
      <c r="B378" s="182" t="s">
        <v>179</v>
      </c>
      <c r="C378" s="182" t="s">
        <v>618</v>
      </c>
      <c r="D378" s="182">
        <v>5.0</v>
      </c>
      <c r="E378" s="182">
        <v>342.0</v>
      </c>
      <c r="F378" s="209">
        <v>1.46</v>
      </c>
      <c r="G378" s="210"/>
    </row>
    <row r="379">
      <c r="A379" s="182" t="s">
        <v>237</v>
      </c>
      <c r="B379" s="182" t="s">
        <v>179</v>
      </c>
      <c r="C379" s="182" t="s">
        <v>614</v>
      </c>
      <c r="D379" s="182">
        <v>1.0</v>
      </c>
      <c r="E379" s="182">
        <v>342.0</v>
      </c>
      <c r="F379" s="209">
        <v>0.29</v>
      </c>
      <c r="G379" s="210"/>
    </row>
    <row r="380">
      <c r="A380" s="182" t="s">
        <v>268</v>
      </c>
      <c r="B380" s="182" t="s">
        <v>179</v>
      </c>
      <c r="C380" s="182" t="s">
        <v>610</v>
      </c>
      <c r="D380" s="182">
        <v>209.0</v>
      </c>
      <c r="E380" s="182">
        <v>342.0</v>
      </c>
      <c r="F380" s="209">
        <v>61.11</v>
      </c>
      <c r="G380" s="210"/>
    </row>
    <row r="381">
      <c r="A381" s="182" t="s">
        <v>268</v>
      </c>
      <c r="B381" s="182" t="s">
        <v>179</v>
      </c>
      <c r="C381" s="182" t="s">
        <v>607</v>
      </c>
      <c r="D381" s="182">
        <v>29.0</v>
      </c>
      <c r="E381" s="182">
        <v>342.0</v>
      </c>
      <c r="F381" s="209">
        <v>8.48</v>
      </c>
      <c r="G381" s="210"/>
    </row>
    <row r="382">
      <c r="A382" s="182" t="s">
        <v>268</v>
      </c>
      <c r="B382" s="182" t="s">
        <v>179</v>
      </c>
      <c r="C382" s="182" t="s">
        <v>609</v>
      </c>
      <c r="D382" s="182">
        <v>23.0</v>
      </c>
      <c r="E382" s="182">
        <v>342.0</v>
      </c>
      <c r="F382" s="209">
        <v>6.73</v>
      </c>
      <c r="G382" s="210"/>
    </row>
    <row r="383">
      <c r="A383" s="182" t="s">
        <v>268</v>
      </c>
      <c r="B383" s="182" t="s">
        <v>179</v>
      </c>
      <c r="C383" s="182" t="s">
        <v>611</v>
      </c>
      <c r="D383" s="182">
        <v>20.0</v>
      </c>
      <c r="E383" s="182">
        <v>342.0</v>
      </c>
      <c r="F383" s="209">
        <v>5.85</v>
      </c>
      <c r="G383" s="210"/>
    </row>
    <row r="384">
      <c r="A384" s="182" t="s">
        <v>268</v>
      </c>
      <c r="B384" s="182" t="s">
        <v>179</v>
      </c>
      <c r="C384" s="182" t="s">
        <v>616</v>
      </c>
      <c r="D384" s="182">
        <v>17.0</v>
      </c>
      <c r="E384" s="182">
        <v>342.0</v>
      </c>
      <c r="F384" s="209">
        <v>4.97</v>
      </c>
      <c r="G384" s="210"/>
    </row>
    <row r="385">
      <c r="A385" s="182" t="s">
        <v>268</v>
      </c>
      <c r="B385" s="182" t="s">
        <v>179</v>
      </c>
      <c r="C385" s="182" t="s">
        <v>617</v>
      </c>
      <c r="D385" s="182">
        <v>13.0</v>
      </c>
      <c r="E385" s="182">
        <v>342.0</v>
      </c>
      <c r="F385" s="209">
        <v>3.8</v>
      </c>
      <c r="G385" s="210"/>
    </row>
    <row r="386">
      <c r="A386" s="182" t="s">
        <v>268</v>
      </c>
      <c r="B386" s="182" t="s">
        <v>179</v>
      </c>
      <c r="C386" s="182" t="s">
        <v>608</v>
      </c>
      <c r="D386" s="182">
        <v>8.0</v>
      </c>
      <c r="E386" s="182">
        <v>342.0</v>
      </c>
      <c r="F386" s="209">
        <v>2.34</v>
      </c>
      <c r="G386" s="210"/>
    </row>
    <row r="387">
      <c r="A387" s="182" t="s">
        <v>268</v>
      </c>
      <c r="B387" s="182" t="s">
        <v>179</v>
      </c>
      <c r="C387" s="182" t="s">
        <v>612</v>
      </c>
      <c r="D387" s="182">
        <v>8.0</v>
      </c>
      <c r="E387" s="182">
        <v>342.0</v>
      </c>
      <c r="F387" s="209">
        <v>2.34</v>
      </c>
      <c r="G387" s="210"/>
    </row>
    <row r="388">
      <c r="A388" s="182" t="s">
        <v>268</v>
      </c>
      <c r="B388" s="182" t="s">
        <v>179</v>
      </c>
      <c r="C388" s="182" t="s">
        <v>618</v>
      </c>
      <c r="D388" s="182">
        <v>7.0</v>
      </c>
      <c r="E388" s="182">
        <v>342.0</v>
      </c>
      <c r="F388" s="209">
        <v>2.05</v>
      </c>
      <c r="G388" s="210"/>
    </row>
    <row r="389">
      <c r="A389" s="182" t="s">
        <v>268</v>
      </c>
      <c r="B389" s="182" t="s">
        <v>179</v>
      </c>
      <c r="C389" s="182" t="s">
        <v>606</v>
      </c>
      <c r="D389" s="182">
        <v>3.0</v>
      </c>
      <c r="E389" s="182">
        <v>342.0</v>
      </c>
      <c r="F389" s="209">
        <v>0.88</v>
      </c>
      <c r="G389" s="210"/>
    </row>
    <row r="390">
      <c r="A390" s="182" t="s">
        <v>268</v>
      </c>
      <c r="B390" s="182" t="s">
        <v>179</v>
      </c>
      <c r="C390" s="182" t="s">
        <v>615</v>
      </c>
      <c r="D390" s="182">
        <v>2.0</v>
      </c>
      <c r="E390" s="182">
        <v>342.0</v>
      </c>
      <c r="F390" s="209">
        <v>0.58</v>
      </c>
      <c r="G390" s="210"/>
    </row>
    <row r="391">
      <c r="A391" s="182" t="s">
        <v>268</v>
      </c>
      <c r="B391" s="182" t="s">
        <v>179</v>
      </c>
      <c r="C391" s="182" t="s">
        <v>622</v>
      </c>
      <c r="D391" s="182">
        <v>2.0</v>
      </c>
      <c r="E391" s="182">
        <v>342.0</v>
      </c>
      <c r="F391" s="209">
        <v>0.58</v>
      </c>
      <c r="G391" s="210"/>
    </row>
    <row r="392">
      <c r="A392" s="182" t="s">
        <v>268</v>
      </c>
      <c r="B392" s="182" t="s">
        <v>179</v>
      </c>
      <c r="C392" s="182" t="s">
        <v>614</v>
      </c>
      <c r="D392" s="182">
        <v>1.0</v>
      </c>
      <c r="E392" s="182">
        <v>342.0</v>
      </c>
      <c r="F392" s="209">
        <v>0.29</v>
      </c>
      <c r="G392" s="210"/>
    </row>
    <row r="393">
      <c r="A393" s="182" t="s">
        <v>308</v>
      </c>
      <c r="B393" s="182" t="s">
        <v>179</v>
      </c>
      <c r="C393" s="182" t="s">
        <v>610</v>
      </c>
      <c r="D393" s="182">
        <v>130.0</v>
      </c>
      <c r="E393" s="182">
        <v>342.0</v>
      </c>
      <c r="F393" s="209">
        <v>38.01</v>
      </c>
      <c r="G393" s="210"/>
    </row>
    <row r="394">
      <c r="A394" s="182" t="s">
        <v>308</v>
      </c>
      <c r="B394" s="182" t="s">
        <v>179</v>
      </c>
      <c r="C394" s="182" t="s">
        <v>606</v>
      </c>
      <c r="D394" s="182">
        <v>98.0</v>
      </c>
      <c r="E394" s="182">
        <v>342.0</v>
      </c>
      <c r="F394" s="209">
        <v>28.65</v>
      </c>
      <c r="G394" s="210"/>
    </row>
    <row r="395">
      <c r="A395" s="182" t="s">
        <v>308</v>
      </c>
      <c r="B395" s="182" t="s">
        <v>179</v>
      </c>
      <c r="C395" s="182" t="s">
        <v>607</v>
      </c>
      <c r="D395" s="182">
        <v>46.0</v>
      </c>
      <c r="E395" s="182">
        <v>342.0</v>
      </c>
      <c r="F395" s="209">
        <v>13.45</v>
      </c>
      <c r="G395" s="210"/>
    </row>
    <row r="396">
      <c r="A396" s="182" t="s">
        <v>308</v>
      </c>
      <c r="B396" s="182" t="s">
        <v>179</v>
      </c>
      <c r="C396" s="182" t="s">
        <v>608</v>
      </c>
      <c r="D396" s="182">
        <v>30.0</v>
      </c>
      <c r="E396" s="182">
        <v>342.0</v>
      </c>
      <c r="F396" s="209">
        <v>8.77</v>
      </c>
      <c r="G396" s="210"/>
    </row>
    <row r="397">
      <c r="A397" s="182" t="s">
        <v>308</v>
      </c>
      <c r="B397" s="182" t="s">
        <v>179</v>
      </c>
      <c r="C397" s="182" t="s">
        <v>609</v>
      </c>
      <c r="D397" s="182">
        <v>19.0</v>
      </c>
      <c r="E397" s="182">
        <v>342.0</v>
      </c>
      <c r="F397" s="209">
        <v>5.56</v>
      </c>
      <c r="G397" s="210"/>
    </row>
    <row r="398">
      <c r="A398" s="182" t="s">
        <v>308</v>
      </c>
      <c r="B398" s="182" t="s">
        <v>179</v>
      </c>
      <c r="C398" s="182" t="s">
        <v>611</v>
      </c>
      <c r="D398" s="182">
        <v>8.0</v>
      </c>
      <c r="E398" s="182">
        <v>342.0</v>
      </c>
      <c r="F398" s="209">
        <v>2.34</v>
      </c>
      <c r="G398" s="210"/>
    </row>
    <row r="399">
      <c r="A399" s="182" t="s">
        <v>308</v>
      </c>
      <c r="B399" s="182" t="s">
        <v>179</v>
      </c>
      <c r="C399" s="182" t="s">
        <v>612</v>
      </c>
      <c r="D399" s="182">
        <v>4.0</v>
      </c>
      <c r="E399" s="182">
        <v>342.0</v>
      </c>
      <c r="F399" s="209">
        <v>1.17</v>
      </c>
      <c r="G399" s="210"/>
    </row>
    <row r="400">
      <c r="A400" s="182" t="s">
        <v>308</v>
      </c>
      <c r="B400" s="182" t="s">
        <v>179</v>
      </c>
      <c r="C400" s="182" t="s">
        <v>619</v>
      </c>
      <c r="D400" s="182">
        <v>4.0</v>
      </c>
      <c r="E400" s="182">
        <v>342.0</v>
      </c>
      <c r="F400" s="209">
        <v>1.17</v>
      </c>
      <c r="G400" s="210"/>
    </row>
    <row r="401">
      <c r="A401" s="182" t="s">
        <v>308</v>
      </c>
      <c r="B401" s="182" t="s">
        <v>179</v>
      </c>
      <c r="C401" s="182" t="s">
        <v>614</v>
      </c>
      <c r="D401" s="182">
        <v>1.0</v>
      </c>
      <c r="E401" s="182">
        <v>342.0</v>
      </c>
      <c r="F401" s="209">
        <v>0.29</v>
      </c>
      <c r="G401" s="210"/>
    </row>
    <row r="402">
      <c r="A402" s="182" t="s">
        <v>308</v>
      </c>
      <c r="B402" s="182" t="s">
        <v>179</v>
      </c>
      <c r="C402" s="182" t="s">
        <v>616</v>
      </c>
      <c r="D402" s="182">
        <v>1.0</v>
      </c>
      <c r="E402" s="182">
        <v>342.0</v>
      </c>
      <c r="F402" s="209">
        <v>0.29</v>
      </c>
      <c r="G402" s="210"/>
    </row>
    <row r="403">
      <c r="A403" s="182" t="s">
        <v>308</v>
      </c>
      <c r="B403" s="182" t="s">
        <v>179</v>
      </c>
      <c r="C403" s="182" t="s">
        <v>618</v>
      </c>
      <c r="D403" s="182">
        <v>1.0</v>
      </c>
      <c r="E403" s="182">
        <v>342.0</v>
      </c>
      <c r="F403" s="209">
        <v>0.29</v>
      </c>
      <c r="G403" s="210"/>
    </row>
    <row r="404">
      <c r="A404" s="182" t="s">
        <v>269</v>
      </c>
      <c r="B404" s="182" t="s">
        <v>179</v>
      </c>
      <c r="C404" s="182" t="s">
        <v>610</v>
      </c>
      <c r="D404" s="182">
        <v>140.0</v>
      </c>
      <c r="E404" s="182">
        <v>342.0</v>
      </c>
      <c r="F404" s="209">
        <v>40.94</v>
      </c>
      <c r="G404" s="210"/>
    </row>
    <row r="405">
      <c r="A405" s="182" t="s">
        <v>269</v>
      </c>
      <c r="B405" s="182" t="s">
        <v>179</v>
      </c>
      <c r="C405" s="182" t="s">
        <v>606</v>
      </c>
      <c r="D405" s="182">
        <v>75.0</v>
      </c>
      <c r="E405" s="182">
        <v>342.0</v>
      </c>
      <c r="F405" s="209">
        <v>21.93</v>
      </c>
      <c r="G405" s="210"/>
    </row>
    <row r="406">
      <c r="A406" s="182" t="s">
        <v>269</v>
      </c>
      <c r="B406" s="182" t="s">
        <v>179</v>
      </c>
      <c r="C406" s="182" t="s">
        <v>611</v>
      </c>
      <c r="D406" s="182">
        <v>33.0</v>
      </c>
      <c r="E406" s="182">
        <v>342.0</v>
      </c>
      <c r="F406" s="209">
        <v>9.65</v>
      </c>
      <c r="G406" s="210"/>
    </row>
    <row r="407">
      <c r="A407" s="182" t="s">
        <v>269</v>
      </c>
      <c r="B407" s="182" t="s">
        <v>179</v>
      </c>
      <c r="C407" s="182" t="s">
        <v>609</v>
      </c>
      <c r="D407" s="182">
        <v>24.0</v>
      </c>
      <c r="E407" s="182">
        <v>342.0</v>
      </c>
      <c r="F407" s="209">
        <v>7.02</v>
      </c>
      <c r="G407" s="210"/>
    </row>
    <row r="408">
      <c r="A408" s="182" t="s">
        <v>269</v>
      </c>
      <c r="B408" s="182" t="s">
        <v>179</v>
      </c>
      <c r="C408" s="182" t="s">
        <v>607</v>
      </c>
      <c r="D408" s="182">
        <v>20.0</v>
      </c>
      <c r="E408" s="182">
        <v>342.0</v>
      </c>
      <c r="F408" s="209">
        <v>5.85</v>
      </c>
      <c r="G408" s="210"/>
    </row>
    <row r="409">
      <c r="A409" s="182" t="s">
        <v>269</v>
      </c>
      <c r="B409" s="182" t="s">
        <v>179</v>
      </c>
      <c r="C409" s="182" t="s">
        <v>612</v>
      </c>
      <c r="D409" s="182">
        <v>17.0</v>
      </c>
      <c r="E409" s="182">
        <v>342.0</v>
      </c>
      <c r="F409" s="209">
        <v>4.97</v>
      </c>
      <c r="G409" s="210"/>
    </row>
    <row r="410">
      <c r="A410" s="182" t="s">
        <v>269</v>
      </c>
      <c r="B410" s="182" t="s">
        <v>179</v>
      </c>
      <c r="C410" s="182" t="s">
        <v>608</v>
      </c>
      <c r="D410" s="182">
        <v>13.0</v>
      </c>
      <c r="E410" s="182">
        <v>342.0</v>
      </c>
      <c r="F410" s="209">
        <v>3.8</v>
      </c>
      <c r="G410" s="210"/>
    </row>
    <row r="411">
      <c r="A411" s="182" t="s">
        <v>269</v>
      </c>
      <c r="B411" s="182" t="s">
        <v>179</v>
      </c>
      <c r="C411" s="182" t="s">
        <v>620</v>
      </c>
      <c r="D411" s="182">
        <v>6.0</v>
      </c>
      <c r="E411" s="182">
        <v>342.0</v>
      </c>
      <c r="F411" s="209">
        <v>1.75</v>
      </c>
      <c r="G411" s="210"/>
    </row>
    <row r="412">
      <c r="A412" s="182" t="s">
        <v>269</v>
      </c>
      <c r="B412" s="182" t="s">
        <v>179</v>
      </c>
      <c r="C412" s="182" t="s">
        <v>618</v>
      </c>
      <c r="D412" s="182">
        <v>4.0</v>
      </c>
      <c r="E412" s="182">
        <v>342.0</v>
      </c>
      <c r="F412" s="209">
        <v>1.17</v>
      </c>
      <c r="G412" s="210"/>
    </row>
    <row r="413">
      <c r="A413" s="182" t="s">
        <v>269</v>
      </c>
      <c r="B413" s="182" t="s">
        <v>179</v>
      </c>
      <c r="C413" s="182" t="s">
        <v>613</v>
      </c>
      <c r="D413" s="182">
        <v>2.0</v>
      </c>
      <c r="E413" s="182">
        <v>342.0</v>
      </c>
      <c r="F413" s="209">
        <v>0.58</v>
      </c>
      <c r="G413" s="210"/>
    </row>
    <row r="414">
      <c r="A414" s="182" t="s">
        <v>269</v>
      </c>
      <c r="B414" s="182" t="s">
        <v>179</v>
      </c>
      <c r="C414" s="182" t="s">
        <v>617</v>
      </c>
      <c r="D414" s="182">
        <v>2.0</v>
      </c>
      <c r="E414" s="182">
        <v>342.0</v>
      </c>
      <c r="F414" s="209">
        <v>0.58</v>
      </c>
      <c r="G414" s="210"/>
    </row>
    <row r="415">
      <c r="A415" s="182" t="s">
        <v>269</v>
      </c>
      <c r="B415" s="182" t="s">
        <v>179</v>
      </c>
      <c r="C415" s="182" t="s">
        <v>616</v>
      </c>
      <c r="D415" s="182">
        <v>2.0</v>
      </c>
      <c r="E415" s="182">
        <v>342.0</v>
      </c>
      <c r="F415" s="209">
        <v>0.58</v>
      </c>
      <c r="G415" s="210"/>
    </row>
    <row r="416">
      <c r="A416" s="182" t="s">
        <v>269</v>
      </c>
      <c r="B416" s="182" t="s">
        <v>179</v>
      </c>
      <c r="C416" s="182" t="s">
        <v>619</v>
      </c>
      <c r="D416" s="182">
        <v>2.0</v>
      </c>
      <c r="E416" s="182">
        <v>342.0</v>
      </c>
      <c r="F416" s="209">
        <v>0.58</v>
      </c>
      <c r="G416" s="210"/>
    </row>
    <row r="417">
      <c r="A417" s="182" t="s">
        <v>269</v>
      </c>
      <c r="B417" s="182" t="s">
        <v>179</v>
      </c>
      <c r="C417" s="182" t="s">
        <v>614</v>
      </c>
      <c r="D417" s="182">
        <v>1.0</v>
      </c>
      <c r="E417" s="182">
        <v>342.0</v>
      </c>
      <c r="F417" s="209">
        <v>0.29</v>
      </c>
      <c r="G417" s="210"/>
    </row>
    <row r="418">
      <c r="A418" s="182" t="s">
        <v>269</v>
      </c>
      <c r="B418" s="182" t="s">
        <v>179</v>
      </c>
      <c r="C418" s="182" t="s">
        <v>622</v>
      </c>
      <c r="D418" s="182">
        <v>1.0</v>
      </c>
      <c r="E418" s="182">
        <v>342.0</v>
      </c>
      <c r="F418" s="209">
        <v>0.29</v>
      </c>
      <c r="G418" s="210"/>
    </row>
    <row r="419">
      <c r="A419" s="182" t="s">
        <v>243</v>
      </c>
      <c r="B419" s="182" t="s">
        <v>232</v>
      </c>
      <c r="C419" s="182" t="s">
        <v>606</v>
      </c>
      <c r="D419" s="182">
        <v>150.0</v>
      </c>
      <c r="E419" s="182">
        <v>289.0</v>
      </c>
      <c r="F419" s="209">
        <v>51.9</v>
      </c>
      <c r="G419" s="210"/>
    </row>
    <row r="420">
      <c r="A420" s="182" t="s">
        <v>243</v>
      </c>
      <c r="B420" s="182" t="s">
        <v>232</v>
      </c>
      <c r="C420" s="182" t="s">
        <v>610</v>
      </c>
      <c r="D420" s="182">
        <v>37.0</v>
      </c>
      <c r="E420" s="182">
        <v>289.0</v>
      </c>
      <c r="F420" s="209">
        <v>12.8</v>
      </c>
      <c r="G420" s="210"/>
    </row>
    <row r="421">
      <c r="A421" s="182" t="s">
        <v>243</v>
      </c>
      <c r="B421" s="182" t="s">
        <v>232</v>
      </c>
      <c r="C421" s="182" t="s">
        <v>611</v>
      </c>
      <c r="D421" s="182">
        <v>29.0</v>
      </c>
      <c r="E421" s="182">
        <v>289.0</v>
      </c>
      <c r="F421" s="209">
        <v>10.03</v>
      </c>
      <c r="G421" s="210"/>
    </row>
    <row r="422">
      <c r="A422" s="182" t="s">
        <v>243</v>
      </c>
      <c r="B422" s="182" t="s">
        <v>232</v>
      </c>
      <c r="C422" s="182" t="s">
        <v>609</v>
      </c>
      <c r="D422" s="182">
        <v>23.0</v>
      </c>
      <c r="E422" s="182">
        <v>289.0</v>
      </c>
      <c r="F422" s="209">
        <v>7.96</v>
      </c>
      <c r="G422" s="210"/>
    </row>
    <row r="423">
      <c r="A423" s="182" t="s">
        <v>243</v>
      </c>
      <c r="B423" s="182" t="s">
        <v>232</v>
      </c>
      <c r="C423" s="182" t="s">
        <v>608</v>
      </c>
      <c r="D423" s="182">
        <v>16.0</v>
      </c>
      <c r="E423" s="182">
        <v>289.0</v>
      </c>
      <c r="F423" s="209">
        <v>5.54</v>
      </c>
      <c r="G423" s="210"/>
    </row>
    <row r="424">
      <c r="A424" s="182" t="s">
        <v>243</v>
      </c>
      <c r="B424" s="182" t="s">
        <v>232</v>
      </c>
      <c r="C424" s="182" t="s">
        <v>616</v>
      </c>
      <c r="D424" s="182">
        <v>16.0</v>
      </c>
      <c r="E424" s="182">
        <v>289.0</v>
      </c>
      <c r="F424" s="209">
        <v>5.54</v>
      </c>
      <c r="G424" s="210"/>
    </row>
    <row r="425">
      <c r="A425" s="182" t="s">
        <v>243</v>
      </c>
      <c r="B425" s="182" t="s">
        <v>232</v>
      </c>
      <c r="C425" s="182" t="s">
        <v>607</v>
      </c>
      <c r="D425" s="182">
        <v>12.0</v>
      </c>
      <c r="E425" s="182">
        <v>289.0</v>
      </c>
      <c r="F425" s="209">
        <v>4.15</v>
      </c>
      <c r="G425" s="210"/>
    </row>
    <row r="426">
      <c r="A426" s="182" t="s">
        <v>243</v>
      </c>
      <c r="B426" s="182" t="s">
        <v>232</v>
      </c>
      <c r="C426" s="182" t="s">
        <v>612</v>
      </c>
      <c r="D426" s="182">
        <v>2.0</v>
      </c>
      <c r="E426" s="182">
        <v>289.0</v>
      </c>
      <c r="F426" s="209">
        <v>0.69</v>
      </c>
      <c r="G426" s="210"/>
    </row>
    <row r="427">
      <c r="A427" s="182" t="s">
        <v>243</v>
      </c>
      <c r="B427" s="182" t="s">
        <v>232</v>
      </c>
      <c r="C427" s="182" t="s">
        <v>622</v>
      </c>
      <c r="D427" s="182">
        <v>2.0</v>
      </c>
      <c r="E427" s="182">
        <v>289.0</v>
      </c>
      <c r="F427" s="209">
        <v>0.69</v>
      </c>
      <c r="G427" s="210"/>
    </row>
    <row r="428">
      <c r="A428" s="182" t="s">
        <v>243</v>
      </c>
      <c r="B428" s="182" t="s">
        <v>232</v>
      </c>
      <c r="C428" s="182" t="s">
        <v>619</v>
      </c>
      <c r="D428" s="182">
        <v>2.0</v>
      </c>
      <c r="E428" s="182">
        <v>289.0</v>
      </c>
      <c r="F428" s="209">
        <v>0.69</v>
      </c>
      <c r="G428" s="210"/>
    </row>
    <row r="429">
      <c r="A429" s="182" t="s">
        <v>303</v>
      </c>
      <c r="B429" s="182" t="s">
        <v>232</v>
      </c>
      <c r="C429" s="182" t="s">
        <v>606</v>
      </c>
      <c r="D429" s="182">
        <v>152.0</v>
      </c>
      <c r="E429" s="182">
        <v>289.0</v>
      </c>
      <c r="F429" s="209">
        <v>52.6</v>
      </c>
      <c r="G429" s="210"/>
    </row>
    <row r="430">
      <c r="A430" s="182" t="s">
        <v>303</v>
      </c>
      <c r="B430" s="182" t="s">
        <v>232</v>
      </c>
      <c r="C430" s="182" t="s">
        <v>610</v>
      </c>
      <c r="D430" s="182">
        <v>36.0</v>
      </c>
      <c r="E430" s="182">
        <v>289.0</v>
      </c>
      <c r="F430" s="209">
        <v>12.46</v>
      </c>
      <c r="G430" s="210"/>
    </row>
    <row r="431">
      <c r="A431" s="182" t="s">
        <v>303</v>
      </c>
      <c r="B431" s="182" t="s">
        <v>232</v>
      </c>
      <c r="C431" s="182" t="s">
        <v>607</v>
      </c>
      <c r="D431" s="182">
        <v>29.0</v>
      </c>
      <c r="E431" s="182">
        <v>289.0</v>
      </c>
      <c r="F431" s="209">
        <v>10.03</v>
      </c>
      <c r="G431" s="210"/>
    </row>
    <row r="432">
      <c r="A432" s="182" t="s">
        <v>303</v>
      </c>
      <c r="B432" s="182" t="s">
        <v>232</v>
      </c>
      <c r="C432" s="182" t="s">
        <v>608</v>
      </c>
      <c r="D432" s="182">
        <v>27.0</v>
      </c>
      <c r="E432" s="182">
        <v>289.0</v>
      </c>
      <c r="F432" s="209">
        <v>9.34</v>
      </c>
      <c r="G432" s="210"/>
    </row>
    <row r="433">
      <c r="A433" s="182" t="s">
        <v>303</v>
      </c>
      <c r="B433" s="182" t="s">
        <v>232</v>
      </c>
      <c r="C433" s="182" t="s">
        <v>611</v>
      </c>
      <c r="D433" s="182">
        <v>16.0</v>
      </c>
      <c r="E433" s="182">
        <v>289.0</v>
      </c>
      <c r="F433" s="209">
        <v>5.54</v>
      </c>
      <c r="G433" s="210"/>
    </row>
    <row r="434">
      <c r="A434" s="182" t="s">
        <v>303</v>
      </c>
      <c r="B434" s="182" t="s">
        <v>232</v>
      </c>
      <c r="C434" s="182" t="s">
        <v>609</v>
      </c>
      <c r="D434" s="182">
        <v>15.0</v>
      </c>
      <c r="E434" s="182">
        <v>289.0</v>
      </c>
      <c r="F434" s="209">
        <v>5.19</v>
      </c>
      <c r="G434" s="210"/>
    </row>
    <row r="435">
      <c r="A435" s="182" t="s">
        <v>303</v>
      </c>
      <c r="B435" s="182" t="s">
        <v>232</v>
      </c>
      <c r="C435" s="182" t="s">
        <v>612</v>
      </c>
      <c r="D435" s="182">
        <v>5.0</v>
      </c>
      <c r="E435" s="182">
        <v>289.0</v>
      </c>
      <c r="F435" s="209">
        <v>1.73</v>
      </c>
      <c r="G435" s="210"/>
    </row>
    <row r="436">
      <c r="A436" s="182" t="s">
        <v>303</v>
      </c>
      <c r="B436" s="182" t="s">
        <v>232</v>
      </c>
      <c r="C436" s="182" t="s">
        <v>616</v>
      </c>
      <c r="D436" s="182">
        <v>4.0</v>
      </c>
      <c r="E436" s="182">
        <v>289.0</v>
      </c>
      <c r="F436" s="209">
        <v>1.38</v>
      </c>
      <c r="G436" s="210"/>
    </row>
    <row r="437">
      <c r="A437" s="182" t="s">
        <v>303</v>
      </c>
      <c r="B437" s="182" t="s">
        <v>232</v>
      </c>
      <c r="C437" s="182" t="s">
        <v>622</v>
      </c>
      <c r="D437" s="182">
        <v>2.0</v>
      </c>
      <c r="E437" s="182">
        <v>289.0</v>
      </c>
      <c r="F437" s="209">
        <v>0.69</v>
      </c>
      <c r="G437" s="210"/>
    </row>
    <row r="438">
      <c r="A438" s="182" t="s">
        <v>303</v>
      </c>
      <c r="B438" s="182" t="s">
        <v>232</v>
      </c>
      <c r="C438" s="182" t="s">
        <v>618</v>
      </c>
      <c r="D438" s="182">
        <v>2.0</v>
      </c>
      <c r="E438" s="182">
        <v>289.0</v>
      </c>
      <c r="F438" s="209">
        <v>0.69</v>
      </c>
      <c r="G438" s="210"/>
    </row>
    <row r="439">
      <c r="A439" s="182" t="s">
        <v>303</v>
      </c>
      <c r="B439" s="182" t="s">
        <v>232</v>
      </c>
      <c r="C439" s="182" t="s">
        <v>613</v>
      </c>
      <c r="D439" s="182">
        <v>1.0</v>
      </c>
      <c r="E439" s="182">
        <v>289.0</v>
      </c>
      <c r="F439" s="209">
        <v>0.35</v>
      </c>
      <c r="G439" s="210"/>
    </row>
    <row r="440">
      <c r="A440" s="182" t="s">
        <v>236</v>
      </c>
      <c r="B440" s="182" t="s">
        <v>232</v>
      </c>
      <c r="C440" s="182" t="s">
        <v>606</v>
      </c>
      <c r="D440" s="182">
        <v>111.0</v>
      </c>
      <c r="E440" s="182">
        <v>289.0</v>
      </c>
      <c r="F440" s="209">
        <v>38.41</v>
      </c>
      <c r="G440" s="210"/>
    </row>
    <row r="441">
      <c r="A441" s="182" t="s">
        <v>236</v>
      </c>
      <c r="B441" s="182" t="s">
        <v>232</v>
      </c>
      <c r="C441" s="182" t="s">
        <v>622</v>
      </c>
      <c r="D441" s="182">
        <v>69.0</v>
      </c>
      <c r="E441" s="182">
        <v>289.0</v>
      </c>
      <c r="F441" s="209">
        <v>23.88</v>
      </c>
      <c r="G441" s="210"/>
    </row>
    <row r="442">
      <c r="A442" s="182" t="s">
        <v>236</v>
      </c>
      <c r="B442" s="182" t="s">
        <v>232</v>
      </c>
      <c r="C442" s="182" t="s">
        <v>609</v>
      </c>
      <c r="D442" s="182">
        <v>21.0</v>
      </c>
      <c r="E442" s="182">
        <v>289.0</v>
      </c>
      <c r="F442" s="209">
        <v>7.27</v>
      </c>
      <c r="G442" s="210"/>
    </row>
    <row r="443">
      <c r="A443" s="182" t="s">
        <v>236</v>
      </c>
      <c r="B443" s="182" t="s">
        <v>232</v>
      </c>
      <c r="C443" s="182" t="s">
        <v>616</v>
      </c>
      <c r="D443" s="182">
        <v>20.0</v>
      </c>
      <c r="E443" s="182">
        <v>289.0</v>
      </c>
      <c r="F443" s="209">
        <v>6.92</v>
      </c>
      <c r="G443" s="210"/>
    </row>
    <row r="444">
      <c r="A444" s="182" t="s">
        <v>236</v>
      </c>
      <c r="B444" s="182" t="s">
        <v>232</v>
      </c>
      <c r="C444" s="182" t="s">
        <v>607</v>
      </c>
      <c r="D444" s="182">
        <v>17.0</v>
      </c>
      <c r="E444" s="182">
        <v>289.0</v>
      </c>
      <c r="F444" s="209">
        <v>5.88</v>
      </c>
      <c r="G444" s="210"/>
    </row>
    <row r="445">
      <c r="A445" s="182" t="s">
        <v>236</v>
      </c>
      <c r="B445" s="182" t="s">
        <v>232</v>
      </c>
      <c r="C445" s="182" t="s">
        <v>612</v>
      </c>
      <c r="D445" s="182">
        <v>17.0</v>
      </c>
      <c r="E445" s="182">
        <v>289.0</v>
      </c>
      <c r="F445" s="209">
        <v>5.88</v>
      </c>
      <c r="G445" s="210"/>
    </row>
    <row r="446">
      <c r="A446" s="182" t="s">
        <v>236</v>
      </c>
      <c r="B446" s="182" t="s">
        <v>232</v>
      </c>
      <c r="C446" s="182" t="s">
        <v>611</v>
      </c>
      <c r="D446" s="182">
        <v>16.0</v>
      </c>
      <c r="E446" s="182">
        <v>289.0</v>
      </c>
      <c r="F446" s="209">
        <v>5.54</v>
      </c>
      <c r="G446" s="210"/>
    </row>
    <row r="447">
      <c r="A447" s="182" t="s">
        <v>236</v>
      </c>
      <c r="B447" s="182" t="s">
        <v>232</v>
      </c>
      <c r="C447" s="182" t="s">
        <v>608</v>
      </c>
      <c r="D447" s="182">
        <v>7.0</v>
      </c>
      <c r="E447" s="182">
        <v>289.0</v>
      </c>
      <c r="F447" s="209">
        <v>2.42</v>
      </c>
      <c r="G447" s="210"/>
    </row>
    <row r="448">
      <c r="A448" s="182" t="s">
        <v>236</v>
      </c>
      <c r="B448" s="182" t="s">
        <v>232</v>
      </c>
      <c r="C448" s="182" t="s">
        <v>617</v>
      </c>
      <c r="D448" s="182">
        <v>7.0</v>
      </c>
      <c r="E448" s="182">
        <v>289.0</v>
      </c>
      <c r="F448" s="209">
        <v>2.42</v>
      </c>
      <c r="G448" s="210"/>
    </row>
    <row r="449">
      <c r="A449" s="182" t="s">
        <v>236</v>
      </c>
      <c r="B449" s="182" t="s">
        <v>232</v>
      </c>
      <c r="C449" s="182" t="s">
        <v>610</v>
      </c>
      <c r="D449" s="182">
        <v>2.0</v>
      </c>
      <c r="E449" s="182">
        <v>289.0</v>
      </c>
      <c r="F449" s="209">
        <v>0.69</v>
      </c>
      <c r="G449" s="210"/>
    </row>
    <row r="450">
      <c r="A450" s="182" t="s">
        <v>236</v>
      </c>
      <c r="B450" s="182" t="s">
        <v>232</v>
      </c>
      <c r="C450" s="182" t="s">
        <v>618</v>
      </c>
      <c r="D450" s="182">
        <v>2.0</v>
      </c>
      <c r="E450" s="182">
        <v>289.0</v>
      </c>
      <c r="F450" s="209">
        <v>0.69</v>
      </c>
      <c r="G450" s="210"/>
    </row>
    <row r="451">
      <c r="A451" s="182" t="s">
        <v>267</v>
      </c>
      <c r="B451" s="182" t="s">
        <v>232</v>
      </c>
      <c r="C451" s="182" t="s">
        <v>610</v>
      </c>
      <c r="D451" s="182">
        <v>103.0</v>
      </c>
      <c r="E451" s="182">
        <v>289.0</v>
      </c>
      <c r="F451" s="209">
        <v>35.64</v>
      </c>
      <c r="G451" s="210"/>
    </row>
    <row r="452">
      <c r="A452" s="182" t="s">
        <v>267</v>
      </c>
      <c r="B452" s="182" t="s">
        <v>232</v>
      </c>
      <c r="C452" s="182" t="s">
        <v>606</v>
      </c>
      <c r="D452" s="182">
        <v>103.0</v>
      </c>
      <c r="E452" s="182">
        <v>289.0</v>
      </c>
      <c r="F452" s="209">
        <v>35.64</v>
      </c>
      <c r="G452" s="210"/>
    </row>
    <row r="453">
      <c r="A453" s="182" t="s">
        <v>267</v>
      </c>
      <c r="B453" s="182" t="s">
        <v>232</v>
      </c>
      <c r="C453" s="182" t="s">
        <v>607</v>
      </c>
      <c r="D453" s="182">
        <v>32.0</v>
      </c>
      <c r="E453" s="182">
        <v>289.0</v>
      </c>
      <c r="F453" s="209">
        <v>11.07</v>
      </c>
      <c r="G453" s="210"/>
    </row>
    <row r="454">
      <c r="A454" s="182" t="s">
        <v>267</v>
      </c>
      <c r="B454" s="182" t="s">
        <v>232</v>
      </c>
      <c r="C454" s="182" t="s">
        <v>609</v>
      </c>
      <c r="D454" s="182">
        <v>13.0</v>
      </c>
      <c r="E454" s="182">
        <v>289.0</v>
      </c>
      <c r="F454" s="209">
        <v>4.5</v>
      </c>
      <c r="G454" s="210"/>
    </row>
    <row r="455">
      <c r="A455" s="182" t="s">
        <v>267</v>
      </c>
      <c r="B455" s="182" t="s">
        <v>232</v>
      </c>
      <c r="C455" s="182" t="s">
        <v>608</v>
      </c>
      <c r="D455" s="182">
        <v>11.0</v>
      </c>
      <c r="E455" s="182">
        <v>289.0</v>
      </c>
      <c r="F455" s="209">
        <v>3.81</v>
      </c>
      <c r="G455" s="210"/>
    </row>
    <row r="456">
      <c r="A456" s="182" t="s">
        <v>267</v>
      </c>
      <c r="B456" s="182" t="s">
        <v>232</v>
      </c>
      <c r="C456" s="182" t="s">
        <v>611</v>
      </c>
      <c r="D456" s="182">
        <v>11.0</v>
      </c>
      <c r="E456" s="182">
        <v>289.0</v>
      </c>
      <c r="F456" s="209">
        <v>3.81</v>
      </c>
      <c r="G456" s="210"/>
    </row>
    <row r="457">
      <c r="A457" s="182" t="s">
        <v>267</v>
      </c>
      <c r="B457" s="182" t="s">
        <v>232</v>
      </c>
      <c r="C457" s="182" t="s">
        <v>612</v>
      </c>
      <c r="D457" s="182">
        <v>4.0</v>
      </c>
      <c r="E457" s="182">
        <v>289.0</v>
      </c>
      <c r="F457" s="209">
        <v>1.38</v>
      </c>
      <c r="G457" s="210"/>
    </row>
    <row r="458">
      <c r="A458" s="182" t="s">
        <v>267</v>
      </c>
      <c r="B458" s="182" t="s">
        <v>232</v>
      </c>
      <c r="C458" s="182" t="s">
        <v>619</v>
      </c>
      <c r="D458" s="182">
        <v>4.0</v>
      </c>
      <c r="E458" s="182">
        <v>289.0</v>
      </c>
      <c r="F458" s="209">
        <v>1.38</v>
      </c>
      <c r="G458" s="210"/>
    </row>
    <row r="459">
      <c r="A459" s="182" t="s">
        <v>267</v>
      </c>
      <c r="B459" s="182" t="s">
        <v>232</v>
      </c>
      <c r="C459" s="182" t="s">
        <v>618</v>
      </c>
      <c r="D459" s="182">
        <v>3.0</v>
      </c>
      <c r="E459" s="182">
        <v>289.0</v>
      </c>
      <c r="F459" s="209">
        <v>1.04</v>
      </c>
      <c r="G459" s="210"/>
    </row>
    <row r="460">
      <c r="A460" s="182" t="s">
        <v>267</v>
      </c>
      <c r="B460" s="182" t="s">
        <v>232</v>
      </c>
      <c r="C460" s="182" t="s">
        <v>616</v>
      </c>
      <c r="D460" s="182">
        <v>2.0</v>
      </c>
      <c r="E460" s="182">
        <v>289.0</v>
      </c>
      <c r="F460" s="209">
        <v>0.69</v>
      </c>
      <c r="G460" s="210"/>
    </row>
    <row r="461">
      <c r="A461" s="182" t="s">
        <v>267</v>
      </c>
      <c r="B461" s="182" t="s">
        <v>232</v>
      </c>
      <c r="C461" s="182" t="s">
        <v>613</v>
      </c>
      <c r="D461" s="182">
        <v>1.0</v>
      </c>
      <c r="E461" s="182">
        <v>289.0</v>
      </c>
      <c r="F461" s="209">
        <v>0.35</v>
      </c>
      <c r="G461" s="210"/>
    </row>
    <row r="462">
      <c r="A462" s="182" t="s">
        <v>267</v>
      </c>
      <c r="B462" s="182" t="s">
        <v>232</v>
      </c>
      <c r="C462" s="182" t="s">
        <v>614</v>
      </c>
      <c r="D462" s="182">
        <v>1.0</v>
      </c>
      <c r="E462" s="182">
        <v>289.0</v>
      </c>
      <c r="F462" s="209">
        <v>0.35</v>
      </c>
      <c r="G462" s="210"/>
    </row>
    <row r="463">
      <c r="A463" s="182" t="s">
        <v>267</v>
      </c>
      <c r="B463" s="182" t="s">
        <v>232</v>
      </c>
      <c r="C463" s="182" t="s">
        <v>622</v>
      </c>
      <c r="D463" s="182">
        <v>1.0</v>
      </c>
      <c r="E463" s="182">
        <v>289.0</v>
      </c>
      <c r="F463" s="209">
        <v>0.35</v>
      </c>
      <c r="G463" s="210"/>
    </row>
    <row r="464">
      <c r="A464" s="182" t="s">
        <v>285</v>
      </c>
      <c r="B464" s="182" t="s">
        <v>232</v>
      </c>
      <c r="C464" s="182" t="s">
        <v>610</v>
      </c>
      <c r="D464" s="182">
        <v>102.0</v>
      </c>
      <c r="E464" s="182">
        <v>289.0</v>
      </c>
      <c r="F464" s="209">
        <v>35.29</v>
      </c>
      <c r="G464" s="210"/>
    </row>
    <row r="465">
      <c r="A465" s="182" t="s">
        <v>285</v>
      </c>
      <c r="B465" s="182" t="s">
        <v>232</v>
      </c>
      <c r="C465" s="182" t="s">
        <v>606</v>
      </c>
      <c r="D465" s="182">
        <v>83.0</v>
      </c>
      <c r="E465" s="182">
        <v>289.0</v>
      </c>
      <c r="F465" s="209">
        <v>28.72</v>
      </c>
      <c r="G465" s="210"/>
    </row>
    <row r="466">
      <c r="A466" s="182" t="s">
        <v>285</v>
      </c>
      <c r="B466" s="182" t="s">
        <v>232</v>
      </c>
      <c r="C466" s="182" t="s">
        <v>607</v>
      </c>
      <c r="D466" s="182">
        <v>26.0</v>
      </c>
      <c r="E466" s="182">
        <v>289.0</v>
      </c>
      <c r="F466" s="209">
        <v>9.0</v>
      </c>
      <c r="G466" s="210"/>
    </row>
    <row r="467">
      <c r="A467" s="182" t="s">
        <v>285</v>
      </c>
      <c r="B467" s="182" t="s">
        <v>232</v>
      </c>
      <c r="C467" s="182" t="s">
        <v>611</v>
      </c>
      <c r="D467" s="182">
        <v>21.0</v>
      </c>
      <c r="E467" s="182">
        <v>289.0</v>
      </c>
      <c r="F467" s="209">
        <v>7.27</v>
      </c>
      <c r="G467" s="210"/>
    </row>
    <row r="468">
      <c r="A468" s="182" t="s">
        <v>285</v>
      </c>
      <c r="B468" s="182" t="s">
        <v>232</v>
      </c>
      <c r="C468" s="182" t="s">
        <v>608</v>
      </c>
      <c r="D468" s="182">
        <v>12.0</v>
      </c>
      <c r="E468" s="182">
        <v>289.0</v>
      </c>
      <c r="F468" s="209">
        <v>4.15</v>
      </c>
      <c r="G468" s="210"/>
    </row>
    <row r="469">
      <c r="A469" s="182" t="s">
        <v>285</v>
      </c>
      <c r="B469" s="182" t="s">
        <v>232</v>
      </c>
      <c r="C469" s="182" t="s">
        <v>618</v>
      </c>
      <c r="D469" s="182">
        <v>12.0</v>
      </c>
      <c r="E469" s="182">
        <v>289.0</v>
      </c>
      <c r="F469" s="209">
        <v>4.15</v>
      </c>
      <c r="G469" s="210"/>
    </row>
    <row r="470">
      <c r="A470" s="182" t="s">
        <v>285</v>
      </c>
      <c r="B470" s="182" t="s">
        <v>232</v>
      </c>
      <c r="C470" s="182" t="s">
        <v>612</v>
      </c>
      <c r="D470" s="182">
        <v>10.0</v>
      </c>
      <c r="E470" s="182">
        <v>289.0</v>
      </c>
      <c r="F470" s="209">
        <v>3.46</v>
      </c>
      <c r="G470" s="210"/>
    </row>
    <row r="471">
      <c r="A471" s="182" t="s">
        <v>285</v>
      </c>
      <c r="B471" s="182" t="s">
        <v>232</v>
      </c>
      <c r="C471" s="182" t="s">
        <v>609</v>
      </c>
      <c r="D471" s="182">
        <v>8.0</v>
      </c>
      <c r="E471" s="182">
        <v>289.0</v>
      </c>
      <c r="F471" s="209">
        <v>2.77</v>
      </c>
      <c r="G471" s="210"/>
    </row>
    <row r="472">
      <c r="A472" s="182" t="s">
        <v>285</v>
      </c>
      <c r="B472" s="182" t="s">
        <v>232</v>
      </c>
      <c r="C472" s="182" t="s">
        <v>616</v>
      </c>
      <c r="D472" s="182">
        <v>5.0</v>
      </c>
      <c r="E472" s="182">
        <v>289.0</v>
      </c>
      <c r="F472" s="209">
        <v>1.73</v>
      </c>
      <c r="G472" s="210"/>
    </row>
    <row r="473">
      <c r="A473" s="182" t="s">
        <v>285</v>
      </c>
      <c r="B473" s="182" t="s">
        <v>232</v>
      </c>
      <c r="C473" s="182" t="s">
        <v>615</v>
      </c>
      <c r="D473" s="182">
        <v>3.0</v>
      </c>
      <c r="E473" s="182">
        <v>289.0</v>
      </c>
      <c r="F473" s="209">
        <v>1.04</v>
      </c>
      <c r="G473" s="210"/>
    </row>
    <row r="474">
      <c r="A474" s="182" t="s">
        <v>285</v>
      </c>
      <c r="B474" s="182" t="s">
        <v>232</v>
      </c>
      <c r="C474" s="182" t="s">
        <v>619</v>
      </c>
      <c r="D474" s="182">
        <v>3.0</v>
      </c>
      <c r="E474" s="182">
        <v>289.0</v>
      </c>
      <c r="F474" s="209">
        <v>1.04</v>
      </c>
      <c r="G474" s="210"/>
    </row>
    <row r="475">
      <c r="A475" s="182" t="s">
        <v>285</v>
      </c>
      <c r="B475" s="182" t="s">
        <v>232</v>
      </c>
      <c r="C475" s="182" t="s">
        <v>620</v>
      </c>
      <c r="D475" s="182">
        <v>2.0</v>
      </c>
      <c r="E475" s="182">
        <v>289.0</v>
      </c>
      <c r="F475" s="209">
        <v>0.69</v>
      </c>
      <c r="G475" s="210"/>
    </row>
    <row r="476">
      <c r="A476" s="182" t="s">
        <v>285</v>
      </c>
      <c r="B476" s="182" t="s">
        <v>232</v>
      </c>
      <c r="C476" s="182" t="s">
        <v>617</v>
      </c>
      <c r="D476" s="182">
        <v>1.0</v>
      </c>
      <c r="E476" s="182">
        <v>289.0</v>
      </c>
      <c r="F476" s="209">
        <v>0.35</v>
      </c>
      <c r="G476" s="210"/>
    </row>
    <row r="477">
      <c r="A477" s="182" t="s">
        <v>285</v>
      </c>
      <c r="B477" s="182" t="s">
        <v>232</v>
      </c>
      <c r="C477" s="182" t="s">
        <v>622</v>
      </c>
      <c r="D477" s="182">
        <v>1.0</v>
      </c>
      <c r="E477" s="182">
        <v>289.0</v>
      </c>
      <c r="F477" s="209">
        <v>0.35</v>
      </c>
      <c r="G477" s="210"/>
    </row>
    <row r="478">
      <c r="A478" s="182" t="s">
        <v>277</v>
      </c>
      <c r="B478" s="182" t="s">
        <v>187</v>
      </c>
      <c r="C478" s="182" t="s">
        <v>606</v>
      </c>
      <c r="D478" s="182">
        <v>242.0</v>
      </c>
      <c r="E478" s="182">
        <v>519.0</v>
      </c>
      <c r="F478" s="209">
        <v>46.63</v>
      </c>
      <c r="G478" s="210"/>
    </row>
    <row r="479">
      <c r="A479" s="182" t="s">
        <v>277</v>
      </c>
      <c r="B479" s="182" t="s">
        <v>187</v>
      </c>
      <c r="C479" s="182" t="s">
        <v>607</v>
      </c>
      <c r="D479" s="182">
        <v>68.0</v>
      </c>
      <c r="E479" s="182">
        <v>519.0</v>
      </c>
      <c r="F479" s="209">
        <v>13.1</v>
      </c>
      <c r="G479" s="210"/>
    </row>
    <row r="480">
      <c r="A480" s="182" t="s">
        <v>277</v>
      </c>
      <c r="B480" s="182" t="s">
        <v>187</v>
      </c>
      <c r="C480" s="182" t="s">
        <v>622</v>
      </c>
      <c r="D480" s="182">
        <v>49.0</v>
      </c>
      <c r="E480" s="182">
        <v>519.0</v>
      </c>
      <c r="F480" s="209">
        <v>9.44</v>
      </c>
      <c r="G480" s="210"/>
    </row>
    <row r="481">
      <c r="A481" s="182" t="s">
        <v>277</v>
      </c>
      <c r="B481" s="182" t="s">
        <v>187</v>
      </c>
      <c r="C481" s="182" t="s">
        <v>613</v>
      </c>
      <c r="D481" s="182">
        <v>43.0</v>
      </c>
      <c r="E481" s="182">
        <v>519.0</v>
      </c>
      <c r="F481" s="209">
        <v>8.29</v>
      </c>
      <c r="G481" s="210"/>
    </row>
    <row r="482">
      <c r="A482" s="182" t="s">
        <v>277</v>
      </c>
      <c r="B482" s="182" t="s">
        <v>187</v>
      </c>
      <c r="C482" s="182" t="s">
        <v>614</v>
      </c>
      <c r="D482" s="182">
        <v>36.0</v>
      </c>
      <c r="E482" s="182">
        <v>519.0</v>
      </c>
      <c r="F482" s="209">
        <v>6.94</v>
      </c>
      <c r="G482" s="210"/>
    </row>
    <row r="483">
      <c r="A483" s="182" t="s">
        <v>277</v>
      </c>
      <c r="B483" s="182" t="s">
        <v>187</v>
      </c>
      <c r="C483" s="182" t="s">
        <v>612</v>
      </c>
      <c r="D483" s="182">
        <v>18.0</v>
      </c>
      <c r="E483" s="182">
        <v>519.0</v>
      </c>
      <c r="F483" s="209">
        <v>3.47</v>
      </c>
      <c r="G483" s="210"/>
    </row>
    <row r="484">
      <c r="A484" s="182" t="s">
        <v>277</v>
      </c>
      <c r="B484" s="182" t="s">
        <v>187</v>
      </c>
      <c r="C484" s="182" t="s">
        <v>616</v>
      </c>
      <c r="D484" s="182">
        <v>16.0</v>
      </c>
      <c r="E484" s="182">
        <v>519.0</v>
      </c>
      <c r="F484" s="209">
        <v>3.08</v>
      </c>
      <c r="G484" s="210"/>
    </row>
    <row r="485">
      <c r="A485" s="182" t="s">
        <v>277</v>
      </c>
      <c r="B485" s="182" t="s">
        <v>187</v>
      </c>
      <c r="C485" s="182" t="s">
        <v>617</v>
      </c>
      <c r="D485" s="182">
        <v>9.0</v>
      </c>
      <c r="E485" s="182">
        <v>519.0</v>
      </c>
      <c r="F485" s="209">
        <v>1.73</v>
      </c>
      <c r="G485" s="210"/>
    </row>
    <row r="486">
      <c r="A486" s="182" t="s">
        <v>277</v>
      </c>
      <c r="B486" s="182" t="s">
        <v>187</v>
      </c>
      <c r="C486" s="182" t="s">
        <v>609</v>
      </c>
      <c r="D486" s="182">
        <v>8.0</v>
      </c>
      <c r="E486" s="182">
        <v>519.0</v>
      </c>
      <c r="F486" s="209">
        <v>1.54</v>
      </c>
      <c r="G486" s="210"/>
    </row>
    <row r="487">
      <c r="A487" s="182" t="s">
        <v>277</v>
      </c>
      <c r="B487" s="182" t="s">
        <v>187</v>
      </c>
      <c r="C487" s="182" t="s">
        <v>611</v>
      </c>
      <c r="D487" s="182">
        <v>7.0</v>
      </c>
      <c r="E487" s="182">
        <v>519.0</v>
      </c>
      <c r="F487" s="209">
        <v>1.35</v>
      </c>
      <c r="G487" s="210"/>
    </row>
    <row r="488">
      <c r="A488" s="182" t="s">
        <v>277</v>
      </c>
      <c r="B488" s="182" t="s">
        <v>187</v>
      </c>
      <c r="C488" s="182" t="s">
        <v>618</v>
      </c>
      <c r="D488" s="182">
        <v>7.0</v>
      </c>
      <c r="E488" s="182">
        <v>519.0</v>
      </c>
      <c r="F488" s="209">
        <v>1.35</v>
      </c>
      <c r="G488" s="210"/>
    </row>
    <row r="489">
      <c r="A489" s="182" t="s">
        <v>277</v>
      </c>
      <c r="B489" s="182" t="s">
        <v>187</v>
      </c>
      <c r="C489" s="182" t="s">
        <v>608</v>
      </c>
      <c r="D489" s="182">
        <v>5.0</v>
      </c>
      <c r="E489" s="182">
        <v>519.0</v>
      </c>
      <c r="F489" s="209">
        <v>0.96</v>
      </c>
      <c r="G489" s="210"/>
    </row>
    <row r="490">
      <c r="A490" s="182" t="s">
        <v>277</v>
      </c>
      <c r="B490" s="182" t="s">
        <v>187</v>
      </c>
      <c r="C490" s="182" t="s">
        <v>615</v>
      </c>
      <c r="D490" s="182">
        <v>5.0</v>
      </c>
      <c r="E490" s="182">
        <v>519.0</v>
      </c>
      <c r="F490" s="209">
        <v>0.96</v>
      </c>
      <c r="G490" s="210"/>
    </row>
    <row r="491">
      <c r="A491" s="182" t="s">
        <v>277</v>
      </c>
      <c r="B491" s="182" t="s">
        <v>187</v>
      </c>
      <c r="C491" s="182" t="s">
        <v>610</v>
      </c>
      <c r="D491" s="182">
        <v>3.0</v>
      </c>
      <c r="E491" s="182">
        <v>519.0</v>
      </c>
      <c r="F491" s="209">
        <v>0.58</v>
      </c>
      <c r="G491" s="210"/>
    </row>
    <row r="492">
      <c r="A492" s="182" t="s">
        <v>277</v>
      </c>
      <c r="B492" s="182" t="s">
        <v>187</v>
      </c>
      <c r="C492" s="182" t="s">
        <v>621</v>
      </c>
      <c r="D492" s="182">
        <v>2.0</v>
      </c>
      <c r="E492" s="182">
        <v>519.0</v>
      </c>
      <c r="F492" s="209">
        <v>0.39</v>
      </c>
      <c r="G492" s="210"/>
    </row>
    <row r="493">
      <c r="A493" s="182" t="s">
        <v>277</v>
      </c>
      <c r="B493" s="182" t="s">
        <v>187</v>
      </c>
      <c r="C493" s="182" t="s">
        <v>619</v>
      </c>
      <c r="D493" s="182">
        <v>1.0</v>
      </c>
      <c r="E493" s="182">
        <v>519.0</v>
      </c>
      <c r="F493" s="209">
        <v>0.19</v>
      </c>
      <c r="G493" s="210"/>
    </row>
    <row r="494">
      <c r="A494" s="182" t="s">
        <v>281</v>
      </c>
      <c r="B494" s="182" t="s">
        <v>187</v>
      </c>
      <c r="C494" s="182" t="s">
        <v>606</v>
      </c>
      <c r="D494" s="182">
        <v>322.0</v>
      </c>
      <c r="E494" s="182">
        <v>519.0</v>
      </c>
      <c r="F494" s="209">
        <v>62.04</v>
      </c>
      <c r="G494" s="210"/>
    </row>
    <row r="495">
      <c r="A495" s="182" t="s">
        <v>281</v>
      </c>
      <c r="B495" s="182" t="s">
        <v>187</v>
      </c>
      <c r="C495" s="182" t="s">
        <v>611</v>
      </c>
      <c r="D495" s="182">
        <v>41.0</v>
      </c>
      <c r="E495" s="182">
        <v>519.0</v>
      </c>
      <c r="F495" s="209">
        <v>7.9</v>
      </c>
      <c r="G495" s="210"/>
    </row>
    <row r="496">
      <c r="A496" s="182" t="s">
        <v>281</v>
      </c>
      <c r="B496" s="182" t="s">
        <v>187</v>
      </c>
      <c r="C496" s="182" t="s">
        <v>612</v>
      </c>
      <c r="D496" s="182">
        <v>34.0</v>
      </c>
      <c r="E496" s="182">
        <v>519.0</v>
      </c>
      <c r="F496" s="209">
        <v>6.55</v>
      </c>
      <c r="G496" s="210"/>
    </row>
    <row r="497">
      <c r="A497" s="182" t="s">
        <v>281</v>
      </c>
      <c r="B497" s="182" t="s">
        <v>187</v>
      </c>
      <c r="C497" s="182" t="s">
        <v>609</v>
      </c>
      <c r="D497" s="182">
        <v>34.0</v>
      </c>
      <c r="E497" s="182">
        <v>519.0</v>
      </c>
      <c r="F497" s="209">
        <v>6.55</v>
      </c>
      <c r="G497" s="210"/>
    </row>
    <row r="498">
      <c r="A498" s="182" t="s">
        <v>281</v>
      </c>
      <c r="B498" s="182" t="s">
        <v>187</v>
      </c>
      <c r="C498" s="182" t="s">
        <v>607</v>
      </c>
      <c r="D498" s="182">
        <v>30.0</v>
      </c>
      <c r="E498" s="182">
        <v>519.0</v>
      </c>
      <c r="F498" s="209">
        <v>5.78</v>
      </c>
      <c r="G498" s="210"/>
    </row>
    <row r="499">
      <c r="A499" s="182" t="s">
        <v>281</v>
      </c>
      <c r="B499" s="182" t="s">
        <v>187</v>
      </c>
      <c r="C499" s="182" t="s">
        <v>618</v>
      </c>
      <c r="D499" s="182">
        <v>23.0</v>
      </c>
      <c r="E499" s="182">
        <v>519.0</v>
      </c>
      <c r="F499" s="209">
        <v>4.43</v>
      </c>
      <c r="G499" s="210"/>
    </row>
    <row r="500">
      <c r="A500" s="182" t="s">
        <v>281</v>
      </c>
      <c r="B500" s="182" t="s">
        <v>187</v>
      </c>
      <c r="C500" s="182" t="s">
        <v>608</v>
      </c>
      <c r="D500" s="182">
        <v>16.0</v>
      </c>
      <c r="E500" s="182">
        <v>519.0</v>
      </c>
      <c r="F500" s="209">
        <v>3.08</v>
      </c>
      <c r="G500" s="210"/>
    </row>
    <row r="501">
      <c r="A501" s="182" t="s">
        <v>281</v>
      </c>
      <c r="B501" s="182" t="s">
        <v>187</v>
      </c>
      <c r="C501" s="182" t="s">
        <v>614</v>
      </c>
      <c r="D501" s="182">
        <v>14.0</v>
      </c>
      <c r="E501" s="182">
        <v>519.0</v>
      </c>
      <c r="F501" s="209">
        <v>2.7</v>
      </c>
      <c r="G501" s="210"/>
    </row>
    <row r="502">
      <c r="A502" s="182" t="s">
        <v>281</v>
      </c>
      <c r="B502" s="182" t="s">
        <v>187</v>
      </c>
      <c r="C502" s="182" t="s">
        <v>610</v>
      </c>
      <c r="D502" s="182">
        <v>2.0</v>
      </c>
      <c r="E502" s="182">
        <v>519.0</v>
      </c>
      <c r="F502" s="209">
        <v>0.39</v>
      </c>
      <c r="G502" s="210"/>
    </row>
    <row r="503">
      <c r="A503" s="182" t="s">
        <v>281</v>
      </c>
      <c r="B503" s="182" t="s">
        <v>187</v>
      </c>
      <c r="C503" s="182" t="s">
        <v>613</v>
      </c>
      <c r="D503" s="182">
        <v>1.0</v>
      </c>
      <c r="E503" s="182">
        <v>519.0</v>
      </c>
      <c r="F503" s="209">
        <v>0.19</v>
      </c>
      <c r="G503" s="210"/>
    </row>
    <row r="504">
      <c r="A504" s="182" t="s">
        <v>281</v>
      </c>
      <c r="B504" s="182" t="s">
        <v>187</v>
      </c>
      <c r="C504" s="182" t="s">
        <v>620</v>
      </c>
      <c r="D504" s="182">
        <v>1.0</v>
      </c>
      <c r="E504" s="182">
        <v>519.0</v>
      </c>
      <c r="F504" s="209">
        <v>0.19</v>
      </c>
      <c r="G504" s="210"/>
    </row>
    <row r="505">
      <c r="A505" s="182" t="s">
        <v>281</v>
      </c>
      <c r="B505" s="182" t="s">
        <v>187</v>
      </c>
      <c r="C505" s="182" t="s">
        <v>621</v>
      </c>
      <c r="D505" s="182">
        <v>1.0</v>
      </c>
      <c r="E505" s="182">
        <v>519.0</v>
      </c>
      <c r="F505" s="209">
        <v>0.19</v>
      </c>
      <c r="G505" s="210"/>
    </row>
    <row r="506">
      <c r="A506" s="182" t="s">
        <v>253</v>
      </c>
      <c r="B506" s="182" t="s">
        <v>187</v>
      </c>
      <c r="C506" s="182" t="s">
        <v>606</v>
      </c>
      <c r="D506" s="182">
        <v>286.0</v>
      </c>
      <c r="E506" s="182">
        <v>519.0</v>
      </c>
      <c r="F506" s="209">
        <v>55.11</v>
      </c>
      <c r="G506" s="210"/>
    </row>
    <row r="507">
      <c r="A507" s="182" t="s">
        <v>253</v>
      </c>
      <c r="B507" s="182" t="s">
        <v>187</v>
      </c>
      <c r="C507" s="182" t="s">
        <v>611</v>
      </c>
      <c r="D507" s="182">
        <v>43.0</v>
      </c>
      <c r="E507" s="182">
        <v>519.0</v>
      </c>
      <c r="F507" s="209">
        <v>8.29</v>
      </c>
      <c r="G507" s="210"/>
    </row>
    <row r="508">
      <c r="A508" s="182" t="s">
        <v>253</v>
      </c>
      <c r="B508" s="182" t="s">
        <v>187</v>
      </c>
      <c r="C508" s="182" t="s">
        <v>610</v>
      </c>
      <c r="D508" s="182">
        <v>43.0</v>
      </c>
      <c r="E508" s="182">
        <v>519.0</v>
      </c>
      <c r="F508" s="209">
        <v>8.29</v>
      </c>
      <c r="G508" s="210"/>
    </row>
    <row r="509">
      <c r="A509" s="182" t="s">
        <v>253</v>
      </c>
      <c r="B509" s="182" t="s">
        <v>187</v>
      </c>
      <c r="C509" s="182" t="s">
        <v>609</v>
      </c>
      <c r="D509" s="182">
        <v>39.0</v>
      </c>
      <c r="E509" s="182">
        <v>519.0</v>
      </c>
      <c r="F509" s="209">
        <v>7.51</v>
      </c>
      <c r="G509" s="210"/>
    </row>
    <row r="510">
      <c r="A510" s="182" t="s">
        <v>253</v>
      </c>
      <c r="B510" s="182" t="s">
        <v>187</v>
      </c>
      <c r="C510" s="182" t="s">
        <v>607</v>
      </c>
      <c r="D510" s="182">
        <v>34.0</v>
      </c>
      <c r="E510" s="182">
        <v>519.0</v>
      </c>
      <c r="F510" s="209">
        <v>6.55</v>
      </c>
      <c r="G510" s="210"/>
    </row>
    <row r="511">
      <c r="A511" s="182" t="s">
        <v>253</v>
      </c>
      <c r="B511" s="182" t="s">
        <v>187</v>
      </c>
      <c r="C511" s="182" t="s">
        <v>608</v>
      </c>
      <c r="D511" s="182">
        <v>25.0</v>
      </c>
      <c r="E511" s="182">
        <v>519.0</v>
      </c>
      <c r="F511" s="209">
        <v>4.82</v>
      </c>
      <c r="G511" s="210"/>
    </row>
    <row r="512">
      <c r="A512" s="182" t="s">
        <v>253</v>
      </c>
      <c r="B512" s="182" t="s">
        <v>187</v>
      </c>
      <c r="C512" s="182" t="s">
        <v>612</v>
      </c>
      <c r="D512" s="182">
        <v>14.0</v>
      </c>
      <c r="E512" s="182">
        <v>519.0</v>
      </c>
      <c r="F512" s="209">
        <v>2.7</v>
      </c>
      <c r="G512" s="210"/>
    </row>
    <row r="513">
      <c r="A513" s="182" t="s">
        <v>253</v>
      </c>
      <c r="B513" s="182" t="s">
        <v>187</v>
      </c>
      <c r="C513" s="182" t="s">
        <v>618</v>
      </c>
      <c r="D513" s="182">
        <v>10.0</v>
      </c>
      <c r="E513" s="182">
        <v>519.0</v>
      </c>
      <c r="F513" s="209">
        <v>1.93</v>
      </c>
      <c r="G513" s="210"/>
    </row>
    <row r="514">
      <c r="A514" s="182" t="s">
        <v>253</v>
      </c>
      <c r="B514" s="182" t="s">
        <v>187</v>
      </c>
      <c r="C514" s="182" t="s">
        <v>614</v>
      </c>
      <c r="D514" s="182">
        <v>8.0</v>
      </c>
      <c r="E514" s="182">
        <v>519.0</v>
      </c>
      <c r="F514" s="209">
        <v>1.54</v>
      </c>
      <c r="G514" s="210"/>
    </row>
    <row r="515">
      <c r="A515" s="182" t="s">
        <v>253</v>
      </c>
      <c r="B515" s="182" t="s">
        <v>187</v>
      </c>
      <c r="C515" s="182" t="s">
        <v>619</v>
      </c>
      <c r="D515" s="182">
        <v>8.0</v>
      </c>
      <c r="E515" s="182">
        <v>519.0</v>
      </c>
      <c r="F515" s="209">
        <v>1.54</v>
      </c>
      <c r="G515" s="210"/>
    </row>
    <row r="516">
      <c r="A516" s="182" t="s">
        <v>253</v>
      </c>
      <c r="B516" s="182" t="s">
        <v>187</v>
      </c>
      <c r="C516" s="182" t="s">
        <v>616</v>
      </c>
      <c r="D516" s="182">
        <v>3.0</v>
      </c>
      <c r="E516" s="182">
        <v>519.0</v>
      </c>
      <c r="F516" s="209">
        <v>0.58</v>
      </c>
      <c r="G516" s="210"/>
    </row>
    <row r="517">
      <c r="A517" s="182" t="s">
        <v>253</v>
      </c>
      <c r="B517" s="182" t="s">
        <v>187</v>
      </c>
      <c r="C517" s="182" t="s">
        <v>613</v>
      </c>
      <c r="D517" s="182">
        <v>2.0</v>
      </c>
      <c r="E517" s="182">
        <v>519.0</v>
      </c>
      <c r="F517" s="209">
        <v>0.39</v>
      </c>
      <c r="G517" s="210"/>
    </row>
    <row r="518">
      <c r="A518" s="182" t="s">
        <v>253</v>
      </c>
      <c r="B518" s="182" t="s">
        <v>187</v>
      </c>
      <c r="C518" s="182" t="s">
        <v>622</v>
      </c>
      <c r="D518" s="182">
        <v>2.0</v>
      </c>
      <c r="E518" s="182">
        <v>519.0</v>
      </c>
      <c r="F518" s="209">
        <v>0.39</v>
      </c>
      <c r="G518" s="210"/>
    </row>
    <row r="519">
      <c r="A519" s="182" t="s">
        <v>253</v>
      </c>
      <c r="B519" s="182" t="s">
        <v>187</v>
      </c>
      <c r="C519" s="182" t="s">
        <v>615</v>
      </c>
      <c r="D519" s="182">
        <v>1.0</v>
      </c>
      <c r="E519" s="182">
        <v>519.0</v>
      </c>
      <c r="F519" s="209">
        <v>0.19</v>
      </c>
      <c r="G519" s="210"/>
    </row>
    <row r="520">
      <c r="A520" s="182" t="s">
        <v>253</v>
      </c>
      <c r="B520" s="182" t="s">
        <v>187</v>
      </c>
      <c r="C520" s="182" t="s">
        <v>621</v>
      </c>
      <c r="D520" s="182">
        <v>1.0</v>
      </c>
      <c r="E520" s="182">
        <v>519.0</v>
      </c>
      <c r="F520" s="209">
        <v>0.19</v>
      </c>
      <c r="G520" s="210"/>
    </row>
    <row r="521">
      <c r="A521" s="182" t="s">
        <v>291</v>
      </c>
      <c r="B521" s="182" t="s">
        <v>187</v>
      </c>
      <c r="C521" s="182" t="s">
        <v>606</v>
      </c>
      <c r="D521" s="182">
        <v>300.0</v>
      </c>
      <c r="E521" s="182">
        <v>519.0</v>
      </c>
      <c r="F521" s="209">
        <v>57.8</v>
      </c>
      <c r="G521" s="210"/>
    </row>
    <row r="522">
      <c r="A522" s="182" t="s">
        <v>291</v>
      </c>
      <c r="B522" s="182" t="s">
        <v>187</v>
      </c>
      <c r="C522" s="182" t="s">
        <v>609</v>
      </c>
      <c r="D522" s="182">
        <v>49.0</v>
      </c>
      <c r="E522" s="182">
        <v>519.0</v>
      </c>
      <c r="F522" s="209">
        <v>9.44</v>
      </c>
      <c r="G522" s="210"/>
    </row>
    <row r="523">
      <c r="A523" s="182" t="s">
        <v>291</v>
      </c>
      <c r="B523" s="182" t="s">
        <v>187</v>
      </c>
      <c r="C523" s="182" t="s">
        <v>607</v>
      </c>
      <c r="D523" s="182">
        <v>46.0</v>
      </c>
      <c r="E523" s="182">
        <v>519.0</v>
      </c>
      <c r="F523" s="209">
        <v>8.86</v>
      </c>
      <c r="G523" s="210"/>
    </row>
    <row r="524">
      <c r="A524" s="182" t="s">
        <v>291</v>
      </c>
      <c r="B524" s="182" t="s">
        <v>187</v>
      </c>
      <c r="C524" s="182" t="s">
        <v>611</v>
      </c>
      <c r="D524" s="182">
        <v>38.0</v>
      </c>
      <c r="E524" s="182">
        <v>519.0</v>
      </c>
      <c r="F524" s="209">
        <v>7.32</v>
      </c>
      <c r="G524" s="210"/>
    </row>
    <row r="525">
      <c r="A525" s="182" t="s">
        <v>291</v>
      </c>
      <c r="B525" s="182" t="s">
        <v>187</v>
      </c>
      <c r="C525" s="182" t="s">
        <v>612</v>
      </c>
      <c r="D525" s="182">
        <v>26.0</v>
      </c>
      <c r="E525" s="182">
        <v>519.0</v>
      </c>
      <c r="F525" s="209">
        <v>5.01</v>
      </c>
      <c r="G525" s="210"/>
    </row>
    <row r="526">
      <c r="A526" s="182" t="s">
        <v>291</v>
      </c>
      <c r="B526" s="182" t="s">
        <v>187</v>
      </c>
      <c r="C526" s="182" t="s">
        <v>618</v>
      </c>
      <c r="D526" s="182">
        <v>20.0</v>
      </c>
      <c r="E526" s="182">
        <v>519.0</v>
      </c>
      <c r="F526" s="209">
        <v>3.85</v>
      </c>
      <c r="G526" s="210"/>
    </row>
    <row r="527">
      <c r="A527" s="182" t="s">
        <v>291</v>
      </c>
      <c r="B527" s="182" t="s">
        <v>187</v>
      </c>
      <c r="C527" s="182" t="s">
        <v>608</v>
      </c>
      <c r="D527" s="182">
        <v>13.0</v>
      </c>
      <c r="E527" s="182">
        <v>519.0</v>
      </c>
      <c r="F527" s="209">
        <v>2.5</v>
      </c>
      <c r="G527" s="210"/>
    </row>
    <row r="528">
      <c r="A528" s="182" t="s">
        <v>291</v>
      </c>
      <c r="B528" s="182" t="s">
        <v>187</v>
      </c>
      <c r="C528" s="182" t="s">
        <v>610</v>
      </c>
      <c r="D528" s="182">
        <v>8.0</v>
      </c>
      <c r="E528" s="182">
        <v>519.0</v>
      </c>
      <c r="F528" s="209">
        <v>1.54</v>
      </c>
      <c r="G528" s="210"/>
    </row>
    <row r="529">
      <c r="A529" s="182" t="s">
        <v>291</v>
      </c>
      <c r="B529" s="182" t="s">
        <v>187</v>
      </c>
      <c r="C529" s="182" t="s">
        <v>620</v>
      </c>
      <c r="D529" s="182">
        <v>7.0</v>
      </c>
      <c r="E529" s="182">
        <v>519.0</v>
      </c>
      <c r="F529" s="209">
        <v>1.35</v>
      </c>
      <c r="G529" s="210"/>
    </row>
    <row r="530">
      <c r="A530" s="182" t="s">
        <v>291</v>
      </c>
      <c r="B530" s="182" t="s">
        <v>187</v>
      </c>
      <c r="C530" s="182" t="s">
        <v>619</v>
      </c>
      <c r="D530" s="182">
        <v>5.0</v>
      </c>
      <c r="E530" s="182">
        <v>519.0</v>
      </c>
      <c r="F530" s="209">
        <v>0.96</v>
      </c>
      <c r="G530" s="210"/>
    </row>
    <row r="531">
      <c r="A531" s="182" t="s">
        <v>291</v>
      </c>
      <c r="B531" s="182" t="s">
        <v>187</v>
      </c>
      <c r="C531" s="182" t="s">
        <v>614</v>
      </c>
      <c r="D531" s="182">
        <v>2.0</v>
      </c>
      <c r="E531" s="182">
        <v>519.0</v>
      </c>
      <c r="F531" s="209">
        <v>0.39</v>
      </c>
      <c r="G531" s="210"/>
    </row>
    <row r="532">
      <c r="A532" s="182" t="s">
        <v>291</v>
      </c>
      <c r="B532" s="182" t="s">
        <v>187</v>
      </c>
      <c r="C532" s="182" t="s">
        <v>616</v>
      </c>
      <c r="D532" s="182">
        <v>2.0</v>
      </c>
      <c r="E532" s="182">
        <v>519.0</v>
      </c>
      <c r="F532" s="209">
        <v>0.39</v>
      </c>
      <c r="G532" s="210"/>
    </row>
    <row r="533">
      <c r="A533" s="182" t="s">
        <v>291</v>
      </c>
      <c r="B533" s="182" t="s">
        <v>187</v>
      </c>
      <c r="C533" s="182" t="s">
        <v>615</v>
      </c>
      <c r="D533" s="182">
        <v>1.0</v>
      </c>
      <c r="E533" s="182">
        <v>519.0</v>
      </c>
      <c r="F533" s="209">
        <v>0.19</v>
      </c>
      <c r="G533" s="210"/>
    </row>
    <row r="534">
      <c r="A534" s="182" t="s">
        <v>291</v>
      </c>
      <c r="B534" s="182" t="s">
        <v>187</v>
      </c>
      <c r="C534" s="182" t="s">
        <v>617</v>
      </c>
      <c r="D534" s="182">
        <v>1.0</v>
      </c>
      <c r="E534" s="182">
        <v>519.0</v>
      </c>
      <c r="F534" s="209">
        <v>0.19</v>
      </c>
      <c r="G534" s="210"/>
    </row>
    <row r="535">
      <c r="A535" s="182" t="s">
        <v>291</v>
      </c>
      <c r="B535" s="182" t="s">
        <v>187</v>
      </c>
      <c r="C535" s="182" t="s">
        <v>622</v>
      </c>
      <c r="D535" s="182">
        <v>1.0</v>
      </c>
      <c r="E535" s="182">
        <v>519.0</v>
      </c>
      <c r="F535" s="209">
        <v>0.19</v>
      </c>
      <c r="G535" s="210"/>
    </row>
    <row r="536">
      <c r="A536" s="182" t="s">
        <v>248</v>
      </c>
      <c r="B536" s="182" t="s">
        <v>187</v>
      </c>
      <c r="C536" s="182" t="s">
        <v>606</v>
      </c>
      <c r="D536" s="182">
        <v>252.0</v>
      </c>
      <c r="E536" s="182">
        <v>519.0</v>
      </c>
      <c r="F536" s="209">
        <v>48.55</v>
      </c>
      <c r="G536" s="210"/>
    </row>
    <row r="537">
      <c r="A537" s="182" t="s">
        <v>248</v>
      </c>
      <c r="B537" s="182" t="s">
        <v>187</v>
      </c>
      <c r="C537" s="182" t="s">
        <v>616</v>
      </c>
      <c r="D537" s="182">
        <v>49.0</v>
      </c>
      <c r="E537" s="182">
        <v>519.0</v>
      </c>
      <c r="F537" s="209">
        <v>9.44</v>
      </c>
      <c r="G537" s="210"/>
    </row>
    <row r="538">
      <c r="A538" s="182" t="s">
        <v>248</v>
      </c>
      <c r="B538" s="182" t="s">
        <v>187</v>
      </c>
      <c r="C538" s="182" t="s">
        <v>609</v>
      </c>
      <c r="D538" s="182">
        <v>46.0</v>
      </c>
      <c r="E538" s="182">
        <v>519.0</v>
      </c>
      <c r="F538" s="209">
        <v>8.86</v>
      </c>
      <c r="G538" s="210"/>
    </row>
    <row r="539">
      <c r="A539" s="182" t="s">
        <v>248</v>
      </c>
      <c r="B539" s="182" t="s">
        <v>187</v>
      </c>
      <c r="C539" s="182" t="s">
        <v>607</v>
      </c>
      <c r="D539" s="182">
        <v>43.0</v>
      </c>
      <c r="E539" s="182">
        <v>519.0</v>
      </c>
      <c r="F539" s="209">
        <v>8.29</v>
      </c>
      <c r="G539" s="210"/>
    </row>
    <row r="540">
      <c r="A540" s="182" t="s">
        <v>248</v>
      </c>
      <c r="B540" s="182" t="s">
        <v>187</v>
      </c>
      <c r="C540" s="182" t="s">
        <v>622</v>
      </c>
      <c r="D540" s="182">
        <v>40.0</v>
      </c>
      <c r="E540" s="182">
        <v>519.0</v>
      </c>
      <c r="F540" s="209">
        <v>7.71</v>
      </c>
      <c r="G540" s="210"/>
    </row>
    <row r="541">
      <c r="A541" s="182" t="s">
        <v>248</v>
      </c>
      <c r="B541" s="182" t="s">
        <v>187</v>
      </c>
      <c r="C541" s="182" t="s">
        <v>611</v>
      </c>
      <c r="D541" s="182">
        <v>32.0</v>
      </c>
      <c r="E541" s="182">
        <v>519.0</v>
      </c>
      <c r="F541" s="209">
        <v>6.17</v>
      </c>
      <c r="G541" s="210"/>
    </row>
    <row r="542">
      <c r="A542" s="182" t="s">
        <v>248</v>
      </c>
      <c r="B542" s="182" t="s">
        <v>187</v>
      </c>
      <c r="C542" s="182" t="s">
        <v>612</v>
      </c>
      <c r="D542" s="182">
        <v>13.0</v>
      </c>
      <c r="E542" s="182">
        <v>519.0</v>
      </c>
      <c r="F542" s="209">
        <v>2.5</v>
      </c>
      <c r="G542" s="210"/>
    </row>
    <row r="543">
      <c r="A543" s="182" t="s">
        <v>248</v>
      </c>
      <c r="B543" s="182" t="s">
        <v>187</v>
      </c>
      <c r="C543" s="182" t="s">
        <v>608</v>
      </c>
      <c r="D543" s="182">
        <v>10.0</v>
      </c>
      <c r="E543" s="182">
        <v>519.0</v>
      </c>
      <c r="F543" s="209">
        <v>1.93</v>
      </c>
      <c r="G543" s="210"/>
    </row>
    <row r="544">
      <c r="A544" s="182" t="s">
        <v>248</v>
      </c>
      <c r="B544" s="182" t="s">
        <v>187</v>
      </c>
      <c r="C544" s="182" t="s">
        <v>617</v>
      </c>
      <c r="D544" s="182">
        <v>7.0</v>
      </c>
      <c r="E544" s="182">
        <v>519.0</v>
      </c>
      <c r="F544" s="209">
        <v>1.35</v>
      </c>
      <c r="G544" s="210"/>
    </row>
    <row r="545">
      <c r="A545" s="182" t="s">
        <v>248</v>
      </c>
      <c r="B545" s="182" t="s">
        <v>187</v>
      </c>
      <c r="C545" s="182" t="s">
        <v>610</v>
      </c>
      <c r="D545" s="182">
        <v>7.0</v>
      </c>
      <c r="E545" s="182">
        <v>519.0</v>
      </c>
      <c r="F545" s="209">
        <v>1.35</v>
      </c>
      <c r="G545" s="210"/>
    </row>
    <row r="546">
      <c r="A546" s="182" t="s">
        <v>248</v>
      </c>
      <c r="B546" s="182" t="s">
        <v>187</v>
      </c>
      <c r="C546" s="182" t="s">
        <v>618</v>
      </c>
      <c r="D546" s="182">
        <v>7.0</v>
      </c>
      <c r="E546" s="182">
        <v>519.0</v>
      </c>
      <c r="F546" s="209">
        <v>1.35</v>
      </c>
      <c r="G546" s="210"/>
    </row>
    <row r="547">
      <c r="A547" s="182" t="s">
        <v>248</v>
      </c>
      <c r="B547" s="182" t="s">
        <v>187</v>
      </c>
      <c r="C547" s="182" t="s">
        <v>613</v>
      </c>
      <c r="D547" s="182">
        <v>6.0</v>
      </c>
      <c r="E547" s="182">
        <v>519.0</v>
      </c>
      <c r="F547" s="209">
        <v>1.16</v>
      </c>
      <c r="G547" s="210"/>
    </row>
    <row r="548">
      <c r="A548" s="182" t="s">
        <v>248</v>
      </c>
      <c r="B548" s="182" t="s">
        <v>187</v>
      </c>
      <c r="C548" s="182" t="s">
        <v>619</v>
      </c>
      <c r="D548" s="182">
        <v>5.0</v>
      </c>
      <c r="E548" s="182">
        <v>519.0</v>
      </c>
      <c r="F548" s="209">
        <v>0.96</v>
      </c>
      <c r="G548" s="210"/>
    </row>
    <row r="549">
      <c r="A549" s="182" t="s">
        <v>248</v>
      </c>
      <c r="B549" s="182" t="s">
        <v>187</v>
      </c>
      <c r="C549" s="182" t="s">
        <v>614</v>
      </c>
      <c r="D549" s="182">
        <v>1.0</v>
      </c>
      <c r="E549" s="182">
        <v>519.0</v>
      </c>
      <c r="F549" s="209">
        <v>0.19</v>
      </c>
      <c r="G549" s="210"/>
    </row>
    <row r="550">
      <c r="A550" s="182" t="s">
        <v>248</v>
      </c>
      <c r="B550" s="182" t="s">
        <v>187</v>
      </c>
      <c r="C550" s="182" t="s">
        <v>621</v>
      </c>
      <c r="D550" s="182">
        <v>1.0</v>
      </c>
      <c r="E550" s="182">
        <v>519.0</v>
      </c>
      <c r="F550" s="209">
        <v>0.19</v>
      </c>
      <c r="G550" s="210"/>
    </row>
    <row r="551">
      <c r="A551" s="182" t="s">
        <v>254</v>
      </c>
      <c r="B551" s="182" t="s">
        <v>189</v>
      </c>
      <c r="C551" s="182" t="s">
        <v>620</v>
      </c>
      <c r="D551" s="182">
        <v>193.0</v>
      </c>
      <c r="E551" s="182">
        <v>485.0</v>
      </c>
      <c r="F551" s="209">
        <v>39.79</v>
      </c>
      <c r="G551" s="210"/>
    </row>
    <row r="552">
      <c r="A552" s="182" t="s">
        <v>254</v>
      </c>
      <c r="B552" s="182" t="s">
        <v>189</v>
      </c>
      <c r="C552" s="182" t="s">
        <v>606</v>
      </c>
      <c r="D552" s="182">
        <v>87.0</v>
      </c>
      <c r="E552" s="182">
        <v>485.0</v>
      </c>
      <c r="F552" s="209">
        <v>17.94</v>
      </c>
      <c r="G552" s="210"/>
    </row>
    <row r="553">
      <c r="A553" s="182" t="s">
        <v>254</v>
      </c>
      <c r="B553" s="182" t="s">
        <v>189</v>
      </c>
      <c r="C553" s="182" t="s">
        <v>610</v>
      </c>
      <c r="D553" s="182">
        <v>44.0</v>
      </c>
      <c r="E553" s="182">
        <v>485.0</v>
      </c>
      <c r="F553" s="209">
        <v>9.07</v>
      </c>
      <c r="G553" s="210"/>
    </row>
    <row r="554">
      <c r="A554" s="182" t="s">
        <v>254</v>
      </c>
      <c r="B554" s="182" t="s">
        <v>189</v>
      </c>
      <c r="C554" s="182" t="s">
        <v>611</v>
      </c>
      <c r="D554" s="182">
        <v>40.0</v>
      </c>
      <c r="E554" s="182">
        <v>485.0</v>
      </c>
      <c r="F554" s="209">
        <v>8.25</v>
      </c>
      <c r="G554" s="210"/>
    </row>
    <row r="555">
      <c r="A555" s="182" t="s">
        <v>254</v>
      </c>
      <c r="B555" s="182" t="s">
        <v>189</v>
      </c>
      <c r="C555" s="182" t="s">
        <v>607</v>
      </c>
      <c r="D555" s="182">
        <v>33.0</v>
      </c>
      <c r="E555" s="182">
        <v>485.0</v>
      </c>
      <c r="F555" s="209">
        <v>6.8</v>
      </c>
      <c r="G555" s="210"/>
    </row>
    <row r="556">
      <c r="A556" s="182" t="s">
        <v>254</v>
      </c>
      <c r="B556" s="182" t="s">
        <v>189</v>
      </c>
      <c r="C556" s="182" t="s">
        <v>609</v>
      </c>
      <c r="D556" s="182">
        <v>18.0</v>
      </c>
      <c r="E556" s="182">
        <v>485.0</v>
      </c>
      <c r="F556" s="209">
        <v>3.71</v>
      </c>
      <c r="G556" s="210"/>
    </row>
    <row r="557">
      <c r="A557" s="182" t="s">
        <v>254</v>
      </c>
      <c r="B557" s="182" t="s">
        <v>189</v>
      </c>
      <c r="C557" s="182" t="s">
        <v>623</v>
      </c>
      <c r="D557" s="182">
        <v>14.0</v>
      </c>
      <c r="E557" s="182">
        <v>485.0</v>
      </c>
      <c r="F557" s="209">
        <v>2.89</v>
      </c>
      <c r="G557" s="210"/>
    </row>
    <row r="558">
      <c r="A558" s="182" t="s">
        <v>254</v>
      </c>
      <c r="B558" s="182" t="s">
        <v>189</v>
      </c>
      <c r="C558" s="182" t="s">
        <v>608</v>
      </c>
      <c r="D558" s="182">
        <v>13.0</v>
      </c>
      <c r="E558" s="182">
        <v>485.0</v>
      </c>
      <c r="F558" s="209">
        <v>2.68</v>
      </c>
      <c r="G558" s="210"/>
    </row>
    <row r="559">
      <c r="A559" s="182" t="s">
        <v>254</v>
      </c>
      <c r="B559" s="182" t="s">
        <v>189</v>
      </c>
      <c r="C559" s="182" t="s">
        <v>612</v>
      </c>
      <c r="D559" s="182">
        <v>10.0</v>
      </c>
      <c r="E559" s="182">
        <v>485.0</v>
      </c>
      <c r="F559" s="209">
        <v>2.06</v>
      </c>
      <c r="G559" s="210"/>
    </row>
    <row r="560">
      <c r="A560" s="182" t="s">
        <v>254</v>
      </c>
      <c r="B560" s="182" t="s">
        <v>189</v>
      </c>
      <c r="C560" s="182" t="s">
        <v>618</v>
      </c>
      <c r="D560" s="182">
        <v>10.0</v>
      </c>
      <c r="E560" s="182">
        <v>485.0</v>
      </c>
      <c r="F560" s="209">
        <v>2.06</v>
      </c>
      <c r="G560" s="210"/>
    </row>
    <row r="561">
      <c r="A561" s="182" t="s">
        <v>254</v>
      </c>
      <c r="B561" s="182" t="s">
        <v>189</v>
      </c>
      <c r="C561" s="182" t="s">
        <v>617</v>
      </c>
      <c r="D561" s="182">
        <v>9.0</v>
      </c>
      <c r="E561" s="182">
        <v>485.0</v>
      </c>
      <c r="F561" s="209">
        <v>1.86</v>
      </c>
      <c r="G561" s="210"/>
    </row>
    <row r="562">
      <c r="A562" s="182" t="s">
        <v>254</v>
      </c>
      <c r="B562" s="182" t="s">
        <v>189</v>
      </c>
      <c r="C562" s="182" t="s">
        <v>616</v>
      </c>
      <c r="D562" s="182">
        <v>6.0</v>
      </c>
      <c r="E562" s="182">
        <v>485.0</v>
      </c>
      <c r="F562" s="209">
        <v>1.24</v>
      </c>
      <c r="G562" s="210"/>
    </row>
    <row r="563">
      <c r="A563" s="182" t="s">
        <v>254</v>
      </c>
      <c r="B563" s="182" t="s">
        <v>189</v>
      </c>
      <c r="C563" s="182" t="s">
        <v>619</v>
      </c>
      <c r="D563" s="182">
        <v>6.0</v>
      </c>
      <c r="E563" s="182">
        <v>485.0</v>
      </c>
      <c r="F563" s="209">
        <v>1.24</v>
      </c>
      <c r="G563" s="210"/>
    </row>
    <row r="564">
      <c r="A564" s="182" t="s">
        <v>254</v>
      </c>
      <c r="B564" s="182" t="s">
        <v>189</v>
      </c>
      <c r="C564" s="182" t="s">
        <v>613</v>
      </c>
      <c r="D564" s="182">
        <v>1.0</v>
      </c>
      <c r="E564" s="182">
        <v>485.0</v>
      </c>
      <c r="F564" s="209">
        <v>0.21</v>
      </c>
      <c r="G564" s="210"/>
    </row>
    <row r="565">
      <c r="A565" s="182" t="s">
        <v>254</v>
      </c>
      <c r="B565" s="182" t="s">
        <v>189</v>
      </c>
      <c r="C565" s="182" t="s">
        <v>615</v>
      </c>
      <c r="D565" s="182">
        <v>1.0</v>
      </c>
      <c r="E565" s="182">
        <v>485.0</v>
      </c>
      <c r="F565" s="209">
        <v>0.21</v>
      </c>
      <c r="G565" s="210"/>
    </row>
    <row r="566">
      <c r="A566" s="182" t="s">
        <v>307</v>
      </c>
      <c r="B566" s="182" t="s">
        <v>189</v>
      </c>
      <c r="C566" s="182" t="s">
        <v>606</v>
      </c>
      <c r="D566" s="182">
        <v>253.0</v>
      </c>
      <c r="E566" s="182">
        <v>485.0</v>
      </c>
      <c r="F566" s="209">
        <v>52.16</v>
      </c>
      <c r="G566" s="210"/>
    </row>
    <row r="567">
      <c r="A567" s="182" t="s">
        <v>307</v>
      </c>
      <c r="B567" s="182" t="s">
        <v>189</v>
      </c>
      <c r="C567" s="182" t="s">
        <v>610</v>
      </c>
      <c r="D567" s="182">
        <v>60.0</v>
      </c>
      <c r="E567" s="182">
        <v>485.0</v>
      </c>
      <c r="F567" s="209">
        <v>12.37</v>
      </c>
      <c r="G567" s="210"/>
    </row>
    <row r="568">
      <c r="A568" s="182" t="s">
        <v>307</v>
      </c>
      <c r="B568" s="182" t="s">
        <v>189</v>
      </c>
      <c r="C568" s="182" t="s">
        <v>611</v>
      </c>
      <c r="D568" s="182">
        <v>38.0</v>
      </c>
      <c r="E568" s="182">
        <v>485.0</v>
      </c>
      <c r="F568" s="209">
        <v>7.84</v>
      </c>
      <c r="G568" s="210"/>
    </row>
    <row r="569">
      <c r="A569" s="182" t="s">
        <v>307</v>
      </c>
      <c r="B569" s="182" t="s">
        <v>189</v>
      </c>
      <c r="C569" s="182" t="s">
        <v>607</v>
      </c>
      <c r="D569" s="182">
        <v>31.0</v>
      </c>
      <c r="E569" s="182">
        <v>485.0</v>
      </c>
      <c r="F569" s="209">
        <v>6.39</v>
      </c>
      <c r="G569" s="210"/>
    </row>
    <row r="570">
      <c r="A570" s="182" t="s">
        <v>307</v>
      </c>
      <c r="B570" s="182" t="s">
        <v>189</v>
      </c>
      <c r="C570" s="182" t="s">
        <v>609</v>
      </c>
      <c r="D570" s="182">
        <v>31.0</v>
      </c>
      <c r="E570" s="182">
        <v>485.0</v>
      </c>
      <c r="F570" s="209">
        <v>6.39</v>
      </c>
      <c r="G570" s="210"/>
    </row>
    <row r="571">
      <c r="A571" s="182" t="s">
        <v>307</v>
      </c>
      <c r="B571" s="182" t="s">
        <v>189</v>
      </c>
      <c r="C571" s="182" t="s">
        <v>612</v>
      </c>
      <c r="D571" s="182">
        <v>28.0</v>
      </c>
      <c r="E571" s="182">
        <v>485.0</v>
      </c>
      <c r="F571" s="209">
        <v>5.77</v>
      </c>
      <c r="G571" s="210"/>
    </row>
    <row r="572">
      <c r="A572" s="182" t="s">
        <v>307</v>
      </c>
      <c r="B572" s="182" t="s">
        <v>189</v>
      </c>
      <c r="C572" s="182" t="s">
        <v>608</v>
      </c>
      <c r="D572" s="182">
        <v>11.0</v>
      </c>
      <c r="E572" s="182">
        <v>485.0</v>
      </c>
      <c r="F572" s="209">
        <v>2.27</v>
      </c>
      <c r="G572" s="210"/>
    </row>
    <row r="573">
      <c r="A573" s="182" t="s">
        <v>307</v>
      </c>
      <c r="B573" s="182" t="s">
        <v>189</v>
      </c>
      <c r="C573" s="182" t="s">
        <v>616</v>
      </c>
      <c r="D573" s="182">
        <v>10.0</v>
      </c>
      <c r="E573" s="182">
        <v>485.0</v>
      </c>
      <c r="F573" s="209">
        <v>2.06</v>
      </c>
      <c r="G573" s="210"/>
    </row>
    <row r="574">
      <c r="A574" s="182" t="s">
        <v>307</v>
      </c>
      <c r="B574" s="182" t="s">
        <v>189</v>
      </c>
      <c r="C574" s="182" t="s">
        <v>618</v>
      </c>
      <c r="D574" s="182">
        <v>8.0</v>
      </c>
      <c r="E574" s="182">
        <v>485.0</v>
      </c>
      <c r="F574" s="209">
        <v>1.65</v>
      </c>
      <c r="G574" s="210"/>
    </row>
    <row r="575">
      <c r="A575" s="182" t="s">
        <v>307</v>
      </c>
      <c r="B575" s="182" t="s">
        <v>189</v>
      </c>
      <c r="C575" s="182" t="s">
        <v>617</v>
      </c>
      <c r="D575" s="182">
        <v>7.0</v>
      </c>
      <c r="E575" s="182">
        <v>485.0</v>
      </c>
      <c r="F575" s="209">
        <v>1.44</v>
      </c>
      <c r="G575" s="210"/>
    </row>
    <row r="576">
      <c r="A576" s="182" t="s">
        <v>307</v>
      </c>
      <c r="B576" s="182" t="s">
        <v>189</v>
      </c>
      <c r="C576" s="182" t="s">
        <v>614</v>
      </c>
      <c r="D576" s="182">
        <v>6.0</v>
      </c>
      <c r="E576" s="182">
        <v>485.0</v>
      </c>
      <c r="F576" s="209">
        <v>1.24</v>
      </c>
      <c r="G576" s="210"/>
    </row>
    <row r="577">
      <c r="A577" s="182" t="s">
        <v>307</v>
      </c>
      <c r="B577" s="182" t="s">
        <v>189</v>
      </c>
      <c r="C577" s="182" t="s">
        <v>619</v>
      </c>
      <c r="D577" s="182">
        <v>2.0</v>
      </c>
      <c r="E577" s="182">
        <v>485.0</v>
      </c>
      <c r="F577" s="209">
        <v>0.41</v>
      </c>
      <c r="G577" s="210"/>
    </row>
    <row r="578">
      <c r="A578" s="182" t="s">
        <v>279</v>
      </c>
      <c r="B578" s="182" t="s">
        <v>189</v>
      </c>
      <c r="C578" s="182" t="s">
        <v>606</v>
      </c>
      <c r="D578" s="182">
        <v>219.0</v>
      </c>
      <c r="E578" s="182">
        <v>485.0</v>
      </c>
      <c r="F578" s="209">
        <v>45.15</v>
      </c>
      <c r="G578" s="210"/>
    </row>
    <row r="579">
      <c r="A579" s="182" t="s">
        <v>279</v>
      </c>
      <c r="B579" s="182" t="s">
        <v>189</v>
      </c>
      <c r="C579" s="182" t="s">
        <v>622</v>
      </c>
      <c r="D579" s="182">
        <v>60.0</v>
      </c>
      <c r="E579" s="182">
        <v>485.0</v>
      </c>
      <c r="F579" s="209">
        <v>12.37</v>
      </c>
      <c r="G579" s="210"/>
    </row>
    <row r="580">
      <c r="A580" s="182" t="s">
        <v>279</v>
      </c>
      <c r="B580" s="182" t="s">
        <v>189</v>
      </c>
      <c r="C580" s="182" t="s">
        <v>611</v>
      </c>
      <c r="D580" s="182">
        <v>37.0</v>
      </c>
      <c r="E580" s="182">
        <v>485.0</v>
      </c>
      <c r="F580" s="209">
        <v>7.63</v>
      </c>
      <c r="G580" s="210"/>
    </row>
    <row r="581">
      <c r="A581" s="182" t="s">
        <v>279</v>
      </c>
      <c r="B581" s="182" t="s">
        <v>189</v>
      </c>
      <c r="C581" s="182" t="s">
        <v>616</v>
      </c>
      <c r="D581" s="182">
        <v>37.0</v>
      </c>
      <c r="E581" s="182">
        <v>485.0</v>
      </c>
      <c r="F581" s="209">
        <v>7.63</v>
      </c>
      <c r="G581" s="210"/>
    </row>
    <row r="582">
      <c r="A582" s="182" t="s">
        <v>279</v>
      </c>
      <c r="B582" s="182" t="s">
        <v>189</v>
      </c>
      <c r="C582" s="182" t="s">
        <v>610</v>
      </c>
      <c r="D582" s="182">
        <v>33.0</v>
      </c>
      <c r="E582" s="182">
        <v>485.0</v>
      </c>
      <c r="F582" s="209">
        <v>6.8</v>
      </c>
      <c r="G582" s="210"/>
    </row>
    <row r="583">
      <c r="A583" s="182" t="s">
        <v>279</v>
      </c>
      <c r="B583" s="182" t="s">
        <v>189</v>
      </c>
      <c r="C583" s="182" t="s">
        <v>609</v>
      </c>
      <c r="D583" s="182">
        <v>33.0</v>
      </c>
      <c r="E583" s="182">
        <v>485.0</v>
      </c>
      <c r="F583" s="209">
        <v>6.8</v>
      </c>
      <c r="G583" s="210"/>
    </row>
    <row r="584">
      <c r="A584" s="182" t="s">
        <v>279</v>
      </c>
      <c r="B584" s="182" t="s">
        <v>189</v>
      </c>
      <c r="C584" s="182" t="s">
        <v>607</v>
      </c>
      <c r="D584" s="182">
        <v>22.0</v>
      </c>
      <c r="E584" s="182">
        <v>485.0</v>
      </c>
      <c r="F584" s="209">
        <v>4.54</v>
      </c>
      <c r="G584" s="210"/>
    </row>
    <row r="585">
      <c r="A585" s="182" t="s">
        <v>279</v>
      </c>
      <c r="B585" s="182" t="s">
        <v>189</v>
      </c>
      <c r="C585" s="182" t="s">
        <v>612</v>
      </c>
      <c r="D585" s="182">
        <v>16.0</v>
      </c>
      <c r="E585" s="182">
        <v>485.0</v>
      </c>
      <c r="F585" s="209">
        <v>3.3</v>
      </c>
      <c r="G585" s="210"/>
    </row>
    <row r="586">
      <c r="A586" s="182" t="s">
        <v>279</v>
      </c>
      <c r="B586" s="182" t="s">
        <v>189</v>
      </c>
      <c r="C586" s="182" t="s">
        <v>608</v>
      </c>
      <c r="D586" s="182">
        <v>8.0</v>
      </c>
      <c r="E586" s="182">
        <v>485.0</v>
      </c>
      <c r="F586" s="209">
        <v>1.65</v>
      </c>
      <c r="G586" s="210"/>
    </row>
    <row r="587">
      <c r="A587" s="182" t="s">
        <v>279</v>
      </c>
      <c r="B587" s="182" t="s">
        <v>189</v>
      </c>
      <c r="C587" s="182" t="s">
        <v>617</v>
      </c>
      <c r="D587" s="182">
        <v>7.0</v>
      </c>
      <c r="E587" s="182">
        <v>485.0</v>
      </c>
      <c r="F587" s="209">
        <v>1.44</v>
      </c>
      <c r="G587" s="210"/>
    </row>
    <row r="588">
      <c r="A588" s="182" t="s">
        <v>279</v>
      </c>
      <c r="B588" s="182" t="s">
        <v>189</v>
      </c>
      <c r="C588" s="182" t="s">
        <v>618</v>
      </c>
      <c r="D588" s="182">
        <v>6.0</v>
      </c>
      <c r="E588" s="182">
        <v>485.0</v>
      </c>
      <c r="F588" s="209">
        <v>1.24</v>
      </c>
      <c r="G588" s="210"/>
    </row>
    <row r="589">
      <c r="A589" s="182" t="s">
        <v>279</v>
      </c>
      <c r="B589" s="182" t="s">
        <v>189</v>
      </c>
      <c r="C589" s="182" t="s">
        <v>614</v>
      </c>
      <c r="D589" s="182">
        <v>3.0</v>
      </c>
      <c r="E589" s="182">
        <v>485.0</v>
      </c>
      <c r="F589" s="209">
        <v>0.62</v>
      </c>
      <c r="G589" s="210"/>
    </row>
    <row r="590">
      <c r="A590" s="182" t="s">
        <v>279</v>
      </c>
      <c r="B590" s="182" t="s">
        <v>189</v>
      </c>
      <c r="C590" s="182" t="s">
        <v>615</v>
      </c>
      <c r="D590" s="182">
        <v>2.0</v>
      </c>
      <c r="E590" s="182">
        <v>485.0</v>
      </c>
      <c r="F590" s="209">
        <v>0.41</v>
      </c>
      <c r="G590" s="210"/>
    </row>
    <row r="591">
      <c r="A591" s="182" t="s">
        <v>279</v>
      </c>
      <c r="B591" s="182" t="s">
        <v>189</v>
      </c>
      <c r="C591" s="182" t="s">
        <v>613</v>
      </c>
      <c r="D591" s="182">
        <v>1.0</v>
      </c>
      <c r="E591" s="182">
        <v>485.0</v>
      </c>
      <c r="F591" s="209">
        <v>0.21</v>
      </c>
      <c r="G591" s="210"/>
    </row>
    <row r="592">
      <c r="A592" s="182" t="s">
        <v>279</v>
      </c>
      <c r="B592" s="182" t="s">
        <v>189</v>
      </c>
      <c r="C592" s="182" t="s">
        <v>621</v>
      </c>
      <c r="D592" s="182">
        <v>1.0</v>
      </c>
      <c r="E592" s="182">
        <v>485.0</v>
      </c>
      <c r="F592" s="209">
        <v>0.21</v>
      </c>
      <c r="G592" s="210"/>
    </row>
    <row r="593">
      <c r="A593" s="182" t="s">
        <v>274</v>
      </c>
      <c r="B593" s="182" t="s">
        <v>189</v>
      </c>
      <c r="C593" s="182" t="s">
        <v>606</v>
      </c>
      <c r="D593" s="182">
        <v>183.0</v>
      </c>
      <c r="E593" s="182">
        <v>485.0</v>
      </c>
      <c r="F593" s="209">
        <v>37.73</v>
      </c>
      <c r="G593" s="210"/>
    </row>
    <row r="594">
      <c r="A594" s="182" t="s">
        <v>274</v>
      </c>
      <c r="B594" s="182" t="s">
        <v>189</v>
      </c>
      <c r="C594" s="182" t="s">
        <v>610</v>
      </c>
      <c r="D594" s="182">
        <v>133.0</v>
      </c>
      <c r="E594" s="182">
        <v>485.0</v>
      </c>
      <c r="F594" s="209">
        <v>27.42</v>
      </c>
      <c r="G594" s="210"/>
    </row>
    <row r="595">
      <c r="A595" s="182" t="s">
        <v>274</v>
      </c>
      <c r="B595" s="182" t="s">
        <v>189</v>
      </c>
      <c r="C595" s="182" t="s">
        <v>607</v>
      </c>
      <c r="D595" s="182">
        <v>59.0</v>
      </c>
      <c r="E595" s="182">
        <v>485.0</v>
      </c>
      <c r="F595" s="209">
        <v>12.16</v>
      </c>
      <c r="G595" s="210"/>
    </row>
    <row r="596">
      <c r="A596" s="182" t="s">
        <v>274</v>
      </c>
      <c r="B596" s="182" t="s">
        <v>189</v>
      </c>
      <c r="C596" s="182" t="s">
        <v>608</v>
      </c>
      <c r="D596" s="182">
        <v>54.0</v>
      </c>
      <c r="E596" s="182">
        <v>485.0</v>
      </c>
      <c r="F596" s="209">
        <v>11.13</v>
      </c>
      <c r="G596" s="210"/>
    </row>
    <row r="597">
      <c r="A597" s="182" t="s">
        <v>274</v>
      </c>
      <c r="B597" s="182" t="s">
        <v>189</v>
      </c>
      <c r="C597" s="182" t="s">
        <v>611</v>
      </c>
      <c r="D597" s="182">
        <v>23.0</v>
      </c>
      <c r="E597" s="182">
        <v>485.0</v>
      </c>
      <c r="F597" s="209">
        <v>4.74</v>
      </c>
      <c r="G597" s="210"/>
    </row>
    <row r="598">
      <c r="A598" s="182" t="s">
        <v>274</v>
      </c>
      <c r="B598" s="182" t="s">
        <v>189</v>
      </c>
      <c r="C598" s="182" t="s">
        <v>618</v>
      </c>
      <c r="D598" s="182">
        <v>12.0</v>
      </c>
      <c r="E598" s="182">
        <v>485.0</v>
      </c>
      <c r="F598" s="209">
        <v>2.47</v>
      </c>
      <c r="G598" s="210"/>
    </row>
    <row r="599">
      <c r="A599" s="182" t="s">
        <v>274</v>
      </c>
      <c r="B599" s="182" t="s">
        <v>189</v>
      </c>
      <c r="C599" s="182" t="s">
        <v>617</v>
      </c>
      <c r="D599" s="182">
        <v>9.0</v>
      </c>
      <c r="E599" s="182">
        <v>485.0</v>
      </c>
      <c r="F599" s="209">
        <v>1.86</v>
      </c>
      <c r="G599" s="210"/>
    </row>
    <row r="600">
      <c r="A600" s="182" t="s">
        <v>274</v>
      </c>
      <c r="B600" s="182" t="s">
        <v>189</v>
      </c>
      <c r="C600" s="182" t="s">
        <v>609</v>
      </c>
      <c r="D600" s="182">
        <v>5.0</v>
      </c>
      <c r="E600" s="182">
        <v>485.0</v>
      </c>
      <c r="F600" s="209">
        <v>1.03</v>
      </c>
      <c r="G600" s="210"/>
    </row>
    <row r="601">
      <c r="A601" s="182" t="s">
        <v>274</v>
      </c>
      <c r="B601" s="182" t="s">
        <v>189</v>
      </c>
      <c r="C601" s="182" t="s">
        <v>619</v>
      </c>
      <c r="D601" s="182">
        <v>4.0</v>
      </c>
      <c r="E601" s="182">
        <v>485.0</v>
      </c>
      <c r="F601" s="209">
        <v>0.82</v>
      </c>
      <c r="G601" s="210"/>
    </row>
    <row r="602">
      <c r="A602" s="182" t="s">
        <v>274</v>
      </c>
      <c r="B602" s="182" t="s">
        <v>189</v>
      </c>
      <c r="C602" s="182" t="s">
        <v>612</v>
      </c>
      <c r="D602" s="182">
        <v>1.0</v>
      </c>
      <c r="E602" s="182">
        <v>485.0</v>
      </c>
      <c r="F602" s="209">
        <v>0.21</v>
      </c>
      <c r="G602" s="210"/>
    </row>
    <row r="603">
      <c r="A603" s="182" t="s">
        <v>274</v>
      </c>
      <c r="B603" s="182" t="s">
        <v>189</v>
      </c>
      <c r="C603" s="182" t="s">
        <v>622</v>
      </c>
      <c r="D603" s="182">
        <v>1.0</v>
      </c>
      <c r="E603" s="182">
        <v>485.0</v>
      </c>
      <c r="F603" s="209">
        <v>0.21</v>
      </c>
      <c r="G603" s="210"/>
    </row>
    <row r="604">
      <c r="A604" s="182" t="s">
        <v>274</v>
      </c>
      <c r="B604" s="182" t="s">
        <v>189</v>
      </c>
      <c r="C604" s="182" t="s">
        <v>616</v>
      </c>
      <c r="D604" s="182">
        <v>1.0</v>
      </c>
      <c r="E604" s="182">
        <v>485.0</v>
      </c>
      <c r="F604" s="209">
        <v>0.21</v>
      </c>
      <c r="G604" s="210"/>
    </row>
    <row r="605">
      <c r="A605" s="182" t="s">
        <v>252</v>
      </c>
      <c r="B605" s="182" t="s">
        <v>189</v>
      </c>
      <c r="C605" s="182" t="s">
        <v>606</v>
      </c>
      <c r="D605" s="182">
        <v>252.0</v>
      </c>
      <c r="E605" s="182">
        <v>485.0</v>
      </c>
      <c r="F605" s="209">
        <v>51.96</v>
      </c>
      <c r="G605" s="210"/>
    </row>
    <row r="606">
      <c r="A606" s="182" t="s">
        <v>252</v>
      </c>
      <c r="B606" s="182" t="s">
        <v>189</v>
      </c>
      <c r="C606" s="182" t="s">
        <v>610</v>
      </c>
      <c r="D606" s="182">
        <v>60.0</v>
      </c>
      <c r="E606" s="182">
        <v>485.0</v>
      </c>
      <c r="F606" s="209">
        <v>12.37</v>
      </c>
      <c r="G606" s="210"/>
    </row>
    <row r="607">
      <c r="A607" s="182" t="s">
        <v>252</v>
      </c>
      <c r="B607" s="182" t="s">
        <v>189</v>
      </c>
      <c r="C607" s="182" t="s">
        <v>612</v>
      </c>
      <c r="D607" s="182">
        <v>49.0</v>
      </c>
      <c r="E607" s="182">
        <v>485.0</v>
      </c>
      <c r="F607" s="209">
        <v>10.1</v>
      </c>
      <c r="G607" s="210"/>
    </row>
    <row r="608">
      <c r="A608" s="182" t="s">
        <v>252</v>
      </c>
      <c r="B608" s="182" t="s">
        <v>189</v>
      </c>
      <c r="C608" s="182" t="s">
        <v>607</v>
      </c>
      <c r="D608" s="182">
        <v>35.0</v>
      </c>
      <c r="E608" s="182">
        <v>485.0</v>
      </c>
      <c r="F608" s="209">
        <v>7.22</v>
      </c>
      <c r="G608" s="210"/>
    </row>
    <row r="609">
      <c r="A609" s="182" t="s">
        <v>252</v>
      </c>
      <c r="B609" s="182" t="s">
        <v>189</v>
      </c>
      <c r="C609" s="182" t="s">
        <v>611</v>
      </c>
      <c r="D609" s="182">
        <v>32.0</v>
      </c>
      <c r="E609" s="182">
        <v>485.0</v>
      </c>
      <c r="F609" s="209">
        <v>6.6</v>
      </c>
      <c r="G609" s="210"/>
    </row>
    <row r="610">
      <c r="A610" s="182" t="s">
        <v>252</v>
      </c>
      <c r="B610" s="182" t="s">
        <v>189</v>
      </c>
      <c r="C610" s="182" t="s">
        <v>609</v>
      </c>
      <c r="D610" s="182">
        <v>22.0</v>
      </c>
      <c r="E610" s="182">
        <v>485.0</v>
      </c>
      <c r="F610" s="209">
        <v>4.54</v>
      </c>
      <c r="G610" s="210"/>
    </row>
    <row r="611">
      <c r="A611" s="182" t="s">
        <v>252</v>
      </c>
      <c r="B611" s="182" t="s">
        <v>189</v>
      </c>
      <c r="C611" s="182" t="s">
        <v>618</v>
      </c>
      <c r="D611" s="182">
        <v>13.0</v>
      </c>
      <c r="E611" s="182">
        <v>485.0</v>
      </c>
      <c r="F611" s="209">
        <v>2.68</v>
      </c>
      <c r="G611" s="210"/>
    </row>
    <row r="612">
      <c r="A612" s="182" t="s">
        <v>252</v>
      </c>
      <c r="B612" s="182" t="s">
        <v>189</v>
      </c>
      <c r="C612" s="182" t="s">
        <v>608</v>
      </c>
      <c r="D612" s="182">
        <v>7.0</v>
      </c>
      <c r="E612" s="182">
        <v>485.0</v>
      </c>
      <c r="F612" s="209">
        <v>1.44</v>
      </c>
      <c r="G612" s="210"/>
    </row>
    <row r="613">
      <c r="A613" s="182" t="s">
        <v>252</v>
      </c>
      <c r="B613" s="182" t="s">
        <v>189</v>
      </c>
      <c r="C613" s="182" t="s">
        <v>617</v>
      </c>
      <c r="D613" s="182">
        <v>5.0</v>
      </c>
      <c r="E613" s="182">
        <v>485.0</v>
      </c>
      <c r="F613" s="209">
        <v>1.03</v>
      </c>
      <c r="G613" s="210"/>
    </row>
    <row r="614">
      <c r="A614" s="182" t="s">
        <v>252</v>
      </c>
      <c r="B614" s="182" t="s">
        <v>189</v>
      </c>
      <c r="C614" s="182" t="s">
        <v>614</v>
      </c>
      <c r="D614" s="182">
        <v>3.0</v>
      </c>
      <c r="E614" s="182">
        <v>485.0</v>
      </c>
      <c r="F614" s="209">
        <v>0.62</v>
      </c>
      <c r="G614" s="210"/>
    </row>
    <row r="615">
      <c r="A615" s="182" t="s">
        <v>252</v>
      </c>
      <c r="B615" s="182" t="s">
        <v>189</v>
      </c>
      <c r="C615" s="182" t="s">
        <v>622</v>
      </c>
      <c r="D615" s="182">
        <v>3.0</v>
      </c>
      <c r="E615" s="182">
        <v>485.0</v>
      </c>
      <c r="F615" s="209">
        <v>0.62</v>
      </c>
      <c r="G615" s="210"/>
    </row>
    <row r="616">
      <c r="A616" s="182" t="s">
        <v>252</v>
      </c>
      <c r="B616" s="182" t="s">
        <v>189</v>
      </c>
      <c r="C616" s="182" t="s">
        <v>616</v>
      </c>
      <c r="D616" s="182">
        <v>3.0</v>
      </c>
      <c r="E616" s="182">
        <v>485.0</v>
      </c>
      <c r="F616" s="209">
        <v>0.62</v>
      </c>
      <c r="G616" s="210"/>
    </row>
    <row r="617">
      <c r="A617" s="182" t="s">
        <v>252</v>
      </c>
      <c r="B617" s="182" t="s">
        <v>189</v>
      </c>
      <c r="C617" s="182" t="s">
        <v>613</v>
      </c>
      <c r="D617" s="182">
        <v>1.0</v>
      </c>
      <c r="E617" s="182">
        <v>485.0</v>
      </c>
      <c r="F617" s="209">
        <v>0.21</v>
      </c>
      <c r="G617" s="210"/>
    </row>
    <row r="618">
      <c r="A618" s="182" t="s">
        <v>238</v>
      </c>
      <c r="B618" s="182" t="s">
        <v>180</v>
      </c>
      <c r="C618" s="182" t="s">
        <v>606</v>
      </c>
      <c r="D618" s="182">
        <v>282.0</v>
      </c>
      <c r="E618" s="182">
        <v>567.0</v>
      </c>
      <c r="F618" s="209">
        <v>49.74</v>
      </c>
      <c r="G618" s="210"/>
    </row>
    <row r="619">
      <c r="A619" s="182" t="s">
        <v>238</v>
      </c>
      <c r="B619" s="182" t="s">
        <v>180</v>
      </c>
      <c r="C619" s="182" t="s">
        <v>622</v>
      </c>
      <c r="D619" s="182">
        <v>67.0</v>
      </c>
      <c r="E619" s="182">
        <v>567.0</v>
      </c>
      <c r="F619" s="209">
        <v>11.82</v>
      </c>
      <c r="G619" s="210"/>
    </row>
    <row r="620">
      <c r="A620" s="182" t="s">
        <v>238</v>
      </c>
      <c r="B620" s="182" t="s">
        <v>180</v>
      </c>
      <c r="C620" s="182" t="s">
        <v>611</v>
      </c>
      <c r="D620" s="182">
        <v>47.0</v>
      </c>
      <c r="E620" s="182">
        <v>567.0</v>
      </c>
      <c r="F620" s="209">
        <v>8.29</v>
      </c>
      <c r="G620" s="210"/>
    </row>
    <row r="621">
      <c r="A621" s="182" t="s">
        <v>238</v>
      </c>
      <c r="B621" s="182" t="s">
        <v>180</v>
      </c>
      <c r="C621" s="182" t="s">
        <v>610</v>
      </c>
      <c r="D621" s="182">
        <v>38.0</v>
      </c>
      <c r="E621" s="182">
        <v>567.0</v>
      </c>
      <c r="F621" s="209">
        <v>6.7</v>
      </c>
      <c r="G621" s="210"/>
    </row>
    <row r="622">
      <c r="A622" s="182" t="s">
        <v>238</v>
      </c>
      <c r="B622" s="182" t="s">
        <v>180</v>
      </c>
      <c r="C622" s="182" t="s">
        <v>612</v>
      </c>
      <c r="D622" s="182">
        <v>34.0</v>
      </c>
      <c r="E622" s="182">
        <v>567.0</v>
      </c>
      <c r="F622" s="209">
        <v>6.0</v>
      </c>
      <c r="G622" s="210"/>
    </row>
    <row r="623">
      <c r="A623" s="182" t="s">
        <v>238</v>
      </c>
      <c r="B623" s="182" t="s">
        <v>180</v>
      </c>
      <c r="C623" s="182" t="s">
        <v>609</v>
      </c>
      <c r="D623" s="182">
        <v>34.0</v>
      </c>
      <c r="E623" s="182">
        <v>567.0</v>
      </c>
      <c r="F623" s="209">
        <v>6.0</v>
      </c>
      <c r="G623" s="210"/>
    </row>
    <row r="624">
      <c r="A624" s="182" t="s">
        <v>238</v>
      </c>
      <c r="B624" s="182" t="s">
        <v>180</v>
      </c>
      <c r="C624" s="182" t="s">
        <v>607</v>
      </c>
      <c r="D624" s="182">
        <v>28.0</v>
      </c>
      <c r="E624" s="182">
        <v>567.0</v>
      </c>
      <c r="F624" s="209">
        <v>4.94</v>
      </c>
      <c r="G624" s="210"/>
    </row>
    <row r="625">
      <c r="A625" s="182" t="s">
        <v>238</v>
      </c>
      <c r="B625" s="182" t="s">
        <v>180</v>
      </c>
      <c r="C625" s="182" t="s">
        <v>616</v>
      </c>
      <c r="D625" s="182">
        <v>11.0</v>
      </c>
      <c r="E625" s="182">
        <v>567.0</v>
      </c>
      <c r="F625" s="209">
        <v>1.94</v>
      </c>
      <c r="G625" s="210"/>
    </row>
    <row r="626">
      <c r="A626" s="182" t="s">
        <v>238</v>
      </c>
      <c r="B626" s="182" t="s">
        <v>180</v>
      </c>
      <c r="C626" s="182" t="s">
        <v>608</v>
      </c>
      <c r="D626" s="182">
        <v>7.0</v>
      </c>
      <c r="E626" s="182">
        <v>567.0</v>
      </c>
      <c r="F626" s="209">
        <v>1.23</v>
      </c>
      <c r="G626" s="210"/>
    </row>
    <row r="627">
      <c r="A627" s="182" t="s">
        <v>238</v>
      </c>
      <c r="B627" s="182" t="s">
        <v>180</v>
      </c>
      <c r="C627" s="182" t="s">
        <v>614</v>
      </c>
      <c r="D627" s="182">
        <v>6.0</v>
      </c>
      <c r="E627" s="182">
        <v>567.0</v>
      </c>
      <c r="F627" s="209">
        <v>1.06</v>
      </c>
      <c r="G627" s="210"/>
    </row>
    <row r="628">
      <c r="A628" s="182" t="s">
        <v>238</v>
      </c>
      <c r="B628" s="182" t="s">
        <v>180</v>
      </c>
      <c r="C628" s="182" t="s">
        <v>618</v>
      </c>
      <c r="D628" s="182">
        <v>4.0</v>
      </c>
      <c r="E628" s="182">
        <v>567.0</v>
      </c>
      <c r="F628" s="209">
        <v>0.71</v>
      </c>
      <c r="G628" s="210"/>
    </row>
    <row r="629">
      <c r="A629" s="182" t="s">
        <v>238</v>
      </c>
      <c r="B629" s="182" t="s">
        <v>180</v>
      </c>
      <c r="C629" s="182" t="s">
        <v>613</v>
      </c>
      <c r="D629" s="182">
        <v>3.0</v>
      </c>
      <c r="E629" s="182">
        <v>567.0</v>
      </c>
      <c r="F629" s="209">
        <v>0.53</v>
      </c>
      <c r="G629" s="210"/>
    </row>
    <row r="630">
      <c r="A630" s="182" t="s">
        <v>238</v>
      </c>
      <c r="B630" s="182" t="s">
        <v>180</v>
      </c>
      <c r="C630" s="182" t="s">
        <v>617</v>
      </c>
      <c r="D630" s="182">
        <v>3.0</v>
      </c>
      <c r="E630" s="182">
        <v>567.0</v>
      </c>
      <c r="F630" s="209">
        <v>0.53</v>
      </c>
      <c r="G630" s="210"/>
    </row>
    <row r="631">
      <c r="A631" s="182" t="s">
        <v>238</v>
      </c>
      <c r="B631" s="182" t="s">
        <v>180</v>
      </c>
      <c r="C631" s="182" t="s">
        <v>615</v>
      </c>
      <c r="D631" s="182">
        <v>2.0</v>
      </c>
      <c r="E631" s="182">
        <v>567.0</v>
      </c>
      <c r="F631" s="209">
        <v>0.35</v>
      </c>
      <c r="G631" s="210"/>
    </row>
    <row r="632">
      <c r="A632" s="182" t="s">
        <v>238</v>
      </c>
      <c r="B632" s="182" t="s">
        <v>180</v>
      </c>
      <c r="C632" s="182" t="s">
        <v>620</v>
      </c>
      <c r="D632" s="182">
        <v>1.0</v>
      </c>
      <c r="E632" s="182">
        <v>567.0</v>
      </c>
      <c r="F632" s="209">
        <v>0.18</v>
      </c>
      <c r="G632" s="210"/>
    </row>
    <row r="633">
      <c r="A633" s="182" t="s">
        <v>246</v>
      </c>
      <c r="B633" s="182" t="s">
        <v>180</v>
      </c>
      <c r="C633" s="182" t="s">
        <v>606</v>
      </c>
      <c r="D633" s="182">
        <v>172.0</v>
      </c>
      <c r="E633" s="182">
        <v>567.0</v>
      </c>
      <c r="F633" s="209">
        <v>30.34</v>
      </c>
      <c r="G633" s="210"/>
    </row>
    <row r="634">
      <c r="A634" s="182" t="s">
        <v>246</v>
      </c>
      <c r="B634" s="182" t="s">
        <v>180</v>
      </c>
      <c r="C634" s="182" t="s">
        <v>610</v>
      </c>
      <c r="D634" s="182">
        <v>141.0</v>
      </c>
      <c r="E634" s="182">
        <v>567.0</v>
      </c>
      <c r="F634" s="209">
        <v>24.87</v>
      </c>
      <c r="G634" s="210"/>
    </row>
    <row r="635">
      <c r="A635" s="182" t="s">
        <v>246</v>
      </c>
      <c r="B635" s="182" t="s">
        <v>180</v>
      </c>
      <c r="C635" s="182" t="s">
        <v>607</v>
      </c>
      <c r="D635" s="182">
        <v>59.0</v>
      </c>
      <c r="E635" s="182">
        <v>567.0</v>
      </c>
      <c r="F635" s="209">
        <v>10.41</v>
      </c>
      <c r="G635" s="210"/>
    </row>
    <row r="636">
      <c r="A636" s="182" t="s">
        <v>246</v>
      </c>
      <c r="B636" s="182" t="s">
        <v>180</v>
      </c>
      <c r="C636" s="182" t="s">
        <v>622</v>
      </c>
      <c r="D636" s="182">
        <v>33.0</v>
      </c>
      <c r="E636" s="182">
        <v>567.0</v>
      </c>
      <c r="F636" s="209">
        <v>5.82</v>
      </c>
      <c r="G636" s="210"/>
    </row>
    <row r="637">
      <c r="A637" s="182" t="s">
        <v>246</v>
      </c>
      <c r="B637" s="182" t="s">
        <v>180</v>
      </c>
      <c r="C637" s="182" t="s">
        <v>611</v>
      </c>
      <c r="D637" s="182">
        <v>29.0</v>
      </c>
      <c r="E637" s="182">
        <v>567.0</v>
      </c>
      <c r="F637" s="209">
        <v>5.11</v>
      </c>
      <c r="G637" s="210"/>
    </row>
    <row r="638">
      <c r="A638" s="182" t="s">
        <v>246</v>
      </c>
      <c r="B638" s="182" t="s">
        <v>180</v>
      </c>
      <c r="C638" s="182" t="s">
        <v>616</v>
      </c>
      <c r="D638" s="182">
        <v>27.0</v>
      </c>
      <c r="E638" s="182">
        <v>567.0</v>
      </c>
      <c r="F638" s="209">
        <v>4.76</v>
      </c>
      <c r="G638" s="210"/>
    </row>
    <row r="639">
      <c r="A639" s="182" t="s">
        <v>246</v>
      </c>
      <c r="B639" s="182" t="s">
        <v>180</v>
      </c>
      <c r="C639" s="182" t="s">
        <v>609</v>
      </c>
      <c r="D639" s="182">
        <v>22.0</v>
      </c>
      <c r="E639" s="182">
        <v>567.0</v>
      </c>
      <c r="F639" s="209">
        <v>3.88</v>
      </c>
      <c r="G639" s="210"/>
    </row>
    <row r="640">
      <c r="A640" s="182" t="s">
        <v>246</v>
      </c>
      <c r="B640" s="182" t="s">
        <v>180</v>
      </c>
      <c r="C640" s="182" t="s">
        <v>608</v>
      </c>
      <c r="D640" s="182">
        <v>19.0</v>
      </c>
      <c r="E640" s="182">
        <v>567.0</v>
      </c>
      <c r="F640" s="209">
        <v>3.35</v>
      </c>
      <c r="G640" s="210"/>
    </row>
    <row r="641">
      <c r="A641" s="182" t="s">
        <v>246</v>
      </c>
      <c r="B641" s="182" t="s">
        <v>180</v>
      </c>
      <c r="C641" s="182" t="s">
        <v>617</v>
      </c>
      <c r="D641" s="182">
        <v>18.0</v>
      </c>
      <c r="E641" s="182">
        <v>567.0</v>
      </c>
      <c r="F641" s="209">
        <v>3.17</v>
      </c>
      <c r="G641" s="210"/>
    </row>
    <row r="642">
      <c r="A642" s="182" t="s">
        <v>246</v>
      </c>
      <c r="B642" s="182" t="s">
        <v>180</v>
      </c>
      <c r="C642" s="182" t="s">
        <v>618</v>
      </c>
      <c r="D642" s="182">
        <v>18.0</v>
      </c>
      <c r="E642" s="182">
        <v>567.0</v>
      </c>
      <c r="F642" s="209">
        <v>3.17</v>
      </c>
      <c r="G642" s="210"/>
    </row>
    <row r="643">
      <c r="A643" s="182" t="s">
        <v>246</v>
      </c>
      <c r="B643" s="182" t="s">
        <v>180</v>
      </c>
      <c r="C643" s="182" t="s">
        <v>619</v>
      </c>
      <c r="D643" s="182">
        <v>11.0</v>
      </c>
      <c r="E643" s="182">
        <v>567.0</v>
      </c>
      <c r="F643" s="209">
        <v>1.94</v>
      </c>
      <c r="G643" s="210"/>
    </row>
    <row r="644">
      <c r="A644" s="182" t="s">
        <v>246</v>
      </c>
      <c r="B644" s="182" t="s">
        <v>180</v>
      </c>
      <c r="C644" s="182" t="s">
        <v>615</v>
      </c>
      <c r="D644" s="182">
        <v>6.0</v>
      </c>
      <c r="E644" s="182">
        <v>567.0</v>
      </c>
      <c r="F644" s="209">
        <v>1.06</v>
      </c>
      <c r="G644" s="210"/>
    </row>
    <row r="645">
      <c r="A645" s="182" t="s">
        <v>246</v>
      </c>
      <c r="B645" s="182" t="s">
        <v>180</v>
      </c>
      <c r="C645" s="182" t="s">
        <v>612</v>
      </c>
      <c r="D645" s="182">
        <v>5.0</v>
      </c>
      <c r="E645" s="182">
        <v>567.0</v>
      </c>
      <c r="F645" s="209">
        <v>0.88</v>
      </c>
      <c r="G645" s="210"/>
    </row>
    <row r="646">
      <c r="A646" s="182" t="s">
        <v>246</v>
      </c>
      <c r="B646" s="182" t="s">
        <v>180</v>
      </c>
      <c r="C646" s="182" t="s">
        <v>614</v>
      </c>
      <c r="D646" s="182">
        <v>3.0</v>
      </c>
      <c r="E646" s="182">
        <v>567.0</v>
      </c>
      <c r="F646" s="209">
        <v>0.53</v>
      </c>
      <c r="G646" s="210"/>
    </row>
    <row r="647">
      <c r="A647" s="182" t="s">
        <v>246</v>
      </c>
      <c r="B647" s="182" t="s">
        <v>180</v>
      </c>
      <c r="C647" s="182" t="s">
        <v>621</v>
      </c>
      <c r="D647" s="182">
        <v>3.0</v>
      </c>
      <c r="E647" s="182">
        <v>567.0</v>
      </c>
      <c r="F647" s="209">
        <v>0.53</v>
      </c>
      <c r="G647" s="210"/>
    </row>
    <row r="648">
      <c r="A648" s="182" t="s">
        <v>246</v>
      </c>
      <c r="B648" s="182" t="s">
        <v>180</v>
      </c>
      <c r="C648" s="182" t="s">
        <v>620</v>
      </c>
      <c r="D648" s="182">
        <v>1.0</v>
      </c>
      <c r="E648" s="182">
        <v>567.0</v>
      </c>
      <c r="F648" s="209">
        <v>0.18</v>
      </c>
      <c r="G648" s="210"/>
    </row>
    <row r="649">
      <c r="A649" s="182" t="s">
        <v>292</v>
      </c>
      <c r="B649" s="182" t="s">
        <v>180</v>
      </c>
      <c r="C649" s="182" t="s">
        <v>610</v>
      </c>
      <c r="D649" s="182">
        <v>347.0</v>
      </c>
      <c r="E649" s="182">
        <v>567.0</v>
      </c>
      <c r="F649" s="209">
        <v>61.2</v>
      </c>
      <c r="G649" s="210"/>
    </row>
    <row r="650">
      <c r="A650" s="182" t="s">
        <v>292</v>
      </c>
      <c r="B650" s="182" t="s">
        <v>180</v>
      </c>
      <c r="C650" s="182" t="s">
        <v>611</v>
      </c>
      <c r="D650" s="182">
        <v>64.0</v>
      </c>
      <c r="E650" s="182">
        <v>567.0</v>
      </c>
      <c r="F650" s="209">
        <v>11.29</v>
      </c>
      <c r="G650" s="210"/>
    </row>
    <row r="651">
      <c r="A651" s="182" t="s">
        <v>292</v>
      </c>
      <c r="B651" s="182" t="s">
        <v>180</v>
      </c>
      <c r="C651" s="182" t="s">
        <v>609</v>
      </c>
      <c r="D651" s="182">
        <v>56.0</v>
      </c>
      <c r="E651" s="182">
        <v>567.0</v>
      </c>
      <c r="F651" s="209">
        <v>9.88</v>
      </c>
      <c r="G651" s="210"/>
    </row>
    <row r="652">
      <c r="A652" s="182" t="s">
        <v>292</v>
      </c>
      <c r="B652" s="182" t="s">
        <v>180</v>
      </c>
      <c r="C652" s="182" t="s">
        <v>607</v>
      </c>
      <c r="D652" s="182">
        <v>36.0</v>
      </c>
      <c r="E652" s="182">
        <v>567.0</v>
      </c>
      <c r="F652" s="209">
        <v>6.35</v>
      </c>
      <c r="G652" s="210"/>
    </row>
    <row r="653">
      <c r="A653" s="182" t="s">
        <v>292</v>
      </c>
      <c r="B653" s="182" t="s">
        <v>180</v>
      </c>
      <c r="C653" s="182" t="s">
        <v>606</v>
      </c>
      <c r="D653" s="182">
        <v>22.0</v>
      </c>
      <c r="E653" s="182">
        <v>567.0</v>
      </c>
      <c r="F653" s="209">
        <v>3.88</v>
      </c>
      <c r="G653" s="210"/>
    </row>
    <row r="654">
      <c r="A654" s="182" t="s">
        <v>292</v>
      </c>
      <c r="B654" s="182" t="s">
        <v>180</v>
      </c>
      <c r="C654" s="182" t="s">
        <v>612</v>
      </c>
      <c r="D654" s="182">
        <v>15.0</v>
      </c>
      <c r="E654" s="182">
        <v>567.0</v>
      </c>
      <c r="F654" s="209">
        <v>2.65</v>
      </c>
      <c r="G654" s="210"/>
    </row>
    <row r="655">
      <c r="A655" s="182" t="s">
        <v>292</v>
      </c>
      <c r="B655" s="182" t="s">
        <v>180</v>
      </c>
      <c r="C655" s="182" t="s">
        <v>608</v>
      </c>
      <c r="D655" s="182">
        <v>13.0</v>
      </c>
      <c r="E655" s="182">
        <v>567.0</v>
      </c>
      <c r="F655" s="209">
        <v>2.29</v>
      </c>
      <c r="G655" s="210"/>
    </row>
    <row r="656">
      <c r="A656" s="182" t="s">
        <v>292</v>
      </c>
      <c r="B656" s="182" t="s">
        <v>180</v>
      </c>
      <c r="C656" s="182" t="s">
        <v>619</v>
      </c>
      <c r="D656" s="182">
        <v>5.0</v>
      </c>
      <c r="E656" s="182">
        <v>567.0</v>
      </c>
      <c r="F656" s="209">
        <v>0.88</v>
      </c>
      <c r="G656" s="210"/>
    </row>
    <row r="657">
      <c r="A657" s="182" t="s">
        <v>292</v>
      </c>
      <c r="B657" s="182" t="s">
        <v>180</v>
      </c>
      <c r="C657" s="182" t="s">
        <v>618</v>
      </c>
      <c r="D657" s="182">
        <v>5.0</v>
      </c>
      <c r="E657" s="182">
        <v>567.0</v>
      </c>
      <c r="F657" s="209">
        <v>0.88</v>
      </c>
      <c r="G657" s="210"/>
    </row>
    <row r="658">
      <c r="A658" s="182" t="s">
        <v>292</v>
      </c>
      <c r="B658" s="182" t="s">
        <v>180</v>
      </c>
      <c r="C658" s="182" t="s">
        <v>614</v>
      </c>
      <c r="D658" s="182">
        <v>2.0</v>
      </c>
      <c r="E658" s="182">
        <v>567.0</v>
      </c>
      <c r="F658" s="209">
        <v>0.35</v>
      </c>
      <c r="G658" s="210"/>
    </row>
    <row r="659">
      <c r="A659" s="182" t="s">
        <v>292</v>
      </c>
      <c r="B659" s="182" t="s">
        <v>180</v>
      </c>
      <c r="C659" s="182" t="s">
        <v>617</v>
      </c>
      <c r="D659" s="182">
        <v>1.0</v>
      </c>
      <c r="E659" s="182">
        <v>567.0</v>
      </c>
      <c r="F659" s="209">
        <v>0.18</v>
      </c>
      <c r="G659" s="210"/>
    </row>
    <row r="660">
      <c r="A660" s="182" t="s">
        <v>292</v>
      </c>
      <c r="B660" s="182" t="s">
        <v>180</v>
      </c>
      <c r="C660" s="182" t="s">
        <v>622</v>
      </c>
      <c r="D660" s="182">
        <v>1.0</v>
      </c>
      <c r="E660" s="182">
        <v>567.0</v>
      </c>
      <c r="F660" s="209">
        <v>0.18</v>
      </c>
      <c r="G660" s="210"/>
    </row>
    <row r="661">
      <c r="A661" s="182" t="s">
        <v>249</v>
      </c>
      <c r="B661" s="182" t="s">
        <v>180</v>
      </c>
      <c r="C661" s="182" t="s">
        <v>606</v>
      </c>
      <c r="D661" s="182">
        <v>342.0</v>
      </c>
      <c r="E661" s="182">
        <v>567.0</v>
      </c>
      <c r="F661" s="209">
        <v>60.32</v>
      </c>
      <c r="G661" s="210"/>
    </row>
    <row r="662">
      <c r="A662" s="182" t="s">
        <v>249</v>
      </c>
      <c r="B662" s="182" t="s">
        <v>180</v>
      </c>
      <c r="C662" s="182" t="s">
        <v>611</v>
      </c>
      <c r="D662" s="182">
        <v>50.0</v>
      </c>
      <c r="E662" s="182">
        <v>567.0</v>
      </c>
      <c r="F662" s="209">
        <v>8.82</v>
      </c>
      <c r="G662" s="210"/>
    </row>
    <row r="663">
      <c r="A663" s="182" t="s">
        <v>249</v>
      </c>
      <c r="B663" s="182" t="s">
        <v>180</v>
      </c>
      <c r="C663" s="182" t="s">
        <v>609</v>
      </c>
      <c r="D663" s="182">
        <v>37.0</v>
      </c>
      <c r="E663" s="182">
        <v>567.0</v>
      </c>
      <c r="F663" s="209">
        <v>6.53</v>
      </c>
      <c r="G663" s="210"/>
    </row>
    <row r="664">
      <c r="A664" s="182" t="s">
        <v>249</v>
      </c>
      <c r="B664" s="182" t="s">
        <v>180</v>
      </c>
      <c r="C664" s="182" t="s">
        <v>608</v>
      </c>
      <c r="D664" s="182">
        <v>34.0</v>
      </c>
      <c r="E664" s="182">
        <v>567.0</v>
      </c>
      <c r="F664" s="209">
        <v>6.0</v>
      </c>
      <c r="G664" s="210"/>
    </row>
    <row r="665">
      <c r="A665" s="182" t="s">
        <v>249</v>
      </c>
      <c r="B665" s="182" t="s">
        <v>180</v>
      </c>
      <c r="C665" s="182" t="s">
        <v>607</v>
      </c>
      <c r="D665" s="182">
        <v>33.0</v>
      </c>
      <c r="E665" s="182">
        <v>567.0</v>
      </c>
      <c r="F665" s="209">
        <v>5.82</v>
      </c>
      <c r="G665" s="210"/>
    </row>
    <row r="666">
      <c r="A666" s="182" t="s">
        <v>249</v>
      </c>
      <c r="B666" s="182" t="s">
        <v>180</v>
      </c>
      <c r="C666" s="182" t="s">
        <v>622</v>
      </c>
      <c r="D666" s="182">
        <v>19.0</v>
      </c>
      <c r="E666" s="182">
        <v>567.0</v>
      </c>
      <c r="F666" s="209">
        <v>3.35</v>
      </c>
      <c r="G666" s="210"/>
    </row>
    <row r="667">
      <c r="A667" s="182" t="s">
        <v>249</v>
      </c>
      <c r="B667" s="182" t="s">
        <v>180</v>
      </c>
      <c r="C667" s="182" t="s">
        <v>610</v>
      </c>
      <c r="D667" s="182">
        <v>17.0</v>
      </c>
      <c r="E667" s="182">
        <v>567.0</v>
      </c>
      <c r="F667" s="209">
        <v>3.0</v>
      </c>
      <c r="G667" s="210"/>
    </row>
    <row r="668">
      <c r="A668" s="182" t="s">
        <v>249</v>
      </c>
      <c r="B668" s="182" t="s">
        <v>180</v>
      </c>
      <c r="C668" s="182" t="s">
        <v>612</v>
      </c>
      <c r="D668" s="182">
        <v>14.0</v>
      </c>
      <c r="E668" s="182">
        <v>567.0</v>
      </c>
      <c r="F668" s="209">
        <v>2.47</v>
      </c>
      <c r="G668" s="210"/>
    </row>
    <row r="669">
      <c r="A669" s="182" t="s">
        <v>249</v>
      </c>
      <c r="B669" s="182" t="s">
        <v>180</v>
      </c>
      <c r="C669" s="182" t="s">
        <v>618</v>
      </c>
      <c r="D669" s="182">
        <v>12.0</v>
      </c>
      <c r="E669" s="182">
        <v>567.0</v>
      </c>
      <c r="F669" s="209">
        <v>2.12</v>
      </c>
      <c r="G669" s="210"/>
    </row>
    <row r="670">
      <c r="A670" s="182" t="s">
        <v>249</v>
      </c>
      <c r="B670" s="182" t="s">
        <v>180</v>
      </c>
      <c r="C670" s="182" t="s">
        <v>616</v>
      </c>
      <c r="D670" s="182">
        <v>6.0</v>
      </c>
      <c r="E670" s="182">
        <v>567.0</v>
      </c>
      <c r="F670" s="209">
        <v>1.06</v>
      </c>
      <c r="G670" s="210"/>
    </row>
    <row r="671">
      <c r="A671" s="182" t="s">
        <v>249</v>
      </c>
      <c r="B671" s="182" t="s">
        <v>180</v>
      </c>
      <c r="C671" s="182" t="s">
        <v>617</v>
      </c>
      <c r="D671" s="182">
        <v>3.0</v>
      </c>
      <c r="E671" s="182">
        <v>567.0</v>
      </c>
      <c r="F671" s="209">
        <v>0.53</v>
      </c>
      <c r="G671" s="210"/>
    </row>
    <row r="672">
      <c r="A672" s="182" t="s">
        <v>294</v>
      </c>
      <c r="B672" s="182" t="s">
        <v>180</v>
      </c>
      <c r="C672" s="182" t="s">
        <v>606</v>
      </c>
      <c r="D672" s="182">
        <v>320.0</v>
      </c>
      <c r="E672" s="182">
        <v>567.0</v>
      </c>
      <c r="F672" s="209">
        <v>56.44</v>
      </c>
      <c r="G672" s="210"/>
    </row>
    <row r="673">
      <c r="A673" s="182" t="s">
        <v>294</v>
      </c>
      <c r="B673" s="182" t="s">
        <v>180</v>
      </c>
      <c r="C673" s="182" t="s">
        <v>610</v>
      </c>
      <c r="D673" s="182">
        <v>74.0</v>
      </c>
      <c r="E673" s="182">
        <v>567.0</v>
      </c>
      <c r="F673" s="209">
        <v>13.05</v>
      </c>
      <c r="G673" s="210"/>
    </row>
    <row r="674">
      <c r="A674" s="182" t="s">
        <v>294</v>
      </c>
      <c r="B674" s="182" t="s">
        <v>180</v>
      </c>
      <c r="C674" s="182" t="s">
        <v>608</v>
      </c>
      <c r="D674" s="182">
        <v>51.0</v>
      </c>
      <c r="E674" s="182">
        <v>567.0</v>
      </c>
      <c r="F674" s="209">
        <v>8.99</v>
      </c>
      <c r="G674" s="210"/>
    </row>
    <row r="675">
      <c r="A675" s="182" t="s">
        <v>294</v>
      </c>
      <c r="B675" s="182" t="s">
        <v>180</v>
      </c>
      <c r="C675" s="182" t="s">
        <v>607</v>
      </c>
      <c r="D675" s="182">
        <v>37.0</v>
      </c>
      <c r="E675" s="182">
        <v>567.0</v>
      </c>
      <c r="F675" s="209">
        <v>6.53</v>
      </c>
      <c r="G675" s="210"/>
    </row>
    <row r="676">
      <c r="A676" s="182" t="s">
        <v>294</v>
      </c>
      <c r="B676" s="182" t="s">
        <v>180</v>
      </c>
      <c r="C676" s="182" t="s">
        <v>611</v>
      </c>
      <c r="D676" s="182">
        <v>37.0</v>
      </c>
      <c r="E676" s="182">
        <v>567.0</v>
      </c>
      <c r="F676" s="209">
        <v>6.53</v>
      </c>
      <c r="G676" s="210"/>
    </row>
    <row r="677">
      <c r="A677" s="182" t="s">
        <v>294</v>
      </c>
      <c r="B677" s="182" t="s">
        <v>180</v>
      </c>
      <c r="C677" s="182" t="s">
        <v>609</v>
      </c>
      <c r="D677" s="182">
        <v>25.0</v>
      </c>
      <c r="E677" s="182">
        <v>567.0</v>
      </c>
      <c r="F677" s="209">
        <v>4.41</v>
      </c>
      <c r="G677" s="210"/>
    </row>
    <row r="678">
      <c r="A678" s="182" t="s">
        <v>294</v>
      </c>
      <c r="B678" s="182" t="s">
        <v>180</v>
      </c>
      <c r="C678" s="182" t="s">
        <v>615</v>
      </c>
      <c r="D678" s="182">
        <v>8.0</v>
      </c>
      <c r="E678" s="182">
        <v>567.0</v>
      </c>
      <c r="F678" s="209">
        <v>1.41</v>
      </c>
      <c r="G678" s="210"/>
    </row>
    <row r="679">
      <c r="A679" s="182" t="s">
        <v>294</v>
      </c>
      <c r="B679" s="182" t="s">
        <v>180</v>
      </c>
      <c r="C679" s="182" t="s">
        <v>618</v>
      </c>
      <c r="D679" s="182">
        <v>7.0</v>
      </c>
      <c r="E679" s="182">
        <v>567.0</v>
      </c>
      <c r="F679" s="209">
        <v>1.23</v>
      </c>
      <c r="G679" s="210"/>
    </row>
    <row r="680">
      <c r="A680" s="182" t="s">
        <v>294</v>
      </c>
      <c r="B680" s="182" t="s">
        <v>180</v>
      </c>
      <c r="C680" s="182" t="s">
        <v>612</v>
      </c>
      <c r="D680" s="182">
        <v>6.0</v>
      </c>
      <c r="E680" s="182">
        <v>567.0</v>
      </c>
      <c r="F680" s="209">
        <v>1.06</v>
      </c>
      <c r="G680" s="210"/>
    </row>
    <row r="681">
      <c r="A681" s="182" t="s">
        <v>294</v>
      </c>
      <c r="B681" s="182" t="s">
        <v>180</v>
      </c>
      <c r="C681" s="182" t="s">
        <v>620</v>
      </c>
      <c r="D681" s="182">
        <v>1.0</v>
      </c>
      <c r="E681" s="182">
        <v>567.0</v>
      </c>
      <c r="F681" s="209">
        <v>0.18</v>
      </c>
      <c r="G681" s="210"/>
    </row>
    <row r="682">
      <c r="A682" s="182" t="s">
        <v>255</v>
      </c>
      <c r="B682" s="182" t="s">
        <v>1</v>
      </c>
      <c r="C682" s="182" t="s">
        <v>606</v>
      </c>
      <c r="D682" s="182">
        <v>240.0</v>
      </c>
      <c r="E682" s="182">
        <v>641.0</v>
      </c>
      <c r="F682" s="209">
        <v>37.44</v>
      </c>
      <c r="G682" s="210"/>
    </row>
    <row r="683">
      <c r="A683" s="182" t="s">
        <v>255</v>
      </c>
      <c r="B683" s="182" t="s">
        <v>1</v>
      </c>
      <c r="C683" s="182" t="s">
        <v>610</v>
      </c>
      <c r="D683" s="182">
        <v>182.0</v>
      </c>
      <c r="E683" s="182">
        <v>641.0</v>
      </c>
      <c r="F683" s="209">
        <v>28.39</v>
      </c>
      <c r="G683" s="210"/>
    </row>
    <row r="684">
      <c r="A684" s="182" t="s">
        <v>255</v>
      </c>
      <c r="B684" s="182" t="s">
        <v>1</v>
      </c>
      <c r="C684" s="182" t="s">
        <v>609</v>
      </c>
      <c r="D684" s="182">
        <v>60.0</v>
      </c>
      <c r="E684" s="182">
        <v>641.0</v>
      </c>
      <c r="F684" s="209">
        <v>9.36</v>
      </c>
      <c r="G684" s="210"/>
    </row>
    <row r="685">
      <c r="A685" s="182" t="s">
        <v>255</v>
      </c>
      <c r="B685" s="182" t="s">
        <v>1</v>
      </c>
      <c r="C685" s="182" t="s">
        <v>611</v>
      </c>
      <c r="D685" s="182">
        <v>51.0</v>
      </c>
      <c r="E685" s="182">
        <v>641.0</v>
      </c>
      <c r="F685" s="209">
        <v>7.96</v>
      </c>
      <c r="G685" s="210"/>
    </row>
    <row r="686">
      <c r="A686" s="182" t="s">
        <v>255</v>
      </c>
      <c r="B686" s="182" t="s">
        <v>1</v>
      </c>
      <c r="C686" s="182" t="s">
        <v>608</v>
      </c>
      <c r="D686" s="182">
        <v>34.0</v>
      </c>
      <c r="E686" s="182">
        <v>641.0</v>
      </c>
      <c r="F686" s="209">
        <v>5.3</v>
      </c>
      <c r="G686" s="210"/>
    </row>
    <row r="687">
      <c r="A687" s="182" t="s">
        <v>255</v>
      </c>
      <c r="B687" s="182" t="s">
        <v>1</v>
      </c>
      <c r="C687" s="182" t="s">
        <v>607</v>
      </c>
      <c r="D687" s="182">
        <v>20.0</v>
      </c>
      <c r="E687" s="182">
        <v>641.0</v>
      </c>
      <c r="F687" s="209">
        <v>3.12</v>
      </c>
      <c r="G687" s="210"/>
    </row>
    <row r="688">
      <c r="A688" s="182" t="s">
        <v>255</v>
      </c>
      <c r="B688" s="182" t="s">
        <v>1</v>
      </c>
      <c r="C688" s="182" t="s">
        <v>622</v>
      </c>
      <c r="D688" s="182">
        <v>15.0</v>
      </c>
      <c r="E688" s="182">
        <v>641.0</v>
      </c>
      <c r="F688" s="209">
        <v>2.34</v>
      </c>
      <c r="G688" s="210"/>
    </row>
    <row r="689">
      <c r="A689" s="182" t="s">
        <v>255</v>
      </c>
      <c r="B689" s="182" t="s">
        <v>1</v>
      </c>
      <c r="C689" s="182" t="s">
        <v>612</v>
      </c>
      <c r="D689" s="182">
        <v>13.0</v>
      </c>
      <c r="E689" s="182">
        <v>641.0</v>
      </c>
      <c r="F689" s="209">
        <v>2.03</v>
      </c>
      <c r="G689" s="210"/>
    </row>
    <row r="690">
      <c r="A690" s="182" t="s">
        <v>255</v>
      </c>
      <c r="B690" s="182" t="s">
        <v>1</v>
      </c>
      <c r="C690" s="182" t="s">
        <v>617</v>
      </c>
      <c r="D690" s="182">
        <v>8.0</v>
      </c>
      <c r="E690" s="182">
        <v>641.0</v>
      </c>
      <c r="F690" s="209">
        <v>1.25</v>
      </c>
      <c r="G690" s="210"/>
    </row>
    <row r="691">
      <c r="A691" s="182" t="s">
        <v>255</v>
      </c>
      <c r="B691" s="182" t="s">
        <v>1</v>
      </c>
      <c r="C691" s="182" t="s">
        <v>616</v>
      </c>
      <c r="D691" s="182">
        <v>8.0</v>
      </c>
      <c r="E691" s="182">
        <v>641.0</v>
      </c>
      <c r="F691" s="209">
        <v>1.25</v>
      </c>
      <c r="G691" s="210"/>
    </row>
    <row r="692">
      <c r="A692" s="182" t="s">
        <v>255</v>
      </c>
      <c r="B692" s="182" t="s">
        <v>1</v>
      </c>
      <c r="C692" s="182" t="s">
        <v>613</v>
      </c>
      <c r="D692" s="182">
        <v>5.0</v>
      </c>
      <c r="E692" s="182">
        <v>641.0</v>
      </c>
      <c r="F692" s="209">
        <v>0.78</v>
      </c>
      <c r="G692" s="210"/>
    </row>
    <row r="693">
      <c r="A693" s="182" t="s">
        <v>255</v>
      </c>
      <c r="B693" s="182" t="s">
        <v>1</v>
      </c>
      <c r="C693" s="182" t="s">
        <v>619</v>
      </c>
      <c r="D693" s="182">
        <v>3.0</v>
      </c>
      <c r="E693" s="182">
        <v>641.0</v>
      </c>
      <c r="F693" s="209">
        <v>0.47</v>
      </c>
      <c r="G693" s="210"/>
    </row>
    <row r="694">
      <c r="A694" s="182" t="s">
        <v>255</v>
      </c>
      <c r="B694" s="182" t="s">
        <v>1</v>
      </c>
      <c r="C694" s="182" t="s">
        <v>618</v>
      </c>
      <c r="D694" s="182">
        <v>2.0</v>
      </c>
      <c r="E694" s="182">
        <v>641.0</v>
      </c>
      <c r="F694" s="209">
        <v>0.31</v>
      </c>
      <c r="G694" s="210"/>
    </row>
    <row r="695">
      <c r="A695" s="182" t="s">
        <v>241</v>
      </c>
      <c r="B695" s="182" t="s">
        <v>1</v>
      </c>
      <c r="C695" s="182" t="s">
        <v>606</v>
      </c>
      <c r="D695" s="182">
        <v>342.0</v>
      </c>
      <c r="E695" s="182">
        <v>641.0</v>
      </c>
      <c r="F695" s="209">
        <v>53.35</v>
      </c>
      <c r="G695" s="210"/>
    </row>
    <row r="696">
      <c r="A696" s="182" t="s">
        <v>241</v>
      </c>
      <c r="B696" s="182" t="s">
        <v>1</v>
      </c>
      <c r="C696" s="182" t="s">
        <v>609</v>
      </c>
      <c r="D696" s="182">
        <v>64.0</v>
      </c>
      <c r="E696" s="182">
        <v>641.0</v>
      </c>
      <c r="F696" s="209">
        <v>9.98</v>
      </c>
      <c r="G696" s="210"/>
    </row>
    <row r="697">
      <c r="A697" s="182" t="s">
        <v>241</v>
      </c>
      <c r="B697" s="182" t="s">
        <v>1</v>
      </c>
      <c r="C697" s="182" t="s">
        <v>608</v>
      </c>
      <c r="D697" s="182">
        <v>52.0</v>
      </c>
      <c r="E697" s="182">
        <v>641.0</v>
      </c>
      <c r="F697" s="209">
        <v>8.11</v>
      </c>
      <c r="G697" s="210"/>
    </row>
    <row r="698">
      <c r="A698" s="182" t="s">
        <v>241</v>
      </c>
      <c r="B698" s="182" t="s">
        <v>1</v>
      </c>
      <c r="C698" s="182" t="s">
        <v>610</v>
      </c>
      <c r="D698" s="182">
        <v>45.0</v>
      </c>
      <c r="E698" s="182">
        <v>641.0</v>
      </c>
      <c r="F698" s="209">
        <v>7.02</v>
      </c>
      <c r="G698" s="210"/>
    </row>
    <row r="699">
      <c r="A699" s="182" t="s">
        <v>241</v>
      </c>
      <c r="B699" s="182" t="s">
        <v>1</v>
      </c>
      <c r="C699" s="182" t="s">
        <v>611</v>
      </c>
      <c r="D699" s="182">
        <v>40.0</v>
      </c>
      <c r="E699" s="182">
        <v>641.0</v>
      </c>
      <c r="F699" s="209">
        <v>6.24</v>
      </c>
      <c r="G699" s="210"/>
    </row>
    <row r="700">
      <c r="A700" s="182" t="s">
        <v>241</v>
      </c>
      <c r="B700" s="182" t="s">
        <v>1</v>
      </c>
      <c r="C700" s="182" t="s">
        <v>622</v>
      </c>
      <c r="D700" s="182">
        <v>35.0</v>
      </c>
      <c r="E700" s="182">
        <v>641.0</v>
      </c>
      <c r="F700" s="209">
        <v>5.46</v>
      </c>
      <c r="G700" s="210"/>
    </row>
    <row r="701">
      <c r="A701" s="182" t="s">
        <v>241</v>
      </c>
      <c r="B701" s="182" t="s">
        <v>1</v>
      </c>
      <c r="C701" s="182" t="s">
        <v>607</v>
      </c>
      <c r="D701" s="182">
        <v>29.0</v>
      </c>
      <c r="E701" s="182">
        <v>641.0</v>
      </c>
      <c r="F701" s="209">
        <v>4.52</v>
      </c>
      <c r="G701" s="210"/>
    </row>
    <row r="702">
      <c r="A702" s="182" t="s">
        <v>241</v>
      </c>
      <c r="B702" s="182" t="s">
        <v>1</v>
      </c>
      <c r="C702" s="182" t="s">
        <v>612</v>
      </c>
      <c r="D702" s="182">
        <v>21.0</v>
      </c>
      <c r="E702" s="182">
        <v>641.0</v>
      </c>
      <c r="F702" s="209">
        <v>3.28</v>
      </c>
      <c r="G702" s="210"/>
    </row>
    <row r="703">
      <c r="A703" s="182" t="s">
        <v>241</v>
      </c>
      <c r="B703" s="182" t="s">
        <v>1</v>
      </c>
      <c r="C703" s="182" t="s">
        <v>616</v>
      </c>
      <c r="D703" s="182">
        <v>9.0</v>
      </c>
      <c r="E703" s="182">
        <v>641.0</v>
      </c>
      <c r="F703" s="209">
        <v>1.4</v>
      </c>
      <c r="G703" s="210"/>
    </row>
    <row r="704">
      <c r="A704" s="182" t="s">
        <v>241</v>
      </c>
      <c r="B704" s="182" t="s">
        <v>1</v>
      </c>
      <c r="C704" s="182" t="s">
        <v>618</v>
      </c>
      <c r="D704" s="182">
        <v>3.0</v>
      </c>
      <c r="E704" s="182">
        <v>641.0</v>
      </c>
      <c r="F704" s="209">
        <v>0.47</v>
      </c>
      <c r="G704" s="210"/>
    </row>
    <row r="705">
      <c r="A705" s="182" t="s">
        <v>241</v>
      </c>
      <c r="B705" s="182" t="s">
        <v>1</v>
      </c>
      <c r="C705" s="182" t="s">
        <v>617</v>
      </c>
      <c r="D705" s="182">
        <v>1.0</v>
      </c>
      <c r="E705" s="182">
        <v>641.0</v>
      </c>
      <c r="F705" s="209">
        <v>0.16</v>
      </c>
      <c r="G705" s="210"/>
    </row>
    <row r="706">
      <c r="A706" s="182" t="s">
        <v>275</v>
      </c>
      <c r="B706" s="182" t="s">
        <v>1</v>
      </c>
      <c r="C706" s="182" t="s">
        <v>606</v>
      </c>
      <c r="D706" s="182">
        <v>272.0</v>
      </c>
      <c r="E706" s="182">
        <v>641.0</v>
      </c>
      <c r="F706" s="209">
        <v>42.43</v>
      </c>
      <c r="G706" s="210"/>
    </row>
    <row r="707">
      <c r="A707" s="182" t="s">
        <v>275</v>
      </c>
      <c r="B707" s="182" t="s">
        <v>1</v>
      </c>
      <c r="C707" s="182" t="s">
        <v>610</v>
      </c>
      <c r="D707" s="182">
        <v>116.0</v>
      </c>
      <c r="E707" s="182">
        <v>641.0</v>
      </c>
      <c r="F707" s="209">
        <v>18.1</v>
      </c>
      <c r="G707" s="210"/>
    </row>
    <row r="708">
      <c r="A708" s="182" t="s">
        <v>275</v>
      </c>
      <c r="B708" s="182" t="s">
        <v>1</v>
      </c>
      <c r="C708" s="182" t="s">
        <v>609</v>
      </c>
      <c r="D708" s="182">
        <v>95.0</v>
      </c>
      <c r="E708" s="182">
        <v>641.0</v>
      </c>
      <c r="F708" s="209">
        <v>14.82</v>
      </c>
      <c r="G708" s="210"/>
    </row>
    <row r="709">
      <c r="A709" s="182" t="s">
        <v>275</v>
      </c>
      <c r="B709" s="182" t="s">
        <v>1</v>
      </c>
      <c r="C709" s="182" t="s">
        <v>612</v>
      </c>
      <c r="D709" s="182">
        <v>28.0</v>
      </c>
      <c r="E709" s="182">
        <v>641.0</v>
      </c>
      <c r="F709" s="209">
        <v>4.37</v>
      </c>
      <c r="G709" s="210"/>
    </row>
    <row r="710">
      <c r="A710" s="182" t="s">
        <v>275</v>
      </c>
      <c r="B710" s="182" t="s">
        <v>1</v>
      </c>
      <c r="C710" s="182" t="s">
        <v>611</v>
      </c>
      <c r="D710" s="182">
        <v>26.0</v>
      </c>
      <c r="E710" s="182">
        <v>641.0</v>
      </c>
      <c r="F710" s="209">
        <v>4.06</v>
      </c>
      <c r="G710" s="210"/>
    </row>
    <row r="711">
      <c r="A711" s="182" t="s">
        <v>275</v>
      </c>
      <c r="B711" s="182" t="s">
        <v>1</v>
      </c>
      <c r="C711" s="182" t="s">
        <v>620</v>
      </c>
      <c r="D711" s="182">
        <v>26.0</v>
      </c>
      <c r="E711" s="182">
        <v>641.0</v>
      </c>
      <c r="F711" s="209">
        <v>4.06</v>
      </c>
      <c r="G711" s="210"/>
    </row>
    <row r="712">
      <c r="A712" s="182" t="s">
        <v>275</v>
      </c>
      <c r="B712" s="182" t="s">
        <v>1</v>
      </c>
      <c r="C712" s="182" t="s">
        <v>607</v>
      </c>
      <c r="D712" s="182">
        <v>20.0</v>
      </c>
      <c r="E712" s="182">
        <v>641.0</v>
      </c>
      <c r="F712" s="209">
        <v>3.12</v>
      </c>
      <c r="G712" s="210"/>
    </row>
    <row r="713">
      <c r="A713" s="182" t="s">
        <v>275</v>
      </c>
      <c r="B713" s="182" t="s">
        <v>1</v>
      </c>
      <c r="C713" s="182" t="s">
        <v>608</v>
      </c>
      <c r="D713" s="182">
        <v>19.0</v>
      </c>
      <c r="E713" s="182">
        <v>641.0</v>
      </c>
      <c r="F713" s="209">
        <v>2.96</v>
      </c>
      <c r="G713" s="210"/>
    </row>
    <row r="714">
      <c r="A714" s="182" t="s">
        <v>275</v>
      </c>
      <c r="B714" s="182" t="s">
        <v>1</v>
      </c>
      <c r="C714" s="182" t="s">
        <v>616</v>
      </c>
      <c r="D714" s="182">
        <v>17.0</v>
      </c>
      <c r="E714" s="182">
        <v>641.0</v>
      </c>
      <c r="F714" s="209">
        <v>2.65</v>
      </c>
      <c r="G714" s="210"/>
    </row>
    <row r="715">
      <c r="A715" s="182" t="s">
        <v>275</v>
      </c>
      <c r="B715" s="182" t="s">
        <v>1</v>
      </c>
      <c r="C715" s="182" t="s">
        <v>619</v>
      </c>
      <c r="D715" s="182">
        <v>16.0</v>
      </c>
      <c r="E715" s="182">
        <v>641.0</v>
      </c>
      <c r="F715" s="209">
        <v>2.5</v>
      </c>
      <c r="G715" s="210"/>
    </row>
    <row r="716">
      <c r="A716" s="182" t="s">
        <v>275</v>
      </c>
      <c r="B716" s="182" t="s">
        <v>1</v>
      </c>
      <c r="C716" s="182" t="s">
        <v>622</v>
      </c>
      <c r="D716" s="182">
        <v>4.0</v>
      </c>
      <c r="E716" s="182">
        <v>641.0</v>
      </c>
      <c r="F716" s="209">
        <v>0.62</v>
      </c>
      <c r="G716" s="210"/>
    </row>
    <row r="717">
      <c r="A717" s="182" t="s">
        <v>275</v>
      </c>
      <c r="B717" s="182" t="s">
        <v>1</v>
      </c>
      <c r="C717" s="182" t="s">
        <v>617</v>
      </c>
      <c r="D717" s="182">
        <v>2.0</v>
      </c>
      <c r="E717" s="182">
        <v>641.0</v>
      </c>
      <c r="F717" s="209">
        <v>0.31</v>
      </c>
      <c r="G717" s="210"/>
    </row>
    <row r="718">
      <c r="A718" s="182" t="s">
        <v>299</v>
      </c>
      <c r="B718" s="182" t="s">
        <v>1</v>
      </c>
      <c r="C718" s="182" t="s">
        <v>610</v>
      </c>
      <c r="D718" s="182">
        <v>249.0</v>
      </c>
      <c r="E718" s="182">
        <v>641.0</v>
      </c>
      <c r="F718" s="209">
        <v>38.85</v>
      </c>
      <c r="G718" s="210"/>
    </row>
    <row r="719">
      <c r="A719" s="182" t="s">
        <v>299</v>
      </c>
      <c r="B719" s="182" t="s">
        <v>1</v>
      </c>
      <c r="C719" s="182" t="s">
        <v>606</v>
      </c>
      <c r="D719" s="182">
        <v>116.0</v>
      </c>
      <c r="E719" s="182">
        <v>641.0</v>
      </c>
      <c r="F719" s="209">
        <v>18.1</v>
      </c>
      <c r="G719" s="210"/>
    </row>
    <row r="720">
      <c r="A720" s="182" t="s">
        <v>299</v>
      </c>
      <c r="B720" s="182" t="s">
        <v>1</v>
      </c>
      <c r="C720" s="182" t="s">
        <v>607</v>
      </c>
      <c r="D720" s="182">
        <v>86.0</v>
      </c>
      <c r="E720" s="182">
        <v>641.0</v>
      </c>
      <c r="F720" s="209">
        <v>13.42</v>
      </c>
      <c r="G720" s="210"/>
    </row>
    <row r="721">
      <c r="A721" s="182" t="s">
        <v>299</v>
      </c>
      <c r="B721" s="182" t="s">
        <v>1</v>
      </c>
      <c r="C721" s="182" t="s">
        <v>612</v>
      </c>
      <c r="D721" s="182">
        <v>32.0</v>
      </c>
      <c r="E721" s="182">
        <v>641.0</v>
      </c>
      <c r="F721" s="209">
        <v>4.99</v>
      </c>
      <c r="G721" s="210"/>
    </row>
    <row r="722">
      <c r="A722" s="182" t="s">
        <v>299</v>
      </c>
      <c r="B722" s="182" t="s">
        <v>1</v>
      </c>
      <c r="C722" s="182" t="s">
        <v>619</v>
      </c>
      <c r="D722" s="182">
        <v>31.0</v>
      </c>
      <c r="E722" s="182">
        <v>641.0</v>
      </c>
      <c r="F722" s="209">
        <v>4.84</v>
      </c>
      <c r="G722" s="210"/>
    </row>
    <row r="723">
      <c r="A723" s="182" t="s">
        <v>299</v>
      </c>
      <c r="B723" s="182" t="s">
        <v>1</v>
      </c>
      <c r="C723" s="182" t="s">
        <v>620</v>
      </c>
      <c r="D723" s="182">
        <v>29.0</v>
      </c>
      <c r="E723" s="182">
        <v>641.0</v>
      </c>
      <c r="F723" s="209">
        <v>4.52</v>
      </c>
      <c r="G723" s="210"/>
    </row>
    <row r="724">
      <c r="A724" s="182" t="s">
        <v>299</v>
      </c>
      <c r="B724" s="182" t="s">
        <v>1</v>
      </c>
      <c r="C724" s="182" t="s">
        <v>618</v>
      </c>
      <c r="D724" s="182">
        <v>28.0</v>
      </c>
      <c r="E724" s="182">
        <v>641.0</v>
      </c>
      <c r="F724" s="209">
        <v>4.37</v>
      </c>
      <c r="G724" s="210"/>
    </row>
    <row r="725">
      <c r="A725" s="182" t="s">
        <v>299</v>
      </c>
      <c r="B725" s="182" t="s">
        <v>1</v>
      </c>
      <c r="C725" s="182" t="s">
        <v>608</v>
      </c>
      <c r="D725" s="182">
        <v>23.0</v>
      </c>
      <c r="E725" s="182">
        <v>641.0</v>
      </c>
      <c r="F725" s="209">
        <v>3.59</v>
      </c>
      <c r="G725" s="210"/>
    </row>
    <row r="726">
      <c r="A726" s="182" t="s">
        <v>299</v>
      </c>
      <c r="B726" s="182" t="s">
        <v>1</v>
      </c>
      <c r="C726" s="182" t="s">
        <v>609</v>
      </c>
      <c r="D726" s="182">
        <v>21.0</v>
      </c>
      <c r="E726" s="182">
        <v>641.0</v>
      </c>
      <c r="F726" s="209">
        <v>3.28</v>
      </c>
      <c r="G726" s="210"/>
    </row>
    <row r="727">
      <c r="A727" s="182" t="s">
        <v>299</v>
      </c>
      <c r="B727" s="182" t="s">
        <v>1</v>
      </c>
      <c r="C727" s="182" t="s">
        <v>611</v>
      </c>
      <c r="D727" s="182">
        <v>15.0</v>
      </c>
      <c r="E727" s="182">
        <v>641.0</v>
      </c>
      <c r="F727" s="209">
        <v>2.34</v>
      </c>
      <c r="G727" s="210"/>
    </row>
    <row r="728">
      <c r="A728" s="182" t="s">
        <v>299</v>
      </c>
      <c r="B728" s="182" t="s">
        <v>1</v>
      </c>
      <c r="C728" s="182" t="s">
        <v>614</v>
      </c>
      <c r="D728" s="182">
        <v>5.0</v>
      </c>
      <c r="E728" s="182">
        <v>641.0</v>
      </c>
      <c r="F728" s="209">
        <v>0.78</v>
      </c>
      <c r="G728" s="210"/>
    </row>
    <row r="729">
      <c r="A729" s="182" t="s">
        <v>299</v>
      </c>
      <c r="B729" s="182" t="s">
        <v>1</v>
      </c>
      <c r="C729" s="182" t="s">
        <v>616</v>
      </c>
      <c r="D729" s="182">
        <v>3.0</v>
      </c>
      <c r="E729" s="182">
        <v>641.0</v>
      </c>
      <c r="F729" s="209">
        <v>0.47</v>
      </c>
      <c r="G729" s="210"/>
    </row>
    <row r="730">
      <c r="A730" s="182" t="s">
        <v>299</v>
      </c>
      <c r="B730" s="182" t="s">
        <v>1</v>
      </c>
      <c r="C730" s="182" t="s">
        <v>623</v>
      </c>
      <c r="D730" s="182">
        <v>1.0</v>
      </c>
      <c r="E730" s="182">
        <v>641.0</v>
      </c>
      <c r="F730" s="209">
        <v>0.16</v>
      </c>
      <c r="G730" s="210"/>
    </row>
    <row r="731">
      <c r="A731" s="182" t="s">
        <v>299</v>
      </c>
      <c r="B731" s="182" t="s">
        <v>1</v>
      </c>
      <c r="C731" s="182" t="s">
        <v>617</v>
      </c>
      <c r="D731" s="182">
        <v>1.0</v>
      </c>
      <c r="E731" s="182">
        <v>641.0</v>
      </c>
      <c r="F731" s="209">
        <v>0.16</v>
      </c>
      <c r="G731" s="210"/>
    </row>
    <row r="732">
      <c r="A732" s="182" t="s">
        <v>299</v>
      </c>
      <c r="B732" s="182" t="s">
        <v>1</v>
      </c>
      <c r="C732" s="182" t="s">
        <v>622</v>
      </c>
      <c r="D732" s="182">
        <v>1.0</v>
      </c>
      <c r="E732" s="182">
        <v>641.0</v>
      </c>
      <c r="F732" s="209">
        <v>0.16</v>
      </c>
      <c r="G732" s="210"/>
    </row>
    <row r="733">
      <c r="A733" s="182" t="s">
        <v>266</v>
      </c>
      <c r="B733" s="182" t="s">
        <v>1</v>
      </c>
      <c r="C733" s="182" t="s">
        <v>606</v>
      </c>
      <c r="D733" s="182">
        <v>387.0</v>
      </c>
      <c r="E733" s="182">
        <v>641.0</v>
      </c>
      <c r="F733" s="209">
        <v>60.37</v>
      </c>
      <c r="G733" s="210"/>
    </row>
    <row r="734">
      <c r="A734" s="182" t="s">
        <v>266</v>
      </c>
      <c r="B734" s="182" t="s">
        <v>1</v>
      </c>
      <c r="C734" s="182" t="s">
        <v>611</v>
      </c>
      <c r="D734" s="182">
        <v>60.0</v>
      </c>
      <c r="E734" s="182">
        <v>641.0</v>
      </c>
      <c r="F734" s="209">
        <v>9.36</v>
      </c>
      <c r="G734" s="210"/>
    </row>
    <row r="735">
      <c r="A735" s="182" t="s">
        <v>266</v>
      </c>
      <c r="B735" s="182" t="s">
        <v>1</v>
      </c>
      <c r="C735" s="182" t="s">
        <v>608</v>
      </c>
      <c r="D735" s="182">
        <v>45.0</v>
      </c>
      <c r="E735" s="182">
        <v>641.0</v>
      </c>
      <c r="F735" s="209">
        <v>7.02</v>
      </c>
      <c r="G735" s="210"/>
    </row>
    <row r="736">
      <c r="A736" s="182" t="s">
        <v>266</v>
      </c>
      <c r="B736" s="182" t="s">
        <v>1</v>
      </c>
      <c r="C736" s="182" t="s">
        <v>609</v>
      </c>
      <c r="D736" s="182">
        <v>39.0</v>
      </c>
      <c r="E736" s="182">
        <v>641.0</v>
      </c>
      <c r="F736" s="209">
        <v>6.08</v>
      </c>
      <c r="G736" s="210"/>
    </row>
    <row r="737">
      <c r="A737" s="182" t="s">
        <v>266</v>
      </c>
      <c r="B737" s="182" t="s">
        <v>1</v>
      </c>
      <c r="C737" s="182" t="s">
        <v>607</v>
      </c>
      <c r="D737" s="182">
        <v>34.0</v>
      </c>
      <c r="E737" s="182">
        <v>641.0</v>
      </c>
      <c r="F737" s="209">
        <v>5.3</v>
      </c>
      <c r="G737" s="210"/>
    </row>
    <row r="738">
      <c r="A738" s="182" t="s">
        <v>266</v>
      </c>
      <c r="B738" s="182" t="s">
        <v>1</v>
      </c>
      <c r="C738" s="182" t="s">
        <v>612</v>
      </c>
      <c r="D738" s="182">
        <v>31.0</v>
      </c>
      <c r="E738" s="182">
        <v>641.0</v>
      </c>
      <c r="F738" s="209">
        <v>4.84</v>
      </c>
      <c r="G738" s="210"/>
    </row>
    <row r="739">
      <c r="A739" s="182" t="s">
        <v>266</v>
      </c>
      <c r="B739" s="182" t="s">
        <v>1</v>
      </c>
      <c r="C739" s="182" t="s">
        <v>610</v>
      </c>
      <c r="D739" s="182">
        <v>28.0</v>
      </c>
      <c r="E739" s="182">
        <v>641.0</v>
      </c>
      <c r="F739" s="209">
        <v>4.37</v>
      </c>
      <c r="G739" s="210"/>
    </row>
    <row r="740">
      <c r="A740" s="182" t="s">
        <v>266</v>
      </c>
      <c r="B740" s="182" t="s">
        <v>1</v>
      </c>
      <c r="C740" s="182" t="s">
        <v>617</v>
      </c>
      <c r="D740" s="182">
        <v>8.0</v>
      </c>
      <c r="E740" s="182">
        <v>641.0</v>
      </c>
      <c r="F740" s="209">
        <v>1.25</v>
      </c>
      <c r="G740" s="210"/>
    </row>
    <row r="741">
      <c r="A741" s="182" t="s">
        <v>266</v>
      </c>
      <c r="B741" s="182" t="s">
        <v>1</v>
      </c>
      <c r="C741" s="182" t="s">
        <v>618</v>
      </c>
      <c r="D741" s="182">
        <v>3.0</v>
      </c>
      <c r="E741" s="182">
        <v>641.0</v>
      </c>
      <c r="F741" s="209">
        <v>0.47</v>
      </c>
      <c r="G741" s="210"/>
    </row>
    <row r="742">
      <c r="A742" s="182" t="s">
        <v>266</v>
      </c>
      <c r="B742" s="182" t="s">
        <v>1</v>
      </c>
      <c r="C742" s="182" t="s">
        <v>616</v>
      </c>
      <c r="D742" s="182">
        <v>2.0</v>
      </c>
      <c r="E742" s="182">
        <v>641.0</v>
      </c>
      <c r="F742" s="209">
        <v>0.31</v>
      </c>
      <c r="G742" s="210"/>
    </row>
    <row r="743">
      <c r="A743" s="182" t="s">
        <v>266</v>
      </c>
      <c r="B743" s="182" t="s">
        <v>1</v>
      </c>
      <c r="C743" s="182" t="s">
        <v>621</v>
      </c>
      <c r="D743" s="182">
        <v>2.0</v>
      </c>
      <c r="E743" s="182">
        <v>641.0</v>
      </c>
      <c r="F743" s="209">
        <v>0.31</v>
      </c>
      <c r="G743" s="210"/>
    </row>
    <row r="744">
      <c r="A744" s="182" t="s">
        <v>266</v>
      </c>
      <c r="B744" s="182" t="s">
        <v>1</v>
      </c>
      <c r="C744" s="182" t="s">
        <v>614</v>
      </c>
      <c r="D744" s="182">
        <v>1.0</v>
      </c>
      <c r="E744" s="182">
        <v>641.0</v>
      </c>
      <c r="F744" s="209">
        <v>0.16</v>
      </c>
      <c r="G744" s="210"/>
    </row>
    <row r="745">
      <c r="A745" s="182" t="s">
        <v>266</v>
      </c>
      <c r="B745" s="182" t="s">
        <v>1</v>
      </c>
      <c r="C745" s="182" t="s">
        <v>619</v>
      </c>
      <c r="D745" s="182">
        <v>1.0</v>
      </c>
      <c r="E745" s="182">
        <v>641.0</v>
      </c>
      <c r="F745" s="209">
        <v>0.16</v>
      </c>
      <c r="G745" s="210"/>
    </row>
    <row r="746">
      <c r="A746" s="182" t="s">
        <v>245</v>
      </c>
      <c r="B746" s="182" t="s">
        <v>185</v>
      </c>
      <c r="C746" s="182" t="s">
        <v>606</v>
      </c>
      <c r="D746" s="182">
        <v>188.0</v>
      </c>
      <c r="E746" s="182">
        <v>721.0</v>
      </c>
      <c r="F746" s="209">
        <v>26.07</v>
      </c>
      <c r="G746" s="210"/>
    </row>
    <row r="747">
      <c r="A747" s="182" t="s">
        <v>245</v>
      </c>
      <c r="B747" s="182" t="s">
        <v>185</v>
      </c>
      <c r="C747" s="182" t="s">
        <v>622</v>
      </c>
      <c r="D747" s="182">
        <v>164.0</v>
      </c>
      <c r="E747" s="182">
        <v>721.0</v>
      </c>
      <c r="F747" s="209">
        <v>22.75</v>
      </c>
      <c r="G747" s="210"/>
    </row>
    <row r="748">
      <c r="A748" s="182" t="s">
        <v>245</v>
      </c>
      <c r="B748" s="182" t="s">
        <v>185</v>
      </c>
      <c r="C748" s="182" t="s">
        <v>609</v>
      </c>
      <c r="D748" s="182">
        <v>94.0</v>
      </c>
      <c r="E748" s="182">
        <v>721.0</v>
      </c>
      <c r="F748" s="209">
        <v>13.04</v>
      </c>
      <c r="G748" s="210"/>
    </row>
    <row r="749">
      <c r="A749" s="182" t="s">
        <v>245</v>
      </c>
      <c r="B749" s="182" t="s">
        <v>185</v>
      </c>
      <c r="C749" s="182" t="s">
        <v>612</v>
      </c>
      <c r="D749" s="182">
        <v>75.0</v>
      </c>
      <c r="E749" s="182">
        <v>721.0</v>
      </c>
      <c r="F749" s="209">
        <v>10.4</v>
      </c>
      <c r="G749" s="210"/>
    </row>
    <row r="750">
      <c r="A750" s="182" t="s">
        <v>245</v>
      </c>
      <c r="B750" s="182" t="s">
        <v>185</v>
      </c>
      <c r="C750" s="182" t="s">
        <v>616</v>
      </c>
      <c r="D750" s="182">
        <v>57.0</v>
      </c>
      <c r="E750" s="182">
        <v>721.0</v>
      </c>
      <c r="F750" s="209">
        <v>7.91</v>
      </c>
      <c r="G750" s="210"/>
    </row>
    <row r="751">
      <c r="A751" s="182" t="s">
        <v>245</v>
      </c>
      <c r="B751" s="182" t="s">
        <v>185</v>
      </c>
      <c r="C751" s="182" t="s">
        <v>610</v>
      </c>
      <c r="D751" s="182">
        <v>56.0</v>
      </c>
      <c r="E751" s="182">
        <v>721.0</v>
      </c>
      <c r="F751" s="209">
        <v>7.77</v>
      </c>
      <c r="G751" s="210"/>
    </row>
    <row r="752">
      <c r="A752" s="182" t="s">
        <v>245</v>
      </c>
      <c r="B752" s="182" t="s">
        <v>185</v>
      </c>
      <c r="C752" s="182" t="s">
        <v>611</v>
      </c>
      <c r="D752" s="182">
        <v>48.0</v>
      </c>
      <c r="E752" s="182">
        <v>721.0</v>
      </c>
      <c r="F752" s="209">
        <v>6.66</v>
      </c>
      <c r="G752" s="210"/>
    </row>
    <row r="753">
      <c r="A753" s="182" t="s">
        <v>245</v>
      </c>
      <c r="B753" s="182" t="s">
        <v>185</v>
      </c>
      <c r="C753" s="182" t="s">
        <v>614</v>
      </c>
      <c r="D753" s="182">
        <v>11.0</v>
      </c>
      <c r="E753" s="182">
        <v>721.0</v>
      </c>
      <c r="F753" s="209">
        <v>1.53</v>
      </c>
      <c r="G753" s="210"/>
    </row>
    <row r="754">
      <c r="A754" s="182" t="s">
        <v>245</v>
      </c>
      <c r="B754" s="182" t="s">
        <v>185</v>
      </c>
      <c r="C754" s="182" t="s">
        <v>617</v>
      </c>
      <c r="D754" s="182">
        <v>11.0</v>
      </c>
      <c r="E754" s="182">
        <v>721.0</v>
      </c>
      <c r="F754" s="209">
        <v>1.53</v>
      </c>
      <c r="G754" s="210"/>
    </row>
    <row r="755">
      <c r="A755" s="182" t="s">
        <v>245</v>
      </c>
      <c r="B755" s="182" t="s">
        <v>185</v>
      </c>
      <c r="C755" s="182" t="s">
        <v>613</v>
      </c>
      <c r="D755" s="182">
        <v>6.0</v>
      </c>
      <c r="E755" s="182">
        <v>721.0</v>
      </c>
      <c r="F755" s="209">
        <v>0.83</v>
      </c>
      <c r="G755" s="210"/>
    </row>
    <row r="756">
      <c r="A756" s="182" t="s">
        <v>245</v>
      </c>
      <c r="B756" s="182" t="s">
        <v>185</v>
      </c>
      <c r="C756" s="182" t="s">
        <v>607</v>
      </c>
      <c r="D756" s="182">
        <v>6.0</v>
      </c>
      <c r="E756" s="182">
        <v>721.0</v>
      </c>
      <c r="F756" s="209">
        <v>0.83</v>
      </c>
      <c r="G756" s="210"/>
    </row>
    <row r="757">
      <c r="A757" s="182" t="s">
        <v>245</v>
      </c>
      <c r="B757" s="182" t="s">
        <v>185</v>
      </c>
      <c r="C757" s="182" t="s">
        <v>618</v>
      </c>
      <c r="D757" s="182">
        <v>4.0</v>
      </c>
      <c r="E757" s="182">
        <v>721.0</v>
      </c>
      <c r="F757" s="209">
        <v>0.55</v>
      </c>
      <c r="G757" s="210"/>
    </row>
    <row r="758">
      <c r="A758" s="182" t="s">
        <v>288</v>
      </c>
      <c r="B758" s="182" t="s">
        <v>185</v>
      </c>
      <c r="C758" s="182" t="s">
        <v>606</v>
      </c>
      <c r="D758" s="182">
        <v>34.0</v>
      </c>
      <c r="E758" s="182">
        <v>114.0</v>
      </c>
      <c r="F758" s="209">
        <v>29.82</v>
      </c>
      <c r="G758" s="210"/>
    </row>
    <row r="759">
      <c r="A759" s="182" t="s">
        <v>288</v>
      </c>
      <c r="B759" s="182" t="s">
        <v>185</v>
      </c>
      <c r="C759" s="182" t="s">
        <v>610</v>
      </c>
      <c r="D759" s="182">
        <v>31.0</v>
      </c>
      <c r="E759" s="182">
        <v>114.0</v>
      </c>
      <c r="F759" s="209">
        <v>27.19</v>
      </c>
      <c r="G759" s="210"/>
    </row>
    <row r="760">
      <c r="A760" s="182" t="s">
        <v>288</v>
      </c>
      <c r="B760" s="182" t="s">
        <v>185</v>
      </c>
      <c r="C760" s="182" t="s">
        <v>609</v>
      </c>
      <c r="D760" s="182">
        <v>16.0</v>
      </c>
      <c r="E760" s="182">
        <v>114.0</v>
      </c>
      <c r="F760" s="209">
        <v>14.04</v>
      </c>
      <c r="G760" s="210"/>
    </row>
    <row r="761">
      <c r="A761" s="182" t="s">
        <v>288</v>
      </c>
      <c r="B761" s="182" t="s">
        <v>185</v>
      </c>
      <c r="C761" s="182" t="s">
        <v>611</v>
      </c>
      <c r="D761" s="182">
        <v>14.0</v>
      </c>
      <c r="E761" s="182">
        <v>114.0</v>
      </c>
      <c r="F761" s="209">
        <v>12.28</v>
      </c>
      <c r="G761" s="210"/>
    </row>
    <row r="762">
      <c r="A762" s="182" t="s">
        <v>288</v>
      </c>
      <c r="B762" s="182" t="s">
        <v>185</v>
      </c>
      <c r="C762" s="182" t="s">
        <v>608</v>
      </c>
      <c r="D762" s="182">
        <v>4.0</v>
      </c>
      <c r="E762" s="182">
        <v>114.0</v>
      </c>
      <c r="F762" s="209">
        <v>3.51</v>
      </c>
      <c r="G762" s="210"/>
    </row>
    <row r="763">
      <c r="A763" s="182" t="s">
        <v>288</v>
      </c>
      <c r="B763" s="182" t="s">
        <v>185</v>
      </c>
      <c r="C763" s="182" t="s">
        <v>607</v>
      </c>
      <c r="D763" s="182">
        <v>4.0</v>
      </c>
      <c r="E763" s="182">
        <v>114.0</v>
      </c>
      <c r="F763" s="209">
        <v>3.51</v>
      </c>
      <c r="G763" s="210"/>
    </row>
    <row r="764">
      <c r="A764" s="182" t="s">
        <v>288</v>
      </c>
      <c r="B764" s="182" t="s">
        <v>185</v>
      </c>
      <c r="C764" s="182" t="s">
        <v>619</v>
      </c>
      <c r="D764" s="182">
        <v>4.0</v>
      </c>
      <c r="E764" s="182">
        <v>114.0</v>
      </c>
      <c r="F764" s="209">
        <v>3.51</v>
      </c>
      <c r="G764" s="210"/>
    </row>
    <row r="765">
      <c r="A765" s="182" t="s">
        <v>288</v>
      </c>
      <c r="B765" s="182" t="s">
        <v>185</v>
      </c>
      <c r="C765" s="182" t="s">
        <v>618</v>
      </c>
      <c r="D765" s="182">
        <v>3.0</v>
      </c>
      <c r="E765" s="182">
        <v>114.0</v>
      </c>
      <c r="F765" s="209">
        <v>2.63</v>
      </c>
      <c r="G765" s="210"/>
    </row>
    <row r="766">
      <c r="A766" s="182" t="s">
        <v>288</v>
      </c>
      <c r="B766" s="182" t="s">
        <v>185</v>
      </c>
      <c r="C766" s="182" t="s">
        <v>614</v>
      </c>
      <c r="D766" s="182">
        <v>2.0</v>
      </c>
      <c r="E766" s="182">
        <v>114.0</v>
      </c>
      <c r="F766" s="209">
        <v>1.75</v>
      </c>
      <c r="G766" s="210"/>
    </row>
    <row r="767">
      <c r="A767" s="182" t="s">
        <v>288</v>
      </c>
      <c r="B767" s="182" t="s">
        <v>185</v>
      </c>
      <c r="C767" s="182" t="s">
        <v>616</v>
      </c>
      <c r="D767" s="182">
        <v>1.0</v>
      </c>
      <c r="E767" s="182">
        <v>114.0</v>
      </c>
      <c r="F767" s="209">
        <v>0.88</v>
      </c>
      <c r="G767" s="210"/>
    </row>
    <row r="768">
      <c r="A768" s="182" t="s">
        <v>288</v>
      </c>
      <c r="B768" s="182" t="s">
        <v>185</v>
      </c>
      <c r="C768" s="182" t="s">
        <v>621</v>
      </c>
      <c r="D768" s="182">
        <v>1.0</v>
      </c>
      <c r="E768" s="182">
        <v>114.0</v>
      </c>
      <c r="F768" s="209">
        <v>0.88</v>
      </c>
      <c r="G768" s="210"/>
    </row>
    <row r="769">
      <c r="A769" s="182" t="s">
        <v>296</v>
      </c>
      <c r="B769" s="182" t="s">
        <v>185</v>
      </c>
      <c r="C769" s="182" t="s">
        <v>606</v>
      </c>
      <c r="D769" s="182">
        <v>251.0</v>
      </c>
      <c r="E769" s="182">
        <v>630.0</v>
      </c>
      <c r="F769" s="209">
        <v>39.84</v>
      </c>
      <c r="G769" s="210"/>
    </row>
    <row r="770">
      <c r="A770" s="182" t="s">
        <v>296</v>
      </c>
      <c r="B770" s="182" t="s">
        <v>185</v>
      </c>
      <c r="C770" s="182" t="s">
        <v>610</v>
      </c>
      <c r="D770" s="182">
        <v>139.0</v>
      </c>
      <c r="E770" s="182">
        <v>630.0</v>
      </c>
      <c r="F770" s="209">
        <v>22.06</v>
      </c>
      <c r="G770" s="210"/>
    </row>
    <row r="771">
      <c r="A771" s="182" t="s">
        <v>296</v>
      </c>
      <c r="B771" s="182" t="s">
        <v>185</v>
      </c>
      <c r="C771" s="182" t="s">
        <v>611</v>
      </c>
      <c r="D771" s="182">
        <v>71.0</v>
      </c>
      <c r="E771" s="182">
        <v>630.0</v>
      </c>
      <c r="F771" s="209">
        <v>11.27</v>
      </c>
      <c r="G771" s="210"/>
    </row>
    <row r="772">
      <c r="A772" s="182" t="s">
        <v>296</v>
      </c>
      <c r="B772" s="182" t="s">
        <v>185</v>
      </c>
      <c r="C772" s="182" t="s">
        <v>609</v>
      </c>
      <c r="D772" s="182">
        <v>50.0</v>
      </c>
      <c r="E772" s="182">
        <v>630.0</v>
      </c>
      <c r="F772" s="209">
        <v>7.94</v>
      </c>
      <c r="G772" s="210"/>
    </row>
    <row r="773">
      <c r="A773" s="182" t="s">
        <v>296</v>
      </c>
      <c r="B773" s="182" t="s">
        <v>185</v>
      </c>
      <c r="C773" s="182" t="s">
        <v>612</v>
      </c>
      <c r="D773" s="182">
        <v>31.0</v>
      </c>
      <c r="E773" s="182">
        <v>630.0</v>
      </c>
      <c r="F773" s="209">
        <v>4.92</v>
      </c>
      <c r="G773" s="210"/>
    </row>
    <row r="774">
      <c r="A774" s="182" t="s">
        <v>296</v>
      </c>
      <c r="B774" s="182" t="s">
        <v>185</v>
      </c>
      <c r="C774" s="182" t="s">
        <v>607</v>
      </c>
      <c r="D774" s="182">
        <v>30.0</v>
      </c>
      <c r="E774" s="182">
        <v>630.0</v>
      </c>
      <c r="F774" s="209">
        <v>4.76</v>
      </c>
      <c r="G774" s="210"/>
    </row>
    <row r="775">
      <c r="A775" s="182" t="s">
        <v>296</v>
      </c>
      <c r="B775" s="182" t="s">
        <v>185</v>
      </c>
      <c r="C775" s="182" t="s">
        <v>608</v>
      </c>
      <c r="D775" s="182">
        <v>27.0</v>
      </c>
      <c r="E775" s="182">
        <v>630.0</v>
      </c>
      <c r="F775" s="209">
        <v>4.29</v>
      </c>
      <c r="G775" s="210"/>
    </row>
    <row r="776">
      <c r="A776" s="182" t="s">
        <v>296</v>
      </c>
      <c r="B776" s="182" t="s">
        <v>185</v>
      </c>
      <c r="C776" s="182" t="s">
        <v>619</v>
      </c>
      <c r="D776" s="182">
        <v>11.0</v>
      </c>
      <c r="E776" s="182">
        <v>630.0</v>
      </c>
      <c r="F776" s="209">
        <v>1.75</v>
      </c>
      <c r="G776" s="210"/>
    </row>
    <row r="777">
      <c r="A777" s="182" t="s">
        <v>296</v>
      </c>
      <c r="B777" s="182" t="s">
        <v>185</v>
      </c>
      <c r="C777" s="182" t="s">
        <v>618</v>
      </c>
      <c r="D777" s="182">
        <v>7.0</v>
      </c>
      <c r="E777" s="182">
        <v>630.0</v>
      </c>
      <c r="F777" s="209">
        <v>1.11</v>
      </c>
      <c r="G777" s="210"/>
    </row>
    <row r="778">
      <c r="A778" s="182" t="s">
        <v>296</v>
      </c>
      <c r="B778" s="182" t="s">
        <v>185</v>
      </c>
      <c r="C778" s="182" t="s">
        <v>616</v>
      </c>
      <c r="D778" s="182">
        <v>6.0</v>
      </c>
      <c r="E778" s="182">
        <v>630.0</v>
      </c>
      <c r="F778" s="209">
        <v>0.95</v>
      </c>
      <c r="G778" s="210"/>
    </row>
    <row r="779">
      <c r="A779" s="182" t="s">
        <v>296</v>
      </c>
      <c r="B779" s="182" t="s">
        <v>185</v>
      </c>
      <c r="C779" s="182" t="s">
        <v>617</v>
      </c>
      <c r="D779" s="182">
        <v>3.0</v>
      </c>
      <c r="E779" s="182">
        <v>630.0</v>
      </c>
      <c r="F779" s="209">
        <v>0.48</v>
      </c>
      <c r="G779" s="210"/>
    </row>
    <row r="780">
      <c r="A780" s="182" t="s">
        <v>296</v>
      </c>
      <c r="B780" s="182" t="s">
        <v>185</v>
      </c>
      <c r="C780" s="182" t="s">
        <v>623</v>
      </c>
      <c r="D780" s="182">
        <v>1.0</v>
      </c>
      <c r="E780" s="182">
        <v>630.0</v>
      </c>
      <c r="F780" s="209">
        <v>0.16</v>
      </c>
      <c r="G780" s="210"/>
    </row>
    <row r="781">
      <c r="A781" s="182" t="s">
        <v>296</v>
      </c>
      <c r="B781" s="182" t="s">
        <v>185</v>
      </c>
      <c r="C781" s="182" t="s">
        <v>622</v>
      </c>
      <c r="D781" s="182">
        <v>1.0</v>
      </c>
      <c r="E781" s="182">
        <v>630.0</v>
      </c>
      <c r="F781" s="209">
        <v>0.16</v>
      </c>
      <c r="G781" s="210"/>
    </row>
    <row r="782">
      <c r="A782" s="182" t="s">
        <v>296</v>
      </c>
      <c r="B782" s="182" t="s">
        <v>185</v>
      </c>
      <c r="C782" s="182" t="s">
        <v>621</v>
      </c>
      <c r="D782" s="182">
        <v>1.0</v>
      </c>
      <c r="E782" s="182">
        <v>630.0</v>
      </c>
      <c r="F782" s="209">
        <v>0.16</v>
      </c>
      <c r="G782" s="210"/>
    </row>
    <row r="783">
      <c r="A783" s="182" t="s">
        <v>300</v>
      </c>
      <c r="B783" s="182" t="s">
        <v>192</v>
      </c>
      <c r="C783" s="182" t="s">
        <v>606</v>
      </c>
      <c r="D783" s="182">
        <v>188.0</v>
      </c>
      <c r="E783" s="182">
        <v>303.0</v>
      </c>
      <c r="F783" s="209">
        <v>62.05</v>
      </c>
      <c r="G783" s="210"/>
    </row>
    <row r="784">
      <c r="A784" s="182" t="s">
        <v>300</v>
      </c>
      <c r="B784" s="182" t="s">
        <v>192</v>
      </c>
      <c r="C784" s="182" t="s">
        <v>609</v>
      </c>
      <c r="D784" s="182">
        <v>45.0</v>
      </c>
      <c r="E784" s="182">
        <v>303.0</v>
      </c>
      <c r="F784" s="209">
        <v>14.85</v>
      </c>
      <c r="G784" s="210"/>
    </row>
    <row r="785">
      <c r="A785" s="182" t="s">
        <v>300</v>
      </c>
      <c r="B785" s="182" t="s">
        <v>192</v>
      </c>
      <c r="C785" s="182" t="s">
        <v>611</v>
      </c>
      <c r="D785" s="182">
        <v>39.0</v>
      </c>
      <c r="E785" s="182">
        <v>303.0</v>
      </c>
      <c r="F785" s="209">
        <v>12.87</v>
      </c>
      <c r="G785" s="210"/>
    </row>
    <row r="786">
      <c r="A786" s="182" t="s">
        <v>300</v>
      </c>
      <c r="B786" s="182" t="s">
        <v>192</v>
      </c>
      <c r="C786" s="182" t="s">
        <v>612</v>
      </c>
      <c r="D786" s="182">
        <v>15.0</v>
      </c>
      <c r="E786" s="182">
        <v>303.0</v>
      </c>
      <c r="F786" s="209">
        <v>4.95</v>
      </c>
      <c r="G786" s="210"/>
    </row>
    <row r="787">
      <c r="A787" s="182" t="s">
        <v>300</v>
      </c>
      <c r="B787" s="182" t="s">
        <v>192</v>
      </c>
      <c r="C787" s="182" t="s">
        <v>608</v>
      </c>
      <c r="D787" s="182">
        <v>5.0</v>
      </c>
      <c r="E787" s="182">
        <v>303.0</v>
      </c>
      <c r="F787" s="209">
        <v>1.65</v>
      </c>
      <c r="G787" s="210"/>
    </row>
    <row r="788">
      <c r="A788" s="182" t="s">
        <v>300</v>
      </c>
      <c r="B788" s="182" t="s">
        <v>192</v>
      </c>
      <c r="C788" s="182" t="s">
        <v>607</v>
      </c>
      <c r="D788" s="182">
        <v>5.0</v>
      </c>
      <c r="E788" s="182">
        <v>303.0</v>
      </c>
      <c r="F788" s="209">
        <v>1.65</v>
      </c>
      <c r="G788" s="210"/>
    </row>
    <row r="789">
      <c r="A789" s="182" t="s">
        <v>300</v>
      </c>
      <c r="B789" s="182" t="s">
        <v>192</v>
      </c>
      <c r="C789" s="182" t="s">
        <v>619</v>
      </c>
      <c r="D789" s="182">
        <v>3.0</v>
      </c>
      <c r="E789" s="182">
        <v>303.0</v>
      </c>
      <c r="F789" s="209">
        <v>0.99</v>
      </c>
      <c r="G789" s="210"/>
    </row>
    <row r="790">
      <c r="A790" s="182" t="s">
        <v>300</v>
      </c>
      <c r="B790" s="182" t="s">
        <v>192</v>
      </c>
      <c r="C790" s="182" t="s">
        <v>610</v>
      </c>
      <c r="D790" s="182">
        <v>1.0</v>
      </c>
      <c r="E790" s="182">
        <v>303.0</v>
      </c>
      <c r="F790" s="209">
        <v>0.33</v>
      </c>
      <c r="G790" s="210"/>
    </row>
    <row r="791">
      <c r="A791" s="182" t="s">
        <v>300</v>
      </c>
      <c r="B791" s="182" t="s">
        <v>192</v>
      </c>
      <c r="C791" s="182" t="s">
        <v>618</v>
      </c>
      <c r="D791" s="182">
        <v>1.0</v>
      </c>
      <c r="E791" s="182">
        <v>303.0</v>
      </c>
      <c r="F791" s="209">
        <v>0.33</v>
      </c>
      <c r="G791" s="210"/>
    </row>
    <row r="792">
      <c r="A792" s="182" t="s">
        <v>286</v>
      </c>
      <c r="B792" s="182" t="s">
        <v>185</v>
      </c>
      <c r="C792" s="182" t="s">
        <v>606</v>
      </c>
      <c r="D792" s="182">
        <v>288.0</v>
      </c>
      <c r="E792" s="182">
        <v>698.0</v>
      </c>
      <c r="F792" s="209">
        <v>41.26</v>
      </c>
      <c r="G792" s="210"/>
    </row>
    <row r="793">
      <c r="A793" s="182" t="s">
        <v>286</v>
      </c>
      <c r="B793" s="182" t="s">
        <v>185</v>
      </c>
      <c r="C793" s="182" t="s">
        <v>610</v>
      </c>
      <c r="D793" s="182">
        <v>163.0</v>
      </c>
      <c r="E793" s="182">
        <v>698.0</v>
      </c>
      <c r="F793" s="209">
        <v>23.35</v>
      </c>
      <c r="G793" s="210"/>
    </row>
    <row r="794">
      <c r="A794" s="182" t="s">
        <v>286</v>
      </c>
      <c r="B794" s="182" t="s">
        <v>185</v>
      </c>
      <c r="C794" s="182" t="s">
        <v>609</v>
      </c>
      <c r="D794" s="182">
        <v>97.0</v>
      </c>
      <c r="E794" s="182">
        <v>698.0</v>
      </c>
      <c r="F794" s="209">
        <v>13.9</v>
      </c>
      <c r="G794" s="210"/>
    </row>
    <row r="795">
      <c r="A795" s="182" t="s">
        <v>286</v>
      </c>
      <c r="B795" s="182" t="s">
        <v>185</v>
      </c>
      <c r="C795" s="182" t="s">
        <v>611</v>
      </c>
      <c r="D795" s="182">
        <v>61.0</v>
      </c>
      <c r="E795" s="182">
        <v>698.0</v>
      </c>
      <c r="F795" s="209">
        <v>8.74</v>
      </c>
      <c r="G795" s="210"/>
    </row>
    <row r="796">
      <c r="A796" s="182" t="s">
        <v>286</v>
      </c>
      <c r="B796" s="182" t="s">
        <v>185</v>
      </c>
      <c r="C796" s="182" t="s">
        <v>608</v>
      </c>
      <c r="D796" s="182">
        <v>26.0</v>
      </c>
      <c r="E796" s="182">
        <v>698.0</v>
      </c>
      <c r="F796" s="209">
        <v>3.72</v>
      </c>
      <c r="G796" s="210"/>
    </row>
    <row r="797">
      <c r="A797" s="182" t="s">
        <v>286</v>
      </c>
      <c r="B797" s="182" t="s">
        <v>185</v>
      </c>
      <c r="C797" s="182" t="s">
        <v>612</v>
      </c>
      <c r="D797" s="182">
        <v>20.0</v>
      </c>
      <c r="E797" s="182">
        <v>698.0</v>
      </c>
      <c r="F797" s="209">
        <v>2.87</v>
      </c>
      <c r="G797" s="210"/>
    </row>
    <row r="798">
      <c r="A798" s="182" t="s">
        <v>286</v>
      </c>
      <c r="B798" s="182" t="s">
        <v>185</v>
      </c>
      <c r="C798" s="182" t="s">
        <v>614</v>
      </c>
      <c r="D798" s="182">
        <v>11.0</v>
      </c>
      <c r="E798" s="182">
        <v>698.0</v>
      </c>
      <c r="F798" s="209">
        <v>1.58</v>
      </c>
      <c r="G798" s="210"/>
    </row>
    <row r="799">
      <c r="A799" s="182" t="s">
        <v>286</v>
      </c>
      <c r="B799" s="182" t="s">
        <v>185</v>
      </c>
      <c r="C799" s="182" t="s">
        <v>619</v>
      </c>
      <c r="D799" s="182">
        <v>9.0</v>
      </c>
      <c r="E799" s="182">
        <v>698.0</v>
      </c>
      <c r="F799" s="209">
        <v>1.29</v>
      </c>
      <c r="G799" s="210"/>
    </row>
    <row r="800">
      <c r="A800" s="182" t="s">
        <v>286</v>
      </c>
      <c r="B800" s="182" t="s">
        <v>185</v>
      </c>
      <c r="C800" s="182" t="s">
        <v>622</v>
      </c>
      <c r="D800" s="182">
        <v>8.0</v>
      </c>
      <c r="E800" s="182">
        <v>698.0</v>
      </c>
      <c r="F800" s="209">
        <v>1.15</v>
      </c>
      <c r="G800" s="210"/>
    </row>
    <row r="801">
      <c r="A801" s="182" t="s">
        <v>286</v>
      </c>
      <c r="B801" s="182" t="s">
        <v>185</v>
      </c>
      <c r="C801" s="182" t="s">
        <v>607</v>
      </c>
      <c r="D801" s="182">
        <v>7.0</v>
      </c>
      <c r="E801" s="182">
        <v>698.0</v>
      </c>
      <c r="F801" s="209">
        <v>1.0</v>
      </c>
      <c r="G801" s="210"/>
    </row>
    <row r="802">
      <c r="A802" s="182" t="s">
        <v>286</v>
      </c>
      <c r="B802" s="182" t="s">
        <v>185</v>
      </c>
      <c r="C802" s="182" t="s">
        <v>616</v>
      </c>
      <c r="D802" s="182">
        <v>6.0</v>
      </c>
      <c r="E802" s="182">
        <v>698.0</v>
      </c>
      <c r="F802" s="209">
        <v>0.86</v>
      </c>
      <c r="G802" s="210"/>
    </row>
    <row r="803">
      <c r="A803" s="182" t="s">
        <v>286</v>
      </c>
      <c r="B803" s="182" t="s">
        <v>185</v>
      </c>
      <c r="C803" s="182" t="s">
        <v>618</v>
      </c>
      <c r="D803" s="182">
        <v>1.0</v>
      </c>
      <c r="E803" s="182">
        <v>698.0</v>
      </c>
      <c r="F803" s="209">
        <v>0.14</v>
      </c>
      <c r="G803" s="210"/>
    </row>
    <row r="804">
      <c r="A804" s="182" t="s">
        <v>272</v>
      </c>
      <c r="B804" s="182" t="s">
        <v>185</v>
      </c>
      <c r="C804" s="182" t="s">
        <v>606</v>
      </c>
      <c r="D804" s="182">
        <v>180.0</v>
      </c>
      <c r="E804" s="182">
        <v>418.0</v>
      </c>
      <c r="F804" s="209">
        <v>43.06</v>
      </c>
      <c r="G804" s="210"/>
    </row>
    <row r="805">
      <c r="A805" s="182" t="s">
        <v>272</v>
      </c>
      <c r="B805" s="182" t="s">
        <v>185</v>
      </c>
      <c r="C805" s="182" t="s">
        <v>609</v>
      </c>
      <c r="D805" s="182">
        <v>69.0</v>
      </c>
      <c r="E805" s="182">
        <v>418.0</v>
      </c>
      <c r="F805" s="209">
        <v>16.51</v>
      </c>
      <c r="G805" s="210"/>
    </row>
    <row r="806">
      <c r="A806" s="182" t="s">
        <v>272</v>
      </c>
      <c r="B806" s="182" t="s">
        <v>185</v>
      </c>
      <c r="C806" s="182" t="s">
        <v>610</v>
      </c>
      <c r="D806" s="182">
        <v>64.0</v>
      </c>
      <c r="E806" s="182">
        <v>418.0</v>
      </c>
      <c r="F806" s="209">
        <v>15.31</v>
      </c>
      <c r="G806" s="210"/>
    </row>
    <row r="807">
      <c r="A807" s="182" t="s">
        <v>272</v>
      </c>
      <c r="B807" s="182" t="s">
        <v>185</v>
      </c>
      <c r="C807" s="182" t="s">
        <v>611</v>
      </c>
      <c r="D807" s="182">
        <v>33.0</v>
      </c>
      <c r="E807" s="182">
        <v>418.0</v>
      </c>
      <c r="F807" s="209">
        <v>7.89</v>
      </c>
      <c r="G807" s="210"/>
    </row>
    <row r="808">
      <c r="A808" s="182" t="s">
        <v>272</v>
      </c>
      <c r="B808" s="182" t="s">
        <v>185</v>
      </c>
      <c r="C808" s="182" t="s">
        <v>608</v>
      </c>
      <c r="D808" s="182">
        <v>26.0</v>
      </c>
      <c r="E808" s="182">
        <v>418.0</v>
      </c>
      <c r="F808" s="209">
        <v>6.22</v>
      </c>
      <c r="G808" s="210"/>
    </row>
    <row r="809">
      <c r="A809" s="182" t="s">
        <v>272</v>
      </c>
      <c r="B809" s="182" t="s">
        <v>185</v>
      </c>
      <c r="C809" s="182" t="s">
        <v>612</v>
      </c>
      <c r="D809" s="182">
        <v>20.0</v>
      </c>
      <c r="E809" s="182">
        <v>418.0</v>
      </c>
      <c r="F809" s="209">
        <v>4.78</v>
      </c>
      <c r="G809" s="210"/>
    </row>
    <row r="810">
      <c r="A810" s="182" t="s">
        <v>272</v>
      </c>
      <c r="B810" s="182" t="s">
        <v>185</v>
      </c>
      <c r="C810" s="182" t="s">
        <v>607</v>
      </c>
      <c r="D810" s="182">
        <v>10.0</v>
      </c>
      <c r="E810" s="182">
        <v>418.0</v>
      </c>
      <c r="F810" s="209">
        <v>2.39</v>
      </c>
      <c r="G810" s="210"/>
    </row>
    <row r="811">
      <c r="A811" s="182" t="s">
        <v>272</v>
      </c>
      <c r="B811" s="182" t="s">
        <v>185</v>
      </c>
      <c r="C811" s="182" t="s">
        <v>620</v>
      </c>
      <c r="D811" s="182">
        <v>5.0</v>
      </c>
      <c r="E811" s="182">
        <v>418.0</v>
      </c>
      <c r="F811" s="209">
        <v>1.2</v>
      </c>
      <c r="G811" s="210"/>
    </row>
    <row r="812">
      <c r="A812" s="182" t="s">
        <v>272</v>
      </c>
      <c r="B812" s="182" t="s">
        <v>185</v>
      </c>
      <c r="C812" s="182" t="s">
        <v>623</v>
      </c>
      <c r="D812" s="182">
        <v>2.0</v>
      </c>
      <c r="E812" s="182">
        <v>418.0</v>
      </c>
      <c r="F812" s="209">
        <v>0.48</v>
      </c>
      <c r="G812" s="210"/>
    </row>
    <row r="813">
      <c r="A813" s="182" t="s">
        <v>272</v>
      </c>
      <c r="B813" s="182" t="s">
        <v>185</v>
      </c>
      <c r="C813" s="182" t="s">
        <v>615</v>
      </c>
      <c r="D813" s="182">
        <v>2.0</v>
      </c>
      <c r="E813" s="182">
        <v>418.0</v>
      </c>
      <c r="F813" s="209">
        <v>0.48</v>
      </c>
      <c r="G813" s="210"/>
    </row>
    <row r="814">
      <c r="A814" s="182" t="s">
        <v>272</v>
      </c>
      <c r="B814" s="182" t="s">
        <v>185</v>
      </c>
      <c r="C814" s="182" t="s">
        <v>617</v>
      </c>
      <c r="D814" s="182">
        <v>2.0</v>
      </c>
      <c r="E814" s="182">
        <v>418.0</v>
      </c>
      <c r="F814" s="209">
        <v>0.48</v>
      </c>
      <c r="G814" s="210"/>
    </row>
    <row r="815">
      <c r="A815" s="182" t="s">
        <v>272</v>
      </c>
      <c r="B815" s="182" t="s">
        <v>185</v>
      </c>
      <c r="C815" s="182" t="s">
        <v>622</v>
      </c>
      <c r="D815" s="182">
        <v>2.0</v>
      </c>
      <c r="E815" s="182">
        <v>418.0</v>
      </c>
      <c r="F815" s="209">
        <v>0.48</v>
      </c>
      <c r="G815" s="210"/>
    </row>
    <row r="816">
      <c r="A816" s="182" t="s">
        <v>272</v>
      </c>
      <c r="B816" s="182" t="s">
        <v>185</v>
      </c>
      <c r="C816" s="182" t="s">
        <v>619</v>
      </c>
      <c r="D816" s="182">
        <v>2.0</v>
      </c>
      <c r="E816" s="182">
        <v>418.0</v>
      </c>
      <c r="F816" s="209">
        <v>0.48</v>
      </c>
      <c r="G816" s="210"/>
    </row>
    <row r="817">
      <c r="A817" s="182" t="s">
        <v>272</v>
      </c>
      <c r="B817" s="182" t="s">
        <v>185</v>
      </c>
      <c r="C817" s="182" t="s">
        <v>618</v>
      </c>
      <c r="D817" s="182">
        <v>1.0</v>
      </c>
      <c r="E817" s="182">
        <v>418.0</v>
      </c>
      <c r="F817" s="209">
        <v>0.24</v>
      </c>
      <c r="G817" s="210"/>
    </row>
    <row r="818">
      <c r="A818" s="182" t="s">
        <v>276</v>
      </c>
      <c r="B818" s="182" t="s">
        <v>185</v>
      </c>
      <c r="C818" s="182" t="s">
        <v>606</v>
      </c>
      <c r="D818" s="182">
        <v>283.0</v>
      </c>
      <c r="E818" s="182">
        <v>721.0</v>
      </c>
      <c r="F818" s="209">
        <v>39.25</v>
      </c>
      <c r="G818" s="210"/>
    </row>
    <row r="819">
      <c r="A819" s="182" t="s">
        <v>276</v>
      </c>
      <c r="B819" s="182" t="s">
        <v>185</v>
      </c>
      <c r="C819" s="182" t="s">
        <v>610</v>
      </c>
      <c r="D819" s="182">
        <v>161.0</v>
      </c>
      <c r="E819" s="182">
        <v>721.0</v>
      </c>
      <c r="F819" s="209">
        <v>22.33</v>
      </c>
      <c r="G819" s="210"/>
    </row>
    <row r="820">
      <c r="A820" s="182" t="s">
        <v>276</v>
      </c>
      <c r="B820" s="182" t="s">
        <v>185</v>
      </c>
      <c r="C820" s="182" t="s">
        <v>611</v>
      </c>
      <c r="D820" s="182">
        <v>66.0</v>
      </c>
      <c r="E820" s="182">
        <v>721.0</v>
      </c>
      <c r="F820" s="209">
        <v>9.15</v>
      </c>
      <c r="G820" s="210"/>
    </row>
    <row r="821">
      <c r="A821" s="182" t="s">
        <v>276</v>
      </c>
      <c r="B821" s="182" t="s">
        <v>185</v>
      </c>
      <c r="C821" s="182" t="s">
        <v>608</v>
      </c>
      <c r="D821" s="182">
        <v>56.0</v>
      </c>
      <c r="E821" s="182">
        <v>721.0</v>
      </c>
      <c r="F821" s="209">
        <v>7.77</v>
      </c>
      <c r="G821" s="210"/>
    </row>
    <row r="822">
      <c r="A822" s="182" t="s">
        <v>276</v>
      </c>
      <c r="B822" s="182" t="s">
        <v>185</v>
      </c>
      <c r="C822" s="182" t="s">
        <v>609</v>
      </c>
      <c r="D822" s="182">
        <v>55.0</v>
      </c>
      <c r="E822" s="182">
        <v>721.0</v>
      </c>
      <c r="F822" s="209">
        <v>7.63</v>
      </c>
      <c r="G822" s="210"/>
    </row>
    <row r="823">
      <c r="A823" s="182" t="s">
        <v>276</v>
      </c>
      <c r="B823" s="182" t="s">
        <v>185</v>
      </c>
      <c r="C823" s="182" t="s">
        <v>607</v>
      </c>
      <c r="D823" s="182">
        <v>35.0</v>
      </c>
      <c r="E823" s="182">
        <v>721.0</v>
      </c>
      <c r="F823" s="209">
        <v>4.85</v>
      </c>
      <c r="G823" s="210"/>
    </row>
    <row r="824">
      <c r="A824" s="182" t="s">
        <v>276</v>
      </c>
      <c r="B824" s="182" t="s">
        <v>185</v>
      </c>
      <c r="C824" s="182" t="s">
        <v>619</v>
      </c>
      <c r="D824" s="182">
        <v>26.0</v>
      </c>
      <c r="E824" s="182">
        <v>721.0</v>
      </c>
      <c r="F824" s="209">
        <v>3.61</v>
      </c>
      <c r="G824" s="210"/>
    </row>
    <row r="825">
      <c r="A825" s="182" t="s">
        <v>276</v>
      </c>
      <c r="B825" s="182" t="s">
        <v>185</v>
      </c>
      <c r="C825" s="182" t="s">
        <v>618</v>
      </c>
      <c r="D825" s="182">
        <v>20.0</v>
      </c>
      <c r="E825" s="182">
        <v>721.0</v>
      </c>
      <c r="F825" s="209">
        <v>2.77</v>
      </c>
      <c r="G825" s="210"/>
    </row>
    <row r="826">
      <c r="A826" s="182" t="s">
        <v>276</v>
      </c>
      <c r="B826" s="182" t="s">
        <v>185</v>
      </c>
      <c r="C826" s="182" t="s">
        <v>612</v>
      </c>
      <c r="D826" s="182">
        <v>12.0</v>
      </c>
      <c r="E826" s="182">
        <v>721.0</v>
      </c>
      <c r="F826" s="209">
        <v>1.66</v>
      </c>
      <c r="G826" s="210"/>
    </row>
    <row r="827">
      <c r="A827" s="182" t="s">
        <v>276</v>
      </c>
      <c r="B827" s="182" t="s">
        <v>185</v>
      </c>
      <c r="C827" s="182" t="s">
        <v>615</v>
      </c>
      <c r="D827" s="182">
        <v>2.0</v>
      </c>
      <c r="E827" s="182">
        <v>721.0</v>
      </c>
      <c r="F827" s="209">
        <v>0.28</v>
      </c>
      <c r="G827" s="210"/>
    </row>
    <row r="828">
      <c r="A828" s="182" t="s">
        <v>276</v>
      </c>
      <c r="B828" s="182" t="s">
        <v>185</v>
      </c>
      <c r="C828" s="182" t="s">
        <v>621</v>
      </c>
      <c r="D828" s="182">
        <v>2.0</v>
      </c>
      <c r="E828" s="182">
        <v>721.0</v>
      </c>
      <c r="F828" s="209">
        <v>0.28</v>
      </c>
      <c r="G828" s="210"/>
    </row>
    <row r="829">
      <c r="A829" s="182" t="s">
        <v>276</v>
      </c>
      <c r="B829" s="182" t="s">
        <v>185</v>
      </c>
      <c r="C829" s="182" t="s">
        <v>613</v>
      </c>
      <c r="D829" s="182">
        <v>1.0</v>
      </c>
      <c r="E829" s="182">
        <v>721.0</v>
      </c>
      <c r="F829" s="209">
        <v>0.14</v>
      </c>
      <c r="G829" s="210"/>
    </row>
    <row r="830">
      <c r="A830" s="182" t="s">
        <v>276</v>
      </c>
      <c r="B830" s="182" t="s">
        <v>185</v>
      </c>
      <c r="C830" s="182" t="s">
        <v>617</v>
      </c>
      <c r="D830" s="182">
        <v>1.0</v>
      </c>
      <c r="E830" s="182">
        <v>721.0</v>
      </c>
      <c r="F830" s="209">
        <v>0.14</v>
      </c>
      <c r="G830" s="210"/>
    </row>
    <row r="831">
      <c r="A831" s="182" t="s">
        <v>244</v>
      </c>
      <c r="B831" s="182" t="s">
        <v>184</v>
      </c>
      <c r="C831" s="182" t="s">
        <v>606</v>
      </c>
      <c r="D831" s="182">
        <v>350.0</v>
      </c>
      <c r="E831" s="182">
        <v>724.0</v>
      </c>
      <c r="F831" s="209">
        <v>48.34</v>
      </c>
      <c r="G831" s="210"/>
    </row>
    <row r="832">
      <c r="A832" s="182" t="s">
        <v>244</v>
      </c>
      <c r="B832" s="182" t="s">
        <v>184</v>
      </c>
      <c r="C832" s="182" t="s">
        <v>622</v>
      </c>
      <c r="D832" s="182">
        <v>128.0</v>
      </c>
      <c r="E832" s="182">
        <v>724.0</v>
      </c>
      <c r="F832" s="209">
        <v>17.68</v>
      </c>
      <c r="G832" s="210"/>
    </row>
    <row r="833">
      <c r="A833" s="182" t="s">
        <v>244</v>
      </c>
      <c r="B833" s="182" t="s">
        <v>184</v>
      </c>
      <c r="C833" s="182" t="s">
        <v>616</v>
      </c>
      <c r="D833" s="182">
        <v>61.0</v>
      </c>
      <c r="E833" s="182">
        <v>724.0</v>
      </c>
      <c r="F833" s="209">
        <v>8.43</v>
      </c>
      <c r="G833" s="210"/>
    </row>
    <row r="834">
      <c r="A834" s="182" t="s">
        <v>244</v>
      </c>
      <c r="B834" s="182" t="s">
        <v>184</v>
      </c>
      <c r="C834" s="182" t="s">
        <v>611</v>
      </c>
      <c r="D834" s="182">
        <v>55.0</v>
      </c>
      <c r="E834" s="182">
        <v>724.0</v>
      </c>
      <c r="F834" s="209">
        <v>7.6</v>
      </c>
      <c r="G834" s="210"/>
    </row>
    <row r="835">
      <c r="A835" s="182" t="s">
        <v>244</v>
      </c>
      <c r="B835" s="182" t="s">
        <v>184</v>
      </c>
      <c r="C835" s="182" t="s">
        <v>609</v>
      </c>
      <c r="D835" s="182">
        <v>34.0</v>
      </c>
      <c r="E835" s="182">
        <v>724.0</v>
      </c>
      <c r="F835" s="209">
        <v>4.7</v>
      </c>
      <c r="G835" s="210"/>
    </row>
    <row r="836">
      <c r="A836" s="182" t="s">
        <v>244</v>
      </c>
      <c r="B836" s="182" t="s">
        <v>184</v>
      </c>
      <c r="C836" s="182" t="s">
        <v>607</v>
      </c>
      <c r="D836" s="182">
        <v>25.0</v>
      </c>
      <c r="E836" s="182">
        <v>724.0</v>
      </c>
      <c r="F836" s="209">
        <v>3.45</v>
      </c>
      <c r="G836" s="210"/>
    </row>
    <row r="837">
      <c r="A837" s="182" t="s">
        <v>244</v>
      </c>
      <c r="B837" s="182" t="s">
        <v>184</v>
      </c>
      <c r="C837" s="182" t="s">
        <v>610</v>
      </c>
      <c r="D837" s="182">
        <v>19.0</v>
      </c>
      <c r="E837" s="182">
        <v>724.0</v>
      </c>
      <c r="F837" s="209">
        <v>2.62</v>
      </c>
      <c r="G837" s="210"/>
    </row>
    <row r="838">
      <c r="A838" s="182" t="s">
        <v>244</v>
      </c>
      <c r="B838" s="182" t="s">
        <v>184</v>
      </c>
      <c r="C838" s="182" t="s">
        <v>618</v>
      </c>
      <c r="D838" s="182">
        <v>19.0</v>
      </c>
      <c r="E838" s="182">
        <v>724.0</v>
      </c>
      <c r="F838" s="209">
        <v>2.62</v>
      </c>
      <c r="G838" s="210"/>
    </row>
    <row r="839">
      <c r="A839" s="182" t="s">
        <v>244</v>
      </c>
      <c r="B839" s="182" t="s">
        <v>184</v>
      </c>
      <c r="C839" s="182" t="s">
        <v>617</v>
      </c>
      <c r="D839" s="182">
        <v>11.0</v>
      </c>
      <c r="E839" s="182">
        <v>724.0</v>
      </c>
      <c r="F839" s="209">
        <v>1.52</v>
      </c>
      <c r="G839" s="210"/>
    </row>
    <row r="840">
      <c r="A840" s="182" t="s">
        <v>244</v>
      </c>
      <c r="B840" s="182" t="s">
        <v>184</v>
      </c>
      <c r="C840" s="182" t="s">
        <v>621</v>
      </c>
      <c r="D840" s="182">
        <v>8.0</v>
      </c>
      <c r="E840" s="182">
        <v>724.0</v>
      </c>
      <c r="F840" s="209">
        <v>1.1</v>
      </c>
      <c r="G840" s="210"/>
    </row>
    <row r="841">
      <c r="A841" s="182" t="s">
        <v>244</v>
      </c>
      <c r="B841" s="182" t="s">
        <v>184</v>
      </c>
      <c r="C841" s="182" t="s">
        <v>608</v>
      </c>
      <c r="D841" s="182">
        <v>5.0</v>
      </c>
      <c r="E841" s="182">
        <v>724.0</v>
      </c>
      <c r="F841" s="209">
        <v>0.69</v>
      </c>
      <c r="G841" s="210"/>
    </row>
    <row r="842">
      <c r="A842" s="182" t="s">
        <v>244</v>
      </c>
      <c r="B842" s="182" t="s">
        <v>184</v>
      </c>
      <c r="C842" s="182" t="s">
        <v>613</v>
      </c>
      <c r="D842" s="182">
        <v>2.0</v>
      </c>
      <c r="E842" s="182">
        <v>724.0</v>
      </c>
      <c r="F842" s="209">
        <v>0.28</v>
      </c>
      <c r="G842" s="210"/>
    </row>
    <row r="843">
      <c r="A843" s="182" t="s">
        <v>244</v>
      </c>
      <c r="B843" s="182" t="s">
        <v>184</v>
      </c>
      <c r="C843" s="182" t="s">
        <v>615</v>
      </c>
      <c r="D843" s="182">
        <v>1.0</v>
      </c>
      <c r="E843" s="182">
        <v>724.0</v>
      </c>
      <c r="F843" s="209">
        <v>0.14</v>
      </c>
      <c r="G843" s="210"/>
    </row>
    <row r="844">
      <c r="A844" s="182" t="s">
        <v>244</v>
      </c>
      <c r="B844" s="182" t="s">
        <v>184</v>
      </c>
      <c r="C844" s="182" t="s">
        <v>612</v>
      </c>
      <c r="D844" s="182">
        <v>1.0</v>
      </c>
      <c r="E844" s="182">
        <v>724.0</v>
      </c>
      <c r="F844" s="209">
        <v>0.14</v>
      </c>
      <c r="G844" s="210"/>
    </row>
    <row r="845">
      <c r="A845" s="182" t="s">
        <v>302</v>
      </c>
      <c r="B845" s="182" t="s">
        <v>184</v>
      </c>
      <c r="C845" s="182" t="s">
        <v>610</v>
      </c>
      <c r="D845" s="182">
        <v>321.0</v>
      </c>
      <c r="E845" s="182">
        <v>481.0</v>
      </c>
      <c r="F845" s="209">
        <v>66.74</v>
      </c>
      <c r="G845" s="210"/>
    </row>
    <row r="846">
      <c r="A846" s="182" t="s">
        <v>302</v>
      </c>
      <c r="B846" s="182" t="s">
        <v>184</v>
      </c>
      <c r="C846" s="182" t="s">
        <v>618</v>
      </c>
      <c r="D846" s="182">
        <v>62.0</v>
      </c>
      <c r="E846" s="182">
        <v>481.0</v>
      </c>
      <c r="F846" s="209">
        <v>12.89</v>
      </c>
      <c r="G846" s="210"/>
    </row>
    <row r="847">
      <c r="A847" s="182" t="s">
        <v>302</v>
      </c>
      <c r="B847" s="182" t="s">
        <v>184</v>
      </c>
      <c r="C847" s="182" t="s">
        <v>607</v>
      </c>
      <c r="D847" s="182">
        <v>51.0</v>
      </c>
      <c r="E847" s="182">
        <v>481.0</v>
      </c>
      <c r="F847" s="209">
        <v>10.6</v>
      </c>
      <c r="G847" s="210"/>
    </row>
    <row r="848">
      <c r="A848" s="182" t="s">
        <v>302</v>
      </c>
      <c r="B848" s="182" t="s">
        <v>184</v>
      </c>
      <c r="C848" s="182" t="s">
        <v>611</v>
      </c>
      <c r="D848" s="182">
        <v>20.0</v>
      </c>
      <c r="E848" s="182">
        <v>481.0</v>
      </c>
      <c r="F848" s="209">
        <v>4.16</v>
      </c>
      <c r="G848" s="210"/>
    </row>
    <row r="849">
      <c r="A849" s="182" t="s">
        <v>302</v>
      </c>
      <c r="B849" s="182" t="s">
        <v>184</v>
      </c>
      <c r="C849" s="182" t="s">
        <v>608</v>
      </c>
      <c r="D849" s="182">
        <v>7.0</v>
      </c>
      <c r="E849" s="182">
        <v>481.0</v>
      </c>
      <c r="F849" s="209">
        <v>1.46</v>
      </c>
      <c r="G849" s="210"/>
    </row>
    <row r="850">
      <c r="A850" s="182" t="s">
        <v>302</v>
      </c>
      <c r="B850" s="182" t="s">
        <v>184</v>
      </c>
      <c r="C850" s="182" t="s">
        <v>609</v>
      </c>
      <c r="D850" s="182">
        <v>6.0</v>
      </c>
      <c r="E850" s="182">
        <v>481.0</v>
      </c>
      <c r="F850" s="209">
        <v>1.25</v>
      </c>
      <c r="G850" s="210"/>
    </row>
    <row r="851">
      <c r="A851" s="182" t="s">
        <v>302</v>
      </c>
      <c r="B851" s="182" t="s">
        <v>184</v>
      </c>
      <c r="C851" s="182" t="s">
        <v>612</v>
      </c>
      <c r="D851" s="182">
        <v>3.0</v>
      </c>
      <c r="E851" s="182">
        <v>481.0</v>
      </c>
      <c r="F851" s="209">
        <v>0.62</v>
      </c>
      <c r="G851" s="210"/>
    </row>
    <row r="852">
      <c r="A852" s="182" t="s">
        <v>302</v>
      </c>
      <c r="B852" s="182" t="s">
        <v>184</v>
      </c>
      <c r="C852" s="182" t="s">
        <v>619</v>
      </c>
      <c r="D852" s="182">
        <v>3.0</v>
      </c>
      <c r="E852" s="182">
        <v>481.0</v>
      </c>
      <c r="F852" s="209">
        <v>0.62</v>
      </c>
      <c r="G852" s="210"/>
    </row>
    <row r="853">
      <c r="A853" s="182" t="s">
        <v>302</v>
      </c>
      <c r="B853" s="182" t="s">
        <v>184</v>
      </c>
      <c r="C853" s="182" t="s">
        <v>606</v>
      </c>
      <c r="D853" s="182">
        <v>3.0</v>
      </c>
      <c r="E853" s="182">
        <v>481.0</v>
      </c>
      <c r="F853" s="209">
        <v>0.62</v>
      </c>
      <c r="G853" s="210"/>
    </row>
    <row r="854">
      <c r="A854" s="182" t="s">
        <v>259</v>
      </c>
      <c r="B854" s="182" t="s">
        <v>184</v>
      </c>
      <c r="C854" s="182" t="s">
        <v>606</v>
      </c>
      <c r="D854" s="182">
        <v>343.0</v>
      </c>
      <c r="E854" s="182">
        <v>724.0</v>
      </c>
      <c r="F854" s="209">
        <v>47.38</v>
      </c>
      <c r="G854" s="210"/>
    </row>
    <row r="855">
      <c r="A855" s="182" t="s">
        <v>259</v>
      </c>
      <c r="B855" s="182" t="s">
        <v>184</v>
      </c>
      <c r="C855" s="182" t="s">
        <v>610</v>
      </c>
      <c r="D855" s="182">
        <v>82.0</v>
      </c>
      <c r="E855" s="182">
        <v>724.0</v>
      </c>
      <c r="F855" s="209">
        <v>11.33</v>
      </c>
      <c r="G855" s="210"/>
    </row>
    <row r="856">
      <c r="A856" s="182" t="s">
        <v>259</v>
      </c>
      <c r="B856" s="182" t="s">
        <v>184</v>
      </c>
      <c r="C856" s="182" t="s">
        <v>607</v>
      </c>
      <c r="D856" s="182">
        <v>67.0</v>
      </c>
      <c r="E856" s="182">
        <v>724.0</v>
      </c>
      <c r="F856" s="209">
        <v>9.25</v>
      </c>
      <c r="G856" s="210"/>
    </row>
    <row r="857">
      <c r="A857" s="182" t="s">
        <v>259</v>
      </c>
      <c r="B857" s="182" t="s">
        <v>184</v>
      </c>
      <c r="C857" s="182" t="s">
        <v>611</v>
      </c>
      <c r="D857" s="182">
        <v>60.0</v>
      </c>
      <c r="E857" s="182">
        <v>724.0</v>
      </c>
      <c r="F857" s="209">
        <v>8.29</v>
      </c>
      <c r="G857" s="210"/>
    </row>
    <row r="858">
      <c r="A858" s="182" t="s">
        <v>259</v>
      </c>
      <c r="B858" s="182" t="s">
        <v>184</v>
      </c>
      <c r="C858" s="182" t="s">
        <v>609</v>
      </c>
      <c r="D858" s="182">
        <v>58.0</v>
      </c>
      <c r="E858" s="182">
        <v>724.0</v>
      </c>
      <c r="F858" s="209">
        <v>8.01</v>
      </c>
      <c r="G858" s="210"/>
    </row>
    <row r="859">
      <c r="A859" s="182" t="s">
        <v>259</v>
      </c>
      <c r="B859" s="182" t="s">
        <v>184</v>
      </c>
      <c r="C859" s="182" t="s">
        <v>622</v>
      </c>
      <c r="D859" s="182">
        <v>39.0</v>
      </c>
      <c r="E859" s="182">
        <v>724.0</v>
      </c>
      <c r="F859" s="209">
        <v>5.39</v>
      </c>
      <c r="G859" s="210"/>
    </row>
    <row r="860">
      <c r="A860" s="182" t="s">
        <v>259</v>
      </c>
      <c r="B860" s="182" t="s">
        <v>184</v>
      </c>
      <c r="C860" s="182" t="s">
        <v>612</v>
      </c>
      <c r="D860" s="182">
        <v>18.0</v>
      </c>
      <c r="E860" s="182">
        <v>724.0</v>
      </c>
      <c r="F860" s="209">
        <v>2.49</v>
      </c>
      <c r="G860" s="210"/>
    </row>
    <row r="861">
      <c r="A861" s="182" t="s">
        <v>259</v>
      </c>
      <c r="B861" s="182" t="s">
        <v>184</v>
      </c>
      <c r="C861" s="182" t="s">
        <v>608</v>
      </c>
      <c r="D861" s="182">
        <v>16.0</v>
      </c>
      <c r="E861" s="182">
        <v>724.0</v>
      </c>
      <c r="F861" s="209">
        <v>2.21</v>
      </c>
      <c r="G861" s="210"/>
    </row>
    <row r="862">
      <c r="A862" s="182" t="s">
        <v>259</v>
      </c>
      <c r="B862" s="182" t="s">
        <v>184</v>
      </c>
      <c r="C862" s="182" t="s">
        <v>619</v>
      </c>
      <c r="D862" s="182">
        <v>14.0</v>
      </c>
      <c r="E862" s="182">
        <v>724.0</v>
      </c>
      <c r="F862" s="209">
        <v>1.93</v>
      </c>
      <c r="G862" s="210"/>
    </row>
    <row r="863">
      <c r="A863" s="182" t="s">
        <v>259</v>
      </c>
      <c r="B863" s="182" t="s">
        <v>184</v>
      </c>
      <c r="C863" s="182" t="s">
        <v>616</v>
      </c>
      <c r="D863" s="182">
        <v>13.0</v>
      </c>
      <c r="E863" s="182">
        <v>724.0</v>
      </c>
      <c r="F863" s="209">
        <v>1.8</v>
      </c>
      <c r="G863" s="210"/>
    </row>
    <row r="864">
      <c r="A864" s="182" t="s">
        <v>259</v>
      </c>
      <c r="B864" s="182" t="s">
        <v>184</v>
      </c>
      <c r="C864" s="182" t="s">
        <v>621</v>
      </c>
      <c r="D864" s="182">
        <v>4.0</v>
      </c>
      <c r="E864" s="182">
        <v>724.0</v>
      </c>
      <c r="F864" s="209">
        <v>0.55</v>
      </c>
      <c r="G864" s="210"/>
    </row>
    <row r="865">
      <c r="A865" s="182" t="s">
        <v>259</v>
      </c>
      <c r="B865" s="182" t="s">
        <v>184</v>
      </c>
      <c r="C865" s="182" t="s">
        <v>618</v>
      </c>
      <c r="D865" s="182">
        <v>2.0</v>
      </c>
      <c r="E865" s="182">
        <v>724.0</v>
      </c>
      <c r="F865" s="209">
        <v>0.28</v>
      </c>
      <c r="G865" s="210"/>
    </row>
    <row r="866">
      <c r="A866" s="182" t="s">
        <v>259</v>
      </c>
      <c r="B866" s="182" t="s">
        <v>184</v>
      </c>
      <c r="C866" s="182" t="s">
        <v>615</v>
      </c>
      <c r="D866" s="182">
        <v>1.0</v>
      </c>
      <c r="E866" s="182">
        <v>724.0</v>
      </c>
      <c r="F866" s="209">
        <v>0.14</v>
      </c>
      <c r="G866" s="210"/>
    </row>
    <row r="867">
      <c r="A867" s="182" t="s">
        <v>259</v>
      </c>
      <c r="B867" s="182" t="s">
        <v>184</v>
      </c>
      <c r="C867" s="182" t="s">
        <v>614</v>
      </c>
      <c r="D867" s="182">
        <v>1.0</v>
      </c>
      <c r="E867" s="182">
        <v>724.0</v>
      </c>
      <c r="F867" s="209">
        <v>0.14</v>
      </c>
      <c r="G867" s="210"/>
    </row>
    <row r="868">
      <c r="A868" s="182" t="s">
        <v>259</v>
      </c>
      <c r="B868" s="182" t="s">
        <v>184</v>
      </c>
      <c r="C868" s="182" t="s">
        <v>617</v>
      </c>
      <c r="D868" s="182">
        <v>1.0</v>
      </c>
      <c r="E868" s="182">
        <v>724.0</v>
      </c>
      <c r="F868" s="209">
        <v>0.14</v>
      </c>
      <c r="G868" s="210"/>
    </row>
    <row r="869">
      <c r="A869" s="182" t="s">
        <v>264</v>
      </c>
      <c r="B869" s="182" t="s">
        <v>184</v>
      </c>
      <c r="C869" s="182" t="s">
        <v>610</v>
      </c>
      <c r="D869" s="182">
        <v>321.0</v>
      </c>
      <c r="E869" s="182">
        <v>724.0</v>
      </c>
      <c r="F869" s="209">
        <v>44.34</v>
      </c>
      <c r="G869" s="210"/>
    </row>
    <row r="870">
      <c r="A870" s="182" t="s">
        <v>264</v>
      </c>
      <c r="B870" s="182" t="s">
        <v>184</v>
      </c>
      <c r="C870" s="182" t="s">
        <v>606</v>
      </c>
      <c r="D870" s="182">
        <v>160.0</v>
      </c>
      <c r="E870" s="182">
        <v>724.0</v>
      </c>
      <c r="F870" s="209">
        <v>22.1</v>
      </c>
      <c r="G870" s="210"/>
    </row>
    <row r="871">
      <c r="A871" s="182" t="s">
        <v>264</v>
      </c>
      <c r="B871" s="182" t="s">
        <v>184</v>
      </c>
      <c r="C871" s="182" t="s">
        <v>611</v>
      </c>
      <c r="D871" s="182">
        <v>73.0</v>
      </c>
      <c r="E871" s="182">
        <v>724.0</v>
      </c>
      <c r="F871" s="209">
        <v>10.08</v>
      </c>
      <c r="G871" s="210"/>
    </row>
    <row r="872">
      <c r="A872" s="182" t="s">
        <v>264</v>
      </c>
      <c r="B872" s="182" t="s">
        <v>184</v>
      </c>
      <c r="C872" s="182" t="s">
        <v>609</v>
      </c>
      <c r="D872" s="182">
        <v>72.0</v>
      </c>
      <c r="E872" s="182">
        <v>724.0</v>
      </c>
      <c r="F872" s="209">
        <v>9.94</v>
      </c>
      <c r="G872" s="210"/>
    </row>
    <row r="873">
      <c r="A873" s="182" t="s">
        <v>264</v>
      </c>
      <c r="B873" s="182" t="s">
        <v>184</v>
      </c>
      <c r="C873" s="182" t="s">
        <v>607</v>
      </c>
      <c r="D873" s="182">
        <v>45.0</v>
      </c>
      <c r="E873" s="182">
        <v>724.0</v>
      </c>
      <c r="F873" s="209">
        <v>6.22</v>
      </c>
      <c r="G873" s="210"/>
    </row>
    <row r="874">
      <c r="A874" s="182" t="s">
        <v>264</v>
      </c>
      <c r="B874" s="182" t="s">
        <v>184</v>
      </c>
      <c r="C874" s="182" t="s">
        <v>612</v>
      </c>
      <c r="D874" s="182">
        <v>17.0</v>
      </c>
      <c r="E874" s="182">
        <v>724.0</v>
      </c>
      <c r="F874" s="209">
        <v>2.35</v>
      </c>
      <c r="G874" s="210"/>
    </row>
    <row r="875">
      <c r="A875" s="182" t="s">
        <v>264</v>
      </c>
      <c r="B875" s="182" t="s">
        <v>184</v>
      </c>
      <c r="C875" s="182" t="s">
        <v>608</v>
      </c>
      <c r="D875" s="182">
        <v>16.0</v>
      </c>
      <c r="E875" s="182">
        <v>724.0</v>
      </c>
      <c r="F875" s="209">
        <v>2.21</v>
      </c>
      <c r="G875" s="210"/>
    </row>
    <row r="876">
      <c r="A876" s="182" t="s">
        <v>264</v>
      </c>
      <c r="B876" s="182" t="s">
        <v>184</v>
      </c>
      <c r="C876" s="182" t="s">
        <v>622</v>
      </c>
      <c r="D876" s="182">
        <v>6.0</v>
      </c>
      <c r="E876" s="182">
        <v>724.0</v>
      </c>
      <c r="F876" s="209">
        <v>0.83</v>
      </c>
      <c r="G876" s="210"/>
    </row>
    <row r="877">
      <c r="A877" s="182" t="s">
        <v>264</v>
      </c>
      <c r="B877" s="182" t="s">
        <v>184</v>
      </c>
      <c r="C877" s="182" t="s">
        <v>616</v>
      </c>
      <c r="D877" s="182">
        <v>4.0</v>
      </c>
      <c r="E877" s="182">
        <v>724.0</v>
      </c>
      <c r="F877" s="209">
        <v>0.55</v>
      </c>
      <c r="G877" s="210"/>
    </row>
    <row r="878">
      <c r="A878" s="182" t="s">
        <v>264</v>
      </c>
      <c r="B878" s="182" t="s">
        <v>184</v>
      </c>
      <c r="C878" s="182" t="s">
        <v>618</v>
      </c>
      <c r="D878" s="182">
        <v>3.0</v>
      </c>
      <c r="E878" s="182">
        <v>724.0</v>
      </c>
      <c r="F878" s="209">
        <v>0.41</v>
      </c>
      <c r="G878" s="210"/>
    </row>
    <row r="879">
      <c r="A879" s="182" t="s">
        <v>264</v>
      </c>
      <c r="B879" s="182" t="s">
        <v>184</v>
      </c>
      <c r="C879" s="182" t="s">
        <v>617</v>
      </c>
      <c r="D879" s="182">
        <v>1.0</v>
      </c>
      <c r="E879" s="182">
        <v>724.0</v>
      </c>
      <c r="F879" s="209">
        <v>0.14</v>
      </c>
      <c r="G879" s="210"/>
    </row>
    <row r="880">
      <c r="A880" s="182" t="s">
        <v>264</v>
      </c>
      <c r="B880" s="182" t="s">
        <v>184</v>
      </c>
      <c r="C880" s="182" t="s">
        <v>620</v>
      </c>
      <c r="D880" s="182">
        <v>1.0</v>
      </c>
      <c r="E880" s="182">
        <v>724.0</v>
      </c>
      <c r="F880" s="209">
        <v>0.14</v>
      </c>
      <c r="G880" s="210"/>
    </row>
    <row r="881">
      <c r="A881" s="182" t="s">
        <v>298</v>
      </c>
      <c r="B881" s="182" t="s">
        <v>184</v>
      </c>
      <c r="C881" s="182" t="s">
        <v>606</v>
      </c>
      <c r="D881" s="182">
        <v>143.0</v>
      </c>
      <c r="E881" s="182">
        <v>243.0</v>
      </c>
      <c r="F881" s="209">
        <v>58.85</v>
      </c>
      <c r="G881" s="210"/>
    </row>
    <row r="882">
      <c r="A882" s="182" t="s">
        <v>298</v>
      </c>
      <c r="B882" s="182" t="s">
        <v>184</v>
      </c>
      <c r="C882" s="182" t="s">
        <v>607</v>
      </c>
      <c r="D882" s="182">
        <v>24.0</v>
      </c>
      <c r="E882" s="182">
        <v>243.0</v>
      </c>
      <c r="F882" s="209">
        <v>9.88</v>
      </c>
      <c r="G882" s="210"/>
    </row>
    <row r="883">
      <c r="A883" s="182" t="s">
        <v>298</v>
      </c>
      <c r="B883" s="182" t="s">
        <v>184</v>
      </c>
      <c r="C883" s="182" t="s">
        <v>610</v>
      </c>
      <c r="D883" s="182">
        <v>19.0</v>
      </c>
      <c r="E883" s="182">
        <v>243.0</v>
      </c>
      <c r="F883" s="209">
        <v>7.82</v>
      </c>
      <c r="G883" s="210"/>
    </row>
    <row r="884">
      <c r="A884" s="182" t="s">
        <v>298</v>
      </c>
      <c r="B884" s="182" t="s">
        <v>184</v>
      </c>
      <c r="C884" s="182" t="s">
        <v>609</v>
      </c>
      <c r="D884" s="182">
        <v>18.0</v>
      </c>
      <c r="E884" s="182">
        <v>243.0</v>
      </c>
      <c r="F884" s="209">
        <v>7.41</v>
      </c>
      <c r="G884" s="210"/>
    </row>
    <row r="885">
      <c r="A885" s="182" t="s">
        <v>298</v>
      </c>
      <c r="B885" s="182" t="s">
        <v>184</v>
      </c>
      <c r="C885" s="182" t="s">
        <v>611</v>
      </c>
      <c r="D885" s="182">
        <v>13.0</v>
      </c>
      <c r="E885" s="182">
        <v>243.0</v>
      </c>
      <c r="F885" s="209">
        <v>5.35</v>
      </c>
      <c r="G885" s="210"/>
    </row>
    <row r="886">
      <c r="A886" s="182" t="s">
        <v>298</v>
      </c>
      <c r="B886" s="182" t="s">
        <v>184</v>
      </c>
      <c r="C886" s="182" t="s">
        <v>612</v>
      </c>
      <c r="D886" s="182">
        <v>11.0</v>
      </c>
      <c r="E886" s="182">
        <v>243.0</v>
      </c>
      <c r="F886" s="209">
        <v>4.53</v>
      </c>
      <c r="G886" s="210"/>
    </row>
    <row r="887">
      <c r="A887" s="182" t="s">
        <v>298</v>
      </c>
      <c r="B887" s="182" t="s">
        <v>184</v>
      </c>
      <c r="C887" s="182" t="s">
        <v>619</v>
      </c>
      <c r="D887" s="182">
        <v>9.0</v>
      </c>
      <c r="E887" s="182">
        <v>243.0</v>
      </c>
      <c r="F887" s="209">
        <v>3.7</v>
      </c>
      <c r="G887" s="210"/>
    </row>
    <row r="888">
      <c r="A888" s="182" t="s">
        <v>298</v>
      </c>
      <c r="B888" s="182" t="s">
        <v>184</v>
      </c>
      <c r="C888" s="182" t="s">
        <v>608</v>
      </c>
      <c r="D888" s="182">
        <v>4.0</v>
      </c>
      <c r="E888" s="182">
        <v>243.0</v>
      </c>
      <c r="F888" s="209">
        <v>1.65</v>
      </c>
      <c r="G888" s="210"/>
    </row>
    <row r="889">
      <c r="A889" s="182" t="s">
        <v>298</v>
      </c>
      <c r="B889" s="182" t="s">
        <v>184</v>
      </c>
      <c r="C889" s="182" t="s">
        <v>614</v>
      </c>
      <c r="D889" s="182">
        <v>1.0</v>
      </c>
      <c r="E889" s="182">
        <v>243.0</v>
      </c>
      <c r="F889" s="209">
        <v>0.41</v>
      </c>
      <c r="G889" s="210"/>
    </row>
    <row r="890">
      <c r="A890" s="182" t="s">
        <v>298</v>
      </c>
      <c r="B890" s="182" t="s">
        <v>184</v>
      </c>
      <c r="C890" s="182" t="s">
        <v>618</v>
      </c>
      <c r="D890" s="182">
        <v>1.0</v>
      </c>
      <c r="E890" s="182">
        <v>243.0</v>
      </c>
      <c r="F890" s="209">
        <v>0.41</v>
      </c>
      <c r="G890" s="210"/>
    </row>
    <row r="891">
      <c r="A891" s="182" t="s">
        <v>289</v>
      </c>
      <c r="B891" s="182" t="s">
        <v>184</v>
      </c>
      <c r="C891" s="182" t="s">
        <v>610</v>
      </c>
      <c r="D891" s="182">
        <v>393.0</v>
      </c>
      <c r="E891" s="182">
        <v>724.0</v>
      </c>
      <c r="F891" s="209">
        <v>54.28</v>
      </c>
      <c r="G891" s="210"/>
    </row>
    <row r="892">
      <c r="A892" s="182" t="s">
        <v>289</v>
      </c>
      <c r="B892" s="182" t="s">
        <v>184</v>
      </c>
      <c r="C892" s="182" t="s">
        <v>606</v>
      </c>
      <c r="D892" s="182">
        <v>96.0</v>
      </c>
      <c r="E892" s="182">
        <v>724.0</v>
      </c>
      <c r="F892" s="209">
        <v>13.26</v>
      </c>
      <c r="G892" s="210"/>
    </row>
    <row r="893">
      <c r="A893" s="182" t="s">
        <v>289</v>
      </c>
      <c r="B893" s="182" t="s">
        <v>184</v>
      </c>
      <c r="C893" s="182" t="s">
        <v>607</v>
      </c>
      <c r="D893" s="182">
        <v>68.0</v>
      </c>
      <c r="E893" s="182">
        <v>724.0</v>
      </c>
      <c r="F893" s="209">
        <v>9.39</v>
      </c>
      <c r="G893" s="210"/>
    </row>
    <row r="894">
      <c r="A894" s="182" t="s">
        <v>289</v>
      </c>
      <c r="B894" s="182" t="s">
        <v>184</v>
      </c>
      <c r="C894" s="182" t="s">
        <v>609</v>
      </c>
      <c r="D894" s="182">
        <v>59.0</v>
      </c>
      <c r="E894" s="182">
        <v>724.0</v>
      </c>
      <c r="F894" s="209">
        <v>8.15</v>
      </c>
      <c r="G894" s="210"/>
    </row>
    <row r="895">
      <c r="A895" s="182" t="s">
        <v>289</v>
      </c>
      <c r="B895" s="182" t="s">
        <v>184</v>
      </c>
      <c r="C895" s="182" t="s">
        <v>608</v>
      </c>
      <c r="D895" s="182">
        <v>44.0</v>
      </c>
      <c r="E895" s="182">
        <v>724.0</v>
      </c>
      <c r="F895" s="209">
        <v>6.08</v>
      </c>
      <c r="G895" s="210"/>
    </row>
    <row r="896">
      <c r="A896" s="182" t="s">
        <v>289</v>
      </c>
      <c r="B896" s="182" t="s">
        <v>184</v>
      </c>
      <c r="C896" s="182" t="s">
        <v>611</v>
      </c>
      <c r="D896" s="182">
        <v>34.0</v>
      </c>
      <c r="E896" s="182">
        <v>724.0</v>
      </c>
      <c r="F896" s="209">
        <v>4.7</v>
      </c>
      <c r="G896" s="210"/>
    </row>
    <row r="897">
      <c r="A897" s="182" t="s">
        <v>289</v>
      </c>
      <c r="B897" s="182" t="s">
        <v>184</v>
      </c>
      <c r="C897" s="182" t="s">
        <v>612</v>
      </c>
      <c r="D897" s="182">
        <v>16.0</v>
      </c>
      <c r="E897" s="182">
        <v>724.0</v>
      </c>
      <c r="F897" s="209">
        <v>2.21</v>
      </c>
      <c r="G897" s="210"/>
    </row>
    <row r="898">
      <c r="A898" s="182" t="s">
        <v>289</v>
      </c>
      <c r="B898" s="182" t="s">
        <v>184</v>
      </c>
      <c r="C898" s="182" t="s">
        <v>618</v>
      </c>
      <c r="D898" s="182">
        <v>5.0</v>
      </c>
      <c r="E898" s="182">
        <v>724.0</v>
      </c>
      <c r="F898" s="209">
        <v>0.69</v>
      </c>
      <c r="G898" s="210"/>
    </row>
    <row r="899">
      <c r="A899" s="182" t="s">
        <v>289</v>
      </c>
      <c r="B899" s="182" t="s">
        <v>184</v>
      </c>
      <c r="C899" s="182" t="s">
        <v>619</v>
      </c>
      <c r="D899" s="182">
        <v>4.0</v>
      </c>
      <c r="E899" s="182">
        <v>724.0</v>
      </c>
      <c r="F899" s="209">
        <v>0.55</v>
      </c>
      <c r="G899" s="210"/>
    </row>
    <row r="900">
      <c r="A900" s="182" t="s">
        <v>295</v>
      </c>
      <c r="B900" s="182" t="s">
        <v>188</v>
      </c>
      <c r="C900" s="182" t="s">
        <v>606</v>
      </c>
      <c r="D900" s="182">
        <v>216.0</v>
      </c>
      <c r="E900" s="182">
        <v>588.0</v>
      </c>
      <c r="F900" s="209">
        <v>36.73</v>
      </c>
      <c r="G900" s="210"/>
    </row>
    <row r="901">
      <c r="A901" s="182" t="s">
        <v>295</v>
      </c>
      <c r="B901" s="182" t="s">
        <v>188</v>
      </c>
      <c r="C901" s="182" t="s">
        <v>610</v>
      </c>
      <c r="D901" s="182">
        <v>154.0</v>
      </c>
      <c r="E901" s="182">
        <v>588.0</v>
      </c>
      <c r="F901" s="209">
        <v>26.19</v>
      </c>
      <c r="G901" s="210"/>
    </row>
    <row r="902">
      <c r="A902" s="182" t="s">
        <v>295</v>
      </c>
      <c r="B902" s="182" t="s">
        <v>188</v>
      </c>
      <c r="C902" s="182" t="s">
        <v>607</v>
      </c>
      <c r="D902" s="182">
        <v>75.0</v>
      </c>
      <c r="E902" s="182">
        <v>588.0</v>
      </c>
      <c r="F902" s="209">
        <v>12.76</v>
      </c>
      <c r="G902" s="210"/>
    </row>
    <row r="903">
      <c r="A903" s="182" t="s">
        <v>295</v>
      </c>
      <c r="B903" s="182" t="s">
        <v>188</v>
      </c>
      <c r="C903" s="182" t="s">
        <v>609</v>
      </c>
      <c r="D903" s="182">
        <v>42.0</v>
      </c>
      <c r="E903" s="182">
        <v>588.0</v>
      </c>
      <c r="F903" s="209">
        <v>7.14</v>
      </c>
      <c r="G903" s="210"/>
    </row>
    <row r="904">
      <c r="A904" s="182" t="s">
        <v>295</v>
      </c>
      <c r="B904" s="182" t="s">
        <v>188</v>
      </c>
      <c r="C904" s="182" t="s">
        <v>608</v>
      </c>
      <c r="D904" s="182">
        <v>35.0</v>
      </c>
      <c r="E904" s="182">
        <v>588.0</v>
      </c>
      <c r="F904" s="209">
        <v>5.95</v>
      </c>
      <c r="G904" s="210"/>
    </row>
    <row r="905">
      <c r="A905" s="182" t="s">
        <v>295</v>
      </c>
      <c r="B905" s="182" t="s">
        <v>188</v>
      </c>
      <c r="C905" s="182" t="s">
        <v>611</v>
      </c>
      <c r="D905" s="182">
        <v>27.0</v>
      </c>
      <c r="E905" s="182">
        <v>588.0</v>
      </c>
      <c r="F905" s="209">
        <v>4.59</v>
      </c>
      <c r="G905" s="210"/>
    </row>
    <row r="906">
      <c r="A906" s="182" t="s">
        <v>295</v>
      </c>
      <c r="B906" s="182" t="s">
        <v>188</v>
      </c>
      <c r="C906" s="182" t="s">
        <v>612</v>
      </c>
      <c r="D906" s="182">
        <v>27.0</v>
      </c>
      <c r="E906" s="182">
        <v>588.0</v>
      </c>
      <c r="F906" s="209">
        <v>4.59</v>
      </c>
      <c r="G906" s="210"/>
    </row>
    <row r="907">
      <c r="A907" s="182" t="s">
        <v>295</v>
      </c>
      <c r="B907" s="182" t="s">
        <v>188</v>
      </c>
      <c r="C907" s="182" t="s">
        <v>613</v>
      </c>
      <c r="D907" s="182">
        <v>3.0</v>
      </c>
      <c r="E907" s="182">
        <v>588.0</v>
      </c>
      <c r="F907" s="209">
        <v>0.51</v>
      </c>
      <c r="G907" s="210"/>
    </row>
    <row r="908">
      <c r="A908" s="182" t="s">
        <v>295</v>
      </c>
      <c r="B908" s="182" t="s">
        <v>188</v>
      </c>
      <c r="C908" s="182" t="s">
        <v>614</v>
      </c>
      <c r="D908" s="182">
        <v>2.0</v>
      </c>
      <c r="E908" s="182">
        <v>588.0</v>
      </c>
      <c r="F908" s="209">
        <v>0.34</v>
      </c>
      <c r="G908" s="210"/>
    </row>
    <row r="909">
      <c r="A909" s="182" t="s">
        <v>295</v>
      </c>
      <c r="B909" s="182" t="s">
        <v>188</v>
      </c>
      <c r="C909" s="182" t="s">
        <v>617</v>
      </c>
      <c r="D909" s="182">
        <v>2.0</v>
      </c>
      <c r="E909" s="182">
        <v>588.0</v>
      </c>
      <c r="F909" s="209">
        <v>0.34</v>
      </c>
      <c r="G909" s="210"/>
    </row>
    <row r="910">
      <c r="A910" s="182" t="s">
        <v>295</v>
      </c>
      <c r="B910" s="182" t="s">
        <v>188</v>
      </c>
      <c r="C910" s="182" t="s">
        <v>622</v>
      </c>
      <c r="D910" s="182">
        <v>2.0</v>
      </c>
      <c r="E910" s="182">
        <v>588.0</v>
      </c>
      <c r="F910" s="209">
        <v>0.34</v>
      </c>
      <c r="G910" s="210"/>
    </row>
    <row r="911">
      <c r="A911" s="182" t="s">
        <v>295</v>
      </c>
      <c r="B911" s="182" t="s">
        <v>188</v>
      </c>
      <c r="C911" s="182" t="s">
        <v>618</v>
      </c>
      <c r="D911" s="182">
        <v>2.0</v>
      </c>
      <c r="E911" s="182">
        <v>588.0</v>
      </c>
      <c r="F911" s="209">
        <v>0.34</v>
      </c>
      <c r="G911" s="210"/>
    </row>
    <row r="912">
      <c r="A912" s="182" t="s">
        <v>295</v>
      </c>
      <c r="B912" s="182" t="s">
        <v>188</v>
      </c>
      <c r="C912" s="182" t="s">
        <v>616</v>
      </c>
      <c r="D912" s="182">
        <v>1.0</v>
      </c>
      <c r="E912" s="182">
        <v>588.0</v>
      </c>
      <c r="F912" s="209">
        <v>0.17</v>
      </c>
      <c r="G912" s="210"/>
    </row>
    <row r="913">
      <c r="A913" s="182" t="s">
        <v>284</v>
      </c>
      <c r="B913" s="182" t="s">
        <v>188</v>
      </c>
      <c r="C913" s="182" t="s">
        <v>606</v>
      </c>
      <c r="D913" s="182">
        <v>281.0</v>
      </c>
      <c r="E913" s="182">
        <v>588.0</v>
      </c>
      <c r="F913" s="209">
        <v>47.79</v>
      </c>
      <c r="G913" s="210"/>
    </row>
    <row r="914">
      <c r="A914" s="182" t="s">
        <v>284</v>
      </c>
      <c r="B914" s="182" t="s">
        <v>188</v>
      </c>
      <c r="C914" s="182" t="s">
        <v>610</v>
      </c>
      <c r="D914" s="182">
        <v>86.0</v>
      </c>
      <c r="E914" s="182">
        <v>588.0</v>
      </c>
      <c r="F914" s="209">
        <v>14.63</v>
      </c>
      <c r="G914" s="210"/>
    </row>
    <row r="915">
      <c r="A915" s="182" t="s">
        <v>284</v>
      </c>
      <c r="B915" s="182" t="s">
        <v>188</v>
      </c>
      <c r="C915" s="182" t="s">
        <v>609</v>
      </c>
      <c r="D915" s="182">
        <v>60.0</v>
      </c>
      <c r="E915" s="182">
        <v>588.0</v>
      </c>
      <c r="F915" s="209">
        <v>10.2</v>
      </c>
      <c r="G915" s="210"/>
    </row>
    <row r="916">
      <c r="A916" s="182" t="s">
        <v>284</v>
      </c>
      <c r="B916" s="182" t="s">
        <v>188</v>
      </c>
      <c r="C916" s="182" t="s">
        <v>611</v>
      </c>
      <c r="D916" s="182">
        <v>57.0</v>
      </c>
      <c r="E916" s="182">
        <v>588.0</v>
      </c>
      <c r="F916" s="209">
        <v>9.69</v>
      </c>
      <c r="G916" s="210"/>
    </row>
    <row r="917">
      <c r="A917" s="182" t="s">
        <v>284</v>
      </c>
      <c r="B917" s="182" t="s">
        <v>188</v>
      </c>
      <c r="C917" s="182" t="s">
        <v>607</v>
      </c>
      <c r="D917" s="182">
        <v>26.0</v>
      </c>
      <c r="E917" s="182">
        <v>588.0</v>
      </c>
      <c r="F917" s="209">
        <v>4.42</v>
      </c>
      <c r="G917" s="210"/>
    </row>
    <row r="918">
      <c r="A918" s="182" t="s">
        <v>284</v>
      </c>
      <c r="B918" s="182" t="s">
        <v>188</v>
      </c>
      <c r="C918" s="182" t="s">
        <v>612</v>
      </c>
      <c r="D918" s="182">
        <v>24.0</v>
      </c>
      <c r="E918" s="182">
        <v>588.0</v>
      </c>
      <c r="F918" s="209">
        <v>4.08</v>
      </c>
      <c r="G918" s="210"/>
    </row>
    <row r="919">
      <c r="A919" s="182" t="s">
        <v>284</v>
      </c>
      <c r="B919" s="182" t="s">
        <v>188</v>
      </c>
      <c r="C919" s="182" t="s">
        <v>608</v>
      </c>
      <c r="D919" s="182">
        <v>20.0</v>
      </c>
      <c r="E919" s="182">
        <v>588.0</v>
      </c>
      <c r="F919" s="209">
        <v>3.4</v>
      </c>
      <c r="G919" s="210"/>
    </row>
    <row r="920">
      <c r="A920" s="182" t="s">
        <v>284</v>
      </c>
      <c r="B920" s="182" t="s">
        <v>188</v>
      </c>
      <c r="C920" s="182" t="s">
        <v>614</v>
      </c>
      <c r="D920" s="182">
        <v>12.0</v>
      </c>
      <c r="E920" s="182">
        <v>588.0</v>
      </c>
      <c r="F920" s="209">
        <v>2.04</v>
      </c>
      <c r="G920" s="210"/>
    </row>
    <row r="921">
      <c r="A921" s="182" t="s">
        <v>284</v>
      </c>
      <c r="B921" s="182" t="s">
        <v>188</v>
      </c>
      <c r="C921" s="182" t="s">
        <v>618</v>
      </c>
      <c r="D921" s="182">
        <v>10.0</v>
      </c>
      <c r="E921" s="182">
        <v>588.0</v>
      </c>
      <c r="F921" s="209">
        <v>1.7</v>
      </c>
      <c r="G921" s="210"/>
    </row>
    <row r="922">
      <c r="A922" s="182" t="s">
        <v>284</v>
      </c>
      <c r="B922" s="182" t="s">
        <v>188</v>
      </c>
      <c r="C922" s="182" t="s">
        <v>617</v>
      </c>
      <c r="D922" s="182">
        <v>4.0</v>
      </c>
      <c r="E922" s="182">
        <v>588.0</v>
      </c>
      <c r="F922" s="209">
        <v>0.68</v>
      </c>
      <c r="G922" s="210"/>
    </row>
    <row r="923">
      <c r="A923" s="182" t="s">
        <v>284</v>
      </c>
      <c r="B923" s="182" t="s">
        <v>188</v>
      </c>
      <c r="C923" s="182" t="s">
        <v>622</v>
      </c>
      <c r="D923" s="182">
        <v>2.0</v>
      </c>
      <c r="E923" s="182">
        <v>588.0</v>
      </c>
      <c r="F923" s="209">
        <v>0.34</v>
      </c>
      <c r="G923" s="210"/>
    </row>
    <row r="924">
      <c r="A924" s="182" t="s">
        <v>284</v>
      </c>
      <c r="B924" s="182" t="s">
        <v>188</v>
      </c>
      <c r="C924" s="182" t="s">
        <v>616</v>
      </c>
      <c r="D924" s="182">
        <v>2.0</v>
      </c>
      <c r="E924" s="182">
        <v>588.0</v>
      </c>
      <c r="F924" s="209">
        <v>0.34</v>
      </c>
      <c r="G924" s="210"/>
    </row>
    <row r="925">
      <c r="A925" s="182" t="s">
        <v>284</v>
      </c>
      <c r="B925" s="182" t="s">
        <v>188</v>
      </c>
      <c r="C925" s="182" t="s">
        <v>621</v>
      </c>
      <c r="D925" s="182">
        <v>2.0</v>
      </c>
      <c r="E925" s="182">
        <v>588.0</v>
      </c>
      <c r="F925" s="209">
        <v>0.34</v>
      </c>
      <c r="G925" s="210"/>
    </row>
    <row r="926">
      <c r="A926" s="182" t="s">
        <v>284</v>
      </c>
      <c r="B926" s="182" t="s">
        <v>188</v>
      </c>
      <c r="C926" s="182" t="s">
        <v>620</v>
      </c>
      <c r="D926" s="182">
        <v>1.0</v>
      </c>
      <c r="E926" s="182">
        <v>588.0</v>
      </c>
      <c r="F926" s="209">
        <v>0.17</v>
      </c>
      <c r="G926" s="210"/>
    </row>
    <row r="927">
      <c r="A927" s="182" t="s">
        <v>260</v>
      </c>
      <c r="B927" s="182" t="s">
        <v>191</v>
      </c>
      <c r="C927" s="182" t="s">
        <v>606</v>
      </c>
      <c r="D927" s="182">
        <v>310.0</v>
      </c>
      <c r="E927" s="182">
        <v>588.0</v>
      </c>
      <c r="F927" s="209">
        <v>52.72</v>
      </c>
      <c r="G927" s="210"/>
    </row>
    <row r="928">
      <c r="A928" s="182" t="s">
        <v>260</v>
      </c>
      <c r="B928" s="182" t="s">
        <v>191</v>
      </c>
      <c r="C928" s="182" t="s">
        <v>610</v>
      </c>
      <c r="D928" s="182">
        <v>91.0</v>
      </c>
      <c r="E928" s="182">
        <v>588.0</v>
      </c>
      <c r="F928" s="209">
        <v>15.48</v>
      </c>
      <c r="G928" s="210"/>
    </row>
    <row r="929">
      <c r="A929" s="182" t="s">
        <v>260</v>
      </c>
      <c r="B929" s="182" t="s">
        <v>191</v>
      </c>
      <c r="C929" s="182" t="s">
        <v>611</v>
      </c>
      <c r="D929" s="182">
        <v>48.0</v>
      </c>
      <c r="E929" s="182">
        <v>588.0</v>
      </c>
      <c r="F929" s="209">
        <v>8.16</v>
      </c>
      <c r="G929" s="210"/>
    </row>
    <row r="930">
      <c r="A930" s="182" t="s">
        <v>260</v>
      </c>
      <c r="B930" s="182" t="s">
        <v>191</v>
      </c>
      <c r="C930" s="182" t="s">
        <v>607</v>
      </c>
      <c r="D930" s="182">
        <v>47.0</v>
      </c>
      <c r="E930" s="182">
        <v>588.0</v>
      </c>
      <c r="F930" s="209">
        <v>7.99</v>
      </c>
      <c r="G930" s="210"/>
    </row>
    <row r="931">
      <c r="A931" s="182" t="s">
        <v>260</v>
      </c>
      <c r="B931" s="182" t="s">
        <v>191</v>
      </c>
      <c r="C931" s="182" t="s">
        <v>609</v>
      </c>
      <c r="D931" s="182">
        <v>42.0</v>
      </c>
      <c r="E931" s="182">
        <v>588.0</v>
      </c>
      <c r="F931" s="209">
        <v>7.14</v>
      </c>
      <c r="G931" s="210"/>
    </row>
    <row r="932">
      <c r="A932" s="182" t="s">
        <v>260</v>
      </c>
      <c r="B932" s="182" t="s">
        <v>191</v>
      </c>
      <c r="C932" s="182" t="s">
        <v>608</v>
      </c>
      <c r="D932" s="182">
        <v>19.0</v>
      </c>
      <c r="E932" s="182">
        <v>588.0</v>
      </c>
      <c r="F932" s="209">
        <v>3.23</v>
      </c>
      <c r="G932" s="210"/>
    </row>
    <row r="933">
      <c r="A933" s="182" t="s">
        <v>260</v>
      </c>
      <c r="B933" s="182" t="s">
        <v>191</v>
      </c>
      <c r="C933" s="182" t="s">
        <v>612</v>
      </c>
      <c r="D933" s="182">
        <v>15.0</v>
      </c>
      <c r="E933" s="182">
        <v>588.0</v>
      </c>
      <c r="F933" s="209">
        <v>2.55</v>
      </c>
      <c r="G933" s="210"/>
    </row>
    <row r="934">
      <c r="A934" s="182" t="s">
        <v>260</v>
      </c>
      <c r="B934" s="182" t="s">
        <v>191</v>
      </c>
      <c r="C934" s="182" t="s">
        <v>618</v>
      </c>
      <c r="D934" s="182">
        <v>11.0</v>
      </c>
      <c r="E934" s="182">
        <v>588.0</v>
      </c>
      <c r="F934" s="209">
        <v>1.87</v>
      </c>
      <c r="G934" s="210"/>
    </row>
    <row r="935">
      <c r="A935" s="182" t="s">
        <v>260</v>
      </c>
      <c r="B935" s="182" t="s">
        <v>191</v>
      </c>
      <c r="C935" s="182" t="s">
        <v>613</v>
      </c>
      <c r="D935" s="182">
        <v>2.0</v>
      </c>
      <c r="E935" s="182">
        <v>588.0</v>
      </c>
      <c r="F935" s="209">
        <v>0.34</v>
      </c>
      <c r="G935" s="210"/>
    </row>
    <row r="936">
      <c r="A936" s="182" t="s">
        <v>260</v>
      </c>
      <c r="B936" s="182" t="s">
        <v>191</v>
      </c>
      <c r="C936" s="182" t="s">
        <v>617</v>
      </c>
      <c r="D936" s="182">
        <v>1.0</v>
      </c>
      <c r="E936" s="182">
        <v>588.0</v>
      </c>
      <c r="F936" s="209">
        <v>0.17</v>
      </c>
      <c r="G936" s="210"/>
    </row>
    <row r="937">
      <c r="A937" s="182" t="s">
        <v>260</v>
      </c>
      <c r="B937" s="182" t="s">
        <v>191</v>
      </c>
      <c r="C937" s="182" t="s">
        <v>622</v>
      </c>
      <c r="D937" s="182">
        <v>1.0</v>
      </c>
      <c r="E937" s="182">
        <v>588.0</v>
      </c>
      <c r="F937" s="209">
        <v>0.17</v>
      </c>
      <c r="G937" s="210"/>
    </row>
    <row r="938">
      <c r="A938" s="182" t="s">
        <v>260</v>
      </c>
      <c r="B938" s="182" t="s">
        <v>191</v>
      </c>
      <c r="C938" s="182" t="s">
        <v>619</v>
      </c>
      <c r="D938" s="182">
        <v>1.0</v>
      </c>
      <c r="E938" s="182">
        <v>588.0</v>
      </c>
      <c r="F938" s="209">
        <v>0.17</v>
      </c>
      <c r="G938" s="210"/>
    </row>
    <row r="939">
      <c r="A939" s="182" t="s">
        <v>304</v>
      </c>
      <c r="B939" s="182" t="s">
        <v>188</v>
      </c>
      <c r="C939" s="182" t="s">
        <v>610</v>
      </c>
      <c r="D939" s="182">
        <v>237.0</v>
      </c>
      <c r="E939" s="182">
        <v>588.0</v>
      </c>
      <c r="F939" s="209">
        <v>40.31</v>
      </c>
      <c r="G939" s="210"/>
    </row>
    <row r="940">
      <c r="A940" s="182" t="s">
        <v>304</v>
      </c>
      <c r="B940" s="182" t="s">
        <v>188</v>
      </c>
      <c r="C940" s="182" t="s">
        <v>606</v>
      </c>
      <c r="D940" s="182">
        <v>110.0</v>
      </c>
      <c r="E940" s="182">
        <v>588.0</v>
      </c>
      <c r="F940" s="209">
        <v>18.71</v>
      </c>
      <c r="G940" s="210"/>
    </row>
    <row r="941">
      <c r="A941" s="182" t="s">
        <v>304</v>
      </c>
      <c r="B941" s="182" t="s">
        <v>188</v>
      </c>
      <c r="C941" s="182" t="s">
        <v>607</v>
      </c>
      <c r="D941" s="182">
        <v>61.0</v>
      </c>
      <c r="E941" s="182">
        <v>588.0</v>
      </c>
      <c r="F941" s="209">
        <v>10.37</v>
      </c>
      <c r="G941" s="210"/>
    </row>
    <row r="942">
      <c r="A942" s="182" t="s">
        <v>304</v>
      </c>
      <c r="B942" s="182" t="s">
        <v>188</v>
      </c>
      <c r="C942" s="182" t="s">
        <v>611</v>
      </c>
      <c r="D942" s="182">
        <v>47.0</v>
      </c>
      <c r="E942" s="182">
        <v>588.0</v>
      </c>
      <c r="F942" s="209">
        <v>7.99</v>
      </c>
      <c r="G942" s="210"/>
    </row>
    <row r="943">
      <c r="A943" s="182" t="s">
        <v>304</v>
      </c>
      <c r="B943" s="182" t="s">
        <v>188</v>
      </c>
      <c r="C943" s="182" t="s">
        <v>609</v>
      </c>
      <c r="D943" s="182">
        <v>42.0</v>
      </c>
      <c r="E943" s="182">
        <v>588.0</v>
      </c>
      <c r="F943" s="209">
        <v>7.14</v>
      </c>
      <c r="G943" s="210"/>
    </row>
    <row r="944">
      <c r="A944" s="182" t="s">
        <v>304</v>
      </c>
      <c r="B944" s="182" t="s">
        <v>188</v>
      </c>
      <c r="C944" s="182" t="s">
        <v>608</v>
      </c>
      <c r="D944" s="182">
        <v>39.0</v>
      </c>
      <c r="E944" s="182">
        <v>588.0</v>
      </c>
      <c r="F944" s="209">
        <v>6.63</v>
      </c>
      <c r="G944" s="210"/>
    </row>
    <row r="945">
      <c r="A945" s="182" t="s">
        <v>304</v>
      </c>
      <c r="B945" s="182" t="s">
        <v>188</v>
      </c>
      <c r="C945" s="182" t="s">
        <v>612</v>
      </c>
      <c r="D945" s="182">
        <v>21.0</v>
      </c>
      <c r="E945" s="182">
        <v>588.0</v>
      </c>
      <c r="F945" s="209">
        <v>3.57</v>
      </c>
      <c r="G945" s="210"/>
    </row>
    <row r="946">
      <c r="A946" s="182" t="s">
        <v>304</v>
      </c>
      <c r="B946" s="182" t="s">
        <v>188</v>
      </c>
      <c r="C946" s="182" t="s">
        <v>622</v>
      </c>
      <c r="D946" s="182">
        <v>9.0</v>
      </c>
      <c r="E946" s="182">
        <v>588.0</v>
      </c>
      <c r="F946" s="209">
        <v>1.53</v>
      </c>
      <c r="G946" s="210"/>
    </row>
    <row r="947">
      <c r="A947" s="182" t="s">
        <v>304</v>
      </c>
      <c r="B947" s="182" t="s">
        <v>188</v>
      </c>
      <c r="C947" s="182" t="s">
        <v>620</v>
      </c>
      <c r="D947" s="182">
        <v>6.0</v>
      </c>
      <c r="E947" s="182">
        <v>588.0</v>
      </c>
      <c r="F947" s="209">
        <v>1.02</v>
      </c>
      <c r="G947" s="210"/>
    </row>
    <row r="948">
      <c r="A948" s="182" t="s">
        <v>304</v>
      </c>
      <c r="B948" s="182" t="s">
        <v>188</v>
      </c>
      <c r="C948" s="182" t="s">
        <v>618</v>
      </c>
      <c r="D948" s="182">
        <v>5.0</v>
      </c>
      <c r="E948" s="182">
        <v>588.0</v>
      </c>
      <c r="F948" s="209">
        <v>0.85</v>
      </c>
      <c r="G948" s="210"/>
    </row>
    <row r="949">
      <c r="A949" s="182" t="s">
        <v>304</v>
      </c>
      <c r="B949" s="182" t="s">
        <v>188</v>
      </c>
      <c r="C949" s="182" t="s">
        <v>614</v>
      </c>
      <c r="D949" s="182">
        <v>3.0</v>
      </c>
      <c r="E949" s="182">
        <v>588.0</v>
      </c>
      <c r="F949" s="209">
        <v>0.51</v>
      </c>
      <c r="G949" s="210"/>
    </row>
    <row r="950">
      <c r="A950" s="182" t="s">
        <v>304</v>
      </c>
      <c r="B950" s="182" t="s">
        <v>188</v>
      </c>
      <c r="C950" s="182" t="s">
        <v>613</v>
      </c>
      <c r="D950" s="182">
        <v>2.0</v>
      </c>
      <c r="E950" s="182">
        <v>588.0</v>
      </c>
      <c r="F950" s="209">
        <v>0.34</v>
      </c>
      <c r="G950" s="210"/>
    </row>
    <row r="951">
      <c r="A951" s="182" t="s">
        <v>304</v>
      </c>
      <c r="B951" s="182" t="s">
        <v>188</v>
      </c>
      <c r="C951" s="182" t="s">
        <v>617</v>
      </c>
      <c r="D951" s="182">
        <v>2.0</v>
      </c>
      <c r="E951" s="182">
        <v>588.0</v>
      </c>
      <c r="F951" s="209">
        <v>0.34</v>
      </c>
      <c r="G951" s="210"/>
    </row>
    <row r="952">
      <c r="A952" s="182" t="s">
        <v>304</v>
      </c>
      <c r="B952" s="182" t="s">
        <v>188</v>
      </c>
      <c r="C952" s="182" t="s">
        <v>616</v>
      </c>
      <c r="D952" s="182">
        <v>2.0</v>
      </c>
      <c r="E952" s="182">
        <v>588.0</v>
      </c>
      <c r="F952" s="209">
        <v>0.34</v>
      </c>
      <c r="G952" s="210"/>
    </row>
    <row r="953">
      <c r="A953" s="182" t="s">
        <v>304</v>
      </c>
      <c r="B953" s="182" t="s">
        <v>188</v>
      </c>
      <c r="C953" s="182" t="s">
        <v>615</v>
      </c>
      <c r="D953" s="182">
        <v>1.0</v>
      </c>
      <c r="E953" s="182">
        <v>588.0</v>
      </c>
      <c r="F953" s="209">
        <v>0.17</v>
      </c>
      <c r="G953" s="210"/>
    </row>
    <row r="954">
      <c r="A954" s="182" t="s">
        <v>304</v>
      </c>
      <c r="B954" s="182" t="s">
        <v>188</v>
      </c>
      <c r="C954" s="182" t="s">
        <v>621</v>
      </c>
      <c r="D954" s="182">
        <v>1.0</v>
      </c>
      <c r="E954" s="182">
        <v>588.0</v>
      </c>
      <c r="F954" s="209">
        <v>0.17</v>
      </c>
      <c r="G954" s="210"/>
    </row>
    <row r="955">
      <c r="A955" s="182" t="s">
        <v>250</v>
      </c>
      <c r="B955" s="182" t="s">
        <v>188</v>
      </c>
      <c r="C955" s="182" t="s">
        <v>622</v>
      </c>
      <c r="D955" s="182">
        <v>157.0</v>
      </c>
      <c r="E955" s="182">
        <v>588.0</v>
      </c>
      <c r="F955" s="209">
        <v>26.7</v>
      </c>
      <c r="G955" s="210"/>
    </row>
    <row r="956">
      <c r="A956" s="182" t="s">
        <v>250</v>
      </c>
      <c r="B956" s="182" t="s">
        <v>188</v>
      </c>
      <c r="C956" s="182" t="s">
        <v>606</v>
      </c>
      <c r="D956" s="182">
        <v>142.0</v>
      </c>
      <c r="E956" s="182">
        <v>588.0</v>
      </c>
      <c r="F956" s="209">
        <v>24.15</v>
      </c>
      <c r="G956" s="210"/>
    </row>
    <row r="957">
      <c r="A957" s="182" t="s">
        <v>250</v>
      </c>
      <c r="B957" s="182" t="s">
        <v>188</v>
      </c>
      <c r="C957" s="182" t="s">
        <v>616</v>
      </c>
      <c r="D957" s="182">
        <v>52.0</v>
      </c>
      <c r="E957" s="182">
        <v>588.0</v>
      </c>
      <c r="F957" s="209">
        <v>8.84</v>
      </c>
      <c r="G957" s="210"/>
    </row>
    <row r="958">
      <c r="A958" s="182" t="s">
        <v>250</v>
      </c>
      <c r="B958" s="182" t="s">
        <v>188</v>
      </c>
      <c r="C958" s="182" t="s">
        <v>611</v>
      </c>
      <c r="D958" s="182">
        <v>49.0</v>
      </c>
      <c r="E958" s="182">
        <v>588.0</v>
      </c>
      <c r="F958" s="209">
        <v>8.33</v>
      </c>
      <c r="G958" s="210"/>
    </row>
    <row r="959">
      <c r="A959" s="182" t="s">
        <v>250</v>
      </c>
      <c r="B959" s="182" t="s">
        <v>188</v>
      </c>
      <c r="C959" s="182" t="s">
        <v>610</v>
      </c>
      <c r="D959" s="182">
        <v>49.0</v>
      </c>
      <c r="E959" s="182">
        <v>588.0</v>
      </c>
      <c r="F959" s="209">
        <v>8.33</v>
      </c>
      <c r="G959" s="210"/>
    </row>
    <row r="960">
      <c r="A960" s="182" t="s">
        <v>250</v>
      </c>
      <c r="B960" s="182" t="s">
        <v>188</v>
      </c>
      <c r="C960" s="182" t="s">
        <v>607</v>
      </c>
      <c r="D960" s="182">
        <v>38.0</v>
      </c>
      <c r="E960" s="182">
        <v>588.0</v>
      </c>
      <c r="F960" s="209">
        <v>6.46</v>
      </c>
      <c r="G960" s="210"/>
    </row>
    <row r="961">
      <c r="A961" s="182" t="s">
        <v>250</v>
      </c>
      <c r="B961" s="182" t="s">
        <v>188</v>
      </c>
      <c r="C961" s="182" t="s">
        <v>609</v>
      </c>
      <c r="D961" s="182">
        <v>31.0</v>
      </c>
      <c r="E961" s="182">
        <v>588.0</v>
      </c>
      <c r="F961" s="209">
        <v>5.27</v>
      </c>
      <c r="G961" s="210"/>
    </row>
    <row r="962">
      <c r="A962" s="182" t="s">
        <v>250</v>
      </c>
      <c r="B962" s="182" t="s">
        <v>188</v>
      </c>
      <c r="C962" s="182" t="s">
        <v>617</v>
      </c>
      <c r="D962" s="182">
        <v>26.0</v>
      </c>
      <c r="E962" s="182">
        <v>588.0</v>
      </c>
      <c r="F962" s="209">
        <v>4.42</v>
      </c>
      <c r="G962" s="210"/>
    </row>
    <row r="963">
      <c r="A963" s="182" t="s">
        <v>250</v>
      </c>
      <c r="B963" s="182" t="s">
        <v>188</v>
      </c>
      <c r="C963" s="182" t="s">
        <v>612</v>
      </c>
      <c r="D963" s="182">
        <v>13.0</v>
      </c>
      <c r="E963" s="182">
        <v>588.0</v>
      </c>
      <c r="F963" s="209">
        <v>2.21</v>
      </c>
      <c r="G963" s="210"/>
    </row>
    <row r="964">
      <c r="A964" s="182" t="s">
        <v>250</v>
      </c>
      <c r="B964" s="182" t="s">
        <v>188</v>
      </c>
      <c r="C964" s="182" t="s">
        <v>618</v>
      </c>
      <c r="D964" s="182">
        <v>9.0</v>
      </c>
      <c r="E964" s="182">
        <v>588.0</v>
      </c>
      <c r="F964" s="209">
        <v>1.53</v>
      </c>
      <c r="G964" s="210"/>
    </row>
    <row r="965">
      <c r="A965" s="182" t="s">
        <v>250</v>
      </c>
      <c r="B965" s="182" t="s">
        <v>188</v>
      </c>
      <c r="C965" s="182" t="s">
        <v>621</v>
      </c>
      <c r="D965" s="182">
        <v>8.0</v>
      </c>
      <c r="E965" s="182">
        <v>588.0</v>
      </c>
      <c r="F965" s="209">
        <v>1.36</v>
      </c>
      <c r="G965" s="210"/>
    </row>
    <row r="966">
      <c r="A966" s="182" t="s">
        <v>250</v>
      </c>
      <c r="B966" s="182" t="s">
        <v>188</v>
      </c>
      <c r="C966" s="182" t="s">
        <v>608</v>
      </c>
      <c r="D966" s="182">
        <v>6.0</v>
      </c>
      <c r="E966" s="182">
        <v>588.0</v>
      </c>
      <c r="F966" s="209">
        <v>1.02</v>
      </c>
      <c r="G966" s="210"/>
    </row>
    <row r="967">
      <c r="A967" s="182" t="s">
        <v>250</v>
      </c>
      <c r="B967" s="182" t="s">
        <v>188</v>
      </c>
      <c r="C967" s="182" t="s">
        <v>615</v>
      </c>
      <c r="D967" s="182">
        <v>4.0</v>
      </c>
      <c r="E967" s="182">
        <v>588.0</v>
      </c>
      <c r="F967" s="209">
        <v>0.68</v>
      </c>
      <c r="G967" s="210"/>
    </row>
    <row r="968">
      <c r="A968" s="182" t="s">
        <v>250</v>
      </c>
      <c r="B968" s="182" t="s">
        <v>188</v>
      </c>
      <c r="C968" s="182" t="s">
        <v>613</v>
      </c>
      <c r="D968" s="182">
        <v>2.0</v>
      </c>
      <c r="E968" s="182">
        <v>588.0</v>
      </c>
      <c r="F968" s="209">
        <v>0.34</v>
      </c>
      <c r="G968" s="210"/>
    </row>
    <row r="969">
      <c r="A969" s="182" t="s">
        <v>250</v>
      </c>
      <c r="B969" s="182" t="s">
        <v>188</v>
      </c>
      <c r="C969" s="182" t="s">
        <v>614</v>
      </c>
      <c r="D969" s="182">
        <v>2.0</v>
      </c>
      <c r="E969" s="182">
        <v>588.0</v>
      </c>
      <c r="F969" s="209">
        <v>0.34</v>
      </c>
      <c r="G969" s="210"/>
    </row>
    <row r="970">
      <c r="F970" s="211"/>
      <c r="G970" s="210"/>
    </row>
    <row r="971">
      <c r="F971" s="211"/>
      <c r="G971" s="210"/>
    </row>
    <row r="972">
      <c r="F972" s="211"/>
      <c r="G972" s="210"/>
    </row>
    <row r="973">
      <c r="F973" s="211"/>
      <c r="G973" s="210"/>
    </row>
    <row r="974">
      <c r="F974" s="211"/>
      <c r="G974" s="210"/>
    </row>
    <row r="975">
      <c r="F975" s="211"/>
      <c r="G975" s="210"/>
    </row>
    <row r="976">
      <c r="F976" s="211"/>
      <c r="G976" s="210"/>
    </row>
    <row r="977">
      <c r="F977" s="211"/>
      <c r="G977" s="210"/>
    </row>
    <row r="978">
      <c r="F978" s="211"/>
      <c r="G978" s="210"/>
    </row>
    <row r="979">
      <c r="F979" s="211"/>
      <c r="G979" s="210"/>
    </row>
    <row r="980">
      <c r="F980" s="211"/>
      <c r="G980" s="210"/>
    </row>
    <row r="981">
      <c r="F981" s="211"/>
      <c r="G981" s="210"/>
    </row>
    <row r="982">
      <c r="F982" s="211"/>
      <c r="G982" s="210"/>
    </row>
    <row r="983">
      <c r="F983" s="211"/>
      <c r="G983" s="210"/>
    </row>
    <row r="984">
      <c r="F984" s="211"/>
      <c r="G984" s="210"/>
    </row>
    <row r="985">
      <c r="F985" s="211"/>
      <c r="G985" s="210"/>
    </row>
    <row r="986">
      <c r="F986" s="211"/>
      <c r="G986" s="210"/>
    </row>
    <row r="987">
      <c r="F987" s="211"/>
      <c r="G987" s="210"/>
    </row>
    <row r="988">
      <c r="F988" s="211"/>
      <c r="G988" s="210"/>
    </row>
    <row r="989">
      <c r="F989" s="211"/>
      <c r="G989" s="210"/>
    </row>
    <row r="990">
      <c r="F990" s="211"/>
      <c r="G990" s="210"/>
    </row>
    <row r="991">
      <c r="F991" s="211"/>
      <c r="G991" s="210"/>
    </row>
    <row r="992">
      <c r="F992" s="211"/>
      <c r="G992" s="210"/>
    </row>
    <row r="993">
      <c r="F993" s="211"/>
      <c r="G993" s="210"/>
    </row>
    <row r="994">
      <c r="F994" s="211"/>
      <c r="G994" s="210"/>
    </row>
    <row r="995">
      <c r="F995" s="211"/>
      <c r="G995" s="210"/>
    </row>
    <row r="996">
      <c r="F996" s="211"/>
      <c r="G996" s="210"/>
    </row>
    <row r="997">
      <c r="F997" s="211"/>
      <c r="G997" s="210"/>
    </row>
    <row r="998">
      <c r="F998" s="211"/>
      <c r="G998" s="210"/>
    </row>
    <row r="999">
      <c r="F999" s="211"/>
      <c r="G999" s="210"/>
    </row>
    <row r="1000">
      <c r="F1000" s="211"/>
      <c r="G1000" s="2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22.25"/>
    <col customWidth="1" min="14" max="14" width="25.5"/>
    <col customWidth="1" min="15" max="15" width="19.63"/>
    <col customWidth="1" min="16" max="16" width="21.38"/>
    <col customWidth="1" min="17" max="17" width="20.5"/>
    <col customWidth="1" min="18" max="19" width="22.25"/>
    <col customWidth="1" min="20" max="20" width="23.0"/>
    <col customWidth="1" min="21" max="21" width="17.75"/>
    <col customWidth="1" min="26" max="26" width="13.75"/>
  </cols>
  <sheetData>
    <row r="1">
      <c r="A1" s="189" t="str">
        <f>IFERROR(__xludf.DUMMYFUNCTION("QUERY(doubles!1:1000, ""select * where E = '""&amp;'Team View'!C3&amp;""' order by Y desc"",1)"),"Match Id")</f>
        <v>Match Id</v>
      </c>
      <c r="B1" s="189" t="str">
        <f>IFERROR(__xludf.DUMMYFUNCTION("""COMPUTED_VALUE"""),"Series Id")</f>
        <v>Series Id</v>
      </c>
      <c r="C1" s="189" t="str">
        <f>IFERROR(__xludf.DUMMYFUNCTION("""COMPUTED_VALUE"""),"Event Name")</f>
        <v>Event Name</v>
      </c>
      <c r="D1" s="189" t="str">
        <f>IFERROR(__xludf.DUMMYFUNCTION("""COMPUTED_VALUE"""),"Map Name")</f>
        <v>Map Name</v>
      </c>
      <c r="E1" s="189" t="str">
        <f>IFERROR(__xludf.DUMMYFUNCTION("""COMPUTED_VALUE"""),"Team 1 Name")</f>
        <v>Team 1 Name</v>
      </c>
      <c r="F1" s="189" t="str">
        <f>IFERROR(__xludf.DUMMYFUNCTION("""COMPUTED_VALUE"""),"Team 2 Name")</f>
        <v>Team 2 Name</v>
      </c>
      <c r="G1" s="189" t="str">
        <f>IFERROR(__xludf.DUMMYFUNCTION("""COMPUTED_VALUE"""),"Team 1 Agents")</f>
        <v>Team 1 Agents</v>
      </c>
      <c r="H1" s="189" t="str">
        <f>IFERROR(__xludf.DUMMYFUNCTION("""COMPUTED_VALUE"""),"Team 2 Agents")</f>
        <v>Team 2 Agents</v>
      </c>
      <c r="I1" s="189" t="str">
        <f>IFERROR(__xludf.DUMMYFUNCTION("""COMPUTED_VALUE"""),"Team 1 Score")</f>
        <v>Team 1 Score</v>
      </c>
      <c r="J1" s="189" t="str">
        <f>IFERROR(__xludf.DUMMYFUNCTION("""COMPUTED_VALUE"""),"Team 2 Score")</f>
        <v>Team 2 Score</v>
      </c>
      <c r="K1" s="189" t="str">
        <f>IFERROR(__xludf.DUMMYFUNCTION("""COMPUTED_VALUE"""),"Team 1 Score At Half")</f>
        <v>Team 1 Score At Half</v>
      </c>
      <c r="L1" s="189" t="str">
        <f>IFERROR(__xludf.DUMMYFUNCTION("""COMPUTED_VALUE"""),"Team 2 Score At Half")</f>
        <v>Team 2 Score At Half</v>
      </c>
      <c r="M1" s="189" t="str">
        <f>IFERROR(__xludf.DUMMYFUNCTION("""COMPUTED_VALUE"""),"Team 1 Attacking Pistol Wins")</f>
        <v>Team 1 Attacking Pistol Wins</v>
      </c>
      <c r="N1" s="189" t="str">
        <f>IFERROR(__xludf.DUMMYFUNCTION("""COMPUTED_VALUE"""),"Team 1 Defending Pistol Wins")</f>
        <v>Team 1 Defending Pistol Wins</v>
      </c>
      <c r="O1" s="189" t="str">
        <f>IFERROR(__xludf.DUMMYFUNCTION("""COMPUTED_VALUE"""),"Team 1 Attacking Wins")</f>
        <v>Team 1 Attacking Wins</v>
      </c>
      <c r="P1" s="189" t="str">
        <f>IFERROR(__xludf.DUMMYFUNCTION("""COMPUTED_VALUE"""),"Team 1 Attacking Losses")</f>
        <v>Team 1 Attacking Losses</v>
      </c>
      <c r="Q1" s="189" t="str">
        <f>IFERROR(__xludf.DUMMYFUNCTION("""COMPUTED_VALUE"""),"Team 1 Defending Wins")</f>
        <v>Team 1 Defending Wins</v>
      </c>
      <c r="R1" s="189" t="str">
        <f>IFERROR(__xludf.DUMMYFUNCTION("""COMPUTED_VALUE"""),"Team 1 Defending Losses")</f>
        <v>Team 1 Defending Losses</v>
      </c>
      <c r="S1" s="189" t="str">
        <f>IFERROR(__xludf.DUMMYFUNCTION("""COMPUTED_VALUE"""),"Team 2 Attacking Pistol Wins")</f>
        <v>Team 2 Attacking Pistol Wins</v>
      </c>
      <c r="T1" s="189" t="str">
        <f>IFERROR(__xludf.DUMMYFUNCTION("""COMPUTED_VALUE"""),"Team 2 Defending Pistol Wins")</f>
        <v>Team 2 Defending Pistol Wins</v>
      </c>
      <c r="U1" s="189" t="str">
        <f>IFERROR(__xludf.DUMMYFUNCTION("""COMPUTED_VALUE"""),"Team 2 Attacking Wins")</f>
        <v>Team 2 Attacking Wins</v>
      </c>
      <c r="V1" s="189" t="str">
        <f>IFERROR(__xludf.DUMMYFUNCTION("""COMPUTED_VALUE"""),"Team 2 Attacking Losses")</f>
        <v>Team 2 Attacking Losses</v>
      </c>
      <c r="W1" s="189" t="str">
        <f>IFERROR(__xludf.DUMMYFUNCTION("""COMPUTED_VALUE"""),"Team 2 Defending Wins")</f>
        <v>Team 2 Defending Wins</v>
      </c>
      <c r="X1" s="189" t="str">
        <f>IFERROR(__xludf.DUMMYFUNCTION("""COMPUTED_VALUE"""),"Team 2 Defending Losses")</f>
        <v>Team 2 Defending Losses</v>
      </c>
      <c r="Y1" s="208" t="str">
        <f>IFERROR(__xludf.DUMMYFUNCTION("""COMPUTED_VALUE"""),"Date")</f>
        <v>Date</v>
      </c>
      <c r="Z1" s="189" t="str">
        <f>IFERROR(__xludf.DUMMYFUNCTION("""COMPUTED_VALUE"""),"Team_Map Index")</f>
        <v>Team_Map Index</v>
      </c>
      <c r="AA1" s="189" t="str">
        <f>IFERROR(__xludf.DUMMYFUNCTION("""COMPUTED_VALUE"""),"win team")</f>
        <v>win team</v>
      </c>
      <c r="AB1" s="182" t="s">
        <v>624</v>
      </c>
    </row>
    <row r="2">
      <c r="A2" s="189">
        <f>IFERROR(__xludf.DUMMYFUNCTION("""COMPUTED_VALUE"""),212063.0)</f>
        <v>212063</v>
      </c>
      <c r="B2" s="189">
        <f>IFERROR(__xludf.DUMMYFUNCTION("""COMPUTED_VALUE"""),93451.0)</f>
        <v>93451</v>
      </c>
      <c r="C2" s="189" t="str">
        <f>IFERROR(__xludf.DUMMYFUNCTION("""COMPUTED_VALUE"""),"Challengers League 2025 NORTH EAST: Split 3 - Playoffs")</f>
        <v>Challengers League 2025 NORTH EAST: Split 3 - Playoffs</v>
      </c>
      <c r="D2" s="189" t="str">
        <f>IFERROR(__xludf.DUMMYFUNCTION("""COMPUTED_VALUE"""),"Haven")</f>
        <v>Haven</v>
      </c>
      <c r="E2" s="189" t="str">
        <f>IFERROR(__xludf.DUMMYFUNCTION("""COMPUTED_VALUE"""),"Team Liquid Academy")</f>
        <v>Team Liquid Academy</v>
      </c>
      <c r="F2" s="189" t="str">
        <f>IFERROR(__xludf.DUMMYFUNCTION("""COMPUTED_VALUE"""),"Enterprise Esports")</f>
        <v>Enterprise Esports</v>
      </c>
      <c r="G2" s="189" t="str">
        <f>IFERROR(__xludf.DUMMYFUNCTION("""COMPUTED_VALUE"""),"Cypher,Sova,Omen,Yoru,Iso")</f>
        <v>Cypher,Sova,Omen,Yoru,Iso</v>
      </c>
      <c r="H2" s="189" t="str">
        <f>IFERROR(__xludf.DUMMYFUNCTION("""COMPUTED_VALUE"""),"Sova,Killjoy,Viper,Omen,Neon")</f>
        <v>Sova,Killjoy,Viper,Omen,Neon</v>
      </c>
      <c r="I2" s="189">
        <f>IFERROR(__xludf.DUMMYFUNCTION("""COMPUTED_VALUE"""),2.0)</f>
        <v>2</v>
      </c>
      <c r="J2" s="189">
        <f>IFERROR(__xludf.DUMMYFUNCTION("""COMPUTED_VALUE"""),13.0)</f>
        <v>13</v>
      </c>
      <c r="K2" s="189">
        <f>IFERROR(__xludf.DUMMYFUNCTION("""COMPUTED_VALUE"""),2.0)</f>
        <v>2</v>
      </c>
      <c r="L2" s="189">
        <f>IFERROR(__xludf.DUMMYFUNCTION("""COMPUTED_VALUE"""),10.0)</f>
        <v>10</v>
      </c>
      <c r="M2" s="189">
        <f>IFERROR(__xludf.DUMMYFUNCTION("""COMPUTED_VALUE"""),0.0)</f>
        <v>0</v>
      </c>
      <c r="N2" s="189">
        <f>IFERROR(__xludf.DUMMYFUNCTION("""COMPUTED_VALUE"""),0.0)</f>
        <v>0</v>
      </c>
      <c r="O2" s="189">
        <f>IFERROR(__xludf.DUMMYFUNCTION("""COMPUTED_VALUE"""),0.0)</f>
        <v>0</v>
      </c>
      <c r="P2" s="189">
        <f>IFERROR(__xludf.DUMMYFUNCTION("""COMPUTED_VALUE"""),3.0)</f>
        <v>3</v>
      </c>
      <c r="Q2" s="189">
        <f>IFERROR(__xludf.DUMMYFUNCTION("""COMPUTED_VALUE"""),2.0)</f>
        <v>2</v>
      </c>
      <c r="R2" s="189">
        <f>IFERROR(__xludf.DUMMYFUNCTION("""COMPUTED_VALUE"""),10.0)</f>
        <v>10</v>
      </c>
      <c r="S2" s="189">
        <f>IFERROR(__xludf.DUMMYFUNCTION("""COMPUTED_VALUE"""),1.0)</f>
        <v>1</v>
      </c>
      <c r="T2" s="189">
        <f>IFERROR(__xludf.DUMMYFUNCTION("""COMPUTED_VALUE"""),1.0)</f>
        <v>1</v>
      </c>
      <c r="U2" s="189">
        <f>IFERROR(__xludf.DUMMYFUNCTION("""COMPUTED_VALUE"""),10.0)</f>
        <v>10</v>
      </c>
      <c r="V2" s="189">
        <f>IFERROR(__xludf.DUMMYFUNCTION("""COMPUTED_VALUE"""),2.0)</f>
        <v>2</v>
      </c>
      <c r="W2" s="189">
        <f>IFERROR(__xludf.DUMMYFUNCTION("""COMPUTED_VALUE"""),3.0)</f>
        <v>3</v>
      </c>
      <c r="X2" s="189">
        <f>IFERROR(__xludf.DUMMYFUNCTION("""COMPUTED_VALUE"""),0.0)</f>
        <v>0</v>
      </c>
      <c r="Y2" s="208" t="str">
        <f>IFERROR(__xludf.DUMMYFUNCTION("""COMPUTED_VALUE"""),"2025-08-17T00:00:00.000Z")</f>
        <v>2025-08-17T00:00:00.000Z</v>
      </c>
      <c r="Z2" s="189" t="str">
        <f>IFERROR(__xludf.DUMMYFUNCTION("""COMPUTED_VALUE"""),"Team Liquid Academy_Haven")</f>
        <v>Team Liquid Academy_Haven</v>
      </c>
      <c r="AA2" s="189" t="str">
        <f>IFERROR(__xludf.DUMMYFUNCTION("""COMPUTED_VALUE"""),"Enterprise Esports")</f>
        <v>Enterprise Esports</v>
      </c>
      <c r="AB2" s="189" t="str">
        <f t="array" ref="AB2:AB1000">""&amp;D2:D1000&amp;"_"&amp;G2:G1000&amp;""</f>
        <v>Haven_Cypher,Sova,Omen,Yoru,Iso</v>
      </c>
    </row>
    <row r="3">
      <c r="A3" s="189">
        <f>IFERROR(__xludf.DUMMYFUNCTION("""COMPUTED_VALUE"""),212062.0)</f>
        <v>212062</v>
      </c>
      <c r="B3" s="189">
        <f>IFERROR(__xludf.DUMMYFUNCTION("""COMPUTED_VALUE"""),93451.0)</f>
        <v>93451</v>
      </c>
      <c r="C3" s="189" t="str">
        <f>IFERROR(__xludf.DUMMYFUNCTION("""COMPUTED_VALUE"""),"Challengers League 2025 NORTH EAST: Split 3 - Playoffs")</f>
        <v>Challengers League 2025 NORTH EAST: Split 3 - Playoffs</v>
      </c>
      <c r="D3" s="189" t="str">
        <f>IFERROR(__xludf.DUMMYFUNCTION("""COMPUTED_VALUE"""),"Corrode")</f>
        <v>Corrode</v>
      </c>
      <c r="E3" s="189" t="str">
        <f>IFERROR(__xludf.DUMMYFUNCTION("""COMPUTED_VALUE"""),"Team Liquid Academy")</f>
        <v>Team Liquid Academy</v>
      </c>
      <c r="F3" s="189" t="str">
        <f>IFERROR(__xludf.DUMMYFUNCTION("""COMPUTED_VALUE"""),"Enterprise Esports")</f>
        <v>Enterprise Esports</v>
      </c>
      <c r="G3" s="189" t="str">
        <f>IFERROR(__xludf.DUMMYFUNCTION("""COMPUTED_VALUE"""),"Cypher,Phoenix,Omen,Yoru,Fade")</f>
        <v>Cypher,Phoenix,Omen,Yoru,Fade</v>
      </c>
      <c r="H3" s="189" t="str">
        <f>IFERROR(__xludf.DUMMYFUNCTION("""COMPUTED_VALUE"""),"Sova,Viper,Omen,Yoru,Fade")</f>
        <v>Sova,Viper,Omen,Yoru,Fade</v>
      </c>
      <c r="I3" s="189">
        <f>IFERROR(__xludf.DUMMYFUNCTION("""COMPUTED_VALUE"""),6.0)</f>
        <v>6</v>
      </c>
      <c r="J3" s="189">
        <f>IFERROR(__xludf.DUMMYFUNCTION("""COMPUTED_VALUE"""),13.0)</f>
        <v>13</v>
      </c>
      <c r="K3" s="189">
        <f>IFERROR(__xludf.DUMMYFUNCTION("""COMPUTED_VALUE"""),3.0)</f>
        <v>3</v>
      </c>
      <c r="L3" s="189">
        <f>IFERROR(__xludf.DUMMYFUNCTION("""COMPUTED_VALUE"""),9.0)</f>
        <v>9</v>
      </c>
      <c r="M3" s="189">
        <f>IFERROR(__xludf.DUMMYFUNCTION("""COMPUTED_VALUE"""),0.0)</f>
        <v>0</v>
      </c>
      <c r="N3" s="189">
        <f>IFERROR(__xludf.DUMMYFUNCTION("""COMPUTED_VALUE"""),0.0)</f>
        <v>0</v>
      </c>
      <c r="O3" s="189">
        <f>IFERROR(__xludf.DUMMYFUNCTION("""COMPUTED_VALUE"""),3.0)</f>
        <v>3</v>
      </c>
      <c r="P3" s="189">
        <f>IFERROR(__xludf.DUMMYFUNCTION("""COMPUTED_VALUE"""),9.0)</f>
        <v>9</v>
      </c>
      <c r="Q3" s="189">
        <f>IFERROR(__xludf.DUMMYFUNCTION("""COMPUTED_VALUE"""),3.0)</f>
        <v>3</v>
      </c>
      <c r="R3" s="189">
        <f>IFERROR(__xludf.DUMMYFUNCTION("""COMPUTED_VALUE"""),4.0)</f>
        <v>4</v>
      </c>
      <c r="S3" s="189">
        <f>IFERROR(__xludf.DUMMYFUNCTION("""COMPUTED_VALUE"""),1.0)</f>
        <v>1</v>
      </c>
      <c r="T3" s="189">
        <f>IFERROR(__xludf.DUMMYFUNCTION("""COMPUTED_VALUE"""),1.0)</f>
        <v>1</v>
      </c>
      <c r="U3" s="189">
        <f>IFERROR(__xludf.DUMMYFUNCTION("""COMPUTED_VALUE"""),4.0)</f>
        <v>4</v>
      </c>
      <c r="V3" s="189">
        <f>IFERROR(__xludf.DUMMYFUNCTION("""COMPUTED_VALUE"""),3.0)</f>
        <v>3</v>
      </c>
      <c r="W3" s="189">
        <f>IFERROR(__xludf.DUMMYFUNCTION("""COMPUTED_VALUE"""),9.0)</f>
        <v>9</v>
      </c>
      <c r="X3" s="189">
        <f>IFERROR(__xludf.DUMMYFUNCTION("""COMPUTED_VALUE"""),3.0)</f>
        <v>3</v>
      </c>
      <c r="Y3" s="208" t="str">
        <f>IFERROR(__xludf.DUMMYFUNCTION("""COMPUTED_VALUE"""),"2025-08-17T00:00:00.000Z")</f>
        <v>2025-08-17T00:00:00.000Z</v>
      </c>
      <c r="Z3" s="189" t="str">
        <f>IFERROR(__xludf.DUMMYFUNCTION("""COMPUTED_VALUE"""),"Team Liquid Academy_Corrode")</f>
        <v>Team Liquid Academy_Corrode</v>
      </c>
      <c r="AA3" s="189" t="str">
        <f>IFERROR(__xludf.DUMMYFUNCTION("""COMPUTED_VALUE"""),"Enterprise Esports")</f>
        <v>Enterprise Esports</v>
      </c>
      <c r="AB3" s="189" t="s">
        <v>625</v>
      </c>
    </row>
    <row r="4">
      <c r="A4" s="189">
        <f>IFERROR(__xludf.DUMMYFUNCTION("""COMPUTED_VALUE"""),212061.0)</f>
        <v>212061</v>
      </c>
      <c r="B4" s="189">
        <f>IFERROR(__xludf.DUMMYFUNCTION("""COMPUTED_VALUE"""),93451.0)</f>
        <v>93451</v>
      </c>
      <c r="C4" s="189" t="str">
        <f>IFERROR(__xludf.DUMMYFUNCTION("""COMPUTED_VALUE"""),"Challengers League 2025 NORTH EAST: Split 3 - Playoffs")</f>
        <v>Challengers League 2025 NORTH EAST: Split 3 - Playoffs</v>
      </c>
      <c r="D4" s="189" t="str">
        <f>IFERROR(__xludf.DUMMYFUNCTION("""COMPUTED_VALUE"""),"Ascent")</f>
        <v>Ascent</v>
      </c>
      <c r="E4" s="189" t="str">
        <f>IFERROR(__xludf.DUMMYFUNCTION("""COMPUTED_VALUE"""),"Team Liquid Academy")</f>
        <v>Team Liquid Academy</v>
      </c>
      <c r="F4" s="189" t="str">
        <f>IFERROR(__xludf.DUMMYFUNCTION("""COMPUTED_VALUE"""),"Enterprise Esports")</f>
        <v>Enterprise Esports</v>
      </c>
      <c r="G4" s="189" t="str">
        <f>IFERROR(__xludf.DUMMYFUNCTION("""COMPUTED_VALUE"""),"Sova,Omen,Yoru,Vyse,Waylay")</f>
        <v>Sova,Omen,Yoru,Vyse,Waylay</v>
      </c>
      <c r="H4" s="189" t="str">
        <f>IFERROR(__xludf.DUMMYFUNCTION("""COMPUTED_VALUE"""),"Cypher,Sova,Omen,Jett,KAY/O")</f>
        <v>Cypher,Sova,Omen,Jett,KAY/O</v>
      </c>
      <c r="I4" s="189">
        <f>IFERROR(__xludf.DUMMYFUNCTION("""COMPUTED_VALUE"""),5.0)</f>
        <v>5</v>
      </c>
      <c r="J4" s="189">
        <f>IFERROR(__xludf.DUMMYFUNCTION("""COMPUTED_VALUE"""),13.0)</f>
        <v>13</v>
      </c>
      <c r="K4" s="189">
        <f>IFERROR(__xludf.DUMMYFUNCTION("""COMPUTED_VALUE"""),4.0)</f>
        <v>4</v>
      </c>
      <c r="L4" s="189">
        <f>IFERROR(__xludf.DUMMYFUNCTION("""COMPUTED_VALUE"""),8.0)</f>
        <v>8</v>
      </c>
      <c r="M4" s="189">
        <f>IFERROR(__xludf.DUMMYFUNCTION("""COMPUTED_VALUE"""),0.0)</f>
        <v>0</v>
      </c>
      <c r="N4" s="189">
        <f>IFERROR(__xludf.DUMMYFUNCTION("""COMPUTED_VALUE"""),1.0)</f>
        <v>1</v>
      </c>
      <c r="O4" s="189">
        <f>IFERROR(__xludf.DUMMYFUNCTION("""COMPUTED_VALUE"""),1.0)</f>
        <v>1</v>
      </c>
      <c r="P4" s="189">
        <f>IFERROR(__xludf.DUMMYFUNCTION("""COMPUTED_VALUE"""),5.0)</f>
        <v>5</v>
      </c>
      <c r="Q4" s="189">
        <f>IFERROR(__xludf.DUMMYFUNCTION("""COMPUTED_VALUE"""),4.0)</f>
        <v>4</v>
      </c>
      <c r="R4" s="189">
        <f>IFERROR(__xludf.DUMMYFUNCTION("""COMPUTED_VALUE"""),8.0)</f>
        <v>8</v>
      </c>
      <c r="S4" s="189">
        <f>IFERROR(__xludf.DUMMYFUNCTION("""COMPUTED_VALUE"""),0.0)</f>
        <v>0</v>
      </c>
      <c r="T4" s="189">
        <f>IFERROR(__xludf.DUMMYFUNCTION("""COMPUTED_VALUE"""),1.0)</f>
        <v>1</v>
      </c>
      <c r="U4" s="189">
        <f>IFERROR(__xludf.DUMMYFUNCTION("""COMPUTED_VALUE"""),8.0)</f>
        <v>8</v>
      </c>
      <c r="V4" s="189">
        <f>IFERROR(__xludf.DUMMYFUNCTION("""COMPUTED_VALUE"""),4.0)</f>
        <v>4</v>
      </c>
      <c r="W4" s="189">
        <f>IFERROR(__xludf.DUMMYFUNCTION("""COMPUTED_VALUE"""),5.0)</f>
        <v>5</v>
      </c>
      <c r="X4" s="189">
        <f>IFERROR(__xludf.DUMMYFUNCTION("""COMPUTED_VALUE"""),1.0)</f>
        <v>1</v>
      </c>
      <c r="Y4" s="208" t="str">
        <f>IFERROR(__xludf.DUMMYFUNCTION("""COMPUTED_VALUE"""),"2025-08-17T00:00:00.000Z")</f>
        <v>2025-08-17T00:00:00.000Z</v>
      </c>
      <c r="Z4" s="189" t="str">
        <f>IFERROR(__xludf.DUMMYFUNCTION("""COMPUTED_VALUE"""),"Team Liquid Academy_Ascent")</f>
        <v>Team Liquid Academy_Ascent</v>
      </c>
      <c r="AA4" s="189" t="str">
        <f>IFERROR(__xludf.DUMMYFUNCTION("""COMPUTED_VALUE"""),"Enterprise Esports")</f>
        <v>Enterprise Esports</v>
      </c>
      <c r="AB4" s="189" t="s">
        <v>626</v>
      </c>
    </row>
    <row r="5">
      <c r="A5" s="189">
        <f>IFERROR(__xludf.DUMMYFUNCTION("""COMPUTED_VALUE"""),212070.0)</f>
        <v>212070</v>
      </c>
      <c r="B5" s="189">
        <f>IFERROR(__xludf.DUMMYFUNCTION("""COMPUTED_VALUE"""),93452.0)</f>
        <v>93452</v>
      </c>
      <c r="C5" s="189" t="str">
        <f>IFERROR(__xludf.DUMMYFUNCTION("""COMPUTED_VALUE"""),"Challengers League 2025 NORTH EAST: Split 3 - Playoffs")</f>
        <v>Challengers League 2025 NORTH EAST: Split 3 - Playoffs</v>
      </c>
      <c r="D5" s="189" t="str">
        <f>IFERROR(__xludf.DUMMYFUNCTION("""COMPUTED_VALUE"""),"Bind")</f>
        <v>Bind</v>
      </c>
      <c r="E5" s="189" t="str">
        <f>IFERROR(__xludf.DUMMYFUNCTION("""COMPUTED_VALUE"""),"Team Liquid Academy")</f>
        <v>Team Liquid Academy</v>
      </c>
      <c r="F5" s="189" t="str">
        <f>IFERROR(__xludf.DUMMYFUNCTION("""COMPUTED_VALUE"""),"děti ulice")</f>
        <v>děti ulice</v>
      </c>
      <c r="G5" s="189" t="str">
        <f>IFERROR(__xludf.DUMMYFUNCTION("""COMPUTED_VALUE"""),"Yoru,Astra,Gekko,Deadlock,Waylay")</f>
        <v>Yoru,Astra,Gekko,Deadlock,Waylay</v>
      </c>
      <c r="H5" s="189" t="str">
        <f>IFERROR(__xludf.DUMMYFUNCTION("""COMPUTED_VALUE"""),"Raze,Viper,Brimstone,Yoru,Fade")</f>
        <v>Raze,Viper,Brimstone,Yoru,Fade</v>
      </c>
      <c r="I5" s="189">
        <f>IFERROR(__xludf.DUMMYFUNCTION("""COMPUTED_VALUE"""),13.0)</f>
        <v>13</v>
      </c>
      <c r="J5" s="189">
        <f>IFERROR(__xludf.DUMMYFUNCTION("""COMPUTED_VALUE"""),8.0)</f>
        <v>8</v>
      </c>
      <c r="K5" s="189">
        <f>IFERROR(__xludf.DUMMYFUNCTION("""COMPUTED_VALUE"""),5.0)</f>
        <v>5</v>
      </c>
      <c r="L5" s="189">
        <f>IFERROR(__xludf.DUMMYFUNCTION("""COMPUTED_VALUE"""),7.0)</f>
        <v>7</v>
      </c>
      <c r="M5" s="189">
        <f>IFERROR(__xludf.DUMMYFUNCTION("""COMPUTED_VALUE"""),1.0)</f>
        <v>1</v>
      </c>
      <c r="N5" s="189">
        <f>IFERROR(__xludf.DUMMYFUNCTION("""COMPUTED_VALUE"""),0.0)</f>
        <v>0</v>
      </c>
      <c r="O5" s="189">
        <f>IFERROR(__xludf.DUMMYFUNCTION("""COMPUTED_VALUE"""),8.0)</f>
        <v>8</v>
      </c>
      <c r="P5" s="189">
        <f>IFERROR(__xludf.DUMMYFUNCTION("""COMPUTED_VALUE"""),1.0)</f>
        <v>1</v>
      </c>
      <c r="Q5" s="189">
        <f>IFERROR(__xludf.DUMMYFUNCTION("""COMPUTED_VALUE"""),5.0)</f>
        <v>5</v>
      </c>
      <c r="R5" s="189">
        <f>IFERROR(__xludf.DUMMYFUNCTION("""COMPUTED_VALUE"""),7.0)</f>
        <v>7</v>
      </c>
      <c r="S5" s="189">
        <f>IFERROR(__xludf.DUMMYFUNCTION("""COMPUTED_VALUE"""),1.0)</f>
        <v>1</v>
      </c>
      <c r="T5" s="189">
        <f>IFERROR(__xludf.DUMMYFUNCTION("""COMPUTED_VALUE"""),0.0)</f>
        <v>0</v>
      </c>
      <c r="U5" s="189">
        <f>IFERROR(__xludf.DUMMYFUNCTION("""COMPUTED_VALUE"""),7.0)</f>
        <v>7</v>
      </c>
      <c r="V5" s="189">
        <f>IFERROR(__xludf.DUMMYFUNCTION("""COMPUTED_VALUE"""),5.0)</f>
        <v>5</v>
      </c>
      <c r="W5" s="189">
        <f>IFERROR(__xludf.DUMMYFUNCTION("""COMPUTED_VALUE"""),1.0)</f>
        <v>1</v>
      </c>
      <c r="X5" s="189">
        <f>IFERROR(__xludf.DUMMYFUNCTION("""COMPUTED_VALUE"""),8.0)</f>
        <v>8</v>
      </c>
      <c r="Y5" s="208" t="str">
        <f>IFERROR(__xludf.DUMMYFUNCTION("""COMPUTED_VALUE"""),"2025-08-16T00:00:00.000Z")</f>
        <v>2025-08-16T00:00:00.000Z</v>
      </c>
      <c r="Z5" s="189" t="str">
        <f>IFERROR(__xludf.DUMMYFUNCTION("""COMPUTED_VALUE"""),"Team Liquid Academy_Bind")</f>
        <v>Team Liquid Academy_Bind</v>
      </c>
      <c r="AA5" s="189" t="str">
        <f>IFERROR(__xludf.DUMMYFUNCTION("""COMPUTED_VALUE"""),"Team Liquid Academy")</f>
        <v>Team Liquid Academy</v>
      </c>
      <c r="AB5" s="189" t="s">
        <v>627</v>
      </c>
    </row>
    <row r="6">
      <c r="A6" s="189">
        <f>IFERROR(__xludf.DUMMYFUNCTION("""COMPUTED_VALUE"""),212069.0)</f>
        <v>212069</v>
      </c>
      <c r="B6" s="189">
        <f>IFERROR(__xludf.DUMMYFUNCTION("""COMPUTED_VALUE"""),93452.0)</f>
        <v>93452</v>
      </c>
      <c r="C6" s="189" t="str">
        <f>IFERROR(__xludf.DUMMYFUNCTION("""COMPUTED_VALUE"""),"Challengers League 2025 NORTH EAST: Split 3 - Playoffs")</f>
        <v>Challengers League 2025 NORTH EAST: Split 3 - Playoffs</v>
      </c>
      <c r="D6" s="189" t="str">
        <f>IFERROR(__xludf.DUMMYFUNCTION("""COMPUTED_VALUE"""),"Sunset")</f>
        <v>Sunset</v>
      </c>
      <c r="E6" s="189" t="str">
        <f>IFERROR(__xludf.DUMMYFUNCTION("""COMPUTED_VALUE"""),"Team Liquid Academy")</f>
        <v>Team Liquid Academy</v>
      </c>
      <c r="F6" s="189" t="str">
        <f>IFERROR(__xludf.DUMMYFUNCTION("""COMPUTED_VALUE"""),"děti ulice")</f>
        <v>děti ulice</v>
      </c>
      <c r="G6" s="189" t="str">
        <f>IFERROR(__xludf.DUMMYFUNCTION("""COMPUTED_VALUE"""),"Sova,Omen,Yoru,Vyse,Waylay")</f>
        <v>Sova,Omen,Yoru,Vyse,Waylay</v>
      </c>
      <c r="H6" s="189" t="str">
        <f>IFERROR(__xludf.DUMMYFUNCTION("""COMPUTED_VALUE"""),"Cypher,Sova,Omen,Yoru,Neon")</f>
        <v>Cypher,Sova,Omen,Yoru,Neon</v>
      </c>
      <c r="I6" s="189">
        <f>IFERROR(__xludf.DUMMYFUNCTION("""COMPUTED_VALUE"""),13.0)</f>
        <v>13</v>
      </c>
      <c r="J6" s="189">
        <f>IFERROR(__xludf.DUMMYFUNCTION("""COMPUTED_VALUE"""),5.0)</f>
        <v>5</v>
      </c>
      <c r="K6" s="189">
        <f>IFERROR(__xludf.DUMMYFUNCTION("""COMPUTED_VALUE"""),8.0)</f>
        <v>8</v>
      </c>
      <c r="L6" s="189">
        <f>IFERROR(__xludf.DUMMYFUNCTION("""COMPUTED_VALUE"""),4.0)</f>
        <v>4</v>
      </c>
      <c r="M6" s="189">
        <f>IFERROR(__xludf.DUMMYFUNCTION("""COMPUTED_VALUE"""),1.0)</f>
        <v>1</v>
      </c>
      <c r="N6" s="189">
        <f>IFERROR(__xludf.DUMMYFUNCTION("""COMPUTED_VALUE"""),1.0)</f>
        <v>1</v>
      </c>
      <c r="O6" s="189">
        <f>IFERROR(__xludf.DUMMYFUNCTION("""COMPUTED_VALUE"""),8.0)</f>
        <v>8</v>
      </c>
      <c r="P6" s="189">
        <f>IFERROR(__xludf.DUMMYFUNCTION("""COMPUTED_VALUE"""),4.0)</f>
        <v>4</v>
      </c>
      <c r="Q6" s="189">
        <f>IFERROR(__xludf.DUMMYFUNCTION("""COMPUTED_VALUE"""),5.0)</f>
        <v>5</v>
      </c>
      <c r="R6" s="189">
        <f>IFERROR(__xludf.DUMMYFUNCTION("""COMPUTED_VALUE"""),1.0)</f>
        <v>1</v>
      </c>
      <c r="S6" s="189">
        <f>IFERROR(__xludf.DUMMYFUNCTION("""COMPUTED_VALUE"""),0.0)</f>
        <v>0</v>
      </c>
      <c r="T6" s="189">
        <f>IFERROR(__xludf.DUMMYFUNCTION("""COMPUTED_VALUE"""),0.0)</f>
        <v>0</v>
      </c>
      <c r="U6" s="189">
        <f>IFERROR(__xludf.DUMMYFUNCTION("""COMPUTED_VALUE"""),1.0)</f>
        <v>1</v>
      </c>
      <c r="V6" s="189">
        <f>IFERROR(__xludf.DUMMYFUNCTION("""COMPUTED_VALUE"""),5.0)</f>
        <v>5</v>
      </c>
      <c r="W6" s="189">
        <f>IFERROR(__xludf.DUMMYFUNCTION("""COMPUTED_VALUE"""),4.0)</f>
        <v>4</v>
      </c>
      <c r="X6" s="189">
        <f>IFERROR(__xludf.DUMMYFUNCTION("""COMPUTED_VALUE"""),8.0)</f>
        <v>8</v>
      </c>
      <c r="Y6" s="208" t="str">
        <f>IFERROR(__xludf.DUMMYFUNCTION("""COMPUTED_VALUE"""),"2025-08-16T00:00:00.000Z")</f>
        <v>2025-08-16T00:00:00.000Z</v>
      </c>
      <c r="Z6" s="189" t="str">
        <f>IFERROR(__xludf.DUMMYFUNCTION("""COMPUTED_VALUE"""),"Team Liquid Academy_Sunset")</f>
        <v>Team Liquid Academy_Sunset</v>
      </c>
      <c r="AA6" s="189" t="str">
        <f>IFERROR(__xludf.DUMMYFUNCTION("""COMPUTED_VALUE"""),"Team Liquid Academy")</f>
        <v>Team Liquid Academy</v>
      </c>
      <c r="AB6" s="189" t="s">
        <v>628</v>
      </c>
    </row>
    <row r="7">
      <c r="A7" s="189">
        <f>IFERROR(__xludf.DUMMYFUNCTION("""COMPUTED_VALUE"""),212068.0)</f>
        <v>212068</v>
      </c>
      <c r="B7" s="189">
        <f>IFERROR(__xludf.DUMMYFUNCTION("""COMPUTED_VALUE"""),93452.0)</f>
        <v>93452</v>
      </c>
      <c r="C7" s="189" t="str">
        <f>IFERROR(__xludf.DUMMYFUNCTION("""COMPUTED_VALUE"""),"Challengers League 2025 NORTH EAST: Split 3 - Playoffs")</f>
        <v>Challengers League 2025 NORTH EAST: Split 3 - Playoffs</v>
      </c>
      <c r="D7" s="189" t="str">
        <f>IFERROR(__xludf.DUMMYFUNCTION("""COMPUTED_VALUE"""),"Lotus")</f>
        <v>Lotus</v>
      </c>
      <c r="E7" s="189" t="str">
        <f>IFERROR(__xludf.DUMMYFUNCTION("""COMPUTED_VALUE"""),"Team Liquid Academy")</f>
        <v>Team Liquid Academy</v>
      </c>
      <c r="F7" s="189" t="str">
        <f>IFERROR(__xludf.DUMMYFUNCTION("""COMPUTED_VALUE"""),"děti ulice")</f>
        <v>děti ulice</v>
      </c>
      <c r="G7" s="189" t="str">
        <f>IFERROR(__xludf.DUMMYFUNCTION("""COMPUTED_VALUE"""),"Cypher,Omen,Neon,Fade,Iso")</f>
        <v>Cypher,Omen,Neon,Fade,Iso</v>
      </c>
      <c r="H7" s="189" t="str">
        <f>IFERROR(__xludf.DUMMYFUNCTION("""COMPUTED_VALUE"""),"Raze,Omen,Yoru,Fade,Vyse")</f>
        <v>Raze,Omen,Yoru,Fade,Vyse</v>
      </c>
      <c r="I7" s="189">
        <f>IFERROR(__xludf.DUMMYFUNCTION("""COMPUTED_VALUE"""),10.0)</f>
        <v>10</v>
      </c>
      <c r="J7" s="189">
        <f>IFERROR(__xludf.DUMMYFUNCTION("""COMPUTED_VALUE"""),13.0)</f>
        <v>13</v>
      </c>
      <c r="K7" s="189">
        <f>IFERROR(__xludf.DUMMYFUNCTION("""COMPUTED_VALUE"""),6.0)</f>
        <v>6</v>
      </c>
      <c r="L7" s="189">
        <f>IFERROR(__xludf.DUMMYFUNCTION("""COMPUTED_VALUE"""),6.0)</f>
        <v>6</v>
      </c>
      <c r="M7" s="189">
        <f>IFERROR(__xludf.DUMMYFUNCTION("""COMPUTED_VALUE"""),1.0)</f>
        <v>1</v>
      </c>
      <c r="N7" s="189">
        <f>IFERROR(__xludf.DUMMYFUNCTION("""COMPUTED_VALUE"""),1.0)</f>
        <v>1</v>
      </c>
      <c r="O7" s="189">
        <f>IFERROR(__xludf.DUMMYFUNCTION("""COMPUTED_VALUE"""),4.0)</f>
        <v>4</v>
      </c>
      <c r="P7" s="189">
        <f>IFERROR(__xludf.DUMMYFUNCTION("""COMPUTED_VALUE"""),7.0)</f>
        <v>7</v>
      </c>
      <c r="Q7" s="189">
        <f>IFERROR(__xludf.DUMMYFUNCTION("""COMPUTED_VALUE"""),6.0)</f>
        <v>6</v>
      </c>
      <c r="R7" s="189">
        <f>IFERROR(__xludf.DUMMYFUNCTION("""COMPUTED_VALUE"""),6.0)</f>
        <v>6</v>
      </c>
      <c r="S7" s="189">
        <f>IFERROR(__xludf.DUMMYFUNCTION("""COMPUTED_VALUE"""),0.0)</f>
        <v>0</v>
      </c>
      <c r="T7" s="189">
        <f>IFERROR(__xludf.DUMMYFUNCTION("""COMPUTED_VALUE"""),0.0)</f>
        <v>0</v>
      </c>
      <c r="U7" s="189">
        <f>IFERROR(__xludf.DUMMYFUNCTION("""COMPUTED_VALUE"""),6.0)</f>
        <v>6</v>
      </c>
      <c r="V7" s="189">
        <f>IFERROR(__xludf.DUMMYFUNCTION("""COMPUTED_VALUE"""),6.0)</f>
        <v>6</v>
      </c>
      <c r="W7" s="189">
        <f>IFERROR(__xludf.DUMMYFUNCTION("""COMPUTED_VALUE"""),7.0)</f>
        <v>7</v>
      </c>
      <c r="X7" s="189">
        <f>IFERROR(__xludf.DUMMYFUNCTION("""COMPUTED_VALUE"""),4.0)</f>
        <v>4</v>
      </c>
      <c r="Y7" s="208" t="str">
        <f>IFERROR(__xludf.DUMMYFUNCTION("""COMPUTED_VALUE"""),"2025-08-16T00:00:00.000Z")</f>
        <v>2025-08-16T00:00:00.000Z</v>
      </c>
      <c r="Z7" s="189" t="str">
        <f>IFERROR(__xludf.DUMMYFUNCTION("""COMPUTED_VALUE"""),"Team Liquid Academy_Lotus")</f>
        <v>Team Liquid Academy_Lotus</v>
      </c>
      <c r="AA7" s="189" t="str">
        <f>IFERROR(__xludf.DUMMYFUNCTION("""COMPUTED_VALUE"""),"děti ulice")</f>
        <v>děti ulice</v>
      </c>
      <c r="AB7" s="189" t="s">
        <v>629</v>
      </c>
    </row>
    <row r="8">
      <c r="A8" s="189">
        <f>IFERROR(__xludf.DUMMYFUNCTION("""COMPUTED_VALUE"""),212067.0)</f>
        <v>212067</v>
      </c>
      <c r="B8" s="189">
        <f>IFERROR(__xludf.DUMMYFUNCTION("""COMPUTED_VALUE"""),93452.0)</f>
        <v>93452</v>
      </c>
      <c r="C8" s="189" t="str">
        <f>IFERROR(__xludf.DUMMYFUNCTION("""COMPUTED_VALUE"""),"Challengers League 2025 NORTH EAST: Split 3 - Playoffs")</f>
        <v>Challengers League 2025 NORTH EAST: Split 3 - Playoffs</v>
      </c>
      <c r="D8" s="189" t="str">
        <f>IFERROR(__xludf.DUMMYFUNCTION("""COMPUTED_VALUE"""),"Corrode")</f>
        <v>Corrode</v>
      </c>
      <c r="E8" s="189" t="str">
        <f>IFERROR(__xludf.DUMMYFUNCTION("""COMPUTED_VALUE"""),"Team Liquid Academy")</f>
        <v>Team Liquid Academy</v>
      </c>
      <c r="F8" s="189" t="str">
        <f>IFERROR(__xludf.DUMMYFUNCTION("""COMPUTED_VALUE"""),"děti ulice")</f>
        <v>děti ulice</v>
      </c>
      <c r="G8" s="189" t="str">
        <f>IFERROR(__xludf.DUMMYFUNCTION("""COMPUTED_VALUE"""),"Cypher,Phoenix,Omen,Yoru,Fade")</f>
        <v>Cypher,Phoenix,Omen,Yoru,Fade</v>
      </c>
      <c r="H8" s="189" t="str">
        <f>IFERROR(__xludf.DUMMYFUNCTION("""COMPUTED_VALUE"""),"Viper,Omen,Chamber,Neon,Fade")</f>
        <v>Viper,Omen,Chamber,Neon,Fade</v>
      </c>
      <c r="I8" s="189">
        <f>IFERROR(__xludf.DUMMYFUNCTION("""COMPUTED_VALUE"""),15.0)</f>
        <v>15</v>
      </c>
      <c r="J8" s="189">
        <f>IFERROR(__xludf.DUMMYFUNCTION("""COMPUTED_VALUE"""),13.0)</f>
        <v>13</v>
      </c>
      <c r="K8" s="189">
        <f>IFERROR(__xludf.DUMMYFUNCTION("""COMPUTED_VALUE"""),5.0)</f>
        <v>5</v>
      </c>
      <c r="L8" s="189">
        <f>IFERROR(__xludf.DUMMYFUNCTION("""COMPUTED_VALUE"""),7.0)</f>
        <v>7</v>
      </c>
      <c r="M8" s="189">
        <f>IFERROR(__xludf.DUMMYFUNCTION("""COMPUTED_VALUE"""),0.0)</f>
        <v>0</v>
      </c>
      <c r="N8" s="189">
        <f>IFERROR(__xludf.DUMMYFUNCTION("""COMPUTED_VALUE"""),1.0)</f>
        <v>1</v>
      </c>
      <c r="O8" s="189">
        <f>IFERROR(__xludf.DUMMYFUNCTION("""COMPUTED_VALUE"""),6.0)</f>
        <v>6</v>
      </c>
      <c r="P8" s="189">
        <f>IFERROR(__xludf.DUMMYFUNCTION("""COMPUTED_VALUE"""),8.0)</f>
        <v>8</v>
      </c>
      <c r="Q8" s="189">
        <f>IFERROR(__xludf.DUMMYFUNCTION("""COMPUTED_VALUE"""),9.0)</f>
        <v>9</v>
      </c>
      <c r="R8" s="189">
        <f>IFERROR(__xludf.DUMMYFUNCTION("""COMPUTED_VALUE"""),5.0)</f>
        <v>5</v>
      </c>
      <c r="S8" s="189">
        <f>IFERROR(__xludf.DUMMYFUNCTION("""COMPUTED_VALUE"""),0.0)</f>
        <v>0</v>
      </c>
      <c r="T8" s="189">
        <f>IFERROR(__xludf.DUMMYFUNCTION("""COMPUTED_VALUE"""),1.0)</f>
        <v>1</v>
      </c>
      <c r="U8" s="189">
        <f>IFERROR(__xludf.DUMMYFUNCTION("""COMPUTED_VALUE"""),5.0)</f>
        <v>5</v>
      </c>
      <c r="V8" s="189">
        <f>IFERROR(__xludf.DUMMYFUNCTION("""COMPUTED_VALUE"""),9.0)</f>
        <v>9</v>
      </c>
      <c r="W8" s="189">
        <f>IFERROR(__xludf.DUMMYFUNCTION("""COMPUTED_VALUE"""),8.0)</f>
        <v>8</v>
      </c>
      <c r="X8" s="189">
        <f>IFERROR(__xludf.DUMMYFUNCTION("""COMPUTED_VALUE"""),6.0)</f>
        <v>6</v>
      </c>
      <c r="Y8" s="208" t="str">
        <f>IFERROR(__xludf.DUMMYFUNCTION("""COMPUTED_VALUE"""),"2025-08-16T00:00:00.000Z")</f>
        <v>2025-08-16T00:00:00.000Z</v>
      </c>
      <c r="Z8" s="189" t="str">
        <f>IFERROR(__xludf.DUMMYFUNCTION("""COMPUTED_VALUE"""),"Team Liquid Academy_Corrode")</f>
        <v>Team Liquid Academy_Corrode</v>
      </c>
      <c r="AA8" s="189" t="str">
        <f>IFERROR(__xludf.DUMMYFUNCTION("""COMPUTED_VALUE"""),"Team Liquid Academy")</f>
        <v>Team Liquid Academy</v>
      </c>
      <c r="AB8" s="189" t="s">
        <v>625</v>
      </c>
    </row>
    <row r="9">
      <c r="A9" s="189">
        <f>IFERROR(__xludf.DUMMYFUNCTION("""COMPUTED_VALUE"""),212066.0)</f>
        <v>212066</v>
      </c>
      <c r="B9" s="189">
        <f>IFERROR(__xludf.DUMMYFUNCTION("""COMPUTED_VALUE"""),93452.0)</f>
        <v>93452</v>
      </c>
      <c r="C9" s="189" t="str">
        <f>IFERROR(__xludf.DUMMYFUNCTION("""COMPUTED_VALUE"""),"Challengers League 2025 NORTH EAST: Split 3 - Playoffs")</f>
        <v>Challengers League 2025 NORTH EAST: Split 3 - Playoffs</v>
      </c>
      <c r="D9" s="189" t="str">
        <f>IFERROR(__xludf.DUMMYFUNCTION("""COMPUTED_VALUE"""),"Haven")</f>
        <v>Haven</v>
      </c>
      <c r="E9" s="189" t="str">
        <f>IFERROR(__xludf.DUMMYFUNCTION("""COMPUTED_VALUE"""),"Team Liquid Academy")</f>
        <v>Team Liquid Academy</v>
      </c>
      <c r="F9" s="189" t="str">
        <f>IFERROR(__xludf.DUMMYFUNCTION("""COMPUTED_VALUE"""),"děti ulice")</f>
        <v>děti ulice</v>
      </c>
      <c r="G9" s="189" t="str">
        <f>IFERROR(__xludf.DUMMYFUNCTION("""COMPUTED_VALUE"""),"Cypher,Sova,Omen,Yoru,Iso")</f>
        <v>Cypher,Sova,Omen,Yoru,Iso</v>
      </c>
      <c r="H9" s="189" t="str">
        <f>IFERROR(__xludf.DUMMYFUNCTION("""COMPUTED_VALUE"""),"Cypher,Sova,Omen,Yoru,Iso")</f>
        <v>Cypher,Sova,Omen,Yoru,Iso</v>
      </c>
      <c r="I9" s="189">
        <f>IFERROR(__xludf.DUMMYFUNCTION("""COMPUTED_VALUE"""),11.0)</f>
        <v>11</v>
      </c>
      <c r="J9" s="189">
        <f>IFERROR(__xludf.DUMMYFUNCTION("""COMPUTED_VALUE"""),13.0)</f>
        <v>13</v>
      </c>
      <c r="K9" s="189">
        <f>IFERROR(__xludf.DUMMYFUNCTION("""COMPUTED_VALUE"""),5.0)</f>
        <v>5</v>
      </c>
      <c r="L9" s="189">
        <f>IFERROR(__xludf.DUMMYFUNCTION("""COMPUTED_VALUE"""),7.0)</f>
        <v>7</v>
      </c>
      <c r="M9" s="189">
        <f>IFERROR(__xludf.DUMMYFUNCTION("""COMPUTED_VALUE"""),0.0)</f>
        <v>0</v>
      </c>
      <c r="N9" s="189">
        <f>IFERROR(__xludf.DUMMYFUNCTION("""COMPUTED_VALUE"""),0.0)</f>
        <v>0</v>
      </c>
      <c r="O9" s="189">
        <f>IFERROR(__xludf.DUMMYFUNCTION("""COMPUTED_VALUE"""),5.0)</f>
        <v>5</v>
      </c>
      <c r="P9" s="189">
        <f>IFERROR(__xludf.DUMMYFUNCTION("""COMPUTED_VALUE"""),7.0)</f>
        <v>7</v>
      </c>
      <c r="Q9" s="189">
        <f>IFERROR(__xludf.DUMMYFUNCTION("""COMPUTED_VALUE"""),6.0)</f>
        <v>6</v>
      </c>
      <c r="R9" s="189">
        <f>IFERROR(__xludf.DUMMYFUNCTION("""COMPUTED_VALUE"""),6.0)</f>
        <v>6</v>
      </c>
      <c r="S9" s="189">
        <f>IFERROR(__xludf.DUMMYFUNCTION("""COMPUTED_VALUE"""),1.0)</f>
        <v>1</v>
      </c>
      <c r="T9" s="189">
        <f>IFERROR(__xludf.DUMMYFUNCTION("""COMPUTED_VALUE"""),1.0)</f>
        <v>1</v>
      </c>
      <c r="U9" s="189">
        <f>IFERROR(__xludf.DUMMYFUNCTION("""COMPUTED_VALUE"""),6.0)</f>
        <v>6</v>
      </c>
      <c r="V9" s="189">
        <f>IFERROR(__xludf.DUMMYFUNCTION("""COMPUTED_VALUE"""),6.0)</f>
        <v>6</v>
      </c>
      <c r="W9" s="189">
        <f>IFERROR(__xludf.DUMMYFUNCTION("""COMPUTED_VALUE"""),7.0)</f>
        <v>7</v>
      </c>
      <c r="X9" s="189">
        <f>IFERROR(__xludf.DUMMYFUNCTION("""COMPUTED_VALUE"""),5.0)</f>
        <v>5</v>
      </c>
      <c r="Y9" s="208" t="str">
        <f>IFERROR(__xludf.DUMMYFUNCTION("""COMPUTED_VALUE"""),"2025-08-16T00:00:00.000Z")</f>
        <v>2025-08-16T00:00:00.000Z</v>
      </c>
      <c r="Z9" s="189" t="str">
        <f>IFERROR(__xludf.DUMMYFUNCTION("""COMPUTED_VALUE"""),"Team Liquid Academy_Haven")</f>
        <v>Team Liquid Academy_Haven</v>
      </c>
      <c r="AA9" s="189" t="str">
        <f>IFERROR(__xludf.DUMMYFUNCTION("""COMPUTED_VALUE"""),"děti ulice")</f>
        <v>děti ulice</v>
      </c>
      <c r="AB9" s="189" t="s">
        <v>630</v>
      </c>
    </row>
    <row r="10">
      <c r="A10" s="189">
        <f>IFERROR(__xludf.DUMMYFUNCTION("""COMPUTED_VALUE"""),211957.0)</f>
        <v>211957</v>
      </c>
      <c r="B10" s="189">
        <f>IFERROR(__xludf.DUMMYFUNCTION("""COMPUTED_VALUE"""),93386.0)</f>
        <v>93386</v>
      </c>
      <c r="C10" s="189" t="str">
        <f>IFERROR(__xludf.DUMMYFUNCTION("""COMPUTED_VALUE"""),"Challengers League 2025 NORTH EAST: Split 3 - Playoffs")</f>
        <v>Challengers League 2025 NORTH EAST: Split 3 - Playoffs</v>
      </c>
      <c r="D10" s="189" t="str">
        <f>IFERROR(__xludf.DUMMYFUNCTION("""COMPUTED_VALUE"""),"Corrode")</f>
        <v>Corrode</v>
      </c>
      <c r="E10" s="189" t="str">
        <f>IFERROR(__xludf.DUMMYFUNCTION("""COMPUTED_VALUE"""),"Team Liquid Academy")</f>
        <v>Team Liquid Academy</v>
      </c>
      <c r="F10" s="189" t="str">
        <f>IFERROR(__xludf.DUMMYFUNCTION("""COMPUTED_VALUE"""),"Boars Gaming")</f>
        <v>Boars Gaming</v>
      </c>
      <c r="G10" s="189" t="str">
        <f>IFERROR(__xludf.DUMMYFUNCTION("""COMPUTED_VALUE"""),"Cypher,Phoenix,Omen,Yoru,Fade")</f>
        <v>Cypher,Phoenix,Omen,Yoru,Fade</v>
      </c>
      <c r="H10" s="189" t="str">
        <f>IFERROR(__xludf.DUMMYFUNCTION("""COMPUTED_VALUE"""),"Omen,Yoru,Chamber,Neon,Fade")</f>
        <v>Omen,Yoru,Chamber,Neon,Fade</v>
      </c>
      <c r="I10" s="189">
        <f>IFERROR(__xludf.DUMMYFUNCTION("""COMPUTED_VALUE"""),13.0)</f>
        <v>13</v>
      </c>
      <c r="J10" s="189">
        <f>IFERROR(__xludf.DUMMYFUNCTION("""COMPUTED_VALUE"""),3.0)</f>
        <v>3</v>
      </c>
      <c r="K10" s="189">
        <f>IFERROR(__xludf.DUMMYFUNCTION("""COMPUTED_VALUE"""),10.0)</f>
        <v>10</v>
      </c>
      <c r="L10" s="189">
        <f>IFERROR(__xludf.DUMMYFUNCTION("""COMPUTED_VALUE"""),2.0)</f>
        <v>2</v>
      </c>
      <c r="M10" s="189">
        <f>IFERROR(__xludf.DUMMYFUNCTION("""COMPUTED_VALUE"""),1.0)</f>
        <v>1</v>
      </c>
      <c r="N10" s="189">
        <f>IFERROR(__xludf.DUMMYFUNCTION("""COMPUTED_VALUE"""),1.0)</f>
        <v>1</v>
      </c>
      <c r="O10" s="189">
        <f>IFERROR(__xludf.DUMMYFUNCTION("""COMPUTED_VALUE"""),3.0)</f>
        <v>3</v>
      </c>
      <c r="P10" s="189">
        <f>IFERROR(__xludf.DUMMYFUNCTION("""COMPUTED_VALUE"""),1.0)</f>
        <v>1</v>
      </c>
      <c r="Q10" s="189">
        <f>IFERROR(__xludf.DUMMYFUNCTION("""COMPUTED_VALUE"""),10.0)</f>
        <v>10</v>
      </c>
      <c r="R10" s="189">
        <f>IFERROR(__xludf.DUMMYFUNCTION("""COMPUTED_VALUE"""),2.0)</f>
        <v>2</v>
      </c>
      <c r="S10" s="189">
        <f>IFERROR(__xludf.DUMMYFUNCTION("""COMPUTED_VALUE"""),0.0)</f>
        <v>0</v>
      </c>
      <c r="T10" s="189">
        <f>IFERROR(__xludf.DUMMYFUNCTION("""COMPUTED_VALUE"""),0.0)</f>
        <v>0</v>
      </c>
      <c r="U10" s="189">
        <f>IFERROR(__xludf.DUMMYFUNCTION("""COMPUTED_VALUE"""),2.0)</f>
        <v>2</v>
      </c>
      <c r="V10" s="189">
        <f>IFERROR(__xludf.DUMMYFUNCTION("""COMPUTED_VALUE"""),10.0)</f>
        <v>10</v>
      </c>
      <c r="W10" s="189">
        <f>IFERROR(__xludf.DUMMYFUNCTION("""COMPUTED_VALUE"""),1.0)</f>
        <v>1</v>
      </c>
      <c r="X10" s="189">
        <f>IFERROR(__xludf.DUMMYFUNCTION("""COMPUTED_VALUE"""),3.0)</f>
        <v>3</v>
      </c>
      <c r="Y10" s="208" t="str">
        <f>IFERROR(__xludf.DUMMYFUNCTION("""COMPUTED_VALUE"""),"2025-08-03T00:00:00.000Z")</f>
        <v>2025-08-03T00:00:00.000Z</v>
      </c>
      <c r="Z10" s="189" t="str">
        <f>IFERROR(__xludf.DUMMYFUNCTION("""COMPUTED_VALUE"""),"Team Liquid Academy_Corrode")</f>
        <v>Team Liquid Academy_Corrode</v>
      </c>
      <c r="AA10" s="189" t="str">
        <f>IFERROR(__xludf.DUMMYFUNCTION("""COMPUTED_VALUE"""),"Team Liquid Academy")</f>
        <v>Team Liquid Academy</v>
      </c>
      <c r="AB10" s="189" t="s">
        <v>625</v>
      </c>
    </row>
    <row r="11">
      <c r="A11" s="189">
        <f>IFERROR(__xludf.DUMMYFUNCTION("""COMPUTED_VALUE"""),211956.0)</f>
        <v>211956</v>
      </c>
      <c r="B11" s="189">
        <f>IFERROR(__xludf.DUMMYFUNCTION("""COMPUTED_VALUE"""),93386.0)</f>
        <v>93386</v>
      </c>
      <c r="C11" s="189" t="str">
        <f>IFERROR(__xludf.DUMMYFUNCTION("""COMPUTED_VALUE"""),"Challengers League 2025 NORTH EAST: Split 3 - Playoffs")</f>
        <v>Challengers League 2025 NORTH EAST: Split 3 - Playoffs</v>
      </c>
      <c r="D11" s="189" t="str">
        <f>IFERROR(__xludf.DUMMYFUNCTION("""COMPUTED_VALUE"""),"Lotus")</f>
        <v>Lotus</v>
      </c>
      <c r="E11" s="189" t="str">
        <f>IFERROR(__xludf.DUMMYFUNCTION("""COMPUTED_VALUE"""),"Team Liquid Academy")</f>
        <v>Team Liquid Academy</v>
      </c>
      <c r="F11" s="189" t="str">
        <f>IFERROR(__xludf.DUMMYFUNCTION("""COMPUTED_VALUE"""),"Boars Gaming")</f>
        <v>Boars Gaming</v>
      </c>
      <c r="G11" s="189" t="str">
        <f>IFERROR(__xludf.DUMMYFUNCTION("""COMPUTED_VALUE"""),"Cypher,Omen,Neon,Fade,Iso")</f>
        <v>Cypher,Omen,Neon,Fade,Iso</v>
      </c>
      <c r="H11" s="189" t="str">
        <f>IFERROR(__xludf.DUMMYFUNCTION("""COMPUTED_VALUE"""),"Breach,Cypher,Omen,Neon,Fade")</f>
        <v>Breach,Cypher,Omen,Neon,Fade</v>
      </c>
      <c r="I11" s="189">
        <f>IFERROR(__xludf.DUMMYFUNCTION("""COMPUTED_VALUE"""),13.0)</f>
        <v>13</v>
      </c>
      <c r="J11" s="189">
        <f>IFERROR(__xludf.DUMMYFUNCTION("""COMPUTED_VALUE"""),6.0)</f>
        <v>6</v>
      </c>
      <c r="K11" s="189">
        <f>IFERROR(__xludf.DUMMYFUNCTION("""COMPUTED_VALUE"""),10.0)</f>
        <v>10</v>
      </c>
      <c r="L11" s="189">
        <f>IFERROR(__xludf.DUMMYFUNCTION("""COMPUTED_VALUE"""),2.0)</f>
        <v>2</v>
      </c>
      <c r="M11" s="189">
        <f>IFERROR(__xludf.DUMMYFUNCTION("""COMPUTED_VALUE"""),0.0)</f>
        <v>0</v>
      </c>
      <c r="N11" s="189">
        <f>IFERROR(__xludf.DUMMYFUNCTION("""COMPUTED_VALUE"""),1.0)</f>
        <v>1</v>
      </c>
      <c r="O11" s="189">
        <f>IFERROR(__xludf.DUMMYFUNCTION("""COMPUTED_VALUE"""),3.0)</f>
        <v>3</v>
      </c>
      <c r="P11" s="189">
        <f>IFERROR(__xludf.DUMMYFUNCTION("""COMPUTED_VALUE"""),4.0)</f>
        <v>4</v>
      </c>
      <c r="Q11" s="189">
        <f>IFERROR(__xludf.DUMMYFUNCTION("""COMPUTED_VALUE"""),10.0)</f>
        <v>10</v>
      </c>
      <c r="R11" s="189">
        <f>IFERROR(__xludf.DUMMYFUNCTION("""COMPUTED_VALUE"""),2.0)</f>
        <v>2</v>
      </c>
      <c r="S11" s="189">
        <f>IFERROR(__xludf.DUMMYFUNCTION("""COMPUTED_VALUE"""),0.0)</f>
        <v>0</v>
      </c>
      <c r="T11" s="189">
        <f>IFERROR(__xludf.DUMMYFUNCTION("""COMPUTED_VALUE"""),1.0)</f>
        <v>1</v>
      </c>
      <c r="U11" s="189">
        <f>IFERROR(__xludf.DUMMYFUNCTION("""COMPUTED_VALUE"""),2.0)</f>
        <v>2</v>
      </c>
      <c r="V11" s="189">
        <f>IFERROR(__xludf.DUMMYFUNCTION("""COMPUTED_VALUE"""),10.0)</f>
        <v>10</v>
      </c>
      <c r="W11" s="189">
        <f>IFERROR(__xludf.DUMMYFUNCTION("""COMPUTED_VALUE"""),4.0)</f>
        <v>4</v>
      </c>
      <c r="X11" s="189">
        <f>IFERROR(__xludf.DUMMYFUNCTION("""COMPUTED_VALUE"""),3.0)</f>
        <v>3</v>
      </c>
      <c r="Y11" s="208" t="str">
        <f>IFERROR(__xludf.DUMMYFUNCTION("""COMPUTED_VALUE"""),"2025-08-03T00:00:00.000Z")</f>
        <v>2025-08-03T00:00:00.000Z</v>
      </c>
      <c r="Z11" s="189" t="str">
        <f>IFERROR(__xludf.DUMMYFUNCTION("""COMPUTED_VALUE"""),"Team Liquid Academy_Lotus")</f>
        <v>Team Liquid Academy_Lotus</v>
      </c>
      <c r="AA11" s="189" t="str">
        <f>IFERROR(__xludf.DUMMYFUNCTION("""COMPUTED_VALUE"""),"Team Liquid Academy")</f>
        <v>Team Liquid Academy</v>
      </c>
      <c r="AB11" s="189" t="s">
        <v>629</v>
      </c>
    </row>
    <row r="12">
      <c r="A12" s="189">
        <f>IFERROR(__xludf.DUMMYFUNCTION("""COMPUTED_VALUE"""),211264.0)</f>
        <v>211264</v>
      </c>
      <c r="B12" s="189">
        <f>IFERROR(__xludf.DUMMYFUNCTION("""COMPUTED_VALUE"""),92908.0)</f>
        <v>92908</v>
      </c>
      <c r="C12" s="189" t="str">
        <f>IFERROR(__xludf.DUMMYFUNCTION("""COMPUTED_VALUE"""),"Challengers League 2025 NORTH EAST: Split 3 - Playoffs")</f>
        <v>Challengers League 2025 NORTH EAST: Split 3 - Playoffs</v>
      </c>
      <c r="D12" s="189" t="str">
        <f>IFERROR(__xludf.DUMMYFUNCTION("""COMPUTED_VALUE"""),"Lotus")</f>
        <v>Lotus</v>
      </c>
      <c r="E12" s="189" t="str">
        <f>IFERROR(__xludf.DUMMYFUNCTION("""COMPUTED_VALUE"""),"Team Liquid Academy")</f>
        <v>Team Liquid Academy</v>
      </c>
      <c r="F12" s="189" t="str">
        <f>IFERROR(__xludf.DUMMYFUNCTION("""COMPUTED_VALUE"""),"Metizport")</f>
        <v>Metizport</v>
      </c>
      <c r="G12" s="189" t="str">
        <f>IFERROR(__xludf.DUMMYFUNCTION("""COMPUTED_VALUE"""),"Cypher,Omen,Neon,Fade,Iso")</f>
        <v>Cypher,Omen,Neon,Fade,Iso</v>
      </c>
      <c r="H12" s="189" t="str">
        <f>IFERROR(__xludf.DUMMYFUNCTION("""COMPUTED_VALUE"""),"Raze,Omen,Yoru,Fade,Vyse")</f>
        <v>Raze,Omen,Yoru,Fade,Vyse</v>
      </c>
      <c r="I12" s="189">
        <f>IFERROR(__xludf.DUMMYFUNCTION("""COMPUTED_VALUE"""),13.0)</f>
        <v>13</v>
      </c>
      <c r="J12" s="189">
        <f>IFERROR(__xludf.DUMMYFUNCTION("""COMPUTED_VALUE"""),7.0)</f>
        <v>7</v>
      </c>
      <c r="K12" s="189">
        <f>IFERROR(__xludf.DUMMYFUNCTION("""COMPUTED_VALUE"""),8.0)</f>
        <v>8</v>
      </c>
      <c r="L12" s="189">
        <f>IFERROR(__xludf.DUMMYFUNCTION("""COMPUTED_VALUE"""),4.0)</f>
        <v>4</v>
      </c>
      <c r="M12" s="189">
        <f>IFERROR(__xludf.DUMMYFUNCTION("""COMPUTED_VALUE"""),0.0)</f>
        <v>0</v>
      </c>
      <c r="N12" s="189">
        <f>IFERROR(__xludf.DUMMYFUNCTION("""COMPUTED_VALUE"""),0.0)</f>
        <v>0</v>
      </c>
      <c r="O12" s="189">
        <f>IFERROR(__xludf.DUMMYFUNCTION("""COMPUTED_VALUE"""),5.0)</f>
        <v>5</v>
      </c>
      <c r="P12" s="189">
        <f>IFERROR(__xludf.DUMMYFUNCTION("""COMPUTED_VALUE"""),3.0)</f>
        <v>3</v>
      </c>
      <c r="Q12" s="189">
        <f>IFERROR(__xludf.DUMMYFUNCTION("""COMPUTED_VALUE"""),8.0)</f>
        <v>8</v>
      </c>
      <c r="R12" s="189">
        <f>IFERROR(__xludf.DUMMYFUNCTION("""COMPUTED_VALUE"""),4.0)</f>
        <v>4</v>
      </c>
      <c r="S12" s="189">
        <f>IFERROR(__xludf.DUMMYFUNCTION("""COMPUTED_VALUE"""),1.0)</f>
        <v>1</v>
      </c>
      <c r="T12" s="189">
        <f>IFERROR(__xludf.DUMMYFUNCTION("""COMPUTED_VALUE"""),1.0)</f>
        <v>1</v>
      </c>
      <c r="U12" s="189">
        <f>IFERROR(__xludf.DUMMYFUNCTION("""COMPUTED_VALUE"""),4.0)</f>
        <v>4</v>
      </c>
      <c r="V12" s="189">
        <f>IFERROR(__xludf.DUMMYFUNCTION("""COMPUTED_VALUE"""),8.0)</f>
        <v>8</v>
      </c>
      <c r="W12" s="189">
        <f>IFERROR(__xludf.DUMMYFUNCTION("""COMPUTED_VALUE"""),3.0)</f>
        <v>3</v>
      </c>
      <c r="X12" s="189">
        <f>IFERROR(__xludf.DUMMYFUNCTION("""COMPUTED_VALUE"""),5.0)</f>
        <v>5</v>
      </c>
      <c r="Y12" s="208" t="str">
        <f>IFERROR(__xludf.DUMMYFUNCTION("""COMPUTED_VALUE"""),"2025-08-02T00:00:00.000Z")</f>
        <v>2025-08-02T00:00:00.000Z</v>
      </c>
      <c r="Z12" s="189" t="str">
        <f>IFERROR(__xludf.DUMMYFUNCTION("""COMPUTED_VALUE"""),"Team Liquid Academy_Lotus")</f>
        <v>Team Liquid Academy_Lotus</v>
      </c>
      <c r="AA12" s="189" t="str">
        <f>IFERROR(__xludf.DUMMYFUNCTION("""COMPUTED_VALUE"""),"Team Liquid Academy")</f>
        <v>Team Liquid Academy</v>
      </c>
      <c r="AB12" s="189" t="s">
        <v>629</v>
      </c>
    </row>
    <row r="13">
      <c r="A13" s="189">
        <f>IFERROR(__xludf.DUMMYFUNCTION("""COMPUTED_VALUE"""),211263.0)</f>
        <v>211263</v>
      </c>
      <c r="B13" s="189">
        <f>IFERROR(__xludf.DUMMYFUNCTION("""COMPUTED_VALUE"""),92908.0)</f>
        <v>92908</v>
      </c>
      <c r="C13" s="189" t="str">
        <f>IFERROR(__xludf.DUMMYFUNCTION("""COMPUTED_VALUE"""),"Challengers League 2025 NORTH EAST: Split 3 - Playoffs")</f>
        <v>Challengers League 2025 NORTH EAST: Split 3 - Playoffs</v>
      </c>
      <c r="D13" s="189" t="str">
        <f>IFERROR(__xludf.DUMMYFUNCTION("""COMPUTED_VALUE"""),"Ascent")</f>
        <v>Ascent</v>
      </c>
      <c r="E13" s="189" t="str">
        <f>IFERROR(__xludf.DUMMYFUNCTION("""COMPUTED_VALUE"""),"Team Liquid Academy")</f>
        <v>Team Liquid Academy</v>
      </c>
      <c r="F13" s="189" t="str">
        <f>IFERROR(__xludf.DUMMYFUNCTION("""COMPUTED_VALUE"""),"Metizport")</f>
        <v>Metizport</v>
      </c>
      <c r="G13" s="189" t="str">
        <f>IFERROR(__xludf.DUMMYFUNCTION("""COMPUTED_VALUE"""),"Sova,Omen,Yoru,Vyse,Waylay")</f>
        <v>Sova,Omen,Yoru,Vyse,Waylay</v>
      </c>
      <c r="H13" s="189" t="str">
        <f>IFERROR(__xludf.DUMMYFUNCTION("""COMPUTED_VALUE"""),"Cypher,Sova,Omen,Jett,KAY/O")</f>
        <v>Cypher,Sova,Omen,Jett,KAY/O</v>
      </c>
      <c r="I13" s="189">
        <f>IFERROR(__xludf.DUMMYFUNCTION("""COMPUTED_VALUE"""),13.0)</f>
        <v>13</v>
      </c>
      <c r="J13" s="189">
        <f>IFERROR(__xludf.DUMMYFUNCTION("""COMPUTED_VALUE"""),5.0)</f>
        <v>5</v>
      </c>
      <c r="K13" s="189">
        <f>IFERROR(__xludf.DUMMYFUNCTION("""COMPUTED_VALUE"""),9.0)</f>
        <v>9</v>
      </c>
      <c r="L13" s="189">
        <f>IFERROR(__xludf.DUMMYFUNCTION("""COMPUTED_VALUE"""),3.0)</f>
        <v>3</v>
      </c>
      <c r="M13" s="189">
        <f>IFERROR(__xludf.DUMMYFUNCTION("""COMPUTED_VALUE"""),1.0)</f>
        <v>1</v>
      </c>
      <c r="N13" s="189">
        <f>IFERROR(__xludf.DUMMYFUNCTION("""COMPUTED_VALUE"""),1.0)</f>
        <v>1</v>
      </c>
      <c r="O13" s="189">
        <f>IFERROR(__xludf.DUMMYFUNCTION("""COMPUTED_VALUE"""),9.0)</f>
        <v>9</v>
      </c>
      <c r="P13" s="189">
        <f>IFERROR(__xludf.DUMMYFUNCTION("""COMPUTED_VALUE"""),3.0)</f>
        <v>3</v>
      </c>
      <c r="Q13" s="189">
        <f>IFERROR(__xludf.DUMMYFUNCTION("""COMPUTED_VALUE"""),4.0)</f>
        <v>4</v>
      </c>
      <c r="R13" s="189">
        <f>IFERROR(__xludf.DUMMYFUNCTION("""COMPUTED_VALUE"""),2.0)</f>
        <v>2</v>
      </c>
      <c r="S13" s="189">
        <f>IFERROR(__xludf.DUMMYFUNCTION("""COMPUTED_VALUE"""),0.0)</f>
        <v>0</v>
      </c>
      <c r="T13" s="189">
        <f>IFERROR(__xludf.DUMMYFUNCTION("""COMPUTED_VALUE"""),0.0)</f>
        <v>0</v>
      </c>
      <c r="U13" s="189">
        <f>IFERROR(__xludf.DUMMYFUNCTION("""COMPUTED_VALUE"""),2.0)</f>
        <v>2</v>
      </c>
      <c r="V13" s="189">
        <f>IFERROR(__xludf.DUMMYFUNCTION("""COMPUTED_VALUE"""),4.0)</f>
        <v>4</v>
      </c>
      <c r="W13" s="189">
        <f>IFERROR(__xludf.DUMMYFUNCTION("""COMPUTED_VALUE"""),3.0)</f>
        <v>3</v>
      </c>
      <c r="X13" s="189">
        <f>IFERROR(__xludf.DUMMYFUNCTION("""COMPUTED_VALUE"""),9.0)</f>
        <v>9</v>
      </c>
      <c r="Y13" s="208" t="str">
        <f>IFERROR(__xludf.DUMMYFUNCTION("""COMPUTED_VALUE"""),"2025-08-02T00:00:00.000Z")</f>
        <v>2025-08-02T00:00:00.000Z</v>
      </c>
      <c r="Z13" s="189" t="str">
        <f>IFERROR(__xludf.DUMMYFUNCTION("""COMPUTED_VALUE"""),"Team Liquid Academy_Ascent")</f>
        <v>Team Liquid Academy_Ascent</v>
      </c>
      <c r="AA13" s="189" t="str">
        <f>IFERROR(__xludf.DUMMYFUNCTION("""COMPUTED_VALUE"""),"Team Liquid Academy")</f>
        <v>Team Liquid Academy</v>
      </c>
      <c r="AB13" s="189" t="s">
        <v>626</v>
      </c>
    </row>
    <row r="14">
      <c r="A14" s="189">
        <f>IFERROR(__xludf.DUMMYFUNCTION("""COMPUTED_VALUE"""),211262.0)</f>
        <v>211262</v>
      </c>
      <c r="B14" s="189">
        <f>IFERROR(__xludf.DUMMYFUNCTION("""COMPUTED_VALUE"""),92908.0)</f>
        <v>92908</v>
      </c>
      <c r="C14" s="189" t="str">
        <f>IFERROR(__xludf.DUMMYFUNCTION("""COMPUTED_VALUE"""),"Challengers League 2025 NORTH EAST: Split 3 - Playoffs")</f>
        <v>Challengers League 2025 NORTH EAST: Split 3 - Playoffs</v>
      </c>
      <c r="D14" s="189" t="str">
        <f>IFERROR(__xludf.DUMMYFUNCTION("""COMPUTED_VALUE"""),"Sunset")</f>
        <v>Sunset</v>
      </c>
      <c r="E14" s="189" t="str">
        <f>IFERROR(__xludf.DUMMYFUNCTION("""COMPUTED_VALUE"""),"Team Liquid Academy")</f>
        <v>Team Liquid Academy</v>
      </c>
      <c r="F14" s="189" t="str">
        <f>IFERROR(__xludf.DUMMYFUNCTION("""COMPUTED_VALUE"""),"Metizport")</f>
        <v>Metizport</v>
      </c>
      <c r="G14" s="189" t="str">
        <f>IFERROR(__xludf.DUMMYFUNCTION("""COMPUTED_VALUE"""),"Sova,Omen,Yoru,Vyse,Waylay")</f>
        <v>Sova,Omen,Yoru,Vyse,Waylay</v>
      </c>
      <c r="H14" s="189" t="str">
        <f>IFERROR(__xludf.DUMMYFUNCTION("""COMPUTED_VALUE"""),"Breach,Cypher,Sova,Omen,Neon")</f>
        <v>Breach,Cypher,Sova,Omen,Neon</v>
      </c>
      <c r="I14" s="189">
        <f>IFERROR(__xludf.DUMMYFUNCTION("""COMPUTED_VALUE"""),12.0)</f>
        <v>12</v>
      </c>
      <c r="J14" s="189">
        <f>IFERROR(__xludf.DUMMYFUNCTION("""COMPUTED_VALUE"""),14.0)</f>
        <v>14</v>
      </c>
      <c r="K14" s="189">
        <f>IFERROR(__xludf.DUMMYFUNCTION("""COMPUTED_VALUE"""),6.0)</f>
        <v>6</v>
      </c>
      <c r="L14" s="189">
        <f>IFERROR(__xludf.DUMMYFUNCTION("""COMPUTED_VALUE"""),6.0)</f>
        <v>6</v>
      </c>
      <c r="M14" s="189">
        <f>IFERROR(__xludf.DUMMYFUNCTION("""COMPUTED_VALUE"""),1.0)</f>
        <v>1</v>
      </c>
      <c r="N14" s="189">
        <f>IFERROR(__xludf.DUMMYFUNCTION("""COMPUTED_VALUE"""),1.0)</f>
        <v>1</v>
      </c>
      <c r="O14" s="189">
        <f>IFERROR(__xludf.DUMMYFUNCTION("""COMPUTED_VALUE"""),6.0)</f>
        <v>6</v>
      </c>
      <c r="P14" s="189">
        <f>IFERROR(__xludf.DUMMYFUNCTION("""COMPUTED_VALUE"""),7.0)</f>
        <v>7</v>
      </c>
      <c r="Q14" s="189">
        <f>IFERROR(__xludf.DUMMYFUNCTION("""COMPUTED_VALUE"""),6.0)</f>
        <v>6</v>
      </c>
      <c r="R14" s="189">
        <f>IFERROR(__xludf.DUMMYFUNCTION("""COMPUTED_VALUE"""),7.0)</f>
        <v>7</v>
      </c>
      <c r="S14" s="189">
        <f>IFERROR(__xludf.DUMMYFUNCTION("""COMPUTED_VALUE"""),0.0)</f>
        <v>0</v>
      </c>
      <c r="T14" s="189">
        <f>IFERROR(__xludf.DUMMYFUNCTION("""COMPUTED_VALUE"""),0.0)</f>
        <v>0</v>
      </c>
      <c r="U14" s="189">
        <f>IFERROR(__xludf.DUMMYFUNCTION("""COMPUTED_VALUE"""),7.0)</f>
        <v>7</v>
      </c>
      <c r="V14" s="189">
        <f>IFERROR(__xludf.DUMMYFUNCTION("""COMPUTED_VALUE"""),6.0)</f>
        <v>6</v>
      </c>
      <c r="W14" s="189">
        <f>IFERROR(__xludf.DUMMYFUNCTION("""COMPUTED_VALUE"""),7.0)</f>
        <v>7</v>
      </c>
      <c r="X14" s="189">
        <f>IFERROR(__xludf.DUMMYFUNCTION("""COMPUTED_VALUE"""),6.0)</f>
        <v>6</v>
      </c>
      <c r="Y14" s="208" t="str">
        <f>IFERROR(__xludf.DUMMYFUNCTION("""COMPUTED_VALUE"""),"2025-08-02T00:00:00.000Z")</f>
        <v>2025-08-02T00:00:00.000Z</v>
      </c>
      <c r="Z14" s="189" t="str">
        <f>IFERROR(__xludf.DUMMYFUNCTION("""COMPUTED_VALUE"""),"Team Liquid Academy_Sunset")</f>
        <v>Team Liquid Academy_Sunset</v>
      </c>
      <c r="AA14" s="189" t="str">
        <f>IFERROR(__xludf.DUMMYFUNCTION("""COMPUTED_VALUE"""),"Metizport")</f>
        <v>Metizport</v>
      </c>
      <c r="AB14" s="189" t="s">
        <v>628</v>
      </c>
    </row>
    <row r="15">
      <c r="A15" s="189">
        <f>IFERROR(__xludf.DUMMYFUNCTION("""COMPUTED_VALUE"""),211234.0)</f>
        <v>211234</v>
      </c>
      <c r="B15" s="189">
        <f>IFERROR(__xludf.DUMMYFUNCTION("""COMPUTED_VALUE"""),92899.0)</f>
        <v>92899</v>
      </c>
      <c r="C15" s="189" t="str">
        <f>IFERROR(__xludf.DUMMYFUNCTION("""COMPUTED_VALUE"""),"Challengers League 2025 NORTH EAST: Split 3 - Playoffs")</f>
        <v>Challengers League 2025 NORTH EAST: Split 3 - Playoffs</v>
      </c>
      <c r="D15" s="189" t="str">
        <f>IFERROR(__xludf.DUMMYFUNCTION("""COMPUTED_VALUE"""),"Corrode")</f>
        <v>Corrode</v>
      </c>
      <c r="E15" s="189" t="str">
        <f>IFERROR(__xludf.DUMMYFUNCTION("""COMPUTED_VALUE"""),"Team Liquid Academy")</f>
        <v>Team Liquid Academy</v>
      </c>
      <c r="F15" s="189" t="str">
        <f>IFERROR(__xludf.DUMMYFUNCTION("""COMPUTED_VALUE"""),"Enterprise Esports")</f>
        <v>Enterprise Esports</v>
      </c>
      <c r="G15" s="189" t="str">
        <f>IFERROR(__xludf.DUMMYFUNCTION("""COMPUTED_VALUE"""),"Cypher,Phoenix,Omen,Yoru,Fade")</f>
        <v>Cypher,Phoenix,Omen,Yoru,Fade</v>
      </c>
      <c r="H15" s="189" t="str">
        <f>IFERROR(__xludf.DUMMYFUNCTION("""COMPUTED_VALUE"""),"Sova,Viper,Omen,Yoru,Fade")</f>
        <v>Sova,Viper,Omen,Yoru,Fade</v>
      </c>
      <c r="I15" s="189">
        <f>IFERROR(__xludf.DUMMYFUNCTION("""COMPUTED_VALUE"""),11.0)</f>
        <v>11</v>
      </c>
      <c r="J15" s="189">
        <f>IFERROR(__xludf.DUMMYFUNCTION("""COMPUTED_VALUE"""),13.0)</f>
        <v>13</v>
      </c>
      <c r="K15" s="189">
        <f>IFERROR(__xludf.DUMMYFUNCTION("""COMPUTED_VALUE"""),5.0)</f>
        <v>5</v>
      </c>
      <c r="L15" s="189">
        <f>IFERROR(__xludf.DUMMYFUNCTION("""COMPUTED_VALUE"""),7.0)</f>
        <v>7</v>
      </c>
      <c r="M15" s="189">
        <f>IFERROR(__xludf.DUMMYFUNCTION("""COMPUTED_VALUE"""),1.0)</f>
        <v>1</v>
      </c>
      <c r="N15" s="189">
        <f>IFERROR(__xludf.DUMMYFUNCTION("""COMPUTED_VALUE"""),0.0)</f>
        <v>0</v>
      </c>
      <c r="O15" s="189">
        <f>IFERROR(__xludf.DUMMYFUNCTION("""COMPUTED_VALUE"""),5.0)</f>
        <v>5</v>
      </c>
      <c r="P15" s="189">
        <f>IFERROR(__xludf.DUMMYFUNCTION("""COMPUTED_VALUE"""),7.0)</f>
        <v>7</v>
      </c>
      <c r="Q15" s="189">
        <f>IFERROR(__xludf.DUMMYFUNCTION("""COMPUTED_VALUE"""),6.0)</f>
        <v>6</v>
      </c>
      <c r="R15" s="189">
        <f>IFERROR(__xludf.DUMMYFUNCTION("""COMPUTED_VALUE"""),6.0)</f>
        <v>6</v>
      </c>
      <c r="S15" s="189">
        <f>IFERROR(__xludf.DUMMYFUNCTION("""COMPUTED_VALUE"""),1.0)</f>
        <v>1</v>
      </c>
      <c r="T15" s="189">
        <f>IFERROR(__xludf.DUMMYFUNCTION("""COMPUTED_VALUE"""),0.0)</f>
        <v>0</v>
      </c>
      <c r="U15" s="189">
        <f>IFERROR(__xludf.DUMMYFUNCTION("""COMPUTED_VALUE"""),6.0)</f>
        <v>6</v>
      </c>
      <c r="V15" s="189">
        <f>IFERROR(__xludf.DUMMYFUNCTION("""COMPUTED_VALUE"""),6.0)</f>
        <v>6</v>
      </c>
      <c r="W15" s="189">
        <f>IFERROR(__xludf.DUMMYFUNCTION("""COMPUTED_VALUE"""),7.0)</f>
        <v>7</v>
      </c>
      <c r="X15" s="189">
        <f>IFERROR(__xludf.DUMMYFUNCTION("""COMPUTED_VALUE"""),5.0)</f>
        <v>5</v>
      </c>
      <c r="Y15" s="208" t="str">
        <f>IFERROR(__xludf.DUMMYFUNCTION("""COMPUTED_VALUE"""),"2025-07-29T00:00:00.000Z")</f>
        <v>2025-07-29T00:00:00.000Z</v>
      </c>
      <c r="Z15" s="189" t="str">
        <f>IFERROR(__xludf.DUMMYFUNCTION("""COMPUTED_VALUE"""),"Team Liquid Academy_Corrode")</f>
        <v>Team Liquid Academy_Corrode</v>
      </c>
      <c r="AA15" s="189" t="str">
        <f>IFERROR(__xludf.DUMMYFUNCTION("""COMPUTED_VALUE"""),"Enterprise Esports")</f>
        <v>Enterprise Esports</v>
      </c>
      <c r="AB15" s="189" t="s">
        <v>625</v>
      </c>
    </row>
    <row r="16">
      <c r="A16" s="189">
        <f>IFERROR(__xludf.DUMMYFUNCTION("""COMPUTED_VALUE"""),211233.0)</f>
        <v>211233</v>
      </c>
      <c r="B16" s="189">
        <f>IFERROR(__xludf.DUMMYFUNCTION("""COMPUTED_VALUE"""),92899.0)</f>
        <v>92899</v>
      </c>
      <c r="C16" s="189" t="str">
        <f>IFERROR(__xludf.DUMMYFUNCTION("""COMPUTED_VALUE"""),"Challengers League 2025 NORTH EAST: Split 3 - Playoffs")</f>
        <v>Challengers League 2025 NORTH EAST: Split 3 - Playoffs</v>
      </c>
      <c r="D16" s="189" t="str">
        <f>IFERROR(__xludf.DUMMYFUNCTION("""COMPUTED_VALUE"""),"Ascent")</f>
        <v>Ascent</v>
      </c>
      <c r="E16" s="189" t="str">
        <f>IFERROR(__xludf.DUMMYFUNCTION("""COMPUTED_VALUE"""),"Team Liquid Academy")</f>
        <v>Team Liquid Academy</v>
      </c>
      <c r="F16" s="189" t="str">
        <f>IFERROR(__xludf.DUMMYFUNCTION("""COMPUTED_VALUE"""),"Enterprise Esports")</f>
        <v>Enterprise Esports</v>
      </c>
      <c r="G16" s="189" t="str">
        <f>IFERROR(__xludf.DUMMYFUNCTION("""COMPUTED_VALUE"""),"Sova,Omen,Yoru,Vyse,Waylay")</f>
        <v>Sova,Omen,Yoru,Vyse,Waylay</v>
      </c>
      <c r="H16" s="189" t="str">
        <f>IFERROR(__xludf.DUMMYFUNCTION("""COMPUTED_VALUE"""),"Cypher,Sova,Omen,Jett,KAY/O")</f>
        <v>Cypher,Sova,Omen,Jett,KAY/O</v>
      </c>
      <c r="I16" s="189">
        <f>IFERROR(__xludf.DUMMYFUNCTION("""COMPUTED_VALUE"""),10.0)</f>
        <v>10</v>
      </c>
      <c r="J16" s="189">
        <f>IFERROR(__xludf.DUMMYFUNCTION("""COMPUTED_VALUE"""),13.0)</f>
        <v>13</v>
      </c>
      <c r="K16" s="189">
        <f>IFERROR(__xludf.DUMMYFUNCTION("""COMPUTED_VALUE"""),6.0)</f>
        <v>6</v>
      </c>
      <c r="L16" s="189">
        <f>IFERROR(__xludf.DUMMYFUNCTION("""COMPUTED_VALUE"""),6.0)</f>
        <v>6</v>
      </c>
      <c r="M16" s="189">
        <f>IFERROR(__xludf.DUMMYFUNCTION("""COMPUTED_VALUE"""),0.0)</f>
        <v>0</v>
      </c>
      <c r="N16" s="189">
        <f>IFERROR(__xludf.DUMMYFUNCTION("""COMPUTED_VALUE"""),1.0)</f>
        <v>1</v>
      </c>
      <c r="O16" s="189">
        <f>IFERROR(__xludf.DUMMYFUNCTION("""COMPUTED_VALUE"""),4.0)</f>
        <v>4</v>
      </c>
      <c r="P16" s="189">
        <f>IFERROR(__xludf.DUMMYFUNCTION("""COMPUTED_VALUE"""),7.0)</f>
        <v>7</v>
      </c>
      <c r="Q16" s="189">
        <f>IFERROR(__xludf.DUMMYFUNCTION("""COMPUTED_VALUE"""),6.0)</f>
        <v>6</v>
      </c>
      <c r="R16" s="189">
        <f>IFERROR(__xludf.DUMMYFUNCTION("""COMPUTED_VALUE"""),6.0)</f>
        <v>6</v>
      </c>
      <c r="S16" s="189">
        <f>IFERROR(__xludf.DUMMYFUNCTION("""COMPUTED_VALUE"""),0.0)</f>
        <v>0</v>
      </c>
      <c r="T16" s="189">
        <f>IFERROR(__xludf.DUMMYFUNCTION("""COMPUTED_VALUE"""),1.0)</f>
        <v>1</v>
      </c>
      <c r="U16" s="189">
        <f>IFERROR(__xludf.DUMMYFUNCTION("""COMPUTED_VALUE"""),6.0)</f>
        <v>6</v>
      </c>
      <c r="V16" s="189">
        <f>IFERROR(__xludf.DUMMYFUNCTION("""COMPUTED_VALUE"""),6.0)</f>
        <v>6</v>
      </c>
      <c r="W16" s="189">
        <f>IFERROR(__xludf.DUMMYFUNCTION("""COMPUTED_VALUE"""),7.0)</f>
        <v>7</v>
      </c>
      <c r="X16" s="189">
        <f>IFERROR(__xludf.DUMMYFUNCTION("""COMPUTED_VALUE"""),4.0)</f>
        <v>4</v>
      </c>
      <c r="Y16" s="208" t="str">
        <f>IFERROR(__xludf.DUMMYFUNCTION("""COMPUTED_VALUE"""),"2025-07-29T00:00:00.000Z")</f>
        <v>2025-07-29T00:00:00.000Z</v>
      </c>
      <c r="Z16" s="189" t="str">
        <f>IFERROR(__xludf.DUMMYFUNCTION("""COMPUTED_VALUE"""),"Team Liquid Academy_Ascent")</f>
        <v>Team Liquid Academy_Ascent</v>
      </c>
      <c r="AA16" s="189" t="str">
        <f>IFERROR(__xludf.DUMMYFUNCTION("""COMPUTED_VALUE"""),"Enterprise Esports")</f>
        <v>Enterprise Esports</v>
      </c>
      <c r="AB16" s="189" t="s">
        <v>626</v>
      </c>
    </row>
    <row r="17">
      <c r="A17" s="189">
        <f>IFERROR(__xludf.DUMMYFUNCTION("""COMPUTED_VALUE"""),211058.0)</f>
        <v>211058</v>
      </c>
      <c r="B17" s="189">
        <f>IFERROR(__xludf.DUMMYFUNCTION("""COMPUTED_VALUE"""),92834.0)</f>
        <v>92834</v>
      </c>
      <c r="C17" s="189" t="str">
        <f>IFERROR(__xludf.DUMMYFUNCTION("""COMPUTED_VALUE"""),"Challengers League 2025 NORTH EAST: Split 3 - Playoffs")</f>
        <v>Challengers League 2025 NORTH EAST: Split 3 - Playoffs</v>
      </c>
      <c r="D17" s="189" t="str">
        <f>IFERROR(__xludf.DUMMYFUNCTION("""COMPUTED_VALUE"""),"Haven")</f>
        <v>Haven</v>
      </c>
      <c r="E17" s="189" t="str">
        <f>IFERROR(__xludf.DUMMYFUNCTION("""COMPUTED_VALUE"""),"Team Liquid Academy")</f>
        <v>Team Liquid Academy</v>
      </c>
      <c r="F17" s="189" t="str">
        <f>IFERROR(__xludf.DUMMYFUNCTION("""COMPUTED_VALUE"""),"Formulation Gaming")</f>
        <v>Formulation Gaming</v>
      </c>
      <c r="G17" s="189" t="str">
        <f>IFERROR(__xludf.DUMMYFUNCTION("""COMPUTED_VALUE"""),"Cypher,Sova,Omen,Yoru,Iso")</f>
        <v>Cypher,Sova,Omen,Yoru,Iso</v>
      </c>
      <c r="H17" s="189" t="str">
        <f>IFERROR(__xludf.DUMMYFUNCTION("""COMPUTED_VALUE"""),"Sova,Killjoy,Viper,Omen,Neon")</f>
        <v>Sova,Killjoy,Viper,Omen,Neon</v>
      </c>
      <c r="I17" s="189">
        <f>IFERROR(__xludf.DUMMYFUNCTION("""COMPUTED_VALUE"""),13.0)</f>
        <v>13</v>
      </c>
      <c r="J17" s="189">
        <f>IFERROR(__xludf.DUMMYFUNCTION("""COMPUTED_VALUE"""),6.0)</f>
        <v>6</v>
      </c>
      <c r="K17" s="189">
        <f>IFERROR(__xludf.DUMMYFUNCTION("""COMPUTED_VALUE"""),9.0)</f>
        <v>9</v>
      </c>
      <c r="L17" s="189">
        <f>IFERROR(__xludf.DUMMYFUNCTION("""COMPUTED_VALUE"""),3.0)</f>
        <v>3</v>
      </c>
      <c r="M17" s="189">
        <f>IFERROR(__xludf.DUMMYFUNCTION("""COMPUTED_VALUE"""),0.0)</f>
        <v>0</v>
      </c>
      <c r="N17" s="189">
        <f>IFERROR(__xludf.DUMMYFUNCTION("""COMPUTED_VALUE"""),1.0)</f>
        <v>1</v>
      </c>
      <c r="O17" s="189">
        <f>IFERROR(__xludf.DUMMYFUNCTION("""COMPUTED_VALUE"""),4.0)</f>
        <v>4</v>
      </c>
      <c r="P17" s="189">
        <f>IFERROR(__xludf.DUMMYFUNCTION("""COMPUTED_VALUE"""),3.0)</f>
        <v>3</v>
      </c>
      <c r="Q17" s="189">
        <f>IFERROR(__xludf.DUMMYFUNCTION("""COMPUTED_VALUE"""),9.0)</f>
        <v>9</v>
      </c>
      <c r="R17" s="189">
        <f>IFERROR(__xludf.DUMMYFUNCTION("""COMPUTED_VALUE"""),3.0)</f>
        <v>3</v>
      </c>
      <c r="S17" s="189">
        <f>IFERROR(__xludf.DUMMYFUNCTION("""COMPUTED_VALUE"""),0.0)</f>
        <v>0</v>
      </c>
      <c r="T17" s="189">
        <f>IFERROR(__xludf.DUMMYFUNCTION("""COMPUTED_VALUE"""),1.0)</f>
        <v>1</v>
      </c>
      <c r="U17" s="189">
        <f>IFERROR(__xludf.DUMMYFUNCTION("""COMPUTED_VALUE"""),3.0)</f>
        <v>3</v>
      </c>
      <c r="V17" s="189">
        <f>IFERROR(__xludf.DUMMYFUNCTION("""COMPUTED_VALUE"""),9.0)</f>
        <v>9</v>
      </c>
      <c r="W17" s="189">
        <f>IFERROR(__xludf.DUMMYFUNCTION("""COMPUTED_VALUE"""),3.0)</f>
        <v>3</v>
      </c>
      <c r="X17" s="189">
        <f>IFERROR(__xludf.DUMMYFUNCTION("""COMPUTED_VALUE"""),4.0)</f>
        <v>4</v>
      </c>
      <c r="Y17" s="208" t="str">
        <f>IFERROR(__xludf.DUMMYFUNCTION("""COMPUTED_VALUE"""),"2025-07-27T00:00:00.000Z")</f>
        <v>2025-07-27T00:00:00.000Z</v>
      </c>
      <c r="Z17" s="189" t="str">
        <f>IFERROR(__xludf.DUMMYFUNCTION("""COMPUTED_VALUE"""),"Team Liquid Academy_Haven")</f>
        <v>Team Liquid Academy_Haven</v>
      </c>
      <c r="AA17" s="189" t="str">
        <f>IFERROR(__xludf.DUMMYFUNCTION("""COMPUTED_VALUE"""),"Team Liquid Academy")</f>
        <v>Team Liquid Academy</v>
      </c>
      <c r="AB17" s="189" t="s">
        <v>630</v>
      </c>
    </row>
    <row r="18">
      <c r="A18" s="189">
        <f>IFERROR(__xludf.DUMMYFUNCTION("""COMPUTED_VALUE"""),211057.0)</f>
        <v>211057</v>
      </c>
      <c r="B18" s="189">
        <f>IFERROR(__xludf.DUMMYFUNCTION("""COMPUTED_VALUE"""),92834.0)</f>
        <v>92834</v>
      </c>
      <c r="C18" s="189" t="str">
        <f>IFERROR(__xludf.DUMMYFUNCTION("""COMPUTED_VALUE"""),"Challengers League 2025 NORTH EAST: Split 3 - Playoffs")</f>
        <v>Challengers League 2025 NORTH EAST: Split 3 - Playoffs</v>
      </c>
      <c r="D18" s="189" t="str">
        <f>IFERROR(__xludf.DUMMYFUNCTION("""COMPUTED_VALUE"""),"Lotus")</f>
        <v>Lotus</v>
      </c>
      <c r="E18" s="189" t="str">
        <f>IFERROR(__xludf.DUMMYFUNCTION("""COMPUTED_VALUE"""),"Team Liquid Academy")</f>
        <v>Team Liquid Academy</v>
      </c>
      <c r="F18" s="189" t="str">
        <f>IFERROR(__xludf.DUMMYFUNCTION("""COMPUTED_VALUE"""),"Formulation Gaming")</f>
        <v>Formulation Gaming</v>
      </c>
      <c r="G18" s="189" t="str">
        <f>IFERROR(__xludf.DUMMYFUNCTION("""COMPUTED_VALUE"""),"Breach,Cypher,Omen,Neon,Fade")</f>
        <v>Breach,Cypher,Omen,Neon,Fade</v>
      </c>
      <c r="H18" s="189" t="str">
        <f>IFERROR(__xludf.DUMMYFUNCTION("""COMPUTED_VALUE"""),"Cypher,Omen,Neon,Fade,Deadlock")</f>
        <v>Cypher,Omen,Neon,Fade,Deadlock</v>
      </c>
      <c r="I18" s="189">
        <f>IFERROR(__xludf.DUMMYFUNCTION("""COMPUTED_VALUE"""),9.0)</f>
        <v>9</v>
      </c>
      <c r="J18" s="189">
        <f>IFERROR(__xludf.DUMMYFUNCTION("""COMPUTED_VALUE"""),13.0)</f>
        <v>13</v>
      </c>
      <c r="K18" s="189">
        <f>IFERROR(__xludf.DUMMYFUNCTION("""COMPUTED_VALUE"""),7.0)</f>
        <v>7</v>
      </c>
      <c r="L18" s="189">
        <f>IFERROR(__xludf.DUMMYFUNCTION("""COMPUTED_VALUE"""),5.0)</f>
        <v>5</v>
      </c>
      <c r="M18" s="189">
        <f>IFERROR(__xludf.DUMMYFUNCTION("""COMPUTED_VALUE"""),0.0)</f>
        <v>0</v>
      </c>
      <c r="N18" s="189">
        <f>IFERROR(__xludf.DUMMYFUNCTION("""COMPUTED_VALUE"""),0.0)</f>
        <v>0</v>
      </c>
      <c r="O18" s="189">
        <f>IFERROR(__xludf.DUMMYFUNCTION("""COMPUTED_VALUE"""),2.0)</f>
        <v>2</v>
      </c>
      <c r="P18" s="189">
        <f>IFERROR(__xludf.DUMMYFUNCTION("""COMPUTED_VALUE"""),8.0)</f>
        <v>8</v>
      </c>
      <c r="Q18" s="189">
        <f>IFERROR(__xludf.DUMMYFUNCTION("""COMPUTED_VALUE"""),7.0)</f>
        <v>7</v>
      </c>
      <c r="R18" s="189">
        <f>IFERROR(__xludf.DUMMYFUNCTION("""COMPUTED_VALUE"""),5.0)</f>
        <v>5</v>
      </c>
      <c r="S18" s="189">
        <f>IFERROR(__xludf.DUMMYFUNCTION("""COMPUTED_VALUE"""),1.0)</f>
        <v>1</v>
      </c>
      <c r="T18" s="189">
        <f>IFERROR(__xludf.DUMMYFUNCTION("""COMPUTED_VALUE"""),1.0)</f>
        <v>1</v>
      </c>
      <c r="U18" s="189">
        <f>IFERROR(__xludf.DUMMYFUNCTION("""COMPUTED_VALUE"""),5.0)</f>
        <v>5</v>
      </c>
      <c r="V18" s="189">
        <f>IFERROR(__xludf.DUMMYFUNCTION("""COMPUTED_VALUE"""),7.0)</f>
        <v>7</v>
      </c>
      <c r="W18" s="189">
        <f>IFERROR(__xludf.DUMMYFUNCTION("""COMPUTED_VALUE"""),8.0)</f>
        <v>8</v>
      </c>
      <c r="X18" s="189">
        <f>IFERROR(__xludf.DUMMYFUNCTION("""COMPUTED_VALUE"""),2.0)</f>
        <v>2</v>
      </c>
      <c r="Y18" s="208" t="str">
        <f>IFERROR(__xludf.DUMMYFUNCTION("""COMPUTED_VALUE"""),"2025-07-27T00:00:00.000Z")</f>
        <v>2025-07-27T00:00:00.000Z</v>
      </c>
      <c r="Z18" s="189" t="str">
        <f>IFERROR(__xludf.DUMMYFUNCTION("""COMPUTED_VALUE"""),"Team Liquid Academy_Lotus")</f>
        <v>Team Liquid Academy_Lotus</v>
      </c>
      <c r="AA18" s="189" t="str">
        <f>IFERROR(__xludf.DUMMYFUNCTION("""COMPUTED_VALUE"""),"Formulation Gaming")</f>
        <v>Formulation Gaming</v>
      </c>
      <c r="AB18" s="189" t="s">
        <v>631</v>
      </c>
    </row>
    <row r="19">
      <c r="A19" s="189">
        <f>IFERROR(__xludf.DUMMYFUNCTION("""COMPUTED_VALUE"""),211056.0)</f>
        <v>211056</v>
      </c>
      <c r="B19" s="189">
        <f>IFERROR(__xludf.DUMMYFUNCTION("""COMPUTED_VALUE"""),92834.0)</f>
        <v>92834</v>
      </c>
      <c r="C19" s="189" t="str">
        <f>IFERROR(__xludf.DUMMYFUNCTION("""COMPUTED_VALUE"""),"Challengers League 2025 NORTH EAST: Split 3 - Playoffs")</f>
        <v>Challengers League 2025 NORTH EAST: Split 3 - Playoffs</v>
      </c>
      <c r="D19" s="189" t="str">
        <f>IFERROR(__xludf.DUMMYFUNCTION("""COMPUTED_VALUE"""),"Corrode")</f>
        <v>Corrode</v>
      </c>
      <c r="E19" s="189" t="str">
        <f>IFERROR(__xludf.DUMMYFUNCTION("""COMPUTED_VALUE"""),"Team Liquid Academy")</f>
        <v>Team Liquid Academy</v>
      </c>
      <c r="F19" s="189" t="str">
        <f>IFERROR(__xludf.DUMMYFUNCTION("""COMPUTED_VALUE"""),"Formulation Gaming")</f>
        <v>Formulation Gaming</v>
      </c>
      <c r="G19" s="189" t="str">
        <f>IFERROR(__xludf.DUMMYFUNCTION("""COMPUTED_VALUE"""),"Cypher,Phoenix,Omen,Yoru,Fade")</f>
        <v>Cypher,Phoenix,Omen,Yoru,Fade</v>
      </c>
      <c r="H19" s="189" t="str">
        <f>IFERROR(__xludf.DUMMYFUNCTION("""COMPUTED_VALUE"""),"Viper,Omen,Neon,Fade,Vyse")</f>
        <v>Viper,Omen,Neon,Fade,Vyse</v>
      </c>
      <c r="I19" s="189">
        <f>IFERROR(__xludf.DUMMYFUNCTION("""COMPUTED_VALUE"""),13.0)</f>
        <v>13</v>
      </c>
      <c r="J19" s="189">
        <f>IFERROR(__xludf.DUMMYFUNCTION("""COMPUTED_VALUE"""),8.0)</f>
        <v>8</v>
      </c>
      <c r="K19" s="189">
        <f>IFERROR(__xludf.DUMMYFUNCTION("""COMPUTED_VALUE"""),7.0)</f>
        <v>7</v>
      </c>
      <c r="L19" s="189">
        <f>IFERROR(__xludf.DUMMYFUNCTION("""COMPUTED_VALUE"""),5.0)</f>
        <v>5</v>
      </c>
      <c r="M19" s="189">
        <f>IFERROR(__xludf.DUMMYFUNCTION("""COMPUTED_VALUE"""),0.0)</f>
        <v>0</v>
      </c>
      <c r="N19" s="189">
        <f>IFERROR(__xludf.DUMMYFUNCTION("""COMPUTED_VALUE"""),0.0)</f>
        <v>0</v>
      </c>
      <c r="O19" s="189">
        <f>IFERROR(__xludf.DUMMYFUNCTION("""COMPUTED_VALUE"""),7.0)</f>
        <v>7</v>
      </c>
      <c r="P19" s="189">
        <f>IFERROR(__xludf.DUMMYFUNCTION("""COMPUTED_VALUE"""),5.0)</f>
        <v>5</v>
      </c>
      <c r="Q19" s="189">
        <f>IFERROR(__xludf.DUMMYFUNCTION("""COMPUTED_VALUE"""),6.0)</f>
        <v>6</v>
      </c>
      <c r="R19" s="189">
        <f>IFERROR(__xludf.DUMMYFUNCTION("""COMPUTED_VALUE"""),3.0)</f>
        <v>3</v>
      </c>
      <c r="S19" s="189">
        <f>IFERROR(__xludf.DUMMYFUNCTION("""COMPUTED_VALUE"""),1.0)</f>
        <v>1</v>
      </c>
      <c r="T19" s="189">
        <f>IFERROR(__xludf.DUMMYFUNCTION("""COMPUTED_VALUE"""),1.0)</f>
        <v>1</v>
      </c>
      <c r="U19" s="189">
        <f>IFERROR(__xludf.DUMMYFUNCTION("""COMPUTED_VALUE"""),3.0)</f>
        <v>3</v>
      </c>
      <c r="V19" s="189">
        <f>IFERROR(__xludf.DUMMYFUNCTION("""COMPUTED_VALUE"""),6.0)</f>
        <v>6</v>
      </c>
      <c r="W19" s="189">
        <f>IFERROR(__xludf.DUMMYFUNCTION("""COMPUTED_VALUE"""),5.0)</f>
        <v>5</v>
      </c>
      <c r="X19" s="189">
        <f>IFERROR(__xludf.DUMMYFUNCTION("""COMPUTED_VALUE"""),7.0)</f>
        <v>7</v>
      </c>
      <c r="Y19" s="208" t="str">
        <f>IFERROR(__xludf.DUMMYFUNCTION("""COMPUTED_VALUE"""),"2025-07-27T00:00:00.000Z")</f>
        <v>2025-07-27T00:00:00.000Z</v>
      </c>
      <c r="Z19" s="189" t="str">
        <f>IFERROR(__xludf.DUMMYFUNCTION("""COMPUTED_VALUE"""),"Team Liquid Academy_Corrode")</f>
        <v>Team Liquid Academy_Corrode</v>
      </c>
      <c r="AA19" s="189" t="str">
        <f>IFERROR(__xludf.DUMMYFUNCTION("""COMPUTED_VALUE"""),"Team Liquid Academy")</f>
        <v>Team Liquid Academy</v>
      </c>
      <c r="AB19" s="189" t="s">
        <v>625</v>
      </c>
    </row>
    <row r="20">
      <c r="A20" s="189">
        <f>IFERROR(__xludf.DUMMYFUNCTION("""COMPUTED_VALUE"""),210899.0)</f>
        <v>210899</v>
      </c>
      <c r="B20" s="189">
        <f>IFERROR(__xludf.DUMMYFUNCTION("""COMPUTED_VALUE"""),92755.0)</f>
        <v>92755</v>
      </c>
      <c r="C20" s="189" t="str">
        <f>IFERROR(__xludf.DUMMYFUNCTION("""COMPUTED_VALUE"""),"Challengers League 2025 NORTH EAST: Split 3 - Upper Swiss Phase")</f>
        <v>Challengers League 2025 NORTH EAST: Split 3 - Upper Swiss Phase</v>
      </c>
      <c r="D20" s="189" t="str">
        <f>IFERROR(__xludf.DUMMYFUNCTION("""COMPUTED_VALUE"""),"Haven")</f>
        <v>Haven</v>
      </c>
      <c r="E20" s="189" t="str">
        <f>IFERROR(__xludf.DUMMYFUNCTION("""COMPUTED_VALUE"""),"Team Liquid Academy")</f>
        <v>Team Liquid Academy</v>
      </c>
      <c r="F20" s="189" t="str">
        <f>IFERROR(__xludf.DUMMYFUNCTION("""COMPUTED_VALUE"""),"ESC Gaming")</f>
        <v>ESC Gaming</v>
      </c>
      <c r="G20" s="189" t="str">
        <f>IFERROR(__xludf.DUMMYFUNCTION("""COMPUTED_VALUE"""),"Cypher,Sova,Omen,Yoru,Iso")</f>
        <v>Cypher,Sova,Omen,Yoru,Iso</v>
      </c>
      <c r="H20" s="189" t="str">
        <f>IFERROR(__xludf.DUMMYFUNCTION("""COMPUTED_VALUE"""),"Breach,Cypher,Sova,Omen,Neon")</f>
        <v>Breach,Cypher,Sova,Omen,Neon</v>
      </c>
      <c r="I20" s="189">
        <f>IFERROR(__xludf.DUMMYFUNCTION("""COMPUTED_VALUE"""),13.0)</f>
        <v>13</v>
      </c>
      <c r="J20" s="189">
        <f>IFERROR(__xludf.DUMMYFUNCTION("""COMPUTED_VALUE"""),9.0)</f>
        <v>9</v>
      </c>
      <c r="K20" s="189">
        <f>IFERROR(__xludf.DUMMYFUNCTION("""COMPUTED_VALUE"""),8.0)</f>
        <v>8</v>
      </c>
      <c r="L20" s="189">
        <f>IFERROR(__xludf.DUMMYFUNCTION("""COMPUTED_VALUE"""),4.0)</f>
        <v>4</v>
      </c>
      <c r="M20" s="189">
        <f>IFERROR(__xludf.DUMMYFUNCTION("""COMPUTED_VALUE"""),1.0)</f>
        <v>1</v>
      </c>
      <c r="N20" s="189">
        <f>IFERROR(__xludf.DUMMYFUNCTION("""COMPUTED_VALUE"""),1.0)</f>
        <v>1</v>
      </c>
      <c r="O20" s="189">
        <f>IFERROR(__xludf.DUMMYFUNCTION("""COMPUTED_VALUE"""),5.0)</f>
        <v>5</v>
      </c>
      <c r="P20" s="189">
        <f>IFERROR(__xludf.DUMMYFUNCTION("""COMPUTED_VALUE"""),5.0)</f>
        <v>5</v>
      </c>
      <c r="Q20" s="189">
        <f>IFERROR(__xludf.DUMMYFUNCTION("""COMPUTED_VALUE"""),8.0)</f>
        <v>8</v>
      </c>
      <c r="R20" s="189">
        <f>IFERROR(__xludf.DUMMYFUNCTION("""COMPUTED_VALUE"""),4.0)</f>
        <v>4</v>
      </c>
      <c r="S20" s="189">
        <f>IFERROR(__xludf.DUMMYFUNCTION("""COMPUTED_VALUE"""),0.0)</f>
        <v>0</v>
      </c>
      <c r="T20" s="189">
        <f>IFERROR(__xludf.DUMMYFUNCTION("""COMPUTED_VALUE"""),0.0)</f>
        <v>0</v>
      </c>
      <c r="U20" s="189">
        <f>IFERROR(__xludf.DUMMYFUNCTION("""COMPUTED_VALUE"""),4.0)</f>
        <v>4</v>
      </c>
      <c r="V20" s="189">
        <f>IFERROR(__xludf.DUMMYFUNCTION("""COMPUTED_VALUE"""),8.0)</f>
        <v>8</v>
      </c>
      <c r="W20" s="189">
        <f>IFERROR(__xludf.DUMMYFUNCTION("""COMPUTED_VALUE"""),5.0)</f>
        <v>5</v>
      </c>
      <c r="X20" s="189">
        <f>IFERROR(__xludf.DUMMYFUNCTION("""COMPUTED_VALUE"""),5.0)</f>
        <v>5</v>
      </c>
      <c r="Y20" s="208" t="str">
        <f>IFERROR(__xludf.DUMMYFUNCTION("""COMPUTED_VALUE"""),"2025-07-21T00:00:00.000Z")</f>
        <v>2025-07-21T00:00:00.000Z</v>
      </c>
      <c r="Z20" s="189" t="str">
        <f>IFERROR(__xludf.DUMMYFUNCTION("""COMPUTED_VALUE"""),"Team Liquid Academy_Haven")</f>
        <v>Team Liquid Academy_Haven</v>
      </c>
      <c r="AA20" s="189" t="str">
        <f>IFERROR(__xludf.DUMMYFUNCTION("""COMPUTED_VALUE"""),"Team Liquid Academy")</f>
        <v>Team Liquid Academy</v>
      </c>
      <c r="AB20" s="189" t="s">
        <v>630</v>
      </c>
    </row>
    <row r="21">
      <c r="A21" s="189">
        <f>IFERROR(__xludf.DUMMYFUNCTION("""COMPUTED_VALUE"""),210898.0)</f>
        <v>210898</v>
      </c>
      <c r="B21" s="189">
        <f>IFERROR(__xludf.DUMMYFUNCTION("""COMPUTED_VALUE"""),92755.0)</f>
        <v>92755</v>
      </c>
      <c r="C21" s="189" t="str">
        <f>IFERROR(__xludf.DUMMYFUNCTION("""COMPUTED_VALUE"""),"Challengers League 2025 NORTH EAST: Split 3 - Upper Swiss Phase")</f>
        <v>Challengers League 2025 NORTH EAST: Split 3 - Upper Swiss Phase</v>
      </c>
      <c r="D21" s="189" t="str">
        <f>IFERROR(__xludf.DUMMYFUNCTION("""COMPUTED_VALUE"""),"Ascent")</f>
        <v>Ascent</v>
      </c>
      <c r="E21" s="189" t="str">
        <f>IFERROR(__xludf.DUMMYFUNCTION("""COMPUTED_VALUE"""),"Team Liquid Academy")</f>
        <v>Team Liquid Academy</v>
      </c>
      <c r="F21" s="189" t="str">
        <f>IFERROR(__xludf.DUMMYFUNCTION("""COMPUTED_VALUE"""),"ESC Gaming")</f>
        <v>ESC Gaming</v>
      </c>
      <c r="G21" s="189" t="str">
        <f>IFERROR(__xludf.DUMMYFUNCTION("""COMPUTED_VALUE"""),"Sova,Omen,Yoru,Vyse,Waylay")</f>
        <v>Sova,Omen,Yoru,Vyse,Waylay</v>
      </c>
      <c r="H21" s="189" t="str">
        <f>IFERROR(__xludf.DUMMYFUNCTION("""COMPUTED_VALUE"""),"Sova,Killjoy,Viper,Omen,Neon")</f>
        <v>Sova,Killjoy,Viper,Omen,Neon</v>
      </c>
      <c r="I21" s="189">
        <f>IFERROR(__xludf.DUMMYFUNCTION("""COMPUTED_VALUE"""),13.0)</f>
        <v>13</v>
      </c>
      <c r="J21" s="189">
        <f>IFERROR(__xludf.DUMMYFUNCTION("""COMPUTED_VALUE"""),6.0)</f>
        <v>6</v>
      </c>
      <c r="K21" s="189">
        <f>IFERROR(__xludf.DUMMYFUNCTION("""COMPUTED_VALUE"""),6.0)</f>
        <v>6</v>
      </c>
      <c r="L21" s="189">
        <f>IFERROR(__xludf.DUMMYFUNCTION("""COMPUTED_VALUE"""),6.0)</f>
        <v>6</v>
      </c>
      <c r="M21" s="189">
        <f>IFERROR(__xludf.DUMMYFUNCTION("""COMPUTED_VALUE"""),1.0)</f>
        <v>1</v>
      </c>
      <c r="N21" s="189">
        <f>IFERROR(__xludf.DUMMYFUNCTION("""COMPUTED_VALUE"""),1.0)</f>
        <v>1</v>
      </c>
      <c r="O21" s="189">
        <f>IFERROR(__xludf.DUMMYFUNCTION("""COMPUTED_VALUE"""),6.0)</f>
        <v>6</v>
      </c>
      <c r="P21" s="189">
        <f>IFERROR(__xludf.DUMMYFUNCTION("""COMPUTED_VALUE"""),6.0)</f>
        <v>6</v>
      </c>
      <c r="Q21" s="189">
        <f>IFERROR(__xludf.DUMMYFUNCTION("""COMPUTED_VALUE"""),7.0)</f>
        <v>7</v>
      </c>
      <c r="R21" s="189">
        <f>IFERROR(__xludf.DUMMYFUNCTION("""COMPUTED_VALUE"""),0.0)</f>
        <v>0</v>
      </c>
      <c r="S21" s="189">
        <f>IFERROR(__xludf.DUMMYFUNCTION("""COMPUTED_VALUE"""),0.0)</f>
        <v>0</v>
      </c>
      <c r="T21" s="189">
        <f>IFERROR(__xludf.DUMMYFUNCTION("""COMPUTED_VALUE"""),0.0)</f>
        <v>0</v>
      </c>
      <c r="U21" s="189">
        <f>IFERROR(__xludf.DUMMYFUNCTION("""COMPUTED_VALUE"""),0.0)</f>
        <v>0</v>
      </c>
      <c r="V21" s="189">
        <f>IFERROR(__xludf.DUMMYFUNCTION("""COMPUTED_VALUE"""),7.0)</f>
        <v>7</v>
      </c>
      <c r="W21" s="189">
        <f>IFERROR(__xludf.DUMMYFUNCTION("""COMPUTED_VALUE"""),6.0)</f>
        <v>6</v>
      </c>
      <c r="X21" s="189">
        <f>IFERROR(__xludf.DUMMYFUNCTION("""COMPUTED_VALUE"""),6.0)</f>
        <v>6</v>
      </c>
      <c r="Y21" s="208" t="str">
        <f>IFERROR(__xludf.DUMMYFUNCTION("""COMPUTED_VALUE"""),"2025-07-21T00:00:00.000Z")</f>
        <v>2025-07-21T00:00:00.000Z</v>
      </c>
      <c r="Z21" s="189" t="str">
        <f>IFERROR(__xludf.DUMMYFUNCTION("""COMPUTED_VALUE"""),"Team Liquid Academy_Ascent")</f>
        <v>Team Liquid Academy_Ascent</v>
      </c>
      <c r="AA21" s="189" t="str">
        <f>IFERROR(__xludf.DUMMYFUNCTION("""COMPUTED_VALUE"""),"Team Liquid Academy")</f>
        <v>Team Liquid Academy</v>
      </c>
      <c r="AB21" s="189" t="s">
        <v>626</v>
      </c>
    </row>
    <row r="22">
      <c r="A22" s="189">
        <f>IFERROR(__xludf.DUMMYFUNCTION("""COMPUTED_VALUE"""),210897.0)</f>
        <v>210897</v>
      </c>
      <c r="B22" s="189">
        <f>IFERROR(__xludf.DUMMYFUNCTION("""COMPUTED_VALUE"""),92755.0)</f>
        <v>92755</v>
      </c>
      <c r="C22" s="189" t="str">
        <f>IFERROR(__xludf.DUMMYFUNCTION("""COMPUTED_VALUE"""),"Challengers League 2025 NORTH EAST: Split 3 - Upper Swiss Phase")</f>
        <v>Challengers League 2025 NORTH EAST: Split 3 - Upper Swiss Phase</v>
      </c>
      <c r="D22" s="189" t="str">
        <f>IFERROR(__xludf.DUMMYFUNCTION("""COMPUTED_VALUE"""),"Lotus")</f>
        <v>Lotus</v>
      </c>
      <c r="E22" s="189" t="str">
        <f>IFERROR(__xludf.DUMMYFUNCTION("""COMPUTED_VALUE"""),"Team Liquid Academy")</f>
        <v>Team Liquid Academy</v>
      </c>
      <c r="F22" s="189" t="str">
        <f>IFERROR(__xludf.DUMMYFUNCTION("""COMPUTED_VALUE"""),"ESC Gaming")</f>
        <v>ESC Gaming</v>
      </c>
      <c r="G22" s="189" t="str">
        <f>IFERROR(__xludf.DUMMYFUNCTION("""COMPUTED_VALUE"""),"Breach,Cypher,Omen,Neon,Fade")</f>
        <v>Breach,Cypher,Omen,Neon,Fade</v>
      </c>
      <c r="H22" s="189" t="str">
        <f>IFERROR(__xludf.DUMMYFUNCTION("""COMPUTED_VALUE"""),"Raze,Viper,Omen,Fade,Vyse")</f>
        <v>Raze,Viper,Omen,Fade,Vyse</v>
      </c>
      <c r="I22" s="189">
        <f>IFERROR(__xludf.DUMMYFUNCTION("""COMPUTED_VALUE"""),14.0)</f>
        <v>14</v>
      </c>
      <c r="J22" s="189">
        <f>IFERROR(__xludf.DUMMYFUNCTION("""COMPUTED_VALUE"""),16.0)</f>
        <v>16</v>
      </c>
      <c r="K22" s="189">
        <f>IFERROR(__xludf.DUMMYFUNCTION("""COMPUTED_VALUE"""),9.0)</f>
        <v>9</v>
      </c>
      <c r="L22" s="189">
        <f>IFERROR(__xludf.DUMMYFUNCTION("""COMPUTED_VALUE"""),3.0)</f>
        <v>3</v>
      </c>
      <c r="M22" s="189">
        <f>IFERROR(__xludf.DUMMYFUNCTION("""COMPUTED_VALUE"""),1.0)</f>
        <v>1</v>
      </c>
      <c r="N22" s="189">
        <f>IFERROR(__xludf.DUMMYFUNCTION("""COMPUTED_VALUE"""),1.0)</f>
        <v>1</v>
      </c>
      <c r="O22" s="189">
        <f>IFERROR(__xludf.DUMMYFUNCTION("""COMPUTED_VALUE"""),4.0)</f>
        <v>4</v>
      </c>
      <c r="P22" s="189">
        <f>IFERROR(__xludf.DUMMYFUNCTION("""COMPUTED_VALUE"""),11.0)</f>
        <v>11</v>
      </c>
      <c r="Q22" s="189">
        <f>IFERROR(__xludf.DUMMYFUNCTION("""COMPUTED_VALUE"""),10.0)</f>
        <v>10</v>
      </c>
      <c r="R22" s="189">
        <f>IFERROR(__xludf.DUMMYFUNCTION("""COMPUTED_VALUE"""),5.0)</f>
        <v>5</v>
      </c>
      <c r="S22" s="189">
        <f>IFERROR(__xludf.DUMMYFUNCTION("""COMPUTED_VALUE"""),0.0)</f>
        <v>0</v>
      </c>
      <c r="T22" s="189">
        <f>IFERROR(__xludf.DUMMYFUNCTION("""COMPUTED_VALUE"""),0.0)</f>
        <v>0</v>
      </c>
      <c r="U22" s="189">
        <f>IFERROR(__xludf.DUMMYFUNCTION("""COMPUTED_VALUE"""),5.0)</f>
        <v>5</v>
      </c>
      <c r="V22" s="189">
        <f>IFERROR(__xludf.DUMMYFUNCTION("""COMPUTED_VALUE"""),10.0)</f>
        <v>10</v>
      </c>
      <c r="W22" s="189">
        <f>IFERROR(__xludf.DUMMYFUNCTION("""COMPUTED_VALUE"""),11.0)</f>
        <v>11</v>
      </c>
      <c r="X22" s="189">
        <f>IFERROR(__xludf.DUMMYFUNCTION("""COMPUTED_VALUE"""),4.0)</f>
        <v>4</v>
      </c>
      <c r="Y22" s="208" t="str">
        <f>IFERROR(__xludf.DUMMYFUNCTION("""COMPUTED_VALUE"""),"2025-07-21T00:00:00.000Z")</f>
        <v>2025-07-21T00:00:00.000Z</v>
      </c>
      <c r="Z22" s="189" t="str">
        <f>IFERROR(__xludf.DUMMYFUNCTION("""COMPUTED_VALUE"""),"Team Liquid Academy_Lotus")</f>
        <v>Team Liquid Academy_Lotus</v>
      </c>
      <c r="AA22" s="189" t="str">
        <f>IFERROR(__xludf.DUMMYFUNCTION("""COMPUTED_VALUE"""),"ESC Gaming")</f>
        <v>ESC Gaming</v>
      </c>
      <c r="AB22" s="189" t="s">
        <v>631</v>
      </c>
    </row>
    <row r="23">
      <c r="A23" s="189">
        <f>IFERROR(__xludf.DUMMYFUNCTION("""COMPUTED_VALUE"""),210752.0)</f>
        <v>210752</v>
      </c>
      <c r="B23" s="189">
        <f>IFERROR(__xludf.DUMMYFUNCTION("""COMPUTED_VALUE"""),92707.0)</f>
        <v>92707</v>
      </c>
      <c r="C23" s="189" t="str">
        <f>IFERROR(__xludf.DUMMYFUNCTION("""COMPUTED_VALUE"""),"Challengers League 2025 NORTH EAST: Split 3 - Upper Swiss Phase")</f>
        <v>Challengers League 2025 NORTH EAST: Split 3 - Upper Swiss Phase</v>
      </c>
      <c r="D23" s="189" t="str">
        <f>IFERROR(__xludf.DUMMYFUNCTION("""COMPUTED_VALUE"""),"Corrode")</f>
        <v>Corrode</v>
      </c>
      <c r="E23" s="189" t="str">
        <f>IFERROR(__xludf.DUMMYFUNCTION("""COMPUTED_VALUE"""),"Team Liquid Academy")</f>
        <v>Team Liquid Academy</v>
      </c>
      <c r="F23" s="189" t="str">
        <f>IFERROR(__xludf.DUMMYFUNCTION("""COMPUTED_VALUE"""),"BONK")</f>
        <v>BONK</v>
      </c>
      <c r="G23" s="189" t="str">
        <f>IFERROR(__xludf.DUMMYFUNCTION("""COMPUTED_VALUE"""),"Cypher,Phoenix,Omen,Yoru,Fade")</f>
        <v>Cypher,Phoenix,Omen,Yoru,Fade</v>
      </c>
      <c r="H23" s="189" t="str">
        <f>IFERROR(__xludf.DUMMYFUNCTION("""COMPUTED_VALUE"""),"Omen,Jett,Yoru,Fade,Vyse")</f>
        <v>Omen,Jett,Yoru,Fade,Vyse</v>
      </c>
      <c r="I23" s="189">
        <f>IFERROR(__xludf.DUMMYFUNCTION("""COMPUTED_VALUE"""),13.0)</f>
        <v>13</v>
      </c>
      <c r="J23" s="189">
        <f>IFERROR(__xludf.DUMMYFUNCTION("""COMPUTED_VALUE"""),5.0)</f>
        <v>5</v>
      </c>
      <c r="K23" s="189">
        <f>IFERROR(__xludf.DUMMYFUNCTION("""COMPUTED_VALUE"""),10.0)</f>
        <v>10</v>
      </c>
      <c r="L23" s="189">
        <f>IFERROR(__xludf.DUMMYFUNCTION("""COMPUTED_VALUE"""),2.0)</f>
        <v>2</v>
      </c>
      <c r="M23" s="189">
        <f>IFERROR(__xludf.DUMMYFUNCTION("""COMPUTED_VALUE"""),0.0)</f>
        <v>0</v>
      </c>
      <c r="N23" s="189">
        <f>IFERROR(__xludf.DUMMYFUNCTION("""COMPUTED_VALUE"""),1.0)</f>
        <v>1</v>
      </c>
      <c r="O23" s="189">
        <f>IFERROR(__xludf.DUMMYFUNCTION("""COMPUTED_VALUE"""),3.0)</f>
        <v>3</v>
      </c>
      <c r="P23" s="189">
        <f>IFERROR(__xludf.DUMMYFUNCTION("""COMPUTED_VALUE"""),3.0)</f>
        <v>3</v>
      </c>
      <c r="Q23" s="189">
        <f>IFERROR(__xludf.DUMMYFUNCTION("""COMPUTED_VALUE"""),10.0)</f>
        <v>10</v>
      </c>
      <c r="R23" s="189">
        <f>IFERROR(__xludf.DUMMYFUNCTION("""COMPUTED_VALUE"""),2.0)</f>
        <v>2</v>
      </c>
      <c r="S23" s="189">
        <f>IFERROR(__xludf.DUMMYFUNCTION("""COMPUTED_VALUE"""),0.0)</f>
        <v>0</v>
      </c>
      <c r="T23" s="189">
        <f>IFERROR(__xludf.DUMMYFUNCTION("""COMPUTED_VALUE"""),1.0)</f>
        <v>1</v>
      </c>
      <c r="U23" s="189">
        <f>IFERROR(__xludf.DUMMYFUNCTION("""COMPUTED_VALUE"""),2.0)</f>
        <v>2</v>
      </c>
      <c r="V23" s="189">
        <f>IFERROR(__xludf.DUMMYFUNCTION("""COMPUTED_VALUE"""),10.0)</f>
        <v>10</v>
      </c>
      <c r="W23" s="189">
        <f>IFERROR(__xludf.DUMMYFUNCTION("""COMPUTED_VALUE"""),3.0)</f>
        <v>3</v>
      </c>
      <c r="X23" s="189">
        <f>IFERROR(__xludf.DUMMYFUNCTION("""COMPUTED_VALUE"""),3.0)</f>
        <v>3</v>
      </c>
      <c r="Y23" s="208" t="str">
        <f>IFERROR(__xludf.DUMMYFUNCTION("""COMPUTED_VALUE"""),"2025-07-20T00:00:00.000Z")</f>
        <v>2025-07-20T00:00:00.000Z</v>
      </c>
      <c r="Z23" s="189" t="str">
        <f>IFERROR(__xludf.DUMMYFUNCTION("""COMPUTED_VALUE"""),"Team Liquid Academy_Corrode")</f>
        <v>Team Liquid Academy_Corrode</v>
      </c>
      <c r="AA23" s="189" t="str">
        <f>IFERROR(__xludf.DUMMYFUNCTION("""COMPUTED_VALUE"""),"Team Liquid Academy")</f>
        <v>Team Liquid Academy</v>
      </c>
      <c r="AB23" s="189" t="s">
        <v>625</v>
      </c>
    </row>
    <row r="24">
      <c r="A24" s="189">
        <f>IFERROR(__xludf.DUMMYFUNCTION("""COMPUTED_VALUE"""),210751.0)</f>
        <v>210751</v>
      </c>
      <c r="B24" s="189">
        <f>IFERROR(__xludf.DUMMYFUNCTION("""COMPUTED_VALUE"""),92707.0)</f>
        <v>92707</v>
      </c>
      <c r="C24" s="189" t="str">
        <f>IFERROR(__xludf.DUMMYFUNCTION("""COMPUTED_VALUE"""),"Challengers League 2025 NORTH EAST: Split 3 - Upper Swiss Phase")</f>
        <v>Challengers League 2025 NORTH EAST: Split 3 - Upper Swiss Phase</v>
      </c>
      <c r="D24" s="189" t="str">
        <f>IFERROR(__xludf.DUMMYFUNCTION("""COMPUTED_VALUE"""),"Icebox")</f>
        <v>Icebox</v>
      </c>
      <c r="E24" s="189" t="str">
        <f>IFERROR(__xludf.DUMMYFUNCTION("""COMPUTED_VALUE"""),"Team Liquid Academy")</f>
        <v>Team Liquid Academy</v>
      </c>
      <c r="F24" s="189" t="str">
        <f>IFERROR(__xludf.DUMMYFUNCTION("""COMPUTED_VALUE"""),"BONK")</f>
        <v>BONK</v>
      </c>
      <c r="G24" s="189" t="str">
        <f>IFERROR(__xludf.DUMMYFUNCTION("""COMPUTED_VALUE"""),"Sova,Killjoy,Viper,Sage,Gekko")</f>
        <v>Sova,Killjoy,Viper,Sage,Gekko</v>
      </c>
      <c r="H24" s="189" t="str">
        <f>IFERROR(__xludf.DUMMYFUNCTION("""COMPUTED_VALUE"""),"Sova,Killjoy,Viper,Reyna,Jett")</f>
        <v>Sova,Killjoy,Viper,Reyna,Jett</v>
      </c>
      <c r="I24" s="189">
        <f>IFERROR(__xludf.DUMMYFUNCTION("""COMPUTED_VALUE"""),13.0)</f>
        <v>13</v>
      </c>
      <c r="J24" s="189">
        <f>IFERROR(__xludf.DUMMYFUNCTION("""COMPUTED_VALUE"""),9.0)</f>
        <v>9</v>
      </c>
      <c r="K24" s="189">
        <f>IFERROR(__xludf.DUMMYFUNCTION("""COMPUTED_VALUE"""),5.0)</f>
        <v>5</v>
      </c>
      <c r="L24" s="189">
        <f>IFERROR(__xludf.DUMMYFUNCTION("""COMPUTED_VALUE"""),7.0)</f>
        <v>7</v>
      </c>
      <c r="M24" s="189">
        <f>IFERROR(__xludf.DUMMYFUNCTION("""COMPUTED_VALUE"""),0.0)</f>
        <v>0</v>
      </c>
      <c r="N24" s="189">
        <f>IFERROR(__xludf.DUMMYFUNCTION("""COMPUTED_VALUE"""),1.0)</f>
        <v>1</v>
      </c>
      <c r="O24" s="189">
        <f>IFERROR(__xludf.DUMMYFUNCTION("""COMPUTED_VALUE"""),5.0)</f>
        <v>5</v>
      </c>
      <c r="P24" s="189">
        <f>IFERROR(__xludf.DUMMYFUNCTION("""COMPUTED_VALUE"""),7.0)</f>
        <v>7</v>
      </c>
      <c r="Q24" s="189">
        <f>IFERROR(__xludf.DUMMYFUNCTION("""COMPUTED_VALUE"""),8.0)</f>
        <v>8</v>
      </c>
      <c r="R24" s="189">
        <f>IFERROR(__xludf.DUMMYFUNCTION("""COMPUTED_VALUE"""),2.0)</f>
        <v>2</v>
      </c>
      <c r="S24" s="189">
        <f>IFERROR(__xludf.DUMMYFUNCTION("""COMPUTED_VALUE"""),0.0)</f>
        <v>0</v>
      </c>
      <c r="T24" s="189">
        <f>IFERROR(__xludf.DUMMYFUNCTION("""COMPUTED_VALUE"""),1.0)</f>
        <v>1</v>
      </c>
      <c r="U24" s="189">
        <f>IFERROR(__xludf.DUMMYFUNCTION("""COMPUTED_VALUE"""),2.0)</f>
        <v>2</v>
      </c>
      <c r="V24" s="189">
        <f>IFERROR(__xludf.DUMMYFUNCTION("""COMPUTED_VALUE"""),8.0)</f>
        <v>8</v>
      </c>
      <c r="W24" s="189">
        <f>IFERROR(__xludf.DUMMYFUNCTION("""COMPUTED_VALUE"""),7.0)</f>
        <v>7</v>
      </c>
      <c r="X24" s="189">
        <f>IFERROR(__xludf.DUMMYFUNCTION("""COMPUTED_VALUE"""),5.0)</f>
        <v>5</v>
      </c>
      <c r="Y24" s="208" t="str">
        <f>IFERROR(__xludf.DUMMYFUNCTION("""COMPUTED_VALUE"""),"2025-07-20T00:00:00.000Z")</f>
        <v>2025-07-20T00:00:00.000Z</v>
      </c>
      <c r="Z24" s="189" t="str">
        <f>IFERROR(__xludf.DUMMYFUNCTION("""COMPUTED_VALUE"""),"Team Liquid Academy_Icebox")</f>
        <v>Team Liquid Academy_Icebox</v>
      </c>
      <c r="AA24" s="189" t="str">
        <f>IFERROR(__xludf.DUMMYFUNCTION("""COMPUTED_VALUE"""),"Team Liquid Academy")</f>
        <v>Team Liquid Academy</v>
      </c>
      <c r="AB24" s="189" t="s">
        <v>632</v>
      </c>
    </row>
    <row r="25">
      <c r="A25" s="189">
        <f>IFERROR(__xludf.DUMMYFUNCTION("""COMPUTED_VALUE"""),210104.0)</f>
        <v>210104</v>
      </c>
      <c r="B25" s="189">
        <f>IFERROR(__xludf.DUMMYFUNCTION("""COMPUTED_VALUE"""),92408.0)</f>
        <v>92408</v>
      </c>
      <c r="C25" s="189" t="str">
        <f>IFERROR(__xludf.DUMMYFUNCTION("""COMPUTED_VALUE"""),"Challengers League 2025 NORTH EAST: Split 3 - Upper Swiss Phase")</f>
        <v>Challengers League 2025 NORTH EAST: Split 3 - Upper Swiss Phase</v>
      </c>
      <c r="D25" s="189" t="str">
        <f>IFERROR(__xludf.DUMMYFUNCTION("""COMPUTED_VALUE"""),"Lotus")</f>
        <v>Lotus</v>
      </c>
      <c r="E25" s="189" t="str">
        <f>IFERROR(__xludf.DUMMYFUNCTION("""COMPUTED_VALUE"""),"Team Liquid Academy")</f>
        <v>Team Liquid Academy</v>
      </c>
      <c r="F25" s="189" t="str">
        <f>IFERROR(__xludf.DUMMYFUNCTION("""COMPUTED_VALUE"""),"Boars Gaming")</f>
        <v>Boars Gaming</v>
      </c>
      <c r="G25" s="189" t="str">
        <f>IFERROR(__xludf.DUMMYFUNCTION("""COMPUTED_VALUE"""),"Raze,Viper,Omen,Fade,Vyse")</f>
        <v>Raze,Viper,Omen,Fade,Vyse</v>
      </c>
      <c r="H25" s="189" t="str">
        <f>IFERROR(__xludf.DUMMYFUNCTION("""COMPUTED_VALUE"""),"Breach,Cypher,Omen,Neon,Fade")</f>
        <v>Breach,Cypher,Omen,Neon,Fade</v>
      </c>
      <c r="I25" s="189">
        <f>IFERROR(__xludf.DUMMYFUNCTION("""COMPUTED_VALUE"""),7.0)</f>
        <v>7</v>
      </c>
      <c r="J25" s="189">
        <f>IFERROR(__xludf.DUMMYFUNCTION("""COMPUTED_VALUE"""),13.0)</f>
        <v>13</v>
      </c>
      <c r="K25" s="189">
        <f>IFERROR(__xludf.DUMMYFUNCTION("""COMPUTED_VALUE"""),7.0)</f>
        <v>7</v>
      </c>
      <c r="L25" s="189">
        <f>IFERROR(__xludf.DUMMYFUNCTION("""COMPUTED_VALUE"""),5.0)</f>
        <v>5</v>
      </c>
      <c r="M25" s="189">
        <f>IFERROR(__xludf.DUMMYFUNCTION("""COMPUTED_VALUE"""),0.0)</f>
        <v>0</v>
      </c>
      <c r="N25" s="189">
        <f>IFERROR(__xludf.DUMMYFUNCTION("""COMPUTED_VALUE"""),1.0)</f>
        <v>1</v>
      </c>
      <c r="O25" s="189">
        <f>IFERROR(__xludf.DUMMYFUNCTION("""COMPUTED_VALUE"""),0.0)</f>
        <v>0</v>
      </c>
      <c r="P25" s="189">
        <f>IFERROR(__xludf.DUMMYFUNCTION("""COMPUTED_VALUE"""),8.0)</f>
        <v>8</v>
      </c>
      <c r="Q25" s="189">
        <f>IFERROR(__xludf.DUMMYFUNCTION("""COMPUTED_VALUE"""),7.0)</f>
        <v>7</v>
      </c>
      <c r="R25" s="189">
        <f>IFERROR(__xludf.DUMMYFUNCTION("""COMPUTED_VALUE"""),5.0)</f>
        <v>5</v>
      </c>
      <c r="S25" s="189">
        <f>IFERROR(__xludf.DUMMYFUNCTION("""COMPUTED_VALUE"""),0.0)</f>
        <v>0</v>
      </c>
      <c r="T25" s="189">
        <f>IFERROR(__xludf.DUMMYFUNCTION("""COMPUTED_VALUE"""),1.0)</f>
        <v>1</v>
      </c>
      <c r="U25" s="189">
        <f>IFERROR(__xludf.DUMMYFUNCTION("""COMPUTED_VALUE"""),5.0)</f>
        <v>5</v>
      </c>
      <c r="V25" s="189">
        <f>IFERROR(__xludf.DUMMYFUNCTION("""COMPUTED_VALUE"""),7.0)</f>
        <v>7</v>
      </c>
      <c r="W25" s="189">
        <f>IFERROR(__xludf.DUMMYFUNCTION("""COMPUTED_VALUE"""),8.0)</f>
        <v>8</v>
      </c>
      <c r="X25" s="189">
        <f>IFERROR(__xludf.DUMMYFUNCTION("""COMPUTED_VALUE"""),0.0)</f>
        <v>0</v>
      </c>
      <c r="Y25" s="208" t="str">
        <f>IFERROR(__xludf.DUMMYFUNCTION("""COMPUTED_VALUE"""),"2025-07-14T00:00:00.000Z")</f>
        <v>2025-07-14T00:00:00.000Z</v>
      </c>
      <c r="Z25" s="189" t="str">
        <f>IFERROR(__xludf.DUMMYFUNCTION("""COMPUTED_VALUE"""),"Team Liquid Academy_Lotus")</f>
        <v>Team Liquid Academy_Lotus</v>
      </c>
      <c r="AA25" s="189" t="str">
        <f>IFERROR(__xludf.DUMMYFUNCTION("""COMPUTED_VALUE"""),"Boars Gaming")</f>
        <v>Boars Gaming</v>
      </c>
      <c r="AB25" s="189" t="s">
        <v>633</v>
      </c>
    </row>
    <row r="26">
      <c r="A26" s="189">
        <f>IFERROR(__xludf.DUMMYFUNCTION("""COMPUTED_VALUE"""),209860.0)</f>
        <v>209860</v>
      </c>
      <c r="B26" s="189">
        <f>IFERROR(__xludf.DUMMYFUNCTION("""COMPUTED_VALUE"""),92322.0)</f>
        <v>92322</v>
      </c>
      <c r="C26" s="189" t="str">
        <f>IFERROR(__xludf.DUMMYFUNCTION("""COMPUTED_VALUE"""),"Challengers League 2025 NORTH EAST: Split 3 - Upper Swiss Phase")</f>
        <v>Challengers League 2025 NORTH EAST: Split 3 - Upper Swiss Phase</v>
      </c>
      <c r="D26" s="189" t="str">
        <f>IFERROR(__xludf.DUMMYFUNCTION("""COMPUTED_VALUE"""),"Lotus")</f>
        <v>Lotus</v>
      </c>
      <c r="E26" s="189" t="str">
        <f>IFERROR(__xludf.DUMMYFUNCTION("""COMPUTED_VALUE"""),"Team Liquid Academy")</f>
        <v>Team Liquid Academy</v>
      </c>
      <c r="F26" s="189" t="str">
        <f>IFERROR(__xludf.DUMMYFUNCTION("""COMPUTED_VALUE"""),"Formulation Gaming")</f>
        <v>Formulation Gaming</v>
      </c>
      <c r="G26" s="189" t="str">
        <f>IFERROR(__xludf.DUMMYFUNCTION("""COMPUTED_VALUE"""),"Raze,Viper,Omen,Fade,Vyse")</f>
        <v>Raze,Viper,Omen,Fade,Vyse</v>
      </c>
      <c r="H26" s="189" t="str">
        <f>IFERROR(__xludf.DUMMYFUNCTION("""COMPUTED_VALUE"""),"Cypher,Omen,Neon,Fade,Deadlock")</f>
        <v>Cypher,Omen,Neon,Fade,Deadlock</v>
      </c>
      <c r="I26" s="189">
        <f>IFERROR(__xludf.DUMMYFUNCTION("""COMPUTED_VALUE"""),9.0)</f>
        <v>9</v>
      </c>
      <c r="J26" s="189">
        <f>IFERROR(__xludf.DUMMYFUNCTION("""COMPUTED_VALUE"""),13.0)</f>
        <v>13</v>
      </c>
      <c r="K26" s="189">
        <f>IFERROR(__xludf.DUMMYFUNCTION("""COMPUTED_VALUE"""),4.0)</f>
        <v>4</v>
      </c>
      <c r="L26" s="189">
        <f>IFERROR(__xludf.DUMMYFUNCTION("""COMPUTED_VALUE"""),8.0)</f>
        <v>8</v>
      </c>
      <c r="M26" s="189">
        <f>IFERROR(__xludf.DUMMYFUNCTION("""COMPUTED_VALUE"""),0.0)</f>
        <v>0</v>
      </c>
      <c r="N26" s="189">
        <f>IFERROR(__xludf.DUMMYFUNCTION("""COMPUTED_VALUE"""),0.0)</f>
        <v>0</v>
      </c>
      <c r="O26" s="189">
        <f>IFERROR(__xludf.DUMMYFUNCTION("""COMPUTED_VALUE"""),5.0)</f>
        <v>5</v>
      </c>
      <c r="P26" s="189">
        <f>IFERROR(__xludf.DUMMYFUNCTION("""COMPUTED_VALUE"""),5.0)</f>
        <v>5</v>
      </c>
      <c r="Q26" s="189">
        <f>IFERROR(__xludf.DUMMYFUNCTION("""COMPUTED_VALUE"""),4.0)</f>
        <v>4</v>
      </c>
      <c r="R26" s="189">
        <f>IFERROR(__xludf.DUMMYFUNCTION("""COMPUTED_VALUE"""),8.0)</f>
        <v>8</v>
      </c>
      <c r="S26" s="189">
        <f>IFERROR(__xludf.DUMMYFUNCTION("""COMPUTED_VALUE"""),1.0)</f>
        <v>1</v>
      </c>
      <c r="T26" s="189">
        <f>IFERROR(__xludf.DUMMYFUNCTION("""COMPUTED_VALUE"""),1.0)</f>
        <v>1</v>
      </c>
      <c r="U26" s="189">
        <f>IFERROR(__xludf.DUMMYFUNCTION("""COMPUTED_VALUE"""),8.0)</f>
        <v>8</v>
      </c>
      <c r="V26" s="189">
        <f>IFERROR(__xludf.DUMMYFUNCTION("""COMPUTED_VALUE"""),4.0)</f>
        <v>4</v>
      </c>
      <c r="W26" s="189">
        <f>IFERROR(__xludf.DUMMYFUNCTION("""COMPUTED_VALUE"""),5.0)</f>
        <v>5</v>
      </c>
      <c r="X26" s="189">
        <f>IFERROR(__xludf.DUMMYFUNCTION("""COMPUTED_VALUE"""),5.0)</f>
        <v>5</v>
      </c>
      <c r="Y26" s="208" t="str">
        <f>IFERROR(__xludf.DUMMYFUNCTION("""COMPUTED_VALUE"""),"2025-07-14T00:00:00.000Z")</f>
        <v>2025-07-14T00:00:00.000Z</v>
      </c>
      <c r="Z26" s="189" t="str">
        <f>IFERROR(__xludf.DUMMYFUNCTION("""COMPUTED_VALUE"""),"Team Liquid Academy_Lotus")</f>
        <v>Team Liquid Academy_Lotus</v>
      </c>
      <c r="AA26" s="189" t="str">
        <f>IFERROR(__xludf.DUMMYFUNCTION("""COMPUTED_VALUE"""),"Formulation Gaming")</f>
        <v>Formulation Gaming</v>
      </c>
      <c r="AB26" s="189" t="s">
        <v>633</v>
      </c>
    </row>
    <row r="27">
      <c r="A27" s="189">
        <f>IFERROR(__xludf.DUMMYFUNCTION("""COMPUTED_VALUE"""),209347.0)</f>
        <v>209347</v>
      </c>
      <c r="B27" s="189">
        <f>IFERROR(__xludf.DUMMYFUNCTION("""COMPUTED_VALUE"""),92127.0)</f>
        <v>92127</v>
      </c>
      <c r="C27" s="189" t="str">
        <f>IFERROR(__xludf.DUMMYFUNCTION("""COMPUTED_VALUE"""),"Challengers League 2025 NORTH EAST: Split 3 - Upper Swiss Phase")</f>
        <v>Challengers League 2025 NORTH EAST: Split 3 - Upper Swiss Phase</v>
      </c>
      <c r="D27" s="189" t="str">
        <f>IFERROR(__xludf.DUMMYFUNCTION("""COMPUTED_VALUE"""),"Ascent")</f>
        <v>Ascent</v>
      </c>
      <c r="E27" s="189" t="str">
        <f>IFERROR(__xludf.DUMMYFUNCTION("""COMPUTED_VALUE"""),"Team Liquid Academy")</f>
        <v>Team Liquid Academy</v>
      </c>
      <c r="F27" s="189" t="str">
        <f>IFERROR(__xludf.DUMMYFUNCTION("""COMPUTED_VALUE"""),"Easties")</f>
        <v>Easties</v>
      </c>
      <c r="G27" s="189" t="str">
        <f>IFERROR(__xludf.DUMMYFUNCTION("""COMPUTED_VALUE"""),"Sova,Omen,Yoru,Vyse,Waylay")</f>
        <v>Sova,Omen,Yoru,Vyse,Waylay</v>
      </c>
      <c r="H27" s="189" t="str">
        <f>IFERROR(__xludf.DUMMYFUNCTION("""COMPUTED_VALUE"""),"Cypher,Sova,Omen,Yoru,Deadlock")</f>
        <v>Cypher,Sova,Omen,Yoru,Deadlock</v>
      </c>
      <c r="I27" s="189">
        <f>IFERROR(__xludf.DUMMYFUNCTION("""COMPUTED_VALUE"""),13.0)</f>
        <v>13</v>
      </c>
      <c r="J27" s="189">
        <f>IFERROR(__xludf.DUMMYFUNCTION("""COMPUTED_VALUE"""),0.0)</f>
        <v>0</v>
      </c>
      <c r="K27" s="189">
        <f>IFERROR(__xludf.DUMMYFUNCTION("""COMPUTED_VALUE"""),12.0)</f>
        <v>12</v>
      </c>
      <c r="L27" s="189">
        <f>IFERROR(__xludf.DUMMYFUNCTION("""COMPUTED_VALUE"""),0.0)</f>
        <v>0</v>
      </c>
      <c r="M27" s="189">
        <f>IFERROR(__xludf.DUMMYFUNCTION("""COMPUTED_VALUE"""),1.0)</f>
        <v>1</v>
      </c>
      <c r="N27" s="189">
        <f>IFERROR(__xludf.DUMMYFUNCTION("""COMPUTED_VALUE"""),1.0)</f>
        <v>1</v>
      </c>
      <c r="O27" s="189">
        <f>IFERROR(__xludf.DUMMYFUNCTION("""COMPUTED_VALUE"""),1.0)</f>
        <v>1</v>
      </c>
      <c r="P27" s="189">
        <f>IFERROR(__xludf.DUMMYFUNCTION("""COMPUTED_VALUE"""),0.0)</f>
        <v>0</v>
      </c>
      <c r="Q27" s="189">
        <f>IFERROR(__xludf.DUMMYFUNCTION("""COMPUTED_VALUE"""),12.0)</f>
        <v>12</v>
      </c>
      <c r="R27" s="189">
        <f>IFERROR(__xludf.DUMMYFUNCTION("""COMPUTED_VALUE"""),0.0)</f>
        <v>0</v>
      </c>
      <c r="S27" s="189">
        <f>IFERROR(__xludf.DUMMYFUNCTION("""COMPUTED_VALUE"""),0.0)</f>
        <v>0</v>
      </c>
      <c r="T27" s="189">
        <f>IFERROR(__xludf.DUMMYFUNCTION("""COMPUTED_VALUE"""),0.0)</f>
        <v>0</v>
      </c>
      <c r="U27" s="189">
        <f>IFERROR(__xludf.DUMMYFUNCTION("""COMPUTED_VALUE"""),0.0)</f>
        <v>0</v>
      </c>
      <c r="V27" s="189">
        <f>IFERROR(__xludf.DUMMYFUNCTION("""COMPUTED_VALUE"""),12.0)</f>
        <v>12</v>
      </c>
      <c r="W27" s="189">
        <f>IFERROR(__xludf.DUMMYFUNCTION("""COMPUTED_VALUE"""),0.0)</f>
        <v>0</v>
      </c>
      <c r="X27" s="189">
        <f>IFERROR(__xludf.DUMMYFUNCTION("""COMPUTED_VALUE"""),1.0)</f>
        <v>1</v>
      </c>
      <c r="Y27" s="208" t="str">
        <f>IFERROR(__xludf.DUMMYFUNCTION("""COMPUTED_VALUE"""),"2025-07-13T00:00:00.000Z")</f>
        <v>2025-07-13T00:00:00.000Z</v>
      </c>
      <c r="Z27" s="189" t="str">
        <f>IFERROR(__xludf.DUMMYFUNCTION("""COMPUTED_VALUE"""),"Team Liquid Academy_Ascent")</f>
        <v>Team Liquid Academy_Ascent</v>
      </c>
      <c r="AA27" s="189" t="str">
        <f>IFERROR(__xludf.DUMMYFUNCTION("""COMPUTED_VALUE"""),"Team Liquid Academy")</f>
        <v>Team Liquid Academy</v>
      </c>
      <c r="AB27" s="189" t="s">
        <v>626</v>
      </c>
    </row>
    <row r="28">
      <c r="A28" s="189">
        <f>IFERROR(__xludf.DUMMYFUNCTION("""COMPUTED_VALUE"""),209075.0)</f>
        <v>209075</v>
      </c>
      <c r="B28" s="189">
        <f>IFERROR(__xludf.DUMMYFUNCTION("""COMPUTED_VALUE"""),92019.0)</f>
        <v>92019</v>
      </c>
      <c r="C28" s="189" t="str">
        <f>IFERROR(__xludf.DUMMYFUNCTION("""COMPUTED_VALUE"""),"Challengers League 2025 NORTH EAST: Split 3 - Lower Swiss Phase")</f>
        <v>Challengers League 2025 NORTH EAST: Split 3 - Lower Swiss Phase</v>
      </c>
      <c r="D28" s="189" t="str">
        <f>IFERROR(__xludf.DUMMYFUNCTION("""COMPUTED_VALUE"""),"Lotus")</f>
        <v>Lotus</v>
      </c>
      <c r="E28" s="189" t="str">
        <f>IFERROR(__xludf.DUMMYFUNCTION("""COMPUTED_VALUE"""),"Team Liquid Academy")</f>
        <v>Team Liquid Academy</v>
      </c>
      <c r="F28" s="189" t="str">
        <f>IFERROR(__xludf.DUMMYFUNCTION("""COMPUTED_VALUE"""),"Twisted Saints Esports")</f>
        <v>Twisted Saints Esports</v>
      </c>
      <c r="G28" s="189" t="str">
        <f>IFERROR(__xludf.DUMMYFUNCTION("""COMPUTED_VALUE"""),"Raze,Viper,Omen,Fade,Vyse")</f>
        <v>Raze,Viper,Omen,Fade,Vyse</v>
      </c>
      <c r="H28" s="189" t="str">
        <f>IFERROR(__xludf.DUMMYFUNCTION("""COMPUTED_VALUE"""),"Raze,Killjoy,Viper,Omen,Fade")</f>
        <v>Raze,Killjoy,Viper,Omen,Fade</v>
      </c>
      <c r="I28" s="189">
        <f>IFERROR(__xludf.DUMMYFUNCTION("""COMPUTED_VALUE"""),13.0)</f>
        <v>13</v>
      </c>
      <c r="J28" s="189">
        <f>IFERROR(__xludf.DUMMYFUNCTION("""COMPUTED_VALUE"""),3.0)</f>
        <v>3</v>
      </c>
      <c r="K28" s="189">
        <f>IFERROR(__xludf.DUMMYFUNCTION("""COMPUTED_VALUE"""),9.0)</f>
        <v>9</v>
      </c>
      <c r="L28" s="189">
        <f>IFERROR(__xludf.DUMMYFUNCTION("""COMPUTED_VALUE"""),3.0)</f>
        <v>3</v>
      </c>
      <c r="M28" s="189">
        <f>IFERROR(__xludf.DUMMYFUNCTION("""COMPUTED_VALUE"""),0.0)</f>
        <v>0</v>
      </c>
      <c r="N28" s="189">
        <f>IFERROR(__xludf.DUMMYFUNCTION("""COMPUTED_VALUE"""),1.0)</f>
        <v>1</v>
      </c>
      <c r="O28" s="189">
        <f>IFERROR(__xludf.DUMMYFUNCTION("""COMPUTED_VALUE"""),9.0)</f>
        <v>9</v>
      </c>
      <c r="P28" s="189">
        <f>IFERROR(__xludf.DUMMYFUNCTION("""COMPUTED_VALUE"""),3.0)</f>
        <v>3</v>
      </c>
      <c r="Q28" s="189">
        <f>IFERROR(__xludf.DUMMYFUNCTION("""COMPUTED_VALUE"""),4.0)</f>
        <v>4</v>
      </c>
      <c r="R28" s="189">
        <f>IFERROR(__xludf.DUMMYFUNCTION("""COMPUTED_VALUE"""),0.0)</f>
        <v>0</v>
      </c>
      <c r="S28" s="189">
        <f>IFERROR(__xludf.DUMMYFUNCTION("""COMPUTED_VALUE"""),0.0)</f>
        <v>0</v>
      </c>
      <c r="T28" s="189">
        <f>IFERROR(__xludf.DUMMYFUNCTION("""COMPUTED_VALUE"""),1.0)</f>
        <v>1</v>
      </c>
      <c r="U28" s="189">
        <f>IFERROR(__xludf.DUMMYFUNCTION("""COMPUTED_VALUE"""),0.0)</f>
        <v>0</v>
      </c>
      <c r="V28" s="189">
        <f>IFERROR(__xludf.DUMMYFUNCTION("""COMPUTED_VALUE"""),4.0)</f>
        <v>4</v>
      </c>
      <c r="W28" s="189">
        <f>IFERROR(__xludf.DUMMYFUNCTION("""COMPUTED_VALUE"""),3.0)</f>
        <v>3</v>
      </c>
      <c r="X28" s="189">
        <f>IFERROR(__xludf.DUMMYFUNCTION("""COMPUTED_VALUE"""),9.0)</f>
        <v>9</v>
      </c>
      <c r="Y28" s="208" t="str">
        <f>IFERROR(__xludf.DUMMYFUNCTION("""COMPUTED_VALUE"""),"2025-07-06T00:00:00.000Z")</f>
        <v>2025-07-06T00:00:00.000Z</v>
      </c>
      <c r="Z28" s="189" t="str">
        <f>IFERROR(__xludf.DUMMYFUNCTION("""COMPUTED_VALUE"""),"Team Liquid Academy_Lotus")</f>
        <v>Team Liquid Academy_Lotus</v>
      </c>
      <c r="AA28" s="189" t="str">
        <f>IFERROR(__xludf.DUMMYFUNCTION("""COMPUTED_VALUE"""),"Team Liquid Academy")</f>
        <v>Team Liquid Academy</v>
      </c>
      <c r="AB28" s="189" t="s">
        <v>633</v>
      </c>
    </row>
    <row r="29">
      <c r="A29" s="189">
        <f>IFERROR(__xludf.DUMMYFUNCTION("""COMPUTED_VALUE"""),209074.0)</f>
        <v>209074</v>
      </c>
      <c r="B29" s="189">
        <f>IFERROR(__xludf.DUMMYFUNCTION("""COMPUTED_VALUE"""),92019.0)</f>
        <v>92019</v>
      </c>
      <c r="C29" s="189" t="str">
        <f>IFERROR(__xludf.DUMMYFUNCTION("""COMPUTED_VALUE"""),"Challengers League 2025 NORTH EAST: Split 3 - Lower Swiss Phase")</f>
        <v>Challengers League 2025 NORTH EAST: Split 3 - Lower Swiss Phase</v>
      </c>
      <c r="D29" s="189" t="str">
        <f>IFERROR(__xludf.DUMMYFUNCTION("""COMPUTED_VALUE"""),"Split")</f>
        <v>Split</v>
      </c>
      <c r="E29" s="189" t="str">
        <f>IFERROR(__xludf.DUMMYFUNCTION("""COMPUTED_VALUE"""),"Team Liquid Academy")</f>
        <v>Team Liquid Academy</v>
      </c>
      <c r="F29" s="189" t="str">
        <f>IFERROR(__xludf.DUMMYFUNCTION("""COMPUTED_VALUE"""),"Twisted Saints Esports")</f>
        <v>Twisted Saints Esports</v>
      </c>
      <c r="G29" s="189" t="str">
        <f>IFERROR(__xludf.DUMMYFUNCTION("""COMPUTED_VALUE"""),"Viper,Yoru,Astra,Fade,Vyse")</f>
        <v>Viper,Yoru,Astra,Fade,Vyse</v>
      </c>
      <c r="H29" s="189" t="str">
        <f>IFERROR(__xludf.DUMMYFUNCTION("""COMPUTED_VALUE"""),"Breach,Raze,Viper,Omen,Fade")</f>
        <v>Breach,Raze,Viper,Omen,Fade</v>
      </c>
      <c r="I29" s="189">
        <f>IFERROR(__xludf.DUMMYFUNCTION("""COMPUTED_VALUE"""),9.0)</f>
        <v>9</v>
      </c>
      <c r="J29" s="189">
        <f>IFERROR(__xludf.DUMMYFUNCTION("""COMPUTED_VALUE"""),13.0)</f>
        <v>13</v>
      </c>
      <c r="K29" s="189">
        <f>IFERROR(__xludf.DUMMYFUNCTION("""COMPUTED_VALUE"""),2.0)</f>
        <v>2</v>
      </c>
      <c r="L29" s="189">
        <f>IFERROR(__xludf.DUMMYFUNCTION("""COMPUTED_VALUE"""),10.0)</f>
        <v>10</v>
      </c>
      <c r="M29" s="189">
        <f>IFERROR(__xludf.DUMMYFUNCTION("""COMPUTED_VALUE"""),0.0)</f>
        <v>0</v>
      </c>
      <c r="N29" s="189">
        <f>IFERROR(__xludf.DUMMYFUNCTION("""COMPUTED_VALUE"""),1.0)</f>
        <v>1</v>
      </c>
      <c r="O29" s="189">
        <f>IFERROR(__xludf.DUMMYFUNCTION("""COMPUTED_VALUE"""),2.0)</f>
        <v>2</v>
      </c>
      <c r="P29" s="189">
        <f>IFERROR(__xludf.DUMMYFUNCTION("""COMPUTED_VALUE"""),10.0)</f>
        <v>10</v>
      </c>
      <c r="Q29" s="189">
        <f>IFERROR(__xludf.DUMMYFUNCTION("""COMPUTED_VALUE"""),7.0)</f>
        <v>7</v>
      </c>
      <c r="R29" s="189">
        <f>IFERROR(__xludf.DUMMYFUNCTION("""COMPUTED_VALUE"""),3.0)</f>
        <v>3</v>
      </c>
      <c r="S29" s="189">
        <f>IFERROR(__xludf.DUMMYFUNCTION("""COMPUTED_VALUE"""),0.0)</f>
        <v>0</v>
      </c>
      <c r="T29" s="189">
        <f>IFERROR(__xludf.DUMMYFUNCTION("""COMPUTED_VALUE"""),1.0)</f>
        <v>1</v>
      </c>
      <c r="U29" s="189">
        <f>IFERROR(__xludf.DUMMYFUNCTION("""COMPUTED_VALUE"""),3.0)</f>
        <v>3</v>
      </c>
      <c r="V29" s="189">
        <f>IFERROR(__xludf.DUMMYFUNCTION("""COMPUTED_VALUE"""),7.0)</f>
        <v>7</v>
      </c>
      <c r="W29" s="189">
        <f>IFERROR(__xludf.DUMMYFUNCTION("""COMPUTED_VALUE"""),10.0)</f>
        <v>10</v>
      </c>
      <c r="X29" s="189">
        <f>IFERROR(__xludf.DUMMYFUNCTION("""COMPUTED_VALUE"""),2.0)</f>
        <v>2</v>
      </c>
      <c r="Y29" s="208" t="str">
        <f>IFERROR(__xludf.DUMMYFUNCTION("""COMPUTED_VALUE"""),"2025-07-06T00:00:00.000Z")</f>
        <v>2025-07-06T00:00:00.000Z</v>
      </c>
      <c r="Z29" s="189" t="str">
        <f>IFERROR(__xludf.DUMMYFUNCTION("""COMPUTED_VALUE"""),"Team Liquid Academy_Split")</f>
        <v>Team Liquid Academy_Split</v>
      </c>
      <c r="AA29" s="189" t="str">
        <f>IFERROR(__xludf.DUMMYFUNCTION("""COMPUTED_VALUE"""),"Twisted Saints Esports")</f>
        <v>Twisted Saints Esports</v>
      </c>
      <c r="AB29" s="189" t="s">
        <v>634</v>
      </c>
    </row>
    <row r="30">
      <c r="A30" s="189">
        <f>IFERROR(__xludf.DUMMYFUNCTION("""COMPUTED_VALUE"""),209073.0)</f>
        <v>209073</v>
      </c>
      <c r="B30" s="189">
        <f>IFERROR(__xludf.DUMMYFUNCTION("""COMPUTED_VALUE"""),92019.0)</f>
        <v>92019</v>
      </c>
      <c r="C30" s="189" t="str">
        <f>IFERROR(__xludf.DUMMYFUNCTION("""COMPUTED_VALUE"""),"Challengers League 2025 NORTH EAST: Split 3 - Lower Swiss Phase")</f>
        <v>Challengers League 2025 NORTH EAST: Split 3 - Lower Swiss Phase</v>
      </c>
      <c r="D30" s="189" t="str">
        <f>IFERROR(__xludf.DUMMYFUNCTION("""COMPUTED_VALUE"""),"Ascent")</f>
        <v>Ascent</v>
      </c>
      <c r="E30" s="189" t="str">
        <f>IFERROR(__xludf.DUMMYFUNCTION("""COMPUTED_VALUE"""),"Team Liquid Academy")</f>
        <v>Team Liquid Academy</v>
      </c>
      <c r="F30" s="189" t="str">
        <f>IFERROR(__xludf.DUMMYFUNCTION("""COMPUTED_VALUE"""),"Twisted Saints Esports")</f>
        <v>Twisted Saints Esports</v>
      </c>
      <c r="G30" s="189" t="str">
        <f>IFERROR(__xludf.DUMMYFUNCTION("""COMPUTED_VALUE"""),"Sova,Omen,Yoru,Vyse,Waylay")</f>
        <v>Sova,Omen,Yoru,Vyse,Waylay</v>
      </c>
      <c r="H30" s="189" t="str">
        <f>IFERROR(__xludf.DUMMYFUNCTION("""COMPUTED_VALUE"""),"Sova,Killjoy,Omen,Jett,KAY/O")</f>
        <v>Sova,Killjoy,Omen,Jett,KAY/O</v>
      </c>
      <c r="I30" s="189">
        <f>IFERROR(__xludf.DUMMYFUNCTION("""COMPUTED_VALUE"""),13.0)</f>
        <v>13</v>
      </c>
      <c r="J30" s="189">
        <f>IFERROR(__xludf.DUMMYFUNCTION("""COMPUTED_VALUE"""),5.0)</f>
        <v>5</v>
      </c>
      <c r="K30" s="189">
        <f>IFERROR(__xludf.DUMMYFUNCTION("""COMPUTED_VALUE"""),8.0)</f>
        <v>8</v>
      </c>
      <c r="L30" s="189">
        <f>IFERROR(__xludf.DUMMYFUNCTION("""COMPUTED_VALUE"""),4.0)</f>
        <v>4</v>
      </c>
      <c r="M30" s="189">
        <f>IFERROR(__xludf.DUMMYFUNCTION("""COMPUTED_VALUE"""),1.0)</f>
        <v>1</v>
      </c>
      <c r="N30" s="189">
        <f>IFERROR(__xludf.DUMMYFUNCTION("""COMPUTED_VALUE"""),1.0)</f>
        <v>1</v>
      </c>
      <c r="O30" s="189">
        <f>IFERROR(__xludf.DUMMYFUNCTION("""COMPUTED_VALUE"""),8.0)</f>
        <v>8</v>
      </c>
      <c r="P30" s="189">
        <f>IFERROR(__xludf.DUMMYFUNCTION("""COMPUTED_VALUE"""),4.0)</f>
        <v>4</v>
      </c>
      <c r="Q30" s="189">
        <f>IFERROR(__xludf.DUMMYFUNCTION("""COMPUTED_VALUE"""),5.0)</f>
        <v>5</v>
      </c>
      <c r="R30" s="189">
        <f>IFERROR(__xludf.DUMMYFUNCTION("""COMPUTED_VALUE"""),1.0)</f>
        <v>1</v>
      </c>
      <c r="S30" s="189">
        <f>IFERROR(__xludf.DUMMYFUNCTION("""COMPUTED_VALUE"""),0.0)</f>
        <v>0</v>
      </c>
      <c r="T30" s="189">
        <f>IFERROR(__xludf.DUMMYFUNCTION("""COMPUTED_VALUE"""),0.0)</f>
        <v>0</v>
      </c>
      <c r="U30" s="189">
        <f>IFERROR(__xludf.DUMMYFUNCTION("""COMPUTED_VALUE"""),1.0)</f>
        <v>1</v>
      </c>
      <c r="V30" s="189">
        <f>IFERROR(__xludf.DUMMYFUNCTION("""COMPUTED_VALUE"""),5.0)</f>
        <v>5</v>
      </c>
      <c r="W30" s="189">
        <f>IFERROR(__xludf.DUMMYFUNCTION("""COMPUTED_VALUE"""),4.0)</f>
        <v>4</v>
      </c>
      <c r="X30" s="189">
        <f>IFERROR(__xludf.DUMMYFUNCTION("""COMPUTED_VALUE"""),8.0)</f>
        <v>8</v>
      </c>
      <c r="Y30" s="208" t="str">
        <f>IFERROR(__xludf.DUMMYFUNCTION("""COMPUTED_VALUE"""),"2025-07-06T00:00:00.000Z")</f>
        <v>2025-07-06T00:00:00.000Z</v>
      </c>
      <c r="Z30" s="189" t="str">
        <f>IFERROR(__xludf.DUMMYFUNCTION("""COMPUTED_VALUE"""),"Team Liquid Academy_Ascent")</f>
        <v>Team Liquid Academy_Ascent</v>
      </c>
      <c r="AA30" s="189" t="str">
        <f>IFERROR(__xludf.DUMMYFUNCTION("""COMPUTED_VALUE"""),"Team Liquid Academy")</f>
        <v>Team Liquid Academy</v>
      </c>
      <c r="AB30" s="189" t="s">
        <v>626</v>
      </c>
    </row>
    <row r="31">
      <c r="A31" s="189">
        <f>IFERROR(__xludf.DUMMYFUNCTION("""COMPUTED_VALUE"""),209060.0)</f>
        <v>209060</v>
      </c>
      <c r="B31" s="189">
        <f>IFERROR(__xludf.DUMMYFUNCTION("""COMPUTED_VALUE"""),92010.0)</f>
        <v>92010</v>
      </c>
      <c r="C31" s="189" t="str">
        <f>IFERROR(__xludf.DUMMYFUNCTION("""COMPUTED_VALUE"""),"Challengers League 2025 NORTH EAST: Split 3 - Lower Swiss Phase")</f>
        <v>Challengers League 2025 NORTH EAST: Split 3 - Lower Swiss Phase</v>
      </c>
      <c r="D31" s="189" t="str">
        <f>IFERROR(__xludf.DUMMYFUNCTION("""COMPUTED_VALUE"""),"Lotus")</f>
        <v>Lotus</v>
      </c>
      <c r="E31" s="189" t="str">
        <f>IFERROR(__xludf.DUMMYFUNCTION("""COMPUTED_VALUE"""),"Team Liquid Academy")</f>
        <v>Team Liquid Academy</v>
      </c>
      <c r="F31" s="189" t="str">
        <f>IFERROR(__xludf.DUMMYFUNCTION("""COMPUTED_VALUE"""),"MANIA Esports")</f>
        <v>MANIA Esports</v>
      </c>
      <c r="G31" s="189" t="str">
        <f>IFERROR(__xludf.DUMMYFUNCTION("""COMPUTED_VALUE"""),"Raze,Viper,Omen,Fade,Vyse")</f>
        <v>Raze,Viper,Omen,Fade,Vyse</v>
      </c>
      <c r="H31" s="189" t="str">
        <f>IFERROR(__xludf.DUMMYFUNCTION("""COMPUTED_VALUE"""),"Raze,Killjoy,Viper,Omen,Fade")</f>
        <v>Raze,Killjoy,Viper,Omen,Fade</v>
      </c>
      <c r="I31" s="189">
        <f>IFERROR(__xludf.DUMMYFUNCTION("""COMPUTED_VALUE"""),13.0)</f>
        <v>13</v>
      </c>
      <c r="J31" s="189">
        <f>IFERROR(__xludf.DUMMYFUNCTION("""COMPUTED_VALUE"""),2.0)</f>
        <v>2</v>
      </c>
      <c r="K31" s="189">
        <f>IFERROR(__xludf.DUMMYFUNCTION("""COMPUTED_VALUE"""),10.0)</f>
        <v>10</v>
      </c>
      <c r="L31" s="189">
        <f>IFERROR(__xludf.DUMMYFUNCTION("""COMPUTED_VALUE"""),2.0)</f>
        <v>2</v>
      </c>
      <c r="M31" s="189">
        <f>IFERROR(__xludf.DUMMYFUNCTION("""COMPUTED_VALUE"""),1.0)</f>
        <v>1</v>
      </c>
      <c r="N31" s="189">
        <f>IFERROR(__xludf.DUMMYFUNCTION("""COMPUTED_VALUE"""),1.0)</f>
        <v>1</v>
      </c>
      <c r="O31" s="189">
        <f>IFERROR(__xludf.DUMMYFUNCTION("""COMPUTED_VALUE"""),10.0)</f>
        <v>10</v>
      </c>
      <c r="P31" s="189">
        <f>IFERROR(__xludf.DUMMYFUNCTION("""COMPUTED_VALUE"""),2.0)</f>
        <v>2</v>
      </c>
      <c r="Q31" s="189">
        <f>IFERROR(__xludf.DUMMYFUNCTION("""COMPUTED_VALUE"""),3.0)</f>
        <v>3</v>
      </c>
      <c r="R31" s="189">
        <f>IFERROR(__xludf.DUMMYFUNCTION("""COMPUTED_VALUE"""),0.0)</f>
        <v>0</v>
      </c>
      <c r="S31" s="189">
        <f>IFERROR(__xludf.DUMMYFUNCTION("""COMPUTED_VALUE"""),0.0)</f>
        <v>0</v>
      </c>
      <c r="T31" s="189">
        <f>IFERROR(__xludf.DUMMYFUNCTION("""COMPUTED_VALUE"""),0.0)</f>
        <v>0</v>
      </c>
      <c r="U31" s="189">
        <f>IFERROR(__xludf.DUMMYFUNCTION("""COMPUTED_VALUE"""),0.0)</f>
        <v>0</v>
      </c>
      <c r="V31" s="189">
        <f>IFERROR(__xludf.DUMMYFUNCTION("""COMPUTED_VALUE"""),3.0)</f>
        <v>3</v>
      </c>
      <c r="W31" s="189">
        <f>IFERROR(__xludf.DUMMYFUNCTION("""COMPUTED_VALUE"""),2.0)</f>
        <v>2</v>
      </c>
      <c r="X31" s="189">
        <f>IFERROR(__xludf.DUMMYFUNCTION("""COMPUTED_VALUE"""),10.0)</f>
        <v>10</v>
      </c>
      <c r="Y31" s="208" t="str">
        <f>IFERROR(__xludf.DUMMYFUNCTION("""COMPUTED_VALUE"""),"2025-07-05T00:00:00.000Z")</f>
        <v>2025-07-05T00:00:00.000Z</v>
      </c>
      <c r="Z31" s="189" t="str">
        <f>IFERROR(__xludf.DUMMYFUNCTION("""COMPUTED_VALUE"""),"Team Liquid Academy_Lotus")</f>
        <v>Team Liquid Academy_Lotus</v>
      </c>
      <c r="AA31" s="189" t="str">
        <f>IFERROR(__xludf.DUMMYFUNCTION("""COMPUTED_VALUE"""),"Team Liquid Academy")</f>
        <v>Team Liquid Academy</v>
      </c>
      <c r="AB31" s="189" t="s">
        <v>633</v>
      </c>
    </row>
    <row r="32">
      <c r="A32" s="189">
        <f>IFERROR(__xludf.DUMMYFUNCTION("""COMPUTED_VALUE"""),209044.0)</f>
        <v>209044</v>
      </c>
      <c r="B32" s="189">
        <f>IFERROR(__xludf.DUMMYFUNCTION("""COMPUTED_VALUE"""),92000.0)</f>
        <v>92000</v>
      </c>
      <c r="C32" s="189" t="str">
        <f>IFERROR(__xludf.DUMMYFUNCTION("""COMPUTED_VALUE"""),"Challengers League 2025 NORTH EAST: Split 3 - Lower Swiss Phase")</f>
        <v>Challengers League 2025 NORTH EAST: Split 3 - Lower Swiss Phase</v>
      </c>
      <c r="D32" s="189" t="str">
        <f>IFERROR(__xludf.DUMMYFUNCTION("""COMPUTED_VALUE"""),"Lotus")</f>
        <v>Lotus</v>
      </c>
      <c r="E32" s="189" t="str">
        <f>IFERROR(__xludf.DUMMYFUNCTION("""COMPUTED_VALUE"""),"Team Liquid Academy")</f>
        <v>Team Liquid Academy</v>
      </c>
      <c r="F32" s="189" t="str">
        <f>IFERROR(__xludf.DUMMYFUNCTION("""COMPUTED_VALUE"""),"FULL BOX 200")</f>
        <v>FULL BOX 200</v>
      </c>
      <c r="G32" s="189" t="str">
        <f>IFERROR(__xludf.DUMMYFUNCTION("""COMPUTED_VALUE"""),"Raze,Viper,Omen,Fade,Vyse")</f>
        <v>Raze,Viper,Omen,Fade,Vyse</v>
      </c>
      <c r="H32" s="189" t="str">
        <f>IFERROR(__xludf.DUMMYFUNCTION("""COMPUTED_VALUE"""),"Breach,Killjoy,Omen,Neon,Fade")</f>
        <v>Breach,Killjoy,Omen,Neon,Fade</v>
      </c>
      <c r="I32" s="189">
        <f>IFERROR(__xludf.DUMMYFUNCTION("""COMPUTED_VALUE"""),16.0)</f>
        <v>16</v>
      </c>
      <c r="J32" s="189">
        <f>IFERROR(__xludf.DUMMYFUNCTION("""COMPUTED_VALUE"""),14.0)</f>
        <v>14</v>
      </c>
      <c r="K32" s="189">
        <f>IFERROR(__xludf.DUMMYFUNCTION("""COMPUTED_VALUE"""),3.0)</f>
        <v>3</v>
      </c>
      <c r="L32" s="189">
        <f>IFERROR(__xludf.DUMMYFUNCTION("""COMPUTED_VALUE"""),9.0)</f>
        <v>9</v>
      </c>
      <c r="M32" s="189">
        <f>IFERROR(__xludf.DUMMYFUNCTION("""COMPUTED_VALUE"""),1.0)</f>
        <v>1</v>
      </c>
      <c r="N32" s="189">
        <f>IFERROR(__xludf.DUMMYFUNCTION("""COMPUTED_VALUE"""),0.0)</f>
        <v>0</v>
      </c>
      <c r="O32" s="189">
        <f>IFERROR(__xludf.DUMMYFUNCTION("""COMPUTED_VALUE"""),11.0)</f>
        <v>11</v>
      </c>
      <c r="P32" s="189">
        <f>IFERROR(__xludf.DUMMYFUNCTION("""COMPUTED_VALUE"""),4.0)</f>
        <v>4</v>
      </c>
      <c r="Q32" s="189">
        <f>IFERROR(__xludf.DUMMYFUNCTION("""COMPUTED_VALUE"""),5.0)</f>
        <v>5</v>
      </c>
      <c r="R32" s="189">
        <f>IFERROR(__xludf.DUMMYFUNCTION("""COMPUTED_VALUE"""),10.0)</f>
        <v>10</v>
      </c>
      <c r="S32" s="189">
        <f>IFERROR(__xludf.DUMMYFUNCTION("""COMPUTED_VALUE"""),1.0)</f>
        <v>1</v>
      </c>
      <c r="T32" s="189">
        <f>IFERROR(__xludf.DUMMYFUNCTION("""COMPUTED_VALUE"""),0.0)</f>
        <v>0</v>
      </c>
      <c r="U32" s="189">
        <f>IFERROR(__xludf.DUMMYFUNCTION("""COMPUTED_VALUE"""),10.0)</f>
        <v>10</v>
      </c>
      <c r="V32" s="189">
        <f>IFERROR(__xludf.DUMMYFUNCTION("""COMPUTED_VALUE"""),5.0)</f>
        <v>5</v>
      </c>
      <c r="W32" s="189">
        <f>IFERROR(__xludf.DUMMYFUNCTION("""COMPUTED_VALUE"""),4.0)</f>
        <v>4</v>
      </c>
      <c r="X32" s="189">
        <f>IFERROR(__xludf.DUMMYFUNCTION("""COMPUTED_VALUE"""),11.0)</f>
        <v>11</v>
      </c>
      <c r="Y32" s="208" t="str">
        <f>IFERROR(__xludf.DUMMYFUNCTION("""COMPUTED_VALUE"""),"2025-07-05T00:00:00.000Z")</f>
        <v>2025-07-05T00:00:00.000Z</v>
      </c>
      <c r="Z32" s="189" t="str">
        <f>IFERROR(__xludf.DUMMYFUNCTION("""COMPUTED_VALUE"""),"Team Liquid Academy_Lotus")</f>
        <v>Team Liquid Academy_Lotus</v>
      </c>
      <c r="AA32" s="189" t="str">
        <f>IFERROR(__xludf.DUMMYFUNCTION("""COMPUTED_VALUE"""),"Team Liquid Academy")</f>
        <v>Team Liquid Academy</v>
      </c>
      <c r="AB32" s="189" t="s">
        <v>633</v>
      </c>
    </row>
    <row r="33">
      <c r="Y33" s="208"/>
      <c r="AB33" s="189" t="s">
        <v>176</v>
      </c>
    </row>
    <row r="34">
      <c r="Y34" s="208"/>
      <c r="AB34" s="189" t="s">
        <v>176</v>
      </c>
    </row>
    <row r="35">
      <c r="Y35" s="208"/>
      <c r="AB35" s="189" t="s">
        <v>176</v>
      </c>
    </row>
    <row r="36">
      <c r="Y36" s="208"/>
      <c r="AB36" s="189" t="s">
        <v>176</v>
      </c>
    </row>
    <row r="37">
      <c r="Y37" s="208"/>
      <c r="AB37" s="189" t="s">
        <v>176</v>
      </c>
    </row>
    <row r="38">
      <c r="Y38" s="208"/>
      <c r="AB38" s="189" t="s">
        <v>176</v>
      </c>
    </row>
    <row r="39">
      <c r="Y39" s="208"/>
      <c r="AB39" s="189" t="s">
        <v>176</v>
      </c>
    </row>
    <row r="40">
      <c r="Y40" s="208"/>
      <c r="AB40" s="189" t="s">
        <v>176</v>
      </c>
    </row>
    <row r="41">
      <c r="Y41" s="208"/>
      <c r="AB41" s="189" t="s">
        <v>176</v>
      </c>
    </row>
    <row r="42">
      <c r="Y42" s="208"/>
      <c r="AB42" s="189" t="s">
        <v>176</v>
      </c>
    </row>
    <row r="43">
      <c r="Y43" s="208"/>
      <c r="AB43" s="189" t="s">
        <v>176</v>
      </c>
    </row>
    <row r="44">
      <c r="Y44" s="208"/>
      <c r="AB44" s="189" t="s">
        <v>176</v>
      </c>
    </row>
    <row r="45">
      <c r="Y45" s="208"/>
      <c r="AB45" s="189" t="s">
        <v>176</v>
      </c>
    </row>
    <row r="46">
      <c r="Y46" s="208"/>
      <c r="AB46" s="189" t="s">
        <v>176</v>
      </c>
    </row>
    <row r="47">
      <c r="Y47" s="208"/>
      <c r="AB47" s="189" t="s">
        <v>176</v>
      </c>
    </row>
    <row r="48">
      <c r="Y48" s="208"/>
      <c r="AB48" s="189" t="s">
        <v>176</v>
      </c>
    </row>
    <row r="49">
      <c r="Y49" s="208"/>
      <c r="AB49" s="189" t="s">
        <v>176</v>
      </c>
    </row>
    <row r="50">
      <c r="Y50" s="208"/>
      <c r="AB50" s="189" t="s">
        <v>176</v>
      </c>
    </row>
    <row r="51">
      <c r="Y51" s="208"/>
      <c r="AB51" s="189" t="s">
        <v>176</v>
      </c>
    </row>
    <row r="52">
      <c r="Y52" s="208"/>
      <c r="AB52" s="189" t="s">
        <v>176</v>
      </c>
    </row>
    <row r="53">
      <c r="Y53" s="208"/>
      <c r="AB53" s="189" t="s">
        <v>176</v>
      </c>
    </row>
    <row r="54">
      <c r="Y54" s="208"/>
      <c r="AB54" s="189" t="s">
        <v>176</v>
      </c>
    </row>
    <row r="55">
      <c r="Y55" s="208"/>
      <c r="AB55" s="189" t="s">
        <v>176</v>
      </c>
    </row>
    <row r="56">
      <c r="Y56" s="208"/>
      <c r="AB56" s="189" t="s">
        <v>176</v>
      </c>
    </row>
    <row r="57">
      <c r="Y57" s="208"/>
      <c r="AB57" s="189" t="s">
        <v>176</v>
      </c>
    </row>
    <row r="58">
      <c r="Y58" s="208"/>
      <c r="AB58" s="189" t="s">
        <v>176</v>
      </c>
    </row>
    <row r="59">
      <c r="Y59" s="208"/>
      <c r="AB59" s="189" t="s">
        <v>176</v>
      </c>
    </row>
    <row r="60">
      <c r="Y60" s="208"/>
      <c r="AB60" s="189" t="s">
        <v>176</v>
      </c>
    </row>
    <row r="61">
      <c r="Y61" s="208"/>
      <c r="AB61" s="189" t="s">
        <v>176</v>
      </c>
    </row>
    <row r="62">
      <c r="Y62" s="208"/>
      <c r="AB62" s="189" t="s">
        <v>176</v>
      </c>
    </row>
    <row r="63">
      <c r="Y63" s="208"/>
      <c r="AB63" s="189" t="s">
        <v>176</v>
      </c>
    </row>
    <row r="64">
      <c r="Y64" s="208"/>
      <c r="AB64" s="189" t="s">
        <v>176</v>
      </c>
    </row>
    <row r="65">
      <c r="Y65" s="208"/>
      <c r="AB65" s="189" t="s">
        <v>176</v>
      </c>
    </row>
    <row r="66">
      <c r="Y66" s="208"/>
      <c r="AB66" s="189" t="s">
        <v>176</v>
      </c>
    </row>
    <row r="67">
      <c r="Y67" s="208"/>
      <c r="AB67" s="189" t="s">
        <v>176</v>
      </c>
    </row>
    <row r="68">
      <c r="Y68" s="208"/>
      <c r="AB68" s="189" t="s">
        <v>176</v>
      </c>
    </row>
    <row r="69">
      <c r="Y69" s="208"/>
      <c r="AB69" s="189" t="s">
        <v>176</v>
      </c>
    </row>
    <row r="70">
      <c r="Y70" s="208"/>
      <c r="AB70" s="189" t="s">
        <v>176</v>
      </c>
    </row>
    <row r="71">
      <c r="Y71" s="208"/>
      <c r="AB71" s="189" t="s">
        <v>176</v>
      </c>
    </row>
    <row r="72">
      <c r="Y72" s="208"/>
      <c r="AB72" s="189" t="s">
        <v>176</v>
      </c>
    </row>
    <row r="73">
      <c r="Y73" s="208"/>
      <c r="AB73" s="189" t="s">
        <v>176</v>
      </c>
    </row>
    <row r="74">
      <c r="Y74" s="208"/>
      <c r="AB74" s="189" t="s">
        <v>176</v>
      </c>
    </row>
    <row r="75">
      <c r="Y75" s="208"/>
      <c r="AB75" s="189" t="s">
        <v>176</v>
      </c>
    </row>
    <row r="76">
      <c r="Y76" s="208"/>
      <c r="AB76" s="189" t="s">
        <v>176</v>
      </c>
    </row>
    <row r="77">
      <c r="Y77" s="208"/>
      <c r="AB77" s="189" t="s">
        <v>176</v>
      </c>
    </row>
    <row r="78">
      <c r="Y78" s="208"/>
      <c r="AB78" s="189" t="s">
        <v>176</v>
      </c>
    </row>
    <row r="79">
      <c r="Y79" s="208"/>
      <c r="AB79" s="189" t="s">
        <v>176</v>
      </c>
    </row>
    <row r="80">
      <c r="Y80" s="208"/>
      <c r="AB80" s="189" t="s">
        <v>176</v>
      </c>
    </row>
    <row r="81">
      <c r="Y81" s="208"/>
      <c r="AB81" s="189" t="s">
        <v>176</v>
      </c>
    </row>
    <row r="82">
      <c r="Y82" s="208"/>
      <c r="AB82" s="189" t="s">
        <v>176</v>
      </c>
    </row>
    <row r="83">
      <c r="Y83" s="208"/>
      <c r="AB83" s="189" t="s">
        <v>176</v>
      </c>
    </row>
    <row r="84">
      <c r="Y84" s="208"/>
      <c r="AB84" s="189" t="s">
        <v>176</v>
      </c>
    </row>
    <row r="85">
      <c r="Y85" s="208"/>
      <c r="AB85" s="189" t="s">
        <v>176</v>
      </c>
    </row>
    <row r="86">
      <c r="Y86" s="208"/>
      <c r="AB86" s="189" t="s">
        <v>176</v>
      </c>
    </row>
    <row r="87">
      <c r="Y87" s="208"/>
      <c r="AB87" s="189" t="s">
        <v>176</v>
      </c>
    </row>
    <row r="88">
      <c r="Y88" s="208"/>
      <c r="AB88" s="189" t="s">
        <v>176</v>
      </c>
    </row>
    <row r="89">
      <c r="Y89" s="208"/>
      <c r="AB89" s="189" t="s">
        <v>176</v>
      </c>
    </row>
    <row r="90">
      <c r="Y90" s="208"/>
      <c r="AB90" s="189" t="s">
        <v>176</v>
      </c>
    </row>
    <row r="91">
      <c r="Y91" s="208"/>
      <c r="AB91" s="189" t="s">
        <v>176</v>
      </c>
    </row>
    <row r="92">
      <c r="Y92" s="208"/>
      <c r="AB92" s="189" t="s">
        <v>176</v>
      </c>
    </row>
    <row r="93">
      <c r="Y93" s="208"/>
      <c r="AB93" s="189" t="s">
        <v>176</v>
      </c>
    </row>
    <row r="94">
      <c r="Y94" s="208"/>
      <c r="AB94" s="189" t="s">
        <v>176</v>
      </c>
    </row>
    <row r="95">
      <c r="Y95" s="208"/>
      <c r="AB95" s="189" t="s">
        <v>176</v>
      </c>
    </row>
    <row r="96">
      <c r="Y96" s="208"/>
      <c r="AB96" s="189" t="s">
        <v>176</v>
      </c>
    </row>
    <row r="97">
      <c r="Y97" s="208"/>
      <c r="AB97" s="189" t="s">
        <v>176</v>
      </c>
    </row>
    <row r="98">
      <c r="Y98" s="208"/>
      <c r="AB98" s="189" t="s">
        <v>176</v>
      </c>
    </row>
    <row r="99">
      <c r="Y99" s="208"/>
      <c r="AB99" s="189" t="s">
        <v>176</v>
      </c>
    </row>
    <row r="100">
      <c r="Y100" s="208"/>
      <c r="AB100" s="189" t="s">
        <v>176</v>
      </c>
    </row>
    <row r="101">
      <c r="Y101" s="208"/>
      <c r="AB101" s="189" t="s">
        <v>176</v>
      </c>
    </row>
    <row r="102">
      <c r="Y102" s="208"/>
      <c r="AB102" s="189" t="s">
        <v>176</v>
      </c>
    </row>
    <row r="103">
      <c r="Y103" s="208"/>
      <c r="AB103" s="189" t="s">
        <v>176</v>
      </c>
    </row>
    <row r="104">
      <c r="Y104" s="208"/>
      <c r="AB104" s="189" t="s">
        <v>176</v>
      </c>
    </row>
    <row r="105">
      <c r="Y105" s="208"/>
      <c r="AB105" s="189" t="s">
        <v>176</v>
      </c>
    </row>
    <row r="106">
      <c r="Y106" s="208"/>
      <c r="AB106" s="189" t="s">
        <v>176</v>
      </c>
    </row>
    <row r="107">
      <c r="Y107" s="208"/>
      <c r="AB107" s="189" t="s">
        <v>176</v>
      </c>
    </row>
    <row r="108">
      <c r="Y108" s="208"/>
      <c r="AB108" s="189" t="s">
        <v>176</v>
      </c>
    </row>
    <row r="109">
      <c r="Y109" s="208"/>
      <c r="AB109" s="189" t="s">
        <v>176</v>
      </c>
    </row>
    <row r="110">
      <c r="Y110" s="208"/>
      <c r="AB110" s="189" t="s">
        <v>176</v>
      </c>
    </row>
    <row r="111">
      <c r="Y111" s="208"/>
      <c r="AB111" s="189" t="s">
        <v>176</v>
      </c>
    </row>
    <row r="112">
      <c r="Y112" s="208"/>
      <c r="AB112" s="189" t="s">
        <v>176</v>
      </c>
    </row>
    <row r="113">
      <c r="Y113" s="208"/>
      <c r="AB113" s="189" t="s">
        <v>176</v>
      </c>
    </row>
    <row r="114">
      <c r="Y114" s="208"/>
      <c r="AB114" s="189" t="s">
        <v>176</v>
      </c>
    </row>
    <row r="115">
      <c r="Y115" s="208"/>
      <c r="AB115" s="189" t="s">
        <v>176</v>
      </c>
    </row>
    <row r="116">
      <c r="Y116" s="208"/>
      <c r="AB116" s="189" t="s">
        <v>176</v>
      </c>
    </row>
    <row r="117">
      <c r="Y117" s="208"/>
      <c r="AB117" s="189" t="s">
        <v>176</v>
      </c>
    </row>
    <row r="118">
      <c r="Y118" s="208"/>
      <c r="AB118" s="189" t="s">
        <v>176</v>
      </c>
    </row>
    <row r="119">
      <c r="Y119" s="208"/>
      <c r="AB119" s="189" t="s">
        <v>176</v>
      </c>
    </row>
    <row r="120">
      <c r="Y120" s="208"/>
      <c r="AB120" s="189" t="s">
        <v>176</v>
      </c>
    </row>
    <row r="121">
      <c r="Y121" s="208"/>
      <c r="AB121" s="189" t="s">
        <v>176</v>
      </c>
    </row>
    <row r="122">
      <c r="Y122" s="208"/>
      <c r="AB122" s="189" t="s">
        <v>176</v>
      </c>
    </row>
    <row r="123">
      <c r="Y123" s="208"/>
      <c r="AB123" s="189" t="s">
        <v>176</v>
      </c>
    </row>
    <row r="124">
      <c r="Y124" s="208"/>
      <c r="AB124" s="189" t="s">
        <v>176</v>
      </c>
    </row>
    <row r="125">
      <c r="Y125" s="208"/>
      <c r="AB125" s="189" t="s">
        <v>176</v>
      </c>
    </row>
    <row r="126">
      <c r="Y126" s="208"/>
      <c r="AB126" s="189" t="s">
        <v>176</v>
      </c>
    </row>
    <row r="127">
      <c r="Y127" s="208"/>
      <c r="AB127" s="189" t="s">
        <v>176</v>
      </c>
    </row>
    <row r="128">
      <c r="Y128" s="208"/>
      <c r="AB128" s="189" t="s">
        <v>176</v>
      </c>
    </row>
    <row r="129">
      <c r="Y129" s="208"/>
      <c r="AB129" s="189" t="s">
        <v>176</v>
      </c>
    </row>
    <row r="130">
      <c r="Y130" s="208"/>
      <c r="AB130" s="189" t="s">
        <v>176</v>
      </c>
    </row>
    <row r="131">
      <c r="Y131" s="208"/>
      <c r="AB131" s="189" t="s">
        <v>176</v>
      </c>
    </row>
    <row r="132">
      <c r="Y132" s="208"/>
      <c r="AB132" s="189" t="s">
        <v>176</v>
      </c>
    </row>
    <row r="133">
      <c r="Y133" s="208"/>
      <c r="AB133" s="189" t="s">
        <v>176</v>
      </c>
    </row>
    <row r="134">
      <c r="Y134" s="208"/>
      <c r="AB134" s="189" t="s">
        <v>176</v>
      </c>
    </row>
    <row r="135">
      <c r="Y135" s="208"/>
      <c r="AB135" s="189" t="s">
        <v>176</v>
      </c>
    </row>
    <row r="136">
      <c r="Y136" s="208"/>
      <c r="AB136" s="189" t="s">
        <v>176</v>
      </c>
    </row>
    <row r="137">
      <c r="Y137" s="208"/>
      <c r="AB137" s="189" t="s">
        <v>176</v>
      </c>
    </row>
    <row r="138">
      <c r="Y138" s="208"/>
      <c r="AB138" s="189" t="s">
        <v>176</v>
      </c>
    </row>
    <row r="139">
      <c r="Y139" s="208"/>
      <c r="AB139" s="189" t="s">
        <v>176</v>
      </c>
    </row>
    <row r="140">
      <c r="Y140" s="208"/>
      <c r="AB140" s="189" t="s">
        <v>176</v>
      </c>
    </row>
    <row r="141">
      <c r="Y141" s="208"/>
      <c r="AB141" s="189" t="s">
        <v>176</v>
      </c>
    </row>
    <row r="142">
      <c r="Y142" s="208"/>
      <c r="AB142" s="189" t="s">
        <v>176</v>
      </c>
    </row>
    <row r="143">
      <c r="Y143" s="208"/>
      <c r="AB143" s="189" t="s">
        <v>176</v>
      </c>
    </row>
    <row r="144">
      <c r="Y144" s="208"/>
      <c r="AB144" s="189" t="s">
        <v>176</v>
      </c>
    </row>
    <row r="145">
      <c r="Y145" s="208"/>
      <c r="AB145" s="189" t="s">
        <v>176</v>
      </c>
    </row>
    <row r="146">
      <c r="Y146" s="208"/>
      <c r="AB146" s="189" t="s">
        <v>176</v>
      </c>
    </row>
    <row r="147">
      <c r="Y147" s="208"/>
      <c r="AB147" s="189" t="s">
        <v>176</v>
      </c>
    </row>
    <row r="148">
      <c r="Y148" s="208"/>
      <c r="AB148" s="189" t="s">
        <v>176</v>
      </c>
    </row>
    <row r="149">
      <c r="Y149" s="208"/>
      <c r="AB149" s="189" t="s">
        <v>176</v>
      </c>
    </row>
    <row r="150">
      <c r="Y150" s="208"/>
      <c r="AB150" s="189" t="s">
        <v>176</v>
      </c>
    </row>
    <row r="151">
      <c r="Y151" s="208"/>
      <c r="AB151" s="189" t="s">
        <v>176</v>
      </c>
    </row>
    <row r="152">
      <c r="Y152" s="208"/>
      <c r="AB152" s="189" t="s">
        <v>176</v>
      </c>
    </row>
    <row r="153">
      <c r="Y153" s="208"/>
      <c r="AB153" s="189" t="s">
        <v>176</v>
      </c>
    </row>
    <row r="154">
      <c r="Y154" s="208"/>
      <c r="AB154" s="189" t="s">
        <v>176</v>
      </c>
    </row>
    <row r="155">
      <c r="Y155" s="208"/>
      <c r="AB155" s="189" t="s">
        <v>176</v>
      </c>
    </row>
    <row r="156">
      <c r="Y156" s="208"/>
      <c r="AB156" s="189" t="s">
        <v>176</v>
      </c>
    </row>
    <row r="157">
      <c r="Y157" s="208"/>
      <c r="AB157" s="189" t="s">
        <v>176</v>
      </c>
    </row>
    <row r="158">
      <c r="Y158" s="208"/>
      <c r="AB158" s="189" t="s">
        <v>176</v>
      </c>
    </row>
    <row r="159">
      <c r="Y159" s="208"/>
      <c r="AB159" s="189" t="s">
        <v>176</v>
      </c>
    </row>
    <row r="160">
      <c r="Y160" s="208"/>
      <c r="AB160" s="189" t="s">
        <v>176</v>
      </c>
    </row>
    <row r="161">
      <c r="Y161" s="208"/>
      <c r="AB161" s="189" t="s">
        <v>176</v>
      </c>
    </row>
    <row r="162">
      <c r="Y162" s="208"/>
      <c r="AB162" s="189" t="s">
        <v>176</v>
      </c>
    </row>
    <row r="163">
      <c r="Y163" s="208"/>
      <c r="AB163" s="189" t="s">
        <v>176</v>
      </c>
    </row>
    <row r="164">
      <c r="Y164" s="208"/>
      <c r="AB164" s="189" t="s">
        <v>176</v>
      </c>
    </row>
    <row r="165">
      <c r="Y165" s="208"/>
      <c r="AB165" s="189" t="s">
        <v>176</v>
      </c>
    </row>
    <row r="166">
      <c r="Y166" s="208"/>
      <c r="AB166" s="189" t="s">
        <v>176</v>
      </c>
    </row>
    <row r="167">
      <c r="Y167" s="208"/>
      <c r="AB167" s="189" t="s">
        <v>176</v>
      </c>
    </row>
    <row r="168">
      <c r="Y168" s="208"/>
      <c r="AB168" s="189" t="s">
        <v>176</v>
      </c>
    </row>
    <row r="169">
      <c r="Y169" s="208"/>
      <c r="AB169" s="189" t="s">
        <v>176</v>
      </c>
    </row>
    <row r="170">
      <c r="Y170" s="208"/>
      <c r="AB170" s="189" t="s">
        <v>176</v>
      </c>
    </row>
    <row r="171">
      <c r="Y171" s="208"/>
      <c r="AB171" s="189" t="s">
        <v>176</v>
      </c>
    </row>
    <row r="172">
      <c r="Y172" s="208"/>
      <c r="AB172" s="189" t="s">
        <v>176</v>
      </c>
    </row>
    <row r="173">
      <c r="Y173" s="208"/>
      <c r="AB173" s="189" t="s">
        <v>176</v>
      </c>
    </row>
    <row r="174">
      <c r="Y174" s="208"/>
      <c r="AB174" s="189" t="s">
        <v>176</v>
      </c>
    </row>
    <row r="175">
      <c r="Y175" s="208"/>
      <c r="AB175" s="189" t="s">
        <v>176</v>
      </c>
    </row>
    <row r="176">
      <c r="Y176" s="208"/>
      <c r="AB176" s="189" t="s">
        <v>176</v>
      </c>
    </row>
    <row r="177">
      <c r="Y177" s="208"/>
      <c r="AB177" s="189" t="s">
        <v>176</v>
      </c>
    </row>
    <row r="178">
      <c r="Y178" s="208"/>
      <c r="AB178" s="189" t="s">
        <v>176</v>
      </c>
    </row>
    <row r="179">
      <c r="Y179" s="208"/>
      <c r="AB179" s="189" t="s">
        <v>176</v>
      </c>
    </row>
    <row r="180">
      <c r="Y180" s="208"/>
      <c r="AB180" s="189" t="s">
        <v>176</v>
      </c>
    </row>
    <row r="181">
      <c r="Y181" s="208"/>
      <c r="AB181" s="189" t="s">
        <v>176</v>
      </c>
    </row>
    <row r="182">
      <c r="Y182" s="208"/>
      <c r="AB182" s="189" t="s">
        <v>176</v>
      </c>
    </row>
    <row r="183">
      <c r="Y183" s="208"/>
      <c r="AB183" s="189" t="s">
        <v>176</v>
      </c>
    </row>
    <row r="184">
      <c r="Y184" s="208"/>
      <c r="AB184" s="189" t="s">
        <v>176</v>
      </c>
    </row>
    <row r="185">
      <c r="Y185" s="208"/>
      <c r="AB185" s="189" t="s">
        <v>176</v>
      </c>
    </row>
    <row r="186">
      <c r="Y186" s="208"/>
      <c r="AB186" s="189" t="s">
        <v>176</v>
      </c>
    </row>
    <row r="187">
      <c r="Y187" s="208"/>
      <c r="AB187" s="189" t="s">
        <v>176</v>
      </c>
    </row>
    <row r="188">
      <c r="Y188" s="208"/>
      <c r="AB188" s="189" t="s">
        <v>176</v>
      </c>
    </row>
    <row r="189">
      <c r="Y189" s="208"/>
      <c r="AB189" s="189" t="s">
        <v>176</v>
      </c>
    </row>
    <row r="190">
      <c r="Y190" s="208"/>
      <c r="AB190" s="189" t="s">
        <v>176</v>
      </c>
    </row>
    <row r="191">
      <c r="Y191" s="208"/>
      <c r="AB191" s="189" t="s">
        <v>176</v>
      </c>
    </row>
    <row r="192">
      <c r="Y192" s="208"/>
      <c r="AB192" s="189" t="s">
        <v>176</v>
      </c>
    </row>
    <row r="193">
      <c r="Y193" s="208"/>
      <c r="AB193" s="189" t="s">
        <v>176</v>
      </c>
    </row>
    <row r="194">
      <c r="Y194" s="208"/>
      <c r="AB194" s="189" t="s">
        <v>176</v>
      </c>
    </row>
    <row r="195">
      <c r="Y195" s="208"/>
      <c r="AB195" s="189" t="s">
        <v>176</v>
      </c>
    </row>
    <row r="196">
      <c r="Y196" s="208"/>
      <c r="AB196" s="189" t="s">
        <v>176</v>
      </c>
    </row>
    <row r="197">
      <c r="Y197" s="208"/>
      <c r="AB197" s="189" t="s">
        <v>176</v>
      </c>
    </row>
    <row r="198">
      <c r="Y198" s="208"/>
      <c r="AB198" s="189" t="s">
        <v>176</v>
      </c>
    </row>
    <row r="199">
      <c r="Y199" s="208"/>
      <c r="AB199" s="189" t="s">
        <v>176</v>
      </c>
    </row>
    <row r="200">
      <c r="Y200" s="208"/>
      <c r="AB200" s="189" t="s">
        <v>176</v>
      </c>
    </row>
    <row r="201">
      <c r="Y201" s="208"/>
      <c r="AB201" s="189" t="s">
        <v>176</v>
      </c>
    </row>
    <row r="202">
      <c r="Y202" s="208"/>
      <c r="AB202" s="189" t="s">
        <v>176</v>
      </c>
    </row>
    <row r="203">
      <c r="Y203" s="208"/>
      <c r="AB203" s="189" t="s">
        <v>176</v>
      </c>
    </row>
    <row r="204">
      <c r="Y204" s="208"/>
      <c r="AB204" s="189" t="s">
        <v>176</v>
      </c>
    </row>
    <row r="205">
      <c r="Y205" s="208"/>
      <c r="AB205" s="189" t="s">
        <v>176</v>
      </c>
    </row>
    <row r="206">
      <c r="Y206" s="208"/>
      <c r="AB206" s="189" t="s">
        <v>176</v>
      </c>
    </row>
    <row r="207">
      <c r="Y207" s="208"/>
      <c r="AB207" s="189" t="s">
        <v>176</v>
      </c>
    </row>
    <row r="208">
      <c r="Y208" s="208"/>
      <c r="AB208" s="189" t="s">
        <v>176</v>
      </c>
    </row>
    <row r="209">
      <c r="Y209" s="208"/>
      <c r="AB209" s="189" t="s">
        <v>176</v>
      </c>
    </row>
    <row r="210">
      <c r="Y210" s="208"/>
      <c r="AB210" s="189" t="s">
        <v>176</v>
      </c>
    </row>
    <row r="211">
      <c r="Y211" s="208"/>
      <c r="AB211" s="189" t="s">
        <v>176</v>
      </c>
    </row>
    <row r="212">
      <c r="Y212" s="208"/>
      <c r="AB212" s="189" t="s">
        <v>176</v>
      </c>
    </row>
    <row r="213">
      <c r="Y213" s="208"/>
      <c r="AB213" s="189" t="s">
        <v>176</v>
      </c>
    </row>
    <row r="214">
      <c r="Y214" s="208"/>
      <c r="AB214" s="189" t="s">
        <v>176</v>
      </c>
    </row>
    <row r="215">
      <c r="Y215" s="208"/>
      <c r="AB215" s="189" t="s">
        <v>176</v>
      </c>
    </row>
    <row r="216">
      <c r="Y216" s="208"/>
      <c r="AB216" s="189" t="s">
        <v>176</v>
      </c>
    </row>
    <row r="217">
      <c r="Y217" s="208"/>
      <c r="AB217" s="189" t="s">
        <v>176</v>
      </c>
    </row>
    <row r="218">
      <c r="Y218" s="208"/>
      <c r="AB218" s="189" t="s">
        <v>176</v>
      </c>
    </row>
    <row r="219">
      <c r="Y219" s="208"/>
      <c r="AB219" s="189" t="s">
        <v>176</v>
      </c>
    </row>
    <row r="220">
      <c r="Y220" s="208"/>
      <c r="AB220" s="189" t="s">
        <v>176</v>
      </c>
    </row>
    <row r="221">
      <c r="Y221" s="208"/>
      <c r="AB221" s="189" t="s">
        <v>176</v>
      </c>
    </row>
    <row r="222">
      <c r="Y222" s="208"/>
      <c r="AB222" s="189" t="s">
        <v>176</v>
      </c>
    </row>
    <row r="223">
      <c r="Y223" s="208"/>
      <c r="AB223" s="189" t="s">
        <v>176</v>
      </c>
    </row>
    <row r="224">
      <c r="Y224" s="208"/>
      <c r="AB224" s="189" t="s">
        <v>176</v>
      </c>
    </row>
    <row r="225">
      <c r="Y225" s="208"/>
      <c r="AB225" s="189" t="s">
        <v>176</v>
      </c>
    </row>
    <row r="226">
      <c r="Y226" s="208"/>
      <c r="AB226" s="189" t="s">
        <v>176</v>
      </c>
    </row>
    <row r="227">
      <c r="Y227" s="208"/>
      <c r="AB227" s="189" t="s">
        <v>176</v>
      </c>
    </row>
    <row r="228">
      <c r="Y228" s="208"/>
      <c r="AB228" s="189" t="s">
        <v>176</v>
      </c>
    </row>
    <row r="229">
      <c r="Y229" s="208"/>
      <c r="AB229" s="189" t="s">
        <v>176</v>
      </c>
    </row>
    <row r="230">
      <c r="Y230" s="208"/>
      <c r="AB230" s="189" t="s">
        <v>176</v>
      </c>
    </row>
    <row r="231">
      <c r="Y231" s="208"/>
      <c r="AB231" s="189" t="s">
        <v>176</v>
      </c>
    </row>
    <row r="232">
      <c r="Y232" s="208"/>
      <c r="AB232" s="189" t="s">
        <v>176</v>
      </c>
    </row>
    <row r="233">
      <c r="Y233" s="208"/>
      <c r="AB233" s="189" t="s">
        <v>176</v>
      </c>
    </row>
    <row r="234">
      <c r="Y234" s="208"/>
      <c r="AB234" s="189" t="s">
        <v>176</v>
      </c>
    </row>
    <row r="235">
      <c r="Y235" s="208"/>
      <c r="AB235" s="189" t="s">
        <v>176</v>
      </c>
    </row>
    <row r="236">
      <c r="Y236" s="208"/>
      <c r="AB236" s="189" t="s">
        <v>176</v>
      </c>
    </row>
    <row r="237">
      <c r="Y237" s="208"/>
      <c r="AB237" s="189" t="s">
        <v>176</v>
      </c>
    </row>
    <row r="238">
      <c r="Y238" s="208"/>
      <c r="AB238" s="189" t="s">
        <v>176</v>
      </c>
    </row>
    <row r="239">
      <c r="Y239" s="208"/>
      <c r="AB239" s="189" t="s">
        <v>176</v>
      </c>
    </row>
    <row r="240">
      <c r="Y240" s="208"/>
      <c r="AB240" s="189" t="s">
        <v>176</v>
      </c>
    </row>
    <row r="241">
      <c r="Y241" s="208"/>
      <c r="AB241" s="189" t="s">
        <v>176</v>
      </c>
    </row>
    <row r="242">
      <c r="Y242" s="208"/>
      <c r="AB242" s="189" t="s">
        <v>176</v>
      </c>
    </row>
    <row r="243">
      <c r="Y243" s="208"/>
      <c r="AB243" s="189" t="s">
        <v>176</v>
      </c>
    </row>
    <row r="244">
      <c r="Y244" s="208"/>
      <c r="AB244" s="189" t="s">
        <v>176</v>
      </c>
    </row>
    <row r="245">
      <c r="Y245" s="208"/>
      <c r="AB245" s="189" t="s">
        <v>176</v>
      </c>
    </row>
    <row r="246">
      <c r="Y246" s="208"/>
      <c r="AB246" s="189" t="s">
        <v>176</v>
      </c>
    </row>
    <row r="247">
      <c r="Y247" s="208"/>
      <c r="AB247" s="189" t="s">
        <v>176</v>
      </c>
    </row>
    <row r="248">
      <c r="Y248" s="208"/>
      <c r="AB248" s="189" t="s">
        <v>176</v>
      </c>
    </row>
    <row r="249">
      <c r="Y249" s="208"/>
      <c r="AB249" s="189" t="s">
        <v>176</v>
      </c>
    </row>
    <row r="250">
      <c r="Y250" s="208"/>
      <c r="AB250" s="189" t="s">
        <v>176</v>
      </c>
    </row>
    <row r="251">
      <c r="Y251" s="208"/>
      <c r="AB251" s="189" t="s">
        <v>176</v>
      </c>
    </row>
    <row r="252">
      <c r="Y252" s="208"/>
      <c r="AB252" s="189" t="s">
        <v>176</v>
      </c>
    </row>
    <row r="253">
      <c r="Y253" s="208"/>
      <c r="AB253" s="189" t="s">
        <v>176</v>
      </c>
    </row>
    <row r="254">
      <c r="Y254" s="208"/>
      <c r="AB254" s="189" t="s">
        <v>176</v>
      </c>
    </row>
    <row r="255">
      <c r="Y255" s="208"/>
      <c r="AB255" s="189" t="s">
        <v>176</v>
      </c>
    </row>
    <row r="256">
      <c r="Y256" s="208"/>
      <c r="AB256" s="189" t="s">
        <v>176</v>
      </c>
    </row>
    <row r="257">
      <c r="Y257" s="208"/>
      <c r="AB257" s="189" t="s">
        <v>176</v>
      </c>
    </row>
    <row r="258">
      <c r="Y258" s="208"/>
      <c r="AB258" s="189" t="s">
        <v>176</v>
      </c>
    </row>
    <row r="259">
      <c r="Y259" s="208"/>
      <c r="AB259" s="189" t="s">
        <v>176</v>
      </c>
    </row>
    <row r="260">
      <c r="Y260" s="208"/>
      <c r="AB260" s="189" t="s">
        <v>176</v>
      </c>
    </row>
    <row r="261">
      <c r="Y261" s="208"/>
      <c r="AB261" s="189" t="s">
        <v>176</v>
      </c>
    </row>
    <row r="262">
      <c r="Y262" s="208"/>
      <c r="AB262" s="189" t="s">
        <v>176</v>
      </c>
    </row>
    <row r="263">
      <c r="Y263" s="208"/>
      <c r="AB263" s="189" t="s">
        <v>176</v>
      </c>
    </row>
    <row r="264">
      <c r="Y264" s="208"/>
      <c r="AB264" s="189" t="s">
        <v>176</v>
      </c>
    </row>
    <row r="265">
      <c r="Y265" s="208"/>
      <c r="AB265" s="189" t="s">
        <v>176</v>
      </c>
    </row>
    <row r="266">
      <c r="Y266" s="208"/>
      <c r="AB266" s="189" t="s">
        <v>176</v>
      </c>
    </row>
    <row r="267">
      <c r="Y267" s="208"/>
      <c r="AB267" s="189" t="s">
        <v>176</v>
      </c>
    </row>
    <row r="268">
      <c r="Y268" s="208"/>
      <c r="AB268" s="189" t="s">
        <v>176</v>
      </c>
    </row>
    <row r="269">
      <c r="Y269" s="208"/>
      <c r="AB269" s="189" t="s">
        <v>176</v>
      </c>
    </row>
    <row r="270">
      <c r="Y270" s="208"/>
      <c r="AB270" s="189" t="s">
        <v>176</v>
      </c>
    </row>
    <row r="271">
      <c r="Y271" s="208"/>
      <c r="AB271" s="189" t="s">
        <v>176</v>
      </c>
    </row>
    <row r="272">
      <c r="Y272" s="208"/>
      <c r="AB272" s="189" t="s">
        <v>176</v>
      </c>
    </row>
    <row r="273">
      <c r="Y273" s="208"/>
      <c r="AB273" s="189" t="s">
        <v>176</v>
      </c>
    </row>
    <row r="274">
      <c r="Y274" s="208"/>
      <c r="AB274" s="189" t="s">
        <v>176</v>
      </c>
    </row>
    <row r="275">
      <c r="Y275" s="208"/>
      <c r="AB275" s="189" t="s">
        <v>176</v>
      </c>
    </row>
    <row r="276">
      <c r="Y276" s="208"/>
      <c r="AB276" s="189" t="s">
        <v>176</v>
      </c>
    </row>
    <row r="277">
      <c r="Y277" s="208"/>
      <c r="AB277" s="189" t="s">
        <v>176</v>
      </c>
    </row>
    <row r="278">
      <c r="Y278" s="208"/>
      <c r="AB278" s="189" t="s">
        <v>176</v>
      </c>
    </row>
    <row r="279">
      <c r="Y279" s="208"/>
      <c r="AB279" s="189" t="s">
        <v>176</v>
      </c>
    </row>
    <row r="280">
      <c r="Y280" s="208"/>
      <c r="AB280" s="189" t="s">
        <v>176</v>
      </c>
    </row>
    <row r="281">
      <c r="Y281" s="208"/>
      <c r="AB281" s="189" t="s">
        <v>176</v>
      </c>
    </row>
    <row r="282">
      <c r="Y282" s="208"/>
      <c r="AB282" s="189" t="s">
        <v>176</v>
      </c>
    </row>
    <row r="283">
      <c r="Y283" s="208"/>
      <c r="AB283" s="189" t="s">
        <v>176</v>
      </c>
    </row>
    <row r="284">
      <c r="Y284" s="208"/>
      <c r="AB284" s="189" t="s">
        <v>176</v>
      </c>
    </row>
    <row r="285">
      <c r="Y285" s="208"/>
      <c r="AB285" s="189" t="s">
        <v>176</v>
      </c>
    </row>
    <row r="286">
      <c r="Y286" s="208"/>
      <c r="AB286" s="189" t="s">
        <v>176</v>
      </c>
    </row>
    <row r="287">
      <c r="Y287" s="208"/>
      <c r="AB287" s="189" t="s">
        <v>176</v>
      </c>
    </row>
    <row r="288">
      <c r="Y288" s="208"/>
      <c r="AB288" s="189" t="s">
        <v>176</v>
      </c>
    </row>
    <row r="289">
      <c r="Y289" s="208"/>
      <c r="AB289" s="189" t="s">
        <v>176</v>
      </c>
    </row>
    <row r="290">
      <c r="Y290" s="208"/>
      <c r="AB290" s="189" t="s">
        <v>176</v>
      </c>
    </row>
    <row r="291">
      <c r="Y291" s="208"/>
      <c r="AB291" s="189" t="s">
        <v>176</v>
      </c>
    </row>
    <row r="292">
      <c r="Y292" s="208"/>
      <c r="AB292" s="189" t="s">
        <v>176</v>
      </c>
    </row>
    <row r="293">
      <c r="Y293" s="208"/>
      <c r="AB293" s="189" t="s">
        <v>176</v>
      </c>
    </row>
    <row r="294">
      <c r="Y294" s="208"/>
      <c r="AB294" s="189" t="s">
        <v>176</v>
      </c>
    </row>
    <row r="295">
      <c r="Y295" s="208"/>
      <c r="AB295" s="189" t="s">
        <v>176</v>
      </c>
    </row>
    <row r="296">
      <c r="Y296" s="208"/>
      <c r="AB296" s="189" t="s">
        <v>176</v>
      </c>
    </row>
    <row r="297">
      <c r="Y297" s="208"/>
      <c r="AB297" s="189" t="s">
        <v>176</v>
      </c>
    </row>
    <row r="298">
      <c r="Y298" s="208"/>
      <c r="AB298" s="189" t="s">
        <v>176</v>
      </c>
    </row>
    <row r="299">
      <c r="Y299" s="208"/>
      <c r="AB299" s="189" t="s">
        <v>176</v>
      </c>
    </row>
    <row r="300">
      <c r="Y300" s="208"/>
      <c r="AB300" s="189" t="s">
        <v>176</v>
      </c>
    </row>
    <row r="301">
      <c r="Y301" s="208"/>
      <c r="AB301" s="189" t="s">
        <v>176</v>
      </c>
    </row>
    <row r="302">
      <c r="Y302" s="208"/>
      <c r="AB302" s="189" t="s">
        <v>176</v>
      </c>
    </row>
    <row r="303">
      <c r="Y303" s="208"/>
      <c r="AB303" s="189" t="s">
        <v>176</v>
      </c>
    </row>
    <row r="304">
      <c r="Y304" s="208"/>
      <c r="AB304" s="189" t="s">
        <v>176</v>
      </c>
    </row>
    <row r="305">
      <c r="Y305" s="208"/>
      <c r="AB305" s="189" t="s">
        <v>176</v>
      </c>
    </row>
    <row r="306">
      <c r="Y306" s="208"/>
      <c r="AB306" s="189" t="s">
        <v>176</v>
      </c>
    </row>
    <row r="307">
      <c r="Y307" s="208"/>
      <c r="AB307" s="189" t="s">
        <v>176</v>
      </c>
    </row>
    <row r="308">
      <c r="Y308" s="208"/>
      <c r="AB308" s="189" t="s">
        <v>176</v>
      </c>
    </row>
    <row r="309">
      <c r="Y309" s="208"/>
      <c r="AB309" s="189" t="s">
        <v>176</v>
      </c>
    </row>
    <row r="310">
      <c r="Y310" s="208"/>
      <c r="AB310" s="189" t="s">
        <v>176</v>
      </c>
    </row>
    <row r="311">
      <c r="Y311" s="208"/>
      <c r="AB311" s="189" t="s">
        <v>176</v>
      </c>
    </row>
    <row r="312">
      <c r="Y312" s="208"/>
      <c r="AB312" s="189" t="s">
        <v>176</v>
      </c>
    </row>
    <row r="313">
      <c r="Y313" s="208"/>
      <c r="AB313" s="189" t="s">
        <v>176</v>
      </c>
    </row>
    <row r="314">
      <c r="Y314" s="208"/>
      <c r="AB314" s="189" t="s">
        <v>176</v>
      </c>
    </row>
    <row r="315">
      <c r="Y315" s="208"/>
      <c r="AB315" s="189" t="s">
        <v>176</v>
      </c>
    </row>
    <row r="316">
      <c r="Y316" s="208"/>
      <c r="AB316" s="189" t="s">
        <v>176</v>
      </c>
    </row>
    <row r="317">
      <c r="Y317" s="208"/>
      <c r="AB317" s="189" t="s">
        <v>176</v>
      </c>
    </row>
    <row r="318">
      <c r="Y318" s="208"/>
      <c r="AB318" s="189" t="s">
        <v>176</v>
      </c>
    </row>
    <row r="319">
      <c r="Y319" s="208"/>
      <c r="AB319" s="189" t="s">
        <v>176</v>
      </c>
    </row>
    <row r="320">
      <c r="Y320" s="208"/>
      <c r="AB320" s="189" t="s">
        <v>176</v>
      </c>
    </row>
    <row r="321">
      <c r="Y321" s="208"/>
      <c r="AB321" s="189" t="s">
        <v>176</v>
      </c>
    </row>
    <row r="322">
      <c r="Y322" s="208"/>
      <c r="AB322" s="189" t="s">
        <v>176</v>
      </c>
    </row>
    <row r="323">
      <c r="Y323" s="208"/>
      <c r="AB323" s="189" t="s">
        <v>176</v>
      </c>
    </row>
    <row r="324">
      <c r="Y324" s="208"/>
      <c r="AB324" s="189" t="s">
        <v>176</v>
      </c>
    </row>
    <row r="325">
      <c r="Y325" s="208"/>
      <c r="AB325" s="189" t="s">
        <v>176</v>
      </c>
    </row>
    <row r="326">
      <c r="Y326" s="208"/>
      <c r="AB326" s="189" t="s">
        <v>176</v>
      </c>
    </row>
    <row r="327">
      <c r="Y327" s="208"/>
      <c r="AB327" s="189" t="s">
        <v>176</v>
      </c>
    </row>
    <row r="328">
      <c r="Y328" s="208"/>
      <c r="AB328" s="189" t="s">
        <v>176</v>
      </c>
    </row>
    <row r="329">
      <c r="Y329" s="208"/>
      <c r="AB329" s="189" t="s">
        <v>176</v>
      </c>
    </row>
    <row r="330">
      <c r="Y330" s="208"/>
      <c r="AB330" s="189" t="s">
        <v>176</v>
      </c>
    </row>
    <row r="331">
      <c r="Y331" s="208"/>
      <c r="AB331" s="189" t="s">
        <v>176</v>
      </c>
    </row>
    <row r="332">
      <c r="Y332" s="208"/>
      <c r="AB332" s="189" t="s">
        <v>176</v>
      </c>
    </row>
    <row r="333">
      <c r="Y333" s="208"/>
      <c r="AB333" s="189" t="s">
        <v>176</v>
      </c>
    </row>
    <row r="334">
      <c r="Y334" s="208"/>
      <c r="AB334" s="189" t="s">
        <v>176</v>
      </c>
    </row>
    <row r="335">
      <c r="Y335" s="208"/>
      <c r="AB335" s="189" t="s">
        <v>176</v>
      </c>
    </row>
    <row r="336">
      <c r="Y336" s="208"/>
      <c r="AB336" s="189" t="s">
        <v>176</v>
      </c>
    </row>
    <row r="337">
      <c r="Y337" s="208"/>
      <c r="AB337" s="189" t="s">
        <v>176</v>
      </c>
    </row>
    <row r="338">
      <c r="Y338" s="208"/>
      <c r="AB338" s="189" t="s">
        <v>176</v>
      </c>
    </row>
    <row r="339">
      <c r="Y339" s="208"/>
      <c r="AB339" s="189" t="s">
        <v>176</v>
      </c>
    </row>
    <row r="340">
      <c r="Y340" s="208"/>
      <c r="AB340" s="189" t="s">
        <v>176</v>
      </c>
    </row>
    <row r="341">
      <c r="Y341" s="208"/>
      <c r="AB341" s="189" t="s">
        <v>176</v>
      </c>
    </row>
    <row r="342">
      <c r="Y342" s="208"/>
      <c r="AB342" s="189" t="s">
        <v>176</v>
      </c>
    </row>
    <row r="343">
      <c r="Y343" s="208"/>
      <c r="AB343" s="189" t="s">
        <v>176</v>
      </c>
    </row>
    <row r="344">
      <c r="Y344" s="208"/>
      <c r="AB344" s="189" t="s">
        <v>176</v>
      </c>
    </row>
    <row r="345">
      <c r="Y345" s="208"/>
      <c r="AB345" s="189" t="s">
        <v>176</v>
      </c>
    </row>
    <row r="346">
      <c r="Y346" s="208"/>
      <c r="AB346" s="189" t="s">
        <v>176</v>
      </c>
    </row>
    <row r="347">
      <c r="Y347" s="208"/>
      <c r="AB347" s="189" t="s">
        <v>176</v>
      </c>
    </row>
    <row r="348">
      <c r="Y348" s="208"/>
      <c r="AB348" s="189" t="s">
        <v>176</v>
      </c>
    </row>
    <row r="349">
      <c r="Y349" s="208"/>
      <c r="AB349" s="189" t="s">
        <v>176</v>
      </c>
    </row>
    <row r="350">
      <c r="Y350" s="208"/>
      <c r="AB350" s="189" t="s">
        <v>176</v>
      </c>
    </row>
    <row r="351">
      <c r="Y351" s="208"/>
      <c r="AB351" s="189" t="s">
        <v>176</v>
      </c>
    </row>
    <row r="352">
      <c r="Y352" s="208"/>
      <c r="AB352" s="189" t="s">
        <v>176</v>
      </c>
    </row>
    <row r="353">
      <c r="Y353" s="208"/>
      <c r="AB353" s="189" t="s">
        <v>176</v>
      </c>
    </row>
    <row r="354">
      <c r="Y354" s="208"/>
      <c r="AB354" s="189" t="s">
        <v>176</v>
      </c>
    </row>
    <row r="355">
      <c r="Y355" s="208"/>
      <c r="AB355" s="189" t="s">
        <v>176</v>
      </c>
    </row>
    <row r="356">
      <c r="Y356" s="208"/>
      <c r="AB356" s="189" t="s">
        <v>176</v>
      </c>
    </row>
    <row r="357">
      <c r="Y357" s="208"/>
      <c r="AB357" s="189" t="s">
        <v>176</v>
      </c>
    </row>
    <row r="358">
      <c r="Y358" s="208"/>
      <c r="AB358" s="189" t="s">
        <v>176</v>
      </c>
    </row>
    <row r="359">
      <c r="Y359" s="208"/>
      <c r="AB359" s="189" t="s">
        <v>176</v>
      </c>
    </row>
    <row r="360">
      <c r="Y360" s="208"/>
      <c r="AB360" s="189" t="s">
        <v>176</v>
      </c>
    </row>
    <row r="361">
      <c r="Y361" s="208"/>
      <c r="AB361" s="189" t="s">
        <v>176</v>
      </c>
    </row>
    <row r="362">
      <c r="Y362" s="208"/>
      <c r="AB362" s="189" t="s">
        <v>176</v>
      </c>
    </row>
    <row r="363">
      <c r="Y363" s="208"/>
      <c r="AB363" s="189" t="s">
        <v>176</v>
      </c>
    </row>
    <row r="364">
      <c r="Y364" s="208"/>
      <c r="AB364" s="189" t="s">
        <v>176</v>
      </c>
    </row>
    <row r="365">
      <c r="Y365" s="208"/>
      <c r="AB365" s="189" t="s">
        <v>176</v>
      </c>
    </row>
    <row r="366">
      <c r="Y366" s="208"/>
      <c r="AB366" s="189" t="s">
        <v>176</v>
      </c>
    </row>
    <row r="367">
      <c r="Y367" s="208"/>
      <c r="AB367" s="189" t="s">
        <v>176</v>
      </c>
    </row>
    <row r="368">
      <c r="Y368" s="208"/>
      <c r="AB368" s="189" t="s">
        <v>176</v>
      </c>
    </row>
    <row r="369">
      <c r="Y369" s="208"/>
      <c r="AB369" s="189" t="s">
        <v>176</v>
      </c>
    </row>
    <row r="370">
      <c r="Y370" s="208"/>
      <c r="AB370" s="189" t="s">
        <v>176</v>
      </c>
    </row>
    <row r="371">
      <c r="Y371" s="208"/>
      <c r="AB371" s="189" t="s">
        <v>176</v>
      </c>
    </row>
    <row r="372">
      <c r="Y372" s="208"/>
      <c r="AB372" s="189" t="s">
        <v>176</v>
      </c>
    </row>
    <row r="373">
      <c r="Y373" s="208"/>
      <c r="AB373" s="189" t="s">
        <v>176</v>
      </c>
    </row>
    <row r="374">
      <c r="Y374" s="208"/>
      <c r="AB374" s="189" t="s">
        <v>176</v>
      </c>
    </row>
    <row r="375">
      <c r="Y375" s="208"/>
      <c r="AB375" s="189" t="s">
        <v>176</v>
      </c>
    </row>
    <row r="376">
      <c r="Y376" s="208"/>
      <c r="AB376" s="189" t="s">
        <v>176</v>
      </c>
    </row>
    <row r="377">
      <c r="Y377" s="208"/>
      <c r="AB377" s="189" t="s">
        <v>176</v>
      </c>
    </row>
    <row r="378">
      <c r="Y378" s="208"/>
      <c r="AB378" s="189" t="s">
        <v>176</v>
      </c>
    </row>
    <row r="379">
      <c r="Y379" s="208"/>
      <c r="AB379" s="189" t="s">
        <v>176</v>
      </c>
    </row>
    <row r="380">
      <c r="Y380" s="208"/>
      <c r="AB380" s="189" t="s">
        <v>176</v>
      </c>
    </row>
    <row r="381">
      <c r="Y381" s="208"/>
      <c r="AB381" s="189" t="s">
        <v>176</v>
      </c>
    </row>
    <row r="382">
      <c r="Y382" s="208"/>
      <c r="AB382" s="189" t="s">
        <v>176</v>
      </c>
    </row>
    <row r="383">
      <c r="Y383" s="208"/>
      <c r="AB383" s="189" t="s">
        <v>176</v>
      </c>
    </row>
    <row r="384">
      <c r="Y384" s="208"/>
      <c r="AB384" s="189" t="s">
        <v>176</v>
      </c>
    </row>
    <row r="385">
      <c r="Y385" s="208"/>
      <c r="AB385" s="189" t="s">
        <v>176</v>
      </c>
    </row>
    <row r="386">
      <c r="Y386" s="208"/>
      <c r="AB386" s="189" t="s">
        <v>176</v>
      </c>
    </row>
    <row r="387">
      <c r="Y387" s="208"/>
      <c r="AB387" s="189" t="s">
        <v>176</v>
      </c>
    </row>
    <row r="388">
      <c r="Y388" s="208"/>
      <c r="AB388" s="189" t="s">
        <v>176</v>
      </c>
    </row>
    <row r="389">
      <c r="Y389" s="208"/>
      <c r="AB389" s="189" t="s">
        <v>176</v>
      </c>
    </row>
    <row r="390">
      <c r="Y390" s="208"/>
      <c r="AB390" s="189" t="s">
        <v>176</v>
      </c>
    </row>
    <row r="391">
      <c r="Y391" s="208"/>
      <c r="AB391" s="189" t="s">
        <v>176</v>
      </c>
    </row>
    <row r="392">
      <c r="Y392" s="208"/>
      <c r="AB392" s="189" t="s">
        <v>176</v>
      </c>
    </row>
    <row r="393">
      <c r="Y393" s="208"/>
      <c r="AB393" s="189" t="s">
        <v>176</v>
      </c>
    </row>
    <row r="394">
      <c r="Y394" s="208"/>
      <c r="AB394" s="189" t="s">
        <v>176</v>
      </c>
    </row>
    <row r="395">
      <c r="Y395" s="208"/>
      <c r="AB395" s="189" t="s">
        <v>176</v>
      </c>
    </row>
    <row r="396">
      <c r="Y396" s="208"/>
      <c r="AB396" s="189" t="s">
        <v>176</v>
      </c>
    </row>
    <row r="397">
      <c r="Y397" s="208"/>
      <c r="AB397" s="189" t="s">
        <v>176</v>
      </c>
    </row>
    <row r="398">
      <c r="Y398" s="208"/>
      <c r="AB398" s="189" t="s">
        <v>176</v>
      </c>
    </row>
    <row r="399">
      <c r="Y399" s="208"/>
      <c r="AB399" s="189" t="s">
        <v>176</v>
      </c>
    </row>
    <row r="400">
      <c r="Y400" s="208"/>
      <c r="AB400" s="189" t="s">
        <v>176</v>
      </c>
    </row>
    <row r="401">
      <c r="Y401" s="208"/>
      <c r="AB401" s="189" t="s">
        <v>176</v>
      </c>
    </row>
    <row r="402">
      <c r="Y402" s="208"/>
      <c r="AB402" s="189" t="s">
        <v>176</v>
      </c>
    </row>
    <row r="403">
      <c r="Y403" s="208"/>
      <c r="AB403" s="189" t="s">
        <v>176</v>
      </c>
    </row>
    <row r="404">
      <c r="Y404" s="208"/>
      <c r="AB404" s="189" t="s">
        <v>176</v>
      </c>
    </row>
    <row r="405">
      <c r="Y405" s="208"/>
      <c r="AB405" s="189" t="s">
        <v>176</v>
      </c>
    </row>
    <row r="406">
      <c r="Y406" s="208"/>
      <c r="AB406" s="189" t="s">
        <v>176</v>
      </c>
    </row>
    <row r="407">
      <c r="Y407" s="208"/>
      <c r="AB407" s="189" t="s">
        <v>176</v>
      </c>
    </row>
    <row r="408">
      <c r="Y408" s="208"/>
      <c r="AB408" s="189" t="s">
        <v>176</v>
      </c>
    </row>
    <row r="409">
      <c r="Y409" s="208"/>
      <c r="AB409" s="189" t="s">
        <v>176</v>
      </c>
    </row>
    <row r="410">
      <c r="Y410" s="208"/>
      <c r="AB410" s="189" t="s">
        <v>176</v>
      </c>
    </row>
    <row r="411">
      <c r="Y411" s="208"/>
      <c r="AB411" s="189" t="s">
        <v>176</v>
      </c>
    </row>
    <row r="412">
      <c r="Y412" s="208"/>
      <c r="AB412" s="189" t="s">
        <v>176</v>
      </c>
    </row>
    <row r="413">
      <c r="Y413" s="208"/>
      <c r="AB413" s="189" t="s">
        <v>176</v>
      </c>
    </row>
    <row r="414">
      <c r="Y414" s="208"/>
      <c r="AB414" s="189" t="s">
        <v>176</v>
      </c>
    </row>
    <row r="415">
      <c r="Y415" s="208"/>
      <c r="AB415" s="189" t="s">
        <v>176</v>
      </c>
    </row>
    <row r="416">
      <c r="Y416" s="208"/>
      <c r="AB416" s="189" t="s">
        <v>176</v>
      </c>
    </row>
    <row r="417">
      <c r="Y417" s="208"/>
      <c r="AB417" s="189" t="s">
        <v>176</v>
      </c>
    </row>
    <row r="418">
      <c r="Y418" s="208"/>
      <c r="AB418" s="189" t="s">
        <v>176</v>
      </c>
    </row>
    <row r="419">
      <c r="Y419" s="208"/>
      <c r="AB419" s="189" t="s">
        <v>176</v>
      </c>
    </row>
    <row r="420">
      <c r="Y420" s="208"/>
      <c r="AB420" s="189" t="s">
        <v>176</v>
      </c>
    </row>
    <row r="421">
      <c r="Y421" s="208"/>
      <c r="AB421" s="189" t="s">
        <v>176</v>
      </c>
    </row>
    <row r="422">
      <c r="Y422" s="208"/>
      <c r="AB422" s="189" t="s">
        <v>176</v>
      </c>
    </row>
    <row r="423">
      <c r="Y423" s="208"/>
      <c r="AB423" s="189" t="s">
        <v>176</v>
      </c>
    </row>
    <row r="424">
      <c r="Y424" s="208"/>
      <c r="AB424" s="189" t="s">
        <v>176</v>
      </c>
    </row>
    <row r="425">
      <c r="Y425" s="208"/>
      <c r="AB425" s="189" t="s">
        <v>176</v>
      </c>
    </row>
    <row r="426">
      <c r="Y426" s="208"/>
      <c r="AB426" s="189" t="s">
        <v>176</v>
      </c>
    </row>
    <row r="427">
      <c r="Y427" s="208"/>
      <c r="AB427" s="189" t="s">
        <v>176</v>
      </c>
    </row>
    <row r="428">
      <c r="Y428" s="208"/>
      <c r="AB428" s="189" t="s">
        <v>176</v>
      </c>
    </row>
    <row r="429">
      <c r="Y429" s="208"/>
      <c r="AB429" s="189" t="s">
        <v>176</v>
      </c>
    </row>
    <row r="430">
      <c r="Y430" s="208"/>
      <c r="AB430" s="189" t="s">
        <v>176</v>
      </c>
    </row>
    <row r="431">
      <c r="Y431" s="208"/>
      <c r="AB431" s="189" t="s">
        <v>176</v>
      </c>
    </row>
    <row r="432">
      <c r="Y432" s="208"/>
      <c r="AB432" s="189" t="s">
        <v>176</v>
      </c>
    </row>
    <row r="433">
      <c r="Y433" s="208"/>
      <c r="AB433" s="189" t="s">
        <v>176</v>
      </c>
    </row>
    <row r="434">
      <c r="Y434" s="208"/>
      <c r="AB434" s="189" t="s">
        <v>176</v>
      </c>
    </row>
    <row r="435">
      <c r="Y435" s="208"/>
      <c r="AB435" s="189" t="s">
        <v>176</v>
      </c>
    </row>
    <row r="436">
      <c r="Y436" s="208"/>
      <c r="AB436" s="189" t="s">
        <v>176</v>
      </c>
    </row>
    <row r="437">
      <c r="Y437" s="208"/>
      <c r="AB437" s="189" t="s">
        <v>176</v>
      </c>
    </row>
    <row r="438">
      <c r="Y438" s="208"/>
      <c r="AB438" s="189" t="s">
        <v>176</v>
      </c>
    </row>
    <row r="439">
      <c r="Y439" s="208"/>
      <c r="AB439" s="189" t="s">
        <v>176</v>
      </c>
    </row>
    <row r="440">
      <c r="Y440" s="208"/>
      <c r="AB440" s="189" t="s">
        <v>176</v>
      </c>
    </row>
    <row r="441">
      <c r="Y441" s="208"/>
      <c r="AB441" s="189" t="s">
        <v>176</v>
      </c>
    </row>
    <row r="442">
      <c r="Y442" s="208"/>
      <c r="AB442" s="189" t="s">
        <v>176</v>
      </c>
    </row>
    <row r="443">
      <c r="Y443" s="208"/>
      <c r="AB443" s="189" t="s">
        <v>176</v>
      </c>
    </row>
    <row r="444">
      <c r="Y444" s="208"/>
      <c r="AB444" s="189" t="s">
        <v>176</v>
      </c>
    </row>
    <row r="445">
      <c r="Y445" s="208"/>
      <c r="AB445" s="189" t="s">
        <v>176</v>
      </c>
    </row>
    <row r="446">
      <c r="Y446" s="208"/>
      <c r="AB446" s="189" t="s">
        <v>176</v>
      </c>
    </row>
    <row r="447">
      <c r="Y447" s="208"/>
      <c r="AB447" s="189" t="s">
        <v>176</v>
      </c>
    </row>
    <row r="448">
      <c r="Y448" s="208"/>
      <c r="AB448" s="189" t="s">
        <v>176</v>
      </c>
    </row>
    <row r="449">
      <c r="Y449" s="208"/>
      <c r="AB449" s="189" t="s">
        <v>176</v>
      </c>
    </row>
    <row r="450">
      <c r="Y450" s="208"/>
      <c r="AB450" s="189" t="s">
        <v>176</v>
      </c>
    </row>
    <row r="451">
      <c r="Y451" s="208"/>
      <c r="AB451" s="189" t="s">
        <v>176</v>
      </c>
    </row>
    <row r="452">
      <c r="Y452" s="208"/>
      <c r="AB452" s="189" t="s">
        <v>176</v>
      </c>
    </row>
    <row r="453">
      <c r="Y453" s="208"/>
      <c r="AB453" s="189" t="s">
        <v>176</v>
      </c>
    </row>
    <row r="454">
      <c r="Y454" s="208"/>
      <c r="AB454" s="189" t="s">
        <v>176</v>
      </c>
    </row>
    <row r="455">
      <c r="Y455" s="208"/>
      <c r="AB455" s="189" t="s">
        <v>176</v>
      </c>
    </row>
    <row r="456">
      <c r="Y456" s="208"/>
      <c r="AB456" s="189" t="s">
        <v>176</v>
      </c>
    </row>
    <row r="457">
      <c r="Y457" s="208"/>
      <c r="AB457" s="189" t="s">
        <v>176</v>
      </c>
    </row>
    <row r="458">
      <c r="Y458" s="208"/>
      <c r="AB458" s="189" t="s">
        <v>176</v>
      </c>
    </row>
    <row r="459">
      <c r="Y459" s="208"/>
      <c r="AB459" s="189" t="s">
        <v>176</v>
      </c>
    </row>
    <row r="460">
      <c r="Y460" s="208"/>
      <c r="AB460" s="189" t="s">
        <v>176</v>
      </c>
    </row>
    <row r="461">
      <c r="Y461" s="208"/>
      <c r="AB461" s="189" t="s">
        <v>176</v>
      </c>
    </row>
    <row r="462">
      <c r="Y462" s="208"/>
      <c r="AB462" s="189" t="s">
        <v>176</v>
      </c>
    </row>
    <row r="463">
      <c r="Y463" s="208"/>
      <c r="AB463" s="189" t="s">
        <v>176</v>
      </c>
    </row>
    <row r="464">
      <c r="Y464" s="208"/>
      <c r="AB464" s="189" t="s">
        <v>176</v>
      </c>
    </row>
    <row r="465">
      <c r="Y465" s="208"/>
      <c r="AB465" s="189" t="s">
        <v>176</v>
      </c>
    </row>
    <row r="466">
      <c r="Y466" s="208"/>
      <c r="AB466" s="189" t="s">
        <v>176</v>
      </c>
    </row>
    <row r="467">
      <c r="Y467" s="208"/>
      <c r="AB467" s="189" t="s">
        <v>176</v>
      </c>
    </row>
    <row r="468">
      <c r="Y468" s="208"/>
      <c r="AB468" s="189" t="s">
        <v>176</v>
      </c>
    </row>
    <row r="469">
      <c r="Y469" s="208"/>
      <c r="AB469" s="189" t="s">
        <v>176</v>
      </c>
    </row>
    <row r="470">
      <c r="Y470" s="208"/>
      <c r="AB470" s="189" t="s">
        <v>176</v>
      </c>
    </row>
    <row r="471">
      <c r="Y471" s="208"/>
      <c r="AB471" s="189" t="s">
        <v>176</v>
      </c>
    </row>
    <row r="472">
      <c r="Y472" s="208"/>
      <c r="AB472" s="189" t="s">
        <v>176</v>
      </c>
    </row>
    <row r="473">
      <c r="Y473" s="208"/>
      <c r="AB473" s="189" t="s">
        <v>176</v>
      </c>
    </row>
    <row r="474">
      <c r="Y474" s="208"/>
      <c r="AB474" s="189" t="s">
        <v>176</v>
      </c>
    </row>
    <row r="475">
      <c r="Y475" s="208"/>
      <c r="AB475" s="189" t="s">
        <v>176</v>
      </c>
    </row>
    <row r="476">
      <c r="Y476" s="208"/>
      <c r="AB476" s="189" t="s">
        <v>176</v>
      </c>
    </row>
    <row r="477">
      <c r="Y477" s="208"/>
      <c r="AB477" s="189" t="s">
        <v>176</v>
      </c>
    </row>
    <row r="478">
      <c r="Y478" s="208"/>
      <c r="AB478" s="189" t="s">
        <v>176</v>
      </c>
    </row>
    <row r="479">
      <c r="Y479" s="208"/>
      <c r="AB479" s="189" t="s">
        <v>176</v>
      </c>
    </row>
    <row r="480">
      <c r="Y480" s="208"/>
      <c r="AB480" s="189" t="s">
        <v>176</v>
      </c>
    </row>
    <row r="481">
      <c r="Y481" s="208"/>
      <c r="AB481" s="189" t="s">
        <v>176</v>
      </c>
    </row>
    <row r="482">
      <c r="Y482" s="208"/>
      <c r="AB482" s="189" t="s">
        <v>176</v>
      </c>
    </row>
    <row r="483">
      <c r="Y483" s="208"/>
      <c r="AB483" s="189" t="s">
        <v>176</v>
      </c>
    </row>
    <row r="484">
      <c r="Y484" s="208"/>
      <c r="AB484" s="189" t="s">
        <v>176</v>
      </c>
    </row>
    <row r="485">
      <c r="Y485" s="208"/>
      <c r="AB485" s="189" t="s">
        <v>176</v>
      </c>
    </row>
    <row r="486">
      <c r="Y486" s="208"/>
      <c r="AB486" s="189" t="s">
        <v>176</v>
      </c>
    </row>
    <row r="487">
      <c r="Y487" s="208"/>
      <c r="AB487" s="189" t="s">
        <v>176</v>
      </c>
    </row>
    <row r="488">
      <c r="Y488" s="208"/>
      <c r="AB488" s="189" t="s">
        <v>176</v>
      </c>
    </row>
    <row r="489">
      <c r="Y489" s="208"/>
      <c r="AB489" s="189" t="s">
        <v>176</v>
      </c>
    </row>
    <row r="490">
      <c r="Y490" s="208"/>
      <c r="AB490" s="189" t="s">
        <v>176</v>
      </c>
    </row>
    <row r="491">
      <c r="Y491" s="208"/>
      <c r="AB491" s="189" t="s">
        <v>176</v>
      </c>
    </row>
    <row r="492">
      <c r="Y492" s="208"/>
      <c r="AB492" s="189" t="s">
        <v>176</v>
      </c>
    </row>
    <row r="493">
      <c r="Y493" s="208"/>
      <c r="AB493" s="189" t="s">
        <v>176</v>
      </c>
    </row>
    <row r="494">
      <c r="Y494" s="208"/>
      <c r="AB494" s="189" t="s">
        <v>176</v>
      </c>
    </row>
    <row r="495">
      <c r="Y495" s="208"/>
      <c r="AB495" s="189" t="s">
        <v>176</v>
      </c>
    </row>
    <row r="496">
      <c r="Y496" s="208"/>
      <c r="AB496" s="189" t="s">
        <v>176</v>
      </c>
    </row>
    <row r="497">
      <c r="Y497" s="208"/>
      <c r="AB497" s="189" t="s">
        <v>176</v>
      </c>
    </row>
    <row r="498">
      <c r="Y498" s="208"/>
      <c r="AB498" s="189" t="s">
        <v>176</v>
      </c>
    </row>
    <row r="499">
      <c r="Y499" s="208"/>
      <c r="AB499" s="189" t="s">
        <v>176</v>
      </c>
    </row>
    <row r="500">
      <c r="Y500" s="208"/>
      <c r="AB500" s="189" t="s">
        <v>176</v>
      </c>
    </row>
    <row r="501">
      <c r="Y501" s="208"/>
      <c r="AB501" s="189" t="s">
        <v>176</v>
      </c>
    </row>
    <row r="502">
      <c r="Y502" s="208"/>
      <c r="AB502" s="189" t="s">
        <v>176</v>
      </c>
    </row>
    <row r="503">
      <c r="Y503" s="208"/>
      <c r="AB503" s="189" t="s">
        <v>176</v>
      </c>
    </row>
    <row r="504">
      <c r="Y504" s="208"/>
      <c r="AB504" s="189" t="s">
        <v>176</v>
      </c>
    </row>
    <row r="505">
      <c r="Y505" s="208"/>
      <c r="AB505" s="189" t="s">
        <v>176</v>
      </c>
    </row>
    <row r="506">
      <c r="Y506" s="208"/>
      <c r="AB506" s="189" t="s">
        <v>176</v>
      </c>
    </row>
    <row r="507">
      <c r="Y507" s="208"/>
      <c r="AB507" s="189" t="s">
        <v>176</v>
      </c>
    </row>
    <row r="508">
      <c r="Y508" s="208"/>
      <c r="AB508" s="189" t="s">
        <v>176</v>
      </c>
    </row>
    <row r="509">
      <c r="Y509" s="208"/>
      <c r="AB509" s="189" t="s">
        <v>176</v>
      </c>
    </row>
    <row r="510">
      <c r="Y510" s="208"/>
      <c r="AB510" s="189" t="s">
        <v>176</v>
      </c>
    </row>
    <row r="511">
      <c r="Y511" s="208"/>
      <c r="AB511" s="189" t="s">
        <v>176</v>
      </c>
    </row>
    <row r="512">
      <c r="Y512" s="208"/>
      <c r="AB512" s="189" t="s">
        <v>176</v>
      </c>
    </row>
    <row r="513">
      <c r="Y513" s="208"/>
      <c r="AB513" s="189" t="s">
        <v>176</v>
      </c>
    </row>
    <row r="514">
      <c r="Y514" s="208"/>
      <c r="AB514" s="189" t="s">
        <v>176</v>
      </c>
    </row>
    <row r="515">
      <c r="Y515" s="208"/>
      <c r="AB515" s="189" t="s">
        <v>176</v>
      </c>
    </row>
    <row r="516">
      <c r="Y516" s="208"/>
      <c r="AB516" s="189" t="s">
        <v>176</v>
      </c>
    </row>
    <row r="517">
      <c r="Y517" s="208"/>
      <c r="AB517" s="189" t="s">
        <v>176</v>
      </c>
    </row>
    <row r="518">
      <c r="Y518" s="208"/>
      <c r="AB518" s="189" t="s">
        <v>176</v>
      </c>
    </row>
    <row r="519">
      <c r="Y519" s="208"/>
      <c r="AB519" s="189" t="s">
        <v>176</v>
      </c>
    </row>
    <row r="520">
      <c r="Y520" s="208"/>
      <c r="AB520" s="189" t="s">
        <v>176</v>
      </c>
    </row>
    <row r="521">
      <c r="Y521" s="208"/>
      <c r="AB521" s="189" t="s">
        <v>176</v>
      </c>
    </row>
    <row r="522">
      <c r="Y522" s="208"/>
      <c r="AB522" s="189" t="s">
        <v>176</v>
      </c>
    </row>
    <row r="523">
      <c r="Y523" s="208"/>
      <c r="AB523" s="189" t="s">
        <v>176</v>
      </c>
    </row>
    <row r="524">
      <c r="Y524" s="208"/>
      <c r="AB524" s="189" t="s">
        <v>176</v>
      </c>
    </row>
    <row r="525">
      <c r="Y525" s="208"/>
      <c r="AB525" s="189" t="s">
        <v>176</v>
      </c>
    </row>
    <row r="526">
      <c r="Y526" s="208"/>
      <c r="AB526" s="189" t="s">
        <v>176</v>
      </c>
    </row>
    <row r="527">
      <c r="Y527" s="208"/>
      <c r="AB527" s="189" t="s">
        <v>176</v>
      </c>
    </row>
    <row r="528">
      <c r="Y528" s="208"/>
      <c r="AB528" s="189" t="s">
        <v>176</v>
      </c>
    </row>
    <row r="529">
      <c r="Y529" s="208"/>
      <c r="AB529" s="189" t="s">
        <v>176</v>
      </c>
    </row>
    <row r="530">
      <c r="Y530" s="208"/>
      <c r="AB530" s="189" t="s">
        <v>176</v>
      </c>
    </row>
    <row r="531">
      <c r="Y531" s="208"/>
      <c r="AB531" s="189" t="s">
        <v>176</v>
      </c>
    </row>
    <row r="532">
      <c r="Y532" s="208"/>
      <c r="AB532" s="189" t="s">
        <v>176</v>
      </c>
    </row>
    <row r="533">
      <c r="Y533" s="208"/>
      <c r="AB533" s="189" t="s">
        <v>176</v>
      </c>
    </row>
    <row r="534">
      <c r="Y534" s="208"/>
      <c r="AB534" s="189" t="s">
        <v>176</v>
      </c>
    </row>
    <row r="535">
      <c r="Y535" s="208"/>
      <c r="AB535" s="189" t="s">
        <v>176</v>
      </c>
    </row>
    <row r="536">
      <c r="Y536" s="208"/>
      <c r="AB536" s="189" t="s">
        <v>176</v>
      </c>
    </row>
    <row r="537">
      <c r="Y537" s="208"/>
      <c r="AB537" s="189" t="s">
        <v>176</v>
      </c>
    </row>
    <row r="538">
      <c r="Y538" s="208"/>
      <c r="AB538" s="189" t="s">
        <v>176</v>
      </c>
    </row>
    <row r="539">
      <c r="Y539" s="208"/>
      <c r="AB539" s="189" t="s">
        <v>176</v>
      </c>
    </row>
    <row r="540">
      <c r="Y540" s="208"/>
      <c r="AB540" s="189" t="s">
        <v>176</v>
      </c>
    </row>
    <row r="541">
      <c r="Y541" s="208"/>
      <c r="AB541" s="189" t="s">
        <v>176</v>
      </c>
    </row>
    <row r="542">
      <c r="Y542" s="208"/>
      <c r="AB542" s="189" t="s">
        <v>176</v>
      </c>
    </row>
    <row r="543">
      <c r="Y543" s="208"/>
      <c r="AB543" s="189" t="s">
        <v>176</v>
      </c>
    </row>
    <row r="544">
      <c r="Y544" s="208"/>
      <c r="AB544" s="189" t="s">
        <v>176</v>
      </c>
    </row>
    <row r="545">
      <c r="Y545" s="208"/>
      <c r="AB545" s="189" t="s">
        <v>176</v>
      </c>
    </row>
    <row r="546">
      <c r="Y546" s="208"/>
      <c r="AB546" s="189" t="s">
        <v>176</v>
      </c>
    </row>
    <row r="547">
      <c r="Y547" s="208"/>
      <c r="AB547" s="189" t="s">
        <v>176</v>
      </c>
    </row>
    <row r="548">
      <c r="Y548" s="208"/>
      <c r="AB548" s="189" t="s">
        <v>176</v>
      </c>
    </row>
    <row r="549">
      <c r="Y549" s="208"/>
      <c r="AB549" s="189" t="s">
        <v>176</v>
      </c>
    </row>
    <row r="550">
      <c r="Y550" s="208"/>
      <c r="AB550" s="189" t="s">
        <v>176</v>
      </c>
    </row>
    <row r="551">
      <c r="Y551" s="208"/>
      <c r="AB551" s="189" t="s">
        <v>176</v>
      </c>
    </row>
    <row r="552">
      <c r="Y552" s="208"/>
      <c r="AB552" s="189" t="s">
        <v>176</v>
      </c>
    </row>
    <row r="553">
      <c r="Y553" s="208"/>
      <c r="AB553" s="189" t="s">
        <v>176</v>
      </c>
    </row>
    <row r="554">
      <c r="Y554" s="208"/>
      <c r="AB554" s="189" t="s">
        <v>176</v>
      </c>
    </row>
    <row r="555">
      <c r="Y555" s="208"/>
      <c r="AB555" s="189" t="s">
        <v>176</v>
      </c>
    </row>
    <row r="556">
      <c r="Y556" s="208"/>
      <c r="AB556" s="189" t="s">
        <v>176</v>
      </c>
    </row>
    <row r="557">
      <c r="Y557" s="208"/>
      <c r="AB557" s="189" t="s">
        <v>176</v>
      </c>
    </row>
    <row r="558">
      <c r="Y558" s="208"/>
      <c r="AB558" s="189" t="s">
        <v>176</v>
      </c>
    </row>
    <row r="559">
      <c r="Y559" s="208"/>
      <c r="AB559" s="189" t="s">
        <v>176</v>
      </c>
    </row>
    <row r="560">
      <c r="Y560" s="208"/>
      <c r="AB560" s="189" t="s">
        <v>176</v>
      </c>
    </row>
    <row r="561">
      <c r="Y561" s="208"/>
      <c r="AB561" s="189" t="s">
        <v>176</v>
      </c>
    </row>
    <row r="562">
      <c r="Y562" s="208"/>
      <c r="AB562" s="189" t="s">
        <v>176</v>
      </c>
    </row>
    <row r="563">
      <c r="Y563" s="208"/>
      <c r="AB563" s="189" t="s">
        <v>176</v>
      </c>
    </row>
    <row r="564">
      <c r="Y564" s="208"/>
      <c r="AB564" s="189" t="s">
        <v>176</v>
      </c>
    </row>
    <row r="565">
      <c r="Y565" s="208"/>
      <c r="AB565" s="189" t="s">
        <v>176</v>
      </c>
    </row>
    <row r="566">
      <c r="Y566" s="208"/>
      <c r="AB566" s="189" t="s">
        <v>176</v>
      </c>
    </row>
    <row r="567">
      <c r="Y567" s="208"/>
      <c r="AB567" s="189" t="s">
        <v>176</v>
      </c>
    </row>
    <row r="568">
      <c r="Y568" s="208"/>
      <c r="AB568" s="189" t="s">
        <v>176</v>
      </c>
    </row>
    <row r="569">
      <c r="Y569" s="208"/>
      <c r="AB569" s="189" t="s">
        <v>176</v>
      </c>
    </row>
    <row r="570">
      <c r="Y570" s="208"/>
      <c r="AB570" s="189" t="s">
        <v>176</v>
      </c>
    </row>
    <row r="571">
      <c r="Y571" s="208"/>
      <c r="AB571" s="189" t="s">
        <v>176</v>
      </c>
    </row>
    <row r="572">
      <c r="Y572" s="208"/>
      <c r="AB572" s="189" t="s">
        <v>176</v>
      </c>
    </row>
    <row r="573">
      <c r="Y573" s="208"/>
      <c r="AB573" s="189" t="s">
        <v>176</v>
      </c>
    </row>
    <row r="574">
      <c r="Y574" s="208"/>
      <c r="AB574" s="189" t="s">
        <v>176</v>
      </c>
    </row>
    <row r="575">
      <c r="Y575" s="208"/>
      <c r="AB575" s="189" t="s">
        <v>176</v>
      </c>
    </row>
    <row r="576">
      <c r="Y576" s="208"/>
      <c r="AB576" s="189" t="s">
        <v>176</v>
      </c>
    </row>
    <row r="577">
      <c r="Y577" s="208"/>
      <c r="AB577" s="189" t="s">
        <v>176</v>
      </c>
    </row>
    <row r="578">
      <c r="Y578" s="208"/>
      <c r="AB578" s="189" t="s">
        <v>176</v>
      </c>
    </row>
    <row r="579">
      <c r="Y579" s="208"/>
      <c r="AB579" s="189" t="s">
        <v>176</v>
      </c>
    </row>
    <row r="580">
      <c r="Y580" s="208"/>
      <c r="AB580" s="189" t="s">
        <v>176</v>
      </c>
    </row>
    <row r="581">
      <c r="Y581" s="208"/>
      <c r="AB581" s="189" t="s">
        <v>176</v>
      </c>
    </row>
    <row r="582">
      <c r="Y582" s="208"/>
      <c r="AB582" s="189" t="s">
        <v>176</v>
      </c>
    </row>
    <row r="583">
      <c r="Y583" s="208"/>
      <c r="AB583" s="189" t="s">
        <v>176</v>
      </c>
    </row>
    <row r="584">
      <c r="Y584" s="208"/>
      <c r="AB584" s="189" t="s">
        <v>176</v>
      </c>
    </row>
    <row r="585">
      <c r="Y585" s="208"/>
      <c r="AB585" s="189" t="s">
        <v>176</v>
      </c>
    </row>
    <row r="586">
      <c r="Y586" s="208"/>
      <c r="AB586" s="189" t="s">
        <v>176</v>
      </c>
    </row>
    <row r="587">
      <c r="Y587" s="208"/>
      <c r="AB587" s="189" t="s">
        <v>176</v>
      </c>
    </row>
    <row r="588">
      <c r="Y588" s="208"/>
      <c r="AB588" s="189" t="s">
        <v>176</v>
      </c>
    </row>
    <row r="589">
      <c r="Y589" s="208"/>
      <c r="AB589" s="189" t="s">
        <v>176</v>
      </c>
    </row>
    <row r="590">
      <c r="Y590" s="208"/>
      <c r="AB590" s="189" t="s">
        <v>176</v>
      </c>
    </row>
    <row r="591">
      <c r="Y591" s="208"/>
      <c r="AB591" s="189" t="s">
        <v>176</v>
      </c>
    </row>
    <row r="592">
      <c r="Y592" s="208"/>
      <c r="AB592" s="189" t="s">
        <v>176</v>
      </c>
    </row>
    <row r="593">
      <c r="Y593" s="208"/>
      <c r="AB593" s="189" t="s">
        <v>176</v>
      </c>
    </row>
    <row r="594">
      <c r="Y594" s="208"/>
      <c r="AB594" s="189" t="s">
        <v>176</v>
      </c>
    </row>
    <row r="595">
      <c r="Y595" s="208"/>
      <c r="AB595" s="189" t="s">
        <v>176</v>
      </c>
    </row>
    <row r="596">
      <c r="Y596" s="208"/>
      <c r="AB596" s="189" t="s">
        <v>176</v>
      </c>
    </row>
    <row r="597">
      <c r="Y597" s="208"/>
      <c r="AB597" s="189" t="s">
        <v>176</v>
      </c>
    </row>
    <row r="598">
      <c r="Y598" s="208"/>
      <c r="AB598" s="189" t="s">
        <v>176</v>
      </c>
    </row>
    <row r="599">
      <c r="Y599" s="208"/>
      <c r="AB599" s="189" t="s">
        <v>176</v>
      </c>
    </row>
    <row r="600">
      <c r="Y600" s="208"/>
      <c r="AB600" s="189" t="s">
        <v>176</v>
      </c>
    </row>
    <row r="601">
      <c r="Y601" s="208"/>
      <c r="AB601" s="189" t="s">
        <v>176</v>
      </c>
    </row>
    <row r="602">
      <c r="Y602" s="208"/>
      <c r="AB602" s="189" t="s">
        <v>176</v>
      </c>
    </row>
    <row r="603">
      <c r="Y603" s="208"/>
      <c r="AB603" s="189" t="s">
        <v>176</v>
      </c>
    </row>
    <row r="604">
      <c r="Y604" s="208"/>
      <c r="AB604" s="189" t="s">
        <v>176</v>
      </c>
    </row>
    <row r="605">
      <c r="Y605" s="208"/>
      <c r="AB605" s="189" t="s">
        <v>176</v>
      </c>
    </row>
    <row r="606">
      <c r="Y606" s="208"/>
      <c r="AB606" s="189" t="s">
        <v>176</v>
      </c>
    </row>
    <row r="607">
      <c r="Y607" s="208"/>
      <c r="AB607" s="189" t="s">
        <v>176</v>
      </c>
    </row>
    <row r="608">
      <c r="Y608" s="208"/>
      <c r="AB608" s="189" t="s">
        <v>176</v>
      </c>
    </row>
    <row r="609">
      <c r="Y609" s="208"/>
      <c r="AB609" s="189" t="s">
        <v>176</v>
      </c>
    </row>
    <row r="610">
      <c r="Y610" s="208"/>
      <c r="AB610" s="189" t="s">
        <v>176</v>
      </c>
    </row>
    <row r="611">
      <c r="Y611" s="208"/>
      <c r="AB611" s="189" t="s">
        <v>176</v>
      </c>
    </row>
    <row r="612">
      <c r="Y612" s="208"/>
      <c r="AB612" s="189" t="s">
        <v>176</v>
      </c>
    </row>
    <row r="613">
      <c r="Y613" s="208"/>
      <c r="AB613" s="189" t="s">
        <v>176</v>
      </c>
    </row>
    <row r="614">
      <c r="Y614" s="208"/>
      <c r="AB614" s="189" t="s">
        <v>176</v>
      </c>
    </row>
    <row r="615">
      <c r="Y615" s="208"/>
      <c r="AB615" s="189" t="s">
        <v>176</v>
      </c>
    </row>
    <row r="616">
      <c r="Y616" s="208"/>
      <c r="AB616" s="189" t="s">
        <v>176</v>
      </c>
    </row>
    <row r="617">
      <c r="Y617" s="208"/>
      <c r="AB617" s="189" t="s">
        <v>176</v>
      </c>
    </row>
    <row r="618">
      <c r="Y618" s="208"/>
      <c r="AB618" s="189" t="s">
        <v>176</v>
      </c>
    </row>
    <row r="619">
      <c r="Y619" s="208"/>
      <c r="AB619" s="189" t="s">
        <v>176</v>
      </c>
    </row>
    <row r="620">
      <c r="Y620" s="208"/>
      <c r="AB620" s="189" t="s">
        <v>176</v>
      </c>
    </row>
    <row r="621">
      <c r="Y621" s="208"/>
      <c r="AB621" s="189" t="s">
        <v>176</v>
      </c>
    </row>
    <row r="622">
      <c r="Y622" s="208"/>
      <c r="AB622" s="189" t="s">
        <v>176</v>
      </c>
    </row>
    <row r="623">
      <c r="Y623" s="208"/>
      <c r="AB623" s="189" t="s">
        <v>176</v>
      </c>
    </row>
    <row r="624">
      <c r="Y624" s="208"/>
      <c r="AB624" s="189" t="s">
        <v>176</v>
      </c>
    </row>
    <row r="625">
      <c r="Y625" s="208"/>
      <c r="AB625" s="189" t="s">
        <v>176</v>
      </c>
    </row>
    <row r="626">
      <c r="Y626" s="208"/>
      <c r="AB626" s="189" t="s">
        <v>176</v>
      </c>
    </row>
    <row r="627">
      <c r="Y627" s="208"/>
      <c r="AB627" s="189" t="s">
        <v>176</v>
      </c>
    </row>
    <row r="628">
      <c r="Y628" s="208"/>
      <c r="AB628" s="189" t="s">
        <v>176</v>
      </c>
    </row>
    <row r="629">
      <c r="Y629" s="208"/>
      <c r="AB629" s="189" t="s">
        <v>176</v>
      </c>
    </row>
    <row r="630">
      <c r="Y630" s="208"/>
      <c r="AB630" s="189" t="s">
        <v>176</v>
      </c>
    </row>
    <row r="631">
      <c r="Y631" s="208"/>
      <c r="AB631" s="189" t="s">
        <v>176</v>
      </c>
    </row>
    <row r="632">
      <c r="Y632" s="208"/>
      <c r="AB632" s="189" t="s">
        <v>176</v>
      </c>
    </row>
    <row r="633">
      <c r="Y633" s="208"/>
      <c r="AB633" s="189" t="s">
        <v>176</v>
      </c>
    </row>
    <row r="634">
      <c r="Y634" s="208"/>
      <c r="AB634" s="189" t="s">
        <v>176</v>
      </c>
    </row>
    <row r="635">
      <c r="Y635" s="208"/>
      <c r="AB635" s="189" t="s">
        <v>176</v>
      </c>
    </row>
    <row r="636">
      <c r="Y636" s="208"/>
      <c r="AB636" s="189" t="s">
        <v>176</v>
      </c>
    </row>
    <row r="637">
      <c r="Y637" s="208"/>
      <c r="AB637" s="189" t="s">
        <v>176</v>
      </c>
    </row>
    <row r="638">
      <c r="Y638" s="208"/>
      <c r="AB638" s="189" t="s">
        <v>176</v>
      </c>
    </row>
    <row r="639">
      <c r="Y639" s="208"/>
      <c r="AB639" s="189" t="s">
        <v>176</v>
      </c>
    </row>
    <row r="640">
      <c r="Y640" s="208"/>
      <c r="AB640" s="189" t="s">
        <v>176</v>
      </c>
    </row>
    <row r="641">
      <c r="Y641" s="208"/>
      <c r="AB641" s="189" t="s">
        <v>176</v>
      </c>
    </row>
    <row r="642">
      <c r="Y642" s="208"/>
      <c r="AB642" s="189" t="s">
        <v>176</v>
      </c>
    </row>
    <row r="643">
      <c r="Y643" s="208"/>
      <c r="AB643" s="189" t="s">
        <v>176</v>
      </c>
    </row>
    <row r="644">
      <c r="Y644" s="208"/>
      <c r="AB644" s="189" t="s">
        <v>176</v>
      </c>
    </row>
    <row r="645">
      <c r="Y645" s="208"/>
      <c r="AB645" s="189" t="s">
        <v>176</v>
      </c>
    </row>
    <row r="646">
      <c r="Y646" s="208"/>
      <c r="AB646" s="189" t="s">
        <v>176</v>
      </c>
    </row>
    <row r="647">
      <c r="Y647" s="208"/>
      <c r="AB647" s="189" t="s">
        <v>176</v>
      </c>
    </row>
    <row r="648">
      <c r="Y648" s="208"/>
      <c r="AB648" s="189" t="s">
        <v>176</v>
      </c>
    </row>
    <row r="649">
      <c r="Y649" s="208"/>
      <c r="AB649" s="189" t="s">
        <v>176</v>
      </c>
    </row>
    <row r="650">
      <c r="Y650" s="208"/>
      <c r="AB650" s="189" t="s">
        <v>176</v>
      </c>
    </row>
    <row r="651">
      <c r="Y651" s="208"/>
      <c r="AB651" s="189" t="s">
        <v>176</v>
      </c>
    </row>
    <row r="652">
      <c r="Y652" s="208"/>
      <c r="AB652" s="189" t="s">
        <v>176</v>
      </c>
    </row>
    <row r="653">
      <c r="Y653" s="208"/>
      <c r="AB653" s="189" t="s">
        <v>176</v>
      </c>
    </row>
    <row r="654">
      <c r="Y654" s="208"/>
      <c r="AB654" s="189" t="s">
        <v>176</v>
      </c>
    </row>
    <row r="655">
      <c r="Y655" s="208"/>
      <c r="AB655" s="189" t="s">
        <v>176</v>
      </c>
    </row>
    <row r="656">
      <c r="Y656" s="208"/>
      <c r="AB656" s="189" t="s">
        <v>176</v>
      </c>
    </row>
    <row r="657">
      <c r="Y657" s="208"/>
      <c r="AB657" s="189" t="s">
        <v>176</v>
      </c>
    </row>
    <row r="658">
      <c r="Y658" s="208"/>
      <c r="AB658" s="189" t="s">
        <v>176</v>
      </c>
    </row>
    <row r="659">
      <c r="Y659" s="208"/>
      <c r="AB659" s="189" t="s">
        <v>176</v>
      </c>
    </row>
    <row r="660">
      <c r="Y660" s="208"/>
      <c r="AB660" s="189" t="s">
        <v>176</v>
      </c>
    </row>
    <row r="661">
      <c r="Y661" s="208"/>
      <c r="AB661" s="189" t="s">
        <v>176</v>
      </c>
    </row>
    <row r="662">
      <c r="Y662" s="208"/>
      <c r="AB662" s="189" t="s">
        <v>176</v>
      </c>
    </row>
    <row r="663">
      <c r="Y663" s="208"/>
      <c r="AB663" s="189" t="s">
        <v>176</v>
      </c>
    </row>
    <row r="664">
      <c r="Y664" s="208"/>
      <c r="AB664" s="189" t="s">
        <v>176</v>
      </c>
    </row>
    <row r="665">
      <c r="Y665" s="208"/>
      <c r="AB665" s="189" t="s">
        <v>176</v>
      </c>
    </row>
    <row r="666">
      <c r="Y666" s="208"/>
      <c r="AB666" s="189" t="s">
        <v>176</v>
      </c>
    </row>
    <row r="667">
      <c r="Y667" s="208"/>
      <c r="AB667" s="189" t="s">
        <v>176</v>
      </c>
    </row>
    <row r="668">
      <c r="Y668" s="208"/>
      <c r="AB668" s="189" t="s">
        <v>176</v>
      </c>
    </row>
    <row r="669">
      <c r="Y669" s="208"/>
      <c r="AB669" s="189" t="s">
        <v>176</v>
      </c>
    </row>
    <row r="670">
      <c r="Y670" s="208"/>
      <c r="AB670" s="189" t="s">
        <v>176</v>
      </c>
    </row>
    <row r="671">
      <c r="Y671" s="208"/>
      <c r="AB671" s="189" t="s">
        <v>176</v>
      </c>
    </row>
    <row r="672">
      <c r="Y672" s="208"/>
      <c r="AB672" s="189" t="s">
        <v>176</v>
      </c>
    </row>
    <row r="673">
      <c r="Y673" s="208"/>
      <c r="AB673" s="189" t="s">
        <v>176</v>
      </c>
    </row>
    <row r="674">
      <c r="Y674" s="208"/>
      <c r="AB674" s="189" t="s">
        <v>176</v>
      </c>
    </row>
    <row r="675">
      <c r="Y675" s="208"/>
      <c r="AB675" s="189" t="s">
        <v>176</v>
      </c>
    </row>
    <row r="676">
      <c r="Y676" s="208"/>
      <c r="AB676" s="189" t="s">
        <v>176</v>
      </c>
    </row>
    <row r="677">
      <c r="Y677" s="208"/>
      <c r="AB677" s="189" t="s">
        <v>176</v>
      </c>
    </row>
    <row r="678">
      <c r="Y678" s="208"/>
      <c r="AB678" s="189" t="s">
        <v>176</v>
      </c>
    </row>
    <row r="679">
      <c r="Y679" s="208"/>
      <c r="AB679" s="189" t="s">
        <v>176</v>
      </c>
    </row>
    <row r="680">
      <c r="Y680" s="208"/>
      <c r="AB680" s="189" t="s">
        <v>176</v>
      </c>
    </row>
    <row r="681">
      <c r="Y681" s="208"/>
      <c r="AB681" s="189" t="s">
        <v>176</v>
      </c>
    </row>
    <row r="682">
      <c r="Y682" s="208"/>
      <c r="AB682" s="189" t="s">
        <v>176</v>
      </c>
    </row>
    <row r="683">
      <c r="Y683" s="208"/>
      <c r="AB683" s="189" t="s">
        <v>176</v>
      </c>
    </row>
    <row r="684">
      <c r="Y684" s="208"/>
      <c r="AB684" s="189" t="s">
        <v>176</v>
      </c>
    </row>
    <row r="685">
      <c r="Y685" s="208"/>
      <c r="AB685" s="189" t="s">
        <v>176</v>
      </c>
    </row>
    <row r="686">
      <c r="Y686" s="208"/>
      <c r="AB686" s="189" t="s">
        <v>176</v>
      </c>
    </row>
    <row r="687">
      <c r="Y687" s="208"/>
      <c r="AB687" s="189" t="s">
        <v>176</v>
      </c>
    </row>
    <row r="688">
      <c r="Y688" s="208"/>
      <c r="AB688" s="189" t="s">
        <v>176</v>
      </c>
    </row>
    <row r="689">
      <c r="Y689" s="208"/>
      <c r="AB689" s="189" t="s">
        <v>176</v>
      </c>
    </row>
    <row r="690">
      <c r="Y690" s="208"/>
      <c r="AB690" s="189" t="s">
        <v>176</v>
      </c>
    </row>
    <row r="691">
      <c r="Y691" s="208"/>
      <c r="AB691" s="189" t="s">
        <v>176</v>
      </c>
    </row>
    <row r="692">
      <c r="Y692" s="208"/>
      <c r="AB692" s="189" t="s">
        <v>176</v>
      </c>
    </row>
    <row r="693">
      <c r="Y693" s="208"/>
      <c r="AB693" s="189" t="s">
        <v>176</v>
      </c>
    </row>
    <row r="694">
      <c r="Y694" s="208"/>
      <c r="AB694" s="189" t="s">
        <v>176</v>
      </c>
    </row>
    <row r="695">
      <c r="Y695" s="208"/>
      <c r="AB695" s="189" t="s">
        <v>176</v>
      </c>
    </row>
    <row r="696">
      <c r="Y696" s="208"/>
      <c r="AB696" s="189" t="s">
        <v>176</v>
      </c>
    </row>
    <row r="697">
      <c r="Y697" s="208"/>
      <c r="AB697" s="189" t="s">
        <v>176</v>
      </c>
    </row>
    <row r="698">
      <c r="Y698" s="208"/>
      <c r="AB698" s="189" t="s">
        <v>176</v>
      </c>
    </row>
    <row r="699">
      <c r="Y699" s="208"/>
      <c r="AB699" s="189" t="s">
        <v>176</v>
      </c>
    </row>
    <row r="700">
      <c r="Y700" s="208"/>
      <c r="AB700" s="189" t="s">
        <v>176</v>
      </c>
    </row>
    <row r="701">
      <c r="Y701" s="208"/>
      <c r="AB701" s="189" t="s">
        <v>176</v>
      </c>
    </row>
    <row r="702">
      <c r="Y702" s="208"/>
      <c r="AB702" s="189" t="s">
        <v>176</v>
      </c>
    </row>
    <row r="703">
      <c r="Y703" s="208"/>
      <c r="AB703" s="189" t="s">
        <v>176</v>
      </c>
    </row>
    <row r="704">
      <c r="Y704" s="208"/>
      <c r="AB704" s="189" t="s">
        <v>176</v>
      </c>
    </row>
    <row r="705">
      <c r="Y705" s="208"/>
      <c r="AB705" s="189" t="s">
        <v>176</v>
      </c>
    </row>
    <row r="706">
      <c r="Y706" s="208"/>
      <c r="AB706" s="189" t="s">
        <v>176</v>
      </c>
    </row>
    <row r="707">
      <c r="Y707" s="208"/>
      <c r="AB707" s="189" t="s">
        <v>176</v>
      </c>
    </row>
    <row r="708">
      <c r="Y708" s="208"/>
      <c r="AB708" s="189" t="s">
        <v>176</v>
      </c>
    </row>
    <row r="709">
      <c r="Y709" s="208"/>
      <c r="AB709" s="189" t="s">
        <v>176</v>
      </c>
    </row>
    <row r="710">
      <c r="Y710" s="208"/>
      <c r="AB710" s="189" t="s">
        <v>176</v>
      </c>
    </row>
    <row r="711">
      <c r="Y711" s="208"/>
      <c r="AB711" s="189" t="s">
        <v>176</v>
      </c>
    </row>
    <row r="712">
      <c r="Y712" s="208"/>
      <c r="AB712" s="189" t="s">
        <v>176</v>
      </c>
    </row>
    <row r="713">
      <c r="Y713" s="208"/>
      <c r="AB713" s="189" t="s">
        <v>176</v>
      </c>
    </row>
    <row r="714">
      <c r="Y714" s="208"/>
      <c r="AB714" s="189" t="s">
        <v>176</v>
      </c>
    </row>
    <row r="715">
      <c r="Y715" s="208"/>
      <c r="AB715" s="189" t="s">
        <v>176</v>
      </c>
    </row>
    <row r="716">
      <c r="Y716" s="208"/>
      <c r="AB716" s="189" t="s">
        <v>176</v>
      </c>
    </row>
    <row r="717">
      <c r="Y717" s="208"/>
      <c r="AB717" s="189" t="s">
        <v>176</v>
      </c>
    </row>
    <row r="718">
      <c r="Y718" s="208"/>
      <c r="AB718" s="189" t="s">
        <v>176</v>
      </c>
    </row>
    <row r="719">
      <c r="Y719" s="208"/>
      <c r="AB719" s="189" t="s">
        <v>176</v>
      </c>
    </row>
    <row r="720">
      <c r="Y720" s="208"/>
      <c r="AB720" s="189" t="s">
        <v>176</v>
      </c>
    </row>
    <row r="721">
      <c r="Y721" s="208"/>
      <c r="AB721" s="189" t="s">
        <v>176</v>
      </c>
    </row>
    <row r="722">
      <c r="Y722" s="208"/>
      <c r="AB722" s="189" t="s">
        <v>176</v>
      </c>
    </row>
    <row r="723">
      <c r="Y723" s="208"/>
      <c r="AB723" s="189" t="s">
        <v>176</v>
      </c>
    </row>
    <row r="724">
      <c r="Y724" s="208"/>
      <c r="AB724" s="189" t="s">
        <v>176</v>
      </c>
    </row>
    <row r="725">
      <c r="Y725" s="208"/>
      <c r="AB725" s="189" t="s">
        <v>176</v>
      </c>
    </row>
    <row r="726">
      <c r="Y726" s="208"/>
      <c r="AB726" s="189" t="s">
        <v>176</v>
      </c>
    </row>
    <row r="727">
      <c r="Y727" s="208"/>
      <c r="AB727" s="189" t="s">
        <v>176</v>
      </c>
    </row>
    <row r="728">
      <c r="Y728" s="208"/>
      <c r="AB728" s="189" t="s">
        <v>176</v>
      </c>
    </row>
    <row r="729">
      <c r="Y729" s="208"/>
      <c r="AB729" s="189" t="s">
        <v>176</v>
      </c>
    </row>
    <row r="730">
      <c r="Y730" s="208"/>
      <c r="AB730" s="189" t="s">
        <v>176</v>
      </c>
    </row>
    <row r="731">
      <c r="Y731" s="208"/>
      <c r="AB731" s="189" t="s">
        <v>176</v>
      </c>
    </row>
    <row r="732">
      <c r="Y732" s="208"/>
      <c r="AB732" s="189" t="s">
        <v>176</v>
      </c>
    </row>
    <row r="733">
      <c r="Y733" s="208"/>
      <c r="AB733" s="189" t="s">
        <v>176</v>
      </c>
    </row>
    <row r="734">
      <c r="Y734" s="208"/>
      <c r="AB734" s="189" t="s">
        <v>176</v>
      </c>
    </row>
    <row r="735">
      <c r="Y735" s="208"/>
      <c r="AB735" s="189" t="s">
        <v>176</v>
      </c>
    </row>
    <row r="736">
      <c r="Y736" s="208"/>
      <c r="AB736" s="189" t="s">
        <v>176</v>
      </c>
    </row>
    <row r="737">
      <c r="Y737" s="208"/>
      <c r="AB737" s="189" t="s">
        <v>176</v>
      </c>
    </row>
    <row r="738">
      <c r="Y738" s="208"/>
      <c r="AB738" s="189" t="s">
        <v>176</v>
      </c>
    </row>
    <row r="739">
      <c r="Y739" s="208"/>
      <c r="AB739" s="189" t="s">
        <v>176</v>
      </c>
    </row>
    <row r="740">
      <c r="Y740" s="208"/>
      <c r="AB740" s="189" t="s">
        <v>176</v>
      </c>
    </row>
    <row r="741">
      <c r="Y741" s="208"/>
      <c r="AB741" s="189" t="s">
        <v>176</v>
      </c>
    </row>
    <row r="742">
      <c r="Y742" s="208"/>
      <c r="AB742" s="189" t="s">
        <v>176</v>
      </c>
    </row>
    <row r="743">
      <c r="Y743" s="208"/>
      <c r="AB743" s="189" t="s">
        <v>176</v>
      </c>
    </row>
    <row r="744">
      <c r="Y744" s="208"/>
      <c r="AB744" s="189" t="s">
        <v>176</v>
      </c>
    </row>
    <row r="745">
      <c r="Y745" s="208"/>
      <c r="AB745" s="189" t="s">
        <v>176</v>
      </c>
    </row>
    <row r="746">
      <c r="Y746" s="208"/>
      <c r="AB746" s="189" t="s">
        <v>176</v>
      </c>
    </row>
    <row r="747">
      <c r="Y747" s="208"/>
      <c r="AB747" s="189" t="s">
        <v>176</v>
      </c>
    </row>
    <row r="748">
      <c r="Y748" s="208"/>
      <c r="AB748" s="189" t="s">
        <v>176</v>
      </c>
    </row>
    <row r="749">
      <c r="Y749" s="208"/>
      <c r="AB749" s="189" t="s">
        <v>176</v>
      </c>
    </row>
    <row r="750">
      <c r="Y750" s="208"/>
      <c r="AB750" s="189" t="s">
        <v>176</v>
      </c>
    </row>
    <row r="751">
      <c r="Y751" s="208"/>
      <c r="AB751" s="189" t="s">
        <v>176</v>
      </c>
    </row>
    <row r="752">
      <c r="Y752" s="208"/>
      <c r="AB752" s="189" t="s">
        <v>176</v>
      </c>
    </row>
    <row r="753">
      <c r="Y753" s="208"/>
      <c r="AB753" s="189" t="s">
        <v>176</v>
      </c>
    </row>
    <row r="754">
      <c r="Y754" s="208"/>
      <c r="AB754" s="189" t="s">
        <v>176</v>
      </c>
    </row>
    <row r="755">
      <c r="Y755" s="208"/>
      <c r="AB755" s="189" t="s">
        <v>176</v>
      </c>
    </row>
    <row r="756">
      <c r="Y756" s="208"/>
      <c r="AB756" s="189" t="s">
        <v>176</v>
      </c>
    </row>
    <row r="757">
      <c r="Y757" s="208"/>
      <c r="AB757" s="189" t="s">
        <v>176</v>
      </c>
    </row>
    <row r="758">
      <c r="Y758" s="208"/>
      <c r="AB758" s="189" t="s">
        <v>176</v>
      </c>
    </row>
    <row r="759">
      <c r="Y759" s="208"/>
      <c r="AB759" s="189" t="s">
        <v>176</v>
      </c>
    </row>
    <row r="760">
      <c r="Y760" s="208"/>
      <c r="AB760" s="189" t="s">
        <v>176</v>
      </c>
    </row>
    <row r="761">
      <c r="Y761" s="208"/>
      <c r="AB761" s="189" t="s">
        <v>176</v>
      </c>
    </row>
    <row r="762">
      <c r="Y762" s="208"/>
      <c r="AB762" s="189" t="s">
        <v>176</v>
      </c>
    </row>
    <row r="763">
      <c r="Y763" s="208"/>
      <c r="AB763" s="189" t="s">
        <v>176</v>
      </c>
    </row>
    <row r="764">
      <c r="Y764" s="208"/>
      <c r="AB764" s="189" t="s">
        <v>176</v>
      </c>
    </row>
    <row r="765">
      <c r="Y765" s="208"/>
      <c r="AB765" s="189" t="s">
        <v>176</v>
      </c>
    </row>
    <row r="766">
      <c r="Y766" s="208"/>
      <c r="AB766" s="189" t="s">
        <v>176</v>
      </c>
    </row>
    <row r="767">
      <c r="Y767" s="208"/>
      <c r="AB767" s="189" t="s">
        <v>176</v>
      </c>
    </row>
    <row r="768">
      <c r="Y768" s="208"/>
      <c r="AB768" s="189" t="s">
        <v>176</v>
      </c>
    </row>
    <row r="769">
      <c r="Y769" s="208"/>
      <c r="AB769" s="189" t="s">
        <v>176</v>
      </c>
    </row>
    <row r="770">
      <c r="Y770" s="208"/>
      <c r="AB770" s="189" t="s">
        <v>176</v>
      </c>
    </row>
    <row r="771">
      <c r="Y771" s="208"/>
      <c r="AB771" s="189" t="s">
        <v>176</v>
      </c>
    </row>
    <row r="772">
      <c r="Y772" s="208"/>
      <c r="AB772" s="189" t="s">
        <v>176</v>
      </c>
    </row>
    <row r="773">
      <c r="Y773" s="208"/>
      <c r="AB773" s="189" t="s">
        <v>176</v>
      </c>
    </row>
    <row r="774">
      <c r="Y774" s="208"/>
      <c r="AB774" s="189" t="s">
        <v>176</v>
      </c>
    </row>
    <row r="775">
      <c r="Y775" s="208"/>
      <c r="AB775" s="189" t="s">
        <v>176</v>
      </c>
    </row>
    <row r="776">
      <c r="Y776" s="208"/>
      <c r="AB776" s="189" t="s">
        <v>176</v>
      </c>
    </row>
    <row r="777">
      <c r="Y777" s="208"/>
      <c r="AB777" s="189" t="s">
        <v>176</v>
      </c>
    </row>
    <row r="778">
      <c r="Y778" s="208"/>
      <c r="AB778" s="189" t="s">
        <v>176</v>
      </c>
    </row>
    <row r="779">
      <c r="Y779" s="208"/>
      <c r="AB779" s="189" t="s">
        <v>176</v>
      </c>
    </row>
    <row r="780">
      <c r="Y780" s="208"/>
      <c r="AB780" s="189" t="s">
        <v>176</v>
      </c>
    </row>
    <row r="781">
      <c r="Y781" s="208"/>
      <c r="AB781" s="189" t="s">
        <v>176</v>
      </c>
    </row>
    <row r="782">
      <c r="Y782" s="208"/>
      <c r="AB782" s="189" t="s">
        <v>176</v>
      </c>
    </row>
    <row r="783">
      <c r="Y783" s="208"/>
      <c r="AB783" s="189" t="s">
        <v>176</v>
      </c>
    </row>
    <row r="784">
      <c r="Y784" s="208"/>
      <c r="AB784" s="189" t="s">
        <v>176</v>
      </c>
    </row>
    <row r="785">
      <c r="Y785" s="208"/>
      <c r="AB785" s="189" t="s">
        <v>176</v>
      </c>
    </row>
    <row r="786">
      <c r="Y786" s="208"/>
      <c r="AB786" s="189" t="s">
        <v>176</v>
      </c>
    </row>
    <row r="787">
      <c r="Y787" s="208"/>
      <c r="AB787" s="189" t="s">
        <v>176</v>
      </c>
    </row>
    <row r="788">
      <c r="Y788" s="208"/>
      <c r="AB788" s="189" t="s">
        <v>176</v>
      </c>
    </row>
    <row r="789">
      <c r="Y789" s="208"/>
      <c r="AB789" s="189" t="s">
        <v>176</v>
      </c>
    </row>
    <row r="790">
      <c r="Y790" s="208"/>
      <c r="AB790" s="189" t="s">
        <v>176</v>
      </c>
    </row>
    <row r="791">
      <c r="Y791" s="208"/>
      <c r="AB791" s="189" t="s">
        <v>176</v>
      </c>
    </row>
    <row r="792">
      <c r="Y792" s="208"/>
      <c r="AB792" s="189" t="s">
        <v>176</v>
      </c>
    </row>
    <row r="793">
      <c r="Y793" s="208"/>
      <c r="AB793" s="189" t="s">
        <v>176</v>
      </c>
    </row>
    <row r="794">
      <c r="Y794" s="208"/>
      <c r="AB794" s="189" t="s">
        <v>176</v>
      </c>
    </row>
    <row r="795">
      <c r="Y795" s="208"/>
      <c r="AB795" s="189" t="s">
        <v>176</v>
      </c>
    </row>
    <row r="796">
      <c r="Y796" s="208"/>
      <c r="AB796" s="189" t="s">
        <v>176</v>
      </c>
    </row>
    <row r="797">
      <c r="Y797" s="208"/>
      <c r="AB797" s="189" t="s">
        <v>176</v>
      </c>
    </row>
    <row r="798">
      <c r="Y798" s="208"/>
      <c r="AB798" s="189" t="s">
        <v>176</v>
      </c>
    </row>
    <row r="799">
      <c r="Y799" s="208"/>
      <c r="AB799" s="189" t="s">
        <v>176</v>
      </c>
    </row>
    <row r="800">
      <c r="Y800" s="208"/>
      <c r="AB800" s="189" t="s">
        <v>176</v>
      </c>
    </row>
    <row r="801">
      <c r="Y801" s="208"/>
      <c r="AB801" s="189" t="s">
        <v>176</v>
      </c>
    </row>
    <row r="802">
      <c r="Y802" s="208"/>
      <c r="AB802" s="189" t="s">
        <v>176</v>
      </c>
    </row>
    <row r="803">
      <c r="Y803" s="208"/>
      <c r="AB803" s="189" t="s">
        <v>176</v>
      </c>
    </row>
    <row r="804">
      <c r="Y804" s="208"/>
      <c r="AB804" s="189" t="s">
        <v>176</v>
      </c>
    </row>
    <row r="805">
      <c r="Y805" s="208"/>
      <c r="AB805" s="189" t="s">
        <v>176</v>
      </c>
    </row>
    <row r="806">
      <c r="Y806" s="208"/>
      <c r="AB806" s="189" t="s">
        <v>176</v>
      </c>
    </row>
    <row r="807">
      <c r="Y807" s="208"/>
      <c r="AB807" s="189" t="s">
        <v>176</v>
      </c>
    </row>
    <row r="808">
      <c r="Y808" s="208"/>
      <c r="AB808" s="189" t="s">
        <v>176</v>
      </c>
    </row>
    <row r="809">
      <c r="Y809" s="208"/>
      <c r="AB809" s="189" t="s">
        <v>176</v>
      </c>
    </row>
    <row r="810">
      <c r="Y810" s="208"/>
      <c r="AB810" s="189" t="s">
        <v>176</v>
      </c>
    </row>
    <row r="811">
      <c r="Y811" s="208"/>
      <c r="AB811" s="189" t="s">
        <v>176</v>
      </c>
    </row>
    <row r="812">
      <c r="Y812" s="208"/>
      <c r="AB812" s="189" t="s">
        <v>176</v>
      </c>
    </row>
    <row r="813">
      <c r="Y813" s="208"/>
      <c r="AB813" s="189" t="s">
        <v>176</v>
      </c>
    </row>
    <row r="814">
      <c r="Y814" s="208"/>
      <c r="AB814" s="189" t="s">
        <v>176</v>
      </c>
    </row>
    <row r="815">
      <c r="Y815" s="208"/>
      <c r="AB815" s="189" t="s">
        <v>176</v>
      </c>
    </row>
    <row r="816">
      <c r="Y816" s="208"/>
      <c r="AB816" s="189" t="s">
        <v>176</v>
      </c>
    </row>
    <row r="817">
      <c r="Y817" s="208"/>
      <c r="AB817" s="189" t="s">
        <v>176</v>
      </c>
    </row>
    <row r="818">
      <c r="Y818" s="208"/>
      <c r="AB818" s="189" t="s">
        <v>176</v>
      </c>
    </row>
    <row r="819">
      <c r="Y819" s="208"/>
      <c r="AB819" s="189" t="s">
        <v>176</v>
      </c>
    </row>
    <row r="820">
      <c r="Y820" s="208"/>
      <c r="AB820" s="189" t="s">
        <v>176</v>
      </c>
    </row>
    <row r="821">
      <c r="Y821" s="208"/>
      <c r="AB821" s="189" t="s">
        <v>176</v>
      </c>
    </row>
    <row r="822">
      <c r="Y822" s="208"/>
      <c r="AB822" s="189" t="s">
        <v>176</v>
      </c>
    </row>
    <row r="823">
      <c r="Y823" s="208"/>
      <c r="AB823" s="189" t="s">
        <v>176</v>
      </c>
    </row>
    <row r="824">
      <c r="Y824" s="208"/>
      <c r="AB824" s="189" t="s">
        <v>176</v>
      </c>
    </row>
    <row r="825">
      <c r="Y825" s="208"/>
      <c r="AB825" s="189" t="s">
        <v>176</v>
      </c>
    </row>
    <row r="826">
      <c r="Y826" s="208"/>
      <c r="AB826" s="189" t="s">
        <v>176</v>
      </c>
    </row>
    <row r="827">
      <c r="Y827" s="208"/>
      <c r="AB827" s="189" t="s">
        <v>176</v>
      </c>
    </row>
    <row r="828">
      <c r="Y828" s="208"/>
      <c r="AB828" s="189" t="s">
        <v>176</v>
      </c>
    </row>
    <row r="829">
      <c r="Y829" s="208"/>
      <c r="AB829" s="189" t="s">
        <v>176</v>
      </c>
    </row>
    <row r="830">
      <c r="Y830" s="208"/>
      <c r="AB830" s="189" t="s">
        <v>176</v>
      </c>
    </row>
    <row r="831">
      <c r="Y831" s="208"/>
      <c r="AB831" s="189" t="s">
        <v>176</v>
      </c>
    </row>
    <row r="832">
      <c r="Y832" s="208"/>
      <c r="AB832" s="189" t="s">
        <v>176</v>
      </c>
    </row>
    <row r="833">
      <c r="Y833" s="208"/>
      <c r="AB833" s="189" t="s">
        <v>176</v>
      </c>
    </row>
    <row r="834">
      <c r="Y834" s="208"/>
      <c r="AB834" s="189" t="s">
        <v>176</v>
      </c>
    </row>
    <row r="835">
      <c r="Y835" s="208"/>
      <c r="AB835" s="189" t="s">
        <v>176</v>
      </c>
    </row>
    <row r="836">
      <c r="Y836" s="208"/>
      <c r="AB836" s="189" t="s">
        <v>176</v>
      </c>
    </row>
    <row r="837">
      <c r="Y837" s="208"/>
      <c r="AB837" s="189" t="s">
        <v>176</v>
      </c>
    </row>
    <row r="838">
      <c r="Y838" s="208"/>
      <c r="AB838" s="189" t="s">
        <v>176</v>
      </c>
    </row>
    <row r="839">
      <c r="Y839" s="208"/>
      <c r="AB839" s="189" t="s">
        <v>176</v>
      </c>
    </row>
    <row r="840">
      <c r="Y840" s="208"/>
      <c r="AB840" s="189" t="s">
        <v>176</v>
      </c>
    </row>
    <row r="841">
      <c r="Y841" s="208"/>
      <c r="AB841" s="189" t="s">
        <v>176</v>
      </c>
    </row>
    <row r="842">
      <c r="Y842" s="208"/>
      <c r="AB842" s="189" t="s">
        <v>176</v>
      </c>
    </row>
    <row r="843">
      <c r="Y843" s="208"/>
      <c r="AB843" s="189" t="s">
        <v>176</v>
      </c>
    </row>
    <row r="844">
      <c r="Y844" s="208"/>
      <c r="AB844" s="189" t="s">
        <v>176</v>
      </c>
    </row>
    <row r="845">
      <c r="Y845" s="208"/>
      <c r="AB845" s="189" t="s">
        <v>176</v>
      </c>
    </row>
    <row r="846">
      <c r="Y846" s="208"/>
      <c r="AB846" s="189" t="s">
        <v>176</v>
      </c>
    </row>
    <row r="847">
      <c r="Y847" s="208"/>
      <c r="AB847" s="189" t="s">
        <v>176</v>
      </c>
    </row>
    <row r="848">
      <c r="Y848" s="208"/>
      <c r="AB848" s="189" t="s">
        <v>176</v>
      </c>
    </row>
    <row r="849">
      <c r="Y849" s="208"/>
      <c r="AB849" s="189" t="s">
        <v>176</v>
      </c>
    </row>
    <row r="850">
      <c r="Y850" s="208"/>
      <c r="AB850" s="189" t="s">
        <v>176</v>
      </c>
    </row>
    <row r="851">
      <c r="Y851" s="208"/>
      <c r="AB851" s="189" t="s">
        <v>176</v>
      </c>
    </row>
    <row r="852">
      <c r="Y852" s="208"/>
      <c r="AB852" s="189" t="s">
        <v>176</v>
      </c>
    </row>
    <row r="853">
      <c r="Y853" s="208"/>
      <c r="AB853" s="189" t="s">
        <v>176</v>
      </c>
    </row>
    <row r="854">
      <c r="Y854" s="208"/>
      <c r="AB854" s="189" t="s">
        <v>176</v>
      </c>
    </row>
    <row r="855">
      <c r="Y855" s="208"/>
      <c r="AB855" s="189" t="s">
        <v>176</v>
      </c>
    </row>
    <row r="856">
      <c r="Y856" s="208"/>
      <c r="AB856" s="189" t="s">
        <v>176</v>
      </c>
    </row>
    <row r="857">
      <c r="Y857" s="208"/>
      <c r="AB857" s="189" t="s">
        <v>176</v>
      </c>
    </row>
    <row r="858">
      <c r="Y858" s="208"/>
      <c r="AB858" s="189" t="s">
        <v>176</v>
      </c>
    </row>
    <row r="859">
      <c r="Y859" s="208"/>
      <c r="AB859" s="189" t="s">
        <v>176</v>
      </c>
    </row>
    <row r="860">
      <c r="Y860" s="208"/>
      <c r="AB860" s="189" t="s">
        <v>176</v>
      </c>
    </row>
    <row r="861">
      <c r="Y861" s="208"/>
      <c r="AB861" s="189" t="s">
        <v>176</v>
      </c>
    </row>
    <row r="862">
      <c r="Y862" s="208"/>
      <c r="AB862" s="189" t="s">
        <v>176</v>
      </c>
    </row>
    <row r="863">
      <c r="Y863" s="208"/>
      <c r="AB863" s="189" t="s">
        <v>176</v>
      </c>
    </row>
    <row r="864">
      <c r="Y864" s="208"/>
      <c r="AB864" s="189" t="s">
        <v>176</v>
      </c>
    </row>
    <row r="865">
      <c r="Y865" s="208"/>
      <c r="AB865" s="189" t="s">
        <v>176</v>
      </c>
    </row>
    <row r="866">
      <c r="Y866" s="208"/>
      <c r="AB866" s="189" t="s">
        <v>176</v>
      </c>
    </row>
    <row r="867">
      <c r="Y867" s="208"/>
      <c r="AB867" s="189" t="s">
        <v>176</v>
      </c>
    </row>
    <row r="868">
      <c r="Y868" s="208"/>
      <c r="AB868" s="189" t="s">
        <v>176</v>
      </c>
    </row>
    <row r="869">
      <c r="Y869" s="208"/>
      <c r="AB869" s="189" t="s">
        <v>176</v>
      </c>
    </row>
    <row r="870">
      <c r="Y870" s="208"/>
      <c r="AB870" s="189" t="s">
        <v>176</v>
      </c>
    </row>
    <row r="871">
      <c r="Y871" s="208"/>
      <c r="AB871" s="189" t="s">
        <v>176</v>
      </c>
    </row>
    <row r="872">
      <c r="Y872" s="208"/>
      <c r="AB872" s="189" t="s">
        <v>176</v>
      </c>
    </row>
    <row r="873">
      <c r="Y873" s="208"/>
      <c r="AB873" s="189" t="s">
        <v>176</v>
      </c>
    </row>
    <row r="874">
      <c r="Y874" s="208"/>
      <c r="AB874" s="189" t="s">
        <v>176</v>
      </c>
    </row>
    <row r="875">
      <c r="Y875" s="208"/>
      <c r="AB875" s="189" t="s">
        <v>176</v>
      </c>
    </row>
    <row r="876">
      <c r="Y876" s="208"/>
      <c r="AB876" s="189" t="s">
        <v>176</v>
      </c>
    </row>
    <row r="877">
      <c r="Y877" s="208"/>
      <c r="AB877" s="189" t="s">
        <v>176</v>
      </c>
    </row>
    <row r="878">
      <c r="Y878" s="208"/>
      <c r="AB878" s="189" t="s">
        <v>176</v>
      </c>
    </row>
    <row r="879">
      <c r="Y879" s="208"/>
      <c r="AB879" s="189" t="s">
        <v>176</v>
      </c>
    </row>
    <row r="880">
      <c r="Y880" s="208"/>
      <c r="AB880" s="189" t="s">
        <v>176</v>
      </c>
    </row>
    <row r="881">
      <c r="Y881" s="208"/>
      <c r="AB881" s="189" t="s">
        <v>176</v>
      </c>
    </row>
    <row r="882">
      <c r="Y882" s="208"/>
      <c r="AB882" s="189" t="s">
        <v>176</v>
      </c>
    </row>
    <row r="883">
      <c r="Y883" s="208"/>
      <c r="AB883" s="189" t="s">
        <v>176</v>
      </c>
    </row>
    <row r="884">
      <c r="Y884" s="208"/>
      <c r="AB884" s="189" t="s">
        <v>176</v>
      </c>
    </row>
    <row r="885">
      <c r="Y885" s="208"/>
      <c r="AB885" s="189" t="s">
        <v>176</v>
      </c>
    </row>
    <row r="886">
      <c r="Y886" s="208"/>
      <c r="AB886" s="189" t="s">
        <v>176</v>
      </c>
    </row>
    <row r="887">
      <c r="Y887" s="208"/>
      <c r="AB887" s="189" t="s">
        <v>176</v>
      </c>
    </row>
    <row r="888">
      <c r="Y888" s="208"/>
      <c r="AB888" s="189" t="s">
        <v>176</v>
      </c>
    </row>
    <row r="889">
      <c r="Y889" s="208"/>
      <c r="AB889" s="189" t="s">
        <v>176</v>
      </c>
    </row>
    <row r="890">
      <c r="Y890" s="208"/>
      <c r="AB890" s="189" t="s">
        <v>176</v>
      </c>
    </row>
    <row r="891">
      <c r="Y891" s="208"/>
      <c r="AB891" s="189" t="s">
        <v>176</v>
      </c>
    </row>
    <row r="892">
      <c r="Y892" s="208"/>
      <c r="AB892" s="189" t="s">
        <v>176</v>
      </c>
    </row>
    <row r="893">
      <c r="Y893" s="208"/>
      <c r="AB893" s="189" t="s">
        <v>176</v>
      </c>
    </row>
    <row r="894">
      <c r="Y894" s="208"/>
      <c r="AB894" s="189" t="s">
        <v>176</v>
      </c>
    </row>
    <row r="895">
      <c r="Y895" s="208"/>
      <c r="AB895" s="189" t="s">
        <v>176</v>
      </c>
    </row>
    <row r="896">
      <c r="Y896" s="208"/>
      <c r="AB896" s="189" t="s">
        <v>176</v>
      </c>
    </row>
    <row r="897">
      <c r="Y897" s="208"/>
      <c r="AB897" s="189" t="s">
        <v>176</v>
      </c>
    </row>
    <row r="898">
      <c r="Y898" s="208"/>
      <c r="AB898" s="189" t="s">
        <v>176</v>
      </c>
    </row>
    <row r="899">
      <c r="Y899" s="208"/>
      <c r="AB899" s="189" t="s">
        <v>176</v>
      </c>
    </row>
    <row r="900">
      <c r="Y900" s="208"/>
      <c r="AB900" s="189" t="s">
        <v>176</v>
      </c>
    </row>
    <row r="901">
      <c r="Y901" s="208"/>
      <c r="AB901" s="189" t="s">
        <v>176</v>
      </c>
    </row>
    <row r="902">
      <c r="Y902" s="208"/>
      <c r="AB902" s="189" t="s">
        <v>176</v>
      </c>
    </row>
    <row r="903">
      <c r="Y903" s="208"/>
      <c r="AB903" s="189" t="s">
        <v>176</v>
      </c>
    </row>
    <row r="904">
      <c r="Y904" s="208"/>
      <c r="AB904" s="189" t="s">
        <v>176</v>
      </c>
    </row>
    <row r="905">
      <c r="Y905" s="208"/>
      <c r="AB905" s="189" t="s">
        <v>176</v>
      </c>
    </row>
    <row r="906">
      <c r="Y906" s="208"/>
      <c r="AB906" s="189" t="s">
        <v>176</v>
      </c>
    </row>
    <row r="907">
      <c r="Y907" s="208"/>
      <c r="AB907" s="189" t="s">
        <v>176</v>
      </c>
    </row>
    <row r="908">
      <c r="Y908" s="208"/>
      <c r="AB908" s="189" t="s">
        <v>176</v>
      </c>
    </row>
    <row r="909">
      <c r="Y909" s="208"/>
      <c r="AB909" s="189" t="s">
        <v>176</v>
      </c>
    </row>
    <row r="910">
      <c r="Y910" s="208"/>
      <c r="AB910" s="189" t="s">
        <v>176</v>
      </c>
    </row>
    <row r="911">
      <c r="Y911" s="208"/>
      <c r="AB911" s="189" t="s">
        <v>176</v>
      </c>
    </row>
    <row r="912">
      <c r="Y912" s="208"/>
      <c r="AB912" s="189" t="s">
        <v>176</v>
      </c>
    </row>
    <row r="913">
      <c r="Y913" s="208"/>
      <c r="AB913" s="189" t="s">
        <v>176</v>
      </c>
    </row>
    <row r="914">
      <c r="Y914" s="208"/>
      <c r="AB914" s="189" t="s">
        <v>176</v>
      </c>
    </row>
    <row r="915">
      <c r="Y915" s="208"/>
      <c r="AB915" s="189" t="s">
        <v>176</v>
      </c>
    </row>
    <row r="916">
      <c r="Y916" s="208"/>
      <c r="AB916" s="189" t="s">
        <v>176</v>
      </c>
    </row>
    <row r="917">
      <c r="Y917" s="208"/>
      <c r="AB917" s="189" t="s">
        <v>176</v>
      </c>
    </row>
    <row r="918">
      <c r="Y918" s="208"/>
      <c r="AB918" s="189" t="s">
        <v>176</v>
      </c>
    </row>
    <row r="919">
      <c r="Y919" s="208"/>
      <c r="AB919" s="189" t="s">
        <v>176</v>
      </c>
    </row>
    <row r="920">
      <c r="Y920" s="208"/>
      <c r="AB920" s="189" t="s">
        <v>176</v>
      </c>
    </row>
    <row r="921">
      <c r="Y921" s="208"/>
      <c r="AB921" s="189" t="s">
        <v>176</v>
      </c>
    </row>
    <row r="922">
      <c r="Y922" s="208"/>
      <c r="AB922" s="189" t="s">
        <v>176</v>
      </c>
    </row>
    <row r="923">
      <c r="Y923" s="208"/>
      <c r="AB923" s="189" t="s">
        <v>176</v>
      </c>
    </row>
    <row r="924">
      <c r="Y924" s="208"/>
      <c r="AB924" s="189" t="s">
        <v>176</v>
      </c>
    </row>
    <row r="925">
      <c r="Y925" s="208"/>
      <c r="AB925" s="189" t="s">
        <v>176</v>
      </c>
    </row>
    <row r="926">
      <c r="Y926" s="208"/>
      <c r="AB926" s="189" t="s">
        <v>176</v>
      </c>
    </row>
    <row r="927">
      <c r="Y927" s="208"/>
      <c r="AB927" s="189" t="s">
        <v>176</v>
      </c>
    </row>
    <row r="928">
      <c r="Y928" s="208"/>
      <c r="AB928" s="189" t="s">
        <v>176</v>
      </c>
    </row>
    <row r="929">
      <c r="Y929" s="208"/>
      <c r="AB929" s="189" t="s">
        <v>176</v>
      </c>
    </row>
    <row r="930">
      <c r="Y930" s="208"/>
      <c r="AB930" s="189" t="s">
        <v>176</v>
      </c>
    </row>
    <row r="931">
      <c r="Y931" s="208"/>
      <c r="AB931" s="189" t="s">
        <v>176</v>
      </c>
    </row>
    <row r="932">
      <c r="Y932" s="208"/>
      <c r="AB932" s="189" t="s">
        <v>176</v>
      </c>
    </row>
    <row r="933">
      <c r="Y933" s="208"/>
      <c r="AB933" s="189" t="s">
        <v>176</v>
      </c>
    </row>
    <row r="934">
      <c r="Y934" s="208"/>
      <c r="AB934" s="189" t="s">
        <v>176</v>
      </c>
    </row>
    <row r="935">
      <c r="Y935" s="208"/>
      <c r="AB935" s="189" t="s">
        <v>176</v>
      </c>
    </row>
    <row r="936">
      <c r="Y936" s="208"/>
      <c r="AB936" s="189" t="s">
        <v>176</v>
      </c>
    </row>
    <row r="937">
      <c r="Y937" s="208"/>
      <c r="AB937" s="189" t="s">
        <v>176</v>
      </c>
    </row>
    <row r="938">
      <c r="Y938" s="208"/>
      <c r="AB938" s="189" t="s">
        <v>176</v>
      </c>
    </row>
    <row r="939">
      <c r="Y939" s="208"/>
      <c r="AB939" s="189" t="s">
        <v>176</v>
      </c>
    </row>
    <row r="940">
      <c r="Y940" s="208"/>
      <c r="AB940" s="189" t="s">
        <v>176</v>
      </c>
    </row>
    <row r="941">
      <c r="Y941" s="208"/>
      <c r="AB941" s="189" t="s">
        <v>176</v>
      </c>
    </row>
    <row r="942">
      <c r="Y942" s="208"/>
      <c r="AB942" s="189" t="s">
        <v>176</v>
      </c>
    </row>
    <row r="943">
      <c r="Y943" s="208"/>
      <c r="AB943" s="189" t="s">
        <v>176</v>
      </c>
    </row>
    <row r="944">
      <c r="Y944" s="208"/>
      <c r="AB944" s="189" t="s">
        <v>176</v>
      </c>
    </row>
    <row r="945">
      <c r="Y945" s="208"/>
      <c r="AB945" s="189" t="s">
        <v>176</v>
      </c>
    </row>
    <row r="946">
      <c r="Y946" s="208"/>
      <c r="AB946" s="189" t="s">
        <v>176</v>
      </c>
    </row>
    <row r="947">
      <c r="Y947" s="208"/>
      <c r="AB947" s="189" t="s">
        <v>176</v>
      </c>
    </row>
    <row r="948">
      <c r="Y948" s="208"/>
      <c r="AB948" s="189" t="s">
        <v>176</v>
      </c>
    </row>
    <row r="949">
      <c r="Y949" s="208"/>
      <c r="AB949" s="189" t="s">
        <v>176</v>
      </c>
    </row>
    <row r="950">
      <c r="Y950" s="208"/>
      <c r="AB950" s="189" t="s">
        <v>176</v>
      </c>
    </row>
    <row r="951">
      <c r="Y951" s="208"/>
      <c r="AB951" s="189" t="s">
        <v>176</v>
      </c>
    </row>
    <row r="952">
      <c r="Y952" s="208"/>
      <c r="AB952" s="189" t="s">
        <v>176</v>
      </c>
    </row>
    <row r="953">
      <c r="Y953" s="208"/>
      <c r="AB953" s="189" t="s">
        <v>176</v>
      </c>
    </row>
    <row r="954">
      <c r="Y954" s="208"/>
      <c r="AB954" s="189" t="s">
        <v>176</v>
      </c>
    </row>
    <row r="955">
      <c r="Y955" s="208"/>
      <c r="AB955" s="189" t="s">
        <v>176</v>
      </c>
    </row>
    <row r="956">
      <c r="Y956" s="208"/>
      <c r="AB956" s="189" t="s">
        <v>176</v>
      </c>
    </row>
    <row r="957">
      <c r="Y957" s="208"/>
      <c r="AB957" s="189" t="s">
        <v>176</v>
      </c>
    </row>
    <row r="958">
      <c r="Y958" s="208"/>
      <c r="AB958" s="189" t="s">
        <v>176</v>
      </c>
    </row>
    <row r="959">
      <c r="Y959" s="208"/>
      <c r="AB959" s="189" t="s">
        <v>176</v>
      </c>
    </row>
    <row r="960">
      <c r="Y960" s="208"/>
      <c r="AB960" s="189" t="s">
        <v>176</v>
      </c>
    </row>
    <row r="961">
      <c r="Y961" s="208"/>
      <c r="AB961" s="189" t="s">
        <v>176</v>
      </c>
    </row>
    <row r="962">
      <c r="Y962" s="208"/>
      <c r="AB962" s="189" t="s">
        <v>176</v>
      </c>
    </row>
    <row r="963">
      <c r="Y963" s="208"/>
      <c r="AB963" s="189" t="s">
        <v>176</v>
      </c>
    </row>
    <row r="964">
      <c r="Y964" s="208"/>
      <c r="AB964" s="189" t="s">
        <v>176</v>
      </c>
    </row>
    <row r="965">
      <c r="Y965" s="208"/>
      <c r="AB965" s="189" t="s">
        <v>176</v>
      </c>
    </row>
    <row r="966">
      <c r="Y966" s="208"/>
      <c r="AB966" s="189" t="s">
        <v>176</v>
      </c>
    </row>
    <row r="967">
      <c r="Y967" s="208"/>
      <c r="AB967" s="189" t="s">
        <v>176</v>
      </c>
    </row>
    <row r="968">
      <c r="Y968" s="208"/>
      <c r="AB968" s="189" t="s">
        <v>176</v>
      </c>
    </row>
    <row r="969">
      <c r="Y969" s="208"/>
      <c r="AB969" s="189" t="s">
        <v>176</v>
      </c>
    </row>
    <row r="970">
      <c r="Y970" s="208"/>
      <c r="AB970" s="189" t="s">
        <v>176</v>
      </c>
    </row>
    <row r="971">
      <c r="Y971" s="208"/>
      <c r="AB971" s="189" t="s">
        <v>176</v>
      </c>
    </row>
    <row r="972">
      <c r="Y972" s="208"/>
      <c r="AB972" s="189" t="s">
        <v>176</v>
      </c>
    </row>
    <row r="973">
      <c r="Y973" s="208"/>
      <c r="AB973" s="189" t="s">
        <v>176</v>
      </c>
    </row>
    <row r="974">
      <c r="Y974" s="208"/>
      <c r="AB974" s="189" t="s">
        <v>176</v>
      </c>
    </row>
    <row r="975">
      <c r="Y975" s="208"/>
      <c r="AB975" s="189" t="s">
        <v>176</v>
      </c>
    </row>
    <row r="976">
      <c r="Y976" s="208"/>
      <c r="AB976" s="189" t="s">
        <v>176</v>
      </c>
    </row>
    <row r="977">
      <c r="Y977" s="208"/>
      <c r="AB977" s="189" t="s">
        <v>176</v>
      </c>
    </row>
    <row r="978">
      <c r="Y978" s="208"/>
      <c r="AB978" s="189" t="s">
        <v>176</v>
      </c>
    </row>
    <row r="979">
      <c r="Y979" s="208"/>
      <c r="AB979" s="189" t="s">
        <v>176</v>
      </c>
    </row>
    <row r="980">
      <c r="Y980" s="208"/>
      <c r="AB980" s="189" t="s">
        <v>176</v>
      </c>
    </row>
    <row r="981">
      <c r="Y981" s="208"/>
      <c r="AB981" s="189" t="s">
        <v>176</v>
      </c>
    </row>
    <row r="982">
      <c r="Y982" s="208"/>
      <c r="AB982" s="189" t="s">
        <v>176</v>
      </c>
    </row>
    <row r="983">
      <c r="Y983" s="208"/>
      <c r="AB983" s="189" t="s">
        <v>176</v>
      </c>
    </row>
    <row r="984">
      <c r="Y984" s="208"/>
      <c r="AB984" s="189" t="s">
        <v>176</v>
      </c>
    </row>
    <row r="985">
      <c r="Y985" s="208"/>
      <c r="AB985" s="189" t="s">
        <v>176</v>
      </c>
    </row>
    <row r="986">
      <c r="Y986" s="208"/>
      <c r="AB986" s="189" t="s">
        <v>176</v>
      </c>
    </row>
    <row r="987">
      <c r="Y987" s="208"/>
      <c r="AB987" s="189" t="s">
        <v>176</v>
      </c>
    </row>
    <row r="988">
      <c r="Y988" s="208"/>
      <c r="AB988" s="189" t="s">
        <v>176</v>
      </c>
    </row>
    <row r="989">
      <c r="Y989" s="208"/>
      <c r="AB989" s="189" t="s">
        <v>176</v>
      </c>
    </row>
    <row r="990">
      <c r="Y990" s="208"/>
      <c r="AB990" s="189" t="s">
        <v>176</v>
      </c>
    </row>
    <row r="991">
      <c r="Y991" s="208"/>
      <c r="AB991" s="189" t="s">
        <v>176</v>
      </c>
    </row>
    <row r="992">
      <c r="Y992" s="208"/>
      <c r="AB992" s="189" t="s">
        <v>176</v>
      </c>
    </row>
    <row r="993">
      <c r="Y993" s="208"/>
      <c r="AB993" s="189" t="s">
        <v>176</v>
      </c>
    </row>
    <row r="994">
      <c r="Y994" s="208"/>
      <c r="AB994" s="189" t="s">
        <v>176</v>
      </c>
    </row>
    <row r="995">
      <c r="Y995" s="208"/>
      <c r="AB995" s="189" t="s">
        <v>176</v>
      </c>
    </row>
    <row r="996">
      <c r="Y996" s="208"/>
      <c r="AB996" s="189" t="s">
        <v>176</v>
      </c>
    </row>
    <row r="997">
      <c r="Y997" s="208"/>
      <c r="AB997" s="189" t="s">
        <v>176</v>
      </c>
    </row>
    <row r="998">
      <c r="Y998" s="208"/>
      <c r="AB998" s="189" t="s">
        <v>176</v>
      </c>
    </row>
    <row r="999">
      <c r="Y999" s="208"/>
      <c r="AB999" s="189" t="s">
        <v>176</v>
      </c>
    </row>
    <row r="1000">
      <c r="Y1000" s="208"/>
      <c r="AB1000" s="189" t="s">
        <v>176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0"/>
  <cols>
    <col customWidth="1" min="2" max="2" width="13.38"/>
    <col customWidth="1" min="3" max="3" width="3.88"/>
    <col customWidth="1" min="8" max="8" width="17.63"/>
  </cols>
  <sheetData>
    <row r="1" ht="18.0" customHeight="1">
      <c r="A1" s="212" t="s">
        <v>52</v>
      </c>
      <c r="F1" s="213" t="s">
        <v>635</v>
      </c>
      <c r="H1" s="185" t="s">
        <v>636</v>
      </c>
    </row>
    <row r="2" ht="18.0" customHeight="1">
      <c r="A2" s="212" t="s">
        <v>637</v>
      </c>
      <c r="B2" s="214" t="str">
        <f t="array" ref="B2:B1000">"'"&amp;A2:A1000&amp;"'"</f>
        <v>'Astra'</v>
      </c>
      <c r="C2" s="215" t="str">
        <f t="shared" ref="C2:C18" si="1">image("https://static.valorantstats.xyz/agent-headshots/"&amp;LOWER(A2)&amp;"-headshot.png")</f>
        <v/>
      </c>
      <c r="D2" s="216" t="s">
        <v>638</v>
      </c>
      <c r="F2" s="216" t="s">
        <v>227</v>
      </c>
      <c r="H2" s="189" t="str">
        <f t="array" ref="H2">XLOOKUP(I2,MatchesInput!$E$2:$E1000,MatchesInput!$F$2:$F1000)</f>
        <v>MOUZ</v>
      </c>
      <c r="I2" s="182">
        <v>6415.0</v>
      </c>
    </row>
    <row r="3" ht="18.0" customHeight="1">
      <c r="A3" s="212" t="s">
        <v>639</v>
      </c>
      <c r="B3" s="214" t="s">
        <v>640</v>
      </c>
      <c r="C3" s="215" t="str">
        <f t="shared" si="1"/>
        <v/>
      </c>
      <c r="D3" s="216" t="s">
        <v>638</v>
      </c>
      <c r="F3" s="216" t="s">
        <v>34</v>
      </c>
      <c r="H3" s="189" t="str">
        <f t="array" ref="H3">XLOOKUP(I3,MatchesInput!$E$2:$E1000,MatchesInput!$F$2:$F1000)</f>
        <v>Eintracht Frankfurt</v>
      </c>
      <c r="I3" s="182">
        <v>14291.0</v>
      </c>
    </row>
    <row r="4" ht="18.0" customHeight="1">
      <c r="A4" s="212" t="s">
        <v>641</v>
      </c>
      <c r="B4" s="214" t="s">
        <v>642</v>
      </c>
      <c r="C4" s="215" t="str">
        <f t="shared" si="1"/>
        <v/>
      </c>
      <c r="D4" s="216" t="s">
        <v>638</v>
      </c>
      <c r="F4" s="216" t="s">
        <v>38</v>
      </c>
      <c r="H4" s="189" t="str">
        <f t="array" ref="H4">XLOOKUP(I4,MatchesInput!$E$2:$E1000,MatchesInput!$F$2:$F1000)</f>
        <v>Joblife</v>
      </c>
      <c r="I4" s="182">
        <v>9369.0</v>
      </c>
    </row>
    <row r="5" ht="18.0" customHeight="1">
      <c r="A5" s="212" t="s">
        <v>643</v>
      </c>
      <c r="B5" s="214" t="s">
        <v>644</v>
      </c>
      <c r="C5" s="215" t="str">
        <f t="shared" si="1"/>
        <v/>
      </c>
      <c r="D5" s="216" t="s">
        <v>638</v>
      </c>
      <c r="F5" s="216" t="s">
        <v>42</v>
      </c>
      <c r="H5" s="189" t="str">
        <f t="array" ref="H5">XLOOKUP(I5,MatchesInput!$E$2:$E1000,MatchesInput!$F$2:$F1000)</f>
        <v>Mandatory</v>
      </c>
      <c r="I5" s="182">
        <v>5652.0</v>
      </c>
    </row>
    <row r="6" ht="18.0" customHeight="1">
      <c r="A6" s="212" t="s">
        <v>645</v>
      </c>
      <c r="B6" s="214" t="s">
        <v>646</v>
      </c>
      <c r="C6" s="215" t="str">
        <f t="shared" si="1"/>
        <v/>
      </c>
      <c r="D6" s="216" t="s">
        <v>638</v>
      </c>
      <c r="F6" s="216" t="s">
        <v>36</v>
      </c>
      <c r="H6" s="189" t="str">
        <f t="array" ref="H6">XLOOKUP(I6,MatchesInput!$E$2:$E1000,MatchesInput!$F$2:$F1000)</f>
        <v>Enterprise Esports</v>
      </c>
      <c r="I6" s="182">
        <v>539.0</v>
      </c>
    </row>
    <row r="7" ht="18.0" customHeight="1">
      <c r="A7" s="212" t="s">
        <v>647</v>
      </c>
      <c r="B7" s="214" t="s">
        <v>648</v>
      </c>
      <c r="C7" s="215" t="str">
        <f t="shared" si="1"/>
        <v/>
      </c>
      <c r="D7" s="216" t="s">
        <v>638</v>
      </c>
      <c r="F7" s="216" t="s">
        <v>32</v>
      </c>
      <c r="H7" s="189" t="str">
        <f t="array" ref="H7">XLOOKUP(I7,MatchesInput!$E$2:$E1000,MatchesInput!$F$2:$F1000)</f>
        <v>Team Liquid Academy</v>
      </c>
      <c r="I7" s="182">
        <v>17952.0</v>
      </c>
    </row>
    <row r="8" ht="18.0" customHeight="1">
      <c r="A8" s="212" t="s">
        <v>649</v>
      </c>
      <c r="B8" s="214" t="s">
        <v>650</v>
      </c>
      <c r="C8" s="215" t="str">
        <f t="shared" si="1"/>
        <v/>
      </c>
      <c r="D8" s="216" t="s">
        <v>651</v>
      </c>
      <c r="F8" s="216" t="s">
        <v>40</v>
      </c>
      <c r="H8" s="189" t="str">
        <f t="array" ref="H8">XLOOKUP(I8,MatchesInput!$E$2:$E1000,MatchesInput!$F$2:$F1000)</f>
        <v>děti ulice</v>
      </c>
      <c r="I8" s="182">
        <v>17869.0</v>
      </c>
    </row>
    <row r="9" ht="18.0" customHeight="1">
      <c r="A9" s="212" t="s">
        <v>652</v>
      </c>
      <c r="B9" s="214" t="s">
        <v>653</v>
      </c>
      <c r="C9" s="215" t="str">
        <f t="shared" si="1"/>
        <v/>
      </c>
      <c r="D9" s="216" t="s">
        <v>651</v>
      </c>
      <c r="H9" s="189" t="str">
        <f t="array" ref="H9">XLOOKUP(I9,MatchesInput!$E$2:$E1000,MatchesInput!$F$2:$F1000)</f>
        <v>Boars Gaming</v>
      </c>
      <c r="I9" s="182">
        <v>18392.0</v>
      </c>
    </row>
    <row r="10" ht="18.0" customHeight="1">
      <c r="A10" s="212" t="s">
        <v>654</v>
      </c>
      <c r="B10" s="214" t="s">
        <v>655</v>
      </c>
      <c r="C10" s="215" t="str">
        <f t="shared" si="1"/>
        <v/>
      </c>
      <c r="D10" s="216" t="s">
        <v>651</v>
      </c>
      <c r="H10" s="189" t="str">
        <f t="array" ref="H10">XLOOKUP(I10,MatchesInput!$E$2:$E1000,MatchesInput!$F$2:$F1000)</f>
        <v>DNSTY</v>
      </c>
      <c r="I10" s="182">
        <v>17813.0</v>
      </c>
    </row>
    <row r="11" ht="18.0" customHeight="1">
      <c r="A11" s="212" t="s">
        <v>656</v>
      </c>
      <c r="B11" s="214" t="s">
        <v>657</v>
      </c>
      <c r="C11" s="215" t="str">
        <f t="shared" si="1"/>
        <v/>
      </c>
      <c r="D11" s="216" t="s">
        <v>651</v>
      </c>
      <c r="H11" s="189" t="str">
        <f t="array" ref="H11">XLOOKUP(I11,MatchesInput!$E$2:$E1000,MatchesInput!$F$2:$F1000)</f>
        <v>KOI Fénix</v>
      </c>
      <c r="I11" s="182">
        <v>17807.0</v>
      </c>
    </row>
    <row r="12" ht="18.0" customHeight="1">
      <c r="A12" s="212" t="s">
        <v>658</v>
      </c>
      <c r="B12" s="214" t="s">
        <v>659</v>
      </c>
      <c r="C12" s="215" t="str">
        <f t="shared" si="1"/>
        <v/>
      </c>
      <c r="D12" s="216" t="s">
        <v>651</v>
      </c>
      <c r="H12" s="189" t="str">
        <f t="array" ref="H12">XLOOKUP(I12,MatchesInput!$E$2:$E1000,MatchesInput!$F$2:$F1000)</f>
        <v>BBL PCIFIC</v>
      </c>
      <c r="I12" s="182">
        <v>5293.0</v>
      </c>
    </row>
    <row r="13" ht="18.0" customHeight="1">
      <c r="A13" s="212" t="s">
        <v>660</v>
      </c>
      <c r="B13" s="214" t="s">
        <v>661</v>
      </c>
      <c r="C13" s="215" t="str">
        <f t="shared" si="1"/>
        <v/>
      </c>
      <c r="D13" s="216" t="s">
        <v>651</v>
      </c>
      <c r="H13" s="189" t="str">
        <f t="array" ref="H13">XLOOKUP(I13,MatchesInput!$E$2:$E1000,MatchesInput!$F$2:$F1000)</f>
        <v>ULF Esports</v>
      </c>
      <c r="I13" s="182">
        <v>18501.0</v>
      </c>
    </row>
    <row r="14" ht="18.0" customHeight="1">
      <c r="A14" s="212" t="s">
        <v>662</v>
      </c>
      <c r="B14" s="214" t="s">
        <v>663</v>
      </c>
      <c r="C14" s="215" t="str">
        <f t="shared" si="1"/>
        <v/>
      </c>
      <c r="D14" s="216" t="s">
        <v>651</v>
      </c>
      <c r="H14" s="189" t="str">
        <f t="array" ref="H14">XLOOKUP(I14,MatchesInput!$E$2:$E1000,MatchesInput!$F$2:$F1000)</f>
        <v>Twisted Minds Esports</v>
      </c>
      <c r="I14" s="182">
        <v>4561.0</v>
      </c>
    </row>
    <row r="15" ht="18.0" customHeight="1">
      <c r="A15" s="212" t="s">
        <v>664</v>
      </c>
      <c r="B15" s="214" t="s">
        <v>665</v>
      </c>
      <c r="C15" s="215" t="str">
        <f t="shared" si="1"/>
        <v/>
      </c>
      <c r="D15" s="216" t="s">
        <v>651</v>
      </c>
      <c r="H15" s="189" t="str">
        <f t="array" ref="H15">XLOOKUP(I15,MatchesInput!$E$2:$E1000,MatchesInput!$F$2:$F1000)</f>
        <v>The Ultimates</v>
      </c>
      <c r="I15" s="182">
        <v>299.0</v>
      </c>
    </row>
    <row r="16" ht="18.0" customHeight="1">
      <c r="A16" s="212" t="s">
        <v>666</v>
      </c>
      <c r="B16" s="214" t="s">
        <v>667</v>
      </c>
      <c r="C16" s="215" t="str">
        <f t="shared" si="1"/>
        <v/>
      </c>
      <c r="D16" s="216" t="s">
        <v>668</v>
      </c>
    </row>
    <row r="17" ht="18.0" customHeight="1">
      <c r="A17" s="212" t="s">
        <v>669</v>
      </c>
      <c r="B17" s="214" t="s">
        <v>670</v>
      </c>
      <c r="C17" s="215" t="str">
        <f t="shared" si="1"/>
        <v/>
      </c>
      <c r="D17" s="216" t="s">
        <v>668</v>
      </c>
    </row>
    <row r="18" ht="18.0" customHeight="1">
      <c r="A18" s="212" t="s">
        <v>671</v>
      </c>
      <c r="B18" s="214" t="s">
        <v>672</v>
      </c>
      <c r="C18" s="215" t="str">
        <f t="shared" si="1"/>
        <v/>
      </c>
      <c r="D18" s="216" t="s">
        <v>668</v>
      </c>
    </row>
    <row r="19" ht="18.0" customHeight="1">
      <c r="A19" s="212" t="s">
        <v>673</v>
      </c>
      <c r="B19" s="214" t="s">
        <v>674</v>
      </c>
      <c r="C19" s="215" t="str">
        <f>image("https://static.valorantstats.xyz/agent-headshots/kayo-headshot.png")</f>
        <v/>
      </c>
      <c r="D19" s="216" t="s">
        <v>668</v>
      </c>
    </row>
    <row r="20" ht="18.0" customHeight="1">
      <c r="A20" s="212" t="s">
        <v>675</v>
      </c>
      <c r="B20" s="214" t="s">
        <v>676</v>
      </c>
      <c r="C20" s="215" t="str">
        <f t="shared" ref="C20:C28" si="2">image("https://static.valorantstats.xyz/agent-headshots/"&amp;LOWER(A20)&amp;"-headshot.png")</f>
        <v/>
      </c>
      <c r="D20" s="216" t="s">
        <v>668</v>
      </c>
    </row>
    <row r="21" ht="18.0" customHeight="1">
      <c r="A21" s="212" t="s">
        <v>677</v>
      </c>
      <c r="B21" s="214" t="s">
        <v>678</v>
      </c>
      <c r="C21" s="215" t="str">
        <f t="shared" si="2"/>
        <v/>
      </c>
      <c r="D21" s="216" t="s">
        <v>668</v>
      </c>
    </row>
    <row r="22" ht="18.0" customHeight="1">
      <c r="A22" s="212" t="s">
        <v>679</v>
      </c>
      <c r="B22" s="214" t="s">
        <v>680</v>
      </c>
      <c r="C22" s="215" t="str">
        <f t="shared" si="2"/>
        <v/>
      </c>
      <c r="D22" s="216" t="s">
        <v>668</v>
      </c>
    </row>
    <row r="23" ht="18.0" customHeight="1">
      <c r="A23" s="212" t="s">
        <v>681</v>
      </c>
      <c r="B23" s="214" t="s">
        <v>682</v>
      </c>
      <c r="C23" s="215" t="str">
        <f t="shared" si="2"/>
        <v/>
      </c>
      <c r="D23" s="216" t="s">
        <v>683</v>
      </c>
    </row>
    <row r="24" ht="18.0" customHeight="1">
      <c r="A24" s="212" t="s">
        <v>684</v>
      </c>
      <c r="B24" s="214" t="s">
        <v>685</v>
      </c>
      <c r="C24" s="215" t="str">
        <f t="shared" si="2"/>
        <v/>
      </c>
      <c r="D24" s="216" t="s">
        <v>683</v>
      </c>
    </row>
    <row r="25" ht="18.0" customHeight="1">
      <c r="A25" s="212" t="s">
        <v>686</v>
      </c>
      <c r="B25" s="214" t="s">
        <v>687</v>
      </c>
      <c r="C25" s="215" t="str">
        <f t="shared" si="2"/>
        <v/>
      </c>
      <c r="D25" s="216" t="s">
        <v>683</v>
      </c>
    </row>
    <row r="26" ht="18.0" customHeight="1">
      <c r="A26" s="212" t="s">
        <v>688</v>
      </c>
      <c r="B26" s="214" t="s">
        <v>689</v>
      </c>
      <c r="C26" s="215" t="str">
        <f t="shared" si="2"/>
        <v/>
      </c>
      <c r="D26" s="216" t="s">
        <v>683</v>
      </c>
    </row>
    <row r="27" ht="18.0" customHeight="1">
      <c r="A27" s="212" t="s">
        <v>690</v>
      </c>
      <c r="B27" s="214" t="s">
        <v>691</v>
      </c>
      <c r="C27" s="215" t="str">
        <f t="shared" si="2"/>
        <v/>
      </c>
      <c r="D27" s="216" t="s">
        <v>683</v>
      </c>
    </row>
    <row r="28" ht="18.0" customHeight="1">
      <c r="A28" s="212" t="s">
        <v>692</v>
      </c>
      <c r="B28" s="214" t="s">
        <v>693</v>
      </c>
      <c r="C28" s="215" t="str">
        <f t="shared" si="2"/>
        <v/>
      </c>
      <c r="D28" s="216" t="s">
        <v>683</v>
      </c>
    </row>
    <row r="29" ht="18.0" customHeight="1">
      <c r="B29" s="213" t="s">
        <v>694</v>
      </c>
    </row>
    <row r="30" ht="18.0" customHeight="1">
      <c r="B30" s="213" t="s">
        <v>694</v>
      </c>
    </row>
    <row r="31" ht="18.0" customHeight="1">
      <c r="B31" s="213" t="s">
        <v>694</v>
      </c>
    </row>
    <row r="32" ht="18.0" customHeight="1">
      <c r="B32" s="213" t="s">
        <v>694</v>
      </c>
    </row>
    <row r="33" ht="18.0" customHeight="1">
      <c r="B33" s="213" t="s">
        <v>694</v>
      </c>
    </row>
    <row r="34" ht="18.0" customHeight="1">
      <c r="B34" s="213" t="s">
        <v>694</v>
      </c>
    </row>
    <row r="35" ht="18.0" customHeight="1">
      <c r="B35" s="213" t="s">
        <v>694</v>
      </c>
    </row>
    <row r="36" ht="18.0" customHeight="1">
      <c r="B36" s="213" t="s">
        <v>694</v>
      </c>
    </row>
    <row r="37" ht="18.0" customHeight="1">
      <c r="B37" s="213" t="s">
        <v>694</v>
      </c>
    </row>
    <row r="38" ht="18.0" customHeight="1">
      <c r="B38" s="213" t="s">
        <v>694</v>
      </c>
    </row>
    <row r="39" ht="18.0" customHeight="1">
      <c r="B39" s="213" t="s">
        <v>694</v>
      </c>
    </row>
    <row r="40" ht="18.0" customHeight="1">
      <c r="B40" s="213" t="s">
        <v>694</v>
      </c>
    </row>
    <row r="41" ht="18.0" customHeight="1">
      <c r="B41" s="213" t="s">
        <v>694</v>
      </c>
    </row>
    <row r="42" ht="18.0" customHeight="1">
      <c r="B42" s="213" t="s">
        <v>694</v>
      </c>
    </row>
    <row r="43" ht="18.0" customHeight="1">
      <c r="B43" s="213" t="s">
        <v>694</v>
      </c>
    </row>
    <row r="44" ht="18.0" customHeight="1">
      <c r="B44" s="213" t="s">
        <v>694</v>
      </c>
    </row>
    <row r="45" ht="18.0" customHeight="1">
      <c r="B45" s="213" t="s">
        <v>694</v>
      </c>
    </row>
    <row r="46" ht="18.0" customHeight="1">
      <c r="B46" s="213" t="s">
        <v>694</v>
      </c>
    </row>
    <row r="47" ht="18.0" customHeight="1">
      <c r="B47" s="213" t="s">
        <v>694</v>
      </c>
    </row>
    <row r="48" ht="18.0" customHeight="1">
      <c r="B48" s="213" t="s">
        <v>694</v>
      </c>
    </row>
    <row r="49" ht="18.0" customHeight="1">
      <c r="B49" s="213" t="s">
        <v>694</v>
      </c>
    </row>
    <row r="50" ht="18.0" customHeight="1">
      <c r="B50" s="213" t="s">
        <v>694</v>
      </c>
    </row>
    <row r="51" ht="18.0" customHeight="1">
      <c r="B51" s="213" t="s">
        <v>694</v>
      </c>
    </row>
    <row r="52" ht="18.0" customHeight="1">
      <c r="B52" s="213" t="s">
        <v>694</v>
      </c>
    </row>
    <row r="53" ht="18.0" customHeight="1">
      <c r="B53" s="213" t="s">
        <v>694</v>
      </c>
    </row>
    <row r="54" ht="18.0" customHeight="1">
      <c r="B54" s="213" t="s">
        <v>694</v>
      </c>
    </row>
    <row r="55" ht="18.0" customHeight="1">
      <c r="B55" s="213" t="s">
        <v>694</v>
      </c>
    </row>
    <row r="56" ht="18.0" customHeight="1">
      <c r="B56" s="213" t="s">
        <v>694</v>
      </c>
    </row>
    <row r="57" ht="18.0" customHeight="1">
      <c r="B57" s="213" t="s">
        <v>694</v>
      </c>
    </row>
    <row r="58" ht="18.0" customHeight="1">
      <c r="B58" s="213" t="s">
        <v>694</v>
      </c>
    </row>
    <row r="59" ht="18.0" customHeight="1">
      <c r="B59" s="213" t="s">
        <v>694</v>
      </c>
    </row>
    <row r="60" ht="18.0" customHeight="1">
      <c r="B60" s="213" t="s">
        <v>694</v>
      </c>
    </row>
    <row r="61" ht="18.0" customHeight="1">
      <c r="B61" s="213" t="s">
        <v>694</v>
      </c>
    </row>
    <row r="62" ht="18.0" customHeight="1">
      <c r="B62" s="213" t="s">
        <v>694</v>
      </c>
    </row>
    <row r="63" ht="18.0" customHeight="1">
      <c r="B63" s="213" t="s">
        <v>694</v>
      </c>
    </row>
    <row r="64" ht="18.0" customHeight="1">
      <c r="B64" s="213" t="s">
        <v>694</v>
      </c>
    </row>
    <row r="65" ht="18.0" customHeight="1">
      <c r="B65" s="213" t="s">
        <v>694</v>
      </c>
    </row>
    <row r="66" ht="18.0" customHeight="1">
      <c r="B66" s="213" t="s">
        <v>694</v>
      </c>
    </row>
    <row r="67" ht="18.0" customHeight="1">
      <c r="B67" s="213" t="s">
        <v>694</v>
      </c>
    </row>
    <row r="68" ht="18.0" customHeight="1">
      <c r="B68" s="213" t="s">
        <v>694</v>
      </c>
    </row>
    <row r="69" ht="18.0" customHeight="1">
      <c r="B69" s="213" t="s">
        <v>694</v>
      </c>
    </row>
    <row r="70" ht="18.0" customHeight="1">
      <c r="B70" s="213" t="s">
        <v>694</v>
      </c>
    </row>
    <row r="71" ht="18.0" customHeight="1">
      <c r="B71" s="213" t="s">
        <v>694</v>
      </c>
    </row>
    <row r="72" ht="18.0" customHeight="1">
      <c r="B72" s="213" t="s">
        <v>694</v>
      </c>
    </row>
    <row r="73" ht="18.0" customHeight="1">
      <c r="B73" s="213" t="s">
        <v>694</v>
      </c>
    </row>
    <row r="74" ht="18.0" customHeight="1">
      <c r="B74" s="213" t="s">
        <v>694</v>
      </c>
    </row>
    <row r="75" ht="18.0" customHeight="1">
      <c r="B75" s="213" t="s">
        <v>694</v>
      </c>
    </row>
    <row r="76" ht="18.0" customHeight="1">
      <c r="B76" s="213" t="s">
        <v>694</v>
      </c>
    </row>
    <row r="77" ht="18.0" customHeight="1">
      <c r="B77" s="213" t="s">
        <v>694</v>
      </c>
    </row>
    <row r="78" ht="18.0" customHeight="1">
      <c r="B78" s="213" t="s">
        <v>694</v>
      </c>
    </row>
    <row r="79" ht="18.0" customHeight="1">
      <c r="B79" s="213" t="s">
        <v>694</v>
      </c>
    </row>
    <row r="80" ht="18.0" customHeight="1">
      <c r="B80" s="213" t="s">
        <v>694</v>
      </c>
    </row>
    <row r="81" ht="18.0" customHeight="1">
      <c r="B81" s="213" t="s">
        <v>694</v>
      </c>
    </row>
    <row r="82" ht="18.0" customHeight="1">
      <c r="B82" s="213" t="s">
        <v>694</v>
      </c>
    </row>
    <row r="83" ht="18.0" customHeight="1">
      <c r="B83" s="213" t="s">
        <v>694</v>
      </c>
    </row>
    <row r="84" ht="18.0" customHeight="1">
      <c r="B84" s="213" t="s">
        <v>694</v>
      </c>
    </row>
    <row r="85" ht="18.0" customHeight="1">
      <c r="B85" s="213" t="s">
        <v>694</v>
      </c>
    </row>
    <row r="86" ht="18.0" customHeight="1">
      <c r="B86" s="213" t="s">
        <v>694</v>
      </c>
    </row>
    <row r="87" ht="18.0" customHeight="1">
      <c r="B87" s="213" t="s">
        <v>694</v>
      </c>
    </row>
    <row r="88" ht="18.0" customHeight="1">
      <c r="B88" s="213" t="s">
        <v>694</v>
      </c>
    </row>
    <row r="89" ht="18.0" customHeight="1">
      <c r="B89" s="213" t="s">
        <v>694</v>
      </c>
    </row>
    <row r="90" ht="18.0" customHeight="1">
      <c r="B90" s="213" t="s">
        <v>694</v>
      </c>
    </row>
    <row r="91" ht="18.0" customHeight="1">
      <c r="B91" s="213" t="s">
        <v>694</v>
      </c>
    </row>
    <row r="92" ht="18.0" customHeight="1">
      <c r="B92" s="213" t="s">
        <v>694</v>
      </c>
    </row>
    <row r="93" ht="18.0" customHeight="1">
      <c r="B93" s="213" t="s">
        <v>694</v>
      </c>
    </row>
    <row r="94" ht="18.0" customHeight="1">
      <c r="B94" s="213" t="s">
        <v>694</v>
      </c>
    </row>
    <row r="95" ht="18.0" customHeight="1">
      <c r="B95" s="213" t="s">
        <v>694</v>
      </c>
    </row>
    <row r="96" ht="18.0" customHeight="1">
      <c r="B96" s="213" t="s">
        <v>694</v>
      </c>
    </row>
    <row r="97" ht="18.0" customHeight="1">
      <c r="B97" s="213" t="s">
        <v>694</v>
      </c>
    </row>
    <row r="98" ht="18.0" customHeight="1">
      <c r="B98" s="213" t="s">
        <v>694</v>
      </c>
    </row>
    <row r="99" ht="18.0" customHeight="1">
      <c r="B99" s="213" t="s">
        <v>694</v>
      </c>
    </row>
    <row r="100" ht="18.0" customHeight="1">
      <c r="B100" s="213" t="s">
        <v>694</v>
      </c>
    </row>
    <row r="101" ht="18.0" customHeight="1">
      <c r="B101" s="213" t="s">
        <v>694</v>
      </c>
    </row>
    <row r="102" ht="18.0" customHeight="1">
      <c r="B102" s="213" t="s">
        <v>694</v>
      </c>
    </row>
    <row r="103" ht="18.0" customHeight="1">
      <c r="B103" s="213" t="s">
        <v>694</v>
      </c>
    </row>
    <row r="104" ht="18.0" customHeight="1">
      <c r="B104" s="213" t="s">
        <v>694</v>
      </c>
    </row>
    <row r="105" ht="18.0" customHeight="1">
      <c r="B105" s="213" t="s">
        <v>694</v>
      </c>
    </row>
    <row r="106" ht="18.0" customHeight="1">
      <c r="B106" s="213" t="s">
        <v>694</v>
      </c>
    </row>
    <row r="107" ht="18.0" customHeight="1">
      <c r="B107" s="213" t="s">
        <v>694</v>
      </c>
    </row>
    <row r="108" ht="18.0" customHeight="1">
      <c r="B108" s="213" t="s">
        <v>694</v>
      </c>
    </row>
    <row r="109" ht="18.0" customHeight="1">
      <c r="B109" s="213" t="s">
        <v>694</v>
      </c>
    </row>
    <row r="110" ht="18.0" customHeight="1">
      <c r="B110" s="213" t="s">
        <v>694</v>
      </c>
    </row>
    <row r="111" ht="18.0" customHeight="1">
      <c r="B111" s="213" t="s">
        <v>694</v>
      </c>
    </row>
    <row r="112" ht="18.0" customHeight="1">
      <c r="B112" s="213" t="s">
        <v>694</v>
      </c>
    </row>
    <row r="113" ht="18.0" customHeight="1">
      <c r="B113" s="213" t="s">
        <v>694</v>
      </c>
    </row>
    <row r="114" ht="18.0" customHeight="1">
      <c r="B114" s="213" t="s">
        <v>694</v>
      </c>
    </row>
    <row r="115" ht="18.0" customHeight="1">
      <c r="B115" s="213" t="s">
        <v>694</v>
      </c>
    </row>
    <row r="116" ht="18.0" customHeight="1">
      <c r="B116" s="213" t="s">
        <v>694</v>
      </c>
    </row>
    <row r="117" ht="18.0" customHeight="1">
      <c r="B117" s="213" t="s">
        <v>694</v>
      </c>
    </row>
    <row r="118" ht="18.0" customHeight="1">
      <c r="B118" s="213" t="s">
        <v>694</v>
      </c>
    </row>
    <row r="119" ht="18.0" customHeight="1">
      <c r="B119" s="213" t="s">
        <v>694</v>
      </c>
    </row>
    <row r="120" ht="18.0" customHeight="1">
      <c r="B120" s="213" t="s">
        <v>694</v>
      </c>
    </row>
    <row r="121" ht="18.0" customHeight="1">
      <c r="B121" s="213" t="s">
        <v>694</v>
      </c>
    </row>
    <row r="122" ht="18.0" customHeight="1">
      <c r="B122" s="213" t="s">
        <v>694</v>
      </c>
    </row>
    <row r="123" ht="18.0" customHeight="1">
      <c r="B123" s="213" t="s">
        <v>694</v>
      </c>
    </row>
    <row r="124" ht="18.0" customHeight="1">
      <c r="B124" s="213" t="s">
        <v>694</v>
      </c>
    </row>
    <row r="125" ht="18.0" customHeight="1">
      <c r="B125" s="213" t="s">
        <v>694</v>
      </c>
    </row>
    <row r="126" ht="18.0" customHeight="1">
      <c r="B126" s="213" t="s">
        <v>694</v>
      </c>
    </row>
    <row r="127" ht="18.0" customHeight="1">
      <c r="B127" s="213" t="s">
        <v>694</v>
      </c>
    </row>
    <row r="128" ht="18.0" customHeight="1">
      <c r="B128" s="213" t="s">
        <v>694</v>
      </c>
    </row>
    <row r="129" ht="18.0" customHeight="1">
      <c r="B129" s="213" t="s">
        <v>694</v>
      </c>
    </row>
    <row r="130" ht="18.0" customHeight="1">
      <c r="B130" s="213" t="s">
        <v>694</v>
      </c>
    </row>
    <row r="131" ht="18.0" customHeight="1">
      <c r="B131" s="213" t="s">
        <v>694</v>
      </c>
    </row>
    <row r="132" ht="18.0" customHeight="1">
      <c r="B132" s="213" t="s">
        <v>694</v>
      </c>
    </row>
    <row r="133" ht="18.0" customHeight="1">
      <c r="B133" s="213" t="s">
        <v>694</v>
      </c>
    </row>
    <row r="134" ht="18.0" customHeight="1">
      <c r="B134" s="213" t="s">
        <v>694</v>
      </c>
    </row>
    <row r="135" ht="18.0" customHeight="1">
      <c r="B135" s="213" t="s">
        <v>694</v>
      </c>
    </row>
    <row r="136" ht="18.0" customHeight="1">
      <c r="B136" s="213" t="s">
        <v>694</v>
      </c>
    </row>
    <row r="137" ht="18.0" customHeight="1">
      <c r="B137" s="213" t="s">
        <v>694</v>
      </c>
    </row>
    <row r="138" ht="18.0" customHeight="1">
      <c r="B138" s="213" t="s">
        <v>694</v>
      </c>
    </row>
    <row r="139" ht="18.0" customHeight="1">
      <c r="B139" s="213" t="s">
        <v>694</v>
      </c>
    </row>
    <row r="140" ht="18.0" customHeight="1">
      <c r="B140" s="213" t="s">
        <v>694</v>
      </c>
    </row>
    <row r="141" ht="18.0" customHeight="1">
      <c r="B141" s="213" t="s">
        <v>694</v>
      </c>
    </row>
    <row r="142" ht="18.0" customHeight="1">
      <c r="B142" s="213" t="s">
        <v>694</v>
      </c>
    </row>
    <row r="143" ht="18.0" customHeight="1">
      <c r="B143" s="213" t="s">
        <v>694</v>
      </c>
    </row>
    <row r="144" ht="18.0" customHeight="1">
      <c r="B144" s="213" t="s">
        <v>694</v>
      </c>
    </row>
    <row r="145" ht="18.0" customHeight="1">
      <c r="B145" s="213" t="s">
        <v>694</v>
      </c>
    </row>
    <row r="146" ht="18.0" customHeight="1">
      <c r="B146" s="213" t="s">
        <v>694</v>
      </c>
    </row>
    <row r="147" ht="18.0" customHeight="1">
      <c r="B147" s="213" t="s">
        <v>694</v>
      </c>
    </row>
    <row r="148" ht="18.0" customHeight="1">
      <c r="B148" s="213" t="s">
        <v>694</v>
      </c>
    </row>
    <row r="149" ht="18.0" customHeight="1">
      <c r="B149" s="213" t="s">
        <v>694</v>
      </c>
    </row>
    <row r="150" ht="18.0" customHeight="1">
      <c r="B150" s="213" t="s">
        <v>694</v>
      </c>
    </row>
    <row r="151" ht="18.0" customHeight="1">
      <c r="B151" s="213" t="s">
        <v>694</v>
      </c>
    </row>
    <row r="152" ht="18.0" customHeight="1">
      <c r="B152" s="213" t="s">
        <v>694</v>
      </c>
    </row>
    <row r="153" ht="18.0" customHeight="1">
      <c r="B153" s="213" t="s">
        <v>694</v>
      </c>
    </row>
    <row r="154" ht="18.0" customHeight="1">
      <c r="B154" s="213" t="s">
        <v>694</v>
      </c>
    </row>
    <row r="155" ht="18.0" customHeight="1">
      <c r="B155" s="213" t="s">
        <v>694</v>
      </c>
    </row>
    <row r="156" ht="18.0" customHeight="1">
      <c r="B156" s="213" t="s">
        <v>694</v>
      </c>
    </row>
    <row r="157" ht="18.0" customHeight="1">
      <c r="B157" s="213" t="s">
        <v>694</v>
      </c>
    </row>
    <row r="158" ht="18.0" customHeight="1">
      <c r="B158" s="213" t="s">
        <v>694</v>
      </c>
    </row>
    <row r="159" ht="18.0" customHeight="1">
      <c r="B159" s="213" t="s">
        <v>694</v>
      </c>
    </row>
    <row r="160" ht="18.0" customHeight="1">
      <c r="B160" s="213" t="s">
        <v>694</v>
      </c>
    </row>
    <row r="161" ht="18.0" customHeight="1">
      <c r="B161" s="213" t="s">
        <v>694</v>
      </c>
    </row>
    <row r="162" ht="18.0" customHeight="1">
      <c r="B162" s="213" t="s">
        <v>694</v>
      </c>
    </row>
    <row r="163" ht="18.0" customHeight="1">
      <c r="B163" s="213" t="s">
        <v>694</v>
      </c>
    </row>
    <row r="164" ht="18.0" customHeight="1">
      <c r="B164" s="213" t="s">
        <v>694</v>
      </c>
    </row>
    <row r="165" ht="18.0" customHeight="1">
      <c r="B165" s="213" t="s">
        <v>694</v>
      </c>
    </row>
    <row r="166" ht="18.0" customHeight="1">
      <c r="B166" s="213" t="s">
        <v>694</v>
      </c>
    </row>
    <row r="167" ht="18.0" customHeight="1">
      <c r="B167" s="213" t="s">
        <v>694</v>
      </c>
    </row>
    <row r="168" ht="18.0" customHeight="1">
      <c r="B168" s="213" t="s">
        <v>694</v>
      </c>
    </row>
    <row r="169" ht="18.0" customHeight="1">
      <c r="B169" s="213" t="s">
        <v>694</v>
      </c>
    </row>
    <row r="170" ht="18.0" customHeight="1">
      <c r="B170" s="213" t="s">
        <v>694</v>
      </c>
    </row>
    <row r="171" ht="18.0" customHeight="1">
      <c r="B171" s="213" t="s">
        <v>694</v>
      </c>
    </row>
    <row r="172" ht="18.0" customHeight="1">
      <c r="B172" s="213" t="s">
        <v>694</v>
      </c>
    </row>
    <row r="173" ht="18.0" customHeight="1">
      <c r="B173" s="213" t="s">
        <v>694</v>
      </c>
    </row>
    <row r="174" ht="18.0" customHeight="1">
      <c r="B174" s="213" t="s">
        <v>694</v>
      </c>
    </row>
    <row r="175" ht="18.0" customHeight="1">
      <c r="B175" s="213" t="s">
        <v>694</v>
      </c>
    </row>
    <row r="176" ht="18.0" customHeight="1">
      <c r="B176" s="213" t="s">
        <v>694</v>
      </c>
    </row>
    <row r="177" ht="18.0" customHeight="1">
      <c r="B177" s="213" t="s">
        <v>694</v>
      </c>
    </row>
    <row r="178" ht="18.0" customHeight="1">
      <c r="B178" s="213" t="s">
        <v>694</v>
      </c>
    </row>
    <row r="179" ht="18.0" customHeight="1">
      <c r="B179" s="213" t="s">
        <v>694</v>
      </c>
    </row>
    <row r="180" ht="18.0" customHeight="1">
      <c r="B180" s="213" t="s">
        <v>694</v>
      </c>
    </row>
    <row r="181" ht="18.0" customHeight="1">
      <c r="B181" s="213" t="s">
        <v>694</v>
      </c>
    </row>
    <row r="182" ht="18.0" customHeight="1">
      <c r="B182" s="213" t="s">
        <v>694</v>
      </c>
    </row>
    <row r="183" ht="18.0" customHeight="1">
      <c r="B183" s="213" t="s">
        <v>694</v>
      </c>
    </row>
    <row r="184" ht="18.0" customHeight="1">
      <c r="B184" s="213" t="s">
        <v>694</v>
      </c>
    </row>
    <row r="185" ht="18.0" customHeight="1">
      <c r="B185" s="213" t="s">
        <v>694</v>
      </c>
    </row>
    <row r="186" ht="18.0" customHeight="1">
      <c r="B186" s="213" t="s">
        <v>694</v>
      </c>
    </row>
    <row r="187" ht="18.0" customHeight="1">
      <c r="B187" s="213" t="s">
        <v>694</v>
      </c>
    </row>
    <row r="188" ht="18.0" customHeight="1">
      <c r="B188" s="213" t="s">
        <v>694</v>
      </c>
    </row>
    <row r="189" ht="18.0" customHeight="1">
      <c r="B189" s="213" t="s">
        <v>694</v>
      </c>
    </row>
    <row r="190" ht="18.0" customHeight="1">
      <c r="B190" s="213" t="s">
        <v>694</v>
      </c>
    </row>
    <row r="191" ht="18.0" customHeight="1">
      <c r="B191" s="213" t="s">
        <v>694</v>
      </c>
    </row>
    <row r="192" ht="18.0" customHeight="1">
      <c r="B192" s="213" t="s">
        <v>694</v>
      </c>
    </row>
    <row r="193" ht="18.0" customHeight="1">
      <c r="B193" s="213" t="s">
        <v>694</v>
      </c>
    </row>
    <row r="194" ht="18.0" customHeight="1">
      <c r="B194" s="213" t="s">
        <v>694</v>
      </c>
    </row>
    <row r="195" ht="18.0" customHeight="1">
      <c r="B195" s="213" t="s">
        <v>694</v>
      </c>
    </row>
    <row r="196" ht="18.0" customHeight="1">
      <c r="B196" s="213" t="s">
        <v>694</v>
      </c>
    </row>
    <row r="197" ht="18.0" customHeight="1">
      <c r="B197" s="213" t="s">
        <v>694</v>
      </c>
    </row>
    <row r="198" ht="18.0" customHeight="1">
      <c r="B198" s="213" t="s">
        <v>694</v>
      </c>
    </row>
    <row r="199" ht="18.0" customHeight="1">
      <c r="B199" s="213" t="s">
        <v>694</v>
      </c>
    </row>
    <row r="200" ht="18.0" customHeight="1">
      <c r="B200" s="213" t="s">
        <v>694</v>
      </c>
    </row>
    <row r="201" ht="18.0" customHeight="1">
      <c r="B201" s="213" t="s">
        <v>694</v>
      </c>
    </row>
    <row r="202" ht="18.0" customHeight="1">
      <c r="B202" s="213" t="s">
        <v>694</v>
      </c>
    </row>
    <row r="203" ht="18.0" customHeight="1">
      <c r="B203" s="213" t="s">
        <v>694</v>
      </c>
    </row>
    <row r="204" ht="18.0" customHeight="1">
      <c r="B204" s="213" t="s">
        <v>694</v>
      </c>
    </row>
    <row r="205" ht="18.0" customHeight="1">
      <c r="B205" s="213" t="s">
        <v>694</v>
      </c>
    </row>
    <row r="206" ht="18.0" customHeight="1">
      <c r="B206" s="213" t="s">
        <v>694</v>
      </c>
    </row>
    <row r="207" ht="18.0" customHeight="1">
      <c r="B207" s="213" t="s">
        <v>694</v>
      </c>
    </row>
    <row r="208" ht="18.0" customHeight="1">
      <c r="B208" s="213" t="s">
        <v>694</v>
      </c>
    </row>
    <row r="209" ht="18.0" customHeight="1">
      <c r="B209" s="213" t="s">
        <v>694</v>
      </c>
    </row>
    <row r="210" ht="18.0" customHeight="1">
      <c r="B210" s="213" t="s">
        <v>694</v>
      </c>
    </row>
    <row r="211" ht="18.0" customHeight="1">
      <c r="B211" s="213" t="s">
        <v>694</v>
      </c>
    </row>
    <row r="212" ht="18.0" customHeight="1">
      <c r="B212" s="213" t="s">
        <v>694</v>
      </c>
    </row>
    <row r="213" ht="18.0" customHeight="1">
      <c r="B213" s="213" t="s">
        <v>694</v>
      </c>
    </row>
    <row r="214" ht="18.0" customHeight="1">
      <c r="B214" s="213" t="s">
        <v>694</v>
      </c>
    </row>
    <row r="215" ht="18.0" customHeight="1">
      <c r="B215" s="213" t="s">
        <v>694</v>
      </c>
    </row>
    <row r="216" ht="18.0" customHeight="1">
      <c r="B216" s="213" t="s">
        <v>694</v>
      </c>
    </row>
    <row r="217" ht="18.0" customHeight="1">
      <c r="B217" s="213" t="s">
        <v>694</v>
      </c>
    </row>
    <row r="218" ht="18.0" customHeight="1">
      <c r="B218" s="213" t="s">
        <v>694</v>
      </c>
    </row>
    <row r="219" ht="18.0" customHeight="1">
      <c r="B219" s="213" t="s">
        <v>694</v>
      </c>
    </row>
    <row r="220" ht="18.0" customHeight="1">
      <c r="B220" s="213" t="s">
        <v>694</v>
      </c>
    </row>
    <row r="221" ht="18.0" customHeight="1">
      <c r="B221" s="213" t="s">
        <v>694</v>
      </c>
    </row>
    <row r="222" ht="18.0" customHeight="1">
      <c r="B222" s="213" t="s">
        <v>694</v>
      </c>
    </row>
    <row r="223" ht="18.0" customHeight="1">
      <c r="B223" s="213" t="s">
        <v>694</v>
      </c>
    </row>
    <row r="224" ht="18.0" customHeight="1">
      <c r="B224" s="213" t="s">
        <v>694</v>
      </c>
    </row>
    <row r="225" ht="18.0" customHeight="1">
      <c r="B225" s="213" t="s">
        <v>694</v>
      </c>
    </row>
    <row r="226" ht="18.0" customHeight="1">
      <c r="B226" s="213" t="s">
        <v>694</v>
      </c>
    </row>
    <row r="227" ht="18.0" customHeight="1">
      <c r="B227" s="213" t="s">
        <v>694</v>
      </c>
    </row>
    <row r="228" ht="18.0" customHeight="1">
      <c r="B228" s="213" t="s">
        <v>694</v>
      </c>
    </row>
    <row r="229" ht="18.0" customHeight="1">
      <c r="B229" s="213" t="s">
        <v>694</v>
      </c>
    </row>
    <row r="230" ht="18.0" customHeight="1">
      <c r="B230" s="213" t="s">
        <v>694</v>
      </c>
    </row>
    <row r="231" ht="18.0" customHeight="1">
      <c r="B231" s="213" t="s">
        <v>694</v>
      </c>
    </row>
    <row r="232" ht="18.0" customHeight="1">
      <c r="B232" s="213" t="s">
        <v>694</v>
      </c>
    </row>
    <row r="233" ht="18.0" customHeight="1">
      <c r="B233" s="213" t="s">
        <v>694</v>
      </c>
    </row>
    <row r="234" ht="18.0" customHeight="1">
      <c r="B234" s="213" t="s">
        <v>694</v>
      </c>
    </row>
    <row r="235" ht="18.0" customHeight="1">
      <c r="B235" s="213" t="s">
        <v>694</v>
      </c>
    </row>
    <row r="236" ht="18.0" customHeight="1">
      <c r="B236" s="213" t="s">
        <v>694</v>
      </c>
    </row>
    <row r="237" ht="18.0" customHeight="1">
      <c r="B237" s="213" t="s">
        <v>694</v>
      </c>
    </row>
    <row r="238" ht="18.0" customHeight="1">
      <c r="B238" s="213" t="s">
        <v>694</v>
      </c>
    </row>
    <row r="239" ht="18.0" customHeight="1">
      <c r="B239" s="213" t="s">
        <v>694</v>
      </c>
    </row>
    <row r="240" ht="18.0" customHeight="1">
      <c r="B240" s="213" t="s">
        <v>694</v>
      </c>
    </row>
    <row r="241" ht="18.0" customHeight="1">
      <c r="B241" s="213" t="s">
        <v>694</v>
      </c>
    </row>
    <row r="242" ht="18.0" customHeight="1">
      <c r="B242" s="213" t="s">
        <v>694</v>
      </c>
    </row>
    <row r="243" ht="18.0" customHeight="1">
      <c r="B243" s="213" t="s">
        <v>694</v>
      </c>
    </row>
    <row r="244" ht="18.0" customHeight="1">
      <c r="B244" s="213" t="s">
        <v>694</v>
      </c>
    </row>
    <row r="245" ht="18.0" customHeight="1">
      <c r="B245" s="213" t="s">
        <v>694</v>
      </c>
    </row>
    <row r="246" ht="18.0" customHeight="1">
      <c r="B246" s="213" t="s">
        <v>694</v>
      </c>
    </row>
    <row r="247" ht="18.0" customHeight="1">
      <c r="B247" s="213" t="s">
        <v>694</v>
      </c>
    </row>
    <row r="248" ht="18.0" customHeight="1">
      <c r="B248" s="213" t="s">
        <v>694</v>
      </c>
    </row>
    <row r="249" ht="18.0" customHeight="1">
      <c r="B249" s="213" t="s">
        <v>694</v>
      </c>
    </row>
    <row r="250" ht="18.0" customHeight="1">
      <c r="B250" s="213" t="s">
        <v>694</v>
      </c>
    </row>
    <row r="251" ht="18.0" customHeight="1">
      <c r="B251" s="213" t="s">
        <v>694</v>
      </c>
    </row>
    <row r="252" ht="18.0" customHeight="1">
      <c r="B252" s="213" t="s">
        <v>694</v>
      </c>
    </row>
    <row r="253" ht="18.0" customHeight="1">
      <c r="B253" s="213" t="s">
        <v>694</v>
      </c>
    </row>
    <row r="254" ht="18.0" customHeight="1">
      <c r="B254" s="213" t="s">
        <v>694</v>
      </c>
    </row>
    <row r="255" ht="18.0" customHeight="1">
      <c r="B255" s="213" t="s">
        <v>694</v>
      </c>
    </row>
    <row r="256" ht="18.0" customHeight="1">
      <c r="B256" s="213" t="s">
        <v>694</v>
      </c>
    </row>
    <row r="257" ht="18.0" customHeight="1">
      <c r="B257" s="213" t="s">
        <v>694</v>
      </c>
    </row>
    <row r="258" ht="18.0" customHeight="1">
      <c r="B258" s="213" t="s">
        <v>694</v>
      </c>
    </row>
    <row r="259" ht="18.0" customHeight="1">
      <c r="B259" s="213" t="s">
        <v>694</v>
      </c>
    </row>
    <row r="260" ht="18.0" customHeight="1">
      <c r="B260" s="213" t="s">
        <v>694</v>
      </c>
    </row>
    <row r="261" ht="18.0" customHeight="1">
      <c r="B261" s="213" t="s">
        <v>694</v>
      </c>
    </row>
    <row r="262" ht="18.0" customHeight="1">
      <c r="B262" s="213" t="s">
        <v>694</v>
      </c>
    </row>
    <row r="263" ht="18.0" customHeight="1">
      <c r="B263" s="213" t="s">
        <v>694</v>
      </c>
    </row>
    <row r="264" ht="18.0" customHeight="1">
      <c r="B264" s="213" t="s">
        <v>694</v>
      </c>
    </row>
    <row r="265" ht="18.0" customHeight="1">
      <c r="B265" s="213" t="s">
        <v>694</v>
      </c>
    </row>
    <row r="266" ht="18.0" customHeight="1">
      <c r="B266" s="213" t="s">
        <v>694</v>
      </c>
    </row>
    <row r="267" ht="18.0" customHeight="1">
      <c r="B267" s="213" t="s">
        <v>694</v>
      </c>
    </row>
    <row r="268" ht="18.0" customHeight="1">
      <c r="B268" s="213" t="s">
        <v>694</v>
      </c>
    </row>
    <row r="269" ht="18.0" customHeight="1">
      <c r="B269" s="213" t="s">
        <v>694</v>
      </c>
    </row>
    <row r="270" ht="18.0" customHeight="1">
      <c r="B270" s="213" t="s">
        <v>694</v>
      </c>
    </row>
    <row r="271" ht="18.0" customHeight="1">
      <c r="B271" s="213" t="s">
        <v>694</v>
      </c>
    </row>
    <row r="272" ht="18.0" customHeight="1">
      <c r="B272" s="213" t="s">
        <v>694</v>
      </c>
    </row>
    <row r="273" ht="18.0" customHeight="1">
      <c r="B273" s="213" t="s">
        <v>694</v>
      </c>
    </row>
    <row r="274" ht="18.0" customHeight="1">
      <c r="B274" s="213" t="s">
        <v>694</v>
      </c>
    </row>
    <row r="275" ht="18.0" customHeight="1">
      <c r="B275" s="213" t="s">
        <v>694</v>
      </c>
    </row>
    <row r="276" ht="18.0" customHeight="1">
      <c r="B276" s="213" t="s">
        <v>694</v>
      </c>
    </row>
    <row r="277" ht="18.0" customHeight="1">
      <c r="B277" s="213" t="s">
        <v>694</v>
      </c>
    </row>
    <row r="278" ht="18.0" customHeight="1">
      <c r="B278" s="213" t="s">
        <v>694</v>
      </c>
    </row>
    <row r="279" ht="18.0" customHeight="1">
      <c r="B279" s="213" t="s">
        <v>694</v>
      </c>
    </row>
    <row r="280" ht="18.0" customHeight="1">
      <c r="B280" s="213" t="s">
        <v>694</v>
      </c>
    </row>
    <row r="281" ht="18.0" customHeight="1">
      <c r="B281" s="213" t="s">
        <v>694</v>
      </c>
    </row>
    <row r="282" ht="18.0" customHeight="1">
      <c r="B282" s="213" t="s">
        <v>694</v>
      </c>
    </row>
    <row r="283" ht="18.0" customHeight="1">
      <c r="B283" s="213" t="s">
        <v>694</v>
      </c>
    </row>
    <row r="284" ht="18.0" customHeight="1">
      <c r="B284" s="213" t="s">
        <v>694</v>
      </c>
    </row>
    <row r="285" ht="18.0" customHeight="1">
      <c r="B285" s="213" t="s">
        <v>694</v>
      </c>
    </row>
    <row r="286" ht="18.0" customHeight="1">
      <c r="B286" s="213" t="s">
        <v>694</v>
      </c>
    </row>
    <row r="287" ht="18.0" customHeight="1">
      <c r="B287" s="213" t="s">
        <v>694</v>
      </c>
    </row>
    <row r="288" ht="18.0" customHeight="1">
      <c r="B288" s="213" t="s">
        <v>694</v>
      </c>
    </row>
    <row r="289" ht="18.0" customHeight="1">
      <c r="B289" s="213" t="s">
        <v>694</v>
      </c>
    </row>
    <row r="290" ht="18.0" customHeight="1">
      <c r="B290" s="213" t="s">
        <v>694</v>
      </c>
    </row>
    <row r="291" ht="18.0" customHeight="1">
      <c r="B291" s="213" t="s">
        <v>694</v>
      </c>
    </row>
    <row r="292" ht="18.0" customHeight="1">
      <c r="B292" s="213" t="s">
        <v>694</v>
      </c>
    </row>
    <row r="293" ht="18.0" customHeight="1">
      <c r="B293" s="213" t="s">
        <v>694</v>
      </c>
    </row>
    <row r="294" ht="18.0" customHeight="1">
      <c r="B294" s="213" t="s">
        <v>694</v>
      </c>
    </row>
    <row r="295" ht="18.0" customHeight="1">
      <c r="B295" s="213" t="s">
        <v>694</v>
      </c>
    </row>
    <row r="296" ht="18.0" customHeight="1">
      <c r="B296" s="213" t="s">
        <v>694</v>
      </c>
    </row>
    <row r="297" ht="18.0" customHeight="1">
      <c r="B297" s="213" t="s">
        <v>694</v>
      </c>
    </row>
    <row r="298" ht="18.0" customHeight="1">
      <c r="B298" s="213" t="s">
        <v>694</v>
      </c>
    </row>
    <row r="299" ht="18.0" customHeight="1">
      <c r="B299" s="213" t="s">
        <v>694</v>
      </c>
    </row>
    <row r="300" ht="18.0" customHeight="1">
      <c r="B300" s="213" t="s">
        <v>694</v>
      </c>
    </row>
    <row r="301" ht="18.0" customHeight="1">
      <c r="B301" s="213" t="s">
        <v>694</v>
      </c>
    </row>
    <row r="302" ht="18.0" customHeight="1">
      <c r="B302" s="213" t="s">
        <v>694</v>
      </c>
    </row>
    <row r="303" ht="18.0" customHeight="1">
      <c r="B303" s="213" t="s">
        <v>694</v>
      </c>
    </row>
    <row r="304" ht="18.0" customHeight="1">
      <c r="B304" s="213" t="s">
        <v>694</v>
      </c>
    </row>
    <row r="305" ht="18.0" customHeight="1">
      <c r="B305" s="213" t="s">
        <v>694</v>
      </c>
    </row>
    <row r="306" ht="18.0" customHeight="1">
      <c r="B306" s="213" t="s">
        <v>694</v>
      </c>
    </row>
    <row r="307" ht="18.0" customHeight="1">
      <c r="B307" s="213" t="s">
        <v>694</v>
      </c>
    </row>
    <row r="308" ht="18.0" customHeight="1">
      <c r="B308" s="213" t="s">
        <v>694</v>
      </c>
    </row>
    <row r="309" ht="18.0" customHeight="1">
      <c r="B309" s="213" t="s">
        <v>694</v>
      </c>
    </row>
    <row r="310" ht="18.0" customHeight="1">
      <c r="B310" s="213" t="s">
        <v>694</v>
      </c>
    </row>
    <row r="311" ht="18.0" customHeight="1">
      <c r="B311" s="213" t="s">
        <v>694</v>
      </c>
    </row>
    <row r="312" ht="18.0" customHeight="1">
      <c r="B312" s="213" t="s">
        <v>694</v>
      </c>
    </row>
    <row r="313" ht="18.0" customHeight="1">
      <c r="B313" s="213" t="s">
        <v>694</v>
      </c>
    </row>
    <row r="314" ht="18.0" customHeight="1">
      <c r="B314" s="213" t="s">
        <v>694</v>
      </c>
    </row>
    <row r="315" ht="18.0" customHeight="1">
      <c r="B315" s="213" t="s">
        <v>694</v>
      </c>
    </row>
    <row r="316" ht="18.0" customHeight="1">
      <c r="B316" s="213" t="s">
        <v>694</v>
      </c>
    </row>
    <row r="317" ht="18.0" customHeight="1">
      <c r="B317" s="213" t="s">
        <v>694</v>
      </c>
    </row>
    <row r="318" ht="18.0" customHeight="1">
      <c r="B318" s="213" t="s">
        <v>694</v>
      </c>
    </row>
    <row r="319" ht="18.0" customHeight="1">
      <c r="B319" s="213" t="s">
        <v>694</v>
      </c>
    </row>
    <row r="320" ht="18.0" customHeight="1">
      <c r="B320" s="213" t="s">
        <v>694</v>
      </c>
    </row>
    <row r="321" ht="18.0" customHeight="1">
      <c r="B321" s="213" t="s">
        <v>694</v>
      </c>
    </row>
    <row r="322" ht="18.0" customHeight="1">
      <c r="B322" s="213" t="s">
        <v>694</v>
      </c>
    </row>
    <row r="323" ht="18.0" customHeight="1">
      <c r="B323" s="213" t="s">
        <v>694</v>
      </c>
    </row>
    <row r="324" ht="18.0" customHeight="1">
      <c r="B324" s="213" t="s">
        <v>694</v>
      </c>
    </row>
    <row r="325" ht="18.0" customHeight="1">
      <c r="B325" s="213" t="s">
        <v>694</v>
      </c>
    </row>
    <row r="326" ht="18.0" customHeight="1">
      <c r="B326" s="213" t="s">
        <v>694</v>
      </c>
    </row>
    <row r="327" ht="18.0" customHeight="1">
      <c r="B327" s="213" t="s">
        <v>694</v>
      </c>
    </row>
    <row r="328" ht="18.0" customHeight="1">
      <c r="B328" s="213" t="s">
        <v>694</v>
      </c>
    </row>
    <row r="329" ht="18.0" customHeight="1">
      <c r="B329" s="213" t="s">
        <v>694</v>
      </c>
    </row>
    <row r="330" ht="18.0" customHeight="1">
      <c r="B330" s="213" t="s">
        <v>694</v>
      </c>
    </row>
    <row r="331" ht="18.0" customHeight="1">
      <c r="B331" s="213" t="s">
        <v>694</v>
      </c>
    </row>
    <row r="332" ht="18.0" customHeight="1">
      <c r="B332" s="213" t="s">
        <v>694</v>
      </c>
    </row>
    <row r="333" ht="18.0" customHeight="1">
      <c r="B333" s="213" t="s">
        <v>694</v>
      </c>
    </row>
    <row r="334" ht="18.0" customHeight="1">
      <c r="B334" s="213" t="s">
        <v>694</v>
      </c>
    </row>
    <row r="335" ht="18.0" customHeight="1">
      <c r="B335" s="213" t="s">
        <v>694</v>
      </c>
    </row>
    <row r="336" ht="18.0" customHeight="1">
      <c r="B336" s="213" t="s">
        <v>694</v>
      </c>
    </row>
    <row r="337" ht="18.0" customHeight="1">
      <c r="B337" s="213" t="s">
        <v>694</v>
      </c>
    </row>
    <row r="338" ht="18.0" customHeight="1">
      <c r="B338" s="213" t="s">
        <v>694</v>
      </c>
    </row>
    <row r="339" ht="18.0" customHeight="1">
      <c r="B339" s="213" t="s">
        <v>694</v>
      </c>
    </row>
    <row r="340" ht="18.0" customHeight="1">
      <c r="B340" s="213" t="s">
        <v>694</v>
      </c>
    </row>
    <row r="341" ht="18.0" customHeight="1">
      <c r="B341" s="213" t="s">
        <v>694</v>
      </c>
    </row>
    <row r="342" ht="18.0" customHeight="1">
      <c r="B342" s="213" t="s">
        <v>694</v>
      </c>
    </row>
    <row r="343" ht="18.0" customHeight="1">
      <c r="B343" s="213" t="s">
        <v>694</v>
      </c>
    </row>
    <row r="344" ht="18.0" customHeight="1">
      <c r="B344" s="213" t="s">
        <v>694</v>
      </c>
    </row>
    <row r="345" ht="18.0" customHeight="1">
      <c r="B345" s="213" t="s">
        <v>694</v>
      </c>
    </row>
    <row r="346" ht="18.0" customHeight="1">
      <c r="B346" s="213" t="s">
        <v>694</v>
      </c>
    </row>
    <row r="347" ht="18.0" customHeight="1">
      <c r="B347" s="213" t="s">
        <v>694</v>
      </c>
    </row>
    <row r="348" ht="18.0" customHeight="1">
      <c r="B348" s="213" t="s">
        <v>694</v>
      </c>
    </row>
    <row r="349" ht="18.0" customHeight="1">
      <c r="B349" s="213" t="s">
        <v>694</v>
      </c>
    </row>
    <row r="350" ht="18.0" customHeight="1">
      <c r="B350" s="213" t="s">
        <v>694</v>
      </c>
    </row>
    <row r="351" ht="18.0" customHeight="1">
      <c r="B351" s="213" t="s">
        <v>694</v>
      </c>
    </row>
    <row r="352" ht="18.0" customHeight="1">
      <c r="B352" s="213" t="s">
        <v>694</v>
      </c>
    </row>
    <row r="353" ht="18.0" customHeight="1">
      <c r="B353" s="213" t="s">
        <v>694</v>
      </c>
    </row>
    <row r="354" ht="18.0" customHeight="1">
      <c r="B354" s="213" t="s">
        <v>694</v>
      </c>
    </row>
    <row r="355" ht="18.0" customHeight="1">
      <c r="B355" s="213" t="s">
        <v>694</v>
      </c>
    </row>
    <row r="356" ht="18.0" customHeight="1">
      <c r="B356" s="213" t="s">
        <v>694</v>
      </c>
    </row>
    <row r="357" ht="18.0" customHeight="1">
      <c r="B357" s="213" t="s">
        <v>694</v>
      </c>
    </row>
    <row r="358" ht="18.0" customHeight="1">
      <c r="B358" s="213" t="s">
        <v>694</v>
      </c>
    </row>
    <row r="359" ht="18.0" customHeight="1">
      <c r="B359" s="213" t="s">
        <v>694</v>
      </c>
    </row>
    <row r="360" ht="18.0" customHeight="1">
      <c r="B360" s="213" t="s">
        <v>694</v>
      </c>
    </row>
    <row r="361" ht="18.0" customHeight="1">
      <c r="B361" s="213" t="s">
        <v>694</v>
      </c>
    </row>
    <row r="362" ht="18.0" customHeight="1">
      <c r="B362" s="213" t="s">
        <v>694</v>
      </c>
    </row>
    <row r="363" ht="18.0" customHeight="1">
      <c r="B363" s="213" t="s">
        <v>694</v>
      </c>
    </row>
    <row r="364" ht="18.0" customHeight="1">
      <c r="B364" s="213" t="s">
        <v>694</v>
      </c>
    </row>
    <row r="365" ht="18.0" customHeight="1">
      <c r="B365" s="213" t="s">
        <v>694</v>
      </c>
    </row>
    <row r="366" ht="18.0" customHeight="1">
      <c r="B366" s="213" t="s">
        <v>694</v>
      </c>
    </row>
    <row r="367" ht="18.0" customHeight="1">
      <c r="B367" s="213" t="s">
        <v>694</v>
      </c>
    </row>
    <row r="368" ht="18.0" customHeight="1">
      <c r="B368" s="213" t="s">
        <v>694</v>
      </c>
    </row>
    <row r="369" ht="18.0" customHeight="1">
      <c r="B369" s="213" t="s">
        <v>694</v>
      </c>
    </row>
    <row r="370" ht="18.0" customHeight="1">
      <c r="B370" s="213" t="s">
        <v>694</v>
      </c>
    </row>
    <row r="371" ht="18.0" customHeight="1">
      <c r="B371" s="213" t="s">
        <v>694</v>
      </c>
    </row>
    <row r="372" ht="18.0" customHeight="1">
      <c r="B372" s="213" t="s">
        <v>694</v>
      </c>
    </row>
    <row r="373" ht="18.0" customHeight="1">
      <c r="B373" s="213" t="s">
        <v>694</v>
      </c>
    </row>
    <row r="374" ht="18.0" customHeight="1">
      <c r="B374" s="213" t="s">
        <v>694</v>
      </c>
    </row>
    <row r="375" ht="18.0" customHeight="1">
      <c r="B375" s="213" t="s">
        <v>694</v>
      </c>
    </row>
    <row r="376" ht="18.0" customHeight="1">
      <c r="B376" s="213" t="s">
        <v>694</v>
      </c>
    </row>
    <row r="377" ht="18.0" customHeight="1">
      <c r="B377" s="213" t="s">
        <v>694</v>
      </c>
    </row>
    <row r="378" ht="18.0" customHeight="1">
      <c r="B378" s="213" t="s">
        <v>694</v>
      </c>
    </row>
    <row r="379" ht="18.0" customHeight="1">
      <c r="B379" s="213" t="s">
        <v>694</v>
      </c>
    </row>
    <row r="380" ht="18.0" customHeight="1">
      <c r="B380" s="213" t="s">
        <v>694</v>
      </c>
    </row>
    <row r="381" ht="18.0" customHeight="1">
      <c r="B381" s="213" t="s">
        <v>694</v>
      </c>
    </row>
    <row r="382" ht="18.0" customHeight="1">
      <c r="B382" s="213" t="s">
        <v>694</v>
      </c>
    </row>
    <row r="383" ht="18.0" customHeight="1">
      <c r="B383" s="213" t="s">
        <v>694</v>
      </c>
    </row>
    <row r="384" ht="18.0" customHeight="1">
      <c r="B384" s="213" t="s">
        <v>694</v>
      </c>
    </row>
    <row r="385" ht="18.0" customHeight="1">
      <c r="B385" s="213" t="s">
        <v>694</v>
      </c>
    </row>
    <row r="386" ht="18.0" customHeight="1">
      <c r="B386" s="213" t="s">
        <v>694</v>
      </c>
    </row>
    <row r="387" ht="18.0" customHeight="1">
      <c r="B387" s="213" t="s">
        <v>694</v>
      </c>
    </row>
    <row r="388" ht="18.0" customHeight="1">
      <c r="B388" s="213" t="s">
        <v>694</v>
      </c>
    </row>
    <row r="389" ht="18.0" customHeight="1">
      <c r="B389" s="213" t="s">
        <v>694</v>
      </c>
    </row>
    <row r="390" ht="18.0" customHeight="1">
      <c r="B390" s="213" t="s">
        <v>694</v>
      </c>
    </row>
    <row r="391" ht="18.0" customHeight="1">
      <c r="B391" s="213" t="s">
        <v>694</v>
      </c>
    </row>
    <row r="392" ht="18.0" customHeight="1">
      <c r="B392" s="213" t="s">
        <v>694</v>
      </c>
    </row>
    <row r="393" ht="18.0" customHeight="1">
      <c r="B393" s="213" t="s">
        <v>694</v>
      </c>
    </row>
    <row r="394" ht="18.0" customHeight="1">
      <c r="B394" s="213" t="s">
        <v>694</v>
      </c>
    </row>
    <row r="395" ht="18.0" customHeight="1">
      <c r="B395" s="213" t="s">
        <v>694</v>
      </c>
    </row>
    <row r="396" ht="18.0" customHeight="1">
      <c r="B396" s="213" t="s">
        <v>694</v>
      </c>
    </row>
    <row r="397" ht="18.0" customHeight="1">
      <c r="B397" s="213" t="s">
        <v>694</v>
      </c>
    </row>
    <row r="398" ht="18.0" customHeight="1">
      <c r="B398" s="213" t="s">
        <v>694</v>
      </c>
    </row>
    <row r="399" ht="18.0" customHeight="1">
      <c r="B399" s="213" t="s">
        <v>694</v>
      </c>
    </row>
    <row r="400" ht="18.0" customHeight="1">
      <c r="B400" s="213" t="s">
        <v>694</v>
      </c>
    </row>
    <row r="401" ht="18.0" customHeight="1">
      <c r="B401" s="213" t="s">
        <v>694</v>
      </c>
    </row>
    <row r="402" ht="18.0" customHeight="1">
      <c r="B402" s="213" t="s">
        <v>694</v>
      </c>
    </row>
    <row r="403" ht="18.0" customHeight="1">
      <c r="B403" s="213" t="s">
        <v>694</v>
      </c>
    </row>
    <row r="404" ht="18.0" customHeight="1">
      <c r="B404" s="213" t="s">
        <v>694</v>
      </c>
    </row>
    <row r="405" ht="18.0" customHeight="1">
      <c r="B405" s="213" t="s">
        <v>694</v>
      </c>
    </row>
    <row r="406" ht="18.0" customHeight="1">
      <c r="B406" s="213" t="s">
        <v>694</v>
      </c>
    </row>
    <row r="407" ht="18.0" customHeight="1">
      <c r="B407" s="213" t="s">
        <v>694</v>
      </c>
    </row>
    <row r="408" ht="18.0" customHeight="1">
      <c r="B408" s="213" t="s">
        <v>694</v>
      </c>
    </row>
    <row r="409" ht="18.0" customHeight="1">
      <c r="B409" s="213" t="s">
        <v>694</v>
      </c>
    </row>
    <row r="410" ht="18.0" customHeight="1">
      <c r="B410" s="213" t="s">
        <v>694</v>
      </c>
    </row>
    <row r="411" ht="18.0" customHeight="1">
      <c r="B411" s="213" t="s">
        <v>694</v>
      </c>
    </row>
    <row r="412" ht="18.0" customHeight="1">
      <c r="B412" s="213" t="s">
        <v>694</v>
      </c>
    </row>
    <row r="413" ht="18.0" customHeight="1">
      <c r="B413" s="213" t="s">
        <v>694</v>
      </c>
    </row>
    <row r="414" ht="18.0" customHeight="1">
      <c r="B414" s="213" t="s">
        <v>694</v>
      </c>
    </row>
    <row r="415" ht="18.0" customHeight="1">
      <c r="B415" s="213" t="s">
        <v>694</v>
      </c>
    </row>
    <row r="416" ht="18.0" customHeight="1">
      <c r="B416" s="213" t="s">
        <v>694</v>
      </c>
    </row>
    <row r="417" ht="18.0" customHeight="1">
      <c r="B417" s="213" t="s">
        <v>694</v>
      </c>
    </row>
    <row r="418" ht="18.0" customHeight="1">
      <c r="B418" s="213" t="s">
        <v>694</v>
      </c>
    </row>
    <row r="419" ht="18.0" customHeight="1">
      <c r="B419" s="213" t="s">
        <v>694</v>
      </c>
    </row>
    <row r="420" ht="18.0" customHeight="1">
      <c r="B420" s="213" t="s">
        <v>694</v>
      </c>
    </row>
    <row r="421" ht="18.0" customHeight="1">
      <c r="B421" s="213" t="s">
        <v>694</v>
      </c>
    </row>
    <row r="422" ht="18.0" customHeight="1">
      <c r="B422" s="213" t="s">
        <v>694</v>
      </c>
    </row>
    <row r="423" ht="18.0" customHeight="1">
      <c r="B423" s="213" t="s">
        <v>694</v>
      </c>
    </row>
    <row r="424" ht="18.0" customHeight="1">
      <c r="B424" s="213" t="s">
        <v>694</v>
      </c>
    </row>
    <row r="425" ht="18.0" customHeight="1">
      <c r="B425" s="213" t="s">
        <v>694</v>
      </c>
    </row>
    <row r="426" ht="18.0" customHeight="1">
      <c r="B426" s="213" t="s">
        <v>694</v>
      </c>
    </row>
    <row r="427" ht="18.0" customHeight="1">
      <c r="B427" s="213" t="s">
        <v>694</v>
      </c>
    </row>
    <row r="428" ht="18.0" customHeight="1">
      <c r="B428" s="213" t="s">
        <v>694</v>
      </c>
    </row>
    <row r="429" ht="18.0" customHeight="1">
      <c r="B429" s="213" t="s">
        <v>694</v>
      </c>
    </row>
    <row r="430" ht="18.0" customHeight="1">
      <c r="B430" s="213" t="s">
        <v>694</v>
      </c>
    </row>
    <row r="431" ht="18.0" customHeight="1">
      <c r="B431" s="213" t="s">
        <v>694</v>
      </c>
    </row>
    <row r="432" ht="18.0" customHeight="1">
      <c r="B432" s="213" t="s">
        <v>694</v>
      </c>
    </row>
    <row r="433" ht="18.0" customHeight="1">
      <c r="B433" s="213" t="s">
        <v>694</v>
      </c>
    </row>
    <row r="434" ht="18.0" customHeight="1">
      <c r="B434" s="213" t="s">
        <v>694</v>
      </c>
    </row>
    <row r="435" ht="18.0" customHeight="1">
      <c r="B435" s="213" t="s">
        <v>694</v>
      </c>
    </row>
    <row r="436" ht="18.0" customHeight="1">
      <c r="B436" s="213" t="s">
        <v>694</v>
      </c>
    </row>
    <row r="437" ht="18.0" customHeight="1">
      <c r="B437" s="213" t="s">
        <v>694</v>
      </c>
    </row>
    <row r="438" ht="18.0" customHeight="1">
      <c r="B438" s="213" t="s">
        <v>694</v>
      </c>
    </row>
    <row r="439" ht="18.0" customHeight="1">
      <c r="B439" s="213" t="s">
        <v>694</v>
      </c>
    </row>
    <row r="440" ht="18.0" customHeight="1">
      <c r="B440" s="213" t="s">
        <v>694</v>
      </c>
    </row>
    <row r="441" ht="18.0" customHeight="1">
      <c r="B441" s="213" t="s">
        <v>694</v>
      </c>
    </row>
    <row r="442" ht="18.0" customHeight="1">
      <c r="B442" s="213" t="s">
        <v>694</v>
      </c>
    </row>
    <row r="443" ht="18.0" customHeight="1">
      <c r="B443" s="213" t="s">
        <v>694</v>
      </c>
    </row>
    <row r="444" ht="18.0" customHeight="1">
      <c r="B444" s="213" t="s">
        <v>694</v>
      </c>
    </row>
    <row r="445" ht="18.0" customHeight="1">
      <c r="B445" s="213" t="s">
        <v>694</v>
      </c>
    </row>
    <row r="446" ht="18.0" customHeight="1">
      <c r="B446" s="213" t="s">
        <v>694</v>
      </c>
    </row>
    <row r="447" ht="18.0" customHeight="1">
      <c r="B447" s="213" t="s">
        <v>694</v>
      </c>
    </row>
    <row r="448" ht="18.0" customHeight="1">
      <c r="B448" s="213" t="s">
        <v>694</v>
      </c>
    </row>
    <row r="449" ht="18.0" customHeight="1">
      <c r="B449" s="213" t="s">
        <v>694</v>
      </c>
    </row>
    <row r="450" ht="18.0" customHeight="1">
      <c r="B450" s="213" t="s">
        <v>694</v>
      </c>
    </row>
    <row r="451" ht="18.0" customHeight="1">
      <c r="B451" s="213" t="s">
        <v>694</v>
      </c>
    </row>
    <row r="452" ht="18.0" customHeight="1">
      <c r="B452" s="213" t="s">
        <v>694</v>
      </c>
    </row>
    <row r="453" ht="18.0" customHeight="1">
      <c r="B453" s="213" t="s">
        <v>694</v>
      </c>
    </row>
    <row r="454" ht="18.0" customHeight="1">
      <c r="B454" s="213" t="s">
        <v>694</v>
      </c>
    </row>
    <row r="455" ht="18.0" customHeight="1">
      <c r="B455" s="213" t="s">
        <v>694</v>
      </c>
    </row>
    <row r="456" ht="18.0" customHeight="1">
      <c r="B456" s="213" t="s">
        <v>694</v>
      </c>
    </row>
    <row r="457" ht="18.0" customHeight="1">
      <c r="B457" s="213" t="s">
        <v>694</v>
      </c>
    </row>
    <row r="458" ht="18.0" customHeight="1">
      <c r="B458" s="213" t="s">
        <v>694</v>
      </c>
    </row>
    <row r="459" ht="18.0" customHeight="1">
      <c r="B459" s="213" t="s">
        <v>694</v>
      </c>
    </row>
    <row r="460" ht="18.0" customHeight="1">
      <c r="B460" s="213" t="s">
        <v>694</v>
      </c>
    </row>
    <row r="461" ht="18.0" customHeight="1">
      <c r="B461" s="213" t="s">
        <v>694</v>
      </c>
    </row>
    <row r="462" ht="18.0" customHeight="1">
      <c r="B462" s="213" t="s">
        <v>694</v>
      </c>
    </row>
    <row r="463" ht="18.0" customHeight="1">
      <c r="B463" s="213" t="s">
        <v>694</v>
      </c>
    </row>
    <row r="464" ht="18.0" customHeight="1">
      <c r="B464" s="213" t="s">
        <v>694</v>
      </c>
    </row>
    <row r="465" ht="18.0" customHeight="1">
      <c r="B465" s="213" t="s">
        <v>694</v>
      </c>
    </row>
    <row r="466" ht="18.0" customHeight="1">
      <c r="B466" s="213" t="s">
        <v>694</v>
      </c>
    </row>
    <row r="467" ht="18.0" customHeight="1">
      <c r="B467" s="213" t="s">
        <v>694</v>
      </c>
    </row>
    <row r="468" ht="18.0" customHeight="1">
      <c r="B468" s="213" t="s">
        <v>694</v>
      </c>
    </row>
    <row r="469" ht="18.0" customHeight="1">
      <c r="B469" s="213" t="s">
        <v>694</v>
      </c>
    </row>
    <row r="470" ht="18.0" customHeight="1">
      <c r="B470" s="213" t="s">
        <v>694</v>
      </c>
    </row>
    <row r="471" ht="18.0" customHeight="1">
      <c r="B471" s="213" t="s">
        <v>694</v>
      </c>
    </row>
    <row r="472" ht="18.0" customHeight="1">
      <c r="B472" s="213" t="s">
        <v>694</v>
      </c>
    </row>
    <row r="473" ht="18.0" customHeight="1">
      <c r="B473" s="213" t="s">
        <v>694</v>
      </c>
    </row>
    <row r="474" ht="18.0" customHeight="1">
      <c r="B474" s="213" t="s">
        <v>694</v>
      </c>
    </row>
    <row r="475" ht="18.0" customHeight="1">
      <c r="B475" s="213" t="s">
        <v>694</v>
      </c>
    </row>
    <row r="476" ht="18.0" customHeight="1">
      <c r="B476" s="213" t="s">
        <v>694</v>
      </c>
    </row>
    <row r="477" ht="18.0" customHeight="1">
      <c r="B477" s="213" t="s">
        <v>694</v>
      </c>
    </row>
    <row r="478" ht="18.0" customHeight="1">
      <c r="B478" s="213" t="s">
        <v>694</v>
      </c>
    </row>
    <row r="479" ht="18.0" customHeight="1">
      <c r="B479" s="213" t="s">
        <v>694</v>
      </c>
    </row>
    <row r="480" ht="18.0" customHeight="1">
      <c r="B480" s="213" t="s">
        <v>694</v>
      </c>
    </row>
    <row r="481" ht="18.0" customHeight="1">
      <c r="B481" s="213" t="s">
        <v>694</v>
      </c>
    </row>
    <row r="482" ht="18.0" customHeight="1">
      <c r="B482" s="213" t="s">
        <v>694</v>
      </c>
    </row>
    <row r="483" ht="18.0" customHeight="1">
      <c r="B483" s="213" t="s">
        <v>694</v>
      </c>
    </row>
    <row r="484" ht="18.0" customHeight="1">
      <c r="B484" s="213" t="s">
        <v>694</v>
      </c>
    </row>
    <row r="485" ht="18.0" customHeight="1">
      <c r="B485" s="213" t="s">
        <v>694</v>
      </c>
    </row>
    <row r="486" ht="18.0" customHeight="1">
      <c r="B486" s="213" t="s">
        <v>694</v>
      </c>
    </row>
    <row r="487" ht="18.0" customHeight="1">
      <c r="B487" s="213" t="s">
        <v>694</v>
      </c>
    </row>
    <row r="488" ht="18.0" customHeight="1">
      <c r="B488" s="213" t="s">
        <v>694</v>
      </c>
    </row>
    <row r="489" ht="18.0" customHeight="1">
      <c r="B489" s="213" t="s">
        <v>694</v>
      </c>
    </row>
    <row r="490" ht="18.0" customHeight="1">
      <c r="B490" s="213" t="s">
        <v>694</v>
      </c>
    </row>
    <row r="491" ht="18.0" customHeight="1">
      <c r="B491" s="213" t="s">
        <v>694</v>
      </c>
    </row>
    <row r="492" ht="18.0" customHeight="1">
      <c r="B492" s="213" t="s">
        <v>694</v>
      </c>
    </row>
    <row r="493" ht="18.0" customHeight="1">
      <c r="B493" s="213" t="s">
        <v>694</v>
      </c>
    </row>
    <row r="494" ht="18.0" customHeight="1">
      <c r="B494" s="213" t="s">
        <v>694</v>
      </c>
    </row>
    <row r="495" ht="18.0" customHeight="1">
      <c r="B495" s="213" t="s">
        <v>694</v>
      </c>
    </row>
    <row r="496" ht="18.0" customHeight="1">
      <c r="B496" s="213" t="s">
        <v>694</v>
      </c>
    </row>
    <row r="497" ht="18.0" customHeight="1">
      <c r="B497" s="213" t="s">
        <v>694</v>
      </c>
    </row>
    <row r="498" ht="18.0" customHeight="1">
      <c r="B498" s="213" t="s">
        <v>694</v>
      </c>
    </row>
    <row r="499" ht="18.0" customHeight="1">
      <c r="B499" s="213" t="s">
        <v>694</v>
      </c>
    </row>
    <row r="500" ht="18.0" customHeight="1">
      <c r="B500" s="213" t="s">
        <v>694</v>
      </c>
    </row>
    <row r="501" ht="18.0" customHeight="1">
      <c r="B501" s="213" t="s">
        <v>694</v>
      </c>
    </row>
    <row r="502" ht="18.0" customHeight="1">
      <c r="B502" s="213" t="s">
        <v>694</v>
      </c>
    </row>
    <row r="503" ht="18.0" customHeight="1">
      <c r="B503" s="213" t="s">
        <v>694</v>
      </c>
    </row>
    <row r="504" ht="18.0" customHeight="1">
      <c r="B504" s="213" t="s">
        <v>694</v>
      </c>
    </row>
    <row r="505" ht="18.0" customHeight="1">
      <c r="B505" s="213" t="s">
        <v>694</v>
      </c>
    </row>
    <row r="506" ht="18.0" customHeight="1">
      <c r="B506" s="213" t="s">
        <v>694</v>
      </c>
    </row>
    <row r="507" ht="18.0" customHeight="1">
      <c r="B507" s="213" t="s">
        <v>694</v>
      </c>
    </row>
    <row r="508" ht="18.0" customHeight="1">
      <c r="B508" s="213" t="s">
        <v>694</v>
      </c>
    </row>
    <row r="509" ht="18.0" customHeight="1">
      <c r="B509" s="213" t="s">
        <v>694</v>
      </c>
    </row>
    <row r="510" ht="18.0" customHeight="1">
      <c r="B510" s="213" t="s">
        <v>694</v>
      </c>
    </row>
    <row r="511" ht="18.0" customHeight="1">
      <c r="B511" s="213" t="s">
        <v>694</v>
      </c>
    </row>
    <row r="512" ht="18.0" customHeight="1">
      <c r="B512" s="213" t="s">
        <v>694</v>
      </c>
    </row>
    <row r="513" ht="18.0" customHeight="1">
      <c r="B513" s="213" t="s">
        <v>694</v>
      </c>
    </row>
    <row r="514" ht="18.0" customHeight="1">
      <c r="B514" s="213" t="s">
        <v>694</v>
      </c>
    </row>
    <row r="515" ht="18.0" customHeight="1">
      <c r="B515" s="213" t="s">
        <v>694</v>
      </c>
    </row>
    <row r="516" ht="18.0" customHeight="1">
      <c r="B516" s="213" t="s">
        <v>694</v>
      </c>
    </row>
    <row r="517" ht="18.0" customHeight="1">
      <c r="B517" s="213" t="s">
        <v>694</v>
      </c>
    </row>
    <row r="518" ht="18.0" customHeight="1">
      <c r="B518" s="213" t="s">
        <v>694</v>
      </c>
    </row>
    <row r="519" ht="18.0" customHeight="1">
      <c r="B519" s="213" t="s">
        <v>694</v>
      </c>
    </row>
    <row r="520" ht="18.0" customHeight="1">
      <c r="B520" s="213" t="s">
        <v>694</v>
      </c>
    </row>
    <row r="521" ht="18.0" customHeight="1">
      <c r="B521" s="213" t="s">
        <v>694</v>
      </c>
    </row>
    <row r="522" ht="18.0" customHeight="1">
      <c r="B522" s="213" t="s">
        <v>694</v>
      </c>
    </row>
    <row r="523" ht="18.0" customHeight="1">
      <c r="B523" s="213" t="s">
        <v>694</v>
      </c>
    </row>
    <row r="524" ht="18.0" customHeight="1">
      <c r="B524" s="213" t="s">
        <v>694</v>
      </c>
    </row>
    <row r="525" ht="18.0" customHeight="1">
      <c r="B525" s="213" t="s">
        <v>694</v>
      </c>
    </row>
    <row r="526" ht="18.0" customHeight="1">
      <c r="B526" s="213" t="s">
        <v>694</v>
      </c>
    </row>
    <row r="527" ht="18.0" customHeight="1">
      <c r="B527" s="213" t="s">
        <v>694</v>
      </c>
    </row>
    <row r="528" ht="18.0" customHeight="1">
      <c r="B528" s="213" t="s">
        <v>694</v>
      </c>
    </row>
    <row r="529" ht="18.0" customHeight="1">
      <c r="B529" s="213" t="s">
        <v>694</v>
      </c>
    </row>
    <row r="530" ht="18.0" customHeight="1">
      <c r="B530" s="213" t="s">
        <v>694</v>
      </c>
    </row>
    <row r="531" ht="18.0" customHeight="1">
      <c r="B531" s="213" t="s">
        <v>694</v>
      </c>
    </row>
    <row r="532" ht="18.0" customHeight="1">
      <c r="B532" s="213" t="s">
        <v>694</v>
      </c>
    </row>
    <row r="533" ht="18.0" customHeight="1">
      <c r="B533" s="213" t="s">
        <v>694</v>
      </c>
    </row>
    <row r="534" ht="18.0" customHeight="1">
      <c r="B534" s="213" t="s">
        <v>694</v>
      </c>
    </row>
    <row r="535" ht="18.0" customHeight="1">
      <c r="B535" s="213" t="s">
        <v>694</v>
      </c>
    </row>
    <row r="536" ht="18.0" customHeight="1">
      <c r="B536" s="213" t="s">
        <v>694</v>
      </c>
    </row>
    <row r="537" ht="18.0" customHeight="1">
      <c r="B537" s="213" t="s">
        <v>694</v>
      </c>
    </row>
    <row r="538" ht="18.0" customHeight="1">
      <c r="B538" s="213" t="s">
        <v>694</v>
      </c>
    </row>
    <row r="539" ht="18.0" customHeight="1">
      <c r="B539" s="213" t="s">
        <v>694</v>
      </c>
    </row>
    <row r="540" ht="18.0" customHeight="1">
      <c r="B540" s="213" t="s">
        <v>694</v>
      </c>
    </row>
    <row r="541" ht="18.0" customHeight="1">
      <c r="B541" s="213" t="s">
        <v>694</v>
      </c>
    </row>
    <row r="542" ht="18.0" customHeight="1">
      <c r="B542" s="213" t="s">
        <v>694</v>
      </c>
    </row>
    <row r="543" ht="18.0" customHeight="1">
      <c r="B543" s="213" t="s">
        <v>694</v>
      </c>
    </row>
    <row r="544" ht="18.0" customHeight="1">
      <c r="B544" s="213" t="s">
        <v>694</v>
      </c>
    </row>
    <row r="545" ht="18.0" customHeight="1">
      <c r="B545" s="213" t="s">
        <v>694</v>
      </c>
    </row>
    <row r="546" ht="18.0" customHeight="1">
      <c r="B546" s="213" t="s">
        <v>694</v>
      </c>
    </row>
    <row r="547" ht="18.0" customHeight="1">
      <c r="B547" s="213" t="s">
        <v>694</v>
      </c>
    </row>
    <row r="548" ht="18.0" customHeight="1">
      <c r="B548" s="213" t="s">
        <v>694</v>
      </c>
    </row>
    <row r="549" ht="18.0" customHeight="1">
      <c r="B549" s="213" t="s">
        <v>694</v>
      </c>
    </row>
    <row r="550" ht="18.0" customHeight="1">
      <c r="B550" s="213" t="s">
        <v>694</v>
      </c>
    </row>
    <row r="551" ht="18.0" customHeight="1">
      <c r="B551" s="213" t="s">
        <v>694</v>
      </c>
    </row>
    <row r="552" ht="18.0" customHeight="1">
      <c r="B552" s="213" t="s">
        <v>694</v>
      </c>
    </row>
    <row r="553" ht="18.0" customHeight="1">
      <c r="B553" s="213" t="s">
        <v>694</v>
      </c>
    </row>
    <row r="554" ht="18.0" customHeight="1">
      <c r="B554" s="213" t="s">
        <v>694</v>
      </c>
    </row>
    <row r="555" ht="18.0" customHeight="1">
      <c r="B555" s="213" t="s">
        <v>694</v>
      </c>
    </row>
    <row r="556" ht="18.0" customHeight="1">
      <c r="B556" s="213" t="s">
        <v>694</v>
      </c>
    </row>
    <row r="557" ht="18.0" customHeight="1">
      <c r="B557" s="213" t="s">
        <v>694</v>
      </c>
    </row>
    <row r="558" ht="18.0" customHeight="1">
      <c r="B558" s="213" t="s">
        <v>694</v>
      </c>
    </row>
    <row r="559" ht="18.0" customHeight="1">
      <c r="B559" s="213" t="s">
        <v>694</v>
      </c>
    </row>
    <row r="560" ht="18.0" customHeight="1">
      <c r="B560" s="213" t="s">
        <v>694</v>
      </c>
    </row>
    <row r="561" ht="18.0" customHeight="1">
      <c r="B561" s="213" t="s">
        <v>694</v>
      </c>
    </row>
    <row r="562" ht="18.0" customHeight="1">
      <c r="B562" s="213" t="s">
        <v>694</v>
      </c>
    </row>
    <row r="563" ht="18.0" customHeight="1">
      <c r="B563" s="213" t="s">
        <v>694</v>
      </c>
    </row>
    <row r="564" ht="18.0" customHeight="1">
      <c r="B564" s="213" t="s">
        <v>694</v>
      </c>
    </row>
    <row r="565" ht="18.0" customHeight="1">
      <c r="B565" s="213" t="s">
        <v>694</v>
      </c>
    </row>
    <row r="566" ht="18.0" customHeight="1">
      <c r="B566" s="213" t="s">
        <v>694</v>
      </c>
    </row>
    <row r="567" ht="18.0" customHeight="1">
      <c r="B567" s="213" t="s">
        <v>694</v>
      </c>
    </row>
    <row r="568" ht="18.0" customHeight="1">
      <c r="B568" s="213" t="s">
        <v>694</v>
      </c>
    </row>
    <row r="569" ht="18.0" customHeight="1">
      <c r="B569" s="213" t="s">
        <v>694</v>
      </c>
    </row>
    <row r="570" ht="18.0" customHeight="1">
      <c r="B570" s="213" t="s">
        <v>694</v>
      </c>
    </row>
    <row r="571" ht="18.0" customHeight="1">
      <c r="B571" s="213" t="s">
        <v>694</v>
      </c>
    </row>
    <row r="572" ht="18.0" customHeight="1">
      <c r="B572" s="213" t="s">
        <v>694</v>
      </c>
    </row>
    <row r="573" ht="18.0" customHeight="1">
      <c r="B573" s="213" t="s">
        <v>694</v>
      </c>
    </row>
    <row r="574" ht="18.0" customHeight="1">
      <c r="B574" s="213" t="s">
        <v>694</v>
      </c>
    </row>
    <row r="575" ht="18.0" customHeight="1">
      <c r="B575" s="213" t="s">
        <v>694</v>
      </c>
    </row>
    <row r="576" ht="18.0" customHeight="1">
      <c r="B576" s="213" t="s">
        <v>694</v>
      </c>
    </row>
    <row r="577" ht="18.0" customHeight="1">
      <c r="B577" s="213" t="s">
        <v>694</v>
      </c>
    </row>
    <row r="578" ht="18.0" customHeight="1">
      <c r="B578" s="213" t="s">
        <v>694</v>
      </c>
    </row>
    <row r="579" ht="18.0" customHeight="1">
      <c r="B579" s="213" t="s">
        <v>694</v>
      </c>
    </row>
    <row r="580" ht="18.0" customHeight="1">
      <c r="B580" s="213" t="s">
        <v>694</v>
      </c>
    </row>
    <row r="581" ht="18.0" customHeight="1">
      <c r="B581" s="213" t="s">
        <v>694</v>
      </c>
    </row>
    <row r="582" ht="18.0" customHeight="1">
      <c r="B582" s="213" t="s">
        <v>694</v>
      </c>
    </row>
    <row r="583" ht="18.0" customHeight="1">
      <c r="B583" s="213" t="s">
        <v>694</v>
      </c>
    </row>
    <row r="584" ht="18.0" customHeight="1">
      <c r="B584" s="213" t="s">
        <v>694</v>
      </c>
    </row>
    <row r="585" ht="18.0" customHeight="1">
      <c r="B585" s="213" t="s">
        <v>694</v>
      </c>
    </row>
    <row r="586" ht="18.0" customHeight="1">
      <c r="B586" s="213" t="s">
        <v>694</v>
      </c>
    </row>
    <row r="587" ht="18.0" customHeight="1">
      <c r="B587" s="213" t="s">
        <v>694</v>
      </c>
    </row>
    <row r="588" ht="18.0" customHeight="1">
      <c r="B588" s="213" t="s">
        <v>694</v>
      </c>
    </row>
    <row r="589" ht="18.0" customHeight="1">
      <c r="B589" s="213" t="s">
        <v>694</v>
      </c>
    </row>
    <row r="590" ht="18.0" customHeight="1">
      <c r="B590" s="213" t="s">
        <v>694</v>
      </c>
    </row>
    <row r="591" ht="18.0" customHeight="1">
      <c r="B591" s="213" t="s">
        <v>694</v>
      </c>
    </row>
    <row r="592" ht="18.0" customHeight="1">
      <c r="B592" s="213" t="s">
        <v>694</v>
      </c>
    </row>
    <row r="593" ht="18.0" customHeight="1">
      <c r="B593" s="213" t="s">
        <v>694</v>
      </c>
    </row>
    <row r="594" ht="18.0" customHeight="1">
      <c r="B594" s="213" t="s">
        <v>694</v>
      </c>
    </row>
    <row r="595" ht="18.0" customHeight="1">
      <c r="B595" s="213" t="s">
        <v>694</v>
      </c>
    </row>
    <row r="596" ht="18.0" customHeight="1">
      <c r="B596" s="213" t="s">
        <v>694</v>
      </c>
    </row>
    <row r="597" ht="18.0" customHeight="1">
      <c r="B597" s="213" t="s">
        <v>694</v>
      </c>
    </row>
    <row r="598" ht="18.0" customHeight="1">
      <c r="B598" s="213" t="s">
        <v>694</v>
      </c>
    </row>
    <row r="599" ht="18.0" customHeight="1">
      <c r="B599" s="213" t="s">
        <v>694</v>
      </c>
    </row>
    <row r="600" ht="18.0" customHeight="1">
      <c r="B600" s="213" t="s">
        <v>694</v>
      </c>
    </row>
    <row r="601" ht="18.0" customHeight="1">
      <c r="B601" s="213" t="s">
        <v>694</v>
      </c>
    </row>
    <row r="602" ht="18.0" customHeight="1">
      <c r="B602" s="213" t="s">
        <v>694</v>
      </c>
    </row>
    <row r="603" ht="18.0" customHeight="1">
      <c r="B603" s="213" t="s">
        <v>694</v>
      </c>
    </row>
    <row r="604" ht="18.0" customHeight="1">
      <c r="B604" s="213" t="s">
        <v>694</v>
      </c>
    </row>
    <row r="605" ht="18.0" customHeight="1">
      <c r="B605" s="213" t="s">
        <v>694</v>
      </c>
    </row>
    <row r="606" ht="18.0" customHeight="1">
      <c r="B606" s="213" t="s">
        <v>694</v>
      </c>
    </row>
    <row r="607" ht="18.0" customHeight="1">
      <c r="B607" s="213" t="s">
        <v>694</v>
      </c>
    </row>
    <row r="608" ht="18.0" customHeight="1">
      <c r="B608" s="213" t="s">
        <v>694</v>
      </c>
    </row>
    <row r="609" ht="18.0" customHeight="1">
      <c r="B609" s="213" t="s">
        <v>694</v>
      </c>
    </row>
    <row r="610" ht="18.0" customHeight="1">
      <c r="B610" s="213" t="s">
        <v>694</v>
      </c>
    </row>
    <row r="611" ht="18.0" customHeight="1">
      <c r="B611" s="213" t="s">
        <v>694</v>
      </c>
    </row>
    <row r="612" ht="18.0" customHeight="1">
      <c r="B612" s="213" t="s">
        <v>694</v>
      </c>
    </row>
    <row r="613" ht="18.0" customHeight="1">
      <c r="B613" s="213" t="s">
        <v>694</v>
      </c>
    </row>
    <row r="614" ht="18.0" customHeight="1">
      <c r="B614" s="213" t="s">
        <v>694</v>
      </c>
    </row>
    <row r="615" ht="18.0" customHeight="1">
      <c r="B615" s="213" t="s">
        <v>694</v>
      </c>
    </row>
    <row r="616" ht="18.0" customHeight="1">
      <c r="B616" s="213" t="s">
        <v>694</v>
      </c>
    </row>
    <row r="617" ht="18.0" customHeight="1">
      <c r="B617" s="213" t="s">
        <v>694</v>
      </c>
    </row>
    <row r="618" ht="18.0" customHeight="1">
      <c r="B618" s="213" t="s">
        <v>694</v>
      </c>
    </row>
    <row r="619" ht="18.0" customHeight="1">
      <c r="B619" s="213" t="s">
        <v>694</v>
      </c>
    </row>
    <row r="620" ht="18.0" customHeight="1">
      <c r="B620" s="213" t="s">
        <v>694</v>
      </c>
    </row>
    <row r="621" ht="18.0" customHeight="1">
      <c r="B621" s="213" t="s">
        <v>694</v>
      </c>
    </row>
    <row r="622" ht="18.0" customHeight="1">
      <c r="B622" s="213" t="s">
        <v>694</v>
      </c>
    </row>
    <row r="623" ht="18.0" customHeight="1">
      <c r="B623" s="213" t="s">
        <v>694</v>
      </c>
    </row>
    <row r="624" ht="18.0" customHeight="1">
      <c r="B624" s="213" t="s">
        <v>694</v>
      </c>
    </row>
    <row r="625" ht="18.0" customHeight="1">
      <c r="B625" s="213" t="s">
        <v>694</v>
      </c>
    </row>
    <row r="626" ht="18.0" customHeight="1">
      <c r="B626" s="213" t="s">
        <v>694</v>
      </c>
    </row>
    <row r="627" ht="18.0" customHeight="1">
      <c r="B627" s="213" t="s">
        <v>694</v>
      </c>
    </row>
    <row r="628" ht="18.0" customHeight="1">
      <c r="B628" s="213" t="s">
        <v>694</v>
      </c>
    </row>
    <row r="629" ht="18.0" customHeight="1">
      <c r="B629" s="213" t="s">
        <v>694</v>
      </c>
    </row>
    <row r="630" ht="18.0" customHeight="1">
      <c r="B630" s="213" t="s">
        <v>694</v>
      </c>
    </row>
    <row r="631" ht="18.0" customHeight="1">
      <c r="B631" s="213" t="s">
        <v>694</v>
      </c>
    </row>
    <row r="632" ht="18.0" customHeight="1">
      <c r="B632" s="213" t="s">
        <v>694</v>
      </c>
    </row>
    <row r="633" ht="18.0" customHeight="1">
      <c r="B633" s="213" t="s">
        <v>694</v>
      </c>
    </row>
    <row r="634" ht="18.0" customHeight="1">
      <c r="B634" s="213" t="s">
        <v>694</v>
      </c>
    </row>
    <row r="635" ht="18.0" customHeight="1">
      <c r="B635" s="213" t="s">
        <v>694</v>
      </c>
    </row>
    <row r="636" ht="18.0" customHeight="1">
      <c r="B636" s="213" t="s">
        <v>694</v>
      </c>
    </row>
    <row r="637" ht="18.0" customHeight="1">
      <c r="B637" s="213" t="s">
        <v>694</v>
      </c>
    </row>
    <row r="638" ht="18.0" customHeight="1">
      <c r="B638" s="213" t="s">
        <v>694</v>
      </c>
    </row>
    <row r="639" ht="18.0" customHeight="1">
      <c r="B639" s="213" t="s">
        <v>694</v>
      </c>
    </row>
    <row r="640" ht="18.0" customHeight="1">
      <c r="B640" s="213" t="s">
        <v>694</v>
      </c>
    </row>
    <row r="641" ht="18.0" customHeight="1">
      <c r="B641" s="213" t="s">
        <v>694</v>
      </c>
    </row>
    <row r="642" ht="18.0" customHeight="1">
      <c r="B642" s="213" t="s">
        <v>694</v>
      </c>
    </row>
    <row r="643" ht="18.0" customHeight="1">
      <c r="B643" s="213" t="s">
        <v>694</v>
      </c>
    </row>
    <row r="644" ht="18.0" customHeight="1">
      <c r="B644" s="213" t="s">
        <v>694</v>
      </c>
    </row>
    <row r="645" ht="18.0" customHeight="1">
      <c r="B645" s="213" t="s">
        <v>694</v>
      </c>
    </row>
    <row r="646" ht="18.0" customHeight="1">
      <c r="B646" s="213" t="s">
        <v>694</v>
      </c>
    </row>
    <row r="647" ht="18.0" customHeight="1">
      <c r="B647" s="213" t="s">
        <v>694</v>
      </c>
    </row>
    <row r="648" ht="18.0" customHeight="1">
      <c r="B648" s="213" t="s">
        <v>694</v>
      </c>
    </row>
    <row r="649" ht="18.0" customHeight="1">
      <c r="B649" s="213" t="s">
        <v>694</v>
      </c>
    </row>
    <row r="650" ht="18.0" customHeight="1">
      <c r="B650" s="213" t="s">
        <v>694</v>
      </c>
    </row>
    <row r="651" ht="18.0" customHeight="1">
      <c r="B651" s="213" t="s">
        <v>694</v>
      </c>
    </row>
    <row r="652" ht="18.0" customHeight="1">
      <c r="B652" s="213" t="s">
        <v>694</v>
      </c>
    </row>
    <row r="653" ht="18.0" customHeight="1">
      <c r="B653" s="213" t="s">
        <v>694</v>
      </c>
    </row>
    <row r="654" ht="18.0" customHeight="1">
      <c r="B654" s="213" t="s">
        <v>694</v>
      </c>
    </row>
    <row r="655" ht="18.0" customHeight="1">
      <c r="B655" s="213" t="s">
        <v>694</v>
      </c>
    </row>
    <row r="656" ht="18.0" customHeight="1">
      <c r="B656" s="213" t="s">
        <v>694</v>
      </c>
    </row>
    <row r="657" ht="18.0" customHeight="1">
      <c r="B657" s="213" t="s">
        <v>694</v>
      </c>
    </row>
    <row r="658" ht="18.0" customHeight="1">
      <c r="B658" s="213" t="s">
        <v>694</v>
      </c>
    </row>
    <row r="659" ht="18.0" customHeight="1">
      <c r="B659" s="213" t="s">
        <v>694</v>
      </c>
    </row>
    <row r="660" ht="18.0" customHeight="1">
      <c r="B660" s="213" t="s">
        <v>694</v>
      </c>
    </row>
    <row r="661" ht="18.0" customHeight="1">
      <c r="B661" s="213" t="s">
        <v>694</v>
      </c>
    </row>
    <row r="662" ht="18.0" customHeight="1">
      <c r="B662" s="213" t="s">
        <v>694</v>
      </c>
    </row>
    <row r="663" ht="18.0" customHeight="1">
      <c r="B663" s="213" t="s">
        <v>694</v>
      </c>
    </row>
    <row r="664" ht="18.0" customHeight="1">
      <c r="B664" s="213" t="s">
        <v>694</v>
      </c>
    </row>
    <row r="665" ht="18.0" customHeight="1">
      <c r="B665" s="213" t="s">
        <v>694</v>
      </c>
    </row>
    <row r="666" ht="18.0" customHeight="1">
      <c r="B666" s="213" t="s">
        <v>694</v>
      </c>
    </row>
    <row r="667" ht="18.0" customHeight="1">
      <c r="B667" s="213" t="s">
        <v>694</v>
      </c>
    </row>
    <row r="668" ht="18.0" customHeight="1">
      <c r="B668" s="213" t="s">
        <v>694</v>
      </c>
    </row>
    <row r="669" ht="18.0" customHeight="1">
      <c r="B669" s="213" t="s">
        <v>694</v>
      </c>
    </row>
    <row r="670" ht="18.0" customHeight="1">
      <c r="B670" s="213" t="s">
        <v>694</v>
      </c>
    </row>
    <row r="671" ht="18.0" customHeight="1">
      <c r="B671" s="213" t="s">
        <v>694</v>
      </c>
    </row>
    <row r="672" ht="18.0" customHeight="1">
      <c r="B672" s="213" t="s">
        <v>694</v>
      </c>
    </row>
    <row r="673" ht="18.0" customHeight="1">
      <c r="B673" s="213" t="s">
        <v>694</v>
      </c>
    </row>
    <row r="674" ht="18.0" customHeight="1">
      <c r="B674" s="213" t="s">
        <v>694</v>
      </c>
    </row>
    <row r="675" ht="18.0" customHeight="1">
      <c r="B675" s="213" t="s">
        <v>694</v>
      </c>
    </row>
    <row r="676" ht="18.0" customHeight="1">
      <c r="B676" s="213" t="s">
        <v>694</v>
      </c>
    </row>
    <row r="677" ht="18.0" customHeight="1">
      <c r="B677" s="213" t="s">
        <v>694</v>
      </c>
    </row>
    <row r="678" ht="18.0" customHeight="1">
      <c r="B678" s="213" t="s">
        <v>694</v>
      </c>
    </row>
    <row r="679" ht="18.0" customHeight="1">
      <c r="B679" s="213" t="s">
        <v>694</v>
      </c>
    </row>
    <row r="680" ht="18.0" customHeight="1">
      <c r="B680" s="213" t="s">
        <v>694</v>
      </c>
    </row>
    <row r="681" ht="18.0" customHeight="1">
      <c r="B681" s="213" t="s">
        <v>694</v>
      </c>
    </row>
    <row r="682" ht="18.0" customHeight="1">
      <c r="B682" s="213" t="s">
        <v>694</v>
      </c>
    </row>
    <row r="683" ht="18.0" customHeight="1">
      <c r="B683" s="213" t="s">
        <v>694</v>
      </c>
    </row>
    <row r="684" ht="18.0" customHeight="1">
      <c r="B684" s="213" t="s">
        <v>694</v>
      </c>
    </row>
    <row r="685" ht="18.0" customHeight="1">
      <c r="B685" s="213" t="s">
        <v>694</v>
      </c>
    </row>
    <row r="686" ht="18.0" customHeight="1">
      <c r="B686" s="213" t="s">
        <v>694</v>
      </c>
    </row>
    <row r="687" ht="18.0" customHeight="1">
      <c r="B687" s="213" t="s">
        <v>694</v>
      </c>
    </row>
    <row r="688" ht="18.0" customHeight="1">
      <c r="B688" s="213" t="s">
        <v>694</v>
      </c>
    </row>
    <row r="689" ht="18.0" customHeight="1">
      <c r="B689" s="213" t="s">
        <v>694</v>
      </c>
    </row>
    <row r="690" ht="18.0" customHeight="1">
      <c r="B690" s="213" t="s">
        <v>694</v>
      </c>
    </row>
    <row r="691" ht="18.0" customHeight="1">
      <c r="B691" s="213" t="s">
        <v>694</v>
      </c>
    </row>
    <row r="692" ht="18.0" customHeight="1">
      <c r="B692" s="213" t="s">
        <v>694</v>
      </c>
    </row>
    <row r="693" ht="18.0" customHeight="1">
      <c r="B693" s="213" t="s">
        <v>694</v>
      </c>
    </row>
    <row r="694" ht="18.0" customHeight="1">
      <c r="B694" s="213" t="s">
        <v>694</v>
      </c>
    </row>
    <row r="695" ht="18.0" customHeight="1">
      <c r="B695" s="213" t="s">
        <v>694</v>
      </c>
    </row>
    <row r="696" ht="18.0" customHeight="1">
      <c r="B696" s="213" t="s">
        <v>694</v>
      </c>
    </row>
    <row r="697" ht="18.0" customHeight="1">
      <c r="B697" s="213" t="s">
        <v>694</v>
      </c>
    </row>
    <row r="698" ht="18.0" customHeight="1">
      <c r="B698" s="213" t="s">
        <v>694</v>
      </c>
    </row>
    <row r="699" ht="18.0" customHeight="1">
      <c r="B699" s="213" t="s">
        <v>694</v>
      </c>
    </row>
    <row r="700" ht="18.0" customHeight="1">
      <c r="B700" s="213" t="s">
        <v>694</v>
      </c>
    </row>
    <row r="701" ht="18.0" customHeight="1">
      <c r="B701" s="213" t="s">
        <v>694</v>
      </c>
    </row>
    <row r="702" ht="18.0" customHeight="1">
      <c r="B702" s="213" t="s">
        <v>694</v>
      </c>
    </row>
    <row r="703" ht="18.0" customHeight="1">
      <c r="B703" s="213" t="s">
        <v>694</v>
      </c>
    </row>
    <row r="704" ht="18.0" customHeight="1">
      <c r="B704" s="213" t="s">
        <v>694</v>
      </c>
    </row>
    <row r="705" ht="18.0" customHeight="1">
      <c r="B705" s="213" t="s">
        <v>694</v>
      </c>
    </row>
    <row r="706" ht="18.0" customHeight="1">
      <c r="B706" s="213" t="s">
        <v>694</v>
      </c>
    </row>
    <row r="707" ht="18.0" customHeight="1">
      <c r="B707" s="213" t="s">
        <v>694</v>
      </c>
    </row>
    <row r="708" ht="18.0" customHeight="1">
      <c r="B708" s="213" t="s">
        <v>694</v>
      </c>
    </row>
    <row r="709" ht="18.0" customHeight="1">
      <c r="B709" s="213" t="s">
        <v>694</v>
      </c>
    </row>
    <row r="710" ht="18.0" customHeight="1">
      <c r="B710" s="213" t="s">
        <v>694</v>
      </c>
    </row>
    <row r="711" ht="18.0" customHeight="1">
      <c r="B711" s="213" t="s">
        <v>694</v>
      </c>
    </row>
    <row r="712" ht="18.0" customHeight="1">
      <c r="B712" s="213" t="s">
        <v>694</v>
      </c>
    </row>
    <row r="713" ht="18.0" customHeight="1">
      <c r="B713" s="213" t="s">
        <v>694</v>
      </c>
    </row>
    <row r="714" ht="18.0" customHeight="1">
      <c r="B714" s="213" t="s">
        <v>694</v>
      </c>
    </row>
    <row r="715" ht="18.0" customHeight="1">
      <c r="B715" s="213" t="s">
        <v>694</v>
      </c>
    </row>
    <row r="716" ht="18.0" customHeight="1">
      <c r="B716" s="213" t="s">
        <v>694</v>
      </c>
    </row>
    <row r="717" ht="18.0" customHeight="1">
      <c r="B717" s="213" t="s">
        <v>694</v>
      </c>
    </row>
    <row r="718" ht="18.0" customHeight="1">
      <c r="B718" s="213" t="s">
        <v>694</v>
      </c>
    </row>
    <row r="719" ht="18.0" customHeight="1">
      <c r="B719" s="213" t="s">
        <v>694</v>
      </c>
    </row>
    <row r="720" ht="18.0" customHeight="1">
      <c r="B720" s="213" t="s">
        <v>694</v>
      </c>
    </row>
    <row r="721" ht="18.0" customHeight="1">
      <c r="B721" s="213" t="s">
        <v>694</v>
      </c>
    </row>
    <row r="722" ht="18.0" customHeight="1">
      <c r="B722" s="213" t="s">
        <v>694</v>
      </c>
    </row>
    <row r="723" ht="18.0" customHeight="1">
      <c r="B723" s="213" t="s">
        <v>694</v>
      </c>
    </row>
    <row r="724" ht="18.0" customHeight="1">
      <c r="B724" s="213" t="s">
        <v>694</v>
      </c>
    </row>
    <row r="725" ht="18.0" customHeight="1">
      <c r="B725" s="213" t="s">
        <v>694</v>
      </c>
    </row>
    <row r="726" ht="18.0" customHeight="1">
      <c r="B726" s="213" t="s">
        <v>694</v>
      </c>
    </row>
    <row r="727" ht="18.0" customHeight="1">
      <c r="B727" s="213" t="s">
        <v>694</v>
      </c>
    </row>
    <row r="728" ht="18.0" customHeight="1">
      <c r="B728" s="213" t="s">
        <v>694</v>
      </c>
    </row>
    <row r="729" ht="18.0" customHeight="1">
      <c r="B729" s="213" t="s">
        <v>694</v>
      </c>
    </row>
    <row r="730" ht="18.0" customHeight="1">
      <c r="B730" s="213" t="s">
        <v>694</v>
      </c>
    </row>
    <row r="731" ht="18.0" customHeight="1">
      <c r="B731" s="213" t="s">
        <v>694</v>
      </c>
    </row>
    <row r="732" ht="18.0" customHeight="1">
      <c r="B732" s="213" t="s">
        <v>694</v>
      </c>
    </row>
    <row r="733" ht="18.0" customHeight="1">
      <c r="B733" s="213" t="s">
        <v>694</v>
      </c>
    </row>
    <row r="734" ht="18.0" customHeight="1">
      <c r="B734" s="213" t="s">
        <v>694</v>
      </c>
    </row>
    <row r="735" ht="18.0" customHeight="1">
      <c r="B735" s="213" t="s">
        <v>694</v>
      </c>
    </row>
    <row r="736" ht="18.0" customHeight="1">
      <c r="B736" s="213" t="s">
        <v>694</v>
      </c>
    </row>
    <row r="737" ht="18.0" customHeight="1">
      <c r="B737" s="213" t="s">
        <v>694</v>
      </c>
    </row>
    <row r="738" ht="18.0" customHeight="1">
      <c r="B738" s="213" t="s">
        <v>694</v>
      </c>
    </row>
    <row r="739" ht="18.0" customHeight="1">
      <c r="B739" s="213" t="s">
        <v>694</v>
      </c>
    </row>
    <row r="740" ht="18.0" customHeight="1">
      <c r="B740" s="213" t="s">
        <v>694</v>
      </c>
    </row>
    <row r="741" ht="18.0" customHeight="1">
      <c r="B741" s="213" t="s">
        <v>694</v>
      </c>
    </row>
    <row r="742" ht="18.0" customHeight="1">
      <c r="B742" s="213" t="s">
        <v>694</v>
      </c>
    </row>
    <row r="743" ht="18.0" customHeight="1">
      <c r="B743" s="213" t="s">
        <v>694</v>
      </c>
    </row>
    <row r="744" ht="18.0" customHeight="1">
      <c r="B744" s="213" t="s">
        <v>694</v>
      </c>
    </row>
    <row r="745" ht="18.0" customHeight="1">
      <c r="B745" s="213" t="s">
        <v>694</v>
      </c>
    </row>
    <row r="746" ht="18.0" customHeight="1">
      <c r="B746" s="213" t="s">
        <v>694</v>
      </c>
    </row>
    <row r="747" ht="18.0" customHeight="1">
      <c r="B747" s="213" t="s">
        <v>694</v>
      </c>
    </row>
    <row r="748" ht="18.0" customHeight="1">
      <c r="B748" s="213" t="s">
        <v>694</v>
      </c>
    </row>
    <row r="749" ht="18.0" customHeight="1">
      <c r="B749" s="213" t="s">
        <v>694</v>
      </c>
    </row>
    <row r="750" ht="18.0" customHeight="1">
      <c r="B750" s="213" t="s">
        <v>694</v>
      </c>
    </row>
    <row r="751" ht="18.0" customHeight="1">
      <c r="B751" s="213" t="s">
        <v>694</v>
      </c>
    </row>
    <row r="752" ht="18.0" customHeight="1">
      <c r="B752" s="213" t="s">
        <v>694</v>
      </c>
    </row>
    <row r="753" ht="18.0" customHeight="1">
      <c r="B753" s="213" t="s">
        <v>694</v>
      </c>
    </row>
    <row r="754" ht="18.0" customHeight="1">
      <c r="B754" s="213" t="s">
        <v>694</v>
      </c>
    </row>
    <row r="755" ht="18.0" customHeight="1">
      <c r="B755" s="213" t="s">
        <v>694</v>
      </c>
    </row>
    <row r="756" ht="18.0" customHeight="1">
      <c r="B756" s="213" t="s">
        <v>694</v>
      </c>
    </row>
    <row r="757" ht="18.0" customHeight="1">
      <c r="B757" s="213" t="s">
        <v>694</v>
      </c>
    </row>
    <row r="758" ht="18.0" customHeight="1">
      <c r="B758" s="213" t="s">
        <v>694</v>
      </c>
    </row>
    <row r="759" ht="18.0" customHeight="1">
      <c r="B759" s="213" t="s">
        <v>694</v>
      </c>
    </row>
    <row r="760" ht="18.0" customHeight="1">
      <c r="B760" s="213" t="s">
        <v>694</v>
      </c>
    </row>
    <row r="761" ht="18.0" customHeight="1">
      <c r="B761" s="213" t="s">
        <v>694</v>
      </c>
    </row>
    <row r="762" ht="18.0" customHeight="1">
      <c r="B762" s="213" t="s">
        <v>694</v>
      </c>
    </row>
    <row r="763" ht="18.0" customHeight="1">
      <c r="B763" s="213" t="s">
        <v>694</v>
      </c>
    </row>
    <row r="764" ht="18.0" customHeight="1">
      <c r="B764" s="213" t="s">
        <v>694</v>
      </c>
    </row>
    <row r="765" ht="18.0" customHeight="1">
      <c r="B765" s="213" t="s">
        <v>694</v>
      </c>
    </row>
    <row r="766" ht="18.0" customHeight="1">
      <c r="B766" s="213" t="s">
        <v>694</v>
      </c>
    </row>
    <row r="767" ht="18.0" customHeight="1">
      <c r="B767" s="213" t="s">
        <v>694</v>
      </c>
    </row>
    <row r="768" ht="18.0" customHeight="1">
      <c r="B768" s="213" t="s">
        <v>694</v>
      </c>
    </row>
    <row r="769" ht="18.0" customHeight="1">
      <c r="B769" s="213" t="s">
        <v>694</v>
      </c>
    </row>
    <row r="770" ht="18.0" customHeight="1">
      <c r="B770" s="213" t="s">
        <v>694</v>
      </c>
    </row>
    <row r="771" ht="18.0" customHeight="1">
      <c r="B771" s="213" t="s">
        <v>694</v>
      </c>
    </row>
    <row r="772" ht="18.0" customHeight="1">
      <c r="B772" s="213" t="s">
        <v>694</v>
      </c>
    </row>
    <row r="773" ht="18.0" customHeight="1">
      <c r="B773" s="213" t="s">
        <v>694</v>
      </c>
    </row>
    <row r="774" ht="18.0" customHeight="1">
      <c r="B774" s="213" t="s">
        <v>694</v>
      </c>
    </row>
    <row r="775" ht="18.0" customHeight="1">
      <c r="B775" s="213" t="s">
        <v>694</v>
      </c>
    </row>
    <row r="776" ht="18.0" customHeight="1">
      <c r="B776" s="213" t="s">
        <v>694</v>
      </c>
    </row>
    <row r="777" ht="18.0" customHeight="1">
      <c r="B777" s="213" t="s">
        <v>694</v>
      </c>
    </row>
    <row r="778" ht="18.0" customHeight="1">
      <c r="B778" s="213" t="s">
        <v>694</v>
      </c>
    </row>
    <row r="779" ht="18.0" customHeight="1">
      <c r="B779" s="213" t="s">
        <v>694</v>
      </c>
    </row>
    <row r="780" ht="18.0" customHeight="1">
      <c r="B780" s="213" t="s">
        <v>694</v>
      </c>
    </row>
    <row r="781" ht="18.0" customHeight="1">
      <c r="B781" s="213" t="s">
        <v>694</v>
      </c>
    </row>
    <row r="782" ht="18.0" customHeight="1">
      <c r="B782" s="213" t="s">
        <v>694</v>
      </c>
    </row>
    <row r="783" ht="18.0" customHeight="1">
      <c r="B783" s="213" t="s">
        <v>694</v>
      </c>
    </row>
    <row r="784" ht="18.0" customHeight="1">
      <c r="B784" s="213" t="s">
        <v>694</v>
      </c>
    </row>
    <row r="785" ht="18.0" customHeight="1">
      <c r="B785" s="213" t="s">
        <v>694</v>
      </c>
    </row>
    <row r="786" ht="18.0" customHeight="1">
      <c r="B786" s="213" t="s">
        <v>694</v>
      </c>
    </row>
    <row r="787" ht="18.0" customHeight="1">
      <c r="B787" s="213" t="s">
        <v>694</v>
      </c>
    </row>
    <row r="788" ht="18.0" customHeight="1">
      <c r="B788" s="213" t="s">
        <v>694</v>
      </c>
    </row>
    <row r="789" ht="18.0" customHeight="1">
      <c r="B789" s="213" t="s">
        <v>694</v>
      </c>
    </row>
    <row r="790" ht="18.0" customHeight="1">
      <c r="B790" s="213" t="s">
        <v>694</v>
      </c>
    </row>
    <row r="791" ht="18.0" customHeight="1">
      <c r="B791" s="213" t="s">
        <v>694</v>
      </c>
    </row>
    <row r="792" ht="18.0" customHeight="1">
      <c r="B792" s="213" t="s">
        <v>694</v>
      </c>
    </row>
    <row r="793" ht="18.0" customHeight="1">
      <c r="B793" s="213" t="s">
        <v>694</v>
      </c>
    </row>
    <row r="794" ht="18.0" customHeight="1">
      <c r="B794" s="213" t="s">
        <v>694</v>
      </c>
    </row>
    <row r="795" ht="18.0" customHeight="1">
      <c r="B795" s="213" t="s">
        <v>694</v>
      </c>
    </row>
    <row r="796" ht="18.0" customHeight="1">
      <c r="B796" s="213" t="s">
        <v>694</v>
      </c>
    </row>
    <row r="797" ht="18.0" customHeight="1">
      <c r="B797" s="213" t="s">
        <v>694</v>
      </c>
    </row>
    <row r="798" ht="18.0" customHeight="1">
      <c r="B798" s="213" t="s">
        <v>694</v>
      </c>
    </row>
    <row r="799" ht="18.0" customHeight="1">
      <c r="B799" s="213" t="s">
        <v>694</v>
      </c>
    </row>
    <row r="800" ht="18.0" customHeight="1">
      <c r="B800" s="213" t="s">
        <v>694</v>
      </c>
    </row>
    <row r="801" ht="18.0" customHeight="1">
      <c r="B801" s="213" t="s">
        <v>694</v>
      </c>
    </row>
    <row r="802" ht="18.0" customHeight="1">
      <c r="B802" s="213" t="s">
        <v>694</v>
      </c>
    </row>
    <row r="803" ht="18.0" customHeight="1">
      <c r="B803" s="213" t="s">
        <v>694</v>
      </c>
    </row>
    <row r="804" ht="18.0" customHeight="1">
      <c r="B804" s="213" t="s">
        <v>694</v>
      </c>
    </row>
    <row r="805" ht="18.0" customHeight="1">
      <c r="B805" s="213" t="s">
        <v>694</v>
      </c>
    </row>
    <row r="806" ht="18.0" customHeight="1">
      <c r="B806" s="213" t="s">
        <v>694</v>
      </c>
    </row>
    <row r="807" ht="18.0" customHeight="1">
      <c r="B807" s="213" t="s">
        <v>694</v>
      </c>
    </row>
    <row r="808" ht="18.0" customHeight="1">
      <c r="B808" s="213" t="s">
        <v>694</v>
      </c>
    </row>
    <row r="809" ht="18.0" customHeight="1">
      <c r="B809" s="213" t="s">
        <v>694</v>
      </c>
    </row>
    <row r="810" ht="18.0" customHeight="1">
      <c r="B810" s="213" t="s">
        <v>694</v>
      </c>
    </row>
    <row r="811" ht="18.0" customHeight="1">
      <c r="B811" s="213" t="s">
        <v>694</v>
      </c>
    </row>
    <row r="812" ht="18.0" customHeight="1">
      <c r="B812" s="213" t="s">
        <v>694</v>
      </c>
    </row>
    <row r="813" ht="18.0" customHeight="1">
      <c r="B813" s="213" t="s">
        <v>694</v>
      </c>
    </row>
    <row r="814" ht="18.0" customHeight="1">
      <c r="B814" s="213" t="s">
        <v>694</v>
      </c>
    </row>
    <row r="815" ht="18.0" customHeight="1">
      <c r="B815" s="213" t="s">
        <v>694</v>
      </c>
    </row>
    <row r="816" ht="18.0" customHeight="1">
      <c r="B816" s="213" t="s">
        <v>694</v>
      </c>
    </row>
    <row r="817" ht="18.0" customHeight="1">
      <c r="B817" s="213" t="s">
        <v>694</v>
      </c>
    </row>
    <row r="818" ht="18.0" customHeight="1">
      <c r="B818" s="213" t="s">
        <v>694</v>
      </c>
    </row>
    <row r="819" ht="18.0" customHeight="1">
      <c r="B819" s="213" t="s">
        <v>694</v>
      </c>
    </row>
    <row r="820" ht="18.0" customHeight="1">
      <c r="B820" s="213" t="s">
        <v>694</v>
      </c>
    </row>
    <row r="821" ht="18.0" customHeight="1">
      <c r="B821" s="213" t="s">
        <v>694</v>
      </c>
    </row>
    <row r="822" ht="18.0" customHeight="1">
      <c r="B822" s="213" t="s">
        <v>694</v>
      </c>
    </row>
    <row r="823" ht="18.0" customHeight="1">
      <c r="B823" s="213" t="s">
        <v>694</v>
      </c>
    </row>
    <row r="824" ht="18.0" customHeight="1">
      <c r="B824" s="213" t="s">
        <v>694</v>
      </c>
    </row>
    <row r="825" ht="18.0" customHeight="1">
      <c r="B825" s="213" t="s">
        <v>694</v>
      </c>
    </row>
    <row r="826" ht="18.0" customHeight="1">
      <c r="B826" s="213" t="s">
        <v>694</v>
      </c>
    </row>
    <row r="827" ht="18.0" customHeight="1">
      <c r="B827" s="213" t="s">
        <v>694</v>
      </c>
    </row>
    <row r="828" ht="18.0" customHeight="1">
      <c r="B828" s="213" t="s">
        <v>694</v>
      </c>
    </row>
    <row r="829" ht="18.0" customHeight="1">
      <c r="B829" s="213" t="s">
        <v>694</v>
      </c>
    </row>
    <row r="830" ht="18.0" customHeight="1">
      <c r="B830" s="213" t="s">
        <v>694</v>
      </c>
    </row>
    <row r="831" ht="18.0" customHeight="1">
      <c r="B831" s="213" t="s">
        <v>694</v>
      </c>
    </row>
    <row r="832" ht="18.0" customHeight="1">
      <c r="B832" s="213" t="s">
        <v>694</v>
      </c>
    </row>
    <row r="833" ht="18.0" customHeight="1">
      <c r="B833" s="213" t="s">
        <v>694</v>
      </c>
    </row>
    <row r="834" ht="18.0" customHeight="1">
      <c r="B834" s="213" t="s">
        <v>694</v>
      </c>
    </row>
    <row r="835" ht="18.0" customHeight="1">
      <c r="B835" s="213" t="s">
        <v>694</v>
      </c>
    </row>
    <row r="836" ht="18.0" customHeight="1">
      <c r="B836" s="213" t="s">
        <v>694</v>
      </c>
    </row>
    <row r="837" ht="18.0" customHeight="1">
      <c r="B837" s="213" t="s">
        <v>694</v>
      </c>
    </row>
    <row r="838" ht="18.0" customHeight="1">
      <c r="B838" s="213" t="s">
        <v>694</v>
      </c>
    </row>
    <row r="839" ht="18.0" customHeight="1">
      <c r="B839" s="213" t="s">
        <v>694</v>
      </c>
    </row>
    <row r="840" ht="18.0" customHeight="1">
      <c r="B840" s="213" t="s">
        <v>694</v>
      </c>
    </row>
    <row r="841" ht="18.0" customHeight="1">
      <c r="B841" s="213" t="s">
        <v>694</v>
      </c>
    </row>
    <row r="842" ht="18.0" customHeight="1">
      <c r="B842" s="213" t="s">
        <v>694</v>
      </c>
    </row>
    <row r="843" ht="18.0" customHeight="1">
      <c r="B843" s="213" t="s">
        <v>694</v>
      </c>
    </row>
    <row r="844" ht="18.0" customHeight="1">
      <c r="B844" s="213" t="s">
        <v>694</v>
      </c>
    </row>
    <row r="845" ht="18.0" customHeight="1">
      <c r="B845" s="213" t="s">
        <v>694</v>
      </c>
    </row>
    <row r="846" ht="18.0" customHeight="1">
      <c r="B846" s="213" t="s">
        <v>694</v>
      </c>
    </row>
    <row r="847" ht="18.0" customHeight="1">
      <c r="B847" s="213" t="s">
        <v>694</v>
      </c>
    </row>
    <row r="848" ht="18.0" customHeight="1">
      <c r="B848" s="213" t="s">
        <v>694</v>
      </c>
    </row>
    <row r="849" ht="18.0" customHeight="1">
      <c r="B849" s="213" t="s">
        <v>694</v>
      </c>
    </row>
    <row r="850" ht="18.0" customHeight="1">
      <c r="B850" s="213" t="s">
        <v>694</v>
      </c>
    </row>
    <row r="851" ht="18.0" customHeight="1">
      <c r="B851" s="213" t="s">
        <v>694</v>
      </c>
    </row>
    <row r="852" ht="18.0" customHeight="1">
      <c r="B852" s="213" t="s">
        <v>694</v>
      </c>
    </row>
    <row r="853" ht="18.0" customHeight="1">
      <c r="B853" s="213" t="s">
        <v>694</v>
      </c>
    </row>
    <row r="854" ht="18.0" customHeight="1">
      <c r="B854" s="213" t="s">
        <v>694</v>
      </c>
    </row>
    <row r="855" ht="18.0" customHeight="1">
      <c r="B855" s="213" t="s">
        <v>694</v>
      </c>
    </row>
    <row r="856" ht="18.0" customHeight="1">
      <c r="B856" s="213" t="s">
        <v>694</v>
      </c>
    </row>
    <row r="857" ht="18.0" customHeight="1">
      <c r="B857" s="213" t="s">
        <v>694</v>
      </c>
    </row>
    <row r="858" ht="18.0" customHeight="1">
      <c r="B858" s="213" t="s">
        <v>694</v>
      </c>
    </row>
    <row r="859" ht="18.0" customHeight="1">
      <c r="B859" s="213" t="s">
        <v>694</v>
      </c>
    </row>
    <row r="860" ht="18.0" customHeight="1">
      <c r="B860" s="213" t="s">
        <v>694</v>
      </c>
    </row>
    <row r="861" ht="18.0" customHeight="1">
      <c r="B861" s="213" t="s">
        <v>694</v>
      </c>
    </row>
    <row r="862" ht="18.0" customHeight="1">
      <c r="B862" s="213" t="s">
        <v>694</v>
      </c>
    </row>
    <row r="863" ht="18.0" customHeight="1">
      <c r="B863" s="213" t="s">
        <v>694</v>
      </c>
    </row>
    <row r="864" ht="18.0" customHeight="1">
      <c r="B864" s="213" t="s">
        <v>694</v>
      </c>
    </row>
    <row r="865" ht="18.0" customHeight="1">
      <c r="B865" s="213" t="s">
        <v>694</v>
      </c>
    </row>
    <row r="866" ht="18.0" customHeight="1">
      <c r="B866" s="213" t="s">
        <v>694</v>
      </c>
    </row>
    <row r="867" ht="18.0" customHeight="1">
      <c r="B867" s="213" t="s">
        <v>694</v>
      </c>
    </row>
    <row r="868" ht="18.0" customHeight="1">
      <c r="B868" s="213" t="s">
        <v>694</v>
      </c>
    </row>
    <row r="869" ht="18.0" customHeight="1">
      <c r="B869" s="213" t="s">
        <v>694</v>
      </c>
    </row>
    <row r="870" ht="18.0" customHeight="1">
      <c r="B870" s="213" t="s">
        <v>694</v>
      </c>
    </row>
    <row r="871" ht="18.0" customHeight="1">
      <c r="B871" s="213" t="s">
        <v>694</v>
      </c>
    </row>
    <row r="872" ht="18.0" customHeight="1">
      <c r="B872" s="213" t="s">
        <v>694</v>
      </c>
    </row>
    <row r="873" ht="18.0" customHeight="1">
      <c r="B873" s="213" t="s">
        <v>694</v>
      </c>
    </row>
    <row r="874" ht="18.0" customHeight="1">
      <c r="B874" s="213" t="s">
        <v>694</v>
      </c>
    </row>
    <row r="875" ht="18.0" customHeight="1">
      <c r="B875" s="213" t="s">
        <v>694</v>
      </c>
    </row>
    <row r="876" ht="18.0" customHeight="1">
      <c r="B876" s="213" t="s">
        <v>694</v>
      </c>
    </row>
    <row r="877" ht="18.0" customHeight="1">
      <c r="B877" s="213" t="s">
        <v>694</v>
      </c>
    </row>
    <row r="878" ht="18.0" customHeight="1">
      <c r="B878" s="213" t="s">
        <v>694</v>
      </c>
    </row>
    <row r="879" ht="18.0" customHeight="1">
      <c r="B879" s="213" t="s">
        <v>694</v>
      </c>
    </row>
    <row r="880" ht="18.0" customHeight="1">
      <c r="B880" s="213" t="s">
        <v>694</v>
      </c>
    </row>
    <row r="881" ht="18.0" customHeight="1">
      <c r="B881" s="213" t="s">
        <v>694</v>
      </c>
    </row>
    <row r="882" ht="18.0" customHeight="1">
      <c r="B882" s="213" t="s">
        <v>694</v>
      </c>
    </row>
    <row r="883" ht="18.0" customHeight="1">
      <c r="B883" s="213" t="s">
        <v>694</v>
      </c>
    </row>
    <row r="884" ht="18.0" customHeight="1">
      <c r="B884" s="213" t="s">
        <v>694</v>
      </c>
    </row>
    <row r="885" ht="18.0" customHeight="1">
      <c r="B885" s="213" t="s">
        <v>694</v>
      </c>
    </row>
    <row r="886" ht="18.0" customHeight="1">
      <c r="B886" s="213" t="s">
        <v>694</v>
      </c>
    </row>
    <row r="887" ht="18.0" customHeight="1">
      <c r="B887" s="213" t="s">
        <v>694</v>
      </c>
    </row>
    <row r="888" ht="18.0" customHeight="1">
      <c r="B888" s="213" t="s">
        <v>694</v>
      </c>
    </row>
    <row r="889" ht="18.0" customHeight="1">
      <c r="B889" s="213" t="s">
        <v>694</v>
      </c>
    </row>
    <row r="890" ht="18.0" customHeight="1">
      <c r="B890" s="213" t="s">
        <v>694</v>
      </c>
    </row>
    <row r="891" ht="18.0" customHeight="1">
      <c r="B891" s="213" t="s">
        <v>694</v>
      </c>
    </row>
    <row r="892" ht="18.0" customHeight="1">
      <c r="B892" s="213" t="s">
        <v>694</v>
      </c>
    </row>
    <row r="893" ht="18.0" customHeight="1">
      <c r="B893" s="213" t="s">
        <v>694</v>
      </c>
    </row>
    <row r="894" ht="18.0" customHeight="1">
      <c r="B894" s="213" t="s">
        <v>694</v>
      </c>
    </row>
    <row r="895" ht="18.0" customHeight="1">
      <c r="B895" s="213" t="s">
        <v>694</v>
      </c>
    </row>
    <row r="896" ht="18.0" customHeight="1">
      <c r="B896" s="213" t="s">
        <v>694</v>
      </c>
    </row>
    <row r="897" ht="18.0" customHeight="1">
      <c r="B897" s="213" t="s">
        <v>694</v>
      </c>
    </row>
    <row r="898" ht="18.0" customHeight="1">
      <c r="B898" s="213" t="s">
        <v>694</v>
      </c>
    </row>
    <row r="899" ht="18.0" customHeight="1">
      <c r="B899" s="213" t="s">
        <v>694</v>
      </c>
    </row>
    <row r="900" ht="18.0" customHeight="1">
      <c r="B900" s="213" t="s">
        <v>694</v>
      </c>
    </row>
    <row r="901" ht="18.0" customHeight="1">
      <c r="B901" s="213" t="s">
        <v>694</v>
      </c>
    </row>
    <row r="902" ht="18.0" customHeight="1">
      <c r="B902" s="213" t="s">
        <v>694</v>
      </c>
    </row>
    <row r="903" ht="18.0" customHeight="1">
      <c r="B903" s="213" t="s">
        <v>694</v>
      </c>
    </row>
    <row r="904" ht="18.0" customHeight="1">
      <c r="B904" s="213" t="s">
        <v>694</v>
      </c>
    </row>
    <row r="905" ht="18.0" customHeight="1">
      <c r="B905" s="213" t="s">
        <v>694</v>
      </c>
    </row>
    <row r="906" ht="18.0" customHeight="1">
      <c r="B906" s="213" t="s">
        <v>694</v>
      </c>
    </row>
    <row r="907" ht="18.0" customHeight="1">
      <c r="B907" s="213" t="s">
        <v>694</v>
      </c>
    </row>
    <row r="908" ht="18.0" customHeight="1">
      <c r="B908" s="213" t="s">
        <v>694</v>
      </c>
    </row>
    <row r="909" ht="18.0" customHeight="1">
      <c r="B909" s="213" t="s">
        <v>694</v>
      </c>
    </row>
    <row r="910" ht="18.0" customHeight="1">
      <c r="B910" s="213" t="s">
        <v>694</v>
      </c>
    </row>
    <row r="911" ht="18.0" customHeight="1">
      <c r="B911" s="213" t="s">
        <v>694</v>
      </c>
    </row>
    <row r="912" ht="18.0" customHeight="1">
      <c r="B912" s="213" t="s">
        <v>694</v>
      </c>
    </row>
    <row r="913" ht="18.0" customHeight="1">
      <c r="B913" s="213" t="s">
        <v>694</v>
      </c>
    </row>
    <row r="914" ht="18.0" customHeight="1">
      <c r="B914" s="213" t="s">
        <v>694</v>
      </c>
    </row>
    <row r="915" ht="18.0" customHeight="1">
      <c r="B915" s="213" t="s">
        <v>694</v>
      </c>
    </row>
    <row r="916" ht="18.0" customHeight="1">
      <c r="B916" s="213" t="s">
        <v>694</v>
      </c>
    </row>
    <row r="917" ht="18.0" customHeight="1">
      <c r="B917" s="213" t="s">
        <v>694</v>
      </c>
    </row>
    <row r="918" ht="18.0" customHeight="1">
      <c r="B918" s="213" t="s">
        <v>694</v>
      </c>
    </row>
    <row r="919" ht="18.0" customHeight="1">
      <c r="B919" s="213" t="s">
        <v>694</v>
      </c>
    </row>
    <row r="920" ht="18.0" customHeight="1">
      <c r="B920" s="213" t="s">
        <v>694</v>
      </c>
    </row>
    <row r="921" ht="18.0" customHeight="1">
      <c r="B921" s="213" t="s">
        <v>694</v>
      </c>
    </row>
    <row r="922" ht="18.0" customHeight="1">
      <c r="B922" s="213" t="s">
        <v>694</v>
      </c>
    </row>
    <row r="923" ht="18.0" customHeight="1">
      <c r="B923" s="213" t="s">
        <v>694</v>
      </c>
    </row>
    <row r="924" ht="18.0" customHeight="1">
      <c r="B924" s="213" t="s">
        <v>694</v>
      </c>
    </row>
    <row r="925" ht="18.0" customHeight="1">
      <c r="B925" s="213" t="s">
        <v>694</v>
      </c>
    </row>
    <row r="926" ht="18.0" customHeight="1">
      <c r="B926" s="213" t="s">
        <v>694</v>
      </c>
    </row>
    <row r="927" ht="18.0" customHeight="1">
      <c r="B927" s="213" t="s">
        <v>694</v>
      </c>
    </row>
    <row r="928" ht="18.0" customHeight="1">
      <c r="B928" s="213" t="s">
        <v>694</v>
      </c>
    </row>
    <row r="929" ht="18.0" customHeight="1">
      <c r="B929" s="213" t="s">
        <v>694</v>
      </c>
    </row>
    <row r="930" ht="18.0" customHeight="1">
      <c r="B930" s="213" t="s">
        <v>694</v>
      </c>
    </row>
    <row r="931" ht="18.0" customHeight="1">
      <c r="B931" s="213" t="s">
        <v>694</v>
      </c>
    </row>
    <row r="932" ht="18.0" customHeight="1">
      <c r="B932" s="213" t="s">
        <v>694</v>
      </c>
    </row>
    <row r="933" ht="18.0" customHeight="1">
      <c r="B933" s="213" t="s">
        <v>694</v>
      </c>
    </row>
    <row r="934" ht="18.0" customHeight="1">
      <c r="B934" s="213" t="s">
        <v>694</v>
      </c>
    </row>
    <row r="935" ht="18.0" customHeight="1">
      <c r="B935" s="213" t="s">
        <v>694</v>
      </c>
    </row>
    <row r="936" ht="18.0" customHeight="1">
      <c r="B936" s="213" t="s">
        <v>694</v>
      </c>
    </row>
    <row r="937" ht="18.0" customHeight="1">
      <c r="B937" s="213" t="s">
        <v>694</v>
      </c>
    </row>
    <row r="938" ht="18.0" customHeight="1">
      <c r="B938" s="213" t="s">
        <v>694</v>
      </c>
    </row>
    <row r="939" ht="18.0" customHeight="1">
      <c r="B939" s="213" t="s">
        <v>694</v>
      </c>
    </row>
    <row r="940" ht="18.0" customHeight="1">
      <c r="B940" s="213" t="s">
        <v>694</v>
      </c>
    </row>
    <row r="941" ht="18.0" customHeight="1">
      <c r="B941" s="213" t="s">
        <v>694</v>
      </c>
    </row>
    <row r="942" ht="18.0" customHeight="1">
      <c r="B942" s="213" t="s">
        <v>694</v>
      </c>
    </row>
    <row r="943" ht="18.0" customHeight="1">
      <c r="B943" s="213" t="s">
        <v>694</v>
      </c>
    </row>
    <row r="944" ht="18.0" customHeight="1">
      <c r="B944" s="213" t="s">
        <v>694</v>
      </c>
    </row>
    <row r="945" ht="18.0" customHeight="1">
      <c r="B945" s="213" t="s">
        <v>694</v>
      </c>
    </row>
    <row r="946" ht="18.0" customHeight="1">
      <c r="B946" s="213" t="s">
        <v>694</v>
      </c>
    </row>
    <row r="947" ht="18.0" customHeight="1">
      <c r="B947" s="213" t="s">
        <v>694</v>
      </c>
    </row>
    <row r="948" ht="18.0" customHeight="1">
      <c r="B948" s="213" t="s">
        <v>694</v>
      </c>
    </row>
    <row r="949" ht="18.0" customHeight="1">
      <c r="B949" s="213" t="s">
        <v>694</v>
      </c>
    </row>
    <row r="950" ht="18.0" customHeight="1">
      <c r="B950" s="213" t="s">
        <v>694</v>
      </c>
    </row>
    <row r="951" ht="18.0" customHeight="1">
      <c r="B951" s="213" t="s">
        <v>694</v>
      </c>
    </row>
    <row r="952" ht="18.0" customHeight="1">
      <c r="B952" s="213" t="s">
        <v>694</v>
      </c>
    </row>
    <row r="953" ht="18.0" customHeight="1">
      <c r="B953" s="213" t="s">
        <v>694</v>
      </c>
    </row>
    <row r="954" ht="18.0" customHeight="1">
      <c r="B954" s="213" t="s">
        <v>694</v>
      </c>
    </row>
    <row r="955" ht="18.0" customHeight="1">
      <c r="B955" s="213" t="s">
        <v>694</v>
      </c>
    </row>
    <row r="956" ht="18.0" customHeight="1">
      <c r="B956" s="213" t="s">
        <v>694</v>
      </c>
    </row>
    <row r="957" ht="18.0" customHeight="1">
      <c r="B957" s="213" t="s">
        <v>694</v>
      </c>
    </row>
    <row r="958" ht="18.0" customHeight="1">
      <c r="B958" s="213" t="s">
        <v>694</v>
      </c>
    </row>
    <row r="959" ht="18.0" customHeight="1">
      <c r="B959" s="213" t="s">
        <v>694</v>
      </c>
    </row>
    <row r="960" ht="18.0" customHeight="1">
      <c r="B960" s="213" t="s">
        <v>694</v>
      </c>
    </row>
    <row r="961" ht="18.0" customHeight="1">
      <c r="B961" s="213" t="s">
        <v>694</v>
      </c>
    </row>
    <row r="962" ht="18.0" customHeight="1">
      <c r="B962" s="213" t="s">
        <v>694</v>
      </c>
    </row>
    <row r="963" ht="18.0" customHeight="1">
      <c r="B963" s="213" t="s">
        <v>694</v>
      </c>
    </row>
    <row r="964" ht="18.0" customHeight="1">
      <c r="B964" s="213" t="s">
        <v>694</v>
      </c>
    </row>
    <row r="965" ht="18.0" customHeight="1">
      <c r="B965" s="213" t="s">
        <v>694</v>
      </c>
    </row>
    <row r="966" ht="18.0" customHeight="1">
      <c r="B966" s="213" t="s">
        <v>694</v>
      </c>
    </row>
    <row r="967" ht="18.0" customHeight="1">
      <c r="B967" s="213" t="s">
        <v>694</v>
      </c>
    </row>
    <row r="968" ht="18.0" customHeight="1">
      <c r="B968" s="213" t="s">
        <v>694</v>
      </c>
    </row>
    <row r="969" ht="18.0" customHeight="1">
      <c r="B969" s="213" t="s">
        <v>694</v>
      </c>
    </row>
    <row r="970" ht="18.0" customHeight="1">
      <c r="B970" s="213" t="s">
        <v>694</v>
      </c>
    </row>
    <row r="971" ht="18.0" customHeight="1">
      <c r="B971" s="213" t="s">
        <v>694</v>
      </c>
    </row>
    <row r="972" ht="18.0" customHeight="1">
      <c r="B972" s="213" t="s">
        <v>694</v>
      </c>
    </row>
    <row r="973" ht="18.0" customHeight="1">
      <c r="B973" s="213" t="s">
        <v>694</v>
      </c>
    </row>
    <row r="974" ht="18.0" customHeight="1">
      <c r="B974" s="213" t="s">
        <v>694</v>
      </c>
    </row>
    <row r="975" ht="18.0" customHeight="1">
      <c r="B975" s="213" t="s">
        <v>694</v>
      </c>
    </row>
    <row r="976" ht="18.0" customHeight="1">
      <c r="B976" s="213" t="s">
        <v>694</v>
      </c>
    </row>
    <row r="977" ht="18.0" customHeight="1">
      <c r="B977" s="213" t="s">
        <v>694</v>
      </c>
    </row>
    <row r="978" ht="18.0" customHeight="1">
      <c r="B978" s="213" t="s">
        <v>694</v>
      </c>
    </row>
    <row r="979" ht="18.0" customHeight="1">
      <c r="B979" s="213" t="s">
        <v>694</v>
      </c>
    </row>
    <row r="980" ht="18.0" customHeight="1">
      <c r="B980" s="213" t="s">
        <v>694</v>
      </c>
    </row>
    <row r="981" ht="18.0" customHeight="1">
      <c r="B981" s="213" t="s">
        <v>694</v>
      </c>
    </row>
    <row r="982" ht="18.0" customHeight="1">
      <c r="B982" s="213" t="s">
        <v>694</v>
      </c>
    </row>
    <row r="983" ht="18.0" customHeight="1">
      <c r="B983" s="213" t="s">
        <v>694</v>
      </c>
    </row>
    <row r="984" ht="18.0" customHeight="1">
      <c r="B984" s="213" t="s">
        <v>694</v>
      </c>
    </row>
    <row r="985" ht="18.0" customHeight="1">
      <c r="B985" s="213" t="s">
        <v>694</v>
      </c>
    </row>
    <row r="986" ht="18.0" customHeight="1">
      <c r="B986" s="213" t="s">
        <v>694</v>
      </c>
    </row>
    <row r="987" ht="18.0" customHeight="1">
      <c r="B987" s="213" t="s">
        <v>694</v>
      </c>
    </row>
    <row r="988" ht="18.0" customHeight="1">
      <c r="B988" s="213" t="s">
        <v>694</v>
      </c>
    </row>
    <row r="989" ht="18.0" customHeight="1">
      <c r="B989" s="213" t="s">
        <v>694</v>
      </c>
    </row>
    <row r="990" ht="18.0" customHeight="1">
      <c r="B990" s="213" t="s">
        <v>694</v>
      </c>
    </row>
    <row r="991" ht="18.0" customHeight="1">
      <c r="B991" s="213" t="s">
        <v>694</v>
      </c>
    </row>
    <row r="992" ht="18.0" customHeight="1">
      <c r="B992" s="213" t="s">
        <v>694</v>
      </c>
    </row>
    <row r="993" ht="18.0" customHeight="1">
      <c r="B993" s="213" t="s">
        <v>694</v>
      </c>
    </row>
    <row r="994" ht="18.0" customHeight="1">
      <c r="B994" s="213" t="s">
        <v>694</v>
      </c>
    </row>
    <row r="995" ht="18.0" customHeight="1">
      <c r="B995" s="213" t="s">
        <v>694</v>
      </c>
    </row>
    <row r="996" ht="18.0" customHeight="1">
      <c r="B996" s="213" t="s">
        <v>694</v>
      </c>
    </row>
    <row r="997" ht="18.0" customHeight="1">
      <c r="B997" s="213" t="s">
        <v>694</v>
      </c>
    </row>
    <row r="998" ht="18.0" customHeight="1">
      <c r="B998" s="213" t="s">
        <v>694</v>
      </c>
    </row>
    <row r="999" ht="18.0" customHeight="1">
      <c r="B999" s="213" t="s">
        <v>694</v>
      </c>
    </row>
    <row r="1000" ht="18.0" customHeight="1">
      <c r="B1000" s="213" t="s">
        <v>694</v>
      </c>
    </row>
  </sheetData>
  <mergeCells count="2">
    <mergeCell ref="A1:D1"/>
    <mergeCell ref="H1:I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695</v>
      </c>
      <c r="D1" s="182" t="s">
        <v>603</v>
      </c>
      <c r="E1" s="182" t="s">
        <v>235</v>
      </c>
      <c r="F1" s="182" t="s">
        <v>696</v>
      </c>
    </row>
    <row r="2">
      <c r="A2" s="182" t="s">
        <v>286</v>
      </c>
      <c r="B2" s="182" t="s">
        <v>185</v>
      </c>
      <c r="C2" s="182" t="s">
        <v>645</v>
      </c>
      <c r="D2" s="182">
        <v>32.0</v>
      </c>
      <c r="E2" s="182">
        <v>33.0</v>
      </c>
      <c r="F2" s="182">
        <v>96.97</v>
      </c>
    </row>
    <row r="3">
      <c r="A3" s="182" t="s">
        <v>251</v>
      </c>
      <c r="B3" s="182" t="s">
        <v>181</v>
      </c>
      <c r="C3" s="182" t="s">
        <v>645</v>
      </c>
      <c r="D3" s="182">
        <v>32.0</v>
      </c>
      <c r="E3" s="182">
        <v>34.0</v>
      </c>
      <c r="F3" s="182">
        <v>94.12</v>
      </c>
    </row>
    <row r="4">
      <c r="A4" s="182" t="s">
        <v>239</v>
      </c>
      <c r="B4" s="182" t="s">
        <v>181</v>
      </c>
      <c r="C4" s="182" t="s">
        <v>654</v>
      </c>
      <c r="D4" s="182">
        <v>31.0</v>
      </c>
      <c r="E4" s="182">
        <v>34.0</v>
      </c>
      <c r="F4" s="182">
        <v>91.18</v>
      </c>
    </row>
    <row r="5">
      <c r="A5" s="182" t="s">
        <v>273</v>
      </c>
      <c r="B5" s="182" t="s">
        <v>181</v>
      </c>
      <c r="C5" s="182" t="s">
        <v>684</v>
      </c>
      <c r="D5" s="182">
        <v>30.0</v>
      </c>
      <c r="E5" s="182">
        <v>34.0</v>
      </c>
      <c r="F5" s="182">
        <v>88.24</v>
      </c>
    </row>
    <row r="6">
      <c r="A6" s="182" t="s">
        <v>299</v>
      </c>
      <c r="B6" s="182" t="s">
        <v>1</v>
      </c>
      <c r="C6" s="182" t="s">
        <v>645</v>
      </c>
      <c r="D6" s="182">
        <v>28.0</v>
      </c>
      <c r="E6" s="182">
        <v>31.0</v>
      </c>
      <c r="F6" s="182">
        <v>90.32</v>
      </c>
    </row>
    <row r="7">
      <c r="A7" s="182" t="s">
        <v>271</v>
      </c>
      <c r="B7" s="182" t="s">
        <v>186</v>
      </c>
      <c r="C7" s="182" t="s">
        <v>645</v>
      </c>
      <c r="D7" s="182">
        <v>24.0</v>
      </c>
      <c r="E7" s="182">
        <v>30.0</v>
      </c>
      <c r="F7" s="182">
        <v>80.0</v>
      </c>
    </row>
    <row r="8">
      <c r="A8" s="182" t="s">
        <v>295</v>
      </c>
      <c r="B8" s="182" t="s">
        <v>188</v>
      </c>
      <c r="C8" s="182" t="s">
        <v>645</v>
      </c>
      <c r="D8" s="182">
        <v>23.0</v>
      </c>
      <c r="E8" s="182">
        <v>28.0</v>
      </c>
      <c r="F8" s="182">
        <v>82.14</v>
      </c>
    </row>
    <row r="9">
      <c r="A9" s="182" t="s">
        <v>306</v>
      </c>
      <c r="B9" s="182" t="s">
        <v>186</v>
      </c>
      <c r="C9" s="182" t="s">
        <v>677</v>
      </c>
      <c r="D9" s="182">
        <v>22.0</v>
      </c>
      <c r="E9" s="182">
        <v>30.0</v>
      </c>
      <c r="F9" s="182">
        <v>73.33</v>
      </c>
    </row>
    <row r="10">
      <c r="A10" s="182" t="s">
        <v>254</v>
      </c>
      <c r="B10" s="182" t="s">
        <v>189</v>
      </c>
      <c r="C10" s="182" t="s">
        <v>677</v>
      </c>
      <c r="D10" s="182">
        <v>20.0</v>
      </c>
      <c r="E10" s="182">
        <v>23.0</v>
      </c>
      <c r="F10" s="182">
        <v>86.96</v>
      </c>
    </row>
    <row r="11">
      <c r="A11" s="182" t="s">
        <v>281</v>
      </c>
      <c r="B11" s="182" t="s">
        <v>187</v>
      </c>
      <c r="C11" s="182" t="s">
        <v>645</v>
      </c>
      <c r="D11" s="182">
        <v>20.0</v>
      </c>
      <c r="E11" s="182">
        <v>24.0</v>
      </c>
      <c r="F11" s="182">
        <v>83.33</v>
      </c>
    </row>
    <row r="12">
      <c r="A12" s="182" t="s">
        <v>280</v>
      </c>
      <c r="B12" s="182" t="s">
        <v>186</v>
      </c>
      <c r="C12" s="182" t="s">
        <v>684</v>
      </c>
      <c r="D12" s="182">
        <v>20.0</v>
      </c>
      <c r="E12" s="182">
        <v>30.0</v>
      </c>
      <c r="F12" s="182">
        <v>66.67</v>
      </c>
    </row>
    <row r="13">
      <c r="A13" s="182" t="s">
        <v>263</v>
      </c>
      <c r="B13" s="182" t="s">
        <v>181</v>
      </c>
      <c r="C13" s="182" t="s">
        <v>677</v>
      </c>
      <c r="D13" s="182">
        <v>19.0</v>
      </c>
      <c r="E13" s="182">
        <v>34.0</v>
      </c>
      <c r="F13" s="182">
        <v>55.88</v>
      </c>
    </row>
    <row r="14">
      <c r="A14" s="182" t="s">
        <v>297</v>
      </c>
      <c r="B14" s="182" t="s">
        <v>181</v>
      </c>
      <c r="C14" s="182" t="s">
        <v>666</v>
      </c>
      <c r="D14" s="182">
        <v>19.0</v>
      </c>
      <c r="E14" s="182">
        <v>34.0</v>
      </c>
      <c r="F14" s="182">
        <v>55.88</v>
      </c>
    </row>
    <row r="15">
      <c r="A15" s="182" t="s">
        <v>296</v>
      </c>
      <c r="B15" s="182" t="s">
        <v>185</v>
      </c>
      <c r="C15" s="182" t="s">
        <v>684</v>
      </c>
      <c r="D15" s="182">
        <v>18.0</v>
      </c>
      <c r="E15" s="182">
        <v>30.0</v>
      </c>
      <c r="F15" s="182">
        <v>60.0</v>
      </c>
    </row>
    <row r="16">
      <c r="A16" s="182" t="s">
        <v>274</v>
      </c>
      <c r="B16" s="182" t="s">
        <v>189</v>
      </c>
      <c r="C16" s="182" t="s">
        <v>645</v>
      </c>
      <c r="D16" s="182">
        <v>18.0</v>
      </c>
      <c r="E16" s="182">
        <v>23.0</v>
      </c>
      <c r="F16" s="182">
        <v>78.26</v>
      </c>
    </row>
    <row r="17">
      <c r="A17" s="182" t="s">
        <v>256</v>
      </c>
      <c r="B17" s="182" t="s">
        <v>182</v>
      </c>
      <c r="C17" s="182" t="s">
        <v>645</v>
      </c>
      <c r="D17" s="182">
        <v>17.0</v>
      </c>
      <c r="E17" s="182">
        <v>20.0</v>
      </c>
      <c r="F17" s="182">
        <v>85.0</v>
      </c>
    </row>
    <row r="18">
      <c r="A18" s="182" t="s">
        <v>294</v>
      </c>
      <c r="B18" s="182" t="s">
        <v>180</v>
      </c>
      <c r="C18" s="182" t="s">
        <v>645</v>
      </c>
      <c r="D18" s="182">
        <v>17.0</v>
      </c>
      <c r="E18" s="182">
        <v>28.0</v>
      </c>
      <c r="F18" s="182">
        <v>60.71</v>
      </c>
    </row>
    <row r="19">
      <c r="A19" s="182" t="s">
        <v>264</v>
      </c>
      <c r="B19" s="182" t="s">
        <v>184</v>
      </c>
      <c r="C19" s="182" t="s">
        <v>669</v>
      </c>
      <c r="D19" s="182">
        <v>17.0</v>
      </c>
      <c r="E19" s="182">
        <v>33.0</v>
      </c>
      <c r="F19" s="182">
        <v>51.52</v>
      </c>
    </row>
    <row r="20">
      <c r="A20" s="182" t="s">
        <v>258</v>
      </c>
      <c r="B20" s="182" t="s">
        <v>186</v>
      </c>
      <c r="C20" s="182" t="s">
        <v>666</v>
      </c>
      <c r="D20" s="182">
        <v>16.0</v>
      </c>
      <c r="E20" s="182">
        <v>30.0</v>
      </c>
      <c r="F20" s="182">
        <v>53.33</v>
      </c>
    </row>
    <row r="21">
      <c r="A21" s="182" t="s">
        <v>249</v>
      </c>
      <c r="B21" s="182" t="s">
        <v>180</v>
      </c>
      <c r="C21" s="182" t="s">
        <v>664</v>
      </c>
      <c r="D21" s="182">
        <v>16.0</v>
      </c>
      <c r="E21" s="182">
        <v>28.0</v>
      </c>
      <c r="F21" s="182">
        <v>57.14</v>
      </c>
    </row>
    <row r="22">
      <c r="A22" s="182" t="s">
        <v>304</v>
      </c>
      <c r="B22" s="182" t="s">
        <v>188</v>
      </c>
      <c r="C22" s="182" t="s">
        <v>677</v>
      </c>
      <c r="D22" s="182">
        <v>16.0</v>
      </c>
      <c r="E22" s="182">
        <v>28.0</v>
      </c>
      <c r="F22" s="182">
        <v>57.14</v>
      </c>
    </row>
    <row r="23">
      <c r="A23" s="182" t="s">
        <v>264</v>
      </c>
      <c r="B23" s="182" t="s">
        <v>184</v>
      </c>
      <c r="C23" s="182" t="s">
        <v>677</v>
      </c>
      <c r="D23" s="182">
        <v>16.0</v>
      </c>
      <c r="E23" s="182">
        <v>33.0</v>
      </c>
      <c r="F23" s="182">
        <v>48.48</v>
      </c>
    </row>
    <row r="24">
      <c r="A24" s="182" t="s">
        <v>308</v>
      </c>
      <c r="B24" s="182" t="s">
        <v>179</v>
      </c>
      <c r="C24" s="182" t="s">
        <v>645</v>
      </c>
      <c r="D24" s="182">
        <v>15.0</v>
      </c>
      <c r="E24" s="182">
        <v>17.0</v>
      </c>
      <c r="F24" s="182">
        <v>88.24</v>
      </c>
    </row>
    <row r="25">
      <c r="A25" s="182" t="s">
        <v>279</v>
      </c>
      <c r="B25" s="182" t="s">
        <v>189</v>
      </c>
      <c r="C25" s="182" t="s">
        <v>664</v>
      </c>
      <c r="D25" s="182">
        <v>15.0</v>
      </c>
      <c r="E25" s="182">
        <v>23.0</v>
      </c>
      <c r="F25" s="182">
        <v>65.22</v>
      </c>
    </row>
    <row r="26">
      <c r="A26" s="182" t="s">
        <v>284</v>
      </c>
      <c r="B26" s="182" t="s">
        <v>188</v>
      </c>
      <c r="C26" s="182" t="s">
        <v>690</v>
      </c>
      <c r="D26" s="182">
        <v>15.0</v>
      </c>
      <c r="E26" s="182">
        <v>28.0</v>
      </c>
      <c r="F26" s="182">
        <v>53.57</v>
      </c>
    </row>
    <row r="27">
      <c r="A27" s="182" t="s">
        <v>266</v>
      </c>
      <c r="B27" s="182" t="s">
        <v>1</v>
      </c>
      <c r="C27" s="182" t="s">
        <v>684</v>
      </c>
      <c r="D27" s="182">
        <v>15.0</v>
      </c>
      <c r="E27" s="182">
        <v>31.0</v>
      </c>
      <c r="F27" s="182">
        <v>48.39</v>
      </c>
    </row>
    <row r="28">
      <c r="A28" s="182" t="s">
        <v>266</v>
      </c>
      <c r="B28" s="182" t="s">
        <v>1</v>
      </c>
      <c r="C28" s="182" t="s">
        <v>690</v>
      </c>
      <c r="D28" s="182">
        <v>14.0</v>
      </c>
      <c r="E28" s="182">
        <v>31.0</v>
      </c>
      <c r="F28" s="182">
        <v>45.16</v>
      </c>
    </row>
    <row r="29">
      <c r="A29" s="182" t="s">
        <v>283</v>
      </c>
      <c r="B29" s="182" t="s">
        <v>183</v>
      </c>
      <c r="C29" s="182" t="s">
        <v>645</v>
      </c>
      <c r="D29" s="182">
        <v>14.0</v>
      </c>
      <c r="E29" s="182">
        <v>19.0</v>
      </c>
      <c r="F29" s="182">
        <v>73.68</v>
      </c>
    </row>
    <row r="30">
      <c r="A30" s="182" t="s">
        <v>293</v>
      </c>
      <c r="B30" s="182" t="s">
        <v>182</v>
      </c>
      <c r="C30" s="182" t="s">
        <v>688</v>
      </c>
      <c r="D30" s="182">
        <v>14.0</v>
      </c>
      <c r="E30" s="182">
        <v>20.0</v>
      </c>
      <c r="F30" s="182">
        <v>70.0</v>
      </c>
    </row>
    <row r="31">
      <c r="A31" s="182" t="s">
        <v>265</v>
      </c>
      <c r="B31" s="182" t="s">
        <v>183</v>
      </c>
      <c r="C31" s="182" t="s">
        <v>669</v>
      </c>
      <c r="D31" s="182">
        <v>14.0</v>
      </c>
      <c r="E31" s="182">
        <v>26.0</v>
      </c>
      <c r="F31" s="182">
        <v>53.85</v>
      </c>
    </row>
    <row r="32">
      <c r="A32" s="182" t="s">
        <v>302</v>
      </c>
      <c r="B32" s="182" t="s">
        <v>184</v>
      </c>
      <c r="C32" s="182" t="s">
        <v>645</v>
      </c>
      <c r="D32" s="182">
        <v>13.0</v>
      </c>
      <c r="E32" s="182">
        <v>23.0</v>
      </c>
      <c r="F32" s="182">
        <v>56.52</v>
      </c>
    </row>
    <row r="33">
      <c r="A33" s="182" t="s">
        <v>250</v>
      </c>
      <c r="B33" s="182" t="s">
        <v>188</v>
      </c>
      <c r="C33" s="182" t="s">
        <v>654</v>
      </c>
      <c r="D33" s="182">
        <v>13.0</v>
      </c>
      <c r="E33" s="182">
        <v>28.0</v>
      </c>
      <c r="F33" s="182">
        <v>46.43</v>
      </c>
    </row>
    <row r="34">
      <c r="A34" s="182" t="s">
        <v>257</v>
      </c>
      <c r="B34" s="182" t="s">
        <v>190</v>
      </c>
      <c r="C34" s="182" t="s">
        <v>664</v>
      </c>
      <c r="D34" s="182">
        <v>13.0</v>
      </c>
      <c r="E34" s="182">
        <v>30.0</v>
      </c>
      <c r="F34" s="182">
        <v>43.33</v>
      </c>
    </row>
    <row r="35">
      <c r="A35" s="182" t="s">
        <v>291</v>
      </c>
      <c r="B35" s="182" t="s">
        <v>187</v>
      </c>
      <c r="C35" s="182" t="s">
        <v>677</v>
      </c>
      <c r="D35" s="182">
        <v>13.0</v>
      </c>
      <c r="E35" s="182">
        <v>24.0</v>
      </c>
      <c r="F35" s="182">
        <v>54.17</v>
      </c>
    </row>
    <row r="36">
      <c r="A36" s="182" t="s">
        <v>263</v>
      </c>
      <c r="B36" s="182" t="s">
        <v>181</v>
      </c>
      <c r="C36" s="182" t="s">
        <v>669</v>
      </c>
      <c r="D36" s="182">
        <v>13.0</v>
      </c>
      <c r="E36" s="182">
        <v>34.0</v>
      </c>
      <c r="F36" s="182">
        <v>38.24</v>
      </c>
    </row>
    <row r="37">
      <c r="A37" s="182" t="s">
        <v>282</v>
      </c>
      <c r="B37" s="182" t="s">
        <v>183</v>
      </c>
      <c r="C37" s="182" t="s">
        <v>647</v>
      </c>
      <c r="D37" s="182">
        <v>13.0</v>
      </c>
      <c r="E37" s="182">
        <v>26.0</v>
      </c>
      <c r="F37" s="182">
        <v>50.0</v>
      </c>
    </row>
    <row r="38">
      <c r="A38" s="182" t="s">
        <v>305</v>
      </c>
      <c r="B38" s="182" t="s">
        <v>190</v>
      </c>
      <c r="C38" s="182" t="s">
        <v>645</v>
      </c>
      <c r="D38" s="182">
        <v>13.0</v>
      </c>
      <c r="E38" s="182">
        <v>30.0</v>
      </c>
      <c r="F38" s="182">
        <v>43.33</v>
      </c>
    </row>
    <row r="39">
      <c r="A39" s="182" t="s">
        <v>245</v>
      </c>
      <c r="B39" s="182" t="s">
        <v>185</v>
      </c>
      <c r="C39" s="182" t="s">
        <v>654</v>
      </c>
      <c r="D39" s="182">
        <v>13.0</v>
      </c>
      <c r="E39" s="182">
        <v>34.0</v>
      </c>
      <c r="F39" s="182">
        <v>38.24</v>
      </c>
    </row>
    <row r="40">
      <c r="A40" s="182" t="s">
        <v>275</v>
      </c>
      <c r="B40" s="182" t="s">
        <v>1</v>
      </c>
      <c r="C40" s="182" t="s">
        <v>677</v>
      </c>
      <c r="D40" s="182">
        <v>13.0</v>
      </c>
      <c r="E40" s="182">
        <v>31.0</v>
      </c>
      <c r="F40" s="182">
        <v>41.94</v>
      </c>
    </row>
    <row r="41">
      <c r="A41" s="182" t="s">
        <v>289</v>
      </c>
      <c r="B41" s="182" t="s">
        <v>184</v>
      </c>
      <c r="C41" s="182" t="s">
        <v>645</v>
      </c>
      <c r="D41" s="182">
        <v>13.0</v>
      </c>
      <c r="E41" s="182">
        <v>33.0</v>
      </c>
      <c r="F41" s="182">
        <v>39.39</v>
      </c>
    </row>
    <row r="42">
      <c r="A42" s="182" t="s">
        <v>292</v>
      </c>
      <c r="B42" s="182" t="s">
        <v>180</v>
      </c>
      <c r="C42" s="182" t="s">
        <v>677</v>
      </c>
      <c r="D42" s="182">
        <v>12.0</v>
      </c>
      <c r="E42" s="182">
        <v>28.0</v>
      </c>
      <c r="F42" s="182">
        <v>42.86</v>
      </c>
    </row>
    <row r="43">
      <c r="A43" s="182" t="s">
        <v>265</v>
      </c>
      <c r="B43" s="182" t="s">
        <v>183</v>
      </c>
      <c r="C43" s="182" t="s">
        <v>677</v>
      </c>
      <c r="D43" s="182">
        <v>12.0</v>
      </c>
      <c r="E43" s="182">
        <v>26.0</v>
      </c>
      <c r="F43" s="182">
        <v>46.15</v>
      </c>
    </row>
    <row r="44">
      <c r="A44" s="182" t="s">
        <v>253</v>
      </c>
      <c r="B44" s="182" t="s">
        <v>187</v>
      </c>
      <c r="C44" s="182" t="s">
        <v>666</v>
      </c>
      <c r="D44" s="182">
        <v>12.0</v>
      </c>
      <c r="E44" s="182">
        <v>24.0</v>
      </c>
      <c r="F44" s="182">
        <v>50.0</v>
      </c>
    </row>
    <row r="45">
      <c r="A45" s="182" t="s">
        <v>278</v>
      </c>
      <c r="B45" s="182" t="s">
        <v>182</v>
      </c>
      <c r="C45" s="182" t="s">
        <v>677</v>
      </c>
      <c r="D45" s="182">
        <v>12.0</v>
      </c>
      <c r="E45" s="182">
        <v>20.0</v>
      </c>
      <c r="F45" s="182">
        <v>60.0</v>
      </c>
    </row>
    <row r="46">
      <c r="A46" s="182" t="s">
        <v>290</v>
      </c>
      <c r="B46" s="182" t="s">
        <v>190</v>
      </c>
      <c r="C46" s="182" t="s">
        <v>647</v>
      </c>
      <c r="D46" s="182">
        <v>12.0</v>
      </c>
      <c r="E46" s="182">
        <v>30.0</v>
      </c>
      <c r="F46" s="182">
        <v>40.0</v>
      </c>
    </row>
    <row r="47">
      <c r="A47" s="182" t="s">
        <v>277</v>
      </c>
      <c r="B47" s="182" t="s">
        <v>187</v>
      </c>
      <c r="C47" s="182" t="s">
        <v>654</v>
      </c>
      <c r="D47" s="182">
        <v>12.0</v>
      </c>
      <c r="E47" s="182">
        <v>24.0</v>
      </c>
      <c r="F47" s="182">
        <v>50.0</v>
      </c>
    </row>
    <row r="48">
      <c r="A48" s="182" t="s">
        <v>244</v>
      </c>
      <c r="B48" s="182" t="s">
        <v>184</v>
      </c>
      <c r="C48" s="182" t="s">
        <v>664</v>
      </c>
      <c r="D48" s="182">
        <v>12.0</v>
      </c>
      <c r="E48" s="182">
        <v>33.0</v>
      </c>
      <c r="F48" s="182">
        <v>36.36</v>
      </c>
    </row>
    <row r="49">
      <c r="A49" s="182" t="s">
        <v>262</v>
      </c>
      <c r="B49" s="182" t="s">
        <v>190</v>
      </c>
      <c r="C49" s="182" t="s">
        <v>658</v>
      </c>
      <c r="D49" s="182">
        <v>11.0</v>
      </c>
      <c r="E49" s="182">
        <v>30.0</v>
      </c>
      <c r="F49" s="182">
        <v>36.67</v>
      </c>
    </row>
    <row r="50">
      <c r="A50" s="182" t="s">
        <v>307</v>
      </c>
      <c r="B50" s="182" t="s">
        <v>189</v>
      </c>
      <c r="C50" s="182" t="s">
        <v>684</v>
      </c>
      <c r="D50" s="182">
        <v>11.0</v>
      </c>
      <c r="E50" s="182">
        <v>23.0</v>
      </c>
      <c r="F50" s="182">
        <v>47.83</v>
      </c>
    </row>
    <row r="51">
      <c r="A51" s="182" t="s">
        <v>253</v>
      </c>
      <c r="B51" s="182" t="s">
        <v>187</v>
      </c>
      <c r="C51" s="182" t="s">
        <v>690</v>
      </c>
      <c r="D51" s="182">
        <v>11.0</v>
      </c>
      <c r="E51" s="182">
        <v>24.0</v>
      </c>
      <c r="F51" s="182">
        <v>45.83</v>
      </c>
    </row>
    <row r="52">
      <c r="A52" s="182" t="s">
        <v>247</v>
      </c>
      <c r="B52" s="182" t="s">
        <v>186</v>
      </c>
      <c r="C52" s="182" t="s">
        <v>654</v>
      </c>
      <c r="D52" s="182">
        <v>11.0</v>
      </c>
      <c r="E52" s="182">
        <v>30.0</v>
      </c>
      <c r="F52" s="182">
        <v>36.67</v>
      </c>
    </row>
    <row r="53">
      <c r="A53" s="182" t="s">
        <v>301</v>
      </c>
      <c r="B53" s="182" t="s">
        <v>182</v>
      </c>
      <c r="C53" s="182" t="s">
        <v>647</v>
      </c>
      <c r="D53" s="182">
        <v>11.0</v>
      </c>
      <c r="E53" s="182">
        <v>20.0</v>
      </c>
      <c r="F53" s="182">
        <v>55.0</v>
      </c>
    </row>
    <row r="54">
      <c r="A54" s="182" t="s">
        <v>285</v>
      </c>
      <c r="B54" s="182" t="s">
        <v>232</v>
      </c>
      <c r="C54" s="182" t="s">
        <v>677</v>
      </c>
      <c r="D54" s="182">
        <v>11.0</v>
      </c>
      <c r="E54" s="182">
        <v>14.0</v>
      </c>
      <c r="F54" s="182">
        <v>78.57</v>
      </c>
    </row>
    <row r="55">
      <c r="A55" s="182" t="s">
        <v>282</v>
      </c>
      <c r="B55" s="182" t="s">
        <v>183</v>
      </c>
      <c r="C55" s="182" t="s">
        <v>684</v>
      </c>
      <c r="D55" s="182">
        <v>11.0</v>
      </c>
      <c r="E55" s="182">
        <v>26.0</v>
      </c>
      <c r="F55" s="182">
        <v>42.31</v>
      </c>
    </row>
    <row r="56">
      <c r="A56" s="182" t="s">
        <v>255</v>
      </c>
      <c r="B56" s="182" t="s">
        <v>1</v>
      </c>
      <c r="C56" s="182" t="s">
        <v>664</v>
      </c>
      <c r="D56" s="182">
        <v>11.0</v>
      </c>
      <c r="E56" s="182">
        <v>31.0</v>
      </c>
      <c r="F56" s="182">
        <v>35.48</v>
      </c>
    </row>
    <row r="57">
      <c r="A57" s="182" t="s">
        <v>275</v>
      </c>
      <c r="B57" s="182" t="s">
        <v>1</v>
      </c>
      <c r="C57" s="182" t="s">
        <v>669</v>
      </c>
      <c r="D57" s="182">
        <v>11.0</v>
      </c>
      <c r="E57" s="182">
        <v>31.0</v>
      </c>
      <c r="F57" s="182">
        <v>35.48</v>
      </c>
    </row>
    <row r="58">
      <c r="A58" s="182" t="s">
        <v>268</v>
      </c>
      <c r="B58" s="182" t="s">
        <v>179</v>
      </c>
      <c r="C58" s="182" t="s">
        <v>684</v>
      </c>
      <c r="D58" s="182">
        <v>10.0</v>
      </c>
      <c r="E58" s="182">
        <v>17.0</v>
      </c>
      <c r="F58" s="182">
        <v>58.82</v>
      </c>
    </row>
    <row r="59">
      <c r="A59" s="182" t="s">
        <v>289</v>
      </c>
      <c r="B59" s="182" t="s">
        <v>184</v>
      </c>
      <c r="C59" s="182" t="s">
        <v>647</v>
      </c>
      <c r="D59" s="182">
        <v>10.0</v>
      </c>
      <c r="E59" s="182">
        <v>33.0</v>
      </c>
      <c r="F59" s="182">
        <v>30.3</v>
      </c>
    </row>
    <row r="60">
      <c r="A60" s="182" t="s">
        <v>297</v>
      </c>
      <c r="B60" s="182" t="s">
        <v>181</v>
      </c>
      <c r="C60" s="182" t="s">
        <v>673</v>
      </c>
      <c r="D60" s="182">
        <v>10.0</v>
      </c>
      <c r="E60" s="182">
        <v>34.0</v>
      </c>
      <c r="F60" s="182">
        <v>29.41</v>
      </c>
    </row>
    <row r="61">
      <c r="A61" s="182" t="s">
        <v>272</v>
      </c>
      <c r="B61" s="182" t="s">
        <v>185</v>
      </c>
      <c r="C61" s="182" t="s">
        <v>677</v>
      </c>
      <c r="D61" s="182">
        <v>10.0</v>
      </c>
      <c r="E61" s="182">
        <v>20.0</v>
      </c>
      <c r="F61" s="182">
        <v>50.0</v>
      </c>
    </row>
    <row r="62">
      <c r="A62" s="182" t="s">
        <v>304</v>
      </c>
      <c r="B62" s="182" t="s">
        <v>188</v>
      </c>
      <c r="C62" s="182" t="s">
        <v>669</v>
      </c>
      <c r="D62" s="182">
        <v>10.0</v>
      </c>
      <c r="E62" s="182">
        <v>28.0</v>
      </c>
      <c r="F62" s="182">
        <v>35.71</v>
      </c>
    </row>
    <row r="63">
      <c r="A63" s="182" t="s">
        <v>276</v>
      </c>
      <c r="B63" s="182" t="s">
        <v>185</v>
      </c>
      <c r="C63" s="182" t="s">
        <v>666</v>
      </c>
      <c r="D63" s="182">
        <v>10.0</v>
      </c>
      <c r="E63" s="182">
        <v>34.0</v>
      </c>
      <c r="F63" s="182">
        <v>29.41</v>
      </c>
    </row>
    <row r="64">
      <c r="A64" s="182" t="s">
        <v>246</v>
      </c>
      <c r="B64" s="182" t="s">
        <v>180</v>
      </c>
      <c r="C64" s="182" t="s">
        <v>684</v>
      </c>
      <c r="D64" s="182">
        <v>10.0</v>
      </c>
      <c r="E64" s="182">
        <v>28.0</v>
      </c>
      <c r="F64" s="182">
        <v>35.71</v>
      </c>
    </row>
    <row r="65">
      <c r="A65" s="182" t="s">
        <v>252</v>
      </c>
      <c r="B65" s="182" t="s">
        <v>189</v>
      </c>
      <c r="C65" s="182" t="s">
        <v>686</v>
      </c>
      <c r="D65" s="182">
        <v>10.0</v>
      </c>
      <c r="E65" s="182">
        <v>23.0</v>
      </c>
      <c r="F65" s="182">
        <v>43.48</v>
      </c>
    </row>
    <row r="66">
      <c r="A66" s="182" t="s">
        <v>248</v>
      </c>
      <c r="B66" s="182" t="s">
        <v>187</v>
      </c>
      <c r="C66" s="182" t="s">
        <v>664</v>
      </c>
      <c r="D66" s="182">
        <v>10.0</v>
      </c>
      <c r="E66" s="182">
        <v>24.0</v>
      </c>
      <c r="F66" s="182">
        <v>41.67</v>
      </c>
    </row>
    <row r="67">
      <c r="A67" s="182" t="s">
        <v>250</v>
      </c>
      <c r="B67" s="182" t="s">
        <v>188</v>
      </c>
      <c r="C67" s="182" t="s">
        <v>664</v>
      </c>
      <c r="D67" s="182">
        <v>10.0</v>
      </c>
      <c r="E67" s="182">
        <v>28.0</v>
      </c>
      <c r="F67" s="182">
        <v>35.71</v>
      </c>
    </row>
    <row r="68">
      <c r="A68" s="182" t="s">
        <v>287</v>
      </c>
      <c r="B68" s="182" t="s">
        <v>190</v>
      </c>
      <c r="C68" s="182" t="s">
        <v>645</v>
      </c>
      <c r="D68" s="182">
        <v>10.0</v>
      </c>
      <c r="E68" s="182">
        <v>30.0</v>
      </c>
      <c r="F68" s="182">
        <v>33.33</v>
      </c>
    </row>
    <row r="69">
      <c r="A69" s="182" t="s">
        <v>261</v>
      </c>
      <c r="B69" s="182" t="s">
        <v>179</v>
      </c>
      <c r="C69" s="182" t="s">
        <v>677</v>
      </c>
      <c r="D69" s="182">
        <v>10.0</v>
      </c>
      <c r="E69" s="182">
        <v>17.0</v>
      </c>
      <c r="F69" s="182">
        <v>58.82</v>
      </c>
    </row>
    <row r="70">
      <c r="A70" s="182" t="s">
        <v>247</v>
      </c>
      <c r="B70" s="182" t="s">
        <v>186</v>
      </c>
      <c r="C70" s="182" t="s">
        <v>652</v>
      </c>
      <c r="D70" s="182">
        <v>10.0</v>
      </c>
      <c r="E70" s="182">
        <v>30.0</v>
      </c>
      <c r="F70" s="182">
        <v>33.33</v>
      </c>
    </row>
    <row r="71">
      <c r="A71" s="182" t="s">
        <v>259</v>
      </c>
      <c r="B71" s="182" t="s">
        <v>184</v>
      </c>
      <c r="C71" s="182" t="s">
        <v>684</v>
      </c>
      <c r="D71" s="182">
        <v>10.0</v>
      </c>
      <c r="E71" s="182">
        <v>33.0</v>
      </c>
      <c r="F71" s="182">
        <v>30.3</v>
      </c>
    </row>
    <row r="72">
      <c r="A72" s="182" t="s">
        <v>292</v>
      </c>
      <c r="B72" s="182" t="s">
        <v>180</v>
      </c>
      <c r="C72" s="182" t="s">
        <v>669</v>
      </c>
      <c r="D72" s="182">
        <v>10.0</v>
      </c>
      <c r="E72" s="182">
        <v>28.0</v>
      </c>
      <c r="F72" s="182">
        <v>35.71</v>
      </c>
    </row>
    <row r="73">
      <c r="A73" s="182" t="s">
        <v>247</v>
      </c>
      <c r="B73" s="182" t="s">
        <v>186</v>
      </c>
      <c r="C73" s="182" t="s">
        <v>664</v>
      </c>
      <c r="D73" s="182">
        <v>9.0</v>
      </c>
      <c r="E73" s="182">
        <v>30.0</v>
      </c>
      <c r="F73" s="182">
        <v>30.0</v>
      </c>
    </row>
    <row r="74">
      <c r="A74" s="182" t="s">
        <v>276</v>
      </c>
      <c r="B74" s="182" t="s">
        <v>185</v>
      </c>
      <c r="C74" s="182" t="s">
        <v>669</v>
      </c>
      <c r="D74" s="182">
        <v>9.0</v>
      </c>
      <c r="E74" s="182">
        <v>34.0</v>
      </c>
      <c r="F74" s="182">
        <v>26.47</v>
      </c>
    </row>
    <row r="75">
      <c r="A75" s="182" t="s">
        <v>260</v>
      </c>
      <c r="B75" s="182" t="s">
        <v>191</v>
      </c>
      <c r="C75" s="182" t="s">
        <v>666</v>
      </c>
      <c r="D75" s="182">
        <v>9.0</v>
      </c>
      <c r="E75" s="182">
        <v>28.0</v>
      </c>
      <c r="F75" s="182">
        <v>32.14</v>
      </c>
    </row>
    <row r="76">
      <c r="A76" s="182" t="s">
        <v>290</v>
      </c>
      <c r="B76" s="182" t="s">
        <v>190</v>
      </c>
      <c r="C76" s="182" t="s">
        <v>684</v>
      </c>
      <c r="D76" s="182">
        <v>9.0</v>
      </c>
      <c r="E76" s="182">
        <v>30.0</v>
      </c>
      <c r="F76" s="182">
        <v>30.0</v>
      </c>
    </row>
    <row r="77">
      <c r="A77" s="182" t="s">
        <v>241</v>
      </c>
      <c r="B77" s="182" t="s">
        <v>1</v>
      </c>
      <c r="C77" s="182" t="s">
        <v>664</v>
      </c>
      <c r="D77" s="182">
        <v>9.0</v>
      </c>
      <c r="E77" s="182">
        <v>31.0</v>
      </c>
      <c r="F77" s="182">
        <v>29.03</v>
      </c>
    </row>
    <row r="78">
      <c r="A78" s="182" t="s">
        <v>255</v>
      </c>
      <c r="B78" s="182" t="s">
        <v>1</v>
      </c>
      <c r="C78" s="182" t="s">
        <v>662</v>
      </c>
      <c r="D78" s="182">
        <v>9.0</v>
      </c>
      <c r="E78" s="182">
        <v>31.0</v>
      </c>
      <c r="F78" s="182">
        <v>29.03</v>
      </c>
    </row>
    <row r="79">
      <c r="A79" s="182" t="s">
        <v>236</v>
      </c>
      <c r="B79" s="182" t="s">
        <v>232</v>
      </c>
      <c r="C79" s="182" t="s">
        <v>652</v>
      </c>
      <c r="D79" s="182">
        <v>8.0</v>
      </c>
      <c r="E79" s="182">
        <v>14.0</v>
      </c>
      <c r="F79" s="182">
        <v>57.14</v>
      </c>
    </row>
    <row r="80">
      <c r="A80" s="182" t="s">
        <v>242</v>
      </c>
      <c r="B80" s="182" t="s">
        <v>183</v>
      </c>
      <c r="C80" s="182" t="s">
        <v>654</v>
      </c>
      <c r="D80" s="182">
        <v>8.0</v>
      </c>
      <c r="E80" s="182">
        <v>26.0</v>
      </c>
      <c r="F80" s="182">
        <v>30.77</v>
      </c>
    </row>
    <row r="81">
      <c r="A81" s="182" t="s">
        <v>306</v>
      </c>
      <c r="B81" s="182" t="s">
        <v>186</v>
      </c>
      <c r="C81" s="182" t="s">
        <v>669</v>
      </c>
      <c r="D81" s="182">
        <v>8.0</v>
      </c>
      <c r="E81" s="182">
        <v>30.0</v>
      </c>
      <c r="F81" s="182">
        <v>26.67</v>
      </c>
    </row>
    <row r="82">
      <c r="A82" s="182" t="s">
        <v>262</v>
      </c>
      <c r="B82" s="182" t="s">
        <v>190</v>
      </c>
      <c r="C82" s="182" t="s">
        <v>652</v>
      </c>
      <c r="D82" s="182">
        <v>8.0</v>
      </c>
      <c r="E82" s="182">
        <v>30.0</v>
      </c>
      <c r="F82" s="182">
        <v>26.67</v>
      </c>
    </row>
    <row r="83">
      <c r="A83" s="182" t="s">
        <v>267</v>
      </c>
      <c r="B83" s="182" t="s">
        <v>232</v>
      </c>
      <c r="C83" s="182" t="s">
        <v>645</v>
      </c>
      <c r="D83" s="182">
        <v>8.0</v>
      </c>
      <c r="E83" s="182">
        <v>14.0</v>
      </c>
      <c r="F83" s="182">
        <v>57.14</v>
      </c>
    </row>
    <row r="84">
      <c r="A84" s="182" t="s">
        <v>244</v>
      </c>
      <c r="B84" s="182" t="s">
        <v>184</v>
      </c>
      <c r="C84" s="182" t="s">
        <v>652</v>
      </c>
      <c r="D84" s="182">
        <v>8.0</v>
      </c>
      <c r="E84" s="182">
        <v>33.0</v>
      </c>
      <c r="F84" s="182">
        <v>24.24</v>
      </c>
    </row>
    <row r="85">
      <c r="A85" s="182" t="s">
        <v>240</v>
      </c>
      <c r="B85" s="182" t="s">
        <v>182</v>
      </c>
      <c r="C85" s="182" t="s">
        <v>654</v>
      </c>
      <c r="D85" s="182">
        <v>8.0</v>
      </c>
      <c r="E85" s="182">
        <v>20.0</v>
      </c>
      <c r="F85" s="182">
        <v>40.0</v>
      </c>
    </row>
    <row r="86">
      <c r="A86" s="182" t="s">
        <v>260</v>
      </c>
      <c r="B86" s="182" t="s">
        <v>191</v>
      </c>
      <c r="C86" s="182" t="s">
        <v>658</v>
      </c>
      <c r="D86" s="182">
        <v>8.0</v>
      </c>
      <c r="E86" s="182">
        <v>28.0</v>
      </c>
      <c r="F86" s="182">
        <v>28.57</v>
      </c>
    </row>
    <row r="87">
      <c r="A87" s="182" t="s">
        <v>287</v>
      </c>
      <c r="B87" s="182" t="s">
        <v>190</v>
      </c>
      <c r="C87" s="182" t="s">
        <v>677</v>
      </c>
      <c r="D87" s="182">
        <v>8.0</v>
      </c>
      <c r="E87" s="182">
        <v>30.0</v>
      </c>
      <c r="F87" s="182">
        <v>26.67</v>
      </c>
    </row>
    <row r="88">
      <c r="A88" s="182" t="s">
        <v>270</v>
      </c>
      <c r="B88" s="182" t="s">
        <v>183</v>
      </c>
      <c r="C88" s="182" t="s">
        <v>673</v>
      </c>
      <c r="D88" s="182">
        <v>8.0</v>
      </c>
      <c r="E88" s="182">
        <v>26.0</v>
      </c>
      <c r="F88" s="182">
        <v>30.77</v>
      </c>
    </row>
    <row r="89">
      <c r="A89" s="182" t="s">
        <v>245</v>
      </c>
      <c r="B89" s="182" t="s">
        <v>185</v>
      </c>
      <c r="C89" s="182" t="s">
        <v>664</v>
      </c>
      <c r="D89" s="182">
        <v>8.0</v>
      </c>
      <c r="E89" s="182">
        <v>34.0</v>
      </c>
      <c r="F89" s="182">
        <v>23.53</v>
      </c>
    </row>
    <row r="90">
      <c r="A90" s="182" t="s">
        <v>248</v>
      </c>
      <c r="B90" s="182" t="s">
        <v>187</v>
      </c>
      <c r="C90" s="182" t="s">
        <v>688</v>
      </c>
      <c r="D90" s="182">
        <v>7.0</v>
      </c>
      <c r="E90" s="182">
        <v>24.0</v>
      </c>
      <c r="F90" s="182">
        <v>29.17</v>
      </c>
    </row>
    <row r="91">
      <c r="A91" s="182" t="s">
        <v>269</v>
      </c>
      <c r="B91" s="182" t="s">
        <v>179</v>
      </c>
      <c r="C91" s="182" t="s">
        <v>669</v>
      </c>
      <c r="D91" s="182">
        <v>7.0</v>
      </c>
      <c r="E91" s="182">
        <v>17.0</v>
      </c>
      <c r="F91" s="182">
        <v>41.18</v>
      </c>
    </row>
    <row r="92">
      <c r="A92" s="182" t="s">
        <v>240</v>
      </c>
      <c r="B92" s="182" t="s">
        <v>182</v>
      </c>
      <c r="C92" s="182" t="s">
        <v>658</v>
      </c>
      <c r="D92" s="182">
        <v>7.0</v>
      </c>
      <c r="E92" s="182">
        <v>20.0</v>
      </c>
      <c r="F92" s="182">
        <v>35.0</v>
      </c>
    </row>
    <row r="93">
      <c r="A93" s="182" t="s">
        <v>242</v>
      </c>
      <c r="B93" s="182" t="s">
        <v>183</v>
      </c>
      <c r="C93" s="182" t="s">
        <v>664</v>
      </c>
      <c r="D93" s="182">
        <v>7.0</v>
      </c>
      <c r="E93" s="182">
        <v>26.0</v>
      </c>
      <c r="F93" s="182">
        <v>26.92</v>
      </c>
    </row>
    <row r="94">
      <c r="A94" s="182" t="s">
        <v>241</v>
      </c>
      <c r="B94" s="182" t="s">
        <v>1</v>
      </c>
      <c r="C94" s="182" t="s">
        <v>649</v>
      </c>
      <c r="D94" s="182">
        <v>7.0</v>
      </c>
      <c r="E94" s="182">
        <v>31.0</v>
      </c>
      <c r="F94" s="182">
        <v>22.58</v>
      </c>
    </row>
    <row r="95">
      <c r="A95" s="182" t="s">
        <v>268</v>
      </c>
      <c r="B95" s="182" t="s">
        <v>179</v>
      </c>
      <c r="C95" s="182" t="s">
        <v>647</v>
      </c>
      <c r="D95" s="182">
        <v>7.0</v>
      </c>
      <c r="E95" s="182">
        <v>17.0</v>
      </c>
      <c r="F95" s="182">
        <v>41.18</v>
      </c>
    </row>
    <row r="96">
      <c r="A96" s="182" t="s">
        <v>243</v>
      </c>
      <c r="B96" s="182" t="s">
        <v>232</v>
      </c>
      <c r="C96" s="182" t="s">
        <v>684</v>
      </c>
      <c r="D96" s="182">
        <v>7.0</v>
      </c>
      <c r="E96" s="182">
        <v>14.0</v>
      </c>
      <c r="F96" s="182">
        <v>50.0</v>
      </c>
    </row>
    <row r="97">
      <c r="A97" s="182" t="s">
        <v>300</v>
      </c>
      <c r="B97" s="182" t="s">
        <v>192</v>
      </c>
      <c r="C97" s="182" t="s">
        <v>666</v>
      </c>
      <c r="D97" s="182">
        <v>7.0</v>
      </c>
      <c r="E97" s="182">
        <v>14.0</v>
      </c>
      <c r="F97" s="182">
        <v>50.0</v>
      </c>
    </row>
    <row r="98">
      <c r="A98" s="182" t="s">
        <v>244</v>
      </c>
      <c r="B98" s="182" t="s">
        <v>184</v>
      </c>
      <c r="C98" s="182" t="s">
        <v>658</v>
      </c>
      <c r="D98" s="182">
        <v>7.0</v>
      </c>
      <c r="E98" s="182">
        <v>33.0</v>
      </c>
      <c r="F98" s="182">
        <v>21.21</v>
      </c>
    </row>
    <row r="99">
      <c r="A99" s="182" t="s">
        <v>269</v>
      </c>
      <c r="B99" s="182" t="s">
        <v>179</v>
      </c>
      <c r="C99" s="182" t="s">
        <v>673</v>
      </c>
      <c r="D99" s="182">
        <v>7.0</v>
      </c>
      <c r="E99" s="182">
        <v>17.0</v>
      </c>
      <c r="F99" s="182">
        <v>41.18</v>
      </c>
    </row>
    <row r="100">
      <c r="A100" s="182" t="s">
        <v>245</v>
      </c>
      <c r="B100" s="182" t="s">
        <v>185</v>
      </c>
      <c r="C100" s="182" t="s">
        <v>658</v>
      </c>
      <c r="D100" s="182">
        <v>7.0</v>
      </c>
      <c r="E100" s="182">
        <v>34.0</v>
      </c>
      <c r="F100" s="182">
        <v>20.59</v>
      </c>
    </row>
    <row r="101">
      <c r="A101" s="182" t="s">
        <v>259</v>
      </c>
      <c r="B101" s="182" t="s">
        <v>184</v>
      </c>
      <c r="C101" s="182" t="s">
        <v>688</v>
      </c>
      <c r="D101" s="182">
        <v>7.0</v>
      </c>
      <c r="E101" s="182">
        <v>33.0</v>
      </c>
      <c r="F101" s="182">
        <v>21.21</v>
      </c>
    </row>
    <row r="102">
      <c r="A102" s="182" t="s">
        <v>238</v>
      </c>
      <c r="B102" s="182" t="s">
        <v>180</v>
      </c>
      <c r="C102" s="182" t="s">
        <v>654</v>
      </c>
      <c r="D102" s="182">
        <v>7.0</v>
      </c>
      <c r="E102" s="182">
        <v>28.0</v>
      </c>
      <c r="F102" s="182">
        <v>25.0</v>
      </c>
    </row>
    <row r="103">
      <c r="A103" s="182" t="s">
        <v>257</v>
      </c>
      <c r="B103" s="182" t="s">
        <v>190</v>
      </c>
      <c r="C103" s="182" t="s">
        <v>677</v>
      </c>
      <c r="D103" s="182">
        <v>7.0</v>
      </c>
      <c r="E103" s="182">
        <v>30.0</v>
      </c>
      <c r="F103" s="182">
        <v>23.33</v>
      </c>
    </row>
    <row r="104">
      <c r="A104" s="182" t="s">
        <v>309</v>
      </c>
      <c r="B104" s="182" t="s">
        <v>193</v>
      </c>
      <c r="C104" s="182" t="s">
        <v>645</v>
      </c>
      <c r="D104" s="182">
        <v>6.0</v>
      </c>
      <c r="E104" s="182">
        <v>7.0</v>
      </c>
      <c r="F104" s="182">
        <v>85.71</v>
      </c>
    </row>
    <row r="105">
      <c r="A105" s="182" t="s">
        <v>245</v>
      </c>
      <c r="B105" s="182" t="s">
        <v>185</v>
      </c>
      <c r="C105" s="182" t="s">
        <v>660</v>
      </c>
      <c r="D105" s="182">
        <v>6.0</v>
      </c>
      <c r="E105" s="182">
        <v>34.0</v>
      </c>
      <c r="F105" s="182">
        <v>17.65</v>
      </c>
    </row>
    <row r="106">
      <c r="A106" s="182" t="s">
        <v>290</v>
      </c>
      <c r="B106" s="182" t="s">
        <v>190</v>
      </c>
      <c r="C106" s="182" t="s">
        <v>688</v>
      </c>
      <c r="D106" s="182">
        <v>6.0</v>
      </c>
      <c r="E106" s="182">
        <v>30.0</v>
      </c>
      <c r="F106" s="182">
        <v>20.0</v>
      </c>
    </row>
    <row r="107">
      <c r="A107" s="182" t="s">
        <v>238</v>
      </c>
      <c r="B107" s="182" t="s">
        <v>180</v>
      </c>
      <c r="C107" s="182" t="s">
        <v>649</v>
      </c>
      <c r="D107" s="182">
        <v>6.0</v>
      </c>
      <c r="E107" s="182">
        <v>28.0</v>
      </c>
      <c r="F107" s="182">
        <v>21.43</v>
      </c>
    </row>
    <row r="108">
      <c r="A108" s="182" t="s">
        <v>280</v>
      </c>
      <c r="B108" s="182" t="s">
        <v>186</v>
      </c>
      <c r="C108" s="182" t="s">
        <v>690</v>
      </c>
      <c r="D108" s="182">
        <v>6.0</v>
      </c>
      <c r="E108" s="182">
        <v>30.0</v>
      </c>
      <c r="F108" s="182">
        <v>20.0</v>
      </c>
    </row>
    <row r="109">
      <c r="A109" s="182" t="s">
        <v>303</v>
      </c>
      <c r="B109" s="182" t="s">
        <v>232</v>
      </c>
      <c r="C109" s="182" t="s">
        <v>666</v>
      </c>
      <c r="D109" s="182">
        <v>6.0</v>
      </c>
      <c r="E109" s="182">
        <v>14.0</v>
      </c>
      <c r="F109" s="182">
        <v>42.86</v>
      </c>
    </row>
    <row r="110">
      <c r="A110" s="182" t="s">
        <v>242</v>
      </c>
      <c r="B110" s="182" t="s">
        <v>183</v>
      </c>
      <c r="C110" s="182" t="s">
        <v>652</v>
      </c>
      <c r="D110" s="182">
        <v>6.0</v>
      </c>
      <c r="E110" s="182">
        <v>26.0</v>
      </c>
      <c r="F110" s="182">
        <v>23.08</v>
      </c>
    </row>
    <row r="111">
      <c r="A111" s="182" t="s">
        <v>284</v>
      </c>
      <c r="B111" s="182" t="s">
        <v>188</v>
      </c>
      <c r="C111" s="182" t="s">
        <v>684</v>
      </c>
      <c r="D111" s="182">
        <v>6.0</v>
      </c>
      <c r="E111" s="182">
        <v>28.0</v>
      </c>
      <c r="F111" s="182">
        <v>21.43</v>
      </c>
    </row>
    <row r="112">
      <c r="A112" s="182" t="s">
        <v>244</v>
      </c>
      <c r="B112" s="182" t="s">
        <v>184</v>
      </c>
      <c r="C112" s="182" t="s">
        <v>654</v>
      </c>
      <c r="D112" s="182">
        <v>6.0</v>
      </c>
      <c r="E112" s="182">
        <v>33.0</v>
      </c>
      <c r="F112" s="182">
        <v>18.18</v>
      </c>
    </row>
    <row r="113">
      <c r="A113" s="182" t="s">
        <v>241</v>
      </c>
      <c r="B113" s="182" t="s">
        <v>1</v>
      </c>
      <c r="C113" s="182" t="s">
        <v>656</v>
      </c>
      <c r="D113" s="182">
        <v>6.0</v>
      </c>
      <c r="E113" s="182">
        <v>31.0</v>
      </c>
      <c r="F113" s="182">
        <v>19.35</v>
      </c>
    </row>
    <row r="114">
      <c r="A114" s="182" t="s">
        <v>241</v>
      </c>
      <c r="B114" s="182" t="s">
        <v>1</v>
      </c>
      <c r="C114" s="182" t="s">
        <v>669</v>
      </c>
      <c r="D114" s="182">
        <v>6.0</v>
      </c>
      <c r="E114" s="182">
        <v>31.0</v>
      </c>
      <c r="F114" s="182">
        <v>19.35</v>
      </c>
    </row>
    <row r="115">
      <c r="A115" s="182" t="s">
        <v>292</v>
      </c>
      <c r="B115" s="182" t="s">
        <v>180</v>
      </c>
      <c r="C115" s="182" t="s">
        <v>666</v>
      </c>
      <c r="D115" s="182">
        <v>6.0</v>
      </c>
      <c r="E115" s="182">
        <v>28.0</v>
      </c>
      <c r="F115" s="182">
        <v>21.43</v>
      </c>
    </row>
    <row r="116">
      <c r="A116" s="182" t="s">
        <v>237</v>
      </c>
      <c r="B116" s="182" t="s">
        <v>179</v>
      </c>
      <c r="C116" s="182" t="s">
        <v>652</v>
      </c>
      <c r="D116" s="182">
        <v>6.0</v>
      </c>
      <c r="E116" s="182">
        <v>17.0</v>
      </c>
      <c r="F116" s="182">
        <v>35.29</v>
      </c>
    </row>
    <row r="117">
      <c r="A117" s="182" t="s">
        <v>237</v>
      </c>
      <c r="B117" s="182" t="s">
        <v>179</v>
      </c>
      <c r="C117" s="182" t="s">
        <v>654</v>
      </c>
      <c r="D117" s="182">
        <v>6.0</v>
      </c>
      <c r="E117" s="182">
        <v>17.0</v>
      </c>
      <c r="F117" s="182">
        <v>35.29</v>
      </c>
    </row>
    <row r="118">
      <c r="A118" s="182" t="s">
        <v>258</v>
      </c>
      <c r="B118" s="182" t="s">
        <v>186</v>
      </c>
      <c r="C118" s="182" t="s">
        <v>658</v>
      </c>
      <c r="D118" s="182">
        <v>6.0</v>
      </c>
      <c r="E118" s="182">
        <v>30.0</v>
      </c>
      <c r="F118" s="182">
        <v>20.0</v>
      </c>
    </row>
    <row r="119">
      <c r="A119" s="182" t="s">
        <v>270</v>
      </c>
      <c r="B119" s="182" t="s">
        <v>183</v>
      </c>
      <c r="C119" s="182" t="s">
        <v>684</v>
      </c>
      <c r="D119" s="182">
        <v>6.0</v>
      </c>
      <c r="E119" s="182">
        <v>26.0</v>
      </c>
      <c r="F119" s="182">
        <v>23.08</v>
      </c>
    </row>
    <row r="120">
      <c r="A120" s="182" t="s">
        <v>249</v>
      </c>
      <c r="B120" s="182" t="s">
        <v>180</v>
      </c>
      <c r="C120" s="182" t="s">
        <v>673</v>
      </c>
      <c r="D120" s="182">
        <v>6.0</v>
      </c>
      <c r="E120" s="182">
        <v>28.0</v>
      </c>
      <c r="F120" s="182">
        <v>21.43</v>
      </c>
    </row>
    <row r="121">
      <c r="A121" s="182" t="s">
        <v>275</v>
      </c>
      <c r="B121" s="182" t="s">
        <v>1</v>
      </c>
      <c r="C121" s="182" t="s">
        <v>647</v>
      </c>
      <c r="D121" s="182">
        <v>6.0</v>
      </c>
      <c r="E121" s="182">
        <v>31.0</v>
      </c>
      <c r="F121" s="182">
        <v>19.35</v>
      </c>
    </row>
    <row r="122">
      <c r="A122" s="182" t="s">
        <v>291</v>
      </c>
      <c r="B122" s="182" t="s">
        <v>187</v>
      </c>
      <c r="C122" s="182" t="s">
        <v>671</v>
      </c>
      <c r="D122" s="182">
        <v>6.0</v>
      </c>
      <c r="E122" s="182">
        <v>24.0</v>
      </c>
      <c r="F122" s="182">
        <v>25.0</v>
      </c>
    </row>
    <row r="123">
      <c r="A123" s="182" t="s">
        <v>278</v>
      </c>
      <c r="B123" s="182" t="s">
        <v>182</v>
      </c>
      <c r="C123" s="182" t="s">
        <v>669</v>
      </c>
      <c r="D123" s="182">
        <v>6.0</v>
      </c>
      <c r="E123" s="182">
        <v>20.0</v>
      </c>
      <c r="F123" s="182">
        <v>30.0</v>
      </c>
    </row>
    <row r="124">
      <c r="A124" s="182" t="s">
        <v>274</v>
      </c>
      <c r="B124" s="182" t="s">
        <v>189</v>
      </c>
      <c r="C124" s="182" t="s">
        <v>647</v>
      </c>
      <c r="D124" s="182">
        <v>5.0</v>
      </c>
      <c r="E124" s="182">
        <v>23.0</v>
      </c>
      <c r="F124" s="182">
        <v>21.74</v>
      </c>
    </row>
    <row r="125">
      <c r="A125" s="182" t="s">
        <v>307</v>
      </c>
      <c r="B125" s="182" t="s">
        <v>189</v>
      </c>
      <c r="C125" s="182" t="s">
        <v>647</v>
      </c>
      <c r="D125" s="182">
        <v>5.0</v>
      </c>
      <c r="E125" s="182">
        <v>23.0</v>
      </c>
      <c r="F125" s="182">
        <v>21.74</v>
      </c>
    </row>
    <row r="126">
      <c r="A126" s="182" t="s">
        <v>255</v>
      </c>
      <c r="B126" s="182" t="s">
        <v>1</v>
      </c>
      <c r="C126" s="182" t="s">
        <v>654</v>
      </c>
      <c r="D126" s="182">
        <v>5.0</v>
      </c>
      <c r="E126" s="182">
        <v>31.0</v>
      </c>
      <c r="F126" s="182">
        <v>16.13</v>
      </c>
    </row>
    <row r="127">
      <c r="A127" s="182" t="s">
        <v>246</v>
      </c>
      <c r="B127" s="182" t="s">
        <v>180</v>
      </c>
      <c r="C127" s="182" t="s">
        <v>647</v>
      </c>
      <c r="D127" s="182">
        <v>5.0</v>
      </c>
      <c r="E127" s="182">
        <v>28.0</v>
      </c>
      <c r="F127" s="182">
        <v>17.86</v>
      </c>
    </row>
    <row r="128">
      <c r="A128" s="182" t="s">
        <v>287</v>
      </c>
      <c r="B128" s="182" t="s">
        <v>190</v>
      </c>
      <c r="C128" s="182" t="s">
        <v>669</v>
      </c>
      <c r="D128" s="182">
        <v>5.0</v>
      </c>
      <c r="E128" s="182">
        <v>30.0</v>
      </c>
      <c r="F128" s="182">
        <v>16.67</v>
      </c>
    </row>
    <row r="129">
      <c r="A129" s="182" t="s">
        <v>238</v>
      </c>
      <c r="B129" s="182" t="s">
        <v>180</v>
      </c>
      <c r="C129" s="182" t="s">
        <v>658</v>
      </c>
      <c r="D129" s="182">
        <v>5.0</v>
      </c>
      <c r="E129" s="182">
        <v>28.0</v>
      </c>
      <c r="F129" s="182">
        <v>17.86</v>
      </c>
    </row>
    <row r="130">
      <c r="A130" s="182" t="s">
        <v>307</v>
      </c>
      <c r="B130" s="182" t="s">
        <v>189</v>
      </c>
      <c r="C130" s="182" t="s">
        <v>688</v>
      </c>
      <c r="D130" s="182">
        <v>5.0</v>
      </c>
      <c r="E130" s="182">
        <v>23.0</v>
      </c>
      <c r="F130" s="182">
        <v>21.74</v>
      </c>
    </row>
    <row r="131">
      <c r="A131" s="182" t="s">
        <v>293</v>
      </c>
      <c r="B131" s="182" t="s">
        <v>182</v>
      </c>
      <c r="C131" s="182" t="s">
        <v>647</v>
      </c>
      <c r="D131" s="182">
        <v>5.0</v>
      </c>
      <c r="E131" s="182">
        <v>20.0</v>
      </c>
      <c r="F131" s="182">
        <v>25.0</v>
      </c>
    </row>
    <row r="132">
      <c r="A132" s="182" t="s">
        <v>238</v>
      </c>
      <c r="B132" s="182" t="s">
        <v>180</v>
      </c>
      <c r="C132" s="182" t="s">
        <v>652</v>
      </c>
      <c r="D132" s="182">
        <v>5.0</v>
      </c>
      <c r="E132" s="182">
        <v>28.0</v>
      </c>
      <c r="F132" s="182">
        <v>17.86</v>
      </c>
    </row>
    <row r="133">
      <c r="A133" s="182" t="s">
        <v>277</v>
      </c>
      <c r="B133" s="182" t="s">
        <v>187</v>
      </c>
      <c r="C133" s="182" t="s">
        <v>681</v>
      </c>
      <c r="D133" s="182">
        <v>5.0</v>
      </c>
      <c r="E133" s="182">
        <v>24.0</v>
      </c>
      <c r="F133" s="182">
        <v>20.83</v>
      </c>
    </row>
    <row r="134">
      <c r="A134" s="182" t="s">
        <v>243</v>
      </c>
      <c r="B134" s="182" t="s">
        <v>232</v>
      </c>
      <c r="C134" s="182" t="s">
        <v>688</v>
      </c>
      <c r="D134" s="182">
        <v>5.0</v>
      </c>
      <c r="E134" s="182">
        <v>14.0</v>
      </c>
      <c r="F134" s="182">
        <v>35.71</v>
      </c>
    </row>
    <row r="135">
      <c r="A135" s="182" t="s">
        <v>237</v>
      </c>
      <c r="B135" s="182" t="s">
        <v>179</v>
      </c>
      <c r="C135" s="182" t="s">
        <v>664</v>
      </c>
      <c r="D135" s="182">
        <v>5.0</v>
      </c>
      <c r="E135" s="182">
        <v>17.0</v>
      </c>
      <c r="F135" s="182">
        <v>29.41</v>
      </c>
    </row>
    <row r="136">
      <c r="A136" s="182" t="s">
        <v>305</v>
      </c>
      <c r="B136" s="182" t="s">
        <v>190</v>
      </c>
      <c r="C136" s="182" t="s">
        <v>673</v>
      </c>
      <c r="D136" s="182">
        <v>5.0</v>
      </c>
      <c r="E136" s="182">
        <v>30.0</v>
      </c>
      <c r="F136" s="182">
        <v>16.67</v>
      </c>
    </row>
    <row r="137">
      <c r="A137" s="182" t="s">
        <v>259</v>
      </c>
      <c r="B137" s="182" t="s">
        <v>184</v>
      </c>
      <c r="C137" s="182" t="s">
        <v>647</v>
      </c>
      <c r="D137" s="182">
        <v>5.0</v>
      </c>
      <c r="E137" s="182">
        <v>33.0</v>
      </c>
      <c r="F137" s="182">
        <v>15.15</v>
      </c>
    </row>
    <row r="138">
      <c r="A138" s="182" t="s">
        <v>294</v>
      </c>
      <c r="B138" s="182" t="s">
        <v>180</v>
      </c>
      <c r="C138" s="182" t="s">
        <v>647</v>
      </c>
      <c r="D138" s="182">
        <v>5.0</v>
      </c>
      <c r="E138" s="182">
        <v>28.0</v>
      </c>
      <c r="F138" s="182">
        <v>17.86</v>
      </c>
    </row>
    <row r="139">
      <c r="A139" s="182" t="s">
        <v>296</v>
      </c>
      <c r="B139" s="182" t="s">
        <v>185</v>
      </c>
      <c r="C139" s="182" t="s">
        <v>643</v>
      </c>
      <c r="D139" s="182">
        <v>5.0</v>
      </c>
      <c r="E139" s="182">
        <v>30.0</v>
      </c>
      <c r="F139" s="182">
        <v>16.67</v>
      </c>
    </row>
    <row r="140">
      <c r="A140" s="182" t="s">
        <v>255</v>
      </c>
      <c r="B140" s="182" t="s">
        <v>1</v>
      </c>
      <c r="C140" s="182" t="s">
        <v>658</v>
      </c>
      <c r="D140" s="182">
        <v>5.0</v>
      </c>
      <c r="E140" s="182">
        <v>31.0</v>
      </c>
      <c r="F140" s="182">
        <v>16.13</v>
      </c>
    </row>
    <row r="141">
      <c r="A141" s="182" t="s">
        <v>284</v>
      </c>
      <c r="B141" s="182" t="s">
        <v>188</v>
      </c>
      <c r="C141" s="182" t="s">
        <v>647</v>
      </c>
      <c r="D141" s="182">
        <v>5.0</v>
      </c>
      <c r="E141" s="182">
        <v>28.0</v>
      </c>
      <c r="F141" s="182">
        <v>17.86</v>
      </c>
    </row>
    <row r="142">
      <c r="A142" s="182" t="s">
        <v>246</v>
      </c>
      <c r="B142" s="182" t="s">
        <v>180</v>
      </c>
      <c r="C142" s="182" t="s">
        <v>690</v>
      </c>
      <c r="D142" s="182">
        <v>5.0</v>
      </c>
      <c r="E142" s="182">
        <v>28.0</v>
      </c>
      <c r="F142" s="182">
        <v>17.86</v>
      </c>
    </row>
    <row r="143">
      <c r="A143" s="182" t="s">
        <v>262</v>
      </c>
      <c r="B143" s="182" t="s">
        <v>190</v>
      </c>
      <c r="C143" s="182" t="s">
        <v>654</v>
      </c>
      <c r="D143" s="182">
        <v>5.0</v>
      </c>
      <c r="E143" s="182">
        <v>30.0</v>
      </c>
      <c r="F143" s="182">
        <v>16.67</v>
      </c>
    </row>
    <row r="144">
      <c r="A144" s="182" t="s">
        <v>246</v>
      </c>
      <c r="B144" s="182" t="s">
        <v>180</v>
      </c>
      <c r="C144" s="182" t="s">
        <v>688</v>
      </c>
      <c r="D144" s="182">
        <v>5.0</v>
      </c>
      <c r="E144" s="182">
        <v>28.0</v>
      </c>
      <c r="F144" s="182">
        <v>17.86</v>
      </c>
    </row>
    <row r="145">
      <c r="A145" s="182" t="s">
        <v>272</v>
      </c>
      <c r="B145" s="182" t="s">
        <v>185</v>
      </c>
      <c r="C145" s="182" t="s">
        <v>671</v>
      </c>
      <c r="D145" s="182">
        <v>5.0</v>
      </c>
      <c r="E145" s="182">
        <v>20.0</v>
      </c>
      <c r="F145" s="182">
        <v>25.0</v>
      </c>
    </row>
    <row r="146">
      <c r="A146" s="182" t="s">
        <v>300</v>
      </c>
      <c r="B146" s="182" t="s">
        <v>192</v>
      </c>
      <c r="C146" s="182" t="s">
        <v>677</v>
      </c>
      <c r="D146" s="182">
        <v>4.0</v>
      </c>
      <c r="E146" s="182">
        <v>14.0</v>
      </c>
      <c r="F146" s="182">
        <v>28.57</v>
      </c>
    </row>
    <row r="147">
      <c r="A147" s="182" t="s">
        <v>267</v>
      </c>
      <c r="B147" s="182" t="s">
        <v>232</v>
      </c>
      <c r="C147" s="182" t="s">
        <v>647</v>
      </c>
      <c r="D147" s="182">
        <v>4.0</v>
      </c>
      <c r="E147" s="182">
        <v>14.0</v>
      </c>
      <c r="F147" s="182">
        <v>28.57</v>
      </c>
    </row>
    <row r="148">
      <c r="A148" s="182" t="s">
        <v>259</v>
      </c>
      <c r="B148" s="182" t="s">
        <v>184</v>
      </c>
      <c r="C148" s="182" t="s">
        <v>643</v>
      </c>
      <c r="D148" s="182">
        <v>4.0</v>
      </c>
      <c r="E148" s="182">
        <v>33.0</v>
      </c>
      <c r="F148" s="182">
        <v>12.12</v>
      </c>
    </row>
    <row r="149">
      <c r="A149" s="182" t="s">
        <v>259</v>
      </c>
      <c r="B149" s="182" t="s">
        <v>184</v>
      </c>
      <c r="C149" s="182" t="s">
        <v>681</v>
      </c>
      <c r="D149" s="182">
        <v>4.0</v>
      </c>
      <c r="E149" s="182">
        <v>33.0</v>
      </c>
      <c r="F149" s="182">
        <v>12.12</v>
      </c>
    </row>
    <row r="150">
      <c r="A150" s="182" t="s">
        <v>257</v>
      </c>
      <c r="B150" s="182" t="s">
        <v>190</v>
      </c>
      <c r="C150" s="182" t="s">
        <v>669</v>
      </c>
      <c r="D150" s="182">
        <v>4.0</v>
      </c>
      <c r="E150" s="182">
        <v>30.0</v>
      </c>
      <c r="F150" s="182">
        <v>13.33</v>
      </c>
    </row>
    <row r="151">
      <c r="A151" s="182" t="s">
        <v>277</v>
      </c>
      <c r="B151" s="182" t="s">
        <v>187</v>
      </c>
      <c r="C151" s="182" t="s">
        <v>686</v>
      </c>
      <c r="D151" s="182">
        <v>4.0</v>
      </c>
      <c r="E151" s="182">
        <v>24.0</v>
      </c>
      <c r="F151" s="182">
        <v>16.67</v>
      </c>
    </row>
    <row r="152">
      <c r="A152" s="182" t="s">
        <v>294</v>
      </c>
      <c r="B152" s="182" t="s">
        <v>180</v>
      </c>
      <c r="C152" s="182" t="s">
        <v>637</v>
      </c>
      <c r="D152" s="182">
        <v>4.0</v>
      </c>
      <c r="E152" s="182">
        <v>28.0</v>
      </c>
      <c r="F152" s="182">
        <v>14.29</v>
      </c>
    </row>
    <row r="153">
      <c r="A153" s="182" t="s">
        <v>242</v>
      </c>
      <c r="B153" s="182" t="s">
        <v>183</v>
      </c>
      <c r="C153" s="182" t="s">
        <v>658</v>
      </c>
      <c r="D153" s="182">
        <v>4.0</v>
      </c>
      <c r="E153" s="182">
        <v>26.0</v>
      </c>
      <c r="F153" s="182">
        <v>15.38</v>
      </c>
    </row>
    <row r="154">
      <c r="A154" s="182" t="s">
        <v>296</v>
      </c>
      <c r="B154" s="182" t="s">
        <v>185</v>
      </c>
      <c r="C154" s="182" t="s">
        <v>647</v>
      </c>
      <c r="D154" s="182">
        <v>4.0</v>
      </c>
      <c r="E154" s="182">
        <v>30.0</v>
      </c>
      <c r="F154" s="182">
        <v>13.33</v>
      </c>
    </row>
    <row r="155">
      <c r="A155" s="182" t="s">
        <v>298</v>
      </c>
      <c r="B155" s="182" t="s">
        <v>184</v>
      </c>
      <c r="C155" s="182" t="s">
        <v>688</v>
      </c>
      <c r="D155" s="182">
        <v>4.0</v>
      </c>
      <c r="E155" s="182">
        <v>10.0</v>
      </c>
      <c r="F155" s="182">
        <v>40.0</v>
      </c>
    </row>
    <row r="156">
      <c r="A156" s="182" t="s">
        <v>272</v>
      </c>
      <c r="B156" s="182" t="s">
        <v>185</v>
      </c>
      <c r="C156" s="182" t="s">
        <v>669</v>
      </c>
      <c r="D156" s="182">
        <v>4.0</v>
      </c>
      <c r="E156" s="182">
        <v>20.0</v>
      </c>
      <c r="F156" s="182">
        <v>20.0</v>
      </c>
    </row>
    <row r="157">
      <c r="A157" s="182" t="s">
        <v>289</v>
      </c>
      <c r="B157" s="182" t="s">
        <v>184</v>
      </c>
      <c r="C157" s="182" t="s">
        <v>690</v>
      </c>
      <c r="D157" s="182">
        <v>4.0</v>
      </c>
      <c r="E157" s="182">
        <v>33.0</v>
      </c>
      <c r="F157" s="182">
        <v>12.12</v>
      </c>
    </row>
    <row r="158">
      <c r="A158" s="182" t="s">
        <v>238</v>
      </c>
      <c r="B158" s="182" t="s">
        <v>180</v>
      </c>
      <c r="C158" s="182" t="s">
        <v>664</v>
      </c>
      <c r="D158" s="182">
        <v>4.0</v>
      </c>
      <c r="E158" s="182">
        <v>28.0</v>
      </c>
      <c r="F158" s="182">
        <v>14.29</v>
      </c>
    </row>
    <row r="159">
      <c r="A159" s="182" t="s">
        <v>262</v>
      </c>
      <c r="B159" s="182" t="s">
        <v>190</v>
      </c>
      <c r="C159" s="182" t="s">
        <v>649</v>
      </c>
      <c r="D159" s="182">
        <v>4.0</v>
      </c>
      <c r="E159" s="182">
        <v>30.0</v>
      </c>
      <c r="F159" s="182">
        <v>13.33</v>
      </c>
    </row>
    <row r="160">
      <c r="A160" s="182" t="s">
        <v>252</v>
      </c>
      <c r="B160" s="182" t="s">
        <v>189</v>
      </c>
      <c r="C160" s="182" t="s">
        <v>649</v>
      </c>
      <c r="D160" s="182">
        <v>4.0</v>
      </c>
      <c r="E160" s="182">
        <v>23.0</v>
      </c>
      <c r="F160" s="182">
        <v>17.39</v>
      </c>
    </row>
    <row r="161">
      <c r="A161" s="182" t="s">
        <v>252</v>
      </c>
      <c r="B161" s="182" t="s">
        <v>189</v>
      </c>
      <c r="C161" s="182" t="s">
        <v>671</v>
      </c>
      <c r="D161" s="182">
        <v>4.0</v>
      </c>
      <c r="E161" s="182">
        <v>23.0</v>
      </c>
      <c r="F161" s="182">
        <v>17.39</v>
      </c>
    </row>
    <row r="162">
      <c r="A162" s="182" t="s">
        <v>281</v>
      </c>
      <c r="B162" s="182" t="s">
        <v>187</v>
      </c>
      <c r="C162" s="182" t="s">
        <v>637</v>
      </c>
      <c r="D162" s="182">
        <v>4.0</v>
      </c>
      <c r="E162" s="182">
        <v>24.0</v>
      </c>
      <c r="F162" s="182">
        <v>16.67</v>
      </c>
    </row>
    <row r="163">
      <c r="A163" s="182" t="s">
        <v>302</v>
      </c>
      <c r="B163" s="182" t="s">
        <v>184</v>
      </c>
      <c r="C163" s="182" t="s">
        <v>666</v>
      </c>
      <c r="D163" s="182">
        <v>4.0</v>
      </c>
      <c r="E163" s="182">
        <v>23.0</v>
      </c>
      <c r="F163" s="182">
        <v>17.39</v>
      </c>
    </row>
    <row r="164">
      <c r="A164" s="182" t="s">
        <v>260</v>
      </c>
      <c r="B164" s="182" t="s">
        <v>191</v>
      </c>
      <c r="C164" s="182" t="s">
        <v>690</v>
      </c>
      <c r="D164" s="182">
        <v>4.0</v>
      </c>
      <c r="E164" s="182">
        <v>28.0</v>
      </c>
      <c r="F164" s="182">
        <v>14.29</v>
      </c>
    </row>
    <row r="165">
      <c r="A165" s="182" t="s">
        <v>302</v>
      </c>
      <c r="B165" s="182" t="s">
        <v>184</v>
      </c>
      <c r="C165" s="182" t="s">
        <v>647</v>
      </c>
      <c r="D165" s="182">
        <v>4.0</v>
      </c>
      <c r="E165" s="182">
        <v>23.0</v>
      </c>
      <c r="F165" s="182">
        <v>17.39</v>
      </c>
    </row>
    <row r="166">
      <c r="A166" s="182" t="s">
        <v>271</v>
      </c>
      <c r="B166" s="182" t="s">
        <v>186</v>
      </c>
      <c r="C166" s="182" t="s">
        <v>647</v>
      </c>
      <c r="D166" s="182">
        <v>4.0</v>
      </c>
      <c r="E166" s="182">
        <v>30.0</v>
      </c>
      <c r="F166" s="182">
        <v>13.33</v>
      </c>
    </row>
    <row r="167">
      <c r="A167" s="182" t="s">
        <v>279</v>
      </c>
      <c r="B167" s="182" t="s">
        <v>189</v>
      </c>
      <c r="C167" s="182" t="s">
        <v>645</v>
      </c>
      <c r="D167" s="182">
        <v>4.0</v>
      </c>
      <c r="E167" s="182">
        <v>23.0</v>
      </c>
      <c r="F167" s="182">
        <v>17.39</v>
      </c>
    </row>
    <row r="168">
      <c r="A168" s="182" t="s">
        <v>301</v>
      </c>
      <c r="B168" s="182" t="s">
        <v>182</v>
      </c>
      <c r="C168" s="182" t="s">
        <v>686</v>
      </c>
      <c r="D168" s="182">
        <v>4.0</v>
      </c>
      <c r="E168" s="182">
        <v>20.0</v>
      </c>
      <c r="F168" s="182">
        <v>20.0</v>
      </c>
    </row>
    <row r="169">
      <c r="A169" s="182" t="s">
        <v>240</v>
      </c>
      <c r="B169" s="182" t="s">
        <v>182</v>
      </c>
      <c r="C169" s="182" t="s">
        <v>652</v>
      </c>
      <c r="D169" s="182">
        <v>4.0</v>
      </c>
      <c r="E169" s="182">
        <v>20.0</v>
      </c>
      <c r="F169" s="182">
        <v>20.0</v>
      </c>
    </row>
    <row r="170">
      <c r="A170" s="182" t="s">
        <v>289</v>
      </c>
      <c r="B170" s="182" t="s">
        <v>184</v>
      </c>
      <c r="C170" s="182" t="s">
        <v>639</v>
      </c>
      <c r="D170" s="182">
        <v>3.0</v>
      </c>
      <c r="E170" s="182">
        <v>33.0</v>
      </c>
      <c r="F170" s="182">
        <v>9.09</v>
      </c>
    </row>
    <row r="171">
      <c r="A171" s="182" t="s">
        <v>276</v>
      </c>
      <c r="B171" s="182" t="s">
        <v>185</v>
      </c>
      <c r="C171" s="182" t="s">
        <v>649</v>
      </c>
      <c r="D171" s="182">
        <v>3.0</v>
      </c>
      <c r="E171" s="182">
        <v>34.0</v>
      </c>
      <c r="F171" s="182">
        <v>8.82</v>
      </c>
    </row>
    <row r="172">
      <c r="A172" s="182" t="s">
        <v>276</v>
      </c>
      <c r="B172" s="182" t="s">
        <v>185</v>
      </c>
      <c r="C172" s="182" t="s">
        <v>686</v>
      </c>
      <c r="D172" s="182">
        <v>3.0</v>
      </c>
      <c r="E172" s="182">
        <v>34.0</v>
      </c>
      <c r="F172" s="182">
        <v>8.82</v>
      </c>
    </row>
    <row r="173">
      <c r="A173" s="182" t="s">
        <v>270</v>
      </c>
      <c r="B173" s="182" t="s">
        <v>183</v>
      </c>
      <c r="C173" s="182" t="s">
        <v>671</v>
      </c>
      <c r="D173" s="182">
        <v>3.0</v>
      </c>
      <c r="E173" s="182">
        <v>26.0</v>
      </c>
      <c r="F173" s="182">
        <v>11.54</v>
      </c>
    </row>
    <row r="174">
      <c r="A174" s="182" t="s">
        <v>249</v>
      </c>
      <c r="B174" s="182" t="s">
        <v>180</v>
      </c>
      <c r="C174" s="182" t="s">
        <v>677</v>
      </c>
      <c r="D174" s="182">
        <v>3.0</v>
      </c>
      <c r="E174" s="182">
        <v>28.0</v>
      </c>
      <c r="F174" s="182">
        <v>10.71</v>
      </c>
    </row>
    <row r="175">
      <c r="A175" s="182" t="s">
        <v>305</v>
      </c>
      <c r="B175" s="182" t="s">
        <v>190</v>
      </c>
      <c r="C175" s="182" t="s">
        <v>677</v>
      </c>
      <c r="D175" s="182">
        <v>3.0</v>
      </c>
      <c r="E175" s="182">
        <v>30.0</v>
      </c>
      <c r="F175" s="182">
        <v>10.0</v>
      </c>
    </row>
    <row r="176">
      <c r="A176" s="182" t="s">
        <v>276</v>
      </c>
      <c r="B176" s="182" t="s">
        <v>185</v>
      </c>
      <c r="C176" s="182" t="s">
        <v>671</v>
      </c>
      <c r="D176" s="182">
        <v>3.0</v>
      </c>
      <c r="E176" s="182">
        <v>34.0</v>
      </c>
      <c r="F176" s="182">
        <v>8.82</v>
      </c>
    </row>
    <row r="177">
      <c r="A177" s="182" t="s">
        <v>249</v>
      </c>
      <c r="B177" s="182" t="s">
        <v>180</v>
      </c>
      <c r="C177" s="182" t="s">
        <v>669</v>
      </c>
      <c r="D177" s="182">
        <v>3.0</v>
      </c>
      <c r="E177" s="182">
        <v>28.0</v>
      </c>
      <c r="F177" s="182">
        <v>10.71</v>
      </c>
    </row>
    <row r="178">
      <c r="A178" s="182" t="s">
        <v>276</v>
      </c>
      <c r="B178" s="182" t="s">
        <v>185</v>
      </c>
      <c r="C178" s="182" t="s">
        <v>673</v>
      </c>
      <c r="D178" s="182">
        <v>3.0</v>
      </c>
      <c r="E178" s="182">
        <v>34.0</v>
      </c>
      <c r="F178" s="182">
        <v>8.82</v>
      </c>
    </row>
    <row r="179">
      <c r="A179" s="182" t="s">
        <v>261</v>
      </c>
      <c r="B179" s="182" t="s">
        <v>179</v>
      </c>
      <c r="C179" s="182" t="s">
        <v>666</v>
      </c>
      <c r="D179" s="182">
        <v>3.0</v>
      </c>
      <c r="E179" s="182">
        <v>17.0</v>
      </c>
      <c r="F179" s="182">
        <v>17.65</v>
      </c>
    </row>
    <row r="180">
      <c r="A180" s="182" t="s">
        <v>298</v>
      </c>
      <c r="B180" s="182" t="s">
        <v>184</v>
      </c>
      <c r="C180" s="182" t="s">
        <v>666</v>
      </c>
      <c r="D180" s="182">
        <v>3.0</v>
      </c>
      <c r="E180" s="182">
        <v>10.0</v>
      </c>
      <c r="F180" s="182">
        <v>30.0</v>
      </c>
    </row>
    <row r="181">
      <c r="A181" s="182" t="s">
        <v>279</v>
      </c>
      <c r="B181" s="182" t="s">
        <v>189</v>
      </c>
      <c r="C181" s="182" t="s">
        <v>658</v>
      </c>
      <c r="D181" s="182">
        <v>3.0</v>
      </c>
      <c r="E181" s="182">
        <v>23.0</v>
      </c>
      <c r="F181" s="182">
        <v>13.04</v>
      </c>
    </row>
    <row r="182">
      <c r="A182" s="182" t="s">
        <v>259</v>
      </c>
      <c r="B182" s="182" t="s">
        <v>184</v>
      </c>
      <c r="C182" s="182" t="s">
        <v>658</v>
      </c>
      <c r="D182" s="182">
        <v>3.0</v>
      </c>
      <c r="E182" s="182">
        <v>33.0</v>
      </c>
      <c r="F182" s="182">
        <v>9.09</v>
      </c>
    </row>
    <row r="183">
      <c r="A183" s="182" t="s">
        <v>290</v>
      </c>
      <c r="B183" s="182" t="s">
        <v>190</v>
      </c>
      <c r="C183" s="182" t="s">
        <v>690</v>
      </c>
      <c r="D183" s="182">
        <v>3.0</v>
      </c>
      <c r="E183" s="182">
        <v>30.0</v>
      </c>
      <c r="F183" s="182">
        <v>10.0</v>
      </c>
    </row>
    <row r="184">
      <c r="A184" s="182" t="s">
        <v>291</v>
      </c>
      <c r="B184" s="182" t="s">
        <v>187</v>
      </c>
      <c r="C184" s="182" t="s">
        <v>669</v>
      </c>
      <c r="D184" s="182">
        <v>3.0</v>
      </c>
      <c r="E184" s="182">
        <v>24.0</v>
      </c>
      <c r="F184" s="182">
        <v>12.5</v>
      </c>
    </row>
    <row r="185">
      <c r="A185" s="182" t="s">
        <v>287</v>
      </c>
      <c r="B185" s="182" t="s">
        <v>190</v>
      </c>
      <c r="C185" s="182" t="s">
        <v>637</v>
      </c>
      <c r="D185" s="182">
        <v>3.0</v>
      </c>
      <c r="E185" s="182">
        <v>30.0</v>
      </c>
      <c r="F185" s="182">
        <v>10.0</v>
      </c>
    </row>
    <row r="186">
      <c r="A186" s="182" t="s">
        <v>250</v>
      </c>
      <c r="B186" s="182" t="s">
        <v>188</v>
      </c>
      <c r="C186" s="182" t="s">
        <v>652</v>
      </c>
      <c r="D186" s="182">
        <v>3.0</v>
      </c>
      <c r="E186" s="182">
        <v>28.0</v>
      </c>
      <c r="F186" s="182">
        <v>10.71</v>
      </c>
    </row>
    <row r="187">
      <c r="A187" s="182" t="s">
        <v>305</v>
      </c>
      <c r="B187" s="182" t="s">
        <v>190</v>
      </c>
      <c r="C187" s="182" t="s">
        <v>675</v>
      </c>
      <c r="D187" s="182">
        <v>3.0</v>
      </c>
      <c r="E187" s="182">
        <v>30.0</v>
      </c>
      <c r="F187" s="182">
        <v>10.0</v>
      </c>
    </row>
    <row r="188">
      <c r="A188" s="182" t="s">
        <v>246</v>
      </c>
      <c r="B188" s="182" t="s">
        <v>180</v>
      </c>
      <c r="C188" s="182" t="s">
        <v>681</v>
      </c>
      <c r="D188" s="182">
        <v>3.0</v>
      </c>
      <c r="E188" s="182">
        <v>28.0</v>
      </c>
      <c r="F188" s="182">
        <v>10.71</v>
      </c>
    </row>
    <row r="189">
      <c r="A189" s="182" t="s">
        <v>258</v>
      </c>
      <c r="B189" s="182" t="s">
        <v>186</v>
      </c>
      <c r="C189" s="182" t="s">
        <v>645</v>
      </c>
      <c r="D189" s="182">
        <v>3.0</v>
      </c>
      <c r="E189" s="182">
        <v>30.0</v>
      </c>
      <c r="F189" s="182">
        <v>10.0</v>
      </c>
    </row>
    <row r="190">
      <c r="A190" s="182" t="s">
        <v>258</v>
      </c>
      <c r="B190" s="182" t="s">
        <v>186</v>
      </c>
      <c r="C190" s="182" t="s">
        <v>654</v>
      </c>
      <c r="D190" s="182">
        <v>3.0</v>
      </c>
      <c r="E190" s="182">
        <v>30.0</v>
      </c>
      <c r="F190" s="182">
        <v>10.0</v>
      </c>
    </row>
    <row r="191">
      <c r="A191" s="182" t="s">
        <v>283</v>
      </c>
      <c r="B191" s="182" t="s">
        <v>183</v>
      </c>
      <c r="C191" s="182" t="s">
        <v>639</v>
      </c>
      <c r="D191" s="182">
        <v>3.0</v>
      </c>
      <c r="E191" s="182">
        <v>19.0</v>
      </c>
      <c r="F191" s="182">
        <v>15.79</v>
      </c>
    </row>
    <row r="192">
      <c r="A192" s="182" t="s">
        <v>257</v>
      </c>
      <c r="B192" s="182" t="s">
        <v>190</v>
      </c>
      <c r="C192" s="182" t="s">
        <v>671</v>
      </c>
      <c r="D192" s="182">
        <v>3.0</v>
      </c>
      <c r="E192" s="182">
        <v>30.0</v>
      </c>
      <c r="F192" s="182">
        <v>10.0</v>
      </c>
    </row>
    <row r="193">
      <c r="A193" s="182" t="s">
        <v>301</v>
      </c>
      <c r="B193" s="182" t="s">
        <v>182</v>
      </c>
      <c r="C193" s="182" t="s">
        <v>673</v>
      </c>
      <c r="D193" s="182">
        <v>3.0</v>
      </c>
      <c r="E193" s="182">
        <v>20.0</v>
      </c>
      <c r="F193" s="182">
        <v>15.0</v>
      </c>
    </row>
    <row r="194">
      <c r="A194" s="182" t="s">
        <v>300</v>
      </c>
      <c r="B194" s="182" t="s">
        <v>192</v>
      </c>
      <c r="C194" s="182" t="s">
        <v>673</v>
      </c>
      <c r="D194" s="182">
        <v>3.0</v>
      </c>
      <c r="E194" s="182">
        <v>14.0</v>
      </c>
      <c r="F194" s="182">
        <v>21.43</v>
      </c>
    </row>
    <row r="195">
      <c r="A195" s="182" t="s">
        <v>289</v>
      </c>
      <c r="B195" s="182" t="s">
        <v>184</v>
      </c>
      <c r="C195" s="182" t="s">
        <v>688</v>
      </c>
      <c r="D195" s="182">
        <v>3.0</v>
      </c>
      <c r="E195" s="182">
        <v>33.0</v>
      </c>
      <c r="F195" s="182">
        <v>9.09</v>
      </c>
    </row>
    <row r="196">
      <c r="A196" s="182" t="s">
        <v>270</v>
      </c>
      <c r="B196" s="182" t="s">
        <v>183</v>
      </c>
      <c r="C196" s="182" t="s">
        <v>656</v>
      </c>
      <c r="D196" s="182">
        <v>3.0</v>
      </c>
      <c r="E196" s="182">
        <v>26.0</v>
      </c>
      <c r="F196" s="182">
        <v>11.54</v>
      </c>
    </row>
    <row r="197">
      <c r="A197" s="182" t="s">
        <v>288</v>
      </c>
      <c r="B197" s="182" t="s">
        <v>185</v>
      </c>
      <c r="C197" s="182" t="s">
        <v>684</v>
      </c>
      <c r="D197" s="182">
        <v>2.0</v>
      </c>
      <c r="E197" s="182">
        <v>5.0</v>
      </c>
      <c r="F197" s="182">
        <v>40.0</v>
      </c>
    </row>
    <row r="198">
      <c r="A198" s="182" t="s">
        <v>262</v>
      </c>
      <c r="B198" s="182" t="s">
        <v>190</v>
      </c>
      <c r="C198" s="182" t="s">
        <v>664</v>
      </c>
      <c r="D198" s="182">
        <v>2.0</v>
      </c>
      <c r="E198" s="182">
        <v>30.0</v>
      </c>
      <c r="F198" s="182">
        <v>6.67</v>
      </c>
    </row>
    <row r="199">
      <c r="A199" s="182" t="s">
        <v>269</v>
      </c>
      <c r="B199" s="182" t="s">
        <v>179</v>
      </c>
      <c r="C199" s="182" t="s">
        <v>677</v>
      </c>
      <c r="D199" s="182">
        <v>2.0</v>
      </c>
      <c r="E199" s="182">
        <v>17.0</v>
      </c>
      <c r="F199" s="182">
        <v>11.76</v>
      </c>
    </row>
    <row r="200">
      <c r="A200" s="182" t="s">
        <v>297</v>
      </c>
      <c r="B200" s="182" t="s">
        <v>181</v>
      </c>
      <c r="C200" s="182" t="s">
        <v>664</v>
      </c>
      <c r="D200" s="182">
        <v>2.0</v>
      </c>
      <c r="E200" s="182">
        <v>34.0</v>
      </c>
      <c r="F200" s="182">
        <v>5.88</v>
      </c>
    </row>
    <row r="201">
      <c r="A201" s="182" t="s">
        <v>302</v>
      </c>
      <c r="B201" s="182" t="s">
        <v>184</v>
      </c>
      <c r="C201" s="182" t="s">
        <v>686</v>
      </c>
      <c r="D201" s="182">
        <v>2.0</v>
      </c>
      <c r="E201" s="182">
        <v>23.0</v>
      </c>
      <c r="F201" s="182">
        <v>8.7</v>
      </c>
    </row>
    <row r="202">
      <c r="A202" s="182" t="s">
        <v>296</v>
      </c>
      <c r="B202" s="182" t="s">
        <v>185</v>
      </c>
      <c r="C202" s="182" t="s">
        <v>690</v>
      </c>
      <c r="D202" s="182">
        <v>2.0</v>
      </c>
      <c r="E202" s="182">
        <v>30.0</v>
      </c>
      <c r="F202" s="182">
        <v>6.67</v>
      </c>
    </row>
    <row r="203">
      <c r="A203" s="182" t="s">
        <v>305</v>
      </c>
      <c r="B203" s="182" t="s">
        <v>190</v>
      </c>
      <c r="C203" s="182" t="s">
        <v>666</v>
      </c>
      <c r="D203" s="182">
        <v>2.0</v>
      </c>
      <c r="E203" s="182">
        <v>30.0</v>
      </c>
      <c r="F203" s="182">
        <v>6.67</v>
      </c>
    </row>
    <row r="204">
      <c r="A204" s="182" t="s">
        <v>305</v>
      </c>
      <c r="B204" s="182" t="s">
        <v>190</v>
      </c>
      <c r="C204" s="182" t="s">
        <v>669</v>
      </c>
      <c r="D204" s="182">
        <v>2.0</v>
      </c>
      <c r="E204" s="182">
        <v>30.0</v>
      </c>
      <c r="F204" s="182">
        <v>6.67</v>
      </c>
    </row>
    <row r="205">
      <c r="A205" s="182" t="s">
        <v>283</v>
      </c>
      <c r="B205" s="182" t="s">
        <v>183</v>
      </c>
      <c r="C205" s="182" t="s">
        <v>647</v>
      </c>
      <c r="D205" s="182">
        <v>2.0</v>
      </c>
      <c r="E205" s="182">
        <v>19.0</v>
      </c>
      <c r="F205" s="182">
        <v>10.53</v>
      </c>
    </row>
    <row r="206">
      <c r="A206" s="182" t="s">
        <v>295</v>
      </c>
      <c r="B206" s="182" t="s">
        <v>188</v>
      </c>
      <c r="C206" s="182" t="s">
        <v>639</v>
      </c>
      <c r="D206" s="182">
        <v>2.0</v>
      </c>
      <c r="E206" s="182">
        <v>28.0</v>
      </c>
      <c r="F206" s="182">
        <v>7.14</v>
      </c>
    </row>
    <row r="207">
      <c r="A207" s="182" t="s">
        <v>270</v>
      </c>
      <c r="B207" s="182" t="s">
        <v>183</v>
      </c>
      <c r="C207" s="182" t="s">
        <v>692</v>
      </c>
      <c r="D207" s="182">
        <v>2.0</v>
      </c>
      <c r="E207" s="182">
        <v>26.0</v>
      </c>
      <c r="F207" s="182">
        <v>7.69</v>
      </c>
    </row>
    <row r="208">
      <c r="A208" s="182" t="s">
        <v>270</v>
      </c>
      <c r="B208" s="182" t="s">
        <v>183</v>
      </c>
      <c r="C208" s="182" t="s">
        <v>664</v>
      </c>
      <c r="D208" s="182">
        <v>2.0</v>
      </c>
      <c r="E208" s="182">
        <v>26.0</v>
      </c>
      <c r="F208" s="182">
        <v>7.69</v>
      </c>
    </row>
    <row r="209">
      <c r="A209" s="182" t="s">
        <v>295</v>
      </c>
      <c r="B209" s="182" t="s">
        <v>188</v>
      </c>
      <c r="C209" s="182" t="s">
        <v>647</v>
      </c>
      <c r="D209" s="182">
        <v>2.0</v>
      </c>
      <c r="E209" s="182">
        <v>28.0</v>
      </c>
      <c r="F209" s="182">
        <v>7.14</v>
      </c>
    </row>
    <row r="210">
      <c r="A210" s="182" t="s">
        <v>260</v>
      </c>
      <c r="B210" s="182" t="s">
        <v>191</v>
      </c>
      <c r="C210" s="182" t="s">
        <v>654</v>
      </c>
      <c r="D210" s="182">
        <v>2.0</v>
      </c>
      <c r="E210" s="182">
        <v>28.0</v>
      </c>
      <c r="F210" s="182">
        <v>7.14</v>
      </c>
    </row>
    <row r="211">
      <c r="A211" s="182" t="s">
        <v>271</v>
      </c>
      <c r="B211" s="182" t="s">
        <v>186</v>
      </c>
      <c r="C211" s="182" t="s">
        <v>637</v>
      </c>
      <c r="D211" s="182">
        <v>2.0</v>
      </c>
      <c r="E211" s="182">
        <v>30.0</v>
      </c>
      <c r="F211" s="182">
        <v>6.67</v>
      </c>
    </row>
    <row r="212">
      <c r="A212" s="182" t="s">
        <v>260</v>
      </c>
      <c r="B212" s="182" t="s">
        <v>191</v>
      </c>
      <c r="C212" s="182" t="s">
        <v>673</v>
      </c>
      <c r="D212" s="182">
        <v>2.0</v>
      </c>
      <c r="E212" s="182">
        <v>28.0</v>
      </c>
      <c r="F212" s="182">
        <v>7.14</v>
      </c>
    </row>
    <row r="213">
      <c r="A213" s="182" t="s">
        <v>287</v>
      </c>
      <c r="B213" s="182" t="s">
        <v>190</v>
      </c>
      <c r="C213" s="182" t="s">
        <v>688</v>
      </c>
      <c r="D213" s="182">
        <v>2.0</v>
      </c>
      <c r="E213" s="182">
        <v>30.0</v>
      </c>
      <c r="F213" s="182">
        <v>6.67</v>
      </c>
    </row>
    <row r="214">
      <c r="A214" s="182" t="s">
        <v>287</v>
      </c>
      <c r="B214" s="182" t="s">
        <v>190</v>
      </c>
      <c r="C214" s="182" t="s">
        <v>639</v>
      </c>
      <c r="D214" s="182">
        <v>2.0</v>
      </c>
      <c r="E214" s="182">
        <v>30.0</v>
      </c>
      <c r="F214" s="182">
        <v>6.67</v>
      </c>
    </row>
    <row r="215">
      <c r="A215" s="182" t="s">
        <v>260</v>
      </c>
      <c r="B215" s="182" t="s">
        <v>191</v>
      </c>
      <c r="C215" s="182" t="s">
        <v>688</v>
      </c>
      <c r="D215" s="182">
        <v>2.0</v>
      </c>
      <c r="E215" s="182">
        <v>28.0</v>
      </c>
      <c r="F215" s="182">
        <v>7.14</v>
      </c>
    </row>
    <row r="216">
      <c r="A216" s="182" t="s">
        <v>304</v>
      </c>
      <c r="B216" s="182" t="s">
        <v>188</v>
      </c>
      <c r="C216" s="182" t="s">
        <v>675</v>
      </c>
      <c r="D216" s="182">
        <v>2.0</v>
      </c>
      <c r="E216" s="182">
        <v>28.0</v>
      </c>
      <c r="F216" s="182">
        <v>7.14</v>
      </c>
    </row>
    <row r="217">
      <c r="A217" s="182" t="s">
        <v>254</v>
      </c>
      <c r="B217" s="182" t="s">
        <v>189</v>
      </c>
      <c r="C217" s="182" t="s">
        <v>669</v>
      </c>
      <c r="D217" s="182">
        <v>2.0</v>
      </c>
      <c r="E217" s="182">
        <v>23.0</v>
      </c>
      <c r="F217" s="182">
        <v>8.7</v>
      </c>
    </row>
    <row r="218">
      <c r="A218" s="182" t="s">
        <v>284</v>
      </c>
      <c r="B218" s="182" t="s">
        <v>188</v>
      </c>
      <c r="C218" s="182" t="s">
        <v>645</v>
      </c>
      <c r="D218" s="182">
        <v>2.0</v>
      </c>
      <c r="E218" s="182">
        <v>28.0</v>
      </c>
      <c r="F218" s="182">
        <v>7.14</v>
      </c>
    </row>
    <row r="219">
      <c r="A219" s="182" t="s">
        <v>294</v>
      </c>
      <c r="B219" s="182" t="s">
        <v>180</v>
      </c>
      <c r="C219" s="182" t="s">
        <v>639</v>
      </c>
      <c r="D219" s="182">
        <v>2.0</v>
      </c>
      <c r="E219" s="182">
        <v>28.0</v>
      </c>
      <c r="F219" s="182">
        <v>7.14</v>
      </c>
    </row>
    <row r="220">
      <c r="A220" s="182" t="s">
        <v>291</v>
      </c>
      <c r="B220" s="182" t="s">
        <v>187</v>
      </c>
      <c r="C220" s="182" t="s">
        <v>692</v>
      </c>
      <c r="D220" s="182">
        <v>2.0</v>
      </c>
      <c r="E220" s="182">
        <v>24.0</v>
      </c>
      <c r="F220" s="182">
        <v>8.33</v>
      </c>
    </row>
    <row r="221">
      <c r="A221" s="182" t="s">
        <v>236</v>
      </c>
      <c r="B221" s="182" t="s">
        <v>232</v>
      </c>
      <c r="C221" s="182" t="s">
        <v>658</v>
      </c>
      <c r="D221" s="182">
        <v>2.0</v>
      </c>
      <c r="E221" s="182">
        <v>14.0</v>
      </c>
      <c r="F221" s="182">
        <v>14.29</v>
      </c>
    </row>
    <row r="222">
      <c r="A222" s="182" t="s">
        <v>261</v>
      </c>
      <c r="B222" s="182" t="s">
        <v>179</v>
      </c>
      <c r="C222" s="182" t="s">
        <v>688</v>
      </c>
      <c r="D222" s="182">
        <v>2.0</v>
      </c>
      <c r="E222" s="182">
        <v>17.0</v>
      </c>
      <c r="F222" s="182">
        <v>11.76</v>
      </c>
    </row>
    <row r="223">
      <c r="A223" s="182" t="s">
        <v>236</v>
      </c>
      <c r="B223" s="182" t="s">
        <v>232</v>
      </c>
      <c r="C223" s="182" t="s">
        <v>654</v>
      </c>
      <c r="D223" s="182">
        <v>2.0</v>
      </c>
      <c r="E223" s="182">
        <v>14.0</v>
      </c>
      <c r="F223" s="182">
        <v>14.29</v>
      </c>
    </row>
    <row r="224">
      <c r="A224" s="182" t="s">
        <v>299</v>
      </c>
      <c r="B224" s="182" t="s">
        <v>1</v>
      </c>
      <c r="C224" s="182" t="s">
        <v>637</v>
      </c>
      <c r="D224" s="182">
        <v>2.0</v>
      </c>
      <c r="E224" s="182">
        <v>31.0</v>
      </c>
      <c r="F224" s="182">
        <v>6.45</v>
      </c>
    </row>
    <row r="225">
      <c r="A225" s="182" t="s">
        <v>273</v>
      </c>
      <c r="B225" s="182" t="s">
        <v>181</v>
      </c>
      <c r="C225" s="182" t="s">
        <v>681</v>
      </c>
      <c r="D225" s="182">
        <v>2.0</v>
      </c>
      <c r="E225" s="182">
        <v>34.0</v>
      </c>
      <c r="F225" s="182">
        <v>5.88</v>
      </c>
    </row>
    <row r="226">
      <c r="A226" s="182" t="s">
        <v>277</v>
      </c>
      <c r="B226" s="182" t="s">
        <v>187</v>
      </c>
      <c r="C226" s="182" t="s">
        <v>658</v>
      </c>
      <c r="D226" s="182">
        <v>2.0</v>
      </c>
      <c r="E226" s="182">
        <v>24.0</v>
      </c>
      <c r="F226" s="182">
        <v>8.33</v>
      </c>
    </row>
    <row r="227">
      <c r="A227" s="182" t="s">
        <v>250</v>
      </c>
      <c r="B227" s="182" t="s">
        <v>188</v>
      </c>
      <c r="C227" s="182" t="s">
        <v>662</v>
      </c>
      <c r="D227" s="182">
        <v>2.0</v>
      </c>
      <c r="E227" s="182">
        <v>28.0</v>
      </c>
      <c r="F227" s="182">
        <v>7.14</v>
      </c>
    </row>
    <row r="228">
      <c r="A228" s="182" t="s">
        <v>303</v>
      </c>
      <c r="B228" s="182" t="s">
        <v>232</v>
      </c>
      <c r="C228" s="182" t="s">
        <v>673</v>
      </c>
      <c r="D228" s="182">
        <v>2.0</v>
      </c>
      <c r="E228" s="182">
        <v>14.0</v>
      </c>
      <c r="F228" s="182">
        <v>14.29</v>
      </c>
    </row>
    <row r="229">
      <c r="A229" s="182" t="s">
        <v>267</v>
      </c>
      <c r="B229" s="182" t="s">
        <v>232</v>
      </c>
      <c r="C229" s="182" t="s">
        <v>639</v>
      </c>
      <c r="D229" s="182">
        <v>2.0</v>
      </c>
      <c r="E229" s="182">
        <v>14.0</v>
      </c>
      <c r="F229" s="182">
        <v>14.29</v>
      </c>
    </row>
    <row r="230">
      <c r="A230" s="182" t="s">
        <v>303</v>
      </c>
      <c r="B230" s="182" t="s">
        <v>232</v>
      </c>
      <c r="C230" s="182" t="s">
        <v>692</v>
      </c>
      <c r="D230" s="182">
        <v>2.0</v>
      </c>
      <c r="E230" s="182">
        <v>14.0</v>
      </c>
      <c r="F230" s="182">
        <v>14.29</v>
      </c>
    </row>
    <row r="231">
      <c r="A231" s="182" t="s">
        <v>280</v>
      </c>
      <c r="B231" s="182" t="s">
        <v>186</v>
      </c>
      <c r="C231" s="182" t="s">
        <v>647</v>
      </c>
      <c r="D231" s="182">
        <v>2.0</v>
      </c>
      <c r="E231" s="182">
        <v>30.0</v>
      </c>
      <c r="F231" s="182">
        <v>6.67</v>
      </c>
    </row>
    <row r="232">
      <c r="A232" s="182" t="s">
        <v>276</v>
      </c>
      <c r="B232" s="182" t="s">
        <v>185</v>
      </c>
      <c r="C232" s="182" t="s">
        <v>654</v>
      </c>
      <c r="D232" s="182">
        <v>2.0</v>
      </c>
      <c r="E232" s="182">
        <v>34.0</v>
      </c>
      <c r="F232" s="182">
        <v>5.88</v>
      </c>
    </row>
    <row r="233">
      <c r="A233" s="182" t="s">
        <v>280</v>
      </c>
      <c r="B233" s="182" t="s">
        <v>186</v>
      </c>
      <c r="C233" s="182" t="s">
        <v>688</v>
      </c>
      <c r="D233" s="182">
        <v>2.0</v>
      </c>
      <c r="E233" s="182">
        <v>30.0</v>
      </c>
      <c r="F233" s="182">
        <v>6.67</v>
      </c>
    </row>
    <row r="234">
      <c r="A234" s="182" t="s">
        <v>252</v>
      </c>
      <c r="B234" s="182" t="s">
        <v>189</v>
      </c>
      <c r="C234" s="182" t="s">
        <v>647</v>
      </c>
      <c r="D234" s="182">
        <v>2.0</v>
      </c>
      <c r="E234" s="182">
        <v>23.0</v>
      </c>
      <c r="F234" s="182">
        <v>8.7</v>
      </c>
    </row>
    <row r="235">
      <c r="A235" s="182" t="s">
        <v>252</v>
      </c>
      <c r="B235" s="182" t="s">
        <v>189</v>
      </c>
      <c r="C235" s="182" t="s">
        <v>664</v>
      </c>
      <c r="D235" s="182">
        <v>2.0</v>
      </c>
      <c r="E235" s="182">
        <v>23.0</v>
      </c>
      <c r="F235" s="182">
        <v>8.7</v>
      </c>
    </row>
    <row r="236">
      <c r="A236" s="182" t="s">
        <v>243</v>
      </c>
      <c r="B236" s="182" t="s">
        <v>232</v>
      </c>
      <c r="C236" s="182" t="s">
        <v>647</v>
      </c>
      <c r="D236" s="182">
        <v>2.0</v>
      </c>
      <c r="E236" s="182">
        <v>14.0</v>
      </c>
      <c r="F236" s="182">
        <v>14.29</v>
      </c>
    </row>
    <row r="237">
      <c r="A237" s="182" t="s">
        <v>251</v>
      </c>
      <c r="B237" s="182" t="s">
        <v>181</v>
      </c>
      <c r="C237" s="182" t="s">
        <v>637</v>
      </c>
      <c r="D237" s="182">
        <v>2.0</v>
      </c>
      <c r="E237" s="182">
        <v>34.0</v>
      </c>
      <c r="F237" s="182">
        <v>5.88</v>
      </c>
    </row>
    <row r="238">
      <c r="A238" s="182" t="s">
        <v>298</v>
      </c>
      <c r="B238" s="182" t="s">
        <v>184</v>
      </c>
      <c r="C238" s="182" t="s">
        <v>658</v>
      </c>
      <c r="D238" s="182">
        <v>2.0</v>
      </c>
      <c r="E238" s="182">
        <v>10.0</v>
      </c>
      <c r="F238" s="182">
        <v>20.0</v>
      </c>
    </row>
    <row r="239">
      <c r="A239" s="182" t="s">
        <v>248</v>
      </c>
      <c r="B239" s="182" t="s">
        <v>187</v>
      </c>
      <c r="C239" s="182" t="s">
        <v>692</v>
      </c>
      <c r="D239" s="182">
        <v>2.0</v>
      </c>
      <c r="E239" s="182">
        <v>24.0</v>
      </c>
      <c r="F239" s="182">
        <v>8.33</v>
      </c>
    </row>
    <row r="240">
      <c r="A240" s="182" t="s">
        <v>248</v>
      </c>
      <c r="B240" s="182" t="s">
        <v>187</v>
      </c>
      <c r="C240" s="182" t="s">
        <v>652</v>
      </c>
      <c r="D240" s="182">
        <v>2.0</v>
      </c>
      <c r="E240" s="182">
        <v>24.0</v>
      </c>
      <c r="F240" s="182">
        <v>8.33</v>
      </c>
    </row>
    <row r="241">
      <c r="A241" s="182" t="s">
        <v>282</v>
      </c>
      <c r="B241" s="182" t="s">
        <v>183</v>
      </c>
      <c r="C241" s="182" t="s">
        <v>688</v>
      </c>
      <c r="D241" s="182">
        <v>2.0</v>
      </c>
      <c r="E241" s="182">
        <v>26.0</v>
      </c>
      <c r="F241" s="182">
        <v>7.69</v>
      </c>
    </row>
    <row r="242">
      <c r="A242" s="182" t="s">
        <v>248</v>
      </c>
      <c r="B242" s="182" t="s">
        <v>187</v>
      </c>
      <c r="C242" s="182" t="s">
        <v>681</v>
      </c>
      <c r="D242" s="182">
        <v>2.0</v>
      </c>
      <c r="E242" s="182">
        <v>24.0</v>
      </c>
      <c r="F242" s="182">
        <v>8.33</v>
      </c>
    </row>
    <row r="243">
      <c r="A243" s="182" t="s">
        <v>241</v>
      </c>
      <c r="B243" s="182" t="s">
        <v>1</v>
      </c>
      <c r="C243" s="182" t="s">
        <v>666</v>
      </c>
      <c r="D243" s="182">
        <v>2.0</v>
      </c>
      <c r="E243" s="182">
        <v>31.0</v>
      </c>
      <c r="F243" s="182">
        <v>6.45</v>
      </c>
    </row>
    <row r="244">
      <c r="A244" s="182" t="s">
        <v>307</v>
      </c>
      <c r="B244" s="182" t="s">
        <v>189</v>
      </c>
      <c r="C244" s="182" t="s">
        <v>690</v>
      </c>
      <c r="D244" s="182">
        <v>2.0</v>
      </c>
      <c r="E244" s="182">
        <v>23.0</v>
      </c>
      <c r="F244" s="182">
        <v>8.7</v>
      </c>
    </row>
    <row r="245">
      <c r="A245" s="182" t="s">
        <v>257</v>
      </c>
      <c r="B245" s="182" t="s">
        <v>190</v>
      </c>
      <c r="C245" s="182" t="s">
        <v>681</v>
      </c>
      <c r="D245" s="182">
        <v>1.0</v>
      </c>
      <c r="E245" s="182">
        <v>30.0</v>
      </c>
      <c r="F245" s="182">
        <v>3.33</v>
      </c>
    </row>
    <row r="246">
      <c r="A246" s="182" t="s">
        <v>303</v>
      </c>
      <c r="B246" s="182" t="s">
        <v>232</v>
      </c>
      <c r="C246" s="182" t="s">
        <v>669</v>
      </c>
      <c r="D246" s="182">
        <v>1.0</v>
      </c>
      <c r="E246" s="182">
        <v>14.0</v>
      </c>
      <c r="F246" s="182">
        <v>7.14</v>
      </c>
    </row>
    <row r="247">
      <c r="A247" s="182" t="s">
        <v>239</v>
      </c>
      <c r="B247" s="182" t="s">
        <v>181</v>
      </c>
      <c r="C247" s="182" t="s">
        <v>658</v>
      </c>
      <c r="D247" s="182">
        <v>1.0</v>
      </c>
      <c r="E247" s="182">
        <v>34.0</v>
      </c>
      <c r="F247" s="182">
        <v>2.94</v>
      </c>
    </row>
    <row r="248">
      <c r="A248" s="182" t="s">
        <v>257</v>
      </c>
      <c r="B248" s="182" t="s">
        <v>190</v>
      </c>
      <c r="C248" s="182" t="s">
        <v>660</v>
      </c>
      <c r="D248" s="182">
        <v>1.0</v>
      </c>
      <c r="E248" s="182">
        <v>30.0</v>
      </c>
      <c r="F248" s="182">
        <v>3.33</v>
      </c>
    </row>
    <row r="249">
      <c r="A249" s="182" t="s">
        <v>257</v>
      </c>
      <c r="B249" s="182" t="s">
        <v>190</v>
      </c>
      <c r="C249" s="182" t="s">
        <v>666</v>
      </c>
      <c r="D249" s="182">
        <v>1.0</v>
      </c>
      <c r="E249" s="182">
        <v>30.0</v>
      </c>
      <c r="F249" s="182">
        <v>3.33</v>
      </c>
    </row>
    <row r="250">
      <c r="A250" s="182" t="s">
        <v>275</v>
      </c>
      <c r="B250" s="182" t="s">
        <v>1</v>
      </c>
      <c r="C250" s="182" t="s">
        <v>671</v>
      </c>
      <c r="D250" s="182">
        <v>1.0</v>
      </c>
      <c r="E250" s="182">
        <v>31.0</v>
      </c>
      <c r="F250" s="182">
        <v>3.23</v>
      </c>
    </row>
    <row r="251">
      <c r="A251" s="182" t="s">
        <v>254</v>
      </c>
      <c r="B251" s="182" t="s">
        <v>189</v>
      </c>
      <c r="C251" s="182" t="s">
        <v>666</v>
      </c>
      <c r="D251" s="182">
        <v>1.0</v>
      </c>
      <c r="E251" s="182">
        <v>23.0</v>
      </c>
      <c r="F251" s="182">
        <v>4.35</v>
      </c>
    </row>
    <row r="252">
      <c r="A252" s="182" t="s">
        <v>298</v>
      </c>
      <c r="B252" s="182" t="s">
        <v>184</v>
      </c>
      <c r="C252" s="182" t="s">
        <v>686</v>
      </c>
      <c r="D252" s="182">
        <v>1.0</v>
      </c>
      <c r="E252" s="182">
        <v>10.0</v>
      </c>
      <c r="F252" s="182">
        <v>10.0</v>
      </c>
    </row>
    <row r="253">
      <c r="A253" s="182" t="s">
        <v>303</v>
      </c>
      <c r="B253" s="182" t="s">
        <v>232</v>
      </c>
      <c r="C253" s="182" t="s">
        <v>664</v>
      </c>
      <c r="D253" s="182">
        <v>1.0</v>
      </c>
      <c r="E253" s="182">
        <v>14.0</v>
      </c>
      <c r="F253" s="182">
        <v>7.14</v>
      </c>
    </row>
    <row r="254">
      <c r="A254" s="182" t="s">
        <v>248</v>
      </c>
      <c r="B254" s="182" t="s">
        <v>187</v>
      </c>
      <c r="C254" s="182" t="s">
        <v>684</v>
      </c>
      <c r="D254" s="182">
        <v>1.0</v>
      </c>
      <c r="E254" s="182">
        <v>24.0</v>
      </c>
      <c r="F254" s="182">
        <v>4.17</v>
      </c>
    </row>
    <row r="255">
      <c r="A255" s="182" t="s">
        <v>303</v>
      </c>
      <c r="B255" s="182" t="s">
        <v>232</v>
      </c>
      <c r="C255" s="182" t="s">
        <v>658</v>
      </c>
      <c r="D255" s="182">
        <v>1.0</v>
      </c>
      <c r="E255" s="182">
        <v>14.0</v>
      </c>
      <c r="F255" s="182">
        <v>7.14</v>
      </c>
    </row>
    <row r="256">
      <c r="A256" s="182" t="s">
        <v>279</v>
      </c>
      <c r="B256" s="182" t="s">
        <v>189</v>
      </c>
      <c r="C256" s="182" t="s">
        <v>652</v>
      </c>
      <c r="D256" s="182">
        <v>1.0</v>
      </c>
      <c r="E256" s="182">
        <v>23.0</v>
      </c>
      <c r="F256" s="182">
        <v>4.35</v>
      </c>
    </row>
    <row r="257">
      <c r="A257" s="182" t="s">
        <v>276</v>
      </c>
      <c r="B257" s="182" t="s">
        <v>185</v>
      </c>
      <c r="C257" s="182" t="s">
        <v>675</v>
      </c>
      <c r="D257" s="182">
        <v>1.0</v>
      </c>
      <c r="E257" s="182">
        <v>34.0</v>
      </c>
      <c r="F257" s="182">
        <v>2.94</v>
      </c>
    </row>
    <row r="258">
      <c r="A258" s="182" t="s">
        <v>288</v>
      </c>
      <c r="B258" s="182" t="s">
        <v>185</v>
      </c>
      <c r="C258" s="182" t="s">
        <v>647</v>
      </c>
      <c r="D258" s="182">
        <v>1.0</v>
      </c>
      <c r="E258" s="182">
        <v>5.0</v>
      </c>
      <c r="F258" s="182">
        <v>20.0</v>
      </c>
    </row>
    <row r="259">
      <c r="A259" s="182" t="s">
        <v>297</v>
      </c>
      <c r="B259" s="182" t="s">
        <v>181</v>
      </c>
      <c r="C259" s="182" t="s">
        <v>686</v>
      </c>
      <c r="D259" s="182">
        <v>1.0</v>
      </c>
      <c r="E259" s="182">
        <v>34.0</v>
      </c>
      <c r="F259" s="182">
        <v>2.94</v>
      </c>
    </row>
    <row r="260">
      <c r="A260" s="182" t="s">
        <v>297</v>
      </c>
      <c r="B260" s="182" t="s">
        <v>181</v>
      </c>
      <c r="C260" s="182" t="s">
        <v>692</v>
      </c>
      <c r="D260" s="182">
        <v>1.0</v>
      </c>
      <c r="E260" s="182">
        <v>34.0</v>
      </c>
      <c r="F260" s="182">
        <v>2.94</v>
      </c>
    </row>
    <row r="261">
      <c r="A261" s="182" t="s">
        <v>288</v>
      </c>
      <c r="B261" s="182" t="s">
        <v>185</v>
      </c>
      <c r="C261" s="182" t="s">
        <v>645</v>
      </c>
      <c r="D261" s="182">
        <v>1.0</v>
      </c>
      <c r="E261" s="182">
        <v>5.0</v>
      </c>
      <c r="F261" s="182">
        <v>20.0</v>
      </c>
    </row>
    <row r="262">
      <c r="A262" s="182" t="s">
        <v>288</v>
      </c>
      <c r="B262" s="182" t="s">
        <v>185</v>
      </c>
      <c r="C262" s="182" t="s">
        <v>643</v>
      </c>
      <c r="D262" s="182">
        <v>1.0</v>
      </c>
      <c r="E262" s="182">
        <v>5.0</v>
      </c>
      <c r="F262" s="182">
        <v>20.0</v>
      </c>
    </row>
    <row r="263">
      <c r="A263" s="182" t="s">
        <v>286</v>
      </c>
      <c r="B263" s="182" t="s">
        <v>185</v>
      </c>
      <c r="C263" s="182" t="s">
        <v>637</v>
      </c>
      <c r="D263" s="182">
        <v>1.0</v>
      </c>
      <c r="E263" s="182">
        <v>33.0</v>
      </c>
      <c r="F263" s="182">
        <v>3.03</v>
      </c>
    </row>
    <row r="264">
      <c r="A264" s="182" t="s">
        <v>308</v>
      </c>
      <c r="B264" s="182" t="s">
        <v>179</v>
      </c>
      <c r="C264" s="182" t="s">
        <v>639</v>
      </c>
      <c r="D264" s="182">
        <v>1.0</v>
      </c>
      <c r="E264" s="182">
        <v>17.0</v>
      </c>
      <c r="F264" s="182">
        <v>5.88</v>
      </c>
    </row>
    <row r="265">
      <c r="A265" s="182" t="s">
        <v>240</v>
      </c>
      <c r="B265" s="182" t="s">
        <v>182</v>
      </c>
      <c r="C265" s="182" t="s">
        <v>664</v>
      </c>
      <c r="D265" s="182">
        <v>1.0</v>
      </c>
      <c r="E265" s="182">
        <v>20.0</v>
      </c>
      <c r="F265" s="182">
        <v>5.0</v>
      </c>
    </row>
    <row r="266">
      <c r="A266" s="182" t="s">
        <v>308</v>
      </c>
      <c r="B266" s="182" t="s">
        <v>179</v>
      </c>
      <c r="C266" s="182" t="s">
        <v>637</v>
      </c>
      <c r="D266" s="182">
        <v>1.0</v>
      </c>
      <c r="E266" s="182">
        <v>17.0</v>
      </c>
      <c r="F266" s="182">
        <v>5.88</v>
      </c>
    </row>
    <row r="267">
      <c r="A267" s="182" t="s">
        <v>301</v>
      </c>
      <c r="B267" s="182" t="s">
        <v>182</v>
      </c>
      <c r="C267" s="182" t="s">
        <v>671</v>
      </c>
      <c r="D267" s="182">
        <v>1.0</v>
      </c>
      <c r="E267" s="182">
        <v>20.0</v>
      </c>
      <c r="F267" s="182">
        <v>5.0</v>
      </c>
    </row>
    <row r="268">
      <c r="A268" s="182" t="s">
        <v>285</v>
      </c>
      <c r="B268" s="182" t="s">
        <v>232</v>
      </c>
      <c r="C268" s="182" t="s">
        <v>645</v>
      </c>
      <c r="D268" s="182">
        <v>1.0</v>
      </c>
      <c r="E268" s="182">
        <v>14.0</v>
      </c>
      <c r="F268" s="182">
        <v>7.14</v>
      </c>
    </row>
    <row r="269">
      <c r="A269" s="182" t="s">
        <v>285</v>
      </c>
      <c r="B269" s="182" t="s">
        <v>232</v>
      </c>
      <c r="C269" s="182" t="s">
        <v>675</v>
      </c>
      <c r="D269" s="182">
        <v>1.0</v>
      </c>
      <c r="E269" s="182">
        <v>14.0</v>
      </c>
      <c r="F269" s="182">
        <v>7.14</v>
      </c>
    </row>
    <row r="270">
      <c r="A270" s="182" t="s">
        <v>285</v>
      </c>
      <c r="B270" s="182" t="s">
        <v>232</v>
      </c>
      <c r="C270" s="182" t="s">
        <v>669</v>
      </c>
      <c r="D270" s="182">
        <v>1.0</v>
      </c>
      <c r="E270" s="182">
        <v>14.0</v>
      </c>
      <c r="F270" s="182">
        <v>7.14</v>
      </c>
    </row>
    <row r="271">
      <c r="A271" s="182" t="s">
        <v>301</v>
      </c>
      <c r="B271" s="182" t="s">
        <v>182</v>
      </c>
      <c r="C271" s="182" t="s">
        <v>669</v>
      </c>
      <c r="D271" s="182">
        <v>1.0</v>
      </c>
      <c r="E271" s="182">
        <v>20.0</v>
      </c>
      <c r="F271" s="182">
        <v>5.0</v>
      </c>
    </row>
    <row r="272">
      <c r="A272" s="182" t="s">
        <v>260</v>
      </c>
      <c r="B272" s="182" t="s">
        <v>191</v>
      </c>
      <c r="C272" s="182" t="s">
        <v>686</v>
      </c>
      <c r="D272" s="182">
        <v>1.0</v>
      </c>
      <c r="E272" s="182">
        <v>28.0</v>
      </c>
      <c r="F272" s="182">
        <v>3.57</v>
      </c>
    </row>
    <row r="273">
      <c r="A273" s="182" t="s">
        <v>293</v>
      </c>
      <c r="B273" s="182" t="s">
        <v>182</v>
      </c>
      <c r="C273" s="182" t="s">
        <v>690</v>
      </c>
      <c r="D273" s="182">
        <v>1.0</v>
      </c>
      <c r="E273" s="182">
        <v>20.0</v>
      </c>
      <c r="F273" s="182">
        <v>5.0</v>
      </c>
    </row>
    <row r="274">
      <c r="A274" s="182" t="s">
        <v>297</v>
      </c>
      <c r="B274" s="182" t="s">
        <v>181</v>
      </c>
      <c r="C274" s="182" t="s">
        <v>647</v>
      </c>
      <c r="D274" s="182">
        <v>1.0</v>
      </c>
      <c r="E274" s="182">
        <v>34.0</v>
      </c>
      <c r="F274" s="182">
        <v>2.94</v>
      </c>
    </row>
    <row r="275">
      <c r="A275" s="182" t="s">
        <v>295</v>
      </c>
      <c r="B275" s="182" t="s">
        <v>188</v>
      </c>
      <c r="C275" s="182" t="s">
        <v>637</v>
      </c>
      <c r="D275" s="182">
        <v>1.0</v>
      </c>
      <c r="E275" s="182">
        <v>28.0</v>
      </c>
      <c r="F275" s="182">
        <v>3.57</v>
      </c>
    </row>
    <row r="276">
      <c r="A276" s="182" t="s">
        <v>252</v>
      </c>
      <c r="B276" s="182" t="s">
        <v>189</v>
      </c>
      <c r="C276" s="182" t="s">
        <v>654</v>
      </c>
      <c r="D276" s="182">
        <v>1.0</v>
      </c>
      <c r="E276" s="182">
        <v>23.0</v>
      </c>
      <c r="F276" s="182">
        <v>4.35</v>
      </c>
    </row>
    <row r="277">
      <c r="A277" s="182" t="s">
        <v>270</v>
      </c>
      <c r="B277" s="182" t="s">
        <v>183</v>
      </c>
      <c r="C277" s="182" t="s">
        <v>658</v>
      </c>
      <c r="D277" s="182">
        <v>1.0</v>
      </c>
      <c r="E277" s="182">
        <v>26.0</v>
      </c>
      <c r="F277" s="182">
        <v>3.85</v>
      </c>
    </row>
    <row r="278">
      <c r="A278" s="182" t="s">
        <v>270</v>
      </c>
      <c r="B278" s="182" t="s">
        <v>183</v>
      </c>
      <c r="C278" s="182" t="s">
        <v>666</v>
      </c>
      <c r="D278" s="182">
        <v>1.0</v>
      </c>
      <c r="E278" s="182">
        <v>26.0</v>
      </c>
      <c r="F278" s="182">
        <v>3.85</v>
      </c>
    </row>
    <row r="279">
      <c r="A279" s="182" t="s">
        <v>258</v>
      </c>
      <c r="B279" s="182" t="s">
        <v>186</v>
      </c>
      <c r="C279" s="182" t="s">
        <v>686</v>
      </c>
      <c r="D279" s="182">
        <v>1.0</v>
      </c>
      <c r="E279" s="182">
        <v>30.0</v>
      </c>
      <c r="F279" s="182">
        <v>3.33</v>
      </c>
    </row>
    <row r="280">
      <c r="A280" s="182" t="s">
        <v>241</v>
      </c>
      <c r="B280" s="182" t="s">
        <v>1</v>
      </c>
      <c r="C280" s="182" t="s">
        <v>671</v>
      </c>
      <c r="D280" s="182">
        <v>1.0</v>
      </c>
      <c r="E280" s="182">
        <v>31.0</v>
      </c>
      <c r="F280" s="182">
        <v>3.23</v>
      </c>
    </row>
    <row r="281">
      <c r="A281" s="182" t="s">
        <v>256</v>
      </c>
      <c r="B281" s="182" t="s">
        <v>182</v>
      </c>
      <c r="C281" s="182" t="s">
        <v>664</v>
      </c>
      <c r="D281" s="182">
        <v>1.0</v>
      </c>
      <c r="E281" s="182">
        <v>20.0</v>
      </c>
      <c r="F281" s="182">
        <v>5.0</v>
      </c>
    </row>
    <row r="282">
      <c r="A282" s="182" t="s">
        <v>256</v>
      </c>
      <c r="B282" s="182" t="s">
        <v>182</v>
      </c>
      <c r="C282" s="182" t="s">
        <v>643</v>
      </c>
      <c r="D282" s="182">
        <v>1.0</v>
      </c>
      <c r="E282" s="182">
        <v>20.0</v>
      </c>
      <c r="F282" s="182">
        <v>5.0</v>
      </c>
    </row>
    <row r="283">
      <c r="A283" s="182" t="s">
        <v>256</v>
      </c>
      <c r="B283" s="182" t="s">
        <v>182</v>
      </c>
      <c r="C283" s="182" t="s">
        <v>686</v>
      </c>
      <c r="D283" s="182">
        <v>1.0</v>
      </c>
      <c r="E283" s="182">
        <v>20.0</v>
      </c>
      <c r="F283" s="182">
        <v>5.0</v>
      </c>
    </row>
    <row r="284">
      <c r="A284" s="182" t="s">
        <v>258</v>
      </c>
      <c r="B284" s="182" t="s">
        <v>186</v>
      </c>
      <c r="C284" s="182" t="s">
        <v>671</v>
      </c>
      <c r="D284" s="182">
        <v>1.0</v>
      </c>
      <c r="E284" s="182">
        <v>30.0</v>
      </c>
      <c r="F284" s="182">
        <v>3.33</v>
      </c>
    </row>
    <row r="285">
      <c r="A285" s="182" t="s">
        <v>269</v>
      </c>
      <c r="B285" s="182" t="s">
        <v>179</v>
      </c>
      <c r="C285" s="182" t="s">
        <v>658</v>
      </c>
      <c r="D285" s="182">
        <v>1.0</v>
      </c>
      <c r="E285" s="182">
        <v>17.0</v>
      </c>
      <c r="F285" s="182">
        <v>5.88</v>
      </c>
    </row>
    <row r="286">
      <c r="A286" s="182" t="s">
        <v>305</v>
      </c>
      <c r="B286" s="182" t="s">
        <v>190</v>
      </c>
      <c r="C286" s="182" t="s">
        <v>639</v>
      </c>
      <c r="D286" s="182">
        <v>1.0</v>
      </c>
      <c r="E286" s="182">
        <v>30.0</v>
      </c>
      <c r="F286" s="182">
        <v>3.33</v>
      </c>
    </row>
    <row r="287">
      <c r="A287" s="182" t="s">
        <v>305</v>
      </c>
      <c r="B287" s="182" t="s">
        <v>190</v>
      </c>
      <c r="C287" s="182" t="s">
        <v>647</v>
      </c>
      <c r="D287" s="182">
        <v>1.0</v>
      </c>
      <c r="E287" s="182">
        <v>30.0</v>
      </c>
      <c r="F287" s="182">
        <v>3.33</v>
      </c>
    </row>
    <row r="288">
      <c r="A288" s="182" t="s">
        <v>238</v>
      </c>
      <c r="B288" s="182" t="s">
        <v>180</v>
      </c>
      <c r="C288" s="182" t="s">
        <v>656</v>
      </c>
      <c r="D288" s="182">
        <v>1.0</v>
      </c>
      <c r="E288" s="182">
        <v>28.0</v>
      </c>
      <c r="F288" s="182">
        <v>3.57</v>
      </c>
    </row>
    <row r="289">
      <c r="A289" s="182" t="s">
        <v>296</v>
      </c>
      <c r="B289" s="182" t="s">
        <v>185</v>
      </c>
      <c r="C289" s="182" t="s">
        <v>688</v>
      </c>
      <c r="D289" s="182">
        <v>1.0</v>
      </c>
      <c r="E289" s="182">
        <v>30.0</v>
      </c>
      <c r="F289" s="182">
        <v>3.33</v>
      </c>
    </row>
    <row r="290">
      <c r="A290" s="182" t="s">
        <v>278</v>
      </c>
      <c r="B290" s="182" t="s">
        <v>182</v>
      </c>
      <c r="C290" s="182" t="s">
        <v>639</v>
      </c>
      <c r="D290" s="182">
        <v>1.0</v>
      </c>
      <c r="E290" s="182">
        <v>20.0</v>
      </c>
      <c r="F290" s="182">
        <v>5.0</v>
      </c>
    </row>
    <row r="291">
      <c r="A291" s="182" t="s">
        <v>299</v>
      </c>
      <c r="B291" s="182" t="s">
        <v>1</v>
      </c>
      <c r="C291" s="182" t="s">
        <v>647</v>
      </c>
      <c r="D291" s="182">
        <v>1.0</v>
      </c>
      <c r="E291" s="182">
        <v>31.0</v>
      </c>
      <c r="F291" s="182">
        <v>3.23</v>
      </c>
    </row>
    <row r="292">
      <c r="A292" s="182" t="s">
        <v>261</v>
      </c>
      <c r="B292" s="182" t="s">
        <v>179</v>
      </c>
      <c r="C292" s="182" t="s">
        <v>658</v>
      </c>
      <c r="D292" s="182">
        <v>1.0</v>
      </c>
      <c r="E292" s="182">
        <v>17.0</v>
      </c>
      <c r="F292" s="182">
        <v>5.88</v>
      </c>
    </row>
    <row r="293">
      <c r="A293" s="182" t="s">
        <v>278</v>
      </c>
      <c r="B293" s="182" t="s">
        <v>182</v>
      </c>
      <c r="C293" s="182" t="s">
        <v>637</v>
      </c>
      <c r="D293" s="182">
        <v>1.0</v>
      </c>
      <c r="E293" s="182">
        <v>20.0</v>
      </c>
      <c r="F293" s="182">
        <v>5.0</v>
      </c>
    </row>
    <row r="294">
      <c r="A294" s="182" t="s">
        <v>236</v>
      </c>
      <c r="B294" s="182" t="s">
        <v>232</v>
      </c>
      <c r="C294" s="182" t="s">
        <v>681</v>
      </c>
      <c r="D294" s="182">
        <v>1.0</v>
      </c>
      <c r="E294" s="182">
        <v>14.0</v>
      </c>
      <c r="F294" s="182">
        <v>7.14</v>
      </c>
    </row>
    <row r="295">
      <c r="A295" s="182" t="s">
        <v>273</v>
      </c>
      <c r="B295" s="182" t="s">
        <v>181</v>
      </c>
      <c r="C295" s="182" t="s">
        <v>688</v>
      </c>
      <c r="D295" s="182">
        <v>1.0</v>
      </c>
      <c r="E295" s="182">
        <v>34.0</v>
      </c>
      <c r="F295" s="182">
        <v>2.94</v>
      </c>
    </row>
    <row r="296">
      <c r="A296" s="182" t="s">
        <v>239</v>
      </c>
      <c r="B296" s="182" t="s">
        <v>181</v>
      </c>
      <c r="C296" s="182" t="s">
        <v>664</v>
      </c>
      <c r="D296" s="182">
        <v>1.0</v>
      </c>
      <c r="E296" s="182">
        <v>34.0</v>
      </c>
      <c r="F296" s="182">
        <v>2.94</v>
      </c>
    </row>
    <row r="297">
      <c r="A297" s="182" t="s">
        <v>273</v>
      </c>
      <c r="B297" s="182" t="s">
        <v>181</v>
      </c>
      <c r="C297" s="182" t="s">
        <v>690</v>
      </c>
      <c r="D297" s="182">
        <v>1.0</v>
      </c>
      <c r="E297" s="182">
        <v>34.0</v>
      </c>
      <c r="F297" s="182">
        <v>2.94</v>
      </c>
    </row>
    <row r="298">
      <c r="A298" s="182" t="s">
        <v>242</v>
      </c>
      <c r="B298" s="182" t="s">
        <v>183</v>
      </c>
      <c r="C298" s="182" t="s">
        <v>662</v>
      </c>
      <c r="D298" s="182">
        <v>1.0</v>
      </c>
      <c r="E298" s="182">
        <v>26.0</v>
      </c>
      <c r="F298" s="182">
        <v>3.85</v>
      </c>
    </row>
    <row r="299">
      <c r="A299" s="182" t="s">
        <v>272</v>
      </c>
      <c r="B299" s="182" t="s">
        <v>185</v>
      </c>
      <c r="C299" s="182" t="s">
        <v>647</v>
      </c>
      <c r="D299" s="182">
        <v>1.0</v>
      </c>
      <c r="E299" s="182">
        <v>20.0</v>
      </c>
      <c r="F299" s="182">
        <v>5.0</v>
      </c>
    </row>
    <row r="300">
      <c r="A300" s="182" t="s">
        <v>236</v>
      </c>
      <c r="B300" s="182" t="s">
        <v>232</v>
      </c>
      <c r="C300" s="182" t="s">
        <v>664</v>
      </c>
      <c r="D300" s="182">
        <v>1.0</v>
      </c>
      <c r="E300" s="182">
        <v>14.0</v>
      </c>
      <c r="F300" s="182">
        <v>7.14</v>
      </c>
    </row>
    <row r="301">
      <c r="A301" s="182" t="s">
        <v>309</v>
      </c>
      <c r="B301" s="182" t="s">
        <v>193</v>
      </c>
      <c r="C301" s="182" t="s">
        <v>637</v>
      </c>
      <c r="D301" s="182">
        <v>1.0</v>
      </c>
      <c r="E301" s="182">
        <v>7.0</v>
      </c>
      <c r="F301" s="182">
        <v>14.29</v>
      </c>
    </row>
    <row r="302">
      <c r="A302" s="182" t="s">
        <v>261</v>
      </c>
      <c r="B302" s="182" t="s">
        <v>179</v>
      </c>
      <c r="C302" s="182" t="s">
        <v>669</v>
      </c>
      <c r="D302" s="182">
        <v>1.0</v>
      </c>
      <c r="E302" s="182">
        <v>17.0</v>
      </c>
      <c r="F302" s="182">
        <v>5.88</v>
      </c>
    </row>
    <row r="303">
      <c r="A303" s="182" t="s">
        <v>266</v>
      </c>
      <c r="B303" s="182" t="s">
        <v>1</v>
      </c>
      <c r="C303" s="182" t="s">
        <v>688</v>
      </c>
      <c r="D303" s="182">
        <v>1.0</v>
      </c>
      <c r="E303" s="182">
        <v>31.0</v>
      </c>
      <c r="F303" s="182">
        <v>3.23</v>
      </c>
    </row>
    <row r="304">
      <c r="A304" s="182" t="s">
        <v>266</v>
      </c>
      <c r="B304" s="182" t="s">
        <v>1</v>
      </c>
      <c r="C304" s="182" t="s">
        <v>686</v>
      </c>
      <c r="D304" s="182">
        <v>1.0</v>
      </c>
      <c r="E304" s="182">
        <v>31.0</v>
      </c>
      <c r="F304" s="182">
        <v>3.23</v>
      </c>
    </row>
    <row r="305">
      <c r="A305" s="182" t="s">
        <v>263</v>
      </c>
      <c r="B305" s="182" t="s">
        <v>181</v>
      </c>
      <c r="C305" s="182" t="s">
        <v>679</v>
      </c>
      <c r="D305" s="182">
        <v>1.0</v>
      </c>
      <c r="E305" s="182">
        <v>34.0</v>
      </c>
      <c r="F305" s="182">
        <v>2.94</v>
      </c>
    </row>
    <row r="306">
      <c r="A306" s="182" t="s">
        <v>263</v>
      </c>
      <c r="B306" s="182" t="s">
        <v>181</v>
      </c>
      <c r="C306" s="182" t="s">
        <v>671</v>
      </c>
      <c r="D306" s="182">
        <v>1.0</v>
      </c>
      <c r="E306" s="182">
        <v>34.0</v>
      </c>
      <c r="F306" s="182">
        <v>2.94</v>
      </c>
    </row>
    <row r="307">
      <c r="A307" s="182" t="s">
        <v>277</v>
      </c>
      <c r="B307" s="182" t="s">
        <v>187</v>
      </c>
      <c r="C307" s="182" t="s">
        <v>652</v>
      </c>
      <c r="D307" s="182">
        <v>1.0</v>
      </c>
      <c r="E307" s="182">
        <v>24.0</v>
      </c>
      <c r="F307" s="182">
        <v>4.17</v>
      </c>
    </row>
    <row r="308">
      <c r="A308" s="182" t="s">
        <v>255</v>
      </c>
      <c r="B308" s="182" t="s">
        <v>1</v>
      </c>
      <c r="C308" s="182" t="s">
        <v>692</v>
      </c>
      <c r="D308" s="182">
        <v>1.0</v>
      </c>
      <c r="E308" s="182">
        <v>31.0</v>
      </c>
      <c r="F308" s="182">
        <v>3.23</v>
      </c>
    </row>
    <row r="309">
      <c r="A309" s="182" t="s">
        <v>239</v>
      </c>
      <c r="B309" s="182" t="s">
        <v>181</v>
      </c>
      <c r="C309" s="182" t="s">
        <v>652</v>
      </c>
      <c r="D309" s="182">
        <v>1.0</v>
      </c>
      <c r="E309" s="182">
        <v>34.0</v>
      </c>
      <c r="F309" s="182">
        <v>2.94</v>
      </c>
    </row>
    <row r="310">
      <c r="A310" s="182" t="s">
        <v>303</v>
      </c>
      <c r="B310" s="182" t="s">
        <v>232</v>
      </c>
      <c r="C310" s="182" t="s">
        <v>671</v>
      </c>
      <c r="D310" s="182">
        <v>1.0</v>
      </c>
      <c r="E310" s="182">
        <v>14.0</v>
      </c>
      <c r="F310" s="182">
        <v>7.14</v>
      </c>
    </row>
    <row r="311">
      <c r="A311" s="182" t="s">
        <v>253</v>
      </c>
      <c r="B311" s="182" t="s">
        <v>187</v>
      </c>
      <c r="C311" s="182" t="s">
        <v>681</v>
      </c>
      <c r="D311" s="182">
        <v>1.0</v>
      </c>
      <c r="E311" s="182">
        <v>24.0</v>
      </c>
      <c r="F311" s="182">
        <v>4.17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198</v>
      </c>
    </row>
    <row r="2">
      <c r="A2" s="182" t="s">
        <v>244</v>
      </c>
      <c r="B2" s="182" t="s">
        <v>184</v>
      </c>
      <c r="C2" s="182">
        <v>165.0</v>
      </c>
    </row>
    <row r="3">
      <c r="A3" s="182" t="s">
        <v>245</v>
      </c>
      <c r="B3" s="182" t="s">
        <v>185</v>
      </c>
      <c r="C3" s="182">
        <v>142.0</v>
      </c>
    </row>
    <row r="4">
      <c r="A4" s="182" t="s">
        <v>239</v>
      </c>
      <c r="B4" s="182" t="s">
        <v>181</v>
      </c>
      <c r="C4" s="182">
        <v>137.0</v>
      </c>
    </row>
    <row r="5">
      <c r="A5" s="182" t="s">
        <v>262</v>
      </c>
      <c r="B5" s="182" t="s">
        <v>190</v>
      </c>
      <c r="C5" s="182">
        <v>127.0</v>
      </c>
    </row>
    <row r="6">
      <c r="A6" s="182" t="s">
        <v>247</v>
      </c>
      <c r="B6" s="182" t="s">
        <v>186</v>
      </c>
      <c r="C6" s="182">
        <v>114.0</v>
      </c>
    </row>
    <row r="7">
      <c r="A7" s="182" t="s">
        <v>238</v>
      </c>
      <c r="B7" s="182" t="s">
        <v>180</v>
      </c>
      <c r="C7" s="182">
        <v>110.0</v>
      </c>
    </row>
    <row r="8">
      <c r="A8" s="182" t="s">
        <v>255</v>
      </c>
      <c r="B8" s="182" t="s">
        <v>1</v>
      </c>
      <c r="C8" s="182">
        <v>109.0</v>
      </c>
    </row>
    <row r="9">
      <c r="A9" s="182" t="s">
        <v>242</v>
      </c>
      <c r="B9" s="182" t="s">
        <v>183</v>
      </c>
      <c r="C9" s="182">
        <v>98.0</v>
      </c>
    </row>
    <row r="10">
      <c r="A10" s="182" t="s">
        <v>241</v>
      </c>
      <c r="B10" s="182" t="s">
        <v>1</v>
      </c>
      <c r="C10" s="182">
        <v>97.0</v>
      </c>
    </row>
    <row r="11">
      <c r="A11" s="182" t="s">
        <v>250</v>
      </c>
      <c r="B11" s="182" t="s">
        <v>188</v>
      </c>
      <c r="C11" s="182">
        <v>94.0</v>
      </c>
    </row>
    <row r="12">
      <c r="A12" s="182" t="s">
        <v>237</v>
      </c>
      <c r="B12" s="182" t="s">
        <v>179</v>
      </c>
      <c r="C12" s="182">
        <v>91.0</v>
      </c>
    </row>
    <row r="13">
      <c r="A13" s="182" t="s">
        <v>279</v>
      </c>
      <c r="B13" s="182" t="s">
        <v>189</v>
      </c>
      <c r="C13" s="182">
        <v>85.0</v>
      </c>
    </row>
    <row r="14">
      <c r="A14" s="182" t="s">
        <v>240</v>
      </c>
      <c r="B14" s="182" t="s">
        <v>182</v>
      </c>
      <c r="C14" s="182">
        <v>81.0</v>
      </c>
    </row>
    <row r="15">
      <c r="A15" s="182" t="s">
        <v>259</v>
      </c>
      <c r="B15" s="182" t="s">
        <v>184</v>
      </c>
      <c r="C15" s="182">
        <v>80.0</v>
      </c>
    </row>
    <row r="16">
      <c r="A16" s="182" t="s">
        <v>249</v>
      </c>
      <c r="B16" s="182" t="s">
        <v>180</v>
      </c>
      <c r="C16" s="182">
        <v>80.0</v>
      </c>
    </row>
    <row r="17">
      <c r="A17" s="182" t="s">
        <v>251</v>
      </c>
      <c r="B17" s="182" t="s">
        <v>181</v>
      </c>
      <c r="C17" s="182">
        <v>79.0</v>
      </c>
    </row>
    <row r="18">
      <c r="A18" s="182" t="s">
        <v>277</v>
      </c>
      <c r="B18" s="182" t="s">
        <v>187</v>
      </c>
      <c r="C18" s="182">
        <v>75.0</v>
      </c>
    </row>
    <row r="19">
      <c r="A19" s="182" t="s">
        <v>236</v>
      </c>
      <c r="B19" s="182" t="s">
        <v>232</v>
      </c>
      <c r="C19" s="182">
        <v>74.0</v>
      </c>
    </row>
    <row r="20">
      <c r="A20" s="182" t="s">
        <v>271</v>
      </c>
      <c r="B20" s="182" t="s">
        <v>186</v>
      </c>
      <c r="C20" s="182">
        <v>70.0</v>
      </c>
    </row>
    <row r="21">
      <c r="A21" s="182" t="s">
        <v>246</v>
      </c>
      <c r="B21" s="182" t="s">
        <v>180</v>
      </c>
      <c r="C21" s="182">
        <v>68.0</v>
      </c>
    </row>
    <row r="22">
      <c r="A22" s="182" t="s">
        <v>257</v>
      </c>
      <c r="B22" s="182" t="s">
        <v>190</v>
      </c>
      <c r="C22" s="182">
        <v>67.0</v>
      </c>
    </row>
    <row r="23">
      <c r="A23" s="182" t="s">
        <v>260</v>
      </c>
      <c r="B23" s="182" t="s">
        <v>191</v>
      </c>
      <c r="C23" s="182">
        <v>66.0</v>
      </c>
    </row>
    <row r="24">
      <c r="A24" s="182" t="s">
        <v>253</v>
      </c>
      <c r="B24" s="182" t="s">
        <v>187</v>
      </c>
      <c r="C24" s="182">
        <v>64.0</v>
      </c>
    </row>
    <row r="25">
      <c r="A25" s="182" t="s">
        <v>284</v>
      </c>
      <c r="B25" s="182" t="s">
        <v>188</v>
      </c>
      <c r="C25" s="182">
        <v>63.0</v>
      </c>
    </row>
    <row r="26">
      <c r="A26" s="182" t="s">
        <v>248</v>
      </c>
      <c r="B26" s="182" t="s">
        <v>187</v>
      </c>
      <c r="C26" s="182">
        <v>63.0</v>
      </c>
    </row>
    <row r="27">
      <c r="A27" s="182" t="s">
        <v>290</v>
      </c>
      <c r="B27" s="182" t="s">
        <v>190</v>
      </c>
      <c r="C27" s="182">
        <v>58.0</v>
      </c>
    </row>
    <row r="28">
      <c r="A28" s="182" t="s">
        <v>258</v>
      </c>
      <c r="B28" s="182" t="s">
        <v>186</v>
      </c>
      <c r="C28" s="182">
        <v>57.0</v>
      </c>
    </row>
    <row r="29">
      <c r="A29" s="182" t="s">
        <v>297</v>
      </c>
      <c r="B29" s="182" t="s">
        <v>181</v>
      </c>
      <c r="C29" s="182">
        <v>56.0</v>
      </c>
    </row>
    <row r="30">
      <c r="A30" s="182" t="s">
        <v>276</v>
      </c>
      <c r="B30" s="182" t="s">
        <v>185</v>
      </c>
      <c r="C30" s="182">
        <v>54.0</v>
      </c>
    </row>
    <row r="31">
      <c r="A31" s="182" t="s">
        <v>286</v>
      </c>
      <c r="B31" s="182" t="s">
        <v>185</v>
      </c>
      <c r="C31" s="182">
        <v>54.0</v>
      </c>
    </row>
    <row r="32">
      <c r="A32" s="182" t="s">
        <v>289</v>
      </c>
      <c r="B32" s="182" t="s">
        <v>184</v>
      </c>
      <c r="C32" s="182">
        <v>54.0</v>
      </c>
    </row>
    <row r="33">
      <c r="A33" s="182" t="s">
        <v>273</v>
      </c>
      <c r="B33" s="182" t="s">
        <v>181</v>
      </c>
      <c r="C33" s="182">
        <v>53.0</v>
      </c>
    </row>
    <row r="34">
      <c r="A34" s="182" t="s">
        <v>252</v>
      </c>
      <c r="B34" s="182" t="s">
        <v>189</v>
      </c>
      <c r="C34" s="182">
        <v>51.0</v>
      </c>
    </row>
    <row r="35">
      <c r="A35" s="182" t="s">
        <v>270</v>
      </c>
      <c r="B35" s="182" t="s">
        <v>183</v>
      </c>
      <c r="C35" s="182">
        <v>49.0</v>
      </c>
    </row>
    <row r="36">
      <c r="A36" s="182" t="s">
        <v>263</v>
      </c>
      <c r="B36" s="182" t="s">
        <v>181</v>
      </c>
      <c r="C36" s="182">
        <v>48.0</v>
      </c>
    </row>
    <row r="37">
      <c r="A37" s="182" t="s">
        <v>281</v>
      </c>
      <c r="B37" s="182" t="s">
        <v>187</v>
      </c>
      <c r="C37" s="182">
        <v>47.0</v>
      </c>
    </row>
    <row r="38">
      <c r="A38" s="182" t="s">
        <v>292</v>
      </c>
      <c r="B38" s="182" t="s">
        <v>180</v>
      </c>
      <c r="C38" s="182">
        <v>46.0</v>
      </c>
    </row>
    <row r="39">
      <c r="A39" s="182" t="s">
        <v>266</v>
      </c>
      <c r="B39" s="182" t="s">
        <v>1</v>
      </c>
      <c r="C39" s="182">
        <v>46.0</v>
      </c>
    </row>
    <row r="40">
      <c r="A40" s="182" t="s">
        <v>275</v>
      </c>
      <c r="B40" s="182" t="s">
        <v>1</v>
      </c>
      <c r="C40" s="182">
        <v>45.0</v>
      </c>
    </row>
    <row r="41">
      <c r="A41" s="182" t="s">
        <v>256</v>
      </c>
      <c r="B41" s="182" t="s">
        <v>182</v>
      </c>
      <c r="C41" s="182">
        <v>45.0</v>
      </c>
    </row>
    <row r="42">
      <c r="A42" s="182" t="s">
        <v>294</v>
      </c>
      <c r="B42" s="182" t="s">
        <v>180</v>
      </c>
      <c r="C42" s="182">
        <v>45.0</v>
      </c>
    </row>
    <row r="43">
      <c r="A43" s="182" t="s">
        <v>265</v>
      </c>
      <c r="B43" s="182" t="s">
        <v>183</v>
      </c>
      <c r="C43" s="182">
        <v>41.0</v>
      </c>
    </row>
    <row r="44">
      <c r="A44" s="182" t="s">
        <v>306</v>
      </c>
      <c r="B44" s="182" t="s">
        <v>186</v>
      </c>
      <c r="C44" s="182">
        <v>41.0</v>
      </c>
    </row>
    <row r="45">
      <c r="A45" s="182" t="s">
        <v>295</v>
      </c>
      <c r="B45" s="182" t="s">
        <v>188</v>
      </c>
      <c r="C45" s="182">
        <v>41.0</v>
      </c>
    </row>
    <row r="46">
      <c r="A46" s="182" t="s">
        <v>282</v>
      </c>
      <c r="B46" s="182" t="s">
        <v>183</v>
      </c>
      <c r="C46" s="182">
        <v>40.0</v>
      </c>
    </row>
    <row r="47">
      <c r="A47" s="182" t="s">
        <v>243</v>
      </c>
      <c r="B47" s="182" t="s">
        <v>232</v>
      </c>
      <c r="C47" s="182">
        <v>40.0</v>
      </c>
    </row>
    <row r="48">
      <c r="A48" s="182" t="s">
        <v>280</v>
      </c>
      <c r="B48" s="182" t="s">
        <v>186</v>
      </c>
      <c r="C48" s="182">
        <v>39.0</v>
      </c>
    </row>
    <row r="49">
      <c r="A49" s="182" t="s">
        <v>304</v>
      </c>
      <c r="B49" s="182" t="s">
        <v>188</v>
      </c>
      <c r="C49" s="182">
        <v>39.0</v>
      </c>
    </row>
    <row r="50">
      <c r="A50" s="182" t="s">
        <v>274</v>
      </c>
      <c r="B50" s="182" t="s">
        <v>189</v>
      </c>
      <c r="C50" s="182">
        <v>38.0</v>
      </c>
    </row>
    <row r="51">
      <c r="A51" s="182" t="s">
        <v>291</v>
      </c>
      <c r="B51" s="182" t="s">
        <v>187</v>
      </c>
      <c r="C51" s="182">
        <v>37.0</v>
      </c>
    </row>
    <row r="52">
      <c r="A52" s="182" t="s">
        <v>299</v>
      </c>
      <c r="B52" s="182" t="s">
        <v>1</v>
      </c>
      <c r="C52" s="182">
        <v>37.0</v>
      </c>
    </row>
    <row r="53">
      <c r="A53" s="182" t="s">
        <v>287</v>
      </c>
      <c r="B53" s="182" t="s">
        <v>190</v>
      </c>
      <c r="C53" s="182">
        <v>36.0</v>
      </c>
    </row>
    <row r="54">
      <c r="A54" s="182" t="s">
        <v>296</v>
      </c>
      <c r="B54" s="182" t="s">
        <v>185</v>
      </c>
      <c r="C54" s="182">
        <v>36.0</v>
      </c>
    </row>
    <row r="55">
      <c r="A55" s="182" t="s">
        <v>307</v>
      </c>
      <c r="B55" s="182" t="s">
        <v>189</v>
      </c>
      <c r="C55" s="182">
        <v>36.0</v>
      </c>
    </row>
    <row r="56">
      <c r="A56" s="182" t="s">
        <v>254</v>
      </c>
      <c r="B56" s="182" t="s">
        <v>189</v>
      </c>
      <c r="C56" s="182">
        <v>35.0</v>
      </c>
    </row>
    <row r="57">
      <c r="A57" s="182" t="s">
        <v>272</v>
      </c>
      <c r="B57" s="182" t="s">
        <v>185</v>
      </c>
      <c r="C57" s="182">
        <v>34.0</v>
      </c>
    </row>
    <row r="58">
      <c r="A58" s="182" t="s">
        <v>264</v>
      </c>
      <c r="B58" s="182" t="s">
        <v>184</v>
      </c>
      <c r="C58" s="182">
        <v>34.0</v>
      </c>
    </row>
    <row r="59">
      <c r="A59" s="182" t="s">
        <v>269</v>
      </c>
      <c r="B59" s="182" t="s">
        <v>179</v>
      </c>
      <c r="C59" s="182">
        <v>33.0</v>
      </c>
    </row>
    <row r="60">
      <c r="A60" s="182" t="s">
        <v>305</v>
      </c>
      <c r="B60" s="182" t="s">
        <v>190</v>
      </c>
      <c r="C60" s="182">
        <v>33.0</v>
      </c>
    </row>
    <row r="61">
      <c r="A61" s="182" t="s">
        <v>302</v>
      </c>
      <c r="B61" s="182" t="s">
        <v>184</v>
      </c>
      <c r="C61" s="182">
        <v>32.0</v>
      </c>
    </row>
    <row r="62">
      <c r="A62" s="182" t="s">
        <v>283</v>
      </c>
      <c r="B62" s="182" t="s">
        <v>183</v>
      </c>
      <c r="C62" s="182">
        <v>32.0</v>
      </c>
    </row>
    <row r="63">
      <c r="A63" s="182" t="s">
        <v>293</v>
      </c>
      <c r="B63" s="182" t="s">
        <v>182</v>
      </c>
      <c r="C63" s="182">
        <v>31.0</v>
      </c>
    </row>
    <row r="64">
      <c r="A64" s="182" t="s">
        <v>261</v>
      </c>
      <c r="B64" s="182" t="s">
        <v>179</v>
      </c>
      <c r="C64" s="182">
        <v>28.0</v>
      </c>
    </row>
    <row r="65">
      <c r="A65" s="182" t="s">
        <v>278</v>
      </c>
      <c r="B65" s="182" t="s">
        <v>182</v>
      </c>
      <c r="C65" s="182">
        <v>28.0</v>
      </c>
    </row>
    <row r="66">
      <c r="A66" s="182" t="s">
        <v>285</v>
      </c>
      <c r="B66" s="182" t="s">
        <v>232</v>
      </c>
      <c r="C66" s="182">
        <v>25.0</v>
      </c>
    </row>
    <row r="67">
      <c r="A67" s="182" t="s">
        <v>267</v>
      </c>
      <c r="B67" s="182" t="s">
        <v>232</v>
      </c>
      <c r="C67" s="182">
        <v>24.0</v>
      </c>
    </row>
    <row r="68">
      <c r="A68" s="182" t="s">
        <v>268</v>
      </c>
      <c r="B68" s="182" t="s">
        <v>179</v>
      </c>
      <c r="C68" s="182">
        <v>24.0</v>
      </c>
    </row>
    <row r="69">
      <c r="A69" s="182" t="s">
        <v>308</v>
      </c>
      <c r="B69" s="182" t="s">
        <v>179</v>
      </c>
      <c r="C69" s="182">
        <v>23.0</v>
      </c>
    </row>
    <row r="70">
      <c r="A70" s="182" t="s">
        <v>301</v>
      </c>
      <c r="B70" s="182" t="s">
        <v>182</v>
      </c>
      <c r="C70" s="182">
        <v>21.0</v>
      </c>
    </row>
    <row r="71">
      <c r="A71" s="182" t="s">
        <v>303</v>
      </c>
      <c r="B71" s="182" t="s">
        <v>232</v>
      </c>
      <c r="C71" s="182">
        <v>15.0</v>
      </c>
    </row>
    <row r="72">
      <c r="A72" s="182" t="s">
        <v>298</v>
      </c>
      <c r="B72" s="182" t="s">
        <v>184</v>
      </c>
      <c r="C72" s="182">
        <v>14.0</v>
      </c>
    </row>
    <row r="73">
      <c r="A73" s="182" t="s">
        <v>300</v>
      </c>
      <c r="B73" s="182" t="s">
        <v>192</v>
      </c>
      <c r="C73" s="182">
        <v>12.0</v>
      </c>
    </row>
    <row r="74">
      <c r="A74" s="182" t="s">
        <v>309</v>
      </c>
      <c r="B74" s="182" t="s">
        <v>193</v>
      </c>
      <c r="C74" s="182">
        <v>5.0</v>
      </c>
    </row>
    <row r="75">
      <c r="A75" s="182" t="s">
        <v>288</v>
      </c>
      <c r="B75" s="182" t="s">
        <v>185</v>
      </c>
      <c r="C75" s="182">
        <v>5.0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199</v>
      </c>
    </row>
    <row r="2">
      <c r="A2" s="182" t="s">
        <v>244</v>
      </c>
      <c r="B2" s="182" t="s">
        <v>184</v>
      </c>
      <c r="C2" s="182">
        <v>143.0</v>
      </c>
    </row>
    <row r="3">
      <c r="A3" s="182" t="s">
        <v>239</v>
      </c>
      <c r="B3" s="182" t="s">
        <v>181</v>
      </c>
      <c r="C3" s="182">
        <v>125.0</v>
      </c>
    </row>
    <row r="4">
      <c r="A4" s="182" t="s">
        <v>262</v>
      </c>
      <c r="B4" s="182" t="s">
        <v>190</v>
      </c>
      <c r="C4" s="182">
        <v>125.0</v>
      </c>
    </row>
    <row r="5">
      <c r="A5" s="182" t="s">
        <v>245</v>
      </c>
      <c r="B5" s="182" t="s">
        <v>185</v>
      </c>
      <c r="C5" s="182">
        <v>119.0</v>
      </c>
    </row>
    <row r="6">
      <c r="A6" s="182" t="s">
        <v>255</v>
      </c>
      <c r="B6" s="182" t="s">
        <v>1</v>
      </c>
      <c r="C6" s="182">
        <v>111.0</v>
      </c>
    </row>
    <row r="7">
      <c r="A7" s="182" t="s">
        <v>247</v>
      </c>
      <c r="B7" s="182" t="s">
        <v>186</v>
      </c>
      <c r="C7" s="182">
        <v>101.0</v>
      </c>
    </row>
    <row r="8">
      <c r="A8" s="182" t="s">
        <v>242</v>
      </c>
      <c r="B8" s="182" t="s">
        <v>183</v>
      </c>
      <c r="C8" s="182">
        <v>100.0</v>
      </c>
    </row>
    <row r="9">
      <c r="A9" s="182" t="s">
        <v>286</v>
      </c>
      <c r="B9" s="182" t="s">
        <v>185</v>
      </c>
      <c r="C9" s="182">
        <v>86.0</v>
      </c>
    </row>
    <row r="10">
      <c r="A10" s="182" t="s">
        <v>241</v>
      </c>
      <c r="B10" s="182" t="s">
        <v>1</v>
      </c>
      <c r="C10" s="182">
        <v>81.0</v>
      </c>
    </row>
    <row r="11">
      <c r="A11" s="182" t="s">
        <v>279</v>
      </c>
      <c r="B11" s="182" t="s">
        <v>189</v>
      </c>
      <c r="C11" s="182">
        <v>79.0</v>
      </c>
    </row>
    <row r="12">
      <c r="A12" s="182" t="s">
        <v>257</v>
      </c>
      <c r="B12" s="182" t="s">
        <v>190</v>
      </c>
      <c r="C12" s="182">
        <v>75.0</v>
      </c>
    </row>
    <row r="13">
      <c r="A13" s="182" t="s">
        <v>250</v>
      </c>
      <c r="B13" s="182" t="s">
        <v>188</v>
      </c>
      <c r="C13" s="182">
        <v>75.0</v>
      </c>
    </row>
    <row r="14">
      <c r="A14" s="182" t="s">
        <v>238</v>
      </c>
      <c r="B14" s="182" t="s">
        <v>180</v>
      </c>
      <c r="C14" s="182">
        <v>68.0</v>
      </c>
    </row>
    <row r="15">
      <c r="A15" s="182" t="s">
        <v>273</v>
      </c>
      <c r="B15" s="182" t="s">
        <v>181</v>
      </c>
      <c r="C15" s="182">
        <v>67.0</v>
      </c>
    </row>
    <row r="16">
      <c r="A16" s="182" t="s">
        <v>259</v>
      </c>
      <c r="B16" s="182" t="s">
        <v>184</v>
      </c>
      <c r="C16" s="182">
        <v>66.0</v>
      </c>
    </row>
    <row r="17">
      <c r="A17" s="182" t="s">
        <v>284</v>
      </c>
      <c r="B17" s="182" t="s">
        <v>188</v>
      </c>
      <c r="C17" s="182">
        <v>66.0</v>
      </c>
    </row>
    <row r="18">
      <c r="A18" s="182" t="s">
        <v>277</v>
      </c>
      <c r="B18" s="182" t="s">
        <v>187</v>
      </c>
      <c r="C18" s="182">
        <v>65.0</v>
      </c>
    </row>
    <row r="19">
      <c r="A19" s="182" t="s">
        <v>251</v>
      </c>
      <c r="B19" s="182" t="s">
        <v>181</v>
      </c>
      <c r="C19" s="182">
        <v>64.0</v>
      </c>
    </row>
    <row r="20">
      <c r="A20" s="182" t="s">
        <v>305</v>
      </c>
      <c r="B20" s="182" t="s">
        <v>190</v>
      </c>
      <c r="C20" s="182">
        <v>61.0</v>
      </c>
    </row>
    <row r="21">
      <c r="A21" s="182" t="s">
        <v>271</v>
      </c>
      <c r="B21" s="182" t="s">
        <v>186</v>
      </c>
      <c r="C21" s="182">
        <v>60.0</v>
      </c>
    </row>
    <row r="22">
      <c r="A22" s="182" t="s">
        <v>276</v>
      </c>
      <c r="B22" s="182" t="s">
        <v>185</v>
      </c>
      <c r="C22" s="182">
        <v>59.0</v>
      </c>
    </row>
    <row r="23">
      <c r="A23" s="182" t="s">
        <v>289</v>
      </c>
      <c r="B23" s="182" t="s">
        <v>184</v>
      </c>
      <c r="C23" s="182">
        <v>58.0</v>
      </c>
    </row>
    <row r="24">
      <c r="A24" s="182" t="s">
        <v>258</v>
      </c>
      <c r="B24" s="182" t="s">
        <v>186</v>
      </c>
      <c r="C24" s="182">
        <v>56.0</v>
      </c>
    </row>
    <row r="25">
      <c r="A25" s="182" t="s">
        <v>265</v>
      </c>
      <c r="B25" s="182" t="s">
        <v>183</v>
      </c>
      <c r="C25" s="182">
        <v>56.0</v>
      </c>
    </row>
    <row r="26">
      <c r="A26" s="182" t="s">
        <v>252</v>
      </c>
      <c r="B26" s="182" t="s">
        <v>189</v>
      </c>
      <c r="C26" s="182">
        <v>55.0</v>
      </c>
    </row>
    <row r="27">
      <c r="A27" s="182" t="s">
        <v>237</v>
      </c>
      <c r="B27" s="182" t="s">
        <v>179</v>
      </c>
      <c r="C27" s="182">
        <v>54.0</v>
      </c>
    </row>
    <row r="28">
      <c r="A28" s="182" t="s">
        <v>240</v>
      </c>
      <c r="B28" s="182" t="s">
        <v>182</v>
      </c>
      <c r="C28" s="182">
        <v>53.0</v>
      </c>
    </row>
    <row r="29">
      <c r="A29" s="182" t="s">
        <v>290</v>
      </c>
      <c r="B29" s="182" t="s">
        <v>190</v>
      </c>
      <c r="C29" s="182">
        <v>53.0</v>
      </c>
    </row>
    <row r="30">
      <c r="A30" s="182" t="s">
        <v>291</v>
      </c>
      <c r="B30" s="182" t="s">
        <v>187</v>
      </c>
      <c r="C30" s="182">
        <v>52.0</v>
      </c>
    </row>
    <row r="31">
      <c r="A31" s="182" t="s">
        <v>260</v>
      </c>
      <c r="B31" s="182" t="s">
        <v>191</v>
      </c>
      <c r="C31" s="182">
        <v>51.0</v>
      </c>
    </row>
    <row r="32">
      <c r="A32" s="182" t="s">
        <v>304</v>
      </c>
      <c r="B32" s="182" t="s">
        <v>188</v>
      </c>
      <c r="C32" s="182">
        <v>51.0</v>
      </c>
    </row>
    <row r="33">
      <c r="A33" s="182" t="s">
        <v>306</v>
      </c>
      <c r="B33" s="182" t="s">
        <v>186</v>
      </c>
      <c r="C33" s="182">
        <v>51.0</v>
      </c>
    </row>
    <row r="34">
      <c r="A34" s="182" t="s">
        <v>256</v>
      </c>
      <c r="B34" s="182" t="s">
        <v>182</v>
      </c>
      <c r="C34" s="182">
        <v>50.0</v>
      </c>
    </row>
    <row r="35">
      <c r="A35" s="182" t="s">
        <v>296</v>
      </c>
      <c r="B35" s="182" t="s">
        <v>185</v>
      </c>
      <c r="C35" s="182">
        <v>50.0</v>
      </c>
    </row>
    <row r="36">
      <c r="A36" s="182" t="s">
        <v>248</v>
      </c>
      <c r="B36" s="182" t="s">
        <v>187</v>
      </c>
      <c r="C36" s="182">
        <v>49.0</v>
      </c>
    </row>
    <row r="37">
      <c r="A37" s="182" t="s">
        <v>270</v>
      </c>
      <c r="B37" s="182" t="s">
        <v>183</v>
      </c>
      <c r="C37" s="182">
        <v>47.0</v>
      </c>
    </row>
    <row r="38">
      <c r="A38" s="182" t="s">
        <v>263</v>
      </c>
      <c r="B38" s="182" t="s">
        <v>181</v>
      </c>
      <c r="C38" s="182">
        <v>46.0</v>
      </c>
    </row>
    <row r="39">
      <c r="A39" s="182" t="s">
        <v>249</v>
      </c>
      <c r="B39" s="182" t="s">
        <v>180</v>
      </c>
      <c r="C39" s="182">
        <v>44.0</v>
      </c>
    </row>
    <row r="40">
      <c r="A40" s="182" t="s">
        <v>280</v>
      </c>
      <c r="B40" s="182" t="s">
        <v>186</v>
      </c>
      <c r="C40" s="182">
        <v>44.0</v>
      </c>
    </row>
    <row r="41">
      <c r="A41" s="182" t="s">
        <v>275</v>
      </c>
      <c r="B41" s="182" t="s">
        <v>1</v>
      </c>
      <c r="C41" s="182">
        <v>43.0</v>
      </c>
    </row>
    <row r="42">
      <c r="A42" s="182" t="s">
        <v>294</v>
      </c>
      <c r="B42" s="182" t="s">
        <v>180</v>
      </c>
      <c r="C42" s="182">
        <v>42.0</v>
      </c>
    </row>
    <row r="43">
      <c r="A43" s="182" t="s">
        <v>295</v>
      </c>
      <c r="B43" s="182" t="s">
        <v>188</v>
      </c>
      <c r="C43" s="182">
        <v>42.0</v>
      </c>
    </row>
    <row r="44">
      <c r="A44" s="182" t="s">
        <v>307</v>
      </c>
      <c r="B44" s="182" t="s">
        <v>189</v>
      </c>
      <c r="C44" s="182">
        <v>41.0</v>
      </c>
    </row>
    <row r="45">
      <c r="A45" s="182" t="s">
        <v>253</v>
      </c>
      <c r="B45" s="182" t="s">
        <v>187</v>
      </c>
      <c r="C45" s="182">
        <v>41.0</v>
      </c>
    </row>
    <row r="46">
      <c r="A46" s="182" t="s">
        <v>299</v>
      </c>
      <c r="B46" s="182" t="s">
        <v>1</v>
      </c>
      <c r="C46" s="182">
        <v>40.0</v>
      </c>
    </row>
    <row r="47">
      <c r="A47" s="182" t="s">
        <v>274</v>
      </c>
      <c r="B47" s="182" t="s">
        <v>189</v>
      </c>
      <c r="C47" s="182">
        <v>39.0</v>
      </c>
    </row>
    <row r="48">
      <c r="A48" s="182" t="s">
        <v>283</v>
      </c>
      <c r="B48" s="182" t="s">
        <v>183</v>
      </c>
      <c r="C48" s="182">
        <v>37.0</v>
      </c>
    </row>
    <row r="49">
      <c r="A49" s="182" t="s">
        <v>282</v>
      </c>
      <c r="B49" s="182" t="s">
        <v>183</v>
      </c>
      <c r="C49" s="182">
        <v>36.0</v>
      </c>
    </row>
    <row r="50">
      <c r="A50" s="182" t="s">
        <v>292</v>
      </c>
      <c r="B50" s="182" t="s">
        <v>180</v>
      </c>
      <c r="C50" s="182">
        <v>36.0</v>
      </c>
    </row>
    <row r="51">
      <c r="A51" s="182" t="s">
        <v>266</v>
      </c>
      <c r="B51" s="182" t="s">
        <v>1</v>
      </c>
      <c r="C51" s="182">
        <v>35.0</v>
      </c>
    </row>
    <row r="52">
      <c r="A52" s="182" t="s">
        <v>236</v>
      </c>
      <c r="B52" s="182" t="s">
        <v>232</v>
      </c>
      <c r="C52" s="182">
        <v>34.0</v>
      </c>
    </row>
    <row r="53">
      <c r="A53" s="182" t="s">
        <v>297</v>
      </c>
      <c r="B53" s="182" t="s">
        <v>181</v>
      </c>
      <c r="C53" s="182">
        <v>34.0</v>
      </c>
    </row>
    <row r="54">
      <c r="A54" s="182" t="s">
        <v>293</v>
      </c>
      <c r="B54" s="182" t="s">
        <v>182</v>
      </c>
      <c r="C54" s="182">
        <v>34.0</v>
      </c>
    </row>
    <row r="55">
      <c r="A55" s="182" t="s">
        <v>301</v>
      </c>
      <c r="B55" s="182" t="s">
        <v>182</v>
      </c>
      <c r="C55" s="182">
        <v>33.0</v>
      </c>
    </row>
    <row r="56">
      <c r="A56" s="182" t="s">
        <v>287</v>
      </c>
      <c r="B56" s="182" t="s">
        <v>190</v>
      </c>
      <c r="C56" s="182">
        <v>32.0</v>
      </c>
    </row>
    <row r="57">
      <c r="A57" s="182" t="s">
        <v>264</v>
      </c>
      <c r="B57" s="182" t="s">
        <v>184</v>
      </c>
      <c r="C57" s="182">
        <v>31.0</v>
      </c>
    </row>
    <row r="58">
      <c r="A58" s="182" t="s">
        <v>246</v>
      </c>
      <c r="B58" s="182" t="s">
        <v>180</v>
      </c>
      <c r="C58" s="182">
        <v>31.0</v>
      </c>
    </row>
    <row r="59">
      <c r="A59" s="182" t="s">
        <v>278</v>
      </c>
      <c r="B59" s="182" t="s">
        <v>182</v>
      </c>
      <c r="C59" s="182">
        <v>30.0</v>
      </c>
    </row>
    <row r="60">
      <c r="A60" s="182" t="s">
        <v>269</v>
      </c>
      <c r="B60" s="182" t="s">
        <v>179</v>
      </c>
      <c r="C60" s="182">
        <v>29.0</v>
      </c>
    </row>
    <row r="61">
      <c r="A61" s="182" t="s">
        <v>302</v>
      </c>
      <c r="B61" s="182" t="s">
        <v>184</v>
      </c>
      <c r="C61" s="182">
        <v>29.0</v>
      </c>
    </row>
    <row r="62">
      <c r="A62" s="182" t="s">
        <v>281</v>
      </c>
      <c r="B62" s="182" t="s">
        <v>187</v>
      </c>
      <c r="C62" s="182">
        <v>29.0</v>
      </c>
    </row>
    <row r="63">
      <c r="A63" s="182" t="s">
        <v>254</v>
      </c>
      <c r="B63" s="182" t="s">
        <v>189</v>
      </c>
      <c r="C63" s="182">
        <v>28.0</v>
      </c>
    </row>
    <row r="64">
      <c r="A64" s="182" t="s">
        <v>308</v>
      </c>
      <c r="B64" s="182" t="s">
        <v>179</v>
      </c>
      <c r="C64" s="182">
        <v>27.0</v>
      </c>
    </row>
    <row r="65">
      <c r="A65" s="182" t="s">
        <v>272</v>
      </c>
      <c r="B65" s="182" t="s">
        <v>185</v>
      </c>
      <c r="C65" s="182">
        <v>25.0</v>
      </c>
    </row>
    <row r="66">
      <c r="A66" s="182" t="s">
        <v>243</v>
      </c>
      <c r="B66" s="182" t="s">
        <v>232</v>
      </c>
      <c r="C66" s="182">
        <v>25.0</v>
      </c>
    </row>
    <row r="67">
      <c r="A67" s="182" t="s">
        <v>285</v>
      </c>
      <c r="B67" s="182" t="s">
        <v>232</v>
      </c>
      <c r="C67" s="182">
        <v>24.0</v>
      </c>
    </row>
    <row r="68">
      <c r="A68" s="182" t="s">
        <v>300</v>
      </c>
      <c r="B68" s="182" t="s">
        <v>192</v>
      </c>
      <c r="C68" s="182">
        <v>23.0</v>
      </c>
    </row>
    <row r="69">
      <c r="A69" s="182" t="s">
        <v>303</v>
      </c>
      <c r="B69" s="182" t="s">
        <v>232</v>
      </c>
      <c r="C69" s="182">
        <v>21.0</v>
      </c>
    </row>
    <row r="70">
      <c r="A70" s="182" t="s">
        <v>268</v>
      </c>
      <c r="B70" s="182" t="s">
        <v>179</v>
      </c>
      <c r="C70" s="182">
        <v>19.0</v>
      </c>
    </row>
    <row r="71">
      <c r="A71" s="182" t="s">
        <v>261</v>
      </c>
      <c r="B71" s="182" t="s">
        <v>179</v>
      </c>
      <c r="C71" s="182">
        <v>16.0</v>
      </c>
    </row>
    <row r="72">
      <c r="A72" s="182" t="s">
        <v>298</v>
      </c>
      <c r="B72" s="182" t="s">
        <v>184</v>
      </c>
      <c r="C72" s="182">
        <v>16.0</v>
      </c>
    </row>
    <row r="73">
      <c r="A73" s="182" t="s">
        <v>309</v>
      </c>
      <c r="B73" s="182" t="s">
        <v>193</v>
      </c>
      <c r="C73" s="182">
        <v>15.0</v>
      </c>
    </row>
    <row r="74">
      <c r="A74" s="182" t="s">
        <v>288</v>
      </c>
      <c r="B74" s="182" t="s">
        <v>185</v>
      </c>
      <c r="C74" s="182">
        <v>14.0</v>
      </c>
    </row>
    <row r="75">
      <c r="A75" s="182" t="s">
        <v>267</v>
      </c>
      <c r="B75" s="182" t="s">
        <v>232</v>
      </c>
      <c r="C75" s="182">
        <v>10.0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</cols>
  <sheetData>
    <row r="1">
      <c r="A1" s="182" t="s">
        <v>233</v>
      </c>
      <c r="B1" s="182" t="s">
        <v>0</v>
      </c>
      <c r="C1" s="182" t="s">
        <v>697</v>
      </c>
      <c r="D1" s="182" t="s">
        <v>209</v>
      </c>
      <c r="E1" s="182" t="s">
        <v>698</v>
      </c>
      <c r="F1" s="182" t="s">
        <v>699</v>
      </c>
    </row>
    <row r="2">
      <c r="A2" s="182" t="s">
        <v>302</v>
      </c>
      <c r="B2" s="182" t="s">
        <v>184</v>
      </c>
      <c r="D2" s="182">
        <v>14.0</v>
      </c>
      <c r="E2" s="182">
        <v>25.0</v>
      </c>
      <c r="F2" s="189">
        <f t="array" ref="F2:F1000">D2:D1000+E2:E1000</f>
        <v>39</v>
      </c>
    </row>
    <row r="3">
      <c r="A3" s="182" t="s">
        <v>291</v>
      </c>
      <c r="B3" s="182" t="s">
        <v>187</v>
      </c>
      <c r="D3" s="182">
        <v>11.0</v>
      </c>
      <c r="E3" s="182">
        <v>26.0</v>
      </c>
      <c r="F3" s="189">
        <v>37.0</v>
      </c>
    </row>
    <row r="4">
      <c r="A4" s="182" t="s">
        <v>257</v>
      </c>
      <c r="B4" s="182" t="s">
        <v>190</v>
      </c>
      <c r="D4" s="182">
        <v>17.0</v>
      </c>
      <c r="E4" s="182">
        <v>45.0</v>
      </c>
      <c r="F4" s="189">
        <v>62.0</v>
      </c>
    </row>
    <row r="5">
      <c r="A5" s="182" t="s">
        <v>292</v>
      </c>
      <c r="B5" s="182" t="s">
        <v>180</v>
      </c>
      <c r="D5" s="182">
        <v>14.0</v>
      </c>
      <c r="E5" s="182">
        <v>39.0</v>
      </c>
      <c r="F5" s="189">
        <v>53.0</v>
      </c>
    </row>
    <row r="6">
      <c r="A6" s="182" t="s">
        <v>304</v>
      </c>
      <c r="B6" s="182" t="s">
        <v>188</v>
      </c>
      <c r="D6" s="182">
        <v>11.0</v>
      </c>
      <c r="E6" s="182">
        <v>33.0</v>
      </c>
      <c r="F6" s="189">
        <v>44.0</v>
      </c>
    </row>
    <row r="7">
      <c r="A7" s="182" t="s">
        <v>259</v>
      </c>
      <c r="B7" s="182" t="s">
        <v>184</v>
      </c>
      <c r="D7" s="182">
        <v>15.0</v>
      </c>
      <c r="E7" s="182">
        <v>50.0</v>
      </c>
      <c r="F7" s="189">
        <v>65.0</v>
      </c>
    </row>
    <row r="8">
      <c r="A8" s="182" t="s">
        <v>289</v>
      </c>
      <c r="B8" s="182" t="s">
        <v>184</v>
      </c>
      <c r="D8" s="182">
        <v>21.0</v>
      </c>
      <c r="E8" s="182">
        <v>73.0</v>
      </c>
      <c r="F8" s="189">
        <v>94.0</v>
      </c>
    </row>
    <row r="9">
      <c r="A9" s="182" t="s">
        <v>303</v>
      </c>
      <c r="B9" s="182" t="s">
        <v>232</v>
      </c>
      <c r="D9" s="182">
        <v>6.0</v>
      </c>
      <c r="E9" s="182">
        <v>21.0</v>
      </c>
      <c r="F9" s="189">
        <v>27.0</v>
      </c>
    </row>
    <row r="10">
      <c r="A10" s="182" t="s">
        <v>299</v>
      </c>
      <c r="B10" s="182" t="s">
        <v>1</v>
      </c>
      <c r="D10" s="182">
        <v>15.0</v>
      </c>
      <c r="E10" s="182">
        <v>55.0</v>
      </c>
      <c r="F10" s="189">
        <v>70.0</v>
      </c>
    </row>
    <row r="11">
      <c r="A11" s="182" t="s">
        <v>263</v>
      </c>
      <c r="B11" s="182" t="s">
        <v>181</v>
      </c>
      <c r="D11" s="182">
        <v>17.0</v>
      </c>
      <c r="E11" s="182">
        <v>64.0</v>
      </c>
      <c r="F11" s="189">
        <v>81.0</v>
      </c>
    </row>
    <row r="12">
      <c r="A12" s="182" t="s">
        <v>281</v>
      </c>
      <c r="B12" s="182" t="s">
        <v>187</v>
      </c>
      <c r="D12" s="182">
        <v>17.0</v>
      </c>
      <c r="E12" s="182">
        <v>66.0</v>
      </c>
      <c r="F12" s="189">
        <v>83.0</v>
      </c>
    </row>
    <row r="13">
      <c r="A13" s="182" t="s">
        <v>253</v>
      </c>
      <c r="B13" s="182" t="s">
        <v>187</v>
      </c>
      <c r="D13" s="182">
        <v>9.0</v>
      </c>
      <c r="E13" s="182">
        <v>35.0</v>
      </c>
      <c r="F13" s="189">
        <v>44.0</v>
      </c>
    </row>
    <row r="14">
      <c r="A14" s="182" t="s">
        <v>301</v>
      </c>
      <c r="B14" s="182" t="s">
        <v>182</v>
      </c>
      <c r="D14" s="182">
        <v>8.0</v>
      </c>
      <c r="E14" s="182">
        <v>32.0</v>
      </c>
      <c r="F14" s="189">
        <v>40.0</v>
      </c>
    </row>
    <row r="15">
      <c r="A15" s="182" t="s">
        <v>261</v>
      </c>
      <c r="B15" s="182" t="s">
        <v>179</v>
      </c>
      <c r="D15" s="182">
        <v>6.0</v>
      </c>
      <c r="E15" s="182">
        <v>24.0</v>
      </c>
      <c r="F15" s="189">
        <v>30.0</v>
      </c>
    </row>
    <row r="16">
      <c r="A16" s="182" t="s">
        <v>284</v>
      </c>
      <c r="B16" s="182" t="s">
        <v>188</v>
      </c>
      <c r="D16" s="182">
        <v>14.0</v>
      </c>
      <c r="E16" s="182">
        <v>57.0</v>
      </c>
      <c r="F16" s="189">
        <v>71.0</v>
      </c>
    </row>
    <row r="17">
      <c r="A17" s="182" t="s">
        <v>242</v>
      </c>
      <c r="B17" s="182" t="s">
        <v>183</v>
      </c>
      <c r="D17" s="182">
        <v>7.0</v>
      </c>
      <c r="E17" s="182">
        <v>29.0</v>
      </c>
      <c r="F17" s="189">
        <v>36.0</v>
      </c>
    </row>
    <row r="18">
      <c r="A18" s="182" t="s">
        <v>300</v>
      </c>
      <c r="B18" s="182" t="s">
        <v>192</v>
      </c>
      <c r="D18" s="182">
        <v>6.0</v>
      </c>
      <c r="E18" s="182">
        <v>25.0</v>
      </c>
      <c r="F18" s="189">
        <v>31.0</v>
      </c>
    </row>
    <row r="19">
      <c r="A19" s="182" t="s">
        <v>276</v>
      </c>
      <c r="B19" s="182" t="s">
        <v>185</v>
      </c>
      <c r="D19" s="182">
        <v>18.0</v>
      </c>
      <c r="E19" s="182">
        <v>75.0</v>
      </c>
      <c r="F19" s="189">
        <v>93.0</v>
      </c>
    </row>
    <row r="20">
      <c r="A20" s="182" t="s">
        <v>307</v>
      </c>
      <c r="B20" s="182" t="s">
        <v>189</v>
      </c>
      <c r="D20" s="182">
        <v>10.0</v>
      </c>
      <c r="E20" s="182">
        <v>42.0</v>
      </c>
      <c r="F20" s="189">
        <v>52.0</v>
      </c>
    </row>
    <row r="21">
      <c r="A21" s="182" t="s">
        <v>245</v>
      </c>
      <c r="B21" s="182" t="s">
        <v>185</v>
      </c>
      <c r="D21" s="182">
        <v>10.0</v>
      </c>
      <c r="E21" s="182">
        <v>42.0</v>
      </c>
      <c r="F21" s="189">
        <v>52.0</v>
      </c>
    </row>
    <row r="22">
      <c r="A22" s="182" t="s">
        <v>306</v>
      </c>
      <c r="B22" s="182" t="s">
        <v>186</v>
      </c>
      <c r="D22" s="182">
        <v>14.0</v>
      </c>
      <c r="E22" s="182">
        <v>59.0</v>
      </c>
      <c r="F22" s="189">
        <v>73.0</v>
      </c>
    </row>
    <row r="23">
      <c r="A23" s="182" t="s">
        <v>293</v>
      </c>
      <c r="B23" s="182" t="s">
        <v>182</v>
      </c>
      <c r="D23" s="182">
        <v>9.0</v>
      </c>
      <c r="E23" s="182">
        <v>38.0</v>
      </c>
      <c r="F23" s="189">
        <v>47.0</v>
      </c>
    </row>
    <row r="24">
      <c r="A24" s="182" t="s">
        <v>298</v>
      </c>
      <c r="B24" s="182" t="s">
        <v>184</v>
      </c>
      <c r="D24" s="182">
        <v>3.0</v>
      </c>
      <c r="E24" s="182">
        <v>13.0</v>
      </c>
      <c r="F24" s="189">
        <v>16.0</v>
      </c>
    </row>
    <row r="25">
      <c r="A25" s="182" t="s">
        <v>270</v>
      </c>
      <c r="B25" s="182" t="s">
        <v>183</v>
      </c>
      <c r="D25" s="182">
        <v>8.0</v>
      </c>
      <c r="E25" s="182">
        <v>35.0</v>
      </c>
      <c r="F25" s="189">
        <v>43.0</v>
      </c>
    </row>
    <row r="26">
      <c r="A26" s="182" t="s">
        <v>239</v>
      </c>
      <c r="B26" s="182" t="s">
        <v>181</v>
      </c>
      <c r="D26" s="182">
        <v>6.0</v>
      </c>
      <c r="E26" s="182">
        <v>27.0</v>
      </c>
      <c r="F26" s="189">
        <v>33.0</v>
      </c>
    </row>
    <row r="27">
      <c r="A27" s="182" t="s">
        <v>237</v>
      </c>
      <c r="B27" s="182" t="s">
        <v>179</v>
      </c>
      <c r="D27" s="182">
        <v>4.0</v>
      </c>
      <c r="E27" s="182">
        <v>18.0</v>
      </c>
      <c r="F27" s="189">
        <v>22.0</v>
      </c>
    </row>
    <row r="28">
      <c r="A28" s="182" t="s">
        <v>241</v>
      </c>
      <c r="B28" s="182" t="s">
        <v>1</v>
      </c>
      <c r="D28" s="182">
        <v>8.0</v>
      </c>
      <c r="E28" s="182">
        <v>37.0</v>
      </c>
      <c r="F28" s="189">
        <v>45.0</v>
      </c>
    </row>
    <row r="29">
      <c r="A29" s="182" t="s">
        <v>258</v>
      </c>
      <c r="B29" s="182" t="s">
        <v>186</v>
      </c>
      <c r="D29" s="182">
        <v>12.0</v>
      </c>
      <c r="E29" s="182">
        <v>56.0</v>
      </c>
      <c r="F29" s="189">
        <v>68.0</v>
      </c>
    </row>
    <row r="30">
      <c r="A30" s="182" t="s">
        <v>296</v>
      </c>
      <c r="B30" s="182" t="s">
        <v>185</v>
      </c>
      <c r="D30" s="182">
        <v>12.0</v>
      </c>
      <c r="E30" s="182">
        <v>58.0</v>
      </c>
      <c r="F30" s="189">
        <v>70.0</v>
      </c>
    </row>
    <row r="31">
      <c r="A31" s="182" t="s">
        <v>290</v>
      </c>
      <c r="B31" s="182" t="s">
        <v>190</v>
      </c>
      <c r="D31" s="182">
        <v>15.0</v>
      </c>
      <c r="E31" s="182">
        <v>75.0</v>
      </c>
      <c r="F31" s="189">
        <v>90.0</v>
      </c>
    </row>
    <row r="32">
      <c r="A32" s="182" t="s">
        <v>256</v>
      </c>
      <c r="B32" s="182" t="s">
        <v>182</v>
      </c>
      <c r="D32" s="182">
        <v>5.0</v>
      </c>
      <c r="E32" s="182">
        <v>26.0</v>
      </c>
      <c r="F32" s="189">
        <v>31.0</v>
      </c>
    </row>
    <row r="33">
      <c r="A33" s="182" t="s">
        <v>243</v>
      </c>
      <c r="B33" s="182" t="s">
        <v>232</v>
      </c>
      <c r="D33" s="182">
        <v>4.0</v>
      </c>
      <c r="E33" s="182">
        <v>21.0</v>
      </c>
      <c r="F33" s="189">
        <v>25.0</v>
      </c>
    </row>
    <row r="34">
      <c r="A34" s="182" t="s">
        <v>265</v>
      </c>
      <c r="B34" s="182" t="s">
        <v>183</v>
      </c>
      <c r="D34" s="182">
        <v>11.0</v>
      </c>
      <c r="E34" s="182">
        <v>58.0</v>
      </c>
      <c r="F34" s="189">
        <v>69.0</v>
      </c>
    </row>
    <row r="35">
      <c r="A35" s="182" t="s">
        <v>246</v>
      </c>
      <c r="B35" s="182" t="s">
        <v>180</v>
      </c>
      <c r="D35" s="182">
        <v>14.0</v>
      </c>
      <c r="E35" s="182">
        <v>74.0</v>
      </c>
      <c r="F35" s="189">
        <v>88.0</v>
      </c>
    </row>
    <row r="36">
      <c r="A36" s="182" t="s">
        <v>249</v>
      </c>
      <c r="B36" s="182" t="s">
        <v>180</v>
      </c>
      <c r="D36" s="182">
        <v>5.0</v>
      </c>
      <c r="E36" s="182">
        <v>27.0</v>
      </c>
      <c r="F36" s="189">
        <v>32.0</v>
      </c>
    </row>
    <row r="37">
      <c r="A37" s="182" t="s">
        <v>309</v>
      </c>
      <c r="B37" s="182" t="s">
        <v>193</v>
      </c>
      <c r="D37" s="182">
        <v>2.0</v>
      </c>
      <c r="E37" s="182">
        <v>11.0</v>
      </c>
      <c r="F37" s="189">
        <v>13.0</v>
      </c>
    </row>
    <row r="38">
      <c r="A38" s="182" t="s">
        <v>273</v>
      </c>
      <c r="B38" s="182" t="s">
        <v>181</v>
      </c>
      <c r="D38" s="182">
        <v>13.0</v>
      </c>
      <c r="E38" s="182">
        <v>74.0</v>
      </c>
      <c r="F38" s="189">
        <v>87.0</v>
      </c>
    </row>
    <row r="39">
      <c r="A39" s="182" t="s">
        <v>264</v>
      </c>
      <c r="B39" s="182" t="s">
        <v>184</v>
      </c>
      <c r="D39" s="182">
        <v>16.0</v>
      </c>
      <c r="E39" s="182">
        <v>92.0</v>
      </c>
      <c r="F39" s="189">
        <v>108.0</v>
      </c>
    </row>
    <row r="40">
      <c r="A40" s="182" t="s">
        <v>274</v>
      </c>
      <c r="B40" s="182" t="s">
        <v>189</v>
      </c>
      <c r="D40" s="182">
        <v>8.0</v>
      </c>
      <c r="E40" s="182">
        <v>47.0</v>
      </c>
      <c r="F40" s="189">
        <v>55.0</v>
      </c>
    </row>
    <row r="41">
      <c r="A41" s="182" t="s">
        <v>248</v>
      </c>
      <c r="B41" s="182" t="s">
        <v>187</v>
      </c>
      <c r="D41" s="182">
        <v>8.0</v>
      </c>
      <c r="E41" s="182">
        <v>48.0</v>
      </c>
      <c r="F41" s="189">
        <v>56.0</v>
      </c>
    </row>
    <row r="42">
      <c r="A42" s="182" t="s">
        <v>295</v>
      </c>
      <c r="B42" s="182" t="s">
        <v>188</v>
      </c>
      <c r="D42" s="182">
        <v>13.0</v>
      </c>
      <c r="E42" s="182">
        <v>79.0</v>
      </c>
      <c r="F42" s="189">
        <v>92.0</v>
      </c>
    </row>
    <row r="43">
      <c r="A43" s="182" t="s">
        <v>254</v>
      </c>
      <c r="B43" s="182" t="s">
        <v>189</v>
      </c>
      <c r="D43" s="182">
        <v>12.0</v>
      </c>
      <c r="E43" s="182">
        <v>73.0</v>
      </c>
      <c r="F43" s="189">
        <v>85.0</v>
      </c>
    </row>
    <row r="44">
      <c r="A44" s="182" t="s">
        <v>278</v>
      </c>
      <c r="B44" s="182" t="s">
        <v>182</v>
      </c>
      <c r="D44" s="182">
        <v>8.0</v>
      </c>
      <c r="E44" s="182">
        <v>49.0</v>
      </c>
      <c r="F44" s="189">
        <v>57.0</v>
      </c>
    </row>
    <row r="45">
      <c r="A45" s="182" t="s">
        <v>268</v>
      </c>
      <c r="B45" s="182" t="s">
        <v>179</v>
      </c>
      <c r="D45" s="182">
        <v>6.0</v>
      </c>
      <c r="E45" s="182">
        <v>37.0</v>
      </c>
      <c r="F45" s="189">
        <v>43.0</v>
      </c>
    </row>
    <row r="46">
      <c r="A46" s="182" t="s">
        <v>285</v>
      </c>
      <c r="B46" s="182" t="s">
        <v>232</v>
      </c>
      <c r="D46" s="182">
        <v>3.0</v>
      </c>
      <c r="E46" s="182">
        <v>19.0</v>
      </c>
      <c r="F46" s="189">
        <v>22.0</v>
      </c>
    </row>
    <row r="47">
      <c r="A47" s="182" t="s">
        <v>244</v>
      </c>
      <c r="B47" s="182" t="s">
        <v>184</v>
      </c>
      <c r="D47" s="182">
        <v>6.0</v>
      </c>
      <c r="E47" s="182">
        <v>38.0</v>
      </c>
      <c r="F47" s="189">
        <v>44.0</v>
      </c>
    </row>
    <row r="48">
      <c r="A48" s="182" t="s">
        <v>275</v>
      </c>
      <c r="B48" s="182" t="s">
        <v>1</v>
      </c>
      <c r="D48" s="182">
        <v>11.0</v>
      </c>
      <c r="E48" s="182">
        <v>70.0</v>
      </c>
      <c r="F48" s="189">
        <v>81.0</v>
      </c>
    </row>
    <row r="49">
      <c r="A49" s="182" t="s">
        <v>267</v>
      </c>
      <c r="B49" s="182" t="s">
        <v>232</v>
      </c>
      <c r="D49" s="182">
        <v>4.0</v>
      </c>
      <c r="E49" s="182">
        <v>26.0</v>
      </c>
      <c r="F49" s="189">
        <v>30.0</v>
      </c>
    </row>
    <row r="50">
      <c r="A50" s="182" t="s">
        <v>287</v>
      </c>
      <c r="B50" s="182" t="s">
        <v>190</v>
      </c>
      <c r="D50" s="182">
        <v>16.0</v>
      </c>
      <c r="E50" s="182">
        <v>105.0</v>
      </c>
      <c r="F50" s="189">
        <v>121.0</v>
      </c>
    </row>
    <row r="51">
      <c r="A51" s="182" t="s">
        <v>283</v>
      </c>
      <c r="B51" s="182" t="s">
        <v>183</v>
      </c>
      <c r="D51" s="182">
        <v>7.0</v>
      </c>
      <c r="E51" s="182">
        <v>47.0</v>
      </c>
      <c r="F51" s="189">
        <v>54.0</v>
      </c>
    </row>
    <row r="52">
      <c r="A52" s="182" t="s">
        <v>251</v>
      </c>
      <c r="B52" s="182" t="s">
        <v>181</v>
      </c>
      <c r="D52" s="182">
        <v>14.0</v>
      </c>
      <c r="E52" s="182">
        <v>95.0</v>
      </c>
      <c r="F52" s="189">
        <v>109.0</v>
      </c>
    </row>
    <row r="53">
      <c r="A53" s="182" t="s">
        <v>238</v>
      </c>
      <c r="B53" s="182" t="s">
        <v>180</v>
      </c>
      <c r="D53" s="182">
        <v>5.0</v>
      </c>
      <c r="E53" s="182">
        <v>34.0</v>
      </c>
      <c r="F53" s="189">
        <v>39.0</v>
      </c>
    </row>
    <row r="54">
      <c r="A54" s="182" t="s">
        <v>305</v>
      </c>
      <c r="B54" s="182" t="s">
        <v>190</v>
      </c>
      <c r="D54" s="182">
        <v>8.0</v>
      </c>
      <c r="E54" s="182">
        <v>56.0</v>
      </c>
      <c r="F54" s="189">
        <v>64.0</v>
      </c>
    </row>
    <row r="55">
      <c r="A55" s="182" t="s">
        <v>236</v>
      </c>
      <c r="B55" s="182" t="s">
        <v>232</v>
      </c>
      <c r="D55" s="182">
        <v>2.0</v>
      </c>
      <c r="E55" s="182">
        <v>14.0</v>
      </c>
      <c r="F55" s="189">
        <v>16.0</v>
      </c>
    </row>
    <row r="56">
      <c r="A56" s="182" t="s">
        <v>252</v>
      </c>
      <c r="B56" s="182" t="s">
        <v>189</v>
      </c>
      <c r="D56" s="182">
        <v>5.0</v>
      </c>
      <c r="E56" s="182">
        <v>35.0</v>
      </c>
      <c r="F56" s="189">
        <v>40.0</v>
      </c>
    </row>
    <row r="57">
      <c r="A57" s="182" t="s">
        <v>266</v>
      </c>
      <c r="B57" s="182" t="s">
        <v>1</v>
      </c>
      <c r="D57" s="182">
        <v>11.0</v>
      </c>
      <c r="E57" s="182">
        <v>78.0</v>
      </c>
      <c r="F57" s="189">
        <v>89.0</v>
      </c>
    </row>
    <row r="58">
      <c r="A58" s="182" t="s">
        <v>277</v>
      </c>
      <c r="B58" s="182" t="s">
        <v>187</v>
      </c>
      <c r="D58" s="182">
        <v>6.0</v>
      </c>
      <c r="E58" s="182">
        <v>43.0</v>
      </c>
      <c r="F58" s="189">
        <v>49.0</v>
      </c>
    </row>
    <row r="59">
      <c r="A59" s="182" t="s">
        <v>240</v>
      </c>
      <c r="B59" s="182" t="s">
        <v>182</v>
      </c>
      <c r="D59" s="182">
        <v>3.0</v>
      </c>
      <c r="E59" s="182">
        <v>22.0</v>
      </c>
      <c r="F59" s="189">
        <v>25.0</v>
      </c>
    </row>
    <row r="60">
      <c r="A60" s="182" t="s">
        <v>271</v>
      </c>
      <c r="B60" s="182" t="s">
        <v>186</v>
      </c>
      <c r="D60" s="182">
        <v>8.0</v>
      </c>
      <c r="E60" s="182">
        <v>64.0</v>
      </c>
      <c r="F60" s="189">
        <v>72.0</v>
      </c>
    </row>
    <row r="61">
      <c r="A61" s="182" t="s">
        <v>280</v>
      </c>
      <c r="B61" s="182" t="s">
        <v>186</v>
      </c>
      <c r="D61" s="182">
        <v>7.0</v>
      </c>
      <c r="E61" s="182">
        <v>57.0</v>
      </c>
      <c r="F61" s="189">
        <v>64.0</v>
      </c>
    </row>
    <row r="62">
      <c r="A62" s="182" t="s">
        <v>255</v>
      </c>
      <c r="B62" s="182" t="s">
        <v>1</v>
      </c>
      <c r="D62" s="182">
        <v>4.0</v>
      </c>
      <c r="E62" s="182">
        <v>33.0</v>
      </c>
      <c r="F62" s="189">
        <v>37.0</v>
      </c>
    </row>
    <row r="63">
      <c r="A63" s="182" t="s">
        <v>272</v>
      </c>
      <c r="B63" s="182" t="s">
        <v>185</v>
      </c>
      <c r="D63" s="182">
        <v>6.0</v>
      </c>
      <c r="E63" s="182">
        <v>50.0</v>
      </c>
      <c r="F63" s="189">
        <v>56.0</v>
      </c>
    </row>
    <row r="64">
      <c r="A64" s="182" t="s">
        <v>308</v>
      </c>
      <c r="B64" s="182" t="s">
        <v>179</v>
      </c>
      <c r="D64" s="182">
        <v>4.0</v>
      </c>
      <c r="E64" s="182">
        <v>34.0</v>
      </c>
      <c r="F64" s="189">
        <v>38.0</v>
      </c>
    </row>
    <row r="65">
      <c r="A65" s="182" t="s">
        <v>250</v>
      </c>
      <c r="B65" s="182" t="s">
        <v>188</v>
      </c>
      <c r="D65" s="182">
        <v>6.0</v>
      </c>
      <c r="E65" s="182">
        <v>52.0</v>
      </c>
      <c r="F65" s="189">
        <v>58.0</v>
      </c>
    </row>
    <row r="66">
      <c r="A66" s="182" t="s">
        <v>247</v>
      </c>
      <c r="B66" s="182" t="s">
        <v>186</v>
      </c>
      <c r="D66" s="182">
        <v>6.0</v>
      </c>
      <c r="E66" s="182">
        <v>54.0</v>
      </c>
      <c r="F66" s="189">
        <v>60.0</v>
      </c>
    </row>
    <row r="67">
      <c r="A67" s="182" t="s">
        <v>297</v>
      </c>
      <c r="B67" s="182" t="s">
        <v>181</v>
      </c>
      <c r="D67" s="182">
        <v>6.0</v>
      </c>
      <c r="E67" s="182">
        <v>56.0</v>
      </c>
      <c r="F67" s="189">
        <v>62.0</v>
      </c>
    </row>
    <row r="68">
      <c r="A68" s="182" t="s">
        <v>282</v>
      </c>
      <c r="B68" s="182" t="s">
        <v>183</v>
      </c>
      <c r="D68" s="182">
        <v>6.0</v>
      </c>
      <c r="E68" s="182">
        <v>57.0</v>
      </c>
      <c r="F68" s="189">
        <v>63.0</v>
      </c>
    </row>
    <row r="69">
      <c r="A69" s="182" t="s">
        <v>294</v>
      </c>
      <c r="B69" s="182" t="s">
        <v>180</v>
      </c>
      <c r="D69" s="182">
        <v>5.0</v>
      </c>
      <c r="E69" s="182">
        <v>48.0</v>
      </c>
      <c r="F69" s="189">
        <v>53.0</v>
      </c>
    </row>
    <row r="70">
      <c r="A70" s="182" t="s">
        <v>260</v>
      </c>
      <c r="B70" s="182" t="s">
        <v>191</v>
      </c>
      <c r="D70" s="182">
        <v>5.0</v>
      </c>
      <c r="E70" s="182">
        <v>48.0</v>
      </c>
      <c r="F70" s="189">
        <v>53.0</v>
      </c>
    </row>
    <row r="71">
      <c r="A71" s="182" t="s">
        <v>279</v>
      </c>
      <c r="B71" s="182" t="s">
        <v>189</v>
      </c>
      <c r="D71" s="182">
        <v>3.0</v>
      </c>
      <c r="E71" s="182">
        <v>29.0</v>
      </c>
      <c r="F71" s="189">
        <v>32.0</v>
      </c>
    </row>
    <row r="72">
      <c r="A72" s="182" t="s">
        <v>262</v>
      </c>
      <c r="B72" s="182" t="s">
        <v>190</v>
      </c>
      <c r="D72" s="182">
        <v>4.0</v>
      </c>
      <c r="E72" s="182">
        <v>39.0</v>
      </c>
      <c r="F72" s="189">
        <v>43.0</v>
      </c>
    </row>
    <row r="73">
      <c r="A73" s="182" t="s">
        <v>269</v>
      </c>
      <c r="B73" s="182" t="s">
        <v>179</v>
      </c>
      <c r="D73" s="182">
        <v>2.0</v>
      </c>
      <c r="E73" s="182">
        <v>20.0</v>
      </c>
      <c r="F73" s="189">
        <v>22.0</v>
      </c>
    </row>
    <row r="74">
      <c r="A74" s="182" t="s">
        <v>286</v>
      </c>
      <c r="B74" s="182" t="s">
        <v>185</v>
      </c>
      <c r="D74" s="182">
        <v>7.0</v>
      </c>
      <c r="E74" s="182">
        <v>71.0</v>
      </c>
      <c r="F74" s="189">
        <v>78.0</v>
      </c>
    </row>
    <row r="75">
      <c r="A75" s="182" t="s">
        <v>288</v>
      </c>
      <c r="B75" s="182" t="s">
        <v>185</v>
      </c>
      <c r="D75" s="182">
        <v>0.0</v>
      </c>
      <c r="E75" s="182">
        <v>22.0</v>
      </c>
      <c r="F75" s="189">
        <v>22.0</v>
      </c>
    </row>
    <row r="76">
      <c r="F76" s="189">
        <v>0.0</v>
      </c>
    </row>
    <row r="77">
      <c r="F77" s="189">
        <v>0.0</v>
      </c>
    </row>
    <row r="78">
      <c r="F78" s="189">
        <v>0.0</v>
      </c>
    </row>
    <row r="79">
      <c r="F79" s="189">
        <v>0.0</v>
      </c>
    </row>
    <row r="80">
      <c r="F80" s="189">
        <v>0.0</v>
      </c>
    </row>
    <row r="81">
      <c r="F81" s="189">
        <v>0.0</v>
      </c>
    </row>
    <row r="82">
      <c r="F82" s="189">
        <v>0.0</v>
      </c>
    </row>
    <row r="83">
      <c r="F83" s="189">
        <v>0.0</v>
      </c>
    </row>
    <row r="84">
      <c r="F84" s="189">
        <v>0.0</v>
      </c>
    </row>
    <row r="85">
      <c r="F85" s="189">
        <v>0.0</v>
      </c>
    </row>
    <row r="86">
      <c r="F86" s="189">
        <v>0.0</v>
      </c>
    </row>
    <row r="87">
      <c r="F87" s="189">
        <v>0.0</v>
      </c>
    </row>
    <row r="88">
      <c r="F88" s="189">
        <v>0.0</v>
      </c>
    </row>
    <row r="89">
      <c r="F89" s="189">
        <v>0.0</v>
      </c>
    </row>
    <row r="90">
      <c r="F90" s="189">
        <v>0.0</v>
      </c>
    </row>
    <row r="91">
      <c r="F91" s="189">
        <v>0.0</v>
      </c>
    </row>
    <row r="92">
      <c r="F92" s="189">
        <v>0.0</v>
      </c>
    </row>
    <row r="93">
      <c r="F93" s="189">
        <v>0.0</v>
      </c>
    </row>
    <row r="94">
      <c r="F94" s="189">
        <v>0.0</v>
      </c>
    </row>
    <row r="95">
      <c r="F95" s="189">
        <v>0.0</v>
      </c>
    </row>
    <row r="96">
      <c r="F96" s="189">
        <v>0.0</v>
      </c>
    </row>
    <row r="97">
      <c r="F97" s="189">
        <v>0.0</v>
      </c>
    </row>
    <row r="98">
      <c r="F98" s="189">
        <v>0.0</v>
      </c>
    </row>
    <row r="99">
      <c r="F99" s="189">
        <v>0.0</v>
      </c>
    </row>
    <row r="100">
      <c r="F100" s="189">
        <v>0.0</v>
      </c>
    </row>
    <row r="101">
      <c r="F101" s="189">
        <v>0.0</v>
      </c>
    </row>
    <row r="102">
      <c r="F102" s="189">
        <v>0.0</v>
      </c>
    </row>
    <row r="103">
      <c r="F103" s="189">
        <v>0.0</v>
      </c>
    </row>
    <row r="104">
      <c r="F104" s="189">
        <v>0.0</v>
      </c>
    </row>
    <row r="105">
      <c r="F105" s="189">
        <v>0.0</v>
      </c>
    </row>
    <row r="106">
      <c r="F106" s="189">
        <v>0.0</v>
      </c>
    </row>
    <row r="107">
      <c r="F107" s="189">
        <v>0.0</v>
      </c>
    </row>
    <row r="108">
      <c r="F108" s="189">
        <v>0.0</v>
      </c>
    </row>
    <row r="109">
      <c r="F109" s="189">
        <v>0.0</v>
      </c>
    </row>
    <row r="110">
      <c r="F110" s="189">
        <v>0.0</v>
      </c>
    </row>
    <row r="111">
      <c r="F111" s="189">
        <v>0.0</v>
      </c>
    </row>
    <row r="112">
      <c r="F112" s="189">
        <v>0.0</v>
      </c>
    </row>
    <row r="113">
      <c r="F113" s="189">
        <v>0.0</v>
      </c>
    </row>
    <row r="114">
      <c r="F114" s="189">
        <v>0.0</v>
      </c>
    </row>
    <row r="115">
      <c r="F115" s="189">
        <v>0.0</v>
      </c>
    </row>
    <row r="116">
      <c r="F116" s="189">
        <v>0.0</v>
      </c>
    </row>
    <row r="117">
      <c r="F117" s="189">
        <v>0.0</v>
      </c>
    </row>
    <row r="118">
      <c r="F118" s="189">
        <v>0.0</v>
      </c>
    </row>
    <row r="119">
      <c r="F119" s="189">
        <v>0.0</v>
      </c>
    </row>
    <row r="120">
      <c r="F120" s="189">
        <v>0.0</v>
      </c>
    </row>
    <row r="121">
      <c r="F121" s="189">
        <v>0.0</v>
      </c>
    </row>
    <row r="122">
      <c r="F122" s="189">
        <v>0.0</v>
      </c>
    </row>
    <row r="123">
      <c r="F123" s="189">
        <v>0.0</v>
      </c>
    </row>
    <row r="124">
      <c r="F124" s="189">
        <v>0.0</v>
      </c>
    </row>
    <row r="125">
      <c r="F125" s="189">
        <v>0.0</v>
      </c>
    </row>
    <row r="126">
      <c r="F126" s="189">
        <v>0.0</v>
      </c>
    </row>
    <row r="127">
      <c r="F127" s="189">
        <v>0.0</v>
      </c>
    </row>
    <row r="128">
      <c r="F128" s="189">
        <v>0.0</v>
      </c>
    </row>
    <row r="129">
      <c r="F129" s="189">
        <v>0.0</v>
      </c>
    </row>
    <row r="130">
      <c r="F130" s="189">
        <v>0.0</v>
      </c>
    </row>
    <row r="131">
      <c r="F131" s="189">
        <v>0.0</v>
      </c>
    </row>
    <row r="132">
      <c r="F132" s="189">
        <v>0.0</v>
      </c>
    </row>
    <row r="133">
      <c r="F133" s="189">
        <v>0.0</v>
      </c>
    </row>
    <row r="134">
      <c r="F134" s="189">
        <v>0.0</v>
      </c>
    </row>
    <row r="135">
      <c r="F135" s="189">
        <v>0.0</v>
      </c>
    </row>
    <row r="136">
      <c r="F136" s="189">
        <v>0.0</v>
      </c>
    </row>
    <row r="137">
      <c r="F137" s="189">
        <v>0.0</v>
      </c>
    </row>
    <row r="138">
      <c r="F138" s="189">
        <v>0.0</v>
      </c>
    </row>
    <row r="139">
      <c r="F139" s="189">
        <v>0.0</v>
      </c>
    </row>
    <row r="140">
      <c r="F140" s="189">
        <v>0.0</v>
      </c>
    </row>
    <row r="141">
      <c r="F141" s="189">
        <v>0.0</v>
      </c>
    </row>
    <row r="142">
      <c r="F142" s="189">
        <v>0.0</v>
      </c>
    </row>
    <row r="143">
      <c r="F143" s="189">
        <v>0.0</v>
      </c>
    </row>
    <row r="144">
      <c r="F144" s="189">
        <v>0.0</v>
      </c>
    </row>
    <row r="145">
      <c r="F145" s="189">
        <v>0.0</v>
      </c>
    </row>
    <row r="146">
      <c r="F146" s="189">
        <v>0.0</v>
      </c>
    </row>
    <row r="147">
      <c r="F147" s="189">
        <v>0.0</v>
      </c>
    </row>
    <row r="148">
      <c r="F148" s="189">
        <v>0.0</v>
      </c>
    </row>
    <row r="149">
      <c r="F149" s="189">
        <v>0.0</v>
      </c>
    </row>
    <row r="150">
      <c r="F150" s="189">
        <v>0.0</v>
      </c>
    </row>
    <row r="151">
      <c r="F151" s="189">
        <v>0.0</v>
      </c>
    </row>
    <row r="152">
      <c r="F152" s="189">
        <v>0.0</v>
      </c>
    </row>
    <row r="153">
      <c r="F153" s="189">
        <v>0.0</v>
      </c>
    </row>
    <row r="154">
      <c r="F154" s="189">
        <v>0.0</v>
      </c>
    </row>
    <row r="155">
      <c r="F155" s="189">
        <v>0.0</v>
      </c>
    </row>
    <row r="156">
      <c r="F156" s="189">
        <v>0.0</v>
      </c>
    </row>
    <row r="157">
      <c r="F157" s="189">
        <v>0.0</v>
      </c>
    </row>
    <row r="158">
      <c r="F158" s="189">
        <v>0.0</v>
      </c>
    </row>
    <row r="159">
      <c r="F159" s="189">
        <v>0.0</v>
      </c>
    </row>
    <row r="160">
      <c r="F160" s="189">
        <v>0.0</v>
      </c>
    </row>
    <row r="161">
      <c r="F161" s="189">
        <v>0.0</v>
      </c>
    </row>
    <row r="162">
      <c r="F162" s="189">
        <v>0.0</v>
      </c>
    </row>
    <row r="163">
      <c r="F163" s="189">
        <v>0.0</v>
      </c>
    </row>
    <row r="164">
      <c r="F164" s="189">
        <v>0.0</v>
      </c>
    </row>
    <row r="165">
      <c r="F165" s="189">
        <v>0.0</v>
      </c>
    </row>
    <row r="166">
      <c r="F166" s="189">
        <v>0.0</v>
      </c>
    </row>
    <row r="167">
      <c r="F167" s="189">
        <v>0.0</v>
      </c>
    </row>
    <row r="168">
      <c r="F168" s="189">
        <v>0.0</v>
      </c>
    </row>
    <row r="169">
      <c r="F169" s="189">
        <v>0.0</v>
      </c>
    </row>
    <row r="170">
      <c r="F170" s="189">
        <v>0.0</v>
      </c>
    </row>
    <row r="171">
      <c r="F171" s="189">
        <v>0.0</v>
      </c>
    </row>
    <row r="172">
      <c r="F172" s="189">
        <v>0.0</v>
      </c>
    </row>
    <row r="173">
      <c r="F173" s="189">
        <v>0.0</v>
      </c>
    </row>
    <row r="174">
      <c r="F174" s="189">
        <v>0.0</v>
      </c>
    </row>
    <row r="175">
      <c r="F175" s="189">
        <v>0.0</v>
      </c>
    </row>
    <row r="176">
      <c r="F176" s="189">
        <v>0.0</v>
      </c>
    </row>
    <row r="177">
      <c r="F177" s="189">
        <v>0.0</v>
      </c>
    </row>
    <row r="178">
      <c r="F178" s="189">
        <v>0.0</v>
      </c>
    </row>
    <row r="179">
      <c r="F179" s="189">
        <v>0.0</v>
      </c>
    </row>
    <row r="180">
      <c r="F180" s="189">
        <v>0.0</v>
      </c>
    </row>
    <row r="181">
      <c r="F181" s="189">
        <v>0.0</v>
      </c>
    </row>
    <row r="182">
      <c r="F182" s="189">
        <v>0.0</v>
      </c>
    </row>
    <row r="183">
      <c r="F183" s="189">
        <v>0.0</v>
      </c>
    </row>
    <row r="184">
      <c r="F184" s="189">
        <v>0.0</v>
      </c>
    </row>
    <row r="185">
      <c r="F185" s="189">
        <v>0.0</v>
      </c>
    </row>
    <row r="186">
      <c r="F186" s="189">
        <v>0.0</v>
      </c>
    </row>
    <row r="187">
      <c r="F187" s="189">
        <v>0.0</v>
      </c>
    </row>
    <row r="188">
      <c r="F188" s="189">
        <v>0.0</v>
      </c>
    </row>
    <row r="189">
      <c r="F189" s="189">
        <v>0.0</v>
      </c>
    </row>
    <row r="190">
      <c r="F190" s="189">
        <v>0.0</v>
      </c>
    </row>
    <row r="191">
      <c r="F191" s="189">
        <v>0.0</v>
      </c>
    </row>
    <row r="192">
      <c r="F192" s="189">
        <v>0.0</v>
      </c>
    </row>
    <row r="193">
      <c r="F193" s="189">
        <v>0.0</v>
      </c>
    </row>
    <row r="194">
      <c r="F194" s="189">
        <v>0.0</v>
      </c>
    </row>
    <row r="195">
      <c r="F195" s="189">
        <v>0.0</v>
      </c>
    </row>
    <row r="196">
      <c r="F196" s="189">
        <v>0.0</v>
      </c>
    </row>
    <row r="197">
      <c r="F197" s="189">
        <v>0.0</v>
      </c>
    </row>
    <row r="198">
      <c r="F198" s="189">
        <v>0.0</v>
      </c>
    </row>
    <row r="199">
      <c r="F199" s="189">
        <v>0.0</v>
      </c>
    </row>
    <row r="200">
      <c r="F200" s="189">
        <v>0.0</v>
      </c>
    </row>
    <row r="201">
      <c r="F201" s="189">
        <v>0.0</v>
      </c>
    </row>
    <row r="202">
      <c r="F202" s="189">
        <v>0.0</v>
      </c>
    </row>
    <row r="203">
      <c r="F203" s="189">
        <v>0.0</v>
      </c>
    </row>
    <row r="204">
      <c r="F204" s="189">
        <v>0.0</v>
      </c>
    </row>
    <row r="205">
      <c r="F205" s="189">
        <v>0.0</v>
      </c>
    </row>
    <row r="206">
      <c r="F206" s="189">
        <v>0.0</v>
      </c>
    </row>
    <row r="207">
      <c r="F207" s="189">
        <v>0.0</v>
      </c>
    </row>
    <row r="208">
      <c r="F208" s="189">
        <v>0.0</v>
      </c>
    </row>
    <row r="209">
      <c r="F209" s="189">
        <v>0.0</v>
      </c>
    </row>
    <row r="210">
      <c r="F210" s="189">
        <v>0.0</v>
      </c>
    </row>
    <row r="211">
      <c r="F211" s="189">
        <v>0.0</v>
      </c>
    </row>
    <row r="212">
      <c r="F212" s="189">
        <v>0.0</v>
      </c>
    </row>
    <row r="213">
      <c r="F213" s="189">
        <v>0.0</v>
      </c>
    </row>
    <row r="214">
      <c r="F214" s="189">
        <v>0.0</v>
      </c>
    </row>
    <row r="215">
      <c r="F215" s="189">
        <v>0.0</v>
      </c>
    </row>
    <row r="216">
      <c r="F216" s="189">
        <v>0.0</v>
      </c>
    </row>
    <row r="217">
      <c r="F217" s="189">
        <v>0.0</v>
      </c>
    </row>
    <row r="218">
      <c r="F218" s="189">
        <v>0.0</v>
      </c>
    </row>
    <row r="219">
      <c r="F219" s="189">
        <v>0.0</v>
      </c>
    </row>
    <row r="220">
      <c r="F220" s="189">
        <v>0.0</v>
      </c>
    </row>
    <row r="221">
      <c r="F221" s="189">
        <v>0.0</v>
      </c>
    </row>
    <row r="222">
      <c r="F222" s="189">
        <v>0.0</v>
      </c>
    </row>
    <row r="223">
      <c r="F223" s="189">
        <v>0.0</v>
      </c>
    </row>
    <row r="224">
      <c r="F224" s="189">
        <v>0.0</v>
      </c>
    </row>
    <row r="225">
      <c r="F225" s="189">
        <v>0.0</v>
      </c>
    </row>
    <row r="226">
      <c r="F226" s="189">
        <v>0.0</v>
      </c>
    </row>
    <row r="227">
      <c r="F227" s="189">
        <v>0.0</v>
      </c>
    </row>
    <row r="228">
      <c r="F228" s="189">
        <v>0.0</v>
      </c>
    </row>
    <row r="229">
      <c r="F229" s="189">
        <v>0.0</v>
      </c>
    </row>
    <row r="230">
      <c r="F230" s="189">
        <v>0.0</v>
      </c>
    </row>
    <row r="231">
      <c r="F231" s="189">
        <v>0.0</v>
      </c>
    </row>
    <row r="232">
      <c r="F232" s="189">
        <v>0.0</v>
      </c>
    </row>
    <row r="233">
      <c r="F233" s="189">
        <v>0.0</v>
      </c>
    </row>
    <row r="234">
      <c r="F234" s="189">
        <v>0.0</v>
      </c>
    </row>
    <row r="235">
      <c r="F235" s="189">
        <v>0.0</v>
      </c>
    </row>
    <row r="236">
      <c r="F236" s="189">
        <v>0.0</v>
      </c>
    </row>
    <row r="237">
      <c r="F237" s="189">
        <v>0.0</v>
      </c>
    </row>
    <row r="238">
      <c r="F238" s="189">
        <v>0.0</v>
      </c>
    </row>
    <row r="239">
      <c r="F239" s="189">
        <v>0.0</v>
      </c>
    </row>
    <row r="240">
      <c r="F240" s="189">
        <v>0.0</v>
      </c>
    </row>
    <row r="241">
      <c r="F241" s="189">
        <v>0.0</v>
      </c>
    </row>
    <row r="242">
      <c r="F242" s="189">
        <v>0.0</v>
      </c>
    </row>
    <row r="243">
      <c r="F243" s="189">
        <v>0.0</v>
      </c>
    </row>
    <row r="244">
      <c r="F244" s="189">
        <v>0.0</v>
      </c>
    </row>
    <row r="245">
      <c r="F245" s="189">
        <v>0.0</v>
      </c>
    </row>
    <row r="246">
      <c r="F246" s="189">
        <v>0.0</v>
      </c>
    </row>
    <row r="247">
      <c r="F247" s="189">
        <v>0.0</v>
      </c>
    </row>
    <row r="248">
      <c r="F248" s="189">
        <v>0.0</v>
      </c>
    </row>
    <row r="249">
      <c r="F249" s="189">
        <v>0.0</v>
      </c>
    </row>
    <row r="250">
      <c r="F250" s="189">
        <v>0.0</v>
      </c>
    </row>
    <row r="251">
      <c r="F251" s="189">
        <v>0.0</v>
      </c>
    </row>
    <row r="252">
      <c r="F252" s="189">
        <v>0.0</v>
      </c>
    </row>
    <row r="253">
      <c r="F253" s="189">
        <v>0.0</v>
      </c>
    </row>
    <row r="254">
      <c r="F254" s="189">
        <v>0.0</v>
      </c>
    </row>
    <row r="255">
      <c r="F255" s="189">
        <v>0.0</v>
      </c>
    </row>
    <row r="256">
      <c r="F256" s="189">
        <v>0.0</v>
      </c>
    </row>
    <row r="257">
      <c r="F257" s="189">
        <v>0.0</v>
      </c>
    </row>
    <row r="258">
      <c r="F258" s="189">
        <v>0.0</v>
      </c>
    </row>
    <row r="259">
      <c r="F259" s="189">
        <v>0.0</v>
      </c>
    </row>
    <row r="260">
      <c r="F260" s="189">
        <v>0.0</v>
      </c>
    </row>
    <row r="261">
      <c r="F261" s="189">
        <v>0.0</v>
      </c>
    </row>
    <row r="262">
      <c r="F262" s="189">
        <v>0.0</v>
      </c>
    </row>
    <row r="263">
      <c r="F263" s="189">
        <v>0.0</v>
      </c>
    </row>
    <row r="264">
      <c r="F264" s="189">
        <v>0.0</v>
      </c>
    </row>
    <row r="265">
      <c r="F265" s="189">
        <v>0.0</v>
      </c>
    </row>
    <row r="266">
      <c r="F266" s="189">
        <v>0.0</v>
      </c>
    </row>
    <row r="267">
      <c r="F267" s="189">
        <v>0.0</v>
      </c>
    </row>
    <row r="268">
      <c r="F268" s="189">
        <v>0.0</v>
      </c>
    </row>
    <row r="269">
      <c r="F269" s="189">
        <v>0.0</v>
      </c>
    </row>
    <row r="270">
      <c r="F270" s="189">
        <v>0.0</v>
      </c>
    </row>
    <row r="271">
      <c r="F271" s="189">
        <v>0.0</v>
      </c>
    </row>
    <row r="272">
      <c r="F272" s="189">
        <v>0.0</v>
      </c>
    </row>
    <row r="273">
      <c r="F273" s="189">
        <v>0.0</v>
      </c>
    </row>
    <row r="274">
      <c r="F274" s="189">
        <v>0.0</v>
      </c>
    </row>
    <row r="275">
      <c r="F275" s="189">
        <v>0.0</v>
      </c>
    </row>
    <row r="276">
      <c r="F276" s="189">
        <v>0.0</v>
      </c>
    </row>
    <row r="277">
      <c r="F277" s="189">
        <v>0.0</v>
      </c>
    </row>
    <row r="278">
      <c r="F278" s="189">
        <v>0.0</v>
      </c>
    </row>
    <row r="279">
      <c r="F279" s="189">
        <v>0.0</v>
      </c>
    </row>
    <row r="280">
      <c r="F280" s="189">
        <v>0.0</v>
      </c>
    </row>
    <row r="281">
      <c r="F281" s="189">
        <v>0.0</v>
      </c>
    </row>
    <row r="282">
      <c r="F282" s="189">
        <v>0.0</v>
      </c>
    </row>
    <row r="283">
      <c r="F283" s="189">
        <v>0.0</v>
      </c>
    </row>
    <row r="284">
      <c r="F284" s="189">
        <v>0.0</v>
      </c>
    </row>
    <row r="285">
      <c r="F285" s="189">
        <v>0.0</v>
      </c>
    </row>
    <row r="286">
      <c r="F286" s="189">
        <v>0.0</v>
      </c>
    </row>
    <row r="287">
      <c r="F287" s="189">
        <v>0.0</v>
      </c>
    </row>
    <row r="288">
      <c r="F288" s="189">
        <v>0.0</v>
      </c>
    </row>
    <row r="289">
      <c r="F289" s="189">
        <v>0.0</v>
      </c>
    </row>
    <row r="290">
      <c r="F290" s="189">
        <v>0.0</v>
      </c>
    </row>
    <row r="291">
      <c r="F291" s="189">
        <v>0.0</v>
      </c>
    </row>
    <row r="292">
      <c r="F292" s="189">
        <v>0.0</v>
      </c>
    </row>
    <row r="293">
      <c r="F293" s="189">
        <v>0.0</v>
      </c>
    </row>
    <row r="294">
      <c r="F294" s="189">
        <v>0.0</v>
      </c>
    </row>
    <row r="295">
      <c r="F295" s="189">
        <v>0.0</v>
      </c>
    </row>
    <row r="296">
      <c r="F296" s="189">
        <v>0.0</v>
      </c>
    </row>
    <row r="297">
      <c r="F297" s="189">
        <v>0.0</v>
      </c>
    </row>
    <row r="298">
      <c r="F298" s="189">
        <v>0.0</v>
      </c>
    </row>
    <row r="299">
      <c r="F299" s="189">
        <v>0.0</v>
      </c>
    </row>
    <row r="300">
      <c r="F300" s="189">
        <v>0.0</v>
      </c>
    </row>
    <row r="301">
      <c r="F301" s="189">
        <v>0.0</v>
      </c>
    </row>
    <row r="302">
      <c r="F302" s="189">
        <v>0.0</v>
      </c>
    </row>
    <row r="303">
      <c r="F303" s="189">
        <v>0.0</v>
      </c>
    </row>
    <row r="304">
      <c r="F304" s="189">
        <v>0.0</v>
      </c>
    </row>
    <row r="305">
      <c r="F305" s="189">
        <v>0.0</v>
      </c>
    </row>
    <row r="306">
      <c r="F306" s="189">
        <v>0.0</v>
      </c>
    </row>
    <row r="307">
      <c r="F307" s="189">
        <v>0.0</v>
      </c>
    </row>
    <row r="308">
      <c r="F308" s="189">
        <v>0.0</v>
      </c>
    </row>
    <row r="309">
      <c r="F309" s="189">
        <v>0.0</v>
      </c>
    </row>
    <row r="310">
      <c r="F310" s="189">
        <v>0.0</v>
      </c>
    </row>
    <row r="311">
      <c r="F311" s="189">
        <v>0.0</v>
      </c>
    </row>
    <row r="312">
      <c r="F312" s="189">
        <v>0.0</v>
      </c>
    </row>
    <row r="313">
      <c r="F313" s="189">
        <v>0.0</v>
      </c>
    </row>
    <row r="314">
      <c r="F314" s="189">
        <v>0.0</v>
      </c>
    </row>
    <row r="315">
      <c r="F315" s="189">
        <v>0.0</v>
      </c>
    </row>
    <row r="316">
      <c r="F316" s="189">
        <v>0.0</v>
      </c>
    </row>
    <row r="317">
      <c r="F317" s="189">
        <v>0.0</v>
      </c>
    </row>
    <row r="318">
      <c r="F318" s="189">
        <v>0.0</v>
      </c>
    </row>
    <row r="319">
      <c r="F319" s="189">
        <v>0.0</v>
      </c>
    </row>
    <row r="320">
      <c r="F320" s="189">
        <v>0.0</v>
      </c>
    </row>
    <row r="321">
      <c r="F321" s="189">
        <v>0.0</v>
      </c>
    </row>
    <row r="322">
      <c r="F322" s="189">
        <v>0.0</v>
      </c>
    </row>
    <row r="323">
      <c r="F323" s="189">
        <v>0.0</v>
      </c>
    </row>
    <row r="324">
      <c r="F324" s="189">
        <v>0.0</v>
      </c>
    </row>
    <row r="325">
      <c r="F325" s="189">
        <v>0.0</v>
      </c>
    </row>
    <row r="326">
      <c r="F326" s="189">
        <v>0.0</v>
      </c>
    </row>
    <row r="327">
      <c r="F327" s="189">
        <v>0.0</v>
      </c>
    </row>
    <row r="328">
      <c r="F328" s="189">
        <v>0.0</v>
      </c>
    </row>
    <row r="329">
      <c r="F329" s="189">
        <v>0.0</v>
      </c>
    </row>
    <row r="330">
      <c r="F330" s="189">
        <v>0.0</v>
      </c>
    </row>
    <row r="331">
      <c r="F331" s="189">
        <v>0.0</v>
      </c>
    </row>
    <row r="332">
      <c r="F332" s="189">
        <v>0.0</v>
      </c>
    </row>
    <row r="333">
      <c r="F333" s="189">
        <v>0.0</v>
      </c>
    </row>
    <row r="334">
      <c r="F334" s="189">
        <v>0.0</v>
      </c>
    </row>
    <row r="335">
      <c r="F335" s="189">
        <v>0.0</v>
      </c>
    </row>
    <row r="336">
      <c r="F336" s="189">
        <v>0.0</v>
      </c>
    </row>
    <row r="337">
      <c r="F337" s="189">
        <v>0.0</v>
      </c>
    </row>
    <row r="338">
      <c r="F338" s="189">
        <v>0.0</v>
      </c>
    </row>
    <row r="339">
      <c r="F339" s="189">
        <v>0.0</v>
      </c>
    </row>
    <row r="340">
      <c r="F340" s="189">
        <v>0.0</v>
      </c>
    </row>
    <row r="341">
      <c r="F341" s="189">
        <v>0.0</v>
      </c>
    </row>
    <row r="342">
      <c r="F342" s="189">
        <v>0.0</v>
      </c>
    </row>
    <row r="343">
      <c r="F343" s="189">
        <v>0.0</v>
      </c>
    </row>
    <row r="344">
      <c r="F344" s="189">
        <v>0.0</v>
      </c>
    </row>
    <row r="345">
      <c r="F345" s="189">
        <v>0.0</v>
      </c>
    </row>
    <row r="346">
      <c r="F346" s="189">
        <v>0.0</v>
      </c>
    </row>
    <row r="347">
      <c r="F347" s="189">
        <v>0.0</v>
      </c>
    </row>
    <row r="348">
      <c r="F348" s="189">
        <v>0.0</v>
      </c>
    </row>
    <row r="349">
      <c r="F349" s="189">
        <v>0.0</v>
      </c>
    </row>
    <row r="350">
      <c r="F350" s="189">
        <v>0.0</v>
      </c>
    </row>
    <row r="351">
      <c r="F351" s="189">
        <v>0.0</v>
      </c>
    </row>
    <row r="352">
      <c r="F352" s="189">
        <v>0.0</v>
      </c>
    </row>
    <row r="353">
      <c r="F353" s="189">
        <v>0.0</v>
      </c>
    </row>
    <row r="354">
      <c r="F354" s="189">
        <v>0.0</v>
      </c>
    </row>
    <row r="355">
      <c r="F355" s="189">
        <v>0.0</v>
      </c>
    </row>
    <row r="356">
      <c r="F356" s="189">
        <v>0.0</v>
      </c>
    </row>
    <row r="357">
      <c r="F357" s="189">
        <v>0.0</v>
      </c>
    </row>
    <row r="358">
      <c r="F358" s="189">
        <v>0.0</v>
      </c>
    </row>
    <row r="359">
      <c r="F359" s="189">
        <v>0.0</v>
      </c>
    </row>
    <row r="360">
      <c r="F360" s="189">
        <v>0.0</v>
      </c>
    </row>
    <row r="361">
      <c r="F361" s="189">
        <v>0.0</v>
      </c>
    </row>
    <row r="362">
      <c r="F362" s="189">
        <v>0.0</v>
      </c>
    </row>
    <row r="363">
      <c r="F363" s="189">
        <v>0.0</v>
      </c>
    </row>
    <row r="364">
      <c r="F364" s="189">
        <v>0.0</v>
      </c>
    </row>
    <row r="365">
      <c r="F365" s="189">
        <v>0.0</v>
      </c>
    </row>
    <row r="366">
      <c r="F366" s="189">
        <v>0.0</v>
      </c>
    </row>
    <row r="367">
      <c r="F367" s="189">
        <v>0.0</v>
      </c>
    </row>
    <row r="368">
      <c r="F368" s="189">
        <v>0.0</v>
      </c>
    </row>
    <row r="369">
      <c r="F369" s="189">
        <v>0.0</v>
      </c>
    </row>
    <row r="370">
      <c r="F370" s="189">
        <v>0.0</v>
      </c>
    </row>
    <row r="371">
      <c r="F371" s="189">
        <v>0.0</v>
      </c>
    </row>
    <row r="372">
      <c r="F372" s="189">
        <v>0.0</v>
      </c>
    </row>
    <row r="373">
      <c r="F373" s="189">
        <v>0.0</v>
      </c>
    </row>
    <row r="374">
      <c r="F374" s="189">
        <v>0.0</v>
      </c>
    </row>
    <row r="375">
      <c r="F375" s="189">
        <v>0.0</v>
      </c>
    </row>
    <row r="376">
      <c r="F376" s="189">
        <v>0.0</v>
      </c>
    </row>
    <row r="377">
      <c r="F377" s="189">
        <v>0.0</v>
      </c>
    </row>
    <row r="378">
      <c r="F378" s="189">
        <v>0.0</v>
      </c>
    </row>
    <row r="379">
      <c r="F379" s="189">
        <v>0.0</v>
      </c>
    </row>
    <row r="380">
      <c r="F380" s="189">
        <v>0.0</v>
      </c>
    </row>
    <row r="381">
      <c r="F381" s="189">
        <v>0.0</v>
      </c>
    </row>
    <row r="382">
      <c r="F382" s="189">
        <v>0.0</v>
      </c>
    </row>
    <row r="383">
      <c r="F383" s="189">
        <v>0.0</v>
      </c>
    </row>
    <row r="384">
      <c r="F384" s="189">
        <v>0.0</v>
      </c>
    </row>
    <row r="385">
      <c r="F385" s="189">
        <v>0.0</v>
      </c>
    </row>
    <row r="386">
      <c r="F386" s="189">
        <v>0.0</v>
      </c>
    </row>
    <row r="387">
      <c r="F387" s="189">
        <v>0.0</v>
      </c>
    </row>
    <row r="388">
      <c r="F388" s="189">
        <v>0.0</v>
      </c>
    </row>
    <row r="389">
      <c r="F389" s="189">
        <v>0.0</v>
      </c>
    </row>
    <row r="390">
      <c r="F390" s="189">
        <v>0.0</v>
      </c>
    </row>
    <row r="391">
      <c r="F391" s="189">
        <v>0.0</v>
      </c>
    </row>
    <row r="392">
      <c r="F392" s="189">
        <v>0.0</v>
      </c>
    </row>
    <row r="393">
      <c r="F393" s="189">
        <v>0.0</v>
      </c>
    </row>
    <row r="394">
      <c r="F394" s="189">
        <v>0.0</v>
      </c>
    </row>
    <row r="395">
      <c r="F395" s="189">
        <v>0.0</v>
      </c>
    </row>
    <row r="396">
      <c r="F396" s="189">
        <v>0.0</v>
      </c>
    </row>
    <row r="397">
      <c r="F397" s="189">
        <v>0.0</v>
      </c>
    </row>
    <row r="398">
      <c r="F398" s="189">
        <v>0.0</v>
      </c>
    </row>
    <row r="399">
      <c r="F399" s="189">
        <v>0.0</v>
      </c>
    </row>
    <row r="400">
      <c r="F400" s="189">
        <v>0.0</v>
      </c>
    </row>
    <row r="401">
      <c r="F401" s="189">
        <v>0.0</v>
      </c>
    </row>
    <row r="402">
      <c r="F402" s="189">
        <v>0.0</v>
      </c>
    </row>
    <row r="403">
      <c r="F403" s="189">
        <v>0.0</v>
      </c>
    </row>
    <row r="404">
      <c r="F404" s="189">
        <v>0.0</v>
      </c>
    </row>
    <row r="405">
      <c r="F405" s="189">
        <v>0.0</v>
      </c>
    </row>
    <row r="406">
      <c r="F406" s="189">
        <v>0.0</v>
      </c>
    </row>
    <row r="407">
      <c r="F407" s="189">
        <v>0.0</v>
      </c>
    </row>
    <row r="408">
      <c r="F408" s="189">
        <v>0.0</v>
      </c>
    </row>
    <row r="409">
      <c r="F409" s="189">
        <v>0.0</v>
      </c>
    </row>
    <row r="410">
      <c r="F410" s="189">
        <v>0.0</v>
      </c>
    </row>
    <row r="411">
      <c r="F411" s="189">
        <v>0.0</v>
      </c>
    </row>
    <row r="412">
      <c r="F412" s="189">
        <v>0.0</v>
      </c>
    </row>
    <row r="413">
      <c r="F413" s="189">
        <v>0.0</v>
      </c>
    </row>
    <row r="414">
      <c r="F414" s="189">
        <v>0.0</v>
      </c>
    </row>
    <row r="415">
      <c r="F415" s="189">
        <v>0.0</v>
      </c>
    </row>
    <row r="416">
      <c r="F416" s="189">
        <v>0.0</v>
      </c>
    </row>
    <row r="417">
      <c r="F417" s="189">
        <v>0.0</v>
      </c>
    </row>
    <row r="418">
      <c r="F418" s="189">
        <v>0.0</v>
      </c>
    </row>
    <row r="419">
      <c r="F419" s="189">
        <v>0.0</v>
      </c>
    </row>
    <row r="420">
      <c r="F420" s="189">
        <v>0.0</v>
      </c>
    </row>
    <row r="421">
      <c r="F421" s="189">
        <v>0.0</v>
      </c>
    </row>
    <row r="422">
      <c r="F422" s="189">
        <v>0.0</v>
      </c>
    </row>
    <row r="423">
      <c r="F423" s="189">
        <v>0.0</v>
      </c>
    </row>
    <row r="424">
      <c r="F424" s="189">
        <v>0.0</v>
      </c>
    </row>
    <row r="425">
      <c r="F425" s="189">
        <v>0.0</v>
      </c>
    </row>
    <row r="426">
      <c r="F426" s="189">
        <v>0.0</v>
      </c>
    </row>
    <row r="427">
      <c r="F427" s="189">
        <v>0.0</v>
      </c>
    </row>
    <row r="428">
      <c r="F428" s="189">
        <v>0.0</v>
      </c>
    </row>
    <row r="429">
      <c r="F429" s="189">
        <v>0.0</v>
      </c>
    </row>
    <row r="430">
      <c r="F430" s="189">
        <v>0.0</v>
      </c>
    </row>
    <row r="431">
      <c r="F431" s="189">
        <v>0.0</v>
      </c>
    </row>
    <row r="432">
      <c r="F432" s="189">
        <v>0.0</v>
      </c>
    </row>
    <row r="433">
      <c r="F433" s="189">
        <v>0.0</v>
      </c>
    </row>
    <row r="434">
      <c r="F434" s="189">
        <v>0.0</v>
      </c>
    </row>
    <row r="435">
      <c r="F435" s="189">
        <v>0.0</v>
      </c>
    </row>
    <row r="436">
      <c r="F436" s="189">
        <v>0.0</v>
      </c>
    </row>
    <row r="437">
      <c r="F437" s="189">
        <v>0.0</v>
      </c>
    </row>
    <row r="438">
      <c r="F438" s="189">
        <v>0.0</v>
      </c>
    </row>
    <row r="439">
      <c r="F439" s="189">
        <v>0.0</v>
      </c>
    </row>
    <row r="440">
      <c r="F440" s="189">
        <v>0.0</v>
      </c>
    </row>
    <row r="441">
      <c r="F441" s="189">
        <v>0.0</v>
      </c>
    </row>
    <row r="442">
      <c r="F442" s="189">
        <v>0.0</v>
      </c>
    </row>
    <row r="443">
      <c r="F443" s="189">
        <v>0.0</v>
      </c>
    </row>
    <row r="444">
      <c r="F444" s="189">
        <v>0.0</v>
      </c>
    </row>
    <row r="445">
      <c r="F445" s="189">
        <v>0.0</v>
      </c>
    </row>
    <row r="446">
      <c r="F446" s="189">
        <v>0.0</v>
      </c>
    </row>
    <row r="447">
      <c r="F447" s="189">
        <v>0.0</v>
      </c>
    </row>
    <row r="448">
      <c r="F448" s="189">
        <v>0.0</v>
      </c>
    </row>
    <row r="449">
      <c r="F449" s="189">
        <v>0.0</v>
      </c>
    </row>
    <row r="450">
      <c r="F450" s="189">
        <v>0.0</v>
      </c>
    </row>
    <row r="451">
      <c r="F451" s="189">
        <v>0.0</v>
      </c>
    </row>
    <row r="452">
      <c r="F452" s="189">
        <v>0.0</v>
      </c>
    </row>
    <row r="453">
      <c r="F453" s="189">
        <v>0.0</v>
      </c>
    </row>
    <row r="454">
      <c r="F454" s="189">
        <v>0.0</v>
      </c>
    </row>
    <row r="455">
      <c r="F455" s="189">
        <v>0.0</v>
      </c>
    </row>
    <row r="456">
      <c r="F456" s="189">
        <v>0.0</v>
      </c>
    </row>
    <row r="457">
      <c r="F457" s="189">
        <v>0.0</v>
      </c>
    </row>
    <row r="458">
      <c r="F458" s="189">
        <v>0.0</v>
      </c>
    </row>
    <row r="459">
      <c r="F459" s="189">
        <v>0.0</v>
      </c>
    </row>
    <row r="460">
      <c r="F460" s="189">
        <v>0.0</v>
      </c>
    </row>
    <row r="461">
      <c r="F461" s="189">
        <v>0.0</v>
      </c>
    </row>
    <row r="462">
      <c r="F462" s="189">
        <v>0.0</v>
      </c>
    </row>
    <row r="463">
      <c r="F463" s="189">
        <v>0.0</v>
      </c>
    </row>
    <row r="464">
      <c r="F464" s="189">
        <v>0.0</v>
      </c>
    </row>
    <row r="465">
      <c r="F465" s="189">
        <v>0.0</v>
      </c>
    </row>
    <row r="466">
      <c r="F466" s="189">
        <v>0.0</v>
      </c>
    </row>
    <row r="467">
      <c r="F467" s="189">
        <v>0.0</v>
      </c>
    </row>
    <row r="468">
      <c r="F468" s="189">
        <v>0.0</v>
      </c>
    </row>
    <row r="469">
      <c r="F469" s="189">
        <v>0.0</v>
      </c>
    </row>
    <row r="470">
      <c r="F470" s="189">
        <v>0.0</v>
      </c>
    </row>
    <row r="471">
      <c r="F471" s="189">
        <v>0.0</v>
      </c>
    </row>
    <row r="472">
      <c r="F472" s="189">
        <v>0.0</v>
      </c>
    </row>
    <row r="473">
      <c r="F473" s="189">
        <v>0.0</v>
      </c>
    </row>
    <row r="474">
      <c r="F474" s="189">
        <v>0.0</v>
      </c>
    </row>
    <row r="475">
      <c r="F475" s="189">
        <v>0.0</v>
      </c>
    </row>
    <row r="476">
      <c r="F476" s="189">
        <v>0.0</v>
      </c>
    </row>
    <row r="477">
      <c r="F477" s="189">
        <v>0.0</v>
      </c>
    </row>
    <row r="478">
      <c r="F478" s="189">
        <v>0.0</v>
      </c>
    </row>
    <row r="479">
      <c r="F479" s="189">
        <v>0.0</v>
      </c>
    </row>
    <row r="480">
      <c r="F480" s="189">
        <v>0.0</v>
      </c>
    </row>
    <row r="481">
      <c r="F481" s="189">
        <v>0.0</v>
      </c>
    </row>
    <row r="482">
      <c r="F482" s="189">
        <v>0.0</v>
      </c>
    </row>
    <row r="483">
      <c r="F483" s="189">
        <v>0.0</v>
      </c>
    </row>
    <row r="484">
      <c r="F484" s="189">
        <v>0.0</v>
      </c>
    </row>
    <row r="485">
      <c r="F485" s="189">
        <v>0.0</v>
      </c>
    </row>
    <row r="486">
      <c r="F486" s="189">
        <v>0.0</v>
      </c>
    </row>
    <row r="487">
      <c r="F487" s="189">
        <v>0.0</v>
      </c>
    </row>
    <row r="488">
      <c r="F488" s="189">
        <v>0.0</v>
      </c>
    </row>
    <row r="489">
      <c r="F489" s="189">
        <v>0.0</v>
      </c>
    </row>
    <row r="490">
      <c r="F490" s="189">
        <v>0.0</v>
      </c>
    </row>
    <row r="491">
      <c r="F491" s="189">
        <v>0.0</v>
      </c>
    </row>
    <row r="492">
      <c r="F492" s="189">
        <v>0.0</v>
      </c>
    </row>
    <row r="493">
      <c r="F493" s="189">
        <v>0.0</v>
      </c>
    </row>
    <row r="494">
      <c r="F494" s="189">
        <v>0.0</v>
      </c>
    </row>
    <row r="495">
      <c r="F495" s="189">
        <v>0.0</v>
      </c>
    </row>
    <row r="496">
      <c r="F496" s="189">
        <v>0.0</v>
      </c>
    </row>
    <row r="497">
      <c r="F497" s="189">
        <v>0.0</v>
      </c>
    </row>
    <row r="498">
      <c r="F498" s="189">
        <v>0.0</v>
      </c>
    </row>
    <row r="499">
      <c r="F499" s="189">
        <v>0.0</v>
      </c>
    </row>
    <row r="500">
      <c r="F500" s="189">
        <v>0.0</v>
      </c>
    </row>
    <row r="501">
      <c r="F501" s="189">
        <v>0.0</v>
      </c>
    </row>
    <row r="502">
      <c r="F502" s="189">
        <v>0.0</v>
      </c>
    </row>
    <row r="503">
      <c r="F503" s="189">
        <v>0.0</v>
      </c>
    </row>
    <row r="504">
      <c r="F504" s="189">
        <v>0.0</v>
      </c>
    </row>
    <row r="505">
      <c r="F505" s="189">
        <v>0.0</v>
      </c>
    </row>
    <row r="506">
      <c r="F506" s="189">
        <v>0.0</v>
      </c>
    </row>
    <row r="507">
      <c r="F507" s="189">
        <v>0.0</v>
      </c>
    </row>
    <row r="508">
      <c r="F508" s="189">
        <v>0.0</v>
      </c>
    </row>
    <row r="509">
      <c r="F509" s="189">
        <v>0.0</v>
      </c>
    </row>
    <row r="510">
      <c r="F510" s="189">
        <v>0.0</v>
      </c>
    </row>
    <row r="511">
      <c r="F511" s="189">
        <v>0.0</v>
      </c>
    </row>
    <row r="512">
      <c r="F512" s="189">
        <v>0.0</v>
      </c>
    </row>
    <row r="513">
      <c r="F513" s="189">
        <v>0.0</v>
      </c>
    </row>
    <row r="514">
      <c r="F514" s="189">
        <v>0.0</v>
      </c>
    </row>
    <row r="515">
      <c r="F515" s="189">
        <v>0.0</v>
      </c>
    </row>
    <row r="516">
      <c r="F516" s="189">
        <v>0.0</v>
      </c>
    </row>
    <row r="517">
      <c r="F517" s="189">
        <v>0.0</v>
      </c>
    </row>
    <row r="518">
      <c r="F518" s="189">
        <v>0.0</v>
      </c>
    </row>
    <row r="519">
      <c r="F519" s="189">
        <v>0.0</v>
      </c>
    </row>
    <row r="520">
      <c r="F520" s="189">
        <v>0.0</v>
      </c>
    </row>
    <row r="521">
      <c r="F521" s="189">
        <v>0.0</v>
      </c>
    </row>
    <row r="522">
      <c r="F522" s="189">
        <v>0.0</v>
      </c>
    </row>
    <row r="523">
      <c r="F523" s="189">
        <v>0.0</v>
      </c>
    </row>
    <row r="524">
      <c r="F524" s="189">
        <v>0.0</v>
      </c>
    </row>
    <row r="525">
      <c r="F525" s="189">
        <v>0.0</v>
      </c>
    </row>
    <row r="526">
      <c r="F526" s="189">
        <v>0.0</v>
      </c>
    </row>
    <row r="527">
      <c r="F527" s="189">
        <v>0.0</v>
      </c>
    </row>
    <row r="528">
      <c r="F528" s="189">
        <v>0.0</v>
      </c>
    </row>
    <row r="529">
      <c r="F529" s="189">
        <v>0.0</v>
      </c>
    </row>
    <row r="530">
      <c r="F530" s="189">
        <v>0.0</v>
      </c>
    </row>
    <row r="531">
      <c r="F531" s="189">
        <v>0.0</v>
      </c>
    </row>
    <row r="532">
      <c r="F532" s="189">
        <v>0.0</v>
      </c>
    </row>
    <row r="533">
      <c r="F533" s="189">
        <v>0.0</v>
      </c>
    </row>
    <row r="534">
      <c r="F534" s="189">
        <v>0.0</v>
      </c>
    </row>
    <row r="535">
      <c r="F535" s="189">
        <v>0.0</v>
      </c>
    </row>
    <row r="536">
      <c r="F536" s="189">
        <v>0.0</v>
      </c>
    </row>
    <row r="537">
      <c r="F537" s="189">
        <v>0.0</v>
      </c>
    </row>
    <row r="538">
      <c r="F538" s="189">
        <v>0.0</v>
      </c>
    </row>
    <row r="539">
      <c r="F539" s="189">
        <v>0.0</v>
      </c>
    </row>
    <row r="540">
      <c r="F540" s="189">
        <v>0.0</v>
      </c>
    </row>
    <row r="541">
      <c r="F541" s="189">
        <v>0.0</v>
      </c>
    </row>
    <row r="542">
      <c r="F542" s="189">
        <v>0.0</v>
      </c>
    </row>
    <row r="543">
      <c r="F543" s="189">
        <v>0.0</v>
      </c>
    </row>
    <row r="544">
      <c r="F544" s="189">
        <v>0.0</v>
      </c>
    </row>
    <row r="545">
      <c r="F545" s="189">
        <v>0.0</v>
      </c>
    </row>
    <row r="546">
      <c r="F546" s="189">
        <v>0.0</v>
      </c>
    </row>
    <row r="547">
      <c r="F547" s="189">
        <v>0.0</v>
      </c>
    </row>
    <row r="548">
      <c r="F548" s="189">
        <v>0.0</v>
      </c>
    </row>
    <row r="549">
      <c r="F549" s="189">
        <v>0.0</v>
      </c>
    </row>
    <row r="550">
      <c r="F550" s="189">
        <v>0.0</v>
      </c>
    </row>
    <row r="551">
      <c r="F551" s="189">
        <v>0.0</v>
      </c>
    </row>
    <row r="552">
      <c r="F552" s="189">
        <v>0.0</v>
      </c>
    </row>
    <row r="553">
      <c r="F553" s="189">
        <v>0.0</v>
      </c>
    </row>
    <row r="554">
      <c r="F554" s="189">
        <v>0.0</v>
      </c>
    </row>
    <row r="555">
      <c r="F555" s="189">
        <v>0.0</v>
      </c>
    </row>
    <row r="556">
      <c r="F556" s="189">
        <v>0.0</v>
      </c>
    </row>
    <row r="557">
      <c r="F557" s="189">
        <v>0.0</v>
      </c>
    </row>
    <row r="558">
      <c r="F558" s="189">
        <v>0.0</v>
      </c>
    </row>
    <row r="559">
      <c r="F559" s="189">
        <v>0.0</v>
      </c>
    </row>
    <row r="560">
      <c r="F560" s="189">
        <v>0.0</v>
      </c>
    </row>
    <row r="561">
      <c r="F561" s="189">
        <v>0.0</v>
      </c>
    </row>
    <row r="562">
      <c r="F562" s="189">
        <v>0.0</v>
      </c>
    </row>
    <row r="563">
      <c r="F563" s="189">
        <v>0.0</v>
      </c>
    </row>
    <row r="564">
      <c r="F564" s="189">
        <v>0.0</v>
      </c>
    </row>
    <row r="565">
      <c r="F565" s="189">
        <v>0.0</v>
      </c>
    </row>
    <row r="566">
      <c r="F566" s="189">
        <v>0.0</v>
      </c>
    </row>
    <row r="567">
      <c r="F567" s="189">
        <v>0.0</v>
      </c>
    </row>
    <row r="568">
      <c r="F568" s="189">
        <v>0.0</v>
      </c>
    </row>
    <row r="569">
      <c r="F569" s="189">
        <v>0.0</v>
      </c>
    </row>
    <row r="570">
      <c r="F570" s="189">
        <v>0.0</v>
      </c>
    </row>
    <row r="571">
      <c r="F571" s="189">
        <v>0.0</v>
      </c>
    </row>
    <row r="572">
      <c r="F572" s="189">
        <v>0.0</v>
      </c>
    </row>
    <row r="573">
      <c r="F573" s="189">
        <v>0.0</v>
      </c>
    </row>
    <row r="574">
      <c r="F574" s="189">
        <v>0.0</v>
      </c>
    </row>
    <row r="575">
      <c r="F575" s="189">
        <v>0.0</v>
      </c>
    </row>
    <row r="576">
      <c r="F576" s="189">
        <v>0.0</v>
      </c>
    </row>
    <row r="577">
      <c r="F577" s="189">
        <v>0.0</v>
      </c>
    </row>
    <row r="578">
      <c r="F578" s="189">
        <v>0.0</v>
      </c>
    </row>
    <row r="579">
      <c r="F579" s="189">
        <v>0.0</v>
      </c>
    </row>
    <row r="580">
      <c r="F580" s="189">
        <v>0.0</v>
      </c>
    </row>
    <row r="581">
      <c r="F581" s="189">
        <v>0.0</v>
      </c>
    </row>
    <row r="582">
      <c r="F582" s="189">
        <v>0.0</v>
      </c>
    </row>
    <row r="583">
      <c r="F583" s="189">
        <v>0.0</v>
      </c>
    </row>
    <row r="584">
      <c r="F584" s="189">
        <v>0.0</v>
      </c>
    </row>
    <row r="585">
      <c r="F585" s="189">
        <v>0.0</v>
      </c>
    </row>
    <row r="586">
      <c r="F586" s="189">
        <v>0.0</v>
      </c>
    </row>
    <row r="587">
      <c r="F587" s="189">
        <v>0.0</v>
      </c>
    </row>
    <row r="588">
      <c r="F588" s="189">
        <v>0.0</v>
      </c>
    </row>
    <row r="589">
      <c r="F589" s="189">
        <v>0.0</v>
      </c>
    </row>
    <row r="590">
      <c r="F590" s="189">
        <v>0.0</v>
      </c>
    </row>
    <row r="591">
      <c r="F591" s="189">
        <v>0.0</v>
      </c>
    </row>
    <row r="592">
      <c r="F592" s="189">
        <v>0.0</v>
      </c>
    </row>
    <row r="593">
      <c r="F593" s="189">
        <v>0.0</v>
      </c>
    </row>
    <row r="594">
      <c r="F594" s="189">
        <v>0.0</v>
      </c>
    </row>
    <row r="595">
      <c r="F595" s="189">
        <v>0.0</v>
      </c>
    </row>
    <row r="596">
      <c r="F596" s="189">
        <v>0.0</v>
      </c>
    </row>
    <row r="597">
      <c r="F597" s="189">
        <v>0.0</v>
      </c>
    </row>
    <row r="598">
      <c r="F598" s="189">
        <v>0.0</v>
      </c>
    </row>
    <row r="599">
      <c r="F599" s="189">
        <v>0.0</v>
      </c>
    </row>
    <row r="600">
      <c r="F600" s="189">
        <v>0.0</v>
      </c>
    </row>
    <row r="601">
      <c r="F601" s="189">
        <v>0.0</v>
      </c>
    </row>
    <row r="602">
      <c r="F602" s="189">
        <v>0.0</v>
      </c>
    </row>
    <row r="603">
      <c r="F603" s="189">
        <v>0.0</v>
      </c>
    </row>
    <row r="604">
      <c r="F604" s="189">
        <v>0.0</v>
      </c>
    </row>
    <row r="605">
      <c r="F605" s="189">
        <v>0.0</v>
      </c>
    </row>
    <row r="606">
      <c r="F606" s="189">
        <v>0.0</v>
      </c>
    </row>
    <row r="607">
      <c r="F607" s="189">
        <v>0.0</v>
      </c>
    </row>
    <row r="608">
      <c r="F608" s="189">
        <v>0.0</v>
      </c>
    </row>
    <row r="609">
      <c r="F609" s="189">
        <v>0.0</v>
      </c>
    </row>
    <row r="610">
      <c r="F610" s="189">
        <v>0.0</v>
      </c>
    </row>
    <row r="611">
      <c r="F611" s="189">
        <v>0.0</v>
      </c>
    </row>
    <row r="612">
      <c r="F612" s="189">
        <v>0.0</v>
      </c>
    </row>
    <row r="613">
      <c r="F613" s="189">
        <v>0.0</v>
      </c>
    </row>
    <row r="614">
      <c r="F614" s="189">
        <v>0.0</v>
      </c>
    </row>
    <row r="615">
      <c r="F615" s="189">
        <v>0.0</v>
      </c>
    </row>
    <row r="616">
      <c r="F616" s="189">
        <v>0.0</v>
      </c>
    </row>
    <row r="617">
      <c r="F617" s="189">
        <v>0.0</v>
      </c>
    </row>
    <row r="618">
      <c r="F618" s="189">
        <v>0.0</v>
      </c>
    </row>
    <row r="619">
      <c r="F619" s="189">
        <v>0.0</v>
      </c>
    </row>
    <row r="620">
      <c r="F620" s="189">
        <v>0.0</v>
      </c>
    </row>
    <row r="621">
      <c r="F621" s="189">
        <v>0.0</v>
      </c>
    </row>
    <row r="622">
      <c r="F622" s="189">
        <v>0.0</v>
      </c>
    </row>
    <row r="623">
      <c r="F623" s="189">
        <v>0.0</v>
      </c>
    </row>
    <row r="624">
      <c r="F624" s="189">
        <v>0.0</v>
      </c>
    </row>
    <row r="625">
      <c r="F625" s="189">
        <v>0.0</v>
      </c>
    </row>
    <row r="626">
      <c r="F626" s="189">
        <v>0.0</v>
      </c>
    </row>
    <row r="627">
      <c r="F627" s="189">
        <v>0.0</v>
      </c>
    </row>
    <row r="628">
      <c r="F628" s="189">
        <v>0.0</v>
      </c>
    </row>
    <row r="629">
      <c r="F629" s="189">
        <v>0.0</v>
      </c>
    </row>
    <row r="630">
      <c r="F630" s="189">
        <v>0.0</v>
      </c>
    </row>
    <row r="631">
      <c r="F631" s="189">
        <v>0.0</v>
      </c>
    </row>
    <row r="632">
      <c r="F632" s="189">
        <v>0.0</v>
      </c>
    </row>
    <row r="633">
      <c r="F633" s="189">
        <v>0.0</v>
      </c>
    </row>
    <row r="634">
      <c r="F634" s="189">
        <v>0.0</v>
      </c>
    </row>
    <row r="635">
      <c r="F635" s="189">
        <v>0.0</v>
      </c>
    </row>
    <row r="636">
      <c r="F636" s="189">
        <v>0.0</v>
      </c>
    </row>
    <row r="637">
      <c r="F637" s="189">
        <v>0.0</v>
      </c>
    </row>
    <row r="638">
      <c r="F638" s="189">
        <v>0.0</v>
      </c>
    </row>
    <row r="639">
      <c r="F639" s="189">
        <v>0.0</v>
      </c>
    </row>
    <row r="640">
      <c r="F640" s="189">
        <v>0.0</v>
      </c>
    </row>
    <row r="641">
      <c r="F641" s="189">
        <v>0.0</v>
      </c>
    </row>
    <row r="642">
      <c r="F642" s="189">
        <v>0.0</v>
      </c>
    </row>
    <row r="643">
      <c r="F643" s="189">
        <v>0.0</v>
      </c>
    </row>
    <row r="644">
      <c r="F644" s="189">
        <v>0.0</v>
      </c>
    </row>
    <row r="645">
      <c r="F645" s="189">
        <v>0.0</v>
      </c>
    </row>
    <row r="646">
      <c r="F646" s="189">
        <v>0.0</v>
      </c>
    </row>
    <row r="647">
      <c r="F647" s="189">
        <v>0.0</v>
      </c>
    </row>
    <row r="648">
      <c r="F648" s="189">
        <v>0.0</v>
      </c>
    </row>
    <row r="649">
      <c r="F649" s="189">
        <v>0.0</v>
      </c>
    </row>
    <row r="650">
      <c r="F650" s="189">
        <v>0.0</v>
      </c>
    </row>
    <row r="651">
      <c r="F651" s="189">
        <v>0.0</v>
      </c>
    </row>
    <row r="652">
      <c r="F652" s="189">
        <v>0.0</v>
      </c>
    </row>
    <row r="653">
      <c r="F653" s="189">
        <v>0.0</v>
      </c>
    </row>
    <row r="654">
      <c r="F654" s="189">
        <v>0.0</v>
      </c>
    </row>
    <row r="655">
      <c r="F655" s="189">
        <v>0.0</v>
      </c>
    </row>
    <row r="656">
      <c r="F656" s="189">
        <v>0.0</v>
      </c>
    </row>
    <row r="657">
      <c r="F657" s="189">
        <v>0.0</v>
      </c>
    </row>
    <row r="658">
      <c r="F658" s="189">
        <v>0.0</v>
      </c>
    </row>
    <row r="659">
      <c r="F659" s="189">
        <v>0.0</v>
      </c>
    </row>
    <row r="660">
      <c r="F660" s="189">
        <v>0.0</v>
      </c>
    </row>
    <row r="661">
      <c r="F661" s="189">
        <v>0.0</v>
      </c>
    </row>
    <row r="662">
      <c r="F662" s="189">
        <v>0.0</v>
      </c>
    </row>
    <row r="663">
      <c r="F663" s="189">
        <v>0.0</v>
      </c>
    </row>
    <row r="664">
      <c r="F664" s="189">
        <v>0.0</v>
      </c>
    </row>
    <row r="665">
      <c r="F665" s="189">
        <v>0.0</v>
      </c>
    </row>
    <row r="666">
      <c r="F666" s="189">
        <v>0.0</v>
      </c>
    </row>
    <row r="667">
      <c r="F667" s="189">
        <v>0.0</v>
      </c>
    </row>
    <row r="668">
      <c r="F668" s="189">
        <v>0.0</v>
      </c>
    </row>
    <row r="669">
      <c r="F669" s="189">
        <v>0.0</v>
      </c>
    </row>
    <row r="670">
      <c r="F670" s="189">
        <v>0.0</v>
      </c>
    </row>
    <row r="671">
      <c r="F671" s="189">
        <v>0.0</v>
      </c>
    </row>
    <row r="672">
      <c r="F672" s="189">
        <v>0.0</v>
      </c>
    </row>
    <row r="673">
      <c r="F673" s="189">
        <v>0.0</v>
      </c>
    </row>
    <row r="674">
      <c r="F674" s="189">
        <v>0.0</v>
      </c>
    </row>
    <row r="675">
      <c r="F675" s="189">
        <v>0.0</v>
      </c>
    </row>
    <row r="676">
      <c r="F676" s="189">
        <v>0.0</v>
      </c>
    </row>
    <row r="677">
      <c r="F677" s="189">
        <v>0.0</v>
      </c>
    </row>
    <row r="678">
      <c r="F678" s="189">
        <v>0.0</v>
      </c>
    </row>
    <row r="679">
      <c r="F679" s="189">
        <v>0.0</v>
      </c>
    </row>
    <row r="680">
      <c r="F680" s="189">
        <v>0.0</v>
      </c>
    </row>
    <row r="681">
      <c r="F681" s="189">
        <v>0.0</v>
      </c>
    </row>
    <row r="682">
      <c r="F682" s="189">
        <v>0.0</v>
      </c>
    </row>
    <row r="683">
      <c r="F683" s="189">
        <v>0.0</v>
      </c>
    </row>
    <row r="684">
      <c r="F684" s="189">
        <v>0.0</v>
      </c>
    </row>
    <row r="685">
      <c r="F685" s="189">
        <v>0.0</v>
      </c>
    </row>
    <row r="686">
      <c r="F686" s="189">
        <v>0.0</v>
      </c>
    </row>
    <row r="687">
      <c r="F687" s="189">
        <v>0.0</v>
      </c>
    </row>
    <row r="688">
      <c r="F688" s="189">
        <v>0.0</v>
      </c>
    </row>
    <row r="689">
      <c r="F689" s="189">
        <v>0.0</v>
      </c>
    </row>
    <row r="690">
      <c r="F690" s="189">
        <v>0.0</v>
      </c>
    </row>
    <row r="691">
      <c r="F691" s="189">
        <v>0.0</v>
      </c>
    </row>
    <row r="692">
      <c r="F692" s="189">
        <v>0.0</v>
      </c>
    </row>
    <row r="693">
      <c r="F693" s="189">
        <v>0.0</v>
      </c>
    </row>
    <row r="694">
      <c r="F694" s="189">
        <v>0.0</v>
      </c>
    </row>
    <row r="695">
      <c r="F695" s="189">
        <v>0.0</v>
      </c>
    </row>
    <row r="696">
      <c r="F696" s="189">
        <v>0.0</v>
      </c>
    </row>
    <row r="697">
      <c r="F697" s="189">
        <v>0.0</v>
      </c>
    </row>
    <row r="698">
      <c r="F698" s="189">
        <v>0.0</v>
      </c>
    </row>
    <row r="699">
      <c r="F699" s="189">
        <v>0.0</v>
      </c>
    </row>
    <row r="700">
      <c r="F700" s="189">
        <v>0.0</v>
      </c>
    </row>
    <row r="701">
      <c r="F701" s="189">
        <v>0.0</v>
      </c>
    </row>
    <row r="702">
      <c r="F702" s="189">
        <v>0.0</v>
      </c>
    </row>
    <row r="703">
      <c r="F703" s="189">
        <v>0.0</v>
      </c>
    </row>
    <row r="704">
      <c r="F704" s="189">
        <v>0.0</v>
      </c>
    </row>
    <row r="705">
      <c r="F705" s="189">
        <v>0.0</v>
      </c>
    </row>
    <row r="706">
      <c r="F706" s="189">
        <v>0.0</v>
      </c>
    </row>
    <row r="707">
      <c r="F707" s="189">
        <v>0.0</v>
      </c>
    </row>
    <row r="708">
      <c r="F708" s="189">
        <v>0.0</v>
      </c>
    </row>
    <row r="709">
      <c r="F709" s="189">
        <v>0.0</v>
      </c>
    </row>
    <row r="710">
      <c r="F710" s="189">
        <v>0.0</v>
      </c>
    </row>
    <row r="711">
      <c r="F711" s="189">
        <v>0.0</v>
      </c>
    </row>
    <row r="712">
      <c r="F712" s="189">
        <v>0.0</v>
      </c>
    </row>
    <row r="713">
      <c r="F713" s="189">
        <v>0.0</v>
      </c>
    </row>
    <row r="714">
      <c r="F714" s="189">
        <v>0.0</v>
      </c>
    </row>
    <row r="715">
      <c r="F715" s="189">
        <v>0.0</v>
      </c>
    </row>
    <row r="716">
      <c r="F716" s="189">
        <v>0.0</v>
      </c>
    </row>
    <row r="717">
      <c r="F717" s="189">
        <v>0.0</v>
      </c>
    </row>
    <row r="718">
      <c r="F718" s="189">
        <v>0.0</v>
      </c>
    </row>
    <row r="719">
      <c r="F719" s="189">
        <v>0.0</v>
      </c>
    </row>
    <row r="720">
      <c r="F720" s="189">
        <v>0.0</v>
      </c>
    </row>
    <row r="721">
      <c r="F721" s="189">
        <v>0.0</v>
      </c>
    </row>
    <row r="722">
      <c r="F722" s="189">
        <v>0.0</v>
      </c>
    </row>
    <row r="723">
      <c r="F723" s="189">
        <v>0.0</v>
      </c>
    </row>
    <row r="724">
      <c r="F724" s="189">
        <v>0.0</v>
      </c>
    </row>
    <row r="725">
      <c r="F725" s="189">
        <v>0.0</v>
      </c>
    </row>
    <row r="726">
      <c r="F726" s="189">
        <v>0.0</v>
      </c>
    </row>
    <row r="727">
      <c r="F727" s="189">
        <v>0.0</v>
      </c>
    </row>
    <row r="728">
      <c r="F728" s="189">
        <v>0.0</v>
      </c>
    </row>
    <row r="729">
      <c r="F729" s="189">
        <v>0.0</v>
      </c>
    </row>
    <row r="730">
      <c r="F730" s="189">
        <v>0.0</v>
      </c>
    </row>
    <row r="731">
      <c r="F731" s="189">
        <v>0.0</v>
      </c>
    </row>
    <row r="732">
      <c r="F732" s="189">
        <v>0.0</v>
      </c>
    </row>
    <row r="733">
      <c r="F733" s="189">
        <v>0.0</v>
      </c>
    </row>
    <row r="734">
      <c r="F734" s="189">
        <v>0.0</v>
      </c>
    </row>
    <row r="735">
      <c r="F735" s="189">
        <v>0.0</v>
      </c>
    </row>
    <row r="736">
      <c r="F736" s="189">
        <v>0.0</v>
      </c>
    </row>
    <row r="737">
      <c r="F737" s="189">
        <v>0.0</v>
      </c>
    </row>
    <row r="738">
      <c r="F738" s="189">
        <v>0.0</v>
      </c>
    </row>
    <row r="739">
      <c r="F739" s="189">
        <v>0.0</v>
      </c>
    </row>
    <row r="740">
      <c r="F740" s="189">
        <v>0.0</v>
      </c>
    </row>
    <row r="741">
      <c r="F741" s="189">
        <v>0.0</v>
      </c>
    </row>
    <row r="742">
      <c r="F742" s="189">
        <v>0.0</v>
      </c>
    </row>
    <row r="743">
      <c r="F743" s="189">
        <v>0.0</v>
      </c>
    </row>
    <row r="744">
      <c r="F744" s="189">
        <v>0.0</v>
      </c>
    </row>
    <row r="745">
      <c r="F745" s="189">
        <v>0.0</v>
      </c>
    </row>
    <row r="746">
      <c r="F746" s="189">
        <v>0.0</v>
      </c>
    </row>
    <row r="747">
      <c r="F747" s="189">
        <v>0.0</v>
      </c>
    </row>
    <row r="748">
      <c r="F748" s="189">
        <v>0.0</v>
      </c>
    </row>
    <row r="749">
      <c r="F749" s="189">
        <v>0.0</v>
      </c>
    </row>
    <row r="750">
      <c r="F750" s="189">
        <v>0.0</v>
      </c>
    </row>
    <row r="751">
      <c r="F751" s="189">
        <v>0.0</v>
      </c>
    </row>
    <row r="752">
      <c r="F752" s="189">
        <v>0.0</v>
      </c>
    </row>
    <row r="753">
      <c r="F753" s="189">
        <v>0.0</v>
      </c>
    </row>
    <row r="754">
      <c r="F754" s="189">
        <v>0.0</v>
      </c>
    </row>
    <row r="755">
      <c r="F755" s="189">
        <v>0.0</v>
      </c>
    </row>
    <row r="756">
      <c r="F756" s="189">
        <v>0.0</v>
      </c>
    </row>
    <row r="757">
      <c r="F757" s="189">
        <v>0.0</v>
      </c>
    </row>
    <row r="758">
      <c r="F758" s="189">
        <v>0.0</v>
      </c>
    </row>
    <row r="759">
      <c r="F759" s="189">
        <v>0.0</v>
      </c>
    </row>
    <row r="760">
      <c r="F760" s="189">
        <v>0.0</v>
      </c>
    </row>
    <row r="761">
      <c r="F761" s="189">
        <v>0.0</v>
      </c>
    </row>
    <row r="762">
      <c r="F762" s="189">
        <v>0.0</v>
      </c>
    </row>
    <row r="763">
      <c r="F763" s="189">
        <v>0.0</v>
      </c>
    </row>
    <row r="764">
      <c r="F764" s="189">
        <v>0.0</v>
      </c>
    </row>
    <row r="765">
      <c r="F765" s="189">
        <v>0.0</v>
      </c>
    </row>
    <row r="766">
      <c r="F766" s="189">
        <v>0.0</v>
      </c>
    </row>
    <row r="767">
      <c r="F767" s="189">
        <v>0.0</v>
      </c>
    </row>
    <row r="768">
      <c r="F768" s="189">
        <v>0.0</v>
      </c>
    </row>
    <row r="769">
      <c r="F769" s="189">
        <v>0.0</v>
      </c>
    </row>
    <row r="770">
      <c r="F770" s="189">
        <v>0.0</v>
      </c>
    </row>
    <row r="771">
      <c r="F771" s="189">
        <v>0.0</v>
      </c>
    </row>
    <row r="772">
      <c r="F772" s="189">
        <v>0.0</v>
      </c>
    </row>
    <row r="773">
      <c r="F773" s="189">
        <v>0.0</v>
      </c>
    </row>
    <row r="774">
      <c r="F774" s="189">
        <v>0.0</v>
      </c>
    </row>
    <row r="775">
      <c r="F775" s="189">
        <v>0.0</v>
      </c>
    </row>
    <row r="776">
      <c r="F776" s="189">
        <v>0.0</v>
      </c>
    </row>
    <row r="777">
      <c r="F777" s="189">
        <v>0.0</v>
      </c>
    </row>
    <row r="778">
      <c r="F778" s="189">
        <v>0.0</v>
      </c>
    </row>
    <row r="779">
      <c r="F779" s="189">
        <v>0.0</v>
      </c>
    </row>
    <row r="780">
      <c r="F780" s="189">
        <v>0.0</v>
      </c>
    </row>
    <row r="781">
      <c r="F781" s="189">
        <v>0.0</v>
      </c>
    </row>
    <row r="782">
      <c r="F782" s="189">
        <v>0.0</v>
      </c>
    </row>
    <row r="783">
      <c r="F783" s="189">
        <v>0.0</v>
      </c>
    </row>
    <row r="784">
      <c r="F784" s="189">
        <v>0.0</v>
      </c>
    </row>
    <row r="785">
      <c r="F785" s="189">
        <v>0.0</v>
      </c>
    </row>
    <row r="786">
      <c r="F786" s="189">
        <v>0.0</v>
      </c>
    </row>
    <row r="787">
      <c r="F787" s="189">
        <v>0.0</v>
      </c>
    </row>
    <row r="788">
      <c r="F788" s="189">
        <v>0.0</v>
      </c>
    </row>
    <row r="789">
      <c r="F789" s="189">
        <v>0.0</v>
      </c>
    </row>
    <row r="790">
      <c r="F790" s="189">
        <v>0.0</v>
      </c>
    </row>
    <row r="791">
      <c r="F791" s="189">
        <v>0.0</v>
      </c>
    </row>
    <row r="792">
      <c r="F792" s="189">
        <v>0.0</v>
      </c>
    </row>
    <row r="793">
      <c r="F793" s="189">
        <v>0.0</v>
      </c>
    </row>
    <row r="794">
      <c r="F794" s="189">
        <v>0.0</v>
      </c>
    </row>
    <row r="795">
      <c r="F795" s="189">
        <v>0.0</v>
      </c>
    </row>
    <row r="796">
      <c r="F796" s="189">
        <v>0.0</v>
      </c>
    </row>
    <row r="797">
      <c r="F797" s="189">
        <v>0.0</v>
      </c>
    </row>
    <row r="798">
      <c r="F798" s="189">
        <v>0.0</v>
      </c>
    </row>
    <row r="799">
      <c r="F799" s="189">
        <v>0.0</v>
      </c>
    </row>
    <row r="800">
      <c r="F800" s="189">
        <v>0.0</v>
      </c>
    </row>
    <row r="801">
      <c r="F801" s="189">
        <v>0.0</v>
      </c>
    </row>
    <row r="802">
      <c r="F802" s="189">
        <v>0.0</v>
      </c>
    </row>
    <row r="803">
      <c r="F803" s="189">
        <v>0.0</v>
      </c>
    </row>
    <row r="804">
      <c r="F804" s="189">
        <v>0.0</v>
      </c>
    </row>
    <row r="805">
      <c r="F805" s="189">
        <v>0.0</v>
      </c>
    </row>
    <row r="806">
      <c r="F806" s="189">
        <v>0.0</v>
      </c>
    </row>
    <row r="807">
      <c r="F807" s="189">
        <v>0.0</v>
      </c>
    </row>
    <row r="808">
      <c r="F808" s="189">
        <v>0.0</v>
      </c>
    </row>
    <row r="809">
      <c r="F809" s="189">
        <v>0.0</v>
      </c>
    </row>
    <row r="810">
      <c r="F810" s="189">
        <v>0.0</v>
      </c>
    </row>
    <row r="811">
      <c r="F811" s="189">
        <v>0.0</v>
      </c>
    </row>
    <row r="812">
      <c r="F812" s="189">
        <v>0.0</v>
      </c>
    </row>
    <row r="813">
      <c r="F813" s="189">
        <v>0.0</v>
      </c>
    </row>
    <row r="814">
      <c r="F814" s="189">
        <v>0.0</v>
      </c>
    </row>
    <row r="815">
      <c r="F815" s="189">
        <v>0.0</v>
      </c>
    </row>
    <row r="816">
      <c r="F816" s="189">
        <v>0.0</v>
      </c>
    </row>
    <row r="817">
      <c r="F817" s="189">
        <v>0.0</v>
      </c>
    </row>
    <row r="818">
      <c r="F818" s="189">
        <v>0.0</v>
      </c>
    </row>
    <row r="819">
      <c r="F819" s="189">
        <v>0.0</v>
      </c>
    </row>
    <row r="820">
      <c r="F820" s="189">
        <v>0.0</v>
      </c>
    </row>
    <row r="821">
      <c r="F821" s="189">
        <v>0.0</v>
      </c>
    </row>
    <row r="822">
      <c r="F822" s="189">
        <v>0.0</v>
      </c>
    </row>
    <row r="823">
      <c r="F823" s="189">
        <v>0.0</v>
      </c>
    </row>
    <row r="824">
      <c r="F824" s="189">
        <v>0.0</v>
      </c>
    </row>
    <row r="825">
      <c r="F825" s="189">
        <v>0.0</v>
      </c>
    </row>
    <row r="826">
      <c r="F826" s="189">
        <v>0.0</v>
      </c>
    </row>
    <row r="827">
      <c r="F827" s="189">
        <v>0.0</v>
      </c>
    </row>
    <row r="828">
      <c r="F828" s="189">
        <v>0.0</v>
      </c>
    </row>
    <row r="829">
      <c r="F829" s="189">
        <v>0.0</v>
      </c>
    </row>
    <row r="830">
      <c r="F830" s="189">
        <v>0.0</v>
      </c>
    </row>
    <row r="831">
      <c r="F831" s="189">
        <v>0.0</v>
      </c>
    </row>
    <row r="832">
      <c r="F832" s="189">
        <v>0.0</v>
      </c>
    </row>
    <row r="833">
      <c r="F833" s="189">
        <v>0.0</v>
      </c>
    </row>
    <row r="834">
      <c r="F834" s="189">
        <v>0.0</v>
      </c>
    </row>
    <row r="835">
      <c r="F835" s="189">
        <v>0.0</v>
      </c>
    </row>
    <row r="836">
      <c r="F836" s="189">
        <v>0.0</v>
      </c>
    </row>
    <row r="837">
      <c r="F837" s="189">
        <v>0.0</v>
      </c>
    </row>
    <row r="838">
      <c r="F838" s="189">
        <v>0.0</v>
      </c>
    </row>
    <row r="839">
      <c r="F839" s="189">
        <v>0.0</v>
      </c>
    </row>
    <row r="840">
      <c r="F840" s="189">
        <v>0.0</v>
      </c>
    </row>
    <row r="841">
      <c r="F841" s="189">
        <v>0.0</v>
      </c>
    </row>
    <row r="842">
      <c r="F842" s="189">
        <v>0.0</v>
      </c>
    </row>
    <row r="843">
      <c r="F843" s="189">
        <v>0.0</v>
      </c>
    </row>
    <row r="844">
      <c r="F844" s="189">
        <v>0.0</v>
      </c>
    </row>
    <row r="845">
      <c r="F845" s="189">
        <v>0.0</v>
      </c>
    </row>
    <row r="846">
      <c r="F846" s="189">
        <v>0.0</v>
      </c>
    </row>
    <row r="847">
      <c r="F847" s="189">
        <v>0.0</v>
      </c>
    </row>
    <row r="848">
      <c r="F848" s="189">
        <v>0.0</v>
      </c>
    </row>
    <row r="849">
      <c r="F849" s="189">
        <v>0.0</v>
      </c>
    </row>
    <row r="850">
      <c r="F850" s="189">
        <v>0.0</v>
      </c>
    </row>
    <row r="851">
      <c r="F851" s="189">
        <v>0.0</v>
      </c>
    </row>
    <row r="852">
      <c r="F852" s="189">
        <v>0.0</v>
      </c>
    </row>
    <row r="853">
      <c r="F853" s="189">
        <v>0.0</v>
      </c>
    </row>
    <row r="854">
      <c r="F854" s="189">
        <v>0.0</v>
      </c>
    </row>
    <row r="855">
      <c r="F855" s="189">
        <v>0.0</v>
      </c>
    </row>
    <row r="856">
      <c r="F856" s="189">
        <v>0.0</v>
      </c>
    </row>
    <row r="857">
      <c r="F857" s="189">
        <v>0.0</v>
      </c>
    </row>
    <row r="858">
      <c r="F858" s="189">
        <v>0.0</v>
      </c>
    </row>
    <row r="859">
      <c r="F859" s="189">
        <v>0.0</v>
      </c>
    </row>
    <row r="860">
      <c r="F860" s="189">
        <v>0.0</v>
      </c>
    </row>
    <row r="861">
      <c r="F861" s="189">
        <v>0.0</v>
      </c>
    </row>
    <row r="862">
      <c r="F862" s="189">
        <v>0.0</v>
      </c>
    </row>
    <row r="863">
      <c r="F863" s="189">
        <v>0.0</v>
      </c>
    </row>
    <row r="864">
      <c r="F864" s="189">
        <v>0.0</v>
      </c>
    </row>
    <row r="865">
      <c r="F865" s="189">
        <v>0.0</v>
      </c>
    </row>
    <row r="866">
      <c r="F866" s="189">
        <v>0.0</v>
      </c>
    </row>
    <row r="867">
      <c r="F867" s="189">
        <v>0.0</v>
      </c>
    </row>
    <row r="868">
      <c r="F868" s="189">
        <v>0.0</v>
      </c>
    </row>
    <row r="869">
      <c r="F869" s="189">
        <v>0.0</v>
      </c>
    </row>
    <row r="870">
      <c r="F870" s="189">
        <v>0.0</v>
      </c>
    </row>
    <row r="871">
      <c r="F871" s="189">
        <v>0.0</v>
      </c>
    </row>
    <row r="872">
      <c r="F872" s="189">
        <v>0.0</v>
      </c>
    </row>
    <row r="873">
      <c r="F873" s="189">
        <v>0.0</v>
      </c>
    </row>
    <row r="874">
      <c r="F874" s="189">
        <v>0.0</v>
      </c>
    </row>
    <row r="875">
      <c r="F875" s="189">
        <v>0.0</v>
      </c>
    </row>
    <row r="876">
      <c r="F876" s="189">
        <v>0.0</v>
      </c>
    </row>
    <row r="877">
      <c r="F877" s="189">
        <v>0.0</v>
      </c>
    </row>
    <row r="878">
      <c r="F878" s="189">
        <v>0.0</v>
      </c>
    </row>
    <row r="879">
      <c r="F879" s="189">
        <v>0.0</v>
      </c>
    </row>
    <row r="880">
      <c r="F880" s="189">
        <v>0.0</v>
      </c>
    </row>
    <row r="881">
      <c r="F881" s="189">
        <v>0.0</v>
      </c>
    </row>
    <row r="882">
      <c r="F882" s="189">
        <v>0.0</v>
      </c>
    </row>
    <row r="883">
      <c r="F883" s="189">
        <v>0.0</v>
      </c>
    </row>
    <row r="884">
      <c r="F884" s="189">
        <v>0.0</v>
      </c>
    </row>
    <row r="885">
      <c r="F885" s="189">
        <v>0.0</v>
      </c>
    </row>
    <row r="886">
      <c r="F886" s="189">
        <v>0.0</v>
      </c>
    </row>
    <row r="887">
      <c r="F887" s="189">
        <v>0.0</v>
      </c>
    </row>
    <row r="888">
      <c r="F888" s="189">
        <v>0.0</v>
      </c>
    </row>
    <row r="889">
      <c r="F889" s="189">
        <v>0.0</v>
      </c>
    </row>
    <row r="890">
      <c r="F890" s="189">
        <v>0.0</v>
      </c>
    </row>
    <row r="891">
      <c r="F891" s="189">
        <v>0.0</v>
      </c>
    </row>
    <row r="892">
      <c r="F892" s="189">
        <v>0.0</v>
      </c>
    </row>
    <row r="893">
      <c r="F893" s="189">
        <v>0.0</v>
      </c>
    </row>
    <row r="894">
      <c r="F894" s="189">
        <v>0.0</v>
      </c>
    </row>
    <row r="895">
      <c r="F895" s="189">
        <v>0.0</v>
      </c>
    </row>
    <row r="896">
      <c r="F896" s="189">
        <v>0.0</v>
      </c>
    </row>
    <row r="897">
      <c r="F897" s="189">
        <v>0.0</v>
      </c>
    </row>
    <row r="898">
      <c r="F898" s="189">
        <v>0.0</v>
      </c>
    </row>
    <row r="899">
      <c r="F899" s="189">
        <v>0.0</v>
      </c>
    </row>
    <row r="900">
      <c r="F900" s="189">
        <v>0.0</v>
      </c>
    </row>
    <row r="901">
      <c r="F901" s="189">
        <v>0.0</v>
      </c>
    </row>
    <row r="902">
      <c r="F902" s="189">
        <v>0.0</v>
      </c>
    </row>
    <row r="903">
      <c r="F903" s="189">
        <v>0.0</v>
      </c>
    </row>
    <row r="904">
      <c r="F904" s="189">
        <v>0.0</v>
      </c>
    </row>
    <row r="905">
      <c r="F905" s="189">
        <v>0.0</v>
      </c>
    </row>
    <row r="906">
      <c r="F906" s="189">
        <v>0.0</v>
      </c>
    </row>
    <row r="907">
      <c r="F907" s="189">
        <v>0.0</v>
      </c>
    </row>
    <row r="908">
      <c r="F908" s="189">
        <v>0.0</v>
      </c>
    </row>
    <row r="909">
      <c r="F909" s="189">
        <v>0.0</v>
      </c>
    </row>
    <row r="910">
      <c r="F910" s="189">
        <v>0.0</v>
      </c>
    </row>
    <row r="911">
      <c r="F911" s="189">
        <v>0.0</v>
      </c>
    </row>
    <row r="912">
      <c r="F912" s="189">
        <v>0.0</v>
      </c>
    </row>
    <row r="913">
      <c r="F913" s="189">
        <v>0.0</v>
      </c>
    </row>
    <row r="914">
      <c r="F914" s="189">
        <v>0.0</v>
      </c>
    </row>
    <row r="915">
      <c r="F915" s="189">
        <v>0.0</v>
      </c>
    </row>
    <row r="916">
      <c r="F916" s="189">
        <v>0.0</v>
      </c>
    </row>
    <row r="917">
      <c r="F917" s="189">
        <v>0.0</v>
      </c>
    </row>
    <row r="918">
      <c r="F918" s="189">
        <v>0.0</v>
      </c>
    </row>
    <row r="919">
      <c r="F919" s="189">
        <v>0.0</v>
      </c>
    </row>
    <row r="920">
      <c r="F920" s="189">
        <v>0.0</v>
      </c>
    </row>
    <row r="921">
      <c r="F921" s="189">
        <v>0.0</v>
      </c>
    </row>
    <row r="922">
      <c r="F922" s="189">
        <v>0.0</v>
      </c>
    </row>
    <row r="923">
      <c r="F923" s="189">
        <v>0.0</v>
      </c>
    </row>
    <row r="924">
      <c r="F924" s="189">
        <v>0.0</v>
      </c>
    </row>
    <row r="925">
      <c r="F925" s="189">
        <v>0.0</v>
      </c>
    </row>
    <row r="926">
      <c r="F926" s="189">
        <v>0.0</v>
      </c>
    </row>
    <row r="927">
      <c r="F927" s="189">
        <v>0.0</v>
      </c>
    </row>
    <row r="928">
      <c r="F928" s="189">
        <v>0.0</v>
      </c>
    </row>
    <row r="929">
      <c r="F929" s="189">
        <v>0.0</v>
      </c>
    </row>
    <row r="930">
      <c r="F930" s="189">
        <v>0.0</v>
      </c>
    </row>
    <row r="931">
      <c r="F931" s="189">
        <v>0.0</v>
      </c>
    </row>
    <row r="932">
      <c r="F932" s="189">
        <v>0.0</v>
      </c>
    </row>
    <row r="933">
      <c r="F933" s="189">
        <v>0.0</v>
      </c>
    </row>
    <row r="934">
      <c r="F934" s="189">
        <v>0.0</v>
      </c>
    </row>
    <row r="935">
      <c r="F935" s="189">
        <v>0.0</v>
      </c>
    </row>
    <row r="936">
      <c r="F936" s="189">
        <v>0.0</v>
      </c>
    </row>
    <row r="937">
      <c r="F937" s="189">
        <v>0.0</v>
      </c>
    </row>
    <row r="938">
      <c r="F938" s="189">
        <v>0.0</v>
      </c>
    </row>
    <row r="939">
      <c r="F939" s="189">
        <v>0.0</v>
      </c>
    </row>
    <row r="940">
      <c r="F940" s="189">
        <v>0.0</v>
      </c>
    </row>
    <row r="941">
      <c r="F941" s="189">
        <v>0.0</v>
      </c>
    </row>
    <row r="942">
      <c r="F942" s="189">
        <v>0.0</v>
      </c>
    </row>
    <row r="943">
      <c r="F943" s="189">
        <v>0.0</v>
      </c>
    </row>
    <row r="944">
      <c r="F944" s="189">
        <v>0.0</v>
      </c>
    </row>
    <row r="945">
      <c r="F945" s="189">
        <v>0.0</v>
      </c>
    </row>
    <row r="946">
      <c r="F946" s="189">
        <v>0.0</v>
      </c>
    </row>
    <row r="947">
      <c r="F947" s="189">
        <v>0.0</v>
      </c>
    </row>
    <row r="948">
      <c r="F948" s="189">
        <v>0.0</v>
      </c>
    </row>
    <row r="949">
      <c r="F949" s="189">
        <v>0.0</v>
      </c>
    </row>
    <row r="950">
      <c r="F950" s="189">
        <v>0.0</v>
      </c>
    </row>
    <row r="951">
      <c r="F951" s="189">
        <v>0.0</v>
      </c>
    </row>
    <row r="952">
      <c r="F952" s="189">
        <v>0.0</v>
      </c>
    </row>
    <row r="953">
      <c r="F953" s="189">
        <v>0.0</v>
      </c>
    </row>
    <row r="954">
      <c r="F954" s="189">
        <v>0.0</v>
      </c>
    </row>
    <row r="955">
      <c r="F955" s="189">
        <v>0.0</v>
      </c>
    </row>
    <row r="956">
      <c r="F956" s="189">
        <v>0.0</v>
      </c>
    </row>
    <row r="957">
      <c r="F957" s="189">
        <v>0.0</v>
      </c>
    </row>
    <row r="958">
      <c r="F958" s="189">
        <v>0.0</v>
      </c>
    </row>
    <row r="959">
      <c r="F959" s="189">
        <v>0.0</v>
      </c>
    </row>
    <row r="960">
      <c r="F960" s="189">
        <v>0.0</v>
      </c>
    </row>
    <row r="961">
      <c r="F961" s="189">
        <v>0.0</v>
      </c>
    </row>
    <row r="962">
      <c r="F962" s="189">
        <v>0.0</v>
      </c>
    </row>
    <row r="963">
      <c r="F963" s="189">
        <v>0.0</v>
      </c>
    </row>
    <row r="964">
      <c r="F964" s="189">
        <v>0.0</v>
      </c>
    </row>
    <row r="965">
      <c r="F965" s="189">
        <v>0.0</v>
      </c>
    </row>
    <row r="966">
      <c r="F966" s="189">
        <v>0.0</v>
      </c>
    </row>
    <row r="967">
      <c r="F967" s="189">
        <v>0.0</v>
      </c>
    </row>
    <row r="968">
      <c r="F968" s="189">
        <v>0.0</v>
      </c>
    </row>
    <row r="969">
      <c r="F969" s="189">
        <v>0.0</v>
      </c>
    </row>
    <row r="970">
      <c r="F970" s="189">
        <v>0.0</v>
      </c>
    </row>
    <row r="971">
      <c r="F971" s="189">
        <v>0.0</v>
      </c>
    </row>
    <row r="972">
      <c r="F972" s="189">
        <v>0.0</v>
      </c>
    </row>
    <row r="973">
      <c r="F973" s="189">
        <v>0.0</v>
      </c>
    </row>
    <row r="974">
      <c r="F974" s="189">
        <v>0.0</v>
      </c>
    </row>
    <row r="975">
      <c r="F975" s="189">
        <v>0.0</v>
      </c>
    </row>
    <row r="976">
      <c r="F976" s="189">
        <v>0.0</v>
      </c>
    </row>
    <row r="977">
      <c r="F977" s="189">
        <v>0.0</v>
      </c>
    </row>
    <row r="978">
      <c r="F978" s="189">
        <v>0.0</v>
      </c>
    </row>
    <row r="979">
      <c r="F979" s="189">
        <v>0.0</v>
      </c>
    </row>
    <row r="980">
      <c r="F980" s="189">
        <v>0.0</v>
      </c>
    </row>
    <row r="981">
      <c r="F981" s="189">
        <v>0.0</v>
      </c>
    </row>
    <row r="982">
      <c r="F982" s="189">
        <v>0.0</v>
      </c>
    </row>
    <row r="983">
      <c r="F983" s="189">
        <v>0.0</v>
      </c>
    </row>
    <row r="984">
      <c r="F984" s="189">
        <v>0.0</v>
      </c>
    </row>
    <row r="985">
      <c r="F985" s="189">
        <v>0.0</v>
      </c>
    </row>
    <row r="986">
      <c r="F986" s="189">
        <v>0.0</v>
      </c>
    </row>
    <row r="987">
      <c r="F987" s="189">
        <v>0.0</v>
      </c>
    </row>
    <row r="988">
      <c r="F988" s="189">
        <v>0.0</v>
      </c>
    </row>
    <row r="989">
      <c r="F989" s="189">
        <v>0.0</v>
      </c>
    </row>
    <row r="990">
      <c r="F990" s="189">
        <v>0.0</v>
      </c>
    </row>
    <row r="991">
      <c r="F991" s="189">
        <v>0.0</v>
      </c>
    </row>
    <row r="992">
      <c r="F992" s="189">
        <v>0.0</v>
      </c>
    </row>
    <row r="993">
      <c r="F993" s="189">
        <v>0.0</v>
      </c>
    </row>
    <row r="994">
      <c r="F994" s="189">
        <v>0.0</v>
      </c>
    </row>
    <row r="995">
      <c r="F995" s="189">
        <v>0.0</v>
      </c>
    </row>
    <row r="996">
      <c r="F996" s="189">
        <v>0.0</v>
      </c>
    </row>
    <row r="997">
      <c r="F997" s="189">
        <v>0.0</v>
      </c>
    </row>
    <row r="998">
      <c r="F998" s="189">
        <v>0.0</v>
      </c>
    </row>
    <row r="999">
      <c r="F999" s="189">
        <v>0.0</v>
      </c>
    </row>
    <row r="1000">
      <c r="F1000" s="189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234</v>
      </c>
      <c r="D1" s="182" t="s">
        <v>235</v>
      </c>
    </row>
    <row r="2">
      <c r="A2" s="182" t="s">
        <v>236</v>
      </c>
      <c r="B2" s="182" t="s">
        <v>232</v>
      </c>
      <c r="C2" s="182">
        <v>258.0</v>
      </c>
      <c r="D2" s="182">
        <v>14.0</v>
      </c>
    </row>
    <row r="3">
      <c r="A3" s="182" t="s">
        <v>237</v>
      </c>
      <c r="B3" s="182" t="s">
        <v>179</v>
      </c>
      <c r="C3" s="182">
        <v>255.0</v>
      </c>
      <c r="D3" s="182">
        <v>17.0</v>
      </c>
    </row>
    <row r="4">
      <c r="A4" s="182" t="s">
        <v>239</v>
      </c>
      <c r="B4" s="182" t="s">
        <v>181</v>
      </c>
      <c r="C4" s="182">
        <v>249.0</v>
      </c>
      <c r="D4" s="182">
        <v>34.0</v>
      </c>
    </row>
    <row r="5">
      <c r="A5" s="182" t="s">
        <v>238</v>
      </c>
      <c r="B5" s="182" t="s">
        <v>180</v>
      </c>
      <c r="C5" s="182">
        <v>247.0</v>
      </c>
      <c r="D5" s="182">
        <v>28.0</v>
      </c>
    </row>
    <row r="6">
      <c r="A6" s="182" t="s">
        <v>240</v>
      </c>
      <c r="B6" s="182" t="s">
        <v>182</v>
      </c>
      <c r="C6" s="182">
        <v>243.0</v>
      </c>
      <c r="D6" s="182">
        <v>20.0</v>
      </c>
    </row>
    <row r="7">
      <c r="A7" s="182" t="s">
        <v>242</v>
      </c>
      <c r="B7" s="182" t="s">
        <v>183</v>
      </c>
      <c r="C7" s="182">
        <v>234.0</v>
      </c>
      <c r="D7" s="182">
        <v>26.0</v>
      </c>
    </row>
    <row r="8">
      <c r="A8" s="182" t="s">
        <v>241</v>
      </c>
      <c r="B8" s="182" t="s">
        <v>1</v>
      </c>
      <c r="C8" s="182">
        <v>232.0</v>
      </c>
      <c r="D8" s="182">
        <v>31.0</v>
      </c>
    </row>
    <row r="9">
      <c r="A9" s="182" t="s">
        <v>243</v>
      </c>
      <c r="B9" s="182" t="s">
        <v>232</v>
      </c>
      <c r="C9" s="182">
        <v>231.0</v>
      </c>
      <c r="D9" s="182">
        <v>14.0</v>
      </c>
    </row>
    <row r="10">
      <c r="A10" s="182" t="s">
        <v>244</v>
      </c>
      <c r="B10" s="182" t="s">
        <v>184</v>
      </c>
      <c r="C10" s="182">
        <v>231.0</v>
      </c>
      <c r="D10" s="182">
        <v>33.0</v>
      </c>
    </row>
    <row r="11">
      <c r="A11" s="182" t="s">
        <v>245</v>
      </c>
      <c r="B11" s="182" t="s">
        <v>185</v>
      </c>
      <c r="C11" s="182">
        <v>225.0</v>
      </c>
      <c r="D11" s="182">
        <v>34.0</v>
      </c>
    </row>
    <row r="12">
      <c r="A12" s="182" t="s">
        <v>246</v>
      </c>
      <c r="B12" s="182" t="s">
        <v>180</v>
      </c>
      <c r="C12" s="182">
        <v>223.0</v>
      </c>
      <c r="D12" s="182">
        <v>28.0</v>
      </c>
    </row>
    <row r="13">
      <c r="A13" s="182" t="s">
        <v>248</v>
      </c>
      <c r="B13" s="182" t="s">
        <v>187</v>
      </c>
      <c r="C13" s="182">
        <v>221.0</v>
      </c>
      <c r="D13" s="182">
        <v>24.0</v>
      </c>
    </row>
    <row r="14">
      <c r="A14" s="182" t="s">
        <v>249</v>
      </c>
      <c r="B14" s="182" t="s">
        <v>180</v>
      </c>
      <c r="C14" s="182">
        <v>221.0</v>
      </c>
      <c r="D14" s="182">
        <v>28.0</v>
      </c>
    </row>
    <row r="15">
      <c r="A15" s="182" t="s">
        <v>247</v>
      </c>
      <c r="B15" s="182" t="s">
        <v>186</v>
      </c>
      <c r="C15" s="182">
        <v>221.0</v>
      </c>
      <c r="D15" s="182">
        <v>30.0</v>
      </c>
    </row>
    <row r="16">
      <c r="A16" s="182" t="s">
        <v>250</v>
      </c>
      <c r="B16" s="182" t="s">
        <v>188</v>
      </c>
      <c r="C16" s="182">
        <v>219.0</v>
      </c>
      <c r="D16" s="182">
        <v>28.0</v>
      </c>
    </row>
    <row r="17">
      <c r="A17" s="182" t="s">
        <v>251</v>
      </c>
      <c r="B17" s="182" t="s">
        <v>181</v>
      </c>
      <c r="C17" s="182">
        <v>217.0</v>
      </c>
      <c r="D17" s="182">
        <v>34.0</v>
      </c>
    </row>
    <row r="18">
      <c r="A18" s="182" t="s">
        <v>252</v>
      </c>
      <c r="B18" s="182" t="s">
        <v>189</v>
      </c>
      <c r="C18" s="182">
        <v>216.0</v>
      </c>
      <c r="D18" s="182">
        <v>23.0</v>
      </c>
    </row>
    <row r="19">
      <c r="A19" s="182" t="s">
        <v>253</v>
      </c>
      <c r="B19" s="182" t="s">
        <v>187</v>
      </c>
      <c r="C19" s="182">
        <v>215.0</v>
      </c>
      <c r="D19" s="182">
        <v>24.0</v>
      </c>
    </row>
    <row r="20">
      <c r="A20" s="182" t="s">
        <v>254</v>
      </c>
      <c r="B20" s="182" t="s">
        <v>189</v>
      </c>
      <c r="C20" s="182">
        <v>214.0</v>
      </c>
      <c r="D20" s="182">
        <v>23.0</v>
      </c>
    </row>
    <row r="21">
      <c r="A21" s="182" t="s">
        <v>256</v>
      </c>
      <c r="B21" s="182" t="s">
        <v>182</v>
      </c>
      <c r="C21" s="182">
        <v>213.0</v>
      </c>
      <c r="D21" s="182">
        <v>20.0</v>
      </c>
    </row>
    <row r="22">
      <c r="A22" s="182" t="s">
        <v>255</v>
      </c>
      <c r="B22" s="182" t="s">
        <v>1</v>
      </c>
      <c r="C22" s="182">
        <v>212.0</v>
      </c>
      <c r="D22" s="182">
        <v>31.0</v>
      </c>
    </row>
    <row r="23">
      <c r="A23" s="182" t="s">
        <v>257</v>
      </c>
      <c r="B23" s="182" t="s">
        <v>190</v>
      </c>
      <c r="C23" s="182">
        <v>212.0</v>
      </c>
      <c r="D23" s="182">
        <v>30.0</v>
      </c>
    </row>
    <row r="24">
      <c r="A24" s="182" t="s">
        <v>258</v>
      </c>
      <c r="B24" s="182" t="s">
        <v>186</v>
      </c>
      <c r="C24" s="182">
        <v>212.0</v>
      </c>
      <c r="D24" s="182">
        <v>30.0</v>
      </c>
    </row>
    <row r="25">
      <c r="A25" s="182" t="s">
        <v>261</v>
      </c>
      <c r="B25" s="182" t="s">
        <v>179</v>
      </c>
      <c r="C25" s="182">
        <v>211.0</v>
      </c>
      <c r="D25" s="182">
        <v>17.0</v>
      </c>
    </row>
    <row r="26">
      <c r="A26" s="182" t="s">
        <v>259</v>
      </c>
      <c r="B26" s="182" t="s">
        <v>184</v>
      </c>
      <c r="C26" s="182">
        <v>211.0</v>
      </c>
      <c r="D26" s="182">
        <v>33.0</v>
      </c>
    </row>
    <row r="27">
      <c r="A27" s="182" t="s">
        <v>260</v>
      </c>
      <c r="B27" s="182" t="s">
        <v>191</v>
      </c>
      <c r="C27" s="182">
        <v>211.0</v>
      </c>
      <c r="D27" s="182">
        <v>28.0</v>
      </c>
    </row>
    <row r="28">
      <c r="A28" s="182" t="s">
        <v>262</v>
      </c>
      <c r="B28" s="182" t="s">
        <v>190</v>
      </c>
      <c r="C28" s="182">
        <v>210.0</v>
      </c>
      <c r="D28" s="182">
        <v>30.0</v>
      </c>
    </row>
    <row r="29">
      <c r="A29" s="182" t="s">
        <v>264</v>
      </c>
      <c r="B29" s="182" t="s">
        <v>184</v>
      </c>
      <c r="C29" s="182">
        <v>207.0</v>
      </c>
      <c r="D29" s="182">
        <v>33.0</v>
      </c>
    </row>
    <row r="30">
      <c r="A30" s="182" t="s">
        <v>270</v>
      </c>
      <c r="B30" s="182" t="s">
        <v>183</v>
      </c>
      <c r="C30" s="182">
        <v>206.0</v>
      </c>
      <c r="D30" s="182">
        <v>26.0</v>
      </c>
    </row>
    <row r="31">
      <c r="A31" s="182" t="s">
        <v>265</v>
      </c>
      <c r="B31" s="182" t="s">
        <v>183</v>
      </c>
      <c r="C31" s="182">
        <v>205.0</v>
      </c>
      <c r="D31" s="182">
        <v>26.0</v>
      </c>
    </row>
    <row r="32">
      <c r="A32" s="182" t="s">
        <v>266</v>
      </c>
      <c r="B32" s="182" t="s">
        <v>1</v>
      </c>
      <c r="C32" s="182">
        <v>205.0</v>
      </c>
      <c r="D32" s="182">
        <v>31.0</v>
      </c>
    </row>
    <row r="33">
      <c r="A33" s="182" t="s">
        <v>267</v>
      </c>
      <c r="B33" s="182" t="s">
        <v>232</v>
      </c>
      <c r="C33" s="182">
        <v>204.0</v>
      </c>
      <c r="D33" s="182">
        <v>14.0</v>
      </c>
    </row>
    <row r="34">
      <c r="A34" s="182" t="s">
        <v>269</v>
      </c>
      <c r="B34" s="182" t="s">
        <v>179</v>
      </c>
      <c r="C34" s="182">
        <v>204.0</v>
      </c>
      <c r="D34" s="182">
        <v>17.0</v>
      </c>
    </row>
    <row r="35">
      <c r="A35" s="182" t="s">
        <v>268</v>
      </c>
      <c r="B35" s="182" t="s">
        <v>179</v>
      </c>
      <c r="C35" s="182">
        <v>204.0</v>
      </c>
      <c r="D35" s="182">
        <v>17.0</v>
      </c>
    </row>
    <row r="36">
      <c r="A36" s="182" t="s">
        <v>274</v>
      </c>
      <c r="B36" s="182" t="s">
        <v>189</v>
      </c>
      <c r="C36" s="182">
        <v>202.0</v>
      </c>
      <c r="D36" s="182">
        <v>23.0</v>
      </c>
    </row>
    <row r="37">
      <c r="A37" s="182" t="s">
        <v>272</v>
      </c>
      <c r="B37" s="182" t="s">
        <v>185</v>
      </c>
      <c r="C37" s="182">
        <v>202.0</v>
      </c>
      <c r="D37" s="182">
        <v>20.0</v>
      </c>
    </row>
    <row r="38">
      <c r="A38" s="182" t="s">
        <v>263</v>
      </c>
      <c r="B38" s="182" t="s">
        <v>181</v>
      </c>
      <c r="C38" s="182">
        <v>202.0</v>
      </c>
      <c r="D38" s="182">
        <v>34.0</v>
      </c>
    </row>
    <row r="39">
      <c r="A39" s="182" t="s">
        <v>271</v>
      </c>
      <c r="B39" s="182" t="s">
        <v>186</v>
      </c>
      <c r="C39" s="182">
        <v>202.0</v>
      </c>
      <c r="D39" s="182">
        <v>30.0</v>
      </c>
    </row>
    <row r="40">
      <c r="A40" s="182" t="s">
        <v>276</v>
      </c>
      <c r="B40" s="182" t="s">
        <v>185</v>
      </c>
      <c r="C40" s="182">
        <v>201.0</v>
      </c>
      <c r="D40" s="182">
        <v>34.0</v>
      </c>
    </row>
    <row r="41">
      <c r="A41" s="182" t="s">
        <v>277</v>
      </c>
      <c r="B41" s="182" t="s">
        <v>187</v>
      </c>
      <c r="C41" s="182">
        <v>201.0</v>
      </c>
      <c r="D41" s="182">
        <v>24.0</v>
      </c>
    </row>
    <row r="42">
      <c r="A42" s="182" t="s">
        <v>275</v>
      </c>
      <c r="B42" s="182" t="s">
        <v>1</v>
      </c>
      <c r="C42" s="182">
        <v>200.0</v>
      </c>
      <c r="D42" s="182">
        <v>31.0</v>
      </c>
    </row>
    <row r="43">
      <c r="A43" s="182" t="s">
        <v>278</v>
      </c>
      <c r="B43" s="182" t="s">
        <v>182</v>
      </c>
      <c r="C43" s="182">
        <v>200.0</v>
      </c>
      <c r="D43" s="182">
        <v>20.0</v>
      </c>
    </row>
    <row r="44">
      <c r="A44" s="182" t="s">
        <v>279</v>
      </c>
      <c r="B44" s="182" t="s">
        <v>189</v>
      </c>
      <c r="C44" s="182">
        <v>200.0</v>
      </c>
      <c r="D44" s="182">
        <v>23.0</v>
      </c>
    </row>
    <row r="45">
      <c r="A45" s="182" t="s">
        <v>280</v>
      </c>
      <c r="B45" s="182" t="s">
        <v>186</v>
      </c>
      <c r="C45" s="182">
        <v>199.0</v>
      </c>
      <c r="D45" s="182">
        <v>30.0</v>
      </c>
    </row>
    <row r="46">
      <c r="A46" s="182" t="s">
        <v>281</v>
      </c>
      <c r="B46" s="182" t="s">
        <v>187</v>
      </c>
      <c r="C46" s="182">
        <v>198.0</v>
      </c>
      <c r="D46" s="182">
        <v>24.0</v>
      </c>
    </row>
    <row r="47">
      <c r="A47" s="182" t="s">
        <v>282</v>
      </c>
      <c r="B47" s="182" t="s">
        <v>183</v>
      </c>
      <c r="C47" s="182">
        <v>195.0</v>
      </c>
      <c r="D47" s="182">
        <v>26.0</v>
      </c>
    </row>
    <row r="48">
      <c r="A48" s="182" t="s">
        <v>283</v>
      </c>
      <c r="B48" s="182" t="s">
        <v>183</v>
      </c>
      <c r="C48" s="182">
        <v>194.0</v>
      </c>
      <c r="D48" s="182">
        <v>19.0</v>
      </c>
    </row>
    <row r="49">
      <c r="A49" s="182" t="s">
        <v>284</v>
      </c>
      <c r="B49" s="182" t="s">
        <v>188</v>
      </c>
      <c r="C49" s="182">
        <v>193.0</v>
      </c>
      <c r="D49" s="182">
        <v>28.0</v>
      </c>
    </row>
    <row r="50">
      <c r="A50" s="182" t="s">
        <v>273</v>
      </c>
      <c r="B50" s="182" t="s">
        <v>181</v>
      </c>
      <c r="C50" s="182">
        <v>192.0</v>
      </c>
      <c r="D50" s="182">
        <v>34.0</v>
      </c>
    </row>
    <row r="51">
      <c r="A51" s="182" t="s">
        <v>285</v>
      </c>
      <c r="B51" s="182" t="s">
        <v>232</v>
      </c>
      <c r="C51" s="182">
        <v>192.0</v>
      </c>
      <c r="D51" s="182">
        <v>14.0</v>
      </c>
    </row>
    <row r="52">
      <c r="A52" s="182" t="s">
        <v>287</v>
      </c>
      <c r="B52" s="182" t="s">
        <v>190</v>
      </c>
      <c r="C52" s="182">
        <v>190.0</v>
      </c>
      <c r="D52" s="182">
        <v>30.0</v>
      </c>
    </row>
    <row r="53">
      <c r="A53" s="182" t="s">
        <v>290</v>
      </c>
      <c r="B53" s="182" t="s">
        <v>190</v>
      </c>
      <c r="C53" s="182">
        <v>190.0</v>
      </c>
      <c r="D53" s="182">
        <v>30.0</v>
      </c>
    </row>
    <row r="54">
      <c r="A54" s="182" t="s">
        <v>286</v>
      </c>
      <c r="B54" s="182" t="s">
        <v>185</v>
      </c>
      <c r="C54" s="182">
        <v>190.0</v>
      </c>
      <c r="D54" s="182">
        <v>33.0</v>
      </c>
    </row>
    <row r="55">
      <c r="A55" s="182" t="s">
        <v>288</v>
      </c>
      <c r="B55" s="182" t="s">
        <v>185</v>
      </c>
      <c r="C55" s="182">
        <v>190.0</v>
      </c>
      <c r="D55" s="182">
        <v>5.0</v>
      </c>
    </row>
    <row r="56">
      <c r="A56" s="182" t="s">
        <v>289</v>
      </c>
      <c r="B56" s="182" t="s">
        <v>184</v>
      </c>
      <c r="C56" s="182">
        <v>190.0</v>
      </c>
      <c r="D56" s="182">
        <v>33.0</v>
      </c>
    </row>
    <row r="57">
      <c r="A57" s="182" t="s">
        <v>291</v>
      </c>
      <c r="B57" s="182" t="s">
        <v>187</v>
      </c>
      <c r="C57" s="182">
        <v>189.0</v>
      </c>
      <c r="D57" s="182">
        <v>24.0</v>
      </c>
    </row>
    <row r="58">
      <c r="A58" s="182" t="s">
        <v>292</v>
      </c>
      <c r="B58" s="182" t="s">
        <v>180</v>
      </c>
      <c r="C58" s="182">
        <v>188.0</v>
      </c>
      <c r="D58" s="182">
        <v>28.0</v>
      </c>
    </row>
    <row r="59">
      <c r="A59" s="182" t="s">
        <v>293</v>
      </c>
      <c r="B59" s="182" t="s">
        <v>182</v>
      </c>
      <c r="C59" s="182">
        <v>186.0</v>
      </c>
      <c r="D59" s="182">
        <v>20.0</v>
      </c>
    </row>
    <row r="60">
      <c r="A60" s="182" t="s">
        <v>294</v>
      </c>
      <c r="B60" s="182" t="s">
        <v>180</v>
      </c>
      <c r="C60" s="182">
        <v>185.0</v>
      </c>
      <c r="D60" s="182">
        <v>28.0</v>
      </c>
    </row>
    <row r="61">
      <c r="A61" s="182" t="s">
        <v>295</v>
      </c>
      <c r="B61" s="182" t="s">
        <v>188</v>
      </c>
      <c r="C61" s="182">
        <v>183.0</v>
      </c>
      <c r="D61" s="182">
        <v>28.0</v>
      </c>
    </row>
    <row r="62">
      <c r="A62" s="182" t="s">
        <v>296</v>
      </c>
      <c r="B62" s="182" t="s">
        <v>185</v>
      </c>
      <c r="C62" s="182">
        <v>183.0</v>
      </c>
      <c r="D62" s="182">
        <v>30.0</v>
      </c>
    </row>
    <row r="63">
      <c r="A63" s="182" t="s">
        <v>298</v>
      </c>
      <c r="B63" s="182" t="s">
        <v>184</v>
      </c>
      <c r="C63" s="182">
        <v>179.0</v>
      </c>
      <c r="D63" s="182">
        <v>10.0</v>
      </c>
    </row>
    <row r="64">
      <c r="A64" s="182" t="s">
        <v>300</v>
      </c>
      <c r="B64" s="182" t="s">
        <v>192</v>
      </c>
      <c r="C64" s="182">
        <v>177.0</v>
      </c>
      <c r="D64" s="182">
        <v>14.0</v>
      </c>
    </row>
    <row r="65">
      <c r="A65" s="182" t="s">
        <v>302</v>
      </c>
      <c r="B65" s="182" t="s">
        <v>184</v>
      </c>
      <c r="C65" s="182">
        <v>176.0</v>
      </c>
      <c r="D65" s="182">
        <v>23.0</v>
      </c>
    </row>
    <row r="66">
      <c r="A66" s="182" t="s">
        <v>301</v>
      </c>
      <c r="B66" s="182" t="s">
        <v>182</v>
      </c>
      <c r="C66" s="182">
        <v>176.0</v>
      </c>
      <c r="D66" s="182">
        <v>20.0</v>
      </c>
    </row>
    <row r="67">
      <c r="A67" s="182" t="s">
        <v>299</v>
      </c>
      <c r="B67" s="182" t="s">
        <v>1</v>
      </c>
      <c r="C67" s="182">
        <v>176.0</v>
      </c>
      <c r="D67" s="182">
        <v>31.0</v>
      </c>
    </row>
    <row r="68">
      <c r="A68" s="182" t="s">
        <v>303</v>
      </c>
      <c r="B68" s="182" t="s">
        <v>232</v>
      </c>
      <c r="C68" s="182">
        <v>175.0</v>
      </c>
      <c r="D68" s="182">
        <v>14.0</v>
      </c>
    </row>
    <row r="69">
      <c r="A69" s="182" t="s">
        <v>304</v>
      </c>
      <c r="B69" s="182" t="s">
        <v>188</v>
      </c>
      <c r="C69" s="182">
        <v>173.0</v>
      </c>
      <c r="D69" s="182">
        <v>28.0</v>
      </c>
    </row>
    <row r="70">
      <c r="A70" s="182" t="s">
        <v>297</v>
      </c>
      <c r="B70" s="182" t="s">
        <v>181</v>
      </c>
      <c r="C70" s="182">
        <v>172.0</v>
      </c>
      <c r="D70" s="182">
        <v>34.0</v>
      </c>
    </row>
    <row r="71">
      <c r="A71" s="182" t="s">
        <v>305</v>
      </c>
      <c r="B71" s="182" t="s">
        <v>190</v>
      </c>
      <c r="C71" s="182">
        <v>167.0</v>
      </c>
      <c r="D71" s="182">
        <v>30.0</v>
      </c>
    </row>
    <row r="72">
      <c r="A72" s="182" t="s">
        <v>306</v>
      </c>
      <c r="B72" s="182" t="s">
        <v>186</v>
      </c>
      <c r="C72" s="182">
        <v>167.0</v>
      </c>
      <c r="D72" s="182">
        <v>30.0</v>
      </c>
    </row>
    <row r="73">
      <c r="A73" s="182" t="s">
        <v>307</v>
      </c>
      <c r="B73" s="182" t="s">
        <v>189</v>
      </c>
      <c r="C73" s="182">
        <v>166.0</v>
      </c>
      <c r="D73" s="182">
        <v>23.0</v>
      </c>
    </row>
    <row r="74">
      <c r="A74" s="182" t="s">
        <v>308</v>
      </c>
      <c r="B74" s="182" t="s">
        <v>179</v>
      </c>
      <c r="C74" s="182">
        <v>163.0</v>
      </c>
      <c r="D74" s="182">
        <v>17.0</v>
      </c>
    </row>
    <row r="75">
      <c r="A75" s="182" t="s">
        <v>309</v>
      </c>
      <c r="B75" s="182" t="s">
        <v>193</v>
      </c>
      <c r="C75" s="182">
        <v>160.0</v>
      </c>
      <c r="D75" s="182">
        <v>7.0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199</v>
      </c>
    </row>
    <row r="2">
      <c r="A2" s="182" t="s">
        <v>244</v>
      </c>
      <c r="B2" s="182" t="s">
        <v>184</v>
      </c>
      <c r="C2" s="182">
        <v>545.0</v>
      </c>
    </row>
    <row r="3">
      <c r="A3" s="182" t="s">
        <v>239</v>
      </c>
      <c r="B3" s="182" t="s">
        <v>181</v>
      </c>
      <c r="C3" s="182">
        <v>532.0</v>
      </c>
    </row>
    <row r="4">
      <c r="A4" s="182" t="s">
        <v>262</v>
      </c>
      <c r="B4" s="182" t="s">
        <v>190</v>
      </c>
      <c r="C4" s="182">
        <v>516.0</v>
      </c>
    </row>
    <row r="5">
      <c r="A5" s="182" t="s">
        <v>245</v>
      </c>
      <c r="B5" s="182" t="s">
        <v>185</v>
      </c>
      <c r="C5" s="182">
        <v>511.0</v>
      </c>
    </row>
    <row r="6">
      <c r="A6" s="182" t="s">
        <v>276</v>
      </c>
      <c r="B6" s="182" t="s">
        <v>185</v>
      </c>
      <c r="C6" s="182">
        <v>503.0</v>
      </c>
    </row>
    <row r="7">
      <c r="A7" s="182" t="s">
        <v>259</v>
      </c>
      <c r="B7" s="182" t="s">
        <v>184</v>
      </c>
      <c r="C7" s="182">
        <v>486.0</v>
      </c>
    </row>
    <row r="8">
      <c r="A8" s="182" t="s">
        <v>305</v>
      </c>
      <c r="B8" s="182" t="s">
        <v>190</v>
      </c>
      <c r="C8" s="182">
        <v>484.0</v>
      </c>
    </row>
    <row r="9">
      <c r="A9" s="182" t="s">
        <v>255</v>
      </c>
      <c r="B9" s="182" t="s">
        <v>1</v>
      </c>
      <c r="C9" s="182">
        <v>483.0</v>
      </c>
    </row>
    <row r="10">
      <c r="A10" s="182" t="s">
        <v>286</v>
      </c>
      <c r="B10" s="182" t="s">
        <v>185</v>
      </c>
      <c r="C10" s="182">
        <v>481.0</v>
      </c>
    </row>
    <row r="11">
      <c r="A11" s="182" t="s">
        <v>273</v>
      </c>
      <c r="B11" s="182" t="s">
        <v>181</v>
      </c>
      <c r="C11" s="182">
        <v>477.0</v>
      </c>
    </row>
    <row r="12">
      <c r="A12" s="182" t="s">
        <v>257</v>
      </c>
      <c r="B12" s="182" t="s">
        <v>190</v>
      </c>
      <c r="C12" s="182">
        <v>473.0</v>
      </c>
    </row>
    <row r="13">
      <c r="A13" s="182" t="s">
        <v>297</v>
      </c>
      <c r="B13" s="182" t="s">
        <v>181</v>
      </c>
      <c r="C13" s="182">
        <v>461.0</v>
      </c>
    </row>
    <row r="14">
      <c r="A14" s="182" t="s">
        <v>289</v>
      </c>
      <c r="B14" s="182" t="s">
        <v>184</v>
      </c>
      <c r="C14" s="182">
        <v>460.0</v>
      </c>
    </row>
    <row r="15">
      <c r="A15" s="182" t="s">
        <v>251</v>
      </c>
      <c r="B15" s="182" t="s">
        <v>181</v>
      </c>
      <c r="C15" s="182">
        <v>448.0</v>
      </c>
    </row>
    <row r="16">
      <c r="A16" s="182" t="s">
        <v>296</v>
      </c>
      <c r="B16" s="182" t="s">
        <v>185</v>
      </c>
      <c r="C16" s="182">
        <v>447.0</v>
      </c>
    </row>
    <row r="17">
      <c r="A17" s="182" t="s">
        <v>290</v>
      </c>
      <c r="B17" s="182" t="s">
        <v>190</v>
      </c>
      <c r="C17" s="182">
        <v>447.0</v>
      </c>
    </row>
    <row r="18">
      <c r="A18" s="182" t="s">
        <v>263</v>
      </c>
      <c r="B18" s="182" t="s">
        <v>181</v>
      </c>
      <c r="C18" s="182">
        <v>446.0</v>
      </c>
    </row>
    <row r="19">
      <c r="A19" s="182" t="s">
        <v>287</v>
      </c>
      <c r="B19" s="182" t="s">
        <v>190</v>
      </c>
      <c r="C19" s="182">
        <v>440.0</v>
      </c>
    </row>
    <row r="20">
      <c r="A20" s="182" t="s">
        <v>306</v>
      </c>
      <c r="B20" s="182" t="s">
        <v>186</v>
      </c>
      <c r="C20" s="182">
        <v>434.0</v>
      </c>
    </row>
    <row r="21">
      <c r="A21" s="182" t="s">
        <v>241</v>
      </c>
      <c r="B21" s="182" t="s">
        <v>1</v>
      </c>
      <c r="C21" s="182">
        <v>431.0</v>
      </c>
    </row>
    <row r="22">
      <c r="A22" s="182" t="s">
        <v>280</v>
      </c>
      <c r="B22" s="182" t="s">
        <v>186</v>
      </c>
      <c r="C22" s="182">
        <v>426.0</v>
      </c>
    </row>
    <row r="23">
      <c r="A23" s="182" t="s">
        <v>247</v>
      </c>
      <c r="B23" s="182" t="s">
        <v>186</v>
      </c>
      <c r="C23" s="182">
        <v>426.0</v>
      </c>
    </row>
    <row r="24">
      <c r="A24" s="182" t="s">
        <v>271</v>
      </c>
      <c r="B24" s="182" t="s">
        <v>186</v>
      </c>
      <c r="C24" s="182">
        <v>424.0</v>
      </c>
    </row>
    <row r="25">
      <c r="A25" s="182" t="s">
        <v>284</v>
      </c>
      <c r="B25" s="182" t="s">
        <v>188</v>
      </c>
      <c r="C25" s="182">
        <v>420.0</v>
      </c>
    </row>
    <row r="26">
      <c r="A26" s="182" t="s">
        <v>264</v>
      </c>
      <c r="B26" s="182" t="s">
        <v>184</v>
      </c>
      <c r="C26" s="182">
        <v>419.0</v>
      </c>
    </row>
    <row r="27">
      <c r="A27" s="182" t="s">
        <v>260</v>
      </c>
      <c r="B27" s="182" t="s">
        <v>191</v>
      </c>
      <c r="C27" s="182">
        <v>416.0</v>
      </c>
    </row>
    <row r="28">
      <c r="A28" s="182" t="s">
        <v>250</v>
      </c>
      <c r="B28" s="182" t="s">
        <v>188</v>
      </c>
      <c r="C28" s="182">
        <v>414.0</v>
      </c>
    </row>
    <row r="29">
      <c r="A29" s="182" t="s">
        <v>258</v>
      </c>
      <c r="B29" s="182" t="s">
        <v>186</v>
      </c>
      <c r="C29" s="182">
        <v>413.0</v>
      </c>
    </row>
    <row r="30">
      <c r="A30" s="182" t="s">
        <v>275</v>
      </c>
      <c r="B30" s="182" t="s">
        <v>1</v>
      </c>
      <c r="C30" s="182">
        <v>411.0</v>
      </c>
    </row>
    <row r="31">
      <c r="A31" s="182" t="s">
        <v>242</v>
      </c>
      <c r="B31" s="182" t="s">
        <v>183</v>
      </c>
      <c r="C31" s="182">
        <v>400.0</v>
      </c>
    </row>
    <row r="32">
      <c r="A32" s="182" t="s">
        <v>304</v>
      </c>
      <c r="B32" s="182" t="s">
        <v>188</v>
      </c>
      <c r="C32" s="182">
        <v>394.0</v>
      </c>
    </row>
    <row r="33">
      <c r="A33" s="182" t="s">
        <v>299</v>
      </c>
      <c r="B33" s="182" t="s">
        <v>1</v>
      </c>
      <c r="C33" s="182">
        <v>390.0</v>
      </c>
    </row>
    <row r="34">
      <c r="A34" s="182" t="s">
        <v>266</v>
      </c>
      <c r="B34" s="182" t="s">
        <v>1</v>
      </c>
      <c r="C34" s="182">
        <v>385.0</v>
      </c>
    </row>
    <row r="35">
      <c r="A35" s="182" t="s">
        <v>294</v>
      </c>
      <c r="B35" s="182" t="s">
        <v>180</v>
      </c>
      <c r="C35" s="182">
        <v>383.0</v>
      </c>
    </row>
    <row r="36">
      <c r="A36" s="182" t="s">
        <v>277</v>
      </c>
      <c r="B36" s="182" t="s">
        <v>187</v>
      </c>
      <c r="C36" s="182">
        <v>376.0</v>
      </c>
    </row>
    <row r="37">
      <c r="A37" s="182" t="s">
        <v>270</v>
      </c>
      <c r="B37" s="182" t="s">
        <v>183</v>
      </c>
      <c r="C37" s="182">
        <v>373.0</v>
      </c>
    </row>
    <row r="38">
      <c r="A38" s="182" t="s">
        <v>238</v>
      </c>
      <c r="B38" s="182" t="s">
        <v>180</v>
      </c>
      <c r="C38" s="182">
        <v>371.0</v>
      </c>
    </row>
    <row r="39">
      <c r="A39" s="182" t="s">
        <v>295</v>
      </c>
      <c r="B39" s="182" t="s">
        <v>188</v>
      </c>
      <c r="C39" s="182">
        <v>368.0</v>
      </c>
    </row>
    <row r="40">
      <c r="A40" s="182" t="s">
        <v>249</v>
      </c>
      <c r="B40" s="182" t="s">
        <v>180</v>
      </c>
      <c r="C40" s="182">
        <v>360.0</v>
      </c>
    </row>
    <row r="41">
      <c r="A41" s="182" t="s">
        <v>279</v>
      </c>
      <c r="B41" s="182" t="s">
        <v>189</v>
      </c>
      <c r="C41" s="182">
        <v>360.0</v>
      </c>
    </row>
    <row r="42">
      <c r="A42" s="182" t="s">
        <v>265</v>
      </c>
      <c r="B42" s="182" t="s">
        <v>183</v>
      </c>
      <c r="C42" s="182">
        <v>355.0</v>
      </c>
    </row>
    <row r="43">
      <c r="A43" s="182" t="s">
        <v>252</v>
      </c>
      <c r="B43" s="182" t="s">
        <v>189</v>
      </c>
      <c r="C43" s="182">
        <v>349.0</v>
      </c>
    </row>
    <row r="44">
      <c r="A44" s="182" t="s">
        <v>253</v>
      </c>
      <c r="B44" s="182" t="s">
        <v>187</v>
      </c>
      <c r="C44" s="182">
        <v>348.0</v>
      </c>
    </row>
    <row r="45">
      <c r="A45" s="182" t="s">
        <v>292</v>
      </c>
      <c r="B45" s="182" t="s">
        <v>180</v>
      </c>
      <c r="C45" s="182">
        <v>344.0</v>
      </c>
    </row>
    <row r="46">
      <c r="A46" s="182" t="s">
        <v>282</v>
      </c>
      <c r="B46" s="182" t="s">
        <v>183</v>
      </c>
      <c r="C46" s="182">
        <v>344.0</v>
      </c>
    </row>
    <row r="47">
      <c r="A47" s="182" t="s">
        <v>291</v>
      </c>
      <c r="B47" s="182" t="s">
        <v>187</v>
      </c>
      <c r="C47" s="182">
        <v>343.0</v>
      </c>
    </row>
    <row r="48">
      <c r="A48" s="182" t="s">
        <v>248</v>
      </c>
      <c r="B48" s="182" t="s">
        <v>187</v>
      </c>
      <c r="C48" s="182">
        <v>335.0</v>
      </c>
    </row>
    <row r="49">
      <c r="A49" s="182" t="s">
        <v>274</v>
      </c>
      <c r="B49" s="182" t="s">
        <v>189</v>
      </c>
      <c r="C49" s="182">
        <v>335.0</v>
      </c>
    </row>
    <row r="50">
      <c r="A50" s="182" t="s">
        <v>246</v>
      </c>
      <c r="B50" s="182" t="s">
        <v>180</v>
      </c>
      <c r="C50" s="182">
        <v>327.0</v>
      </c>
    </row>
    <row r="51">
      <c r="A51" s="182" t="s">
        <v>281</v>
      </c>
      <c r="B51" s="182" t="s">
        <v>187</v>
      </c>
      <c r="C51" s="182">
        <v>317.0</v>
      </c>
    </row>
    <row r="52">
      <c r="A52" s="182" t="s">
        <v>307</v>
      </c>
      <c r="B52" s="182" t="s">
        <v>189</v>
      </c>
      <c r="C52" s="182">
        <v>314.0</v>
      </c>
    </row>
    <row r="53">
      <c r="A53" s="182" t="s">
        <v>302</v>
      </c>
      <c r="B53" s="182" t="s">
        <v>184</v>
      </c>
      <c r="C53" s="182">
        <v>312.0</v>
      </c>
    </row>
    <row r="54">
      <c r="A54" s="182" t="s">
        <v>254</v>
      </c>
      <c r="B54" s="182" t="s">
        <v>189</v>
      </c>
      <c r="C54" s="182">
        <v>307.0</v>
      </c>
    </row>
    <row r="55">
      <c r="A55" s="182" t="s">
        <v>272</v>
      </c>
      <c r="B55" s="182" t="s">
        <v>185</v>
      </c>
      <c r="C55" s="182">
        <v>292.0</v>
      </c>
    </row>
    <row r="56">
      <c r="A56" s="182" t="s">
        <v>240</v>
      </c>
      <c r="B56" s="182" t="s">
        <v>182</v>
      </c>
      <c r="C56" s="182">
        <v>279.0</v>
      </c>
    </row>
    <row r="57">
      <c r="A57" s="182" t="s">
        <v>283</v>
      </c>
      <c r="B57" s="182" t="s">
        <v>183</v>
      </c>
      <c r="C57" s="182">
        <v>271.0</v>
      </c>
    </row>
    <row r="58">
      <c r="A58" s="182" t="s">
        <v>256</v>
      </c>
      <c r="B58" s="182" t="s">
        <v>182</v>
      </c>
      <c r="C58" s="182">
        <v>268.0</v>
      </c>
    </row>
    <row r="59">
      <c r="A59" s="182" t="s">
        <v>301</v>
      </c>
      <c r="B59" s="182" t="s">
        <v>182</v>
      </c>
      <c r="C59" s="182">
        <v>260.0</v>
      </c>
    </row>
    <row r="60">
      <c r="A60" s="182" t="s">
        <v>293</v>
      </c>
      <c r="B60" s="182" t="s">
        <v>182</v>
      </c>
      <c r="C60" s="182">
        <v>258.0</v>
      </c>
    </row>
    <row r="61">
      <c r="A61" s="182" t="s">
        <v>278</v>
      </c>
      <c r="B61" s="182" t="s">
        <v>182</v>
      </c>
      <c r="C61" s="182">
        <v>250.0</v>
      </c>
    </row>
    <row r="62">
      <c r="A62" s="182" t="s">
        <v>237</v>
      </c>
      <c r="B62" s="182" t="s">
        <v>179</v>
      </c>
      <c r="C62" s="182">
        <v>230.0</v>
      </c>
    </row>
    <row r="63">
      <c r="A63" s="182" t="s">
        <v>269</v>
      </c>
      <c r="B63" s="182" t="s">
        <v>179</v>
      </c>
      <c r="C63" s="182">
        <v>216.0</v>
      </c>
    </row>
    <row r="64">
      <c r="A64" s="182" t="s">
        <v>300</v>
      </c>
      <c r="B64" s="182" t="s">
        <v>192</v>
      </c>
      <c r="C64" s="182">
        <v>214.0</v>
      </c>
    </row>
    <row r="65">
      <c r="A65" s="182" t="s">
        <v>308</v>
      </c>
      <c r="B65" s="182" t="s">
        <v>179</v>
      </c>
      <c r="C65" s="182">
        <v>202.0</v>
      </c>
    </row>
    <row r="66">
      <c r="A66" s="182" t="s">
        <v>261</v>
      </c>
      <c r="B66" s="182" t="s">
        <v>179</v>
      </c>
      <c r="C66" s="182">
        <v>198.0</v>
      </c>
    </row>
    <row r="67">
      <c r="A67" s="182" t="s">
        <v>268</v>
      </c>
      <c r="B67" s="182" t="s">
        <v>179</v>
      </c>
      <c r="C67" s="182">
        <v>197.0</v>
      </c>
    </row>
    <row r="68">
      <c r="A68" s="182" t="s">
        <v>236</v>
      </c>
      <c r="B68" s="182" t="s">
        <v>232</v>
      </c>
      <c r="C68" s="182">
        <v>182.0</v>
      </c>
    </row>
    <row r="69">
      <c r="A69" s="182" t="s">
        <v>285</v>
      </c>
      <c r="B69" s="182" t="s">
        <v>232</v>
      </c>
      <c r="C69" s="182">
        <v>177.0</v>
      </c>
    </row>
    <row r="70">
      <c r="A70" s="182" t="s">
        <v>243</v>
      </c>
      <c r="B70" s="182" t="s">
        <v>232</v>
      </c>
      <c r="C70" s="182">
        <v>172.0</v>
      </c>
    </row>
    <row r="71">
      <c r="A71" s="182" t="s">
        <v>267</v>
      </c>
      <c r="B71" s="182" t="s">
        <v>232</v>
      </c>
      <c r="C71" s="182">
        <v>166.0</v>
      </c>
    </row>
    <row r="72">
      <c r="A72" s="182" t="s">
        <v>303</v>
      </c>
      <c r="B72" s="182" t="s">
        <v>232</v>
      </c>
      <c r="C72" s="182">
        <v>166.0</v>
      </c>
    </row>
    <row r="73">
      <c r="A73" s="182" t="s">
        <v>298</v>
      </c>
      <c r="B73" s="182" t="s">
        <v>184</v>
      </c>
      <c r="C73" s="182">
        <v>163.0</v>
      </c>
    </row>
    <row r="74">
      <c r="A74" s="182" t="s">
        <v>288</v>
      </c>
      <c r="B74" s="182" t="s">
        <v>185</v>
      </c>
      <c r="C74" s="182">
        <v>86.0</v>
      </c>
    </row>
    <row r="75">
      <c r="A75" s="182" t="s">
        <v>309</v>
      </c>
      <c r="B75" s="182" t="s">
        <v>193</v>
      </c>
      <c r="C75" s="182">
        <v>83.0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200</v>
      </c>
    </row>
    <row r="2">
      <c r="A2" s="182" t="s">
        <v>297</v>
      </c>
      <c r="B2" s="182" t="s">
        <v>181</v>
      </c>
      <c r="C2" s="182">
        <v>359.0</v>
      </c>
    </row>
    <row r="3">
      <c r="A3" s="182" t="s">
        <v>251</v>
      </c>
      <c r="B3" s="182" t="s">
        <v>181</v>
      </c>
      <c r="C3" s="182">
        <v>315.0</v>
      </c>
    </row>
    <row r="4">
      <c r="A4" s="182" t="s">
        <v>264</v>
      </c>
      <c r="B4" s="182" t="s">
        <v>184</v>
      </c>
      <c r="C4" s="182">
        <v>291.0</v>
      </c>
    </row>
    <row r="5">
      <c r="A5" s="182" t="s">
        <v>299</v>
      </c>
      <c r="B5" s="182" t="s">
        <v>1</v>
      </c>
      <c r="C5" s="182">
        <v>287.0</v>
      </c>
    </row>
    <row r="6">
      <c r="A6" s="182" t="s">
        <v>271</v>
      </c>
      <c r="B6" s="182" t="s">
        <v>186</v>
      </c>
      <c r="C6" s="182">
        <v>279.0</v>
      </c>
    </row>
    <row r="7">
      <c r="A7" s="182" t="s">
        <v>305</v>
      </c>
      <c r="B7" s="182" t="s">
        <v>190</v>
      </c>
      <c r="C7" s="182">
        <v>240.0</v>
      </c>
    </row>
    <row r="8">
      <c r="A8" s="182" t="s">
        <v>281</v>
      </c>
      <c r="B8" s="182" t="s">
        <v>187</v>
      </c>
      <c r="C8" s="182">
        <v>238.0</v>
      </c>
    </row>
    <row r="9">
      <c r="A9" s="182" t="s">
        <v>289</v>
      </c>
      <c r="B9" s="182" t="s">
        <v>184</v>
      </c>
      <c r="C9" s="182">
        <v>237.0</v>
      </c>
    </row>
    <row r="10">
      <c r="A10" s="182" t="s">
        <v>276</v>
      </c>
      <c r="B10" s="182" t="s">
        <v>185</v>
      </c>
      <c r="C10" s="182">
        <v>235.0</v>
      </c>
    </row>
    <row r="11">
      <c r="A11" s="182" t="s">
        <v>263</v>
      </c>
      <c r="B11" s="182" t="s">
        <v>181</v>
      </c>
      <c r="C11" s="182">
        <v>224.0</v>
      </c>
    </row>
    <row r="12">
      <c r="A12" s="182" t="s">
        <v>287</v>
      </c>
      <c r="B12" s="182" t="s">
        <v>190</v>
      </c>
      <c r="C12" s="182">
        <v>223.0</v>
      </c>
    </row>
    <row r="13">
      <c r="A13" s="182" t="s">
        <v>286</v>
      </c>
      <c r="B13" s="182" t="s">
        <v>185</v>
      </c>
      <c r="C13" s="182">
        <v>219.0</v>
      </c>
    </row>
    <row r="14">
      <c r="A14" s="182" t="s">
        <v>295</v>
      </c>
      <c r="B14" s="182" t="s">
        <v>188</v>
      </c>
      <c r="C14" s="182">
        <v>213.0</v>
      </c>
    </row>
    <row r="15">
      <c r="A15" s="182" t="s">
        <v>294</v>
      </c>
      <c r="B15" s="182" t="s">
        <v>180</v>
      </c>
      <c r="C15" s="182">
        <v>211.0</v>
      </c>
    </row>
    <row r="16">
      <c r="A16" s="182" t="s">
        <v>249</v>
      </c>
      <c r="B16" s="182" t="s">
        <v>180</v>
      </c>
      <c r="C16" s="182">
        <v>201.0</v>
      </c>
    </row>
    <row r="17">
      <c r="A17" s="182" t="s">
        <v>258</v>
      </c>
      <c r="B17" s="182" t="s">
        <v>186</v>
      </c>
      <c r="C17" s="182">
        <v>201.0</v>
      </c>
    </row>
    <row r="18">
      <c r="A18" s="182" t="s">
        <v>275</v>
      </c>
      <c r="B18" s="182" t="s">
        <v>1</v>
      </c>
      <c r="C18" s="182">
        <v>193.0</v>
      </c>
    </row>
    <row r="19">
      <c r="A19" s="182" t="s">
        <v>302</v>
      </c>
      <c r="B19" s="182" t="s">
        <v>184</v>
      </c>
      <c r="C19" s="182">
        <v>193.0</v>
      </c>
    </row>
    <row r="20">
      <c r="A20" s="182" t="s">
        <v>254</v>
      </c>
      <c r="B20" s="182" t="s">
        <v>189</v>
      </c>
      <c r="C20" s="182">
        <v>192.0</v>
      </c>
    </row>
    <row r="21">
      <c r="A21" s="182" t="s">
        <v>301</v>
      </c>
      <c r="B21" s="182" t="s">
        <v>182</v>
      </c>
      <c r="C21" s="182">
        <v>191.0</v>
      </c>
    </row>
    <row r="22">
      <c r="A22" s="182" t="s">
        <v>292</v>
      </c>
      <c r="B22" s="182" t="s">
        <v>180</v>
      </c>
      <c r="C22" s="182">
        <v>189.0</v>
      </c>
    </row>
    <row r="23">
      <c r="A23" s="182" t="s">
        <v>241</v>
      </c>
      <c r="B23" s="182" t="s">
        <v>1</v>
      </c>
      <c r="C23" s="182">
        <v>184.0</v>
      </c>
    </row>
    <row r="24">
      <c r="A24" s="182" t="s">
        <v>256</v>
      </c>
      <c r="B24" s="182" t="s">
        <v>182</v>
      </c>
      <c r="C24" s="182">
        <v>181.0</v>
      </c>
    </row>
    <row r="25">
      <c r="A25" s="182" t="s">
        <v>274</v>
      </c>
      <c r="B25" s="182" t="s">
        <v>189</v>
      </c>
      <c r="C25" s="182">
        <v>180.0</v>
      </c>
    </row>
    <row r="26">
      <c r="A26" s="182" t="s">
        <v>306</v>
      </c>
      <c r="B26" s="182" t="s">
        <v>186</v>
      </c>
      <c r="C26" s="182">
        <v>179.0</v>
      </c>
    </row>
    <row r="27">
      <c r="A27" s="182" t="s">
        <v>253</v>
      </c>
      <c r="B27" s="182" t="s">
        <v>187</v>
      </c>
      <c r="C27" s="182">
        <v>179.0</v>
      </c>
    </row>
    <row r="28">
      <c r="A28" s="182" t="s">
        <v>239</v>
      </c>
      <c r="B28" s="182" t="s">
        <v>181</v>
      </c>
      <c r="C28" s="182">
        <v>177.0</v>
      </c>
    </row>
    <row r="29">
      <c r="A29" s="182" t="s">
        <v>270</v>
      </c>
      <c r="B29" s="182" t="s">
        <v>183</v>
      </c>
      <c r="C29" s="182">
        <v>176.0</v>
      </c>
    </row>
    <row r="30">
      <c r="A30" s="182" t="s">
        <v>273</v>
      </c>
      <c r="B30" s="182" t="s">
        <v>181</v>
      </c>
      <c r="C30" s="182">
        <v>171.0</v>
      </c>
    </row>
    <row r="31">
      <c r="A31" s="182" t="s">
        <v>265</v>
      </c>
      <c r="B31" s="182" t="s">
        <v>183</v>
      </c>
      <c r="C31" s="182">
        <v>170.0</v>
      </c>
    </row>
    <row r="32">
      <c r="A32" s="182" t="s">
        <v>304</v>
      </c>
      <c r="B32" s="182" t="s">
        <v>188</v>
      </c>
      <c r="C32" s="182">
        <v>168.0</v>
      </c>
    </row>
    <row r="33">
      <c r="A33" s="182" t="s">
        <v>257</v>
      </c>
      <c r="B33" s="182" t="s">
        <v>190</v>
      </c>
      <c r="C33" s="182">
        <v>168.0</v>
      </c>
    </row>
    <row r="34">
      <c r="A34" s="182" t="s">
        <v>244</v>
      </c>
      <c r="B34" s="182" t="s">
        <v>184</v>
      </c>
      <c r="C34" s="182">
        <v>156.0</v>
      </c>
    </row>
    <row r="35">
      <c r="A35" s="182" t="s">
        <v>308</v>
      </c>
      <c r="B35" s="182" t="s">
        <v>179</v>
      </c>
      <c r="C35" s="182">
        <v>151.0</v>
      </c>
    </row>
    <row r="36">
      <c r="A36" s="182" t="s">
        <v>291</v>
      </c>
      <c r="B36" s="182" t="s">
        <v>187</v>
      </c>
      <c r="C36" s="182">
        <v>147.0</v>
      </c>
    </row>
    <row r="37">
      <c r="A37" s="182" t="s">
        <v>266</v>
      </c>
      <c r="B37" s="182" t="s">
        <v>1</v>
      </c>
      <c r="C37" s="182">
        <v>146.0</v>
      </c>
    </row>
    <row r="38">
      <c r="A38" s="182" t="s">
        <v>283</v>
      </c>
      <c r="B38" s="182" t="s">
        <v>183</v>
      </c>
      <c r="C38" s="182">
        <v>143.0</v>
      </c>
    </row>
    <row r="39">
      <c r="A39" s="182" t="s">
        <v>296</v>
      </c>
      <c r="B39" s="182" t="s">
        <v>185</v>
      </c>
      <c r="C39" s="182">
        <v>140.0</v>
      </c>
    </row>
    <row r="40">
      <c r="A40" s="182" t="s">
        <v>290</v>
      </c>
      <c r="B40" s="182" t="s">
        <v>190</v>
      </c>
      <c r="C40" s="182">
        <v>139.0</v>
      </c>
    </row>
    <row r="41">
      <c r="A41" s="182" t="s">
        <v>259</v>
      </c>
      <c r="B41" s="182" t="s">
        <v>184</v>
      </c>
      <c r="C41" s="182">
        <v>138.0</v>
      </c>
    </row>
    <row r="42">
      <c r="A42" s="182" t="s">
        <v>245</v>
      </c>
      <c r="B42" s="182" t="s">
        <v>185</v>
      </c>
      <c r="C42" s="182">
        <v>135.0</v>
      </c>
    </row>
    <row r="43">
      <c r="A43" s="182" t="s">
        <v>269</v>
      </c>
      <c r="B43" s="182" t="s">
        <v>179</v>
      </c>
      <c r="C43" s="182">
        <v>135.0</v>
      </c>
    </row>
    <row r="44">
      <c r="A44" s="182" t="s">
        <v>278</v>
      </c>
      <c r="B44" s="182" t="s">
        <v>182</v>
      </c>
      <c r="C44" s="182">
        <v>133.0</v>
      </c>
    </row>
    <row r="45">
      <c r="A45" s="182" t="s">
        <v>260</v>
      </c>
      <c r="B45" s="182" t="s">
        <v>191</v>
      </c>
      <c r="C45" s="182">
        <v>132.0</v>
      </c>
    </row>
    <row r="46">
      <c r="A46" s="182" t="s">
        <v>250</v>
      </c>
      <c r="B46" s="182" t="s">
        <v>188</v>
      </c>
      <c r="C46" s="182">
        <v>131.0</v>
      </c>
    </row>
    <row r="47">
      <c r="A47" s="182" t="s">
        <v>280</v>
      </c>
      <c r="B47" s="182" t="s">
        <v>186</v>
      </c>
      <c r="C47" s="182">
        <v>128.0</v>
      </c>
    </row>
    <row r="48">
      <c r="A48" s="182" t="s">
        <v>303</v>
      </c>
      <c r="B48" s="182" t="s">
        <v>232</v>
      </c>
      <c r="C48" s="182">
        <v>127.0</v>
      </c>
    </row>
    <row r="49">
      <c r="A49" s="182" t="s">
        <v>262</v>
      </c>
      <c r="B49" s="182" t="s">
        <v>190</v>
      </c>
      <c r="C49" s="182">
        <v>125.0</v>
      </c>
    </row>
    <row r="50">
      <c r="A50" s="182" t="s">
        <v>284</v>
      </c>
      <c r="B50" s="182" t="s">
        <v>188</v>
      </c>
      <c r="C50" s="182">
        <v>123.0</v>
      </c>
    </row>
    <row r="51">
      <c r="A51" s="182" t="s">
        <v>300</v>
      </c>
      <c r="B51" s="182" t="s">
        <v>192</v>
      </c>
      <c r="C51" s="182">
        <v>121.0</v>
      </c>
    </row>
    <row r="52">
      <c r="A52" s="182" t="s">
        <v>267</v>
      </c>
      <c r="B52" s="182" t="s">
        <v>232</v>
      </c>
      <c r="C52" s="182">
        <v>121.0</v>
      </c>
    </row>
    <row r="53">
      <c r="A53" s="182" t="s">
        <v>272</v>
      </c>
      <c r="B53" s="182" t="s">
        <v>185</v>
      </c>
      <c r="C53" s="182">
        <v>120.0</v>
      </c>
    </row>
    <row r="54">
      <c r="A54" s="182" t="s">
        <v>246</v>
      </c>
      <c r="B54" s="182" t="s">
        <v>180</v>
      </c>
      <c r="C54" s="182">
        <v>119.0</v>
      </c>
    </row>
    <row r="55">
      <c r="A55" s="182" t="s">
        <v>252</v>
      </c>
      <c r="B55" s="182" t="s">
        <v>189</v>
      </c>
      <c r="C55" s="182">
        <v>116.0</v>
      </c>
    </row>
    <row r="56">
      <c r="A56" s="182" t="s">
        <v>255</v>
      </c>
      <c r="B56" s="182" t="s">
        <v>1</v>
      </c>
      <c r="C56" s="182">
        <v>115.0</v>
      </c>
    </row>
    <row r="57">
      <c r="A57" s="182" t="s">
        <v>247</v>
      </c>
      <c r="B57" s="182" t="s">
        <v>186</v>
      </c>
      <c r="C57" s="182">
        <v>113.0</v>
      </c>
    </row>
    <row r="58">
      <c r="A58" s="182" t="s">
        <v>307</v>
      </c>
      <c r="B58" s="182" t="s">
        <v>189</v>
      </c>
      <c r="C58" s="182">
        <v>113.0</v>
      </c>
    </row>
    <row r="59">
      <c r="A59" s="182" t="s">
        <v>277</v>
      </c>
      <c r="B59" s="182" t="s">
        <v>187</v>
      </c>
      <c r="C59" s="182">
        <v>113.0</v>
      </c>
    </row>
    <row r="60">
      <c r="A60" s="182" t="s">
        <v>282</v>
      </c>
      <c r="B60" s="182" t="s">
        <v>183</v>
      </c>
      <c r="C60" s="182">
        <v>111.0</v>
      </c>
    </row>
    <row r="61">
      <c r="A61" s="182" t="s">
        <v>238</v>
      </c>
      <c r="B61" s="182" t="s">
        <v>180</v>
      </c>
      <c r="C61" s="182">
        <v>106.0</v>
      </c>
    </row>
    <row r="62">
      <c r="A62" s="182" t="s">
        <v>248</v>
      </c>
      <c r="B62" s="182" t="s">
        <v>187</v>
      </c>
      <c r="C62" s="182">
        <v>103.0</v>
      </c>
    </row>
    <row r="63">
      <c r="A63" s="182" t="s">
        <v>242</v>
      </c>
      <c r="B63" s="182" t="s">
        <v>183</v>
      </c>
      <c r="C63" s="182">
        <v>101.0</v>
      </c>
    </row>
    <row r="64">
      <c r="A64" s="182" t="s">
        <v>285</v>
      </c>
      <c r="B64" s="182" t="s">
        <v>232</v>
      </c>
      <c r="C64" s="182">
        <v>99.0</v>
      </c>
    </row>
    <row r="65">
      <c r="A65" s="182" t="s">
        <v>309</v>
      </c>
      <c r="B65" s="182" t="s">
        <v>193</v>
      </c>
      <c r="C65" s="182">
        <v>82.0</v>
      </c>
    </row>
    <row r="66">
      <c r="A66" s="182" t="s">
        <v>261</v>
      </c>
      <c r="B66" s="182" t="s">
        <v>179</v>
      </c>
      <c r="C66" s="182">
        <v>82.0</v>
      </c>
    </row>
    <row r="67">
      <c r="A67" s="182" t="s">
        <v>279</v>
      </c>
      <c r="B67" s="182" t="s">
        <v>189</v>
      </c>
      <c r="C67" s="182">
        <v>81.0</v>
      </c>
    </row>
    <row r="68">
      <c r="A68" s="182" t="s">
        <v>240</v>
      </c>
      <c r="B68" s="182" t="s">
        <v>182</v>
      </c>
      <c r="C68" s="182">
        <v>78.0</v>
      </c>
    </row>
    <row r="69">
      <c r="A69" s="182" t="s">
        <v>293</v>
      </c>
      <c r="B69" s="182" t="s">
        <v>182</v>
      </c>
      <c r="C69" s="182">
        <v>75.0</v>
      </c>
    </row>
    <row r="70">
      <c r="A70" s="182" t="s">
        <v>268</v>
      </c>
      <c r="B70" s="182" t="s">
        <v>179</v>
      </c>
      <c r="C70" s="182">
        <v>69.0</v>
      </c>
    </row>
    <row r="71">
      <c r="A71" s="182" t="s">
        <v>298</v>
      </c>
      <c r="B71" s="182" t="s">
        <v>184</v>
      </c>
      <c r="C71" s="182">
        <v>67.0</v>
      </c>
    </row>
    <row r="72">
      <c r="A72" s="182" t="s">
        <v>237</v>
      </c>
      <c r="B72" s="182" t="s">
        <v>179</v>
      </c>
      <c r="C72" s="182">
        <v>61.0</v>
      </c>
    </row>
    <row r="73">
      <c r="A73" s="182" t="s">
        <v>243</v>
      </c>
      <c r="B73" s="182" t="s">
        <v>232</v>
      </c>
      <c r="C73" s="182">
        <v>52.0</v>
      </c>
    </row>
    <row r="74">
      <c r="A74" s="182" t="s">
        <v>236</v>
      </c>
      <c r="B74" s="182" t="s">
        <v>232</v>
      </c>
      <c r="C74" s="182">
        <v>37.0</v>
      </c>
    </row>
    <row r="75">
      <c r="A75" s="182" t="s">
        <v>288</v>
      </c>
      <c r="B75" s="182" t="s">
        <v>185</v>
      </c>
      <c r="C75" s="182">
        <v>29.0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233</v>
      </c>
      <c r="B1" s="182" t="s">
        <v>0</v>
      </c>
      <c r="C1" s="182" t="s">
        <v>198</v>
      </c>
    </row>
    <row r="2">
      <c r="A2" s="182" t="s">
        <v>239</v>
      </c>
      <c r="B2" s="182" t="s">
        <v>181</v>
      </c>
      <c r="C2" s="182">
        <v>615.0</v>
      </c>
    </row>
    <row r="3">
      <c r="A3" s="182" t="s">
        <v>244</v>
      </c>
      <c r="B3" s="182" t="s">
        <v>184</v>
      </c>
      <c r="C3" s="182">
        <v>588.0</v>
      </c>
    </row>
    <row r="4">
      <c r="A4" s="182" t="s">
        <v>259</v>
      </c>
      <c r="B4" s="182" t="s">
        <v>184</v>
      </c>
      <c r="C4" s="182">
        <v>565.0</v>
      </c>
    </row>
    <row r="5">
      <c r="A5" s="182" t="s">
        <v>245</v>
      </c>
      <c r="B5" s="182" t="s">
        <v>185</v>
      </c>
      <c r="C5" s="182">
        <v>549.0</v>
      </c>
    </row>
    <row r="6">
      <c r="A6" s="182" t="s">
        <v>251</v>
      </c>
      <c r="B6" s="182" t="s">
        <v>181</v>
      </c>
      <c r="C6" s="182">
        <v>541.0</v>
      </c>
    </row>
    <row r="7">
      <c r="A7" s="182" t="s">
        <v>264</v>
      </c>
      <c r="B7" s="182" t="s">
        <v>184</v>
      </c>
      <c r="C7" s="182">
        <v>529.0</v>
      </c>
    </row>
    <row r="8">
      <c r="A8" s="182" t="s">
        <v>263</v>
      </c>
      <c r="B8" s="182" t="s">
        <v>181</v>
      </c>
      <c r="C8" s="182">
        <v>529.0</v>
      </c>
    </row>
    <row r="9">
      <c r="A9" s="182" t="s">
        <v>241</v>
      </c>
      <c r="B9" s="182" t="s">
        <v>1</v>
      </c>
      <c r="C9" s="182">
        <v>529.0</v>
      </c>
    </row>
    <row r="10">
      <c r="A10" s="182" t="s">
        <v>289</v>
      </c>
      <c r="B10" s="182" t="s">
        <v>184</v>
      </c>
      <c r="C10" s="182">
        <v>523.0</v>
      </c>
    </row>
    <row r="11">
      <c r="A11" s="182" t="s">
        <v>238</v>
      </c>
      <c r="B11" s="182" t="s">
        <v>180</v>
      </c>
      <c r="C11" s="182">
        <v>512.0</v>
      </c>
    </row>
    <row r="12">
      <c r="A12" s="182" t="s">
        <v>247</v>
      </c>
      <c r="B12" s="182" t="s">
        <v>186</v>
      </c>
      <c r="C12" s="182">
        <v>504.0</v>
      </c>
    </row>
    <row r="13">
      <c r="A13" s="182" t="s">
        <v>276</v>
      </c>
      <c r="B13" s="182" t="s">
        <v>185</v>
      </c>
      <c r="C13" s="182">
        <v>501.0</v>
      </c>
    </row>
    <row r="14">
      <c r="A14" s="182" t="s">
        <v>257</v>
      </c>
      <c r="B14" s="182" t="s">
        <v>190</v>
      </c>
      <c r="C14" s="182">
        <v>499.0</v>
      </c>
    </row>
    <row r="15">
      <c r="A15" s="182" t="s">
        <v>266</v>
      </c>
      <c r="B15" s="182" t="s">
        <v>1</v>
      </c>
      <c r="C15" s="182">
        <v>492.0</v>
      </c>
    </row>
    <row r="16">
      <c r="A16" s="182" t="s">
        <v>262</v>
      </c>
      <c r="B16" s="182" t="s">
        <v>190</v>
      </c>
      <c r="C16" s="182">
        <v>482.0</v>
      </c>
    </row>
    <row r="17">
      <c r="A17" s="182" t="s">
        <v>273</v>
      </c>
      <c r="B17" s="182" t="s">
        <v>181</v>
      </c>
      <c r="C17" s="182">
        <v>481.0</v>
      </c>
    </row>
    <row r="18">
      <c r="A18" s="182" t="s">
        <v>255</v>
      </c>
      <c r="B18" s="182" t="s">
        <v>1</v>
      </c>
      <c r="C18" s="182">
        <v>478.0</v>
      </c>
    </row>
    <row r="19">
      <c r="A19" s="182" t="s">
        <v>258</v>
      </c>
      <c r="B19" s="182" t="s">
        <v>186</v>
      </c>
      <c r="C19" s="182">
        <v>476.0</v>
      </c>
    </row>
    <row r="20">
      <c r="A20" s="182" t="s">
        <v>286</v>
      </c>
      <c r="B20" s="182" t="s">
        <v>185</v>
      </c>
      <c r="C20" s="182">
        <v>468.0</v>
      </c>
    </row>
    <row r="21">
      <c r="A21" s="182" t="s">
        <v>246</v>
      </c>
      <c r="B21" s="182" t="s">
        <v>180</v>
      </c>
      <c r="C21" s="182">
        <v>459.0</v>
      </c>
    </row>
    <row r="22">
      <c r="A22" s="182" t="s">
        <v>275</v>
      </c>
      <c r="B22" s="182" t="s">
        <v>1</v>
      </c>
      <c r="C22" s="182">
        <v>459.0</v>
      </c>
    </row>
    <row r="23">
      <c r="A23" s="182" t="s">
        <v>242</v>
      </c>
      <c r="B23" s="182" t="s">
        <v>183</v>
      </c>
      <c r="C23" s="182">
        <v>458.0</v>
      </c>
    </row>
    <row r="24">
      <c r="A24" s="182" t="s">
        <v>250</v>
      </c>
      <c r="B24" s="182" t="s">
        <v>188</v>
      </c>
      <c r="C24" s="182">
        <v>454.0</v>
      </c>
    </row>
    <row r="25">
      <c r="A25" s="182" t="s">
        <v>260</v>
      </c>
      <c r="B25" s="182" t="s">
        <v>191</v>
      </c>
      <c r="C25" s="182">
        <v>452.0</v>
      </c>
    </row>
    <row r="26">
      <c r="A26" s="182" t="s">
        <v>271</v>
      </c>
      <c r="B26" s="182" t="s">
        <v>186</v>
      </c>
      <c r="C26" s="182">
        <v>449.0</v>
      </c>
    </row>
    <row r="27">
      <c r="A27" s="182" t="s">
        <v>290</v>
      </c>
      <c r="B27" s="182" t="s">
        <v>190</v>
      </c>
      <c r="C27" s="182">
        <v>448.0</v>
      </c>
    </row>
    <row r="28">
      <c r="A28" s="182" t="s">
        <v>280</v>
      </c>
      <c r="B28" s="182" t="s">
        <v>186</v>
      </c>
      <c r="C28" s="182">
        <v>447.0</v>
      </c>
    </row>
    <row r="29">
      <c r="A29" s="182" t="s">
        <v>249</v>
      </c>
      <c r="B29" s="182" t="s">
        <v>180</v>
      </c>
      <c r="C29" s="182">
        <v>445.0</v>
      </c>
    </row>
    <row r="30">
      <c r="A30" s="182" t="s">
        <v>287</v>
      </c>
      <c r="B30" s="182" t="s">
        <v>190</v>
      </c>
      <c r="C30" s="182">
        <v>441.0</v>
      </c>
    </row>
    <row r="31">
      <c r="A31" s="182" t="s">
        <v>297</v>
      </c>
      <c r="B31" s="182" t="s">
        <v>181</v>
      </c>
      <c r="C31" s="182">
        <v>429.0</v>
      </c>
    </row>
    <row r="32">
      <c r="A32" s="182" t="s">
        <v>296</v>
      </c>
      <c r="B32" s="182" t="s">
        <v>185</v>
      </c>
      <c r="C32" s="182">
        <v>418.0</v>
      </c>
    </row>
    <row r="33">
      <c r="A33" s="182" t="s">
        <v>270</v>
      </c>
      <c r="B33" s="182" t="s">
        <v>183</v>
      </c>
      <c r="C33" s="182">
        <v>411.0</v>
      </c>
    </row>
    <row r="34">
      <c r="A34" s="182" t="s">
        <v>248</v>
      </c>
      <c r="B34" s="182" t="s">
        <v>187</v>
      </c>
      <c r="C34" s="182">
        <v>410.0</v>
      </c>
    </row>
    <row r="35">
      <c r="A35" s="182" t="s">
        <v>265</v>
      </c>
      <c r="B35" s="182" t="s">
        <v>183</v>
      </c>
      <c r="C35" s="182">
        <v>410.0</v>
      </c>
    </row>
    <row r="36">
      <c r="A36" s="182" t="s">
        <v>284</v>
      </c>
      <c r="B36" s="182" t="s">
        <v>188</v>
      </c>
      <c r="C36" s="182">
        <v>407.0</v>
      </c>
    </row>
    <row r="37">
      <c r="A37" s="182" t="s">
        <v>299</v>
      </c>
      <c r="B37" s="182" t="s">
        <v>1</v>
      </c>
      <c r="C37" s="182">
        <v>399.0</v>
      </c>
    </row>
    <row r="38">
      <c r="A38" s="182" t="s">
        <v>282</v>
      </c>
      <c r="B38" s="182" t="s">
        <v>183</v>
      </c>
      <c r="C38" s="182">
        <v>398.0</v>
      </c>
    </row>
    <row r="39">
      <c r="A39" s="182" t="s">
        <v>305</v>
      </c>
      <c r="B39" s="182" t="s">
        <v>190</v>
      </c>
      <c r="C39" s="182">
        <v>389.0</v>
      </c>
    </row>
    <row r="40">
      <c r="A40" s="182" t="s">
        <v>253</v>
      </c>
      <c r="B40" s="182" t="s">
        <v>187</v>
      </c>
      <c r="C40" s="182">
        <v>386.0</v>
      </c>
    </row>
    <row r="41">
      <c r="A41" s="182" t="s">
        <v>252</v>
      </c>
      <c r="B41" s="182" t="s">
        <v>189</v>
      </c>
      <c r="C41" s="182">
        <v>380.0</v>
      </c>
    </row>
    <row r="42">
      <c r="A42" s="182" t="s">
        <v>295</v>
      </c>
      <c r="B42" s="182" t="s">
        <v>188</v>
      </c>
      <c r="C42" s="182">
        <v>380.0</v>
      </c>
    </row>
    <row r="43">
      <c r="A43" s="182" t="s">
        <v>292</v>
      </c>
      <c r="B43" s="182" t="s">
        <v>180</v>
      </c>
      <c r="C43" s="182">
        <v>379.0</v>
      </c>
    </row>
    <row r="44">
      <c r="A44" s="182" t="s">
        <v>277</v>
      </c>
      <c r="B44" s="182" t="s">
        <v>187</v>
      </c>
      <c r="C44" s="182">
        <v>373.0</v>
      </c>
    </row>
    <row r="45">
      <c r="A45" s="182" t="s">
        <v>281</v>
      </c>
      <c r="B45" s="182" t="s">
        <v>187</v>
      </c>
      <c r="C45" s="182">
        <v>371.0</v>
      </c>
    </row>
    <row r="46">
      <c r="A46" s="182" t="s">
        <v>294</v>
      </c>
      <c r="B46" s="182" t="s">
        <v>180</v>
      </c>
      <c r="C46" s="182">
        <v>369.0</v>
      </c>
    </row>
    <row r="47">
      <c r="A47" s="182" t="s">
        <v>306</v>
      </c>
      <c r="B47" s="182" t="s">
        <v>186</v>
      </c>
      <c r="C47" s="182">
        <v>355.0</v>
      </c>
    </row>
    <row r="48">
      <c r="A48" s="182" t="s">
        <v>240</v>
      </c>
      <c r="B48" s="182" t="s">
        <v>182</v>
      </c>
      <c r="C48" s="182">
        <v>352.0</v>
      </c>
    </row>
    <row r="49">
      <c r="A49" s="182" t="s">
        <v>279</v>
      </c>
      <c r="B49" s="182" t="s">
        <v>189</v>
      </c>
      <c r="C49" s="182">
        <v>350.0</v>
      </c>
    </row>
    <row r="50">
      <c r="A50" s="182" t="s">
        <v>304</v>
      </c>
      <c r="B50" s="182" t="s">
        <v>188</v>
      </c>
      <c r="C50" s="182">
        <v>347.0</v>
      </c>
    </row>
    <row r="51">
      <c r="A51" s="182" t="s">
        <v>291</v>
      </c>
      <c r="B51" s="182" t="s">
        <v>187</v>
      </c>
      <c r="C51" s="182">
        <v>342.0</v>
      </c>
    </row>
    <row r="52">
      <c r="A52" s="182" t="s">
        <v>274</v>
      </c>
      <c r="B52" s="182" t="s">
        <v>189</v>
      </c>
      <c r="C52" s="182">
        <v>338.0</v>
      </c>
    </row>
    <row r="53">
      <c r="A53" s="182" t="s">
        <v>254</v>
      </c>
      <c r="B53" s="182" t="s">
        <v>189</v>
      </c>
      <c r="C53" s="182">
        <v>337.0</v>
      </c>
    </row>
    <row r="54">
      <c r="A54" s="182" t="s">
        <v>237</v>
      </c>
      <c r="B54" s="182" t="s">
        <v>179</v>
      </c>
      <c r="C54" s="182">
        <v>315.0</v>
      </c>
    </row>
    <row r="55">
      <c r="A55" s="182" t="s">
        <v>302</v>
      </c>
      <c r="B55" s="182" t="s">
        <v>184</v>
      </c>
      <c r="C55" s="182">
        <v>309.0</v>
      </c>
    </row>
    <row r="56">
      <c r="A56" s="182" t="s">
        <v>272</v>
      </c>
      <c r="B56" s="182" t="s">
        <v>185</v>
      </c>
      <c r="C56" s="182">
        <v>297.0</v>
      </c>
    </row>
    <row r="57">
      <c r="A57" s="182" t="s">
        <v>256</v>
      </c>
      <c r="B57" s="182" t="s">
        <v>182</v>
      </c>
      <c r="C57" s="182">
        <v>297.0</v>
      </c>
    </row>
    <row r="58">
      <c r="A58" s="182" t="s">
        <v>278</v>
      </c>
      <c r="B58" s="182" t="s">
        <v>182</v>
      </c>
      <c r="C58" s="182">
        <v>296.0</v>
      </c>
    </row>
    <row r="59">
      <c r="A59" s="182" t="s">
        <v>307</v>
      </c>
      <c r="B59" s="182" t="s">
        <v>189</v>
      </c>
      <c r="C59" s="182">
        <v>292.0</v>
      </c>
    </row>
    <row r="60">
      <c r="A60" s="182" t="s">
        <v>236</v>
      </c>
      <c r="B60" s="182" t="s">
        <v>232</v>
      </c>
      <c r="C60" s="182">
        <v>276.0</v>
      </c>
    </row>
    <row r="61">
      <c r="A61" s="182" t="s">
        <v>283</v>
      </c>
      <c r="B61" s="182" t="s">
        <v>183</v>
      </c>
      <c r="C61" s="182">
        <v>275.0</v>
      </c>
    </row>
    <row r="62">
      <c r="A62" s="182" t="s">
        <v>293</v>
      </c>
      <c r="B62" s="182" t="s">
        <v>182</v>
      </c>
      <c r="C62" s="182">
        <v>268.0</v>
      </c>
    </row>
    <row r="63">
      <c r="A63" s="182" t="s">
        <v>268</v>
      </c>
      <c r="B63" s="182" t="s">
        <v>179</v>
      </c>
      <c r="C63" s="182">
        <v>265.0</v>
      </c>
    </row>
    <row r="64">
      <c r="A64" s="182" t="s">
        <v>261</v>
      </c>
      <c r="B64" s="182" t="s">
        <v>179</v>
      </c>
      <c r="C64" s="182">
        <v>252.0</v>
      </c>
    </row>
    <row r="65">
      <c r="A65" s="182" t="s">
        <v>243</v>
      </c>
      <c r="B65" s="182" t="s">
        <v>232</v>
      </c>
      <c r="C65" s="182">
        <v>246.0</v>
      </c>
    </row>
    <row r="66">
      <c r="A66" s="182" t="s">
        <v>269</v>
      </c>
      <c r="B66" s="182" t="s">
        <v>179</v>
      </c>
      <c r="C66" s="182">
        <v>246.0</v>
      </c>
    </row>
    <row r="67">
      <c r="A67" s="182" t="s">
        <v>301</v>
      </c>
      <c r="B67" s="182" t="s">
        <v>182</v>
      </c>
      <c r="C67" s="182">
        <v>245.0</v>
      </c>
    </row>
    <row r="68">
      <c r="A68" s="182" t="s">
        <v>267</v>
      </c>
      <c r="B68" s="182" t="s">
        <v>232</v>
      </c>
      <c r="C68" s="182">
        <v>213.0</v>
      </c>
    </row>
    <row r="69">
      <c r="A69" s="182" t="s">
        <v>308</v>
      </c>
      <c r="B69" s="182" t="s">
        <v>179</v>
      </c>
      <c r="C69" s="182">
        <v>200.0</v>
      </c>
    </row>
    <row r="70">
      <c r="A70" s="182" t="s">
        <v>285</v>
      </c>
      <c r="B70" s="182" t="s">
        <v>232</v>
      </c>
      <c r="C70" s="182">
        <v>188.0</v>
      </c>
    </row>
    <row r="71">
      <c r="A71" s="182" t="s">
        <v>303</v>
      </c>
      <c r="B71" s="182" t="s">
        <v>232</v>
      </c>
      <c r="C71" s="182">
        <v>180.0</v>
      </c>
    </row>
    <row r="72">
      <c r="A72" s="182" t="s">
        <v>300</v>
      </c>
      <c r="B72" s="182" t="s">
        <v>192</v>
      </c>
      <c r="C72" s="182">
        <v>172.0</v>
      </c>
    </row>
    <row r="73">
      <c r="A73" s="182" t="s">
        <v>298</v>
      </c>
      <c r="B73" s="182" t="s">
        <v>184</v>
      </c>
      <c r="C73" s="182">
        <v>153.0</v>
      </c>
    </row>
    <row r="74">
      <c r="A74" s="182" t="s">
        <v>309</v>
      </c>
      <c r="B74" s="182" t="s">
        <v>193</v>
      </c>
      <c r="C74" s="182">
        <v>78.0</v>
      </c>
    </row>
    <row r="75">
      <c r="A75" s="182" t="s">
        <v>288</v>
      </c>
      <c r="B75" s="182" t="s">
        <v>185</v>
      </c>
      <c r="C75" s="182">
        <v>59.0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0</v>
      </c>
      <c r="B1" s="182" t="s">
        <v>700</v>
      </c>
      <c r="C1" s="182" t="s">
        <v>701</v>
      </c>
      <c r="D1" s="182" t="s">
        <v>702</v>
      </c>
      <c r="E1" s="182" t="s">
        <v>703</v>
      </c>
      <c r="F1" s="182" t="s">
        <v>374</v>
      </c>
      <c r="G1" s="182" t="s">
        <v>375</v>
      </c>
      <c r="H1" s="182" t="s">
        <v>704</v>
      </c>
    </row>
    <row r="2">
      <c r="A2" s="182" t="s">
        <v>186</v>
      </c>
      <c r="B2" s="182" t="s">
        <v>705</v>
      </c>
      <c r="C2" s="189">
        <f>IFERROR(__xludf.DUMMYFUNCTION("ARRAYFORMULA(SPLIT(B2:B1000,""v""))"),5.0)</f>
        <v>5</v>
      </c>
      <c r="D2" s="189">
        <f>IFERROR(__xludf.DUMMYFUNCTION("""COMPUTED_VALUE"""),1.0)</f>
        <v>1</v>
      </c>
      <c r="E2" s="182" t="s">
        <v>706</v>
      </c>
      <c r="F2" s="182">
        <v>27.0</v>
      </c>
      <c r="G2" s="182">
        <v>0.0</v>
      </c>
      <c r="H2" s="182">
        <v>100.0</v>
      </c>
    </row>
    <row r="3">
      <c r="A3" s="182" t="s">
        <v>186</v>
      </c>
      <c r="B3" s="182" t="s">
        <v>707</v>
      </c>
      <c r="C3" s="189">
        <f>IFERROR(__xludf.DUMMYFUNCTION("""COMPUTED_VALUE"""),5.0)</f>
        <v>5</v>
      </c>
      <c r="D3" s="189">
        <f>IFERROR(__xludf.DUMMYFUNCTION("""COMPUTED_VALUE"""),2.0)</f>
        <v>2</v>
      </c>
      <c r="E3" s="182" t="s">
        <v>708</v>
      </c>
      <c r="F3" s="182">
        <v>55.0</v>
      </c>
      <c r="G3" s="182">
        <v>3.0</v>
      </c>
      <c r="H3" s="182">
        <v>94.82</v>
      </c>
    </row>
    <row r="4">
      <c r="A4" s="182" t="s">
        <v>186</v>
      </c>
      <c r="B4" s="182" t="s">
        <v>709</v>
      </c>
      <c r="C4" s="189">
        <f>IFERROR(__xludf.DUMMYFUNCTION("""COMPUTED_VALUE"""),4.0)</f>
        <v>4</v>
      </c>
      <c r="D4" s="189">
        <f>IFERROR(__xludf.DUMMYFUNCTION("""COMPUTED_VALUE"""),1.0)</f>
        <v>1</v>
      </c>
      <c r="E4" s="182" t="s">
        <v>708</v>
      </c>
      <c r="F4" s="182">
        <v>59.0</v>
      </c>
      <c r="G4" s="182">
        <v>0.0</v>
      </c>
      <c r="H4" s="182">
        <v>100.0</v>
      </c>
    </row>
    <row r="5">
      <c r="A5" s="182" t="s">
        <v>186</v>
      </c>
      <c r="B5" s="182" t="s">
        <v>710</v>
      </c>
      <c r="C5" s="189">
        <f>IFERROR(__xludf.DUMMYFUNCTION("""COMPUTED_VALUE"""),5.0)</f>
        <v>5</v>
      </c>
      <c r="D5" s="189">
        <f>IFERROR(__xludf.DUMMYFUNCTION("""COMPUTED_VALUE"""),3.0)</f>
        <v>3</v>
      </c>
      <c r="E5" s="182" t="s">
        <v>711</v>
      </c>
      <c r="F5" s="182">
        <v>81.0</v>
      </c>
      <c r="G5" s="182">
        <v>9.0</v>
      </c>
      <c r="H5" s="182">
        <v>90.0</v>
      </c>
    </row>
    <row r="6">
      <c r="A6" s="182" t="s">
        <v>186</v>
      </c>
      <c r="B6" s="182" t="s">
        <v>712</v>
      </c>
      <c r="C6" s="189">
        <f>IFERROR(__xludf.DUMMYFUNCTION("""COMPUTED_VALUE"""),4.0)</f>
        <v>4</v>
      </c>
      <c r="D6" s="189">
        <f>IFERROR(__xludf.DUMMYFUNCTION("""COMPUTED_VALUE"""),2.0)</f>
        <v>2</v>
      </c>
      <c r="E6" s="182" t="s">
        <v>711</v>
      </c>
      <c r="F6" s="182">
        <v>71.0</v>
      </c>
      <c r="G6" s="182">
        <v>4.0</v>
      </c>
      <c r="H6" s="182">
        <v>94.66</v>
      </c>
    </row>
    <row r="7">
      <c r="A7" s="182" t="s">
        <v>186</v>
      </c>
      <c r="B7" s="182" t="s">
        <v>713</v>
      </c>
      <c r="C7" s="189">
        <f>IFERROR(__xludf.DUMMYFUNCTION("""COMPUTED_VALUE"""),3.0)</f>
        <v>3</v>
      </c>
      <c r="D7" s="189">
        <f>IFERROR(__xludf.DUMMYFUNCTION("""COMPUTED_VALUE"""),1.0)</f>
        <v>1</v>
      </c>
      <c r="E7" s="182" t="s">
        <v>711</v>
      </c>
      <c r="F7" s="182">
        <v>49.0</v>
      </c>
      <c r="G7" s="182">
        <v>1.0</v>
      </c>
      <c r="H7" s="182">
        <v>98.0</v>
      </c>
    </row>
    <row r="8">
      <c r="A8" s="182" t="s">
        <v>186</v>
      </c>
      <c r="B8" s="182" t="s">
        <v>714</v>
      </c>
      <c r="C8" s="189">
        <f>IFERROR(__xludf.DUMMYFUNCTION("""COMPUTED_VALUE"""),5.0)</f>
        <v>5</v>
      </c>
      <c r="D8" s="189">
        <f>IFERROR(__xludf.DUMMYFUNCTION("""COMPUTED_VALUE"""),4.0)</f>
        <v>4</v>
      </c>
      <c r="E8" s="182" t="s">
        <v>715</v>
      </c>
      <c r="F8" s="182">
        <v>147.0</v>
      </c>
      <c r="G8" s="182">
        <v>52.0</v>
      </c>
      <c r="H8" s="182">
        <v>73.86</v>
      </c>
    </row>
    <row r="9">
      <c r="A9" s="182" t="s">
        <v>186</v>
      </c>
      <c r="B9" s="182" t="s">
        <v>716</v>
      </c>
      <c r="C9" s="189">
        <f>IFERROR(__xludf.DUMMYFUNCTION("""COMPUTED_VALUE"""),4.0)</f>
        <v>4</v>
      </c>
      <c r="D9" s="189">
        <f>IFERROR(__xludf.DUMMYFUNCTION("""COMPUTED_VALUE"""),3.0)</f>
        <v>3</v>
      </c>
      <c r="E9" s="182" t="s">
        <v>715</v>
      </c>
      <c r="F9" s="182">
        <v>85.0</v>
      </c>
      <c r="G9" s="182">
        <v>23.0</v>
      </c>
      <c r="H9" s="182">
        <v>78.7</v>
      </c>
    </row>
    <row r="10">
      <c r="A10" s="182" t="s">
        <v>186</v>
      </c>
      <c r="B10" s="182" t="s">
        <v>717</v>
      </c>
      <c r="C10" s="189">
        <f>IFERROR(__xludf.DUMMYFUNCTION("""COMPUTED_VALUE"""),3.0)</f>
        <v>3</v>
      </c>
      <c r="D10" s="189">
        <f>IFERROR(__xludf.DUMMYFUNCTION("""COMPUTED_VALUE"""),2.0)</f>
        <v>2</v>
      </c>
      <c r="E10" s="182" t="s">
        <v>715</v>
      </c>
      <c r="F10" s="182">
        <v>55.0</v>
      </c>
      <c r="G10" s="182">
        <v>11.0</v>
      </c>
      <c r="H10" s="182">
        <v>83.33</v>
      </c>
    </row>
    <row r="11">
      <c r="A11" s="182" t="s">
        <v>186</v>
      </c>
      <c r="B11" s="182" t="s">
        <v>718</v>
      </c>
      <c r="C11" s="189">
        <f>IFERROR(__xludf.DUMMYFUNCTION("""COMPUTED_VALUE"""),2.0)</f>
        <v>2</v>
      </c>
      <c r="D11" s="189">
        <f>IFERROR(__xludf.DUMMYFUNCTION("""COMPUTED_VALUE"""),1.0)</f>
        <v>1</v>
      </c>
      <c r="E11" s="182" t="s">
        <v>715</v>
      </c>
      <c r="F11" s="182">
        <v>58.0</v>
      </c>
      <c r="G11" s="182">
        <v>8.0</v>
      </c>
      <c r="H11" s="182">
        <v>87.87</v>
      </c>
    </row>
    <row r="12">
      <c r="A12" s="182" t="s">
        <v>186</v>
      </c>
      <c r="B12" s="182" t="s">
        <v>719</v>
      </c>
      <c r="C12" s="189">
        <f>IFERROR(__xludf.DUMMYFUNCTION("""COMPUTED_VALUE"""),4.0)</f>
        <v>4</v>
      </c>
      <c r="D12" s="189">
        <f>IFERROR(__xludf.DUMMYFUNCTION("""COMPUTED_VALUE"""),4.0)</f>
        <v>4</v>
      </c>
      <c r="E12" s="182">
        <v>0.0</v>
      </c>
      <c r="F12" s="182">
        <v>82.0</v>
      </c>
      <c r="G12" s="182">
        <v>74.0</v>
      </c>
      <c r="H12" s="182">
        <v>52.56</v>
      </c>
    </row>
    <row r="13">
      <c r="A13" s="182" t="s">
        <v>186</v>
      </c>
      <c r="B13" s="182" t="s">
        <v>720</v>
      </c>
      <c r="C13" s="189">
        <f>IFERROR(__xludf.DUMMYFUNCTION("""COMPUTED_VALUE"""),3.0)</f>
        <v>3</v>
      </c>
      <c r="D13" s="189">
        <f>IFERROR(__xludf.DUMMYFUNCTION("""COMPUTED_VALUE"""),3.0)</f>
        <v>3</v>
      </c>
      <c r="E13" s="182">
        <v>0.0</v>
      </c>
      <c r="F13" s="182">
        <v>48.0</v>
      </c>
      <c r="G13" s="182">
        <v>38.0</v>
      </c>
      <c r="H13" s="182">
        <v>55.81</v>
      </c>
    </row>
    <row r="14">
      <c r="A14" s="182" t="s">
        <v>186</v>
      </c>
      <c r="B14" s="182" t="s">
        <v>721</v>
      </c>
      <c r="C14" s="189">
        <f>IFERROR(__xludf.DUMMYFUNCTION("""COMPUTED_VALUE"""),2.0)</f>
        <v>2</v>
      </c>
      <c r="D14" s="189">
        <f>IFERROR(__xludf.DUMMYFUNCTION("""COMPUTED_VALUE"""),2.0)</f>
        <v>2</v>
      </c>
      <c r="E14" s="182">
        <v>0.0</v>
      </c>
      <c r="F14" s="182">
        <v>42.0</v>
      </c>
      <c r="G14" s="182">
        <v>24.0</v>
      </c>
      <c r="H14" s="182">
        <v>63.63</v>
      </c>
    </row>
    <row r="15">
      <c r="A15" s="182" t="s">
        <v>186</v>
      </c>
      <c r="B15" s="182" t="s">
        <v>722</v>
      </c>
      <c r="C15" s="189">
        <f>IFERROR(__xludf.DUMMYFUNCTION("""COMPUTED_VALUE"""),1.0)</f>
        <v>1</v>
      </c>
      <c r="D15" s="189">
        <f>IFERROR(__xludf.DUMMYFUNCTION("""COMPUTED_VALUE"""),1.0)</f>
        <v>1</v>
      </c>
      <c r="E15" s="182">
        <v>0.0</v>
      </c>
      <c r="F15" s="182">
        <v>23.0</v>
      </c>
      <c r="G15" s="182">
        <v>21.0</v>
      </c>
      <c r="H15" s="182">
        <v>52.27</v>
      </c>
    </row>
    <row r="16">
      <c r="A16" s="182" t="s">
        <v>186</v>
      </c>
      <c r="B16" s="182" t="s">
        <v>723</v>
      </c>
      <c r="C16" s="189">
        <f>IFERROR(__xludf.DUMMYFUNCTION("""COMPUTED_VALUE"""),4.0)</f>
        <v>4</v>
      </c>
      <c r="D16" s="189">
        <f>IFERROR(__xludf.DUMMYFUNCTION("""COMPUTED_VALUE"""),5.0)</f>
        <v>5</v>
      </c>
      <c r="E16" s="182">
        <v>-1.0</v>
      </c>
      <c r="F16" s="182">
        <v>54.0</v>
      </c>
      <c r="G16" s="182">
        <v>115.0</v>
      </c>
      <c r="H16" s="182">
        <v>31.95</v>
      </c>
    </row>
    <row r="17">
      <c r="A17" s="182" t="s">
        <v>186</v>
      </c>
      <c r="B17" s="182" t="s">
        <v>724</v>
      </c>
      <c r="C17" s="189">
        <f>IFERROR(__xludf.DUMMYFUNCTION("""COMPUTED_VALUE"""),3.0)</f>
        <v>3</v>
      </c>
      <c r="D17" s="189">
        <f>IFERROR(__xludf.DUMMYFUNCTION("""COMPUTED_VALUE"""),4.0)</f>
        <v>4</v>
      </c>
      <c r="E17" s="182">
        <v>-1.0</v>
      </c>
      <c r="F17" s="182">
        <v>29.0</v>
      </c>
      <c r="G17" s="182">
        <v>79.0</v>
      </c>
      <c r="H17" s="182">
        <v>26.85</v>
      </c>
    </row>
    <row r="18">
      <c r="A18" s="182" t="s">
        <v>186</v>
      </c>
      <c r="B18" s="182" t="s">
        <v>725</v>
      </c>
      <c r="C18" s="189">
        <f>IFERROR(__xludf.DUMMYFUNCTION("""COMPUTED_VALUE"""),2.0)</f>
        <v>2</v>
      </c>
      <c r="D18" s="189">
        <f>IFERROR(__xludf.DUMMYFUNCTION("""COMPUTED_VALUE"""),3.0)</f>
        <v>3</v>
      </c>
      <c r="E18" s="182">
        <v>-1.0</v>
      </c>
      <c r="F18" s="182">
        <v>18.0</v>
      </c>
      <c r="G18" s="182">
        <v>51.0</v>
      </c>
      <c r="H18" s="182">
        <v>26.08</v>
      </c>
    </row>
    <row r="19">
      <c r="A19" s="182" t="s">
        <v>186</v>
      </c>
      <c r="B19" s="182" t="s">
        <v>726</v>
      </c>
      <c r="C19" s="189">
        <f>IFERROR(__xludf.DUMMYFUNCTION("""COMPUTED_VALUE"""),1.0)</f>
        <v>1</v>
      </c>
      <c r="D19" s="189">
        <f>IFERROR(__xludf.DUMMYFUNCTION("""COMPUTED_VALUE"""),2.0)</f>
        <v>2</v>
      </c>
      <c r="E19" s="182">
        <v>-1.0</v>
      </c>
      <c r="F19" s="182">
        <v>12.0</v>
      </c>
      <c r="G19" s="182">
        <v>40.0</v>
      </c>
      <c r="H19" s="182">
        <v>23.07</v>
      </c>
    </row>
    <row r="20">
      <c r="A20" s="182" t="s">
        <v>186</v>
      </c>
      <c r="B20" s="182" t="s">
        <v>727</v>
      </c>
      <c r="C20" s="189">
        <f>IFERROR(__xludf.DUMMYFUNCTION("""COMPUTED_VALUE"""),3.0)</f>
        <v>3</v>
      </c>
      <c r="D20" s="189">
        <f>IFERROR(__xludf.DUMMYFUNCTION("""COMPUTED_VALUE"""),5.0)</f>
        <v>5</v>
      </c>
      <c r="E20" s="182">
        <v>-2.0</v>
      </c>
      <c r="F20" s="182">
        <v>12.0</v>
      </c>
      <c r="G20" s="182">
        <v>58.0</v>
      </c>
      <c r="H20" s="182">
        <v>17.14</v>
      </c>
    </row>
    <row r="21">
      <c r="A21" s="182" t="s">
        <v>186</v>
      </c>
      <c r="B21" s="182" t="s">
        <v>728</v>
      </c>
      <c r="C21" s="189">
        <f>IFERROR(__xludf.DUMMYFUNCTION("""COMPUTED_VALUE"""),2.0)</f>
        <v>2</v>
      </c>
      <c r="D21" s="189">
        <f>IFERROR(__xludf.DUMMYFUNCTION("""COMPUTED_VALUE"""),4.0)</f>
        <v>4</v>
      </c>
      <c r="E21" s="182">
        <v>-2.0</v>
      </c>
      <c r="F21" s="182">
        <v>4.0</v>
      </c>
      <c r="G21" s="182">
        <v>64.0</v>
      </c>
      <c r="H21" s="182">
        <v>5.88</v>
      </c>
    </row>
    <row r="22">
      <c r="A22" s="182" t="s">
        <v>186</v>
      </c>
      <c r="B22" s="182" t="s">
        <v>729</v>
      </c>
      <c r="C22" s="189">
        <f>IFERROR(__xludf.DUMMYFUNCTION("""COMPUTED_VALUE"""),1.0)</f>
        <v>1</v>
      </c>
      <c r="D22" s="189">
        <f>IFERROR(__xludf.DUMMYFUNCTION("""COMPUTED_VALUE"""),3.0)</f>
        <v>3</v>
      </c>
      <c r="E22" s="182">
        <v>-2.0</v>
      </c>
      <c r="F22" s="182">
        <v>2.0</v>
      </c>
      <c r="G22" s="182">
        <v>65.0</v>
      </c>
      <c r="H22" s="182">
        <v>2.98</v>
      </c>
    </row>
    <row r="23">
      <c r="A23" s="182" t="s">
        <v>186</v>
      </c>
      <c r="B23" s="182" t="s">
        <v>730</v>
      </c>
      <c r="C23" s="189">
        <f>IFERROR(__xludf.DUMMYFUNCTION("""COMPUTED_VALUE"""),2.0)</f>
        <v>2</v>
      </c>
      <c r="D23" s="189">
        <f>IFERROR(__xludf.DUMMYFUNCTION("""COMPUTED_VALUE"""),5.0)</f>
        <v>5</v>
      </c>
      <c r="E23" s="182">
        <v>-3.0</v>
      </c>
      <c r="F23" s="182">
        <v>1.0</v>
      </c>
      <c r="G23" s="182">
        <v>31.0</v>
      </c>
      <c r="H23" s="182">
        <v>3.12</v>
      </c>
    </row>
    <row r="24">
      <c r="A24" s="182" t="s">
        <v>186</v>
      </c>
      <c r="B24" s="182" t="s">
        <v>731</v>
      </c>
      <c r="C24" s="189">
        <f>IFERROR(__xludf.DUMMYFUNCTION("""COMPUTED_VALUE"""),1.0)</f>
        <v>1</v>
      </c>
      <c r="D24" s="189">
        <f>IFERROR(__xludf.DUMMYFUNCTION("""COMPUTED_VALUE"""),4.0)</f>
        <v>4</v>
      </c>
      <c r="E24" s="182">
        <v>-3.0</v>
      </c>
      <c r="F24" s="182">
        <v>2.0</v>
      </c>
      <c r="G24" s="182">
        <v>46.0</v>
      </c>
      <c r="H24" s="182">
        <v>4.16</v>
      </c>
    </row>
    <row r="25">
      <c r="A25" s="182" t="s">
        <v>186</v>
      </c>
      <c r="B25" s="182" t="s">
        <v>732</v>
      </c>
      <c r="C25" s="189">
        <f>IFERROR(__xludf.DUMMYFUNCTION("""COMPUTED_VALUE"""),1.0)</f>
        <v>1</v>
      </c>
      <c r="D25" s="189">
        <f>IFERROR(__xludf.DUMMYFUNCTION("""COMPUTED_VALUE"""),5.0)</f>
        <v>5</v>
      </c>
      <c r="E25" s="182">
        <v>-4.0</v>
      </c>
      <c r="F25" s="182">
        <v>0.0</v>
      </c>
      <c r="G25" s="182">
        <v>16.0</v>
      </c>
      <c r="H25" s="182">
        <v>0.0</v>
      </c>
    </row>
    <row r="26">
      <c r="A26" s="182" t="s">
        <v>181</v>
      </c>
      <c r="B26" s="182" t="s">
        <v>705</v>
      </c>
      <c r="C26" s="189">
        <f>IFERROR(__xludf.DUMMYFUNCTION("""COMPUTED_VALUE"""),5.0)</f>
        <v>5</v>
      </c>
      <c r="D26" s="189">
        <f>IFERROR(__xludf.DUMMYFUNCTION("""COMPUTED_VALUE"""),1.0)</f>
        <v>1</v>
      </c>
      <c r="E26" s="182" t="s">
        <v>706</v>
      </c>
      <c r="F26" s="182">
        <v>28.0</v>
      </c>
      <c r="G26" s="182">
        <v>0.0</v>
      </c>
      <c r="H26" s="182">
        <v>100.0</v>
      </c>
    </row>
    <row r="27">
      <c r="A27" s="182" t="s">
        <v>181</v>
      </c>
      <c r="B27" s="182" t="s">
        <v>707</v>
      </c>
      <c r="C27" s="189">
        <f>IFERROR(__xludf.DUMMYFUNCTION("""COMPUTED_VALUE"""),5.0)</f>
        <v>5</v>
      </c>
      <c r="D27" s="189">
        <f>IFERROR(__xludf.DUMMYFUNCTION("""COMPUTED_VALUE"""),2.0)</f>
        <v>2</v>
      </c>
      <c r="E27" s="182" t="s">
        <v>708</v>
      </c>
      <c r="F27" s="182">
        <v>48.0</v>
      </c>
      <c r="G27" s="182">
        <v>2.0</v>
      </c>
      <c r="H27" s="182">
        <v>96.0</v>
      </c>
    </row>
    <row r="28">
      <c r="A28" s="182" t="s">
        <v>181</v>
      </c>
      <c r="B28" s="182" t="s">
        <v>709</v>
      </c>
      <c r="C28" s="189">
        <f>IFERROR(__xludf.DUMMYFUNCTION("""COMPUTED_VALUE"""),4.0)</f>
        <v>4</v>
      </c>
      <c r="D28" s="189">
        <f>IFERROR(__xludf.DUMMYFUNCTION("""COMPUTED_VALUE"""),1.0)</f>
        <v>1</v>
      </c>
      <c r="E28" s="182" t="s">
        <v>708</v>
      </c>
      <c r="F28" s="182">
        <v>63.0</v>
      </c>
      <c r="G28" s="182">
        <v>0.0</v>
      </c>
      <c r="H28" s="182">
        <v>100.0</v>
      </c>
    </row>
    <row r="29">
      <c r="A29" s="182" t="s">
        <v>181</v>
      </c>
      <c r="B29" s="182" t="s">
        <v>710</v>
      </c>
      <c r="C29" s="189">
        <f>IFERROR(__xludf.DUMMYFUNCTION("""COMPUTED_VALUE"""),5.0)</f>
        <v>5</v>
      </c>
      <c r="D29" s="189">
        <f>IFERROR(__xludf.DUMMYFUNCTION("""COMPUTED_VALUE"""),3.0)</f>
        <v>3</v>
      </c>
      <c r="E29" s="182" t="s">
        <v>711</v>
      </c>
      <c r="F29" s="182">
        <v>91.0</v>
      </c>
      <c r="G29" s="182">
        <v>11.0</v>
      </c>
      <c r="H29" s="182">
        <v>89.21</v>
      </c>
    </row>
    <row r="30">
      <c r="A30" s="182" t="s">
        <v>181</v>
      </c>
      <c r="B30" s="182" t="s">
        <v>712</v>
      </c>
      <c r="C30" s="189">
        <f>IFERROR(__xludf.DUMMYFUNCTION("""COMPUTED_VALUE"""),4.0)</f>
        <v>4</v>
      </c>
      <c r="D30" s="189">
        <f>IFERROR(__xludf.DUMMYFUNCTION("""COMPUTED_VALUE"""),2.0)</f>
        <v>2</v>
      </c>
      <c r="E30" s="182" t="s">
        <v>711</v>
      </c>
      <c r="F30" s="182">
        <v>85.0</v>
      </c>
      <c r="G30" s="182">
        <v>2.0</v>
      </c>
      <c r="H30" s="182">
        <v>97.7</v>
      </c>
    </row>
    <row r="31">
      <c r="A31" s="182" t="s">
        <v>181</v>
      </c>
      <c r="B31" s="182" t="s">
        <v>713</v>
      </c>
      <c r="C31" s="189">
        <f>IFERROR(__xludf.DUMMYFUNCTION("""COMPUTED_VALUE"""),3.0)</f>
        <v>3</v>
      </c>
      <c r="D31" s="189">
        <f>IFERROR(__xludf.DUMMYFUNCTION("""COMPUTED_VALUE"""),1.0)</f>
        <v>1</v>
      </c>
      <c r="E31" s="182" t="s">
        <v>711</v>
      </c>
      <c r="F31" s="182">
        <v>67.0</v>
      </c>
      <c r="G31" s="182">
        <v>0.0</v>
      </c>
      <c r="H31" s="182">
        <v>100.0</v>
      </c>
    </row>
    <row r="32">
      <c r="A32" s="182" t="s">
        <v>181</v>
      </c>
      <c r="B32" s="182" t="s">
        <v>714</v>
      </c>
      <c r="C32" s="189">
        <f>IFERROR(__xludf.DUMMYFUNCTION("""COMPUTED_VALUE"""),5.0)</f>
        <v>5</v>
      </c>
      <c r="D32" s="189">
        <f>IFERROR(__xludf.DUMMYFUNCTION("""COMPUTED_VALUE"""),4.0)</f>
        <v>4</v>
      </c>
      <c r="E32" s="182" t="s">
        <v>715</v>
      </c>
      <c r="F32" s="182">
        <v>164.0</v>
      </c>
      <c r="G32" s="182">
        <v>52.0</v>
      </c>
      <c r="H32" s="182">
        <v>75.92</v>
      </c>
    </row>
    <row r="33">
      <c r="A33" s="182" t="s">
        <v>181</v>
      </c>
      <c r="B33" s="182" t="s">
        <v>716</v>
      </c>
      <c r="C33" s="189">
        <f>IFERROR(__xludf.DUMMYFUNCTION("""COMPUTED_VALUE"""),4.0)</f>
        <v>4</v>
      </c>
      <c r="D33" s="189">
        <f>IFERROR(__xludf.DUMMYFUNCTION("""COMPUTED_VALUE"""),3.0)</f>
        <v>3</v>
      </c>
      <c r="E33" s="182" t="s">
        <v>715</v>
      </c>
      <c r="F33" s="182">
        <v>98.0</v>
      </c>
      <c r="G33" s="182">
        <v>28.0</v>
      </c>
      <c r="H33" s="182">
        <v>77.77</v>
      </c>
    </row>
    <row r="34">
      <c r="A34" s="182" t="s">
        <v>181</v>
      </c>
      <c r="B34" s="182" t="s">
        <v>717</v>
      </c>
      <c r="C34" s="189">
        <f>IFERROR(__xludf.DUMMYFUNCTION("""COMPUTED_VALUE"""),3.0)</f>
        <v>3</v>
      </c>
      <c r="D34" s="189">
        <f>IFERROR(__xludf.DUMMYFUNCTION("""COMPUTED_VALUE"""),2.0)</f>
        <v>2</v>
      </c>
      <c r="E34" s="182" t="s">
        <v>715</v>
      </c>
      <c r="F34" s="182">
        <v>60.0</v>
      </c>
      <c r="G34" s="182">
        <v>15.0</v>
      </c>
      <c r="H34" s="182">
        <v>80.0</v>
      </c>
    </row>
    <row r="35">
      <c r="A35" s="182" t="s">
        <v>181</v>
      </c>
      <c r="B35" s="182" t="s">
        <v>718</v>
      </c>
      <c r="C35" s="189">
        <f>IFERROR(__xludf.DUMMYFUNCTION("""COMPUTED_VALUE"""),2.0)</f>
        <v>2</v>
      </c>
      <c r="D35" s="189">
        <f>IFERROR(__xludf.DUMMYFUNCTION("""COMPUTED_VALUE"""),1.0)</f>
        <v>1</v>
      </c>
      <c r="E35" s="182" t="s">
        <v>715</v>
      </c>
      <c r="F35" s="182">
        <v>58.0</v>
      </c>
      <c r="G35" s="182">
        <v>8.0</v>
      </c>
      <c r="H35" s="182">
        <v>87.87</v>
      </c>
    </row>
    <row r="36">
      <c r="A36" s="182" t="s">
        <v>181</v>
      </c>
      <c r="B36" s="182" t="s">
        <v>719</v>
      </c>
      <c r="C36" s="189">
        <f>IFERROR(__xludf.DUMMYFUNCTION("""COMPUTED_VALUE"""),4.0)</f>
        <v>4</v>
      </c>
      <c r="D36" s="189">
        <f>IFERROR(__xludf.DUMMYFUNCTION("""COMPUTED_VALUE"""),4.0)</f>
        <v>4</v>
      </c>
      <c r="E36" s="182">
        <v>0.0</v>
      </c>
      <c r="F36" s="182">
        <v>74.0</v>
      </c>
      <c r="G36" s="182">
        <v>74.0</v>
      </c>
      <c r="H36" s="182">
        <v>50.0</v>
      </c>
    </row>
    <row r="37">
      <c r="A37" s="182" t="s">
        <v>181</v>
      </c>
      <c r="B37" s="182" t="s">
        <v>720</v>
      </c>
      <c r="C37" s="189">
        <f>IFERROR(__xludf.DUMMYFUNCTION("""COMPUTED_VALUE"""),3.0)</f>
        <v>3</v>
      </c>
      <c r="D37" s="189">
        <f>IFERROR(__xludf.DUMMYFUNCTION("""COMPUTED_VALUE"""),3.0)</f>
        <v>3</v>
      </c>
      <c r="E37" s="182">
        <v>0.0</v>
      </c>
      <c r="F37" s="182">
        <v>54.0</v>
      </c>
      <c r="G37" s="182">
        <v>57.0</v>
      </c>
      <c r="H37" s="182">
        <v>48.64</v>
      </c>
    </row>
    <row r="38">
      <c r="A38" s="182" t="s">
        <v>181</v>
      </c>
      <c r="B38" s="182" t="s">
        <v>721</v>
      </c>
      <c r="C38" s="189">
        <f>IFERROR(__xludf.DUMMYFUNCTION("""COMPUTED_VALUE"""),2.0)</f>
        <v>2</v>
      </c>
      <c r="D38" s="189">
        <f>IFERROR(__xludf.DUMMYFUNCTION("""COMPUTED_VALUE"""),2.0)</f>
        <v>2</v>
      </c>
      <c r="E38" s="182">
        <v>0.0</v>
      </c>
      <c r="F38" s="182">
        <v>52.0</v>
      </c>
      <c r="G38" s="182">
        <v>38.0</v>
      </c>
      <c r="H38" s="182">
        <v>57.77</v>
      </c>
    </row>
    <row r="39">
      <c r="A39" s="182" t="s">
        <v>181</v>
      </c>
      <c r="B39" s="182" t="s">
        <v>722</v>
      </c>
      <c r="C39" s="189">
        <f>IFERROR(__xludf.DUMMYFUNCTION("""COMPUTED_VALUE"""),1.0)</f>
        <v>1</v>
      </c>
      <c r="D39" s="189">
        <f>IFERROR(__xludf.DUMMYFUNCTION("""COMPUTED_VALUE"""),1.0)</f>
        <v>1</v>
      </c>
      <c r="E39" s="182">
        <v>0.0</v>
      </c>
      <c r="F39" s="182">
        <v>29.0</v>
      </c>
      <c r="G39" s="182">
        <v>27.0</v>
      </c>
      <c r="H39" s="182">
        <v>51.78</v>
      </c>
    </row>
    <row r="40">
      <c r="A40" s="182" t="s">
        <v>181</v>
      </c>
      <c r="B40" s="182" t="s">
        <v>723</v>
      </c>
      <c r="C40" s="189">
        <f>IFERROR(__xludf.DUMMYFUNCTION("""COMPUTED_VALUE"""),4.0)</f>
        <v>4</v>
      </c>
      <c r="D40" s="189">
        <f>IFERROR(__xludf.DUMMYFUNCTION("""COMPUTED_VALUE"""),5.0)</f>
        <v>5</v>
      </c>
      <c r="E40" s="182">
        <v>-1.0</v>
      </c>
      <c r="F40" s="182">
        <v>64.0</v>
      </c>
      <c r="G40" s="182">
        <v>135.0</v>
      </c>
      <c r="H40" s="182">
        <v>32.16</v>
      </c>
    </row>
    <row r="41">
      <c r="A41" s="182" t="s">
        <v>181</v>
      </c>
      <c r="B41" s="182" t="s">
        <v>724</v>
      </c>
      <c r="C41" s="189">
        <f>IFERROR(__xludf.DUMMYFUNCTION("""COMPUTED_VALUE"""),3.0)</f>
        <v>3</v>
      </c>
      <c r="D41" s="189">
        <f>IFERROR(__xludf.DUMMYFUNCTION("""COMPUTED_VALUE"""),4.0)</f>
        <v>4</v>
      </c>
      <c r="E41" s="182">
        <v>-1.0</v>
      </c>
      <c r="F41" s="182">
        <v>31.0</v>
      </c>
      <c r="G41" s="182">
        <v>82.0</v>
      </c>
      <c r="H41" s="182">
        <v>27.43</v>
      </c>
    </row>
    <row r="42">
      <c r="A42" s="182" t="s">
        <v>181</v>
      </c>
      <c r="B42" s="182" t="s">
        <v>725</v>
      </c>
      <c r="C42" s="189">
        <f>IFERROR(__xludf.DUMMYFUNCTION("""COMPUTED_VALUE"""),2.0)</f>
        <v>2</v>
      </c>
      <c r="D42" s="189">
        <f>IFERROR(__xludf.DUMMYFUNCTION("""COMPUTED_VALUE"""),3.0)</f>
        <v>3</v>
      </c>
      <c r="E42" s="182">
        <v>-1.0</v>
      </c>
      <c r="F42" s="182">
        <v>22.0</v>
      </c>
      <c r="G42" s="182">
        <v>76.0</v>
      </c>
      <c r="H42" s="182">
        <v>22.44</v>
      </c>
    </row>
    <row r="43">
      <c r="A43" s="182" t="s">
        <v>181</v>
      </c>
      <c r="B43" s="182" t="s">
        <v>726</v>
      </c>
      <c r="C43" s="189">
        <f>IFERROR(__xludf.DUMMYFUNCTION("""COMPUTED_VALUE"""),1.0)</f>
        <v>1</v>
      </c>
      <c r="D43" s="189">
        <f>IFERROR(__xludf.DUMMYFUNCTION("""COMPUTED_VALUE"""),2.0)</f>
        <v>2</v>
      </c>
      <c r="E43" s="182">
        <v>-1.0</v>
      </c>
      <c r="F43" s="182">
        <v>15.0</v>
      </c>
      <c r="G43" s="182">
        <v>73.0</v>
      </c>
      <c r="H43" s="182">
        <v>17.04</v>
      </c>
    </row>
    <row r="44">
      <c r="A44" s="182" t="s">
        <v>181</v>
      </c>
      <c r="B44" s="182" t="s">
        <v>727</v>
      </c>
      <c r="C44" s="189">
        <f>IFERROR(__xludf.DUMMYFUNCTION("""COMPUTED_VALUE"""),3.0)</f>
        <v>3</v>
      </c>
      <c r="D44" s="189">
        <f>IFERROR(__xludf.DUMMYFUNCTION("""COMPUTED_VALUE"""),5.0)</f>
        <v>5</v>
      </c>
      <c r="E44" s="182">
        <v>-2.0</v>
      </c>
      <c r="F44" s="182">
        <v>10.0</v>
      </c>
      <c r="G44" s="182">
        <v>63.0</v>
      </c>
      <c r="H44" s="182">
        <v>13.69</v>
      </c>
    </row>
    <row r="45">
      <c r="A45" s="182" t="s">
        <v>181</v>
      </c>
      <c r="B45" s="182" t="s">
        <v>728</v>
      </c>
      <c r="C45" s="189">
        <f>IFERROR(__xludf.DUMMYFUNCTION("""COMPUTED_VALUE"""),2.0)</f>
        <v>2</v>
      </c>
      <c r="D45" s="189">
        <f>IFERROR(__xludf.DUMMYFUNCTION("""COMPUTED_VALUE"""),4.0)</f>
        <v>4</v>
      </c>
      <c r="E45" s="182">
        <v>-2.0</v>
      </c>
      <c r="F45" s="182">
        <v>5.0</v>
      </c>
      <c r="G45" s="182">
        <v>70.0</v>
      </c>
      <c r="H45" s="182">
        <v>6.66</v>
      </c>
    </row>
    <row r="46">
      <c r="A46" s="182" t="s">
        <v>181</v>
      </c>
      <c r="B46" s="182" t="s">
        <v>729</v>
      </c>
      <c r="C46" s="189">
        <f>IFERROR(__xludf.DUMMYFUNCTION("""COMPUTED_VALUE"""),1.0)</f>
        <v>1</v>
      </c>
      <c r="D46" s="189">
        <f>IFERROR(__xludf.DUMMYFUNCTION("""COMPUTED_VALUE"""),3.0)</f>
        <v>3</v>
      </c>
      <c r="E46" s="182">
        <v>-2.0</v>
      </c>
      <c r="F46" s="182">
        <v>4.0</v>
      </c>
      <c r="G46" s="182">
        <v>70.0</v>
      </c>
      <c r="H46" s="182">
        <v>5.4</v>
      </c>
    </row>
    <row r="47">
      <c r="A47" s="182" t="s">
        <v>181</v>
      </c>
      <c r="B47" s="182" t="s">
        <v>730</v>
      </c>
      <c r="C47" s="189">
        <f>IFERROR(__xludf.DUMMYFUNCTION("""COMPUTED_VALUE"""),2.0)</f>
        <v>2</v>
      </c>
      <c r="D47" s="189">
        <f>IFERROR(__xludf.DUMMYFUNCTION("""COMPUTED_VALUE"""),5.0)</f>
        <v>5</v>
      </c>
      <c r="E47" s="182">
        <v>-3.0</v>
      </c>
      <c r="F47" s="182">
        <v>2.0</v>
      </c>
      <c r="G47" s="182">
        <v>33.0</v>
      </c>
      <c r="H47" s="182">
        <v>5.71</v>
      </c>
    </row>
    <row r="48">
      <c r="A48" s="182" t="s">
        <v>181</v>
      </c>
      <c r="B48" s="182" t="s">
        <v>731</v>
      </c>
      <c r="C48" s="189">
        <f>IFERROR(__xludf.DUMMYFUNCTION("""COMPUTED_VALUE"""),1.0)</f>
        <v>1</v>
      </c>
      <c r="D48" s="189">
        <f>IFERROR(__xludf.DUMMYFUNCTION("""COMPUTED_VALUE"""),4.0)</f>
        <v>4</v>
      </c>
      <c r="E48" s="182">
        <v>-3.0</v>
      </c>
      <c r="F48" s="182">
        <v>1.0</v>
      </c>
      <c r="G48" s="182">
        <v>52.0</v>
      </c>
      <c r="H48" s="182">
        <v>1.88</v>
      </c>
    </row>
    <row r="49">
      <c r="A49" s="182" t="s">
        <v>181</v>
      </c>
      <c r="B49" s="182" t="s">
        <v>732</v>
      </c>
      <c r="C49" s="189">
        <f>IFERROR(__xludf.DUMMYFUNCTION("""COMPUTED_VALUE"""),1.0)</f>
        <v>1</v>
      </c>
      <c r="D49" s="189">
        <f>IFERROR(__xludf.DUMMYFUNCTION("""COMPUTED_VALUE"""),5.0)</f>
        <v>5</v>
      </c>
      <c r="E49" s="182">
        <v>-4.0</v>
      </c>
      <c r="F49" s="182">
        <v>0.0</v>
      </c>
      <c r="G49" s="182">
        <v>19.0</v>
      </c>
      <c r="H49" s="182">
        <v>0.0</v>
      </c>
    </row>
    <row r="50">
      <c r="A50" s="182" t="s">
        <v>190</v>
      </c>
      <c r="B50" s="182" t="s">
        <v>705</v>
      </c>
      <c r="C50" s="189">
        <f>IFERROR(__xludf.DUMMYFUNCTION("""COMPUTED_VALUE"""),5.0)</f>
        <v>5</v>
      </c>
      <c r="D50" s="189">
        <f>IFERROR(__xludf.DUMMYFUNCTION("""COMPUTED_VALUE"""),1.0)</f>
        <v>1</v>
      </c>
      <c r="E50" s="182" t="s">
        <v>706</v>
      </c>
      <c r="F50" s="182">
        <v>22.0</v>
      </c>
      <c r="G50" s="182">
        <v>0.0</v>
      </c>
      <c r="H50" s="182">
        <v>100.0</v>
      </c>
    </row>
    <row r="51">
      <c r="A51" s="182" t="s">
        <v>190</v>
      </c>
      <c r="B51" s="182" t="s">
        <v>707</v>
      </c>
      <c r="C51" s="189">
        <f>IFERROR(__xludf.DUMMYFUNCTION("""COMPUTED_VALUE"""),5.0)</f>
        <v>5</v>
      </c>
      <c r="D51" s="189">
        <f>IFERROR(__xludf.DUMMYFUNCTION("""COMPUTED_VALUE"""),2.0)</f>
        <v>2</v>
      </c>
      <c r="E51" s="182" t="s">
        <v>708</v>
      </c>
      <c r="F51" s="182">
        <v>31.0</v>
      </c>
      <c r="G51" s="182">
        <v>0.0</v>
      </c>
      <c r="H51" s="182">
        <v>100.0</v>
      </c>
    </row>
    <row r="52">
      <c r="A52" s="182" t="s">
        <v>190</v>
      </c>
      <c r="B52" s="182" t="s">
        <v>709</v>
      </c>
      <c r="C52" s="189">
        <f>IFERROR(__xludf.DUMMYFUNCTION("""COMPUTED_VALUE"""),4.0)</f>
        <v>4</v>
      </c>
      <c r="D52" s="189">
        <f>IFERROR(__xludf.DUMMYFUNCTION("""COMPUTED_VALUE"""),1.0)</f>
        <v>1</v>
      </c>
      <c r="E52" s="182" t="s">
        <v>708</v>
      </c>
      <c r="F52" s="182">
        <v>37.0</v>
      </c>
      <c r="G52" s="182">
        <v>0.0</v>
      </c>
      <c r="H52" s="182">
        <v>100.0</v>
      </c>
    </row>
    <row r="53">
      <c r="A53" s="182" t="s">
        <v>190</v>
      </c>
      <c r="B53" s="182" t="s">
        <v>710</v>
      </c>
      <c r="C53" s="189">
        <f>IFERROR(__xludf.DUMMYFUNCTION("""COMPUTED_VALUE"""),5.0)</f>
        <v>5</v>
      </c>
      <c r="D53" s="189">
        <f>IFERROR(__xludf.DUMMYFUNCTION("""COMPUTED_VALUE"""),3.0)</f>
        <v>3</v>
      </c>
      <c r="E53" s="182" t="s">
        <v>711</v>
      </c>
      <c r="F53" s="182">
        <v>72.0</v>
      </c>
      <c r="G53" s="182">
        <v>7.0</v>
      </c>
      <c r="H53" s="182">
        <v>91.13</v>
      </c>
    </row>
    <row r="54">
      <c r="A54" s="182" t="s">
        <v>190</v>
      </c>
      <c r="B54" s="182" t="s">
        <v>712</v>
      </c>
      <c r="C54" s="189">
        <f>IFERROR(__xludf.DUMMYFUNCTION("""COMPUTED_VALUE"""),4.0)</f>
        <v>4</v>
      </c>
      <c r="D54" s="189">
        <f>IFERROR(__xludf.DUMMYFUNCTION("""COMPUTED_VALUE"""),2.0)</f>
        <v>2</v>
      </c>
      <c r="E54" s="182" t="s">
        <v>711</v>
      </c>
      <c r="F54" s="182">
        <v>57.0</v>
      </c>
      <c r="G54" s="182">
        <v>3.0</v>
      </c>
      <c r="H54" s="182">
        <v>95.0</v>
      </c>
    </row>
    <row r="55">
      <c r="A55" s="182" t="s">
        <v>190</v>
      </c>
      <c r="B55" s="182" t="s">
        <v>713</v>
      </c>
      <c r="C55" s="189">
        <f>IFERROR(__xludf.DUMMYFUNCTION("""COMPUTED_VALUE"""),3.0)</f>
        <v>3</v>
      </c>
      <c r="D55" s="189">
        <f>IFERROR(__xludf.DUMMYFUNCTION("""COMPUTED_VALUE"""),1.0)</f>
        <v>1</v>
      </c>
      <c r="E55" s="182" t="s">
        <v>711</v>
      </c>
      <c r="F55" s="182">
        <v>66.0</v>
      </c>
      <c r="G55" s="182">
        <v>1.0</v>
      </c>
      <c r="H55" s="182">
        <v>98.5</v>
      </c>
    </row>
    <row r="56">
      <c r="A56" s="182" t="s">
        <v>190</v>
      </c>
      <c r="B56" s="182" t="s">
        <v>714</v>
      </c>
      <c r="C56" s="189">
        <f>IFERROR(__xludf.DUMMYFUNCTION("""COMPUTED_VALUE"""),5.0)</f>
        <v>5</v>
      </c>
      <c r="D56" s="189">
        <f>IFERROR(__xludf.DUMMYFUNCTION("""COMPUTED_VALUE"""),4.0)</f>
        <v>4</v>
      </c>
      <c r="E56" s="182" t="s">
        <v>715</v>
      </c>
      <c r="F56" s="182">
        <v>151.0</v>
      </c>
      <c r="G56" s="182">
        <v>55.0</v>
      </c>
      <c r="H56" s="182">
        <v>73.3</v>
      </c>
    </row>
    <row r="57">
      <c r="A57" s="182" t="s">
        <v>190</v>
      </c>
      <c r="B57" s="182" t="s">
        <v>716</v>
      </c>
      <c r="C57" s="189">
        <f>IFERROR(__xludf.DUMMYFUNCTION("""COMPUTED_VALUE"""),4.0)</f>
        <v>4</v>
      </c>
      <c r="D57" s="189">
        <f>IFERROR(__xludf.DUMMYFUNCTION("""COMPUTED_VALUE"""),3.0)</f>
        <v>3</v>
      </c>
      <c r="E57" s="182" t="s">
        <v>715</v>
      </c>
      <c r="F57" s="182">
        <v>108.0</v>
      </c>
      <c r="G57" s="182">
        <v>21.0</v>
      </c>
      <c r="H57" s="182">
        <v>83.72</v>
      </c>
    </row>
    <row r="58">
      <c r="A58" s="182" t="s">
        <v>190</v>
      </c>
      <c r="B58" s="182" t="s">
        <v>717</v>
      </c>
      <c r="C58" s="189">
        <f>IFERROR(__xludf.DUMMYFUNCTION("""COMPUTED_VALUE"""),3.0)</f>
        <v>3</v>
      </c>
      <c r="D58" s="189">
        <f>IFERROR(__xludf.DUMMYFUNCTION("""COMPUTED_VALUE"""),2.0)</f>
        <v>2</v>
      </c>
      <c r="E58" s="182" t="s">
        <v>715</v>
      </c>
      <c r="F58" s="182">
        <v>70.0</v>
      </c>
      <c r="G58" s="182">
        <v>15.0</v>
      </c>
      <c r="H58" s="182">
        <v>82.35</v>
      </c>
    </row>
    <row r="59">
      <c r="A59" s="182" t="s">
        <v>190</v>
      </c>
      <c r="B59" s="182" t="s">
        <v>718</v>
      </c>
      <c r="C59" s="189">
        <f>IFERROR(__xludf.DUMMYFUNCTION("""COMPUTED_VALUE"""),2.0)</f>
        <v>2</v>
      </c>
      <c r="D59" s="189">
        <f>IFERROR(__xludf.DUMMYFUNCTION("""COMPUTED_VALUE"""),1.0)</f>
        <v>1</v>
      </c>
      <c r="E59" s="182" t="s">
        <v>715</v>
      </c>
      <c r="F59" s="182">
        <v>75.0</v>
      </c>
      <c r="G59" s="182">
        <v>7.0</v>
      </c>
      <c r="H59" s="182">
        <v>91.46</v>
      </c>
    </row>
    <row r="60">
      <c r="A60" s="182" t="s">
        <v>190</v>
      </c>
      <c r="B60" s="182" t="s">
        <v>719</v>
      </c>
      <c r="C60" s="189">
        <f>IFERROR(__xludf.DUMMYFUNCTION("""COMPUTED_VALUE"""),4.0)</f>
        <v>4</v>
      </c>
      <c r="D60" s="189">
        <f>IFERROR(__xludf.DUMMYFUNCTION("""COMPUTED_VALUE"""),4.0)</f>
        <v>4</v>
      </c>
      <c r="E60" s="182">
        <v>0.0</v>
      </c>
      <c r="F60" s="182">
        <v>86.0</v>
      </c>
      <c r="G60" s="182">
        <v>83.0</v>
      </c>
      <c r="H60" s="182">
        <v>50.88</v>
      </c>
    </row>
    <row r="61">
      <c r="A61" s="182" t="s">
        <v>190</v>
      </c>
      <c r="B61" s="182" t="s">
        <v>720</v>
      </c>
      <c r="C61" s="189">
        <f>IFERROR(__xludf.DUMMYFUNCTION("""COMPUTED_VALUE"""),3.0)</f>
        <v>3</v>
      </c>
      <c r="D61" s="189">
        <f>IFERROR(__xludf.DUMMYFUNCTION("""COMPUTED_VALUE"""),3.0)</f>
        <v>3</v>
      </c>
      <c r="E61" s="182">
        <v>0.0</v>
      </c>
      <c r="F61" s="182">
        <v>62.0</v>
      </c>
      <c r="G61" s="182">
        <v>58.0</v>
      </c>
      <c r="H61" s="182">
        <v>51.66</v>
      </c>
    </row>
    <row r="62">
      <c r="A62" s="182" t="s">
        <v>190</v>
      </c>
      <c r="B62" s="182" t="s">
        <v>721</v>
      </c>
      <c r="C62" s="189">
        <f>IFERROR(__xludf.DUMMYFUNCTION("""COMPUTED_VALUE"""),2.0)</f>
        <v>2</v>
      </c>
      <c r="D62" s="189">
        <f>IFERROR(__xludf.DUMMYFUNCTION("""COMPUTED_VALUE"""),2.0)</f>
        <v>2</v>
      </c>
      <c r="E62" s="182">
        <v>0.0</v>
      </c>
      <c r="F62" s="182">
        <v>43.0</v>
      </c>
      <c r="G62" s="182">
        <v>43.0</v>
      </c>
      <c r="H62" s="182">
        <v>50.0</v>
      </c>
    </row>
    <row r="63">
      <c r="A63" s="182" t="s">
        <v>190</v>
      </c>
      <c r="B63" s="182" t="s">
        <v>722</v>
      </c>
      <c r="C63" s="189">
        <f>IFERROR(__xludf.DUMMYFUNCTION("""COMPUTED_VALUE"""),1.0)</f>
        <v>1</v>
      </c>
      <c r="D63" s="189">
        <f>IFERROR(__xludf.DUMMYFUNCTION("""COMPUTED_VALUE"""),1.0)</f>
        <v>1</v>
      </c>
      <c r="E63" s="182">
        <v>0.0</v>
      </c>
      <c r="F63" s="182">
        <v>37.0</v>
      </c>
      <c r="G63" s="182">
        <v>21.0</v>
      </c>
      <c r="H63" s="182">
        <v>63.79</v>
      </c>
    </row>
    <row r="64">
      <c r="A64" s="182" t="s">
        <v>190</v>
      </c>
      <c r="B64" s="182" t="s">
        <v>723</v>
      </c>
      <c r="C64" s="189">
        <f>IFERROR(__xludf.DUMMYFUNCTION("""COMPUTED_VALUE"""),4.0)</f>
        <v>4</v>
      </c>
      <c r="D64" s="189">
        <f>IFERROR(__xludf.DUMMYFUNCTION("""COMPUTED_VALUE"""),5.0)</f>
        <v>5</v>
      </c>
      <c r="E64" s="182">
        <v>-1.0</v>
      </c>
      <c r="F64" s="182">
        <v>56.0</v>
      </c>
      <c r="G64" s="182">
        <v>165.0</v>
      </c>
      <c r="H64" s="182">
        <v>25.33</v>
      </c>
    </row>
    <row r="65">
      <c r="A65" s="182" t="s">
        <v>190</v>
      </c>
      <c r="B65" s="182" t="s">
        <v>724</v>
      </c>
      <c r="C65" s="189">
        <f>IFERROR(__xludf.DUMMYFUNCTION("""COMPUTED_VALUE"""),3.0)</f>
        <v>3</v>
      </c>
      <c r="D65" s="189">
        <f>IFERROR(__xludf.DUMMYFUNCTION("""COMPUTED_VALUE"""),4.0)</f>
        <v>4</v>
      </c>
      <c r="E65" s="182">
        <v>-1.0</v>
      </c>
      <c r="F65" s="182">
        <v>31.0</v>
      </c>
      <c r="G65" s="182">
        <v>76.0</v>
      </c>
      <c r="H65" s="182">
        <v>28.97</v>
      </c>
    </row>
    <row r="66">
      <c r="A66" s="182" t="s">
        <v>190</v>
      </c>
      <c r="B66" s="182" t="s">
        <v>725</v>
      </c>
      <c r="C66" s="189">
        <f>IFERROR(__xludf.DUMMYFUNCTION("""COMPUTED_VALUE"""),2.0)</f>
        <v>2</v>
      </c>
      <c r="D66" s="189">
        <f>IFERROR(__xludf.DUMMYFUNCTION("""COMPUTED_VALUE"""),3.0)</f>
        <v>3</v>
      </c>
      <c r="E66" s="182">
        <v>-1.0</v>
      </c>
      <c r="F66" s="182">
        <v>22.0</v>
      </c>
      <c r="G66" s="182">
        <v>59.0</v>
      </c>
      <c r="H66" s="182">
        <v>27.16</v>
      </c>
    </row>
    <row r="67">
      <c r="A67" s="182" t="s">
        <v>190</v>
      </c>
      <c r="B67" s="182" t="s">
        <v>726</v>
      </c>
      <c r="C67" s="189">
        <f>IFERROR(__xludf.DUMMYFUNCTION("""COMPUTED_VALUE"""),1.0)</f>
        <v>1</v>
      </c>
      <c r="D67" s="189">
        <f>IFERROR(__xludf.DUMMYFUNCTION("""COMPUTED_VALUE"""),2.0)</f>
        <v>2</v>
      </c>
      <c r="E67" s="182">
        <v>-1.0</v>
      </c>
      <c r="F67" s="182">
        <v>6.0</v>
      </c>
      <c r="G67" s="182">
        <v>46.0</v>
      </c>
      <c r="H67" s="182">
        <v>11.53</v>
      </c>
    </row>
    <row r="68">
      <c r="A68" s="182" t="s">
        <v>190</v>
      </c>
      <c r="B68" s="182" t="s">
        <v>727</v>
      </c>
      <c r="C68" s="189">
        <f>IFERROR(__xludf.DUMMYFUNCTION("""COMPUTED_VALUE"""),3.0)</f>
        <v>3</v>
      </c>
      <c r="D68" s="189">
        <f>IFERROR(__xludf.DUMMYFUNCTION("""COMPUTED_VALUE"""),5.0)</f>
        <v>5</v>
      </c>
      <c r="E68" s="182">
        <v>-2.0</v>
      </c>
      <c r="F68" s="182">
        <v>8.0</v>
      </c>
      <c r="G68" s="182">
        <v>89.0</v>
      </c>
      <c r="H68" s="182">
        <v>8.24</v>
      </c>
    </row>
    <row r="69">
      <c r="A69" s="182" t="s">
        <v>190</v>
      </c>
      <c r="B69" s="182" t="s">
        <v>728</v>
      </c>
      <c r="C69" s="189">
        <f>IFERROR(__xludf.DUMMYFUNCTION("""COMPUTED_VALUE"""),2.0)</f>
        <v>2</v>
      </c>
      <c r="D69" s="189">
        <f>IFERROR(__xludf.DUMMYFUNCTION("""COMPUTED_VALUE"""),4.0)</f>
        <v>4</v>
      </c>
      <c r="E69" s="182">
        <v>-2.0</v>
      </c>
      <c r="F69" s="182">
        <v>4.0</v>
      </c>
      <c r="G69" s="182">
        <v>68.0</v>
      </c>
      <c r="H69" s="182">
        <v>5.55</v>
      </c>
    </row>
    <row r="70">
      <c r="A70" s="182" t="s">
        <v>190</v>
      </c>
      <c r="B70" s="182" t="s">
        <v>729</v>
      </c>
      <c r="C70" s="189">
        <f>IFERROR(__xludf.DUMMYFUNCTION("""COMPUTED_VALUE"""),1.0)</f>
        <v>1</v>
      </c>
      <c r="D70" s="189">
        <f>IFERROR(__xludf.DUMMYFUNCTION("""COMPUTED_VALUE"""),3.0)</f>
        <v>3</v>
      </c>
      <c r="E70" s="182">
        <v>-2.0</v>
      </c>
      <c r="F70" s="182">
        <v>4.0</v>
      </c>
      <c r="G70" s="182">
        <v>58.0</v>
      </c>
      <c r="H70" s="182">
        <v>6.45</v>
      </c>
    </row>
    <row r="71">
      <c r="A71" s="182" t="s">
        <v>190</v>
      </c>
      <c r="B71" s="182" t="s">
        <v>730</v>
      </c>
      <c r="C71" s="189">
        <f>IFERROR(__xludf.DUMMYFUNCTION("""COMPUTED_VALUE"""),2.0)</f>
        <v>2</v>
      </c>
      <c r="D71" s="189">
        <f>IFERROR(__xludf.DUMMYFUNCTION("""COMPUTED_VALUE"""),5.0)</f>
        <v>5</v>
      </c>
      <c r="E71" s="182">
        <v>-3.0</v>
      </c>
      <c r="F71" s="182">
        <v>2.0</v>
      </c>
      <c r="G71" s="182">
        <v>39.0</v>
      </c>
      <c r="H71" s="182">
        <v>4.87</v>
      </c>
    </row>
    <row r="72">
      <c r="A72" s="182" t="s">
        <v>190</v>
      </c>
      <c r="B72" s="182" t="s">
        <v>731</v>
      </c>
      <c r="C72" s="189">
        <f>IFERROR(__xludf.DUMMYFUNCTION("""COMPUTED_VALUE"""),1.0)</f>
        <v>1</v>
      </c>
      <c r="D72" s="189">
        <f>IFERROR(__xludf.DUMMYFUNCTION("""COMPUTED_VALUE"""),4.0)</f>
        <v>4</v>
      </c>
      <c r="E72" s="182">
        <v>-3.0</v>
      </c>
      <c r="F72" s="182">
        <v>0.0</v>
      </c>
      <c r="G72" s="182">
        <v>56.0</v>
      </c>
      <c r="H72" s="182">
        <v>0.0</v>
      </c>
    </row>
    <row r="73">
      <c r="A73" s="182" t="s">
        <v>190</v>
      </c>
      <c r="B73" s="182" t="s">
        <v>732</v>
      </c>
      <c r="C73" s="189">
        <f>IFERROR(__xludf.DUMMYFUNCTION("""COMPUTED_VALUE"""),1.0)</f>
        <v>1</v>
      </c>
      <c r="D73" s="189">
        <f>IFERROR(__xludf.DUMMYFUNCTION("""COMPUTED_VALUE"""),5.0)</f>
        <v>5</v>
      </c>
      <c r="E73" s="182">
        <v>-4.0</v>
      </c>
      <c r="F73" s="182">
        <v>0.0</v>
      </c>
      <c r="G73" s="182">
        <v>33.0</v>
      </c>
      <c r="H73" s="182">
        <v>0.0</v>
      </c>
    </row>
    <row r="74">
      <c r="A74" s="182" t="s">
        <v>182</v>
      </c>
      <c r="B74" s="182" t="s">
        <v>705</v>
      </c>
      <c r="C74" s="189">
        <f>IFERROR(__xludf.DUMMYFUNCTION("""COMPUTED_VALUE"""),5.0)</f>
        <v>5</v>
      </c>
      <c r="D74" s="189">
        <f>IFERROR(__xludf.DUMMYFUNCTION("""COMPUTED_VALUE"""),1.0)</f>
        <v>1</v>
      </c>
      <c r="E74" s="182" t="s">
        <v>706</v>
      </c>
      <c r="F74" s="182">
        <v>19.0</v>
      </c>
      <c r="G74" s="182">
        <v>0.0</v>
      </c>
      <c r="H74" s="182">
        <v>100.0</v>
      </c>
    </row>
    <row r="75">
      <c r="A75" s="182" t="s">
        <v>182</v>
      </c>
      <c r="B75" s="182" t="s">
        <v>707</v>
      </c>
      <c r="C75" s="189">
        <f>IFERROR(__xludf.DUMMYFUNCTION("""COMPUTED_VALUE"""),5.0)</f>
        <v>5</v>
      </c>
      <c r="D75" s="189">
        <f>IFERROR(__xludf.DUMMYFUNCTION("""COMPUTED_VALUE"""),2.0)</f>
        <v>2</v>
      </c>
      <c r="E75" s="182" t="s">
        <v>708</v>
      </c>
      <c r="F75" s="182">
        <v>26.0</v>
      </c>
      <c r="G75" s="182">
        <v>0.0</v>
      </c>
      <c r="H75" s="182">
        <v>100.0</v>
      </c>
    </row>
    <row r="76">
      <c r="A76" s="182" t="s">
        <v>182</v>
      </c>
      <c r="B76" s="182" t="s">
        <v>709</v>
      </c>
      <c r="C76" s="189">
        <f>IFERROR(__xludf.DUMMYFUNCTION("""COMPUTED_VALUE"""),4.0)</f>
        <v>4</v>
      </c>
      <c r="D76" s="189">
        <f>IFERROR(__xludf.DUMMYFUNCTION("""COMPUTED_VALUE"""),1.0)</f>
        <v>1</v>
      </c>
      <c r="E76" s="182" t="s">
        <v>708</v>
      </c>
      <c r="F76" s="182">
        <v>24.0</v>
      </c>
      <c r="G76" s="182">
        <v>0.0</v>
      </c>
      <c r="H76" s="182">
        <v>100.0</v>
      </c>
    </row>
    <row r="77">
      <c r="A77" s="182" t="s">
        <v>182</v>
      </c>
      <c r="B77" s="182" t="s">
        <v>710</v>
      </c>
      <c r="C77" s="189">
        <f>IFERROR(__xludf.DUMMYFUNCTION("""COMPUTED_VALUE"""),5.0)</f>
        <v>5</v>
      </c>
      <c r="D77" s="189">
        <f>IFERROR(__xludf.DUMMYFUNCTION("""COMPUTED_VALUE"""),3.0)</f>
        <v>3</v>
      </c>
      <c r="E77" s="182" t="s">
        <v>711</v>
      </c>
      <c r="F77" s="182">
        <v>49.0</v>
      </c>
      <c r="G77" s="182">
        <v>6.0</v>
      </c>
      <c r="H77" s="182">
        <v>89.09</v>
      </c>
    </row>
    <row r="78">
      <c r="A78" s="182" t="s">
        <v>182</v>
      </c>
      <c r="B78" s="182" t="s">
        <v>712</v>
      </c>
      <c r="C78" s="189">
        <f>IFERROR(__xludf.DUMMYFUNCTION("""COMPUTED_VALUE"""),4.0)</f>
        <v>4</v>
      </c>
      <c r="D78" s="189">
        <f>IFERROR(__xludf.DUMMYFUNCTION("""COMPUTED_VALUE"""),2.0)</f>
        <v>2</v>
      </c>
      <c r="E78" s="182" t="s">
        <v>711</v>
      </c>
      <c r="F78" s="182">
        <v>39.0</v>
      </c>
      <c r="G78" s="182">
        <v>3.0</v>
      </c>
      <c r="H78" s="182">
        <v>92.85</v>
      </c>
    </row>
    <row r="79">
      <c r="A79" s="182" t="s">
        <v>182</v>
      </c>
      <c r="B79" s="182" t="s">
        <v>713</v>
      </c>
      <c r="C79" s="189">
        <f>IFERROR(__xludf.DUMMYFUNCTION("""COMPUTED_VALUE"""),3.0)</f>
        <v>3</v>
      </c>
      <c r="D79" s="189">
        <f>IFERROR(__xludf.DUMMYFUNCTION("""COMPUTED_VALUE"""),1.0)</f>
        <v>1</v>
      </c>
      <c r="E79" s="182" t="s">
        <v>711</v>
      </c>
      <c r="F79" s="182">
        <v>39.0</v>
      </c>
      <c r="G79" s="182">
        <v>0.0</v>
      </c>
      <c r="H79" s="182">
        <v>100.0</v>
      </c>
    </row>
    <row r="80">
      <c r="A80" s="182" t="s">
        <v>182</v>
      </c>
      <c r="B80" s="182" t="s">
        <v>714</v>
      </c>
      <c r="C80" s="189">
        <f>IFERROR(__xludf.DUMMYFUNCTION("""COMPUTED_VALUE"""),5.0)</f>
        <v>5</v>
      </c>
      <c r="D80" s="189">
        <f>IFERROR(__xludf.DUMMYFUNCTION("""COMPUTED_VALUE"""),4.0)</f>
        <v>4</v>
      </c>
      <c r="E80" s="182" t="s">
        <v>715</v>
      </c>
      <c r="F80" s="182">
        <v>88.0</v>
      </c>
      <c r="G80" s="182">
        <v>28.0</v>
      </c>
      <c r="H80" s="182">
        <v>75.86</v>
      </c>
    </row>
    <row r="81">
      <c r="A81" s="182" t="s">
        <v>182</v>
      </c>
      <c r="B81" s="182" t="s">
        <v>716</v>
      </c>
      <c r="C81" s="189">
        <f>IFERROR(__xludf.DUMMYFUNCTION("""COMPUTED_VALUE"""),4.0)</f>
        <v>4</v>
      </c>
      <c r="D81" s="189">
        <f>IFERROR(__xludf.DUMMYFUNCTION("""COMPUTED_VALUE"""),3.0)</f>
        <v>3</v>
      </c>
      <c r="E81" s="182" t="s">
        <v>715</v>
      </c>
      <c r="F81" s="182">
        <v>54.0</v>
      </c>
      <c r="G81" s="182">
        <v>15.0</v>
      </c>
      <c r="H81" s="182">
        <v>78.26</v>
      </c>
    </row>
    <row r="82">
      <c r="A82" s="182" t="s">
        <v>182</v>
      </c>
      <c r="B82" s="182" t="s">
        <v>717</v>
      </c>
      <c r="C82" s="189">
        <f>IFERROR(__xludf.DUMMYFUNCTION("""COMPUTED_VALUE"""),3.0)</f>
        <v>3</v>
      </c>
      <c r="D82" s="189">
        <f>IFERROR(__xludf.DUMMYFUNCTION("""COMPUTED_VALUE"""),2.0)</f>
        <v>2</v>
      </c>
      <c r="E82" s="182" t="s">
        <v>715</v>
      </c>
      <c r="F82" s="182">
        <v>41.0</v>
      </c>
      <c r="G82" s="182">
        <v>12.0</v>
      </c>
      <c r="H82" s="182">
        <v>77.35</v>
      </c>
    </row>
    <row r="83">
      <c r="A83" s="182" t="s">
        <v>182</v>
      </c>
      <c r="B83" s="182" t="s">
        <v>718</v>
      </c>
      <c r="C83" s="189">
        <f>IFERROR(__xludf.DUMMYFUNCTION("""COMPUTED_VALUE"""),2.0)</f>
        <v>2</v>
      </c>
      <c r="D83" s="189">
        <f>IFERROR(__xludf.DUMMYFUNCTION("""COMPUTED_VALUE"""),1.0)</f>
        <v>1</v>
      </c>
      <c r="E83" s="182" t="s">
        <v>715</v>
      </c>
      <c r="F83" s="182">
        <v>46.0</v>
      </c>
      <c r="G83" s="182">
        <v>4.0</v>
      </c>
      <c r="H83" s="182">
        <v>92.0</v>
      </c>
    </row>
    <row r="84">
      <c r="A84" s="182" t="s">
        <v>182</v>
      </c>
      <c r="B84" s="182" t="s">
        <v>719</v>
      </c>
      <c r="C84" s="189">
        <f>IFERROR(__xludf.DUMMYFUNCTION("""COMPUTED_VALUE"""),4.0)</f>
        <v>4</v>
      </c>
      <c r="D84" s="189">
        <f>IFERROR(__xludf.DUMMYFUNCTION("""COMPUTED_VALUE"""),4.0)</f>
        <v>4</v>
      </c>
      <c r="E84" s="182">
        <v>0.0</v>
      </c>
      <c r="F84" s="182">
        <v>54.0</v>
      </c>
      <c r="G84" s="182">
        <v>38.0</v>
      </c>
      <c r="H84" s="182">
        <v>58.69</v>
      </c>
    </row>
    <row r="85">
      <c r="A85" s="182" t="s">
        <v>182</v>
      </c>
      <c r="B85" s="182" t="s">
        <v>720</v>
      </c>
      <c r="C85" s="189">
        <f>IFERROR(__xludf.DUMMYFUNCTION("""COMPUTED_VALUE"""),3.0)</f>
        <v>3</v>
      </c>
      <c r="D85" s="189">
        <f>IFERROR(__xludf.DUMMYFUNCTION("""COMPUTED_VALUE"""),3.0)</f>
        <v>3</v>
      </c>
      <c r="E85" s="182">
        <v>0.0</v>
      </c>
      <c r="F85" s="182">
        <v>29.0</v>
      </c>
      <c r="G85" s="182">
        <v>26.0</v>
      </c>
      <c r="H85" s="182">
        <v>52.72</v>
      </c>
    </row>
    <row r="86">
      <c r="A86" s="182" t="s">
        <v>182</v>
      </c>
      <c r="B86" s="182" t="s">
        <v>721</v>
      </c>
      <c r="C86" s="189">
        <f>IFERROR(__xludf.DUMMYFUNCTION("""COMPUTED_VALUE"""),2.0)</f>
        <v>2</v>
      </c>
      <c r="D86" s="189">
        <f>IFERROR(__xludf.DUMMYFUNCTION("""COMPUTED_VALUE"""),2.0)</f>
        <v>2</v>
      </c>
      <c r="E86" s="182">
        <v>0.0</v>
      </c>
      <c r="F86" s="182">
        <v>24.0</v>
      </c>
      <c r="G86" s="182">
        <v>19.0</v>
      </c>
      <c r="H86" s="182">
        <v>55.81</v>
      </c>
    </row>
    <row r="87">
      <c r="A87" s="182" t="s">
        <v>182</v>
      </c>
      <c r="B87" s="182" t="s">
        <v>722</v>
      </c>
      <c r="C87" s="189">
        <f>IFERROR(__xludf.DUMMYFUNCTION("""COMPUTED_VALUE"""),1.0)</f>
        <v>1</v>
      </c>
      <c r="D87" s="189">
        <f>IFERROR(__xludf.DUMMYFUNCTION("""COMPUTED_VALUE"""),1.0)</f>
        <v>1</v>
      </c>
      <c r="E87" s="182">
        <v>0.0</v>
      </c>
      <c r="F87" s="182">
        <v>20.0</v>
      </c>
      <c r="G87" s="182">
        <v>9.0</v>
      </c>
      <c r="H87" s="182">
        <v>68.96</v>
      </c>
    </row>
    <row r="88">
      <c r="A88" s="182" t="s">
        <v>182</v>
      </c>
      <c r="B88" s="182" t="s">
        <v>723</v>
      </c>
      <c r="C88" s="189">
        <f>IFERROR(__xludf.DUMMYFUNCTION("""COMPUTED_VALUE"""),4.0)</f>
        <v>4</v>
      </c>
      <c r="D88" s="189">
        <f>IFERROR(__xludf.DUMMYFUNCTION("""COMPUTED_VALUE"""),5.0)</f>
        <v>5</v>
      </c>
      <c r="E88" s="182">
        <v>-1.0</v>
      </c>
      <c r="F88" s="182">
        <v>40.0</v>
      </c>
      <c r="G88" s="182">
        <v>60.0</v>
      </c>
      <c r="H88" s="182">
        <v>40.0</v>
      </c>
    </row>
    <row r="89">
      <c r="A89" s="182" t="s">
        <v>182</v>
      </c>
      <c r="B89" s="182" t="s">
        <v>724</v>
      </c>
      <c r="C89" s="189">
        <f>IFERROR(__xludf.DUMMYFUNCTION("""COMPUTED_VALUE"""),3.0)</f>
        <v>3</v>
      </c>
      <c r="D89" s="189">
        <f>IFERROR(__xludf.DUMMYFUNCTION("""COMPUTED_VALUE"""),4.0)</f>
        <v>4</v>
      </c>
      <c r="E89" s="182">
        <v>-1.0</v>
      </c>
      <c r="F89" s="182">
        <v>18.0</v>
      </c>
      <c r="G89" s="182">
        <v>41.0</v>
      </c>
      <c r="H89" s="182">
        <v>30.5</v>
      </c>
    </row>
    <row r="90">
      <c r="A90" s="182" t="s">
        <v>182</v>
      </c>
      <c r="B90" s="182" t="s">
        <v>725</v>
      </c>
      <c r="C90" s="189">
        <f>IFERROR(__xludf.DUMMYFUNCTION("""COMPUTED_VALUE"""),2.0)</f>
        <v>2</v>
      </c>
      <c r="D90" s="189">
        <f>IFERROR(__xludf.DUMMYFUNCTION("""COMPUTED_VALUE"""),3.0)</f>
        <v>3</v>
      </c>
      <c r="E90" s="182">
        <v>-1.0</v>
      </c>
      <c r="F90" s="182">
        <v>10.0</v>
      </c>
      <c r="G90" s="182">
        <v>24.0</v>
      </c>
      <c r="H90" s="182">
        <v>29.41</v>
      </c>
    </row>
    <row r="91">
      <c r="A91" s="182" t="s">
        <v>182</v>
      </c>
      <c r="B91" s="182" t="s">
        <v>726</v>
      </c>
      <c r="C91" s="189">
        <f>IFERROR(__xludf.DUMMYFUNCTION("""COMPUTED_VALUE"""),1.0)</f>
        <v>1</v>
      </c>
      <c r="D91" s="189">
        <f>IFERROR(__xludf.DUMMYFUNCTION("""COMPUTED_VALUE"""),2.0)</f>
        <v>2</v>
      </c>
      <c r="E91" s="182">
        <v>-1.0</v>
      </c>
      <c r="F91" s="182">
        <v>3.0</v>
      </c>
      <c r="G91" s="182">
        <v>23.0</v>
      </c>
      <c r="H91" s="182">
        <v>11.53</v>
      </c>
    </row>
    <row r="92">
      <c r="A92" s="182" t="s">
        <v>182</v>
      </c>
      <c r="B92" s="182" t="s">
        <v>727</v>
      </c>
      <c r="C92" s="189">
        <f>IFERROR(__xludf.DUMMYFUNCTION("""COMPUTED_VALUE"""),3.0)</f>
        <v>3</v>
      </c>
      <c r="D92" s="189">
        <f>IFERROR(__xludf.DUMMYFUNCTION("""COMPUTED_VALUE"""),5.0)</f>
        <v>5</v>
      </c>
      <c r="E92" s="182">
        <v>-2.0</v>
      </c>
      <c r="F92" s="182">
        <v>6.0</v>
      </c>
      <c r="G92" s="182">
        <v>31.0</v>
      </c>
      <c r="H92" s="182">
        <v>16.21</v>
      </c>
    </row>
    <row r="93">
      <c r="A93" s="182" t="s">
        <v>182</v>
      </c>
      <c r="B93" s="182" t="s">
        <v>728</v>
      </c>
      <c r="C93" s="189">
        <f>IFERROR(__xludf.DUMMYFUNCTION("""COMPUTED_VALUE"""),2.0)</f>
        <v>2</v>
      </c>
      <c r="D93" s="189">
        <f>IFERROR(__xludf.DUMMYFUNCTION("""COMPUTED_VALUE"""),4.0)</f>
        <v>4</v>
      </c>
      <c r="E93" s="182">
        <v>-2.0</v>
      </c>
      <c r="F93" s="182">
        <v>1.0</v>
      </c>
      <c r="G93" s="182">
        <v>41.0</v>
      </c>
      <c r="H93" s="182">
        <v>2.38</v>
      </c>
    </row>
    <row r="94">
      <c r="A94" s="182" t="s">
        <v>182</v>
      </c>
      <c r="B94" s="182" t="s">
        <v>729</v>
      </c>
      <c r="C94" s="189">
        <f>IFERROR(__xludf.DUMMYFUNCTION("""COMPUTED_VALUE"""),1.0)</f>
        <v>1</v>
      </c>
      <c r="D94" s="189">
        <f>IFERROR(__xludf.DUMMYFUNCTION("""COMPUTED_VALUE"""),3.0)</f>
        <v>3</v>
      </c>
      <c r="E94" s="182">
        <v>-2.0</v>
      </c>
      <c r="F94" s="182">
        <v>1.0</v>
      </c>
      <c r="G94" s="182">
        <v>39.0</v>
      </c>
      <c r="H94" s="182">
        <v>2.5</v>
      </c>
    </row>
    <row r="95">
      <c r="A95" s="182" t="s">
        <v>182</v>
      </c>
      <c r="B95" s="182" t="s">
        <v>730</v>
      </c>
      <c r="C95" s="189">
        <f>IFERROR(__xludf.DUMMYFUNCTION("""COMPUTED_VALUE"""),2.0)</f>
        <v>2</v>
      </c>
      <c r="D95" s="189">
        <f>IFERROR(__xludf.DUMMYFUNCTION("""COMPUTED_VALUE"""),5.0)</f>
        <v>5</v>
      </c>
      <c r="E95" s="182">
        <v>-3.0</v>
      </c>
      <c r="F95" s="182">
        <v>1.0</v>
      </c>
      <c r="G95" s="182">
        <v>22.0</v>
      </c>
      <c r="H95" s="182">
        <v>4.34</v>
      </c>
    </row>
    <row r="96">
      <c r="A96" s="182" t="s">
        <v>182</v>
      </c>
      <c r="B96" s="182" t="s">
        <v>731</v>
      </c>
      <c r="C96" s="189">
        <f>IFERROR(__xludf.DUMMYFUNCTION("""COMPUTED_VALUE"""),1.0)</f>
        <v>1</v>
      </c>
      <c r="D96" s="189">
        <f>IFERROR(__xludf.DUMMYFUNCTION("""COMPUTED_VALUE"""),4.0)</f>
        <v>4</v>
      </c>
      <c r="E96" s="182">
        <v>-3.0</v>
      </c>
      <c r="F96" s="182">
        <v>0.0</v>
      </c>
      <c r="G96" s="182">
        <v>36.0</v>
      </c>
      <c r="H96" s="182">
        <v>0.0</v>
      </c>
    </row>
    <row r="97">
      <c r="A97" s="182" t="s">
        <v>182</v>
      </c>
      <c r="B97" s="182" t="s">
        <v>732</v>
      </c>
      <c r="C97" s="189">
        <f>IFERROR(__xludf.DUMMYFUNCTION("""COMPUTED_VALUE"""),1.0)</f>
        <v>1</v>
      </c>
      <c r="D97" s="189">
        <f>IFERROR(__xludf.DUMMYFUNCTION("""COMPUTED_VALUE"""),5.0)</f>
        <v>5</v>
      </c>
      <c r="E97" s="182">
        <v>-4.0</v>
      </c>
      <c r="F97" s="182">
        <v>0.0</v>
      </c>
      <c r="G97" s="182">
        <v>12.0</v>
      </c>
      <c r="H97" s="182">
        <v>0.0</v>
      </c>
    </row>
    <row r="98">
      <c r="A98" s="182" t="s">
        <v>183</v>
      </c>
      <c r="B98" s="182" t="s">
        <v>705</v>
      </c>
      <c r="C98" s="189">
        <f>IFERROR(__xludf.DUMMYFUNCTION("""COMPUTED_VALUE"""),5.0)</f>
        <v>5</v>
      </c>
      <c r="D98" s="189">
        <f>IFERROR(__xludf.DUMMYFUNCTION("""COMPUTED_VALUE"""),1.0)</f>
        <v>1</v>
      </c>
      <c r="E98" s="182" t="s">
        <v>706</v>
      </c>
      <c r="F98" s="182">
        <v>27.0</v>
      </c>
      <c r="G98" s="182">
        <v>0.0</v>
      </c>
      <c r="H98" s="182">
        <v>100.0</v>
      </c>
    </row>
    <row r="99">
      <c r="A99" s="182" t="s">
        <v>183</v>
      </c>
      <c r="B99" s="182" t="s">
        <v>707</v>
      </c>
      <c r="C99" s="189">
        <f>IFERROR(__xludf.DUMMYFUNCTION("""COMPUTED_VALUE"""),5.0)</f>
        <v>5</v>
      </c>
      <c r="D99" s="189">
        <f>IFERROR(__xludf.DUMMYFUNCTION("""COMPUTED_VALUE"""),2.0)</f>
        <v>2</v>
      </c>
      <c r="E99" s="182" t="s">
        <v>708</v>
      </c>
      <c r="F99" s="182">
        <v>36.0</v>
      </c>
      <c r="G99" s="182">
        <v>0.0</v>
      </c>
      <c r="H99" s="182">
        <v>100.0</v>
      </c>
    </row>
    <row r="100">
      <c r="A100" s="182" t="s">
        <v>183</v>
      </c>
      <c r="B100" s="182" t="s">
        <v>709</v>
      </c>
      <c r="C100" s="189">
        <f>IFERROR(__xludf.DUMMYFUNCTION("""COMPUTED_VALUE"""),4.0)</f>
        <v>4</v>
      </c>
      <c r="D100" s="189">
        <f>IFERROR(__xludf.DUMMYFUNCTION("""COMPUTED_VALUE"""),1.0)</f>
        <v>1</v>
      </c>
      <c r="E100" s="182" t="s">
        <v>708</v>
      </c>
      <c r="F100" s="182">
        <v>46.0</v>
      </c>
      <c r="G100" s="182">
        <v>0.0</v>
      </c>
      <c r="H100" s="182">
        <v>100.0</v>
      </c>
    </row>
    <row r="101">
      <c r="A101" s="182" t="s">
        <v>183</v>
      </c>
      <c r="B101" s="182" t="s">
        <v>710</v>
      </c>
      <c r="C101" s="189">
        <f>IFERROR(__xludf.DUMMYFUNCTION("""COMPUTED_VALUE"""),5.0)</f>
        <v>5</v>
      </c>
      <c r="D101" s="189">
        <f>IFERROR(__xludf.DUMMYFUNCTION("""COMPUTED_VALUE"""),3.0)</f>
        <v>3</v>
      </c>
      <c r="E101" s="182" t="s">
        <v>711</v>
      </c>
      <c r="F101" s="182">
        <v>68.0</v>
      </c>
      <c r="G101" s="182">
        <v>8.0</v>
      </c>
      <c r="H101" s="182">
        <v>89.47</v>
      </c>
    </row>
    <row r="102">
      <c r="A102" s="182" t="s">
        <v>183</v>
      </c>
      <c r="B102" s="182" t="s">
        <v>712</v>
      </c>
      <c r="C102" s="189">
        <f>IFERROR(__xludf.DUMMYFUNCTION("""COMPUTED_VALUE"""),4.0)</f>
        <v>4</v>
      </c>
      <c r="D102" s="189">
        <f>IFERROR(__xludf.DUMMYFUNCTION("""COMPUTED_VALUE"""),2.0)</f>
        <v>2</v>
      </c>
      <c r="E102" s="182" t="s">
        <v>711</v>
      </c>
      <c r="F102" s="182">
        <v>63.0</v>
      </c>
      <c r="G102" s="182">
        <v>5.0</v>
      </c>
      <c r="H102" s="182">
        <v>92.64</v>
      </c>
    </row>
    <row r="103">
      <c r="A103" s="182" t="s">
        <v>183</v>
      </c>
      <c r="B103" s="182" t="s">
        <v>713</v>
      </c>
      <c r="C103" s="189">
        <f>IFERROR(__xludf.DUMMYFUNCTION("""COMPUTED_VALUE"""),3.0)</f>
        <v>3</v>
      </c>
      <c r="D103" s="189">
        <f>IFERROR(__xludf.DUMMYFUNCTION("""COMPUTED_VALUE"""),1.0)</f>
        <v>1</v>
      </c>
      <c r="E103" s="182" t="s">
        <v>711</v>
      </c>
      <c r="F103" s="182">
        <v>64.0</v>
      </c>
      <c r="G103" s="182">
        <v>3.0</v>
      </c>
      <c r="H103" s="182">
        <v>95.52</v>
      </c>
    </row>
    <row r="104">
      <c r="A104" s="182" t="s">
        <v>183</v>
      </c>
      <c r="B104" s="182" t="s">
        <v>714</v>
      </c>
      <c r="C104" s="189">
        <f>IFERROR(__xludf.DUMMYFUNCTION("""COMPUTED_VALUE"""),5.0)</f>
        <v>5</v>
      </c>
      <c r="D104" s="189">
        <f>IFERROR(__xludf.DUMMYFUNCTION("""COMPUTED_VALUE"""),4.0)</f>
        <v>4</v>
      </c>
      <c r="E104" s="182" t="s">
        <v>715</v>
      </c>
      <c r="F104" s="182">
        <v>125.0</v>
      </c>
      <c r="G104" s="182">
        <v>25.0</v>
      </c>
      <c r="H104" s="182">
        <v>83.33</v>
      </c>
    </row>
    <row r="105">
      <c r="A105" s="182" t="s">
        <v>183</v>
      </c>
      <c r="B105" s="182" t="s">
        <v>716</v>
      </c>
      <c r="C105" s="189">
        <f>IFERROR(__xludf.DUMMYFUNCTION("""COMPUTED_VALUE"""),4.0)</f>
        <v>4</v>
      </c>
      <c r="D105" s="189">
        <f>IFERROR(__xludf.DUMMYFUNCTION("""COMPUTED_VALUE"""),3.0)</f>
        <v>3</v>
      </c>
      <c r="E105" s="182" t="s">
        <v>715</v>
      </c>
      <c r="F105" s="182">
        <v>67.0</v>
      </c>
      <c r="G105" s="182">
        <v>22.0</v>
      </c>
      <c r="H105" s="182">
        <v>75.28</v>
      </c>
    </row>
    <row r="106">
      <c r="A106" s="182" t="s">
        <v>183</v>
      </c>
      <c r="B106" s="182" t="s">
        <v>717</v>
      </c>
      <c r="C106" s="189">
        <f>IFERROR(__xludf.DUMMYFUNCTION("""COMPUTED_VALUE"""),3.0)</f>
        <v>3</v>
      </c>
      <c r="D106" s="189">
        <f>IFERROR(__xludf.DUMMYFUNCTION("""COMPUTED_VALUE"""),2.0)</f>
        <v>2</v>
      </c>
      <c r="E106" s="182" t="s">
        <v>715</v>
      </c>
      <c r="F106" s="182">
        <v>52.0</v>
      </c>
      <c r="G106" s="182">
        <v>14.0</v>
      </c>
      <c r="H106" s="182">
        <v>78.78</v>
      </c>
    </row>
    <row r="107">
      <c r="A107" s="182" t="s">
        <v>183</v>
      </c>
      <c r="B107" s="182" t="s">
        <v>718</v>
      </c>
      <c r="C107" s="189">
        <f>IFERROR(__xludf.DUMMYFUNCTION("""COMPUTED_VALUE"""),2.0)</f>
        <v>2</v>
      </c>
      <c r="D107" s="189">
        <f>IFERROR(__xludf.DUMMYFUNCTION("""COMPUTED_VALUE"""),1.0)</f>
        <v>1</v>
      </c>
      <c r="E107" s="182" t="s">
        <v>715</v>
      </c>
      <c r="F107" s="182">
        <v>63.0</v>
      </c>
      <c r="G107" s="182">
        <v>6.0</v>
      </c>
      <c r="H107" s="182">
        <v>91.3</v>
      </c>
    </row>
    <row r="108">
      <c r="A108" s="182" t="s">
        <v>183</v>
      </c>
      <c r="B108" s="182" t="s">
        <v>719</v>
      </c>
      <c r="C108" s="189">
        <f>IFERROR(__xludf.DUMMYFUNCTION("""COMPUTED_VALUE"""),4.0)</f>
        <v>4</v>
      </c>
      <c r="D108" s="189">
        <f>IFERROR(__xludf.DUMMYFUNCTION("""COMPUTED_VALUE"""),4.0)</f>
        <v>4</v>
      </c>
      <c r="E108" s="182">
        <v>0.0</v>
      </c>
      <c r="F108" s="182">
        <v>67.0</v>
      </c>
      <c r="G108" s="182">
        <v>57.0</v>
      </c>
      <c r="H108" s="182">
        <v>54.03</v>
      </c>
    </row>
    <row r="109">
      <c r="A109" s="182" t="s">
        <v>183</v>
      </c>
      <c r="B109" s="182" t="s">
        <v>720</v>
      </c>
      <c r="C109" s="189">
        <f>IFERROR(__xludf.DUMMYFUNCTION("""COMPUTED_VALUE"""),3.0)</f>
        <v>3</v>
      </c>
      <c r="D109" s="189">
        <f>IFERROR(__xludf.DUMMYFUNCTION("""COMPUTED_VALUE"""),3.0)</f>
        <v>3</v>
      </c>
      <c r="E109" s="182">
        <v>0.0</v>
      </c>
      <c r="F109" s="182">
        <v>42.0</v>
      </c>
      <c r="G109" s="182">
        <v>27.0</v>
      </c>
      <c r="H109" s="182">
        <v>60.86</v>
      </c>
    </row>
    <row r="110">
      <c r="A110" s="182" t="s">
        <v>183</v>
      </c>
      <c r="B110" s="182" t="s">
        <v>721</v>
      </c>
      <c r="C110" s="189">
        <f>IFERROR(__xludf.DUMMYFUNCTION("""COMPUTED_VALUE"""),2.0)</f>
        <v>2</v>
      </c>
      <c r="D110" s="189">
        <f>IFERROR(__xludf.DUMMYFUNCTION("""COMPUTED_VALUE"""),2.0)</f>
        <v>2</v>
      </c>
      <c r="E110" s="182">
        <v>0.0</v>
      </c>
      <c r="F110" s="182">
        <v>37.0</v>
      </c>
      <c r="G110" s="182">
        <v>31.0</v>
      </c>
      <c r="H110" s="182">
        <v>54.41</v>
      </c>
    </row>
    <row r="111">
      <c r="A111" s="182" t="s">
        <v>183</v>
      </c>
      <c r="B111" s="182" t="s">
        <v>722</v>
      </c>
      <c r="C111" s="189">
        <f>IFERROR(__xludf.DUMMYFUNCTION("""COMPUTED_VALUE"""),1.0)</f>
        <v>1</v>
      </c>
      <c r="D111" s="189">
        <f>IFERROR(__xludf.DUMMYFUNCTION("""COMPUTED_VALUE"""),1.0)</f>
        <v>1</v>
      </c>
      <c r="E111" s="182">
        <v>0.0</v>
      </c>
      <c r="F111" s="182">
        <v>22.0</v>
      </c>
      <c r="G111" s="182">
        <v>19.0</v>
      </c>
      <c r="H111" s="182">
        <v>53.65</v>
      </c>
    </row>
    <row r="112">
      <c r="A112" s="182" t="s">
        <v>183</v>
      </c>
      <c r="B112" s="182" t="s">
        <v>723</v>
      </c>
      <c r="C112" s="189">
        <f>IFERROR(__xludf.DUMMYFUNCTION("""COMPUTED_VALUE"""),4.0)</f>
        <v>4</v>
      </c>
      <c r="D112" s="189">
        <f>IFERROR(__xludf.DUMMYFUNCTION("""COMPUTED_VALUE"""),5.0)</f>
        <v>5</v>
      </c>
      <c r="E112" s="182">
        <v>-1.0</v>
      </c>
      <c r="F112" s="182">
        <v>61.0</v>
      </c>
      <c r="G112" s="182">
        <v>116.0</v>
      </c>
      <c r="H112" s="182">
        <v>34.46</v>
      </c>
    </row>
    <row r="113">
      <c r="A113" s="182" t="s">
        <v>183</v>
      </c>
      <c r="B113" s="182" t="s">
        <v>724</v>
      </c>
      <c r="C113" s="189">
        <f>IFERROR(__xludf.DUMMYFUNCTION("""COMPUTED_VALUE"""),3.0)</f>
        <v>3</v>
      </c>
      <c r="D113" s="189">
        <f>IFERROR(__xludf.DUMMYFUNCTION("""COMPUTED_VALUE"""),4.0)</f>
        <v>4</v>
      </c>
      <c r="E113" s="182">
        <v>-1.0</v>
      </c>
      <c r="F113" s="182">
        <v>24.0</v>
      </c>
      <c r="G113" s="182">
        <v>56.0</v>
      </c>
      <c r="H113" s="182">
        <v>30.0</v>
      </c>
    </row>
    <row r="114">
      <c r="A114" s="182" t="s">
        <v>183</v>
      </c>
      <c r="B114" s="182" t="s">
        <v>725</v>
      </c>
      <c r="C114" s="189">
        <f>IFERROR(__xludf.DUMMYFUNCTION("""COMPUTED_VALUE"""),2.0)</f>
        <v>2</v>
      </c>
      <c r="D114" s="189">
        <f>IFERROR(__xludf.DUMMYFUNCTION("""COMPUTED_VALUE"""),3.0)</f>
        <v>3</v>
      </c>
      <c r="E114" s="182">
        <v>-1.0</v>
      </c>
      <c r="F114" s="182">
        <v>20.0</v>
      </c>
      <c r="G114" s="182">
        <v>52.0</v>
      </c>
      <c r="H114" s="182">
        <v>27.77</v>
      </c>
    </row>
    <row r="115">
      <c r="A115" s="182" t="s">
        <v>183</v>
      </c>
      <c r="B115" s="182" t="s">
        <v>726</v>
      </c>
      <c r="C115" s="189">
        <f>IFERROR(__xludf.DUMMYFUNCTION("""COMPUTED_VALUE"""),1.0)</f>
        <v>1</v>
      </c>
      <c r="D115" s="189">
        <f>IFERROR(__xludf.DUMMYFUNCTION("""COMPUTED_VALUE"""),2.0)</f>
        <v>2</v>
      </c>
      <c r="E115" s="182">
        <v>-1.0</v>
      </c>
      <c r="F115" s="182">
        <v>5.0</v>
      </c>
      <c r="G115" s="182">
        <v>49.0</v>
      </c>
      <c r="H115" s="182">
        <v>9.25</v>
      </c>
    </row>
    <row r="116">
      <c r="A116" s="182" t="s">
        <v>183</v>
      </c>
      <c r="B116" s="182" t="s">
        <v>727</v>
      </c>
      <c r="C116" s="189">
        <f>IFERROR(__xludf.DUMMYFUNCTION("""COMPUTED_VALUE"""),3.0)</f>
        <v>3</v>
      </c>
      <c r="D116" s="189">
        <f>IFERROR(__xludf.DUMMYFUNCTION("""COMPUTED_VALUE"""),5.0)</f>
        <v>5</v>
      </c>
      <c r="E116" s="182">
        <v>-2.0</v>
      </c>
      <c r="F116" s="182">
        <v>16.0</v>
      </c>
      <c r="G116" s="182">
        <v>56.0</v>
      </c>
      <c r="H116" s="182">
        <v>22.22</v>
      </c>
    </row>
    <row r="117">
      <c r="A117" s="182" t="s">
        <v>183</v>
      </c>
      <c r="B117" s="182" t="s">
        <v>728</v>
      </c>
      <c r="C117" s="189">
        <f>IFERROR(__xludf.DUMMYFUNCTION("""COMPUTED_VALUE"""),2.0)</f>
        <v>2</v>
      </c>
      <c r="D117" s="189">
        <f>IFERROR(__xludf.DUMMYFUNCTION("""COMPUTED_VALUE"""),4.0)</f>
        <v>4</v>
      </c>
      <c r="E117" s="182">
        <v>-2.0</v>
      </c>
      <c r="F117" s="182">
        <v>7.0</v>
      </c>
      <c r="G117" s="182">
        <v>71.0</v>
      </c>
      <c r="H117" s="182">
        <v>8.97</v>
      </c>
    </row>
    <row r="118">
      <c r="A118" s="182" t="s">
        <v>183</v>
      </c>
      <c r="B118" s="182" t="s">
        <v>729</v>
      </c>
      <c r="C118" s="189">
        <f>IFERROR(__xludf.DUMMYFUNCTION("""COMPUTED_VALUE"""),1.0)</f>
        <v>1</v>
      </c>
      <c r="D118" s="189">
        <f>IFERROR(__xludf.DUMMYFUNCTION("""COMPUTED_VALUE"""),3.0)</f>
        <v>3</v>
      </c>
      <c r="E118" s="182">
        <v>-2.0</v>
      </c>
      <c r="F118" s="182">
        <v>2.0</v>
      </c>
      <c r="G118" s="182">
        <v>50.0</v>
      </c>
      <c r="H118" s="182">
        <v>3.84</v>
      </c>
    </row>
    <row r="119">
      <c r="A119" s="182" t="s">
        <v>183</v>
      </c>
      <c r="B119" s="182" t="s">
        <v>730</v>
      </c>
      <c r="C119" s="189">
        <f>IFERROR(__xludf.DUMMYFUNCTION("""COMPUTED_VALUE"""),2.0)</f>
        <v>2</v>
      </c>
      <c r="D119" s="189">
        <f>IFERROR(__xludf.DUMMYFUNCTION("""COMPUTED_VALUE"""),5.0)</f>
        <v>5</v>
      </c>
      <c r="E119" s="182">
        <v>-3.0</v>
      </c>
      <c r="F119" s="182">
        <v>2.0</v>
      </c>
      <c r="G119" s="182">
        <v>28.0</v>
      </c>
      <c r="H119" s="182">
        <v>6.66</v>
      </c>
    </row>
    <row r="120">
      <c r="A120" s="182" t="s">
        <v>183</v>
      </c>
      <c r="B120" s="182" t="s">
        <v>731</v>
      </c>
      <c r="C120" s="189">
        <f>IFERROR(__xludf.DUMMYFUNCTION("""COMPUTED_VALUE"""),1.0)</f>
        <v>1</v>
      </c>
      <c r="D120" s="189">
        <f>IFERROR(__xludf.DUMMYFUNCTION("""COMPUTED_VALUE"""),4.0)</f>
        <v>4</v>
      </c>
      <c r="E120" s="182">
        <v>-3.0</v>
      </c>
      <c r="F120" s="182">
        <v>0.0</v>
      </c>
      <c r="G120" s="182">
        <v>39.0</v>
      </c>
      <c r="H120" s="182">
        <v>0.0</v>
      </c>
    </row>
    <row r="121">
      <c r="A121" s="182" t="s">
        <v>183</v>
      </c>
      <c r="B121" s="182" t="s">
        <v>732</v>
      </c>
      <c r="C121" s="189">
        <f>IFERROR(__xludf.DUMMYFUNCTION("""COMPUTED_VALUE"""),1.0)</f>
        <v>1</v>
      </c>
      <c r="D121" s="189">
        <f>IFERROR(__xludf.DUMMYFUNCTION("""COMPUTED_VALUE"""),5.0)</f>
        <v>5</v>
      </c>
      <c r="E121" s="182">
        <v>-4.0</v>
      </c>
      <c r="F121" s="182">
        <v>0.0</v>
      </c>
      <c r="G121" s="182">
        <v>24.0</v>
      </c>
      <c r="H121" s="182">
        <v>0.0</v>
      </c>
    </row>
    <row r="122">
      <c r="A122" s="182" t="s">
        <v>179</v>
      </c>
      <c r="B122" s="182" t="s">
        <v>705</v>
      </c>
      <c r="C122" s="189">
        <f>IFERROR(__xludf.DUMMYFUNCTION("""COMPUTED_VALUE"""),5.0)</f>
        <v>5</v>
      </c>
      <c r="D122" s="189">
        <f>IFERROR(__xludf.DUMMYFUNCTION("""COMPUTED_VALUE"""),1.0)</f>
        <v>1</v>
      </c>
      <c r="E122" s="182" t="s">
        <v>706</v>
      </c>
      <c r="F122" s="182">
        <v>16.0</v>
      </c>
      <c r="G122" s="182">
        <v>0.0</v>
      </c>
      <c r="H122" s="182">
        <v>100.0</v>
      </c>
    </row>
    <row r="123">
      <c r="A123" s="182" t="s">
        <v>179</v>
      </c>
      <c r="B123" s="182" t="s">
        <v>707</v>
      </c>
      <c r="C123" s="189">
        <f>IFERROR(__xludf.DUMMYFUNCTION("""COMPUTED_VALUE"""),5.0)</f>
        <v>5</v>
      </c>
      <c r="D123" s="189">
        <f>IFERROR(__xludf.DUMMYFUNCTION("""COMPUTED_VALUE"""),2.0)</f>
        <v>2</v>
      </c>
      <c r="E123" s="182" t="s">
        <v>708</v>
      </c>
      <c r="F123" s="182">
        <v>25.0</v>
      </c>
      <c r="G123" s="182">
        <v>0.0</v>
      </c>
      <c r="H123" s="182">
        <v>100.0</v>
      </c>
    </row>
    <row r="124">
      <c r="A124" s="182" t="s">
        <v>179</v>
      </c>
      <c r="B124" s="182" t="s">
        <v>709</v>
      </c>
      <c r="C124" s="189">
        <f>IFERROR(__xludf.DUMMYFUNCTION("""COMPUTED_VALUE"""),4.0)</f>
        <v>4</v>
      </c>
      <c r="D124" s="189">
        <f>IFERROR(__xludf.DUMMYFUNCTION("""COMPUTED_VALUE"""),1.0)</f>
        <v>1</v>
      </c>
      <c r="E124" s="182" t="s">
        <v>708</v>
      </c>
      <c r="F124" s="182">
        <v>44.0</v>
      </c>
      <c r="G124" s="182">
        <v>0.0</v>
      </c>
      <c r="H124" s="182">
        <v>100.0</v>
      </c>
    </row>
    <row r="125">
      <c r="A125" s="182" t="s">
        <v>179</v>
      </c>
      <c r="B125" s="182" t="s">
        <v>710</v>
      </c>
      <c r="C125" s="189">
        <f>IFERROR(__xludf.DUMMYFUNCTION("""COMPUTED_VALUE"""),5.0)</f>
        <v>5</v>
      </c>
      <c r="D125" s="189">
        <f>IFERROR(__xludf.DUMMYFUNCTION("""COMPUTED_VALUE"""),3.0)</f>
        <v>3</v>
      </c>
      <c r="E125" s="182" t="s">
        <v>711</v>
      </c>
      <c r="F125" s="182">
        <v>45.0</v>
      </c>
      <c r="G125" s="182">
        <v>5.0</v>
      </c>
      <c r="H125" s="182">
        <v>90.0</v>
      </c>
    </row>
    <row r="126">
      <c r="A126" s="182" t="s">
        <v>179</v>
      </c>
      <c r="B126" s="182" t="s">
        <v>712</v>
      </c>
      <c r="C126" s="189">
        <f>IFERROR(__xludf.DUMMYFUNCTION("""COMPUTED_VALUE"""),4.0)</f>
        <v>4</v>
      </c>
      <c r="D126" s="189">
        <f>IFERROR(__xludf.DUMMYFUNCTION("""COMPUTED_VALUE"""),2.0)</f>
        <v>2</v>
      </c>
      <c r="E126" s="182" t="s">
        <v>711</v>
      </c>
      <c r="F126" s="182">
        <v>48.0</v>
      </c>
      <c r="G126" s="182">
        <v>2.0</v>
      </c>
      <c r="H126" s="182">
        <v>96.0</v>
      </c>
    </row>
    <row r="127">
      <c r="A127" s="182" t="s">
        <v>179</v>
      </c>
      <c r="B127" s="182" t="s">
        <v>713</v>
      </c>
      <c r="C127" s="189">
        <f>IFERROR(__xludf.DUMMYFUNCTION("""COMPUTED_VALUE"""),3.0)</f>
        <v>3</v>
      </c>
      <c r="D127" s="189">
        <f>IFERROR(__xludf.DUMMYFUNCTION("""COMPUTED_VALUE"""),1.0)</f>
        <v>1</v>
      </c>
      <c r="E127" s="182" t="s">
        <v>711</v>
      </c>
      <c r="F127" s="182">
        <v>37.0</v>
      </c>
      <c r="G127" s="182">
        <v>0.0</v>
      </c>
      <c r="H127" s="182">
        <v>100.0</v>
      </c>
    </row>
    <row r="128">
      <c r="A128" s="182" t="s">
        <v>179</v>
      </c>
      <c r="B128" s="182" t="s">
        <v>714</v>
      </c>
      <c r="C128" s="189">
        <f>IFERROR(__xludf.DUMMYFUNCTION("""COMPUTED_VALUE"""),5.0)</f>
        <v>5</v>
      </c>
      <c r="D128" s="189">
        <f>IFERROR(__xludf.DUMMYFUNCTION("""COMPUTED_VALUE"""),4.0)</f>
        <v>4</v>
      </c>
      <c r="E128" s="182" t="s">
        <v>715</v>
      </c>
      <c r="F128" s="182">
        <v>87.0</v>
      </c>
      <c r="G128" s="182">
        <v>24.0</v>
      </c>
      <c r="H128" s="182">
        <v>78.37</v>
      </c>
    </row>
    <row r="129">
      <c r="A129" s="182" t="s">
        <v>179</v>
      </c>
      <c r="B129" s="182" t="s">
        <v>716</v>
      </c>
      <c r="C129" s="189">
        <f>IFERROR(__xludf.DUMMYFUNCTION("""COMPUTED_VALUE"""),4.0)</f>
        <v>4</v>
      </c>
      <c r="D129" s="189">
        <f>IFERROR(__xludf.DUMMYFUNCTION("""COMPUTED_VALUE"""),3.0)</f>
        <v>3</v>
      </c>
      <c r="E129" s="182" t="s">
        <v>715</v>
      </c>
      <c r="F129" s="182">
        <v>53.0</v>
      </c>
      <c r="G129" s="182">
        <v>13.0</v>
      </c>
      <c r="H129" s="182">
        <v>80.3</v>
      </c>
    </row>
    <row r="130">
      <c r="A130" s="182" t="s">
        <v>179</v>
      </c>
      <c r="B130" s="182" t="s">
        <v>717</v>
      </c>
      <c r="C130" s="189">
        <f>IFERROR(__xludf.DUMMYFUNCTION("""COMPUTED_VALUE"""),3.0)</f>
        <v>3</v>
      </c>
      <c r="D130" s="189">
        <f>IFERROR(__xludf.DUMMYFUNCTION("""COMPUTED_VALUE"""),2.0)</f>
        <v>2</v>
      </c>
      <c r="E130" s="182" t="s">
        <v>715</v>
      </c>
      <c r="F130" s="182">
        <v>39.0</v>
      </c>
      <c r="G130" s="182">
        <v>13.0</v>
      </c>
      <c r="H130" s="182">
        <v>75.0</v>
      </c>
    </row>
    <row r="131">
      <c r="A131" s="182" t="s">
        <v>179</v>
      </c>
      <c r="B131" s="182" t="s">
        <v>718</v>
      </c>
      <c r="C131" s="189">
        <f>IFERROR(__xludf.DUMMYFUNCTION("""COMPUTED_VALUE"""),2.0)</f>
        <v>2</v>
      </c>
      <c r="D131" s="189">
        <f>IFERROR(__xludf.DUMMYFUNCTION("""COMPUTED_VALUE"""),1.0)</f>
        <v>1</v>
      </c>
      <c r="E131" s="182" t="s">
        <v>715</v>
      </c>
      <c r="F131" s="182">
        <v>25.0</v>
      </c>
      <c r="G131" s="182">
        <v>3.0</v>
      </c>
      <c r="H131" s="182">
        <v>89.28</v>
      </c>
    </row>
    <row r="132">
      <c r="A132" s="182" t="s">
        <v>179</v>
      </c>
      <c r="B132" s="182" t="s">
        <v>719</v>
      </c>
      <c r="C132" s="189">
        <f>IFERROR(__xludf.DUMMYFUNCTION("""COMPUTED_VALUE"""),4.0)</f>
        <v>4</v>
      </c>
      <c r="D132" s="189">
        <f>IFERROR(__xludf.DUMMYFUNCTION("""COMPUTED_VALUE"""),4.0)</f>
        <v>4</v>
      </c>
      <c r="E132" s="182">
        <v>0.0</v>
      </c>
      <c r="F132" s="182">
        <v>42.0</v>
      </c>
      <c r="G132" s="182">
        <v>36.0</v>
      </c>
      <c r="H132" s="182">
        <v>53.84</v>
      </c>
    </row>
    <row r="133">
      <c r="A133" s="182" t="s">
        <v>179</v>
      </c>
      <c r="B133" s="182" t="s">
        <v>720</v>
      </c>
      <c r="C133" s="189">
        <f>IFERROR(__xludf.DUMMYFUNCTION("""COMPUTED_VALUE"""),3.0)</f>
        <v>3</v>
      </c>
      <c r="D133" s="189">
        <f>IFERROR(__xludf.DUMMYFUNCTION("""COMPUTED_VALUE"""),3.0)</f>
        <v>3</v>
      </c>
      <c r="E133" s="182">
        <v>0.0</v>
      </c>
      <c r="F133" s="182">
        <v>34.0</v>
      </c>
      <c r="G133" s="182">
        <v>22.0</v>
      </c>
      <c r="H133" s="182">
        <v>60.71</v>
      </c>
    </row>
    <row r="134">
      <c r="A134" s="182" t="s">
        <v>179</v>
      </c>
      <c r="B134" s="182" t="s">
        <v>721</v>
      </c>
      <c r="C134" s="189">
        <f>IFERROR(__xludf.DUMMYFUNCTION("""COMPUTED_VALUE"""),2.0)</f>
        <v>2</v>
      </c>
      <c r="D134" s="189">
        <f>IFERROR(__xludf.DUMMYFUNCTION("""COMPUTED_VALUE"""),2.0)</f>
        <v>2</v>
      </c>
      <c r="E134" s="182">
        <v>0.0</v>
      </c>
      <c r="F134" s="182">
        <v>28.0</v>
      </c>
      <c r="G134" s="182">
        <v>20.0</v>
      </c>
      <c r="H134" s="182">
        <v>58.33</v>
      </c>
    </row>
    <row r="135">
      <c r="A135" s="182" t="s">
        <v>179</v>
      </c>
      <c r="B135" s="182" t="s">
        <v>722</v>
      </c>
      <c r="C135" s="189">
        <f>IFERROR(__xludf.DUMMYFUNCTION("""COMPUTED_VALUE"""),1.0)</f>
        <v>1</v>
      </c>
      <c r="D135" s="189">
        <f>IFERROR(__xludf.DUMMYFUNCTION("""COMPUTED_VALUE"""),1.0)</f>
        <v>1</v>
      </c>
      <c r="E135" s="182">
        <v>0.0</v>
      </c>
      <c r="F135" s="182">
        <v>13.0</v>
      </c>
      <c r="G135" s="182">
        <v>16.0</v>
      </c>
      <c r="H135" s="182">
        <v>44.82</v>
      </c>
    </row>
    <row r="136">
      <c r="A136" s="182" t="s">
        <v>179</v>
      </c>
      <c r="B136" s="182" t="s">
        <v>723</v>
      </c>
      <c r="C136" s="189">
        <f>IFERROR(__xludf.DUMMYFUNCTION("""COMPUTED_VALUE"""),4.0)</f>
        <v>4</v>
      </c>
      <c r="D136" s="189">
        <f>IFERROR(__xludf.DUMMYFUNCTION("""COMPUTED_VALUE"""),5.0)</f>
        <v>5</v>
      </c>
      <c r="E136" s="182">
        <v>-1.0</v>
      </c>
      <c r="F136" s="182">
        <v>29.0</v>
      </c>
      <c r="G136" s="182">
        <v>49.0</v>
      </c>
      <c r="H136" s="182">
        <v>37.17</v>
      </c>
    </row>
    <row r="137">
      <c r="A137" s="182" t="s">
        <v>179</v>
      </c>
      <c r="B137" s="182" t="s">
        <v>724</v>
      </c>
      <c r="C137" s="189">
        <f>IFERROR(__xludf.DUMMYFUNCTION("""COMPUTED_VALUE"""),3.0)</f>
        <v>3</v>
      </c>
      <c r="D137" s="189">
        <f>IFERROR(__xludf.DUMMYFUNCTION("""COMPUTED_VALUE"""),4.0)</f>
        <v>4</v>
      </c>
      <c r="E137" s="182">
        <v>-1.0</v>
      </c>
      <c r="F137" s="182">
        <v>10.0</v>
      </c>
      <c r="G137" s="182">
        <v>42.0</v>
      </c>
      <c r="H137" s="182">
        <v>19.23</v>
      </c>
    </row>
    <row r="138">
      <c r="A138" s="182" t="s">
        <v>179</v>
      </c>
      <c r="B138" s="182" t="s">
        <v>725</v>
      </c>
      <c r="C138" s="189">
        <f>IFERROR(__xludf.DUMMYFUNCTION("""COMPUTED_VALUE"""),2.0)</f>
        <v>2</v>
      </c>
      <c r="D138" s="189">
        <f>IFERROR(__xludf.DUMMYFUNCTION("""COMPUTED_VALUE"""),3.0)</f>
        <v>3</v>
      </c>
      <c r="E138" s="182">
        <v>-1.0</v>
      </c>
      <c r="F138" s="182">
        <v>5.0</v>
      </c>
      <c r="G138" s="182">
        <v>39.0</v>
      </c>
      <c r="H138" s="182">
        <v>11.36</v>
      </c>
    </row>
    <row r="139">
      <c r="A139" s="182" t="s">
        <v>179</v>
      </c>
      <c r="B139" s="182" t="s">
        <v>726</v>
      </c>
      <c r="C139" s="189">
        <f>IFERROR(__xludf.DUMMYFUNCTION("""COMPUTED_VALUE"""),1.0)</f>
        <v>1</v>
      </c>
      <c r="D139" s="189">
        <f>IFERROR(__xludf.DUMMYFUNCTION("""COMPUTED_VALUE"""),2.0)</f>
        <v>2</v>
      </c>
      <c r="E139" s="182">
        <v>-1.0</v>
      </c>
      <c r="F139" s="182">
        <v>6.0</v>
      </c>
      <c r="G139" s="182">
        <v>26.0</v>
      </c>
      <c r="H139" s="182">
        <v>18.75</v>
      </c>
    </row>
    <row r="140">
      <c r="A140" s="182" t="s">
        <v>179</v>
      </c>
      <c r="B140" s="182" t="s">
        <v>727</v>
      </c>
      <c r="C140" s="189">
        <f>IFERROR(__xludf.DUMMYFUNCTION("""COMPUTED_VALUE"""),3.0)</f>
        <v>3</v>
      </c>
      <c r="D140" s="189">
        <f>IFERROR(__xludf.DUMMYFUNCTION("""COMPUTED_VALUE"""),5.0)</f>
        <v>5</v>
      </c>
      <c r="E140" s="182">
        <v>-2.0</v>
      </c>
      <c r="F140" s="182">
        <v>4.0</v>
      </c>
      <c r="G140" s="182">
        <v>30.0</v>
      </c>
      <c r="H140" s="182">
        <v>11.76</v>
      </c>
    </row>
    <row r="141">
      <c r="A141" s="182" t="s">
        <v>179</v>
      </c>
      <c r="B141" s="182" t="s">
        <v>728</v>
      </c>
      <c r="C141" s="189">
        <f>IFERROR(__xludf.DUMMYFUNCTION("""COMPUTED_VALUE"""),2.0)</f>
        <v>2</v>
      </c>
      <c r="D141" s="189">
        <f>IFERROR(__xludf.DUMMYFUNCTION("""COMPUTED_VALUE"""),4.0)</f>
        <v>4</v>
      </c>
      <c r="E141" s="182">
        <v>-2.0</v>
      </c>
      <c r="F141" s="182">
        <v>0.0</v>
      </c>
      <c r="G141" s="182">
        <v>28.0</v>
      </c>
      <c r="H141" s="182">
        <v>0.0</v>
      </c>
    </row>
    <row r="142">
      <c r="A142" s="182" t="s">
        <v>179</v>
      </c>
      <c r="B142" s="182" t="s">
        <v>729</v>
      </c>
      <c r="C142" s="189">
        <f>IFERROR(__xludf.DUMMYFUNCTION("""COMPUTED_VALUE"""),1.0)</f>
        <v>1</v>
      </c>
      <c r="D142" s="189">
        <f>IFERROR(__xludf.DUMMYFUNCTION("""COMPUTED_VALUE"""),3.0)</f>
        <v>3</v>
      </c>
      <c r="E142" s="182">
        <v>-2.0</v>
      </c>
      <c r="F142" s="182">
        <v>0.0</v>
      </c>
      <c r="G142" s="182">
        <v>28.0</v>
      </c>
      <c r="H142" s="182">
        <v>0.0</v>
      </c>
    </row>
    <row r="143">
      <c r="A143" s="182" t="s">
        <v>179</v>
      </c>
      <c r="B143" s="182" t="s">
        <v>730</v>
      </c>
      <c r="C143" s="189">
        <f>IFERROR(__xludf.DUMMYFUNCTION("""COMPUTED_VALUE"""),2.0)</f>
        <v>2</v>
      </c>
      <c r="D143" s="189">
        <f>IFERROR(__xludf.DUMMYFUNCTION("""COMPUTED_VALUE"""),5.0)</f>
        <v>5</v>
      </c>
      <c r="E143" s="182">
        <v>-3.0</v>
      </c>
      <c r="F143" s="182">
        <v>0.0</v>
      </c>
      <c r="G143" s="182">
        <v>9.0</v>
      </c>
      <c r="H143" s="182">
        <v>0.0</v>
      </c>
    </row>
    <row r="144">
      <c r="A144" s="182" t="s">
        <v>179</v>
      </c>
      <c r="B144" s="182" t="s">
        <v>731</v>
      </c>
      <c r="C144" s="189">
        <f>IFERROR(__xludf.DUMMYFUNCTION("""COMPUTED_VALUE"""),1.0)</f>
        <v>1</v>
      </c>
      <c r="D144" s="189">
        <f>IFERROR(__xludf.DUMMYFUNCTION("""COMPUTED_VALUE"""),4.0)</f>
        <v>4</v>
      </c>
      <c r="E144" s="182">
        <v>-3.0</v>
      </c>
      <c r="F144" s="182">
        <v>0.0</v>
      </c>
      <c r="G144" s="182">
        <v>16.0</v>
      </c>
      <c r="H144" s="182">
        <v>0.0</v>
      </c>
    </row>
    <row r="145">
      <c r="A145" s="182" t="s">
        <v>179</v>
      </c>
      <c r="B145" s="182" t="s">
        <v>732</v>
      </c>
      <c r="C145" s="189">
        <f>IFERROR(__xludf.DUMMYFUNCTION("""COMPUTED_VALUE"""),1.0)</f>
        <v>1</v>
      </c>
      <c r="D145" s="189">
        <f>IFERROR(__xludf.DUMMYFUNCTION("""COMPUTED_VALUE"""),5.0)</f>
        <v>5</v>
      </c>
      <c r="E145" s="182">
        <v>-4.0</v>
      </c>
      <c r="F145" s="182">
        <v>0.0</v>
      </c>
      <c r="G145" s="182">
        <v>6.0</v>
      </c>
      <c r="H145" s="182">
        <v>0.0</v>
      </c>
    </row>
    <row r="146">
      <c r="A146" s="182" t="s">
        <v>232</v>
      </c>
      <c r="B146" s="182" t="s">
        <v>705</v>
      </c>
      <c r="C146" s="189">
        <f>IFERROR(__xludf.DUMMYFUNCTION("""COMPUTED_VALUE"""),5.0)</f>
        <v>5</v>
      </c>
      <c r="D146" s="189">
        <f>IFERROR(__xludf.DUMMYFUNCTION("""COMPUTED_VALUE"""),1.0)</f>
        <v>1</v>
      </c>
      <c r="E146" s="182" t="s">
        <v>706</v>
      </c>
      <c r="F146" s="182">
        <v>24.0</v>
      </c>
      <c r="G146" s="182">
        <v>0.0</v>
      </c>
      <c r="H146" s="182">
        <v>100.0</v>
      </c>
    </row>
    <row r="147">
      <c r="A147" s="182" t="s">
        <v>232</v>
      </c>
      <c r="B147" s="182" t="s">
        <v>707</v>
      </c>
      <c r="C147" s="189">
        <f>IFERROR(__xludf.DUMMYFUNCTION("""COMPUTED_VALUE"""),5.0)</f>
        <v>5</v>
      </c>
      <c r="D147" s="189">
        <f>IFERROR(__xludf.DUMMYFUNCTION("""COMPUTED_VALUE"""),2.0)</f>
        <v>2</v>
      </c>
      <c r="E147" s="182" t="s">
        <v>708</v>
      </c>
      <c r="F147" s="182">
        <v>30.0</v>
      </c>
      <c r="G147" s="182">
        <v>0.0</v>
      </c>
      <c r="H147" s="182">
        <v>100.0</v>
      </c>
    </row>
    <row r="148">
      <c r="A148" s="182" t="s">
        <v>232</v>
      </c>
      <c r="B148" s="182" t="s">
        <v>709</v>
      </c>
      <c r="C148" s="189">
        <f>IFERROR(__xludf.DUMMYFUNCTION("""COMPUTED_VALUE"""),4.0)</f>
        <v>4</v>
      </c>
      <c r="D148" s="189">
        <f>IFERROR(__xludf.DUMMYFUNCTION("""COMPUTED_VALUE"""),1.0)</f>
        <v>1</v>
      </c>
      <c r="E148" s="182" t="s">
        <v>708</v>
      </c>
      <c r="F148" s="182">
        <v>37.0</v>
      </c>
      <c r="G148" s="182">
        <v>0.0</v>
      </c>
      <c r="H148" s="182">
        <v>100.0</v>
      </c>
    </row>
    <row r="149">
      <c r="A149" s="182" t="s">
        <v>232</v>
      </c>
      <c r="B149" s="182" t="s">
        <v>710</v>
      </c>
      <c r="C149" s="189">
        <f>IFERROR(__xludf.DUMMYFUNCTION("""COMPUTED_VALUE"""),5.0)</f>
        <v>5</v>
      </c>
      <c r="D149" s="189">
        <f>IFERROR(__xludf.DUMMYFUNCTION("""COMPUTED_VALUE"""),3.0)</f>
        <v>3</v>
      </c>
      <c r="E149" s="182" t="s">
        <v>711</v>
      </c>
      <c r="F149" s="182">
        <v>52.0</v>
      </c>
      <c r="G149" s="182">
        <v>2.0</v>
      </c>
      <c r="H149" s="182">
        <v>96.29</v>
      </c>
    </row>
    <row r="150">
      <c r="A150" s="182" t="s">
        <v>232</v>
      </c>
      <c r="B150" s="182" t="s">
        <v>712</v>
      </c>
      <c r="C150" s="189">
        <f>IFERROR(__xludf.DUMMYFUNCTION("""COMPUTED_VALUE"""),4.0)</f>
        <v>4</v>
      </c>
      <c r="D150" s="189">
        <f>IFERROR(__xludf.DUMMYFUNCTION("""COMPUTED_VALUE"""),2.0)</f>
        <v>2</v>
      </c>
      <c r="E150" s="182" t="s">
        <v>711</v>
      </c>
      <c r="F150" s="182">
        <v>37.0</v>
      </c>
      <c r="G150" s="182">
        <v>7.0</v>
      </c>
      <c r="H150" s="182">
        <v>84.09</v>
      </c>
    </row>
    <row r="151">
      <c r="A151" s="182" t="s">
        <v>232</v>
      </c>
      <c r="B151" s="182" t="s">
        <v>713</v>
      </c>
      <c r="C151" s="189">
        <f>IFERROR(__xludf.DUMMYFUNCTION("""COMPUTED_VALUE"""),3.0)</f>
        <v>3</v>
      </c>
      <c r="D151" s="189">
        <f>IFERROR(__xludf.DUMMYFUNCTION("""COMPUTED_VALUE"""),1.0)</f>
        <v>1</v>
      </c>
      <c r="E151" s="182" t="s">
        <v>711</v>
      </c>
      <c r="F151" s="182">
        <v>28.0</v>
      </c>
      <c r="G151" s="182">
        <v>0.0</v>
      </c>
      <c r="H151" s="182">
        <v>100.0</v>
      </c>
    </row>
    <row r="152">
      <c r="A152" s="182" t="s">
        <v>232</v>
      </c>
      <c r="B152" s="182" t="s">
        <v>714</v>
      </c>
      <c r="C152" s="189">
        <f>IFERROR(__xludf.DUMMYFUNCTION("""COMPUTED_VALUE"""),5.0)</f>
        <v>5</v>
      </c>
      <c r="D152" s="189">
        <f>IFERROR(__xludf.DUMMYFUNCTION("""COMPUTED_VALUE"""),4.0)</f>
        <v>4</v>
      </c>
      <c r="E152" s="182" t="s">
        <v>715</v>
      </c>
      <c r="F152" s="182">
        <v>86.0</v>
      </c>
      <c r="G152" s="182">
        <v>20.0</v>
      </c>
      <c r="H152" s="182">
        <v>81.13</v>
      </c>
    </row>
    <row r="153">
      <c r="A153" s="182" t="s">
        <v>232</v>
      </c>
      <c r="B153" s="182" t="s">
        <v>716</v>
      </c>
      <c r="C153" s="189">
        <f>IFERROR(__xludf.DUMMYFUNCTION("""COMPUTED_VALUE"""),4.0)</f>
        <v>4</v>
      </c>
      <c r="D153" s="189">
        <f>IFERROR(__xludf.DUMMYFUNCTION("""COMPUTED_VALUE"""),3.0)</f>
        <v>3</v>
      </c>
      <c r="E153" s="182" t="s">
        <v>715</v>
      </c>
      <c r="F153" s="182">
        <v>36.0</v>
      </c>
      <c r="G153" s="182">
        <v>11.0</v>
      </c>
      <c r="H153" s="182">
        <v>76.59</v>
      </c>
    </row>
    <row r="154">
      <c r="A154" s="182" t="s">
        <v>232</v>
      </c>
      <c r="B154" s="182" t="s">
        <v>717</v>
      </c>
      <c r="C154" s="189">
        <f>IFERROR(__xludf.DUMMYFUNCTION("""COMPUTED_VALUE"""),3.0)</f>
        <v>3</v>
      </c>
      <c r="D154" s="189">
        <f>IFERROR(__xludf.DUMMYFUNCTION("""COMPUTED_VALUE"""),2.0)</f>
        <v>2</v>
      </c>
      <c r="E154" s="182" t="s">
        <v>715</v>
      </c>
      <c r="F154" s="182">
        <v>21.0</v>
      </c>
      <c r="G154" s="182">
        <v>7.0</v>
      </c>
      <c r="H154" s="182">
        <v>75.0</v>
      </c>
    </row>
    <row r="155">
      <c r="A155" s="182" t="s">
        <v>232</v>
      </c>
      <c r="B155" s="182" t="s">
        <v>718</v>
      </c>
      <c r="C155" s="189">
        <f>IFERROR(__xludf.DUMMYFUNCTION("""COMPUTED_VALUE"""),2.0)</f>
        <v>2</v>
      </c>
      <c r="D155" s="189">
        <f>IFERROR(__xludf.DUMMYFUNCTION("""COMPUTED_VALUE"""),1.0)</f>
        <v>1</v>
      </c>
      <c r="E155" s="182" t="s">
        <v>715</v>
      </c>
      <c r="F155" s="182">
        <v>22.0</v>
      </c>
      <c r="G155" s="182">
        <v>5.0</v>
      </c>
      <c r="H155" s="182">
        <v>81.48</v>
      </c>
    </row>
    <row r="156">
      <c r="A156" s="182" t="s">
        <v>232</v>
      </c>
      <c r="B156" s="182" t="s">
        <v>719</v>
      </c>
      <c r="C156" s="189">
        <f>IFERROR(__xludf.DUMMYFUNCTION("""COMPUTED_VALUE"""),4.0)</f>
        <v>4</v>
      </c>
      <c r="D156" s="189">
        <f>IFERROR(__xludf.DUMMYFUNCTION("""COMPUTED_VALUE"""),4.0)</f>
        <v>4</v>
      </c>
      <c r="E156" s="182">
        <v>0.0</v>
      </c>
      <c r="F156" s="182">
        <v>44.0</v>
      </c>
      <c r="G156" s="182">
        <v>24.0</v>
      </c>
      <c r="H156" s="182">
        <v>64.7</v>
      </c>
    </row>
    <row r="157">
      <c r="A157" s="182" t="s">
        <v>232</v>
      </c>
      <c r="B157" s="182" t="s">
        <v>720</v>
      </c>
      <c r="C157" s="189">
        <f>IFERROR(__xludf.DUMMYFUNCTION("""COMPUTED_VALUE"""),3.0)</f>
        <v>3</v>
      </c>
      <c r="D157" s="189">
        <f>IFERROR(__xludf.DUMMYFUNCTION("""COMPUTED_VALUE"""),3.0)</f>
        <v>3</v>
      </c>
      <c r="E157" s="182">
        <v>0.0</v>
      </c>
      <c r="F157" s="182">
        <v>18.0</v>
      </c>
      <c r="G157" s="182">
        <v>12.0</v>
      </c>
      <c r="H157" s="182">
        <v>60.0</v>
      </c>
    </row>
    <row r="158">
      <c r="A158" s="182" t="s">
        <v>232</v>
      </c>
      <c r="B158" s="182" t="s">
        <v>721</v>
      </c>
      <c r="C158" s="189">
        <f>IFERROR(__xludf.DUMMYFUNCTION("""COMPUTED_VALUE"""),2.0)</f>
        <v>2</v>
      </c>
      <c r="D158" s="189">
        <f>IFERROR(__xludf.DUMMYFUNCTION("""COMPUTED_VALUE"""),2.0)</f>
        <v>2</v>
      </c>
      <c r="E158" s="182">
        <v>0.0</v>
      </c>
      <c r="F158" s="182">
        <v>15.0</v>
      </c>
      <c r="G158" s="182">
        <v>15.0</v>
      </c>
      <c r="H158" s="182">
        <v>50.0</v>
      </c>
    </row>
    <row r="159">
      <c r="A159" s="182" t="s">
        <v>232</v>
      </c>
      <c r="B159" s="182" t="s">
        <v>722</v>
      </c>
      <c r="C159" s="189">
        <f>IFERROR(__xludf.DUMMYFUNCTION("""COMPUTED_VALUE"""),1.0)</f>
        <v>1</v>
      </c>
      <c r="D159" s="189">
        <f>IFERROR(__xludf.DUMMYFUNCTION("""COMPUTED_VALUE"""),1.0)</f>
        <v>1</v>
      </c>
      <c r="E159" s="182">
        <v>0.0</v>
      </c>
      <c r="F159" s="182">
        <v>9.0</v>
      </c>
      <c r="G159" s="182">
        <v>13.0</v>
      </c>
      <c r="H159" s="182">
        <v>40.9</v>
      </c>
    </row>
    <row r="160">
      <c r="A160" s="182" t="s">
        <v>232</v>
      </c>
      <c r="B160" s="182" t="s">
        <v>723</v>
      </c>
      <c r="C160" s="189">
        <f>IFERROR(__xludf.DUMMYFUNCTION("""COMPUTED_VALUE"""),4.0)</f>
        <v>4</v>
      </c>
      <c r="D160" s="189">
        <f>IFERROR(__xludf.DUMMYFUNCTION("""COMPUTED_VALUE"""),5.0)</f>
        <v>5</v>
      </c>
      <c r="E160" s="182">
        <v>-1.0</v>
      </c>
      <c r="F160" s="182">
        <v>24.0</v>
      </c>
      <c r="G160" s="182">
        <v>44.0</v>
      </c>
      <c r="H160" s="182">
        <v>35.29</v>
      </c>
    </row>
    <row r="161">
      <c r="A161" s="182" t="s">
        <v>232</v>
      </c>
      <c r="B161" s="182" t="s">
        <v>724</v>
      </c>
      <c r="C161" s="189">
        <f>IFERROR(__xludf.DUMMYFUNCTION("""COMPUTED_VALUE"""),3.0)</f>
        <v>3</v>
      </c>
      <c r="D161" s="189">
        <f>IFERROR(__xludf.DUMMYFUNCTION("""COMPUTED_VALUE"""),4.0)</f>
        <v>4</v>
      </c>
      <c r="E161" s="182">
        <v>-1.0</v>
      </c>
      <c r="F161" s="182">
        <v>10.0</v>
      </c>
      <c r="G161" s="182">
        <v>22.0</v>
      </c>
      <c r="H161" s="182">
        <v>31.25</v>
      </c>
    </row>
    <row r="162">
      <c r="A162" s="182" t="s">
        <v>232</v>
      </c>
      <c r="B162" s="182" t="s">
        <v>725</v>
      </c>
      <c r="C162" s="189">
        <f>IFERROR(__xludf.DUMMYFUNCTION("""COMPUTED_VALUE"""),2.0)</f>
        <v>2</v>
      </c>
      <c r="D162" s="189">
        <f>IFERROR(__xludf.DUMMYFUNCTION("""COMPUTED_VALUE"""),3.0)</f>
        <v>3</v>
      </c>
      <c r="E162" s="182">
        <v>-1.0</v>
      </c>
      <c r="F162" s="182">
        <v>7.0</v>
      </c>
      <c r="G162" s="182">
        <v>18.0</v>
      </c>
      <c r="H162" s="182">
        <v>28.0</v>
      </c>
    </row>
    <row r="163">
      <c r="A163" s="182" t="s">
        <v>232</v>
      </c>
      <c r="B163" s="182" t="s">
        <v>726</v>
      </c>
      <c r="C163" s="189">
        <f>IFERROR(__xludf.DUMMYFUNCTION("""COMPUTED_VALUE"""),1.0)</f>
        <v>1</v>
      </c>
      <c r="D163" s="189">
        <f>IFERROR(__xludf.DUMMYFUNCTION("""COMPUTED_VALUE"""),2.0)</f>
        <v>2</v>
      </c>
      <c r="E163" s="182">
        <v>-1.0</v>
      </c>
      <c r="F163" s="182">
        <v>7.0</v>
      </c>
      <c r="G163" s="182">
        <v>17.0</v>
      </c>
      <c r="H163" s="182">
        <v>29.16</v>
      </c>
    </row>
    <row r="164">
      <c r="A164" s="182" t="s">
        <v>232</v>
      </c>
      <c r="B164" s="182" t="s">
        <v>727</v>
      </c>
      <c r="C164" s="189">
        <f>IFERROR(__xludf.DUMMYFUNCTION("""COMPUTED_VALUE"""),3.0)</f>
        <v>3</v>
      </c>
      <c r="D164" s="189">
        <f>IFERROR(__xludf.DUMMYFUNCTION("""COMPUTED_VALUE"""),5.0)</f>
        <v>5</v>
      </c>
      <c r="E164" s="182">
        <v>-2.0</v>
      </c>
      <c r="F164" s="182">
        <v>5.0</v>
      </c>
      <c r="G164" s="182">
        <v>28.0</v>
      </c>
      <c r="H164" s="182">
        <v>15.15</v>
      </c>
    </row>
    <row r="165">
      <c r="A165" s="182" t="s">
        <v>232</v>
      </c>
      <c r="B165" s="182" t="s">
        <v>728</v>
      </c>
      <c r="C165" s="189">
        <f>IFERROR(__xludf.DUMMYFUNCTION("""COMPUTED_VALUE"""),2.0)</f>
        <v>2</v>
      </c>
      <c r="D165" s="189">
        <f>IFERROR(__xludf.DUMMYFUNCTION("""COMPUTED_VALUE"""),4.0)</f>
        <v>4</v>
      </c>
      <c r="E165" s="182">
        <v>-2.0</v>
      </c>
      <c r="F165" s="182">
        <v>2.0</v>
      </c>
      <c r="G165" s="182">
        <v>21.0</v>
      </c>
      <c r="H165" s="182">
        <v>8.69</v>
      </c>
    </row>
    <row r="166">
      <c r="A166" s="182" t="s">
        <v>232</v>
      </c>
      <c r="B166" s="182" t="s">
        <v>729</v>
      </c>
      <c r="C166" s="189">
        <f>IFERROR(__xludf.DUMMYFUNCTION("""COMPUTED_VALUE"""),1.0)</f>
        <v>1</v>
      </c>
      <c r="D166" s="189">
        <f>IFERROR(__xludf.DUMMYFUNCTION("""COMPUTED_VALUE"""),3.0)</f>
        <v>3</v>
      </c>
      <c r="E166" s="182">
        <v>-2.0</v>
      </c>
      <c r="F166" s="182">
        <v>1.0</v>
      </c>
      <c r="G166" s="182">
        <v>20.0</v>
      </c>
      <c r="H166" s="182">
        <v>4.76</v>
      </c>
    </row>
    <row r="167">
      <c r="A167" s="182" t="s">
        <v>232</v>
      </c>
      <c r="B167" s="182" t="s">
        <v>730</v>
      </c>
      <c r="C167" s="189">
        <f>IFERROR(__xludf.DUMMYFUNCTION("""COMPUTED_VALUE"""),2.0)</f>
        <v>2</v>
      </c>
      <c r="D167" s="189">
        <f>IFERROR(__xludf.DUMMYFUNCTION("""COMPUTED_VALUE"""),5.0)</f>
        <v>5</v>
      </c>
      <c r="E167" s="182">
        <v>-3.0</v>
      </c>
      <c r="F167" s="182">
        <v>0.0</v>
      </c>
      <c r="G167" s="182">
        <v>17.0</v>
      </c>
      <c r="H167" s="182">
        <v>0.0</v>
      </c>
    </row>
    <row r="168">
      <c r="A168" s="182" t="s">
        <v>232</v>
      </c>
      <c r="B168" s="182" t="s">
        <v>731</v>
      </c>
      <c r="C168" s="189">
        <f>IFERROR(__xludf.DUMMYFUNCTION("""COMPUTED_VALUE"""),1.0)</f>
        <v>1</v>
      </c>
      <c r="D168" s="189">
        <f>IFERROR(__xludf.DUMMYFUNCTION("""COMPUTED_VALUE"""),4.0)</f>
        <v>4</v>
      </c>
      <c r="E168" s="182">
        <v>-3.0</v>
      </c>
      <c r="F168" s="182">
        <v>0.0</v>
      </c>
      <c r="G168" s="182">
        <v>23.0</v>
      </c>
      <c r="H168" s="182">
        <v>0.0</v>
      </c>
    </row>
    <row r="169">
      <c r="A169" s="182" t="s">
        <v>232</v>
      </c>
      <c r="B169" s="182" t="s">
        <v>732</v>
      </c>
      <c r="C169" s="189">
        <f>IFERROR(__xludf.DUMMYFUNCTION("""COMPUTED_VALUE"""),1.0)</f>
        <v>1</v>
      </c>
      <c r="D169" s="189">
        <f>IFERROR(__xludf.DUMMYFUNCTION("""COMPUTED_VALUE"""),5.0)</f>
        <v>5</v>
      </c>
      <c r="E169" s="182">
        <v>-4.0</v>
      </c>
      <c r="F169" s="182">
        <v>0.0</v>
      </c>
      <c r="G169" s="182">
        <v>8.0</v>
      </c>
      <c r="H169" s="182">
        <v>0.0</v>
      </c>
    </row>
    <row r="170">
      <c r="A170" s="182" t="s">
        <v>187</v>
      </c>
      <c r="B170" s="182" t="s">
        <v>705</v>
      </c>
      <c r="C170" s="189">
        <f>IFERROR(__xludf.DUMMYFUNCTION("""COMPUTED_VALUE"""),5.0)</f>
        <v>5</v>
      </c>
      <c r="D170" s="189">
        <f>IFERROR(__xludf.DUMMYFUNCTION("""COMPUTED_VALUE"""),1.0)</f>
        <v>1</v>
      </c>
      <c r="E170" s="182" t="s">
        <v>706</v>
      </c>
      <c r="F170" s="182">
        <v>25.0</v>
      </c>
      <c r="G170" s="182">
        <v>0.0</v>
      </c>
      <c r="H170" s="182">
        <v>100.0</v>
      </c>
    </row>
    <row r="171">
      <c r="A171" s="182" t="s">
        <v>187</v>
      </c>
      <c r="B171" s="182" t="s">
        <v>707</v>
      </c>
      <c r="C171" s="189">
        <f>IFERROR(__xludf.DUMMYFUNCTION("""COMPUTED_VALUE"""),5.0)</f>
        <v>5</v>
      </c>
      <c r="D171" s="189">
        <f>IFERROR(__xludf.DUMMYFUNCTION("""COMPUTED_VALUE"""),2.0)</f>
        <v>2</v>
      </c>
      <c r="E171" s="182" t="s">
        <v>708</v>
      </c>
      <c r="F171" s="182">
        <v>35.0</v>
      </c>
      <c r="G171" s="182">
        <v>0.0</v>
      </c>
      <c r="H171" s="182">
        <v>100.0</v>
      </c>
    </row>
    <row r="172">
      <c r="A172" s="182" t="s">
        <v>187</v>
      </c>
      <c r="B172" s="182" t="s">
        <v>709</v>
      </c>
      <c r="C172" s="189">
        <f>IFERROR(__xludf.DUMMYFUNCTION("""COMPUTED_VALUE"""),4.0)</f>
        <v>4</v>
      </c>
      <c r="D172" s="189">
        <f>IFERROR(__xludf.DUMMYFUNCTION("""COMPUTED_VALUE"""),1.0)</f>
        <v>1</v>
      </c>
      <c r="E172" s="182" t="s">
        <v>708</v>
      </c>
      <c r="F172" s="182">
        <v>46.0</v>
      </c>
      <c r="G172" s="182">
        <v>0.0</v>
      </c>
      <c r="H172" s="182">
        <v>100.0</v>
      </c>
    </row>
    <row r="173">
      <c r="A173" s="182" t="s">
        <v>187</v>
      </c>
      <c r="B173" s="182" t="s">
        <v>710</v>
      </c>
      <c r="C173" s="189">
        <f>IFERROR(__xludf.DUMMYFUNCTION("""COMPUTED_VALUE"""),5.0)</f>
        <v>5</v>
      </c>
      <c r="D173" s="189">
        <f>IFERROR(__xludf.DUMMYFUNCTION("""COMPUTED_VALUE"""),3.0)</f>
        <v>3</v>
      </c>
      <c r="E173" s="182" t="s">
        <v>711</v>
      </c>
      <c r="F173" s="182">
        <v>69.0</v>
      </c>
      <c r="G173" s="182">
        <v>4.0</v>
      </c>
      <c r="H173" s="182">
        <v>94.52</v>
      </c>
    </row>
    <row r="174">
      <c r="A174" s="182" t="s">
        <v>187</v>
      </c>
      <c r="B174" s="182" t="s">
        <v>712</v>
      </c>
      <c r="C174" s="189">
        <f>IFERROR(__xludf.DUMMYFUNCTION("""COMPUTED_VALUE"""),4.0)</f>
        <v>4</v>
      </c>
      <c r="D174" s="189">
        <f>IFERROR(__xludf.DUMMYFUNCTION("""COMPUTED_VALUE"""),2.0)</f>
        <v>2</v>
      </c>
      <c r="E174" s="182" t="s">
        <v>711</v>
      </c>
      <c r="F174" s="182">
        <v>62.0</v>
      </c>
      <c r="G174" s="182">
        <v>1.0</v>
      </c>
      <c r="H174" s="182">
        <v>98.41</v>
      </c>
    </row>
    <row r="175">
      <c r="A175" s="182" t="s">
        <v>187</v>
      </c>
      <c r="B175" s="182" t="s">
        <v>713</v>
      </c>
      <c r="C175" s="189">
        <f>IFERROR(__xludf.DUMMYFUNCTION("""COMPUTED_VALUE"""),3.0)</f>
        <v>3</v>
      </c>
      <c r="D175" s="189">
        <f>IFERROR(__xludf.DUMMYFUNCTION("""COMPUTED_VALUE"""),1.0)</f>
        <v>1</v>
      </c>
      <c r="E175" s="182" t="s">
        <v>711</v>
      </c>
      <c r="F175" s="182">
        <v>46.0</v>
      </c>
      <c r="G175" s="182">
        <v>0.0</v>
      </c>
      <c r="H175" s="182">
        <v>100.0</v>
      </c>
    </row>
    <row r="176">
      <c r="A176" s="182" t="s">
        <v>187</v>
      </c>
      <c r="B176" s="182" t="s">
        <v>714</v>
      </c>
      <c r="C176" s="189">
        <f>IFERROR(__xludf.DUMMYFUNCTION("""COMPUTED_VALUE"""),5.0)</f>
        <v>5</v>
      </c>
      <c r="D176" s="189">
        <f>IFERROR(__xludf.DUMMYFUNCTION("""COMPUTED_VALUE"""),4.0)</f>
        <v>4</v>
      </c>
      <c r="E176" s="182" t="s">
        <v>715</v>
      </c>
      <c r="F176" s="182">
        <v>111.0</v>
      </c>
      <c r="G176" s="182">
        <v>46.0</v>
      </c>
      <c r="H176" s="182">
        <v>70.7</v>
      </c>
    </row>
    <row r="177">
      <c r="A177" s="182" t="s">
        <v>187</v>
      </c>
      <c r="B177" s="182" t="s">
        <v>716</v>
      </c>
      <c r="C177" s="189">
        <f>IFERROR(__xludf.DUMMYFUNCTION("""COMPUTED_VALUE"""),4.0)</f>
        <v>4</v>
      </c>
      <c r="D177" s="189">
        <f>IFERROR(__xludf.DUMMYFUNCTION("""COMPUTED_VALUE"""),3.0)</f>
        <v>3</v>
      </c>
      <c r="E177" s="182" t="s">
        <v>715</v>
      </c>
      <c r="F177" s="182">
        <v>72.0</v>
      </c>
      <c r="G177" s="182">
        <v>19.0</v>
      </c>
      <c r="H177" s="182">
        <v>79.12</v>
      </c>
    </row>
    <row r="178">
      <c r="A178" s="182" t="s">
        <v>187</v>
      </c>
      <c r="B178" s="182" t="s">
        <v>717</v>
      </c>
      <c r="C178" s="189">
        <f>IFERROR(__xludf.DUMMYFUNCTION("""COMPUTED_VALUE"""),3.0)</f>
        <v>3</v>
      </c>
      <c r="D178" s="189">
        <f>IFERROR(__xludf.DUMMYFUNCTION("""COMPUTED_VALUE"""),2.0)</f>
        <v>2</v>
      </c>
      <c r="E178" s="182" t="s">
        <v>715</v>
      </c>
      <c r="F178" s="182">
        <v>51.0</v>
      </c>
      <c r="G178" s="182">
        <v>11.0</v>
      </c>
      <c r="H178" s="182">
        <v>82.25</v>
      </c>
    </row>
    <row r="179">
      <c r="A179" s="182" t="s">
        <v>187</v>
      </c>
      <c r="B179" s="182" t="s">
        <v>718</v>
      </c>
      <c r="C179" s="189">
        <f>IFERROR(__xludf.DUMMYFUNCTION("""COMPUTED_VALUE"""),2.0)</f>
        <v>2</v>
      </c>
      <c r="D179" s="189">
        <f>IFERROR(__xludf.DUMMYFUNCTION("""COMPUTED_VALUE"""),1.0)</f>
        <v>1</v>
      </c>
      <c r="E179" s="182" t="s">
        <v>715</v>
      </c>
      <c r="F179" s="182">
        <v>48.0</v>
      </c>
      <c r="G179" s="182">
        <v>3.0</v>
      </c>
      <c r="H179" s="182">
        <v>94.11</v>
      </c>
    </row>
    <row r="180">
      <c r="A180" s="182" t="s">
        <v>187</v>
      </c>
      <c r="B180" s="182" t="s">
        <v>719</v>
      </c>
      <c r="C180" s="189">
        <f>IFERROR(__xludf.DUMMYFUNCTION("""COMPUTED_VALUE"""),4.0)</f>
        <v>4</v>
      </c>
      <c r="D180" s="189">
        <f>IFERROR(__xludf.DUMMYFUNCTION("""COMPUTED_VALUE"""),4.0)</f>
        <v>4</v>
      </c>
      <c r="E180" s="182">
        <v>0.0</v>
      </c>
      <c r="F180" s="182">
        <v>70.0</v>
      </c>
      <c r="G180" s="182">
        <v>63.0</v>
      </c>
      <c r="H180" s="182">
        <v>52.63</v>
      </c>
    </row>
    <row r="181">
      <c r="A181" s="182" t="s">
        <v>187</v>
      </c>
      <c r="B181" s="182" t="s">
        <v>720</v>
      </c>
      <c r="C181" s="189">
        <f>IFERROR(__xludf.DUMMYFUNCTION("""COMPUTED_VALUE"""),3.0)</f>
        <v>3</v>
      </c>
      <c r="D181" s="189">
        <f>IFERROR(__xludf.DUMMYFUNCTION("""COMPUTED_VALUE"""),3.0)</f>
        <v>3</v>
      </c>
      <c r="E181" s="182">
        <v>0.0</v>
      </c>
      <c r="F181" s="182">
        <v>55.0</v>
      </c>
      <c r="G181" s="182">
        <v>29.0</v>
      </c>
      <c r="H181" s="182">
        <v>65.47</v>
      </c>
    </row>
    <row r="182">
      <c r="A182" s="182" t="s">
        <v>187</v>
      </c>
      <c r="B182" s="182" t="s">
        <v>721</v>
      </c>
      <c r="C182" s="189">
        <f>IFERROR(__xludf.DUMMYFUNCTION("""COMPUTED_VALUE"""),2.0)</f>
        <v>2</v>
      </c>
      <c r="D182" s="189">
        <f>IFERROR(__xludf.DUMMYFUNCTION("""COMPUTED_VALUE"""),2.0)</f>
        <v>2</v>
      </c>
      <c r="E182" s="182">
        <v>0.0</v>
      </c>
      <c r="F182" s="182">
        <v>40.0</v>
      </c>
      <c r="G182" s="182">
        <v>22.0</v>
      </c>
      <c r="H182" s="182">
        <v>64.51</v>
      </c>
    </row>
    <row r="183">
      <c r="A183" s="182" t="s">
        <v>187</v>
      </c>
      <c r="B183" s="182" t="s">
        <v>722</v>
      </c>
      <c r="C183" s="189">
        <f>IFERROR(__xludf.DUMMYFUNCTION("""COMPUTED_VALUE"""),1.0)</f>
        <v>1</v>
      </c>
      <c r="D183" s="189">
        <f>IFERROR(__xludf.DUMMYFUNCTION("""COMPUTED_VALUE"""),1.0)</f>
        <v>1</v>
      </c>
      <c r="E183" s="182">
        <v>0.0</v>
      </c>
      <c r="F183" s="182">
        <v>24.0</v>
      </c>
      <c r="G183" s="182">
        <v>10.0</v>
      </c>
      <c r="H183" s="182">
        <v>70.58</v>
      </c>
    </row>
    <row r="184">
      <c r="A184" s="182" t="s">
        <v>187</v>
      </c>
      <c r="B184" s="182" t="s">
        <v>723</v>
      </c>
      <c r="C184" s="189">
        <f>IFERROR(__xludf.DUMMYFUNCTION("""COMPUTED_VALUE"""),4.0)</f>
        <v>4</v>
      </c>
      <c r="D184" s="189">
        <f>IFERROR(__xludf.DUMMYFUNCTION("""COMPUTED_VALUE"""),5.0)</f>
        <v>5</v>
      </c>
      <c r="E184" s="182">
        <v>-1.0</v>
      </c>
      <c r="F184" s="182">
        <v>39.0</v>
      </c>
      <c r="G184" s="182">
        <v>77.0</v>
      </c>
      <c r="H184" s="182">
        <v>33.62</v>
      </c>
    </row>
    <row r="185">
      <c r="A185" s="182" t="s">
        <v>187</v>
      </c>
      <c r="B185" s="182" t="s">
        <v>724</v>
      </c>
      <c r="C185" s="189">
        <f>IFERROR(__xludf.DUMMYFUNCTION("""COMPUTED_VALUE"""),3.0)</f>
        <v>3</v>
      </c>
      <c r="D185" s="189">
        <f>IFERROR(__xludf.DUMMYFUNCTION("""COMPUTED_VALUE"""),4.0)</f>
        <v>4</v>
      </c>
      <c r="E185" s="182">
        <v>-1.0</v>
      </c>
      <c r="F185" s="182">
        <v>31.0</v>
      </c>
      <c r="G185" s="182">
        <v>67.0</v>
      </c>
      <c r="H185" s="182">
        <v>31.63</v>
      </c>
    </row>
    <row r="186">
      <c r="A186" s="182" t="s">
        <v>187</v>
      </c>
      <c r="B186" s="182" t="s">
        <v>725</v>
      </c>
      <c r="C186" s="189">
        <f>IFERROR(__xludf.DUMMYFUNCTION("""COMPUTED_VALUE"""),2.0)</f>
        <v>2</v>
      </c>
      <c r="D186" s="189">
        <f>IFERROR(__xludf.DUMMYFUNCTION("""COMPUTED_VALUE"""),3.0)</f>
        <v>3</v>
      </c>
      <c r="E186" s="182">
        <v>-1.0</v>
      </c>
      <c r="F186" s="182">
        <v>20.0</v>
      </c>
      <c r="G186" s="182">
        <v>49.0</v>
      </c>
      <c r="H186" s="182">
        <v>28.98</v>
      </c>
    </row>
    <row r="187">
      <c r="A187" s="182" t="s">
        <v>187</v>
      </c>
      <c r="B187" s="182" t="s">
        <v>726</v>
      </c>
      <c r="C187" s="189">
        <f>IFERROR(__xludf.DUMMYFUNCTION("""COMPUTED_VALUE"""),1.0)</f>
        <v>1</v>
      </c>
      <c r="D187" s="189">
        <f>IFERROR(__xludf.DUMMYFUNCTION("""COMPUTED_VALUE"""),2.0)</f>
        <v>2</v>
      </c>
      <c r="E187" s="182">
        <v>-1.0</v>
      </c>
      <c r="F187" s="182">
        <v>13.0</v>
      </c>
      <c r="G187" s="182">
        <v>47.0</v>
      </c>
      <c r="H187" s="182">
        <v>21.66</v>
      </c>
    </row>
    <row r="188">
      <c r="A188" s="182" t="s">
        <v>187</v>
      </c>
      <c r="B188" s="182" t="s">
        <v>727</v>
      </c>
      <c r="C188" s="189">
        <f>IFERROR(__xludf.DUMMYFUNCTION("""COMPUTED_VALUE"""),3.0)</f>
        <v>3</v>
      </c>
      <c r="D188" s="189">
        <f>IFERROR(__xludf.DUMMYFUNCTION("""COMPUTED_VALUE"""),5.0)</f>
        <v>5</v>
      </c>
      <c r="E188" s="182">
        <v>-2.0</v>
      </c>
      <c r="F188" s="182">
        <v>6.0</v>
      </c>
      <c r="G188" s="182">
        <v>44.0</v>
      </c>
      <c r="H188" s="182">
        <v>12.0</v>
      </c>
    </row>
    <row r="189">
      <c r="A189" s="182" t="s">
        <v>187</v>
      </c>
      <c r="B189" s="182" t="s">
        <v>728</v>
      </c>
      <c r="C189" s="189">
        <f>IFERROR(__xludf.DUMMYFUNCTION("""COMPUTED_VALUE"""),2.0)</f>
        <v>2</v>
      </c>
      <c r="D189" s="189">
        <f>IFERROR(__xludf.DUMMYFUNCTION("""COMPUTED_VALUE"""),4.0)</f>
        <v>4</v>
      </c>
      <c r="E189" s="182">
        <v>-2.0</v>
      </c>
      <c r="F189" s="182">
        <v>8.0</v>
      </c>
      <c r="G189" s="182">
        <v>52.0</v>
      </c>
      <c r="H189" s="182">
        <v>13.33</v>
      </c>
    </row>
    <row r="190">
      <c r="A190" s="182" t="s">
        <v>187</v>
      </c>
      <c r="B190" s="182" t="s">
        <v>729</v>
      </c>
      <c r="C190" s="189">
        <f>IFERROR(__xludf.DUMMYFUNCTION("""COMPUTED_VALUE"""),1.0)</f>
        <v>1</v>
      </c>
      <c r="D190" s="189">
        <f>IFERROR(__xludf.DUMMYFUNCTION("""COMPUTED_VALUE"""),3.0)</f>
        <v>3</v>
      </c>
      <c r="E190" s="182">
        <v>-2.0</v>
      </c>
      <c r="F190" s="182">
        <v>4.0</v>
      </c>
      <c r="G190" s="182">
        <v>49.0</v>
      </c>
      <c r="H190" s="182">
        <v>7.54</v>
      </c>
    </row>
    <row r="191">
      <c r="A191" s="182" t="s">
        <v>187</v>
      </c>
      <c r="B191" s="182" t="s">
        <v>730</v>
      </c>
      <c r="C191" s="189">
        <f>IFERROR(__xludf.DUMMYFUNCTION("""COMPUTED_VALUE"""),2.0)</f>
        <v>2</v>
      </c>
      <c r="D191" s="189">
        <f>IFERROR(__xludf.DUMMYFUNCTION("""COMPUTED_VALUE"""),5.0)</f>
        <v>5</v>
      </c>
      <c r="E191" s="182">
        <v>-3.0</v>
      </c>
      <c r="F191" s="182">
        <v>1.0</v>
      </c>
      <c r="G191" s="182">
        <v>20.0</v>
      </c>
      <c r="H191" s="182">
        <v>4.76</v>
      </c>
    </row>
    <row r="192">
      <c r="A192" s="182" t="s">
        <v>187</v>
      </c>
      <c r="B192" s="182" t="s">
        <v>731</v>
      </c>
      <c r="C192" s="189">
        <f>IFERROR(__xludf.DUMMYFUNCTION("""COMPUTED_VALUE"""),1.0)</f>
        <v>1</v>
      </c>
      <c r="D192" s="189">
        <f>IFERROR(__xludf.DUMMYFUNCTION("""COMPUTED_VALUE"""),4.0)</f>
        <v>4</v>
      </c>
      <c r="E192" s="182">
        <v>-3.0</v>
      </c>
      <c r="F192" s="182">
        <v>0.0</v>
      </c>
      <c r="G192" s="182">
        <v>32.0</v>
      </c>
      <c r="H192" s="182">
        <v>0.0</v>
      </c>
    </row>
    <row r="193">
      <c r="A193" s="182" t="s">
        <v>187</v>
      </c>
      <c r="B193" s="182" t="s">
        <v>732</v>
      </c>
      <c r="C193" s="189">
        <f>IFERROR(__xludf.DUMMYFUNCTION("""COMPUTED_VALUE"""),1.0)</f>
        <v>1</v>
      </c>
      <c r="D193" s="189">
        <f>IFERROR(__xludf.DUMMYFUNCTION("""COMPUTED_VALUE"""),5.0)</f>
        <v>5</v>
      </c>
      <c r="E193" s="182">
        <v>-4.0</v>
      </c>
      <c r="F193" s="182">
        <v>0.0</v>
      </c>
      <c r="G193" s="182">
        <v>17.0</v>
      </c>
      <c r="H193" s="182">
        <v>0.0</v>
      </c>
    </row>
    <row r="194">
      <c r="A194" s="182" t="s">
        <v>189</v>
      </c>
      <c r="B194" s="182" t="s">
        <v>705</v>
      </c>
      <c r="C194" s="189">
        <f>IFERROR(__xludf.DUMMYFUNCTION("""COMPUTED_VALUE"""),5.0)</f>
        <v>5</v>
      </c>
      <c r="D194" s="189">
        <f>IFERROR(__xludf.DUMMYFUNCTION("""COMPUTED_VALUE"""),1.0)</f>
        <v>1</v>
      </c>
      <c r="E194" s="182" t="s">
        <v>706</v>
      </c>
      <c r="F194" s="182">
        <v>15.0</v>
      </c>
      <c r="G194" s="182">
        <v>0.0</v>
      </c>
      <c r="H194" s="182">
        <v>100.0</v>
      </c>
    </row>
    <row r="195">
      <c r="A195" s="182" t="s">
        <v>189</v>
      </c>
      <c r="B195" s="182" t="s">
        <v>707</v>
      </c>
      <c r="C195" s="189">
        <f>IFERROR(__xludf.DUMMYFUNCTION("""COMPUTED_VALUE"""),5.0)</f>
        <v>5</v>
      </c>
      <c r="D195" s="189">
        <f>IFERROR(__xludf.DUMMYFUNCTION("""COMPUTED_VALUE"""),2.0)</f>
        <v>2</v>
      </c>
      <c r="E195" s="182" t="s">
        <v>708</v>
      </c>
      <c r="F195" s="182">
        <v>26.0</v>
      </c>
      <c r="G195" s="182">
        <v>2.0</v>
      </c>
      <c r="H195" s="182">
        <v>92.85</v>
      </c>
    </row>
    <row r="196">
      <c r="A196" s="182" t="s">
        <v>189</v>
      </c>
      <c r="B196" s="182" t="s">
        <v>709</v>
      </c>
      <c r="C196" s="189">
        <f>IFERROR(__xludf.DUMMYFUNCTION("""COMPUTED_VALUE"""),4.0)</f>
        <v>4</v>
      </c>
      <c r="D196" s="189">
        <f>IFERROR(__xludf.DUMMYFUNCTION("""COMPUTED_VALUE"""),1.0)</f>
        <v>1</v>
      </c>
      <c r="E196" s="182" t="s">
        <v>708</v>
      </c>
      <c r="F196" s="182">
        <v>41.0</v>
      </c>
      <c r="G196" s="182">
        <v>0.0</v>
      </c>
      <c r="H196" s="182">
        <v>100.0</v>
      </c>
    </row>
    <row r="197">
      <c r="A197" s="182" t="s">
        <v>189</v>
      </c>
      <c r="B197" s="182" t="s">
        <v>710</v>
      </c>
      <c r="C197" s="189">
        <f>IFERROR(__xludf.DUMMYFUNCTION("""COMPUTED_VALUE"""),5.0)</f>
        <v>5</v>
      </c>
      <c r="D197" s="189">
        <f>IFERROR(__xludf.DUMMYFUNCTION("""COMPUTED_VALUE"""),3.0)</f>
        <v>3</v>
      </c>
      <c r="E197" s="182" t="s">
        <v>711</v>
      </c>
      <c r="F197" s="182">
        <v>49.0</v>
      </c>
      <c r="G197" s="182">
        <v>11.0</v>
      </c>
      <c r="H197" s="182">
        <v>81.66</v>
      </c>
    </row>
    <row r="198">
      <c r="A198" s="182" t="s">
        <v>189</v>
      </c>
      <c r="B198" s="182" t="s">
        <v>712</v>
      </c>
      <c r="C198" s="189">
        <f>IFERROR(__xludf.DUMMYFUNCTION("""COMPUTED_VALUE"""),4.0)</f>
        <v>4</v>
      </c>
      <c r="D198" s="189">
        <f>IFERROR(__xludf.DUMMYFUNCTION("""COMPUTED_VALUE"""),2.0)</f>
        <v>2</v>
      </c>
      <c r="E198" s="182" t="s">
        <v>711</v>
      </c>
      <c r="F198" s="182">
        <v>51.0</v>
      </c>
      <c r="G198" s="182">
        <v>6.0</v>
      </c>
      <c r="H198" s="182">
        <v>89.47</v>
      </c>
    </row>
    <row r="199">
      <c r="A199" s="182" t="s">
        <v>189</v>
      </c>
      <c r="B199" s="182" t="s">
        <v>713</v>
      </c>
      <c r="C199" s="189">
        <f>IFERROR(__xludf.DUMMYFUNCTION("""COMPUTED_VALUE"""),3.0)</f>
        <v>3</v>
      </c>
      <c r="D199" s="189">
        <f>IFERROR(__xludf.DUMMYFUNCTION("""COMPUTED_VALUE"""),1.0)</f>
        <v>1</v>
      </c>
      <c r="E199" s="182" t="s">
        <v>711</v>
      </c>
      <c r="F199" s="182">
        <v>46.0</v>
      </c>
      <c r="G199" s="182">
        <v>2.0</v>
      </c>
      <c r="H199" s="182">
        <v>95.83</v>
      </c>
    </row>
    <row r="200">
      <c r="A200" s="182" t="s">
        <v>189</v>
      </c>
      <c r="B200" s="182" t="s">
        <v>714</v>
      </c>
      <c r="C200" s="189">
        <f>IFERROR(__xludf.DUMMYFUNCTION("""COMPUTED_VALUE"""),5.0)</f>
        <v>5</v>
      </c>
      <c r="D200" s="189">
        <f>IFERROR(__xludf.DUMMYFUNCTION("""COMPUTED_VALUE"""),4.0)</f>
        <v>4</v>
      </c>
      <c r="E200" s="182" t="s">
        <v>715</v>
      </c>
      <c r="F200" s="182">
        <v>100.0</v>
      </c>
      <c r="G200" s="182">
        <v>34.0</v>
      </c>
      <c r="H200" s="182">
        <v>74.62</v>
      </c>
    </row>
    <row r="201">
      <c r="A201" s="182" t="s">
        <v>189</v>
      </c>
      <c r="B201" s="182" t="s">
        <v>716</v>
      </c>
      <c r="C201" s="189">
        <f>IFERROR(__xludf.DUMMYFUNCTION("""COMPUTED_VALUE"""),4.0)</f>
        <v>4</v>
      </c>
      <c r="D201" s="189">
        <f>IFERROR(__xludf.DUMMYFUNCTION("""COMPUTED_VALUE"""),3.0)</f>
        <v>3</v>
      </c>
      <c r="E201" s="182" t="s">
        <v>715</v>
      </c>
      <c r="F201" s="182">
        <v>56.0</v>
      </c>
      <c r="G201" s="182">
        <v>20.0</v>
      </c>
      <c r="H201" s="182">
        <v>73.68</v>
      </c>
    </row>
    <row r="202">
      <c r="A202" s="182" t="s">
        <v>189</v>
      </c>
      <c r="B202" s="182" t="s">
        <v>717</v>
      </c>
      <c r="C202" s="189">
        <f>IFERROR(__xludf.DUMMYFUNCTION("""COMPUTED_VALUE"""),3.0)</f>
        <v>3</v>
      </c>
      <c r="D202" s="189">
        <f>IFERROR(__xludf.DUMMYFUNCTION("""COMPUTED_VALUE"""),2.0)</f>
        <v>2</v>
      </c>
      <c r="E202" s="182" t="s">
        <v>715</v>
      </c>
      <c r="F202" s="182">
        <v>35.0</v>
      </c>
      <c r="G202" s="182">
        <v>13.0</v>
      </c>
      <c r="H202" s="182">
        <v>72.91</v>
      </c>
    </row>
    <row r="203">
      <c r="A203" s="182" t="s">
        <v>189</v>
      </c>
      <c r="B203" s="182" t="s">
        <v>718</v>
      </c>
      <c r="C203" s="189">
        <f>IFERROR(__xludf.DUMMYFUNCTION("""COMPUTED_VALUE"""),2.0)</f>
        <v>2</v>
      </c>
      <c r="D203" s="189">
        <f>IFERROR(__xludf.DUMMYFUNCTION("""COMPUTED_VALUE"""),1.0)</f>
        <v>1</v>
      </c>
      <c r="E203" s="182" t="s">
        <v>715</v>
      </c>
      <c r="F203" s="182">
        <v>42.0</v>
      </c>
      <c r="G203" s="182">
        <v>7.0</v>
      </c>
      <c r="H203" s="182">
        <v>85.71</v>
      </c>
    </row>
    <row r="204">
      <c r="A204" s="182" t="s">
        <v>189</v>
      </c>
      <c r="B204" s="182" t="s">
        <v>719</v>
      </c>
      <c r="C204" s="189">
        <f>IFERROR(__xludf.DUMMYFUNCTION("""COMPUTED_VALUE"""),4.0)</f>
        <v>4</v>
      </c>
      <c r="D204" s="189">
        <f>IFERROR(__xludf.DUMMYFUNCTION("""COMPUTED_VALUE"""),4.0)</f>
        <v>4</v>
      </c>
      <c r="E204" s="182">
        <v>0.0</v>
      </c>
      <c r="F204" s="182">
        <v>64.0</v>
      </c>
      <c r="G204" s="182">
        <v>47.0</v>
      </c>
      <c r="H204" s="182">
        <v>57.65</v>
      </c>
    </row>
    <row r="205">
      <c r="A205" s="182" t="s">
        <v>189</v>
      </c>
      <c r="B205" s="182" t="s">
        <v>720</v>
      </c>
      <c r="C205" s="189">
        <f>IFERROR(__xludf.DUMMYFUNCTION("""COMPUTED_VALUE"""),3.0)</f>
        <v>3</v>
      </c>
      <c r="D205" s="189">
        <f>IFERROR(__xludf.DUMMYFUNCTION("""COMPUTED_VALUE"""),3.0)</f>
        <v>3</v>
      </c>
      <c r="E205" s="182">
        <v>0.0</v>
      </c>
      <c r="F205" s="182">
        <v>38.0</v>
      </c>
      <c r="G205" s="182">
        <v>35.0</v>
      </c>
      <c r="H205" s="182">
        <v>52.05</v>
      </c>
    </row>
    <row r="206">
      <c r="A206" s="182" t="s">
        <v>189</v>
      </c>
      <c r="B206" s="182" t="s">
        <v>721</v>
      </c>
      <c r="C206" s="189">
        <f>IFERROR(__xludf.DUMMYFUNCTION("""COMPUTED_VALUE"""),2.0)</f>
        <v>2</v>
      </c>
      <c r="D206" s="189">
        <f>IFERROR(__xludf.DUMMYFUNCTION("""COMPUTED_VALUE"""),2.0)</f>
        <v>2</v>
      </c>
      <c r="E206" s="182">
        <v>0.0</v>
      </c>
      <c r="F206" s="182">
        <v>28.0</v>
      </c>
      <c r="G206" s="182">
        <v>31.0</v>
      </c>
      <c r="H206" s="182">
        <v>47.45</v>
      </c>
    </row>
    <row r="207">
      <c r="A207" s="182" t="s">
        <v>189</v>
      </c>
      <c r="B207" s="182" t="s">
        <v>722</v>
      </c>
      <c r="C207" s="189">
        <f>IFERROR(__xludf.DUMMYFUNCTION("""COMPUTED_VALUE"""),1.0)</f>
        <v>1</v>
      </c>
      <c r="D207" s="189">
        <f>IFERROR(__xludf.DUMMYFUNCTION("""COMPUTED_VALUE"""),1.0)</f>
        <v>1</v>
      </c>
      <c r="E207" s="182">
        <v>0.0</v>
      </c>
      <c r="F207" s="182">
        <v>21.0</v>
      </c>
      <c r="G207" s="182">
        <v>22.0</v>
      </c>
      <c r="H207" s="182">
        <v>48.83</v>
      </c>
    </row>
    <row r="208">
      <c r="A208" s="182" t="s">
        <v>189</v>
      </c>
      <c r="B208" s="182" t="s">
        <v>723</v>
      </c>
      <c r="C208" s="189">
        <f>IFERROR(__xludf.DUMMYFUNCTION("""COMPUTED_VALUE"""),4.0)</f>
        <v>4</v>
      </c>
      <c r="D208" s="189">
        <f>IFERROR(__xludf.DUMMYFUNCTION("""COMPUTED_VALUE"""),5.0)</f>
        <v>5</v>
      </c>
      <c r="E208" s="182">
        <v>-1.0</v>
      </c>
      <c r="F208" s="182">
        <v>40.0</v>
      </c>
      <c r="G208" s="182">
        <v>114.0</v>
      </c>
      <c r="H208" s="182">
        <v>25.97</v>
      </c>
    </row>
    <row r="209">
      <c r="A209" s="182" t="s">
        <v>189</v>
      </c>
      <c r="B209" s="182" t="s">
        <v>724</v>
      </c>
      <c r="C209" s="189">
        <f>IFERROR(__xludf.DUMMYFUNCTION("""COMPUTED_VALUE"""),3.0)</f>
        <v>3</v>
      </c>
      <c r="D209" s="189">
        <f>IFERROR(__xludf.DUMMYFUNCTION("""COMPUTED_VALUE"""),4.0)</f>
        <v>4</v>
      </c>
      <c r="E209" s="182">
        <v>-1.0</v>
      </c>
      <c r="F209" s="182">
        <v>25.0</v>
      </c>
      <c r="G209" s="182">
        <v>51.0</v>
      </c>
      <c r="H209" s="182">
        <v>32.89</v>
      </c>
    </row>
    <row r="210">
      <c r="A210" s="182" t="s">
        <v>189</v>
      </c>
      <c r="B210" s="182" t="s">
        <v>725</v>
      </c>
      <c r="C210" s="189">
        <f>IFERROR(__xludf.DUMMYFUNCTION("""COMPUTED_VALUE"""),2.0)</f>
        <v>2</v>
      </c>
      <c r="D210" s="189">
        <f>IFERROR(__xludf.DUMMYFUNCTION("""COMPUTED_VALUE"""),3.0)</f>
        <v>3</v>
      </c>
      <c r="E210" s="182">
        <v>-1.0</v>
      </c>
      <c r="F210" s="182">
        <v>18.0</v>
      </c>
      <c r="G210" s="182">
        <v>49.0</v>
      </c>
      <c r="H210" s="182">
        <v>26.86</v>
      </c>
    </row>
    <row r="211">
      <c r="A211" s="182" t="s">
        <v>189</v>
      </c>
      <c r="B211" s="182" t="s">
        <v>726</v>
      </c>
      <c r="C211" s="189">
        <f>IFERROR(__xludf.DUMMYFUNCTION("""COMPUTED_VALUE"""),1.0)</f>
        <v>1</v>
      </c>
      <c r="D211" s="189">
        <f>IFERROR(__xludf.DUMMYFUNCTION("""COMPUTED_VALUE"""),2.0)</f>
        <v>2</v>
      </c>
      <c r="E211" s="182">
        <v>-1.0</v>
      </c>
      <c r="F211" s="182">
        <v>5.0</v>
      </c>
      <c r="G211" s="182">
        <v>42.0</v>
      </c>
      <c r="H211" s="182">
        <v>10.63</v>
      </c>
    </row>
    <row r="212">
      <c r="A212" s="182" t="s">
        <v>189</v>
      </c>
      <c r="B212" s="182" t="s">
        <v>727</v>
      </c>
      <c r="C212" s="189">
        <f>IFERROR(__xludf.DUMMYFUNCTION("""COMPUTED_VALUE"""),3.0)</f>
        <v>3</v>
      </c>
      <c r="D212" s="189">
        <f>IFERROR(__xludf.DUMMYFUNCTION("""COMPUTED_VALUE"""),5.0)</f>
        <v>5</v>
      </c>
      <c r="E212" s="182">
        <v>-2.0</v>
      </c>
      <c r="F212" s="182">
        <v>7.0</v>
      </c>
      <c r="G212" s="182">
        <v>58.0</v>
      </c>
      <c r="H212" s="182">
        <v>10.76</v>
      </c>
    </row>
    <row r="213">
      <c r="A213" s="182" t="s">
        <v>189</v>
      </c>
      <c r="B213" s="182" t="s">
        <v>728</v>
      </c>
      <c r="C213" s="189">
        <f>IFERROR(__xludf.DUMMYFUNCTION("""COMPUTED_VALUE"""),2.0)</f>
        <v>2</v>
      </c>
      <c r="D213" s="189">
        <f>IFERROR(__xludf.DUMMYFUNCTION("""COMPUTED_VALUE"""),4.0)</f>
        <v>4</v>
      </c>
      <c r="E213" s="182">
        <v>-2.0</v>
      </c>
      <c r="F213" s="182">
        <v>4.0</v>
      </c>
      <c r="G213" s="182">
        <v>40.0</v>
      </c>
      <c r="H213" s="182">
        <v>9.09</v>
      </c>
    </row>
    <row r="214">
      <c r="A214" s="182" t="s">
        <v>189</v>
      </c>
      <c r="B214" s="182" t="s">
        <v>729</v>
      </c>
      <c r="C214" s="189">
        <f>IFERROR(__xludf.DUMMYFUNCTION("""COMPUTED_VALUE"""),1.0)</f>
        <v>1</v>
      </c>
      <c r="D214" s="189">
        <f>IFERROR(__xludf.DUMMYFUNCTION("""COMPUTED_VALUE"""),3.0)</f>
        <v>3</v>
      </c>
      <c r="E214" s="182">
        <v>-2.0</v>
      </c>
      <c r="F214" s="182">
        <v>1.0</v>
      </c>
      <c r="G214" s="182">
        <v>32.0</v>
      </c>
      <c r="H214" s="182">
        <v>3.03</v>
      </c>
    </row>
    <row r="215">
      <c r="A215" s="182" t="s">
        <v>189</v>
      </c>
      <c r="B215" s="182" t="s">
        <v>730</v>
      </c>
      <c r="C215" s="189">
        <f>IFERROR(__xludf.DUMMYFUNCTION("""COMPUTED_VALUE"""),2.0)</f>
        <v>2</v>
      </c>
      <c r="D215" s="189">
        <f>IFERROR(__xludf.DUMMYFUNCTION("""COMPUTED_VALUE"""),5.0)</f>
        <v>5</v>
      </c>
      <c r="E215" s="182">
        <v>-3.0</v>
      </c>
      <c r="F215" s="182">
        <v>0.0</v>
      </c>
      <c r="G215" s="182">
        <v>33.0</v>
      </c>
      <c r="H215" s="182">
        <v>0.0</v>
      </c>
    </row>
    <row r="216">
      <c r="A216" s="182" t="s">
        <v>189</v>
      </c>
      <c r="B216" s="182" t="s">
        <v>731</v>
      </c>
      <c r="C216" s="189">
        <f>IFERROR(__xludf.DUMMYFUNCTION("""COMPUTED_VALUE"""),1.0)</f>
        <v>1</v>
      </c>
      <c r="D216" s="189">
        <f>IFERROR(__xludf.DUMMYFUNCTION("""COMPUTED_VALUE"""),4.0)</f>
        <v>4</v>
      </c>
      <c r="E216" s="182">
        <v>-3.0</v>
      </c>
      <c r="F216" s="182">
        <v>0.0</v>
      </c>
      <c r="G216" s="182">
        <v>26.0</v>
      </c>
      <c r="H216" s="182">
        <v>0.0</v>
      </c>
    </row>
    <row r="217">
      <c r="A217" s="182" t="s">
        <v>189</v>
      </c>
      <c r="B217" s="182" t="s">
        <v>732</v>
      </c>
      <c r="C217" s="189">
        <f>IFERROR(__xludf.DUMMYFUNCTION("""COMPUTED_VALUE"""),1.0)</f>
        <v>1</v>
      </c>
      <c r="D217" s="189">
        <f>IFERROR(__xludf.DUMMYFUNCTION("""COMPUTED_VALUE"""),5.0)</f>
        <v>5</v>
      </c>
      <c r="E217" s="182">
        <v>-4.0</v>
      </c>
      <c r="F217" s="182">
        <v>0.0</v>
      </c>
      <c r="G217" s="182">
        <v>20.0</v>
      </c>
      <c r="H217" s="182">
        <v>0.0</v>
      </c>
    </row>
    <row r="218">
      <c r="A218" s="182" t="s">
        <v>180</v>
      </c>
      <c r="B218" s="182" t="s">
        <v>705</v>
      </c>
      <c r="C218" s="189">
        <f>IFERROR(__xludf.DUMMYFUNCTION("""COMPUTED_VALUE"""),5.0)</f>
        <v>5</v>
      </c>
      <c r="D218" s="189">
        <f>IFERROR(__xludf.DUMMYFUNCTION("""COMPUTED_VALUE"""),1.0)</f>
        <v>1</v>
      </c>
      <c r="E218" s="182" t="s">
        <v>706</v>
      </c>
      <c r="F218" s="182">
        <v>30.0</v>
      </c>
      <c r="G218" s="182">
        <v>0.0</v>
      </c>
      <c r="H218" s="182">
        <v>100.0</v>
      </c>
    </row>
    <row r="219">
      <c r="A219" s="182" t="s">
        <v>180</v>
      </c>
      <c r="B219" s="182" t="s">
        <v>707</v>
      </c>
      <c r="C219" s="189">
        <f>IFERROR(__xludf.DUMMYFUNCTION("""COMPUTED_VALUE"""),5.0)</f>
        <v>5</v>
      </c>
      <c r="D219" s="189">
        <f>IFERROR(__xludf.DUMMYFUNCTION("""COMPUTED_VALUE"""),2.0)</f>
        <v>2</v>
      </c>
      <c r="E219" s="182" t="s">
        <v>708</v>
      </c>
      <c r="F219" s="182">
        <v>39.0</v>
      </c>
      <c r="G219" s="182">
        <v>1.0</v>
      </c>
      <c r="H219" s="182">
        <v>97.5</v>
      </c>
    </row>
    <row r="220">
      <c r="A220" s="182" t="s">
        <v>180</v>
      </c>
      <c r="B220" s="182" t="s">
        <v>709</v>
      </c>
      <c r="C220" s="189">
        <f>IFERROR(__xludf.DUMMYFUNCTION("""COMPUTED_VALUE"""),4.0)</f>
        <v>4</v>
      </c>
      <c r="D220" s="189">
        <f>IFERROR(__xludf.DUMMYFUNCTION("""COMPUTED_VALUE"""),1.0)</f>
        <v>1</v>
      </c>
      <c r="E220" s="182" t="s">
        <v>708</v>
      </c>
      <c r="F220" s="182">
        <v>68.0</v>
      </c>
      <c r="G220" s="182">
        <v>0.0</v>
      </c>
      <c r="H220" s="182">
        <v>100.0</v>
      </c>
    </row>
    <row r="221">
      <c r="A221" s="182" t="s">
        <v>180</v>
      </c>
      <c r="B221" s="182" t="s">
        <v>710</v>
      </c>
      <c r="C221" s="189">
        <f>IFERROR(__xludf.DUMMYFUNCTION("""COMPUTED_VALUE"""),5.0)</f>
        <v>5</v>
      </c>
      <c r="D221" s="189">
        <f>IFERROR(__xludf.DUMMYFUNCTION("""COMPUTED_VALUE"""),3.0)</f>
        <v>3</v>
      </c>
      <c r="E221" s="182" t="s">
        <v>711</v>
      </c>
      <c r="F221" s="182">
        <v>76.0</v>
      </c>
      <c r="G221" s="182">
        <v>7.0</v>
      </c>
      <c r="H221" s="182">
        <v>91.56</v>
      </c>
    </row>
    <row r="222">
      <c r="A222" s="182" t="s">
        <v>180</v>
      </c>
      <c r="B222" s="182" t="s">
        <v>712</v>
      </c>
      <c r="C222" s="189">
        <f>IFERROR(__xludf.DUMMYFUNCTION("""COMPUTED_VALUE"""),4.0)</f>
        <v>4</v>
      </c>
      <c r="D222" s="189">
        <f>IFERROR(__xludf.DUMMYFUNCTION("""COMPUTED_VALUE"""),2.0)</f>
        <v>2</v>
      </c>
      <c r="E222" s="182" t="s">
        <v>711</v>
      </c>
      <c r="F222" s="182">
        <v>76.0</v>
      </c>
      <c r="G222" s="182">
        <v>2.0</v>
      </c>
      <c r="H222" s="182">
        <v>97.43</v>
      </c>
    </row>
    <row r="223">
      <c r="A223" s="182" t="s">
        <v>180</v>
      </c>
      <c r="B223" s="182" t="s">
        <v>713</v>
      </c>
      <c r="C223" s="189">
        <f>IFERROR(__xludf.DUMMYFUNCTION("""COMPUTED_VALUE"""),3.0)</f>
        <v>3</v>
      </c>
      <c r="D223" s="189">
        <f>IFERROR(__xludf.DUMMYFUNCTION("""COMPUTED_VALUE"""),1.0)</f>
        <v>1</v>
      </c>
      <c r="E223" s="182" t="s">
        <v>711</v>
      </c>
      <c r="F223" s="182">
        <v>59.0</v>
      </c>
      <c r="G223" s="182">
        <v>0.0</v>
      </c>
      <c r="H223" s="182">
        <v>100.0</v>
      </c>
    </row>
    <row r="224">
      <c r="A224" s="182" t="s">
        <v>180</v>
      </c>
      <c r="B224" s="182" t="s">
        <v>714</v>
      </c>
      <c r="C224" s="189">
        <f>IFERROR(__xludf.DUMMYFUNCTION("""COMPUTED_VALUE"""),5.0)</f>
        <v>5</v>
      </c>
      <c r="D224" s="189">
        <f>IFERROR(__xludf.DUMMYFUNCTION("""COMPUTED_VALUE"""),4.0)</f>
        <v>4</v>
      </c>
      <c r="E224" s="182" t="s">
        <v>715</v>
      </c>
      <c r="F224" s="182">
        <v>149.0</v>
      </c>
      <c r="G224" s="182">
        <v>56.0</v>
      </c>
      <c r="H224" s="182">
        <v>72.68</v>
      </c>
    </row>
    <row r="225">
      <c r="A225" s="182" t="s">
        <v>180</v>
      </c>
      <c r="B225" s="182" t="s">
        <v>716</v>
      </c>
      <c r="C225" s="189">
        <f>IFERROR(__xludf.DUMMYFUNCTION("""COMPUTED_VALUE"""),4.0)</f>
        <v>4</v>
      </c>
      <c r="D225" s="189">
        <f>IFERROR(__xludf.DUMMYFUNCTION("""COMPUTED_VALUE"""),3.0)</f>
        <v>3</v>
      </c>
      <c r="E225" s="182" t="s">
        <v>715</v>
      </c>
      <c r="F225" s="182">
        <v>85.0</v>
      </c>
      <c r="G225" s="182">
        <v>25.0</v>
      </c>
      <c r="H225" s="182">
        <v>77.27</v>
      </c>
    </row>
    <row r="226">
      <c r="A226" s="182" t="s">
        <v>180</v>
      </c>
      <c r="B226" s="182" t="s">
        <v>717</v>
      </c>
      <c r="C226" s="189">
        <f>IFERROR(__xludf.DUMMYFUNCTION("""COMPUTED_VALUE"""),3.0)</f>
        <v>3</v>
      </c>
      <c r="D226" s="189">
        <f>IFERROR(__xludf.DUMMYFUNCTION("""COMPUTED_VALUE"""),2.0)</f>
        <v>2</v>
      </c>
      <c r="E226" s="182" t="s">
        <v>715</v>
      </c>
      <c r="F226" s="182">
        <v>55.0</v>
      </c>
      <c r="G226" s="182">
        <v>11.0</v>
      </c>
      <c r="H226" s="182">
        <v>83.33</v>
      </c>
    </row>
    <row r="227">
      <c r="A227" s="182" t="s">
        <v>180</v>
      </c>
      <c r="B227" s="182" t="s">
        <v>718</v>
      </c>
      <c r="C227" s="189">
        <f>IFERROR(__xludf.DUMMYFUNCTION("""COMPUTED_VALUE"""),2.0)</f>
        <v>2</v>
      </c>
      <c r="D227" s="189">
        <f>IFERROR(__xludf.DUMMYFUNCTION("""COMPUTED_VALUE"""),1.0)</f>
        <v>1</v>
      </c>
      <c r="E227" s="182" t="s">
        <v>715</v>
      </c>
      <c r="F227" s="182">
        <v>53.0</v>
      </c>
      <c r="G227" s="182">
        <v>4.0</v>
      </c>
      <c r="H227" s="182">
        <v>92.98</v>
      </c>
    </row>
    <row r="228">
      <c r="A228" s="182" t="s">
        <v>180</v>
      </c>
      <c r="B228" s="182" t="s">
        <v>719</v>
      </c>
      <c r="C228" s="189">
        <f>IFERROR(__xludf.DUMMYFUNCTION("""COMPUTED_VALUE"""),4.0)</f>
        <v>4</v>
      </c>
      <c r="D228" s="189">
        <f>IFERROR(__xludf.DUMMYFUNCTION("""COMPUTED_VALUE"""),4.0)</f>
        <v>4</v>
      </c>
      <c r="E228" s="182">
        <v>0.0</v>
      </c>
      <c r="F228" s="182">
        <v>73.0</v>
      </c>
      <c r="G228" s="182">
        <v>69.0</v>
      </c>
      <c r="H228" s="182">
        <v>51.4</v>
      </c>
    </row>
    <row r="229">
      <c r="A229" s="182" t="s">
        <v>180</v>
      </c>
      <c r="B229" s="182" t="s">
        <v>720</v>
      </c>
      <c r="C229" s="189">
        <f>IFERROR(__xludf.DUMMYFUNCTION("""COMPUTED_VALUE"""),3.0)</f>
        <v>3</v>
      </c>
      <c r="D229" s="189">
        <f>IFERROR(__xludf.DUMMYFUNCTION("""COMPUTED_VALUE"""),3.0)</f>
        <v>3</v>
      </c>
      <c r="E229" s="182">
        <v>0.0</v>
      </c>
      <c r="F229" s="182">
        <v>40.0</v>
      </c>
      <c r="G229" s="182">
        <v>48.0</v>
      </c>
      <c r="H229" s="182">
        <v>45.45</v>
      </c>
    </row>
    <row r="230">
      <c r="A230" s="182" t="s">
        <v>180</v>
      </c>
      <c r="B230" s="182" t="s">
        <v>721</v>
      </c>
      <c r="C230" s="189">
        <f>IFERROR(__xludf.DUMMYFUNCTION("""COMPUTED_VALUE"""),2.0)</f>
        <v>2</v>
      </c>
      <c r="D230" s="189">
        <f>IFERROR(__xludf.DUMMYFUNCTION("""COMPUTED_VALUE"""),2.0)</f>
        <v>2</v>
      </c>
      <c r="E230" s="182">
        <v>0.0</v>
      </c>
      <c r="F230" s="182">
        <v>32.0</v>
      </c>
      <c r="G230" s="182">
        <v>30.0</v>
      </c>
      <c r="H230" s="182">
        <v>51.61</v>
      </c>
    </row>
    <row r="231">
      <c r="A231" s="182" t="s">
        <v>180</v>
      </c>
      <c r="B231" s="182" t="s">
        <v>722</v>
      </c>
      <c r="C231" s="189">
        <f>IFERROR(__xludf.DUMMYFUNCTION("""COMPUTED_VALUE"""),1.0)</f>
        <v>1</v>
      </c>
      <c r="D231" s="189">
        <f>IFERROR(__xludf.DUMMYFUNCTION("""COMPUTED_VALUE"""),1.0)</f>
        <v>1</v>
      </c>
      <c r="E231" s="182">
        <v>0.0</v>
      </c>
      <c r="F231" s="182">
        <v>25.0</v>
      </c>
      <c r="G231" s="182">
        <v>25.0</v>
      </c>
      <c r="H231" s="182">
        <v>50.0</v>
      </c>
    </row>
    <row r="232">
      <c r="A232" s="182" t="s">
        <v>180</v>
      </c>
      <c r="B232" s="182" t="s">
        <v>723</v>
      </c>
      <c r="C232" s="189">
        <f>IFERROR(__xludf.DUMMYFUNCTION("""COMPUTED_VALUE"""),4.0)</f>
        <v>4</v>
      </c>
      <c r="D232" s="189">
        <f>IFERROR(__xludf.DUMMYFUNCTION("""COMPUTED_VALUE"""),5.0)</f>
        <v>5</v>
      </c>
      <c r="E232" s="182">
        <v>-1.0</v>
      </c>
      <c r="F232" s="182">
        <v>45.0</v>
      </c>
      <c r="G232" s="182">
        <v>80.0</v>
      </c>
      <c r="H232" s="182">
        <v>36.0</v>
      </c>
    </row>
    <row r="233">
      <c r="A233" s="182" t="s">
        <v>180</v>
      </c>
      <c r="B233" s="182" t="s">
        <v>724</v>
      </c>
      <c r="C233" s="189">
        <f>IFERROR(__xludf.DUMMYFUNCTION("""COMPUTED_VALUE"""),3.0)</f>
        <v>3</v>
      </c>
      <c r="D233" s="189">
        <f>IFERROR(__xludf.DUMMYFUNCTION("""COMPUTED_VALUE"""),4.0)</f>
        <v>4</v>
      </c>
      <c r="E233" s="182">
        <v>-1.0</v>
      </c>
      <c r="F233" s="182">
        <v>25.0</v>
      </c>
      <c r="G233" s="182">
        <v>58.0</v>
      </c>
      <c r="H233" s="182">
        <v>30.12</v>
      </c>
    </row>
    <row r="234">
      <c r="A234" s="182" t="s">
        <v>180</v>
      </c>
      <c r="B234" s="182" t="s">
        <v>725</v>
      </c>
      <c r="C234" s="189">
        <f>IFERROR(__xludf.DUMMYFUNCTION("""COMPUTED_VALUE"""),2.0)</f>
        <v>2</v>
      </c>
      <c r="D234" s="189">
        <f>IFERROR(__xludf.DUMMYFUNCTION("""COMPUTED_VALUE"""),3.0)</f>
        <v>3</v>
      </c>
      <c r="E234" s="182">
        <v>-1.0</v>
      </c>
      <c r="F234" s="182">
        <v>18.0</v>
      </c>
      <c r="G234" s="182">
        <v>49.0</v>
      </c>
      <c r="H234" s="182">
        <v>26.86</v>
      </c>
    </row>
    <row r="235">
      <c r="A235" s="182" t="s">
        <v>180</v>
      </c>
      <c r="B235" s="182" t="s">
        <v>726</v>
      </c>
      <c r="C235" s="189">
        <f>IFERROR(__xludf.DUMMYFUNCTION("""COMPUTED_VALUE"""),1.0)</f>
        <v>1</v>
      </c>
      <c r="D235" s="189">
        <f>IFERROR(__xludf.DUMMYFUNCTION("""COMPUTED_VALUE"""),2.0)</f>
        <v>2</v>
      </c>
      <c r="E235" s="182">
        <v>-1.0</v>
      </c>
      <c r="F235" s="182">
        <v>7.0</v>
      </c>
      <c r="G235" s="182">
        <v>43.0</v>
      </c>
      <c r="H235" s="182">
        <v>14.0</v>
      </c>
    </row>
    <row r="236">
      <c r="A236" s="182" t="s">
        <v>180</v>
      </c>
      <c r="B236" s="182" t="s">
        <v>727</v>
      </c>
      <c r="C236" s="189">
        <f>IFERROR(__xludf.DUMMYFUNCTION("""COMPUTED_VALUE"""),3.0)</f>
        <v>3</v>
      </c>
      <c r="D236" s="189">
        <f>IFERROR(__xludf.DUMMYFUNCTION("""COMPUTED_VALUE"""),5.0)</f>
        <v>5</v>
      </c>
      <c r="E236" s="182">
        <v>-2.0</v>
      </c>
      <c r="F236" s="182">
        <v>13.0</v>
      </c>
      <c r="G236" s="182">
        <v>40.0</v>
      </c>
      <c r="H236" s="182">
        <v>24.52</v>
      </c>
    </row>
    <row r="237">
      <c r="A237" s="182" t="s">
        <v>180</v>
      </c>
      <c r="B237" s="182" t="s">
        <v>728</v>
      </c>
      <c r="C237" s="189">
        <f>IFERROR(__xludf.DUMMYFUNCTION("""COMPUTED_VALUE"""),2.0)</f>
        <v>2</v>
      </c>
      <c r="D237" s="189">
        <f>IFERROR(__xludf.DUMMYFUNCTION("""COMPUTED_VALUE"""),4.0)</f>
        <v>4</v>
      </c>
      <c r="E237" s="182">
        <v>-2.0</v>
      </c>
      <c r="F237" s="182">
        <v>6.0</v>
      </c>
      <c r="G237" s="182">
        <v>56.0</v>
      </c>
      <c r="H237" s="182">
        <v>9.67</v>
      </c>
    </row>
    <row r="238">
      <c r="A238" s="182" t="s">
        <v>180</v>
      </c>
      <c r="B238" s="182" t="s">
        <v>729</v>
      </c>
      <c r="C238" s="189">
        <f>IFERROR(__xludf.DUMMYFUNCTION("""COMPUTED_VALUE"""),1.0)</f>
        <v>1</v>
      </c>
      <c r="D238" s="189">
        <f>IFERROR(__xludf.DUMMYFUNCTION("""COMPUTED_VALUE"""),3.0)</f>
        <v>3</v>
      </c>
      <c r="E238" s="182">
        <v>-2.0</v>
      </c>
      <c r="F238" s="182">
        <v>4.0</v>
      </c>
      <c r="G238" s="182">
        <v>37.0</v>
      </c>
      <c r="H238" s="182">
        <v>9.75</v>
      </c>
    </row>
    <row r="239">
      <c r="A239" s="182" t="s">
        <v>180</v>
      </c>
      <c r="B239" s="182" t="s">
        <v>730</v>
      </c>
      <c r="C239" s="189">
        <f>IFERROR(__xludf.DUMMYFUNCTION("""COMPUTED_VALUE"""),2.0)</f>
        <v>2</v>
      </c>
      <c r="D239" s="189">
        <f>IFERROR(__xludf.DUMMYFUNCTION("""COMPUTED_VALUE"""),5.0)</f>
        <v>5</v>
      </c>
      <c r="E239" s="182">
        <v>-3.0</v>
      </c>
      <c r="F239" s="182">
        <v>0.0</v>
      </c>
      <c r="G239" s="182">
        <v>18.0</v>
      </c>
      <c r="H239" s="182">
        <v>0.0</v>
      </c>
    </row>
    <row r="240">
      <c r="A240" s="182" t="s">
        <v>180</v>
      </c>
      <c r="B240" s="182" t="s">
        <v>731</v>
      </c>
      <c r="C240" s="189">
        <f>IFERROR(__xludf.DUMMYFUNCTION("""COMPUTED_VALUE"""),1.0)</f>
        <v>1</v>
      </c>
      <c r="D240" s="189">
        <f>IFERROR(__xludf.DUMMYFUNCTION("""COMPUTED_VALUE"""),4.0)</f>
        <v>4</v>
      </c>
      <c r="E240" s="182">
        <v>-3.0</v>
      </c>
      <c r="F240" s="182">
        <v>1.0</v>
      </c>
      <c r="G240" s="182">
        <v>43.0</v>
      </c>
      <c r="H240" s="182">
        <v>2.27</v>
      </c>
    </row>
    <row r="241">
      <c r="A241" s="182" t="s">
        <v>180</v>
      </c>
      <c r="B241" s="182" t="s">
        <v>732</v>
      </c>
      <c r="C241" s="189">
        <f>IFERROR(__xludf.DUMMYFUNCTION("""COMPUTED_VALUE"""),1.0)</f>
        <v>1</v>
      </c>
      <c r="D241" s="189">
        <f>IFERROR(__xludf.DUMMYFUNCTION("""COMPUTED_VALUE"""),5.0)</f>
        <v>5</v>
      </c>
      <c r="E241" s="182">
        <v>-4.0</v>
      </c>
      <c r="F241" s="182">
        <v>0.0</v>
      </c>
      <c r="G241" s="182">
        <v>16.0</v>
      </c>
      <c r="H241" s="182">
        <v>0.0</v>
      </c>
    </row>
    <row r="242">
      <c r="A242" s="182" t="s">
        <v>1</v>
      </c>
      <c r="B242" s="182" t="s">
        <v>705</v>
      </c>
      <c r="C242" s="189">
        <f>IFERROR(__xludf.DUMMYFUNCTION("""COMPUTED_VALUE"""),5.0)</f>
        <v>5</v>
      </c>
      <c r="D242" s="189">
        <f>IFERROR(__xludf.DUMMYFUNCTION("""COMPUTED_VALUE"""),1.0)</f>
        <v>1</v>
      </c>
      <c r="E242" s="182" t="s">
        <v>706</v>
      </c>
      <c r="F242" s="182">
        <v>28.0</v>
      </c>
      <c r="G242" s="182">
        <v>0.0</v>
      </c>
      <c r="H242" s="182">
        <v>100.0</v>
      </c>
    </row>
    <row r="243">
      <c r="A243" s="182" t="s">
        <v>1</v>
      </c>
      <c r="B243" s="182" t="s">
        <v>707</v>
      </c>
      <c r="C243" s="189">
        <f>IFERROR(__xludf.DUMMYFUNCTION("""COMPUTED_VALUE"""),5.0)</f>
        <v>5</v>
      </c>
      <c r="D243" s="189">
        <f>IFERROR(__xludf.DUMMYFUNCTION("""COMPUTED_VALUE"""),2.0)</f>
        <v>2</v>
      </c>
      <c r="E243" s="182" t="s">
        <v>708</v>
      </c>
      <c r="F243" s="182">
        <v>38.0</v>
      </c>
      <c r="G243" s="182">
        <v>0.0</v>
      </c>
      <c r="H243" s="182">
        <v>100.0</v>
      </c>
    </row>
    <row r="244">
      <c r="A244" s="182" t="s">
        <v>1</v>
      </c>
      <c r="B244" s="182" t="s">
        <v>709</v>
      </c>
      <c r="C244" s="189">
        <f>IFERROR(__xludf.DUMMYFUNCTION("""COMPUTED_VALUE"""),4.0)</f>
        <v>4</v>
      </c>
      <c r="D244" s="189">
        <f>IFERROR(__xludf.DUMMYFUNCTION("""COMPUTED_VALUE"""),1.0)</f>
        <v>1</v>
      </c>
      <c r="E244" s="182" t="s">
        <v>708</v>
      </c>
      <c r="F244" s="182">
        <v>60.0</v>
      </c>
      <c r="G244" s="182">
        <v>0.0</v>
      </c>
      <c r="H244" s="182">
        <v>100.0</v>
      </c>
    </row>
    <row r="245">
      <c r="A245" s="182" t="s">
        <v>1</v>
      </c>
      <c r="B245" s="182" t="s">
        <v>710</v>
      </c>
      <c r="C245" s="189">
        <f>IFERROR(__xludf.DUMMYFUNCTION("""COMPUTED_VALUE"""),5.0)</f>
        <v>5</v>
      </c>
      <c r="D245" s="189">
        <f>IFERROR(__xludf.DUMMYFUNCTION("""COMPUTED_VALUE"""),3.0)</f>
        <v>3</v>
      </c>
      <c r="E245" s="182" t="s">
        <v>711</v>
      </c>
      <c r="F245" s="182">
        <v>88.0</v>
      </c>
      <c r="G245" s="182">
        <v>2.0</v>
      </c>
      <c r="H245" s="182">
        <v>97.77</v>
      </c>
    </row>
    <row r="246">
      <c r="A246" s="182" t="s">
        <v>1</v>
      </c>
      <c r="B246" s="182" t="s">
        <v>712</v>
      </c>
      <c r="C246" s="189">
        <f>IFERROR(__xludf.DUMMYFUNCTION("""COMPUTED_VALUE"""),4.0)</f>
        <v>4</v>
      </c>
      <c r="D246" s="189">
        <f>IFERROR(__xludf.DUMMYFUNCTION("""COMPUTED_VALUE"""),2.0)</f>
        <v>2</v>
      </c>
      <c r="E246" s="182" t="s">
        <v>711</v>
      </c>
      <c r="F246" s="182">
        <v>73.0</v>
      </c>
      <c r="G246" s="182">
        <v>1.0</v>
      </c>
      <c r="H246" s="182">
        <v>98.64</v>
      </c>
    </row>
    <row r="247">
      <c r="A247" s="182" t="s">
        <v>1</v>
      </c>
      <c r="B247" s="182" t="s">
        <v>713</v>
      </c>
      <c r="C247" s="189">
        <f>IFERROR(__xludf.DUMMYFUNCTION("""COMPUTED_VALUE"""),3.0)</f>
        <v>3</v>
      </c>
      <c r="D247" s="189">
        <f>IFERROR(__xludf.DUMMYFUNCTION("""COMPUTED_VALUE"""),1.0)</f>
        <v>1</v>
      </c>
      <c r="E247" s="182" t="s">
        <v>711</v>
      </c>
      <c r="F247" s="182">
        <v>72.0</v>
      </c>
      <c r="G247" s="182">
        <v>1.0</v>
      </c>
      <c r="H247" s="182">
        <v>98.63</v>
      </c>
    </row>
    <row r="248">
      <c r="A248" s="182" t="s">
        <v>1</v>
      </c>
      <c r="B248" s="182" t="s">
        <v>714</v>
      </c>
      <c r="C248" s="189">
        <f>IFERROR(__xludf.DUMMYFUNCTION("""COMPUTED_VALUE"""),5.0)</f>
        <v>5</v>
      </c>
      <c r="D248" s="189">
        <f>IFERROR(__xludf.DUMMYFUNCTION("""COMPUTED_VALUE"""),4.0)</f>
        <v>4</v>
      </c>
      <c r="E248" s="182" t="s">
        <v>715</v>
      </c>
      <c r="F248" s="182">
        <v>147.0</v>
      </c>
      <c r="G248" s="182">
        <v>39.0</v>
      </c>
      <c r="H248" s="182">
        <v>79.03</v>
      </c>
    </row>
    <row r="249">
      <c r="A249" s="182" t="s">
        <v>1</v>
      </c>
      <c r="B249" s="182" t="s">
        <v>716</v>
      </c>
      <c r="C249" s="189">
        <f>IFERROR(__xludf.DUMMYFUNCTION("""COMPUTED_VALUE"""),4.0)</f>
        <v>4</v>
      </c>
      <c r="D249" s="189">
        <f>IFERROR(__xludf.DUMMYFUNCTION("""COMPUTED_VALUE"""),3.0)</f>
        <v>3</v>
      </c>
      <c r="E249" s="182" t="s">
        <v>715</v>
      </c>
      <c r="F249" s="182">
        <v>75.0</v>
      </c>
      <c r="G249" s="182">
        <v>17.0</v>
      </c>
      <c r="H249" s="182">
        <v>81.52</v>
      </c>
    </row>
    <row r="250">
      <c r="A250" s="182" t="s">
        <v>1</v>
      </c>
      <c r="B250" s="182" t="s">
        <v>717</v>
      </c>
      <c r="C250" s="189">
        <f>IFERROR(__xludf.DUMMYFUNCTION("""COMPUTED_VALUE"""),3.0)</f>
        <v>3</v>
      </c>
      <c r="D250" s="189">
        <f>IFERROR(__xludf.DUMMYFUNCTION("""COMPUTED_VALUE"""),2.0)</f>
        <v>2</v>
      </c>
      <c r="E250" s="182" t="s">
        <v>715</v>
      </c>
      <c r="F250" s="182">
        <v>56.0</v>
      </c>
      <c r="G250" s="182">
        <v>9.0</v>
      </c>
      <c r="H250" s="182">
        <v>86.15</v>
      </c>
    </row>
    <row r="251">
      <c r="A251" s="182" t="s">
        <v>1</v>
      </c>
      <c r="B251" s="182" t="s">
        <v>718</v>
      </c>
      <c r="C251" s="189">
        <f>IFERROR(__xludf.DUMMYFUNCTION("""COMPUTED_VALUE"""),2.0)</f>
        <v>2</v>
      </c>
      <c r="D251" s="189">
        <f>IFERROR(__xludf.DUMMYFUNCTION("""COMPUTED_VALUE"""),1.0)</f>
        <v>1</v>
      </c>
      <c r="E251" s="182" t="s">
        <v>715</v>
      </c>
      <c r="F251" s="182">
        <v>52.0</v>
      </c>
      <c r="G251" s="182">
        <v>8.0</v>
      </c>
      <c r="H251" s="182">
        <v>86.66</v>
      </c>
    </row>
    <row r="252">
      <c r="A252" s="182" t="s">
        <v>1</v>
      </c>
      <c r="B252" s="182" t="s">
        <v>719</v>
      </c>
      <c r="C252" s="189">
        <f>IFERROR(__xludf.DUMMYFUNCTION("""COMPUTED_VALUE"""),4.0)</f>
        <v>4</v>
      </c>
      <c r="D252" s="189">
        <f>IFERROR(__xludf.DUMMYFUNCTION("""COMPUTED_VALUE"""),4.0)</f>
        <v>4</v>
      </c>
      <c r="E252" s="182">
        <v>0.0</v>
      </c>
      <c r="F252" s="182">
        <v>84.0</v>
      </c>
      <c r="G252" s="182">
        <v>72.0</v>
      </c>
      <c r="H252" s="182">
        <v>53.84</v>
      </c>
    </row>
    <row r="253">
      <c r="A253" s="182" t="s">
        <v>1</v>
      </c>
      <c r="B253" s="182" t="s">
        <v>720</v>
      </c>
      <c r="C253" s="189">
        <f>IFERROR(__xludf.DUMMYFUNCTION("""COMPUTED_VALUE"""),3.0)</f>
        <v>3</v>
      </c>
      <c r="D253" s="189">
        <f>IFERROR(__xludf.DUMMYFUNCTION("""COMPUTED_VALUE"""),3.0)</f>
        <v>3</v>
      </c>
      <c r="E253" s="182">
        <v>0.0</v>
      </c>
      <c r="F253" s="182">
        <v>50.0</v>
      </c>
      <c r="G253" s="182">
        <v>51.0</v>
      </c>
      <c r="H253" s="182">
        <v>49.5</v>
      </c>
    </row>
    <row r="254">
      <c r="A254" s="182" t="s">
        <v>1</v>
      </c>
      <c r="B254" s="182" t="s">
        <v>721</v>
      </c>
      <c r="C254" s="189">
        <f>IFERROR(__xludf.DUMMYFUNCTION("""COMPUTED_VALUE"""),2.0)</f>
        <v>2</v>
      </c>
      <c r="D254" s="189">
        <f>IFERROR(__xludf.DUMMYFUNCTION("""COMPUTED_VALUE"""),2.0)</f>
        <v>2</v>
      </c>
      <c r="E254" s="182">
        <v>0.0</v>
      </c>
      <c r="F254" s="182">
        <v>35.0</v>
      </c>
      <c r="G254" s="182">
        <v>38.0</v>
      </c>
      <c r="H254" s="182">
        <v>47.94</v>
      </c>
    </row>
    <row r="255">
      <c r="A255" s="182" t="s">
        <v>1</v>
      </c>
      <c r="B255" s="182" t="s">
        <v>722</v>
      </c>
      <c r="C255" s="189">
        <f>IFERROR(__xludf.DUMMYFUNCTION("""COMPUTED_VALUE"""),1.0)</f>
        <v>1</v>
      </c>
      <c r="D255" s="189">
        <f>IFERROR(__xludf.DUMMYFUNCTION("""COMPUTED_VALUE"""),1.0)</f>
        <v>1</v>
      </c>
      <c r="E255" s="182">
        <v>0.0</v>
      </c>
      <c r="F255" s="182">
        <v>21.0</v>
      </c>
      <c r="G255" s="182">
        <v>21.0</v>
      </c>
      <c r="H255" s="182">
        <v>50.0</v>
      </c>
    </row>
    <row r="256">
      <c r="A256" s="182" t="s">
        <v>1</v>
      </c>
      <c r="B256" s="182" t="s">
        <v>723</v>
      </c>
      <c r="C256" s="189">
        <f>IFERROR(__xludf.DUMMYFUNCTION("""COMPUTED_VALUE"""),4.0)</f>
        <v>4</v>
      </c>
      <c r="D256" s="189">
        <f>IFERROR(__xludf.DUMMYFUNCTION("""COMPUTED_VALUE"""),5.0)</f>
        <v>5</v>
      </c>
      <c r="E256" s="182">
        <v>-1.0</v>
      </c>
      <c r="F256" s="182">
        <v>61.0</v>
      </c>
      <c r="G256" s="182">
        <v>120.0</v>
      </c>
      <c r="H256" s="182">
        <v>33.7</v>
      </c>
    </row>
    <row r="257">
      <c r="A257" s="182" t="s">
        <v>1</v>
      </c>
      <c r="B257" s="182" t="s">
        <v>724</v>
      </c>
      <c r="C257" s="189">
        <f>IFERROR(__xludf.DUMMYFUNCTION("""COMPUTED_VALUE"""),3.0)</f>
        <v>3</v>
      </c>
      <c r="D257" s="189">
        <f>IFERROR(__xludf.DUMMYFUNCTION("""COMPUTED_VALUE"""),4.0)</f>
        <v>4</v>
      </c>
      <c r="E257" s="182">
        <v>-1.0</v>
      </c>
      <c r="F257" s="182">
        <v>21.0</v>
      </c>
      <c r="G257" s="182">
        <v>80.0</v>
      </c>
      <c r="H257" s="182">
        <v>20.79</v>
      </c>
    </row>
    <row r="258">
      <c r="A258" s="182" t="s">
        <v>1</v>
      </c>
      <c r="B258" s="182" t="s">
        <v>725</v>
      </c>
      <c r="C258" s="189">
        <f>IFERROR(__xludf.DUMMYFUNCTION("""COMPUTED_VALUE"""),2.0)</f>
        <v>2</v>
      </c>
      <c r="D258" s="189">
        <f>IFERROR(__xludf.DUMMYFUNCTION("""COMPUTED_VALUE"""),3.0)</f>
        <v>3</v>
      </c>
      <c r="E258" s="182">
        <v>-1.0</v>
      </c>
      <c r="F258" s="182">
        <v>17.0</v>
      </c>
      <c r="G258" s="182">
        <v>64.0</v>
      </c>
      <c r="H258" s="182">
        <v>20.98</v>
      </c>
    </row>
    <row r="259">
      <c r="A259" s="182" t="s">
        <v>1</v>
      </c>
      <c r="B259" s="182" t="s">
        <v>726</v>
      </c>
      <c r="C259" s="189">
        <f>IFERROR(__xludf.DUMMYFUNCTION("""COMPUTED_VALUE"""),1.0)</f>
        <v>1</v>
      </c>
      <c r="D259" s="189">
        <f>IFERROR(__xludf.DUMMYFUNCTION("""COMPUTED_VALUE"""),2.0)</f>
        <v>2</v>
      </c>
      <c r="E259" s="182">
        <v>-1.0</v>
      </c>
      <c r="F259" s="182">
        <v>4.0</v>
      </c>
      <c r="G259" s="182">
        <v>54.0</v>
      </c>
      <c r="H259" s="182">
        <v>6.89</v>
      </c>
    </row>
    <row r="260">
      <c r="A260" s="182" t="s">
        <v>1</v>
      </c>
      <c r="B260" s="182" t="s">
        <v>727</v>
      </c>
      <c r="C260" s="189">
        <f>IFERROR(__xludf.DUMMYFUNCTION("""COMPUTED_VALUE"""),3.0)</f>
        <v>3</v>
      </c>
      <c r="D260" s="189">
        <f>IFERROR(__xludf.DUMMYFUNCTION("""COMPUTED_VALUE"""),5.0)</f>
        <v>5</v>
      </c>
      <c r="E260" s="182">
        <v>-2.0</v>
      </c>
      <c r="F260" s="182">
        <v>5.0</v>
      </c>
      <c r="G260" s="182">
        <v>57.0</v>
      </c>
      <c r="H260" s="182">
        <v>8.06</v>
      </c>
    </row>
    <row r="261">
      <c r="A261" s="182" t="s">
        <v>1</v>
      </c>
      <c r="B261" s="182" t="s">
        <v>728</v>
      </c>
      <c r="C261" s="189">
        <f>IFERROR(__xludf.DUMMYFUNCTION("""COMPUTED_VALUE"""),2.0)</f>
        <v>2</v>
      </c>
      <c r="D261" s="189">
        <f>IFERROR(__xludf.DUMMYFUNCTION("""COMPUTED_VALUE"""),4.0)</f>
        <v>4</v>
      </c>
      <c r="E261" s="182">
        <v>-2.0</v>
      </c>
      <c r="F261" s="182">
        <v>3.0</v>
      </c>
      <c r="G261" s="182">
        <v>65.0</v>
      </c>
      <c r="H261" s="182">
        <v>4.41</v>
      </c>
    </row>
    <row r="262">
      <c r="A262" s="182" t="s">
        <v>1</v>
      </c>
      <c r="B262" s="182" t="s">
        <v>729</v>
      </c>
      <c r="C262" s="189">
        <f>IFERROR(__xludf.DUMMYFUNCTION("""COMPUTED_VALUE"""),1.0)</f>
        <v>1</v>
      </c>
      <c r="D262" s="189">
        <f>IFERROR(__xludf.DUMMYFUNCTION("""COMPUTED_VALUE"""),3.0)</f>
        <v>3</v>
      </c>
      <c r="E262" s="182">
        <v>-2.0</v>
      </c>
      <c r="F262" s="182">
        <v>0.0</v>
      </c>
      <c r="G262" s="182">
        <v>67.0</v>
      </c>
      <c r="H262" s="182">
        <v>0.0</v>
      </c>
    </row>
    <row r="263">
      <c r="A263" s="182" t="s">
        <v>1</v>
      </c>
      <c r="B263" s="182" t="s">
        <v>730</v>
      </c>
      <c r="C263" s="189">
        <f>IFERROR(__xludf.DUMMYFUNCTION("""COMPUTED_VALUE"""),2.0)</f>
        <v>2</v>
      </c>
      <c r="D263" s="189">
        <f>IFERROR(__xludf.DUMMYFUNCTION("""COMPUTED_VALUE"""),5.0)</f>
        <v>5</v>
      </c>
      <c r="E263" s="182">
        <v>-3.0</v>
      </c>
      <c r="F263" s="182">
        <v>1.0</v>
      </c>
      <c r="G263" s="182">
        <v>31.0</v>
      </c>
      <c r="H263" s="182">
        <v>3.12</v>
      </c>
    </row>
    <row r="264">
      <c r="A264" s="182" t="s">
        <v>1</v>
      </c>
      <c r="B264" s="182" t="s">
        <v>731</v>
      </c>
      <c r="C264" s="189">
        <f>IFERROR(__xludf.DUMMYFUNCTION("""COMPUTED_VALUE"""),1.0)</f>
        <v>1</v>
      </c>
      <c r="D264" s="189">
        <f>IFERROR(__xludf.DUMMYFUNCTION("""COMPUTED_VALUE"""),4.0)</f>
        <v>4</v>
      </c>
      <c r="E264" s="182">
        <v>-3.0</v>
      </c>
      <c r="F264" s="182">
        <v>0.0</v>
      </c>
      <c r="G264" s="182">
        <v>46.0</v>
      </c>
      <c r="H264" s="182">
        <v>0.0</v>
      </c>
    </row>
    <row r="265">
      <c r="A265" s="182" t="s">
        <v>1</v>
      </c>
      <c r="B265" s="182" t="s">
        <v>732</v>
      </c>
      <c r="C265" s="189">
        <f>IFERROR(__xludf.DUMMYFUNCTION("""COMPUTED_VALUE"""),1.0)</f>
        <v>1</v>
      </c>
      <c r="D265" s="189">
        <f>IFERROR(__xludf.DUMMYFUNCTION("""COMPUTED_VALUE"""),5.0)</f>
        <v>5</v>
      </c>
      <c r="E265" s="182">
        <v>-4.0</v>
      </c>
      <c r="F265" s="182">
        <v>0.0</v>
      </c>
      <c r="G265" s="182">
        <v>21.0</v>
      </c>
      <c r="H265" s="182">
        <v>0.0</v>
      </c>
    </row>
    <row r="266">
      <c r="A266" s="182" t="s">
        <v>185</v>
      </c>
      <c r="B266" s="182" t="s">
        <v>705</v>
      </c>
      <c r="C266" s="189">
        <f>IFERROR(__xludf.DUMMYFUNCTION("""COMPUTED_VALUE"""),5.0)</f>
        <v>5</v>
      </c>
      <c r="D266" s="189">
        <f>IFERROR(__xludf.DUMMYFUNCTION("""COMPUTED_VALUE"""),1.0)</f>
        <v>1</v>
      </c>
      <c r="E266" s="182" t="s">
        <v>706</v>
      </c>
      <c r="F266" s="182">
        <v>36.0</v>
      </c>
      <c r="G266" s="182">
        <v>0.0</v>
      </c>
      <c r="H266" s="182">
        <v>100.0</v>
      </c>
    </row>
    <row r="267">
      <c r="A267" s="182" t="s">
        <v>185</v>
      </c>
      <c r="B267" s="182" t="s">
        <v>707</v>
      </c>
      <c r="C267" s="189">
        <f>IFERROR(__xludf.DUMMYFUNCTION("""COMPUTED_VALUE"""),5.0)</f>
        <v>5</v>
      </c>
      <c r="D267" s="189">
        <f>IFERROR(__xludf.DUMMYFUNCTION("""COMPUTED_VALUE"""),2.0)</f>
        <v>2</v>
      </c>
      <c r="E267" s="182" t="s">
        <v>708</v>
      </c>
      <c r="F267" s="182">
        <v>43.0</v>
      </c>
      <c r="G267" s="182">
        <v>0.0</v>
      </c>
      <c r="H267" s="182">
        <v>100.0</v>
      </c>
    </row>
    <row r="268">
      <c r="A268" s="182" t="s">
        <v>185</v>
      </c>
      <c r="B268" s="182" t="s">
        <v>709</v>
      </c>
      <c r="C268" s="189">
        <f>IFERROR(__xludf.DUMMYFUNCTION("""COMPUTED_VALUE"""),4.0)</f>
        <v>4</v>
      </c>
      <c r="D268" s="189">
        <f>IFERROR(__xludf.DUMMYFUNCTION("""COMPUTED_VALUE"""),1.0)</f>
        <v>1</v>
      </c>
      <c r="E268" s="182" t="s">
        <v>708</v>
      </c>
      <c r="F268" s="182">
        <v>52.0</v>
      </c>
      <c r="G268" s="182">
        <v>0.0</v>
      </c>
      <c r="H268" s="182">
        <v>100.0</v>
      </c>
    </row>
    <row r="269">
      <c r="A269" s="182" t="s">
        <v>185</v>
      </c>
      <c r="B269" s="182" t="s">
        <v>710</v>
      </c>
      <c r="C269" s="189">
        <f>IFERROR(__xludf.DUMMYFUNCTION("""COMPUTED_VALUE"""),5.0)</f>
        <v>5</v>
      </c>
      <c r="D269" s="189">
        <f>IFERROR(__xludf.DUMMYFUNCTION("""COMPUTED_VALUE"""),3.0)</f>
        <v>3</v>
      </c>
      <c r="E269" s="182" t="s">
        <v>711</v>
      </c>
      <c r="F269" s="182">
        <v>70.0</v>
      </c>
      <c r="G269" s="182">
        <v>8.0</v>
      </c>
      <c r="H269" s="182">
        <v>89.74</v>
      </c>
    </row>
    <row r="270">
      <c r="A270" s="182" t="s">
        <v>185</v>
      </c>
      <c r="B270" s="182" t="s">
        <v>712</v>
      </c>
      <c r="C270" s="189">
        <f>IFERROR(__xludf.DUMMYFUNCTION("""COMPUTED_VALUE"""),4.0)</f>
        <v>4</v>
      </c>
      <c r="D270" s="189">
        <f>IFERROR(__xludf.DUMMYFUNCTION("""COMPUTED_VALUE"""),2.0)</f>
        <v>2</v>
      </c>
      <c r="E270" s="182" t="s">
        <v>711</v>
      </c>
      <c r="F270" s="182">
        <v>78.0</v>
      </c>
      <c r="G270" s="182">
        <v>5.0</v>
      </c>
      <c r="H270" s="182">
        <v>93.97</v>
      </c>
    </row>
    <row r="271">
      <c r="A271" s="182" t="s">
        <v>185</v>
      </c>
      <c r="B271" s="182" t="s">
        <v>713</v>
      </c>
      <c r="C271" s="189">
        <f>IFERROR(__xludf.DUMMYFUNCTION("""COMPUTED_VALUE"""),3.0)</f>
        <v>3</v>
      </c>
      <c r="D271" s="189">
        <f>IFERROR(__xludf.DUMMYFUNCTION("""COMPUTED_VALUE"""),1.0)</f>
        <v>1</v>
      </c>
      <c r="E271" s="182" t="s">
        <v>711</v>
      </c>
      <c r="F271" s="182">
        <v>58.0</v>
      </c>
      <c r="G271" s="182">
        <v>1.0</v>
      </c>
      <c r="H271" s="182">
        <v>98.3</v>
      </c>
    </row>
    <row r="272">
      <c r="A272" s="182" t="s">
        <v>185</v>
      </c>
      <c r="B272" s="182" t="s">
        <v>714</v>
      </c>
      <c r="C272" s="189">
        <f>IFERROR(__xludf.DUMMYFUNCTION("""COMPUTED_VALUE"""),5.0)</f>
        <v>5</v>
      </c>
      <c r="D272" s="189">
        <f>IFERROR(__xludf.DUMMYFUNCTION("""COMPUTED_VALUE"""),4.0)</f>
        <v>4</v>
      </c>
      <c r="E272" s="182" t="s">
        <v>715</v>
      </c>
      <c r="F272" s="182">
        <v>158.0</v>
      </c>
      <c r="G272" s="182">
        <v>44.0</v>
      </c>
      <c r="H272" s="182">
        <v>78.21</v>
      </c>
    </row>
    <row r="273">
      <c r="A273" s="182" t="s">
        <v>185</v>
      </c>
      <c r="B273" s="182" t="s">
        <v>716</v>
      </c>
      <c r="C273" s="189">
        <f>IFERROR(__xludf.DUMMYFUNCTION("""COMPUTED_VALUE"""),4.0)</f>
        <v>4</v>
      </c>
      <c r="D273" s="189">
        <f>IFERROR(__xludf.DUMMYFUNCTION("""COMPUTED_VALUE"""),3.0)</f>
        <v>3</v>
      </c>
      <c r="E273" s="182" t="s">
        <v>715</v>
      </c>
      <c r="F273" s="182">
        <v>86.0</v>
      </c>
      <c r="G273" s="182">
        <v>21.0</v>
      </c>
      <c r="H273" s="182">
        <v>80.37</v>
      </c>
    </row>
    <row r="274">
      <c r="A274" s="182" t="s">
        <v>185</v>
      </c>
      <c r="B274" s="182" t="s">
        <v>717</v>
      </c>
      <c r="C274" s="189">
        <f>IFERROR(__xludf.DUMMYFUNCTION("""COMPUTED_VALUE"""),3.0)</f>
        <v>3</v>
      </c>
      <c r="D274" s="189">
        <f>IFERROR(__xludf.DUMMYFUNCTION("""COMPUTED_VALUE"""),2.0)</f>
        <v>2</v>
      </c>
      <c r="E274" s="182" t="s">
        <v>715</v>
      </c>
      <c r="F274" s="182">
        <v>78.0</v>
      </c>
      <c r="G274" s="182">
        <v>19.0</v>
      </c>
      <c r="H274" s="182">
        <v>80.41</v>
      </c>
    </row>
    <row r="275">
      <c r="A275" s="182" t="s">
        <v>185</v>
      </c>
      <c r="B275" s="182" t="s">
        <v>718</v>
      </c>
      <c r="C275" s="189">
        <f>IFERROR(__xludf.DUMMYFUNCTION("""COMPUTED_VALUE"""),2.0)</f>
        <v>2</v>
      </c>
      <c r="D275" s="189">
        <f>IFERROR(__xludf.DUMMYFUNCTION("""COMPUTED_VALUE"""),1.0)</f>
        <v>1</v>
      </c>
      <c r="E275" s="182" t="s">
        <v>715</v>
      </c>
      <c r="F275" s="182">
        <v>68.0</v>
      </c>
      <c r="G275" s="182">
        <v>8.0</v>
      </c>
      <c r="H275" s="182">
        <v>89.47</v>
      </c>
    </row>
    <row r="276">
      <c r="A276" s="182" t="s">
        <v>185</v>
      </c>
      <c r="B276" s="182" t="s">
        <v>719</v>
      </c>
      <c r="C276" s="189">
        <f>IFERROR(__xludf.DUMMYFUNCTION("""COMPUTED_VALUE"""),4.0)</f>
        <v>4</v>
      </c>
      <c r="D276" s="189">
        <f>IFERROR(__xludf.DUMMYFUNCTION("""COMPUTED_VALUE"""),4.0)</f>
        <v>4</v>
      </c>
      <c r="E276" s="182">
        <v>0.0</v>
      </c>
      <c r="F276" s="182">
        <v>95.0</v>
      </c>
      <c r="G276" s="182">
        <v>83.0</v>
      </c>
      <c r="H276" s="182">
        <v>53.37</v>
      </c>
    </row>
    <row r="277">
      <c r="A277" s="182" t="s">
        <v>185</v>
      </c>
      <c r="B277" s="182" t="s">
        <v>720</v>
      </c>
      <c r="C277" s="189">
        <f>IFERROR(__xludf.DUMMYFUNCTION("""COMPUTED_VALUE"""),3.0)</f>
        <v>3</v>
      </c>
      <c r="D277" s="189">
        <f>IFERROR(__xludf.DUMMYFUNCTION("""COMPUTED_VALUE"""),3.0)</f>
        <v>3</v>
      </c>
      <c r="E277" s="182">
        <v>0.0</v>
      </c>
      <c r="F277" s="182">
        <v>50.0</v>
      </c>
      <c r="G277" s="182">
        <v>49.0</v>
      </c>
      <c r="H277" s="182">
        <v>50.5</v>
      </c>
    </row>
    <row r="278">
      <c r="A278" s="182" t="s">
        <v>185</v>
      </c>
      <c r="B278" s="182" t="s">
        <v>721</v>
      </c>
      <c r="C278" s="189">
        <f>IFERROR(__xludf.DUMMYFUNCTION("""COMPUTED_VALUE"""),2.0)</f>
        <v>2</v>
      </c>
      <c r="D278" s="189">
        <f>IFERROR(__xludf.DUMMYFUNCTION("""COMPUTED_VALUE"""),2.0)</f>
        <v>2</v>
      </c>
      <c r="E278" s="182">
        <v>0.0</v>
      </c>
      <c r="F278" s="182">
        <v>57.0</v>
      </c>
      <c r="G278" s="182">
        <v>36.0</v>
      </c>
      <c r="H278" s="182">
        <v>61.29</v>
      </c>
    </row>
    <row r="279">
      <c r="A279" s="182" t="s">
        <v>185</v>
      </c>
      <c r="B279" s="182" t="s">
        <v>722</v>
      </c>
      <c r="C279" s="189">
        <f>IFERROR(__xludf.DUMMYFUNCTION("""COMPUTED_VALUE"""),1.0)</f>
        <v>1</v>
      </c>
      <c r="D279" s="189">
        <f>IFERROR(__xludf.DUMMYFUNCTION("""COMPUTED_VALUE"""),1.0)</f>
        <v>1</v>
      </c>
      <c r="E279" s="182">
        <v>0.0</v>
      </c>
      <c r="F279" s="182">
        <v>35.0</v>
      </c>
      <c r="G279" s="182">
        <v>36.0</v>
      </c>
      <c r="H279" s="182">
        <v>49.29</v>
      </c>
    </row>
    <row r="280">
      <c r="A280" s="182" t="s">
        <v>185</v>
      </c>
      <c r="B280" s="182" t="s">
        <v>723</v>
      </c>
      <c r="C280" s="189">
        <f>IFERROR(__xludf.DUMMYFUNCTION("""COMPUTED_VALUE"""),4.0)</f>
        <v>4</v>
      </c>
      <c r="D280" s="189">
        <f>IFERROR(__xludf.DUMMYFUNCTION("""COMPUTED_VALUE"""),5.0)</f>
        <v>5</v>
      </c>
      <c r="E280" s="182">
        <v>-1.0</v>
      </c>
      <c r="F280" s="182">
        <v>60.0</v>
      </c>
      <c r="G280" s="182">
        <v>170.0</v>
      </c>
      <c r="H280" s="182">
        <v>26.08</v>
      </c>
    </row>
    <row r="281">
      <c r="A281" s="182" t="s">
        <v>185</v>
      </c>
      <c r="B281" s="182" t="s">
        <v>724</v>
      </c>
      <c r="C281" s="189">
        <f>IFERROR(__xludf.DUMMYFUNCTION("""COMPUTED_VALUE"""),3.0)</f>
        <v>3</v>
      </c>
      <c r="D281" s="189">
        <f>IFERROR(__xludf.DUMMYFUNCTION("""COMPUTED_VALUE"""),4.0)</f>
        <v>4</v>
      </c>
      <c r="E281" s="182">
        <v>-1.0</v>
      </c>
      <c r="F281" s="182">
        <v>35.0</v>
      </c>
      <c r="G281" s="182">
        <v>93.0</v>
      </c>
      <c r="H281" s="182">
        <v>27.34</v>
      </c>
    </row>
    <row r="282">
      <c r="A282" s="182" t="s">
        <v>185</v>
      </c>
      <c r="B282" s="182" t="s">
        <v>725</v>
      </c>
      <c r="C282" s="189">
        <f>IFERROR(__xludf.DUMMYFUNCTION("""COMPUTED_VALUE"""),2.0)</f>
        <v>2</v>
      </c>
      <c r="D282" s="189">
        <f>IFERROR(__xludf.DUMMYFUNCTION("""COMPUTED_VALUE"""),3.0)</f>
        <v>3</v>
      </c>
      <c r="E282" s="182">
        <v>-1.0</v>
      </c>
      <c r="F282" s="182">
        <v>21.0</v>
      </c>
      <c r="G282" s="182">
        <v>68.0</v>
      </c>
      <c r="H282" s="182">
        <v>23.59</v>
      </c>
    </row>
    <row r="283">
      <c r="A283" s="182" t="s">
        <v>185</v>
      </c>
      <c r="B283" s="182" t="s">
        <v>726</v>
      </c>
      <c r="C283" s="189">
        <f>IFERROR(__xludf.DUMMYFUNCTION("""COMPUTED_VALUE"""),1.0)</f>
        <v>1</v>
      </c>
      <c r="D283" s="189">
        <f>IFERROR(__xludf.DUMMYFUNCTION("""COMPUTED_VALUE"""),2.0)</f>
        <v>2</v>
      </c>
      <c r="E283" s="182">
        <v>-1.0</v>
      </c>
      <c r="F283" s="182">
        <v>13.0</v>
      </c>
      <c r="G283" s="182">
        <v>65.0</v>
      </c>
      <c r="H283" s="182">
        <v>16.66</v>
      </c>
    </row>
    <row r="284">
      <c r="A284" s="182" t="s">
        <v>185</v>
      </c>
      <c r="B284" s="182" t="s">
        <v>727</v>
      </c>
      <c r="C284" s="189">
        <f>IFERROR(__xludf.DUMMYFUNCTION("""COMPUTED_VALUE"""),3.0)</f>
        <v>3</v>
      </c>
      <c r="D284" s="189">
        <f>IFERROR(__xludf.DUMMYFUNCTION("""COMPUTED_VALUE"""),5.0)</f>
        <v>5</v>
      </c>
      <c r="E284" s="182">
        <v>-2.0</v>
      </c>
      <c r="F284" s="182">
        <v>7.0</v>
      </c>
      <c r="G284" s="182">
        <v>76.0</v>
      </c>
      <c r="H284" s="182">
        <v>8.43</v>
      </c>
    </row>
    <row r="285">
      <c r="A285" s="182" t="s">
        <v>185</v>
      </c>
      <c r="B285" s="182" t="s">
        <v>728</v>
      </c>
      <c r="C285" s="189">
        <f>IFERROR(__xludf.DUMMYFUNCTION("""COMPUTED_VALUE"""),2.0)</f>
        <v>2</v>
      </c>
      <c r="D285" s="189">
        <f>IFERROR(__xludf.DUMMYFUNCTION("""COMPUTED_VALUE"""),4.0)</f>
        <v>4</v>
      </c>
      <c r="E285" s="182">
        <v>-2.0</v>
      </c>
      <c r="F285" s="182">
        <v>6.0</v>
      </c>
      <c r="G285" s="182">
        <v>69.0</v>
      </c>
      <c r="H285" s="182">
        <v>8.0</v>
      </c>
    </row>
    <row r="286">
      <c r="A286" s="182" t="s">
        <v>185</v>
      </c>
      <c r="B286" s="182" t="s">
        <v>729</v>
      </c>
      <c r="C286" s="189">
        <f>IFERROR(__xludf.DUMMYFUNCTION("""COMPUTED_VALUE"""),1.0)</f>
        <v>1</v>
      </c>
      <c r="D286" s="189">
        <f>IFERROR(__xludf.DUMMYFUNCTION("""COMPUTED_VALUE"""),3.0)</f>
        <v>3</v>
      </c>
      <c r="E286" s="182">
        <v>-2.0</v>
      </c>
      <c r="F286" s="182">
        <v>3.0</v>
      </c>
      <c r="G286" s="182">
        <v>75.0</v>
      </c>
      <c r="H286" s="182">
        <v>3.84</v>
      </c>
    </row>
    <row r="287">
      <c r="A287" s="182" t="s">
        <v>185</v>
      </c>
      <c r="B287" s="182" t="s">
        <v>730</v>
      </c>
      <c r="C287" s="189">
        <f>IFERROR(__xludf.DUMMYFUNCTION("""COMPUTED_VALUE"""),2.0)</f>
        <v>2</v>
      </c>
      <c r="D287" s="189">
        <f>IFERROR(__xludf.DUMMYFUNCTION("""COMPUTED_VALUE"""),5.0)</f>
        <v>5</v>
      </c>
      <c r="E287" s="182">
        <v>-3.0</v>
      </c>
      <c r="F287" s="182">
        <v>1.0</v>
      </c>
      <c r="G287" s="182">
        <v>36.0</v>
      </c>
      <c r="H287" s="182">
        <v>2.7</v>
      </c>
    </row>
    <row r="288">
      <c r="A288" s="182" t="s">
        <v>185</v>
      </c>
      <c r="B288" s="182" t="s">
        <v>731</v>
      </c>
      <c r="C288" s="189">
        <f>IFERROR(__xludf.DUMMYFUNCTION("""COMPUTED_VALUE"""),1.0)</f>
        <v>1</v>
      </c>
      <c r="D288" s="189">
        <f>IFERROR(__xludf.DUMMYFUNCTION("""COMPUTED_VALUE"""),4.0)</f>
        <v>4</v>
      </c>
      <c r="E288" s="182">
        <v>-3.0</v>
      </c>
      <c r="F288" s="182">
        <v>0.0</v>
      </c>
      <c r="G288" s="182">
        <v>56.0</v>
      </c>
      <c r="H288" s="182">
        <v>0.0</v>
      </c>
    </row>
    <row r="289">
      <c r="A289" s="182" t="s">
        <v>185</v>
      </c>
      <c r="B289" s="182" t="s">
        <v>732</v>
      </c>
      <c r="C289" s="189">
        <f>IFERROR(__xludf.DUMMYFUNCTION("""COMPUTED_VALUE"""),1.0)</f>
        <v>1</v>
      </c>
      <c r="D289" s="189">
        <f>IFERROR(__xludf.DUMMYFUNCTION("""COMPUTED_VALUE"""),5.0)</f>
        <v>5</v>
      </c>
      <c r="E289" s="182">
        <v>-4.0</v>
      </c>
      <c r="F289" s="182">
        <v>0.0</v>
      </c>
      <c r="G289" s="182">
        <v>24.0</v>
      </c>
      <c r="H289" s="182">
        <v>0.0</v>
      </c>
    </row>
    <row r="290">
      <c r="A290" s="182" t="s">
        <v>184</v>
      </c>
      <c r="B290" s="182" t="s">
        <v>705</v>
      </c>
      <c r="C290" s="189">
        <f>IFERROR(__xludf.DUMMYFUNCTION("""COMPUTED_VALUE"""),5.0)</f>
        <v>5</v>
      </c>
      <c r="D290" s="189">
        <f>IFERROR(__xludf.DUMMYFUNCTION("""COMPUTED_VALUE"""),1.0)</f>
        <v>1</v>
      </c>
      <c r="E290" s="182" t="s">
        <v>706</v>
      </c>
      <c r="F290" s="182">
        <v>26.0</v>
      </c>
      <c r="G290" s="182">
        <v>0.0</v>
      </c>
      <c r="H290" s="182">
        <v>100.0</v>
      </c>
    </row>
    <row r="291">
      <c r="A291" s="182" t="s">
        <v>184</v>
      </c>
      <c r="B291" s="182" t="s">
        <v>707</v>
      </c>
      <c r="C291" s="189">
        <f>IFERROR(__xludf.DUMMYFUNCTION("""COMPUTED_VALUE"""),5.0)</f>
        <v>5</v>
      </c>
      <c r="D291" s="189">
        <f>IFERROR(__xludf.DUMMYFUNCTION("""COMPUTED_VALUE"""),2.0)</f>
        <v>2</v>
      </c>
      <c r="E291" s="182" t="s">
        <v>708</v>
      </c>
      <c r="F291" s="182">
        <v>51.0</v>
      </c>
      <c r="G291" s="182">
        <v>1.0</v>
      </c>
      <c r="H291" s="182">
        <v>98.07</v>
      </c>
    </row>
    <row r="292">
      <c r="A292" s="182" t="s">
        <v>184</v>
      </c>
      <c r="B292" s="182" t="s">
        <v>709</v>
      </c>
      <c r="C292" s="189">
        <f>IFERROR(__xludf.DUMMYFUNCTION("""COMPUTED_VALUE"""),4.0)</f>
        <v>4</v>
      </c>
      <c r="D292" s="189">
        <f>IFERROR(__xludf.DUMMYFUNCTION("""COMPUTED_VALUE"""),1.0)</f>
        <v>1</v>
      </c>
      <c r="E292" s="182" t="s">
        <v>708</v>
      </c>
      <c r="F292" s="182">
        <v>71.0</v>
      </c>
      <c r="G292" s="182">
        <v>0.0</v>
      </c>
      <c r="H292" s="182">
        <v>100.0</v>
      </c>
    </row>
    <row r="293">
      <c r="A293" s="182" t="s">
        <v>184</v>
      </c>
      <c r="B293" s="182" t="s">
        <v>710</v>
      </c>
      <c r="C293" s="189">
        <f>IFERROR(__xludf.DUMMYFUNCTION("""COMPUTED_VALUE"""),5.0)</f>
        <v>5</v>
      </c>
      <c r="D293" s="189">
        <f>IFERROR(__xludf.DUMMYFUNCTION("""COMPUTED_VALUE"""),3.0)</f>
        <v>3</v>
      </c>
      <c r="E293" s="182" t="s">
        <v>711</v>
      </c>
      <c r="F293" s="182">
        <v>96.0</v>
      </c>
      <c r="G293" s="182">
        <v>9.0</v>
      </c>
      <c r="H293" s="182">
        <v>91.42</v>
      </c>
    </row>
    <row r="294">
      <c r="A294" s="182" t="s">
        <v>184</v>
      </c>
      <c r="B294" s="182" t="s">
        <v>712</v>
      </c>
      <c r="C294" s="189">
        <f>IFERROR(__xludf.DUMMYFUNCTION("""COMPUTED_VALUE"""),4.0)</f>
        <v>4</v>
      </c>
      <c r="D294" s="189">
        <f>IFERROR(__xludf.DUMMYFUNCTION("""COMPUTED_VALUE"""),2.0)</f>
        <v>2</v>
      </c>
      <c r="E294" s="182" t="s">
        <v>711</v>
      </c>
      <c r="F294" s="182">
        <v>95.0</v>
      </c>
      <c r="G294" s="182">
        <v>2.0</v>
      </c>
      <c r="H294" s="182">
        <v>97.93</v>
      </c>
    </row>
    <row r="295">
      <c r="A295" s="182" t="s">
        <v>184</v>
      </c>
      <c r="B295" s="182" t="s">
        <v>713</v>
      </c>
      <c r="C295" s="189">
        <f>IFERROR(__xludf.DUMMYFUNCTION("""COMPUTED_VALUE"""),3.0)</f>
        <v>3</v>
      </c>
      <c r="D295" s="189">
        <f>IFERROR(__xludf.DUMMYFUNCTION("""COMPUTED_VALUE"""),1.0)</f>
        <v>1</v>
      </c>
      <c r="E295" s="182" t="s">
        <v>711</v>
      </c>
      <c r="F295" s="182">
        <v>87.0</v>
      </c>
      <c r="G295" s="182">
        <v>2.0</v>
      </c>
      <c r="H295" s="182">
        <v>97.75</v>
      </c>
    </row>
    <row r="296">
      <c r="A296" s="182" t="s">
        <v>184</v>
      </c>
      <c r="B296" s="182" t="s">
        <v>714</v>
      </c>
      <c r="C296" s="189">
        <f>IFERROR(__xludf.DUMMYFUNCTION("""COMPUTED_VALUE"""),5.0)</f>
        <v>5</v>
      </c>
      <c r="D296" s="189">
        <f>IFERROR(__xludf.DUMMYFUNCTION("""COMPUTED_VALUE"""),4.0)</f>
        <v>4</v>
      </c>
      <c r="E296" s="182" t="s">
        <v>715</v>
      </c>
      <c r="F296" s="182">
        <v>166.0</v>
      </c>
      <c r="G296" s="182">
        <v>47.0</v>
      </c>
      <c r="H296" s="182">
        <v>77.93</v>
      </c>
    </row>
    <row r="297">
      <c r="A297" s="182" t="s">
        <v>184</v>
      </c>
      <c r="B297" s="182" t="s">
        <v>716</v>
      </c>
      <c r="C297" s="189">
        <f>IFERROR(__xludf.DUMMYFUNCTION("""COMPUTED_VALUE"""),4.0)</f>
        <v>4</v>
      </c>
      <c r="D297" s="189">
        <f>IFERROR(__xludf.DUMMYFUNCTION("""COMPUTED_VALUE"""),3.0)</f>
        <v>3</v>
      </c>
      <c r="E297" s="182" t="s">
        <v>715</v>
      </c>
      <c r="F297" s="182">
        <v>102.0</v>
      </c>
      <c r="G297" s="182">
        <v>25.0</v>
      </c>
      <c r="H297" s="182">
        <v>80.31</v>
      </c>
    </row>
    <row r="298">
      <c r="A298" s="182" t="s">
        <v>184</v>
      </c>
      <c r="B298" s="182" t="s">
        <v>717</v>
      </c>
      <c r="C298" s="189">
        <f>IFERROR(__xludf.DUMMYFUNCTION("""COMPUTED_VALUE"""),3.0)</f>
        <v>3</v>
      </c>
      <c r="D298" s="189">
        <f>IFERROR(__xludf.DUMMYFUNCTION("""COMPUTED_VALUE"""),2.0)</f>
        <v>2</v>
      </c>
      <c r="E298" s="182" t="s">
        <v>715</v>
      </c>
      <c r="F298" s="182">
        <v>77.0</v>
      </c>
      <c r="G298" s="182">
        <v>17.0</v>
      </c>
      <c r="H298" s="182">
        <v>81.91</v>
      </c>
    </row>
    <row r="299">
      <c r="A299" s="182" t="s">
        <v>184</v>
      </c>
      <c r="B299" s="182" t="s">
        <v>718</v>
      </c>
      <c r="C299" s="189">
        <f>IFERROR(__xludf.DUMMYFUNCTION("""COMPUTED_VALUE"""),2.0)</f>
        <v>2</v>
      </c>
      <c r="D299" s="189">
        <f>IFERROR(__xludf.DUMMYFUNCTION("""COMPUTED_VALUE"""),1.0)</f>
        <v>1</v>
      </c>
      <c r="E299" s="182" t="s">
        <v>715</v>
      </c>
      <c r="F299" s="182">
        <v>74.0</v>
      </c>
      <c r="G299" s="182">
        <v>10.0</v>
      </c>
      <c r="H299" s="182">
        <v>88.09</v>
      </c>
    </row>
    <row r="300">
      <c r="A300" s="182" t="s">
        <v>184</v>
      </c>
      <c r="B300" s="182" t="s">
        <v>719</v>
      </c>
      <c r="C300" s="189">
        <f>IFERROR(__xludf.DUMMYFUNCTION("""COMPUTED_VALUE"""),4.0)</f>
        <v>4</v>
      </c>
      <c r="D300" s="189">
        <f>IFERROR(__xludf.DUMMYFUNCTION("""COMPUTED_VALUE"""),4.0)</f>
        <v>4</v>
      </c>
      <c r="E300" s="182">
        <v>0.0</v>
      </c>
      <c r="F300" s="182">
        <v>88.0</v>
      </c>
      <c r="G300" s="182">
        <v>77.0</v>
      </c>
      <c r="H300" s="182">
        <v>53.33</v>
      </c>
    </row>
    <row r="301">
      <c r="A301" s="182" t="s">
        <v>184</v>
      </c>
      <c r="B301" s="182" t="s">
        <v>720</v>
      </c>
      <c r="C301" s="189">
        <f>IFERROR(__xludf.DUMMYFUNCTION("""COMPUTED_VALUE"""),3.0)</f>
        <v>3</v>
      </c>
      <c r="D301" s="189">
        <f>IFERROR(__xludf.DUMMYFUNCTION("""COMPUTED_VALUE"""),3.0)</f>
        <v>3</v>
      </c>
      <c r="E301" s="182">
        <v>0.0</v>
      </c>
      <c r="F301" s="182">
        <v>64.0</v>
      </c>
      <c r="G301" s="182">
        <v>50.0</v>
      </c>
      <c r="H301" s="182">
        <v>56.14</v>
      </c>
    </row>
    <row r="302">
      <c r="A302" s="182" t="s">
        <v>184</v>
      </c>
      <c r="B302" s="182" t="s">
        <v>721</v>
      </c>
      <c r="C302" s="189">
        <f>IFERROR(__xludf.DUMMYFUNCTION("""COMPUTED_VALUE"""),2.0)</f>
        <v>2</v>
      </c>
      <c r="D302" s="189">
        <f>IFERROR(__xludf.DUMMYFUNCTION("""COMPUTED_VALUE"""),2.0)</f>
        <v>2</v>
      </c>
      <c r="E302" s="182">
        <v>0.0</v>
      </c>
      <c r="F302" s="182">
        <v>51.0</v>
      </c>
      <c r="G302" s="182">
        <v>40.0</v>
      </c>
      <c r="H302" s="182">
        <v>56.04</v>
      </c>
    </row>
    <row r="303">
      <c r="A303" s="182" t="s">
        <v>184</v>
      </c>
      <c r="B303" s="182" t="s">
        <v>722</v>
      </c>
      <c r="C303" s="189">
        <f>IFERROR(__xludf.DUMMYFUNCTION("""COMPUTED_VALUE"""),1.0)</f>
        <v>1</v>
      </c>
      <c r="D303" s="189">
        <f>IFERROR(__xludf.DUMMYFUNCTION("""COMPUTED_VALUE"""),1.0)</f>
        <v>1</v>
      </c>
      <c r="E303" s="182">
        <v>0.0</v>
      </c>
      <c r="F303" s="182">
        <v>38.0</v>
      </c>
      <c r="G303" s="182">
        <v>25.0</v>
      </c>
      <c r="H303" s="182">
        <v>60.31</v>
      </c>
    </row>
    <row r="304">
      <c r="A304" s="182" t="s">
        <v>184</v>
      </c>
      <c r="B304" s="182" t="s">
        <v>723</v>
      </c>
      <c r="C304" s="189">
        <f>IFERROR(__xludf.DUMMYFUNCTION("""COMPUTED_VALUE"""),4.0)</f>
        <v>4</v>
      </c>
      <c r="D304" s="189">
        <f>IFERROR(__xludf.DUMMYFUNCTION("""COMPUTED_VALUE"""),5.0)</f>
        <v>5</v>
      </c>
      <c r="E304" s="182">
        <v>-1.0</v>
      </c>
      <c r="F304" s="182">
        <v>62.0</v>
      </c>
      <c r="G304" s="182">
        <v>134.0</v>
      </c>
      <c r="H304" s="182">
        <v>31.63</v>
      </c>
    </row>
    <row r="305">
      <c r="A305" s="182" t="s">
        <v>184</v>
      </c>
      <c r="B305" s="182" t="s">
        <v>724</v>
      </c>
      <c r="C305" s="189">
        <f>IFERROR(__xludf.DUMMYFUNCTION("""COMPUTED_VALUE"""),3.0)</f>
        <v>3</v>
      </c>
      <c r="D305" s="189">
        <f>IFERROR(__xludf.DUMMYFUNCTION("""COMPUTED_VALUE"""),4.0)</f>
        <v>4</v>
      </c>
      <c r="E305" s="182">
        <v>-1.0</v>
      </c>
      <c r="F305" s="182">
        <v>32.0</v>
      </c>
      <c r="G305" s="182">
        <v>75.0</v>
      </c>
      <c r="H305" s="182">
        <v>29.9</v>
      </c>
    </row>
    <row r="306">
      <c r="A306" s="182" t="s">
        <v>184</v>
      </c>
      <c r="B306" s="182" t="s">
        <v>725</v>
      </c>
      <c r="C306" s="189">
        <f>IFERROR(__xludf.DUMMYFUNCTION("""COMPUTED_VALUE"""),2.0)</f>
        <v>2</v>
      </c>
      <c r="D306" s="189">
        <f>IFERROR(__xludf.DUMMYFUNCTION("""COMPUTED_VALUE"""),3.0)</f>
        <v>3</v>
      </c>
      <c r="E306" s="182">
        <v>-1.0</v>
      </c>
      <c r="F306" s="182">
        <v>27.0</v>
      </c>
      <c r="G306" s="182">
        <v>61.0</v>
      </c>
      <c r="H306" s="182">
        <v>30.68</v>
      </c>
    </row>
    <row r="307">
      <c r="A307" s="182" t="s">
        <v>184</v>
      </c>
      <c r="B307" s="182" t="s">
        <v>726</v>
      </c>
      <c r="C307" s="189">
        <f>IFERROR(__xludf.DUMMYFUNCTION("""COMPUTED_VALUE"""),1.0)</f>
        <v>1</v>
      </c>
      <c r="D307" s="189">
        <f>IFERROR(__xludf.DUMMYFUNCTION("""COMPUTED_VALUE"""),2.0)</f>
        <v>2</v>
      </c>
      <c r="E307" s="182">
        <v>-1.0</v>
      </c>
      <c r="F307" s="182">
        <v>16.0</v>
      </c>
      <c r="G307" s="182">
        <v>64.0</v>
      </c>
      <c r="H307" s="182">
        <v>20.0</v>
      </c>
    </row>
    <row r="308">
      <c r="A308" s="182" t="s">
        <v>184</v>
      </c>
      <c r="B308" s="182" t="s">
        <v>727</v>
      </c>
      <c r="C308" s="189">
        <f>IFERROR(__xludf.DUMMYFUNCTION("""COMPUTED_VALUE"""),3.0)</f>
        <v>3</v>
      </c>
      <c r="D308" s="189">
        <f>IFERROR(__xludf.DUMMYFUNCTION("""COMPUTED_VALUE"""),5.0)</f>
        <v>5</v>
      </c>
      <c r="E308" s="182">
        <v>-2.0</v>
      </c>
      <c r="F308" s="182">
        <v>10.0</v>
      </c>
      <c r="G308" s="182">
        <v>52.0</v>
      </c>
      <c r="H308" s="182">
        <v>16.12</v>
      </c>
    </row>
    <row r="309">
      <c r="A309" s="182" t="s">
        <v>184</v>
      </c>
      <c r="B309" s="182" t="s">
        <v>728</v>
      </c>
      <c r="C309" s="189">
        <f>IFERROR(__xludf.DUMMYFUNCTION("""COMPUTED_VALUE"""),2.0)</f>
        <v>2</v>
      </c>
      <c r="D309" s="189">
        <f>IFERROR(__xludf.DUMMYFUNCTION("""COMPUTED_VALUE"""),4.0)</f>
        <v>4</v>
      </c>
      <c r="E309" s="182">
        <v>-2.0</v>
      </c>
      <c r="F309" s="182">
        <v>5.0</v>
      </c>
      <c r="G309" s="182">
        <v>54.0</v>
      </c>
      <c r="H309" s="182">
        <v>8.47</v>
      </c>
    </row>
    <row r="310">
      <c r="A310" s="182" t="s">
        <v>184</v>
      </c>
      <c r="B310" s="182" t="s">
        <v>729</v>
      </c>
      <c r="C310" s="189">
        <f>IFERROR(__xludf.DUMMYFUNCTION("""COMPUTED_VALUE"""),1.0)</f>
        <v>1</v>
      </c>
      <c r="D310" s="189">
        <f>IFERROR(__xludf.DUMMYFUNCTION("""COMPUTED_VALUE"""),3.0)</f>
        <v>3</v>
      </c>
      <c r="E310" s="182">
        <v>-2.0</v>
      </c>
      <c r="F310" s="182">
        <v>1.0</v>
      </c>
      <c r="G310" s="182">
        <v>57.0</v>
      </c>
      <c r="H310" s="182">
        <v>1.72</v>
      </c>
    </row>
    <row r="311">
      <c r="A311" s="182" t="s">
        <v>184</v>
      </c>
      <c r="B311" s="182" t="s">
        <v>730</v>
      </c>
      <c r="C311" s="189">
        <f>IFERROR(__xludf.DUMMYFUNCTION("""COMPUTED_VALUE"""),2.0)</f>
        <v>2</v>
      </c>
      <c r="D311" s="189">
        <f>IFERROR(__xludf.DUMMYFUNCTION("""COMPUTED_VALUE"""),5.0)</f>
        <v>5</v>
      </c>
      <c r="E311" s="182">
        <v>-3.0</v>
      </c>
      <c r="F311" s="182">
        <v>0.0</v>
      </c>
      <c r="G311" s="182">
        <v>39.0</v>
      </c>
      <c r="H311" s="182">
        <v>0.0</v>
      </c>
    </row>
    <row r="312">
      <c r="A312" s="182" t="s">
        <v>184</v>
      </c>
      <c r="B312" s="182" t="s">
        <v>731</v>
      </c>
      <c r="C312" s="189">
        <f>IFERROR(__xludf.DUMMYFUNCTION("""COMPUTED_VALUE"""),1.0)</f>
        <v>1</v>
      </c>
      <c r="D312" s="189">
        <f>IFERROR(__xludf.DUMMYFUNCTION("""COMPUTED_VALUE"""),4.0)</f>
        <v>4</v>
      </c>
      <c r="E312" s="182">
        <v>-3.0</v>
      </c>
      <c r="F312" s="182">
        <v>1.0</v>
      </c>
      <c r="G312" s="182">
        <v>33.0</v>
      </c>
      <c r="H312" s="182">
        <v>2.94</v>
      </c>
    </row>
    <row r="313">
      <c r="A313" s="182" t="s">
        <v>184</v>
      </c>
      <c r="B313" s="182" t="s">
        <v>732</v>
      </c>
      <c r="C313" s="189">
        <f>IFERROR(__xludf.DUMMYFUNCTION("""COMPUTED_VALUE"""),1.0)</f>
        <v>1</v>
      </c>
      <c r="D313" s="189">
        <f>IFERROR(__xludf.DUMMYFUNCTION("""COMPUTED_VALUE"""),5.0)</f>
        <v>5</v>
      </c>
      <c r="E313" s="182">
        <v>-4.0</v>
      </c>
      <c r="F313" s="182">
        <v>0.0</v>
      </c>
      <c r="G313" s="182">
        <v>36.0</v>
      </c>
      <c r="H313" s="182">
        <v>0.0</v>
      </c>
    </row>
    <row r="314">
      <c r="A314" s="182" t="s">
        <v>188</v>
      </c>
      <c r="B314" s="182" t="s">
        <v>705</v>
      </c>
      <c r="C314" s="189">
        <f>IFERROR(__xludf.DUMMYFUNCTION("""COMPUTED_VALUE"""),5.0)</f>
        <v>5</v>
      </c>
      <c r="D314" s="189">
        <f>IFERROR(__xludf.DUMMYFUNCTION("""COMPUTED_VALUE"""),1.0)</f>
        <v>1</v>
      </c>
      <c r="E314" s="182" t="s">
        <v>706</v>
      </c>
      <c r="F314" s="182">
        <v>22.0</v>
      </c>
      <c r="G314" s="182">
        <v>0.0</v>
      </c>
      <c r="H314" s="182">
        <v>100.0</v>
      </c>
    </row>
    <row r="315">
      <c r="A315" s="182" t="s">
        <v>188</v>
      </c>
      <c r="B315" s="182" t="s">
        <v>707</v>
      </c>
      <c r="C315" s="189">
        <f>IFERROR(__xludf.DUMMYFUNCTION("""COMPUTED_VALUE"""),5.0)</f>
        <v>5</v>
      </c>
      <c r="D315" s="189">
        <f>IFERROR(__xludf.DUMMYFUNCTION("""COMPUTED_VALUE"""),2.0)</f>
        <v>2</v>
      </c>
      <c r="E315" s="182" t="s">
        <v>708</v>
      </c>
      <c r="F315" s="182">
        <v>32.0</v>
      </c>
      <c r="G315" s="182">
        <v>0.0</v>
      </c>
      <c r="H315" s="182">
        <v>100.0</v>
      </c>
    </row>
    <row r="316">
      <c r="A316" s="182" t="s">
        <v>188</v>
      </c>
      <c r="B316" s="182" t="s">
        <v>709</v>
      </c>
      <c r="C316" s="189">
        <f>IFERROR(__xludf.DUMMYFUNCTION("""COMPUTED_VALUE"""),4.0)</f>
        <v>4</v>
      </c>
      <c r="D316" s="189">
        <f>IFERROR(__xludf.DUMMYFUNCTION("""COMPUTED_VALUE"""),1.0)</f>
        <v>1</v>
      </c>
      <c r="E316" s="182" t="s">
        <v>708</v>
      </c>
      <c r="F316" s="182">
        <v>51.0</v>
      </c>
      <c r="G316" s="182">
        <v>0.0</v>
      </c>
      <c r="H316" s="182">
        <v>100.0</v>
      </c>
    </row>
    <row r="317">
      <c r="A317" s="182" t="s">
        <v>188</v>
      </c>
      <c r="B317" s="182" t="s">
        <v>710</v>
      </c>
      <c r="C317" s="189">
        <f>IFERROR(__xludf.DUMMYFUNCTION("""COMPUTED_VALUE"""),5.0)</f>
        <v>5</v>
      </c>
      <c r="D317" s="189">
        <f>IFERROR(__xludf.DUMMYFUNCTION("""COMPUTED_VALUE"""),3.0)</f>
        <v>3</v>
      </c>
      <c r="E317" s="182" t="s">
        <v>711</v>
      </c>
      <c r="F317" s="182">
        <v>74.0</v>
      </c>
      <c r="G317" s="182">
        <v>8.0</v>
      </c>
      <c r="H317" s="182">
        <v>90.24</v>
      </c>
    </row>
    <row r="318">
      <c r="A318" s="182" t="s">
        <v>188</v>
      </c>
      <c r="B318" s="182" t="s">
        <v>712</v>
      </c>
      <c r="C318" s="189">
        <f>IFERROR(__xludf.DUMMYFUNCTION("""COMPUTED_VALUE"""),4.0)</f>
        <v>4</v>
      </c>
      <c r="D318" s="189">
        <f>IFERROR(__xludf.DUMMYFUNCTION("""COMPUTED_VALUE"""),2.0)</f>
        <v>2</v>
      </c>
      <c r="E318" s="182" t="s">
        <v>711</v>
      </c>
      <c r="F318" s="182">
        <v>65.0</v>
      </c>
      <c r="G318" s="182">
        <v>4.0</v>
      </c>
      <c r="H318" s="182">
        <v>94.2</v>
      </c>
    </row>
    <row r="319">
      <c r="A319" s="182" t="s">
        <v>188</v>
      </c>
      <c r="B319" s="182" t="s">
        <v>713</v>
      </c>
      <c r="C319" s="189">
        <f>IFERROR(__xludf.DUMMYFUNCTION("""COMPUTED_VALUE"""),3.0)</f>
        <v>3</v>
      </c>
      <c r="D319" s="189">
        <f>IFERROR(__xludf.DUMMYFUNCTION("""COMPUTED_VALUE"""),1.0)</f>
        <v>1</v>
      </c>
      <c r="E319" s="182" t="s">
        <v>711</v>
      </c>
      <c r="F319" s="182">
        <v>66.0</v>
      </c>
      <c r="G319" s="182">
        <v>0.0</v>
      </c>
      <c r="H319" s="182">
        <v>100.0</v>
      </c>
    </row>
    <row r="320">
      <c r="A320" s="182" t="s">
        <v>188</v>
      </c>
      <c r="B320" s="182" t="s">
        <v>714</v>
      </c>
      <c r="C320" s="189">
        <f>IFERROR(__xludf.DUMMYFUNCTION("""COMPUTED_VALUE"""),5.0)</f>
        <v>5</v>
      </c>
      <c r="D320" s="189">
        <f>IFERROR(__xludf.DUMMYFUNCTION("""COMPUTED_VALUE"""),4.0)</f>
        <v>4</v>
      </c>
      <c r="E320" s="182" t="s">
        <v>715</v>
      </c>
      <c r="F320" s="182">
        <v>146.0</v>
      </c>
      <c r="G320" s="182">
        <v>36.0</v>
      </c>
      <c r="H320" s="182">
        <v>80.21</v>
      </c>
    </row>
    <row r="321">
      <c r="A321" s="182" t="s">
        <v>188</v>
      </c>
      <c r="B321" s="182" t="s">
        <v>716</v>
      </c>
      <c r="C321" s="189">
        <f>IFERROR(__xludf.DUMMYFUNCTION("""COMPUTED_VALUE"""),4.0)</f>
        <v>4</v>
      </c>
      <c r="D321" s="189">
        <f>IFERROR(__xludf.DUMMYFUNCTION("""COMPUTED_VALUE"""),3.0)</f>
        <v>3</v>
      </c>
      <c r="E321" s="182" t="s">
        <v>715</v>
      </c>
      <c r="F321" s="182">
        <v>70.0</v>
      </c>
      <c r="G321" s="182">
        <v>27.0</v>
      </c>
      <c r="H321" s="182">
        <v>72.16</v>
      </c>
    </row>
    <row r="322">
      <c r="A322" s="182" t="s">
        <v>188</v>
      </c>
      <c r="B322" s="182" t="s">
        <v>717</v>
      </c>
      <c r="C322" s="189">
        <f>IFERROR(__xludf.DUMMYFUNCTION("""COMPUTED_VALUE"""),3.0)</f>
        <v>3</v>
      </c>
      <c r="D322" s="189">
        <f>IFERROR(__xludf.DUMMYFUNCTION("""COMPUTED_VALUE"""),2.0)</f>
        <v>2</v>
      </c>
      <c r="E322" s="182" t="s">
        <v>715</v>
      </c>
      <c r="F322" s="182">
        <v>50.0</v>
      </c>
      <c r="G322" s="182">
        <v>14.0</v>
      </c>
      <c r="H322" s="182">
        <v>78.12</v>
      </c>
    </row>
    <row r="323">
      <c r="A323" s="182" t="s">
        <v>188</v>
      </c>
      <c r="B323" s="182" t="s">
        <v>718</v>
      </c>
      <c r="C323" s="189">
        <f>IFERROR(__xludf.DUMMYFUNCTION("""COMPUTED_VALUE"""),2.0)</f>
        <v>2</v>
      </c>
      <c r="D323" s="189">
        <f>IFERROR(__xludf.DUMMYFUNCTION("""COMPUTED_VALUE"""),1.0)</f>
        <v>1</v>
      </c>
      <c r="E323" s="182" t="s">
        <v>715</v>
      </c>
      <c r="F323" s="182">
        <v>51.0</v>
      </c>
      <c r="G323" s="182">
        <v>4.0</v>
      </c>
      <c r="H323" s="182">
        <v>92.72</v>
      </c>
    </row>
    <row r="324">
      <c r="A324" s="182" t="s">
        <v>188</v>
      </c>
      <c r="B324" s="182" t="s">
        <v>719</v>
      </c>
      <c r="C324" s="189">
        <f>IFERROR(__xludf.DUMMYFUNCTION("""COMPUTED_VALUE"""),4.0)</f>
        <v>4</v>
      </c>
      <c r="D324" s="189">
        <f>IFERROR(__xludf.DUMMYFUNCTION("""COMPUTED_VALUE"""),4.0)</f>
        <v>4</v>
      </c>
      <c r="E324" s="182">
        <v>0.0</v>
      </c>
      <c r="F324" s="182">
        <v>77.0</v>
      </c>
      <c r="G324" s="182">
        <v>66.0</v>
      </c>
      <c r="H324" s="182">
        <v>53.84</v>
      </c>
    </row>
    <row r="325">
      <c r="A325" s="182" t="s">
        <v>188</v>
      </c>
      <c r="B325" s="182" t="s">
        <v>720</v>
      </c>
      <c r="C325" s="189">
        <f>IFERROR(__xludf.DUMMYFUNCTION("""COMPUTED_VALUE"""),3.0)</f>
        <v>3</v>
      </c>
      <c r="D325" s="189">
        <f>IFERROR(__xludf.DUMMYFUNCTION("""COMPUTED_VALUE"""),3.0)</f>
        <v>3</v>
      </c>
      <c r="E325" s="182">
        <v>0.0</v>
      </c>
      <c r="F325" s="182">
        <v>43.0</v>
      </c>
      <c r="G325" s="182">
        <v>35.0</v>
      </c>
      <c r="H325" s="182">
        <v>55.12</v>
      </c>
    </row>
    <row r="326">
      <c r="A326" s="182" t="s">
        <v>188</v>
      </c>
      <c r="B326" s="182" t="s">
        <v>721</v>
      </c>
      <c r="C326" s="189">
        <f>IFERROR(__xludf.DUMMYFUNCTION("""COMPUTED_VALUE"""),2.0)</f>
        <v>2</v>
      </c>
      <c r="D326" s="189">
        <f>IFERROR(__xludf.DUMMYFUNCTION("""COMPUTED_VALUE"""),2.0)</f>
        <v>2</v>
      </c>
      <c r="E326" s="182">
        <v>0.0</v>
      </c>
      <c r="F326" s="182">
        <v>35.0</v>
      </c>
      <c r="G326" s="182">
        <v>29.0</v>
      </c>
      <c r="H326" s="182">
        <v>54.68</v>
      </c>
    </row>
    <row r="327">
      <c r="A327" s="182" t="s">
        <v>188</v>
      </c>
      <c r="B327" s="182" t="s">
        <v>722</v>
      </c>
      <c r="C327" s="189">
        <f>IFERROR(__xludf.DUMMYFUNCTION("""COMPUTED_VALUE"""),1.0)</f>
        <v>1</v>
      </c>
      <c r="D327" s="189">
        <f>IFERROR(__xludf.DUMMYFUNCTION("""COMPUTED_VALUE"""),1.0)</f>
        <v>1</v>
      </c>
      <c r="E327" s="182">
        <v>0.0</v>
      </c>
      <c r="F327" s="182">
        <v>21.0</v>
      </c>
      <c r="G327" s="182">
        <v>20.0</v>
      </c>
      <c r="H327" s="182">
        <v>51.21</v>
      </c>
    </row>
    <row r="328">
      <c r="A328" s="182" t="s">
        <v>188</v>
      </c>
      <c r="B328" s="182" t="s">
        <v>723</v>
      </c>
      <c r="C328" s="189">
        <f>IFERROR(__xludf.DUMMYFUNCTION("""COMPUTED_VALUE"""),4.0)</f>
        <v>4</v>
      </c>
      <c r="D328" s="189">
        <f>IFERROR(__xludf.DUMMYFUNCTION("""COMPUTED_VALUE"""),5.0)</f>
        <v>5</v>
      </c>
      <c r="E328" s="182">
        <v>-1.0</v>
      </c>
      <c r="F328" s="182">
        <v>50.0</v>
      </c>
      <c r="G328" s="182">
        <v>130.0</v>
      </c>
      <c r="H328" s="182">
        <v>27.77</v>
      </c>
    </row>
    <row r="329">
      <c r="A329" s="182" t="s">
        <v>188</v>
      </c>
      <c r="B329" s="182" t="s">
        <v>724</v>
      </c>
      <c r="C329" s="189">
        <f>IFERROR(__xludf.DUMMYFUNCTION("""COMPUTED_VALUE"""),3.0)</f>
        <v>3</v>
      </c>
      <c r="D329" s="189">
        <f>IFERROR(__xludf.DUMMYFUNCTION("""COMPUTED_VALUE"""),4.0)</f>
        <v>4</v>
      </c>
      <c r="E329" s="182">
        <v>-1.0</v>
      </c>
      <c r="F329" s="182">
        <v>18.0</v>
      </c>
      <c r="G329" s="182">
        <v>53.0</v>
      </c>
      <c r="H329" s="182">
        <v>25.35</v>
      </c>
    </row>
    <row r="330">
      <c r="A330" s="182" t="s">
        <v>188</v>
      </c>
      <c r="B330" s="182" t="s">
        <v>725</v>
      </c>
      <c r="C330" s="189">
        <f>IFERROR(__xludf.DUMMYFUNCTION("""COMPUTED_VALUE"""),2.0)</f>
        <v>2</v>
      </c>
      <c r="D330" s="189">
        <f>IFERROR(__xludf.DUMMYFUNCTION("""COMPUTED_VALUE"""),3.0)</f>
        <v>3</v>
      </c>
      <c r="E330" s="182">
        <v>-1.0</v>
      </c>
      <c r="F330" s="182">
        <v>19.0</v>
      </c>
      <c r="G330" s="182">
        <v>35.0</v>
      </c>
      <c r="H330" s="182">
        <v>35.18</v>
      </c>
    </row>
    <row r="331">
      <c r="A331" s="182" t="s">
        <v>188</v>
      </c>
      <c r="B331" s="182" t="s">
        <v>726</v>
      </c>
      <c r="C331" s="189">
        <f>IFERROR(__xludf.DUMMYFUNCTION("""COMPUTED_VALUE"""),1.0)</f>
        <v>1</v>
      </c>
      <c r="D331" s="189">
        <f>IFERROR(__xludf.DUMMYFUNCTION("""COMPUTED_VALUE"""),2.0)</f>
        <v>2</v>
      </c>
      <c r="E331" s="182">
        <v>-1.0</v>
      </c>
      <c r="F331" s="182">
        <v>8.0</v>
      </c>
      <c r="G331" s="182">
        <v>49.0</v>
      </c>
      <c r="H331" s="182">
        <v>14.03</v>
      </c>
    </row>
    <row r="332">
      <c r="A332" s="182" t="s">
        <v>188</v>
      </c>
      <c r="B332" s="182" t="s">
        <v>727</v>
      </c>
      <c r="C332" s="189">
        <f>IFERROR(__xludf.DUMMYFUNCTION("""COMPUTED_VALUE"""),3.0)</f>
        <v>3</v>
      </c>
      <c r="D332" s="189">
        <f>IFERROR(__xludf.DUMMYFUNCTION("""COMPUTED_VALUE"""),5.0)</f>
        <v>5</v>
      </c>
      <c r="E332" s="182">
        <v>-2.0</v>
      </c>
      <c r="F332" s="182">
        <v>10.0</v>
      </c>
      <c r="G332" s="182">
        <v>82.0</v>
      </c>
      <c r="H332" s="182">
        <v>10.86</v>
      </c>
    </row>
    <row r="333">
      <c r="A333" s="182" t="s">
        <v>188</v>
      </c>
      <c r="B333" s="182" t="s">
        <v>728</v>
      </c>
      <c r="C333" s="189">
        <f>IFERROR(__xludf.DUMMYFUNCTION("""COMPUTED_VALUE"""),2.0)</f>
        <v>2</v>
      </c>
      <c r="D333" s="189">
        <f>IFERROR(__xludf.DUMMYFUNCTION("""COMPUTED_VALUE"""),4.0)</f>
        <v>4</v>
      </c>
      <c r="E333" s="182">
        <v>-2.0</v>
      </c>
      <c r="F333" s="182">
        <v>3.0</v>
      </c>
      <c r="G333" s="182">
        <v>62.0</v>
      </c>
      <c r="H333" s="182">
        <v>4.61</v>
      </c>
    </row>
    <row r="334">
      <c r="A334" s="182" t="s">
        <v>188</v>
      </c>
      <c r="B334" s="182" t="s">
        <v>729</v>
      </c>
      <c r="C334" s="189">
        <f>IFERROR(__xludf.DUMMYFUNCTION("""COMPUTED_VALUE"""),1.0)</f>
        <v>1</v>
      </c>
      <c r="D334" s="189">
        <f>IFERROR(__xludf.DUMMYFUNCTION("""COMPUTED_VALUE"""),3.0)</f>
        <v>3</v>
      </c>
      <c r="E334" s="182">
        <v>-2.0</v>
      </c>
      <c r="F334" s="182">
        <v>4.0</v>
      </c>
      <c r="G334" s="182">
        <v>44.0</v>
      </c>
      <c r="H334" s="182">
        <v>8.33</v>
      </c>
    </row>
    <row r="335">
      <c r="A335" s="182" t="s">
        <v>188</v>
      </c>
      <c r="B335" s="182" t="s">
        <v>730</v>
      </c>
      <c r="C335" s="189">
        <f>IFERROR(__xludf.DUMMYFUNCTION("""COMPUTED_VALUE"""),2.0)</f>
        <v>2</v>
      </c>
      <c r="D335" s="189">
        <f>IFERROR(__xludf.DUMMYFUNCTION("""COMPUTED_VALUE"""),5.0)</f>
        <v>5</v>
      </c>
      <c r="E335" s="182">
        <v>-3.0</v>
      </c>
      <c r="F335" s="182">
        <v>1.0</v>
      </c>
      <c r="G335" s="182">
        <v>61.0</v>
      </c>
      <c r="H335" s="182">
        <v>1.61</v>
      </c>
    </row>
    <row r="336">
      <c r="A336" s="182" t="s">
        <v>188</v>
      </c>
      <c r="B336" s="182" t="s">
        <v>731</v>
      </c>
      <c r="C336" s="189">
        <f>IFERROR(__xludf.DUMMYFUNCTION("""COMPUTED_VALUE"""),1.0)</f>
        <v>1</v>
      </c>
      <c r="D336" s="189">
        <f>IFERROR(__xludf.DUMMYFUNCTION("""COMPUTED_VALUE"""),4.0)</f>
        <v>4</v>
      </c>
      <c r="E336" s="182">
        <v>-3.0</v>
      </c>
      <c r="F336" s="182">
        <v>0.0</v>
      </c>
      <c r="G336" s="182">
        <v>61.0</v>
      </c>
      <c r="H336" s="182">
        <v>0.0</v>
      </c>
    </row>
    <row r="337">
      <c r="A337" s="182" t="s">
        <v>188</v>
      </c>
      <c r="B337" s="182" t="s">
        <v>732</v>
      </c>
      <c r="C337" s="189">
        <f>IFERROR(__xludf.DUMMYFUNCTION("""COMPUTED_VALUE"""),1.0)</f>
        <v>1</v>
      </c>
      <c r="D337" s="189">
        <f>IFERROR(__xludf.DUMMYFUNCTION("""COMPUTED_VALUE"""),5.0)</f>
        <v>5</v>
      </c>
      <c r="E337" s="182">
        <v>-4.0</v>
      </c>
      <c r="F337" s="182">
        <v>0.0</v>
      </c>
      <c r="G337" s="182">
        <v>32.0</v>
      </c>
      <c r="H337" s="182">
        <v>0.0</v>
      </c>
    </row>
    <row r="338">
      <c r="C338" s="189" t="str">
        <f>IFERROR(__xludf.DUMMYFUNCTION("""COMPUTED_VALUE"""),"#VALUE!")</f>
        <v>#VALUE!</v>
      </c>
      <c r="D338" s="189"/>
    </row>
    <row r="339">
      <c r="C339" s="189" t="str">
        <f>IFERROR(__xludf.DUMMYFUNCTION("""COMPUTED_VALUE"""),"#VALUE!")</f>
        <v>#VALUE!</v>
      </c>
      <c r="D339" s="189"/>
    </row>
    <row r="340">
      <c r="C340" s="189" t="str">
        <f>IFERROR(__xludf.DUMMYFUNCTION("""COMPUTED_VALUE"""),"#VALUE!")</f>
        <v>#VALUE!</v>
      </c>
      <c r="D340" s="189"/>
    </row>
    <row r="341">
      <c r="C341" s="189" t="str">
        <f>IFERROR(__xludf.DUMMYFUNCTION("""COMPUTED_VALUE"""),"#VALUE!")</f>
        <v>#VALUE!</v>
      </c>
      <c r="D341" s="189"/>
    </row>
    <row r="342">
      <c r="C342" s="189" t="str">
        <f>IFERROR(__xludf.DUMMYFUNCTION("""COMPUTED_VALUE"""),"#VALUE!")</f>
        <v>#VALUE!</v>
      </c>
      <c r="D342" s="189"/>
    </row>
    <row r="343">
      <c r="C343" s="189" t="str">
        <f>IFERROR(__xludf.DUMMYFUNCTION("""COMPUTED_VALUE"""),"#VALUE!")</f>
        <v>#VALUE!</v>
      </c>
      <c r="D343" s="189"/>
    </row>
    <row r="344">
      <c r="C344" s="189" t="str">
        <f>IFERROR(__xludf.DUMMYFUNCTION("""COMPUTED_VALUE"""),"#VALUE!")</f>
        <v>#VALUE!</v>
      </c>
      <c r="D344" s="189"/>
    </row>
    <row r="345">
      <c r="C345" s="189" t="str">
        <f>IFERROR(__xludf.DUMMYFUNCTION("""COMPUTED_VALUE"""),"#VALUE!")</f>
        <v>#VALUE!</v>
      </c>
      <c r="D345" s="189"/>
    </row>
    <row r="346">
      <c r="C346" s="189" t="str">
        <f>IFERROR(__xludf.DUMMYFUNCTION("""COMPUTED_VALUE"""),"#VALUE!")</f>
        <v>#VALUE!</v>
      </c>
      <c r="D346" s="189"/>
    </row>
    <row r="347">
      <c r="C347" s="189" t="str">
        <f>IFERROR(__xludf.DUMMYFUNCTION("""COMPUTED_VALUE"""),"#VALUE!")</f>
        <v>#VALUE!</v>
      </c>
      <c r="D347" s="189"/>
    </row>
    <row r="348">
      <c r="C348" s="189" t="str">
        <f>IFERROR(__xludf.DUMMYFUNCTION("""COMPUTED_VALUE"""),"#VALUE!")</f>
        <v>#VALUE!</v>
      </c>
      <c r="D348" s="189"/>
    </row>
    <row r="349">
      <c r="C349" s="189" t="str">
        <f>IFERROR(__xludf.DUMMYFUNCTION("""COMPUTED_VALUE"""),"#VALUE!")</f>
        <v>#VALUE!</v>
      </c>
      <c r="D349" s="189"/>
    </row>
    <row r="350">
      <c r="C350" s="189" t="str">
        <f>IFERROR(__xludf.DUMMYFUNCTION("""COMPUTED_VALUE"""),"#VALUE!")</f>
        <v>#VALUE!</v>
      </c>
      <c r="D350" s="189"/>
    </row>
    <row r="351">
      <c r="C351" s="189" t="str">
        <f>IFERROR(__xludf.DUMMYFUNCTION("""COMPUTED_VALUE"""),"#VALUE!")</f>
        <v>#VALUE!</v>
      </c>
      <c r="D351" s="189"/>
    </row>
    <row r="352">
      <c r="C352" s="189" t="str">
        <f>IFERROR(__xludf.DUMMYFUNCTION("""COMPUTED_VALUE"""),"#VALUE!")</f>
        <v>#VALUE!</v>
      </c>
      <c r="D352" s="189"/>
    </row>
    <row r="353">
      <c r="C353" s="189" t="str">
        <f>IFERROR(__xludf.DUMMYFUNCTION("""COMPUTED_VALUE"""),"#VALUE!")</f>
        <v>#VALUE!</v>
      </c>
      <c r="D353" s="189"/>
    </row>
    <row r="354">
      <c r="C354" s="189" t="str">
        <f>IFERROR(__xludf.DUMMYFUNCTION("""COMPUTED_VALUE"""),"#VALUE!")</f>
        <v>#VALUE!</v>
      </c>
      <c r="D354" s="189"/>
    </row>
    <row r="355">
      <c r="C355" s="189" t="str">
        <f>IFERROR(__xludf.DUMMYFUNCTION("""COMPUTED_VALUE"""),"#VALUE!")</f>
        <v>#VALUE!</v>
      </c>
      <c r="D355" s="189"/>
    </row>
    <row r="356">
      <c r="C356" s="189" t="str">
        <f>IFERROR(__xludf.DUMMYFUNCTION("""COMPUTED_VALUE"""),"#VALUE!")</f>
        <v>#VALUE!</v>
      </c>
      <c r="D356" s="189"/>
    </row>
    <row r="357">
      <c r="C357" s="189" t="str">
        <f>IFERROR(__xludf.DUMMYFUNCTION("""COMPUTED_VALUE"""),"#VALUE!")</f>
        <v>#VALUE!</v>
      </c>
      <c r="D357" s="189"/>
    </row>
    <row r="358">
      <c r="C358" s="189" t="str">
        <f>IFERROR(__xludf.DUMMYFUNCTION("""COMPUTED_VALUE"""),"#VALUE!")</f>
        <v>#VALUE!</v>
      </c>
      <c r="D358" s="189"/>
    </row>
    <row r="359">
      <c r="C359" s="189" t="str">
        <f>IFERROR(__xludf.DUMMYFUNCTION("""COMPUTED_VALUE"""),"#VALUE!")</f>
        <v>#VALUE!</v>
      </c>
      <c r="D359" s="189"/>
    </row>
    <row r="360">
      <c r="C360" s="189" t="str">
        <f>IFERROR(__xludf.DUMMYFUNCTION("""COMPUTED_VALUE"""),"#VALUE!")</f>
        <v>#VALUE!</v>
      </c>
      <c r="D360" s="189"/>
    </row>
    <row r="361">
      <c r="C361" s="189" t="str">
        <f>IFERROR(__xludf.DUMMYFUNCTION("""COMPUTED_VALUE"""),"#VALUE!")</f>
        <v>#VALUE!</v>
      </c>
      <c r="D361" s="189"/>
    </row>
    <row r="362">
      <c r="C362" s="189" t="str">
        <f>IFERROR(__xludf.DUMMYFUNCTION("""COMPUTED_VALUE"""),"#VALUE!")</f>
        <v>#VALUE!</v>
      </c>
      <c r="D362" s="189"/>
    </row>
    <row r="363">
      <c r="C363" s="189" t="str">
        <f>IFERROR(__xludf.DUMMYFUNCTION("""COMPUTED_VALUE"""),"#VALUE!")</f>
        <v>#VALUE!</v>
      </c>
      <c r="D363" s="189"/>
    </row>
    <row r="364">
      <c r="C364" s="189" t="str">
        <f>IFERROR(__xludf.DUMMYFUNCTION("""COMPUTED_VALUE"""),"#VALUE!")</f>
        <v>#VALUE!</v>
      </c>
      <c r="D364" s="189"/>
    </row>
    <row r="365">
      <c r="C365" s="189" t="str">
        <f>IFERROR(__xludf.DUMMYFUNCTION("""COMPUTED_VALUE"""),"#VALUE!")</f>
        <v>#VALUE!</v>
      </c>
      <c r="D365" s="189"/>
    </row>
    <row r="366">
      <c r="C366" s="189" t="str">
        <f>IFERROR(__xludf.DUMMYFUNCTION("""COMPUTED_VALUE"""),"#VALUE!")</f>
        <v>#VALUE!</v>
      </c>
      <c r="D366" s="189"/>
    </row>
    <row r="367">
      <c r="C367" s="189" t="str">
        <f>IFERROR(__xludf.DUMMYFUNCTION("""COMPUTED_VALUE"""),"#VALUE!")</f>
        <v>#VALUE!</v>
      </c>
      <c r="D367" s="189"/>
    </row>
    <row r="368">
      <c r="C368" s="189" t="str">
        <f>IFERROR(__xludf.DUMMYFUNCTION("""COMPUTED_VALUE"""),"#VALUE!")</f>
        <v>#VALUE!</v>
      </c>
      <c r="D368" s="189"/>
    </row>
    <row r="369">
      <c r="C369" s="189" t="str">
        <f>IFERROR(__xludf.DUMMYFUNCTION("""COMPUTED_VALUE"""),"#VALUE!")</f>
        <v>#VALUE!</v>
      </c>
      <c r="D369" s="189"/>
    </row>
    <row r="370">
      <c r="C370" s="189" t="str">
        <f>IFERROR(__xludf.DUMMYFUNCTION("""COMPUTED_VALUE"""),"#VALUE!")</f>
        <v>#VALUE!</v>
      </c>
      <c r="D370" s="189"/>
    </row>
    <row r="371">
      <c r="C371" s="189" t="str">
        <f>IFERROR(__xludf.DUMMYFUNCTION("""COMPUTED_VALUE"""),"#VALUE!")</f>
        <v>#VALUE!</v>
      </c>
      <c r="D371" s="189"/>
    </row>
    <row r="372">
      <c r="C372" s="189" t="str">
        <f>IFERROR(__xludf.DUMMYFUNCTION("""COMPUTED_VALUE"""),"#VALUE!")</f>
        <v>#VALUE!</v>
      </c>
      <c r="D372" s="189"/>
    </row>
    <row r="373">
      <c r="C373" s="189" t="str">
        <f>IFERROR(__xludf.DUMMYFUNCTION("""COMPUTED_VALUE"""),"#VALUE!")</f>
        <v>#VALUE!</v>
      </c>
      <c r="D373" s="189"/>
    </row>
    <row r="374">
      <c r="C374" s="189" t="str">
        <f>IFERROR(__xludf.DUMMYFUNCTION("""COMPUTED_VALUE"""),"#VALUE!")</f>
        <v>#VALUE!</v>
      </c>
      <c r="D374" s="189"/>
    </row>
    <row r="375">
      <c r="C375" s="189" t="str">
        <f>IFERROR(__xludf.DUMMYFUNCTION("""COMPUTED_VALUE"""),"#VALUE!")</f>
        <v>#VALUE!</v>
      </c>
      <c r="D375" s="189"/>
    </row>
    <row r="376">
      <c r="C376" s="189" t="str">
        <f>IFERROR(__xludf.DUMMYFUNCTION("""COMPUTED_VALUE"""),"#VALUE!")</f>
        <v>#VALUE!</v>
      </c>
      <c r="D376" s="189"/>
    </row>
    <row r="377">
      <c r="C377" s="189" t="str">
        <f>IFERROR(__xludf.DUMMYFUNCTION("""COMPUTED_VALUE"""),"#VALUE!")</f>
        <v>#VALUE!</v>
      </c>
      <c r="D377" s="189"/>
    </row>
    <row r="378">
      <c r="C378" s="189" t="str">
        <f>IFERROR(__xludf.DUMMYFUNCTION("""COMPUTED_VALUE"""),"#VALUE!")</f>
        <v>#VALUE!</v>
      </c>
      <c r="D378" s="189"/>
    </row>
    <row r="379">
      <c r="C379" s="189" t="str">
        <f>IFERROR(__xludf.DUMMYFUNCTION("""COMPUTED_VALUE"""),"#VALUE!")</f>
        <v>#VALUE!</v>
      </c>
      <c r="D379" s="189"/>
    </row>
    <row r="380">
      <c r="C380" s="189" t="str">
        <f>IFERROR(__xludf.DUMMYFUNCTION("""COMPUTED_VALUE"""),"#VALUE!")</f>
        <v>#VALUE!</v>
      </c>
      <c r="D380" s="189"/>
    </row>
    <row r="381">
      <c r="C381" s="189" t="str">
        <f>IFERROR(__xludf.DUMMYFUNCTION("""COMPUTED_VALUE"""),"#VALUE!")</f>
        <v>#VALUE!</v>
      </c>
      <c r="D381" s="189"/>
    </row>
    <row r="382">
      <c r="C382" s="189" t="str">
        <f>IFERROR(__xludf.DUMMYFUNCTION("""COMPUTED_VALUE"""),"#VALUE!")</f>
        <v>#VALUE!</v>
      </c>
      <c r="D382" s="189"/>
    </row>
    <row r="383">
      <c r="C383" s="189" t="str">
        <f>IFERROR(__xludf.DUMMYFUNCTION("""COMPUTED_VALUE"""),"#VALUE!")</f>
        <v>#VALUE!</v>
      </c>
      <c r="D383" s="189"/>
    </row>
    <row r="384">
      <c r="C384" s="189" t="str">
        <f>IFERROR(__xludf.DUMMYFUNCTION("""COMPUTED_VALUE"""),"#VALUE!")</f>
        <v>#VALUE!</v>
      </c>
      <c r="D384" s="189"/>
    </row>
    <row r="385">
      <c r="C385" s="189" t="str">
        <f>IFERROR(__xludf.DUMMYFUNCTION("""COMPUTED_VALUE"""),"#VALUE!")</f>
        <v>#VALUE!</v>
      </c>
      <c r="D385" s="189"/>
    </row>
    <row r="386">
      <c r="C386" s="189" t="str">
        <f>IFERROR(__xludf.DUMMYFUNCTION("""COMPUTED_VALUE"""),"#VALUE!")</f>
        <v>#VALUE!</v>
      </c>
      <c r="D386" s="189"/>
    </row>
    <row r="387">
      <c r="C387" s="189" t="str">
        <f>IFERROR(__xludf.DUMMYFUNCTION("""COMPUTED_VALUE"""),"#VALUE!")</f>
        <v>#VALUE!</v>
      </c>
      <c r="D387" s="189"/>
    </row>
    <row r="388">
      <c r="C388" s="189" t="str">
        <f>IFERROR(__xludf.DUMMYFUNCTION("""COMPUTED_VALUE"""),"#VALUE!")</f>
        <v>#VALUE!</v>
      </c>
      <c r="D388" s="189"/>
    </row>
    <row r="389">
      <c r="C389" s="189" t="str">
        <f>IFERROR(__xludf.DUMMYFUNCTION("""COMPUTED_VALUE"""),"#VALUE!")</f>
        <v>#VALUE!</v>
      </c>
      <c r="D389" s="189"/>
    </row>
    <row r="390">
      <c r="C390" s="189" t="str">
        <f>IFERROR(__xludf.DUMMYFUNCTION("""COMPUTED_VALUE"""),"#VALUE!")</f>
        <v>#VALUE!</v>
      </c>
      <c r="D390" s="189"/>
    </row>
    <row r="391">
      <c r="C391" s="189" t="str">
        <f>IFERROR(__xludf.DUMMYFUNCTION("""COMPUTED_VALUE"""),"#VALUE!")</f>
        <v>#VALUE!</v>
      </c>
      <c r="D391" s="189"/>
    </row>
    <row r="392">
      <c r="C392" s="189" t="str">
        <f>IFERROR(__xludf.DUMMYFUNCTION("""COMPUTED_VALUE"""),"#VALUE!")</f>
        <v>#VALUE!</v>
      </c>
      <c r="D392" s="189"/>
    </row>
    <row r="393">
      <c r="C393" s="189" t="str">
        <f>IFERROR(__xludf.DUMMYFUNCTION("""COMPUTED_VALUE"""),"#VALUE!")</f>
        <v>#VALUE!</v>
      </c>
      <c r="D393" s="189"/>
    </row>
    <row r="394">
      <c r="C394" s="189" t="str">
        <f>IFERROR(__xludf.DUMMYFUNCTION("""COMPUTED_VALUE"""),"#VALUE!")</f>
        <v>#VALUE!</v>
      </c>
      <c r="D394" s="189"/>
    </row>
    <row r="395">
      <c r="C395" s="189" t="str">
        <f>IFERROR(__xludf.DUMMYFUNCTION("""COMPUTED_VALUE"""),"#VALUE!")</f>
        <v>#VALUE!</v>
      </c>
      <c r="D395" s="189"/>
    </row>
    <row r="396">
      <c r="C396" s="189" t="str">
        <f>IFERROR(__xludf.DUMMYFUNCTION("""COMPUTED_VALUE"""),"#VALUE!")</f>
        <v>#VALUE!</v>
      </c>
      <c r="D396" s="189"/>
    </row>
    <row r="397">
      <c r="C397" s="189" t="str">
        <f>IFERROR(__xludf.DUMMYFUNCTION("""COMPUTED_VALUE"""),"#VALUE!")</f>
        <v>#VALUE!</v>
      </c>
      <c r="D397" s="189"/>
    </row>
    <row r="398">
      <c r="C398" s="189" t="str">
        <f>IFERROR(__xludf.DUMMYFUNCTION("""COMPUTED_VALUE"""),"#VALUE!")</f>
        <v>#VALUE!</v>
      </c>
      <c r="D398" s="189"/>
    </row>
    <row r="399">
      <c r="C399" s="189" t="str">
        <f>IFERROR(__xludf.DUMMYFUNCTION("""COMPUTED_VALUE"""),"#VALUE!")</f>
        <v>#VALUE!</v>
      </c>
      <c r="D399" s="189"/>
    </row>
    <row r="400">
      <c r="C400" s="189" t="str">
        <f>IFERROR(__xludf.DUMMYFUNCTION("""COMPUTED_VALUE"""),"#VALUE!")</f>
        <v>#VALUE!</v>
      </c>
      <c r="D400" s="189"/>
    </row>
    <row r="401">
      <c r="C401" s="189" t="str">
        <f>IFERROR(__xludf.DUMMYFUNCTION("""COMPUTED_VALUE"""),"#VALUE!")</f>
        <v>#VALUE!</v>
      </c>
      <c r="D401" s="189"/>
    </row>
    <row r="402">
      <c r="C402" s="189" t="str">
        <f>IFERROR(__xludf.DUMMYFUNCTION("""COMPUTED_VALUE"""),"#VALUE!")</f>
        <v>#VALUE!</v>
      </c>
      <c r="D402" s="189"/>
    </row>
    <row r="403">
      <c r="C403" s="189" t="str">
        <f>IFERROR(__xludf.DUMMYFUNCTION("""COMPUTED_VALUE"""),"#VALUE!")</f>
        <v>#VALUE!</v>
      </c>
      <c r="D403" s="189"/>
    </row>
    <row r="404">
      <c r="C404" s="189" t="str">
        <f>IFERROR(__xludf.DUMMYFUNCTION("""COMPUTED_VALUE"""),"#VALUE!")</f>
        <v>#VALUE!</v>
      </c>
      <c r="D404" s="189"/>
    </row>
    <row r="405">
      <c r="C405" s="189" t="str">
        <f>IFERROR(__xludf.DUMMYFUNCTION("""COMPUTED_VALUE"""),"#VALUE!")</f>
        <v>#VALUE!</v>
      </c>
      <c r="D405" s="189"/>
    </row>
    <row r="406">
      <c r="C406" s="189" t="str">
        <f>IFERROR(__xludf.DUMMYFUNCTION("""COMPUTED_VALUE"""),"#VALUE!")</f>
        <v>#VALUE!</v>
      </c>
      <c r="D406" s="189"/>
    </row>
    <row r="407">
      <c r="C407" s="189" t="str">
        <f>IFERROR(__xludf.DUMMYFUNCTION("""COMPUTED_VALUE"""),"#VALUE!")</f>
        <v>#VALUE!</v>
      </c>
      <c r="D407" s="189"/>
    </row>
    <row r="408">
      <c r="C408" s="189" t="str">
        <f>IFERROR(__xludf.DUMMYFUNCTION("""COMPUTED_VALUE"""),"#VALUE!")</f>
        <v>#VALUE!</v>
      </c>
      <c r="D408" s="189"/>
    </row>
    <row r="409">
      <c r="C409" s="189" t="str">
        <f>IFERROR(__xludf.DUMMYFUNCTION("""COMPUTED_VALUE"""),"#VALUE!")</f>
        <v>#VALUE!</v>
      </c>
      <c r="D409" s="189"/>
    </row>
    <row r="410">
      <c r="C410" s="189" t="str">
        <f>IFERROR(__xludf.DUMMYFUNCTION("""COMPUTED_VALUE"""),"#VALUE!")</f>
        <v>#VALUE!</v>
      </c>
      <c r="D410" s="189"/>
    </row>
    <row r="411">
      <c r="C411" s="189" t="str">
        <f>IFERROR(__xludf.DUMMYFUNCTION("""COMPUTED_VALUE"""),"#VALUE!")</f>
        <v>#VALUE!</v>
      </c>
      <c r="D411" s="189"/>
    </row>
    <row r="412">
      <c r="C412" s="189" t="str">
        <f>IFERROR(__xludf.DUMMYFUNCTION("""COMPUTED_VALUE"""),"#VALUE!")</f>
        <v>#VALUE!</v>
      </c>
      <c r="D412" s="189"/>
    </row>
    <row r="413">
      <c r="C413" s="189" t="str">
        <f>IFERROR(__xludf.DUMMYFUNCTION("""COMPUTED_VALUE"""),"#VALUE!")</f>
        <v>#VALUE!</v>
      </c>
      <c r="D413" s="189"/>
    </row>
    <row r="414">
      <c r="C414" s="189" t="str">
        <f>IFERROR(__xludf.DUMMYFUNCTION("""COMPUTED_VALUE"""),"#VALUE!")</f>
        <v>#VALUE!</v>
      </c>
      <c r="D414" s="189"/>
    </row>
    <row r="415">
      <c r="C415" s="189" t="str">
        <f>IFERROR(__xludf.DUMMYFUNCTION("""COMPUTED_VALUE"""),"#VALUE!")</f>
        <v>#VALUE!</v>
      </c>
      <c r="D415" s="189"/>
    </row>
    <row r="416">
      <c r="C416" s="189" t="str">
        <f>IFERROR(__xludf.DUMMYFUNCTION("""COMPUTED_VALUE"""),"#VALUE!")</f>
        <v>#VALUE!</v>
      </c>
      <c r="D416" s="189"/>
    </row>
    <row r="417">
      <c r="C417" s="189" t="str">
        <f>IFERROR(__xludf.DUMMYFUNCTION("""COMPUTED_VALUE"""),"#VALUE!")</f>
        <v>#VALUE!</v>
      </c>
      <c r="D417" s="189"/>
    </row>
    <row r="418">
      <c r="C418" s="189" t="str">
        <f>IFERROR(__xludf.DUMMYFUNCTION("""COMPUTED_VALUE"""),"#VALUE!")</f>
        <v>#VALUE!</v>
      </c>
      <c r="D418" s="189"/>
    </row>
    <row r="419">
      <c r="C419" s="189" t="str">
        <f>IFERROR(__xludf.DUMMYFUNCTION("""COMPUTED_VALUE"""),"#VALUE!")</f>
        <v>#VALUE!</v>
      </c>
      <c r="D419" s="189"/>
    </row>
    <row r="420">
      <c r="C420" s="189" t="str">
        <f>IFERROR(__xludf.DUMMYFUNCTION("""COMPUTED_VALUE"""),"#VALUE!")</f>
        <v>#VALUE!</v>
      </c>
      <c r="D420" s="189"/>
    </row>
    <row r="421">
      <c r="C421" s="189" t="str">
        <f>IFERROR(__xludf.DUMMYFUNCTION("""COMPUTED_VALUE"""),"#VALUE!")</f>
        <v>#VALUE!</v>
      </c>
      <c r="D421" s="189"/>
    </row>
    <row r="422">
      <c r="C422" s="189" t="str">
        <f>IFERROR(__xludf.DUMMYFUNCTION("""COMPUTED_VALUE"""),"#VALUE!")</f>
        <v>#VALUE!</v>
      </c>
      <c r="D422" s="189"/>
    </row>
    <row r="423">
      <c r="C423" s="189" t="str">
        <f>IFERROR(__xludf.DUMMYFUNCTION("""COMPUTED_VALUE"""),"#VALUE!")</f>
        <v>#VALUE!</v>
      </c>
      <c r="D423" s="189"/>
    </row>
    <row r="424">
      <c r="C424" s="189" t="str">
        <f>IFERROR(__xludf.DUMMYFUNCTION("""COMPUTED_VALUE"""),"#VALUE!")</f>
        <v>#VALUE!</v>
      </c>
      <c r="D424" s="189"/>
    </row>
    <row r="425">
      <c r="C425" s="189" t="str">
        <f>IFERROR(__xludf.DUMMYFUNCTION("""COMPUTED_VALUE"""),"#VALUE!")</f>
        <v>#VALUE!</v>
      </c>
      <c r="D425" s="189"/>
    </row>
    <row r="426">
      <c r="C426" s="189" t="str">
        <f>IFERROR(__xludf.DUMMYFUNCTION("""COMPUTED_VALUE"""),"#VALUE!")</f>
        <v>#VALUE!</v>
      </c>
      <c r="D426" s="189"/>
    </row>
    <row r="427">
      <c r="C427" s="189" t="str">
        <f>IFERROR(__xludf.DUMMYFUNCTION("""COMPUTED_VALUE"""),"#VALUE!")</f>
        <v>#VALUE!</v>
      </c>
      <c r="D427" s="189"/>
    </row>
    <row r="428">
      <c r="C428" s="189" t="str">
        <f>IFERROR(__xludf.DUMMYFUNCTION("""COMPUTED_VALUE"""),"#VALUE!")</f>
        <v>#VALUE!</v>
      </c>
      <c r="D428" s="189"/>
    </row>
    <row r="429">
      <c r="C429" s="189" t="str">
        <f>IFERROR(__xludf.DUMMYFUNCTION("""COMPUTED_VALUE"""),"#VALUE!")</f>
        <v>#VALUE!</v>
      </c>
      <c r="D429" s="189"/>
    </row>
    <row r="430">
      <c r="C430" s="189" t="str">
        <f>IFERROR(__xludf.DUMMYFUNCTION("""COMPUTED_VALUE"""),"#VALUE!")</f>
        <v>#VALUE!</v>
      </c>
      <c r="D430" s="189"/>
    </row>
    <row r="431">
      <c r="C431" s="189" t="str">
        <f>IFERROR(__xludf.DUMMYFUNCTION("""COMPUTED_VALUE"""),"#VALUE!")</f>
        <v>#VALUE!</v>
      </c>
      <c r="D431" s="189"/>
    </row>
    <row r="432">
      <c r="C432" s="189" t="str">
        <f>IFERROR(__xludf.DUMMYFUNCTION("""COMPUTED_VALUE"""),"#VALUE!")</f>
        <v>#VALUE!</v>
      </c>
      <c r="D432" s="189"/>
    </row>
    <row r="433">
      <c r="C433" s="189" t="str">
        <f>IFERROR(__xludf.DUMMYFUNCTION("""COMPUTED_VALUE"""),"#VALUE!")</f>
        <v>#VALUE!</v>
      </c>
      <c r="D433" s="189"/>
    </row>
    <row r="434">
      <c r="C434" s="189" t="str">
        <f>IFERROR(__xludf.DUMMYFUNCTION("""COMPUTED_VALUE"""),"#VALUE!")</f>
        <v>#VALUE!</v>
      </c>
      <c r="D434" s="189"/>
    </row>
    <row r="435">
      <c r="C435" s="189" t="str">
        <f>IFERROR(__xludf.DUMMYFUNCTION("""COMPUTED_VALUE"""),"#VALUE!")</f>
        <v>#VALUE!</v>
      </c>
      <c r="D435" s="189"/>
    </row>
    <row r="436">
      <c r="C436" s="189" t="str">
        <f>IFERROR(__xludf.DUMMYFUNCTION("""COMPUTED_VALUE"""),"#VALUE!")</f>
        <v>#VALUE!</v>
      </c>
      <c r="D436" s="189"/>
    </row>
    <row r="437">
      <c r="C437" s="189" t="str">
        <f>IFERROR(__xludf.DUMMYFUNCTION("""COMPUTED_VALUE"""),"#VALUE!")</f>
        <v>#VALUE!</v>
      </c>
      <c r="D437" s="189"/>
    </row>
    <row r="438">
      <c r="C438" s="189" t="str">
        <f>IFERROR(__xludf.DUMMYFUNCTION("""COMPUTED_VALUE"""),"#VALUE!")</f>
        <v>#VALUE!</v>
      </c>
      <c r="D438" s="189"/>
    </row>
    <row r="439">
      <c r="C439" s="189" t="str">
        <f>IFERROR(__xludf.DUMMYFUNCTION("""COMPUTED_VALUE"""),"#VALUE!")</f>
        <v>#VALUE!</v>
      </c>
      <c r="D439" s="189"/>
    </row>
    <row r="440">
      <c r="C440" s="189" t="str">
        <f>IFERROR(__xludf.DUMMYFUNCTION("""COMPUTED_VALUE"""),"#VALUE!")</f>
        <v>#VALUE!</v>
      </c>
      <c r="D440" s="189"/>
    </row>
    <row r="441">
      <c r="C441" s="189" t="str">
        <f>IFERROR(__xludf.DUMMYFUNCTION("""COMPUTED_VALUE"""),"#VALUE!")</f>
        <v>#VALUE!</v>
      </c>
      <c r="D441" s="189"/>
    </row>
    <row r="442">
      <c r="C442" s="189" t="str">
        <f>IFERROR(__xludf.DUMMYFUNCTION("""COMPUTED_VALUE"""),"#VALUE!")</f>
        <v>#VALUE!</v>
      </c>
      <c r="D442" s="189"/>
    </row>
    <row r="443">
      <c r="C443" s="189" t="str">
        <f>IFERROR(__xludf.DUMMYFUNCTION("""COMPUTED_VALUE"""),"#VALUE!")</f>
        <v>#VALUE!</v>
      </c>
      <c r="D443" s="189"/>
    </row>
    <row r="444">
      <c r="C444" s="189" t="str">
        <f>IFERROR(__xludf.DUMMYFUNCTION("""COMPUTED_VALUE"""),"#VALUE!")</f>
        <v>#VALUE!</v>
      </c>
      <c r="D444" s="189"/>
    </row>
    <row r="445">
      <c r="C445" s="189" t="str">
        <f>IFERROR(__xludf.DUMMYFUNCTION("""COMPUTED_VALUE"""),"#VALUE!")</f>
        <v>#VALUE!</v>
      </c>
      <c r="D445" s="189"/>
    </row>
    <row r="446">
      <c r="C446" s="189" t="str">
        <f>IFERROR(__xludf.DUMMYFUNCTION("""COMPUTED_VALUE"""),"#VALUE!")</f>
        <v>#VALUE!</v>
      </c>
      <c r="D446" s="189"/>
    </row>
    <row r="447">
      <c r="C447" s="189" t="str">
        <f>IFERROR(__xludf.DUMMYFUNCTION("""COMPUTED_VALUE"""),"#VALUE!")</f>
        <v>#VALUE!</v>
      </c>
      <c r="D447" s="189"/>
    </row>
    <row r="448">
      <c r="C448" s="189" t="str">
        <f>IFERROR(__xludf.DUMMYFUNCTION("""COMPUTED_VALUE"""),"#VALUE!")</f>
        <v>#VALUE!</v>
      </c>
      <c r="D448" s="189"/>
    </row>
    <row r="449">
      <c r="C449" s="189" t="str">
        <f>IFERROR(__xludf.DUMMYFUNCTION("""COMPUTED_VALUE"""),"#VALUE!")</f>
        <v>#VALUE!</v>
      </c>
      <c r="D449" s="189"/>
    </row>
    <row r="450">
      <c r="C450" s="189" t="str">
        <f>IFERROR(__xludf.DUMMYFUNCTION("""COMPUTED_VALUE"""),"#VALUE!")</f>
        <v>#VALUE!</v>
      </c>
      <c r="D450" s="189"/>
    </row>
    <row r="451">
      <c r="C451" s="189" t="str">
        <f>IFERROR(__xludf.DUMMYFUNCTION("""COMPUTED_VALUE"""),"#VALUE!")</f>
        <v>#VALUE!</v>
      </c>
      <c r="D451" s="189"/>
    </row>
    <row r="452">
      <c r="C452" s="189" t="str">
        <f>IFERROR(__xludf.DUMMYFUNCTION("""COMPUTED_VALUE"""),"#VALUE!")</f>
        <v>#VALUE!</v>
      </c>
      <c r="D452" s="189"/>
    </row>
    <row r="453">
      <c r="C453" s="189" t="str">
        <f>IFERROR(__xludf.DUMMYFUNCTION("""COMPUTED_VALUE"""),"#VALUE!")</f>
        <v>#VALUE!</v>
      </c>
      <c r="D453" s="189"/>
    </row>
    <row r="454">
      <c r="C454" s="189" t="str">
        <f>IFERROR(__xludf.DUMMYFUNCTION("""COMPUTED_VALUE"""),"#VALUE!")</f>
        <v>#VALUE!</v>
      </c>
      <c r="D454" s="189"/>
    </row>
    <row r="455">
      <c r="C455" s="189" t="str">
        <f>IFERROR(__xludf.DUMMYFUNCTION("""COMPUTED_VALUE"""),"#VALUE!")</f>
        <v>#VALUE!</v>
      </c>
      <c r="D455" s="189"/>
    </row>
    <row r="456">
      <c r="C456" s="189" t="str">
        <f>IFERROR(__xludf.DUMMYFUNCTION("""COMPUTED_VALUE"""),"#VALUE!")</f>
        <v>#VALUE!</v>
      </c>
      <c r="D456" s="189"/>
    </row>
    <row r="457">
      <c r="C457" s="189" t="str">
        <f>IFERROR(__xludf.DUMMYFUNCTION("""COMPUTED_VALUE"""),"#VALUE!")</f>
        <v>#VALUE!</v>
      </c>
      <c r="D457" s="189"/>
    </row>
    <row r="458">
      <c r="C458" s="189" t="str">
        <f>IFERROR(__xludf.DUMMYFUNCTION("""COMPUTED_VALUE"""),"#VALUE!")</f>
        <v>#VALUE!</v>
      </c>
      <c r="D458" s="189"/>
    </row>
    <row r="459">
      <c r="C459" s="189" t="str">
        <f>IFERROR(__xludf.DUMMYFUNCTION("""COMPUTED_VALUE"""),"#VALUE!")</f>
        <v>#VALUE!</v>
      </c>
      <c r="D459" s="189"/>
    </row>
    <row r="460">
      <c r="C460" s="189" t="str">
        <f>IFERROR(__xludf.DUMMYFUNCTION("""COMPUTED_VALUE"""),"#VALUE!")</f>
        <v>#VALUE!</v>
      </c>
      <c r="D460" s="189"/>
    </row>
    <row r="461">
      <c r="C461" s="189" t="str">
        <f>IFERROR(__xludf.DUMMYFUNCTION("""COMPUTED_VALUE"""),"#VALUE!")</f>
        <v>#VALUE!</v>
      </c>
      <c r="D461" s="189"/>
    </row>
    <row r="462">
      <c r="C462" s="189" t="str">
        <f>IFERROR(__xludf.DUMMYFUNCTION("""COMPUTED_VALUE"""),"#VALUE!")</f>
        <v>#VALUE!</v>
      </c>
      <c r="D462" s="189"/>
    </row>
    <row r="463">
      <c r="C463" s="189" t="str">
        <f>IFERROR(__xludf.DUMMYFUNCTION("""COMPUTED_VALUE"""),"#VALUE!")</f>
        <v>#VALUE!</v>
      </c>
      <c r="D463" s="189"/>
    </row>
    <row r="464">
      <c r="C464" s="189" t="str">
        <f>IFERROR(__xludf.DUMMYFUNCTION("""COMPUTED_VALUE"""),"#VALUE!")</f>
        <v>#VALUE!</v>
      </c>
      <c r="D464" s="189"/>
    </row>
    <row r="465">
      <c r="C465" s="189" t="str">
        <f>IFERROR(__xludf.DUMMYFUNCTION("""COMPUTED_VALUE"""),"#VALUE!")</f>
        <v>#VALUE!</v>
      </c>
      <c r="D465" s="189"/>
    </row>
    <row r="466">
      <c r="C466" s="189" t="str">
        <f>IFERROR(__xludf.DUMMYFUNCTION("""COMPUTED_VALUE"""),"#VALUE!")</f>
        <v>#VALUE!</v>
      </c>
      <c r="D466" s="189"/>
    </row>
    <row r="467">
      <c r="C467" s="189" t="str">
        <f>IFERROR(__xludf.DUMMYFUNCTION("""COMPUTED_VALUE"""),"#VALUE!")</f>
        <v>#VALUE!</v>
      </c>
      <c r="D467" s="189"/>
    </row>
    <row r="468">
      <c r="C468" s="189" t="str">
        <f>IFERROR(__xludf.DUMMYFUNCTION("""COMPUTED_VALUE"""),"#VALUE!")</f>
        <v>#VALUE!</v>
      </c>
      <c r="D468" s="189"/>
    </row>
    <row r="469">
      <c r="C469" s="189" t="str">
        <f>IFERROR(__xludf.DUMMYFUNCTION("""COMPUTED_VALUE"""),"#VALUE!")</f>
        <v>#VALUE!</v>
      </c>
      <c r="D469" s="189"/>
    </row>
    <row r="470">
      <c r="C470" s="189" t="str">
        <f>IFERROR(__xludf.DUMMYFUNCTION("""COMPUTED_VALUE"""),"#VALUE!")</f>
        <v>#VALUE!</v>
      </c>
      <c r="D470" s="189"/>
    </row>
    <row r="471">
      <c r="C471" s="189" t="str">
        <f>IFERROR(__xludf.DUMMYFUNCTION("""COMPUTED_VALUE"""),"#VALUE!")</f>
        <v>#VALUE!</v>
      </c>
      <c r="D471" s="189"/>
    </row>
    <row r="472">
      <c r="C472" s="189" t="str">
        <f>IFERROR(__xludf.DUMMYFUNCTION("""COMPUTED_VALUE"""),"#VALUE!")</f>
        <v>#VALUE!</v>
      </c>
      <c r="D472" s="189"/>
    </row>
    <row r="473">
      <c r="C473" s="189" t="str">
        <f>IFERROR(__xludf.DUMMYFUNCTION("""COMPUTED_VALUE"""),"#VALUE!")</f>
        <v>#VALUE!</v>
      </c>
      <c r="D473" s="189"/>
    </row>
    <row r="474">
      <c r="C474" s="189" t="str">
        <f>IFERROR(__xludf.DUMMYFUNCTION("""COMPUTED_VALUE"""),"#VALUE!")</f>
        <v>#VALUE!</v>
      </c>
      <c r="D474" s="189"/>
    </row>
    <row r="475">
      <c r="C475" s="189" t="str">
        <f>IFERROR(__xludf.DUMMYFUNCTION("""COMPUTED_VALUE"""),"#VALUE!")</f>
        <v>#VALUE!</v>
      </c>
      <c r="D475" s="189"/>
    </row>
    <row r="476">
      <c r="C476" s="189" t="str">
        <f>IFERROR(__xludf.DUMMYFUNCTION("""COMPUTED_VALUE"""),"#VALUE!")</f>
        <v>#VALUE!</v>
      </c>
      <c r="D476" s="189"/>
    </row>
    <row r="477">
      <c r="C477" s="189" t="str">
        <f>IFERROR(__xludf.DUMMYFUNCTION("""COMPUTED_VALUE"""),"#VALUE!")</f>
        <v>#VALUE!</v>
      </c>
      <c r="D477" s="189"/>
    </row>
    <row r="478">
      <c r="C478" s="189" t="str">
        <f>IFERROR(__xludf.DUMMYFUNCTION("""COMPUTED_VALUE"""),"#VALUE!")</f>
        <v>#VALUE!</v>
      </c>
      <c r="D478" s="189"/>
    </row>
    <row r="479">
      <c r="C479" s="189" t="str">
        <f>IFERROR(__xludf.DUMMYFUNCTION("""COMPUTED_VALUE"""),"#VALUE!")</f>
        <v>#VALUE!</v>
      </c>
      <c r="D479" s="189"/>
    </row>
    <row r="480">
      <c r="C480" s="189" t="str">
        <f>IFERROR(__xludf.DUMMYFUNCTION("""COMPUTED_VALUE"""),"#VALUE!")</f>
        <v>#VALUE!</v>
      </c>
      <c r="D480" s="189"/>
    </row>
    <row r="481">
      <c r="C481" s="189" t="str">
        <f>IFERROR(__xludf.DUMMYFUNCTION("""COMPUTED_VALUE"""),"#VALUE!")</f>
        <v>#VALUE!</v>
      </c>
      <c r="D481" s="189"/>
    </row>
    <row r="482">
      <c r="C482" s="189" t="str">
        <f>IFERROR(__xludf.DUMMYFUNCTION("""COMPUTED_VALUE"""),"#VALUE!")</f>
        <v>#VALUE!</v>
      </c>
      <c r="D482" s="189"/>
    </row>
    <row r="483">
      <c r="C483" s="189" t="str">
        <f>IFERROR(__xludf.DUMMYFUNCTION("""COMPUTED_VALUE"""),"#VALUE!")</f>
        <v>#VALUE!</v>
      </c>
      <c r="D483" s="189"/>
    </row>
    <row r="484">
      <c r="C484" s="189" t="str">
        <f>IFERROR(__xludf.DUMMYFUNCTION("""COMPUTED_VALUE"""),"#VALUE!")</f>
        <v>#VALUE!</v>
      </c>
      <c r="D484" s="189"/>
    </row>
    <row r="485">
      <c r="C485" s="189" t="str">
        <f>IFERROR(__xludf.DUMMYFUNCTION("""COMPUTED_VALUE"""),"#VALUE!")</f>
        <v>#VALUE!</v>
      </c>
      <c r="D485" s="189"/>
    </row>
    <row r="486">
      <c r="C486" s="189" t="str">
        <f>IFERROR(__xludf.DUMMYFUNCTION("""COMPUTED_VALUE"""),"#VALUE!")</f>
        <v>#VALUE!</v>
      </c>
      <c r="D486" s="189"/>
    </row>
    <row r="487">
      <c r="C487" s="189" t="str">
        <f>IFERROR(__xludf.DUMMYFUNCTION("""COMPUTED_VALUE"""),"#VALUE!")</f>
        <v>#VALUE!</v>
      </c>
      <c r="D487" s="189"/>
    </row>
    <row r="488">
      <c r="C488" s="189" t="str">
        <f>IFERROR(__xludf.DUMMYFUNCTION("""COMPUTED_VALUE"""),"#VALUE!")</f>
        <v>#VALUE!</v>
      </c>
      <c r="D488" s="189"/>
    </row>
    <row r="489">
      <c r="C489" s="189" t="str">
        <f>IFERROR(__xludf.DUMMYFUNCTION("""COMPUTED_VALUE"""),"#VALUE!")</f>
        <v>#VALUE!</v>
      </c>
      <c r="D489" s="189"/>
    </row>
    <row r="490">
      <c r="C490" s="189" t="str">
        <f>IFERROR(__xludf.DUMMYFUNCTION("""COMPUTED_VALUE"""),"#VALUE!")</f>
        <v>#VALUE!</v>
      </c>
      <c r="D490" s="189"/>
    </row>
    <row r="491">
      <c r="C491" s="189" t="str">
        <f>IFERROR(__xludf.DUMMYFUNCTION("""COMPUTED_VALUE"""),"#VALUE!")</f>
        <v>#VALUE!</v>
      </c>
      <c r="D491" s="189"/>
    </row>
    <row r="492">
      <c r="C492" s="189" t="str">
        <f>IFERROR(__xludf.DUMMYFUNCTION("""COMPUTED_VALUE"""),"#VALUE!")</f>
        <v>#VALUE!</v>
      </c>
      <c r="D492" s="189"/>
    </row>
    <row r="493">
      <c r="C493" s="189" t="str">
        <f>IFERROR(__xludf.DUMMYFUNCTION("""COMPUTED_VALUE"""),"#VALUE!")</f>
        <v>#VALUE!</v>
      </c>
      <c r="D493" s="189"/>
    </row>
    <row r="494">
      <c r="C494" s="189" t="str">
        <f>IFERROR(__xludf.DUMMYFUNCTION("""COMPUTED_VALUE"""),"#VALUE!")</f>
        <v>#VALUE!</v>
      </c>
      <c r="D494" s="189"/>
    </row>
    <row r="495">
      <c r="C495" s="189" t="str">
        <f>IFERROR(__xludf.DUMMYFUNCTION("""COMPUTED_VALUE"""),"#VALUE!")</f>
        <v>#VALUE!</v>
      </c>
      <c r="D495" s="189"/>
    </row>
    <row r="496">
      <c r="C496" s="189" t="str">
        <f>IFERROR(__xludf.DUMMYFUNCTION("""COMPUTED_VALUE"""),"#VALUE!")</f>
        <v>#VALUE!</v>
      </c>
      <c r="D496" s="189"/>
    </row>
    <row r="497">
      <c r="C497" s="189" t="str">
        <f>IFERROR(__xludf.DUMMYFUNCTION("""COMPUTED_VALUE"""),"#VALUE!")</f>
        <v>#VALUE!</v>
      </c>
      <c r="D497" s="189"/>
    </row>
    <row r="498">
      <c r="C498" s="189" t="str">
        <f>IFERROR(__xludf.DUMMYFUNCTION("""COMPUTED_VALUE"""),"#VALUE!")</f>
        <v>#VALUE!</v>
      </c>
      <c r="D498" s="189"/>
    </row>
    <row r="499">
      <c r="C499" s="189" t="str">
        <f>IFERROR(__xludf.DUMMYFUNCTION("""COMPUTED_VALUE"""),"#VALUE!")</f>
        <v>#VALUE!</v>
      </c>
      <c r="D499" s="189"/>
    </row>
    <row r="500">
      <c r="C500" s="189" t="str">
        <f>IFERROR(__xludf.DUMMYFUNCTION("""COMPUTED_VALUE"""),"#VALUE!")</f>
        <v>#VALUE!</v>
      </c>
      <c r="D500" s="189"/>
    </row>
    <row r="501">
      <c r="C501" s="189" t="str">
        <f>IFERROR(__xludf.DUMMYFUNCTION("""COMPUTED_VALUE"""),"#VALUE!")</f>
        <v>#VALUE!</v>
      </c>
      <c r="D501" s="189"/>
    </row>
    <row r="502">
      <c r="C502" s="189" t="str">
        <f>IFERROR(__xludf.DUMMYFUNCTION("""COMPUTED_VALUE"""),"#VALUE!")</f>
        <v>#VALUE!</v>
      </c>
      <c r="D502" s="189"/>
    </row>
    <row r="503">
      <c r="C503" s="189" t="str">
        <f>IFERROR(__xludf.DUMMYFUNCTION("""COMPUTED_VALUE"""),"#VALUE!")</f>
        <v>#VALUE!</v>
      </c>
      <c r="D503" s="189"/>
    </row>
    <row r="504">
      <c r="C504" s="189" t="str">
        <f>IFERROR(__xludf.DUMMYFUNCTION("""COMPUTED_VALUE"""),"#VALUE!")</f>
        <v>#VALUE!</v>
      </c>
      <c r="D504" s="189"/>
    </row>
    <row r="505">
      <c r="C505" s="189" t="str">
        <f>IFERROR(__xludf.DUMMYFUNCTION("""COMPUTED_VALUE"""),"#VALUE!")</f>
        <v>#VALUE!</v>
      </c>
      <c r="D505" s="189"/>
    </row>
    <row r="506">
      <c r="C506" s="189" t="str">
        <f>IFERROR(__xludf.DUMMYFUNCTION("""COMPUTED_VALUE"""),"#VALUE!")</f>
        <v>#VALUE!</v>
      </c>
      <c r="D506" s="189"/>
    </row>
    <row r="507">
      <c r="C507" s="189" t="str">
        <f>IFERROR(__xludf.DUMMYFUNCTION("""COMPUTED_VALUE"""),"#VALUE!")</f>
        <v>#VALUE!</v>
      </c>
      <c r="D507" s="189"/>
    </row>
    <row r="508">
      <c r="C508" s="189" t="str">
        <f>IFERROR(__xludf.DUMMYFUNCTION("""COMPUTED_VALUE"""),"#VALUE!")</f>
        <v>#VALUE!</v>
      </c>
      <c r="D508" s="189"/>
    </row>
    <row r="509">
      <c r="C509" s="189" t="str">
        <f>IFERROR(__xludf.DUMMYFUNCTION("""COMPUTED_VALUE"""),"#VALUE!")</f>
        <v>#VALUE!</v>
      </c>
      <c r="D509" s="189"/>
    </row>
    <row r="510">
      <c r="C510" s="189" t="str">
        <f>IFERROR(__xludf.DUMMYFUNCTION("""COMPUTED_VALUE"""),"#VALUE!")</f>
        <v>#VALUE!</v>
      </c>
      <c r="D510" s="189"/>
    </row>
    <row r="511">
      <c r="C511" s="189" t="str">
        <f>IFERROR(__xludf.DUMMYFUNCTION("""COMPUTED_VALUE"""),"#VALUE!")</f>
        <v>#VALUE!</v>
      </c>
      <c r="D511" s="189"/>
    </row>
    <row r="512">
      <c r="C512" s="189" t="str">
        <f>IFERROR(__xludf.DUMMYFUNCTION("""COMPUTED_VALUE"""),"#VALUE!")</f>
        <v>#VALUE!</v>
      </c>
      <c r="D512" s="189"/>
    </row>
    <row r="513">
      <c r="C513" s="189" t="str">
        <f>IFERROR(__xludf.DUMMYFUNCTION("""COMPUTED_VALUE"""),"#VALUE!")</f>
        <v>#VALUE!</v>
      </c>
      <c r="D513" s="189"/>
    </row>
    <row r="514">
      <c r="C514" s="189" t="str">
        <f>IFERROR(__xludf.DUMMYFUNCTION("""COMPUTED_VALUE"""),"#VALUE!")</f>
        <v>#VALUE!</v>
      </c>
      <c r="D514" s="189"/>
    </row>
    <row r="515">
      <c r="C515" s="189" t="str">
        <f>IFERROR(__xludf.DUMMYFUNCTION("""COMPUTED_VALUE"""),"#VALUE!")</f>
        <v>#VALUE!</v>
      </c>
      <c r="D515" s="189"/>
    </row>
    <row r="516">
      <c r="C516" s="189" t="str">
        <f>IFERROR(__xludf.DUMMYFUNCTION("""COMPUTED_VALUE"""),"#VALUE!")</f>
        <v>#VALUE!</v>
      </c>
      <c r="D516" s="189"/>
    </row>
    <row r="517">
      <c r="C517" s="189" t="str">
        <f>IFERROR(__xludf.DUMMYFUNCTION("""COMPUTED_VALUE"""),"#VALUE!")</f>
        <v>#VALUE!</v>
      </c>
      <c r="D517" s="189"/>
    </row>
    <row r="518">
      <c r="C518" s="189" t="str">
        <f>IFERROR(__xludf.DUMMYFUNCTION("""COMPUTED_VALUE"""),"#VALUE!")</f>
        <v>#VALUE!</v>
      </c>
      <c r="D518" s="189"/>
    </row>
    <row r="519">
      <c r="C519" s="189" t="str">
        <f>IFERROR(__xludf.DUMMYFUNCTION("""COMPUTED_VALUE"""),"#VALUE!")</f>
        <v>#VALUE!</v>
      </c>
      <c r="D519" s="189"/>
    </row>
    <row r="520">
      <c r="C520" s="189" t="str">
        <f>IFERROR(__xludf.DUMMYFUNCTION("""COMPUTED_VALUE"""),"#VALUE!")</f>
        <v>#VALUE!</v>
      </c>
      <c r="D520" s="189"/>
    </row>
    <row r="521">
      <c r="C521" s="189" t="str">
        <f>IFERROR(__xludf.DUMMYFUNCTION("""COMPUTED_VALUE"""),"#VALUE!")</f>
        <v>#VALUE!</v>
      </c>
      <c r="D521" s="189"/>
    </row>
    <row r="522">
      <c r="C522" s="189" t="str">
        <f>IFERROR(__xludf.DUMMYFUNCTION("""COMPUTED_VALUE"""),"#VALUE!")</f>
        <v>#VALUE!</v>
      </c>
      <c r="D522" s="189"/>
    </row>
    <row r="523">
      <c r="C523" s="189" t="str">
        <f>IFERROR(__xludf.DUMMYFUNCTION("""COMPUTED_VALUE"""),"#VALUE!")</f>
        <v>#VALUE!</v>
      </c>
      <c r="D523" s="189"/>
    </row>
    <row r="524">
      <c r="C524" s="189" t="str">
        <f>IFERROR(__xludf.DUMMYFUNCTION("""COMPUTED_VALUE"""),"#VALUE!")</f>
        <v>#VALUE!</v>
      </c>
      <c r="D524" s="189"/>
    </row>
    <row r="525">
      <c r="C525" s="189" t="str">
        <f>IFERROR(__xludf.DUMMYFUNCTION("""COMPUTED_VALUE"""),"#VALUE!")</f>
        <v>#VALUE!</v>
      </c>
      <c r="D525" s="189"/>
    </row>
    <row r="526">
      <c r="C526" s="189" t="str">
        <f>IFERROR(__xludf.DUMMYFUNCTION("""COMPUTED_VALUE"""),"#VALUE!")</f>
        <v>#VALUE!</v>
      </c>
      <c r="D526" s="189"/>
    </row>
    <row r="527">
      <c r="C527" s="189" t="str">
        <f>IFERROR(__xludf.DUMMYFUNCTION("""COMPUTED_VALUE"""),"#VALUE!")</f>
        <v>#VALUE!</v>
      </c>
      <c r="D527" s="189"/>
    </row>
    <row r="528">
      <c r="C528" s="189" t="str">
        <f>IFERROR(__xludf.DUMMYFUNCTION("""COMPUTED_VALUE"""),"#VALUE!")</f>
        <v>#VALUE!</v>
      </c>
      <c r="D528" s="189"/>
    </row>
    <row r="529">
      <c r="C529" s="189" t="str">
        <f>IFERROR(__xludf.DUMMYFUNCTION("""COMPUTED_VALUE"""),"#VALUE!")</f>
        <v>#VALUE!</v>
      </c>
      <c r="D529" s="189"/>
    </row>
    <row r="530">
      <c r="C530" s="189" t="str">
        <f>IFERROR(__xludf.DUMMYFUNCTION("""COMPUTED_VALUE"""),"#VALUE!")</f>
        <v>#VALUE!</v>
      </c>
      <c r="D530" s="189"/>
    </row>
    <row r="531">
      <c r="C531" s="189" t="str">
        <f>IFERROR(__xludf.DUMMYFUNCTION("""COMPUTED_VALUE"""),"#VALUE!")</f>
        <v>#VALUE!</v>
      </c>
      <c r="D531" s="189"/>
    </row>
    <row r="532">
      <c r="C532" s="189" t="str">
        <f>IFERROR(__xludf.DUMMYFUNCTION("""COMPUTED_VALUE"""),"#VALUE!")</f>
        <v>#VALUE!</v>
      </c>
      <c r="D532" s="189"/>
    </row>
    <row r="533">
      <c r="C533" s="189" t="str">
        <f>IFERROR(__xludf.DUMMYFUNCTION("""COMPUTED_VALUE"""),"#VALUE!")</f>
        <v>#VALUE!</v>
      </c>
      <c r="D533" s="189"/>
    </row>
    <row r="534">
      <c r="C534" s="189" t="str">
        <f>IFERROR(__xludf.DUMMYFUNCTION("""COMPUTED_VALUE"""),"#VALUE!")</f>
        <v>#VALUE!</v>
      </c>
      <c r="D534" s="189"/>
    </row>
    <row r="535">
      <c r="C535" s="189" t="str">
        <f>IFERROR(__xludf.DUMMYFUNCTION("""COMPUTED_VALUE"""),"#VALUE!")</f>
        <v>#VALUE!</v>
      </c>
      <c r="D535" s="189"/>
    </row>
    <row r="536">
      <c r="C536" s="189" t="str">
        <f>IFERROR(__xludf.DUMMYFUNCTION("""COMPUTED_VALUE"""),"#VALUE!")</f>
        <v>#VALUE!</v>
      </c>
      <c r="D536" s="189"/>
    </row>
    <row r="537">
      <c r="C537" s="189" t="str">
        <f>IFERROR(__xludf.DUMMYFUNCTION("""COMPUTED_VALUE"""),"#VALUE!")</f>
        <v>#VALUE!</v>
      </c>
      <c r="D537" s="189"/>
    </row>
    <row r="538">
      <c r="C538" s="189" t="str">
        <f>IFERROR(__xludf.DUMMYFUNCTION("""COMPUTED_VALUE"""),"#VALUE!")</f>
        <v>#VALUE!</v>
      </c>
      <c r="D538" s="189"/>
    </row>
    <row r="539">
      <c r="C539" s="189" t="str">
        <f>IFERROR(__xludf.DUMMYFUNCTION("""COMPUTED_VALUE"""),"#VALUE!")</f>
        <v>#VALUE!</v>
      </c>
      <c r="D539" s="189"/>
    </row>
    <row r="540">
      <c r="C540" s="189" t="str">
        <f>IFERROR(__xludf.DUMMYFUNCTION("""COMPUTED_VALUE"""),"#VALUE!")</f>
        <v>#VALUE!</v>
      </c>
      <c r="D540" s="189"/>
    </row>
    <row r="541">
      <c r="C541" s="189" t="str">
        <f>IFERROR(__xludf.DUMMYFUNCTION("""COMPUTED_VALUE"""),"#VALUE!")</f>
        <v>#VALUE!</v>
      </c>
      <c r="D541" s="189"/>
    </row>
    <row r="542">
      <c r="C542" s="189" t="str">
        <f>IFERROR(__xludf.DUMMYFUNCTION("""COMPUTED_VALUE"""),"#VALUE!")</f>
        <v>#VALUE!</v>
      </c>
      <c r="D542" s="189"/>
    </row>
    <row r="543">
      <c r="C543" s="189" t="str">
        <f>IFERROR(__xludf.DUMMYFUNCTION("""COMPUTED_VALUE"""),"#VALUE!")</f>
        <v>#VALUE!</v>
      </c>
      <c r="D543" s="189"/>
    </row>
    <row r="544">
      <c r="C544" s="189" t="str">
        <f>IFERROR(__xludf.DUMMYFUNCTION("""COMPUTED_VALUE"""),"#VALUE!")</f>
        <v>#VALUE!</v>
      </c>
      <c r="D544" s="189"/>
    </row>
    <row r="545">
      <c r="C545" s="189" t="str">
        <f>IFERROR(__xludf.DUMMYFUNCTION("""COMPUTED_VALUE"""),"#VALUE!")</f>
        <v>#VALUE!</v>
      </c>
      <c r="D545" s="189"/>
    </row>
    <row r="546">
      <c r="C546" s="189" t="str">
        <f>IFERROR(__xludf.DUMMYFUNCTION("""COMPUTED_VALUE"""),"#VALUE!")</f>
        <v>#VALUE!</v>
      </c>
      <c r="D546" s="189"/>
    </row>
    <row r="547">
      <c r="C547" s="189" t="str">
        <f>IFERROR(__xludf.DUMMYFUNCTION("""COMPUTED_VALUE"""),"#VALUE!")</f>
        <v>#VALUE!</v>
      </c>
      <c r="D547" s="189"/>
    </row>
    <row r="548">
      <c r="C548" s="189" t="str">
        <f>IFERROR(__xludf.DUMMYFUNCTION("""COMPUTED_VALUE"""),"#VALUE!")</f>
        <v>#VALUE!</v>
      </c>
      <c r="D548" s="189"/>
    </row>
    <row r="549">
      <c r="C549" s="189" t="str">
        <f>IFERROR(__xludf.DUMMYFUNCTION("""COMPUTED_VALUE"""),"#VALUE!")</f>
        <v>#VALUE!</v>
      </c>
      <c r="D549" s="189"/>
    </row>
    <row r="550">
      <c r="C550" s="189" t="str">
        <f>IFERROR(__xludf.DUMMYFUNCTION("""COMPUTED_VALUE"""),"#VALUE!")</f>
        <v>#VALUE!</v>
      </c>
      <c r="D550" s="189"/>
    </row>
    <row r="551">
      <c r="C551" s="189" t="str">
        <f>IFERROR(__xludf.DUMMYFUNCTION("""COMPUTED_VALUE"""),"#VALUE!")</f>
        <v>#VALUE!</v>
      </c>
      <c r="D551" s="189"/>
    </row>
    <row r="552">
      <c r="C552" s="189" t="str">
        <f>IFERROR(__xludf.DUMMYFUNCTION("""COMPUTED_VALUE"""),"#VALUE!")</f>
        <v>#VALUE!</v>
      </c>
      <c r="D552" s="189"/>
    </row>
    <row r="553">
      <c r="C553" s="189" t="str">
        <f>IFERROR(__xludf.DUMMYFUNCTION("""COMPUTED_VALUE"""),"#VALUE!")</f>
        <v>#VALUE!</v>
      </c>
      <c r="D553" s="189"/>
    </row>
    <row r="554">
      <c r="C554" s="189" t="str">
        <f>IFERROR(__xludf.DUMMYFUNCTION("""COMPUTED_VALUE"""),"#VALUE!")</f>
        <v>#VALUE!</v>
      </c>
      <c r="D554" s="189"/>
    </row>
    <row r="555">
      <c r="C555" s="189" t="str">
        <f>IFERROR(__xludf.DUMMYFUNCTION("""COMPUTED_VALUE"""),"#VALUE!")</f>
        <v>#VALUE!</v>
      </c>
      <c r="D555" s="189"/>
    </row>
    <row r="556">
      <c r="C556" s="189" t="str">
        <f>IFERROR(__xludf.DUMMYFUNCTION("""COMPUTED_VALUE"""),"#VALUE!")</f>
        <v>#VALUE!</v>
      </c>
      <c r="D556" s="189"/>
    </row>
    <row r="557">
      <c r="C557" s="189" t="str">
        <f>IFERROR(__xludf.DUMMYFUNCTION("""COMPUTED_VALUE"""),"#VALUE!")</f>
        <v>#VALUE!</v>
      </c>
      <c r="D557" s="189"/>
    </row>
    <row r="558">
      <c r="C558" s="189" t="str">
        <f>IFERROR(__xludf.DUMMYFUNCTION("""COMPUTED_VALUE"""),"#VALUE!")</f>
        <v>#VALUE!</v>
      </c>
      <c r="D558" s="189"/>
    </row>
    <row r="559">
      <c r="C559" s="189" t="str">
        <f>IFERROR(__xludf.DUMMYFUNCTION("""COMPUTED_VALUE"""),"#VALUE!")</f>
        <v>#VALUE!</v>
      </c>
      <c r="D559" s="189"/>
    </row>
    <row r="560">
      <c r="C560" s="189" t="str">
        <f>IFERROR(__xludf.DUMMYFUNCTION("""COMPUTED_VALUE"""),"#VALUE!")</f>
        <v>#VALUE!</v>
      </c>
      <c r="D560" s="189"/>
    </row>
    <row r="561">
      <c r="C561" s="189" t="str">
        <f>IFERROR(__xludf.DUMMYFUNCTION("""COMPUTED_VALUE"""),"#VALUE!")</f>
        <v>#VALUE!</v>
      </c>
      <c r="D561" s="189"/>
    </row>
    <row r="562">
      <c r="C562" s="189" t="str">
        <f>IFERROR(__xludf.DUMMYFUNCTION("""COMPUTED_VALUE"""),"#VALUE!")</f>
        <v>#VALUE!</v>
      </c>
      <c r="D562" s="189"/>
    </row>
    <row r="563">
      <c r="C563" s="189" t="str">
        <f>IFERROR(__xludf.DUMMYFUNCTION("""COMPUTED_VALUE"""),"#VALUE!")</f>
        <v>#VALUE!</v>
      </c>
      <c r="D563" s="189"/>
    </row>
    <row r="564">
      <c r="C564" s="189" t="str">
        <f>IFERROR(__xludf.DUMMYFUNCTION("""COMPUTED_VALUE"""),"#VALUE!")</f>
        <v>#VALUE!</v>
      </c>
      <c r="D564" s="189"/>
    </row>
    <row r="565">
      <c r="C565" s="189" t="str">
        <f>IFERROR(__xludf.DUMMYFUNCTION("""COMPUTED_VALUE"""),"#VALUE!")</f>
        <v>#VALUE!</v>
      </c>
      <c r="D565" s="189"/>
    </row>
    <row r="566">
      <c r="C566" s="189" t="str">
        <f>IFERROR(__xludf.DUMMYFUNCTION("""COMPUTED_VALUE"""),"#VALUE!")</f>
        <v>#VALUE!</v>
      </c>
      <c r="D566" s="189"/>
    </row>
    <row r="567">
      <c r="C567" s="189" t="str">
        <f>IFERROR(__xludf.DUMMYFUNCTION("""COMPUTED_VALUE"""),"#VALUE!")</f>
        <v>#VALUE!</v>
      </c>
      <c r="D567" s="189"/>
    </row>
    <row r="568">
      <c r="C568" s="189" t="str">
        <f>IFERROR(__xludf.DUMMYFUNCTION("""COMPUTED_VALUE"""),"#VALUE!")</f>
        <v>#VALUE!</v>
      </c>
      <c r="D568" s="189"/>
    </row>
    <row r="569">
      <c r="C569" s="189" t="str">
        <f>IFERROR(__xludf.DUMMYFUNCTION("""COMPUTED_VALUE"""),"#VALUE!")</f>
        <v>#VALUE!</v>
      </c>
      <c r="D569" s="189"/>
    </row>
    <row r="570">
      <c r="C570" s="189" t="str">
        <f>IFERROR(__xludf.DUMMYFUNCTION("""COMPUTED_VALUE"""),"#VALUE!")</f>
        <v>#VALUE!</v>
      </c>
      <c r="D570" s="189"/>
    </row>
    <row r="571">
      <c r="C571" s="189" t="str">
        <f>IFERROR(__xludf.DUMMYFUNCTION("""COMPUTED_VALUE"""),"#VALUE!")</f>
        <v>#VALUE!</v>
      </c>
      <c r="D571" s="189"/>
    </row>
    <row r="572">
      <c r="C572" s="189" t="str">
        <f>IFERROR(__xludf.DUMMYFUNCTION("""COMPUTED_VALUE"""),"#VALUE!")</f>
        <v>#VALUE!</v>
      </c>
      <c r="D572" s="189"/>
    </row>
    <row r="573">
      <c r="C573" s="189" t="str">
        <f>IFERROR(__xludf.DUMMYFUNCTION("""COMPUTED_VALUE"""),"#VALUE!")</f>
        <v>#VALUE!</v>
      </c>
      <c r="D573" s="189"/>
    </row>
    <row r="574">
      <c r="C574" s="189" t="str">
        <f>IFERROR(__xludf.DUMMYFUNCTION("""COMPUTED_VALUE"""),"#VALUE!")</f>
        <v>#VALUE!</v>
      </c>
      <c r="D574" s="189"/>
    </row>
    <row r="575">
      <c r="C575" s="189" t="str">
        <f>IFERROR(__xludf.DUMMYFUNCTION("""COMPUTED_VALUE"""),"#VALUE!")</f>
        <v>#VALUE!</v>
      </c>
      <c r="D575" s="189"/>
    </row>
    <row r="576">
      <c r="C576" s="189" t="str">
        <f>IFERROR(__xludf.DUMMYFUNCTION("""COMPUTED_VALUE"""),"#VALUE!")</f>
        <v>#VALUE!</v>
      </c>
      <c r="D576" s="189"/>
    </row>
    <row r="577">
      <c r="C577" s="189" t="str">
        <f>IFERROR(__xludf.DUMMYFUNCTION("""COMPUTED_VALUE"""),"#VALUE!")</f>
        <v>#VALUE!</v>
      </c>
      <c r="D577" s="189"/>
    </row>
    <row r="578">
      <c r="C578" s="189" t="str">
        <f>IFERROR(__xludf.DUMMYFUNCTION("""COMPUTED_VALUE"""),"#VALUE!")</f>
        <v>#VALUE!</v>
      </c>
      <c r="D578" s="189"/>
    </row>
    <row r="579">
      <c r="C579" s="189" t="str">
        <f>IFERROR(__xludf.DUMMYFUNCTION("""COMPUTED_VALUE"""),"#VALUE!")</f>
        <v>#VALUE!</v>
      </c>
      <c r="D579" s="189"/>
    </row>
    <row r="580">
      <c r="C580" s="189" t="str">
        <f>IFERROR(__xludf.DUMMYFUNCTION("""COMPUTED_VALUE"""),"#VALUE!")</f>
        <v>#VALUE!</v>
      </c>
      <c r="D580" s="189"/>
    </row>
    <row r="581">
      <c r="C581" s="189" t="str">
        <f>IFERROR(__xludf.DUMMYFUNCTION("""COMPUTED_VALUE"""),"#VALUE!")</f>
        <v>#VALUE!</v>
      </c>
      <c r="D581" s="189"/>
    </row>
    <row r="582">
      <c r="C582" s="189" t="str">
        <f>IFERROR(__xludf.DUMMYFUNCTION("""COMPUTED_VALUE"""),"#VALUE!")</f>
        <v>#VALUE!</v>
      </c>
      <c r="D582" s="189"/>
    </row>
    <row r="583">
      <c r="C583" s="189" t="str">
        <f>IFERROR(__xludf.DUMMYFUNCTION("""COMPUTED_VALUE"""),"#VALUE!")</f>
        <v>#VALUE!</v>
      </c>
      <c r="D583" s="189"/>
    </row>
    <row r="584">
      <c r="C584" s="189" t="str">
        <f>IFERROR(__xludf.DUMMYFUNCTION("""COMPUTED_VALUE"""),"#VALUE!")</f>
        <v>#VALUE!</v>
      </c>
      <c r="D584" s="189"/>
    </row>
    <row r="585">
      <c r="C585" s="189" t="str">
        <f>IFERROR(__xludf.DUMMYFUNCTION("""COMPUTED_VALUE"""),"#VALUE!")</f>
        <v>#VALUE!</v>
      </c>
      <c r="D585" s="189"/>
    </row>
    <row r="586">
      <c r="C586" s="189" t="str">
        <f>IFERROR(__xludf.DUMMYFUNCTION("""COMPUTED_VALUE"""),"#VALUE!")</f>
        <v>#VALUE!</v>
      </c>
      <c r="D586" s="189"/>
    </row>
    <row r="587">
      <c r="C587" s="189" t="str">
        <f>IFERROR(__xludf.DUMMYFUNCTION("""COMPUTED_VALUE"""),"#VALUE!")</f>
        <v>#VALUE!</v>
      </c>
      <c r="D587" s="189"/>
    </row>
    <row r="588">
      <c r="C588" s="189" t="str">
        <f>IFERROR(__xludf.DUMMYFUNCTION("""COMPUTED_VALUE"""),"#VALUE!")</f>
        <v>#VALUE!</v>
      </c>
      <c r="D588" s="189"/>
    </row>
    <row r="589">
      <c r="C589" s="189" t="str">
        <f>IFERROR(__xludf.DUMMYFUNCTION("""COMPUTED_VALUE"""),"#VALUE!")</f>
        <v>#VALUE!</v>
      </c>
      <c r="D589" s="189"/>
    </row>
    <row r="590">
      <c r="C590" s="189" t="str">
        <f>IFERROR(__xludf.DUMMYFUNCTION("""COMPUTED_VALUE"""),"#VALUE!")</f>
        <v>#VALUE!</v>
      </c>
      <c r="D590" s="189"/>
    </row>
    <row r="591">
      <c r="C591" s="189" t="str">
        <f>IFERROR(__xludf.DUMMYFUNCTION("""COMPUTED_VALUE"""),"#VALUE!")</f>
        <v>#VALUE!</v>
      </c>
      <c r="D591" s="189"/>
    </row>
    <row r="592">
      <c r="C592" s="189" t="str">
        <f>IFERROR(__xludf.DUMMYFUNCTION("""COMPUTED_VALUE"""),"#VALUE!")</f>
        <v>#VALUE!</v>
      </c>
      <c r="D592" s="189"/>
    </row>
    <row r="593">
      <c r="C593" s="189" t="str">
        <f>IFERROR(__xludf.DUMMYFUNCTION("""COMPUTED_VALUE"""),"#VALUE!")</f>
        <v>#VALUE!</v>
      </c>
      <c r="D593" s="189"/>
    </row>
    <row r="594">
      <c r="C594" s="189" t="str">
        <f>IFERROR(__xludf.DUMMYFUNCTION("""COMPUTED_VALUE"""),"#VALUE!")</f>
        <v>#VALUE!</v>
      </c>
      <c r="D594" s="189"/>
    </row>
    <row r="595">
      <c r="C595" s="189" t="str">
        <f>IFERROR(__xludf.DUMMYFUNCTION("""COMPUTED_VALUE"""),"#VALUE!")</f>
        <v>#VALUE!</v>
      </c>
      <c r="D595" s="189"/>
    </row>
    <row r="596">
      <c r="C596" s="189" t="str">
        <f>IFERROR(__xludf.DUMMYFUNCTION("""COMPUTED_VALUE"""),"#VALUE!")</f>
        <v>#VALUE!</v>
      </c>
      <c r="D596" s="189"/>
    </row>
    <row r="597">
      <c r="C597" s="189" t="str">
        <f>IFERROR(__xludf.DUMMYFUNCTION("""COMPUTED_VALUE"""),"#VALUE!")</f>
        <v>#VALUE!</v>
      </c>
      <c r="D597" s="189"/>
    </row>
    <row r="598">
      <c r="C598" s="189" t="str">
        <f>IFERROR(__xludf.DUMMYFUNCTION("""COMPUTED_VALUE"""),"#VALUE!")</f>
        <v>#VALUE!</v>
      </c>
      <c r="D598" s="189"/>
    </row>
    <row r="599">
      <c r="C599" s="189" t="str">
        <f>IFERROR(__xludf.DUMMYFUNCTION("""COMPUTED_VALUE"""),"#VALUE!")</f>
        <v>#VALUE!</v>
      </c>
      <c r="D599" s="189"/>
    </row>
    <row r="600">
      <c r="C600" s="189" t="str">
        <f>IFERROR(__xludf.DUMMYFUNCTION("""COMPUTED_VALUE"""),"#VALUE!")</f>
        <v>#VALUE!</v>
      </c>
      <c r="D600" s="189"/>
    </row>
    <row r="601">
      <c r="C601" s="189" t="str">
        <f>IFERROR(__xludf.DUMMYFUNCTION("""COMPUTED_VALUE"""),"#VALUE!")</f>
        <v>#VALUE!</v>
      </c>
      <c r="D601" s="189"/>
    </row>
    <row r="602">
      <c r="C602" s="189" t="str">
        <f>IFERROR(__xludf.DUMMYFUNCTION("""COMPUTED_VALUE"""),"#VALUE!")</f>
        <v>#VALUE!</v>
      </c>
      <c r="D602" s="189"/>
    </row>
    <row r="603">
      <c r="C603" s="189" t="str">
        <f>IFERROR(__xludf.DUMMYFUNCTION("""COMPUTED_VALUE"""),"#VALUE!")</f>
        <v>#VALUE!</v>
      </c>
      <c r="D603" s="189"/>
    </row>
    <row r="604">
      <c r="C604" s="189" t="str">
        <f>IFERROR(__xludf.DUMMYFUNCTION("""COMPUTED_VALUE"""),"#VALUE!")</f>
        <v>#VALUE!</v>
      </c>
      <c r="D604" s="189"/>
    </row>
    <row r="605">
      <c r="C605" s="189" t="str">
        <f>IFERROR(__xludf.DUMMYFUNCTION("""COMPUTED_VALUE"""),"#VALUE!")</f>
        <v>#VALUE!</v>
      </c>
      <c r="D605" s="189"/>
    </row>
    <row r="606">
      <c r="C606" s="189" t="str">
        <f>IFERROR(__xludf.DUMMYFUNCTION("""COMPUTED_VALUE"""),"#VALUE!")</f>
        <v>#VALUE!</v>
      </c>
      <c r="D606" s="189"/>
    </row>
    <row r="607">
      <c r="C607" s="189" t="str">
        <f>IFERROR(__xludf.DUMMYFUNCTION("""COMPUTED_VALUE"""),"#VALUE!")</f>
        <v>#VALUE!</v>
      </c>
      <c r="D607" s="189"/>
    </row>
    <row r="608">
      <c r="C608" s="189" t="str">
        <f>IFERROR(__xludf.DUMMYFUNCTION("""COMPUTED_VALUE"""),"#VALUE!")</f>
        <v>#VALUE!</v>
      </c>
      <c r="D608" s="189"/>
    </row>
    <row r="609">
      <c r="C609" s="189" t="str">
        <f>IFERROR(__xludf.DUMMYFUNCTION("""COMPUTED_VALUE"""),"#VALUE!")</f>
        <v>#VALUE!</v>
      </c>
      <c r="D609" s="189"/>
    </row>
    <row r="610">
      <c r="C610" s="189" t="str">
        <f>IFERROR(__xludf.DUMMYFUNCTION("""COMPUTED_VALUE"""),"#VALUE!")</f>
        <v>#VALUE!</v>
      </c>
      <c r="D610" s="189"/>
    </row>
    <row r="611">
      <c r="C611" s="189" t="str">
        <f>IFERROR(__xludf.DUMMYFUNCTION("""COMPUTED_VALUE"""),"#VALUE!")</f>
        <v>#VALUE!</v>
      </c>
      <c r="D611" s="189"/>
    </row>
    <row r="612">
      <c r="C612" s="189" t="str">
        <f>IFERROR(__xludf.DUMMYFUNCTION("""COMPUTED_VALUE"""),"#VALUE!")</f>
        <v>#VALUE!</v>
      </c>
      <c r="D612" s="189"/>
    </row>
    <row r="613">
      <c r="C613" s="189" t="str">
        <f>IFERROR(__xludf.DUMMYFUNCTION("""COMPUTED_VALUE"""),"#VALUE!")</f>
        <v>#VALUE!</v>
      </c>
      <c r="D613" s="189"/>
    </row>
    <row r="614">
      <c r="C614" s="189" t="str">
        <f>IFERROR(__xludf.DUMMYFUNCTION("""COMPUTED_VALUE"""),"#VALUE!")</f>
        <v>#VALUE!</v>
      </c>
      <c r="D614" s="189"/>
    </row>
    <row r="615">
      <c r="C615" s="189" t="str">
        <f>IFERROR(__xludf.DUMMYFUNCTION("""COMPUTED_VALUE"""),"#VALUE!")</f>
        <v>#VALUE!</v>
      </c>
      <c r="D615" s="189"/>
    </row>
    <row r="616">
      <c r="C616" s="189" t="str">
        <f>IFERROR(__xludf.DUMMYFUNCTION("""COMPUTED_VALUE"""),"#VALUE!")</f>
        <v>#VALUE!</v>
      </c>
      <c r="D616" s="189"/>
    </row>
    <row r="617">
      <c r="C617" s="189" t="str">
        <f>IFERROR(__xludf.DUMMYFUNCTION("""COMPUTED_VALUE"""),"#VALUE!")</f>
        <v>#VALUE!</v>
      </c>
      <c r="D617" s="189"/>
    </row>
    <row r="618">
      <c r="C618" s="189" t="str">
        <f>IFERROR(__xludf.DUMMYFUNCTION("""COMPUTED_VALUE"""),"#VALUE!")</f>
        <v>#VALUE!</v>
      </c>
      <c r="D618" s="189"/>
    </row>
    <row r="619">
      <c r="C619" s="189" t="str">
        <f>IFERROR(__xludf.DUMMYFUNCTION("""COMPUTED_VALUE"""),"#VALUE!")</f>
        <v>#VALUE!</v>
      </c>
      <c r="D619" s="189"/>
    </row>
    <row r="620">
      <c r="C620" s="189" t="str">
        <f>IFERROR(__xludf.DUMMYFUNCTION("""COMPUTED_VALUE"""),"#VALUE!")</f>
        <v>#VALUE!</v>
      </c>
      <c r="D620" s="189"/>
    </row>
    <row r="621">
      <c r="C621" s="189" t="str">
        <f>IFERROR(__xludf.DUMMYFUNCTION("""COMPUTED_VALUE"""),"#VALUE!")</f>
        <v>#VALUE!</v>
      </c>
      <c r="D621" s="189"/>
    </row>
    <row r="622">
      <c r="C622" s="189" t="str">
        <f>IFERROR(__xludf.DUMMYFUNCTION("""COMPUTED_VALUE"""),"#VALUE!")</f>
        <v>#VALUE!</v>
      </c>
      <c r="D622" s="189"/>
    </row>
    <row r="623">
      <c r="C623" s="189" t="str">
        <f>IFERROR(__xludf.DUMMYFUNCTION("""COMPUTED_VALUE"""),"#VALUE!")</f>
        <v>#VALUE!</v>
      </c>
      <c r="D623" s="189"/>
    </row>
    <row r="624">
      <c r="C624" s="189" t="str">
        <f>IFERROR(__xludf.DUMMYFUNCTION("""COMPUTED_VALUE"""),"#VALUE!")</f>
        <v>#VALUE!</v>
      </c>
      <c r="D624" s="189"/>
    </row>
    <row r="625">
      <c r="C625" s="189" t="str">
        <f>IFERROR(__xludf.DUMMYFUNCTION("""COMPUTED_VALUE"""),"#VALUE!")</f>
        <v>#VALUE!</v>
      </c>
      <c r="D625" s="189"/>
    </row>
    <row r="626">
      <c r="C626" s="189" t="str">
        <f>IFERROR(__xludf.DUMMYFUNCTION("""COMPUTED_VALUE"""),"#VALUE!")</f>
        <v>#VALUE!</v>
      </c>
      <c r="D626" s="189"/>
    </row>
    <row r="627">
      <c r="C627" s="189" t="str">
        <f>IFERROR(__xludf.DUMMYFUNCTION("""COMPUTED_VALUE"""),"#VALUE!")</f>
        <v>#VALUE!</v>
      </c>
      <c r="D627" s="189"/>
    </row>
    <row r="628">
      <c r="C628" s="189" t="str">
        <f>IFERROR(__xludf.DUMMYFUNCTION("""COMPUTED_VALUE"""),"#VALUE!")</f>
        <v>#VALUE!</v>
      </c>
      <c r="D628" s="189"/>
    </row>
    <row r="629">
      <c r="C629" s="189" t="str">
        <f>IFERROR(__xludf.DUMMYFUNCTION("""COMPUTED_VALUE"""),"#VALUE!")</f>
        <v>#VALUE!</v>
      </c>
      <c r="D629" s="189"/>
    </row>
    <row r="630">
      <c r="C630" s="189" t="str">
        <f>IFERROR(__xludf.DUMMYFUNCTION("""COMPUTED_VALUE"""),"#VALUE!")</f>
        <v>#VALUE!</v>
      </c>
      <c r="D630" s="189"/>
    </row>
    <row r="631">
      <c r="C631" s="189" t="str">
        <f>IFERROR(__xludf.DUMMYFUNCTION("""COMPUTED_VALUE"""),"#VALUE!")</f>
        <v>#VALUE!</v>
      </c>
      <c r="D631" s="189"/>
    </row>
    <row r="632">
      <c r="C632" s="189" t="str">
        <f>IFERROR(__xludf.DUMMYFUNCTION("""COMPUTED_VALUE"""),"#VALUE!")</f>
        <v>#VALUE!</v>
      </c>
      <c r="D632" s="189"/>
    </row>
    <row r="633">
      <c r="C633" s="189" t="str">
        <f>IFERROR(__xludf.DUMMYFUNCTION("""COMPUTED_VALUE"""),"#VALUE!")</f>
        <v>#VALUE!</v>
      </c>
      <c r="D633" s="189"/>
    </row>
    <row r="634">
      <c r="C634" s="189" t="str">
        <f>IFERROR(__xludf.DUMMYFUNCTION("""COMPUTED_VALUE"""),"#VALUE!")</f>
        <v>#VALUE!</v>
      </c>
      <c r="D634" s="189"/>
    </row>
    <row r="635">
      <c r="C635" s="189" t="str">
        <f>IFERROR(__xludf.DUMMYFUNCTION("""COMPUTED_VALUE"""),"#VALUE!")</f>
        <v>#VALUE!</v>
      </c>
      <c r="D635" s="189"/>
    </row>
    <row r="636">
      <c r="C636" s="189" t="str">
        <f>IFERROR(__xludf.DUMMYFUNCTION("""COMPUTED_VALUE"""),"#VALUE!")</f>
        <v>#VALUE!</v>
      </c>
      <c r="D636" s="189"/>
    </row>
    <row r="637">
      <c r="C637" s="189" t="str">
        <f>IFERROR(__xludf.DUMMYFUNCTION("""COMPUTED_VALUE"""),"#VALUE!")</f>
        <v>#VALUE!</v>
      </c>
      <c r="D637" s="189"/>
    </row>
    <row r="638">
      <c r="C638" s="189" t="str">
        <f>IFERROR(__xludf.DUMMYFUNCTION("""COMPUTED_VALUE"""),"#VALUE!")</f>
        <v>#VALUE!</v>
      </c>
      <c r="D638" s="189"/>
    </row>
    <row r="639">
      <c r="C639" s="189" t="str">
        <f>IFERROR(__xludf.DUMMYFUNCTION("""COMPUTED_VALUE"""),"#VALUE!")</f>
        <v>#VALUE!</v>
      </c>
      <c r="D639" s="189"/>
    </row>
    <row r="640">
      <c r="C640" s="189" t="str">
        <f>IFERROR(__xludf.DUMMYFUNCTION("""COMPUTED_VALUE"""),"#VALUE!")</f>
        <v>#VALUE!</v>
      </c>
      <c r="D640" s="189"/>
    </row>
    <row r="641">
      <c r="C641" s="189" t="str">
        <f>IFERROR(__xludf.DUMMYFUNCTION("""COMPUTED_VALUE"""),"#VALUE!")</f>
        <v>#VALUE!</v>
      </c>
      <c r="D641" s="189"/>
    </row>
    <row r="642">
      <c r="C642" s="189" t="str">
        <f>IFERROR(__xludf.DUMMYFUNCTION("""COMPUTED_VALUE"""),"#VALUE!")</f>
        <v>#VALUE!</v>
      </c>
      <c r="D642" s="189"/>
    </row>
    <row r="643">
      <c r="C643" s="189" t="str">
        <f>IFERROR(__xludf.DUMMYFUNCTION("""COMPUTED_VALUE"""),"#VALUE!")</f>
        <v>#VALUE!</v>
      </c>
      <c r="D643" s="189"/>
    </row>
    <row r="644">
      <c r="C644" s="189" t="str">
        <f>IFERROR(__xludf.DUMMYFUNCTION("""COMPUTED_VALUE"""),"#VALUE!")</f>
        <v>#VALUE!</v>
      </c>
      <c r="D644" s="189"/>
    </row>
    <row r="645">
      <c r="C645" s="189" t="str">
        <f>IFERROR(__xludf.DUMMYFUNCTION("""COMPUTED_VALUE"""),"#VALUE!")</f>
        <v>#VALUE!</v>
      </c>
      <c r="D645" s="189"/>
    </row>
    <row r="646">
      <c r="C646" s="189" t="str">
        <f>IFERROR(__xludf.DUMMYFUNCTION("""COMPUTED_VALUE"""),"#VALUE!")</f>
        <v>#VALUE!</v>
      </c>
      <c r="D646" s="189"/>
    </row>
    <row r="647">
      <c r="C647" s="189" t="str">
        <f>IFERROR(__xludf.DUMMYFUNCTION("""COMPUTED_VALUE"""),"#VALUE!")</f>
        <v>#VALUE!</v>
      </c>
      <c r="D647" s="189"/>
    </row>
    <row r="648">
      <c r="C648" s="189" t="str">
        <f>IFERROR(__xludf.DUMMYFUNCTION("""COMPUTED_VALUE"""),"#VALUE!")</f>
        <v>#VALUE!</v>
      </c>
      <c r="D648" s="189"/>
    </row>
    <row r="649">
      <c r="C649" s="189" t="str">
        <f>IFERROR(__xludf.DUMMYFUNCTION("""COMPUTED_VALUE"""),"#VALUE!")</f>
        <v>#VALUE!</v>
      </c>
      <c r="D649" s="189"/>
    </row>
    <row r="650">
      <c r="C650" s="189" t="str">
        <f>IFERROR(__xludf.DUMMYFUNCTION("""COMPUTED_VALUE"""),"#VALUE!")</f>
        <v>#VALUE!</v>
      </c>
      <c r="D650" s="189"/>
    </row>
    <row r="651">
      <c r="C651" s="189" t="str">
        <f>IFERROR(__xludf.DUMMYFUNCTION("""COMPUTED_VALUE"""),"#VALUE!")</f>
        <v>#VALUE!</v>
      </c>
      <c r="D651" s="189"/>
    </row>
    <row r="652">
      <c r="C652" s="189" t="str">
        <f>IFERROR(__xludf.DUMMYFUNCTION("""COMPUTED_VALUE"""),"#VALUE!")</f>
        <v>#VALUE!</v>
      </c>
      <c r="D652" s="189"/>
    </row>
    <row r="653">
      <c r="C653" s="189" t="str">
        <f>IFERROR(__xludf.DUMMYFUNCTION("""COMPUTED_VALUE"""),"#VALUE!")</f>
        <v>#VALUE!</v>
      </c>
      <c r="D653" s="189"/>
    </row>
    <row r="654">
      <c r="C654" s="189" t="str">
        <f>IFERROR(__xludf.DUMMYFUNCTION("""COMPUTED_VALUE"""),"#VALUE!")</f>
        <v>#VALUE!</v>
      </c>
      <c r="D654" s="189"/>
    </row>
    <row r="655">
      <c r="C655" s="189" t="str">
        <f>IFERROR(__xludf.DUMMYFUNCTION("""COMPUTED_VALUE"""),"#VALUE!")</f>
        <v>#VALUE!</v>
      </c>
      <c r="D655" s="189"/>
    </row>
    <row r="656">
      <c r="C656" s="189" t="str">
        <f>IFERROR(__xludf.DUMMYFUNCTION("""COMPUTED_VALUE"""),"#VALUE!")</f>
        <v>#VALUE!</v>
      </c>
      <c r="D656" s="189"/>
    </row>
    <row r="657">
      <c r="C657" s="189" t="str">
        <f>IFERROR(__xludf.DUMMYFUNCTION("""COMPUTED_VALUE"""),"#VALUE!")</f>
        <v>#VALUE!</v>
      </c>
      <c r="D657" s="189"/>
    </row>
    <row r="658">
      <c r="C658" s="189" t="str">
        <f>IFERROR(__xludf.DUMMYFUNCTION("""COMPUTED_VALUE"""),"#VALUE!")</f>
        <v>#VALUE!</v>
      </c>
      <c r="D658" s="189"/>
    </row>
    <row r="659">
      <c r="C659" s="189" t="str">
        <f>IFERROR(__xludf.DUMMYFUNCTION("""COMPUTED_VALUE"""),"#VALUE!")</f>
        <v>#VALUE!</v>
      </c>
      <c r="D659" s="189"/>
    </row>
    <row r="660">
      <c r="C660" s="189" t="str">
        <f>IFERROR(__xludf.DUMMYFUNCTION("""COMPUTED_VALUE"""),"#VALUE!")</f>
        <v>#VALUE!</v>
      </c>
      <c r="D660" s="189"/>
    </row>
    <row r="661">
      <c r="C661" s="189" t="str">
        <f>IFERROR(__xludf.DUMMYFUNCTION("""COMPUTED_VALUE"""),"#VALUE!")</f>
        <v>#VALUE!</v>
      </c>
      <c r="D661" s="189"/>
    </row>
    <row r="662">
      <c r="C662" s="189" t="str">
        <f>IFERROR(__xludf.DUMMYFUNCTION("""COMPUTED_VALUE"""),"#VALUE!")</f>
        <v>#VALUE!</v>
      </c>
      <c r="D662" s="189"/>
    </row>
    <row r="663">
      <c r="C663" s="189" t="str">
        <f>IFERROR(__xludf.DUMMYFUNCTION("""COMPUTED_VALUE"""),"#VALUE!")</f>
        <v>#VALUE!</v>
      </c>
      <c r="D663" s="189"/>
    </row>
    <row r="664">
      <c r="C664" s="189" t="str">
        <f>IFERROR(__xludf.DUMMYFUNCTION("""COMPUTED_VALUE"""),"#VALUE!")</f>
        <v>#VALUE!</v>
      </c>
      <c r="D664" s="189"/>
    </row>
    <row r="665">
      <c r="C665" s="189" t="str">
        <f>IFERROR(__xludf.DUMMYFUNCTION("""COMPUTED_VALUE"""),"#VALUE!")</f>
        <v>#VALUE!</v>
      </c>
      <c r="D665" s="189"/>
    </row>
    <row r="666">
      <c r="C666" s="189" t="str">
        <f>IFERROR(__xludf.DUMMYFUNCTION("""COMPUTED_VALUE"""),"#VALUE!")</f>
        <v>#VALUE!</v>
      </c>
      <c r="D666" s="189"/>
    </row>
    <row r="667">
      <c r="C667" s="189" t="str">
        <f>IFERROR(__xludf.DUMMYFUNCTION("""COMPUTED_VALUE"""),"#VALUE!")</f>
        <v>#VALUE!</v>
      </c>
      <c r="D667" s="189"/>
    </row>
    <row r="668">
      <c r="C668" s="189" t="str">
        <f>IFERROR(__xludf.DUMMYFUNCTION("""COMPUTED_VALUE"""),"#VALUE!")</f>
        <v>#VALUE!</v>
      </c>
      <c r="D668" s="189"/>
    </row>
    <row r="669">
      <c r="C669" s="189" t="str">
        <f>IFERROR(__xludf.DUMMYFUNCTION("""COMPUTED_VALUE"""),"#VALUE!")</f>
        <v>#VALUE!</v>
      </c>
      <c r="D669" s="189"/>
    </row>
    <row r="670">
      <c r="C670" s="189" t="str">
        <f>IFERROR(__xludf.DUMMYFUNCTION("""COMPUTED_VALUE"""),"#VALUE!")</f>
        <v>#VALUE!</v>
      </c>
      <c r="D670" s="189"/>
    </row>
    <row r="671">
      <c r="C671" s="189" t="str">
        <f>IFERROR(__xludf.DUMMYFUNCTION("""COMPUTED_VALUE"""),"#VALUE!")</f>
        <v>#VALUE!</v>
      </c>
      <c r="D671" s="189"/>
    </row>
    <row r="672">
      <c r="C672" s="189" t="str">
        <f>IFERROR(__xludf.DUMMYFUNCTION("""COMPUTED_VALUE"""),"#VALUE!")</f>
        <v>#VALUE!</v>
      </c>
      <c r="D672" s="189"/>
    </row>
    <row r="673">
      <c r="C673" s="189" t="str">
        <f>IFERROR(__xludf.DUMMYFUNCTION("""COMPUTED_VALUE"""),"#VALUE!")</f>
        <v>#VALUE!</v>
      </c>
      <c r="D673" s="189"/>
    </row>
    <row r="674">
      <c r="C674" s="189" t="str">
        <f>IFERROR(__xludf.DUMMYFUNCTION("""COMPUTED_VALUE"""),"#VALUE!")</f>
        <v>#VALUE!</v>
      </c>
      <c r="D674" s="189"/>
    </row>
    <row r="675">
      <c r="C675" s="189" t="str">
        <f>IFERROR(__xludf.DUMMYFUNCTION("""COMPUTED_VALUE"""),"#VALUE!")</f>
        <v>#VALUE!</v>
      </c>
      <c r="D675" s="189"/>
    </row>
    <row r="676">
      <c r="C676" s="189" t="str">
        <f>IFERROR(__xludf.DUMMYFUNCTION("""COMPUTED_VALUE"""),"#VALUE!")</f>
        <v>#VALUE!</v>
      </c>
      <c r="D676" s="189"/>
    </row>
    <row r="677">
      <c r="C677" s="189" t="str">
        <f>IFERROR(__xludf.DUMMYFUNCTION("""COMPUTED_VALUE"""),"#VALUE!")</f>
        <v>#VALUE!</v>
      </c>
      <c r="D677" s="189"/>
    </row>
    <row r="678">
      <c r="C678" s="189" t="str">
        <f>IFERROR(__xludf.DUMMYFUNCTION("""COMPUTED_VALUE"""),"#VALUE!")</f>
        <v>#VALUE!</v>
      </c>
      <c r="D678" s="189"/>
    </row>
    <row r="679">
      <c r="C679" s="189" t="str">
        <f>IFERROR(__xludf.DUMMYFUNCTION("""COMPUTED_VALUE"""),"#VALUE!")</f>
        <v>#VALUE!</v>
      </c>
      <c r="D679" s="189"/>
    </row>
    <row r="680">
      <c r="C680" s="189" t="str">
        <f>IFERROR(__xludf.DUMMYFUNCTION("""COMPUTED_VALUE"""),"#VALUE!")</f>
        <v>#VALUE!</v>
      </c>
      <c r="D680" s="189"/>
    </row>
    <row r="681">
      <c r="C681" s="189" t="str">
        <f>IFERROR(__xludf.DUMMYFUNCTION("""COMPUTED_VALUE"""),"#VALUE!")</f>
        <v>#VALUE!</v>
      </c>
      <c r="D681" s="189"/>
    </row>
    <row r="682">
      <c r="C682" s="189" t="str">
        <f>IFERROR(__xludf.DUMMYFUNCTION("""COMPUTED_VALUE"""),"#VALUE!")</f>
        <v>#VALUE!</v>
      </c>
      <c r="D682" s="189"/>
    </row>
    <row r="683">
      <c r="C683" s="189" t="str">
        <f>IFERROR(__xludf.DUMMYFUNCTION("""COMPUTED_VALUE"""),"#VALUE!")</f>
        <v>#VALUE!</v>
      </c>
      <c r="D683" s="189"/>
    </row>
    <row r="684">
      <c r="C684" s="189" t="str">
        <f>IFERROR(__xludf.DUMMYFUNCTION("""COMPUTED_VALUE"""),"#VALUE!")</f>
        <v>#VALUE!</v>
      </c>
      <c r="D684" s="189"/>
    </row>
    <row r="685">
      <c r="C685" s="189" t="str">
        <f>IFERROR(__xludf.DUMMYFUNCTION("""COMPUTED_VALUE"""),"#VALUE!")</f>
        <v>#VALUE!</v>
      </c>
      <c r="D685" s="189"/>
    </row>
    <row r="686">
      <c r="C686" s="189" t="str">
        <f>IFERROR(__xludf.DUMMYFUNCTION("""COMPUTED_VALUE"""),"#VALUE!")</f>
        <v>#VALUE!</v>
      </c>
      <c r="D686" s="189"/>
    </row>
    <row r="687">
      <c r="C687" s="189" t="str">
        <f>IFERROR(__xludf.DUMMYFUNCTION("""COMPUTED_VALUE"""),"#VALUE!")</f>
        <v>#VALUE!</v>
      </c>
      <c r="D687" s="189"/>
    </row>
    <row r="688">
      <c r="C688" s="189" t="str">
        <f>IFERROR(__xludf.DUMMYFUNCTION("""COMPUTED_VALUE"""),"#VALUE!")</f>
        <v>#VALUE!</v>
      </c>
      <c r="D688" s="189"/>
    </row>
    <row r="689">
      <c r="C689" s="189" t="str">
        <f>IFERROR(__xludf.DUMMYFUNCTION("""COMPUTED_VALUE"""),"#VALUE!")</f>
        <v>#VALUE!</v>
      </c>
      <c r="D689" s="189"/>
    </row>
    <row r="690">
      <c r="C690" s="189" t="str">
        <f>IFERROR(__xludf.DUMMYFUNCTION("""COMPUTED_VALUE"""),"#VALUE!")</f>
        <v>#VALUE!</v>
      </c>
      <c r="D690" s="189"/>
    </row>
    <row r="691">
      <c r="C691" s="189" t="str">
        <f>IFERROR(__xludf.DUMMYFUNCTION("""COMPUTED_VALUE"""),"#VALUE!")</f>
        <v>#VALUE!</v>
      </c>
      <c r="D691" s="189"/>
    </row>
    <row r="692">
      <c r="C692" s="189" t="str">
        <f>IFERROR(__xludf.DUMMYFUNCTION("""COMPUTED_VALUE"""),"#VALUE!")</f>
        <v>#VALUE!</v>
      </c>
      <c r="D692" s="189"/>
    </row>
    <row r="693">
      <c r="C693" s="189" t="str">
        <f>IFERROR(__xludf.DUMMYFUNCTION("""COMPUTED_VALUE"""),"#VALUE!")</f>
        <v>#VALUE!</v>
      </c>
      <c r="D693" s="189"/>
    </row>
    <row r="694">
      <c r="C694" s="189" t="str">
        <f>IFERROR(__xludf.DUMMYFUNCTION("""COMPUTED_VALUE"""),"#VALUE!")</f>
        <v>#VALUE!</v>
      </c>
      <c r="D694" s="189"/>
    </row>
    <row r="695">
      <c r="C695" s="189" t="str">
        <f>IFERROR(__xludf.DUMMYFUNCTION("""COMPUTED_VALUE"""),"#VALUE!")</f>
        <v>#VALUE!</v>
      </c>
      <c r="D695" s="189"/>
    </row>
    <row r="696">
      <c r="C696" s="189" t="str">
        <f>IFERROR(__xludf.DUMMYFUNCTION("""COMPUTED_VALUE"""),"#VALUE!")</f>
        <v>#VALUE!</v>
      </c>
      <c r="D696" s="189"/>
    </row>
    <row r="697">
      <c r="C697" s="189" t="str">
        <f>IFERROR(__xludf.DUMMYFUNCTION("""COMPUTED_VALUE"""),"#VALUE!")</f>
        <v>#VALUE!</v>
      </c>
      <c r="D697" s="189"/>
    </row>
    <row r="698">
      <c r="C698" s="189" t="str">
        <f>IFERROR(__xludf.DUMMYFUNCTION("""COMPUTED_VALUE"""),"#VALUE!")</f>
        <v>#VALUE!</v>
      </c>
      <c r="D698" s="189"/>
    </row>
    <row r="699">
      <c r="C699" s="189" t="str">
        <f>IFERROR(__xludf.DUMMYFUNCTION("""COMPUTED_VALUE"""),"#VALUE!")</f>
        <v>#VALUE!</v>
      </c>
      <c r="D699" s="189"/>
    </row>
    <row r="700">
      <c r="C700" s="189" t="str">
        <f>IFERROR(__xludf.DUMMYFUNCTION("""COMPUTED_VALUE"""),"#VALUE!")</f>
        <v>#VALUE!</v>
      </c>
      <c r="D700" s="189"/>
    </row>
    <row r="701">
      <c r="C701" s="189" t="str">
        <f>IFERROR(__xludf.DUMMYFUNCTION("""COMPUTED_VALUE"""),"#VALUE!")</f>
        <v>#VALUE!</v>
      </c>
      <c r="D701" s="189"/>
    </row>
    <row r="702">
      <c r="C702" s="189" t="str">
        <f>IFERROR(__xludf.DUMMYFUNCTION("""COMPUTED_VALUE"""),"#VALUE!")</f>
        <v>#VALUE!</v>
      </c>
      <c r="D702" s="189"/>
    </row>
    <row r="703">
      <c r="C703" s="189" t="str">
        <f>IFERROR(__xludf.DUMMYFUNCTION("""COMPUTED_VALUE"""),"#VALUE!")</f>
        <v>#VALUE!</v>
      </c>
      <c r="D703" s="189"/>
    </row>
    <row r="704">
      <c r="C704" s="189" t="str">
        <f>IFERROR(__xludf.DUMMYFUNCTION("""COMPUTED_VALUE"""),"#VALUE!")</f>
        <v>#VALUE!</v>
      </c>
      <c r="D704" s="189"/>
    </row>
    <row r="705">
      <c r="C705" s="189" t="str">
        <f>IFERROR(__xludf.DUMMYFUNCTION("""COMPUTED_VALUE"""),"#VALUE!")</f>
        <v>#VALUE!</v>
      </c>
      <c r="D705" s="189"/>
    </row>
    <row r="706">
      <c r="C706" s="189" t="str">
        <f>IFERROR(__xludf.DUMMYFUNCTION("""COMPUTED_VALUE"""),"#VALUE!")</f>
        <v>#VALUE!</v>
      </c>
      <c r="D706" s="189"/>
    </row>
    <row r="707">
      <c r="C707" s="189" t="str">
        <f>IFERROR(__xludf.DUMMYFUNCTION("""COMPUTED_VALUE"""),"#VALUE!")</f>
        <v>#VALUE!</v>
      </c>
      <c r="D707" s="189"/>
    </row>
    <row r="708">
      <c r="C708" s="189" t="str">
        <f>IFERROR(__xludf.DUMMYFUNCTION("""COMPUTED_VALUE"""),"#VALUE!")</f>
        <v>#VALUE!</v>
      </c>
      <c r="D708" s="189"/>
    </row>
    <row r="709">
      <c r="C709" s="189" t="str">
        <f>IFERROR(__xludf.DUMMYFUNCTION("""COMPUTED_VALUE"""),"#VALUE!")</f>
        <v>#VALUE!</v>
      </c>
      <c r="D709" s="189"/>
    </row>
    <row r="710">
      <c r="C710" s="189" t="str">
        <f>IFERROR(__xludf.DUMMYFUNCTION("""COMPUTED_VALUE"""),"#VALUE!")</f>
        <v>#VALUE!</v>
      </c>
      <c r="D710" s="189"/>
    </row>
    <row r="711">
      <c r="C711" s="189" t="str">
        <f>IFERROR(__xludf.DUMMYFUNCTION("""COMPUTED_VALUE"""),"#VALUE!")</f>
        <v>#VALUE!</v>
      </c>
      <c r="D711" s="189"/>
    </row>
    <row r="712">
      <c r="C712" s="189" t="str">
        <f>IFERROR(__xludf.DUMMYFUNCTION("""COMPUTED_VALUE"""),"#VALUE!")</f>
        <v>#VALUE!</v>
      </c>
      <c r="D712" s="189"/>
    </row>
    <row r="713">
      <c r="C713" s="189" t="str">
        <f>IFERROR(__xludf.DUMMYFUNCTION("""COMPUTED_VALUE"""),"#VALUE!")</f>
        <v>#VALUE!</v>
      </c>
      <c r="D713" s="189"/>
    </row>
    <row r="714">
      <c r="C714" s="189" t="str">
        <f>IFERROR(__xludf.DUMMYFUNCTION("""COMPUTED_VALUE"""),"#VALUE!")</f>
        <v>#VALUE!</v>
      </c>
      <c r="D714" s="189"/>
    </row>
    <row r="715">
      <c r="C715" s="189" t="str">
        <f>IFERROR(__xludf.DUMMYFUNCTION("""COMPUTED_VALUE"""),"#VALUE!")</f>
        <v>#VALUE!</v>
      </c>
      <c r="D715" s="189"/>
    </row>
    <row r="716">
      <c r="C716" s="189" t="str">
        <f>IFERROR(__xludf.DUMMYFUNCTION("""COMPUTED_VALUE"""),"#VALUE!")</f>
        <v>#VALUE!</v>
      </c>
      <c r="D716" s="189"/>
    </row>
    <row r="717">
      <c r="C717" s="189" t="str">
        <f>IFERROR(__xludf.DUMMYFUNCTION("""COMPUTED_VALUE"""),"#VALUE!")</f>
        <v>#VALUE!</v>
      </c>
      <c r="D717" s="189"/>
    </row>
    <row r="718">
      <c r="C718" s="189" t="str">
        <f>IFERROR(__xludf.DUMMYFUNCTION("""COMPUTED_VALUE"""),"#VALUE!")</f>
        <v>#VALUE!</v>
      </c>
      <c r="D718" s="189"/>
    </row>
    <row r="719">
      <c r="C719" s="189" t="str">
        <f>IFERROR(__xludf.DUMMYFUNCTION("""COMPUTED_VALUE"""),"#VALUE!")</f>
        <v>#VALUE!</v>
      </c>
      <c r="D719" s="189"/>
    </row>
    <row r="720">
      <c r="C720" s="189" t="str">
        <f>IFERROR(__xludf.DUMMYFUNCTION("""COMPUTED_VALUE"""),"#VALUE!")</f>
        <v>#VALUE!</v>
      </c>
      <c r="D720" s="189"/>
    </row>
    <row r="721">
      <c r="C721" s="189" t="str">
        <f>IFERROR(__xludf.DUMMYFUNCTION("""COMPUTED_VALUE"""),"#VALUE!")</f>
        <v>#VALUE!</v>
      </c>
      <c r="D721" s="189"/>
    </row>
    <row r="722">
      <c r="C722" s="189" t="str">
        <f>IFERROR(__xludf.DUMMYFUNCTION("""COMPUTED_VALUE"""),"#VALUE!")</f>
        <v>#VALUE!</v>
      </c>
      <c r="D722" s="189"/>
    </row>
    <row r="723">
      <c r="C723" s="189" t="str">
        <f>IFERROR(__xludf.DUMMYFUNCTION("""COMPUTED_VALUE"""),"#VALUE!")</f>
        <v>#VALUE!</v>
      </c>
      <c r="D723" s="189"/>
    </row>
    <row r="724">
      <c r="C724" s="189" t="str">
        <f>IFERROR(__xludf.DUMMYFUNCTION("""COMPUTED_VALUE"""),"#VALUE!")</f>
        <v>#VALUE!</v>
      </c>
      <c r="D724" s="189"/>
    </row>
    <row r="725">
      <c r="C725" s="189" t="str">
        <f>IFERROR(__xludf.DUMMYFUNCTION("""COMPUTED_VALUE"""),"#VALUE!")</f>
        <v>#VALUE!</v>
      </c>
      <c r="D725" s="189"/>
    </row>
    <row r="726">
      <c r="C726" s="189" t="str">
        <f>IFERROR(__xludf.DUMMYFUNCTION("""COMPUTED_VALUE"""),"#VALUE!")</f>
        <v>#VALUE!</v>
      </c>
      <c r="D726" s="189"/>
    </row>
    <row r="727">
      <c r="C727" s="189" t="str">
        <f>IFERROR(__xludf.DUMMYFUNCTION("""COMPUTED_VALUE"""),"#VALUE!")</f>
        <v>#VALUE!</v>
      </c>
      <c r="D727" s="189"/>
    </row>
    <row r="728">
      <c r="C728" s="189" t="str">
        <f>IFERROR(__xludf.DUMMYFUNCTION("""COMPUTED_VALUE"""),"#VALUE!")</f>
        <v>#VALUE!</v>
      </c>
      <c r="D728" s="189"/>
    </row>
    <row r="729">
      <c r="C729" s="189" t="str">
        <f>IFERROR(__xludf.DUMMYFUNCTION("""COMPUTED_VALUE"""),"#VALUE!")</f>
        <v>#VALUE!</v>
      </c>
      <c r="D729" s="189"/>
    </row>
    <row r="730">
      <c r="C730" s="189" t="str">
        <f>IFERROR(__xludf.DUMMYFUNCTION("""COMPUTED_VALUE"""),"#VALUE!")</f>
        <v>#VALUE!</v>
      </c>
      <c r="D730" s="189"/>
    </row>
    <row r="731">
      <c r="C731" s="189" t="str">
        <f>IFERROR(__xludf.DUMMYFUNCTION("""COMPUTED_VALUE"""),"#VALUE!")</f>
        <v>#VALUE!</v>
      </c>
      <c r="D731" s="189"/>
    </row>
    <row r="732">
      <c r="C732" s="189" t="str">
        <f>IFERROR(__xludf.DUMMYFUNCTION("""COMPUTED_VALUE"""),"#VALUE!")</f>
        <v>#VALUE!</v>
      </c>
      <c r="D732" s="189"/>
    </row>
    <row r="733">
      <c r="C733" s="189" t="str">
        <f>IFERROR(__xludf.DUMMYFUNCTION("""COMPUTED_VALUE"""),"#VALUE!")</f>
        <v>#VALUE!</v>
      </c>
      <c r="D733" s="189"/>
    </row>
    <row r="734">
      <c r="C734" s="189" t="str">
        <f>IFERROR(__xludf.DUMMYFUNCTION("""COMPUTED_VALUE"""),"#VALUE!")</f>
        <v>#VALUE!</v>
      </c>
      <c r="D734" s="189"/>
    </row>
    <row r="735">
      <c r="C735" s="189" t="str">
        <f>IFERROR(__xludf.DUMMYFUNCTION("""COMPUTED_VALUE"""),"#VALUE!")</f>
        <v>#VALUE!</v>
      </c>
      <c r="D735" s="189"/>
    </row>
    <row r="736">
      <c r="C736" s="189" t="str">
        <f>IFERROR(__xludf.DUMMYFUNCTION("""COMPUTED_VALUE"""),"#VALUE!")</f>
        <v>#VALUE!</v>
      </c>
      <c r="D736" s="189"/>
    </row>
    <row r="737">
      <c r="C737" s="189" t="str">
        <f>IFERROR(__xludf.DUMMYFUNCTION("""COMPUTED_VALUE"""),"#VALUE!")</f>
        <v>#VALUE!</v>
      </c>
      <c r="D737" s="189"/>
    </row>
    <row r="738">
      <c r="C738" s="189" t="str">
        <f>IFERROR(__xludf.DUMMYFUNCTION("""COMPUTED_VALUE"""),"#VALUE!")</f>
        <v>#VALUE!</v>
      </c>
      <c r="D738" s="189"/>
    </row>
    <row r="739">
      <c r="C739" s="189" t="str">
        <f>IFERROR(__xludf.DUMMYFUNCTION("""COMPUTED_VALUE"""),"#VALUE!")</f>
        <v>#VALUE!</v>
      </c>
      <c r="D739" s="189"/>
    </row>
    <row r="740">
      <c r="C740" s="189" t="str">
        <f>IFERROR(__xludf.DUMMYFUNCTION("""COMPUTED_VALUE"""),"#VALUE!")</f>
        <v>#VALUE!</v>
      </c>
      <c r="D740" s="189"/>
    </row>
    <row r="741">
      <c r="C741" s="189" t="str">
        <f>IFERROR(__xludf.DUMMYFUNCTION("""COMPUTED_VALUE"""),"#VALUE!")</f>
        <v>#VALUE!</v>
      </c>
      <c r="D741" s="189"/>
    </row>
    <row r="742">
      <c r="C742" s="189" t="str">
        <f>IFERROR(__xludf.DUMMYFUNCTION("""COMPUTED_VALUE"""),"#VALUE!")</f>
        <v>#VALUE!</v>
      </c>
      <c r="D742" s="189"/>
    </row>
    <row r="743">
      <c r="C743" s="189" t="str">
        <f>IFERROR(__xludf.DUMMYFUNCTION("""COMPUTED_VALUE"""),"#VALUE!")</f>
        <v>#VALUE!</v>
      </c>
      <c r="D743" s="189"/>
    </row>
    <row r="744">
      <c r="C744" s="189" t="str">
        <f>IFERROR(__xludf.DUMMYFUNCTION("""COMPUTED_VALUE"""),"#VALUE!")</f>
        <v>#VALUE!</v>
      </c>
      <c r="D744" s="189"/>
    </row>
    <row r="745">
      <c r="C745" s="189" t="str">
        <f>IFERROR(__xludf.DUMMYFUNCTION("""COMPUTED_VALUE"""),"#VALUE!")</f>
        <v>#VALUE!</v>
      </c>
      <c r="D745" s="189"/>
    </row>
    <row r="746">
      <c r="C746" s="189" t="str">
        <f>IFERROR(__xludf.DUMMYFUNCTION("""COMPUTED_VALUE"""),"#VALUE!")</f>
        <v>#VALUE!</v>
      </c>
      <c r="D746" s="189"/>
    </row>
    <row r="747">
      <c r="C747" s="189" t="str">
        <f>IFERROR(__xludf.DUMMYFUNCTION("""COMPUTED_VALUE"""),"#VALUE!")</f>
        <v>#VALUE!</v>
      </c>
      <c r="D747" s="189"/>
    </row>
    <row r="748">
      <c r="C748" s="189" t="str">
        <f>IFERROR(__xludf.DUMMYFUNCTION("""COMPUTED_VALUE"""),"#VALUE!")</f>
        <v>#VALUE!</v>
      </c>
      <c r="D748" s="189"/>
    </row>
    <row r="749">
      <c r="C749" s="189" t="str">
        <f>IFERROR(__xludf.DUMMYFUNCTION("""COMPUTED_VALUE"""),"#VALUE!")</f>
        <v>#VALUE!</v>
      </c>
      <c r="D749" s="189"/>
    </row>
    <row r="750">
      <c r="C750" s="189" t="str">
        <f>IFERROR(__xludf.DUMMYFUNCTION("""COMPUTED_VALUE"""),"#VALUE!")</f>
        <v>#VALUE!</v>
      </c>
      <c r="D750" s="189"/>
    </row>
    <row r="751">
      <c r="C751" s="189" t="str">
        <f>IFERROR(__xludf.DUMMYFUNCTION("""COMPUTED_VALUE"""),"#VALUE!")</f>
        <v>#VALUE!</v>
      </c>
      <c r="D751" s="189"/>
    </row>
    <row r="752">
      <c r="C752" s="189" t="str">
        <f>IFERROR(__xludf.DUMMYFUNCTION("""COMPUTED_VALUE"""),"#VALUE!")</f>
        <v>#VALUE!</v>
      </c>
      <c r="D752" s="189"/>
    </row>
    <row r="753">
      <c r="C753" s="189" t="str">
        <f>IFERROR(__xludf.DUMMYFUNCTION("""COMPUTED_VALUE"""),"#VALUE!")</f>
        <v>#VALUE!</v>
      </c>
      <c r="D753" s="189"/>
    </row>
    <row r="754">
      <c r="C754" s="189" t="str">
        <f>IFERROR(__xludf.DUMMYFUNCTION("""COMPUTED_VALUE"""),"#VALUE!")</f>
        <v>#VALUE!</v>
      </c>
      <c r="D754" s="189"/>
    </row>
    <row r="755">
      <c r="C755" s="189" t="str">
        <f>IFERROR(__xludf.DUMMYFUNCTION("""COMPUTED_VALUE"""),"#VALUE!")</f>
        <v>#VALUE!</v>
      </c>
      <c r="D755" s="189"/>
    </row>
    <row r="756">
      <c r="C756" s="189" t="str">
        <f>IFERROR(__xludf.DUMMYFUNCTION("""COMPUTED_VALUE"""),"#VALUE!")</f>
        <v>#VALUE!</v>
      </c>
      <c r="D756" s="189"/>
    </row>
    <row r="757">
      <c r="C757" s="189" t="str">
        <f>IFERROR(__xludf.DUMMYFUNCTION("""COMPUTED_VALUE"""),"#VALUE!")</f>
        <v>#VALUE!</v>
      </c>
      <c r="D757" s="189"/>
    </row>
    <row r="758">
      <c r="C758" s="189" t="str">
        <f>IFERROR(__xludf.DUMMYFUNCTION("""COMPUTED_VALUE"""),"#VALUE!")</f>
        <v>#VALUE!</v>
      </c>
      <c r="D758" s="189"/>
    </row>
    <row r="759">
      <c r="C759" s="189" t="str">
        <f>IFERROR(__xludf.DUMMYFUNCTION("""COMPUTED_VALUE"""),"#VALUE!")</f>
        <v>#VALUE!</v>
      </c>
      <c r="D759" s="189"/>
    </row>
    <row r="760">
      <c r="C760" s="189" t="str">
        <f>IFERROR(__xludf.DUMMYFUNCTION("""COMPUTED_VALUE"""),"#VALUE!")</f>
        <v>#VALUE!</v>
      </c>
      <c r="D760" s="189"/>
    </row>
    <row r="761">
      <c r="C761" s="189" t="str">
        <f>IFERROR(__xludf.DUMMYFUNCTION("""COMPUTED_VALUE"""),"#VALUE!")</f>
        <v>#VALUE!</v>
      </c>
      <c r="D761" s="189"/>
    </row>
    <row r="762">
      <c r="C762" s="189" t="str">
        <f>IFERROR(__xludf.DUMMYFUNCTION("""COMPUTED_VALUE"""),"#VALUE!")</f>
        <v>#VALUE!</v>
      </c>
      <c r="D762" s="189"/>
    </row>
    <row r="763">
      <c r="C763" s="189" t="str">
        <f>IFERROR(__xludf.DUMMYFUNCTION("""COMPUTED_VALUE"""),"#VALUE!")</f>
        <v>#VALUE!</v>
      </c>
      <c r="D763" s="189"/>
    </row>
    <row r="764">
      <c r="C764" s="189" t="str">
        <f>IFERROR(__xludf.DUMMYFUNCTION("""COMPUTED_VALUE"""),"#VALUE!")</f>
        <v>#VALUE!</v>
      </c>
      <c r="D764" s="189"/>
    </row>
    <row r="765">
      <c r="C765" s="189" t="str">
        <f>IFERROR(__xludf.DUMMYFUNCTION("""COMPUTED_VALUE"""),"#VALUE!")</f>
        <v>#VALUE!</v>
      </c>
      <c r="D765" s="189"/>
    </row>
    <row r="766">
      <c r="C766" s="189" t="str">
        <f>IFERROR(__xludf.DUMMYFUNCTION("""COMPUTED_VALUE"""),"#VALUE!")</f>
        <v>#VALUE!</v>
      </c>
      <c r="D766" s="189"/>
    </row>
    <row r="767">
      <c r="C767" s="189" t="str">
        <f>IFERROR(__xludf.DUMMYFUNCTION("""COMPUTED_VALUE"""),"#VALUE!")</f>
        <v>#VALUE!</v>
      </c>
      <c r="D767" s="189"/>
    </row>
    <row r="768">
      <c r="C768" s="189" t="str">
        <f>IFERROR(__xludf.DUMMYFUNCTION("""COMPUTED_VALUE"""),"#VALUE!")</f>
        <v>#VALUE!</v>
      </c>
      <c r="D768" s="189"/>
    </row>
    <row r="769">
      <c r="C769" s="189" t="str">
        <f>IFERROR(__xludf.DUMMYFUNCTION("""COMPUTED_VALUE"""),"#VALUE!")</f>
        <v>#VALUE!</v>
      </c>
      <c r="D769" s="189"/>
    </row>
    <row r="770">
      <c r="C770" s="189" t="str">
        <f>IFERROR(__xludf.DUMMYFUNCTION("""COMPUTED_VALUE"""),"#VALUE!")</f>
        <v>#VALUE!</v>
      </c>
      <c r="D770" s="189"/>
    </row>
    <row r="771">
      <c r="C771" s="189" t="str">
        <f>IFERROR(__xludf.DUMMYFUNCTION("""COMPUTED_VALUE"""),"#VALUE!")</f>
        <v>#VALUE!</v>
      </c>
      <c r="D771" s="189"/>
    </row>
    <row r="772">
      <c r="C772" s="189" t="str">
        <f>IFERROR(__xludf.DUMMYFUNCTION("""COMPUTED_VALUE"""),"#VALUE!")</f>
        <v>#VALUE!</v>
      </c>
      <c r="D772" s="189"/>
    </row>
    <row r="773">
      <c r="C773" s="189" t="str">
        <f>IFERROR(__xludf.DUMMYFUNCTION("""COMPUTED_VALUE"""),"#VALUE!")</f>
        <v>#VALUE!</v>
      </c>
      <c r="D773" s="189"/>
    </row>
    <row r="774">
      <c r="C774" s="189" t="str">
        <f>IFERROR(__xludf.DUMMYFUNCTION("""COMPUTED_VALUE"""),"#VALUE!")</f>
        <v>#VALUE!</v>
      </c>
      <c r="D774" s="189"/>
    </row>
    <row r="775">
      <c r="C775" s="189" t="str">
        <f>IFERROR(__xludf.DUMMYFUNCTION("""COMPUTED_VALUE"""),"#VALUE!")</f>
        <v>#VALUE!</v>
      </c>
      <c r="D775" s="189"/>
    </row>
    <row r="776">
      <c r="C776" s="189" t="str">
        <f>IFERROR(__xludf.DUMMYFUNCTION("""COMPUTED_VALUE"""),"#VALUE!")</f>
        <v>#VALUE!</v>
      </c>
      <c r="D776" s="189"/>
    </row>
    <row r="777">
      <c r="C777" s="189" t="str">
        <f>IFERROR(__xludf.DUMMYFUNCTION("""COMPUTED_VALUE"""),"#VALUE!")</f>
        <v>#VALUE!</v>
      </c>
      <c r="D777" s="189"/>
    </row>
    <row r="778">
      <c r="C778" s="189" t="str">
        <f>IFERROR(__xludf.DUMMYFUNCTION("""COMPUTED_VALUE"""),"#VALUE!")</f>
        <v>#VALUE!</v>
      </c>
      <c r="D778" s="189"/>
    </row>
    <row r="779">
      <c r="C779" s="189" t="str">
        <f>IFERROR(__xludf.DUMMYFUNCTION("""COMPUTED_VALUE"""),"#VALUE!")</f>
        <v>#VALUE!</v>
      </c>
      <c r="D779" s="189"/>
    </row>
    <row r="780">
      <c r="C780" s="189" t="str">
        <f>IFERROR(__xludf.DUMMYFUNCTION("""COMPUTED_VALUE"""),"#VALUE!")</f>
        <v>#VALUE!</v>
      </c>
      <c r="D780" s="189"/>
    </row>
    <row r="781">
      <c r="C781" s="189" t="str">
        <f>IFERROR(__xludf.DUMMYFUNCTION("""COMPUTED_VALUE"""),"#VALUE!")</f>
        <v>#VALUE!</v>
      </c>
      <c r="D781" s="189"/>
    </row>
    <row r="782">
      <c r="C782" s="189" t="str">
        <f>IFERROR(__xludf.DUMMYFUNCTION("""COMPUTED_VALUE"""),"#VALUE!")</f>
        <v>#VALUE!</v>
      </c>
      <c r="D782" s="189"/>
    </row>
    <row r="783">
      <c r="C783" s="189" t="str">
        <f>IFERROR(__xludf.DUMMYFUNCTION("""COMPUTED_VALUE"""),"#VALUE!")</f>
        <v>#VALUE!</v>
      </c>
      <c r="D783" s="189"/>
    </row>
    <row r="784">
      <c r="C784" s="189" t="str">
        <f>IFERROR(__xludf.DUMMYFUNCTION("""COMPUTED_VALUE"""),"#VALUE!")</f>
        <v>#VALUE!</v>
      </c>
      <c r="D784" s="189"/>
    </row>
    <row r="785">
      <c r="C785" s="189" t="str">
        <f>IFERROR(__xludf.DUMMYFUNCTION("""COMPUTED_VALUE"""),"#VALUE!")</f>
        <v>#VALUE!</v>
      </c>
      <c r="D785" s="189"/>
    </row>
    <row r="786">
      <c r="C786" s="189" t="str">
        <f>IFERROR(__xludf.DUMMYFUNCTION("""COMPUTED_VALUE"""),"#VALUE!")</f>
        <v>#VALUE!</v>
      </c>
      <c r="D786" s="189"/>
    </row>
    <row r="787">
      <c r="C787" s="189" t="str">
        <f>IFERROR(__xludf.DUMMYFUNCTION("""COMPUTED_VALUE"""),"#VALUE!")</f>
        <v>#VALUE!</v>
      </c>
      <c r="D787" s="189"/>
    </row>
    <row r="788">
      <c r="C788" s="189" t="str">
        <f>IFERROR(__xludf.DUMMYFUNCTION("""COMPUTED_VALUE"""),"#VALUE!")</f>
        <v>#VALUE!</v>
      </c>
      <c r="D788" s="189"/>
    </row>
    <row r="789">
      <c r="C789" s="189" t="str">
        <f>IFERROR(__xludf.DUMMYFUNCTION("""COMPUTED_VALUE"""),"#VALUE!")</f>
        <v>#VALUE!</v>
      </c>
      <c r="D789" s="189"/>
    </row>
    <row r="790">
      <c r="C790" s="189" t="str">
        <f>IFERROR(__xludf.DUMMYFUNCTION("""COMPUTED_VALUE"""),"#VALUE!")</f>
        <v>#VALUE!</v>
      </c>
      <c r="D790" s="189"/>
    </row>
    <row r="791">
      <c r="C791" s="189" t="str">
        <f>IFERROR(__xludf.DUMMYFUNCTION("""COMPUTED_VALUE"""),"#VALUE!")</f>
        <v>#VALUE!</v>
      </c>
      <c r="D791" s="189"/>
    </row>
    <row r="792">
      <c r="C792" s="189" t="str">
        <f>IFERROR(__xludf.DUMMYFUNCTION("""COMPUTED_VALUE"""),"#VALUE!")</f>
        <v>#VALUE!</v>
      </c>
      <c r="D792" s="189"/>
    </row>
    <row r="793">
      <c r="C793" s="189" t="str">
        <f>IFERROR(__xludf.DUMMYFUNCTION("""COMPUTED_VALUE"""),"#VALUE!")</f>
        <v>#VALUE!</v>
      </c>
      <c r="D793" s="189"/>
    </row>
    <row r="794">
      <c r="C794" s="189" t="str">
        <f>IFERROR(__xludf.DUMMYFUNCTION("""COMPUTED_VALUE"""),"#VALUE!")</f>
        <v>#VALUE!</v>
      </c>
      <c r="D794" s="189"/>
    </row>
    <row r="795">
      <c r="C795" s="189" t="str">
        <f>IFERROR(__xludf.DUMMYFUNCTION("""COMPUTED_VALUE"""),"#VALUE!")</f>
        <v>#VALUE!</v>
      </c>
      <c r="D795" s="189"/>
    </row>
    <row r="796">
      <c r="C796" s="189" t="str">
        <f>IFERROR(__xludf.DUMMYFUNCTION("""COMPUTED_VALUE"""),"#VALUE!")</f>
        <v>#VALUE!</v>
      </c>
      <c r="D796" s="189"/>
    </row>
    <row r="797">
      <c r="C797" s="189" t="str">
        <f>IFERROR(__xludf.DUMMYFUNCTION("""COMPUTED_VALUE"""),"#VALUE!")</f>
        <v>#VALUE!</v>
      </c>
      <c r="D797" s="189"/>
    </row>
    <row r="798">
      <c r="C798" s="189" t="str">
        <f>IFERROR(__xludf.DUMMYFUNCTION("""COMPUTED_VALUE"""),"#VALUE!")</f>
        <v>#VALUE!</v>
      </c>
      <c r="D798" s="189"/>
    </row>
    <row r="799">
      <c r="C799" s="189" t="str">
        <f>IFERROR(__xludf.DUMMYFUNCTION("""COMPUTED_VALUE"""),"#VALUE!")</f>
        <v>#VALUE!</v>
      </c>
      <c r="D799" s="189"/>
    </row>
    <row r="800">
      <c r="C800" s="189" t="str">
        <f>IFERROR(__xludf.DUMMYFUNCTION("""COMPUTED_VALUE"""),"#VALUE!")</f>
        <v>#VALUE!</v>
      </c>
      <c r="D800" s="189"/>
    </row>
    <row r="801">
      <c r="C801" s="189" t="str">
        <f>IFERROR(__xludf.DUMMYFUNCTION("""COMPUTED_VALUE"""),"#VALUE!")</f>
        <v>#VALUE!</v>
      </c>
      <c r="D801" s="189"/>
    </row>
    <row r="802">
      <c r="C802" s="189" t="str">
        <f>IFERROR(__xludf.DUMMYFUNCTION("""COMPUTED_VALUE"""),"#VALUE!")</f>
        <v>#VALUE!</v>
      </c>
      <c r="D802" s="189"/>
    </row>
    <row r="803">
      <c r="C803" s="189" t="str">
        <f>IFERROR(__xludf.DUMMYFUNCTION("""COMPUTED_VALUE"""),"#VALUE!")</f>
        <v>#VALUE!</v>
      </c>
      <c r="D803" s="189"/>
    </row>
    <row r="804">
      <c r="C804" s="189" t="str">
        <f>IFERROR(__xludf.DUMMYFUNCTION("""COMPUTED_VALUE"""),"#VALUE!")</f>
        <v>#VALUE!</v>
      </c>
      <c r="D804" s="189"/>
    </row>
    <row r="805">
      <c r="C805" s="189" t="str">
        <f>IFERROR(__xludf.DUMMYFUNCTION("""COMPUTED_VALUE"""),"#VALUE!")</f>
        <v>#VALUE!</v>
      </c>
      <c r="D805" s="189"/>
    </row>
    <row r="806">
      <c r="C806" s="189" t="str">
        <f>IFERROR(__xludf.DUMMYFUNCTION("""COMPUTED_VALUE"""),"#VALUE!")</f>
        <v>#VALUE!</v>
      </c>
      <c r="D806" s="189"/>
    </row>
    <row r="807">
      <c r="C807" s="189" t="str">
        <f>IFERROR(__xludf.DUMMYFUNCTION("""COMPUTED_VALUE"""),"#VALUE!")</f>
        <v>#VALUE!</v>
      </c>
      <c r="D807" s="189"/>
    </row>
    <row r="808">
      <c r="C808" s="189" t="str">
        <f>IFERROR(__xludf.DUMMYFUNCTION("""COMPUTED_VALUE"""),"#VALUE!")</f>
        <v>#VALUE!</v>
      </c>
      <c r="D808" s="189"/>
    </row>
    <row r="809">
      <c r="C809" s="189" t="str">
        <f>IFERROR(__xludf.DUMMYFUNCTION("""COMPUTED_VALUE"""),"#VALUE!")</f>
        <v>#VALUE!</v>
      </c>
      <c r="D809" s="189"/>
    </row>
    <row r="810">
      <c r="C810" s="189" t="str">
        <f>IFERROR(__xludf.DUMMYFUNCTION("""COMPUTED_VALUE"""),"#VALUE!")</f>
        <v>#VALUE!</v>
      </c>
      <c r="D810" s="189"/>
    </row>
    <row r="811">
      <c r="C811" s="189" t="str">
        <f>IFERROR(__xludf.DUMMYFUNCTION("""COMPUTED_VALUE"""),"#VALUE!")</f>
        <v>#VALUE!</v>
      </c>
      <c r="D811" s="189"/>
    </row>
    <row r="812">
      <c r="C812" s="189" t="str">
        <f>IFERROR(__xludf.DUMMYFUNCTION("""COMPUTED_VALUE"""),"#VALUE!")</f>
        <v>#VALUE!</v>
      </c>
      <c r="D812" s="189"/>
    </row>
    <row r="813">
      <c r="C813" s="189" t="str">
        <f>IFERROR(__xludf.DUMMYFUNCTION("""COMPUTED_VALUE"""),"#VALUE!")</f>
        <v>#VALUE!</v>
      </c>
      <c r="D813" s="189"/>
    </row>
    <row r="814">
      <c r="C814" s="189" t="str">
        <f>IFERROR(__xludf.DUMMYFUNCTION("""COMPUTED_VALUE"""),"#VALUE!")</f>
        <v>#VALUE!</v>
      </c>
      <c r="D814" s="189"/>
    </row>
    <row r="815">
      <c r="C815" s="189" t="str">
        <f>IFERROR(__xludf.DUMMYFUNCTION("""COMPUTED_VALUE"""),"#VALUE!")</f>
        <v>#VALUE!</v>
      </c>
      <c r="D815" s="189"/>
    </row>
    <row r="816">
      <c r="C816" s="189" t="str">
        <f>IFERROR(__xludf.DUMMYFUNCTION("""COMPUTED_VALUE"""),"#VALUE!")</f>
        <v>#VALUE!</v>
      </c>
      <c r="D816" s="189"/>
    </row>
    <row r="817">
      <c r="C817" s="189" t="str">
        <f>IFERROR(__xludf.DUMMYFUNCTION("""COMPUTED_VALUE"""),"#VALUE!")</f>
        <v>#VALUE!</v>
      </c>
      <c r="D817" s="189"/>
    </row>
    <row r="818">
      <c r="C818" s="189" t="str">
        <f>IFERROR(__xludf.DUMMYFUNCTION("""COMPUTED_VALUE"""),"#VALUE!")</f>
        <v>#VALUE!</v>
      </c>
      <c r="D818" s="189"/>
    </row>
    <row r="819">
      <c r="C819" s="189" t="str">
        <f>IFERROR(__xludf.DUMMYFUNCTION("""COMPUTED_VALUE"""),"#VALUE!")</f>
        <v>#VALUE!</v>
      </c>
      <c r="D819" s="189"/>
    </row>
    <row r="820">
      <c r="C820" s="189" t="str">
        <f>IFERROR(__xludf.DUMMYFUNCTION("""COMPUTED_VALUE"""),"#VALUE!")</f>
        <v>#VALUE!</v>
      </c>
      <c r="D820" s="189"/>
    </row>
    <row r="821">
      <c r="C821" s="189" t="str">
        <f>IFERROR(__xludf.DUMMYFUNCTION("""COMPUTED_VALUE"""),"#VALUE!")</f>
        <v>#VALUE!</v>
      </c>
      <c r="D821" s="189"/>
    </row>
    <row r="822">
      <c r="C822" s="189" t="str">
        <f>IFERROR(__xludf.DUMMYFUNCTION("""COMPUTED_VALUE"""),"#VALUE!")</f>
        <v>#VALUE!</v>
      </c>
      <c r="D822" s="189"/>
    </row>
    <row r="823">
      <c r="C823" s="189" t="str">
        <f>IFERROR(__xludf.DUMMYFUNCTION("""COMPUTED_VALUE"""),"#VALUE!")</f>
        <v>#VALUE!</v>
      </c>
      <c r="D823" s="189"/>
    </row>
    <row r="824">
      <c r="C824" s="189" t="str">
        <f>IFERROR(__xludf.DUMMYFUNCTION("""COMPUTED_VALUE"""),"#VALUE!")</f>
        <v>#VALUE!</v>
      </c>
      <c r="D824" s="189"/>
    </row>
    <row r="825">
      <c r="C825" s="189" t="str">
        <f>IFERROR(__xludf.DUMMYFUNCTION("""COMPUTED_VALUE"""),"#VALUE!")</f>
        <v>#VALUE!</v>
      </c>
      <c r="D825" s="189"/>
    </row>
    <row r="826">
      <c r="C826" s="189" t="str">
        <f>IFERROR(__xludf.DUMMYFUNCTION("""COMPUTED_VALUE"""),"#VALUE!")</f>
        <v>#VALUE!</v>
      </c>
      <c r="D826" s="189"/>
    </row>
    <row r="827">
      <c r="C827" s="189" t="str">
        <f>IFERROR(__xludf.DUMMYFUNCTION("""COMPUTED_VALUE"""),"#VALUE!")</f>
        <v>#VALUE!</v>
      </c>
      <c r="D827" s="189"/>
    </row>
    <row r="828">
      <c r="C828" s="189" t="str">
        <f>IFERROR(__xludf.DUMMYFUNCTION("""COMPUTED_VALUE"""),"#VALUE!")</f>
        <v>#VALUE!</v>
      </c>
      <c r="D828" s="189"/>
    </row>
    <row r="829">
      <c r="C829" s="189" t="str">
        <f>IFERROR(__xludf.DUMMYFUNCTION("""COMPUTED_VALUE"""),"#VALUE!")</f>
        <v>#VALUE!</v>
      </c>
      <c r="D829" s="189"/>
    </row>
    <row r="830">
      <c r="C830" s="189" t="str">
        <f>IFERROR(__xludf.DUMMYFUNCTION("""COMPUTED_VALUE"""),"#VALUE!")</f>
        <v>#VALUE!</v>
      </c>
      <c r="D830" s="189"/>
    </row>
    <row r="831">
      <c r="C831" s="189" t="str">
        <f>IFERROR(__xludf.DUMMYFUNCTION("""COMPUTED_VALUE"""),"#VALUE!")</f>
        <v>#VALUE!</v>
      </c>
      <c r="D831" s="189"/>
    </row>
    <row r="832">
      <c r="C832" s="189" t="str">
        <f>IFERROR(__xludf.DUMMYFUNCTION("""COMPUTED_VALUE"""),"#VALUE!")</f>
        <v>#VALUE!</v>
      </c>
      <c r="D832" s="189"/>
    </row>
    <row r="833">
      <c r="C833" s="189" t="str">
        <f>IFERROR(__xludf.DUMMYFUNCTION("""COMPUTED_VALUE"""),"#VALUE!")</f>
        <v>#VALUE!</v>
      </c>
      <c r="D833" s="189"/>
    </row>
    <row r="834">
      <c r="C834" s="189" t="str">
        <f>IFERROR(__xludf.DUMMYFUNCTION("""COMPUTED_VALUE"""),"#VALUE!")</f>
        <v>#VALUE!</v>
      </c>
      <c r="D834" s="189"/>
    </row>
    <row r="835">
      <c r="C835" s="189" t="str">
        <f>IFERROR(__xludf.DUMMYFUNCTION("""COMPUTED_VALUE"""),"#VALUE!")</f>
        <v>#VALUE!</v>
      </c>
      <c r="D835" s="189"/>
    </row>
    <row r="836">
      <c r="C836" s="189" t="str">
        <f>IFERROR(__xludf.DUMMYFUNCTION("""COMPUTED_VALUE"""),"#VALUE!")</f>
        <v>#VALUE!</v>
      </c>
      <c r="D836" s="189"/>
    </row>
    <row r="837">
      <c r="C837" s="189" t="str">
        <f>IFERROR(__xludf.DUMMYFUNCTION("""COMPUTED_VALUE"""),"#VALUE!")</f>
        <v>#VALUE!</v>
      </c>
      <c r="D837" s="189"/>
    </row>
    <row r="838">
      <c r="C838" s="189" t="str">
        <f>IFERROR(__xludf.DUMMYFUNCTION("""COMPUTED_VALUE"""),"#VALUE!")</f>
        <v>#VALUE!</v>
      </c>
      <c r="D838" s="189"/>
    </row>
    <row r="839">
      <c r="C839" s="189" t="str">
        <f>IFERROR(__xludf.DUMMYFUNCTION("""COMPUTED_VALUE"""),"#VALUE!")</f>
        <v>#VALUE!</v>
      </c>
      <c r="D839" s="189"/>
    </row>
    <row r="840">
      <c r="C840" s="189" t="str">
        <f>IFERROR(__xludf.DUMMYFUNCTION("""COMPUTED_VALUE"""),"#VALUE!")</f>
        <v>#VALUE!</v>
      </c>
      <c r="D840" s="189"/>
    </row>
    <row r="841">
      <c r="C841" s="189" t="str">
        <f>IFERROR(__xludf.DUMMYFUNCTION("""COMPUTED_VALUE"""),"#VALUE!")</f>
        <v>#VALUE!</v>
      </c>
      <c r="D841" s="189"/>
    </row>
    <row r="842">
      <c r="C842" s="189" t="str">
        <f>IFERROR(__xludf.DUMMYFUNCTION("""COMPUTED_VALUE"""),"#VALUE!")</f>
        <v>#VALUE!</v>
      </c>
      <c r="D842" s="189"/>
    </row>
    <row r="843">
      <c r="C843" s="189" t="str">
        <f>IFERROR(__xludf.DUMMYFUNCTION("""COMPUTED_VALUE"""),"#VALUE!")</f>
        <v>#VALUE!</v>
      </c>
      <c r="D843" s="189"/>
    </row>
    <row r="844">
      <c r="C844" s="189" t="str">
        <f>IFERROR(__xludf.DUMMYFUNCTION("""COMPUTED_VALUE"""),"#VALUE!")</f>
        <v>#VALUE!</v>
      </c>
      <c r="D844" s="189"/>
    </row>
    <row r="845">
      <c r="C845" s="189" t="str">
        <f>IFERROR(__xludf.DUMMYFUNCTION("""COMPUTED_VALUE"""),"#VALUE!")</f>
        <v>#VALUE!</v>
      </c>
      <c r="D845" s="189"/>
    </row>
    <row r="846">
      <c r="C846" s="189" t="str">
        <f>IFERROR(__xludf.DUMMYFUNCTION("""COMPUTED_VALUE"""),"#VALUE!")</f>
        <v>#VALUE!</v>
      </c>
      <c r="D846" s="189"/>
    </row>
    <row r="847">
      <c r="C847" s="189" t="str">
        <f>IFERROR(__xludf.DUMMYFUNCTION("""COMPUTED_VALUE"""),"#VALUE!")</f>
        <v>#VALUE!</v>
      </c>
      <c r="D847" s="189"/>
    </row>
    <row r="848">
      <c r="C848" s="189" t="str">
        <f>IFERROR(__xludf.DUMMYFUNCTION("""COMPUTED_VALUE"""),"#VALUE!")</f>
        <v>#VALUE!</v>
      </c>
      <c r="D848" s="189"/>
    </row>
    <row r="849">
      <c r="C849" s="189" t="str">
        <f>IFERROR(__xludf.DUMMYFUNCTION("""COMPUTED_VALUE"""),"#VALUE!")</f>
        <v>#VALUE!</v>
      </c>
      <c r="D849" s="189"/>
    </row>
    <row r="850">
      <c r="C850" s="189" t="str">
        <f>IFERROR(__xludf.DUMMYFUNCTION("""COMPUTED_VALUE"""),"#VALUE!")</f>
        <v>#VALUE!</v>
      </c>
      <c r="D850" s="189"/>
    </row>
    <row r="851">
      <c r="C851" s="189" t="str">
        <f>IFERROR(__xludf.DUMMYFUNCTION("""COMPUTED_VALUE"""),"#VALUE!")</f>
        <v>#VALUE!</v>
      </c>
      <c r="D851" s="189"/>
    </row>
    <row r="852">
      <c r="C852" s="189" t="str">
        <f>IFERROR(__xludf.DUMMYFUNCTION("""COMPUTED_VALUE"""),"#VALUE!")</f>
        <v>#VALUE!</v>
      </c>
      <c r="D852" s="189"/>
    </row>
    <row r="853">
      <c r="C853" s="189" t="str">
        <f>IFERROR(__xludf.DUMMYFUNCTION("""COMPUTED_VALUE"""),"#VALUE!")</f>
        <v>#VALUE!</v>
      </c>
      <c r="D853" s="189"/>
    </row>
    <row r="854">
      <c r="C854" s="189" t="str">
        <f>IFERROR(__xludf.DUMMYFUNCTION("""COMPUTED_VALUE"""),"#VALUE!")</f>
        <v>#VALUE!</v>
      </c>
      <c r="D854" s="189"/>
    </row>
    <row r="855">
      <c r="C855" s="189" t="str">
        <f>IFERROR(__xludf.DUMMYFUNCTION("""COMPUTED_VALUE"""),"#VALUE!")</f>
        <v>#VALUE!</v>
      </c>
      <c r="D855" s="189"/>
    </row>
    <row r="856">
      <c r="C856" s="189" t="str">
        <f>IFERROR(__xludf.DUMMYFUNCTION("""COMPUTED_VALUE"""),"#VALUE!")</f>
        <v>#VALUE!</v>
      </c>
      <c r="D856" s="189"/>
    </row>
    <row r="857">
      <c r="C857" s="189" t="str">
        <f>IFERROR(__xludf.DUMMYFUNCTION("""COMPUTED_VALUE"""),"#VALUE!")</f>
        <v>#VALUE!</v>
      </c>
      <c r="D857" s="189"/>
    </row>
    <row r="858">
      <c r="C858" s="189" t="str">
        <f>IFERROR(__xludf.DUMMYFUNCTION("""COMPUTED_VALUE"""),"#VALUE!")</f>
        <v>#VALUE!</v>
      </c>
      <c r="D858" s="189"/>
    </row>
    <row r="859">
      <c r="C859" s="189" t="str">
        <f>IFERROR(__xludf.DUMMYFUNCTION("""COMPUTED_VALUE"""),"#VALUE!")</f>
        <v>#VALUE!</v>
      </c>
      <c r="D859" s="189"/>
    </row>
    <row r="860">
      <c r="C860" s="189" t="str">
        <f>IFERROR(__xludf.DUMMYFUNCTION("""COMPUTED_VALUE"""),"#VALUE!")</f>
        <v>#VALUE!</v>
      </c>
      <c r="D860" s="189"/>
    </row>
    <row r="861">
      <c r="C861" s="189" t="str">
        <f>IFERROR(__xludf.DUMMYFUNCTION("""COMPUTED_VALUE"""),"#VALUE!")</f>
        <v>#VALUE!</v>
      </c>
      <c r="D861" s="189"/>
    </row>
    <row r="862">
      <c r="C862" s="189" t="str">
        <f>IFERROR(__xludf.DUMMYFUNCTION("""COMPUTED_VALUE"""),"#VALUE!")</f>
        <v>#VALUE!</v>
      </c>
      <c r="D862" s="189"/>
    </row>
    <row r="863">
      <c r="C863" s="189" t="str">
        <f>IFERROR(__xludf.DUMMYFUNCTION("""COMPUTED_VALUE"""),"#VALUE!")</f>
        <v>#VALUE!</v>
      </c>
      <c r="D863" s="189"/>
    </row>
    <row r="864">
      <c r="C864" s="189" t="str">
        <f>IFERROR(__xludf.DUMMYFUNCTION("""COMPUTED_VALUE"""),"#VALUE!")</f>
        <v>#VALUE!</v>
      </c>
      <c r="D864" s="189"/>
    </row>
    <row r="865">
      <c r="C865" s="189" t="str">
        <f>IFERROR(__xludf.DUMMYFUNCTION("""COMPUTED_VALUE"""),"#VALUE!")</f>
        <v>#VALUE!</v>
      </c>
      <c r="D865" s="189"/>
    </row>
    <row r="866">
      <c r="C866" s="189" t="str">
        <f>IFERROR(__xludf.DUMMYFUNCTION("""COMPUTED_VALUE"""),"#VALUE!")</f>
        <v>#VALUE!</v>
      </c>
      <c r="D866" s="189"/>
    </row>
    <row r="867">
      <c r="C867" s="189" t="str">
        <f>IFERROR(__xludf.DUMMYFUNCTION("""COMPUTED_VALUE"""),"#VALUE!")</f>
        <v>#VALUE!</v>
      </c>
      <c r="D867" s="189"/>
    </row>
    <row r="868">
      <c r="C868" s="189" t="str">
        <f>IFERROR(__xludf.DUMMYFUNCTION("""COMPUTED_VALUE"""),"#VALUE!")</f>
        <v>#VALUE!</v>
      </c>
      <c r="D868" s="189"/>
    </row>
    <row r="869">
      <c r="C869" s="189" t="str">
        <f>IFERROR(__xludf.DUMMYFUNCTION("""COMPUTED_VALUE"""),"#VALUE!")</f>
        <v>#VALUE!</v>
      </c>
      <c r="D869" s="189"/>
    </row>
    <row r="870">
      <c r="C870" s="189" t="str">
        <f>IFERROR(__xludf.DUMMYFUNCTION("""COMPUTED_VALUE"""),"#VALUE!")</f>
        <v>#VALUE!</v>
      </c>
      <c r="D870" s="189"/>
    </row>
    <row r="871">
      <c r="C871" s="189" t="str">
        <f>IFERROR(__xludf.DUMMYFUNCTION("""COMPUTED_VALUE"""),"#VALUE!")</f>
        <v>#VALUE!</v>
      </c>
      <c r="D871" s="189"/>
    </row>
    <row r="872">
      <c r="C872" s="189" t="str">
        <f>IFERROR(__xludf.DUMMYFUNCTION("""COMPUTED_VALUE"""),"#VALUE!")</f>
        <v>#VALUE!</v>
      </c>
      <c r="D872" s="189"/>
    </row>
    <row r="873">
      <c r="C873" s="189" t="str">
        <f>IFERROR(__xludf.DUMMYFUNCTION("""COMPUTED_VALUE"""),"#VALUE!")</f>
        <v>#VALUE!</v>
      </c>
      <c r="D873" s="189"/>
    </row>
    <row r="874">
      <c r="C874" s="189" t="str">
        <f>IFERROR(__xludf.DUMMYFUNCTION("""COMPUTED_VALUE"""),"#VALUE!")</f>
        <v>#VALUE!</v>
      </c>
      <c r="D874" s="189"/>
    </row>
    <row r="875">
      <c r="C875" s="189" t="str">
        <f>IFERROR(__xludf.DUMMYFUNCTION("""COMPUTED_VALUE"""),"#VALUE!")</f>
        <v>#VALUE!</v>
      </c>
      <c r="D875" s="189"/>
    </row>
    <row r="876">
      <c r="C876" s="189" t="str">
        <f>IFERROR(__xludf.DUMMYFUNCTION("""COMPUTED_VALUE"""),"#VALUE!")</f>
        <v>#VALUE!</v>
      </c>
      <c r="D876" s="189"/>
    </row>
    <row r="877">
      <c r="C877" s="189" t="str">
        <f>IFERROR(__xludf.DUMMYFUNCTION("""COMPUTED_VALUE"""),"#VALUE!")</f>
        <v>#VALUE!</v>
      </c>
      <c r="D877" s="189"/>
    </row>
    <row r="878">
      <c r="C878" s="189" t="str">
        <f>IFERROR(__xludf.DUMMYFUNCTION("""COMPUTED_VALUE"""),"#VALUE!")</f>
        <v>#VALUE!</v>
      </c>
      <c r="D878" s="189"/>
    </row>
    <row r="879">
      <c r="C879" s="189" t="str">
        <f>IFERROR(__xludf.DUMMYFUNCTION("""COMPUTED_VALUE"""),"#VALUE!")</f>
        <v>#VALUE!</v>
      </c>
      <c r="D879" s="189"/>
    </row>
    <row r="880">
      <c r="C880" s="189" t="str">
        <f>IFERROR(__xludf.DUMMYFUNCTION("""COMPUTED_VALUE"""),"#VALUE!")</f>
        <v>#VALUE!</v>
      </c>
      <c r="D880" s="189"/>
    </row>
    <row r="881">
      <c r="C881" s="189" t="str">
        <f>IFERROR(__xludf.DUMMYFUNCTION("""COMPUTED_VALUE"""),"#VALUE!")</f>
        <v>#VALUE!</v>
      </c>
      <c r="D881" s="189"/>
    </row>
    <row r="882">
      <c r="C882" s="189" t="str">
        <f>IFERROR(__xludf.DUMMYFUNCTION("""COMPUTED_VALUE"""),"#VALUE!")</f>
        <v>#VALUE!</v>
      </c>
      <c r="D882" s="189"/>
    </row>
    <row r="883">
      <c r="C883" s="189" t="str">
        <f>IFERROR(__xludf.DUMMYFUNCTION("""COMPUTED_VALUE"""),"#VALUE!")</f>
        <v>#VALUE!</v>
      </c>
      <c r="D883" s="189"/>
    </row>
    <row r="884">
      <c r="C884" s="189" t="str">
        <f>IFERROR(__xludf.DUMMYFUNCTION("""COMPUTED_VALUE"""),"#VALUE!")</f>
        <v>#VALUE!</v>
      </c>
      <c r="D884" s="189"/>
    </row>
    <row r="885">
      <c r="C885" s="189" t="str">
        <f>IFERROR(__xludf.DUMMYFUNCTION("""COMPUTED_VALUE"""),"#VALUE!")</f>
        <v>#VALUE!</v>
      </c>
      <c r="D885" s="189"/>
    </row>
    <row r="886">
      <c r="C886" s="189" t="str">
        <f>IFERROR(__xludf.DUMMYFUNCTION("""COMPUTED_VALUE"""),"#VALUE!")</f>
        <v>#VALUE!</v>
      </c>
      <c r="D886" s="189"/>
    </row>
    <row r="887">
      <c r="C887" s="189" t="str">
        <f>IFERROR(__xludf.DUMMYFUNCTION("""COMPUTED_VALUE"""),"#VALUE!")</f>
        <v>#VALUE!</v>
      </c>
      <c r="D887" s="189"/>
    </row>
    <row r="888">
      <c r="C888" s="189" t="str">
        <f>IFERROR(__xludf.DUMMYFUNCTION("""COMPUTED_VALUE"""),"#VALUE!")</f>
        <v>#VALUE!</v>
      </c>
      <c r="D888" s="189"/>
    </row>
    <row r="889">
      <c r="C889" s="189" t="str">
        <f>IFERROR(__xludf.DUMMYFUNCTION("""COMPUTED_VALUE"""),"#VALUE!")</f>
        <v>#VALUE!</v>
      </c>
      <c r="D889" s="189"/>
    </row>
    <row r="890">
      <c r="C890" s="189" t="str">
        <f>IFERROR(__xludf.DUMMYFUNCTION("""COMPUTED_VALUE"""),"#VALUE!")</f>
        <v>#VALUE!</v>
      </c>
      <c r="D890" s="189"/>
    </row>
    <row r="891">
      <c r="C891" s="189" t="str">
        <f>IFERROR(__xludf.DUMMYFUNCTION("""COMPUTED_VALUE"""),"#VALUE!")</f>
        <v>#VALUE!</v>
      </c>
      <c r="D891" s="189"/>
    </row>
    <row r="892">
      <c r="C892" s="189" t="str">
        <f>IFERROR(__xludf.DUMMYFUNCTION("""COMPUTED_VALUE"""),"#VALUE!")</f>
        <v>#VALUE!</v>
      </c>
      <c r="D892" s="189"/>
    </row>
    <row r="893">
      <c r="C893" s="189" t="str">
        <f>IFERROR(__xludf.DUMMYFUNCTION("""COMPUTED_VALUE"""),"#VALUE!")</f>
        <v>#VALUE!</v>
      </c>
      <c r="D893" s="189"/>
    </row>
    <row r="894">
      <c r="C894" s="189" t="str">
        <f>IFERROR(__xludf.DUMMYFUNCTION("""COMPUTED_VALUE"""),"#VALUE!")</f>
        <v>#VALUE!</v>
      </c>
      <c r="D894" s="189"/>
    </row>
    <row r="895">
      <c r="C895" s="189" t="str">
        <f>IFERROR(__xludf.DUMMYFUNCTION("""COMPUTED_VALUE"""),"#VALUE!")</f>
        <v>#VALUE!</v>
      </c>
      <c r="D895" s="189"/>
    </row>
    <row r="896">
      <c r="C896" s="189" t="str">
        <f>IFERROR(__xludf.DUMMYFUNCTION("""COMPUTED_VALUE"""),"#VALUE!")</f>
        <v>#VALUE!</v>
      </c>
      <c r="D896" s="189"/>
    </row>
    <row r="897">
      <c r="C897" s="189" t="str">
        <f>IFERROR(__xludf.DUMMYFUNCTION("""COMPUTED_VALUE"""),"#VALUE!")</f>
        <v>#VALUE!</v>
      </c>
      <c r="D897" s="189"/>
    </row>
    <row r="898">
      <c r="C898" s="189" t="str">
        <f>IFERROR(__xludf.DUMMYFUNCTION("""COMPUTED_VALUE"""),"#VALUE!")</f>
        <v>#VALUE!</v>
      </c>
      <c r="D898" s="189"/>
    </row>
    <row r="899">
      <c r="C899" s="189" t="str">
        <f>IFERROR(__xludf.DUMMYFUNCTION("""COMPUTED_VALUE"""),"#VALUE!")</f>
        <v>#VALUE!</v>
      </c>
      <c r="D899" s="189"/>
    </row>
    <row r="900">
      <c r="C900" s="189" t="str">
        <f>IFERROR(__xludf.DUMMYFUNCTION("""COMPUTED_VALUE"""),"#VALUE!")</f>
        <v>#VALUE!</v>
      </c>
      <c r="D900" s="189"/>
    </row>
    <row r="901">
      <c r="C901" s="189" t="str">
        <f>IFERROR(__xludf.DUMMYFUNCTION("""COMPUTED_VALUE"""),"#VALUE!")</f>
        <v>#VALUE!</v>
      </c>
      <c r="D901" s="189"/>
    </row>
    <row r="902">
      <c r="C902" s="189" t="str">
        <f>IFERROR(__xludf.DUMMYFUNCTION("""COMPUTED_VALUE"""),"#VALUE!")</f>
        <v>#VALUE!</v>
      </c>
      <c r="D902" s="189"/>
    </row>
    <row r="903">
      <c r="C903" s="189" t="str">
        <f>IFERROR(__xludf.DUMMYFUNCTION("""COMPUTED_VALUE"""),"#VALUE!")</f>
        <v>#VALUE!</v>
      </c>
      <c r="D903" s="189"/>
    </row>
    <row r="904">
      <c r="C904" s="189" t="str">
        <f>IFERROR(__xludf.DUMMYFUNCTION("""COMPUTED_VALUE"""),"#VALUE!")</f>
        <v>#VALUE!</v>
      </c>
      <c r="D904" s="189"/>
    </row>
    <row r="905">
      <c r="C905" s="189" t="str">
        <f>IFERROR(__xludf.DUMMYFUNCTION("""COMPUTED_VALUE"""),"#VALUE!")</f>
        <v>#VALUE!</v>
      </c>
      <c r="D905" s="189"/>
    </row>
    <row r="906">
      <c r="C906" s="189" t="str">
        <f>IFERROR(__xludf.DUMMYFUNCTION("""COMPUTED_VALUE"""),"#VALUE!")</f>
        <v>#VALUE!</v>
      </c>
      <c r="D906" s="189"/>
    </row>
    <row r="907">
      <c r="C907" s="189" t="str">
        <f>IFERROR(__xludf.DUMMYFUNCTION("""COMPUTED_VALUE"""),"#VALUE!")</f>
        <v>#VALUE!</v>
      </c>
      <c r="D907" s="189"/>
    </row>
    <row r="908">
      <c r="C908" s="189" t="str">
        <f>IFERROR(__xludf.DUMMYFUNCTION("""COMPUTED_VALUE"""),"#VALUE!")</f>
        <v>#VALUE!</v>
      </c>
      <c r="D908" s="189"/>
    </row>
    <row r="909">
      <c r="C909" s="189" t="str">
        <f>IFERROR(__xludf.DUMMYFUNCTION("""COMPUTED_VALUE"""),"#VALUE!")</f>
        <v>#VALUE!</v>
      </c>
      <c r="D909" s="189"/>
    </row>
    <row r="910">
      <c r="C910" s="189" t="str">
        <f>IFERROR(__xludf.DUMMYFUNCTION("""COMPUTED_VALUE"""),"#VALUE!")</f>
        <v>#VALUE!</v>
      </c>
      <c r="D910" s="189"/>
    </row>
    <row r="911">
      <c r="C911" s="189" t="str">
        <f>IFERROR(__xludf.DUMMYFUNCTION("""COMPUTED_VALUE"""),"#VALUE!")</f>
        <v>#VALUE!</v>
      </c>
      <c r="D911" s="189"/>
    </row>
    <row r="912">
      <c r="C912" s="189" t="str">
        <f>IFERROR(__xludf.DUMMYFUNCTION("""COMPUTED_VALUE"""),"#VALUE!")</f>
        <v>#VALUE!</v>
      </c>
      <c r="D912" s="189"/>
    </row>
    <row r="913">
      <c r="C913" s="189" t="str">
        <f>IFERROR(__xludf.DUMMYFUNCTION("""COMPUTED_VALUE"""),"#VALUE!")</f>
        <v>#VALUE!</v>
      </c>
      <c r="D913" s="189"/>
    </row>
    <row r="914">
      <c r="C914" s="189" t="str">
        <f>IFERROR(__xludf.DUMMYFUNCTION("""COMPUTED_VALUE"""),"#VALUE!")</f>
        <v>#VALUE!</v>
      </c>
      <c r="D914" s="189"/>
    </row>
    <row r="915">
      <c r="C915" s="189" t="str">
        <f>IFERROR(__xludf.DUMMYFUNCTION("""COMPUTED_VALUE"""),"#VALUE!")</f>
        <v>#VALUE!</v>
      </c>
      <c r="D915" s="189"/>
    </row>
    <row r="916">
      <c r="C916" s="189" t="str">
        <f>IFERROR(__xludf.DUMMYFUNCTION("""COMPUTED_VALUE"""),"#VALUE!")</f>
        <v>#VALUE!</v>
      </c>
      <c r="D916" s="189"/>
    </row>
    <row r="917">
      <c r="C917" s="189" t="str">
        <f>IFERROR(__xludf.DUMMYFUNCTION("""COMPUTED_VALUE"""),"#VALUE!")</f>
        <v>#VALUE!</v>
      </c>
      <c r="D917" s="189"/>
    </row>
    <row r="918">
      <c r="C918" s="189" t="str">
        <f>IFERROR(__xludf.DUMMYFUNCTION("""COMPUTED_VALUE"""),"#VALUE!")</f>
        <v>#VALUE!</v>
      </c>
      <c r="D918" s="189"/>
    </row>
    <row r="919">
      <c r="C919" s="189" t="str">
        <f>IFERROR(__xludf.DUMMYFUNCTION("""COMPUTED_VALUE"""),"#VALUE!")</f>
        <v>#VALUE!</v>
      </c>
      <c r="D919" s="189"/>
    </row>
    <row r="920">
      <c r="C920" s="189" t="str">
        <f>IFERROR(__xludf.DUMMYFUNCTION("""COMPUTED_VALUE"""),"#VALUE!")</f>
        <v>#VALUE!</v>
      </c>
      <c r="D920" s="189"/>
    </row>
    <row r="921">
      <c r="C921" s="189" t="str">
        <f>IFERROR(__xludf.DUMMYFUNCTION("""COMPUTED_VALUE"""),"#VALUE!")</f>
        <v>#VALUE!</v>
      </c>
      <c r="D921" s="189"/>
    </row>
    <row r="922">
      <c r="C922" s="189" t="str">
        <f>IFERROR(__xludf.DUMMYFUNCTION("""COMPUTED_VALUE"""),"#VALUE!")</f>
        <v>#VALUE!</v>
      </c>
      <c r="D922" s="189"/>
    </row>
    <row r="923">
      <c r="C923" s="189" t="str">
        <f>IFERROR(__xludf.DUMMYFUNCTION("""COMPUTED_VALUE"""),"#VALUE!")</f>
        <v>#VALUE!</v>
      </c>
      <c r="D923" s="189"/>
    </row>
    <row r="924">
      <c r="C924" s="189" t="str">
        <f>IFERROR(__xludf.DUMMYFUNCTION("""COMPUTED_VALUE"""),"#VALUE!")</f>
        <v>#VALUE!</v>
      </c>
      <c r="D924" s="189"/>
    </row>
    <row r="925">
      <c r="C925" s="189" t="str">
        <f>IFERROR(__xludf.DUMMYFUNCTION("""COMPUTED_VALUE"""),"#VALUE!")</f>
        <v>#VALUE!</v>
      </c>
      <c r="D925" s="189"/>
    </row>
    <row r="926">
      <c r="C926" s="189" t="str">
        <f>IFERROR(__xludf.DUMMYFUNCTION("""COMPUTED_VALUE"""),"#VALUE!")</f>
        <v>#VALUE!</v>
      </c>
      <c r="D926" s="189"/>
    </row>
    <row r="927">
      <c r="C927" s="189" t="str">
        <f>IFERROR(__xludf.DUMMYFUNCTION("""COMPUTED_VALUE"""),"#VALUE!")</f>
        <v>#VALUE!</v>
      </c>
      <c r="D927" s="189"/>
    </row>
    <row r="928">
      <c r="C928" s="189" t="str">
        <f>IFERROR(__xludf.DUMMYFUNCTION("""COMPUTED_VALUE"""),"#VALUE!")</f>
        <v>#VALUE!</v>
      </c>
      <c r="D928" s="189"/>
    </row>
    <row r="929">
      <c r="C929" s="189" t="str">
        <f>IFERROR(__xludf.DUMMYFUNCTION("""COMPUTED_VALUE"""),"#VALUE!")</f>
        <v>#VALUE!</v>
      </c>
      <c r="D929" s="189"/>
    </row>
    <row r="930">
      <c r="C930" s="189" t="str">
        <f>IFERROR(__xludf.DUMMYFUNCTION("""COMPUTED_VALUE"""),"#VALUE!")</f>
        <v>#VALUE!</v>
      </c>
      <c r="D930" s="189"/>
    </row>
    <row r="931">
      <c r="C931" s="189" t="str">
        <f>IFERROR(__xludf.DUMMYFUNCTION("""COMPUTED_VALUE"""),"#VALUE!")</f>
        <v>#VALUE!</v>
      </c>
      <c r="D931" s="189"/>
    </row>
    <row r="932">
      <c r="C932" s="189" t="str">
        <f>IFERROR(__xludf.DUMMYFUNCTION("""COMPUTED_VALUE"""),"#VALUE!")</f>
        <v>#VALUE!</v>
      </c>
      <c r="D932" s="189"/>
    </row>
    <row r="933">
      <c r="C933" s="189" t="str">
        <f>IFERROR(__xludf.DUMMYFUNCTION("""COMPUTED_VALUE"""),"#VALUE!")</f>
        <v>#VALUE!</v>
      </c>
      <c r="D933" s="189"/>
    </row>
    <row r="934">
      <c r="C934" s="189" t="str">
        <f>IFERROR(__xludf.DUMMYFUNCTION("""COMPUTED_VALUE"""),"#VALUE!")</f>
        <v>#VALUE!</v>
      </c>
      <c r="D934" s="189"/>
    </row>
    <row r="935">
      <c r="C935" s="189" t="str">
        <f>IFERROR(__xludf.DUMMYFUNCTION("""COMPUTED_VALUE"""),"#VALUE!")</f>
        <v>#VALUE!</v>
      </c>
      <c r="D935" s="189"/>
    </row>
    <row r="936">
      <c r="C936" s="189" t="str">
        <f>IFERROR(__xludf.DUMMYFUNCTION("""COMPUTED_VALUE"""),"#VALUE!")</f>
        <v>#VALUE!</v>
      </c>
      <c r="D936" s="189"/>
    </row>
    <row r="937">
      <c r="C937" s="189" t="str">
        <f>IFERROR(__xludf.DUMMYFUNCTION("""COMPUTED_VALUE"""),"#VALUE!")</f>
        <v>#VALUE!</v>
      </c>
      <c r="D937" s="189"/>
    </row>
    <row r="938">
      <c r="C938" s="189" t="str">
        <f>IFERROR(__xludf.DUMMYFUNCTION("""COMPUTED_VALUE"""),"#VALUE!")</f>
        <v>#VALUE!</v>
      </c>
      <c r="D938" s="189"/>
    </row>
    <row r="939">
      <c r="C939" s="189" t="str">
        <f>IFERROR(__xludf.DUMMYFUNCTION("""COMPUTED_VALUE"""),"#VALUE!")</f>
        <v>#VALUE!</v>
      </c>
      <c r="D939" s="189"/>
    </row>
    <row r="940">
      <c r="C940" s="189" t="str">
        <f>IFERROR(__xludf.DUMMYFUNCTION("""COMPUTED_VALUE"""),"#VALUE!")</f>
        <v>#VALUE!</v>
      </c>
      <c r="D940" s="189"/>
    </row>
    <row r="941">
      <c r="C941" s="189" t="str">
        <f>IFERROR(__xludf.DUMMYFUNCTION("""COMPUTED_VALUE"""),"#VALUE!")</f>
        <v>#VALUE!</v>
      </c>
      <c r="D941" s="189"/>
    </row>
    <row r="942">
      <c r="C942" s="189" t="str">
        <f>IFERROR(__xludf.DUMMYFUNCTION("""COMPUTED_VALUE"""),"#VALUE!")</f>
        <v>#VALUE!</v>
      </c>
      <c r="D942" s="189"/>
    </row>
    <row r="943">
      <c r="C943" s="189" t="str">
        <f>IFERROR(__xludf.DUMMYFUNCTION("""COMPUTED_VALUE"""),"#VALUE!")</f>
        <v>#VALUE!</v>
      </c>
      <c r="D943" s="189"/>
    </row>
    <row r="944">
      <c r="C944" s="189" t="str">
        <f>IFERROR(__xludf.DUMMYFUNCTION("""COMPUTED_VALUE"""),"#VALUE!")</f>
        <v>#VALUE!</v>
      </c>
      <c r="D944" s="189"/>
    </row>
    <row r="945">
      <c r="C945" s="189" t="str">
        <f>IFERROR(__xludf.DUMMYFUNCTION("""COMPUTED_VALUE"""),"#VALUE!")</f>
        <v>#VALUE!</v>
      </c>
      <c r="D945" s="189"/>
    </row>
    <row r="946">
      <c r="C946" s="189" t="str">
        <f>IFERROR(__xludf.DUMMYFUNCTION("""COMPUTED_VALUE"""),"#VALUE!")</f>
        <v>#VALUE!</v>
      </c>
      <c r="D946" s="189"/>
    </row>
    <row r="947">
      <c r="C947" s="189" t="str">
        <f>IFERROR(__xludf.DUMMYFUNCTION("""COMPUTED_VALUE"""),"#VALUE!")</f>
        <v>#VALUE!</v>
      </c>
      <c r="D947" s="189"/>
    </row>
    <row r="948">
      <c r="C948" s="189" t="str">
        <f>IFERROR(__xludf.DUMMYFUNCTION("""COMPUTED_VALUE"""),"#VALUE!")</f>
        <v>#VALUE!</v>
      </c>
      <c r="D948" s="189"/>
    </row>
    <row r="949">
      <c r="C949" s="189" t="str">
        <f>IFERROR(__xludf.DUMMYFUNCTION("""COMPUTED_VALUE"""),"#VALUE!")</f>
        <v>#VALUE!</v>
      </c>
      <c r="D949" s="189"/>
    </row>
    <row r="950">
      <c r="C950" s="189" t="str">
        <f>IFERROR(__xludf.DUMMYFUNCTION("""COMPUTED_VALUE"""),"#VALUE!")</f>
        <v>#VALUE!</v>
      </c>
      <c r="D950" s="189"/>
    </row>
    <row r="951">
      <c r="C951" s="189" t="str">
        <f>IFERROR(__xludf.DUMMYFUNCTION("""COMPUTED_VALUE"""),"#VALUE!")</f>
        <v>#VALUE!</v>
      </c>
      <c r="D951" s="189"/>
    </row>
    <row r="952">
      <c r="C952" s="189" t="str">
        <f>IFERROR(__xludf.DUMMYFUNCTION("""COMPUTED_VALUE"""),"#VALUE!")</f>
        <v>#VALUE!</v>
      </c>
      <c r="D952" s="189"/>
    </row>
    <row r="953">
      <c r="C953" s="189" t="str">
        <f>IFERROR(__xludf.DUMMYFUNCTION("""COMPUTED_VALUE"""),"#VALUE!")</f>
        <v>#VALUE!</v>
      </c>
      <c r="D953" s="189"/>
    </row>
    <row r="954">
      <c r="C954" s="189" t="str">
        <f>IFERROR(__xludf.DUMMYFUNCTION("""COMPUTED_VALUE"""),"#VALUE!")</f>
        <v>#VALUE!</v>
      </c>
      <c r="D954" s="189"/>
    </row>
    <row r="955">
      <c r="C955" s="189" t="str">
        <f>IFERROR(__xludf.DUMMYFUNCTION("""COMPUTED_VALUE"""),"#VALUE!")</f>
        <v>#VALUE!</v>
      </c>
      <c r="D955" s="189"/>
    </row>
    <row r="956">
      <c r="C956" s="189" t="str">
        <f>IFERROR(__xludf.DUMMYFUNCTION("""COMPUTED_VALUE"""),"#VALUE!")</f>
        <v>#VALUE!</v>
      </c>
      <c r="D956" s="189"/>
    </row>
    <row r="957">
      <c r="C957" s="189" t="str">
        <f>IFERROR(__xludf.DUMMYFUNCTION("""COMPUTED_VALUE"""),"#VALUE!")</f>
        <v>#VALUE!</v>
      </c>
      <c r="D957" s="189"/>
    </row>
    <row r="958">
      <c r="C958" s="189" t="str">
        <f>IFERROR(__xludf.DUMMYFUNCTION("""COMPUTED_VALUE"""),"#VALUE!")</f>
        <v>#VALUE!</v>
      </c>
      <c r="D958" s="189"/>
    </row>
    <row r="959">
      <c r="C959" s="189" t="str">
        <f>IFERROR(__xludf.DUMMYFUNCTION("""COMPUTED_VALUE"""),"#VALUE!")</f>
        <v>#VALUE!</v>
      </c>
      <c r="D959" s="189"/>
    </row>
    <row r="960">
      <c r="C960" s="189" t="str">
        <f>IFERROR(__xludf.DUMMYFUNCTION("""COMPUTED_VALUE"""),"#VALUE!")</f>
        <v>#VALUE!</v>
      </c>
      <c r="D960" s="189"/>
    </row>
    <row r="961">
      <c r="C961" s="189" t="str">
        <f>IFERROR(__xludf.DUMMYFUNCTION("""COMPUTED_VALUE"""),"#VALUE!")</f>
        <v>#VALUE!</v>
      </c>
      <c r="D961" s="189"/>
    </row>
    <row r="962">
      <c r="C962" s="189" t="str">
        <f>IFERROR(__xludf.DUMMYFUNCTION("""COMPUTED_VALUE"""),"#VALUE!")</f>
        <v>#VALUE!</v>
      </c>
      <c r="D962" s="189"/>
    </row>
    <row r="963">
      <c r="C963" s="189" t="str">
        <f>IFERROR(__xludf.DUMMYFUNCTION("""COMPUTED_VALUE"""),"#VALUE!")</f>
        <v>#VALUE!</v>
      </c>
      <c r="D963" s="189"/>
    </row>
    <row r="964">
      <c r="C964" s="189" t="str">
        <f>IFERROR(__xludf.DUMMYFUNCTION("""COMPUTED_VALUE"""),"#VALUE!")</f>
        <v>#VALUE!</v>
      </c>
      <c r="D964" s="189"/>
    </row>
    <row r="965">
      <c r="C965" s="189" t="str">
        <f>IFERROR(__xludf.DUMMYFUNCTION("""COMPUTED_VALUE"""),"#VALUE!")</f>
        <v>#VALUE!</v>
      </c>
      <c r="D965" s="189"/>
    </row>
    <row r="966">
      <c r="C966" s="189" t="str">
        <f>IFERROR(__xludf.DUMMYFUNCTION("""COMPUTED_VALUE"""),"#VALUE!")</f>
        <v>#VALUE!</v>
      </c>
      <c r="D966" s="189"/>
    </row>
    <row r="967">
      <c r="C967" s="189" t="str">
        <f>IFERROR(__xludf.DUMMYFUNCTION("""COMPUTED_VALUE"""),"#VALUE!")</f>
        <v>#VALUE!</v>
      </c>
      <c r="D967" s="189"/>
    </row>
    <row r="968">
      <c r="C968" s="189" t="str">
        <f>IFERROR(__xludf.DUMMYFUNCTION("""COMPUTED_VALUE"""),"#VALUE!")</f>
        <v>#VALUE!</v>
      </c>
      <c r="D968" s="189"/>
    </row>
    <row r="969">
      <c r="C969" s="189" t="str">
        <f>IFERROR(__xludf.DUMMYFUNCTION("""COMPUTED_VALUE"""),"#VALUE!")</f>
        <v>#VALUE!</v>
      </c>
      <c r="D969" s="189"/>
    </row>
    <row r="970">
      <c r="C970" s="189" t="str">
        <f>IFERROR(__xludf.DUMMYFUNCTION("""COMPUTED_VALUE"""),"#VALUE!")</f>
        <v>#VALUE!</v>
      </c>
      <c r="D970" s="189"/>
    </row>
    <row r="971">
      <c r="C971" s="189" t="str">
        <f>IFERROR(__xludf.DUMMYFUNCTION("""COMPUTED_VALUE"""),"#VALUE!")</f>
        <v>#VALUE!</v>
      </c>
      <c r="D971" s="189"/>
    </row>
    <row r="972">
      <c r="C972" s="189" t="str">
        <f>IFERROR(__xludf.DUMMYFUNCTION("""COMPUTED_VALUE"""),"#VALUE!")</f>
        <v>#VALUE!</v>
      </c>
      <c r="D972" s="189"/>
    </row>
    <row r="973">
      <c r="C973" s="189" t="str">
        <f>IFERROR(__xludf.DUMMYFUNCTION("""COMPUTED_VALUE"""),"#VALUE!")</f>
        <v>#VALUE!</v>
      </c>
      <c r="D973" s="189"/>
    </row>
    <row r="974">
      <c r="C974" s="189" t="str">
        <f>IFERROR(__xludf.DUMMYFUNCTION("""COMPUTED_VALUE"""),"#VALUE!")</f>
        <v>#VALUE!</v>
      </c>
      <c r="D974" s="189"/>
    </row>
    <row r="975">
      <c r="C975" s="189" t="str">
        <f>IFERROR(__xludf.DUMMYFUNCTION("""COMPUTED_VALUE"""),"#VALUE!")</f>
        <v>#VALUE!</v>
      </c>
      <c r="D975" s="189"/>
    </row>
    <row r="976">
      <c r="C976" s="189" t="str">
        <f>IFERROR(__xludf.DUMMYFUNCTION("""COMPUTED_VALUE"""),"#VALUE!")</f>
        <v>#VALUE!</v>
      </c>
      <c r="D976" s="189"/>
    </row>
    <row r="977">
      <c r="C977" s="189" t="str">
        <f>IFERROR(__xludf.DUMMYFUNCTION("""COMPUTED_VALUE"""),"#VALUE!")</f>
        <v>#VALUE!</v>
      </c>
      <c r="D977" s="189"/>
    </row>
    <row r="978">
      <c r="C978" s="189" t="str">
        <f>IFERROR(__xludf.DUMMYFUNCTION("""COMPUTED_VALUE"""),"#VALUE!")</f>
        <v>#VALUE!</v>
      </c>
      <c r="D978" s="189"/>
    </row>
    <row r="979">
      <c r="C979" s="189" t="str">
        <f>IFERROR(__xludf.DUMMYFUNCTION("""COMPUTED_VALUE"""),"#VALUE!")</f>
        <v>#VALUE!</v>
      </c>
      <c r="D979" s="189"/>
    </row>
    <row r="980">
      <c r="C980" s="189" t="str">
        <f>IFERROR(__xludf.DUMMYFUNCTION("""COMPUTED_VALUE"""),"#VALUE!")</f>
        <v>#VALUE!</v>
      </c>
      <c r="D980" s="189"/>
    </row>
    <row r="981">
      <c r="C981" s="189" t="str">
        <f>IFERROR(__xludf.DUMMYFUNCTION("""COMPUTED_VALUE"""),"#VALUE!")</f>
        <v>#VALUE!</v>
      </c>
      <c r="D981" s="189"/>
    </row>
    <row r="982">
      <c r="C982" s="189" t="str">
        <f>IFERROR(__xludf.DUMMYFUNCTION("""COMPUTED_VALUE"""),"#VALUE!")</f>
        <v>#VALUE!</v>
      </c>
      <c r="D982" s="189"/>
    </row>
    <row r="983">
      <c r="C983" s="189" t="str">
        <f>IFERROR(__xludf.DUMMYFUNCTION("""COMPUTED_VALUE"""),"#VALUE!")</f>
        <v>#VALUE!</v>
      </c>
      <c r="D983" s="189"/>
    </row>
    <row r="984">
      <c r="C984" s="189" t="str">
        <f>IFERROR(__xludf.DUMMYFUNCTION("""COMPUTED_VALUE"""),"#VALUE!")</f>
        <v>#VALUE!</v>
      </c>
      <c r="D984" s="189"/>
    </row>
    <row r="985">
      <c r="C985" s="189" t="str">
        <f>IFERROR(__xludf.DUMMYFUNCTION("""COMPUTED_VALUE"""),"#VALUE!")</f>
        <v>#VALUE!</v>
      </c>
      <c r="D985" s="189"/>
    </row>
    <row r="986">
      <c r="C986" s="189" t="str">
        <f>IFERROR(__xludf.DUMMYFUNCTION("""COMPUTED_VALUE"""),"#VALUE!")</f>
        <v>#VALUE!</v>
      </c>
      <c r="D986" s="189"/>
    </row>
    <row r="987">
      <c r="C987" s="189" t="str">
        <f>IFERROR(__xludf.DUMMYFUNCTION("""COMPUTED_VALUE"""),"#VALUE!")</f>
        <v>#VALUE!</v>
      </c>
      <c r="D987" s="189"/>
    </row>
    <row r="988">
      <c r="C988" s="189" t="str">
        <f>IFERROR(__xludf.DUMMYFUNCTION("""COMPUTED_VALUE"""),"#VALUE!")</f>
        <v>#VALUE!</v>
      </c>
      <c r="D988" s="189"/>
    </row>
    <row r="989">
      <c r="C989" s="189" t="str">
        <f>IFERROR(__xludf.DUMMYFUNCTION("""COMPUTED_VALUE"""),"#VALUE!")</f>
        <v>#VALUE!</v>
      </c>
      <c r="D989" s="189"/>
    </row>
    <row r="990">
      <c r="C990" s="189" t="str">
        <f>IFERROR(__xludf.DUMMYFUNCTION("""COMPUTED_VALUE"""),"#VALUE!")</f>
        <v>#VALUE!</v>
      </c>
      <c r="D990" s="189"/>
    </row>
    <row r="991">
      <c r="C991" s="189" t="str">
        <f>IFERROR(__xludf.DUMMYFUNCTION("""COMPUTED_VALUE"""),"#VALUE!")</f>
        <v>#VALUE!</v>
      </c>
      <c r="D991" s="189"/>
    </row>
    <row r="992">
      <c r="C992" s="189" t="str">
        <f>IFERROR(__xludf.DUMMYFUNCTION("""COMPUTED_VALUE"""),"#VALUE!")</f>
        <v>#VALUE!</v>
      </c>
      <c r="D992" s="189"/>
    </row>
    <row r="993">
      <c r="C993" s="189" t="str">
        <f>IFERROR(__xludf.DUMMYFUNCTION("""COMPUTED_VALUE"""),"#VALUE!")</f>
        <v>#VALUE!</v>
      </c>
      <c r="D993" s="189"/>
    </row>
    <row r="994">
      <c r="C994" s="189" t="str">
        <f>IFERROR(__xludf.DUMMYFUNCTION("""COMPUTED_VALUE"""),"#VALUE!")</f>
        <v>#VALUE!</v>
      </c>
      <c r="D994" s="189"/>
    </row>
    <row r="995">
      <c r="C995" s="189" t="str">
        <f>IFERROR(__xludf.DUMMYFUNCTION("""COMPUTED_VALUE"""),"#VALUE!")</f>
        <v>#VALUE!</v>
      </c>
      <c r="D995" s="189"/>
    </row>
    <row r="996">
      <c r="C996" s="189" t="str">
        <f>IFERROR(__xludf.DUMMYFUNCTION("""COMPUTED_VALUE"""),"#VALUE!")</f>
        <v>#VALUE!</v>
      </c>
      <c r="D996" s="189"/>
    </row>
    <row r="997">
      <c r="C997" s="189" t="str">
        <f>IFERROR(__xludf.DUMMYFUNCTION("""COMPUTED_VALUE"""),"#VALUE!")</f>
        <v>#VALUE!</v>
      </c>
      <c r="D997" s="189"/>
    </row>
    <row r="998">
      <c r="C998" s="189" t="str">
        <f>IFERROR(__xludf.DUMMYFUNCTION("""COMPUTED_VALUE"""),"#VALUE!")</f>
        <v>#VALUE!</v>
      </c>
      <c r="D998" s="189"/>
    </row>
    <row r="999">
      <c r="C999" s="189" t="str">
        <f>IFERROR(__xludf.DUMMYFUNCTION("""COMPUTED_VALUE"""),"#VALUE!")</f>
        <v>#VALUE!</v>
      </c>
      <c r="D999" s="189"/>
    </row>
    <row r="1000">
      <c r="C1000" s="189" t="str">
        <f>IFERROR(__xludf.DUMMYFUNCTION("""COMPUTED_VALUE"""),"#VALUE!")</f>
        <v>#VALUE!</v>
      </c>
      <c r="D1000" s="18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2" t="s">
        <v>347</v>
      </c>
      <c r="B1" s="182" t="s">
        <v>348</v>
      </c>
      <c r="C1" s="182" t="s">
        <v>349</v>
      </c>
      <c r="D1" s="182" t="s">
        <v>350</v>
      </c>
      <c r="E1" s="182" t="s">
        <v>733</v>
      </c>
      <c r="F1" s="182" t="s">
        <v>351</v>
      </c>
      <c r="G1" s="182" t="s">
        <v>734</v>
      </c>
      <c r="H1" s="182" t="s">
        <v>352</v>
      </c>
      <c r="I1" s="182" t="s">
        <v>735</v>
      </c>
      <c r="J1" s="182" t="s">
        <v>355</v>
      </c>
      <c r="K1" s="182" t="s">
        <v>356</v>
      </c>
      <c r="L1" s="182" t="s">
        <v>357</v>
      </c>
      <c r="M1" s="182" t="s">
        <v>358</v>
      </c>
      <c r="N1" s="182" t="s">
        <v>736</v>
      </c>
      <c r="O1" s="182" t="s">
        <v>359</v>
      </c>
      <c r="P1" s="182" t="s">
        <v>360</v>
      </c>
      <c r="Q1" s="182" t="s">
        <v>361</v>
      </c>
      <c r="R1" s="182" t="s">
        <v>362</v>
      </c>
      <c r="S1" s="182" t="s">
        <v>363</v>
      </c>
      <c r="T1" s="182" t="s">
        <v>364</v>
      </c>
      <c r="U1" s="182" t="s">
        <v>737</v>
      </c>
      <c r="V1" s="182" t="s">
        <v>365</v>
      </c>
      <c r="W1" s="182" t="s">
        <v>366</v>
      </c>
      <c r="X1" s="182" t="s">
        <v>367</v>
      </c>
      <c r="Y1" s="182" t="s">
        <v>368</v>
      </c>
      <c r="Z1" s="182" t="s">
        <v>369</v>
      </c>
      <c r="AA1" s="182" t="s">
        <v>370</v>
      </c>
      <c r="AB1" s="182" t="s">
        <v>738</v>
      </c>
      <c r="AC1" s="182" t="s">
        <v>371</v>
      </c>
      <c r="AD1" s="182" t="s">
        <v>739</v>
      </c>
      <c r="AE1" s="182" t="s">
        <v>740</v>
      </c>
      <c r="AF1" s="182" t="s">
        <v>353</v>
      </c>
      <c r="AG1" s="182" t="s">
        <v>354</v>
      </c>
      <c r="AH1" s="182" t="s">
        <v>741</v>
      </c>
    </row>
    <row r="2">
      <c r="A2" s="182">
        <v>212692.0</v>
      </c>
      <c r="B2" s="182">
        <v>93676.0</v>
      </c>
      <c r="C2" s="182" t="s">
        <v>742</v>
      </c>
      <c r="D2" s="182" t="s">
        <v>227</v>
      </c>
      <c r="E2" s="182">
        <v>17807.0</v>
      </c>
      <c r="F2" s="182" t="s">
        <v>187</v>
      </c>
      <c r="G2" s="182">
        <v>17813.0</v>
      </c>
      <c r="H2" s="182" t="s">
        <v>182</v>
      </c>
      <c r="I2" s="182">
        <v>1.0</v>
      </c>
      <c r="J2" s="182">
        <v>6.0</v>
      </c>
      <c r="K2" s="182">
        <v>13.0</v>
      </c>
      <c r="L2" s="182">
        <v>5.0</v>
      </c>
      <c r="M2" s="182">
        <v>7.0</v>
      </c>
      <c r="N2" s="182">
        <v>1.0</v>
      </c>
      <c r="O2" s="182">
        <v>1.0</v>
      </c>
      <c r="P2" s="182">
        <v>0.0</v>
      </c>
      <c r="Q2" s="182">
        <v>5.0</v>
      </c>
      <c r="R2" s="182">
        <v>7.0</v>
      </c>
      <c r="S2" s="182">
        <v>1.0</v>
      </c>
      <c r="T2" s="182">
        <v>6.0</v>
      </c>
      <c r="U2" s="182">
        <v>1.0</v>
      </c>
      <c r="V2" s="182">
        <v>1.0</v>
      </c>
      <c r="W2" s="182">
        <v>0.0</v>
      </c>
      <c r="X2" s="182">
        <v>6.0</v>
      </c>
      <c r="Y2" s="182">
        <v>1.0</v>
      </c>
      <c r="Z2" s="182">
        <v>7.0</v>
      </c>
      <c r="AA2" s="182">
        <v>5.0</v>
      </c>
      <c r="AB2" s="182" t="s">
        <v>743</v>
      </c>
      <c r="AC2" s="182" t="s">
        <v>744</v>
      </c>
      <c r="AD2" s="182" t="s">
        <v>745</v>
      </c>
      <c r="AE2" s="182" t="s">
        <v>746</v>
      </c>
      <c r="AF2" s="182" t="s">
        <v>747</v>
      </c>
      <c r="AG2" s="182" t="s">
        <v>748</v>
      </c>
      <c r="AH2" s="182">
        <v>309.0</v>
      </c>
    </row>
    <row r="3">
      <c r="A3" s="182">
        <v>212691.0</v>
      </c>
      <c r="B3" s="182">
        <v>93676.0</v>
      </c>
      <c r="C3" s="182" t="s">
        <v>742</v>
      </c>
      <c r="D3" s="182" t="s">
        <v>32</v>
      </c>
      <c r="E3" s="182">
        <v>17807.0</v>
      </c>
      <c r="F3" s="182" t="s">
        <v>187</v>
      </c>
      <c r="G3" s="182">
        <v>17813.0</v>
      </c>
      <c r="H3" s="182" t="s">
        <v>182</v>
      </c>
      <c r="I3" s="182">
        <v>1.0</v>
      </c>
      <c r="J3" s="182">
        <v>10.0</v>
      </c>
      <c r="K3" s="182">
        <v>13.0</v>
      </c>
      <c r="L3" s="182">
        <v>9.0</v>
      </c>
      <c r="M3" s="182">
        <v>3.0</v>
      </c>
      <c r="N3" s="182">
        <v>1.0</v>
      </c>
      <c r="O3" s="182">
        <v>1.0</v>
      </c>
      <c r="P3" s="182">
        <v>0.0</v>
      </c>
      <c r="Q3" s="182">
        <v>9.0</v>
      </c>
      <c r="R3" s="182">
        <v>3.0</v>
      </c>
      <c r="S3" s="182">
        <v>1.0</v>
      </c>
      <c r="T3" s="182">
        <v>10.0</v>
      </c>
      <c r="U3" s="182">
        <v>1.0</v>
      </c>
      <c r="V3" s="182">
        <v>1.0</v>
      </c>
      <c r="W3" s="182">
        <v>0.0</v>
      </c>
      <c r="X3" s="182">
        <v>10.0</v>
      </c>
      <c r="Y3" s="182">
        <v>1.0</v>
      </c>
      <c r="Z3" s="182">
        <v>3.0</v>
      </c>
      <c r="AA3" s="182">
        <v>9.0</v>
      </c>
      <c r="AB3" s="182" t="s">
        <v>743</v>
      </c>
      <c r="AC3" s="182" t="s">
        <v>744</v>
      </c>
      <c r="AD3" s="182" t="s">
        <v>749</v>
      </c>
      <c r="AE3" s="182" t="s">
        <v>750</v>
      </c>
      <c r="AF3" s="182" t="s">
        <v>751</v>
      </c>
      <c r="AG3" s="182" t="s">
        <v>752</v>
      </c>
      <c r="AH3" s="182">
        <v>309.0</v>
      </c>
    </row>
    <row r="4">
      <c r="A4" s="182">
        <v>212690.0</v>
      </c>
      <c r="B4" s="182">
        <v>93676.0</v>
      </c>
      <c r="C4" s="182" t="s">
        <v>742</v>
      </c>
      <c r="D4" s="182" t="s">
        <v>34</v>
      </c>
      <c r="E4" s="182">
        <v>17807.0</v>
      </c>
      <c r="F4" s="182" t="s">
        <v>187</v>
      </c>
      <c r="G4" s="182">
        <v>17813.0</v>
      </c>
      <c r="H4" s="182" t="s">
        <v>182</v>
      </c>
      <c r="I4" s="182">
        <v>1.0</v>
      </c>
      <c r="J4" s="182">
        <v>13.0</v>
      </c>
      <c r="K4" s="182">
        <v>8.0</v>
      </c>
      <c r="L4" s="182">
        <v>8.0</v>
      </c>
      <c r="M4" s="182">
        <v>4.0</v>
      </c>
      <c r="N4" s="182">
        <v>2.0</v>
      </c>
      <c r="O4" s="182">
        <v>1.0</v>
      </c>
      <c r="P4" s="182">
        <v>1.0</v>
      </c>
      <c r="Q4" s="182">
        <v>8.0</v>
      </c>
      <c r="R4" s="182">
        <v>4.0</v>
      </c>
      <c r="S4" s="182">
        <v>5.0</v>
      </c>
      <c r="T4" s="182">
        <v>4.0</v>
      </c>
      <c r="U4" s="182">
        <v>0.0</v>
      </c>
      <c r="V4" s="182">
        <v>0.0</v>
      </c>
      <c r="W4" s="182">
        <v>0.0</v>
      </c>
      <c r="X4" s="182">
        <v>4.0</v>
      </c>
      <c r="Y4" s="182">
        <v>5.0</v>
      </c>
      <c r="Z4" s="182">
        <v>4.0</v>
      </c>
      <c r="AA4" s="182">
        <v>8.0</v>
      </c>
      <c r="AB4" s="182" t="s">
        <v>743</v>
      </c>
      <c r="AC4" s="182" t="s">
        <v>744</v>
      </c>
      <c r="AD4" s="182" t="s">
        <v>753</v>
      </c>
      <c r="AE4" s="182" t="s">
        <v>754</v>
      </c>
      <c r="AF4" s="182" t="s">
        <v>755</v>
      </c>
      <c r="AG4" s="182" t="s">
        <v>756</v>
      </c>
      <c r="AH4" s="182">
        <v>309.0</v>
      </c>
    </row>
    <row r="5">
      <c r="A5" s="182">
        <v>213558.0</v>
      </c>
      <c r="B5" s="182">
        <v>93971.0</v>
      </c>
      <c r="C5" s="182" t="s">
        <v>757</v>
      </c>
      <c r="D5" s="182" t="s">
        <v>36</v>
      </c>
      <c r="E5" s="182">
        <v>299.0</v>
      </c>
      <c r="F5" s="182" t="s">
        <v>185</v>
      </c>
      <c r="G5" s="182">
        <v>4561.0</v>
      </c>
      <c r="H5" s="182" t="s">
        <v>184</v>
      </c>
      <c r="I5" s="182">
        <v>1.0</v>
      </c>
      <c r="J5" s="182">
        <v>3.0</v>
      </c>
      <c r="K5" s="182">
        <v>13.0</v>
      </c>
      <c r="L5" s="182">
        <v>1.0</v>
      </c>
      <c r="M5" s="182">
        <v>11.0</v>
      </c>
      <c r="N5" s="182">
        <v>2.0</v>
      </c>
      <c r="O5" s="182">
        <v>1.0</v>
      </c>
      <c r="P5" s="182">
        <v>1.0</v>
      </c>
      <c r="Q5" s="182">
        <v>1.0</v>
      </c>
      <c r="R5" s="182">
        <v>11.0</v>
      </c>
      <c r="S5" s="182">
        <v>2.0</v>
      </c>
      <c r="T5" s="182">
        <v>2.0</v>
      </c>
      <c r="U5" s="182">
        <v>0.0</v>
      </c>
      <c r="V5" s="182">
        <v>0.0</v>
      </c>
      <c r="W5" s="182">
        <v>0.0</v>
      </c>
      <c r="X5" s="182">
        <v>2.0</v>
      </c>
      <c r="Y5" s="182">
        <v>2.0</v>
      </c>
      <c r="Z5" s="182">
        <v>11.0</v>
      </c>
      <c r="AA5" s="182">
        <v>1.0</v>
      </c>
      <c r="AB5" s="182" t="s">
        <v>743</v>
      </c>
      <c r="AC5" s="182" t="s">
        <v>744</v>
      </c>
      <c r="AD5" s="182" t="s">
        <v>758</v>
      </c>
      <c r="AE5" s="182" t="s">
        <v>759</v>
      </c>
      <c r="AF5" s="182" t="s">
        <v>760</v>
      </c>
      <c r="AG5" s="182" t="s">
        <v>761</v>
      </c>
      <c r="AH5" s="182">
        <v>309.0</v>
      </c>
    </row>
    <row r="6">
      <c r="A6" s="182">
        <v>212689.0</v>
      </c>
      <c r="B6" s="182">
        <v>93676.0</v>
      </c>
      <c r="C6" s="182" t="s">
        <v>742</v>
      </c>
      <c r="D6" s="182" t="s">
        <v>38</v>
      </c>
      <c r="E6" s="182">
        <v>17807.0</v>
      </c>
      <c r="F6" s="182" t="s">
        <v>187</v>
      </c>
      <c r="G6" s="182">
        <v>17813.0</v>
      </c>
      <c r="H6" s="182" t="s">
        <v>182</v>
      </c>
      <c r="I6" s="182">
        <v>2.0</v>
      </c>
      <c r="J6" s="182">
        <v>11.0</v>
      </c>
      <c r="K6" s="182">
        <v>13.0</v>
      </c>
      <c r="L6" s="182">
        <v>9.0</v>
      </c>
      <c r="M6" s="182">
        <v>3.0</v>
      </c>
      <c r="N6" s="182">
        <v>0.0</v>
      </c>
      <c r="O6" s="182">
        <v>0.0</v>
      </c>
      <c r="P6" s="182">
        <v>0.0</v>
      </c>
      <c r="Q6" s="182">
        <v>2.0</v>
      </c>
      <c r="R6" s="182">
        <v>10.0</v>
      </c>
      <c r="S6" s="182">
        <v>9.0</v>
      </c>
      <c r="T6" s="182">
        <v>3.0</v>
      </c>
      <c r="U6" s="182">
        <v>2.0</v>
      </c>
      <c r="V6" s="182">
        <v>1.0</v>
      </c>
      <c r="W6" s="182">
        <v>1.0</v>
      </c>
      <c r="X6" s="182">
        <v>3.0</v>
      </c>
      <c r="Y6" s="182">
        <v>9.0</v>
      </c>
      <c r="Z6" s="182">
        <v>10.0</v>
      </c>
      <c r="AA6" s="182">
        <v>2.0</v>
      </c>
      <c r="AB6" s="182" t="s">
        <v>743</v>
      </c>
      <c r="AC6" s="182" t="s">
        <v>744</v>
      </c>
      <c r="AD6" s="182" t="s">
        <v>762</v>
      </c>
      <c r="AE6" s="182" t="s">
        <v>746</v>
      </c>
      <c r="AF6" s="182" t="s">
        <v>763</v>
      </c>
      <c r="AG6" s="182" t="s">
        <v>764</v>
      </c>
      <c r="AH6" s="182">
        <v>309.0</v>
      </c>
    </row>
    <row r="7">
      <c r="A7" s="182">
        <v>213557.0</v>
      </c>
      <c r="B7" s="182">
        <v>93971.0</v>
      </c>
      <c r="C7" s="182" t="s">
        <v>757</v>
      </c>
      <c r="D7" s="182" t="s">
        <v>34</v>
      </c>
      <c r="E7" s="182">
        <v>299.0</v>
      </c>
      <c r="F7" s="182" t="s">
        <v>185</v>
      </c>
      <c r="G7" s="182">
        <v>4561.0</v>
      </c>
      <c r="H7" s="182" t="s">
        <v>184</v>
      </c>
      <c r="I7" s="182">
        <v>2.0</v>
      </c>
      <c r="J7" s="182">
        <v>3.0</v>
      </c>
      <c r="K7" s="182">
        <v>13.0</v>
      </c>
      <c r="L7" s="182">
        <v>3.0</v>
      </c>
      <c r="M7" s="182">
        <v>9.0</v>
      </c>
      <c r="N7" s="182">
        <v>0.0</v>
      </c>
      <c r="O7" s="182">
        <v>0.0</v>
      </c>
      <c r="P7" s="182">
        <v>0.0</v>
      </c>
      <c r="Q7" s="182">
        <v>0.0</v>
      </c>
      <c r="R7" s="182">
        <v>4.0</v>
      </c>
      <c r="S7" s="182">
        <v>3.0</v>
      </c>
      <c r="T7" s="182">
        <v>9.0</v>
      </c>
      <c r="U7" s="182">
        <v>2.0</v>
      </c>
      <c r="V7" s="182">
        <v>1.0</v>
      </c>
      <c r="W7" s="182">
        <v>1.0</v>
      </c>
      <c r="X7" s="182">
        <v>9.0</v>
      </c>
      <c r="Y7" s="182">
        <v>3.0</v>
      </c>
      <c r="Z7" s="182">
        <v>4.0</v>
      </c>
      <c r="AA7" s="182">
        <v>0.0</v>
      </c>
      <c r="AB7" s="182" t="s">
        <v>743</v>
      </c>
      <c r="AC7" s="182" t="s">
        <v>744</v>
      </c>
      <c r="AD7" s="182" t="s">
        <v>765</v>
      </c>
      <c r="AE7" s="182" t="s">
        <v>766</v>
      </c>
      <c r="AF7" s="182" t="s">
        <v>767</v>
      </c>
      <c r="AG7" s="182" t="s">
        <v>756</v>
      </c>
      <c r="AH7" s="182">
        <v>309.0</v>
      </c>
    </row>
    <row r="8">
      <c r="A8" s="182">
        <v>212688.0</v>
      </c>
      <c r="B8" s="182">
        <v>93676.0</v>
      </c>
      <c r="C8" s="182" t="s">
        <v>742</v>
      </c>
      <c r="D8" s="182" t="s">
        <v>40</v>
      </c>
      <c r="E8" s="182">
        <v>17807.0</v>
      </c>
      <c r="F8" s="182" t="s">
        <v>187</v>
      </c>
      <c r="G8" s="182">
        <v>17813.0</v>
      </c>
      <c r="H8" s="182" t="s">
        <v>182</v>
      </c>
      <c r="I8" s="182">
        <v>2.0</v>
      </c>
      <c r="J8" s="182">
        <v>13.0</v>
      </c>
      <c r="K8" s="182">
        <v>11.0</v>
      </c>
      <c r="L8" s="182">
        <v>6.0</v>
      </c>
      <c r="M8" s="182">
        <v>6.0</v>
      </c>
      <c r="N8" s="182">
        <v>1.0</v>
      </c>
      <c r="O8" s="182">
        <v>0.0</v>
      </c>
      <c r="P8" s="182">
        <v>1.0</v>
      </c>
      <c r="Q8" s="182">
        <v>7.0</v>
      </c>
      <c r="R8" s="182">
        <v>5.0</v>
      </c>
      <c r="S8" s="182">
        <v>6.0</v>
      </c>
      <c r="T8" s="182">
        <v>6.0</v>
      </c>
      <c r="U8" s="182">
        <v>1.0</v>
      </c>
      <c r="V8" s="182">
        <v>0.0</v>
      </c>
      <c r="W8" s="182">
        <v>1.0</v>
      </c>
      <c r="X8" s="182">
        <v>6.0</v>
      </c>
      <c r="Y8" s="182">
        <v>6.0</v>
      </c>
      <c r="Z8" s="182">
        <v>5.0</v>
      </c>
      <c r="AA8" s="182">
        <v>7.0</v>
      </c>
      <c r="AB8" s="182" t="s">
        <v>743</v>
      </c>
      <c r="AC8" s="182" t="s">
        <v>744</v>
      </c>
      <c r="AD8" s="182" t="s">
        <v>768</v>
      </c>
      <c r="AE8" s="182" t="s">
        <v>769</v>
      </c>
      <c r="AF8" s="182" t="s">
        <v>770</v>
      </c>
      <c r="AG8" s="182" t="s">
        <v>771</v>
      </c>
      <c r="AH8" s="182">
        <v>309.0</v>
      </c>
    </row>
    <row r="9">
      <c r="A9" s="182">
        <v>213556.0</v>
      </c>
      <c r="B9" s="182">
        <v>93971.0</v>
      </c>
      <c r="C9" s="182" t="s">
        <v>757</v>
      </c>
      <c r="D9" s="182" t="s">
        <v>32</v>
      </c>
      <c r="E9" s="182">
        <v>299.0</v>
      </c>
      <c r="F9" s="182" t="s">
        <v>185</v>
      </c>
      <c r="G9" s="182">
        <v>4561.0</v>
      </c>
      <c r="H9" s="182" t="s">
        <v>184</v>
      </c>
      <c r="I9" s="182">
        <v>2.0</v>
      </c>
      <c r="J9" s="182">
        <v>11.0</v>
      </c>
      <c r="K9" s="182">
        <v>13.0</v>
      </c>
      <c r="L9" s="182">
        <v>7.0</v>
      </c>
      <c r="M9" s="182">
        <v>5.0</v>
      </c>
      <c r="N9" s="182">
        <v>1.0</v>
      </c>
      <c r="O9" s="182">
        <v>1.0</v>
      </c>
      <c r="P9" s="182">
        <v>0.0</v>
      </c>
      <c r="Q9" s="182">
        <v>4.0</v>
      </c>
      <c r="R9" s="182">
        <v>8.0</v>
      </c>
      <c r="S9" s="182">
        <v>7.0</v>
      </c>
      <c r="T9" s="182">
        <v>5.0</v>
      </c>
      <c r="U9" s="182">
        <v>1.0</v>
      </c>
      <c r="V9" s="182">
        <v>1.0</v>
      </c>
      <c r="W9" s="182">
        <v>0.0</v>
      </c>
      <c r="X9" s="182">
        <v>5.0</v>
      </c>
      <c r="Y9" s="182">
        <v>7.0</v>
      </c>
      <c r="Z9" s="182">
        <v>8.0</v>
      </c>
      <c r="AA9" s="182">
        <v>4.0</v>
      </c>
      <c r="AB9" s="182" t="s">
        <v>743</v>
      </c>
      <c r="AC9" s="182" t="s">
        <v>744</v>
      </c>
      <c r="AD9" s="182" t="s">
        <v>772</v>
      </c>
      <c r="AE9" s="182" t="s">
        <v>773</v>
      </c>
      <c r="AF9" s="182" t="s">
        <v>751</v>
      </c>
      <c r="AG9" s="182" t="s">
        <v>752</v>
      </c>
      <c r="AH9" s="182">
        <v>309.0</v>
      </c>
    </row>
    <row r="10">
      <c r="A10" s="182">
        <v>213535.0</v>
      </c>
      <c r="B10" s="182">
        <v>93965.0</v>
      </c>
      <c r="C10" s="182" t="s">
        <v>757</v>
      </c>
      <c r="D10" s="182" t="s">
        <v>40</v>
      </c>
      <c r="E10" s="182">
        <v>960.0</v>
      </c>
      <c r="F10" s="182" t="s">
        <v>384</v>
      </c>
      <c r="G10" s="182">
        <v>4561.0</v>
      </c>
      <c r="H10" s="182" t="s">
        <v>184</v>
      </c>
      <c r="I10" s="182">
        <v>2.0</v>
      </c>
      <c r="J10" s="182">
        <v>10.0</v>
      </c>
      <c r="K10" s="182">
        <v>13.0</v>
      </c>
      <c r="L10" s="182">
        <v>6.0</v>
      </c>
      <c r="M10" s="182">
        <v>6.0</v>
      </c>
      <c r="N10" s="182">
        <v>1.0</v>
      </c>
      <c r="O10" s="182">
        <v>1.0</v>
      </c>
      <c r="P10" s="182">
        <v>0.0</v>
      </c>
      <c r="Q10" s="182">
        <v>4.0</v>
      </c>
      <c r="R10" s="182">
        <v>7.0</v>
      </c>
      <c r="S10" s="182">
        <v>6.0</v>
      </c>
      <c r="T10" s="182">
        <v>6.0</v>
      </c>
      <c r="U10" s="182">
        <v>1.0</v>
      </c>
      <c r="V10" s="182">
        <v>1.0</v>
      </c>
      <c r="W10" s="182">
        <v>0.0</v>
      </c>
      <c r="X10" s="182">
        <v>6.0</v>
      </c>
      <c r="Y10" s="182">
        <v>6.0</v>
      </c>
      <c r="Z10" s="182">
        <v>7.0</v>
      </c>
      <c r="AA10" s="182">
        <v>4.0</v>
      </c>
      <c r="AB10" s="182" t="s">
        <v>743</v>
      </c>
      <c r="AC10" s="182" t="s">
        <v>774</v>
      </c>
      <c r="AD10" s="182" t="s">
        <v>775</v>
      </c>
      <c r="AE10" s="182" t="s">
        <v>776</v>
      </c>
      <c r="AF10" s="182" t="s">
        <v>777</v>
      </c>
      <c r="AG10" s="182" t="s">
        <v>771</v>
      </c>
      <c r="AH10" s="182">
        <v>309.0</v>
      </c>
    </row>
    <row r="11">
      <c r="A11" s="182">
        <v>213534.0</v>
      </c>
      <c r="B11" s="182">
        <v>93965.0</v>
      </c>
      <c r="C11" s="182" t="s">
        <v>757</v>
      </c>
      <c r="D11" s="182" t="s">
        <v>227</v>
      </c>
      <c r="E11" s="182">
        <v>960.0</v>
      </c>
      <c r="F11" s="182" t="s">
        <v>384</v>
      </c>
      <c r="G11" s="182">
        <v>4561.0</v>
      </c>
      <c r="H11" s="182" t="s">
        <v>184</v>
      </c>
      <c r="I11" s="182">
        <v>1.0</v>
      </c>
      <c r="J11" s="182">
        <v>9.0</v>
      </c>
      <c r="K11" s="182">
        <v>13.0</v>
      </c>
      <c r="L11" s="182">
        <v>3.0</v>
      </c>
      <c r="M11" s="182">
        <v>9.0</v>
      </c>
      <c r="N11" s="182">
        <v>2.0</v>
      </c>
      <c r="O11" s="182">
        <v>1.0</v>
      </c>
      <c r="P11" s="182">
        <v>1.0</v>
      </c>
      <c r="Q11" s="182">
        <v>3.0</v>
      </c>
      <c r="R11" s="182">
        <v>9.0</v>
      </c>
      <c r="S11" s="182">
        <v>6.0</v>
      </c>
      <c r="T11" s="182">
        <v>4.0</v>
      </c>
      <c r="U11" s="182">
        <v>0.0</v>
      </c>
      <c r="V11" s="182">
        <v>0.0</v>
      </c>
      <c r="W11" s="182">
        <v>0.0</v>
      </c>
      <c r="X11" s="182">
        <v>4.0</v>
      </c>
      <c r="Y11" s="182">
        <v>6.0</v>
      </c>
      <c r="Z11" s="182">
        <v>9.0</v>
      </c>
      <c r="AA11" s="182">
        <v>3.0</v>
      </c>
      <c r="AB11" s="182" t="s">
        <v>743</v>
      </c>
      <c r="AC11" s="182" t="s">
        <v>774</v>
      </c>
      <c r="AD11" s="182" t="s">
        <v>778</v>
      </c>
      <c r="AE11" s="182" t="s">
        <v>779</v>
      </c>
      <c r="AF11" s="182" t="s">
        <v>780</v>
      </c>
      <c r="AG11" s="182" t="s">
        <v>747</v>
      </c>
      <c r="AH11" s="182">
        <v>309.0</v>
      </c>
    </row>
    <row r="12">
      <c r="A12" s="182">
        <v>213532.0</v>
      </c>
      <c r="B12" s="182">
        <v>93964.0</v>
      </c>
      <c r="C12" s="182" t="s">
        <v>757</v>
      </c>
      <c r="D12" s="182" t="s">
        <v>34</v>
      </c>
      <c r="E12" s="182">
        <v>960.0</v>
      </c>
      <c r="F12" s="182" t="s">
        <v>384</v>
      </c>
      <c r="G12" s="182">
        <v>299.0</v>
      </c>
      <c r="H12" s="182" t="s">
        <v>185</v>
      </c>
      <c r="I12" s="182">
        <v>2.0</v>
      </c>
      <c r="J12" s="182">
        <v>7.0</v>
      </c>
      <c r="K12" s="182">
        <v>13.0</v>
      </c>
      <c r="L12" s="182">
        <v>5.0</v>
      </c>
      <c r="M12" s="182">
        <v>7.0</v>
      </c>
      <c r="N12" s="182">
        <v>1.0</v>
      </c>
      <c r="O12" s="182">
        <v>1.0</v>
      </c>
      <c r="P12" s="182">
        <v>0.0</v>
      </c>
      <c r="Q12" s="182">
        <v>2.0</v>
      </c>
      <c r="R12" s="182">
        <v>6.0</v>
      </c>
      <c r="S12" s="182">
        <v>5.0</v>
      </c>
      <c r="T12" s="182">
        <v>7.0</v>
      </c>
      <c r="U12" s="182">
        <v>1.0</v>
      </c>
      <c r="V12" s="182">
        <v>1.0</v>
      </c>
      <c r="W12" s="182">
        <v>0.0</v>
      </c>
      <c r="X12" s="182">
        <v>7.0</v>
      </c>
      <c r="Y12" s="182">
        <v>5.0</v>
      </c>
      <c r="Z12" s="182">
        <v>6.0</v>
      </c>
      <c r="AA12" s="182">
        <v>2.0</v>
      </c>
      <c r="AB12" s="182" t="s">
        <v>743</v>
      </c>
      <c r="AC12" s="182" t="s">
        <v>774</v>
      </c>
      <c r="AD12" s="182" t="s">
        <v>781</v>
      </c>
      <c r="AE12" s="182" t="s">
        <v>765</v>
      </c>
      <c r="AF12" s="182" t="s">
        <v>782</v>
      </c>
      <c r="AG12" s="182" t="s">
        <v>767</v>
      </c>
      <c r="AH12" s="182">
        <v>309.0</v>
      </c>
    </row>
    <row r="13">
      <c r="A13" s="182">
        <v>213531.0</v>
      </c>
      <c r="B13" s="182">
        <v>93964.0</v>
      </c>
      <c r="C13" s="182" t="s">
        <v>757</v>
      </c>
      <c r="D13" s="182" t="s">
        <v>32</v>
      </c>
      <c r="E13" s="182">
        <v>960.0</v>
      </c>
      <c r="F13" s="182" t="s">
        <v>384</v>
      </c>
      <c r="G13" s="182">
        <v>299.0</v>
      </c>
      <c r="H13" s="182" t="s">
        <v>185</v>
      </c>
      <c r="I13" s="182">
        <v>2.0</v>
      </c>
      <c r="J13" s="182">
        <v>10.0</v>
      </c>
      <c r="K13" s="182">
        <v>13.0</v>
      </c>
      <c r="L13" s="182">
        <v>7.0</v>
      </c>
      <c r="M13" s="182">
        <v>5.0</v>
      </c>
      <c r="N13" s="182">
        <v>1.0</v>
      </c>
      <c r="O13" s="182">
        <v>1.0</v>
      </c>
      <c r="P13" s="182">
        <v>0.0</v>
      </c>
      <c r="Q13" s="182">
        <v>3.0</v>
      </c>
      <c r="R13" s="182">
        <v>8.0</v>
      </c>
      <c r="S13" s="182">
        <v>7.0</v>
      </c>
      <c r="T13" s="182">
        <v>5.0</v>
      </c>
      <c r="U13" s="182">
        <v>1.0</v>
      </c>
      <c r="V13" s="182">
        <v>1.0</v>
      </c>
      <c r="W13" s="182">
        <v>0.0</v>
      </c>
      <c r="X13" s="182">
        <v>5.0</v>
      </c>
      <c r="Y13" s="182">
        <v>7.0</v>
      </c>
      <c r="Z13" s="182">
        <v>8.0</v>
      </c>
      <c r="AA13" s="182">
        <v>3.0</v>
      </c>
      <c r="AB13" s="182" t="s">
        <v>743</v>
      </c>
      <c r="AC13" s="182" t="s">
        <v>774</v>
      </c>
      <c r="AD13" s="182" t="s">
        <v>778</v>
      </c>
      <c r="AE13" s="182" t="s">
        <v>772</v>
      </c>
      <c r="AF13" s="182" t="s">
        <v>31</v>
      </c>
      <c r="AG13" s="182" t="s">
        <v>751</v>
      </c>
      <c r="AH13" s="182">
        <v>309.0</v>
      </c>
    </row>
    <row r="14">
      <c r="A14" s="182">
        <v>213529.0</v>
      </c>
      <c r="B14" s="182">
        <v>93963.0</v>
      </c>
      <c r="C14" s="182" t="s">
        <v>757</v>
      </c>
      <c r="D14" s="182" t="s">
        <v>42</v>
      </c>
      <c r="E14" s="182">
        <v>4561.0</v>
      </c>
      <c r="F14" s="182" t="s">
        <v>184</v>
      </c>
      <c r="G14" s="182">
        <v>582.0</v>
      </c>
      <c r="H14" s="182" t="s">
        <v>387</v>
      </c>
      <c r="I14" s="182">
        <v>1.0</v>
      </c>
      <c r="J14" s="182">
        <v>15.0</v>
      </c>
      <c r="K14" s="182">
        <v>13.0</v>
      </c>
      <c r="L14" s="182">
        <v>7.0</v>
      </c>
      <c r="M14" s="182">
        <v>5.0</v>
      </c>
      <c r="N14" s="182">
        <v>1.0</v>
      </c>
      <c r="O14" s="182">
        <v>0.0</v>
      </c>
      <c r="P14" s="182">
        <v>1.0</v>
      </c>
      <c r="Q14" s="182">
        <v>8.0</v>
      </c>
      <c r="R14" s="182">
        <v>6.0</v>
      </c>
      <c r="S14" s="182">
        <v>7.0</v>
      </c>
      <c r="T14" s="182">
        <v>7.0</v>
      </c>
      <c r="U14" s="182">
        <v>1.0</v>
      </c>
      <c r="V14" s="182">
        <v>0.0</v>
      </c>
      <c r="W14" s="182">
        <v>1.0</v>
      </c>
      <c r="X14" s="182">
        <v>7.0</v>
      </c>
      <c r="Y14" s="182">
        <v>7.0</v>
      </c>
      <c r="Z14" s="182">
        <v>6.0</v>
      </c>
      <c r="AA14" s="182">
        <v>8.0</v>
      </c>
      <c r="AB14" s="182" t="s">
        <v>743</v>
      </c>
      <c r="AC14" s="182" t="s">
        <v>783</v>
      </c>
      <c r="AD14" s="182" t="s">
        <v>784</v>
      </c>
      <c r="AE14" s="182" t="s">
        <v>785</v>
      </c>
      <c r="AF14" s="182" t="s">
        <v>786</v>
      </c>
      <c r="AG14" s="182" t="s">
        <v>787</v>
      </c>
      <c r="AH14" s="182">
        <v>309.0</v>
      </c>
    </row>
    <row r="15">
      <c r="A15" s="182">
        <v>213528.0</v>
      </c>
      <c r="B15" s="182">
        <v>93963.0</v>
      </c>
      <c r="C15" s="182" t="s">
        <v>757</v>
      </c>
      <c r="D15" s="182" t="s">
        <v>40</v>
      </c>
      <c r="E15" s="182">
        <v>4561.0</v>
      </c>
      <c r="F15" s="182" t="s">
        <v>184</v>
      </c>
      <c r="G15" s="182">
        <v>582.0</v>
      </c>
      <c r="H15" s="182" t="s">
        <v>387</v>
      </c>
      <c r="I15" s="182">
        <v>2.0</v>
      </c>
      <c r="J15" s="182">
        <v>15.0</v>
      </c>
      <c r="K15" s="182">
        <v>13.0</v>
      </c>
      <c r="L15" s="182">
        <v>4.0</v>
      </c>
      <c r="M15" s="182">
        <v>8.0</v>
      </c>
      <c r="N15" s="182">
        <v>1.0</v>
      </c>
      <c r="O15" s="182">
        <v>1.0</v>
      </c>
      <c r="P15" s="182">
        <v>0.0</v>
      </c>
      <c r="Q15" s="182">
        <v>9.0</v>
      </c>
      <c r="R15" s="182">
        <v>5.0</v>
      </c>
      <c r="S15" s="182">
        <v>6.0</v>
      </c>
      <c r="T15" s="182">
        <v>8.0</v>
      </c>
      <c r="U15" s="182">
        <v>1.0</v>
      </c>
      <c r="V15" s="182">
        <v>1.0</v>
      </c>
      <c r="W15" s="182">
        <v>0.0</v>
      </c>
      <c r="X15" s="182">
        <v>8.0</v>
      </c>
      <c r="Y15" s="182">
        <v>6.0</v>
      </c>
      <c r="Z15" s="182">
        <v>5.0</v>
      </c>
      <c r="AA15" s="182">
        <v>9.0</v>
      </c>
      <c r="AB15" s="182" t="s">
        <v>743</v>
      </c>
      <c r="AC15" s="182" t="s">
        <v>783</v>
      </c>
      <c r="AD15" s="182" t="s">
        <v>776</v>
      </c>
      <c r="AE15" s="182" t="s">
        <v>788</v>
      </c>
      <c r="AF15" s="182" t="s">
        <v>771</v>
      </c>
      <c r="AG15" s="182" t="s">
        <v>777</v>
      </c>
      <c r="AH15" s="182">
        <v>309.0</v>
      </c>
    </row>
    <row r="16">
      <c r="A16" s="182">
        <v>213499.0</v>
      </c>
      <c r="B16" s="182">
        <v>93954.0</v>
      </c>
      <c r="C16" s="182" t="s">
        <v>757</v>
      </c>
      <c r="D16" s="182" t="s">
        <v>34</v>
      </c>
      <c r="E16" s="182">
        <v>4561.0</v>
      </c>
      <c r="F16" s="182" t="s">
        <v>184</v>
      </c>
      <c r="G16" s="182">
        <v>960.0</v>
      </c>
      <c r="H16" s="182" t="s">
        <v>384</v>
      </c>
      <c r="I16" s="182">
        <v>1.0</v>
      </c>
      <c r="J16" s="182">
        <v>12.0</v>
      </c>
      <c r="K16" s="182">
        <v>14.0</v>
      </c>
      <c r="L16" s="182">
        <v>6.0</v>
      </c>
      <c r="M16" s="182">
        <v>6.0</v>
      </c>
      <c r="N16" s="182">
        <v>1.0</v>
      </c>
      <c r="O16" s="182">
        <v>1.0</v>
      </c>
      <c r="P16" s="182">
        <v>0.0</v>
      </c>
      <c r="Q16" s="182">
        <v>6.0</v>
      </c>
      <c r="R16" s="182">
        <v>7.0</v>
      </c>
      <c r="S16" s="182">
        <v>6.0</v>
      </c>
      <c r="T16" s="182">
        <v>7.0</v>
      </c>
      <c r="U16" s="182">
        <v>1.0</v>
      </c>
      <c r="V16" s="182">
        <v>1.0</v>
      </c>
      <c r="W16" s="182">
        <v>0.0</v>
      </c>
      <c r="X16" s="182">
        <v>7.0</v>
      </c>
      <c r="Y16" s="182">
        <v>6.0</v>
      </c>
      <c r="Z16" s="182">
        <v>7.0</v>
      </c>
      <c r="AA16" s="182">
        <v>6.0</v>
      </c>
      <c r="AB16" s="182" t="s">
        <v>743</v>
      </c>
      <c r="AC16" s="182" t="s">
        <v>783</v>
      </c>
      <c r="AD16" s="182" t="s">
        <v>766</v>
      </c>
      <c r="AE16" s="182" t="s">
        <v>781</v>
      </c>
      <c r="AF16" s="182" t="s">
        <v>756</v>
      </c>
      <c r="AG16" s="182" t="s">
        <v>782</v>
      </c>
      <c r="AH16" s="182">
        <v>309.0</v>
      </c>
    </row>
    <row r="17">
      <c r="A17" s="182">
        <v>213502.0</v>
      </c>
      <c r="B17" s="182">
        <v>93955.0</v>
      </c>
      <c r="C17" s="182" t="s">
        <v>757</v>
      </c>
      <c r="D17" s="182" t="s">
        <v>42</v>
      </c>
      <c r="E17" s="182">
        <v>582.0</v>
      </c>
      <c r="F17" s="182" t="s">
        <v>387</v>
      </c>
      <c r="G17" s="182">
        <v>299.0</v>
      </c>
      <c r="H17" s="182" t="s">
        <v>185</v>
      </c>
      <c r="I17" s="182">
        <v>1.0</v>
      </c>
      <c r="J17" s="182">
        <v>9.0</v>
      </c>
      <c r="K17" s="182">
        <v>13.0</v>
      </c>
      <c r="L17" s="182">
        <v>8.0</v>
      </c>
      <c r="M17" s="182">
        <v>4.0</v>
      </c>
      <c r="N17" s="182">
        <v>0.0</v>
      </c>
      <c r="O17" s="182">
        <v>0.0</v>
      </c>
      <c r="P17" s="182">
        <v>0.0</v>
      </c>
      <c r="Q17" s="182">
        <v>8.0</v>
      </c>
      <c r="R17" s="182">
        <v>4.0</v>
      </c>
      <c r="S17" s="182">
        <v>1.0</v>
      </c>
      <c r="T17" s="182">
        <v>9.0</v>
      </c>
      <c r="U17" s="182">
        <v>2.0</v>
      </c>
      <c r="V17" s="182">
        <v>1.0</v>
      </c>
      <c r="W17" s="182">
        <v>1.0</v>
      </c>
      <c r="X17" s="182">
        <v>9.0</v>
      </c>
      <c r="Y17" s="182">
        <v>1.0</v>
      </c>
      <c r="Z17" s="182">
        <v>4.0</v>
      </c>
      <c r="AA17" s="182">
        <v>8.0</v>
      </c>
      <c r="AB17" s="182" t="s">
        <v>743</v>
      </c>
      <c r="AC17" s="182" t="s">
        <v>783</v>
      </c>
      <c r="AD17" s="182" t="s">
        <v>785</v>
      </c>
      <c r="AE17" s="182" t="s">
        <v>789</v>
      </c>
      <c r="AF17" s="182" t="s">
        <v>787</v>
      </c>
      <c r="AG17" s="182" t="s">
        <v>790</v>
      </c>
      <c r="AH17" s="182">
        <v>309.0</v>
      </c>
    </row>
    <row r="18">
      <c r="A18" s="182">
        <v>213498.0</v>
      </c>
      <c r="B18" s="182">
        <v>93954.0</v>
      </c>
      <c r="C18" s="182" t="s">
        <v>757</v>
      </c>
      <c r="D18" s="182" t="s">
        <v>38</v>
      </c>
      <c r="E18" s="182">
        <v>4561.0</v>
      </c>
      <c r="F18" s="182" t="s">
        <v>184</v>
      </c>
      <c r="G18" s="182">
        <v>960.0</v>
      </c>
      <c r="H18" s="182" t="s">
        <v>384</v>
      </c>
      <c r="I18" s="182">
        <v>1.0</v>
      </c>
      <c r="J18" s="182">
        <v>11.0</v>
      </c>
      <c r="K18" s="182">
        <v>13.0</v>
      </c>
      <c r="L18" s="182">
        <v>4.0</v>
      </c>
      <c r="M18" s="182">
        <v>8.0</v>
      </c>
      <c r="N18" s="182">
        <v>1.0</v>
      </c>
      <c r="O18" s="182">
        <v>0.0</v>
      </c>
      <c r="P18" s="182">
        <v>1.0</v>
      </c>
      <c r="Q18" s="182">
        <v>4.0</v>
      </c>
      <c r="R18" s="182">
        <v>8.0</v>
      </c>
      <c r="S18" s="182">
        <v>7.0</v>
      </c>
      <c r="T18" s="182">
        <v>5.0</v>
      </c>
      <c r="U18" s="182">
        <v>1.0</v>
      </c>
      <c r="V18" s="182">
        <v>0.0</v>
      </c>
      <c r="W18" s="182">
        <v>1.0</v>
      </c>
      <c r="X18" s="182">
        <v>5.0</v>
      </c>
      <c r="Y18" s="182">
        <v>7.0</v>
      </c>
      <c r="Z18" s="182">
        <v>8.0</v>
      </c>
      <c r="AA18" s="182">
        <v>4.0</v>
      </c>
      <c r="AB18" s="182" t="s">
        <v>743</v>
      </c>
      <c r="AC18" s="182" t="s">
        <v>783</v>
      </c>
      <c r="AD18" s="182" t="s">
        <v>791</v>
      </c>
      <c r="AE18" s="182" t="s">
        <v>792</v>
      </c>
      <c r="AF18" s="182" t="s">
        <v>793</v>
      </c>
      <c r="AG18" s="182" t="s">
        <v>794</v>
      </c>
      <c r="AH18" s="182">
        <v>309.0</v>
      </c>
    </row>
    <row r="19">
      <c r="A19" s="182">
        <v>213501.0</v>
      </c>
      <c r="B19" s="182">
        <v>93955.0</v>
      </c>
      <c r="C19" s="182" t="s">
        <v>757</v>
      </c>
      <c r="D19" s="182" t="s">
        <v>36</v>
      </c>
      <c r="E19" s="182">
        <v>582.0</v>
      </c>
      <c r="F19" s="182" t="s">
        <v>387</v>
      </c>
      <c r="G19" s="182">
        <v>299.0</v>
      </c>
      <c r="H19" s="182" t="s">
        <v>185</v>
      </c>
      <c r="I19" s="182">
        <v>2.0</v>
      </c>
      <c r="J19" s="182">
        <v>13.0</v>
      </c>
      <c r="K19" s="182">
        <v>8.0</v>
      </c>
      <c r="L19" s="182">
        <v>6.0</v>
      </c>
      <c r="M19" s="182">
        <v>6.0</v>
      </c>
      <c r="N19" s="182">
        <v>0.0</v>
      </c>
      <c r="O19" s="182">
        <v>0.0</v>
      </c>
      <c r="P19" s="182">
        <v>0.0</v>
      </c>
      <c r="Q19" s="182">
        <v>7.0</v>
      </c>
      <c r="R19" s="182">
        <v>2.0</v>
      </c>
      <c r="S19" s="182">
        <v>6.0</v>
      </c>
      <c r="T19" s="182">
        <v>6.0</v>
      </c>
      <c r="U19" s="182">
        <v>2.0</v>
      </c>
      <c r="V19" s="182">
        <v>1.0</v>
      </c>
      <c r="W19" s="182">
        <v>1.0</v>
      </c>
      <c r="X19" s="182">
        <v>6.0</v>
      </c>
      <c r="Y19" s="182">
        <v>6.0</v>
      </c>
      <c r="Z19" s="182">
        <v>2.0</v>
      </c>
      <c r="AA19" s="182">
        <v>7.0</v>
      </c>
      <c r="AB19" s="182" t="s">
        <v>743</v>
      </c>
      <c r="AC19" s="182" t="s">
        <v>783</v>
      </c>
      <c r="AD19" s="182" t="s">
        <v>795</v>
      </c>
      <c r="AE19" s="182" t="s">
        <v>758</v>
      </c>
      <c r="AF19" s="182" t="s">
        <v>35</v>
      </c>
      <c r="AG19" s="182" t="s">
        <v>760</v>
      </c>
      <c r="AH19" s="182">
        <v>309.0</v>
      </c>
    </row>
    <row r="20">
      <c r="A20" s="182">
        <v>213497.0</v>
      </c>
      <c r="B20" s="182">
        <v>93954.0</v>
      </c>
      <c r="C20" s="182" t="s">
        <v>757</v>
      </c>
      <c r="D20" s="182" t="s">
        <v>32</v>
      </c>
      <c r="E20" s="182">
        <v>4561.0</v>
      </c>
      <c r="F20" s="182" t="s">
        <v>184</v>
      </c>
      <c r="G20" s="182">
        <v>960.0</v>
      </c>
      <c r="H20" s="182" t="s">
        <v>384</v>
      </c>
      <c r="I20" s="182">
        <v>1.0</v>
      </c>
      <c r="J20" s="182">
        <v>13.0</v>
      </c>
      <c r="K20" s="182">
        <v>5.0</v>
      </c>
      <c r="L20" s="182">
        <v>8.0</v>
      </c>
      <c r="M20" s="182">
        <v>4.0</v>
      </c>
      <c r="N20" s="182">
        <v>2.0</v>
      </c>
      <c r="O20" s="182">
        <v>1.0</v>
      </c>
      <c r="P20" s="182">
        <v>1.0</v>
      </c>
      <c r="Q20" s="182">
        <v>8.0</v>
      </c>
      <c r="R20" s="182">
        <v>4.0</v>
      </c>
      <c r="S20" s="182">
        <v>5.0</v>
      </c>
      <c r="T20" s="182">
        <v>1.0</v>
      </c>
      <c r="U20" s="182">
        <v>0.0</v>
      </c>
      <c r="V20" s="182">
        <v>0.0</v>
      </c>
      <c r="W20" s="182">
        <v>0.0</v>
      </c>
      <c r="X20" s="182">
        <v>1.0</v>
      </c>
      <c r="Y20" s="182">
        <v>5.0</v>
      </c>
      <c r="Z20" s="182">
        <v>4.0</v>
      </c>
      <c r="AA20" s="182">
        <v>8.0</v>
      </c>
      <c r="AB20" s="182" t="s">
        <v>743</v>
      </c>
      <c r="AC20" s="182" t="s">
        <v>783</v>
      </c>
      <c r="AD20" s="182" t="s">
        <v>773</v>
      </c>
      <c r="AE20" s="182" t="s">
        <v>778</v>
      </c>
      <c r="AF20" s="182" t="s">
        <v>752</v>
      </c>
      <c r="AG20" s="182" t="s">
        <v>31</v>
      </c>
      <c r="AH20" s="182">
        <v>309.0</v>
      </c>
    </row>
    <row r="21">
      <c r="A21" s="182">
        <v>213500.0</v>
      </c>
      <c r="B21" s="182">
        <v>93955.0</v>
      </c>
      <c r="C21" s="182" t="s">
        <v>757</v>
      </c>
      <c r="D21" s="182" t="s">
        <v>40</v>
      </c>
      <c r="E21" s="182">
        <v>582.0</v>
      </c>
      <c r="F21" s="182" t="s">
        <v>387</v>
      </c>
      <c r="G21" s="182">
        <v>299.0</v>
      </c>
      <c r="H21" s="182" t="s">
        <v>185</v>
      </c>
      <c r="I21" s="182">
        <v>1.0</v>
      </c>
      <c r="J21" s="182">
        <v>13.0</v>
      </c>
      <c r="K21" s="182">
        <v>15.0</v>
      </c>
      <c r="L21" s="182">
        <v>6.0</v>
      </c>
      <c r="M21" s="182">
        <v>6.0</v>
      </c>
      <c r="N21" s="182">
        <v>0.0</v>
      </c>
      <c r="O21" s="182">
        <v>0.0</v>
      </c>
      <c r="P21" s="182">
        <v>0.0</v>
      </c>
      <c r="Q21" s="182">
        <v>7.0</v>
      </c>
      <c r="R21" s="182">
        <v>7.0</v>
      </c>
      <c r="S21" s="182">
        <v>6.0</v>
      </c>
      <c r="T21" s="182">
        <v>8.0</v>
      </c>
      <c r="U21" s="182">
        <v>2.0</v>
      </c>
      <c r="V21" s="182">
        <v>1.0</v>
      </c>
      <c r="W21" s="182">
        <v>1.0</v>
      </c>
      <c r="X21" s="182">
        <v>8.0</v>
      </c>
      <c r="Y21" s="182">
        <v>6.0</v>
      </c>
      <c r="Z21" s="182">
        <v>7.0</v>
      </c>
      <c r="AA21" s="182">
        <v>7.0</v>
      </c>
      <c r="AB21" s="182" t="s">
        <v>743</v>
      </c>
      <c r="AC21" s="182" t="s">
        <v>783</v>
      </c>
      <c r="AD21" s="182" t="s">
        <v>788</v>
      </c>
      <c r="AE21" s="182" t="s">
        <v>796</v>
      </c>
      <c r="AF21" s="182" t="s">
        <v>777</v>
      </c>
      <c r="AG21" s="182" t="s">
        <v>797</v>
      </c>
      <c r="AH21" s="182">
        <v>309.0</v>
      </c>
    </row>
    <row r="22">
      <c r="A22" s="182">
        <v>212063.0</v>
      </c>
      <c r="B22" s="182">
        <v>93451.0</v>
      </c>
      <c r="C22" s="182" t="s">
        <v>798</v>
      </c>
      <c r="D22" s="182" t="s">
        <v>32</v>
      </c>
      <c r="E22" s="182">
        <v>539.0</v>
      </c>
      <c r="F22" s="182" t="s">
        <v>179</v>
      </c>
      <c r="G22" s="182">
        <v>17952.0</v>
      </c>
      <c r="H22" s="182" t="s">
        <v>1</v>
      </c>
      <c r="I22" s="182">
        <v>1.0</v>
      </c>
      <c r="J22" s="182">
        <v>13.0</v>
      </c>
      <c r="K22" s="182">
        <v>2.0</v>
      </c>
      <c r="L22" s="182">
        <v>10.0</v>
      </c>
      <c r="M22" s="182">
        <v>2.0</v>
      </c>
      <c r="N22" s="182">
        <v>2.0</v>
      </c>
      <c r="O22" s="182">
        <v>1.0</v>
      </c>
      <c r="P22" s="182">
        <v>1.0</v>
      </c>
      <c r="Q22" s="182">
        <v>10.0</v>
      </c>
      <c r="R22" s="182">
        <v>2.0</v>
      </c>
      <c r="S22" s="182">
        <v>3.0</v>
      </c>
      <c r="T22" s="182">
        <v>0.0</v>
      </c>
      <c r="U22" s="182">
        <v>0.0</v>
      </c>
      <c r="V22" s="182">
        <v>0.0</v>
      </c>
      <c r="W22" s="182">
        <v>0.0</v>
      </c>
      <c r="X22" s="182">
        <v>0.0</v>
      </c>
      <c r="Y22" s="182">
        <v>3.0</v>
      </c>
      <c r="Z22" s="182">
        <v>2.0</v>
      </c>
      <c r="AA22" s="182">
        <v>10.0</v>
      </c>
      <c r="AB22" s="182" t="s">
        <v>743</v>
      </c>
      <c r="AC22" s="182" t="s">
        <v>799</v>
      </c>
      <c r="AD22" s="182" t="s">
        <v>800</v>
      </c>
      <c r="AE22" s="182" t="s">
        <v>801</v>
      </c>
      <c r="AF22" s="182" t="s">
        <v>752</v>
      </c>
      <c r="AG22" s="182" t="s">
        <v>31</v>
      </c>
      <c r="AH22" s="182">
        <v>309.0</v>
      </c>
    </row>
    <row r="23">
      <c r="A23" s="182">
        <v>212838.0</v>
      </c>
      <c r="B23" s="182">
        <v>93720.0</v>
      </c>
      <c r="C23" s="182" t="s">
        <v>802</v>
      </c>
      <c r="D23" s="182" t="s">
        <v>40</v>
      </c>
      <c r="E23" s="182">
        <v>5293.0</v>
      </c>
      <c r="F23" s="182" t="s">
        <v>186</v>
      </c>
      <c r="G23" s="182">
        <v>18501.0</v>
      </c>
      <c r="H23" s="182" t="s">
        <v>188</v>
      </c>
      <c r="I23" s="182">
        <v>2.0</v>
      </c>
      <c r="J23" s="182">
        <v>13.0</v>
      </c>
      <c r="K23" s="182">
        <v>5.0</v>
      </c>
      <c r="L23" s="182">
        <v>8.0</v>
      </c>
      <c r="M23" s="182">
        <v>4.0</v>
      </c>
      <c r="N23" s="182">
        <v>1.0</v>
      </c>
      <c r="O23" s="182">
        <v>0.0</v>
      </c>
      <c r="P23" s="182">
        <v>1.0</v>
      </c>
      <c r="Q23" s="182">
        <v>5.0</v>
      </c>
      <c r="R23" s="182">
        <v>1.0</v>
      </c>
      <c r="S23" s="182">
        <v>8.0</v>
      </c>
      <c r="T23" s="182">
        <v>4.0</v>
      </c>
      <c r="U23" s="182">
        <v>1.0</v>
      </c>
      <c r="V23" s="182">
        <v>0.0</v>
      </c>
      <c r="W23" s="182">
        <v>1.0</v>
      </c>
      <c r="X23" s="182">
        <v>4.0</v>
      </c>
      <c r="Y23" s="182">
        <v>8.0</v>
      </c>
      <c r="Z23" s="182">
        <v>1.0</v>
      </c>
      <c r="AA23" s="182">
        <v>5.0</v>
      </c>
      <c r="AB23" s="182" t="s">
        <v>743</v>
      </c>
      <c r="AC23" s="182" t="s">
        <v>799</v>
      </c>
      <c r="AD23" s="182" t="s">
        <v>803</v>
      </c>
      <c r="AE23" s="182" t="s">
        <v>804</v>
      </c>
      <c r="AF23" s="182" t="s">
        <v>777</v>
      </c>
      <c r="AG23" s="182" t="s">
        <v>777</v>
      </c>
      <c r="AH23" s="182">
        <v>309.0</v>
      </c>
    </row>
    <row r="24">
      <c r="A24" s="182">
        <v>212062.0</v>
      </c>
      <c r="B24" s="182">
        <v>93451.0</v>
      </c>
      <c r="C24" s="182" t="s">
        <v>798</v>
      </c>
      <c r="D24" s="182" t="s">
        <v>42</v>
      </c>
      <c r="E24" s="182">
        <v>539.0</v>
      </c>
      <c r="F24" s="182" t="s">
        <v>179</v>
      </c>
      <c r="G24" s="182">
        <v>17952.0</v>
      </c>
      <c r="H24" s="182" t="s">
        <v>1</v>
      </c>
      <c r="I24" s="182">
        <v>2.0</v>
      </c>
      <c r="J24" s="182">
        <v>13.0</v>
      </c>
      <c r="K24" s="182">
        <v>6.0</v>
      </c>
      <c r="L24" s="182">
        <v>9.0</v>
      </c>
      <c r="M24" s="182">
        <v>3.0</v>
      </c>
      <c r="N24" s="182">
        <v>2.0</v>
      </c>
      <c r="O24" s="182">
        <v>1.0</v>
      </c>
      <c r="P24" s="182">
        <v>1.0</v>
      </c>
      <c r="Q24" s="182">
        <v>4.0</v>
      </c>
      <c r="R24" s="182">
        <v>3.0</v>
      </c>
      <c r="S24" s="182">
        <v>9.0</v>
      </c>
      <c r="T24" s="182">
        <v>3.0</v>
      </c>
      <c r="U24" s="182">
        <v>0.0</v>
      </c>
      <c r="V24" s="182">
        <v>0.0</v>
      </c>
      <c r="W24" s="182">
        <v>0.0</v>
      </c>
      <c r="X24" s="182">
        <v>3.0</v>
      </c>
      <c r="Y24" s="182">
        <v>9.0</v>
      </c>
      <c r="Z24" s="182">
        <v>3.0</v>
      </c>
      <c r="AA24" s="182">
        <v>4.0</v>
      </c>
      <c r="AB24" s="182" t="s">
        <v>743</v>
      </c>
      <c r="AC24" s="182" t="s">
        <v>799</v>
      </c>
      <c r="AD24" s="182" t="s">
        <v>805</v>
      </c>
      <c r="AE24" s="182" t="s">
        <v>806</v>
      </c>
      <c r="AF24" s="182" t="s">
        <v>807</v>
      </c>
      <c r="AG24" s="182" t="s">
        <v>41</v>
      </c>
      <c r="AH24" s="182">
        <v>309.0</v>
      </c>
    </row>
    <row r="25">
      <c r="A25" s="182">
        <v>212837.0</v>
      </c>
      <c r="B25" s="182">
        <v>93720.0</v>
      </c>
      <c r="C25" s="182" t="s">
        <v>802</v>
      </c>
      <c r="D25" s="182" t="s">
        <v>38</v>
      </c>
      <c r="E25" s="182">
        <v>5293.0</v>
      </c>
      <c r="F25" s="182" t="s">
        <v>186</v>
      </c>
      <c r="G25" s="182">
        <v>18501.0</v>
      </c>
      <c r="H25" s="182" t="s">
        <v>188</v>
      </c>
      <c r="I25" s="182">
        <v>1.0</v>
      </c>
      <c r="J25" s="182">
        <v>13.0</v>
      </c>
      <c r="K25" s="182">
        <v>8.0</v>
      </c>
      <c r="L25" s="182">
        <v>6.0</v>
      </c>
      <c r="M25" s="182">
        <v>6.0</v>
      </c>
      <c r="N25" s="182">
        <v>1.0</v>
      </c>
      <c r="O25" s="182">
        <v>1.0</v>
      </c>
      <c r="P25" s="182">
        <v>0.0</v>
      </c>
      <c r="Q25" s="182">
        <v>6.0</v>
      </c>
      <c r="R25" s="182">
        <v>6.0</v>
      </c>
      <c r="S25" s="182">
        <v>7.0</v>
      </c>
      <c r="T25" s="182">
        <v>2.0</v>
      </c>
      <c r="U25" s="182">
        <v>1.0</v>
      </c>
      <c r="V25" s="182">
        <v>1.0</v>
      </c>
      <c r="W25" s="182">
        <v>0.0</v>
      </c>
      <c r="X25" s="182">
        <v>2.0</v>
      </c>
      <c r="Y25" s="182">
        <v>7.0</v>
      </c>
      <c r="Z25" s="182">
        <v>6.0</v>
      </c>
      <c r="AA25" s="182">
        <v>6.0</v>
      </c>
      <c r="AB25" s="182" t="s">
        <v>743</v>
      </c>
      <c r="AC25" s="182" t="s">
        <v>799</v>
      </c>
      <c r="AD25" s="182" t="s">
        <v>808</v>
      </c>
      <c r="AE25" s="182" t="s">
        <v>809</v>
      </c>
      <c r="AF25" s="182" t="s">
        <v>794</v>
      </c>
      <c r="AG25" s="182" t="s">
        <v>810</v>
      </c>
      <c r="AH25" s="182">
        <v>309.0</v>
      </c>
    </row>
    <row r="26">
      <c r="A26" s="182">
        <v>212061.0</v>
      </c>
      <c r="B26" s="182">
        <v>93451.0</v>
      </c>
      <c r="C26" s="182" t="s">
        <v>798</v>
      </c>
      <c r="D26" s="182" t="s">
        <v>227</v>
      </c>
      <c r="E26" s="182">
        <v>539.0</v>
      </c>
      <c r="F26" s="182" t="s">
        <v>179</v>
      </c>
      <c r="G26" s="182">
        <v>17952.0</v>
      </c>
      <c r="H26" s="182" t="s">
        <v>1</v>
      </c>
      <c r="I26" s="182">
        <v>1.0</v>
      </c>
      <c r="J26" s="182">
        <v>13.0</v>
      </c>
      <c r="K26" s="182">
        <v>5.0</v>
      </c>
      <c r="L26" s="182">
        <v>8.0</v>
      </c>
      <c r="M26" s="182">
        <v>4.0</v>
      </c>
      <c r="N26" s="182">
        <v>1.0</v>
      </c>
      <c r="O26" s="182">
        <v>0.0</v>
      </c>
      <c r="P26" s="182">
        <v>1.0</v>
      </c>
      <c r="Q26" s="182">
        <v>8.0</v>
      </c>
      <c r="R26" s="182">
        <v>4.0</v>
      </c>
      <c r="S26" s="182">
        <v>5.0</v>
      </c>
      <c r="T26" s="182">
        <v>1.0</v>
      </c>
      <c r="U26" s="182">
        <v>1.0</v>
      </c>
      <c r="V26" s="182">
        <v>0.0</v>
      </c>
      <c r="W26" s="182">
        <v>1.0</v>
      </c>
      <c r="X26" s="182">
        <v>1.0</v>
      </c>
      <c r="Y26" s="182">
        <v>5.0</v>
      </c>
      <c r="Z26" s="182">
        <v>4.0</v>
      </c>
      <c r="AA26" s="182">
        <v>8.0</v>
      </c>
      <c r="AB26" s="182" t="s">
        <v>743</v>
      </c>
      <c r="AC26" s="182" t="s">
        <v>799</v>
      </c>
      <c r="AD26" s="182" t="s">
        <v>811</v>
      </c>
      <c r="AE26" s="182" t="s">
        <v>812</v>
      </c>
      <c r="AF26" s="182" t="s">
        <v>813</v>
      </c>
      <c r="AG26" s="182" t="s">
        <v>37</v>
      </c>
      <c r="AH26" s="182">
        <v>309.0</v>
      </c>
    </row>
    <row r="27">
      <c r="A27" s="182">
        <v>212836.0</v>
      </c>
      <c r="B27" s="182">
        <v>93720.0</v>
      </c>
      <c r="C27" s="182" t="s">
        <v>802</v>
      </c>
      <c r="D27" s="182" t="s">
        <v>32</v>
      </c>
      <c r="E27" s="182">
        <v>5293.0</v>
      </c>
      <c r="F27" s="182" t="s">
        <v>186</v>
      </c>
      <c r="G27" s="182">
        <v>18501.0</v>
      </c>
      <c r="H27" s="182" t="s">
        <v>188</v>
      </c>
      <c r="I27" s="182">
        <v>1.0</v>
      </c>
      <c r="J27" s="182">
        <v>13.0</v>
      </c>
      <c r="K27" s="182">
        <v>8.0</v>
      </c>
      <c r="L27" s="182">
        <v>10.0</v>
      </c>
      <c r="M27" s="182">
        <v>2.0</v>
      </c>
      <c r="N27" s="182">
        <v>1.0</v>
      </c>
      <c r="O27" s="182">
        <v>1.0</v>
      </c>
      <c r="P27" s="182">
        <v>0.0</v>
      </c>
      <c r="Q27" s="182">
        <v>10.0</v>
      </c>
      <c r="R27" s="182">
        <v>2.0</v>
      </c>
      <c r="S27" s="182">
        <v>3.0</v>
      </c>
      <c r="T27" s="182">
        <v>6.0</v>
      </c>
      <c r="U27" s="182">
        <v>1.0</v>
      </c>
      <c r="V27" s="182">
        <v>1.0</v>
      </c>
      <c r="W27" s="182">
        <v>0.0</v>
      </c>
      <c r="X27" s="182">
        <v>6.0</v>
      </c>
      <c r="Y27" s="182">
        <v>3.0</v>
      </c>
      <c r="Z27" s="182">
        <v>2.0</v>
      </c>
      <c r="AA27" s="182">
        <v>10.0</v>
      </c>
      <c r="AB27" s="182" t="s">
        <v>743</v>
      </c>
      <c r="AC27" s="182" t="s">
        <v>799</v>
      </c>
      <c r="AD27" s="182" t="s">
        <v>814</v>
      </c>
      <c r="AE27" s="182" t="s">
        <v>815</v>
      </c>
      <c r="AF27" s="182" t="s">
        <v>816</v>
      </c>
      <c r="AG27" s="182" t="s">
        <v>751</v>
      </c>
      <c r="AH27" s="182">
        <v>309.0</v>
      </c>
    </row>
    <row r="28">
      <c r="A28" s="182">
        <v>212070.0</v>
      </c>
      <c r="B28" s="182">
        <v>93452.0</v>
      </c>
      <c r="C28" s="182" t="s">
        <v>798</v>
      </c>
      <c r="D28" s="182" t="s">
        <v>34</v>
      </c>
      <c r="E28" s="182">
        <v>17869.0</v>
      </c>
      <c r="F28" s="182" t="s">
        <v>190</v>
      </c>
      <c r="G28" s="182">
        <v>17952.0</v>
      </c>
      <c r="H28" s="182" t="s">
        <v>1</v>
      </c>
      <c r="I28" s="182">
        <v>1.0</v>
      </c>
      <c r="J28" s="182">
        <v>8.0</v>
      </c>
      <c r="K28" s="182">
        <v>13.0</v>
      </c>
      <c r="L28" s="182">
        <v>7.0</v>
      </c>
      <c r="M28" s="182">
        <v>5.0</v>
      </c>
      <c r="N28" s="182">
        <v>1.0</v>
      </c>
      <c r="O28" s="182">
        <v>1.0</v>
      </c>
      <c r="P28" s="182">
        <v>0.0</v>
      </c>
      <c r="Q28" s="182">
        <v>7.0</v>
      </c>
      <c r="R28" s="182">
        <v>5.0</v>
      </c>
      <c r="S28" s="182">
        <v>1.0</v>
      </c>
      <c r="T28" s="182">
        <v>8.0</v>
      </c>
      <c r="U28" s="182">
        <v>1.0</v>
      </c>
      <c r="V28" s="182">
        <v>1.0</v>
      </c>
      <c r="W28" s="182">
        <v>0.0</v>
      </c>
      <c r="X28" s="182">
        <v>8.0</v>
      </c>
      <c r="Y28" s="182">
        <v>1.0</v>
      </c>
      <c r="Z28" s="182">
        <v>5.0</v>
      </c>
      <c r="AA28" s="182">
        <v>7.0</v>
      </c>
      <c r="AB28" s="182" t="s">
        <v>743</v>
      </c>
      <c r="AC28" s="182" t="s">
        <v>817</v>
      </c>
      <c r="AD28" s="182" t="s">
        <v>818</v>
      </c>
      <c r="AE28" s="182" t="s">
        <v>819</v>
      </c>
      <c r="AF28" s="182" t="s">
        <v>756</v>
      </c>
      <c r="AG28" s="182" t="s">
        <v>33</v>
      </c>
      <c r="AH28" s="182">
        <v>309.0</v>
      </c>
    </row>
    <row r="29">
      <c r="A29" s="182">
        <v>212069.0</v>
      </c>
      <c r="B29" s="182">
        <v>93452.0</v>
      </c>
      <c r="C29" s="182" t="s">
        <v>798</v>
      </c>
      <c r="D29" s="182" t="s">
        <v>38</v>
      </c>
      <c r="E29" s="182">
        <v>17869.0</v>
      </c>
      <c r="F29" s="182" t="s">
        <v>190</v>
      </c>
      <c r="G29" s="182">
        <v>17952.0</v>
      </c>
      <c r="H29" s="182" t="s">
        <v>1</v>
      </c>
      <c r="I29" s="182">
        <v>2.0</v>
      </c>
      <c r="J29" s="182">
        <v>5.0</v>
      </c>
      <c r="K29" s="182">
        <v>13.0</v>
      </c>
      <c r="L29" s="182">
        <v>4.0</v>
      </c>
      <c r="M29" s="182">
        <v>8.0</v>
      </c>
      <c r="N29" s="182">
        <v>0.0</v>
      </c>
      <c r="O29" s="182">
        <v>0.0</v>
      </c>
      <c r="P29" s="182">
        <v>0.0</v>
      </c>
      <c r="Q29" s="182">
        <v>1.0</v>
      </c>
      <c r="R29" s="182">
        <v>5.0</v>
      </c>
      <c r="S29" s="182">
        <v>4.0</v>
      </c>
      <c r="T29" s="182">
        <v>8.0</v>
      </c>
      <c r="U29" s="182">
        <v>2.0</v>
      </c>
      <c r="V29" s="182">
        <v>1.0</v>
      </c>
      <c r="W29" s="182">
        <v>1.0</v>
      </c>
      <c r="X29" s="182">
        <v>8.0</v>
      </c>
      <c r="Y29" s="182">
        <v>4.0</v>
      </c>
      <c r="Z29" s="182">
        <v>5.0</v>
      </c>
      <c r="AA29" s="182">
        <v>1.0</v>
      </c>
      <c r="AB29" s="182" t="s">
        <v>743</v>
      </c>
      <c r="AC29" s="182" t="s">
        <v>817</v>
      </c>
      <c r="AD29" s="182" t="s">
        <v>820</v>
      </c>
      <c r="AE29" s="182" t="s">
        <v>812</v>
      </c>
      <c r="AF29" s="182" t="s">
        <v>794</v>
      </c>
      <c r="AG29" s="182" t="s">
        <v>37</v>
      </c>
      <c r="AH29" s="182">
        <v>309.0</v>
      </c>
    </row>
    <row r="30">
      <c r="A30" s="182">
        <v>212722.0</v>
      </c>
      <c r="B30" s="182">
        <v>93686.0</v>
      </c>
      <c r="C30" s="182" t="s">
        <v>821</v>
      </c>
      <c r="D30" s="182" t="s">
        <v>32</v>
      </c>
      <c r="E30" s="182">
        <v>9369.0</v>
      </c>
      <c r="F30" s="182" t="s">
        <v>232</v>
      </c>
      <c r="G30" s="182">
        <v>5652.0</v>
      </c>
      <c r="H30" s="182" t="s">
        <v>189</v>
      </c>
      <c r="I30" s="182">
        <v>1.0</v>
      </c>
      <c r="J30" s="182">
        <v>13.0</v>
      </c>
      <c r="K30" s="182">
        <v>7.0</v>
      </c>
      <c r="L30" s="182">
        <v>8.0</v>
      </c>
      <c r="M30" s="182">
        <v>4.0</v>
      </c>
      <c r="N30" s="182">
        <v>2.0</v>
      </c>
      <c r="O30" s="182">
        <v>1.0</v>
      </c>
      <c r="P30" s="182">
        <v>1.0</v>
      </c>
      <c r="Q30" s="182">
        <v>8.0</v>
      </c>
      <c r="R30" s="182">
        <v>4.0</v>
      </c>
      <c r="S30" s="182">
        <v>5.0</v>
      </c>
      <c r="T30" s="182">
        <v>3.0</v>
      </c>
      <c r="U30" s="182">
        <v>0.0</v>
      </c>
      <c r="V30" s="182">
        <v>0.0</v>
      </c>
      <c r="W30" s="182">
        <v>0.0</v>
      </c>
      <c r="X30" s="182">
        <v>3.0</v>
      </c>
      <c r="Y30" s="182">
        <v>5.0</v>
      </c>
      <c r="Z30" s="182">
        <v>4.0</v>
      </c>
      <c r="AA30" s="182">
        <v>8.0</v>
      </c>
      <c r="AB30" s="182" t="s">
        <v>743</v>
      </c>
      <c r="AC30" s="182" t="s">
        <v>817</v>
      </c>
      <c r="AD30" s="182" t="s">
        <v>822</v>
      </c>
      <c r="AE30" s="182" t="s">
        <v>823</v>
      </c>
      <c r="AF30" s="182" t="s">
        <v>816</v>
      </c>
      <c r="AG30" s="182" t="s">
        <v>31</v>
      </c>
      <c r="AH30" s="182">
        <v>309.0</v>
      </c>
    </row>
    <row r="31">
      <c r="A31" s="182">
        <v>212068.0</v>
      </c>
      <c r="B31" s="182">
        <v>93452.0</v>
      </c>
      <c r="C31" s="182" t="s">
        <v>798</v>
      </c>
      <c r="D31" s="182" t="s">
        <v>40</v>
      </c>
      <c r="E31" s="182">
        <v>17869.0</v>
      </c>
      <c r="F31" s="182" t="s">
        <v>190</v>
      </c>
      <c r="G31" s="182">
        <v>17952.0</v>
      </c>
      <c r="H31" s="182" t="s">
        <v>1</v>
      </c>
      <c r="I31" s="182">
        <v>1.0</v>
      </c>
      <c r="J31" s="182">
        <v>13.0</v>
      </c>
      <c r="K31" s="182">
        <v>10.0</v>
      </c>
      <c r="L31" s="182">
        <v>6.0</v>
      </c>
      <c r="M31" s="182">
        <v>6.0</v>
      </c>
      <c r="N31" s="182">
        <v>0.0</v>
      </c>
      <c r="O31" s="182">
        <v>0.0</v>
      </c>
      <c r="P31" s="182">
        <v>0.0</v>
      </c>
      <c r="Q31" s="182">
        <v>6.0</v>
      </c>
      <c r="R31" s="182">
        <v>6.0</v>
      </c>
      <c r="S31" s="182">
        <v>7.0</v>
      </c>
      <c r="T31" s="182">
        <v>4.0</v>
      </c>
      <c r="U31" s="182">
        <v>2.0</v>
      </c>
      <c r="V31" s="182">
        <v>1.0</v>
      </c>
      <c r="W31" s="182">
        <v>1.0</v>
      </c>
      <c r="X31" s="182">
        <v>4.0</v>
      </c>
      <c r="Y31" s="182">
        <v>7.0</v>
      </c>
      <c r="Z31" s="182">
        <v>6.0</v>
      </c>
      <c r="AA31" s="182">
        <v>6.0</v>
      </c>
      <c r="AB31" s="182" t="s">
        <v>743</v>
      </c>
      <c r="AC31" s="182" t="s">
        <v>817</v>
      </c>
      <c r="AD31" s="182" t="s">
        <v>824</v>
      </c>
      <c r="AE31" s="182" t="s">
        <v>825</v>
      </c>
      <c r="AF31" s="182" t="s">
        <v>777</v>
      </c>
      <c r="AG31" s="182" t="s">
        <v>39</v>
      </c>
      <c r="AH31" s="182">
        <v>309.0</v>
      </c>
    </row>
    <row r="32">
      <c r="A32" s="182">
        <v>212721.0</v>
      </c>
      <c r="B32" s="182">
        <v>93686.0</v>
      </c>
      <c r="C32" s="182" t="s">
        <v>821</v>
      </c>
      <c r="D32" s="182" t="s">
        <v>227</v>
      </c>
      <c r="E32" s="182">
        <v>9369.0</v>
      </c>
      <c r="F32" s="182" t="s">
        <v>232</v>
      </c>
      <c r="G32" s="182">
        <v>5652.0</v>
      </c>
      <c r="H32" s="182" t="s">
        <v>189</v>
      </c>
      <c r="I32" s="182">
        <v>2.0</v>
      </c>
      <c r="J32" s="182">
        <v>13.0</v>
      </c>
      <c r="K32" s="182">
        <v>7.0</v>
      </c>
      <c r="L32" s="182">
        <v>7.0</v>
      </c>
      <c r="M32" s="182">
        <v>5.0</v>
      </c>
      <c r="N32" s="182">
        <v>0.0</v>
      </c>
      <c r="O32" s="182">
        <v>0.0</v>
      </c>
      <c r="P32" s="182">
        <v>0.0</v>
      </c>
      <c r="Q32" s="182">
        <v>6.0</v>
      </c>
      <c r="R32" s="182">
        <v>2.0</v>
      </c>
      <c r="S32" s="182">
        <v>7.0</v>
      </c>
      <c r="T32" s="182">
        <v>5.0</v>
      </c>
      <c r="U32" s="182">
        <v>2.0</v>
      </c>
      <c r="V32" s="182">
        <v>1.0</v>
      </c>
      <c r="W32" s="182">
        <v>1.0</v>
      </c>
      <c r="X32" s="182">
        <v>5.0</v>
      </c>
      <c r="Y32" s="182">
        <v>7.0</v>
      </c>
      <c r="Z32" s="182">
        <v>2.0</v>
      </c>
      <c r="AA32" s="182">
        <v>6.0</v>
      </c>
      <c r="AB32" s="182" t="s">
        <v>743</v>
      </c>
      <c r="AC32" s="182" t="s">
        <v>817</v>
      </c>
      <c r="AD32" s="182" t="s">
        <v>826</v>
      </c>
      <c r="AE32" s="182" t="s">
        <v>827</v>
      </c>
      <c r="AF32" s="182" t="s">
        <v>828</v>
      </c>
      <c r="AG32" s="182" t="s">
        <v>829</v>
      </c>
      <c r="AH32" s="182">
        <v>309.0</v>
      </c>
    </row>
    <row r="33">
      <c r="A33" s="182">
        <v>213390.0</v>
      </c>
      <c r="B33" s="182">
        <v>93910.0</v>
      </c>
      <c r="C33" s="182" t="s">
        <v>830</v>
      </c>
      <c r="D33" s="182" t="s">
        <v>42</v>
      </c>
      <c r="E33" s="182">
        <v>14291.0</v>
      </c>
      <c r="F33" s="182" t="s">
        <v>183</v>
      </c>
      <c r="G33" s="182">
        <v>6415.0</v>
      </c>
      <c r="H33" s="182" t="s">
        <v>180</v>
      </c>
      <c r="I33" s="182">
        <v>1.0</v>
      </c>
      <c r="J33" s="182">
        <v>6.0</v>
      </c>
      <c r="K33" s="182">
        <v>13.0</v>
      </c>
      <c r="L33" s="182">
        <v>3.0</v>
      </c>
      <c r="M33" s="182">
        <v>9.0</v>
      </c>
      <c r="N33" s="182">
        <v>2.0</v>
      </c>
      <c r="O33" s="182">
        <v>1.0</v>
      </c>
      <c r="P33" s="182">
        <v>1.0</v>
      </c>
      <c r="Q33" s="182">
        <v>3.0</v>
      </c>
      <c r="R33" s="182">
        <v>9.0</v>
      </c>
      <c r="S33" s="182">
        <v>3.0</v>
      </c>
      <c r="T33" s="182">
        <v>4.0</v>
      </c>
      <c r="U33" s="182">
        <v>0.0</v>
      </c>
      <c r="V33" s="182">
        <v>0.0</v>
      </c>
      <c r="W33" s="182">
        <v>0.0</v>
      </c>
      <c r="X33" s="182">
        <v>4.0</v>
      </c>
      <c r="Y33" s="182">
        <v>3.0</v>
      </c>
      <c r="Z33" s="182">
        <v>9.0</v>
      </c>
      <c r="AA33" s="182">
        <v>3.0</v>
      </c>
      <c r="AB33" s="182" t="s">
        <v>743</v>
      </c>
      <c r="AC33" s="182" t="s">
        <v>817</v>
      </c>
      <c r="AD33" s="182" t="s">
        <v>831</v>
      </c>
      <c r="AE33" s="182" t="s">
        <v>832</v>
      </c>
      <c r="AF33" s="182" t="s">
        <v>833</v>
      </c>
      <c r="AG33" s="182" t="s">
        <v>834</v>
      </c>
      <c r="AH33" s="182">
        <v>309.0</v>
      </c>
    </row>
    <row r="34">
      <c r="A34" s="182">
        <v>212720.0</v>
      </c>
      <c r="B34" s="182">
        <v>93686.0</v>
      </c>
      <c r="C34" s="182" t="s">
        <v>821</v>
      </c>
      <c r="D34" s="182" t="s">
        <v>36</v>
      </c>
      <c r="E34" s="182">
        <v>9369.0</v>
      </c>
      <c r="F34" s="182" t="s">
        <v>232</v>
      </c>
      <c r="G34" s="182">
        <v>5652.0</v>
      </c>
      <c r="H34" s="182" t="s">
        <v>189</v>
      </c>
      <c r="I34" s="182">
        <v>1.0</v>
      </c>
      <c r="J34" s="182">
        <v>13.0</v>
      </c>
      <c r="K34" s="182">
        <v>4.0</v>
      </c>
      <c r="L34" s="182">
        <v>10.0</v>
      </c>
      <c r="M34" s="182">
        <v>2.0</v>
      </c>
      <c r="N34" s="182">
        <v>2.0</v>
      </c>
      <c r="O34" s="182">
        <v>1.0</v>
      </c>
      <c r="P34" s="182">
        <v>1.0</v>
      </c>
      <c r="Q34" s="182">
        <v>10.0</v>
      </c>
      <c r="R34" s="182">
        <v>2.0</v>
      </c>
      <c r="S34" s="182">
        <v>3.0</v>
      </c>
      <c r="T34" s="182">
        <v>2.0</v>
      </c>
      <c r="U34" s="182">
        <v>0.0</v>
      </c>
      <c r="V34" s="182">
        <v>0.0</v>
      </c>
      <c r="W34" s="182">
        <v>0.0</v>
      </c>
      <c r="X34" s="182">
        <v>2.0</v>
      </c>
      <c r="Y34" s="182">
        <v>3.0</v>
      </c>
      <c r="Z34" s="182">
        <v>2.0</v>
      </c>
      <c r="AA34" s="182">
        <v>10.0</v>
      </c>
      <c r="AB34" s="182" t="s">
        <v>743</v>
      </c>
      <c r="AC34" s="182" t="s">
        <v>817</v>
      </c>
      <c r="AD34" s="182" t="s">
        <v>835</v>
      </c>
      <c r="AE34" s="182" t="s">
        <v>827</v>
      </c>
      <c r="AF34" s="182" t="s">
        <v>836</v>
      </c>
      <c r="AG34" s="182" t="s">
        <v>837</v>
      </c>
      <c r="AH34" s="182">
        <v>309.0</v>
      </c>
    </row>
    <row r="35">
      <c r="A35" s="182">
        <v>212067.0</v>
      </c>
      <c r="B35" s="182">
        <v>93452.0</v>
      </c>
      <c r="C35" s="182" t="s">
        <v>798</v>
      </c>
      <c r="D35" s="182" t="s">
        <v>42</v>
      </c>
      <c r="E35" s="182">
        <v>17869.0</v>
      </c>
      <c r="F35" s="182" t="s">
        <v>190</v>
      </c>
      <c r="G35" s="182">
        <v>17952.0</v>
      </c>
      <c r="H35" s="182" t="s">
        <v>1</v>
      </c>
      <c r="I35" s="182">
        <v>2.0</v>
      </c>
      <c r="J35" s="182">
        <v>13.0</v>
      </c>
      <c r="K35" s="182">
        <v>15.0</v>
      </c>
      <c r="L35" s="182">
        <v>7.0</v>
      </c>
      <c r="M35" s="182">
        <v>5.0</v>
      </c>
      <c r="N35" s="182">
        <v>1.0</v>
      </c>
      <c r="O35" s="182">
        <v>0.0</v>
      </c>
      <c r="P35" s="182">
        <v>1.0</v>
      </c>
      <c r="Q35" s="182">
        <v>5.0</v>
      </c>
      <c r="R35" s="182">
        <v>9.0</v>
      </c>
      <c r="S35" s="182">
        <v>8.0</v>
      </c>
      <c r="T35" s="182">
        <v>6.0</v>
      </c>
      <c r="U35" s="182">
        <v>1.0</v>
      </c>
      <c r="V35" s="182">
        <v>0.0</v>
      </c>
      <c r="W35" s="182">
        <v>1.0</v>
      </c>
      <c r="X35" s="182">
        <v>6.0</v>
      </c>
      <c r="Y35" s="182">
        <v>8.0</v>
      </c>
      <c r="Z35" s="182">
        <v>9.0</v>
      </c>
      <c r="AA35" s="182">
        <v>5.0</v>
      </c>
      <c r="AB35" s="182" t="s">
        <v>743</v>
      </c>
      <c r="AC35" s="182" t="s">
        <v>817</v>
      </c>
      <c r="AD35" s="182" t="s">
        <v>838</v>
      </c>
      <c r="AE35" s="182" t="s">
        <v>806</v>
      </c>
      <c r="AF35" s="182" t="s">
        <v>839</v>
      </c>
      <c r="AG35" s="182" t="s">
        <v>41</v>
      </c>
      <c r="AH35" s="182">
        <v>309.0</v>
      </c>
    </row>
    <row r="36">
      <c r="A36" s="182">
        <v>213389.0</v>
      </c>
      <c r="B36" s="182">
        <v>93910.0</v>
      </c>
      <c r="C36" s="182" t="s">
        <v>830</v>
      </c>
      <c r="D36" s="182" t="s">
        <v>36</v>
      </c>
      <c r="E36" s="182">
        <v>14291.0</v>
      </c>
      <c r="F36" s="182" t="s">
        <v>183</v>
      </c>
      <c r="G36" s="182">
        <v>6415.0</v>
      </c>
      <c r="H36" s="182" t="s">
        <v>180</v>
      </c>
      <c r="I36" s="182">
        <v>1.0</v>
      </c>
      <c r="J36" s="182">
        <v>8.0</v>
      </c>
      <c r="K36" s="182">
        <v>13.0</v>
      </c>
      <c r="L36" s="182">
        <v>4.0</v>
      </c>
      <c r="M36" s="182">
        <v>8.0</v>
      </c>
      <c r="N36" s="182">
        <v>0.0</v>
      </c>
      <c r="O36" s="182">
        <v>0.0</v>
      </c>
      <c r="P36" s="182">
        <v>0.0</v>
      </c>
      <c r="Q36" s="182">
        <v>4.0</v>
      </c>
      <c r="R36" s="182">
        <v>8.0</v>
      </c>
      <c r="S36" s="182">
        <v>4.0</v>
      </c>
      <c r="T36" s="182">
        <v>5.0</v>
      </c>
      <c r="U36" s="182">
        <v>2.0</v>
      </c>
      <c r="V36" s="182">
        <v>1.0</v>
      </c>
      <c r="W36" s="182">
        <v>1.0</v>
      </c>
      <c r="X36" s="182">
        <v>5.0</v>
      </c>
      <c r="Y36" s="182">
        <v>4.0</v>
      </c>
      <c r="Z36" s="182">
        <v>8.0</v>
      </c>
      <c r="AA36" s="182">
        <v>4.0</v>
      </c>
      <c r="AB36" s="182" t="s">
        <v>743</v>
      </c>
      <c r="AC36" s="182" t="s">
        <v>817</v>
      </c>
      <c r="AD36" s="182" t="s">
        <v>840</v>
      </c>
      <c r="AE36" s="182" t="s">
        <v>841</v>
      </c>
      <c r="AF36" s="182" t="s">
        <v>836</v>
      </c>
      <c r="AG36" s="182" t="s">
        <v>842</v>
      </c>
      <c r="AH36" s="182">
        <v>309.0</v>
      </c>
    </row>
    <row r="37">
      <c r="A37" s="182">
        <v>212066.0</v>
      </c>
      <c r="B37" s="182">
        <v>93452.0</v>
      </c>
      <c r="C37" s="182" t="s">
        <v>798</v>
      </c>
      <c r="D37" s="182" t="s">
        <v>32</v>
      </c>
      <c r="E37" s="182">
        <v>17869.0</v>
      </c>
      <c r="F37" s="182" t="s">
        <v>190</v>
      </c>
      <c r="G37" s="182">
        <v>17952.0</v>
      </c>
      <c r="H37" s="182" t="s">
        <v>1</v>
      </c>
      <c r="I37" s="182">
        <v>2.0</v>
      </c>
      <c r="J37" s="182">
        <v>13.0</v>
      </c>
      <c r="K37" s="182">
        <v>11.0</v>
      </c>
      <c r="L37" s="182">
        <v>7.0</v>
      </c>
      <c r="M37" s="182">
        <v>5.0</v>
      </c>
      <c r="N37" s="182">
        <v>2.0</v>
      </c>
      <c r="O37" s="182">
        <v>1.0</v>
      </c>
      <c r="P37" s="182">
        <v>1.0</v>
      </c>
      <c r="Q37" s="182">
        <v>6.0</v>
      </c>
      <c r="R37" s="182">
        <v>6.0</v>
      </c>
      <c r="S37" s="182">
        <v>7.0</v>
      </c>
      <c r="T37" s="182">
        <v>5.0</v>
      </c>
      <c r="U37" s="182">
        <v>0.0</v>
      </c>
      <c r="V37" s="182">
        <v>0.0</v>
      </c>
      <c r="W37" s="182">
        <v>0.0</v>
      </c>
      <c r="X37" s="182">
        <v>5.0</v>
      </c>
      <c r="Y37" s="182">
        <v>7.0</v>
      </c>
      <c r="Z37" s="182">
        <v>6.0</v>
      </c>
      <c r="AA37" s="182">
        <v>6.0</v>
      </c>
      <c r="AB37" s="182" t="s">
        <v>743</v>
      </c>
      <c r="AC37" s="182" t="s">
        <v>817</v>
      </c>
      <c r="AD37" s="182" t="s">
        <v>820</v>
      </c>
      <c r="AE37" s="182" t="s">
        <v>801</v>
      </c>
      <c r="AF37" s="182" t="s">
        <v>31</v>
      </c>
      <c r="AG37" s="182" t="s">
        <v>31</v>
      </c>
      <c r="AH37" s="182">
        <v>309.0</v>
      </c>
    </row>
    <row r="38">
      <c r="A38" s="182">
        <v>213388.0</v>
      </c>
      <c r="B38" s="182">
        <v>93910.0</v>
      </c>
      <c r="C38" s="182" t="s">
        <v>830</v>
      </c>
      <c r="D38" s="182" t="s">
        <v>34</v>
      </c>
      <c r="E38" s="182">
        <v>14291.0</v>
      </c>
      <c r="F38" s="182" t="s">
        <v>183</v>
      </c>
      <c r="G38" s="182">
        <v>6415.0</v>
      </c>
      <c r="H38" s="182" t="s">
        <v>180</v>
      </c>
      <c r="I38" s="182">
        <v>1.0</v>
      </c>
      <c r="J38" s="182">
        <v>12.0</v>
      </c>
      <c r="K38" s="182">
        <v>14.0</v>
      </c>
      <c r="L38" s="182">
        <v>7.0</v>
      </c>
      <c r="M38" s="182">
        <v>5.0</v>
      </c>
      <c r="N38" s="182">
        <v>2.0</v>
      </c>
      <c r="O38" s="182">
        <v>1.0</v>
      </c>
      <c r="P38" s="182">
        <v>1.0</v>
      </c>
      <c r="Q38" s="182">
        <v>7.0</v>
      </c>
      <c r="R38" s="182">
        <v>6.0</v>
      </c>
      <c r="S38" s="182">
        <v>5.0</v>
      </c>
      <c r="T38" s="182">
        <v>8.0</v>
      </c>
      <c r="U38" s="182">
        <v>0.0</v>
      </c>
      <c r="V38" s="182">
        <v>0.0</v>
      </c>
      <c r="W38" s="182">
        <v>0.0</v>
      </c>
      <c r="X38" s="182">
        <v>8.0</v>
      </c>
      <c r="Y38" s="182">
        <v>5.0</v>
      </c>
      <c r="Z38" s="182">
        <v>6.0</v>
      </c>
      <c r="AA38" s="182">
        <v>7.0</v>
      </c>
      <c r="AB38" s="182" t="s">
        <v>743</v>
      </c>
      <c r="AC38" s="182" t="s">
        <v>817</v>
      </c>
      <c r="AD38" s="182" t="s">
        <v>843</v>
      </c>
      <c r="AE38" s="182" t="s">
        <v>844</v>
      </c>
      <c r="AF38" s="182" t="s">
        <v>845</v>
      </c>
      <c r="AG38" s="182" t="s">
        <v>756</v>
      </c>
      <c r="AH38" s="182">
        <v>309.0</v>
      </c>
    </row>
    <row r="39">
      <c r="A39" s="182">
        <v>212490.0</v>
      </c>
      <c r="B39" s="182">
        <v>93599.0</v>
      </c>
      <c r="C39" s="182" t="s">
        <v>830</v>
      </c>
      <c r="D39" s="182" t="s">
        <v>32</v>
      </c>
      <c r="E39" s="182">
        <v>6415.0</v>
      </c>
      <c r="F39" s="182" t="s">
        <v>180</v>
      </c>
      <c r="G39" s="182">
        <v>7033.0</v>
      </c>
      <c r="H39" s="182" t="s">
        <v>465</v>
      </c>
      <c r="I39" s="182">
        <v>1.0</v>
      </c>
      <c r="J39" s="182">
        <v>13.0</v>
      </c>
      <c r="K39" s="182">
        <v>5.0</v>
      </c>
      <c r="L39" s="182">
        <v>9.0</v>
      </c>
      <c r="M39" s="182">
        <v>3.0</v>
      </c>
      <c r="N39" s="182">
        <v>2.0</v>
      </c>
      <c r="O39" s="182">
        <v>1.0</v>
      </c>
      <c r="P39" s="182">
        <v>1.0</v>
      </c>
      <c r="Q39" s="182">
        <v>9.0</v>
      </c>
      <c r="R39" s="182">
        <v>3.0</v>
      </c>
      <c r="S39" s="182">
        <v>4.0</v>
      </c>
      <c r="T39" s="182">
        <v>2.0</v>
      </c>
      <c r="U39" s="182">
        <v>0.0</v>
      </c>
      <c r="V39" s="182">
        <v>0.0</v>
      </c>
      <c r="W39" s="182">
        <v>0.0</v>
      </c>
      <c r="X39" s="182">
        <v>2.0</v>
      </c>
      <c r="Y39" s="182">
        <v>4.0</v>
      </c>
      <c r="Z39" s="182">
        <v>3.0</v>
      </c>
      <c r="AA39" s="182">
        <v>9.0</v>
      </c>
      <c r="AB39" s="182" t="s">
        <v>743</v>
      </c>
      <c r="AC39" s="182" t="s">
        <v>846</v>
      </c>
      <c r="AD39" s="182" t="s">
        <v>847</v>
      </c>
      <c r="AE39" s="182" t="s">
        <v>848</v>
      </c>
      <c r="AF39" s="182" t="s">
        <v>31</v>
      </c>
      <c r="AG39" s="182" t="s">
        <v>752</v>
      </c>
      <c r="AH39" s="182">
        <v>309.0</v>
      </c>
    </row>
    <row r="40">
      <c r="A40" s="182">
        <v>212489.0</v>
      </c>
      <c r="B40" s="182">
        <v>93599.0</v>
      </c>
      <c r="C40" s="182" t="s">
        <v>830</v>
      </c>
      <c r="D40" s="182" t="s">
        <v>42</v>
      </c>
      <c r="E40" s="182">
        <v>6415.0</v>
      </c>
      <c r="F40" s="182" t="s">
        <v>180</v>
      </c>
      <c r="G40" s="182">
        <v>7033.0</v>
      </c>
      <c r="H40" s="182" t="s">
        <v>465</v>
      </c>
      <c r="I40" s="182">
        <v>2.0</v>
      </c>
      <c r="J40" s="182">
        <v>13.0</v>
      </c>
      <c r="K40" s="182">
        <v>11.0</v>
      </c>
      <c r="L40" s="182">
        <v>7.0</v>
      </c>
      <c r="M40" s="182">
        <v>5.0</v>
      </c>
      <c r="N40" s="182">
        <v>2.0</v>
      </c>
      <c r="O40" s="182">
        <v>1.0</v>
      </c>
      <c r="P40" s="182">
        <v>1.0</v>
      </c>
      <c r="Q40" s="182">
        <v>6.0</v>
      </c>
      <c r="R40" s="182">
        <v>6.0</v>
      </c>
      <c r="S40" s="182">
        <v>7.0</v>
      </c>
      <c r="T40" s="182">
        <v>5.0</v>
      </c>
      <c r="U40" s="182">
        <v>0.0</v>
      </c>
      <c r="V40" s="182">
        <v>0.0</v>
      </c>
      <c r="W40" s="182">
        <v>0.0</v>
      </c>
      <c r="X40" s="182">
        <v>5.0</v>
      </c>
      <c r="Y40" s="182">
        <v>7.0</v>
      </c>
      <c r="Z40" s="182">
        <v>6.0</v>
      </c>
      <c r="AA40" s="182">
        <v>6.0</v>
      </c>
      <c r="AB40" s="182" t="s">
        <v>743</v>
      </c>
      <c r="AC40" s="182" t="s">
        <v>846</v>
      </c>
      <c r="AD40" s="182" t="s">
        <v>832</v>
      </c>
      <c r="AE40" s="182" t="s">
        <v>849</v>
      </c>
      <c r="AF40" s="182" t="s">
        <v>834</v>
      </c>
      <c r="AG40" s="182" t="s">
        <v>850</v>
      </c>
      <c r="AH40" s="182">
        <v>309.0</v>
      </c>
    </row>
    <row r="41">
      <c r="A41" s="182">
        <v>212487.0</v>
      </c>
      <c r="B41" s="182">
        <v>93598.0</v>
      </c>
      <c r="C41" s="182" t="s">
        <v>830</v>
      </c>
      <c r="D41" s="182" t="s">
        <v>38</v>
      </c>
      <c r="E41" s="182">
        <v>14291.0</v>
      </c>
      <c r="F41" s="182" t="s">
        <v>183</v>
      </c>
      <c r="G41" s="182">
        <v>5439.0</v>
      </c>
      <c r="H41" s="182" t="s">
        <v>400</v>
      </c>
      <c r="I41" s="182">
        <v>2.0</v>
      </c>
      <c r="J41" s="182">
        <v>13.0</v>
      </c>
      <c r="K41" s="182">
        <v>7.0</v>
      </c>
      <c r="L41" s="182">
        <v>9.0</v>
      </c>
      <c r="M41" s="182">
        <v>3.0</v>
      </c>
      <c r="N41" s="182">
        <v>1.0</v>
      </c>
      <c r="O41" s="182">
        <v>0.0</v>
      </c>
      <c r="P41" s="182">
        <v>1.0</v>
      </c>
      <c r="Q41" s="182">
        <v>4.0</v>
      </c>
      <c r="R41" s="182">
        <v>4.0</v>
      </c>
      <c r="S41" s="182">
        <v>9.0</v>
      </c>
      <c r="T41" s="182">
        <v>3.0</v>
      </c>
      <c r="U41" s="182">
        <v>1.0</v>
      </c>
      <c r="V41" s="182">
        <v>0.0</v>
      </c>
      <c r="W41" s="182">
        <v>1.0</v>
      </c>
      <c r="X41" s="182">
        <v>3.0</v>
      </c>
      <c r="Y41" s="182">
        <v>9.0</v>
      </c>
      <c r="Z41" s="182">
        <v>4.0</v>
      </c>
      <c r="AA41" s="182">
        <v>4.0</v>
      </c>
      <c r="AB41" s="182" t="s">
        <v>743</v>
      </c>
      <c r="AC41" s="182" t="s">
        <v>846</v>
      </c>
      <c r="AD41" s="182" t="s">
        <v>851</v>
      </c>
      <c r="AE41" s="182" t="s">
        <v>852</v>
      </c>
      <c r="AF41" s="182" t="s">
        <v>853</v>
      </c>
      <c r="AG41" s="182" t="s">
        <v>751</v>
      </c>
      <c r="AH41" s="182">
        <v>309.0</v>
      </c>
    </row>
    <row r="42">
      <c r="A42" s="182">
        <v>212486.0</v>
      </c>
      <c r="B42" s="182">
        <v>93598.0</v>
      </c>
      <c r="C42" s="182" t="s">
        <v>830</v>
      </c>
      <c r="D42" s="182" t="s">
        <v>34</v>
      </c>
      <c r="E42" s="182">
        <v>14291.0</v>
      </c>
      <c r="F42" s="182" t="s">
        <v>183</v>
      </c>
      <c r="G42" s="182">
        <v>5439.0</v>
      </c>
      <c r="H42" s="182" t="s">
        <v>400</v>
      </c>
      <c r="I42" s="182">
        <v>2.0</v>
      </c>
      <c r="J42" s="182">
        <v>13.0</v>
      </c>
      <c r="K42" s="182">
        <v>6.0</v>
      </c>
      <c r="L42" s="182">
        <v>8.0</v>
      </c>
      <c r="M42" s="182">
        <v>4.0</v>
      </c>
      <c r="N42" s="182">
        <v>2.0</v>
      </c>
      <c r="O42" s="182">
        <v>1.0</v>
      </c>
      <c r="P42" s="182">
        <v>1.0</v>
      </c>
      <c r="Q42" s="182">
        <v>5.0</v>
      </c>
      <c r="R42" s="182">
        <v>2.0</v>
      </c>
      <c r="S42" s="182">
        <v>8.0</v>
      </c>
      <c r="T42" s="182">
        <v>4.0</v>
      </c>
      <c r="U42" s="182">
        <v>0.0</v>
      </c>
      <c r="V42" s="182">
        <v>0.0</v>
      </c>
      <c r="W42" s="182">
        <v>0.0</v>
      </c>
      <c r="X42" s="182">
        <v>4.0</v>
      </c>
      <c r="Y42" s="182">
        <v>8.0</v>
      </c>
      <c r="Z42" s="182">
        <v>2.0</v>
      </c>
      <c r="AA42" s="182">
        <v>5.0</v>
      </c>
      <c r="AB42" s="182" t="s">
        <v>743</v>
      </c>
      <c r="AC42" s="182" t="s">
        <v>846</v>
      </c>
      <c r="AD42" s="182" t="s">
        <v>843</v>
      </c>
      <c r="AE42" s="182" t="s">
        <v>854</v>
      </c>
      <c r="AF42" s="182" t="s">
        <v>845</v>
      </c>
      <c r="AG42" s="182" t="s">
        <v>782</v>
      </c>
      <c r="AH42" s="182">
        <v>309.0</v>
      </c>
    </row>
    <row r="43">
      <c r="A43" s="182">
        <v>212729.0</v>
      </c>
      <c r="B43" s="182">
        <v>93687.0</v>
      </c>
      <c r="C43" s="182" t="s">
        <v>821</v>
      </c>
      <c r="D43" s="182" t="s">
        <v>227</v>
      </c>
      <c r="E43" s="182">
        <v>8413.0</v>
      </c>
      <c r="F43" s="182" t="s">
        <v>393</v>
      </c>
      <c r="G43" s="182">
        <v>5652.0</v>
      </c>
      <c r="H43" s="182" t="s">
        <v>189</v>
      </c>
      <c r="I43" s="182">
        <v>2.0</v>
      </c>
      <c r="J43" s="182">
        <v>2.0</v>
      </c>
      <c r="K43" s="182">
        <v>13.0</v>
      </c>
      <c r="L43" s="182">
        <v>2.0</v>
      </c>
      <c r="M43" s="182">
        <v>10.0</v>
      </c>
      <c r="N43" s="182">
        <v>0.0</v>
      </c>
      <c r="O43" s="182">
        <v>0.0</v>
      </c>
      <c r="P43" s="182">
        <v>0.0</v>
      </c>
      <c r="Q43" s="182">
        <v>0.0</v>
      </c>
      <c r="R43" s="182">
        <v>3.0</v>
      </c>
      <c r="S43" s="182">
        <v>2.0</v>
      </c>
      <c r="T43" s="182">
        <v>10.0</v>
      </c>
      <c r="U43" s="182">
        <v>2.0</v>
      </c>
      <c r="V43" s="182">
        <v>1.0</v>
      </c>
      <c r="W43" s="182">
        <v>1.0</v>
      </c>
      <c r="X43" s="182">
        <v>10.0</v>
      </c>
      <c r="Y43" s="182">
        <v>2.0</v>
      </c>
      <c r="Z43" s="182">
        <v>3.0</v>
      </c>
      <c r="AA43" s="182">
        <v>0.0</v>
      </c>
      <c r="AB43" s="182" t="s">
        <v>743</v>
      </c>
      <c r="AC43" s="182" t="s">
        <v>855</v>
      </c>
      <c r="AD43" s="182" t="s">
        <v>856</v>
      </c>
      <c r="AE43" s="182" t="s">
        <v>827</v>
      </c>
      <c r="AF43" s="182" t="s">
        <v>813</v>
      </c>
      <c r="AG43" s="182" t="s">
        <v>829</v>
      </c>
      <c r="AH43" s="182">
        <v>309.0</v>
      </c>
    </row>
    <row r="44">
      <c r="A44" s="182">
        <v>212728.0</v>
      </c>
      <c r="B44" s="182">
        <v>93687.0</v>
      </c>
      <c r="C44" s="182" t="s">
        <v>821</v>
      </c>
      <c r="D44" s="182" t="s">
        <v>32</v>
      </c>
      <c r="E44" s="182">
        <v>8413.0</v>
      </c>
      <c r="F44" s="182" t="s">
        <v>393</v>
      </c>
      <c r="G44" s="182">
        <v>5652.0</v>
      </c>
      <c r="H44" s="182" t="s">
        <v>189</v>
      </c>
      <c r="I44" s="182">
        <v>1.0</v>
      </c>
      <c r="J44" s="182">
        <v>15.0</v>
      </c>
      <c r="K44" s="182">
        <v>17.0</v>
      </c>
      <c r="L44" s="182">
        <v>6.0</v>
      </c>
      <c r="M44" s="182">
        <v>6.0</v>
      </c>
      <c r="N44" s="182">
        <v>1.0</v>
      </c>
      <c r="O44" s="182">
        <v>0.0</v>
      </c>
      <c r="P44" s="182">
        <v>1.0</v>
      </c>
      <c r="Q44" s="182">
        <v>6.0</v>
      </c>
      <c r="R44" s="182">
        <v>10.0</v>
      </c>
      <c r="S44" s="182">
        <v>9.0</v>
      </c>
      <c r="T44" s="182">
        <v>7.0</v>
      </c>
      <c r="U44" s="182">
        <v>1.0</v>
      </c>
      <c r="V44" s="182">
        <v>0.0</v>
      </c>
      <c r="W44" s="182">
        <v>1.0</v>
      </c>
      <c r="X44" s="182">
        <v>7.0</v>
      </c>
      <c r="Y44" s="182">
        <v>9.0</v>
      </c>
      <c r="Z44" s="182">
        <v>10.0</v>
      </c>
      <c r="AA44" s="182">
        <v>6.0</v>
      </c>
      <c r="AB44" s="182" t="s">
        <v>743</v>
      </c>
      <c r="AC44" s="182" t="s">
        <v>855</v>
      </c>
      <c r="AD44" s="182" t="s">
        <v>857</v>
      </c>
      <c r="AE44" s="182" t="s">
        <v>823</v>
      </c>
      <c r="AF44" s="182" t="s">
        <v>752</v>
      </c>
      <c r="AG44" s="182" t="s">
        <v>31</v>
      </c>
      <c r="AH44" s="182">
        <v>309.0</v>
      </c>
    </row>
    <row r="45">
      <c r="A45" s="182">
        <v>212727.0</v>
      </c>
      <c r="B45" s="182">
        <v>93687.0</v>
      </c>
      <c r="C45" s="182" t="s">
        <v>821</v>
      </c>
      <c r="D45" s="182" t="s">
        <v>40</v>
      </c>
      <c r="E45" s="182">
        <v>8413.0</v>
      </c>
      <c r="F45" s="182" t="s">
        <v>393</v>
      </c>
      <c r="G45" s="182">
        <v>5652.0</v>
      </c>
      <c r="H45" s="182" t="s">
        <v>189</v>
      </c>
      <c r="I45" s="182">
        <v>2.0</v>
      </c>
      <c r="J45" s="182">
        <v>8.0</v>
      </c>
      <c r="K45" s="182">
        <v>13.0</v>
      </c>
      <c r="L45" s="182">
        <v>6.0</v>
      </c>
      <c r="M45" s="182">
        <v>6.0</v>
      </c>
      <c r="N45" s="182">
        <v>1.0</v>
      </c>
      <c r="O45" s="182">
        <v>1.0</v>
      </c>
      <c r="P45" s="182">
        <v>0.0</v>
      </c>
      <c r="Q45" s="182">
        <v>2.0</v>
      </c>
      <c r="R45" s="182">
        <v>7.0</v>
      </c>
      <c r="S45" s="182">
        <v>6.0</v>
      </c>
      <c r="T45" s="182">
        <v>6.0</v>
      </c>
      <c r="U45" s="182">
        <v>1.0</v>
      </c>
      <c r="V45" s="182">
        <v>1.0</v>
      </c>
      <c r="W45" s="182">
        <v>0.0</v>
      </c>
      <c r="X45" s="182">
        <v>6.0</v>
      </c>
      <c r="Y45" s="182">
        <v>6.0</v>
      </c>
      <c r="Z45" s="182">
        <v>7.0</v>
      </c>
      <c r="AA45" s="182">
        <v>2.0</v>
      </c>
      <c r="AB45" s="182" t="s">
        <v>743</v>
      </c>
      <c r="AC45" s="182" t="s">
        <v>855</v>
      </c>
      <c r="AD45" s="182" t="s">
        <v>858</v>
      </c>
      <c r="AE45" s="182" t="s">
        <v>823</v>
      </c>
      <c r="AF45" s="182" t="s">
        <v>771</v>
      </c>
      <c r="AG45" s="182" t="s">
        <v>859</v>
      </c>
      <c r="AH45" s="182">
        <v>309.0</v>
      </c>
    </row>
    <row r="46">
      <c r="A46" s="182">
        <v>212726.0</v>
      </c>
      <c r="B46" s="182">
        <v>93687.0</v>
      </c>
      <c r="C46" s="182" t="s">
        <v>821</v>
      </c>
      <c r="D46" s="182" t="s">
        <v>42</v>
      </c>
      <c r="E46" s="182">
        <v>8413.0</v>
      </c>
      <c r="F46" s="182" t="s">
        <v>393</v>
      </c>
      <c r="G46" s="182">
        <v>5652.0</v>
      </c>
      <c r="H46" s="182" t="s">
        <v>189</v>
      </c>
      <c r="I46" s="182">
        <v>1.0</v>
      </c>
      <c r="J46" s="182">
        <v>13.0</v>
      </c>
      <c r="K46" s="182">
        <v>4.0</v>
      </c>
      <c r="L46" s="182">
        <v>9.0</v>
      </c>
      <c r="M46" s="182">
        <v>3.0</v>
      </c>
      <c r="N46" s="182">
        <v>2.0</v>
      </c>
      <c r="O46" s="182">
        <v>1.0</v>
      </c>
      <c r="P46" s="182">
        <v>1.0</v>
      </c>
      <c r="Q46" s="182">
        <v>9.0</v>
      </c>
      <c r="R46" s="182">
        <v>3.0</v>
      </c>
      <c r="S46" s="182">
        <v>4.0</v>
      </c>
      <c r="T46" s="182">
        <v>1.0</v>
      </c>
      <c r="U46" s="182">
        <v>0.0</v>
      </c>
      <c r="V46" s="182">
        <v>0.0</v>
      </c>
      <c r="W46" s="182">
        <v>0.0</v>
      </c>
      <c r="X46" s="182">
        <v>1.0</v>
      </c>
      <c r="Y46" s="182">
        <v>4.0</v>
      </c>
      <c r="Z46" s="182">
        <v>3.0</v>
      </c>
      <c r="AA46" s="182">
        <v>9.0</v>
      </c>
      <c r="AB46" s="182" t="s">
        <v>743</v>
      </c>
      <c r="AC46" s="182" t="s">
        <v>855</v>
      </c>
      <c r="AD46" s="182" t="s">
        <v>860</v>
      </c>
      <c r="AE46" s="182" t="s">
        <v>861</v>
      </c>
      <c r="AF46" s="182" t="s">
        <v>790</v>
      </c>
      <c r="AG46" s="182" t="s">
        <v>862</v>
      </c>
      <c r="AH46" s="182">
        <v>309.0</v>
      </c>
    </row>
    <row r="47">
      <c r="A47" s="182">
        <v>212725.0</v>
      </c>
      <c r="B47" s="182">
        <v>93687.0</v>
      </c>
      <c r="C47" s="182" t="s">
        <v>821</v>
      </c>
      <c r="D47" s="182" t="s">
        <v>36</v>
      </c>
      <c r="E47" s="182">
        <v>8413.0</v>
      </c>
      <c r="F47" s="182" t="s">
        <v>393</v>
      </c>
      <c r="G47" s="182">
        <v>5652.0</v>
      </c>
      <c r="H47" s="182" t="s">
        <v>189</v>
      </c>
      <c r="I47" s="182">
        <v>2.0</v>
      </c>
      <c r="J47" s="182">
        <v>13.0</v>
      </c>
      <c r="K47" s="182">
        <v>9.0</v>
      </c>
      <c r="L47" s="182">
        <v>10.0</v>
      </c>
      <c r="M47" s="182">
        <v>2.0</v>
      </c>
      <c r="N47" s="182">
        <v>1.0</v>
      </c>
      <c r="O47" s="182">
        <v>0.0</v>
      </c>
      <c r="P47" s="182">
        <v>1.0</v>
      </c>
      <c r="Q47" s="182">
        <v>3.0</v>
      </c>
      <c r="R47" s="182">
        <v>7.0</v>
      </c>
      <c r="S47" s="182">
        <v>10.0</v>
      </c>
      <c r="T47" s="182">
        <v>2.0</v>
      </c>
      <c r="U47" s="182">
        <v>1.0</v>
      </c>
      <c r="V47" s="182">
        <v>0.0</v>
      </c>
      <c r="W47" s="182">
        <v>1.0</v>
      </c>
      <c r="X47" s="182">
        <v>2.0</v>
      </c>
      <c r="Y47" s="182">
        <v>10.0</v>
      </c>
      <c r="Z47" s="182">
        <v>7.0</v>
      </c>
      <c r="AA47" s="182">
        <v>3.0</v>
      </c>
      <c r="AB47" s="182" t="s">
        <v>743</v>
      </c>
      <c r="AC47" s="182" t="s">
        <v>855</v>
      </c>
      <c r="AD47" s="182" t="s">
        <v>863</v>
      </c>
      <c r="AE47" s="182" t="s">
        <v>827</v>
      </c>
      <c r="AF47" s="182" t="s">
        <v>842</v>
      </c>
      <c r="AG47" s="182" t="s">
        <v>837</v>
      </c>
      <c r="AH47" s="182">
        <v>309.0</v>
      </c>
    </row>
    <row r="48">
      <c r="A48" s="182">
        <v>212732.0</v>
      </c>
      <c r="B48" s="182">
        <v>93688.0</v>
      </c>
      <c r="C48" s="182" t="s">
        <v>802</v>
      </c>
      <c r="D48" s="182" t="s">
        <v>38</v>
      </c>
      <c r="E48" s="182">
        <v>18501.0</v>
      </c>
      <c r="F48" s="182" t="s">
        <v>188</v>
      </c>
      <c r="G48" s="182">
        <v>4878.0</v>
      </c>
      <c r="H48" s="182" t="s">
        <v>480</v>
      </c>
      <c r="I48" s="182">
        <v>1.0</v>
      </c>
      <c r="J48" s="182">
        <v>13.0</v>
      </c>
      <c r="K48" s="182">
        <v>8.0</v>
      </c>
      <c r="L48" s="182">
        <v>8.0</v>
      </c>
      <c r="M48" s="182">
        <v>4.0</v>
      </c>
      <c r="N48" s="182">
        <v>2.0</v>
      </c>
      <c r="O48" s="182">
        <v>1.0</v>
      </c>
      <c r="P48" s="182">
        <v>1.0</v>
      </c>
      <c r="Q48" s="182">
        <v>8.0</v>
      </c>
      <c r="R48" s="182">
        <v>4.0</v>
      </c>
      <c r="S48" s="182">
        <v>5.0</v>
      </c>
      <c r="T48" s="182">
        <v>4.0</v>
      </c>
      <c r="U48" s="182">
        <v>0.0</v>
      </c>
      <c r="V48" s="182">
        <v>0.0</v>
      </c>
      <c r="W48" s="182">
        <v>0.0</v>
      </c>
      <c r="X48" s="182">
        <v>4.0</v>
      </c>
      <c r="Y48" s="182">
        <v>5.0</v>
      </c>
      <c r="Z48" s="182">
        <v>4.0</v>
      </c>
      <c r="AA48" s="182">
        <v>8.0</v>
      </c>
      <c r="AB48" s="182" t="s">
        <v>743</v>
      </c>
      <c r="AC48" s="182" t="s">
        <v>864</v>
      </c>
      <c r="AD48" s="182" t="s">
        <v>809</v>
      </c>
      <c r="AE48" s="182" t="s">
        <v>865</v>
      </c>
      <c r="AF48" s="182" t="s">
        <v>810</v>
      </c>
      <c r="AG48" s="182" t="s">
        <v>794</v>
      </c>
      <c r="AH48" s="182">
        <v>309.0</v>
      </c>
    </row>
    <row r="49">
      <c r="A49" s="182">
        <v>212731.0</v>
      </c>
      <c r="B49" s="182">
        <v>93688.0</v>
      </c>
      <c r="C49" s="182" t="s">
        <v>802</v>
      </c>
      <c r="D49" s="182" t="s">
        <v>42</v>
      </c>
      <c r="E49" s="182">
        <v>18501.0</v>
      </c>
      <c r="F49" s="182" t="s">
        <v>188</v>
      </c>
      <c r="G49" s="182">
        <v>4878.0</v>
      </c>
      <c r="H49" s="182" t="s">
        <v>480</v>
      </c>
      <c r="I49" s="182">
        <v>2.0</v>
      </c>
      <c r="J49" s="182">
        <v>13.0</v>
      </c>
      <c r="K49" s="182">
        <v>8.0</v>
      </c>
      <c r="L49" s="182">
        <v>7.0</v>
      </c>
      <c r="M49" s="182">
        <v>5.0</v>
      </c>
      <c r="N49" s="182">
        <v>1.0</v>
      </c>
      <c r="O49" s="182">
        <v>1.0</v>
      </c>
      <c r="P49" s="182">
        <v>0.0</v>
      </c>
      <c r="Q49" s="182">
        <v>6.0</v>
      </c>
      <c r="R49" s="182">
        <v>3.0</v>
      </c>
      <c r="S49" s="182">
        <v>7.0</v>
      </c>
      <c r="T49" s="182">
        <v>5.0</v>
      </c>
      <c r="U49" s="182">
        <v>1.0</v>
      </c>
      <c r="V49" s="182">
        <v>1.0</v>
      </c>
      <c r="W49" s="182">
        <v>0.0</v>
      </c>
      <c r="X49" s="182">
        <v>5.0</v>
      </c>
      <c r="Y49" s="182">
        <v>7.0</v>
      </c>
      <c r="Z49" s="182">
        <v>3.0</v>
      </c>
      <c r="AA49" s="182">
        <v>6.0</v>
      </c>
      <c r="AB49" s="182" t="s">
        <v>743</v>
      </c>
      <c r="AC49" s="182" t="s">
        <v>864</v>
      </c>
      <c r="AD49" s="182" t="s">
        <v>866</v>
      </c>
      <c r="AE49" s="182" t="s">
        <v>867</v>
      </c>
      <c r="AF49" s="182" t="s">
        <v>868</v>
      </c>
      <c r="AG49" s="182" t="s">
        <v>869</v>
      </c>
      <c r="AH49" s="182">
        <v>309.0</v>
      </c>
    </row>
    <row r="50">
      <c r="A50" s="182">
        <v>212730.0</v>
      </c>
      <c r="B50" s="182">
        <v>93688.0</v>
      </c>
      <c r="C50" s="182" t="s">
        <v>802</v>
      </c>
      <c r="D50" s="182" t="s">
        <v>40</v>
      </c>
      <c r="E50" s="182">
        <v>18501.0</v>
      </c>
      <c r="F50" s="182" t="s">
        <v>188</v>
      </c>
      <c r="G50" s="182">
        <v>4878.0</v>
      </c>
      <c r="H50" s="182" t="s">
        <v>480</v>
      </c>
      <c r="I50" s="182">
        <v>1.0</v>
      </c>
      <c r="J50" s="182">
        <v>15.0</v>
      </c>
      <c r="K50" s="182">
        <v>13.0</v>
      </c>
      <c r="L50" s="182">
        <v>7.0</v>
      </c>
      <c r="M50" s="182">
        <v>5.0</v>
      </c>
      <c r="N50" s="182">
        <v>1.0</v>
      </c>
      <c r="O50" s="182">
        <v>1.0</v>
      </c>
      <c r="P50" s="182">
        <v>0.0</v>
      </c>
      <c r="Q50" s="182">
        <v>9.0</v>
      </c>
      <c r="R50" s="182">
        <v>5.0</v>
      </c>
      <c r="S50" s="182">
        <v>6.0</v>
      </c>
      <c r="T50" s="182">
        <v>8.0</v>
      </c>
      <c r="U50" s="182">
        <v>1.0</v>
      </c>
      <c r="V50" s="182">
        <v>1.0</v>
      </c>
      <c r="W50" s="182">
        <v>0.0</v>
      </c>
      <c r="X50" s="182">
        <v>8.0</v>
      </c>
      <c r="Y50" s="182">
        <v>6.0</v>
      </c>
      <c r="Z50" s="182">
        <v>5.0</v>
      </c>
      <c r="AA50" s="182">
        <v>9.0</v>
      </c>
      <c r="AB50" s="182" t="s">
        <v>743</v>
      </c>
      <c r="AC50" s="182" t="s">
        <v>864</v>
      </c>
      <c r="AD50" s="182" t="s">
        <v>804</v>
      </c>
      <c r="AE50" s="182" t="s">
        <v>870</v>
      </c>
      <c r="AF50" s="182" t="s">
        <v>777</v>
      </c>
      <c r="AG50" s="182" t="s">
        <v>777</v>
      </c>
      <c r="AH50" s="182">
        <v>309.0</v>
      </c>
    </row>
    <row r="51">
      <c r="A51" s="182">
        <v>212684.0</v>
      </c>
      <c r="B51" s="182">
        <v>93674.0</v>
      </c>
      <c r="C51" s="182" t="s">
        <v>821</v>
      </c>
      <c r="D51" s="182" t="s">
        <v>42</v>
      </c>
      <c r="E51" s="182">
        <v>5652.0</v>
      </c>
      <c r="F51" s="182" t="s">
        <v>189</v>
      </c>
      <c r="G51" s="182">
        <v>18979.0</v>
      </c>
      <c r="H51" s="182" t="s">
        <v>395</v>
      </c>
      <c r="I51" s="182">
        <v>2.0</v>
      </c>
      <c r="J51" s="182">
        <v>13.0</v>
      </c>
      <c r="K51" s="182">
        <v>4.0</v>
      </c>
      <c r="L51" s="182">
        <v>10.0</v>
      </c>
      <c r="M51" s="182">
        <v>2.0</v>
      </c>
      <c r="N51" s="182">
        <v>1.0</v>
      </c>
      <c r="O51" s="182">
        <v>0.0</v>
      </c>
      <c r="P51" s="182">
        <v>1.0</v>
      </c>
      <c r="Q51" s="182">
        <v>3.0</v>
      </c>
      <c r="R51" s="182">
        <v>2.0</v>
      </c>
      <c r="S51" s="182">
        <v>10.0</v>
      </c>
      <c r="T51" s="182">
        <v>2.0</v>
      </c>
      <c r="U51" s="182">
        <v>1.0</v>
      </c>
      <c r="V51" s="182">
        <v>0.0</v>
      </c>
      <c r="W51" s="182">
        <v>1.0</v>
      </c>
      <c r="X51" s="182">
        <v>2.0</v>
      </c>
      <c r="Y51" s="182">
        <v>10.0</v>
      </c>
      <c r="Z51" s="182">
        <v>2.0</v>
      </c>
      <c r="AA51" s="182">
        <v>3.0</v>
      </c>
      <c r="AB51" s="182" t="s">
        <v>743</v>
      </c>
      <c r="AC51" s="182" t="s">
        <v>871</v>
      </c>
      <c r="AD51" s="182" t="s">
        <v>861</v>
      </c>
      <c r="AE51" s="182" t="s">
        <v>872</v>
      </c>
      <c r="AF51" s="182" t="s">
        <v>862</v>
      </c>
      <c r="AG51" s="182" t="s">
        <v>873</v>
      </c>
      <c r="AH51" s="182">
        <v>309.0</v>
      </c>
    </row>
    <row r="52">
      <c r="A52" s="182">
        <v>212232.0</v>
      </c>
      <c r="B52" s="182">
        <v>93506.0</v>
      </c>
      <c r="C52" s="182" t="s">
        <v>802</v>
      </c>
      <c r="D52" s="182" t="s">
        <v>42</v>
      </c>
      <c r="E52" s="182">
        <v>5293.0</v>
      </c>
      <c r="F52" s="182" t="s">
        <v>186</v>
      </c>
      <c r="G52" s="182">
        <v>18501.0</v>
      </c>
      <c r="H52" s="182" t="s">
        <v>188</v>
      </c>
      <c r="I52" s="182">
        <v>2.0</v>
      </c>
      <c r="J52" s="182">
        <v>13.0</v>
      </c>
      <c r="K52" s="182">
        <v>11.0</v>
      </c>
      <c r="L52" s="182">
        <v>8.0</v>
      </c>
      <c r="M52" s="182">
        <v>4.0</v>
      </c>
      <c r="N52" s="182">
        <v>2.0</v>
      </c>
      <c r="O52" s="182">
        <v>1.0</v>
      </c>
      <c r="P52" s="182">
        <v>1.0</v>
      </c>
      <c r="Q52" s="182">
        <v>5.0</v>
      </c>
      <c r="R52" s="182">
        <v>7.0</v>
      </c>
      <c r="S52" s="182">
        <v>8.0</v>
      </c>
      <c r="T52" s="182">
        <v>4.0</v>
      </c>
      <c r="U52" s="182">
        <v>0.0</v>
      </c>
      <c r="V52" s="182">
        <v>0.0</v>
      </c>
      <c r="W52" s="182">
        <v>0.0</v>
      </c>
      <c r="X52" s="182">
        <v>4.0</v>
      </c>
      <c r="Y52" s="182">
        <v>8.0</v>
      </c>
      <c r="Z52" s="182">
        <v>7.0</v>
      </c>
      <c r="AA52" s="182">
        <v>5.0</v>
      </c>
      <c r="AB52" s="182" t="s">
        <v>743</v>
      </c>
      <c r="AC52" s="182" t="s">
        <v>871</v>
      </c>
      <c r="AD52" s="182" t="s">
        <v>874</v>
      </c>
      <c r="AE52" s="182" t="s">
        <v>866</v>
      </c>
      <c r="AF52" s="182" t="s">
        <v>790</v>
      </c>
      <c r="AG52" s="182" t="s">
        <v>868</v>
      </c>
      <c r="AH52" s="182">
        <v>309.0</v>
      </c>
    </row>
    <row r="53">
      <c r="A53" s="182">
        <v>212683.0</v>
      </c>
      <c r="B53" s="182">
        <v>93674.0</v>
      </c>
      <c r="C53" s="182" t="s">
        <v>821</v>
      </c>
      <c r="D53" s="182" t="s">
        <v>36</v>
      </c>
      <c r="E53" s="182">
        <v>5652.0</v>
      </c>
      <c r="F53" s="182" t="s">
        <v>189</v>
      </c>
      <c r="G53" s="182">
        <v>18979.0</v>
      </c>
      <c r="H53" s="182" t="s">
        <v>395</v>
      </c>
      <c r="I53" s="182">
        <v>2.0</v>
      </c>
      <c r="J53" s="182">
        <v>13.0</v>
      </c>
      <c r="K53" s="182">
        <v>9.0</v>
      </c>
      <c r="L53" s="182">
        <v>6.0</v>
      </c>
      <c r="M53" s="182">
        <v>6.0</v>
      </c>
      <c r="N53" s="182">
        <v>1.0</v>
      </c>
      <c r="O53" s="182">
        <v>1.0</v>
      </c>
      <c r="P53" s="182">
        <v>0.0</v>
      </c>
      <c r="Q53" s="182">
        <v>7.0</v>
      </c>
      <c r="R53" s="182">
        <v>3.0</v>
      </c>
      <c r="S53" s="182">
        <v>6.0</v>
      </c>
      <c r="T53" s="182">
        <v>6.0</v>
      </c>
      <c r="U53" s="182">
        <v>1.0</v>
      </c>
      <c r="V53" s="182">
        <v>1.0</v>
      </c>
      <c r="W53" s="182">
        <v>0.0</v>
      </c>
      <c r="X53" s="182">
        <v>6.0</v>
      </c>
      <c r="Y53" s="182">
        <v>6.0</v>
      </c>
      <c r="Z53" s="182">
        <v>3.0</v>
      </c>
      <c r="AA53" s="182">
        <v>7.0</v>
      </c>
      <c r="AB53" s="182" t="s">
        <v>743</v>
      </c>
      <c r="AC53" s="182" t="s">
        <v>871</v>
      </c>
      <c r="AD53" s="182" t="s">
        <v>827</v>
      </c>
      <c r="AE53" s="182" t="s">
        <v>875</v>
      </c>
      <c r="AF53" s="182" t="s">
        <v>837</v>
      </c>
      <c r="AG53" s="182" t="s">
        <v>836</v>
      </c>
      <c r="AH53" s="182">
        <v>309.0</v>
      </c>
    </row>
    <row r="54">
      <c r="A54" s="182">
        <v>212681.0</v>
      </c>
      <c r="B54" s="182">
        <v>93673.0</v>
      </c>
      <c r="C54" s="182" t="s">
        <v>742</v>
      </c>
      <c r="D54" s="182" t="s">
        <v>40</v>
      </c>
      <c r="E54" s="182">
        <v>17813.0</v>
      </c>
      <c r="F54" s="182" t="s">
        <v>182</v>
      </c>
      <c r="G54" s="182">
        <v>360.0</v>
      </c>
      <c r="H54" s="182" t="s">
        <v>448</v>
      </c>
      <c r="I54" s="182">
        <v>2.0</v>
      </c>
      <c r="J54" s="182">
        <v>13.0</v>
      </c>
      <c r="K54" s="182">
        <v>7.0</v>
      </c>
      <c r="L54" s="182">
        <v>9.0</v>
      </c>
      <c r="M54" s="182">
        <v>3.0</v>
      </c>
      <c r="N54" s="182">
        <v>1.0</v>
      </c>
      <c r="O54" s="182">
        <v>0.0</v>
      </c>
      <c r="P54" s="182">
        <v>1.0</v>
      </c>
      <c r="Q54" s="182">
        <v>4.0</v>
      </c>
      <c r="R54" s="182">
        <v>4.0</v>
      </c>
      <c r="S54" s="182">
        <v>9.0</v>
      </c>
      <c r="T54" s="182">
        <v>3.0</v>
      </c>
      <c r="U54" s="182">
        <v>1.0</v>
      </c>
      <c r="V54" s="182">
        <v>0.0</v>
      </c>
      <c r="W54" s="182">
        <v>1.0</v>
      </c>
      <c r="X54" s="182">
        <v>3.0</v>
      </c>
      <c r="Y54" s="182">
        <v>9.0</v>
      </c>
      <c r="Z54" s="182">
        <v>4.0</v>
      </c>
      <c r="AA54" s="182">
        <v>4.0</v>
      </c>
      <c r="AB54" s="182" t="s">
        <v>743</v>
      </c>
      <c r="AC54" s="182" t="s">
        <v>871</v>
      </c>
      <c r="AD54" s="182" t="s">
        <v>769</v>
      </c>
      <c r="AE54" s="182" t="s">
        <v>876</v>
      </c>
      <c r="AF54" s="182" t="s">
        <v>771</v>
      </c>
      <c r="AG54" s="182" t="s">
        <v>877</v>
      </c>
      <c r="AH54" s="182">
        <v>309.0</v>
      </c>
    </row>
    <row r="55">
      <c r="A55" s="182">
        <v>212231.0</v>
      </c>
      <c r="B55" s="182">
        <v>93506.0</v>
      </c>
      <c r="C55" s="182" t="s">
        <v>802</v>
      </c>
      <c r="D55" s="182" t="s">
        <v>38</v>
      </c>
      <c r="E55" s="182">
        <v>5293.0</v>
      </c>
      <c r="F55" s="182" t="s">
        <v>186</v>
      </c>
      <c r="G55" s="182">
        <v>18501.0</v>
      </c>
      <c r="H55" s="182" t="s">
        <v>188</v>
      </c>
      <c r="I55" s="182">
        <v>1.0</v>
      </c>
      <c r="J55" s="182">
        <v>11.0</v>
      </c>
      <c r="K55" s="182">
        <v>13.0</v>
      </c>
      <c r="L55" s="182">
        <v>5.0</v>
      </c>
      <c r="M55" s="182">
        <v>7.0</v>
      </c>
      <c r="N55" s="182">
        <v>1.0</v>
      </c>
      <c r="O55" s="182">
        <v>0.0</v>
      </c>
      <c r="P55" s="182">
        <v>1.0</v>
      </c>
      <c r="Q55" s="182">
        <v>5.0</v>
      </c>
      <c r="R55" s="182">
        <v>7.0</v>
      </c>
      <c r="S55" s="182">
        <v>6.0</v>
      </c>
      <c r="T55" s="182">
        <v>6.0</v>
      </c>
      <c r="U55" s="182">
        <v>1.0</v>
      </c>
      <c r="V55" s="182">
        <v>0.0</v>
      </c>
      <c r="W55" s="182">
        <v>1.0</v>
      </c>
      <c r="X55" s="182">
        <v>6.0</v>
      </c>
      <c r="Y55" s="182">
        <v>6.0</v>
      </c>
      <c r="Z55" s="182">
        <v>7.0</v>
      </c>
      <c r="AA55" s="182">
        <v>5.0</v>
      </c>
      <c r="AB55" s="182" t="s">
        <v>743</v>
      </c>
      <c r="AC55" s="182" t="s">
        <v>871</v>
      </c>
      <c r="AD55" s="182" t="s">
        <v>814</v>
      </c>
      <c r="AE55" s="182" t="s">
        <v>809</v>
      </c>
      <c r="AF55" s="182" t="s">
        <v>751</v>
      </c>
      <c r="AG55" s="182" t="s">
        <v>810</v>
      </c>
      <c r="AH55" s="182">
        <v>309.0</v>
      </c>
    </row>
    <row r="56">
      <c r="A56" s="182">
        <v>212682.0</v>
      </c>
      <c r="B56" s="182">
        <v>93674.0</v>
      </c>
      <c r="C56" s="182" t="s">
        <v>821</v>
      </c>
      <c r="D56" s="182" t="s">
        <v>40</v>
      </c>
      <c r="E56" s="182">
        <v>5652.0</v>
      </c>
      <c r="F56" s="182" t="s">
        <v>189</v>
      </c>
      <c r="G56" s="182">
        <v>18979.0</v>
      </c>
      <c r="H56" s="182" t="s">
        <v>395</v>
      </c>
      <c r="I56" s="182">
        <v>1.0</v>
      </c>
      <c r="J56" s="182">
        <v>6.0</v>
      </c>
      <c r="K56" s="182">
        <v>13.0</v>
      </c>
      <c r="L56" s="182">
        <v>3.0</v>
      </c>
      <c r="M56" s="182">
        <v>9.0</v>
      </c>
      <c r="N56" s="182">
        <v>1.0</v>
      </c>
      <c r="O56" s="182">
        <v>0.0</v>
      </c>
      <c r="P56" s="182">
        <v>1.0</v>
      </c>
      <c r="Q56" s="182">
        <v>3.0</v>
      </c>
      <c r="R56" s="182">
        <v>9.0</v>
      </c>
      <c r="S56" s="182">
        <v>3.0</v>
      </c>
      <c r="T56" s="182">
        <v>4.0</v>
      </c>
      <c r="U56" s="182">
        <v>1.0</v>
      </c>
      <c r="V56" s="182">
        <v>0.0</v>
      </c>
      <c r="W56" s="182">
        <v>1.0</v>
      </c>
      <c r="X56" s="182">
        <v>4.0</v>
      </c>
      <c r="Y56" s="182">
        <v>3.0</v>
      </c>
      <c r="Z56" s="182">
        <v>9.0</v>
      </c>
      <c r="AA56" s="182">
        <v>3.0</v>
      </c>
      <c r="AB56" s="182" t="s">
        <v>743</v>
      </c>
      <c r="AC56" s="182" t="s">
        <v>871</v>
      </c>
      <c r="AD56" s="182" t="s">
        <v>823</v>
      </c>
      <c r="AE56" s="182" t="s">
        <v>878</v>
      </c>
      <c r="AF56" s="182" t="s">
        <v>859</v>
      </c>
      <c r="AG56" s="182" t="s">
        <v>879</v>
      </c>
      <c r="AH56" s="182">
        <v>309.0</v>
      </c>
    </row>
    <row r="57">
      <c r="A57" s="182">
        <v>212230.0</v>
      </c>
      <c r="B57" s="182">
        <v>93506.0</v>
      </c>
      <c r="C57" s="182" t="s">
        <v>802</v>
      </c>
      <c r="D57" s="182" t="s">
        <v>32</v>
      </c>
      <c r="E57" s="182">
        <v>5293.0</v>
      </c>
      <c r="F57" s="182" t="s">
        <v>186</v>
      </c>
      <c r="G57" s="182">
        <v>18501.0</v>
      </c>
      <c r="H57" s="182" t="s">
        <v>188</v>
      </c>
      <c r="I57" s="182">
        <v>1.0</v>
      </c>
      <c r="J57" s="182">
        <v>13.0</v>
      </c>
      <c r="K57" s="182">
        <v>10.0</v>
      </c>
      <c r="L57" s="182">
        <v>8.0</v>
      </c>
      <c r="M57" s="182">
        <v>4.0</v>
      </c>
      <c r="N57" s="182">
        <v>1.0</v>
      </c>
      <c r="O57" s="182">
        <v>1.0</v>
      </c>
      <c r="P57" s="182">
        <v>0.0</v>
      </c>
      <c r="Q57" s="182">
        <v>8.0</v>
      </c>
      <c r="R57" s="182">
        <v>4.0</v>
      </c>
      <c r="S57" s="182">
        <v>5.0</v>
      </c>
      <c r="T57" s="182">
        <v>6.0</v>
      </c>
      <c r="U57" s="182">
        <v>1.0</v>
      </c>
      <c r="V57" s="182">
        <v>1.0</v>
      </c>
      <c r="W57" s="182">
        <v>0.0</v>
      </c>
      <c r="X57" s="182">
        <v>6.0</v>
      </c>
      <c r="Y57" s="182">
        <v>5.0</v>
      </c>
      <c r="Z57" s="182">
        <v>4.0</v>
      </c>
      <c r="AA57" s="182">
        <v>8.0</v>
      </c>
      <c r="AB57" s="182" t="s">
        <v>743</v>
      </c>
      <c r="AC57" s="182" t="s">
        <v>871</v>
      </c>
      <c r="AD57" s="182" t="s">
        <v>814</v>
      </c>
      <c r="AE57" s="182" t="s">
        <v>815</v>
      </c>
      <c r="AF57" s="182" t="s">
        <v>816</v>
      </c>
      <c r="AG57" s="182" t="s">
        <v>751</v>
      </c>
      <c r="AH57" s="182">
        <v>309.0</v>
      </c>
    </row>
    <row r="58">
      <c r="A58" s="182">
        <v>212680.0</v>
      </c>
      <c r="B58" s="182">
        <v>93673.0</v>
      </c>
      <c r="C58" s="182" t="s">
        <v>742</v>
      </c>
      <c r="D58" s="182" t="s">
        <v>32</v>
      </c>
      <c r="E58" s="182">
        <v>17813.0</v>
      </c>
      <c r="F58" s="182" t="s">
        <v>182</v>
      </c>
      <c r="G58" s="182">
        <v>360.0</v>
      </c>
      <c r="H58" s="182" t="s">
        <v>448</v>
      </c>
      <c r="I58" s="182">
        <v>1.0</v>
      </c>
      <c r="J58" s="182">
        <v>13.0</v>
      </c>
      <c r="K58" s="182">
        <v>8.0</v>
      </c>
      <c r="L58" s="182">
        <v>10.0</v>
      </c>
      <c r="M58" s="182">
        <v>2.0</v>
      </c>
      <c r="N58" s="182">
        <v>2.0</v>
      </c>
      <c r="O58" s="182">
        <v>1.0</v>
      </c>
      <c r="P58" s="182">
        <v>1.0</v>
      </c>
      <c r="Q58" s="182">
        <v>10.0</v>
      </c>
      <c r="R58" s="182">
        <v>2.0</v>
      </c>
      <c r="S58" s="182">
        <v>3.0</v>
      </c>
      <c r="T58" s="182">
        <v>6.0</v>
      </c>
      <c r="U58" s="182">
        <v>0.0</v>
      </c>
      <c r="V58" s="182">
        <v>0.0</v>
      </c>
      <c r="W58" s="182">
        <v>0.0</v>
      </c>
      <c r="X58" s="182">
        <v>6.0</v>
      </c>
      <c r="Y58" s="182">
        <v>3.0</v>
      </c>
      <c r="Z58" s="182">
        <v>2.0</v>
      </c>
      <c r="AA58" s="182">
        <v>10.0</v>
      </c>
      <c r="AB58" s="182" t="s">
        <v>743</v>
      </c>
      <c r="AC58" s="182" t="s">
        <v>871</v>
      </c>
      <c r="AD58" s="182" t="s">
        <v>750</v>
      </c>
      <c r="AE58" s="182" t="s">
        <v>880</v>
      </c>
      <c r="AF58" s="182" t="s">
        <v>752</v>
      </c>
      <c r="AG58" s="182" t="s">
        <v>816</v>
      </c>
      <c r="AH58" s="182">
        <v>309.0</v>
      </c>
    </row>
    <row r="59">
      <c r="A59" s="182">
        <v>212059.0</v>
      </c>
      <c r="B59" s="182">
        <v>93450.0</v>
      </c>
      <c r="C59" s="182" t="s">
        <v>821</v>
      </c>
      <c r="D59" s="182" t="s">
        <v>32</v>
      </c>
      <c r="E59" s="182">
        <v>9369.0</v>
      </c>
      <c r="F59" s="182" t="s">
        <v>232</v>
      </c>
      <c r="G59" s="182">
        <v>8413.0</v>
      </c>
      <c r="H59" s="182" t="s">
        <v>393</v>
      </c>
      <c r="I59" s="182">
        <v>1.0</v>
      </c>
      <c r="J59" s="182">
        <v>13.0</v>
      </c>
      <c r="K59" s="182">
        <v>9.0</v>
      </c>
      <c r="L59" s="182">
        <v>6.0</v>
      </c>
      <c r="M59" s="182">
        <v>6.0</v>
      </c>
      <c r="N59" s="182">
        <v>2.0</v>
      </c>
      <c r="O59" s="182">
        <v>1.0</v>
      </c>
      <c r="P59" s="182">
        <v>1.0</v>
      </c>
      <c r="Q59" s="182">
        <v>6.0</v>
      </c>
      <c r="R59" s="182">
        <v>6.0</v>
      </c>
      <c r="S59" s="182">
        <v>7.0</v>
      </c>
      <c r="T59" s="182">
        <v>3.0</v>
      </c>
      <c r="U59" s="182">
        <v>0.0</v>
      </c>
      <c r="V59" s="182">
        <v>0.0</v>
      </c>
      <c r="W59" s="182">
        <v>0.0</v>
      </c>
      <c r="X59" s="182">
        <v>3.0</v>
      </c>
      <c r="Y59" s="182">
        <v>7.0</v>
      </c>
      <c r="Z59" s="182">
        <v>6.0</v>
      </c>
      <c r="AA59" s="182">
        <v>6.0</v>
      </c>
      <c r="AB59" s="182" t="s">
        <v>743</v>
      </c>
      <c r="AC59" s="182" t="s">
        <v>871</v>
      </c>
      <c r="AD59" s="182" t="s">
        <v>822</v>
      </c>
      <c r="AE59" s="182" t="s">
        <v>857</v>
      </c>
      <c r="AF59" s="182" t="s">
        <v>816</v>
      </c>
      <c r="AG59" s="182" t="s">
        <v>752</v>
      </c>
      <c r="AH59" s="182">
        <v>309.0</v>
      </c>
    </row>
    <row r="60">
      <c r="A60" s="182">
        <v>212679.0</v>
      </c>
      <c r="B60" s="182">
        <v>93673.0</v>
      </c>
      <c r="C60" s="182" t="s">
        <v>742</v>
      </c>
      <c r="D60" s="182" t="s">
        <v>38</v>
      </c>
      <c r="E60" s="182">
        <v>17813.0</v>
      </c>
      <c r="F60" s="182" t="s">
        <v>182</v>
      </c>
      <c r="G60" s="182">
        <v>360.0</v>
      </c>
      <c r="H60" s="182" t="s">
        <v>448</v>
      </c>
      <c r="I60" s="182">
        <v>1.0</v>
      </c>
      <c r="J60" s="182">
        <v>13.0</v>
      </c>
      <c r="K60" s="182">
        <v>11.0</v>
      </c>
      <c r="L60" s="182">
        <v>4.0</v>
      </c>
      <c r="M60" s="182">
        <v>8.0</v>
      </c>
      <c r="N60" s="182">
        <v>1.0</v>
      </c>
      <c r="O60" s="182">
        <v>0.0</v>
      </c>
      <c r="P60" s="182">
        <v>1.0</v>
      </c>
      <c r="Q60" s="182">
        <v>4.0</v>
      </c>
      <c r="R60" s="182">
        <v>8.0</v>
      </c>
      <c r="S60" s="182">
        <v>9.0</v>
      </c>
      <c r="T60" s="182">
        <v>3.0</v>
      </c>
      <c r="U60" s="182">
        <v>1.0</v>
      </c>
      <c r="V60" s="182">
        <v>0.0</v>
      </c>
      <c r="W60" s="182">
        <v>1.0</v>
      </c>
      <c r="X60" s="182">
        <v>3.0</v>
      </c>
      <c r="Y60" s="182">
        <v>9.0</v>
      </c>
      <c r="Z60" s="182">
        <v>8.0</v>
      </c>
      <c r="AA60" s="182">
        <v>4.0</v>
      </c>
      <c r="AB60" s="182" t="s">
        <v>743</v>
      </c>
      <c r="AC60" s="182" t="s">
        <v>871</v>
      </c>
      <c r="AD60" s="182" t="s">
        <v>746</v>
      </c>
      <c r="AE60" s="182" t="s">
        <v>881</v>
      </c>
      <c r="AF60" s="182" t="s">
        <v>764</v>
      </c>
      <c r="AG60" s="182" t="s">
        <v>882</v>
      </c>
      <c r="AH60" s="182">
        <v>309.0</v>
      </c>
    </row>
    <row r="61">
      <c r="A61" s="182">
        <v>212058.0</v>
      </c>
      <c r="B61" s="182">
        <v>93450.0</v>
      </c>
      <c r="C61" s="182" t="s">
        <v>821</v>
      </c>
      <c r="D61" s="182" t="s">
        <v>38</v>
      </c>
      <c r="E61" s="182">
        <v>9369.0</v>
      </c>
      <c r="F61" s="182" t="s">
        <v>232</v>
      </c>
      <c r="G61" s="182">
        <v>8413.0</v>
      </c>
      <c r="H61" s="182" t="s">
        <v>393</v>
      </c>
      <c r="I61" s="182">
        <v>2.0</v>
      </c>
      <c r="J61" s="182">
        <v>16.0</v>
      </c>
      <c r="K61" s="182">
        <v>14.0</v>
      </c>
      <c r="L61" s="182">
        <v>6.0</v>
      </c>
      <c r="M61" s="182">
        <v>6.0</v>
      </c>
      <c r="N61" s="182">
        <v>0.0</v>
      </c>
      <c r="O61" s="182">
        <v>0.0</v>
      </c>
      <c r="P61" s="182">
        <v>0.0</v>
      </c>
      <c r="Q61" s="182">
        <v>8.0</v>
      </c>
      <c r="R61" s="182">
        <v>7.0</v>
      </c>
      <c r="S61" s="182">
        <v>8.0</v>
      </c>
      <c r="T61" s="182">
        <v>7.0</v>
      </c>
      <c r="U61" s="182">
        <v>2.0</v>
      </c>
      <c r="V61" s="182">
        <v>1.0</v>
      </c>
      <c r="W61" s="182">
        <v>1.0</v>
      </c>
      <c r="X61" s="182">
        <v>7.0</v>
      </c>
      <c r="Y61" s="182">
        <v>8.0</v>
      </c>
      <c r="Z61" s="182">
        <v>7.0</v>
      </c>
      <c r="AA61" s="182">
        <v>8.0</v>
      </c>
      <c r="AB61" s="182" t="s">
        <v>743</v>
      </c>
      <c r="AC61" s="182" t="s">
        <v>871</v>
      </c>
      <c r="AD61" s="182" t="s">
        <v>822</v>
      </c>
      <c r="AE61" s="182" t="s">
        <v>883</v>
      </c>
      <c r="AF61" s="182" t="s">
        <v>751</v>
      </c>
      <c r="AG61" s="182" t="s">
        <v>884</v>
      </c>
      <c r="AH61" s="182">
        <v>309.0</v>
      </c>
    </row>
    <row r="62">
      <c r="A62" s="182">
        <v>212676.0</v>
      </c>
      <c r="B62" s="182">
        <v>93672.0</v>
      </c>
      <c r="C62" s="182" t="s">
        <v>742</v>
      </c>
      <c r="D62" s="182" t="s">
        <v>34</v>
      </c>
      <c r="E62" s="182">
        <v>17807.0</v>
      </c>
      <c r="F62" s="182" t="s">
        <v>187</v>
      </c>
      <c r="G62" s="182">
        <v>7198.0</v>
      </c>
      <c r="H62" s="182" t="s">
        <v>410</v>
      </c>
      <c r="I62" s="182">
        <v>1.0</v>
      </c>
      <c r="J62" s="182">
        <v>13.0</v>
      </c>
      <c r="K62" s="182">
        <v>9.0</v>
      </c>
      <c r="L62" s="182">
        <v>9.0</v>
      </c>
      <c r="M62" s="182">
        <v>3.0</v>
      </c>
      <c r="N62" s="182">
        <v>1.0</v>
      </c>
      <c r="O62" s="182">
        <v>1.0</v>
      </c>
      <c r="P62" s="182">
        <v>0.0</v>
      </c>
      <c r="Q62" s="182">
        <v>9.0</v>
      </c>
      <c r="R62" s="182">
        <v>3.0</v>
      </c>
      <c r="S62" s="182">
        <v>4.0</v>
      </c>
      <c r="T62" s="182">
        <v>6.0</v>
      </c>
      <c r="U62" s="182">
        <v>1.0</v>
      </c>
      <c r="V62" s="182">
        <v>1.0</v>
      </c>
      <c r="W62" s="182">
        <v>0.0</v>
      </c>
      <c r="X62" s="182">
        <v>6.0</v>
      </c>
      <c r="Y62" s="182">
        <v>4.0</v>
      </c>
      <c r="Z62" s="182">
        <v>3.0</v>
      </c>
      <c r="AA62" s="182">
        <v>9.0</v>
      </c>
      <c r="AB62" s="182" t="s">
        <v>743</v>
      </c>
      <c r="AC62" s="182" t="s">
        <v>885</v>
      </c>
      <c r="AD62" s="182" t="s">
        <v>753</v>
      </c>
      <c r="AE62" s="182" t="s">
        <v>886</v>
      </c>
      <c r="AF62" s="182" t="s">
        <v>755</v>
      </c>
      <c r="AG62" s="182" t="s">
        <v>756</v>
      </c>
      <c r="AH62" s="182">
        <v>309.0</v>
      </c>
    </row>
    <row r="63">
      <c r="A63" s="182">
        <v>212675.0</v>
      </c>
      <c r="B63" s="182">
        <v>93672.0</v>
      </c>
      <c r="C63" s="182" t="s">
        <v>742</v>
      </c>
      <c r="D63" s="182" t="s">
        <v>227</v>
      </c>
      <c r="E63" s="182">
        <v>17807.0</v>
      </c>
      <c r="F63" s="182" t="s">
        <v>187</v>
      </c>
      <c r="G63" s="182">
        <v>7198.0</v>
      </c>
      <c r="H63" s="182" t="s">
        <v>410</v>
      </c>
      <c r="I63" s="182">
        <v>2.0</v>
      </c>
      <c r="J63" s="182">
        <v>13.0</v>
      </c>
      <c r="K63" s="182">
        <v>7.0</v>
      </c>
      <c r="L63" s="182">
        <v>9.0</v>
      </c>
      <c r="M63" s="182">
        <v>3.0</v>
      </c>
      <c r="N63" s="182">
        <v>2.0</v>
      </c>
      <c r="O63" s="182">
        <v>1.0</v>
      </c>
      <c r="P63" s="182">
        <v>1.0</v>
      </c>
      <c r="Q63" s="182">
        <v>4.0</v>
      </c>
      <c r="R63" s="182">
        <v>4.0</v>
      </c>
      <c r="S63" s="182">
        <v>9.0</v>
      </c>
      <c r="T63" s="182">
        <v>3.0</v>
      </c>
      <c r="U63" s="182">
        <v>0.0</v>
      </c>
      <c r="V63" s="182">
        <v>0.0</v>
      </c>
      <c r="W63" s="182">
        <v>0.0</v>
      </c>
      <c r="X63" s="182">
        <v>3.0</v>
      </c>
      <c r="Y63" s="182">
        <v>9.0</v>
      </c>
      <c r="Z63" s="182">
        <v>4.0</v>
      </c>
      <c r="AA63" s="182">
        <v>4.0</v>
      </c>
      <c r="AB63" s="182" t="s">
        <v>743</v>
      </c>
      <c r="AC63" s="182" t="s">
        <v>885</v>
      </c>
      <c r="AD63" s="182" t="s">
        <v>745</v>
      </c>
      <c r="AE63" s="182" t="s">
        <v>887</v>
      </c>
      <c r="AF63" s="182" t="s">
        <v>747</v>
      </c>
      <c r="AG63" s="182" t="s">
        <v>780</v>
      </c>
      <c r="AH63" s="182">
        <v>309.0</v>
      </c>
    </row>
    <row r="64">
      <c r="A64" s="182">
        <v>212674.0</v>
      </c>
      <c r="B64" s="182">
        <v>93672.0</v>
      </c>
      <c r="C64" s="182" t="s">
        <v>742</v>
      </c>
      <c r="D64" s="182" t="s">
        <v>40</v>
      </c>
      <c r="E64" s="182">
        <v>17807.0</v>
      </c>
      <c r="F64" s="182" t="s">
        <v>187</v>
      </c>
      <c r="G64" s="182">
        <v>7198.0</v>
      </c>
      <c r="H64" s="182" t="s">
        <v>410</v>
      </c>
      <c r="I64" s="182">
        <v>2.0</v>
      </c>
      <c r="J64" s="182">
        <v>13.0</v>
      </c>
      <c r="K64" s="182">
        <v>4.0</v>
      </c>
      <c r="L64" s="182">
        <v>9.0</v>
      </c>
      <c r="M64" s="182">
        <v>3.0</v>
      </c>
      <c r="N64" s="182">
        <v>2.0</v>
      </c>
      <c r="O64" s="182">
        <v>1.0</v>
      </c>
      <c r="P64" s="182">
        <v>1.0</v>
      </c>
      <c r="Q64" s="182">
        <v>4.0</v>
      </c>
      <c r="R64" s="182">
        <v>1.0</v>
      </c>
      <c r="S64" s="182">
        <v>9.0</v>
      </c>
      <c r="T64" s="182">
        <v>3.0</v>
      </c>
      <c r="U64" s="182">
        <v>0.0</v>
      </c>
      <c r="V64" s="182">
        <v>0.0</v>
      </c>
      <c r="W64" s="182">
        <v>0.0</v>
      </c>
      <c r="X64" s="182">
        <v>3.0</v>
      </c>
      <c r="Y64" s="182">
        <v>9.0</v>
      </c>
      <c r="Z64" s="182">
        <v>1.0</v>
      </c>
      <c r="AA64" s="182">
        <v>4.0</v>
      </c>
      <c r="AB64" s="182" t="s">
        <v>743</v>
      </c>
      <c r="AC64" s="182" t="s">
        <v>885</v>
      </c>
      <c r="AD64" s="182" t="s">
        <v>768</v>
      </c>
      <c r="AE64" s="182" t="s">
        <v>888</v>
      </c>
      <c r="AF64" s="182" t="s">
        <v>770</v>
      </c>
      <c r="AG64" s="182" t="s">
        <v>839</v>
      </c>
      <c r="AH64" s="182">
        <v>309.0</v>
      </c>
    </row>
    <row r="65">
      <c r="A65" s="182">
        <v>211981.0</v>
      </c>
      <c r="B65" s="182">
        <v>93394.0</v>
      </c>
      <c r="C65" s="182" t="s">
        <v>821</v>
      </c>
      <c r="D65" s="182" t="s">
        <v>36</v>
      </c>
      <c r="E65" s="182">
        <v>17819.0</v>
      </c>
      <c r="F65" s="182" t="s">
        <v>889</v>
      </c>
      <c r="G65" s="182">
        <v>5652.0</v>
      </c>
      <c r="H65" s="182" t="s">
        <v>189</v>
      </c>
      <c r="I65" s="182">
        <v>1.0</v>
      </c>
      <c r="J65" s="182">
        <v>10.0</v>
      </c>
      <c r="K65" s="182">
        <v>13.0</v>
      </c>
      <c r="L65" s="182">
        <v>6.0</v>
      </c>
      <c r="M65" s="182">
        <v>6.0</v>
      </c>
      <c r="N65" s="182">
        <v>1.0</v>
      </c>
      <c r="O65" s="182">
        <v>0.0</v>
      </c>
      <c r="P65" s="182">
        <v>1.0</v>
      </c>
      <c r="Q65" s="182">
        <v>6.0</v>
      </c>
      <c r="R65" s="182">
        <v>6.0</v>
      </c>
      <c r="S65" s="182">
        <v>4.0</v>
      </c>
      <c r="T65" s="182">
        <v>7.0</v>
      </c>
      <c r="U65" s="182">
        <v>1.0</v>
      </c>
      <c r="V65" s="182">
        <v>0.0</v>
      </c>
      <c r="W65" s="182">
        <v>1.0</v>
      </c>
      <c r="X65" s="182">
        <v>7.0</v>
      </c>
      <c r="Y65" s="182">
        <v>4.0</v>
      </c>
      <c r="Z65" s="182">
        <v>6.0</v>
      </c>
      <c r="AA65" s="182">
        <v>6.0</v>
      </c>
      <c r="AB65" s="182" t="s">
        <v>743</v>
      </c>
      <c r="AC65" s="182" t="s">
        <v>885</v>
      </c>
      <c r="AD65" s="182" t="s">
        <v>890</v>
      </c>
      <c r="AE65" s="182" t="s">
        <v>827</v>
      </c>
      <c r="AF65" s="182" t="s">
        <v>891</v>
      </c>
      <c r="AG65" s="182" t="s">
        <v>837</v>
      </c>
      <c r="AH65" s="182">
        <v>309.0</v>
      </c>
    </row>
    <row r="66">
      <c r="A66" s="182">
        <v>211980.0</v>
      </c>
      <c r="B66" s="182">
        <v>93394.0</v>
      </c>
      <c r="C66" s="182" t="s">
        <v>821</v>
      </c>
      <c r="D66" s="182" t="s">
        <v>40</v>
      </c>
      <c r="E66" s="182">
        <v>17819.0</v>
      </c>
      <c r="F66" s="182" t="s">
        <v>889</v>
      </c>
      <c r="G66" s="182">
        <v>5652.0</v>
      </c>
      <c r="H66" s="182" t="s">
        <v>189</v>
      </c>
      <c r="I66" s="182">
        <v>2.0</v>
      </c>
      <c r="J66" s="182">
        <v>1.0</v>
      </c>
      <c r="K66" s="182">
        <v>13.0</v>
      </c>
      <c r="L66" s="182">
        <v>1.0</v>
      </c>
      <c r="M66" s="182">
        <v>11.0</v>
      </c>
      <c r="N66" s="182">
        <v>0.0</v>
      </c>
      <c r="O66" s="182">
        <v>0.0</v>
      </c>
      <c r="P66" s="182">
        <v>0.0</v>
      </c>
      <c r="Q66" s="182">
        <v>0.0</v>
      </c>
      <c r="R66" s="182">
        <v>2.0</v>
      </c>
      <c r="S66" s="182">
        <v>1.0</v>
      </c>
      <c r="T66" s="182">
        <v>11.0</v>
      </c>
      <c r="U66" s="182">
        <v>2.0</v>
      </c>
      <c r="V66" s="182">
        <v>1.0</v>
      </c>
      <c r="W66" s="182">
        <v>1.0</v>
      </c>
      <c r="X66" s="182">
        <v>11.0</v>
      </c>
      <c r="Y66" s="182">
        <v>1.0</v>
      </c>
      <c r="Z66" s="182">
        <v>2.0</v>
      </c>
      <c r="AA66" s="182">
        <v>0.0</v>
      </c>
      <c r="AB66" s="182" t="s">
        <v>743</v>
      </c>
      <c r="AC66" s="182" t="s">
        <v>885</v>
      </c>
      <c r="AD66" s="182" t="s">
        <v>892</v>
      </c>
      <c r="AE66" s="182" t="s">
        <v>823</v>
      </c>
      <c r="AF66" s="182" t="s">
        <v>862</v>
      </c>
      <c r="AG66" s="182" t="s">
        <v>859</v>
      </c>
      <c r="AH66" s="182">
        <v>309.0</v>
      </c>
    </row>
    <row r="67">
      <c r="A67" s="182">
        <v>211973.0</v>
      </c>
      <c r="B67" s="182">
        <v>93391.0</v>
      </c>
      <c r="C67" s="182" t="s">
        <v>802</v>
      </c>
      <c r="D67" s="182" t="s">
        <v>34</v>
      </c>
      <c r="E67" s="182">
        <v>18501.0</v>
      </c>
      <c r="F67" s="182" t="s">
        <v>188</v>
      </c>
      <c r="G67" s="182">
        <v>5937.0</v>
      </c>
      <c r="H67" s="182" t="s">
        <v>398</v>
      </c>
      <c r="I67" s="182">
        <v>1.0</v>
      </c>
      <c r="J67" s="182">
        <v>14.0</v>
      </c>
      <c r="K67" s="182">
        <v>12.0</v>
      </c>
      <c r="L67" s="182">
        <v>5.0</v>
      </c>
      <c r="M67" s="182">
        <v>7.0</v>
      </c>
      <c r="N67" s="182">
        <v>2.0</v>
      </c>
      <c r="O67" s="182">
        <v>1.0</v>
      </c>
      <c r="P67" s="182">
        <v>1.0</v>
      </c>
      <c r="Q67" s="182">
        <v>6.0</v>
      </c>
      <c r="R67" s="182">
        <v>7.0</v>
      </c>
      <c r="S67" s="182">
        <v>8.0</v>
      </c>
      <c r="T67" s="182">
        <v>5.0</v>
      </c>
      <c r="U67" s="182">
        <v>0.0</v>
      </c>
      <c r="V67" s="182">
        <v>0.0</v>
      </c>
      <c r="W67" s="182">
        <v>0.0</v>
      </c>
      <c r="X67" s="182">
        <v>5.0</v>
      </c>
      <c r="Y67" s="182">
        <v>8.0</v>
      </c>
      <c r="Z67" s="182">
        <v>7.0</v>
      </c>
      <c r="AA67" s="182">
        <v>6.0</v>
      </c>
      <c r="AB67" s="182" t="s">
        <v>743</v>
      </c>
      <c r="AC67" s="182" t="s">
        <v>893</v>
      </c>
      <c r="AD67" s="182" t="s">
        <v>894</v>
      </c>
      <c r="AE67" s="182" t="s">
        <v>895</v>
      </c>
      <c r="AF67" s="182" t="s">
        <v>896</v>
      </c>
      <c r="AG67" s="182" t="s">
        <v>782</v>
      </c>
      <c r="AH67" s="182">
        <v>309.0</v>
      </c>
    </row>
    <row r="68">
      <c r="A68" s="182">
        <v>211972.0</v>
      </c>
      <c r="B68" s="182">
        <v>93391.0</v>
      </c>
      <c r="C68" s="182" t="s">
        <v>802</v>
      </c>
      <c r="D68" s="182" t="s">
        <v>40</v>
      </c>
      <c r="E68" s="182">
        <v>18501.0</v>
      </c>
      <c r="F68" s="182" t="s">
        <v>188</v>
      </c>
      <c r="G68" s="182">
        <v>5937.0</v>
      </c>
      <c r="H68" s="182" t="s">
        <v>398</v>
      </c>
      <c r="I68" s="182">
        <v>2.0</v>
      </c>
      <c r="J68" s="182">
        <v>6.0</v>
      </c>
      <c r="K68" s="182">
        <v>13.0</v>
      </c>
      <c r="L68" s="182">
        <v>4.0</v>
      </c>
      <c r="M68" s="182">
        <v>8.0</v>
      </c>
      <c r="N68" s="182">
        <v>0.0</v>
      </c>
      <c r="O68" s="182">
        <v>0.0</v>
      </c>
      <c r="P68" s="182">
        <v>0.0</v>
      </c>
      <c r="Q68" s="182">
        <v>2.0</v>
      </c>
      <c r="R68" s="182">
        <v>5.0</v>
      </c>
      <c r="S68" s="182">
        <v>4.0</v>
      </c>
      <c r="T68" s="182">
        <v>8.0</v>
      </c>
      <c r="U68" s="182">
        <v>2.0</v>
      </c>
      <c r="V68" s="182">
        <v>1.0</v>
      </c>
      <c r="W68" s="182">
        <v>1.0</v>
      </c>
      <c r="X68" s="182">
        <v>8.0</v>
      </c>
      <c r="Y68" s="182">
        <v>4.0</v>
      </c>
      <c r="Z68" s="182">
        <v>5.0</v>
      </c>
      <c r="AA68" s="182">
        <v>2.0</v>
      </c>
      <c r="AB68" s="182" t="s">
        <v>743</v>
      </c>
      <c r="AC68" s="182" t="s">
        <v>893</v>
      </c>
      <c r="AD68" s="182" t="s">
        <v>804</v>
      </c>
      <c r="AE68" s="182" t="s">
        <v>897</v>
      </c>
      <c r="AF68" s="182" t="s">
        <v>777</v>
      </c>
      <c r="AG68" s="182" t="s">
        <v>898</v>
      </c>
      <c r="AH68" s="182">
        <v>309.0</v>
      </c>
    </row>
    <row r="69">
      <c r="A69" s="182">
        <v>211971.0</v>
      </c>
      <c r="B69" s="182">
        <v>93391.0</v>
      </c>
      <c r="C69" s="182" t="s">
        <v>802</v>
      </c>
      <c r="D69" s="182" t="s">
        <v>32</v>
      </c>
      <c r="E69" s="182">
        <v>18501.0</v>
      </c>
      <c r="F69" s="182" t="s">
        <v>188</v>
      </c>
      <c r="G69" s="182">
        <v>5937.0</v>
      </c>
      <c r="H69" s="182" t="s">
        <v>398</v>
      </c>
      <c r="I69" s="182">
        <v>2.0</v>
      </c>
      <c r="J69" s="182">
        <v>13.0</v>
      </c>
      <c r="K69" s="182">
        <v>6.0</v>
      </c>
      <c r="L69" s="182">
        <v>8.0</v>
      </c>
      <c r="M69" s="182">
        <v>4.0</v>
      </c>
      <c r="N69" s="182">
        <v>1.0</v>
      </c>
      <c r="O69" s="182">
        <v>1.0</v>
      </c>
      <c r="P69" s="182">
        <v>0.0</v>
      </c>
      <c r="Q69" s="182">
        <v>5.0</v>
      </c>
      <c r="R69" s="182">
        <v>2.0</v>
      </c>
      <c r="S69" s="182">
        <v>8.0</v>
      </c>
      <c r="T69" s="182">
        <v>4.0</v>
      </c>
      <c r="U69" s="182">
        <v>1.0</v>
      </c>
      <c r="V69" s="182">
        <v>1.0</v>
      </c>
      <c r="W69" s="182">
        <v>0.0</v>
      </c>
      <c r="X69" s="182">
        <v>4.0</v>
      </c>
      <c r="Y69" s="182">
        <v>8.0</v>
      </c>
      <c r="Z69" s="182">
        <v>2.0</v>
      </c>
      <c r="AA69" s="182">
        <v>5.0</v>
      </c>
      <c r="AB69" s="182" t="s">
        <v>743</v>
      </c>
      <c r="AC69" s="182" t="s">
        <v>893</v>
      </c>
      <c r="AD69" s="182" t="s">
        <v>815</v>
      </c>
      <c r="AE69" s="182" t="s">
        <v>899</v>
      </c>
      <c r="AF69" s="182" t="s">
        <v>751</v>
      </c>
      <c r="AG69" s="182" t="s">
        <v>816</v>
      </c>
      <c r="AH69" s="182">
        <v>309.0</v>
      </c>
    </row>
    <row r="70">
      <c r="A70" s="182">
        <v>211970.0</v>
      </c>
      <c r="B70" s="182">
        <v>93390.0</v>
      </c>
      <c r="C70" s="182" t="s">
        <v>802</v>
      </c>
      <c r="D70" s="182" t="s">
        <v>36</v>
      </c>
      <c r="E70" s="182">
        <v>5293.0</v>
      </c>
      <c r="F70" s="182" t="s">
        <v>186</v>
      </c>
      <c r="G70" s="182">
        <v>3540.0</v>
      </c>
      <c r="H70" s="182" t="s">
        <v>399</v>
      </c>
      <c r="I70" s="182">
        <v>1.0</v>
      </c>
      <c r="J70" s="182">
        <v>14.0</v>
      </c>
      <c r="K70" s="182">
        <v>12.0</v>
      </c>
      <c r="L70" s="182">
        <v>4.0</v>
      </c>
      <c r="M70" s="182">
        <v>8.0</v>
      </c>
      <c r="N70" s="182">
        <v>0.0</v>
      </c>
      <c r="O70" s="182">
        <v>0.0</v>
      </c>
      <c r="P70" s="182">
        <v>0.0</v>
      </c>
      <c r="Q70" s="182">
        <v>5.0</v>
      </c>
      <c r="R70" s="182">
        <v>8.0</v>
      </c>
      <c r="S70" s="182">
        <v>9.0</v>
      </c>
      <c r="T70" s="182">
        <v>4.0</v>
      </c>
      <c r="U70" s="182">
        <v>2.0</v>
      </c>
      <c r="V70" s="182">
        <v>1.0</v>
      </c>
      <c r="W70" s="182">
        <v>1.0</v>
      </c>
      <c r="X70" s="182">
        <v>4.0</v>
      </c>
      <c r="Y70" s="182">
        <v>9.0</v>
      </c>
      <c r="Z70" s="182">
        <v>8.0</v>
      </c>
      <c r="AA70" s="182">
        <v>5.0</v>
      </c>
      <c r="AB70" s="182" t="s">
        <v>743</v>
      </c>
      <c r="AC70" s="182" t="s">
        <v>893</v>
      </c>
      <c r="AD70" s="182" t="s">
        <v>900</v>
      </c>
      <c r="AE70" s="182" t="s">
        <v>901</v>
      </c>
      <c r="AF70" s="182" t="s">
        <v>761</v>
      </c>
      <c r="AG70" s="182" t="s">
        <v>902</v>
      </c>
      <c r="AH70" s="182">
        <v>309.0</v>
      </c>
    </row>
    <row r="71">
      <c r="A71" s="182">
        <v>211969.0</v>
      </c>
      <c r="B71" s="182">
        <v>93390.0</v>
      </c>
      <c r="C71" s="182" t="s">
        <v>802</v>
      </c>
      <c r="D71" s="182" t="s">
        <v>40</v>
      </c>
      <c r="E71" s="182">
        <v>5293.0</v>
      </c>
      <c r="F71" s="182" t="s">
        <v>186</v>
      </c>
      <c r="G71" s="182">
        <v>3540.0</v>
      </c>
      <c r="H71" s="182" t="s">
        <v>399</v>
      </c>
      <c r="I71" s="182">
        <v>2.0</v>
      </c>
      <c r="J71" s="182">
        <v>13.0</v>
      </c>
      <c r="K71" s="182">
        <v>4.0</v>
      </c>
      <c r="L71" s="182">
        <v>8.0</v>
      </c>
      <c r="M71" s="182">
        <v>4.0</v>
      </c>
      <c r="N71" s="182">
        <v>2.0</v>
      </c>
      <c r="O71" s="182">
        <v>1.0</v>
      </c>
      <c r="P71" s="182">
        <v>1.0</v>
      </c>
      <c r="Q71" s="182">
        <v>5.0</v>
      </c>
      <c r="R71" s="182">
        <v>0.0</v>
      </c>
      <c r="S71" s="182">
        <v>8.0</v>
      </c>
      <c r="T71" s="182">
        <v>4.0</v>
      </c>
      <c r="U71" s="182">
        <v>0.0</v>
      </c>
      <c r="V71" s="182">
        <v>0.0</v>
      </c>
      <c r="W71" s="182">
        <v>0.0</v>
      </c>
      <c r="X71" s="182">
        <v>4.0</v>
      </c>
      <c r="Y71" s="182">
        <v>8.0</v>
      </c>
      <c r="Z71" s="182">
        <v>0.0</v>
      </c>
      <c r="AA71" s="182">
        <v>5.0</v>
      </c>
      <c r="AB71" s="182" t="s">
        <v>743</v>
      </c>
      <c r="AC71" s="182" t="s">
        <v>893</v>
      </c>
      <c r="AD71" s="182" t="s">
        <v>803</v>
      </c>
      <c r="AE71" s="182" t="s">
        <v>903</v>
      </c>
      <c r="AF71" s="182" t="s">
        <v>777</v>
      </c>
      <c r="AG71" s="182" t="s">
        <v>862</v>
      </c>
      <c r="AH71" s="182">
        <v>309.0</v>
      </c>
    </row>
    <row r="72">
      <c r="A72" s="182">
        <v>211968.0</v>
      </c>
      <c r="B72" s="182">
        <v>93390.0</v>
      </c>
      <c r="C72" s="182" t="s">
        <v>802</v>
      </c>
      <c r="D72" s="182" t="s">
        <v>32</v>
      </c>
      <c r="E72" s="182">
        <v>5293.0</v>
      </c>
      <c r="F72" s="182" t="s">
        <v>186</v>
      </c>
      <c r="G72" s="182">
        <v>3540.0</v>
      </c>
      <c r="H72" s="182" t="s">
        <v>399</v>
      </c>
      <c r="I72" s="182">
        <v>1.0</v>
      </c>
      <c r="J72" s="182">
        <v>6.0</v>
      </c>
      <c r="K72" s="182">
        <v>13.0</v>
      </c>
      <c r="L72" s="182">
        <v>5.0</v>
      </c>
      <c r="M72" s="182">
        <v>7.0</v>
      </c>
      <c r="N72" s="182">
        <v>0.0</v>
      </c>
      <c r="O72" s="182">
        <v>0.0</v>
      </c>
      <c r="P72" s="182">
        <v>0.0</v>
      </c>
      <c r="Q72" s="182">
        <v>5.0</v>
      </c>
      <c r="R72" s="182">
        <v>7.0</v>
      </c>
      <c r="S72" s="182">
        <v>1.0</v>
      </c>
      <c r="T72" s="182">
        <v>6.0</v>
      </c>
      <c r="U72" s="182">
        <v>2.0</v>
      </c>
      <c r="V72" s="182">
        <v>1.0</v>
      </c>
      <c r="W72" s="182">
        <v>1.0</v>
      </c>
      <c r="X72" s="182">
        <v>6.0</v>
      </c>
      <c r="Y72" s="182">
        <v>1.0</v>
      </c>
      <c r="Z72" s="182">
        <v>7.0</v>
      </c>
      <c r="AA72" s="182">
        <v>5.0</v>
      </c>
      <c r="AB72" s="182" t="s">
        <v>743</v>
      </c>
      <c r="AC72" s="182" t="s">
        <v>893</v>
      </c>
      <c r="AD72" s="182" t="s">
        <v>814</v>
      </c>
      <c r="AE72" s="182" t="s">
        <v>904</v>
      </c>
      <c r="AF72" s="182" t="s">
        <v>816</v>
      </c>
      <c r="AG72" s="182" t="s">
        <v>751</v>
      </c>
      <c r="AH72" s="182">
        <v>309.0</v>
      </c>
    </row>
    <row r="73">
      <c r="A73" s="182">
        <v>211957.0</v>
      </c>
      <c r="B73" s="182">
        <v>93386.0</v>
      </c>
      <c r="C73" s="182" t="s">
        <v>798</v>
      </c>
      <c r="D73" s="182" t="s">
        <v>42</v>
      </c>
      <c r="E73" s="182">
        <v>17952.0</v>
      </c>
      <c r="F73" s="182" t="s">
        <v>1</v>
      </c>
      <c r="G73" s="182">
        <v>18392.0</v>
      </c>
      <c r="H73" s="182" t="s">
        <v>181</v>
      </c>
      <c r="I73" s="182">
        <v>2.0</v>
      </c>
      <c r="J73" s="182">
        <v>13.0</v>
      </c>
      <c r="K73" s="182">
        <v>3.0</v>
      </c>
      <c r="L73" s="182">
        <v>10.0</v>
      </c>
      <c r="M73" s="182">
        <v>2.0</v>
      </c>
      <c r="N73" s="182">
        <v>2.0</v>
      </c>
      <c r="O73" s="182">
        <v>1.0</v>
      </c>
      <c r="P73" s="182">
        <v>1.0</v>
      </c>
      <c r="Q73" s="182">
        <v>3.0</v>
      </c>
      <c r="R73" s="182">
        <v>1.0</v>
      </c>
      <c r="S73" s="182">
        <v>10.0</v>
      </c>
      <c r="T73" s="182">
        <v>2.0</v>
      </c>
      <c r="U73" s="182">
        <v>0.0</v>
      </c>
      <c r="V73" s="182">
        <v>0.0</v>
      </c>
      <c r="W73" s="182">
        <v>0.0</v>
      </c>
      <c r="X73" s="182">
        <v>2.0</v>
      </c>
      <c r="Y73" s="182">
        <v>10.0</v>
      </c>
      <c r="Z73" s="182">
        <v>1.0</v>
      </c>
      <c r="AA73" s="182">
        <v>3.0</v>
      </c>
      <c r="AB73" s="182" t="s">
        <v>743</v>
      </c>
      <c r="AC73" s="182" t="s">
        <v>905</v>
      </c>
      <c r="AD73" s="182" t="s">
        <v>806</v>
      </c>
      <c r="AE73" s="182" t="s">
        <v>906</v>
      </c>
      <c r="AF73" s="182" t="s">
        <v>41</v>
      </c>
      <c r="AG73" s="182" t="s">
        <v>834</v>
      </c>
      <c r="AH73" s="182">
        <v>309.0</v>
      </c>
    </row>
    <row r="74">
      <c r="A74" s="182">
        <v>211956.0</v>
      </c>
      <c r="B74" s="182">
        <v>93386.0</v>
      </c>
      <c r="C74" s="182" t="s">
        <v>798</v>
      </c>
      <c r="D74" s="182" t="s">
        <v>40</v>
      </c>
      <c r="E74" s="182">
        <v>17952.0</v>
      </c>
      <c r="F74" s="182" t="s">
        <v>1</v>
      </c>
      <c r="G74" s="182">
        <v>18392.0</v>
      </c>
      <c r="H74" s="182" t="s">
        <v>181</v>
      </c>
      <c r="I74" s="182">
        <v>2.0</v>
      </c>
      <c r="J74" s="182">
        <v>13.0</v>
      </c>
      <c r="K74" s="182">
        <v>6.0</v>
      </c>
      <c r="L74" s="182">
        <v>10.0</v>
      </c>
      <c r="M74" s="182">
        <v>2.0</v>
      </c>
      <c r="N74" s="182">
        <v>1.0</v>
      </c>
      <c r="O74" s="182">
        <v>0.0</v>
      </c>
      <c r="P74" s="182">
        <v>1.0</v>
      </c>
      <c r="Q74" s="182">
        <v>3.0</v>
      </c>
      <c r="R74" s="182">
        <v>4.0</v>
      </c>
      <c r="S74" s="182">
        <v>10.0</v>
      </c>
      <c r="T74" s="182">
        <v>2.0</v>
      </c>
      <c r="U74" s="182">
        <v>1.0</v>
      </c>
      <c r="V74" s="182">
        <v>0.0</v>
      </c>
      <c r="W74" s="182">
        <v>1.0</v>
      </c>
      <c r="X74" s="182">
        <v>2.0</v>
      </c>
      <c r="Y74" s="182">
        <v>10.0</v>
      </c>
      <c r="Z74" s="182">
        <v>4.0</v>
      </c>
      <c r="AA74" s="182">
        <v>3.0</v>
      </c>
      <c r="AB74" s="182" t="s">
        <v>743</v>
      </c>
      <c r="AC74" s="182" t="s">
        <v>905</v>
      </c>
      <c r="AD74" s="182" t="s">
        <v>825</v>
      </c>
      <c r="AE74" s="182" t="s">
        <v>907</v>
      </c>
      <c r="AF74" s="182" t="s">
        <v>39</v>
      </c>
      <c r="AG74" s="182" t="s">
        <v>793</v>
      </c>
      <c r="AH74" s="182">
        <v>309.0</v>
      </c>
    </row>
    <row r="75">
      <c r="A75" s="182">
        <v>211246.0</v>
      </c>
      <c r="B75" s="182">
        <v>92903.0</v>
      </c>
      <c r="C75" s="182" t="s">
        <v>821</v>
      </c>
      <c r="D75" s="182" t="s">
        <v>36</v>
      </c>
      <c r="E75" s="182">
        <v>9369.0</v>
      </c>
      <c r="F75" s="182" t="s">
        <v>232</v>
      </c>
      <c r="G75" s="182">
        <v>18979.0</v>
      </c>
      <c r="H75" s="182" t="s">
        <v>395</v>
      </c>
      <c r="I75" s="182">
        <v>2.0</v>
      </c>
      <c r="J75" s="182">
        <v>13.0</v>
      </c>
      <c r="K75" s="182">
        <v>2.0</v>
      </c>
      <c r="L75" s="182">
        <v>11.0</v>
      </c>
      <c r="M75" s="182">
        <v>1.0</v>
      </c>
      <c r="N75" s="182">
        <v>2.0</v>
      </c>
      <c r="O75" s="182">
        <v>1.0</v>
      </c>
      <c r="P75" s="182">
        <v>1.0</v>
      </c>
      <c r="Q75" s="182">
        <v>2.0</v>
      </c>
      <c r="R75" s="182">
        <v>1.0</v>
      </c>
      <c r="S75" s="182">
        <v>11.0</v>
      </c>
      <c r="T75" s="182">
        <v>1.0</v>
      </c>
      <c r="U75" s="182">
        <v>0.0</v>
      </c>
      <c r="V75" s="182">
        <v>0.0</v>
      </c>
      <c r="W75" s="182">
        <v>0.0</v>
      </c>
      <c r="X75" s="182">
        <v>1.0</v>
      </c>
      <c r="Y75" s="182">
        <v>11.0</v>
      </c>
      <c r="Z75" s="182">
        <v>1.0</v>
      </c>
      <c r="AA75" s="182">
        <v>2.0</v>
      </c>
      <c r="AB75" s="182" t="s">
        <v>743</v>
      </c>
      <c r="AC75" s="182" t="s">
        <v>905</v>
      </c>
      <c r="AD75" s="182" t="s">
        <v>835</v>
      </c>
      <c r="AE75" s="182" t="s">
        <v>908</v>
      </c>
      <c r="AF75" s="182" t="s">
        <v>836</v>
      </c>
      <c r="AG75" s="182" t="s">
        <v>909</v>
      </c>
      <c r="AH75" s="182">
        <v>309.0</v>
      </c>
    </row>
    <row r="76">
      <c r="A76" s="182">
        <v>211599.0</v>
      </c>
      <c r="B76" s="182">
        <v>93186.0</v>
      </c>
      <c r="C76" s="182" t="s">
        <v>798</v>
      </c>
      <c r="D76" s="182" t="s">
        <v>34</v>
      </c>
      <c r="E76" s="182">
        <v>17869.0</v>
      </c>
      <c r="F76" s="182" t="s">
        <v>190</v>
      </c>
      <c r="G76" s="182">
        <v>539.0</v>
      </c>
      <c r="H76" s="182" t="s">
        <v>179</v>
      </c>
      <c r="I76" s="182">
        <v>1.0</v>
      </c>
      <c r="J76" s="182">
        <v>3.0</v>
      </c>
      <c r="K76" s="182">
        <v>13.0</v>
      </c>
      <c r="L76" s="182">
        <v>3.0</v>
      </c>
      <c r="M76" s="182">
        <v>9.0</v>
      </c>
      <c r="N76" s="182">
        <v>0.0</v>
      </c>
      <c r="O76" s="182">
        <v>0.0</v>
      </c>
      <c r="P76" s="182">
        <v>0.0</v>
      </c>
      <c r="Q76" s="182">
        <v>3.0</v>
      </c>
      <c r="R76" s="182">
        <v>9.0</v>
      </c>
      <c r="S76" s="182">
        <v>0.0</v>
      </c>
      <c r="T76" s="182">
        <v>4.0</v>
      </c>
      <c r="U76" s="182">
        <v>2.0</v>
      </c>
      <c r="V76" s="182">
        <v>1.0</v>
      </c>
      <c r="W76" s="182">
        <v>1.0</v>
      </c>
      <c r="X76" s="182">
        <v>4.0</v>
      </c>
      <c r="Y76" s="182">
        <v>0.0</v>
      </c>
      <c r="Z76" s="182">
        <v>9.0</v>
      </c>
      <c r="AA76" s="182">
        <v>3.0</v>
      </c>
      <c r="AB76" s="182" t="s">
        <v>743</v>
      </c>
      <c r="AC76" s="182" t="s">
        <v>905</v>
      </c>
      <c r="AD76" s="182" t="s">
        <v>910</v>
      </c>
      <c r="AE76" s="182" t="s">
        <v>911</v>
      </c>
      <c r="AF76" s="182" t="s">
        <v>782</v>
      </c>
      <c r="AG76" s="182" t="s">
        <v>912</v>
      </c>
      <c r="AH76" s="182">
        <v>309.0</v>
      </c>
    </row>
    <row r="77">
      <c r="A77" s="182">
        <v>211245.0</v>
      </c>
      <c r="B77" s="182">
        <v>92903.0</v>
      </c>
      <c r="C77" s="182" t="s">
        <v>821</v>
      </c>
      <c r="D77" s="182" t="s">
        <v>34</v>
      </c>
      <c r="E77" s="182">
        <v>9369.0</v>
      </c>
      <c r="F77" s="182" t="s">
        <v>232</v>
      </c>
      <c r="G77" s="182">
        <v>18979.0</v>
      </c>
      <c r="H77" s="182" t="s">
        <v>395</v>
      </c>
      <c r="I77" s="182">
        <v>2.0</v>
      </c>
      <c r="J77" s="182">
        <v>13.0</v>
      </c>
      <c r="K77" s="182">
        <v>3.0</v>
      </c>
      <c r="L77" s="182">
        <v>9.0</v>
      </c>
      <c r="M77" s="182">
        <v>3.0</v>
      </c>
      <c r="N77" s="182">
        <v>2.0</v>
      </c>
      <c r="O77" s="182">
        <v>1.0</v>
      </c>
      <c r="P77" s="182">
        <v>1.0</v>
      </c>
      <c r="Q77" s="182">
        <v>4.0</v>
      </c>
      <c r="R77" s="182">
        <v>0.0</v>
      </c>
      <c r="S77" s="182">
        <v>9.0</v>
      </c>
      <c r="T77" s="182">
        <v>3.0</v>
      </c>
      <c r="U77" s="182">
        <v>0.0</v>
      </c>
      <c r="V77" s="182">
        <v>0.0</v>
      </c>
      <c r="W77" s="182">
        <v>0.0</v>
      </c>
      <c r="X77" s="182">
        <v>3.0</v>
      </c>
      <c r="Y77" s="182">
        <v>9.0</v>
      </c>
      <c r="Z77" s="182">
        <v>0.0</v>
      </c>
      <c r="AA77" s="182">
        <v>4.0</v>
      </c>
      <c r="AB77" s="182" t="s">
        <v>743</v>
      </c>
      <c r="AC77" s="182" t="s">
        <v>905</v>
      </c>
      <c r="AD77" s="182" t="s">
        <v>913</v>
      </c>
      <c r="AE77" s="182" t="s">
        <v>914</v>
      </c>
      <c r="AF77" s="182" t="s">
        <v>756</v>
      </c>
      <c r="AG77" s="182" t="s">
        <v>915</v>
      </c>
      <c r="AH77" s="182">
        <v>309.0</v>
      </c>
    </row>
    <row r="78">
      <c r="A78" s="182">
        <v>211598.0</v>
      </c>
      <c r="B78" s="182">
        <v>93186.0</v>
      </c>
      <c r="C78" s="182" t="s">
        <v>798</v>
      </c>
      <c r="D78" s="182" t="s">
        <v>227</v>
      </c>
      <c r="E78" s="182">
        <v>17869.0</v>
      </c>
      <c r="F78" s="182" t="s">
        <v>190</v>
      </c>
      <c r="G78" s="182">
        <v>539.0</v>
      </c>
      <c r="H78" s="182" t="s">
        <v>179</v>
      </c>
      <c r="I78" s="182">
        <v>2.0</v>
      </c>
      <c r="J78" s="182">
        <v>6.0</v>
      </c>
      <c r="K78" s="182">
        <v>13.0</v>
      </c>
      <c r="L78" s="182">
        <v>4.0</v>
      </c>
      <c r="M78" s="182">
        <v>8.0</v>
      </c>
      <c r="N78" s="182">
        <v>0.0</v>
      </c>
      <c r="O78" s="182">
        <v>0.0</v>
      </c>
      <c r="P78" s="182">
        <v>0.0</v>
      </c>
      <c r="Q78" s="182">
        <v>2.0</v>
      </c>
      <c r="R78" s="182">
        <v>5.0</v>
      </c>
      <c r="S78" s="182">
        <v>4.0</v>
      </c>
      <c r="T78" s="182">
        <v>8.0</v>
      </c>
      <c r="U78" s="182">
        <v>2.0</v>
      </c>
      <c r="V78" s="182">
        <v>1.0</v>
      </c>
      <c r="W78" s="182">
        <v>1.0</v>
      </c>
      <c r="X78" s="182">
        <v>8.0</v>
      </c>
      <c r="Y78" s="182">
        <v>4.0</v>
      </c>
      <c r="Z78" s="182">
        <v>5.0</v>
      </c>
      <c r="AA78" s="182">
        <v>2.0</v>
      </c>
      <c r="AB78" s="182" t="s">
        <v>743</v>
      </c>
      <c r="AC78" s="182" t="s">
        <v>905</v>
      </c>
      <c r="AD78" s="182" t="s">
        <v>916</v>
      </c>
      <c r="AE78" s="182" t="s">
        <v>811</v>
      </c>
      <c r="AF78" s="182" t="s">
        <v>748</v>
      </c>
      <c r="AG78" s="182" t="s">
        <v>813</v>
      </c>
      <c r="AH78" s="182">
        <v>309.0</v>
      </c>
    </row>
    <row r="79">
      <c r="A79" s="182">
        <v>211597.0</v>
      </c>
      <c r="B79" s="182">
        <v>93186.0</v>
      </c>
      <c r="C79" s="182" t="s">
        <v>798</v>
      </c>
      <c r="D79" s="182" t="s">
        <v>40</v>
      </c>
      <c r="E79" s="182">
        <v>17869.0</v>
      </c>
      <c r="F79" s="182" t="s">
        <v>190</v>
      </c>
      <c r="G79" s="182">
        <v>539.0</v>
      </c>
      <c r="H79" s="182" t="s">
        <v>179</v>
      </c>
      <c r="I79" s="182">
        <v>1.0</v>
      </c>
      <c r="J79" s="182">
        <v>13.0</v>
      </c>
      <c r="K79" s="182">
        <v>8.0</v>
      </c>
      <c r="L79" s="182">
        <v>7.0</v>
      </c>
      <c r="M79" s="182">
        <v>5.0</v>
      </c>
      <c r="N79" s="182">
        <v>2.0</v>
      </c>
      <c r="O79" s="182">
        <v>1.0</v>
      </c>
      <c r="P79" s="182">
        <v>1.0</v>
      </c>
      <c r="Q79" s="182">
        <v>7.0</v>
      </c>
      <c r="R79" s="182">
        <v>5.0</v>
      </c>
      <c r="S79" s="182">
        <v>6.0</v>
      </c>
      <c r="T79" s="182">
        <v>3.0</v>
      </c>
      <c r="U79" s="182">
        <v>0.0</v>
      </c>
      <c r="V79" s="182">
        <v>0.0</v>
      </c>
      <c r="W79" s="182">
        <v>0.0</v>
      </c>
      <c r="X79" s="182">
        <v>3.0</v>
      </c>
      <c r="Y79" s="182">
        <v>6.0</v>
      </c>
      <c r="Z79" s="182">
        <v>5.0</v>
      </c>
      <c r="AA79" s="182">
        <v>7.0</v>
      </c>
      <c r="AB79" s="182" t="s">
        <v>743</v>
      </c>
      <c r="AC79" s="182" t="s">
        <v>905</v>
      </c>
      <c r="AD79" s="182" t="s">
        <v>824</v>
      </c>
      <c r="AE79" s="182" t="s">
        <v>805</v>
      </c>
      <c r="AF79" s="182" t="s">
        <v>777</v>
      </c>
      <c r="AG79" s="182" t="s">
        <v>793</v>
      </c>
      <c r="AH79" s="182">
        <v>309.0</v>
      </c>
    </row>
    <row r="80">
      <c r="A80" s="182">
        <v>211220.0</v>
      </c>
      <c r="B80" s="182">
        <v>92894.0</v>
      </c>
      <c r="C80" s="182" t="s">
        <v>917</v>
      </c>
      <c r="D80" s="182" t="s">
        <v>42</v>
      </c>
      <c r="E80" s="182">
        <v>14291.0</v>
      </c>
      <c r="F80" s="182" t="s">
        <v>183</v>
      </c>
      <c r="G80" s="182">
        <v>5439.0</v>
      </c>
      <c r="H80" s="182" t="s">
        <v>400</v>
      </c>
      <c r="I80" s="182">
        <v>2.0</v>
      </c>
      <c r="J80" s="182">
        <v>14.0</v>
      </c>
      <c r="K80" s="182">
        <v>12.0</v>
      </c>
      <c r="L80" s="182">
        <v>6.0</v>
      </c>
      <c r="M80" s="182">
        <v>6.0</v>
      </c>
      <c r="N80" s="182">
        <v>1.0</v>
      </c>
      <c r="O80" s="182">
        <v>0.0</v>
      </c>
      <c r="P80" s="182">
        <v>1.0</v>
      </c>
      <c r="Q80" s="182">
        <v>7.0</v>
      </c>
      <c r="R80" s="182">
        <v>6.0</v>
      </c>
      <c r="S80" s="182">
        <v>7.0</v>
      </c>
      <c r="T80" s="182">
        <v>6.0</v>
      </c>
      <c r="U80" s="182">
        <v>1.0</v>
      </c>
      <c r="V80" s="182">
        <v>0.0</v>
      </c>
      <c r="W80" s="182">
        <v>1.0</v>
      </c>
      <c r="X80" s="182">
        <v>6.0</v>
      </c>
      <c r="Y80" s="182">
        <v>7.0</v>
      </c>
      <c r="Z80" s="182">
        <v>6.0</v>
      </c>
      <c r="AA80" s="182">
        <v>7.0</v>
      </c>
      <c r="AB80" s="182" t="s">
        <v>743</v>
      </c>
      <c r="AC80" s="182" t="s">
        <v>918</v>
      </c>
      <c r="AD80" s="182" t="s">
        <v>919</v>
      </c>
      <c r="AE80" s="182" t="s">
        <v>920</v>
      </c>
      <c r="AF80" s="182" t="s">
        <v>921</v>
      </c>
      <c r="AG80" s="182" t="s">
        <v>922</v>
      </c>
      <c r="AH80" s="182">
        <v>309.0</v>
      </c>
    </row>
    <row r="81">
      <c r="A81" s="182">
        <v>211219.0</v>
      </c>
      <c r="B81" s="182">
        <v>92894.0</v>
      </c>
      <c r="C81" s="182" t="s">
        <v>917</v>
      </c>
      <c r="D81" s="182" t="s">
        <v>34</v>
      </c>
      <c r="E81" s="182">
        <v>14291.0</v>
      </c>
      <c r="F81" s="182" t="s">
        <v>183</v>
      </c>
      <c r="G81" s="182">
        <v>5439.0</v>
      </c>
      <c r="H81" s="182" t="s">
        <v>400</v>
      </c>
      <c r="I81" s="182">
        <v>1.0</v>
      </c>
      <c r="J81" s="182">
        <v>13.0</v>
      </c>
      <c r="K81" s="182">
        <v>2.0</v>
      </c>
      <c r="L81" s="182">
        <v>11.0</v>
      </c>
      <c r="M81" s="182">
        <v>1.0</v>
      </c>
      <c r="N81" s="182">
        <v>1.0</v>
      </c>
      <c r="O81" s="182">
        <v>1.0</v>
      </c>
      <c r="P81" s="182">
        <v>0.0</v>
      </c>
      <c r="Q81" s="182">
        <v>11.0</v>
      </c>
      <c r="R81" s="182">
        <v>1.0</v>
      </c>
      <c r="S81" s="182">
        <v>2.0</v>
      </c>
      <c r="T81" s="182">
        <v>1.0</v>
      </c>
      <c r="U81" s="182">
        <v>1.0</v>
      </c>
      <c r="V81" s="182">
        <v>1.0</v>
      </c>
      <c r="W81" s="182">
        <v>0.0</v>
      </c>
      <c r="X81" s="182">
        <v>1.0</v>
      </c>
      <c r="Y81" s="182">
        <v>2.0</v>
      </c>
      <c r="Z81" s="182">
        <v>1.0</v>
      </c>
      <c r="AA81" s="182">
        <v>11.0</v>
      </c>
      <c r="AB81" s="182" t="s">
        <v>743</v>
      </c>
      <c r="AC81" s="182" t="s">
        <v>918</v>
      </c>
      <c r="AD81" s="182" t="s">
        <v>843</v>
      </c>
      <c r="AE81" s="182" t="s">
        <v>852</v>
      </c>
      <c r="AF81" s="182" t="s">
        <v>845</v>
      </c>
      <c r="AG81" s="182" t="s">
        <v>923</v>
      </c>
      <c r="AH81" s="182">
        <v>309.0</v>
      </c>
    </row>
    <row r="82">
      <c r="A82" s="182">
        <v>211267.0</v>
      </c>
      <c r="B82" s="182">
        <v>92910.0</v>
      </c>
      <c r="C82" s="182" t="s">
        <v>798</v>
      </c>
      <c r="D82" s="182" t="s">
        <v>38</v>
      </c>
      <c r="E82" s="182">
        <v>18392.0</v>
      </c>
      <c r="F82" s="182" t="s">
        <v>181</v>
      </c>
      <c r="G82" s="182">
        <v>8581.0</v>
      </c>
      <c r="H82" s="182" t="s">
        <v>401</v>
      </c>
      <c r="I82" s="182">
        <v>1.0</v>
      </c>
      <c r="J82" s="182">
        <v>13.0</v>
      </c>
      <c r="K82" s="182">
        <v>4.0</v>
      </c>
      <c r="L82" s="182">
        <v>8.0</v>
      </c>
      <c r="M82" s="182">
        <v>4.0</v>
      </c>
      <c r="N82" s="182">
        <v>1.0</v>
      </c>
      <c r="O82" s="182">
        <v>0.0</v>
      </c>
      <c r="P82" s="182">
        <v>1.0</v>
      </c>
      <c r="Q82" s="182">
        <v>8.0</v>
      </c>
      <c r="R82" s="182">
        <v>4.0</v>
      </c>
      <c r="S82" s="182">
        <v>5.0</v>
      </c>
      <c r="T82" s="182">
        <v>0.0</v>
      </c>
      <c r="U82" s="182">
        <v>1.0</v>
      </c>
      <c r="V82" s="182">
        <v>0.0</v>
      </c>
      <c r="W82" s="182">
        <v>1.0</v>
      </c>
      <c r="X82" s="182">
        <v>0.0</v>
      </c>
      <c r="Y82" s="182">
        <v>5.0</v>
      </c>
      <c r="Z82" s="182">
        <v>4.0</v>
      </c>
      <c r="AA82" s="182">
        <v>8.0</v>
      </c>
      <c r="AB82" s="182" t="s">
        <v>743</v>
      </c>
      <c r="AC82" s="182" t="s">
        <v>918</v>
      </c>
      <c r="AD82" s="182" t="s">
        <v>924</v>
      </c>
      <c r="AE82" s="182" t="s">
        <v>925</v>
      </c>
      <c r="AF82" s="182" t="s">
        <v>882</v>
      </c>
      <c r="AG82" s="182" t="s">
        <v>926</v>
      </c>
      <c r="AH82" s="182">
        <v>309.0</v>
      </c>
    </row>
    <row r="83">
      <c r="A83" s="182">
        <v>211218.0</v>
      </c>
      <c r="B83" s="182">
        <v>92894.0</v>
      </c>
      <c r="C83" s="182" t="s">
        <v>917</v>
      </c>
      <c r="D83" s="182" t="s">
        <v>38</v>
      </c>
      <c r="E83" s="182">
        <v>14291.0</v>
      </c>
      <c r="F83" s="182" t="s">
        <v>183</v>
      </c>
      <c r="G83" s="182">
        <v>5439.0</v>
      </c>
      <c r="H83" s="182" t="s">
        <v>400</v>
      </c>
      <c r="I83" s="182">
        <v>1.0</v>
      </c>
      <c r="J83" s="182">
        <v>8.0</v>
      </c>
      <c r="K83" s="182">
        <v>13.0</v>
      </c>
      <c r="L83" s="182">
        <v>3.0</v>
      </c>
      <c r="M83" s="182">
        <v>9.0</v>
      </c>
      <c r="N83" s="182">
        <v>1.0</v>
      </c>
      <c r="O83" s="182">
        <v>0.0</v>
      </c>
      <c r="P83" s="182">
        <v>1.0</v>
      </c>
      <c r="Q83" s="182">
        <v>3.0</v>
      </c>
      <c r="R83" s="182">
        <v>9.0</v>
      </c>
      <c r="S83" s="182">
        <v>5.0</v>
      </c>
      <c r="T83" s="182">
        <v>4.0</v>
      </c>
      <c r="U83" s="182">
        <v>1.0</v>
      </c>
      <c r="V83" s="182">
        <v>0.0</v>
      </c>
      <c r="W83" s="182">
        <v>1.0</v>
      </c>
      <c r="X83" s="182">
        <v>4.0</v>
      </c>
      <c r="Y83" s="182">
        <v>5.0</v>
      </c>
      <c r="Z83" s="182">
        <v>9.0</v>
      </c>
      <c r="AA83" s="182">
        <v>3.0</v>
      </c>
      <c r="AB83" s="182" t="s">
        <v>743</v>
      </c>
      <c r="AC83" s="182" t="s">
        <v>918</v>
      </c>
      <c r="AD83" s="182" t="s">
        <v>927</v>
      </c>
      <c r="AE83" s="182" t="s">
        <v>852</v>
      </c>
      <c r="AF83" s="182" t="s">
        <v>882</v>
      </c>
      <c r="AG83" s="182" t="s">
        <v>751</v>
      </c>
      <c r="AH83" s="182">
        <v>309.0</v>
      </c>
    </row>
    <row r="84">
      <c r="A84" s="182">
        <v>211266.0</v>
      </c>
      <c r="B84" s="182">
        <v>92910.0</v>
      </c>
      <c r="C84" s="182" t="s">
        <v>798</v>
      </c>
      <c r="D84" s="182" t="s">
        <v>32</v>
      </c>
      <c r="E84" s="182">
        <v>18392.0</v>
      </c>
      <c r="F84" s="182" t="s">
        <v>181</v>
      </c>
      <c r="G84" s="182">
        <v>8581.0</v>
      </c>
      <c r="H84" s="182" t="s">
        <v>401</v>
      </c>
      <c r="I84" s="182">
        <v>2.0</v>
      </c>
      <c r="J84" s="182">
        <v>8.0</v>
      </c>
      <c r="K84" s="182">
        <v>13.0</v>
      </c>
      <c r="L84" s="182">
        <v>5.0</v>
      </c>
      <c r="M84" s="182">
        <v>7.0</v>
      </c>
      <c r="N84" s="182">
        <v>0.0</v>
      </c>
      <c r="O84" s="182">
        <v>0.0</v>
      </c>
      <c r="P84" s="182">
        <v>0.0</v>
      </c>
      <c r="Q84" s="182">
        <v>3.0</v>
      </c>
      <c r="R84" s="182">
        <v>6.0</v>
      </c>
      <c r="S84" s="182">
        <v>5.0</v>
      </c>
      <c r="T84" s="182">
        <v>7.0</v>
      </c>
      <c r="U84" s="182">
        <v>2.0</v>
      </c>
      <c r="V84" s="182">
        <v>1.0</v>
      </c>
      <c r="W84" s="182">
        <v>1.0</v>
      </c>
      <c r="X84" s="182">
        <v>7.0</v>
      </c>
      <c r="Y84" s="182">
        <v>5.0</v>
      </c>
      <c r="Z84" s="182">
        <v>6.0</v>
      </c>
      <c r="AA84" s="182">
        <v>3.0</v>
      </c>
      <c r="AB84" s="182" t="s">
        <v>743</v>
      </c>
      <c r="AC84" s="182" t="s">
        <v>918</v>
      </c>
      <c r="AD84" s="182" t="s">
        <v>928</v>
      </c>
      <c r="AE84" s="182" t="s">
        <v>929</v>
      </c>
      <c r="AF84" s="182" t="s">
        <v>751</v>
      </c>
      <c r="AG84" s="182" t="s">
        <v>752</v>
      </c>
      <c r="AH84" s="182">
        <v>309.0</v>
      </c>
    </row>
    <row r="85">
      <c r="A85" s="182">
        <v>211241.0</v>
      </c>
      <c r="B85" s="182">
        <v>92901.0</v>
      </c>
      <c r="C85" s="182" t="s">
        <v>821</v>
      </c>
      <c r="D85" s="182" t="s">
        <v>38</v>
      </c>
      <c r="E85" s="182">
        <v>5652.0</v>
      </c>
      <c r="F85" s="182" t="s">
        <v>189</v>
      </c>
      <c r="G85" s="182">
        <v>18979.0</v>
      </c>
      <c r="H85" s="182" t="s">
        <v>395</v>
      </c>
      <c r="I85" s="182">
        <v>1.0</v>
      </c>
      <c r="J85" s="182">
        <v>11.0</v>
      </c>
      <c r="K85" s="182">
        <v>13.0</v>
      </c>
      <c r="L85" s="182">
        <v>2.0</v>
      </c>
      <c r="M85" s="182">
        <v>10.0</v>
      </c>
      <c r="N85" s="182">
        <v>1.0</v>
      </c>
      <c r="O85" s="182">
        <v>0.0</v>
      </c>
      <c r="P85" s="182">
        <v>1.0</v>
      </c>
      <c r="Q85" s="182">
        <v>2.0</v>
      </c>
      <c r="R85" s="182">
        <v>10.0</v>
      </c>
      <c r="S85" s="182">
        <v>9.0</v>
      </c>
      <c r="T85" s="182">
        <v>3.0</v>
      </c>
      <c r="U85" s="182">
        <v>1.0</v>
      </c>
      <c r="V85" s="182">
        <v>0.0</v>
      </c>
      <c r="W85" s="182">
        <v>1.0</v>
      </c>
      <c r="X85" s="182">
        <v>3.0</v>
      </c>
      <c r="Y85" s="182">
        <v>9.0</v>
      </c>
      <c r="Z85" s="182">
        <v>10.0</v>
      </c>
      <c r="AA85" s="182">
        <v>2.0</v>
      </c>
      <c r="AB85" s="182" t="s">
        <v>743</v>
      </c>
      <c r="AC85" s="182" t="s">
        <v>918</v>
      </c>
      <c r="AD85" s="182" t="s">
        <v>823</v>
      </c>
      <c r="AE85" s="182" t="s">
        <v>930</v>
      </c>
      <c r="AF85" s="182" t="s">
        <v>794</v>
      </c>
      <c r="AG85" s="182" t="s">
        <v>751</v>
      </c>
      <c r="AH85" s="182">
        <v>309.0</v>
      </c>
    </row>
    <row r="86">
      <c r="A86" s="182">
        <v>211265.0</v>
      </c>
      <c r="B86" s="182">
        <v>92910.0</v>
      </c>
      <c r="C86" s="182" t="s">
        <v>798</v>
      </c>
      <c r="D86" s="182" t="s">
        <v>40</v>
      </c>
      <c r="E86" s="182">
        <v>18392.0</v>
      </c>
      <c r="F86" s="182" t="s">
        <v>181</v>
      </c>
      <c r="G86" s="182">
        <v>8581.0</v>
      </c>
      <c r="H86" s="182" t="s">
        <v>401</v>
      </c>
      <c r="I86" s="182">
        <v>1.0</v>
      </c>
      <c r="J86" s="182">
        <v>13.0</v>
      </c>
      <c r="K86" s="182">
        <v>8.0</v>
      </c>
      <c r="L86" s="182">
        <v>9.0</v>
      </c>
      <c r="M86" s="182">
        <v>3.0</v>
      </c>
      <c r="N86" s="182">
        <v>1.0</v>
      </c>
      <c r="O86" s="182">
        <v>1.0</v>
      </c>
      <c r="P86" s="182">
        <v>0.0</v>
      </c>
      <c r="Q86" s="182">
        <v>9.0</v>
      </c>
      <c r="R86" s="182">
        <v>3.0</v>
      </c>
      <c r="S86" s="182">
        <v>4.0</v>
      </c>
      <c r="T86" s="182">
        <v>5.0</v>
      </c>
      <c r="U86" s="182">
        <v>1.0</v>
      </c>
      <c r="V86" s="182">
        <v>1.0</v>
      </c>
      <c r="W86" s="182">
        <v>0.0</v>
      </c>
      <c r="X86" s="182">
        <v>5.0</v>
      </c>
      <c r="Y86" s="182">
        <v>4.0</v>
      </c>
      <c r="Z86" s="182">
        <v>3.0</v>
      </c>
      <c r="AA86" s="182">
        <v>9.0</v>
      </c>
      <c r="AB86" s="182" t="s">
        <v>743</v>
      </c>
      <c r="AC86" s="182" t="s">
        <v>918</v>
      </c>
      <c r="AD86" s="182" t="s">
        <v>907</v>
      </c>
      <c r="AE86" s="182" t="s">
        <v>931</v>
      </c>
      <c r="AF86" s="182" t="s">
        <v>793</v>
      </c>
      <c r="AG86" s="182" t="s">
        <v>932</v>
      </c>
      <c r="AH86" s="182">
        <v>309.0</v>
      </c>
    </row>
    <row r="87">
      <c r="A87" s="182">
        <v>211222.0</v>
      </c>
      <c r="B87" s="182">
        <v>92895.0</v>
      </c>
      <c r="C87" s="182" t="s">
        <v>917</v>
      </c>
      <c r="D87" s="182" t="s">
        <v>42</v>
      </c>
      <c r="E87" s="182">
        <v>3916.0</v>
      </c>
      <c r="F87" s="182" t="s">
        <v>933</v>
      </c>
      <c r="G87" s="182">
        <v>6415.0</v>
      </c>
      <c r="H87" s="182" t="s">
        <v>180</v>
      </c>
      <c r="I87" s="182">
        <v>1.0</v>
      </c>
      <c r="J87" s="182">
        <v>8.0</v>
      </c>
      <c r="K87" s="182">
        <v>13.0</v>
      </c>
      <c r="L87" s="182">
        <v>6.0</v>
      </c>
      <c r="M87" s="182">
        <v>6.0</v>
      </c>
      <c r="N87" s="182">
        <v>1.0</v>
      </c>
      <c r="O87" s="182">
        <v>0.0</v>
      </c>
      <c r="P87" s="182">
        <v>1.0</v>
      </c>
      <c r="Q87" s="182">
        <v>6.0</v>
      </c>
      <c r="R87" s="182">
        <v>6.0</v>
      </c>
      <c r="S87" s="182">
        <v>2.0</v>
      </c>
      <c r="T87" s="182">
        <v>7.0</v>
      </c>
      <c r="U87" s="182">
        <v>1.0</v>
      </c>
      <c r="V87" s="182">
        <v>0.0</v>
      </c>
      <c r="W87" s="182">
        <v>1.0</v>
      </c>
      <c r="X87" s="182">
        <v>7.0</v>
      </c>
      <c r="Y87" s="182">
        <v>2.0</v>
      </c>
      <c r="Z87" s="182">
        <v>6.0</v>
      </c>
      <c r="AA87" s="182">
        <v>6.0</v>
      </c>
      <c r="AB87" s="182" t="s">
        <v>743</v>
      </c>
      <c r="AC87" s="182" t="s">
        <v>918</v>
      </c>
      <c r="AD87" s="182" t="s">
        <v>934</v>
      </c>
      <c r="AE87" s="182" t="s">
        <v>832</v>
      </c>
      <c r="AF87" s="182" t="s">
        <v>935</v>
      </c>
      <c r="AG87" s="182" t="s">
        <v>834</v>
      </c>
      <c r="AH87" s="182">
        <v>309.0</v>
      </c>
    </row>
    <row r="88">
      <c r="A88" s="182">
        <v>211240.0</v>
      </c>
      <c r="B88" s="182">
        <v>92901.0</v>
      </c>
      <c r="C88" s="182" t="s">
        <v>821</v>
      </c>
      <c r="D88" s="182" t="s">
        <v>40</v>
      </c>
      <c r="E88" s="182">
        <v>5652.0</v>
      </c>
      <c r="F88" s="182" t="s">
        <v>189</v>
      </c>
      <c r="G88" s="182">
        <v>18979.0</v>
      </c>
      <c r="H88" s="182" t="s">
        <v>395</v>
      </c>
      <c r="I88" s="182">
        <v>1.0</v>
      </c>
      <c r="J88" s="182">
        <v>13.0</v>
      </c>
      <c r="K88" s="182">
        <v>3.0</v>
      </c>
      <c r="L88" s="182">
        <v>10.0</v>
      </c>
      <c r="M88" s="182">
        <v>2.0</v>
      </c>
      <c r="N88" s="182">
        <v>2.0</v>
      </c>
      <c r="O88" s="182">
        <v>1.0</v>
      </c>
      <c r="P88" s="182">
        <v>1.0</v>
      </c>
      <c r="Q88" s="182">
        <v>10.0</v>
      </c>
      <c r="R88" s="182">
        <v>2.0</v>
      </c>
      <c r="S88" s="182">
        <v>3.0</v>
      </c>
      <c r="T88" s="182">
        <v>1.0</v>
      </c>
      <c r="U88" s="182">
        <v>0.0</v>
      </c>
      <c r="V88" s="182">
        <v>0.0</v>
      </c>
      <c r="W88" s="182">
        <v>0.0</v>
      </c>
      <c r="X88" s="182">
        <v>1.0</v>
      </c>
      <c r="Y88" s="182">
        <v>3.0</v>
      </c>
      <c r="Z88" s="182">
        <v>2.0</v>
      </c>
      <c r="AA88" s="182">
        <v>10.0</v>
      </c>
      <c r="AB88" s="182" t="s">
        <v>743</v>
      </c>
      <c r="AC88" s="182" t="s">
        <v>918</v>
      </c>
      <c r="AD88" s="182" t="s">
        <v>823</v>
      </c>
      <c r="AE88" s="182" t="s">
        <v>936</v>
      </c>
      <c r="AF88" s="182" t="s">
        <v>859</v>
      </c>
      <c r="AG88" s="182" t="s">
        <v>937</v>
      </c>
      <c r="AH88" s="182">
        <v>309.0</v>
      </c>
    </row>
    <row r="89">
      <c r="A89" s="182">
        <v>211239.0</v>
      </c>
      <c r="B89" s="182">
        <v>92901.0</v>
      </c>
      <c r="C89" s="182" t="s">
        <v>821</v>
      </c>
      <c r="D89" s="182" t="s">
        <v>36</v>
      </c>
      <c r="E89" s="182">
        <v>5652.0</v>
      </c>
      <c r="F89" s="182" t="s">
        <v>189</v>
      </c>
      <c r="G89" s="182">
        <v>18979.0</v>
      </c>
      <c r="H89" s="182" t="s">
        <v>395</v>
      </c>
      <c r="I89" s="182">
        <v>1.0</v>
      </c>
      <c r="J89" s="182">
        <v>9.0</v>
      </c>
      <c r="K89" s="182">
        <v>13.0</v>
      </c>
      <c r="L89" s="182">
        <v>7.0</v>
      </c>
      <c r="M89" s="182">
        <v>5.0</v>
      </c>
      <c r="N89" s="182">
        <v>1.0</v>
      </c>
      <c r="O89" s="182">
        <v>0.0</v>
      </c>
      <c r="P89" s="182">
        <v>1.0</v>
      </c>
      <c r="Q89" s="182">
        <v>7.0</v>
      </c>
      <c r="R89" s="182">
        <v>5.0</v>
      </c>
      <c r="S89" s="182">
        <v>2.0</v>
      </c>
      <c r="T89" s="182">
        <v>8.0</v>
      </c>
      <c r="U89" s="182">
        <v>1.0</v>
      </c>
      <c r="V89" s="182">
        <v>0.0</v>
      </c>
      <c r="W89" s="182">
        <v>1.0</v>
      </c>
      <c r="X89" s="182">
        <v>8.0</v>
      </c>
      <c r="Y89" s="182">
        <v>2.0</v>
      </c>
      <c r="Z89" s="182">
        <v>5.0</v>
      </c>
      <c r="AA89" s="182">
        <v>7.0</v>
      </c>
      <c r="AB89" s="182" t="s">
        <v>743</v>
      </c>
      <c r="AC89" s="182" t="s">
        <v>918</v>
      </c>
      <c r="AD89" s="182" t="s">
        <v>827</v>
      </c>
      <c r="AE89" s="182" t="s">
        <v>908</v>
      </c>
      <c r="AF89" s="182" t="s">
        <v>938</v>
      </c>
      <c r="AG89" s="182" t="s">
        <v>909</v>
      </c>
      <c r="AH89" s="182">
        <v>309.0</v>
      </c>
    </row>
    <row r="90">
      <c r="A90" s="182">
        <v>211264.0</v>
      </c>
      <c r="B90" s="182">
        <v>92908.0</v>
      </c>
      <c r="C90" s="182" t="s">
        <v>798</v>
      </c>
      <c r="D90" s="182" t="s">
        <v>40</v>
      </c>
      <c r="E90" s="182">
        <v>17952.0</v>
      </c>
      <c r="F90" s="182" t="s">
        <v>1</v>
      </c>
      <c r="G90" s="182">
        <v>10651.0</v>
      </c>
      <c r="H90" s="182" t="s">
        <v>404</v>
      </c>
      <c r="I90" s="182">
        <v>2.0</v>
      </c>
      <c r="J90" s="182">
        <v>13.0</v>
      </c>
      <c r="K90" s="182">
        <v>7.0</v>
      </c>
      <c r="L90" s="182">
        <v>8.0</v>
      </c>
      <c r="M90" s="182">
        <v>4.0</v>
      </c>
      <c r="N90" s="182">
        <v>0.0</v>
      </c>
      <c r="O90" s="182">
        <v>0.0</v>
      </c>
      <c r="P90" s="182">
        <v>0.0</v>
      </c>
      <c r="Q90" s="182">
        <v>5.0</v>
      </c>
      <c r="R90" s="182">
        <v>3.0</v>
      </c>
      <c r="S90" s="182">
        <v>8.0</v>
      </c>
      <c r="T90" s="182">
        <v>4.0</v>
      </c>
      <c r="U90" s="182">
        <v>2.0</v>
      </c>
      <c r="V90" s="182">
        <v>1.0</v>
      </c>
      <c r="W90" s="182">
        <v>1.0</v>
      </c>
      <c r="X90" s="182">
        <v>4.0</v>
      </c>
      <c r="Y90" s="182">
        <v>8.0</v>
      </c>
      <c r="Z90" s="182">
        <v>3.0</v>
      </c>
      <c r="AA90" s="182">
        <v>5.0</v>
      </c>
      <c r="AB90" s="182" t="s">
        <v>743</v>
      </c>
      <c r="AC90" s="182" t="s">
        <v>918</v>
      </c>
      <c r="AD90" s="182" t="s">
        <v>825</v>
      </c>
      <c r="AE90" s="182" t="s">
        <v>939</v>
      </c>
      <c r="AF90" s="182" t="s">
        <v>39</v>
      </c>
      <c r="AG90" s="182" t="s">
        <v>777</v>
      </c>
      <c r="AH90" s="182">
        <v>309.0</v>
      </c>
    </row>
    <row r="91">
      <c r="A91" s="182">
        <v>211221.0</v>
      </c>
      <c r="B91" s="182">
        <v>92895.0</v>
      </c>
      <c r="C91" s="182" t="s">
        <v>917</v>
      </c>
      <c r="D91" s="182" t="s">
        <v>32</v>
      </c>
      <c r="E91" s="182">
        <v>3916.0</v>
      </c>
      <c r="F91" s="182" t="s">
        <v>933</v>
      </c>
      <c r="G91" s="182">
        <v>6415.0</v>
      </c>
      <c r="H91" s="182" t="s">
        <v>180</v>
      </c>
      <c r="I91" s="182">
        <v>2.0</v>
      </c>
      <c r="J91" s="182">
        <v>10.0</v>
      </c>
      <c r="K91" s="182">
        <v>13.0</v>
      </c>
      <c r="L91" s="182">
        <v>4.0</v>
      </c>
      <c r="M91" s="182">
        <v>8.0</v>
      </c>
      <c r="N91" s="182">
        <v>1.0</v>
      </c>
      <c r="O91" s="182">
        <v>1.0</v>
      </c>
      <c r="P91" s="182">
        <v>0.0</v>
      </c>
      <c r="Q91" s="182">
        <v>6.0</v>
      </c>
      <c r="R91" s="182">
        <v>5.0</v>
      </c>
      <c r="S91" s="182">
        <v>4.0</v>
      </c>
      <c r="T91" s="182">
        <v>8.0</v>
      </c>
      <c r="U91" s="182">
        <v>1.0</v>
      </c>
      <c r="V91" s="182">
        <v>1.0</v>
      </c>
      <c r="W91" s="182">
        <v>0.0</v>
      </c>
      <c r="X91" s="182">
        <v>8.0</v>
      </c>
      <c r="Y91" s="182">
        <v>4.0</v>
      </c>
      <c r="Z91" s="182">
        <v>5.0</v>
      </c>
      <c r="AA91" s="182">
        <v>6.0</v>
      </c>
      <c r="AB91" s="182" t="s">
        <v>743</v>
      </c>
      <c r="AC91" s="182" t="s">
        <v>918</v>
      </c>
      <c r="AD91" s="182" t="s">
        <v>940</v>
      </c>
      <c r="AE91" s="182" t="s">
        <v>847</v>
      </c>
      <c r="AF91" s="182" t="s">
        <v>752</v>
      </c>
      <c r="AG91" s="182" t="s">
        <v>31</v>
      </c>
      <c r="AH91" s="182">
        <v>309.0</v>
      </c>
    </row>
    <row r="92">
      <c r="A92" s="182">
        <v>211263.0</v>
      </c>
      <c r="B92" s="182">
        <v>92908.0</v>
      </c>
      <c r="C92" s="182" t="s">
        <v>798</v>
      </c>
      <c r="D92" s="182" t="s">
        <v>227</v>
      </c>
      <c r="E92" s="182">
        <v>17952.0</v>
      </c>
      <c r="F92" s="182" t="s">
        <v>1</v>
      </c>
      <c r="G92" s="182">
        <v>10651.0</v>
      </c>
      <c r="H92" s="182" t="s">
        <v>404</v>
      </c>
      <c r="I92" s="182">
        <v>1.0</v>
      </c>
      <c r="J92" s="182">
        <v>13.0</v>
      </c>
      <c r="K92" s="182">
        <v>5.0</v>
      </c>
      <c r="L92" s="182">
        <v>9.0</v>
      </c>
      <c r="M92" s="182">
        <v>3.0</v>
      </c>
      <c r="N92" s="182">
        <v>2.0</v>
      </c>
      <c r="O92" s="182">
        <v>1.0</v>
      </c>
      <c r="P92" s="182">
        <v>1.0</v>
      </c>
      <c r="Q92" s="182">
        <v>9.0</v>
      </c>
      <c r="R92" s="182">
        <v>3.0</v>
      </c>
      <c r="S92" s="182">
        <v>4.0</v>
      </c>
      <c r="T92" s="182">
        <v>2.0</v>
      </c>
      <c r="U92" s="182">
        <v>0.0</v>
      </c>
      <c r="V92" s="182">
        <v>0.0</v>
      </c>
      <c r="W92" s="182">
        <v>0.0</v>
      </c>
      <c r="X92" s="182">
        <v>2.0</v>
      </c>
      <c r="Y92" s="182">
        <v>4.0</v>
      </c>
      <c r="Z92" s="182">
        <v>3.0</v>
      </c>
      <c r="AA92" s="182">
        <v>9.0</v>
      </c>
      <c r="AB92" s="182" t="s">
        <v>743</v>
      </c>
      <c r="AC92" s="182" t="s">
        <v>918</v>
      </c>
      <c r="AD92" s="182" t="s">
        <v>812</v>
      </c>
      <c r="AE92" s="182" t="s">
        <v>941</v>
      </c>
      <c r="AF92" s="182" t="s">
        <v>37</v>
      </c>
      <c r="AG92" s="182" t="s">
        <v>813</v>
      </c>
      <c r="AH92" s="182">
        <v>309.0</v>
      </c>
    </row>
    <row r="93">
      <c r="A93" s="182">
        <v>211262.0</v>
      </c>
      <c r="B93" s="182">
        <v>92908.0</v>
      </c>
      <c r="C93" s="182" t="s">
        <v>798</v>
      </c>
      <c r="D93" s="182" t="s">
        <v>38</v>
      </c>
      <c r="E93" s="182">
        <v>17952.0</v>
      </c>
      <c r="F93" s="182" t="s">
        <v>1</v>
      </c>
      <c r="G93" s="182">
        <v>10651.0</v>
      </c>
      <c r="H93" s="182" t="s">
        <v>404</v>
      </c>
      <c r="I93" s="182">
        <v>2.0</v>
      </c>
      <c r="J93" s="182">
        <v>12.0</v>
      </c>
      <c r="K93" s="182">
        <v>14.0</v>
      </c>
      <c r="L93" s="182">
        <v>6.0</v>
      </c>
      <c r="M93" s="182">
        <v>6.0</v>
      </c>
      <c r="N93" s="182">
        <v>2.0</v>
      </c>
      <c r="O93" s="182">
        <v>1.0</v>
      </c>
      <c r="P93" s="182">
        <v>1.0</v>
      </c>
      <c r="Q93" s="182">
        <v>6.0</v>
      </c>
      <c r="R93" s="182">
        <v>7.0</v>
      </c>
      <c r="S93" s="182">
        <v>6.0</v>
      </c>
      <c r="T93" s="182">
        <v>7.0</v>
      </c>
      <c r="U93" s="182">
        <v>0.0</v>
      </c>
      <c r="V93" s="182">
        <v>0.0</v>
      </c>
      <c r="W93" s="182">
        <v>0.0</v>
      </c>
      <c r="X93" s="182">
        <v>7.0</v>
      </c>
      <c r="Y93" s="182">
        <v>6.0</v>
      </c>
      <c r="Z93" s="182">
        <v>7.0</v>
      </c>
      <c r="AA93" s="182">
        <v>6.0</v>
      </c>
      <c r="AB93" s="182" t="s">
        <v>743</v>
      </c>
      <c r="AC93" s="182" t="s">
        <v>918</v>
      </c>
      <c r="AD93" s="182" t="s">
        <v>812</v>
      </c>
      <c r="AE93" s="182" t="s">
        <v>942</v>
      </c>
      <c r="AF93" s="182" t="s">
        <v>37</v>
      </c>
      <c r="AG93" s="182" t="s">
        <v>751</v>
      </c>
      <c r="AH93" s="182">
        <v>309.0</v>
      </c>
    </row>
    <row r="94">
      <c r="A94" s="182">
        <v>211234.0</v>
      </c>
      <c r="B94" s="182">
        <v>92899.0</v>
      </c>
      <c r="C94" s="182" t="s">
        <v>798</v>
      </c>
      <c r="D94" s="182" t="s">
        <v>42</v>
      </c>
      <c r="E94" s="182">
        <v>17952.0</v>
      </c>
      <c r="F94" s="182" t="s">
        <v>1</v>
      </c>
      <c r="G94" s="182">
        <v>539.0</v>
      </c>
      <c r="H94" s="182" t="s">
        <v>179</v>
      </c>
      <c r="I94" s="182">
        <v>1.0</v>
      </c>
      <c r="J94" s="182">
        <v>11.0</v>
      </c>
      <c r="K94" s="182">
        <v>13.0</v>
      </c>
      <c r="L94" s="182">
        <v>5.0</v>
      </c>
      <c r="M94" s="182">
        <v>7.0</v>
      </c>
      <c r="N94" s="182">
        <v>1.0</v>
      </c>
      <c r="O94" s="182">
        <v>1.0</v>
      </c>
      <c r="P94" s="182">
        <v>0.0</v>
      </c>
      <c r="Q94" s="182">
        <v>5.0</v>
      </c>
      <c r="R94" s="182">
        <v>7.0</v>
      </c>
      <c r="S94" s="182">
        <v>6.0</v>
      </c>
      <c r="T94" s="182">
        <v>6.0</v>
      </c>
      <c r="U94" s="182">
        <v>1.0</v>
      </c>
      <c r="V94" s="182">
        <v>1.0</v>
      </c>
      <c r="W94" s="182">
        <v>0.0</v>
      </c>
      <c r="X94" s="182">
        <v>6.0</v>
      </c>
      <c r="Y94" s="182">
        <v>6.0</v>
      </c>
      <c r="Z94" s="182">
        <v>7.0</v>
      </c>
      <c r="AA94" s="182">
        <v>5.0</v>
      </c>
      <c r="AB94" s="182" t="s">
        <v>743</v>
      </c>
      <c r="AC94" s="182" t="s">
        <v>943</v>
      </c>
      <c r="AD94" s="182" t="s">
        <v>806</v>
      </c>
      <c r="AE94" s="182" t="s">
        <v>805</v>
      </c>
      <c r="AF94" s="182" t="s">
        <v>41</v>
      </c>
      <c r="AG94" s="182" t="s">
        <v>807</v>
      </c>
      <c r="AH94" s="182">
        <v>309.0</v>
      </c>
    </row>
    <row r="95">
      <c r="A95" s="182">
        <v>208425.0</v>
      </c>
      <c r="B95" s="182">
        <v>91790.0</v>
      </c>
      <c r="C95" s="182" t="s">
        <v>944</v>
      </c>
      <c r="D95" s="182" t="s">
        <v>42</v>
      </c>
      <c r="E95" s="182">
        <v>1649.0</v>
      </c>
      <c r="F95" s="182" t="s">
        <v>945</v>
      </c>
      <c r="G95" s="182">
        <v>5293.0</v>
      </c>
      <c r="H95" s="182" t="s">
        <v>186</v>
      </c>
      <c r="I95" s="182">
        <v>1.0</v>
      </c>
      <c r="J95" s="182">
        <v>6.0</v>
      </c>
      <c r="K95" s="182">
        <v>13.0</v>
      </c>
      <c r="L95" s="182">
        <v>4.0</v>
      </c>
      <c r="M95" s="182">
        <v>8.0</v>
      </c>
      <c r="N95" s="182">
        <v>0.0</v>
      </c>
      <c r="O95" s="182">
        <v>0.0</v>
      </c>
      <c r="P95" s="182">
        <v>0.0</v>
      </c>
      <c r="Q95" s="182">
        <v>4.0</v>
      </c>
      <c r="R95" s="182">
        <v>8.0</v>
      </c>
      <c r="S95" s="182">
        <v>2.0</v>
      </c>
      <c r="T95" s="182">
        <v>5.0</v>
      </c>
      <c r="U95" s="182">
        <v>2.0</v>
      </c>
      <c r="V95" s="182">
        <v>1.0</v>
      </c>
      <c r="W95" s="182">
        <v>1.0</v>
      </c>
      <c r="X95" s="182">
        <v>5.0</v>
      </c>
      <c r="Y95" s="182">
        <v>2.0</v>
      </c>
      <c r="Z95" s="182">
        <v>8.0</v>
      </c>
      <c r="AA95" s="182">
        <v>4.0</v>
      </c>
      <c r="AB95" s="182" t="s">
        <v>743</v>
      </c>
      <c r="AC95" s="182" t="s">
        <v>943</v>
      </c>
      <c r="AD95" s="182" t="s">
        <v>946</v>
      </c>
      <c r="AE95" s="182" t="s">
        <v>874</v>
      </c>
      <c r="AF95" s="182" t="s">
        <v>947</v>
      </c>
      <c r="AG95" s="182" t="s">
        <v>790</v>
      </c>
      <c r="AH95" s="182">
        <v>309.0</v>
      </c>
    </row>
    <row r="96">
      <c r="A96" s="182">
        <v>211233.0</v>
      </c>
      <c r="B96" s="182">
        <v>92899.0</v>
      </c>
      <c r="C96" s="182" t="s">
        <v>798</v>
      </c>
      <c r="D96" s="182" t="s">
        <v>227</v>
      </c>
      <c r="E96" s="182">
        <v>17952.0</v>
      </c>
      <c r="F96" s="182" t="s">
        <v>1</v>
      </c>
      <c r="G96" s="182">
        <v>539.0</v>
      </c>
      <c r="H96" s="182" t="s">
        <v>179</v>
      </c>
      <c r="I96" s="182">
        <v>2.0</v>
      </c>
      <c r="J96" s="182">
        <v>10.0</v>
      </c>
      <c r="K96" s="182">
        <v>13.0</v>
      </c>
      <c r="L96" s="182">
        <v>6.0</v>
      </c>
      <c r="M96" s="182">
        <v>6.0</v>
      </c>
      <c r="N96" s="182">
        <v>1.0</v>
      </c>
      <c r="O96" s="182">
        <v>0.0</v>
      </c>
      <c r="P96" s="182">
        <v>1.0</v>
      </c>
      <c r="Q96" s="182">
        <v>4.0</v>
      </c>
      <c r="R96" s="182">
        <v>7.0</v>
      </c>
      <c r="S96" s="182">
        <v>6.0</v>
      </c>
      <c r="T96" s="182">
        <v>6.0</v>
      </c>
      <c r="U96" s="182">
        <v>1.0</v>
      </c>
      <c r="V96" s="182">
        <v>0.0</v>
      </c>
      <c r="W96" s="182">
        <v>1.0</v>
      </c>
      <c r="X96" s="182">
        <v>6.0</v>
      </c>
      <c r="Y96" s="182">
        <v>6.0</v>
      </c>
      <c r="Z96" s="182">
        <v>7.0</v>
      </c>
      <c r="AA96" s="182">
        <v>4.0</v>
      </c>
      <c r="AB96" s="182" t="s">
        <v>743</v>
      </c>
      <c r="AC96" s="182" t="s">
        <v>943</v>
      </c>
      <c r="AD96" s="182" t="s">
        <v>812</v>
      </c>
      <c r="AE96" s="182" t="s">
        <v>811</v>
      </c>
      <c r="AF96" s="182" t="s">
        <v>37</v>
      </c>
      <c r="AG96" s="182" t="s">
        <v>813</v>
      </c>
      <c r="AH96" s="182">
        <v>309.0</v>
      </c>
    </row>
    <row r="97">
      <c r="A97" s="182">
        <v>208424.0</v>
      </c>
      <c r="B97" s="182">
        <v>91790.0</v>
      </c>
      <c r="C97" s="182" t="s">
        <v>944</v>
      </c>
      <c r="D97" s="182" t="s">
        <v>32</v>
      </c>
      <c r="E97" s="182">
        <v>1649.0</v>
      </c>
      <c r="F97" s="182" t="s">
        <v>945</v>
      </c>
      <c r="G97" s="182">
        <v>5293.0</v>
      </c>
      <c r="H97" s="182" t="s">
        <v>186</v>
      </c>
      <c r="I97" s="182">
        <v>1.0</v>
      </c>
      <c r="J97" s="182">
        <v>9.0</v>
      </c>
      <c r="K97" s="182">
        <v>13.0</v>
      </c>
      <c r="L97" s="182">
        <v>3.0</v>
      </c>
      <c r="M97" s="182">
        <v>9.0</v>
      </c>
      <c r="N97" s="182">
        <v>2.0</v>
      </c>
      <c r="O97" s="182">
        <v>1.0</v>
      </c>
      <c r="P97" s="182">
        <v>1.0</v>
      </c>
      <c r="Q97" s="182">
        <v>3.0</v>
      </c>
      <c r="R97" s="182">
        <v>9.0</v>
      </c>
      <c r="S97" s="182">
        <v>6.0</v>
      </c>
      <c r="T97" s="182">
        <v>4.0</v>
      </c>
      <c r="U97" s="182">
        <v>0.0</v>
      </c>
      <c r="V97" s="182">
        <v>0.0</v>
      </c>
      <c r="W97" s="182">
        <v>0.0</v>
      </c>
      <c r="X97" s="182">
        <v>4.0</v>
      </c>
      <c r="Y97" s="182">
        <v>6.0</v>
      </c>
      <c r="Z97" s="182">
        <v>9.0</v>
      </c>
      <c r="AA97" s="182">
        <v>3.0</v>
      </c>
      <c r="AB97" s="182" t="s">
        <v>743</v>
      </c>
      <c r="AC97" s="182" t="s">
        <v>943</v>
      </c>
      <c r="AD97" s="182" t="s">
        <v>948</v>
      </c>
      <c r="AE97" s="182" t="s">
        <v>814</v>
      </c>
      <c r="AF97" s="182" t="s">
        <v>752</v>
      </c>
      <c r="AG97" s="182" t="s">
        <v>816</v>
      </c>
      <c r="AH97" s="182">
        <v>309.0</v>
      </c>
    </row>
    <row r="98">
      <c r="A98" s="182">
        <v>211217.0</v>
      </c>
      <c r="B98" s="182">
        <v>92893.0</v>
      </c>
      <c r="C98" s="182" t="s">
        <v>798</v>
      </c>
      <c r="D98" s="182" t="s">
        <v>32</v>
      </c>
      <c r="E98" s="182">
        <v>17869.0</v>
      </c>
      <c r="F98" s="182" t="s">
        <v>190</v>
      </c>
      <c r="G98" s="182">
        <v>18392.0</v>
      </c>
      <c r="H98" s="182" t="s">
        <v>181</v>
      </c>
      <c r="I98" s="182">
        <v>1.0</v>
      </c>
      <c r="J98" s="182">
        <v>13.0</v>
      </c>
      <c r="K98" s="182">
        <v>6.0</v>
      </c>
      <c r="L98" s="182">
        <v>9.0</v>
      </c>
      <c r="M98" s="182">
        <v>3.0</v>
      </c>
      <c r="N98" s="182">
        <v>2.0</v>
      </c>
      <c r="O98" s="182">
        <v>1.0</v>
      </c>
      <c r="P98" s="182">
        <v>1.0</v>
      </c>
      <c r="Q98" s="182">
        <v>9.0</v>
      </c>
      <c r="R98" s="182">
        <v>3.0</v>
      </c>
      <c r="S98" s="182">
        <v>4.0</v>
      </c>
      <c r="T98" s="182">
        <v>3.0</v>
      </c>
      <c r="U98" s="182">
        <v>0.0</v>
      </c>
      <c r="V98" s="182">
        <v>0.0</v>
      </c>
      <c r="W98" s="182">
        <v>0.0</v>
      </c>
      <c r="X98" s="182">
        <v>3.0</v>
      </c>
      <c r="Y98" s="182">
        <v>4.0</v>
      </c>
      <c r="Z98" s="182">
        <v>3.0</v>
      </c>
      <c r="AA98" s="182">
        <v>9.0</v>
      </c>
      <c r="AB98" s="182" t="s">
        <v>743</v>
      </c>
      <c r="AC98" s="182" t="s">
        <v>943</v>
      </c>
      <c r="AD98" s="182" t="s">
        <v>820</v>
      </c>
      <c r="AE98" s="182" t="s">
        <v>928</v>
      </c>
      <c r="AF98" s="182" t="s">
        <v>31</v>
      </c>
      <c r="AG98" s="182" t="s">
        <v>751</v>
      </c>
      <c r="AH98" s="182">
        <v>309.0</v>
      </c>
    </row>
    <row r="99">
      <c r="A99" s="182">
        <v>211216.0</v>
      </c>
      <c r="B99" s="182">
        <v>92893.0</v>
      </c>
      <c r="C99" s="182" t="s">
        <v>798</v>
      </c>
      <c r="D99" s="182" t="s">
        <v>40</v>
      </c>
      <c r="E99" s="182">
        <v>17869.0</v>
      </c>
      <c r="F99" s="182" t="s">
        <v>190</v>
      </c>
      <c r="G99" s="182">
        <v>18392.0</v>
      </c>
      <c r="H99" s="182" t="s">
        <v>181</v>
      </c>
      <c r="I99" s="182">
        <v>1.0</v>
      </c>
      <c r="J99" s="182">
        <v>18.0</v>
      </c>
      <c r="K99" s="182">
        <v>16.0</v>
      </c>
      <c r="L99" s="182">
        <v>6.0</v>
      </c>
      <c r="M99" s="182">
        <v>6.0</v>
      </c>
      <c r="N99" s="182">
        <v>0.0</v>
      </c>
      <c r="O99" s="182">
        <v>0.0</v>
      </c>
      <c r="P99" s="182">
        <v>0.0</v>
      </c>
      <c r="Q99" s="182">
        <v>8.0</v>
      </c>
      <c r="R99" s="182">
        <v>9.0</v>
      </c>
      <c r="S99" s="182">
        <v>10.0</v>
      </c>
      <c r="T99" s="182">
        <v>7.0</v>
      </c>
      <c r="U99" s="182">
        <v>2.0</v>
      </c>
      <c r="V99" s="182">
        <v>1.0</v>
      </c>
      <c r="W99" s="182">
        <v>1.0</v>
      </c>
      <c r="X99" s="182">
        <v>7.0</v>
      </c>
      <c r="Y99" s="182">
        <v>10.0</v>
      </c>
      <c r="Z99" s="182">
        <v>9.0</v>
      </c>
      <c r="AA99" s="182">
        <v>8.0</v>
      </c>
      <c r="AB99" s="182" t="s">
        <v>743</v>
      </c>
      <c r="AC99" s="182" t="s">
        <v>943</v>
      </c>
      <c r="AD99" s="182" t="s">
        <v>824</v>
      </c>
      <c r="AE99" s="182" t="s">
        <v>907</v>
      </c>
      <c r="AF99" s="182" t="s">
        <v>777</v>
      </c>
      <c r="AG99" s="182" t="s">
        <v>793</v>
      </c>
      <c r="AH99" s="182">
        <v>309.0</v>
      </c>
    </row>
    <row r="100">
      <c r="A100" s="182">
        <v>211215.0</v>
      </c>
      <c r="B100" s="182">
        <v>92893.0</v>
      </c>
      <c r="C100" s="182" t="s">
        <v>798</v>
      </c>
      <c r="D100" s="182" t="s">
        <v>38</v>
      </c>
      <c r="E100" s="182">
        <v>17869.0</v>
      </c>
      <c r="F100" s="182" t="s">
        <v>190</v>
      </c>
      <c r="G100" s="182">
        <v>18392.0</v>
      </c>
      <c r="H100" s="182" t="s">
        <v>181</v>
      </c>
      <c r="I100" s="182">
        <v>2.0</v>
      </c>
      <c r="J100" s="182">
        <v>6.0</v>
      </c>
      <c r="K100" s="182">
        <v>13.0</v>
      </c>
      <c r="L100" s="182">
        <v>3.0</v>
      </c>
      <c r="M100" s="182">
        <v>9.0</v>
      </c>
      <c r="N100" s="182">
        <v>1.0</v>
      </c>
      <c r="O100" s="182">
        <v>1.0</v>
      </c>
      <c r="P100" s="182">
        <v>0.0</v>
      </c>
      <c r="Q100" s="182">
        <v>3.0</v>
      </c>
      <c r="R100" s="182">
        <v>4.0</v>
      </c>
      <c r="S100" s="182">
        <v>3.0</v>
      </c>
      <c r="T100" s="182">
        <v>9.0</v>
      </c>
      <c r="U100" s="182">
        <v>1.0</v>
      </c>
      <c r="V100" s="182">
        <v>1.0</v>
      </c>
      <c r="W100" s="182">
        <v>0.0</v>
      </c>
      <c r="X100" s="182">
        <v>9.0</v>
      </c>
      <c r="Y100" s="182">
        <v>3.0</v>
      </c>
      <c r="Z100" s="182">
        <v>4.0</v>
      </c>
      <c r="AA100" s="182">
        <v>3.0</v>
      </c>
      <c r="AB100" s="182" t="s">
        <v>743</v>
      </c>
      <c r="AC100" s="182" t="s">
        <v>943</v>
      </c>
      <c r="AD100" s="182" t="s">
        <v>820</v>
      </c>
      <c r="AE100" s="182" t="s">
        <v>924</v>
      </c>
      <c r="AF100" s="182" t="s">
        <v>794</v>
      </c>
      <c r="AG100" s="182" t="s">
        <v>882</v>
      </c>
      <c r="AH100" s="182">
        <v>309.0</v>
      </c>
    </row>
    <row r="101">
      <c r="A101" s="182">
        <v>211254.0</v>
      </c>
      <c r="B101" s="182">
        <v>92905.0</v>
      </c>
      <c r="C101" s="182" t="s">
        <v>949</v>
      </c>
      <c r="D101" s="182" t="s">
        <v>42</v>
      </c>
      <c r="E101" s="182">
        <v>7198.0</v>
      </c>
      <c r="F101" s="182" t="s">
        <v>410</v>
      </c>
      <c r="G101" s="182">
        <v>17807.0</v>
      </c>
      <c r="H101" s="182" t="s">
        <v>187</v>
      </c>
      <c r="I101" s="182">
        <v>1.0</v>
      </c>
      <c r="J101" s="182">
        <v>11.0</v>
      </c>
      <c r="K101" s="182">
        <v>13.0</v>
      </c>
      <c r="L101" s="182">
        <v>5.0</v>
      </c>
      <c r="M101" s="182">
        <v>7.0</v>
      </c>
      <c r="N101" s="182">
        <v>1.0</v>
      </c>
      <c r="O101" s="182">
        <v>0.0</v>
      </c>
      <c r="P101" s="182">
        <v>1.0</v>
      </c>
      <c r="Q101" s="182">
        <v>5.0</v>
      </c>
      <c r="R101" s="182">
        <v>7.0</v>
      </c>
      <c r="S101" s="182">
        <v>6.0</v>
      </c>
      <c r="T101" s="182">
        <v>6.0</v>
      </c>
      <c r="U101" s="182">
        <v>1.0</v>
      </c>
      <c r="V101" s="182">
        <v>0.0</v>
      </c>
      <c r="W101" s="182">
        <v>1.0</v>
      </c>
      <c r="X101" s="182">
        <v>6.0</v>
      </c>
      <c r="Y101" s="182">
        <v>6.0</v>
      </c>
      <c r="Z101" s="182">
        <v>7.0</v>
      </c>
      <c r="AA101" s="182">
        <v>5.0</v>
      </c>
      <c r="AB101" s="182" t="s">
        <v>743</v>
      </c>
      <c r="AC101" s="182" t="s">
        <v>950</v>
      </c>
      <c r="AD101" s="182" t="s">
        <v>951</v>
      </c>
      <c r="AE101" s="182" t="s">
        <v>952</v>
      </c>
      <c r="AF101" s="182" t="s">
        <v>953</v>
      </c>
      <c r="AG101" s="182" t="s">
        <v>953</v>
      </c>
      <c r="AH101" s="182">
        <v>309.0</v>
      </c>
    </row>
    <row r="102">
      <c r="A102" s="182">
        <v>211253.0</v>
      </c>
      <c r="B102" s="182">
        <v>92905.0</v>
      </c>
      <c r="C102" s="182" t="s">
        <v>949</v>
      </c>
      <c r="D102" s="182" t="s">
        <v>34</v>
      </c>
      <c r="E102" s="182">
        <v>7198.0</v>
      </c>
      <c r="F102" s="182" t="s">
        <v>410</v>
      </c>
      <c r="G102" s="182">
        <v>17807.0</v>
      </c>
      <c r="H102" s="182" t="s">
        <v>187</v>
      </c>
      <c r="I102" s="182">
        <v>2.0</v>
      </c>
      <c r="J102" s="182">
        <v>7.0</v>
      </c>
      <c r="K102" s="182">
        <v>13.0</v>
      </c>
      <c r="L102" s="182">
        <v>4.0</v>
      </c>
      <c r="M102" s="182">
        <v>8.0</v>
      </c>
      <c r="N102" s="182">
        <v>0.0</v>
      </c>
      <c r="O102" s="182">
        <v>0.0</v>
      </c>
      <c r="P102" s="182">
        <v>0.0</v>
      </c>
      <c r="Q102" s="182">
        <v>3.0</v>
      </c>
      <c r="R102" s="182">
        <v>5.0</v>
      </c>
      <c r="S102" s="182">
        <v>4.0</v>
      </c>
      <c r="T102" s="182">
        <v>8.0</v>
      </c>
      <c r="U102" s="182">
        <v>2.0</v>
      </c>
      <c r="V102" s="182">
        <v>1.0</v>
      </c>
      <c r="W102" s="182">
        <v>1.0</v>
      </c>
      <c r="X102" s="182">
        <v>8.0</v>
      </c>
      <c r="Y102" s="182">
        <v>4.0</v>
      </c>
      <c r="Z102" s="182">
        <v>5.0</v>
      </c>
      <c r="AA102" s="182">
        <v>3.0</v>
      </c>
      <c r="AB102" s="182" t="s">
        <v>743</v>
      </c>
      <c r="AC102" s="182" t="s">
        <v>950</v>
      </c>
      <c r="AD102" s="182" t="s">
        <v>954</v>
      </c>
      <c r="AE102" s="182" t="s">
        <v>753</v>
      </c>
      <c r="AF102" s="182" t="s">
        <v>955</v>
      </c>
      <c r="AG102" s="182" t="s">
        <v>755</v>
      </c>
      <c r="AH102" s="182">
        <v>309.0</v>
      </c>
    </row>
    <row r="103">
      <c r="A103" s="182">
        <v>211252.0</v>
      </c>
      <c r="B103" s="182">
        <v>92905.0</v>
      </c>
      <c r="C103" s="182" t="s">
        <v>949</v>
      </c>
      <c r="D103" s="182" t="s">
        <v>227</v>
      </c>
      <c r="E103" s="182">
        <v>7198.0</v>
      </c>
      <c r="F103" s="182" t="s">
        <v>410</v>
      </c>
      <c r="G103" s="182">
        <v>17807.0</v>
      </c>
      <c r="H103" s="182" t="s">
        <v>187</v>
      </c>
      <c r="I103" s="182">
        <v>1.0</v>
      </c>
      <c r="J103" s="182">
        <v>13.0</v>
      </c>
      <c r="K103" s="182">
        <v>10.0</v>
      </c>
      <c r="L103" s="182">
        <v>4.0</v>
      </c>
      <c r="M103" s="182">
        <v>8.0</v>
      </c>
      <c r="N103" s="182">
        <v>0.0</v>
      </c>
      <c r="O103" s="182">
        <v>0.0</v>
      </c>
      <c r="P103" s="182">
        <v>0.0</v>
      </c>
      <c r="Q103" s="182">
        <v>4.0</v>
      </c>
      <c r="R103" s="182">
        <v>8.0</v>
      </c>
      <c r="S103" s="182">
        <v>9.0</v>
      </c>
      <c r="T103" s="182">
        <v>2.0</v>
      </c>
      <c r="U103" s="182">
        <v>2.0</v>
      </c>
      <c r="V103" s="182">
        <v>1.0</v>
      </c>
      <c r="W103" s="182">
        <v>1.0</v>
      </c>
      <c r="X103" s="182">
        <v>2.0</v>
      </c>
      <c r="Y103" s="182">
        <v>9.0</v>
      </c>
      <c r="Z103" s="182">
        <v>8.0</v>
      </c>
      <c r="AA103" s="182">
        <v>4.0</v>
      </c>
      <c r="AB103" s="182" t="s">
        <v>743</v>
      </c>
      <c r="AC103" s="182" t="s">
        <v>950</v>
      </c>
      <c r="AD103" s="182" t="s">
        <v>887</v>
      </c>
      <c r="AE103" s="182" t="s">
        <v>745</v>
      </c>
      <c r="AF103" s="182" t="s">
        <v>780</v>
      </c>
      <c r="AG103" s="182" t="s">
        <v>747</v>
      </c>
      <c r="AH103" s="182">
        <v>309.0</v>
      </c>
    </row>
    <row r="104">
      <c r="A104" s="182">
        <v>208417.0</v>
      </c>
      <c r="B104" s="182">
        <v>91787.0</v>
      </c>
      <c r="C104" s="182" t="s">
        <v>944</v>
      </c>
      <c r="D104" s="182" t="s">
        <v>32</v>
      </c>
      <c r="E104" s="182">
        <v>18501.0</v>
      </c>
      <c r="F104" s="182" t="s">
        <v>188</v>
      </c>
      <c r="G104" s="182">
        <v>5662.0</v>
      </c>
      <c r="H104" s="182" t="s">
        <v>411</v>
      </c>
      <c r="I104" s="182">
        <v>2.0</v>
      </c>
      <c r="J104" s="182">
        <v>9.0</v>
      </c>
      <c r="K104" s="182">
        <v>13.0</v>
      </c>
      <c r="L104" s="182">
        <v>6.0</v>
      </c>
      <c r="M104" s="182">
        <v>6.0</v>
      </c>
      <c r="N104" s="182">
        <v>0.0</v>
      </c>
      <c r="O104" s="182">
        <v>0.0</v>
      </c>
      <c r="P104" s="182">
        <v>0.0</v>
      </c>
      <c r="Q104" s="182">
        <v>3.0</v>
      </c>
      <c r="R104" s="182">
        <v>7.0</v>
      </c>
      <c r="S104" s="182">
        <v>6.0</v>
      </c>
      <c r="T104" s="182">
        <v>6.0</v>
      </c>
      <c r="U104" s="182">
        <v>2.0</v>
      </c>
      <c r="V104" s="182">
        <v>1.0</v>
      </c>
      <c r="W104" s="182">
        <v>1.0</v>
      </c>
      <c r="X104" s="182">
        <v>6.0</v>
      </c>
      <c r="Y104" s="182">
        <v>6.0</v>
      </c>
      <c r="Z104" s="182">
        <v>7.0</v>
      </c>
      <c r="AA104" s="182">
        <v>3.0</v>
      </c>
      <c r="AB104" s="182" t="s">
        <v>743</v>
      </c>
      <c r="AC104" s="182" t="s">
        <v>950</v>
      </c>
      <c r="AD104" s="182" t="s">
        <v>956</v>
      </c>
      <c r="AE104" s="182" t="s">
        <v>957</v>
      </c>
      <c r="AF104" s="182" t="s">
        <v>884</v>
      </c>
      <c r="AG104" s="182" t="s">
        <v>816</v>
      </c>
      <c r="AH104" s="182">
        <v>309.0</v>
      </c>
    </row>
    <row r="105">
      <c r="A105" s="182">
        <v>211251.0</v>
      </c>
      <c r="B105" s="182">
        <v>92905.0</v>
      </c>
      <c r="C105" s="182" t="s">
        <v>949</v>
      </c>
      <c r="D105" s="182" t="s">
        <v>40</v>
      </c>
      <c r="E105" s="182">
        <v>7198.0</v>
      </c>
      <c r="F105" s="182" t="s">
        <v>410</v>
      </c>
      <c r="G105" s="182">
        <v>17807.0</v>
      </c>
      <c r="H105" s="182" t="s">
        <v>187</v>
      </c>
      <c r="I105" s="182">
        <v>1.0</v>
      </c>
      <c r="J105" s="182">
        <v>6.0</v>
      </c>
      <c r="K105" s="182">
        <v>13.0</v>
      </c>
      <c r="L105" s="182">
        <v>4.0</v>
      </c>
      <c r="M105" s="182">
        <v>8.0</v>
      </c>
      <c r="N105" s="182">
        <v>1.0</v>
      </c>
      <c r="O105" s="182">
        <v>1.0</v>
      </c>
      <c r="P105" s="182">
        <v>0.0</v>
      </c>
      <c r="Q105" s="182">
        <v>4.0</v>
      </c>
      <c r="R105" s="182">
        <v>8.0</v>
      </c>
      <c r="S105" s="182">
        <v>2.0</v>
      </c>
      <c r="T105" s="182">
        <v>5.0</v>
      </c>
      <c r="U105" s="182">
        <v>1.0</v>
      </c>
      <c r="V105" s="182">
        <v>1.0</v>
      </c>
      <c r="W105" s="182">
        <v>0.0</v>
      </c>
      <c r="X105" s="182">
        <v>5.0</v>
      </c>
      <c r="Y105" s="182">
        <v>2.0</v>
      </c>
      <c r="Z105" s="182">
        <v>8.0</v>
      </c>
      <c r="AA105" s="182">
        <v>4.0</v>
      </c>
      <c r="AB105" s="182" t="s">
        <v>743</v>
      </c>
      <c r="AC105" s="182" t="s">
        <v>950</v>
      </c>
      <c r="AD105" s="182" t="s">
        <v>888</v>
      </c>
      <c r="AE105" s="182" t="s">
        <v>768</v>
      </c>
      <c r="AF105" s="182" t="s">
        <v>839</v>
      </c>
      <c r="AG105" s="182" t="s">
        <v>770</v>
      </c>
      <c r="AH105" s="182">
        <v>309.0</v>
      </c>
    </row>
    <row r="106">
      <c r="A106" s="182">
        <v>208416.0</v>
      </c>
      <c r="B106" s="182">
        <v>91787.0</v>
      </c>
      <c r="C106" s="182" t="s">
        <v>944</v>
      </c>
      <c r="D106" s="182" t="s">
        <v>36</v>
      </c>
      <c r="E106" s="182">
        <v>18501.0</v>
      </c>
      <c r="F106" s="182" t="s">
        <v>188</v>
      </c>
      <c r="G106" s="182">
        <v>5662.0</v>
      </c>
      <c r="H106" s="182" t="s">
        <v>411</v>
      </c>
      <c r="I106" s="182">
        <v>2.0</v>
      </c>
      <c r="J106" s="182">
        <v>11.0</v>
      </c>
      <c r="K106" s="182">
        <v>13.0</v>
      </c>
      <c r="L106" s="182">
        <v>3.0</v>
      </c>
      <c r="M106" s="182">
        <v>9.0</v>
      </c>
      <c r="N106" s="182">
        <v>1.0</v>
      </c>
      <c r="O106" s="182">
        <v>1.0</v>
      </c>
      <c r="P106" s="182">
        <v>0.0</v>
      </c>
      <c r="Q106" s="182">
        <v>8.0</v>
      </c>
      <c r="R106" s="182">
        <v>4.0</v>
      </c>
      <c r="S106" s="182">
        <v>3.0</v>
      </c>
      <c r="T106" s="182">
        <v>9.0</v>
      </c>
      <c r="U106" s="182">
        <v>1.0</v>
      </c>
      <c r="V106" s="182">
        <v>1.0</v>
      </c>
      <c r="W106" s="182">
        <v>0.0</v>
      </c>
      <c r="X106" s="182">
        <v>9.0</v>
      </c>
      <c r="Y106" s="182">
        <v>3.0</v>
      </c>
      <c r="Z106" s="182">
        <v>4.0</v>
      </c>
      <c r="AA106" s="182">
        <v>8.0</v>
      </c>
      <c r="AB106" s="182" t="s">
        <v>743</v>
      </c>
      <c r="AC106" s="182" t="s">
        <v>950</v>
      </c>
      <c r="AD106" s="182" t="s">
        <v>958</v>
      </c>
      <c r="AE106" s="182" t="s">
        <v>959</v>
      </c>
      <c r="AF106" s="182" t="s">
        <v>761</v>
      </c>
      <c r="AG106" s="182" t="s">
        <v>842</v>
      </c>
      <c r="AH106" s="182">
        <v>309.0</v>
      </c>
    </row>
    <row r="107">
      <c r="A107" s="182">
        <v>208415.0</v>
      </c>
      <c r="B107" s="182">
        <v>91787.0</v>
      </c>
      <c r="C107" s="182" t="s">
        <v>944</v>
      </c>
      <c r="D107" s="182" t="s">
        <v>34</v>
      </c>
      <c r="E107" s="182">
        <v>18501.0</v>
      </c>
      <c r="F107" s="182" t="s">
        <v>188</v>
      </c>
      <c r="G107" s="182">
        <v>5662.0</v>
      </c>
      <c r="H107" s="182" t="s">
        <v>411</v>
      </c>
      <c r="I107" s="182">
        <v>1.0</v>
      </c>
      <c r="J107" s="182">
        <v>13.0</v>
      </c>
      <c r="K107" s="182">
        <v>7.0</v>
      </c>
      <c r="L107" s="182">
        <v>5.0</v>
      </c>
      <c r="M107" s="182">
        <v>7.0</v>
      </c>
      <c r="N107" s="182">
        <v>1.0</v>
      </c>
      <c r="O107" s="182">
        <v>0.0</v>
      </c>
      <c r="P107" s="182">
        <v>1.0</v>
      </c>
      <c r="Q107" s="182">
        <v>5.0</v>
      </c>
      <c r="R107" s="182">
        <v>7.0</v>
      </c>
      <c r="S107" s="182">
        <v>8.0</v>
      </c>
      <c r="T107" s="182">
        <v>0.0</v>
      </c>
      <c r="U107" s="182">
        <v>1.0</v>
      </c>
      <c r="V107" s="182">
        <v>0.0</v>
      </c>
      <c r="W107" s="182">
        <v>1.0</v>
      </c>
      <c r="X107" s="182">
        <v>0.0</v>
      </c>
      <c r="Y107" s="182">
        <v>8.0</v>
      </c>
      <c r="Z107" s="182">
        <v>7.0</v>
      </c>
      <c r="AA107" s="182">
        <v>5.0</v>
      </c>
      <c r="AB107" s="182" t="s">
        <v>743</v>
      </c>
      <c r="AC107" s="182" t="s">
        <v>950</v>
      </c>
      <c r="AD107" s="182" t="s">
        <v>894</v>
      </c>
      <c r="AE107" s="182" t="s">
        <v>960</v>
      </c>
      <c r="AF107" s="182" t="s">
        <v>896</v>
      </c>
      <c r="AG107" s="182" t="s">
        <v>961</v>
      </c>
      <c r="AH107" s="182">
        <v>309.0</v>
      </c>
    </row>
    <row r="108">
      <c r="A108" s="182">
        <v>210892.0</v>
      </c>
      <c r="B108" s="182">
        <v>92753.0</v>
      </c>
      <c r="C108" s="182" t="s">
        <v>949</v>
      </c>
      <c r="D108" s="182" t="s">
        <v>38</v>
      </c>
      <c r="E108" s="182">
        <v>17807.0</v>
      </c>
      <c r="F108" s="182" t="s">
        <v>187</v>
      </c>
      <c r="G108" s="182">
        <v>14174.0</v>
      </c>
      <c r="H108" s="182" t="s">
        <v>962</v>
      </c>
      <c r="I108" s="182">
        <v>2.0</v>
      </c>
      <c r="J108" s="182">
        <v>13.0</v>
      </c>
      <c r="K108" s="182">
        <v>5.0</v>
      </c>
      <c r="L108" s="182">
        <v>9.0</v>
      </c>
      <c r="M108" s="182">
        <v>3.0</v>
      </c>
      <c r="N108" s="182">
        <v>0.0</v>
      </c>
      <c r="O108" s="182">
        <v>0.0</v>
      </c>
      <c r="P108" s="182">
        <v>0.0</v>
      </c>
      <c r="Q108" s="182">
        <v>4.0</v>
      </c>
      <c r="R108" s="182">
        <v>2.0</v>
      </c>
      <c r="S108" s="182">
        <v>9.0</v>
      </c>
      <c r="T108" s="182">
        <v>3.0</v>
      </c>
      <c r="U108" s="182">
        <v>2.0</v>
      </c>
      <c r="V108" s="182">
        <v>1.0</v>
      </c>
      <c r="W108" s="182">
        <v>1.0</v>
      </c>
      <c r="X108" s="182">
        <v>3.0</v>
      </c>
      <c r="Y108" s="182">
        <v>9.0</v>
      </c>
      <c r="Z108" s="182">
        <v>2.0</v>
      </c>
      <c r="AA108" s="182">
        <v>4.0</v>
      </c>
      <c r="AB108" s="182" t="s">
        <v>743</v>
      </c>
      <c r="AC108" s="182" t="s">
        <v>963</v>
      </c>
      <c r="AD108" s="182" t="s">
        <v>762</v>
      </c>
      <c r="AE108" s="182" t="s">
        <v>964</v>
      </c>
      <c r="AF108" s="182" t="s">
        <v>763</v>
      </c>
      <c r="AG108" s="182" t="s">
        <v>965</v>
      </c>
      <c r="AH108" s="182">
        <v>309.0</v>
      </c>
    </row>
    <row r="109">
      <c r="A109" s="182">
        <v>211061.0</v>
      </c>
      <c r="B109" s="182">
        <v>92835.0</v>
      </c>
      <c r="C109" s="182" t="s">
        <v>798</v>
      </c>
      <c r="D109" s="182" t="s">
        <v>40</v>
      </c>
      <c r="E109" s="182">
        <v>539.0</v>
      </c>
      <c r="F109" s="182" t="s">
        <v>179</v>
      </c>
      <c r="G109" s="182">
        <v>17872.0</v>
      </c>
      <c r="H109" s="182" t="s">
        <v>413</v>
      </c>
      <c r="I109" s="182">
        <v>2.0</v>
      </c>
      <c r="J109" s="182">
        <v>13.0</v>
      </c>
      <c r="K109" s="182">
        <v>10.0</v>
      </c>
      <c r="L109" s="182">
        <v>9.0</v>
      </c>
      <c r="M109" s="182">
        <v>3.0</v>
      </c>
      <c r="N109" s="182">
        <v>1.0</v>
      </c>
      <c r="O109" s="182">
        <v>0.0</v>
      </c>
      <c r="P109" s="182">
        <v>1.0</v>
      </c>
      <c r="Q109" s="182">
        <v>4.0</v>
      </c>
      <c r="R109" s="182">
        <v>7.0</v>
      </c>
      <c r="S109" s="182">
        <v>9.0</v>
      </c>
      <c r="T109" s="182">
        <v>3.0</v>
      </c>
      <c r="U109" s="182">
        <v>1.0</v>
      </c>
      <c r="V109" s="182">
        <v>0.0</v>
      </c>
      <c r="W109" s="182">
        <v>1.0</v>
      </c>
      <c r="X109" s="182">
        <v>3.0</v>
      </c>
      <c r="Y109" s="182">
        <v>9.0</v>
      </c>
      <c r="Z109" s="182">
        <v>7.0</v>
      </c>
      <c r="AA109" s="182">
        <v>4.0</v>
      </c>
      <c r="AB109" s="182" t="s">
        <v>743</v>
      </c>
      <c r="AC109" s="182" t="s">
        <v>963</v>
      </c>
      <c r="AD109" s="182" t="s">
        <v>805</v>
      </c>
      <c r="AE109" s="182" t="s">
        <v>966</v>
      </c>
      <c r="AF109" s="182" t="s">
        <v>793</v>
      </c>
      <c r="AG109" s="182" t="s">
        <v>967</v>
      </c>
      <c r="AH109" s="182">
        <v>309.0</v>
      </c>
    </row>
    <row r="110">
      <c r="A110" s="182">
        <v>210891.0</v>
      </c>
      <c r="B110" s="182">
        <v>92753.0</v>
      </c>
      <c r="C110" s="182" t="s">
        <v>949</v>
      </c>
      <c r="D110" s="182" t="s">
        <v>42</v>
      </c>
      <c r="E110" s="182">
        <v>17807.0</v>
      </c>
      <c r="F110" s="182" t="s">
        <v>187</v>
      </c>
      <c r="G110" s="182">
        <v>14174.0</v>
      </c>
      <c r="H110" s="182" t="s">
        <v>962</v>
      </c>
      <c r="I110" s="182">
        <v>1.0</v>
      </c>
      <c r="J110" s="182">
        <v>13.0</v>
      </c>
      <c r="K110" s="182">
        <v>6.0</v>
      </c>
      <c r="L110" s="182">
        <v>11.0</v>
      </c>
      <c r="M110" s="182">
        <v>1.0</v>
      </c>
      <c r="N110" s="182">
        <v>1.0</v>
      </c>
      <c r="O110" s="182">
        <v>1.0</v>
      </c>
      <c r="P110" s="182">
        <v>0.0</v>
      </c>
      <c r="Q110" s="182">
        <v>11.0</v>
      </c>
      <c r="R110" s="182">
        <v>1.0</v>
      </c>
      <c r="S110" s="182">
        <v>2.0</v>
      </c>
      <c r="T110" s="182">
        <v>5.0</v>
      </c>
      <c r="U110" s="182">
        <v>1.0</v>
      </c>
      <c r="V110" s="182">
        <v>1.0</v>
      </c>
      <c r="W110" s="182">
        <v>0.0</v>
      </c>
      <c r="X110" s="182">
        <v>5.0</v>
      </c>
      <c r="Y110" s="182">
        <v>2.0</v>
      </c>
      <c r="Z110" s="182">
        <v>1.0</v>
      </c>
      <c r="AA110" s="182">
        <v>11.0</v>
      </c>
      <c r="AB110" s="182" t="s">
        <v>743</v>
      </c>
      <c r="AC110" s="182" t="s">
        <v>963</v>
      </c>
      <c r="AD110" s="182" t="s">
        <v>952</v>
      </c>
      <c r="AE110" s="182" t="s">
        <v>968</v>
      </c>
      <c r="AF110" s="182" t="s">
        <v>953</v>
      </c>
      <c r="AG110" s="182" t="s">
        <v>969</v>
      </c>
      <c r="AH110" s="182">
        <v>309.0</v>
      </c>
    </row>
    <row r="111">
      <c r="A111" s="182">
        <v>211060.0</v>
      </c>
      <c r="B111" s="182">
        <v>92835.0</v>
      </c>
      <c r="C111" s="182" t="s">
        <v>798</v>
      </c>
      <c r="D111" s="182" t="s">
        <v>32</v>
      </c>
      <c r="E111" s="182">
        <v>539.0</v>
      </c>
      <c r="F111" s="182" t="s">
        <v>179</v>
      </c>
      <c r="G111" s="182">
        <v>17872.0</v>
      </c>
      <c r="H111" s="182" t="s">
        <v>413</v>
      </c>
      <c r="I111" s="182">
        <v>2.0</v>
      </c>
      <c r="J111" s="182">
        <v>13.0</v>
      </c>
      <c r="K111" s="182">
        <v>2.0</v>
      </c>
      <c r="L111" s="182">
        <v>10.0</v>
      </c>
      <c r="M111" s="182">
        <v>2.0</v>
      </c>
      <c r="N111" s="182">
        <v>2.0</v>
      </c>
      <c r="O111" s="182">
        <v>1.0</v>
      </c>
      <c r="P111" s="182">
        <v>1.0</v>
      </c>
      <c r="Q111" s="182">
        <v>3.0</v>
      </c>
      <c r="R111" s="182">
        <v>0.0</v>
      </c>
      <c r="S111" s="182">
        <v>10.0</v>
      </c>
      <c r="T111" s="182">
        <v>2.0</v>
      </c>
      <c r="U111" s="182">
        <v>0.0</v>
      </c>
      <c r="V111" s="182">
        <v>0.0</v>
      </c>
      <c r="W111" s="182">
        <v>0.0</v>
      </c>
      <c r="X111" s="182">
        <v>2.0</v>
      </c>
      <c r="Y111" s="182">
        <v>10.0</v>
      </c>
      <c r="Z111" s="182">
        <v>0.0</v>
      </c>
      <c r="AA111" s="182">
        <v>3.0</v>
      </c>
      <c r="AB111" s="182" t="s">
        <v>743</v>
      </c>
      <c r="AC111" s="182" t="s">
        <v>963</v>
      </c>
      <c r="AD111" s="182" t="s">
        <v>800</v>
      </c>
      <c r="AE111" s="182" t="s">
        <v>970</v>
      </c>
      <c r="AF111" s="182" t="s">
        <v>752</v>
      </c>
      <c r="AG111" s="182" t="s">
        <v>31</v>
      </c>
      <c r="AH111" s="182">
        <v>309.0</v>
      </c>
    </row>
    <row r="112">
      <c r="A112" s="182">
        <v>210895.0</v>
      </c>
      <c r="B112" s="182">
        <v>92754.0</v>
      </c>
      <c r="C112" s="182" t="s">
        <v>949</v>
      </c>
      <c r="D112" s="182" t="s">
        <v>32</v>
      </c>
      <c r="E112" s="182">
        <v>17813.0</v>
      </c>
      <c r="F112" s="182" t="s">
        <v>182</v>
      </c>
      <c r="G112" s="182">
        <v>7198.0</v>
      </c>
      <c r="H112" s="182" t="s">
        <v>410</v>
      </c>
      <c r="I112" s="182">
        <v>1.0</v>
      </c>
      <c r="J112" s="182">
        <v>8.0</v>
      </c>
      <c r="K112" s="182">
        <v>13.0</v>
      </c>
      <c r="L112" s="182">
        <v>1.0</v>
      </c>
      <c r="M112" s="182">
        <v>11.0</v>
      </c>
      <c r="N112" s="182">
        <v>1.0</v>
      </c>
      <c r="O112" s="182">
        <v>0.0</v>
      </c>
      <c r="P112" s="182">
        <v>1.0</v>
      </c>
      <c r="Q112" s="182">
        <v>1.0</v>
      </c>
      <c r="R112" s="182">
        <v>11.0</v>
      </c>
      <c r="S112" s="182">
        <v>7.0</v>
      </c>
      <c r="T112" s="182">
        <v>2.0</v>
      </c>
      <c r="U112" s="182">
        <v>1.0</v>
      </c>
      <c r="V112" s="182">
        <v>0.0</v>
      </c>
      <c r="W112" s="182">
        <v>1.0</v>
      </c>
      <c r="X112" s="182">
        <v>2.0</v>
      </c>
      <c r="Y112" s="182">
        <v>7.0</v>
      </c>
      <c r="Z112" s="182">
        <v>11.0</v>
      </c>
      <c r="AA112" s="182">
        <v>1.0</v>
      </c>
      <c r="AB112" s="182" t="s">
        <v>743</v>
      </c>
      <c r="AC112" s="182" t="s">
        <v>963</v>
      </c>
      <c r="AD112" s="182" t="s">
        <v>750</v>
      </c>
      <c r="AE112" s="182" t="s">
        <v>887</v>
      </c>
      <c r="AF112" s="182" t="s">
        <v>752</v>
      </c>
      <c r="AG112" s="182" t="s">
        <v>31</v>
      </c>
      <c r="AH112" s="182">
        <v>309.0</v>
      </c>
    </row>
    <row r="113">
      <c r="A113" s="182">
        <v>211059.0</v>
      </c>
      <c r="B113" s="182">
        <v>92835.0</v>
      </c>
      <c r="C113" s="182" t="s">
        <v>798</v>
      </c>
      <c r="D113" s="182" t="s">
        <v>227</v>
      </c>
      <c r="E113" s="182">
        <v>539.0</v>
      </c>
      <c r="F113" s="182" t="s">
        <v>179</v>
      </c>
      <c r="G113" s="182">
        <v>17872.0</v>
      </c>
      <c r="H113" s="182" t="s">
        <v>413</v>
      </c>
      <c r="I113" s="182">
        <v>1.0</v>
      </c>
      <c r="J113" s="182">
        <v>9.0</v>
      </c>
      <c r="K113" s="182">
        <v>13.0</v>
      </c>
      <c r="L113" s="182">
        <v>6.0</v>
      </c>
      <c r="M113" s="182">
        <v>6.0</v>
      </c>
      <c r="N113" s="182">
        <v>1.0</v>
      </c>
      <c r="O113" s="182">
        <v>1.0</v>
      </c>
      <c r="P113" s="182">
        <v>0.0</v>
      </c>
      <c r="Q113" s="182">
        <v>6.0</v>
      </c>
      <c r="R113" s="182">
        <v>6.0</v>
      </c>
      <c r="S113" s="182">
        <v>3.0</v>
      </c>
      <c r="T113" s="182">
        <v>7.0</v>
      </c>
      <c r="U113" s="182">
        <v>1.0</v>
      </c>
      <c r="V113" s="182">
        <v>1.0</v>
      </c>
      <c r="W113" s="182">
        <v>0.0</v>
      </c>
      <c r="X113" s="182">
        <v>7.0</v>
      </c>
      <c r="Y113" s="182">
        <v>3.0</v>
      </c>
      <c r="Z113" s="182">
        <v>6.0</v>
      </c>
      <c r="AA113" s="182">
        <v>6.0</v>
      </c>
      <c r="AB113" s="182" t="s">
        <v>743</v>
      </c>
      <c r="AC113" s="182" t="s">
        <v>963</v>
      </c>
      <c r="AD113" s="182" t="s">
        <v>811</v>
      </c>
      <c r="AE113" s="182" t="s">
        <v>971</v>
      </c>
      <c r="AF113" s="182" t="s">
        <v>813</v>
      </c>
      <c r="AG113" s="182" t="s">
        <v>813</v>
      </c>
      <c r="AH113" s="182">
        <v>309.0</v>
      </c>
    </row>
    <row r="114">
      <c r="A114" s="182">
        <v>210894.0</v>
      </c>
      <c r="B114" s="182">
        <v>92754.0</v>
      </c>
      <c r="C114" s="182" t="s">
        <v>949</v>
      </c>
      <c r="D114" s="182" t="s">
        <v>227</v>
      </c>
      <c r="E114" s="182">
        <v>17813.0</v>
      </c>
      <c r="F114" s="182" t="s">
        <v>182</v>
      </c>
      <c r="G114" s="182">
        <v>7198.0</v>
      </c>
      <c r="H114" s="182" t="s">
        <v>410</v>
      </c>
      <c r="I114" s="182">
        <v>2.0</v>
      </c>
      <c r="J114" s="182">
        <v>7.0</v>
      </c>
      <c r="K114" s="182">
        <v>13.0</v>
      </c>
      <c r="L114" s="182">
        <v>7.0</v>
      </c>
      <c r="M114" s="182">
        <v>5.0</v>
      </c>
      <c r="N114" s="182">
        <v>1.0</v>
      </c>
      <c r="O114" s="182">
        <v>0.0</v>
      </c>
      <c r="P114" s="182">
        <v>1.0</v>
      </c>
      <c r="Q114" s="182">
        <v>0.0</v>
      </c>
      <c r="R114" s="182">
        <v>8.0</v>
      </c>
      <c r="S114" s="182">
        <v>7.0</v>
      </c>
      <c r="T114" s="182">
        <v>5.0</v>
      </c>
      <c r="U114" s="182">
        <v>1.0</v>
      </c>
      <c r="V114" s="182">
        <v>0.0</v>
      </c>
      <c r="W114" s="182">
        <v>1.0</v>
      </c>
      <c r="X114" s="182">
        <v>5.0</v>
      </c>
      <c r="Y114" s="182">
        <v>7.0</v>
      </c>
      <c r="Z114" s="182">
        <v>8.0</v>
      </c>
      <c r="AA114" s="182">
        <v>0.0</v>
      </c>
      <c r="AB114" s="182" t="s">
        <v>743</v>
      </c>
      <c r="AC114" s="182" t="s">
        <v>963</v>
      </c>
      <c r="AD114" s="182" t="s">
        <v>746</v>
      </c>
      <c r="AE114" s="182" t="s">
        <v>887</v>
      </c>
      <c r="AF114" s="182" t="s">
        <v>748</v>
      </c>
      <c r="AG114" s="182" t="s">
        <v>780</v>
      </c>
      <c r="AH114" s="182">
        <v>309.0</v>
      </c>
    </row>
    <row r="115">
      <c r="A115" s="182">
        <v>210877.0</v>
      </c>
      <c r="B115" s="182">
        <v>92748.0</v>
      </c>
      <c r="C115" s="182" t="s">
        <v>917</v>
      </c>
      <c r="D115" s="182" t="s">
        <v>32</v>
      </c>
      <c r="E115" s="182">
        <v>6415.0</v>
      </c>
      <c r="F115" s="182" t="s">
        <v>180</v>
      </c>
      <c r="G115" s="182">
        <v>19256.0</v>
      </c>
      <c r="H115" s="182" t="s">
        <v>434</v>
      </c>
      <c r="I115" s="182">
        <v>1.0</v>
      </c>
      <c r="J115" s="182">
        <v>13.0</v>
      </c>
      <c r="K115" s="182">
        <v>1.0</v>
      </c>
      <c r="L115" s="182">
        <v>11.0</v>
      </c>
      <c r="M115" s="182">
        <v>1.0</v>
      </c>
      <c r="N115" s="182">
        <v>2.0</v>
      </c>
      <c r="O115" s="182">
        <v>1.0</v>
      </c>
      <c r="P115" s="182">
        <v>1.0</v>
      </c>
      <c r="Q115" s="182">
        <v>11.0</v>
      </c>
      <c r="R115" s="182">
        <v>1.0</v>
      </c>
      <c r="S115" s="182">
        <v>2.0</v>
      </c>
      <c r="T115" s="182">
        <v>0.0</v>
      </c>
      <c r="U115" s="182">
        <v>0.0</v>
      </c>
      <c r="V115" s="182">
        <v>0.0</v>
      </c>
      <c r="W115" s="182">
        <v>0.0</v>
      </c>
      <c r="X115" s="182">
        <v>0.0</v>
      </c>
      <c r="Y115" s="182">
        <v>2.0</v>
      </c>
      <c r="Z115" s="182">
        <v>1.0</v>
      </c>
      <c r="AA115" s="182">
        <v>11.0</v>
      </c>
      <c r="AB115" s="182" t="s">
        <v>743</v>
      </c>
      <c r="AC115" s="182" t="s">
        <v>963</v>
      </c>
      <c r="AD115" s="182" t="s">
        <v>847</v>
      </c>
      <c r="AE115" s="182" t="s">
        <v>972</v>
      </c>
      <c r="AF115" s="182" t="s">
        <v>31</v>
      </c>
      <c r="AG115" s="182" t="s">
        <v>973</v>
      </c>
      <c r="AH115" s="182">
        <v>309.0</v>
      </c>
    </row>
    <row r="116">
      <c r="A116" s="182">
        <v>211058.0</v>
      </c>
      <c r="B116" s="182">
        <v>92834.0</v>
      </c>
      <c r="C116" s="182" t="s">
        <v>798</v>
      </c>
      <c r="D116" s="182" t="s">
        <v>32</v>
      </c>
      <c r="E116" s="182">
        <v>8581.0</v>
      </c>
      <c r="F116" s="182" t="s">
        <v>401</v>
      </c>
      <c r="G116" s="182">
        <v>17952.0</v>
      </c>
      <c r="H116" s="182" t="s">
        <v>1</v>
      </c>
      <c r="I116" s="182">
        <v>1.0</v>
      </c>
      <c r="J116" s="182">
        <v>6.0</v>
      </c>
      <c r="K116" s="182">
        <v>13.0</v>
      </c>
      <c r="L116" s="182">
        <v>3.0</v>
      </c>
      <c r="M116" s="182">
        <v>9.0</v>
      </c>
      <c r="N116" s="182">
        <v>1.0</v>
      </c>
      <c r="O116" s="182">
        <v>0.0</v>
      </c>
      <c r="P116" s="182">
        <v>1.0</v>
      </c>
      <c r="Q116" s="182">
        <v>3.0</v>
      </c>
      <c r="R116" s="182">
        <v>9.0</v>
      </c>
      <c r="S116" s="182">
        <v>3.0</v>
      </c>
      <c r="T116" s="182">
        <v>4.0</v>
      </c>
      <c r="U116" s="182">
        <v>1.0</v>
      </c>
      <c r="V116" s="182">
        <v>0.0</v>
      </c>
      <c r="W116" s="182">
        <v>1.0</v>
      </c>
      <c r="X116" s="182">
        <v>4.0</v>
      </c>
      <c r="Y116" s="182">
        <v>3.0</v>
      </c>
      <c r="Z116" s="182">
        <v>9.0</v>
      </c>
      <c r="AA116" s="182">
        <v>3.0</v>
      </c>
      <c r="AB116" s="182" t="s">
        <v>743</v>
      </c>
      <c r="AC116" s="182" t="s">
        <v>963</v>
      </c>
      <c r="AD116" s="182" t="s">
        <v>929</v>
      </c>
      <c r="AE116" s="182" t="s">
        <v>801</v>
      </c>
      <c r="AF116" s="182" t="s">
        <v>752</v>
      </c>
      <c r="AG116" s="182" t="s">
        <v>31</v>
      </c>
      <c r="AH116" s="182">
        <v>309.0</v>
      </c>
    </row>
    <row r="117">
      <c r="A117" s="182">
        <v>210876.0</v>
      </c>
      <c r="B117" s="182">
        <v>92748.0</v>
      </c>
      <c r="C117" s="182" t="s">
        <v>917</v>
      </c>
      <c r="D117" s="182" t="s">
        <v>34</v>
      </c>
      <c r="E117" s="182">
        <v>6415.0</v>
      </c>
      <c r="F117" s="182" t="s">
        <v>180</v>
      </c>
      <c r="G117" s="182">
        <v>19256.0</v>
      </c>
      <c r="H117" s="182" t="s">
        <v>434</v>
      </c>
      <c r="I117" s="182">
        <v>2.0</v>
      </c>
      <c r="J117" s="182">
        <v>13.0</v>
      </c>
      <c r="K117" s="182">
        <v>3.0</v>
      </c>
      <c r="L117" s="182">
        <v>9.0</v>
      </c>
      <c r="M117" s="182">
        <v>3.0</v>
      </c>
      <c r="N117" s="182">
        <v>2.0</v>
      </c>
      <c r="O117" s="182">
        <v>1.0</v>
      </c>
      <c r="P117" s="182">
        <v>1.0</v>
      </c>
      <c r="Q117" s="182">
        <v>4.0</v>
      </c>
      <c r="R117" s="182">
        <v>0.0</v>
      </c>
      <c r="S117" s="182">
        <v>9.0</v>
      </c>
      <c r="T117" s="182">
        <v>3.0</v>
      </c>
      <c r="U117" s="182">
        <v>0.0</v>
      </c>
      <c r="V117" s="182">
        <v>0.0</v>
      </c>
      <c r="W117" s="182">
        <v>0.0</v>
      </c>
      <c r="X117" s="182">
        <v>3.0</v>
      </c>
      <c r="Y117" s="182">
        <v>9.0</v>
      </c>
      <c r="Z117" s="182">
        <v>0.0</v>
      </c>
      <c r="AA117" s="182">
        <v>4.0</v>
      </c>
      <c r="AB117" s="182" t="s">
        <v>743</v>
      </c>
      <c r="AC117" s="182" t="s">
        <v>963</v>
      </c>
      <c r="AD117" s="182" t="s">
        <v>844</v>
      </c>
      <c r="AE117" s="182" t="s">
        <v>974</v>
      </c>
      <c r="AF117" s="182" t="s">
        <v>756</v>
      </c>
      <c r="AG117" s="182" t="s">
        <v>756</v>
      </c>
      <c r="AH117" s="182">
        <v>309.0</v>
      </c>
    </row>
    <row r="118">
      <c r="A118" s="182">
        <v>211057.0</v>
      </c>
      <c r="B118" s="182">
        <v>92834.0</v>
      </c>
      <c r="C118" s="182" t="s">
        <v>798</v>
      </c>
      <c r="D118" s="182" t="s">
        <v>40</v>
      </c>
      <c r="E118" s="182">
        <v>8581.0</v>
      </c>
      <c r="F118" s="182" t="s">
        <v>401</v>
      </c>
      <c r="G118" s="182">
        <v>17952.0</v>
      </c>
      <c r="H118" s="182" t="s">
        <v>1</v>
      </c>
      <c r="I118" s="182">
        <v>1.0</v>
      </c>
      <c r="J118" s="182">
        <v>13.0</v>
      </c>
      <c r="K118" s="182">
        <v>9.0</v>
      </c>
      <c r="L118" s="182">
        <v>5.0</v>
      </c>
      <c r="M118" s="182">
        <v>7.0</v>
      </c>
      <c r="N118" s="182">
        <v>2.0</v>
      </c>
      <c r="O118" s="182">
        <v>1.0</v>
      </c>
      <c r="P118" s="182">
        <v>1.0</v>
      </c>
      <c r="Q118" s="182">
        <v>5.0</v>
      </c>
      <c r="R118" s="182">
        <v>7.0</v>
      </c>
      <c r="S118" s="182">
        <v>8.0</v>
      </c>
      <c r="T118" s="182">
        <v>2.0</v>
      </c>
      <c r="U118" s="182">
        <v>0.0</v>
      </c>
      <c r="V118" s="182">
        <v>0.0</v>
      </c>
      <c r="W118" s="182">
        <v>0.0</v>
      </c>
      <c r="X118" s="182">
        <v>2.0</v>
      </c>
      <c r="Y118" s="182">
        <v>8.0</v>
      </c>
      <c r="Z118" s="182">
        <v>7.0</v>
      </c>
      <c r="AA118" s="182">
        <v>5.0</v>
      </c>
      <c r="AB118" s="182" t="s">
        <v>743</v>
      </c>
      <c r="AC118" s="182" t="s">
        <v>963</v>
      </c>
      <c r="AD118" s="182" t="s">
        <v>931</v>
      </c>
      <c r="AE118" s="182" t="s">
        <v>975</v>
      </c>
      <c r="AF118" s="182" t="s">
        <v>932</v>
      </c>
      <c r="AG118" s="182" t="s">
        <v>793</v>
      </c>
      <c r="AH118" s="182">
        <v>309.0</v>
      </c>
    </row>
    <row r="119">
      <c r="A119" s="182">
        <v>211056.0</v>
      </c>
      <c r="B119" s="182">
        <v>92834.0</v>
      </c>
      <c r="C119" s="182" t="s">
        <v>798</v>
      </c>
      <c r="D119" s="182" t="s">
        <v>42</v>
      </c>
      <c r="E119" s="182">
        <v>8581.0</v>
      </c>
      <c r="F119" s="182" t="s">
        <v>401</v>
      </c>
      <c r="G119" s="182">
        <v>17952.0</v>
      </c>
      <c r="H119" s="182" t="s">
        <v>1</v>
      </c>
      <c r="I119" s="182">
        <v>2.0</v>
      </c>
      <c r="J119" s="182">
        <v>8.0</v>
      </c>
      <c r="K119" s="182">
        <v>13.0</v>
      </c>
      <c r="L119" s="182">
        <v>5.0</v>
      </c>
      <c r="M119" s="182">
        <v>7.0</v>
      </c>
      <c r="N119" s="182">
        <v>2.0</v>
      </c>
      <c r="O119" s="182">
        <v>1.0</v>
      </c>
      <c r="P119" s="182">
        <v>1.0</v>
      </c>
      <c r="Q119" s="182">
        <v>3.0</v>
      </c>
      <c r="R119" s="182">
        <v>6.0</v>
      </c>
      <c r="S119" s="182">
        <v>5.0</v>
      </c>
      <c r="T119" s="182">
        <v>7.0</v>
      </c>
      <c r="U119" s="182">
        <v>0.0</v>
      </c>
      <c r="V119" s="182">
        <v>0.0</v>
      </c>
      <c r="W119" s="182">
        <v>0.0</v>
      </c>
      <c r="X119" s="182">
        <v>7.0</v>
      </c>
      <c r="Y119" s="182">
        <v>5.0</v>
      </c>
      <c r="Z119" s="182">
        <v>6.0</v>
      </c>
      <c r="AA119" s="182">
        <v>3.0</v>
      </c>
      <c r="AB119" s="182" t="s">
        <v>743</v>
      </c>
      <c r="AC119" s="182" t="s">
        <v>963</v>
      </c>
      <c r="AD119" s="182" t="s">
        <v>976</v>
      </c>
      <c r="AE119" s="182" t="s">
        <v>806</v>
      </c>
      <c r="AF119" s="182" t="s">
        <v>790</v>
      </c>
      <c r="AG119" s="182" t="s">
        <v>41</v>
      </c>
      <c r="AH119" s="182">
        <v>309.0</v>
      </c>
    </row>
    <row r="120">
      <c r="A120" s="182">
        <v>210868.0</v>
      </c>
      <c r="B120" s="182">
        <v>92745.0</v>
      </c>
      <c r="C120" s="182" t="s">
        <v>917</v>
      </c>
      <c r="D120" s="182" t="s">
        <v>38</v>
      </c>
      <c r="E120" s="182">
        <v>14291.0</v>
      </c>
      <c r="F120" s="182" t="s">
        <v>183</v>
      </c>
      <c r="G120" s="182">
        <v>14324.0</v>
      </c>
      <c r="H120" s="182" t="s">
        <v>456</v>
      </c>
      <c r="I120" s="182">
        <v>1.0</v>
      </c>
      <c r="J120" s="182">
        <v>13.0</v>
      </c>
      <c r="K120" s="182">
        <v>7.0</v>
      </c>
      <c r="L120" s="182">
        <v>8.0</v>
      </c>
      <c r="M120" s="182">
        <v>4.0</v>
      </c>
      <c r="N120" s="182">
        <v>0.0</v>
      </c>
      <c r="O120" s="182">
        <v>0.0</v>
      </c>
      <c r="P120" s="182">
        <v>0.0</v>
      </c>
      <c r="Q120" s="182">
        <v>8.0</v>
      </c>
      <c r="R120" s="182">
        <v>4.0</v>
      </c>
      <c r="S120" s="182">
        <v>5.0</v>
      </c>
      <c r="T120" s="182">
        <v>3.0</v>
      </c>
      <c r="U120" s="182">
        <v>2.0</v>
      </c>
      <c r="V120" s="182">
        <v>1.0</v>
      </c>
      <c r="W120" s="182">
        <v>1.0</v>
      </c>
      <c r="X120" s="182">
        <v>3.0</v>
      </c>
      <c r="Y120" s="182">
        <v>5.0</v>
      </c>
      <c r="Z120" s="182">
        <v>4.0</v>
      </c>
      <c r="AA120" s="182">
        <v>8.0</v>
      </c>
      <c r="AB120" s="182" t="s">
        <v>743</v>
      </c>
      <c r="AC120" s="182" t="s">
        <v>977</v>
      </c>
      <c r="AD120" s="182" t="s">
        <v>927</v>
      </c>
      <c r="AE120" s="182" t="s">
        <v>978</v>
      </c>
      <c r="AF120" s="182" t="s">
        <v>882</v>
      </c>
      <c r="AG120" s="182" t="s">
        <v>794</v>
      </c>
      <c r="AH120" s="182">
        <v>309.0</v>
      </c>
    </row>
    <row r="121">
      <c r="A121" s="182">
        <v>210867.0</v>
      </c>
      <c r="B121" s="182">
        <v>92745.0</v>
      </c>
      <c r="C121" s="182" t="s">
        <v>917</v>
      </c>
      <c r="D121" s="182" t="s">
        <v>42</v>
      </c>
      <c r="E121" s="182">
        <v>14291.0</v>
      </c>
      <c r="F121" s="182" t="s">
        <v>183</v>
      </c>
      <c r="G121" s="182">
        <v>14324.0</v>
      </c>
      <c r="H121" s="182" t="s">
        <v>456</v>
      </c>
      <c r="I121" s="182">
        <v>2.0</v>
      </c>
      <c r="J121" s="182">
        <v>13.0</v>
      </c>
      <c r="K121" s="182">
        <v>8.0</v>
      </c>
      <c r="L121" s="182">
        <v>6.0</v>
      </c>
      <c r="M121" s="182">
        <v>6.0</v>
      </c>
      <c r="N121" s="182">
        <v>2.0</v>
      </c>
      <c r="O121" s="182">
        <v>1.0</v>
      </c>
      <c r="P121" s="182">
        <v>1.0</v>
      </c>
      <c r="Q121" s="182">
        <v>7.0</v>
      </c>
      <c r="R121" s="182">
        <v>2.0</v>
      </c>
      <c r="S121" s="182">
        <v>6.0</v>
      </c>
      <c r="T121" s="182">
        <v>6.0</v>
      </c>
      <c r="U121" s="182">
        <v>0.0</v>
      </c>
      <c r="V121" s="182">
        <v>0.0</v>
      </c>
      <c r="W121" s="182">
        <v>0.0</v>
      </c>
      <c r="X121" s="182">
        <v>6.0</v>
      </c>
      <c r="Y121" s="182">
        <v>6.0</v>
      </c>
      <c r="Z121" s="182">
        <v>2.0</v>
      </c>
      <c r="AA121" s="182">
        <v>7.0</v>
      </c>
      <c r="AB121" s="182" t="s">
        <v>743</v>
      </c>
      <c r="AC121" s="182" t="s">
        <v>977</v>
      </c>
      <c r="AD121" s="182" t="s">
        <v>919</v>
      </c>
      <c r="AE121" s="182" t="s">
        <v>979</v>
      </c>
      <c r="AF121" s="182" t="s">
        <v>921</v>
      </c>
      <c r="AG121" s="182" t="s">
        <v>980</v>
      </c>
      <c r="AH121" s="182">
        <v>309.0</v>
      </c>
    </row>
    <row r="122">
      <c r="A122" s="182">
        <v>211055.0</v>
      </c>
      <c r="B122" s="182">
        <v>92833.0</v>
      </c>
      <c r="C122" s="182" t="s">
        <v>798</v>
      </c>
      <c r="D122" s="182" t="s">
        <v>32</v>
      </c>
      <c r="E122" s="182">
        <v>10651.0</v>
      </c>
      <c r="F122" s="182" t="s">
        <v>404</v>
      </c>
      <c r="G122" s="182">
        <v>18392.0</v>
      </c>
      <c r="H122" s="182" t="s">
        <v>181</v>
      </c>
      <c r="I122" s="182">
        <v>2.0</v>
      </c>
      <c r="J122" s="182">
        <v>2.0</v>
      </c>
      <c r="K122" s="182">
        <v>13.0</v>
      </c>
      <c r="L122" s="182">
        <v>2.0</v>
      </c>
      <c r="M122" s="182">
        <v>10.0</v>
      </c>
      <c r="N122" s="182">
        <v>0.0</v>
      </c>
      <c r="O122" s="182">
        <v>0.0</v>
      </c>
      <c r="P122" s="182">
        <v>0.0</v>
      </c>
      <c r="Q122" s="182">
        <v>0.0</v>
      </c>
      <c r="R122" s="182">
        <v>3.0</v>
      </c>
      <c r="S122" s="182">
        <v>2.0</v>
      </c>
      <c r="T122" s="182">
        <v>10.0</v>
      </c>
      <c r="U122" s="182">
        <v>2.0</v>
      </c>
      <c r="V122" s="182">
        <v>1.0</v>
      </c>
      <c r="W122" s="182">
        <v>1.0</v>
      </c>
      <c r="X122" s="182">
        <v>10.0</v>
      </c>
      <c r="Y122" s="182">
        <v>2.0</v>
      </c>
      <c r="Z122" s="182">
        <v>3.0</v>
      </c>
      <c r="AA122" s="182">
        <v>0.0</v>
      </c>
      <c r="AB122" s="182" t="s">
        <v>743</v>
      </c>
      <c r="AC122" s="182" t="s">
        <v>977</v>
      </c>
      <c r="AD122" s="182" t="s">
        <v>981</v>
      </c>
      <c r="AE122" s="182" t="s">
        <v>928</v>
      </c>
      <c r="AF122" s="182" t="s">
        <v>752</v>
      </c>
      <c r="AG122" s="182" t="s">
        <v>751</v>
      </c>
      <c r="AH122" s="182">
        <v>309.0</v>
      </c>
    </row>
    <row r="123">
      <c r="A123" s="182">
        <v>211054.0</v>
      </c>
      <c r="B123" s="182">
        <v>92833.0</v>
      </c>
      <c r="C123" s="182" t="s">
        <v>798</v>
      </c>
      <c r="D123" s="182" t="s">
        <v>38</v>
      </c>
      <c r="E123" s="182">
        <v>10651.0</v>
      </c>
      <c r="F123" s="182" t="s">
        <v>404</v>
      </c>
      <c r="G123" s="182">
        <v>18392.0</v>
      </c>
      <c r="H123" s="182" t="s">
        <v>181</v>
      </c>
      <c r="I123" s="182">
        <v>2.0</v>
      </c>
      <c r="J123" s="182">
        <v>13.0</v>
      </c>
      <c r="K123" s="182">
        <v>7.0</v>
      </c>
      <c r="L123" s="182">
        <v>7.0</v>
      </c>
      <c r="M123" s="182">
        <v>5.0</v>
      </c>
      <c r="N123" s="182">
        <v>1.0</v>
      </c>
      <c r="O123" s="182">
        <v>1.0</v>
      </c>
      <c r="P123" s="182">
        <v>0.0</v>
      </c>
      <c r="Q123" s="182">
        <v>6.0</v>
      </c>
      <c r="R123" s="182">
        <v>2.0</v>
      </c>
      <c r="S123" s="182">
        <v>7.0</v>
      </c>
      <c r="T123" s="182">
        <v>5.0</v>
      </c>
      <c r="U123" s="182">
        <v>1.0</v>
      </c>
      <c r="V123" s="182">
        <v>1.0</v>
      </c>
      <c r="W123" s="182">
        <v>0.0</v>
      </c>
      <c r="X123" s="182">
        <v>5.0</v>
      </c>
      <c r="Y123" s="182">
        <v>7.0</v>
      </c>
      <c r="Z123" s="182">
        <v>2.0</v>
      </c>
      <c r="AA123" s="182">
        <v>6.0</v>
      </c>
      <c r="AB123" s="182" t="s">
        <v>743</v>
      </c>
      <c r="AC123" s="182" t="s">
        <v>977</v>
      </c>
      <c r="AD123" s="182" t="s">
        <v>942</v>
      </c>
      <c r="AE123" s="182" t="s">
        <v>924</v>
      </c>
      <c r="AF123" s="182" t="s">
        <v>751</v>
      </c>
      <c r="AG123" s="182" t="s">
        <v>882</v>
      </c>
      <c r="AH123" s="182">
        <v>309.0</v>
      </c>
    </row>
    <row r="124">
      <c r="A124" s="182">
        <v>211053.0</v>
      </c>
      <c r="B124" s="182">
        <v>92833.0</v>
      </c>
      <c r="C124" s="182" t="s">
        <v>798</v>
      </c>
      <c r="D124" s="182" t="s">
        <v>40</v>
      </c>
      <c r="E124" s="182">
        <v>10651.0</v>
      </c>
      <c r="F124" s="182" t="s">
        <v>404</v>
      </c>
      <c r="G124" s="182">
        <v>18392.0</v>
      </c>
      <c r="H124" s="182" t="s">
        <v>181</v>
      </c>
      <c r="I124" s="182">
        <v>1.0</v>
      </c>
      <c r="J124" s="182">
        <v>5.0</v>
      </c>
      <c r="K124" s="182">
        <v>13.0</v>
      </c>
      <c r="L124" s="182">
        <v>4.0</v>
      </c>
      <c r="M124" s="182">
        <v>8.0</v>
      </c>
      <c r="N124" s="182">
        <v>1.0</v>
      </c>
      <c r="O124" s="182">
        <v>1.0</v>
      </c>
      <c r="P124" s="182">
        <v>0.0</v>
      </c>
      <c r="Q124" s="182">
        <v>4.0</v>
      </c>
      <c r="R124" s="182">
        <v>8.0</v>
      </c>
      <c r="S124" s="182">
        <v>1.0</v>
      </c>
      <c r="T124" s="182">
        <v>5.0</v>
      </c>
      <c r="U124" s="182">
        <v>1.0</v>
      </c>
      <c r="V124" s="182">
        <v>1.0</v>
      </c>
      <c r="W124" s="182">
        <v>0.0</v>
      </c>
      <c r="X124" s="182">
        <v>5.0</v>
      </c>
      <c r="Y124" s="182">
        <v>1.0</v>
      </c>
      <c r="Z124" s="182">
        <v>8.0</v>
      </c>
      <c r="AA124" s="182">
        <v>4.0</v>
      </c>
      <c r="AB124" s="182" t="s">
        <v>743</v>
      </c>
      <c r="AC124" s="182" t="s">
        <v>977</v>
      </c>
      <c r="AD124" s="182" t="s">
        <v>939</v>
      </c>
      <c r="AE124" s="182" t="s">
        <v>907</v>
      </c>
      <c r="AF124" s="182" t="s">
        <v>777</v>
      </c>
      <c r="AG124" s="182" t="s">
        <v>793</v>
      </c>
      <c r="AH124" s="182">
        <v>309.0</v>
      </c>
    </row>
    <row r="125">
      <c r="A125" s="182">
        <v>211051.0</v>
      </c>
      <c r="B125" s="182">
        <v>92832.0</v>
      </c>
      <c r="C125" s="182" t="s">
        <v>798</v>
      </c>
      <c r="D125" s="182" t="s">
        <v>34</v>
      </c>
      <c r="E125" s="182">
        <v>14607.0</v>
      </c>
      <c r="F125" s="182" t="s">
        <v>450</v>
      </c>
      <c r="G125" s="182">
        <v>17869.0</v>
      </c>
      <c r="H125" s="182" t="s">
        <v>190</v>
      </c>
      <c r="I125" s="182">
        <v>2.0</v>
      </c>
      <c r="J125" s="182">
        <v>5.0</v>
      </c>
      <c r="K125" s="182">
        <v>13.0</v>
      </c>
      <c r="L125" s="182">
        <v>4.0</v>
      </c>
      <c r="M125" s="182">
        <v>8.0</v>
      </c>
      <c r="N125" s="182">
        <v>0.0</v>
      </c>
      <c r="O125" s="182">
        <v>0.0</v>
      </c>
      <c r="P125" s="182">
        <v>0.0</v>
      </c>
      <c r="Q125" s="182">
        <v>1.0</v>
      </c>
      <c r="R125" s="182">
        <v>5.0</v>
      </c>
      <c r="S125" s="182">
        <v>4.0</v>
      </c>
      <c r="T125" s="182">
        <v>8.0</v>
      </c>
      <c r="U125" s="182">
        <v>2.0</v>
      </c>
      <c r="V125" s="182">
        <v>1.0</v>
      </c>
      <c r="W125" s="182">
        <v>1.0</v>
      </c>
      <c r="X125" s="182">
        <v>8.0</v>
      </c>
      <c r="Y125" s="182">
        <v>4.0</v>
      </c>
      <c r="Z125" s="182">
        <v>5.0</v>
      </c>
      <c r="AA125" s="182">
        <v>1.0</v>
      </c>
      <c r="AB125" s="182" t="s">
        <v>743</v>
      </c>
      <c r="AC125" s="182" t="s">
        <v>977</v>
      </c>
      <c r="AD125" s="182" t="s">
        <v>982</v>
      </c>
      <c r="AE125" s="182" t="s">
        <v>910</v>
      </c>
      <c r="AF125" s="182" t="s">
        <v>756</v>
      </c>
      <c r="AG125" s="182" t="s">
        <v>782</v>
      </c>
      <c r="AH125" s="182">
        <v>309.0</v>
      </c>
    </row>
    <row r="126">
      <c r="A126" s="182">
        <v>211050.0</v>
      </c>
      <c r="B126" s="182">
        <v>92832.0</v>
      </c>
      <c r="C126" s="182" t="s">
        <v>798</v>
      </c>
      <c r="D126" s="182" t="s">
        <v>38</v>
      </c>
      <c r="E126" s="182">
        <v>14607.0</v>
      </c>
      <c r="F126" s="182" t="s">
        <v>450</v>
      </c>
      <c r="G126" s="182">
        <v>17869.0</v>
      </c>
      <c r="H126" s="182" t="s">
        <v>190</v>
      </c>
      <c r="I126" s="182">
        <v>2.0</v>
      </c>
      <c r="J126" s="182">
        <v>8.0</v>
      </c>
      <c r="K126" s="182">
        <v>13.0</v>
      </c>
      <c r="L126" s="182">
        <v>6.0</v>
      </c>
      <c r="M126" s="182">
        <v>6.0</v>
      </c>
      <c r="N126" s="182">
        <v>1.0</v>
      </c>
      <c r="O126" s="182">
        <v>0.0</v>
      </c>
      <c r="P126" s="182">
        <v>1.0</v>
      </c>
      <c r="Q126" s="182">
        <v>2.0</v>
      </c>
      <c r="R126" s="182">
        <v>7.0</v>
      </c>
      <c r="S126" s="182">
        <v>6.0</v>
      </c>
      <c r="T126" s="182">
        <v>6.0</v>
      </c>
      <c r="U126" s="182">
        <v>1.0</v>
      </c>
      <c r="V126" s="182">
        <v>0.0</v>
      </c>
      <c r="W126" s="182">
        <v>1.0</v>
      </c>
      <c r="X126" s="182">
        <v>6.0</v>
      </c>
      <c r="Y126" s="182">
        <v>6.0</v>
      </c>
      <c r="Z126" s="182">
        <v>7.0</v>
      </c>
      <c r="AA126" s="182">
        <v>2.0</v>
      </c>
      <c r="AB126" s="182" t="s">
        <v>743</v>
      </c>
      <c r="AC126" s="182" t="s">
        <v>977</v>
      </c>
      <c r="AD126" s="182" t="s">
        <v>983</v>
      </c>
      <c r="AE126" s="182" t="s">
        <v>820</v>
      </c>
      <c r="AF126" s="182" t="s">
        <v>751</v>
      </c>
      <c r="AG126" s="182" t="s">
        <v>794</v>
      </c>
      <c r="AH126" s="182">
        <v>309.0</v>
      </c>
    </row>
    <row r="127">
      <c r="A127" s="182">
        <v>210905.0</v>
      </c>
      <c r="B127" s="182">
        <v>92757.0</v>
      </c>
      <c r="C127" s="182" t="s">
        <v>984</v>
      </c>
      <c r="D127" s="182" t="s">
        <v>227</v>
      </c>
      <c r="E127" s="182">
        <v>15281.0</v>
      </c>
      <c r="F127" s="182" t="s">
        <v>425</v>
      </c>
      <c r="G127" s="182">
        <v>17869.0</v>
      </c>
      <c r="H127" s="182" t="s">
        <v>190</v>
      </c>
      <c r="I127" s="182">
        <v>1.0</v>
      </c>
      <c r="J127" s="182">
        <v>12.0</v>
      </c>
      <c r="K127" s="182">
        <v>14.0</v>
      </c>
      <c r="L127" s="182">
        <v>4.0</v>
      </c>
      <c r="M127" s="182">
        <v>8.0</v>
      </c>
      <c r="N127" s="182">
        <v>0.0</v>
      </c>
      <c r="O127" s="182">
        <v>0.0</v>
      </c>
      <c r="P127" s="182">
        <v>0.0</v>
      </c>
      <c r="Q127" s="182">
        <v>4.0</v>
      </c>
      <c r="R127" s="182">
        <v>9.0</v>
      </c>
      <c r="S127" s="182">
        <v>8.0</v>
      </c>
      <c r="T127" s="182">
        <v>5.0</v>
      </c>
      <c r="U127" s="182">
        <v>2.0</v>
      </c>
      <c r="V127" s="182">
        <v>1.0</v>
      </c>
      <c r="W127" s="182">
        <v>1.0</v>
      </c>
      <c r="X127" s="182">
        <v>5.0</v>
      </c>
      <c r="Y127" s="182">
        <v>8.0</v>
      </c>
      <c r="Z127" s="182">
        <v>9.0</v>
      </c>
      <c r="AA127" s="182">
        <v>4.0</v>
      </c>
      <c r="AB127" s="182" t="s">
        <v>743</v>
      </c>
      <c r="AC127" s="182" t="s">
        <v>985</v>
      </c>
      <c r="AD127" s="182" t="s">
        <v>986</v>
      </c>
      <c r="AE127" s="182" t="s">
        <v>916</v>
      </c>
      <c r="AF127" s="182" t="s">
        <v>747</v>
      </c>
      <c r="AG127" s="182" t="s">
        <v>748</v>
      </c>
      <c r="AH127" s="182">
        <v>309.0</v>
      </c>
    </row>
    <row r="128">
      <c r="A128" s="182">
        <v>210904.0</v>
      </c>
      <c r="B128" s="182">
        <v>92757.0</v>
      </c>
      <c r="C128" s="182" t="s">
        <v>984</v>
      </c>
      <c r="D128" s="182" t="s">
        <v>32</v>
      </c>
      <c r="E128" s="182">
        <v>15281.0</v>
      </c>
      <c r="F128" s="182" t="s">
        <v>425</v>
      </c>
      <c r="G128" s="182">
        <v>17869.0</v>
      </c>
      <c r="H128" s="182" t="s">
        <v>190</v>
      </c>
      <c r="I128" s="182">
        <v>2.0</v>
      </c>
      <c r="J128" s="182">
        <v>9.0</v>
      </c>
      <c r="K128" s="182">
        <v>13.0</v>
      </c>
      <c r="L128" s="182">
        <v>3.0</v>
      </c>
      <c r="M128" s="182">
        <v>9.0</v>
      </c>
      <c r="N128" s="182">
        <v>2.0</v>
      </c>
      <c r="O128" s="182">
        <v>1.0</v>
      </c>
      <c r="P128" s="182">
        <v>1.0</v>
      </c>
      <c r="Q128" s="182">
        <v>6.0</v>
      </c>
      <c r="R128" s="182">
        <v>4.0</v>
      </c>
      <c r="S128" s="182">
        <v>3.0</v>
      </c>
      <c r="T128" s="182">
        <v>9.0</v>
      </c>
      <c r="U128" s="182">
        <v>0.0</v>
      </c>
      <c r="V128" s="182">
        <v>0.0</v>
      </c>
      <c r="W128" s="182">
        <v>0.0</v>
      </c>
      <c r="X128" s="182">
        <v>9.0</v>
      </c>
      <c r="Y128" s="182">
        <v>3.0</v>
      </c>
      <c r="Z128" s="182">
        <v>4.0</v>
      </c>
      <c r="AA128" s="182">
        <v>6.0</v>
      </c>
      <c r="AB128" s="182" t="s">
        <v>743</v>
      </c>
      <c r="AC128" s="182" t="s">
        <v>985</v>
      </c>
      <c r="AD128" s="182" t="s">
        <v>987</v>
      </c>
      <c r="AE128" s="182" t="s">
        <v>820</v>
      </c>
      <c r="AF128" s="182" t="s">
        <v>31</v>
      </c>
      <c r="AG128" s="182" t="s">
        <v>31</v>
      </c>
      <c r="AH128" s="182">
        <v>309.0</v>
      </c>
    </row>
    <row r="129">
      <c r="A129" s="182">
        <v>210903.0</v>
      </c>
      <c r="B129" s="182">
        <v>92757.0</v>
      </c>
      <c r="C129" s="182" t="s">
        <v>984</v>
      </c>
      <c r="D129" s="182" t="s">
        <v>40</v>
      </c>
      <c r="E129" s="182">
        <v>15281.0</v>
      </c>
      <c r="F129" s="182" t="s">
        <v>425</v>
      </c>
      <c r="G129" s="182">
        <v>17869.0</v>
      </c>
      <c r="H129" s="182" t="s">
        <v>190</v>
      </c>
      <c r="I129" s="182">
        <v>1.0</v>
      </c>
      <c r="J129" s="182">
        <v>13.0</v>
      </c>
      <c r="K129" s="182">
        <v>3.0</v>
      </c>
      <c r="L129" s="182">
        <v>9.0</v>
      </c>
      <c r="M129" s="182">
        <v>3.0</v>
      </c>
      <c r="N129" s="182">
        <v>2.0</v>
      </c>
      <c r="O129" s="182">
        <v>1.0</v>
      </c>
      <c r="P129" s="182">
        <v>1.0</v>
      </c>
      <c r="Q129" s="182">
        <v>9.0</v>
      </c>
      <c r="R129" s="182">
        <v>3.0</v>
      </c>
      <c r="S129" s="182">
        <v>4.0</v>
      </c>
      <c r="T129" s="182">
        <v>0.0</v>
      </c>
      <c r="U129" s="182">
        <v>0.0</v>
      </c>
      <c r="V129" s="182">
        <v>0.0</v>
      </c>
      <c r="W129" s="182">
        <v>0.0</v>
      </c>
      <c r="X129" s="182">
        <v>0.0</v>
      </c>
      <c r="Y129" s="182">
        <v>4.0</v>
      </c>
      <c r="Z129" s="182">
        <v>3.0</v>
      </c>
      <c r="AA129" s="182">
        <v>9.0</v>
      </c>
      <c r="AB129" s="182" t="s">
        <v>743</v>
      </c>
      <c r="AC129" s="182" t="s">
        <v>985</v>
      </c>
      <c r="AD129" s="182" t="s">
        <v>988</v>
      </c>
      <c r="AE129" s="182" t="s">
        <v>989</v>
      </c>
      <c r="AF129" s="182" t="s">
        <v>771</v>
      </c>
      <c r="AG129" s="182" t="s">
        <v>771</v>
      </c>
      <c r="AH129" s="182">
        <v>309.0</v>
      </c>
    </row>
    <row r="130">
      <c r="A130" s="182">
        <v>210901.0</v>
      </c>
      <c r="B130" s="182">
        <v>92756.0</v>
      </c>
      <c r="C130" s="182" t="s">
        <v>984</v>
      </c>
      <c r="D130" s="182" t="s">
        <v>36</v>
      </c>
      <c r="E130" s="182">
        <v>19365.0</v>
      </c>
      <c r="F130" s="182" t="s">
        <v>990</v>
      </c>
      <c r="G130" s="182">
        <v>18392.0</v>
      </c>
      <c r="H130" s="182" t="s">
        <v>181</v>
      </c>
      <c r="I130" s="182">
        <v>2.0</v>
      </c>
      <c r="J130" s="182">
        <v>9.0</v>
      </c>
      <c r="K130" s="182">
        <v>13.0</v>
      </c>
      <c r="L130" s="182">
        <v>6.0</v>
      </c>
      <c r="M130" s="182">
        <v>6.0</v>
      </c>
      <c r="N130" s="182">
        <v>0.0</v>
      </c>
      <c r="O130" s="182">
        <v>0.0</v>
      </c>
      <c r="P130" s="182">
        <v>0.0</v>
      </c>
      <c r="Q130" s="182">
        <v>3.0</v>
      </c>
      <c r="R130" s="182">
        <v>7.0</v>
      </c>
      <c r="S130" s="182">
        <v>6.0</v>
      </c>
      <c r="T130" s="182">
        <v>6.0</v>
      </c>
      <c r="U130" s="182">
        <v>2.0</v>
      </c>
      <c r="V130" s="182">
        <v>1.0</v>
      </c>
      <c r="W130" s="182">
        <v>1.0</v>
      </c>
      <c r="X130" s="182">
        <v>6.0</v>
      </c>
      <c r="Y130" s="182">
        <v>6.0</v>
      </c>
      <c r="Z130" s="182">
        <v>7.0</v>
      </c>
      <c r="AA130" s="182">
        <v>3.0</v>
      </c>
      <c r="AB130" s="182" t="s">
        <v>743</v>
      </c>
      <c r="AC130" s="182" t="s">
        <v>985</v>
      </c>
      <c r="AD130" s="182" t="s">
        <v>991</v>
      </c>
      <c r="AE130" s="182" t="s">
        <v>992</v>
      </c>
      <c r="AF130" s="182" t="s">
        <v>902</v>
      </c>
      <c r="AG130" s="182" t="s">
        <v>761</v>
      </c>
      <c r="AH130" s="182">
        <v>309.0</v>
      </c>
    </row>
    <row r="131">
      <c r="A131" s="182">
        <v>210900.0</v>
      </c>
      <c r="B131" s="182">
        <v>92756.0</v>
      </c>
      <c r="C131" s="182" t="s">
        <v>984</v>
      </c>
      <c r="D131" s="182" t="s">
        <v>32</v>
      </c>
      <c r="E131" s="182">
        <v>19365.0</v>
      </c>
      <c r="F131" s="182" t="s">
        <v>990</v>
      </c>
      <c r="G131" s="182">
        <v>18392.0</v>
      </c>
      <c r="H131" s="182" t="s">
        <v>181</v>
      </c>
      <c r="I131" s="182">
        <v>2.0</v>
      </c>
      <c r="J131" s="182">
        <v>11.0</v>
      </c>
      <c r="K131" s="182">
        <v>13.0</v>
      </c>
      <c r="L131" s="182">
        <v>5.0</v>
      </c>
      <c r="M131" s="182">
        <v>7.0</v>
      </c>
      <c r="N131" s="182">
        <v>1.0</v>
      </c>
      <c r="O131" s="182">
        <v>1.0</v>
      </c>
      <c r="P131" s="182">
        <v>0.0</v>
      </c>
      <c r="Q131" s="182">
        <v>6.0</v>
      </c>
      <c r="R131" s="182">
        <v>6.0</v>
      </c>
      <c r="S131" s="182">
        <v>5.0</v>
      </c>
      <c r="T131" s="182">
        <v>7.0</v>
      </c>
      <c r="U131" s="182">
        <v>1.0</v>
      </c>
      <c r="V131" s="182">
        <v>1.0</v>
      </c>
      <c r="W131" s="182">
        <v>0.0</v>
      </c>
      <c r="X131" s="182">
        <v>7.0</v>
      </c>
      <c r="Y131" s="182">
        <v>5.0</v>
      </c>
      <c r="Z131" s="182">
        <v>6.0</v>
      </c>
      <c r="AA131" s="182">
        <v>6.0</v>
      </c>
      <c r="AB131" s="182" t="s">
        <v>743</v>
      </c>
      <c r="AC131" s="182" t="s">
        <v>985</v>
      </c>
      <c r="AD131" s="182" t="s">
        <v>991</v>
      </c>
      <c r="AE131" s="182" t="s">
        <v>928</v>
      </c>
      <c r="AF131" s="182" t="s">
        <v>816</v>
      </c>
      <c r="AG131" s="182" t="s">
        <v>751</v>
      </c>
      <c r="AH131" s="182">
        <v>309.0</v>
      </c>
    </row>
    <row r="132">
      <c r="A132" s="182">
        <v>210899.0</v>
      </c>
      <c r="B132" s="182">
        <v>92755.0</v>
      </c>
      <c r="C132" s="182" t="s">
        <v>984</v>
      </c>
      <c r="D132" s="182" t="s">
        <v>32</v>
      </c>
      <c r="E132" s="182">
        <v>17952.0</v>
      </c>
      <c r="F132" s="182" t="s">
        <v>1</v>
      </c>
      <c r="G132" s="182">
        <v>9685.0</v>
      </c>
      <c r="H132" s="182" t="s">
        <v>428</v>
      </c>
      <c r="I132" s="182">
        <v>2.0</v>
      </c>
      <c r="J132" s="182">
        <v>13.0</v>
      </c>
      <c r="K132" s="182">
        <v>9.0</v>
      </c>
      <c r="L132" s="182">
        <v>8.0</v>
      </c>
      <c r="M132" s="182">
        <v>4.0</v>
      </c>
      <c r="N132" s="182">
        <v>2.0</v>
      </c>
      <c r="O132" s="182">
        <v>1.0</v>
      </c>
      <c r="P132" s="182">
        <v>1.0</v>
      </c>
      <c r="Q132" s="182">
        <v>5.0</v>
      </c>
      <c r="R132" s="182">
        <v>5.0</v>
      </c>
      <c r="S132" s="182">
        <v>8.0</v>
      </c>
      <c r="T132" s="182">
        <v>4.0</v>
      </c>
      <c r="U132" s="182">
        <v>0.0</v>
      </c>
      <c r="V132" s="182">
        <v>0.0</v>
      </c>
      <c r="W132" s="182">
        <v>0.0</v>
      </c>
      <c r="X132" s="182">
        <v>4.0</v>
      </c>
      <c r="Y132" s="182">
        <v>8.0</v>
      </c>
      <c r="Z132" s="182">
        <v>5.0</v>
      </c>
      <c r="AA132" s="182">
        <v>5.0</v>
      </c>
      <c r="AB132" s="182" t="s">
        <v>743</v>
      </c>
      <c r="AC132" s="182" t="s">
        <v>993</v>
      </c>
      <c r="AD132" s="182" t="s">
        <v>801</v>
      </c>
      <c r="AE132" s="182" t="s">
        <v>994</v>
      </c>
      <c r="AF132" s="182" t="s">
        <v>31</v>
      </c>
      <c r="AG132" s="182" t="s">
        <v>751</v>
      </c>
      <c r="AH132" s="182">
        <v>309.0</v>
      </c>
    </row>
    <row r="133">
      <c r="A133" s="182">
        <v>210898.0</v>
      </c>
      <c r="B133" s="182">
        <v>92755.0</v>
      </c>
      <c r="C133" s="182" t="s">
        <v>984</v>
      </c>
      <c r="D133" s="182" t="s">
        <v>227</v>
      </c>
      <c r="E133" s="182">
        <v>17952.0</v>
      </c>
      <c r="F133" s="182" t="s">
        <v>1</v>
      </c>
      <c r="G133" s="182">
        <v>9685.0</v>
      </c>
      <c r="H133" s="182" t="s">
        <v>428</v>
      </c>
      <c r="I133" s="182">
        <v>1.0</v>
      </c>
      <c r="J133" s="182">
        <v>13.0</v>
      </c>
      <c r="K133" s="182">
        <v>6.0</v>
      </c>
      <c r="L133" s="182">
        <v>6.0</v>
      </c>
      <c r="M133" s="182">
        <v>6.0</v>
      </c>
      <c r="N133" s="182">
        <v>2.0</v>
      </c>
      <c r="O133" s="182">
        <v>1.0</v>
      </c>
      <c r="P133" s="182">
        <v>1.0</v>
      </c>
      <c r="Q133" s="182">
        <v>6.0</v>
      </c>
      <c r="R133" s="182">
        <v>6.0</v>
      </c>
      <c r="S133" s="182">
        <v>7.0</v>
      </c>
      <c r="T133" s="182">
        <v>0.0</v>
      </c>
      <c r="U133" s="182">
        <v>0.0</v>
      </c>
      <c r="V133" s="182">
        <v>0.0</v>
      </c>
      <c r="W133" s="182">
        <v>0.0</v>
      </c>
      <c r="X133" s="182">
        <v>0.0</v>
      </c>
      <c r="Y133" s="182">
        <v>7.0</v>
      </c>
      <c r="Z133" s="182">
        <v>6.0</v>
      </c>
      <c r="AA133" s="182">
        <v>6.0</v>
      </c>
      <c r="AB133" s="182" t="s">
        <v>743</v>
      </c>
      <c r="AC133" s="182" t="s">
        <v>993</v>
      </c>
      <c r="AD133" s="182" t="s">
        <v>812</v>
      </c>
      <c r="AE133" s="182" t="s">
        <v>995</v>
      </c>
      <c r="AF133" s="182" t="s">
        <v>37</v>
      </c>
      <c r="AG133" s="182" t="s">
        <v>752</v>
      </c>
      <c r="AH133" s="182">
        <v>309.0</v>
      </c>
    </row>
    <row r="134">
      <c r="A134" s="182">
        <v>210362.0</v>
      </c>
      <c r="B134" s="182">
        <v>92557.0</v>
      </c>
      <c r="C134" s="182" t="s">
        <v>996</v>
      </c>
      <c r="D134" s="182" t="s">
        <v>38</v>
      </c>
      <c r="E134" s="182">
        <v>4561.0</v>
      </c>
      <c r="F134" s="182" t="s">
        <v>184</v>
      </c>
      <c r="G134" s="182">
        <v>299.0</v>
      </c>
      <c r="H134" s="182" t="s">
        <v>185</v>
      </c>
      <c r="I134" s="182">
        <v>1.0</v>
      </c>
      <c r="J134" s="182">
        <v>13.0</v>
      </c>
      <c r="K134" s="182">
        <v>9.0</v>
      </c>
      <c r="L134" s="182">
        <v>7.0</v>
      </c>
      <c r="M134" s="182">
        <v>5.0</v>
      </c>
      <c r="N134" s="182">
        <v>2.0</v>
      </c>
      <c r="O134" s="182">
        <v>1.0</v>
      </c>
      <c r="P134" s="182">
        <v>1.0</v>
      </c>
      <c r="Q134" s="182">
        <v>7.0</v>
      </c>
      <c r="R134" s="182">
        <v>5.0</v>
      </c>
      <c r="S134" s="182">
        <v>6.0</v>
      </c>
      <c r="T134" s="182">
        <v>4.0</v>
      </c>
      <c r="U134" s="182">
        <v>0.0</v>
      </c>
      <c r="V134" s="182">
        <v>0.0</v>
      </c>
      <c r="W134" s="182">
        <v>0.0</v>
      </c>
      <c r="X134" s="182">
        <v>4.0</v>
      </c>
      <c r="Y134" s="182">
        <v>6.0</v>
      </c>
      <c r="Z134" s="182">
        <v>5.0</v>
      </c>
      <c r="AA134" s="182">
        <v>7.0</v>
      </c>
      <c r="AB134" s="182" t="s">
        <v>743</v>
      </c>
      <c r="AC134" s="182" t="s">
        <v>993</v>
      </c>
      <c r="AD134" s="182" t="s">
        <v>791</v>
      </c>
      <c r="AE134" s="182" t="s">
        <v>772</v>
      </c>
      <c r="AF134" s="182" t="s">
        <v>793</v>
      </c>
      <c r="AG134" s="182" t="s">
        <v>751</v>
      </c>
      <c r="AH134" s="182">
        <v>309.0</v>
      </c>
    </row>
    <row r="135">
      <c r="A135" s="182">
        <v>210897.0</v>
      </c>
      <c r="B135" s="182">
        <v>92755.0</v>
      </c>
      <c r="C135" s="182" t="s">
        <v>984</v>
      </c>
      <c r="D135" s="182" t="s">
        <v>40</v>
      </c>
      <c r="E135" s="182">
        <v>17952.0</v>
      </c>
      <c r="F135" s="182" t="s">
        <v>1</v>
      </c>
      <c r="G135" s="182">
        <v>9685.0</v>
      </c>
      <c r="H135" s="182" t="s">
        <v>428</v>
      </c>
      <c r="I135" s="182">
        <v>2.0</v>
      </c>
      <c r="J135" s="182">
        <v>14.0</v>
      </c>
      <c r="K135" s="182">
        <v>16.0</v>
      </c>
      <c r="L135" s="182">
        <v>9.0</v>
      </c>
      <c r="M135" s="182">
        <v>3.0</v>
      </c>
      <c r="N135" s="182">
        <v>2.0</v>
      </c>
      <c r="O135" s="182">
        <v>1.0</v>
      </c>
      <c r="P135" s="182">
        <v>1.0</v>
      </c>
      <c r="Q135" s="182">
        <v>4.0</v>
      </c>
      <c r="R135" s="182">
        <v>11.0</v>
      </c>
      <c r="S135" s="182">
        <v>10.0</v>
      </c>
      <c r="T135" s="182">
        <v>5.0</v>
      </c>
      <c r="U135" s="182">
        <v>0.0</v>
      </c>
      <c r="V135" s="182">
        <v>0.0</v>
      </c>
      <c r="W135" s="182">
        <v>0.0</v>
      </c>
      <c r="X135" s="182">
        <v>5.0</v>
      </c>
      <c r="Y135" s="182">
        <v>10.0</v>
      </c>
      <c r="Z135" s="182">
        <v>11.0</v>
      </c>
      <c r="AA135" s="182">
        <v>4.0</v>
      </c>
      <c r="AB135" s="182" t="s">
        <v>743</v>
      </c>
      <c r="AC135" s="182" t="s">
        <v>993</v>
      </c>
      <c r="AD135" s="182" t="s">
        <v>975</v>
      </c>
      <c r="AE135" s="182" t="s">
        <v>997</v>
      </c>
      <c r="AF135" s="182" t="s">
        <v>793</v>
      </c>
      <c r="AG135" s="182" t="s">
        <v>862</v>
      </c>
      <c r="AH135" s="182">
        <v>309.0</v>
      </c>
    </row>
    <row r="136">
      <c r="A136" s="182">
        <v>207571.0</v>
      </c>
      <c r="B136" s="182">
        <v>91451.0</v>
      </c>
      <c r="C136" s="182" t="s">
        <v>998</v>
      </c>
      <c r="D136" s="182" t="s">
        <v>34</v>
      </c>
      <c r="E136" s="182">
        <v>14174.0</v>
      </c>
      <c r="F136" s="182" t="s">
        <v>962</v>
      </c>
      <c r="G136" s="182">
        <v>17813.0</v>
      </c>
      <c r="H136" s="182" t="s">
        <v>182</v>
      </c>
      <c r="I136" s="182">
        <v>2.0</v>
      </c>
      <c r="J136" s="182">
        <v>8.0</v>
      </c>
      <c r="K136" s="182">
        <v>13.0</v>
      </c>
      <c r="L136" s="182">
        <v>7.0</v>
      </c>
      <c r="M136" s="182">
        <v>5.0</v>
      </c>
      <c r="N136" s="182">
        <v>1.0</v>
      </c>
      <c r="O136" s="182">
        <v>0.0</v>
      </c>
      <c r="P136" s="182">
        <v>1.0</v>
      </c>
      <c r="Q136" s="182">
        <v>1.0</v>
      </c>
      <c r="R136" s="182">
        <v>8.0</v>
      </c>
      <c r="S136" s="182">
        <v>7.0</v>
      </c>
      <c r="T136" s="182">
        <v>5.0</v>
      </c>
      <c r="U136" s="182">
        <v>1.0</v>
      </c>
      <c r="V136" s="182">
        <v>0.0</v>
      </c>
      <c r="W136" s="182">
        <v>1.0</v>
      </c>
      <c r="X136" s="182">
        <v>5.0</v>
      </c>
      <c r="Y136" s="182">
        <v>7.0</v>
      </c>
      <c r="Z136" s="182">
        <v>8.0</v>
      </c>
      <c r="AA136" s="182">
        <v>1.0</v>
      </c>
      <c r="AB136" s="182" t="s">
        <v>743</v>
      </c>
      <c r="AC136" s="182" t="s">
        <v>993</v>
      </c>
      <c r="AD136" s="182" t="s">
        <v>999</v>
      </c>
      <c r="AE136" s="182" t="s">
        <v>1000</v>
      </c>
      <c r="AF136" s="182" t="s">
        <v>1001</v>
      </c>
      <c r="AG136" s="182" t="s">
        <v>755</v>
      </c>
      <c r="AH136" s="182">
        <v>309.0</v>
      </c>
    </row>
    <row r="137">
      <c r="A137" s="182">
        <v>210361.0</v>
      </c>
      <c r="B137" s="182">
        <v>92557.0</v>
      </c>
      <c r="C137" s="182" t="s">
        <v>996</v>
      </c>
      <c r="D137" s="182" t="s">
        <v>40</v>
      </c>
      <c r="E137" s="182">
        <v>4561.0</v>
      </c>
      <c r="F137" s="182" t="s">
        <v>184</v>
      </c>
      <c r="G137" s="182">
        <v>299.0</v>
      </c>
      <c r="H137" s="182" t="s">
        <v>185</v>
      </c>
      <c r="I137" s="182">
        <v>2.0</v>
      </c>
      <c r="J137" s="182">
        <v>13.0</v>
      </c>
      <c r="K137" s="182">
        <v>9.0</v>
      </c>
      <c r="L137" s="182">
        <v>6.0</v>
      </c>
      <c r="M137" s="182">
        <v>6.0</v>
      </c>
      <c r="N137" s="182">
        <v>1.0</v>
      </c>
      <c r="O137" s="182">
        <v>1.0</v>
      </c>
      <c r="P137" s="182">
        <v>0.0</v>
      </c>
      <c r="Q137" s="182">
        <v>7.0</v>
      </c>
      <c r="R137" s="182">
        <v>3.0</v>
      </c>
      <c r="S137" s="182">
        <v>6.0</v>
      </c>
      <c r="T137" s="182">
        <v>6.0</v>
      </c>
      <c r="U137" s="182">
        <v>1.0</v>
      </c>
      <c r="V137" s="182">
        <v>1.0</v>
      </c>
      <c r="W137" s="182">
        <v>0.0</v>
      </c>
      <c r="X137" s="182">
        <v>6.0</v>
      </c>
      <c r="Y137" s="182">
        <v>6.0</v>
      </c>
      <c r="Z137" s="182">
        <v>3.0</v>
      </c>
      <c r="AA137" s="182">
        <v>7.0</v>
      </c>
      <c r="AB137" s="182" t="s">
        <v>743</v>
      </c>
      <c r="AC137" s="182" t="s">
        <v>993</v>
      </c>
      <c r="AD137" s="182" t="s">
        <v>776</v>
      </c>
      <c r="AE137" s="182" t="s">
        <v>1002</v>
      </c>
      <c r="AF137" s="182" t="s">
        <v>771</v>
      </c>
      <c r="AG137" s="182" t="s">
        <v>869</v>
      </c>
      <c r="AH137" s="182">
        <v>309.0</v>
      </c>
    </row>
    <row r="138">
      <c r="A138" s="182">
        <v>207570.0</v>
      </c>
      <c r="B138" s="182">
        <v>91451.0</v>
      </c>
      <c r="C138" s="182" t="s">
        <v>998</v>
      </c>
      <c r="D138" s="182" t="s">
        <v>40</v>
      </c>
      <c r="E138" s="182">
        <v>14174.0</v>
      </c>
      <c r="F138" s="182" t="s">
        <v>962</v>
      </c>
      <c r="G138" s="182">
        <v>17813.0</v>
      </c>
      <c r="H138" s="182" t="s">
        <v>182</v>
      </c>
      <c r="I138" s="182">
        <v>2.0</v>
      </c>
      <c r="J138" s="182">
        <v>6.0</v>
      </c>
      <c r="K138" s="182">
        <v>13.0</v>
      </c>
      <c r="L138" s="182">
        <v>5.0</v>
      </c>
      <c r="M138" s="182">
        <v>7.0</v>
      </c>
      <c r="N138" s="182">
        <v>0.0</v>
      </c>
      <c r="O138" s="182">
        <v>0.0</v>
      </c>
      <c r="P138" s="182">
        <v>0.0</v>
      </c>
      <c r="Q138" s="182">
        <v>1.0</v>
      </c>
      <c r="R138" s="182">
        <v>6.0</v>
      </c>
      <c r="S138" s="182">
        <v>5.0</v>
      </c>
      <c r="T138" s="182">
        <v>7.0</v>
      </c>
      <c r="U138" s="182">
        <v>2.0</v>
      </c>
      <c r="V138" s="182">
        <v>1.0</v>
      </c>
      <c r="W138" s="182">
        <v>1.0</v>
      </c>
      <c r="X138" s="182">
        <v>7.0</v>
      </c>
      <c r="Y138" s="182">
        <v>5.0</v>
      </c>
      <c r="Z138" s="182">
        <v>6.0</v>
      </c>
      <c r="AA138" s="182">
        <v>1.0</v>
      </c>
      <c r="AB138" s="182" t="s">
        <v>743</v>
      </c>
      <c r="AC138" s="182" t="s">
        <v>993</v>
      </c>
      <c r="AD138" s="182" t="s">
        <v>1003</v>
      </c>
      <c r="AE138" s="182" t="s">
        <v>769</v>
      </c>
      <c r="AF138" s="182" t="s">
        <v>1004</v>
      </c>
      <c r="AG138" s="182" t="s">
        <v>771</v>
      </c>
      <c r="AH138" s="182">
        <v>309.0</v>
      </c>
    </row>
    <row r="139">
      <c r="A139" s="182">
        <v>210360.0</v>
      </c>
      <c r="B139" s="182">
        <v>92557.0</v>
      </c>
      <c r="C139" s="182" t="s">
        <v>996</v>
      </c>
      <c r="D139" s="182" t="s">
        <v>227</v>
      </c>
      <c r="E139" s="182">
        <v>4561.0</v>
      </c>
      <c r="F139" s="182" t="s">
        <v>184</v>
      </c>
      <c r="G139" s="182">
        <v>299.0</v>
      </c>
      <c r="H139" s="182" t="s">
        <v>185</v>
      </c>
      <c r="I139" s="182">
        <v>2.0</v>
      </c>
      <c r="J139" s="182">
        <v>5.0</v>
      </c>
      <c r="K139" s="182">
        <v>13.0</v>
      </c>
      <c r="L139" s="182">
        <v>5.0</v>
      </c>
      <c r="M139" s="182">
        <v>7.0</v>
      </c>
      <c r="N139" s="182">
        <v>0.0</v>
      </c>
      <c r="O139" s="182">
        <v>0.0</v>
      </c>
      <c r="P139" s="182">
        <v>0.0</v>
      </c>
      <c r="Q139" s="182">
        <v>0.0</v>
      </c>
      <c r="R139" s="182">
        <v>6.0</v>
      </c>
      <c r="S139" s="182">
        <v>5.0</v>
      </c>
      <c r="T139" s="182">
        <v>7.0</v>
      </c>
      <c r="U139" s="182">
        <v>2.0</v>
      </c>
      <c r="V139" s="182">
        <v>1.0</v>
      </c>
      <c r="W139" s="182">
        <v>1.0</v>
      </c>
      <c r="X139" s="182">
        <v>7.0</v>
      </c>
      <c r="Y139" s="182">
        <v>5.0</v>
      </c>
      <c r="Z139" s="182">
        <v>6.0</v>
      </c>
      <c r="AA139" s="182">
        <v>0.0</v>
      </c>
      <c r="AB139" s="182" t="s">
        <v>743</v>
      </c>
      <c r="AC139" s="182" t="s">
        <v>993</v>
      </c>
      <c r="AD139" s="182" t="s">
        <v>1005</v>
      </c>
      <c r="AE139" s="182" t="s">
        <v>1006</v>
      </c>
      <c r="AF139" s="182" t="s">
        <v>859</v>
      </c>
      <c r="AG139" s="182" t="s">
        <v>31</v>
      </c>
      <c r="AH139" s="182">
        <v>309.0</v>
      </c>
    </row>
    <row r="140">
      <c r="A140" s="182">
        <v>210756.0</v>
      </c>
      <c r="B140" s="182">
        <v>92708.0</v>
      </c>
      <c r="C140" s="182" t="s">
        <v>984</v>
      </c>
      <c r="D140" s="182" t="s">
        <v>34</v>
      </c>
      <c r="E140" s="182">
        <v>18392.0</v>
      </c>
      <c r="F140" s="182" t="s">
        <v>181</v>
      </c>
      <c r="G140" s="182">
        <v>539.0</v>
      </c>
      <c r="H140" s="182" t="s">
        <v>179</v>
      </c>
      <c r="I140" s="182">
        <v>1.0</v>
      </c>
      <c r="J140" s="182">
        <v>10.0</v>
      </c>
      <c r="K140" s="182">
        <v>13.0</v>
      </c>
      <c r="L140" s="182">
        <v>7.0</v>
      </c>
      <c r="M140" s="182">
        <v>5.0</v>
      </c>
      <c r="N140" s="182">
        <v>2.0</v>
      </c>
      <c r="O140" s="182">
        <v>1.0</v>
      </c>
      <c r="P140" s="182">
        <v>1.0</v>
      </c>
      <c r="Q140" s="182">
        <v>7.0</v>
      </c>
      <c r="R140" s="182">
        <v>5.0</v>
      </c>
      <c r="S140" s="182">
        <v>3.0</v>
      </c>
      <c r="T140" s="182">
        <v>8.0</v>
      </c>
      <c r="U140" s="182">
        <v>0.0</v>
      </c>
      <c r="V140" s="182">
        <v>0.0</v>
      </c>
      <c r="W140" s="182">
        <v>0.0</v>
      </c>
      <c r="X140" s="182">
        <v>8.0</v>
      </c>
      <c r="Y140" s="182">
        <v>3.0</v>
      </c>
      <c r="Z140" s="182">
        <v>5.0</v>
      </c>
      <c r="AA140" s="182">
        <v>7.0</v>
      </c>
      <c r="AB140" s="182" t="s">
        <v>743</v>
      </c>
      <c r="AC140" s="182" t="s">
        <v>993</v>
      </c>
      <c r="AD140" s="182" t="s">
        <v>1007</v>
      </c>
      <c r="AE140" s="182" t="s">
        <v>805</v>
      </c>
      <c r="AF140" s="182" t="s">
        <v>1008</v>
      </c>
      <c r="AG140" s="182" t="s">
        <v>756</v>
      </c>
      <c r="AH140" s="182">
        <v>309.0</v>
      </c>
    </row>
    <row r="141">
      <c r="A141" s="182">
        <v>210359.0</v>
      </c>
      <c r="B141" s="182">
        <v>92557.0</v>
      </c>
      <c r="C141" s="182" t="s">
        <v>996</v>
      </c>
      <c r="D141" s="182" t="s">
        <v>42</v>
      </c>
      <c r="E141" s="182">
        <v>4561.0</v>
      </c>
      <c r="F141" s="182" t="s">
        <v>184</v>
      </c>
      <c r="G141" s="182">
        <v>299.0</v>
      </c>
      <c r="H141" s="182" t="s">
        <v>185</v>
      </c>
      <c r="I141" s="182">
        <v>2.0</v>
      </c>
      <c r="J141" s="182">
        <v>14.0</v>
      </c>
      <c r="K141" s="182">
        <v>12.0</v>
      </c>
      <c r="L141" s="182">
        <v>6.0</v>
      </c>
      <c r="M141" s="182">
        <v>6.0</v>
      </c>
      <c r="N141" s="182">
        <v>2.0</v>
      </c>
      <c r="O141" s="182">
        <v>1.0</v>
      </c>
      <c r="P141" s="182">
        <v>1.0</v>
      </c>
      <c r="Q141" s="182">
        <v>7.0</v>
      </c>
      <c r="R141" s="182">
        <v>6.0</v>
      </c>
      <c r="S141" s="182">
        <v>7.0</v>
      </c>
      <c r="T141" s="182">
        <v>6.0</v>
      </c>
      <c r="U141" s="182">
        <v>0.0</v>
      </c>
      <c r="V141" s="182">
        <v>0.0</v>
      </c>
      <c r="W141" s="182">
        <v>0.0</v>
      </c>
      <c r="X141" s="182">
        <v>6.0</v>
      </c>
      <c r="Y141" s="182">
        <v>7.0</v>
      </c>
      <c r="Z141" s="182">
        <v>6.0</v>
      </c>
      <c r="AA141" s="182">
        <v>7.0</v>
      </c>
      <c r="AB141" s="182" t="s">
        <v>743</v>
      </c>
      <c r="AC141" s="182" t="s">
        <v>993</v>
      </c>
      <c r="AD141" s="182" t="s">
        <v>784</v>
      </c>
      <c r="AE141" s="182" t="s">
        <v>1009</v>
      </c>
      <c r="AF141" s="182" t="s">
        <v>786</v>
      </c>
      <c r="AG141" s="182" t="s">
        <v>1010</v>
      </c>
      <c r="AH141" s="182">
        <v>309.0</v>
      </c>
    </row>
    <row r="142">
      <c r="A142" s="182">
        <v>210755.0</v>
      </c>
      <c r="B142" s="182">
        <v>92708.0</v>
      </c>
      <c r="C142" s="182" t="s">
        <v>984</v>
      </c>
      <c r="D142" s="182" t="s">
        <v>40</v>
      </c>
      <c r="E142" s="182">
        <v>18392.0</v>
      </c>
      <c r="F142" s="182" t="s">
        <v>181</v>
      </c>
      <c r="G142" s="182">
        <v>539.0</v>
      </c>
      <c r="H142" s="182" t="s">
        <v>179</v>
      </c>
      <c r="I142" s="182">
        <v>1.0</v>
      </c>
      <c r="J142" s="182">
        <v>13.0</v>
      </c>
      <c r="K142" s="182">
        <v>11.0</v>
      </c>
      <c r="L142" s="182">
        <v>8.0</v>
      </c>
      <c r="M142" s="182">
        <v>4.0</v>
      </c>
      <c r="N142" s="182">
        <v>2.0</v>
      </c>
      <c r="O142" s="182">
        <v>1.0</v>
      </c>
      <c r="P142" s="182">
        <v>1.0</v>
      </c>
      <c r="Q142" s="182">
        <v>8.0</v>
      </c>
      <c r="R142" s="182">
        <v>4.0</v>
      </c>
      <c r="S142" s="182">
        <v>5.0</v>
      </c>
      <c r="T142" s="182">
        <v>7.0</v>
      </c>
      <c r="U142" s="182">
        <v>0.0</v>
      </c>
      <c r="V142" s="182">
        <v>0.0</v>
      </c>
      <c r="W142" s="182">
        <v>0.0</v>
      </c>
      <c r="X142" s="182">
        <v>7.0</v>
      </c>
      <c r="Y142" s="182">
        <v>5.0</v>
      </c>
      <c r="Z142" s="182">
        <v>4.0</v>
      </c>
      <c r="AA142" s="182">
        <v>8.0</v>
      </c>
      <c r="AB142" s="182" t="s">
        <v>743</v>
      </c>
      <c r="AC142" s="182" t="s">
        <v>993</v>
      </c>
      <c r="AD142" s="182" t="s">
        <v>907</v>
      </c>
      <c r="AE142" s="182" t="s">
        <v>805</v>
      </c>
      <c r="AF142" s="182" t="s">
        <v>793</v>
      </c>
      <c r="AG142" s="182" t="s">
        <v>793</v>
      </c>
      <c r="AH142" s="182">
        <v>309.0</v>
      </c>
    </row>
    <row r="143">
      <c r="A143" s="182">
        <v>210754.0</v>
      </c>
      <c r="B143" s="182">
        <v>92708.0</v>
      </c>
      <c r="C143" s="182" t="s">
        <v>984</v>
      </c>
      <c r="D143" s="182" t="s">
        <v>42</v>
      </c>
      <c r="E143" s="182">
        <v>18392.0</v>
      </c>
      <c r="F143" s="182" t="s">
        <v>181</v>
      </c>
      <c r="G143" s="182">
        <v>539.0</v>
      </c>
      <c r="H143" s="182" t="s">
        <v>179</v>
      </c>
      <c r="I143" s="182">
        <v>1.0</v>
      </c>
      <c r="J143" s="182">
        <v>9.0</v>
      </c>
      <c r="K143" s="182">
        <v>13.0</v>
      </c>
      <c r="L143" s="182">
        <v>3.0</v>
      </c>
      <c r="M143" s="182">
        <v>9.0</v>
      </c>
      <c r="N143" s="182">
        <v>2.0</v>
      </c>
      <c r="O143" s="182">
        <v>1.0</v>
      </c>
      <c r="P143" s="182">
        <v>1.0</v>
      </c>
      <c r="Q143" s="182">
        <v>3.0</v>
      </c>
      <c r="R143" s="182">
        <v>9.0</v>
      </c>
      <c r="S143" s="182">
        <v>6.0</v>
      </c>
      <c r="T143" s="182">
        <v>4.0</v>
      </c>
      <c r="U143" s="182">
        <v>0.0</v>
      </c>
      <c r="V143" s="182">
        <v>0.0</v>
      </c>
      <c r="W143" s="182">
        <v>0.0</v>
      </c>
      <c r="X143" s="182">
        <v>4.0</v>
      </c>
      <c r="Y143" s="182">
        <v>6.0</v>
      </c>
      <c r="Z143" s="182">
        <v>9.0</v>
      </c>
      <c r="AA143" s="182">
        <v>3.0</v>
      </c>
      <c r="AB143" s="182" t="s">
        <v>743</v>
      </c>
      <c r="AC143" s="182" t="s">
        <v>993</v>
      </c>
      <c r="AD143" s="182" t="s">
        <v>906</v>
      </c>
      <c r="AE143" s="182" t="s">
        <v>805</v>
      </c>
      <c r="AF143" s="182" t="s">
        <v>834</v>
      </c>
      <c r="AG143" s="182" t="s">
        <v>807</v>
      </c>
      <c r="AH143" s="182">
        <v>309.0</v>
      </c>
    </row>
    <row r="144">
      <c r="A144" s="182">
        <v>210744.0</v>
      </c>
      <c r="B144" s="182">
        <v>92704.0</v>
      </c>
      <c r="C144" s="182" t="s">
        <v>984</v>
      </c>
      <c r="D144" s="182" t="s">
        <v>227</v>
      </c>
      <c r="E144" s="182">
        <v>17869.0</v>
      </c>
      <c r="F144" s="182" t="s">
        <v>190</v>
      </c>
      <c r="G144" s="182">
        <v>10651.0</v>
      </c>
      <c r="H144" s="182" t="s">
        <v>404</v>
      </c>
      <c r="I144" s="182">
        <v>2.0</v>
      </c>
      <c r="J144" s="182">
        <v>12.0</v>
      </c>
      <c r="K144" s="182">
        <v>14.0</v>
      </c>
      <c r="L144" s="182">
        <v>5.0</v>
      </c>
      <c r="M144" s="182">
        <v>7.0</v>
      </c>
      <c r="N144" s="182">
        <v>1.0</v>
      </c>
      <c r="O144" s="182">
        <v>1.0</v>
      </c>
      <c r="P144" s="182">
        <v>0.0</v>
      </c>
      <c r="Q144" s="182">
        <v>7.0</v>
      </c>
      <c r="R144" s="182">
        <v>6.0</v>
      </c>
      <c r="S144" s="182">
        <v>5.0</v>
      </c>
      <c r="T144" s="182">
        <v>8.0</v>
      </c>
      <c r="U144" s="182">
        <v>1.0</v>
      </c>
      <c r="V144" s="182">
        <v>1.0</v>
      </c>
      <c r="W144" s="182">
        <v>0.0</v>
      </c>
      <c r="X144" s="182">
        <v>8.0</v>
      </c>
      <c r="Y144" s="182">
        <v>5.0</v>
      </c>
      <c r="Z144" s="182">
        <v>6.0</v>
      </c>
      <c r="AA144" s="182">
        <v>7.0</v>
      </c>
      <c r="AB144" s="182" t="s">
        <v>743</v>
      </c>
      <c r="AC144" s="182" t="s">
        <v>1011</v>
      </c>
      <c r="AD144" s="182" t="s">
        <v>916</v>
      </c>
      <c r="AE144" s="182" t="s">
        <v>941</v>
      </c>
      <c r="AF144" s="182" t="s">
        <v>748</v>
      </c>
      <c r="AG144" s="182" t="s">
        <v>813</v>
      </c>
      <c r="AH144" s="182">
        <v>309.0</v>
      </c>
    </row>
    <row r="145">
      <c r="A145" s="182">
        <v>208401.0</v>
      </c>
      <c r="B145" s="182">
        <v>91782.0</v>
      </c>
      <c r="C145" s="182" t="s">
        <v>944</v>
      </c>
      <c r="D145" s="182" t="s">
        <v>40</v>
      </c>
      <c r="E145" s="182">
        <v>18501.0</v>
      </c>
      <c r="F145" s="182" t="s">
        <v>188</v>
      </c>
      <c r="G145" s="182">
        <v>19340.0</v>
      </c>
      <c r="H145" s="182" t="s">
        <v>1012</v>
      </c>
      <c r="I145" s="182">
        <v>1.0</v>
      </c>
      <c r="J145" s="182">
        <v>13.0</v>
      </c>
      <c r="K145" s="182">
        <v>1.0</v>
      </c>
      <c r="L145" s="182">
        <v>11.0</v>
      </c>
      <c r="M145" s="182">
        <v>1.0</v>
      </c>
      <c r="N145" s="182">
        <v>2.0</v>
      </c>
      <c r="O145" s="182">
        <v>1.0</v>
      </c>
      <c r="P145" s="182">
        <v>1.0</v>
      </c>
      <c r="Q145" s="182">
        <v>11.0</v>
      </c>
      <c r="R145" s="182">
        <v>1.0</v>
      </c>
      <c r="S145" s="182">
        <v>2.0</v>
      </c>
      <c r="T145" s="182">
        <v>0.0</v>
      </c>
      <c r="U145" s="182">
        <v>0.0</v>
      </c>
      <c r="V145" s="182">
        <v>0.0</v>
      </c>
      <c r="W145" s="182">
        <v>0.0</v>
      </c>
      <c r="X145" s="182">
        <v>0.0</v>
      </c>
      <c r="Y145" s="182">
        <v>2.0</v>
      </c>
      <c r="Z145" s="182">
        <v>1.0</v>
      </c>
      <c r="AA145" s="182">
        <v>11.0</v>
      </c>
      <c r="AB145" s="182" t="s">
        <v>743</v>
      </c>
      <c r="AC145" s="182" t="s">
        <v>1011</v>
      </c>
      <c r="AD145" s="182" t="s">
        <v>804</v>
      </c>
      <c r="AE145" s="182" t="s">
        <v>1013</v>
      </c>
      <c r="AF145" s="182" t="s">
        <v>777</v>
      </c>
      <c r="AG145" s="182" t="s">
        <v>862</v>
      </c>
      <c r="AH145" s="182">
        <v>309.0</v>
      </c>
    </row>
    <row r="146">
      <c r="A146" s="182">
        <v>210558.0</v>
      </c>
      <c r="B146" s="182">
        <v>92622.0</v>
      </c>
      <c r="C146" s="182" t="s">
        <v>1014</v>
      </c>
      <c r="D146" s="182" t="s">
        <v>40</v>
      </c>
      <c r="E146" s="182">
        <v>8413.0</v>
      </c>
      <c r="F146" s="182" t="s">
        <v>393</v>
      </c>
      <c r="G146" s="182">
        <v>5652.0</v>
      </c>
      <c r="H146" s="182" t="s">
        <v>189</v>
      </c>
      <c r="I146" s="182">
        <v>2.0</v>
      </c>
      <c r="J146" s="182">
        <v>13.0</v>
      </c>
      <c r="K146" s="182">
        <v>2.0</v>
      </c>
      <c r="L146" s="182">
        <v>10.0</v>
      </c>
      <c r="M146" s="182">
        <v>2.0</v>
      </c>
      <c r="N146" s="182">
        <v>2.0</v>
      </c>
      <c r="O146" s="182">
        <v>1.0</v>
      </c>
      <c r="P146" s="182">
        <v>1.0</v>
      </c>
      <c r="Q146" s="182">
        <v>3.0</v>
      </c>
      <c r="R146" s="182">
        <v>0.0</v>
      </c>
      <c r="S146" s="182">
        <v>10.0</v>
      </c>
      <c r="T146" s="182">
        <v>2.0</v>
      </c>
      <c r="U146" s="182">
        <v>0.0</v>
      </c>
      <c r="V146" s="182">
        <v>0.0</v>
      </c>
      <c r="W146" s="182">
        <v>0.0</v>
      </c>
      <c r="X146" s="182">
        <v>2.0</v>
      </c>
      <c r="Y146" s="182">
        <v>10.0</v>
      </c>
      <c r="Z146" s="182">
        <v>0.0</v>
      </c>
      <c r="AA146" s="182">
        <v>3.0</v>
      </c>
      <c r="AB146" s="182" t="s">
        <v>743</v>
      </c>
      <c r="AC146" s="182" t="s">
        <v>1011</v>
      </c>
      <c r="AD146" s="182" t="s">
        <v>858</v>
      </c>
      <c r="AE146" s="182" t="s">
        <v>823</v>
      </c>
      <c r="AF146" s="182" t="s">
        <v>771</v>
      </c>
      <c r="AG146" s="182" t="s">
        <v>859</v>
      </c>
      <c r="AH146" s="182">
        <v>309.0</v>
      </c>
    </row>
    <row r="147">
      <c r="A147" s="182">
        <v>210743.0</v>
      </c>
      <c r="B147" s="182">
        <v>92704.0</v>
      </c>
      <c r="C147" s="182" t="s">
        <v>984</v>
      </c>
      <c r="D147" s="182" t="s">
        <v>36</v>
      </c>
      <c r="E147" s="182">
        <v>17869.0</v>
      </c>
      <c r="F147" s="182" t="s">
        <v>190</v>
      </c>
      <c r="G147" s="182">
        <v>10651.0</v>
      </c>
      <c r="H147" s="182" t="s">
        <v>404</v>
      </c>
      <c r="I147" s="182">
        <v>1.0</v>
      </c>
      <c r="J147" s="182">
        <v>17.0</v>
      </c>
      <c r="K147" s="182">
        <v>15.0</v>
      </c>
      <c r="L147" s="182">
        <v>6.0</v>
      </c>
      <c r="M147" s="182">
        <v>6.0</v>
      </c>
      <c r="N147" s="182">
        <v>1.0</v>
      </c>
      <c r="O147" s="182">
        <v>1.0</v>
      </c>
      <c r="P147" s="182">
        <v>0.0</v>
      </c>
      <c r="Q147" s="182">
        <v>10.0</v>
      </c>
      <c r="R147" s="182">
        <v>6.0</v>
      </c>
      <c r="S147" s="182">
        <v>7.0</v>
      </c>
      <c r="T147" s="182">
        <v>9.0</v>
      </c>
      <c r="U147" s="182">
        <v>1.0</v>
      </c>
      <c r="V147" s="182">
        <v>1.0</v>
      </c>
      <c r="W147" s="182">
        <v>0.0</v>
      </c>
      <c r="X147" s="182">
        <v>9.0</v>
      </c>
      <c r="Y147" s="182">
        <v>7.0</v>
      </c>
      <c r="Z147" s="182">
        <v>6.0</v>
      </c>
      <c r="AA147" s="182">
        <v>10.0</v>
      </c>
      <c r="AB147" s="182" t="s">
        <v>743</v>
      </c>
      <c r="AC147" s="182" t="s">
        <v>1011</v>
      </c>
      <c r="AD147" s="182" t="s">
        <v>1015</v>
      </c>
      <c r="AE147" s="182" t="s">
        <v>1016</v>
      </c>
      <c r="AF147" s="182" t="s">
        <v>902</v>
      </c>
      <c r="AG147" s="182" t="s">
        <v>1017</v>
      </c>
      <c r="AH147" s="182">
        <v>309.0</v>
      </c>
    </row>
    <row r="148">
      <c r="A148" s="182">
        <v>210357.0</v>
      </c>
      <c r="B148" s="182">
        <v>92556.0</v>
      </c>
      <c r="C148" s="182" t="s">
        <v>996</v>
      </c>
      <c r="D148" s="182" t="s">
        <v>42</v>
      </c>
      <c r="E148" s="182">
        <v>17738.0</v>
      </c>
      <c r="F148" s="182" t="s">
        <v>1018</v>
      </c>
      <c r="G148" s="182">
        <v>299.0</v>
      </c>
      <c r="H148" s="182" t="s">
        <v>185</v>
      </c>
      <c r="I148" s="182">
        <v>2.0</v>
      </c>
      <c r="J148" s="182">
        <v>7.0</v>
      </c>
      <c r="K148" s="182">
        <v>13.0</v>
      </c>
      <c r="L148" s="182">
        <v>5.0</v>
      </c>
      <c r="M148" s="182">
        <v>7.0</v>
      </c>
      <c r="N148" s="182">
        <v>0.0</v>
      </c>
      <c r="O148" s="182">
        <v>0.0</v>
      </c>
      <c r="P148" s="182">
        <v>0.0</v>
      </c>
      <c r="Q148" s="182">
        <v>2.0</v>
      </c>
      <c r="R148" s="182">
        <v>6.0</v>
      </c>
      <c r="S148" s="182">
        <v>5.0</v>
      </c>
      <c r="T148" s="182">
        <v>7.0</v>
      </c>
      <c r="U148" s="182">
        <v>2.0</v>
      </c>
      <c r="V148" s="182">
        <v>1.0</v>
      </c>
      <c r="W148" s="182">
        <v>1.0</v>
      </c>
      <c r="X148" s="182">
        <v>7.0</v>
      </c>
      <c r="Y148" s="182">
        <v>5.0</v>
      </c>
      <c r="Z148" s="182">
        <v>6.0</v>
      </c>
      <c r="AA148" s="182">
        <v>2.0</v>
      </c>
      <c r="AB148" s="182" t="s">
        <v>743</v>
      </c>
      <c r="AC148" s="182" t="s">
        <v>1011</v>
      </c>
      <c r="AD148" s="182" t="s">
        <v>1019</v>
      </c>
      <c r="AE148" s="182" t="s">
        <v>1009</v>
      </c>
      <c r="AF148" s="182" t="s">
        <v>1020</v>
      </c>
      <c r="AG148" s="182" t="s">
        <v>1010</v>
      </c>
      <c r="AH148" s="182">
        <v>309.0</v>
      </c>
    </row>
    <row r="149">
      <c r="A149" s="182">
        <v>207544.0</v>
      </c>
      <c r="B149" s="182">
        <v>91442.0</v>
      </c>
      <c r="C149" s="182" t="s">
        <v>998</v>
      </c>
      <c r="D149" s="182" t="s">
        <v>42</v>
      </c>
      <c r="E149" s="182">
        <v>7199.0</v>
      </c>
      <c r="F149" s="182" t="s">
        <v>1021</v>
      </c>
      <c r="G149" s="182">
        <v>17807.0</v>
      </c>
      <c r="H149" s="182" t="s">
        <v>187</v>
      </c>
      <c r="I149" s="182">
        <v>1.0</v>
      </c>
      <c r="J149" s="182">
        <v>6.0</v>
      </c>
      <c r="K149" s="182">
        <v>13.0</v>
      </c>
      <c r="L149" s="182">
        <v>4.0</v>
      </c>
      <c r="M149" s="182">
        <v>8.0</v>
      </c>
      <c r="N149" s="182">
        <v>0.0</v>
      </c>
      <c r="O149" s="182">
        <v>0.0</v>
      </c>
      <c r="P149" s="182">
        <v>0.0</v>
      </c>
      <c r="Q149" s="182">
        <v>4.0</v>
      </c>
      <c r="R149" s="182">
        <v>8.0</v>
      </c>
      <c r="S149" s="182">
        <v>2.0</v>
      </c>
      <c r="T149" s="182">
        <v>5.0</v>
      </c>
      <c r="U149" s="182">
        <v>2.0</v>
      </c>
      <c r="V149" s="182">
        <v>1.0</v>
      </c>
      <c r="W149" s="182">
        <v>1.0</v>
      </c>
      <c r="X149" s="182">
        <v>5.0</v>
      </c>
      <c r="Y149" s="182">
        <v>2.0</v>
      </c>
      <c r="Z149" s="182">
        <v>8.0</v>
      </c>
      <c r="AA149" s="182">
        <v>4.0</v>
      </c>
      <c r="AB149" s="182" t="s">
        <v>743</v>
      </c>
      <c r="AC149" s="182" t="s">
        <v>1011</v>
      </c>
      <c r="AD149" s="182" t="s">
        <v>1022</v>
      </c>
      <c r="AE149" s="182" t="s">
        <v>1023</v>
      </c>
      <c r="AF149" s="182" t="s">
        <v>1024</v>
      </c>
      <c r="AG149" s="182" t="s">
        <v>1025</v>
      </c>
      <c r="AH149" s="182">
        <v>309.0</v>
      </c>
    </row>
    <row r="150">
      <c r="A150" s="182">
        <v>208400.0</v>
      </c>
      <c r="B150" s="182">
        <v>91782.0</v>
      </c>
      <c r="C150" s="182" t="s">
        <v>944</v>
      </c>
      <c r="D150" s="182" t="s">
        <v>227</v>
      </c>
      <c r="E150" s="182">
        <v>18501.0</v>
      </c>
      <c r="F150" s="182" t="s">
        <v>188</v>
      </c>
      <c r="G150" s="182">
        <v>19340.0</v>
      </c>
      <c r="H150" s="182" t="s">
        <v>1012</v>
      </c>
      <c r="I150" s="182">
        <v>2.0</v>
      </c>
      <c r="J150" s="182">
        <v>13.0</v>
      </c>
      <c r="K150" s="182">
        <v>9.0</v>
      </c>
      <c r="L150" s="182">
        <v>3.0</v>
      </c>
      <c r="M150" s="182">
        <v>9.0</v>
      </c>
      <c r="N150" s="182">
        <v>1.0</v>
      </c>
      <c r="O150" s="182">
        <v>1.0</v>
      </c>
      <c r="P150" s="182">
        <v>0.0</v>
      </c>
      <c r="Q150" s="182">
        <v>10.0</v>
      </c>
      <c r="R150" s="182">
        <v>0.0</v>
      </c>
      <c r="S150" s="182">
        <v>3.0</v>
      </c>
      <c r="T150" s="182">
        <v>9.0</v>
      </c>
      <c r="U150" s="182">
        <v>1.0</v>
      </c>
      <c r="V150" s="182">
        <v>1.0</v>
      </c>
      <c r="W150" s="182">
        <v>0.0</v>
      </c>
      <c r="X150" s="182">
        <v>9.0</v>
      </c>
      <c r="Y150" s="182">
        <v>3.0</v>
      </c>
      <c r="Z150" s="182">
        <v>0.0</v>
      </c>
      <c r="AA150" s="182">
        <v>10.0</v>
      </c>
      <c r="AB150" s="182" t="s">
        <v>743</v>
      </c>
      <c r="AC150" s="182" t="s">
        <v>1011</v>
      </c>
      <c r="AD150" s="182" t="s">
        <v>1026</v>
      </c>
      <c r="AE150" s="182" t="s">
        <v>1027</v>
      </c>
      <c r="AF150" s="182" t="s">
        <v>1028</v>
      </c>
      <c r="AG150" s="182" t="s">
        <v>1029</v>
      </c>
      <c r="AH150" s="182">
        <v>309.0</v>
      </c>
    </row>
    <row r="151">
      <c r="A151" s="182">
        <v>210742.0</v>
      </c>
      <c r="B151" s="182">
        <v>92704.0</v>
      </c>
      <c r="C151" s="182" t="s">
        <v>984</v>
      </c>
      <c r="D151" s="182" t="s">
        <v>32</v>
      </c>
      <c r="E151" s="182">
        <v>17869.0</v>
      </c>
      <c r="F151" s="182" t="s">
        <v>190</v>
      </c>
      <c r="G151" s="182">
        <v>10651.0</v>
      </c>
      <c r="H151" s="182" t="s">
        <v>404</v>
      </c>
      <c r="I151" s="182">
        <v>2.0</v>
      </c>
      <c r="J151" s="182">
        <v>6.0</v>
      </c>
      <c r="K151" s="182">
        <v>13.0</v>
      </c>
      <c r="L151" s="182">
        <v>3.0</v>
      </c>
      <c r="M151" s="182">
        <v>9.0</v>
      </c>
      <c r="N151" s="182">
        <v>1.0</v>
      </c>
      <c r="O151" s="182">
        <v>0.0</v>
      </c>
      <c r="P151" s="182">
        <v>1.0</v>
      </c>
      <c r="Q151" s="182">
        <v>3.0</v>
      </c>
      <c r="R151" s="182">
        <v>4.0</v>
      </c>
      <c r="S151" s="182">
        <v>3.0</v>
      </c>
      <c r="T151" s="182">
        <v>9.0</v>
      </c>
      <c r="U151" s="182">
        <v>1.0</v>
      </c>
      <c r="V151" s="182">
        <v>0.0</v>
      </c>
      <c r="W151" s="182">
        <v>1.0</v>
      </c>
      <c r="X151" s="182">
        <v>9.0</v>
      </c>
      <c r="Y151" s="182">
        <v>3.0</v>
      </c>
      <c r="Z151" s="182">
        <v>4.0</v>
      </c>
      <c r="AA151" s="182">
        <v>3.0</v>
      </c>
      <c r="AB151" s="182" t="s">
        <v>743</v>
      </c>
      <c r="AC151" s="182" t="s">
        <v>1011</v>
      </c>
      <c r="AD151" s="182" t="s">
        <v>820</v>
      </c>
      <c r="AE151" s="182" t="s">
        <v>981</v>
      </c>
      <c r="AF151" s="182" t="s">
        <v>31</v>
      </c>
      <c r="AG151" s="182" t="s">
        <v>752</v>
      </c>
      <c r="AH151" s="182">
        <v>309.0</v>
      </c>
    </row>
    <row r="152">
      <c r="A152" s="182">
        <v>210557.0</v>
      </c>
      <c r="B152" s="182">
        <v>92622.0</v>
      </c>
      <c r="C152" s="182" t="s">
        <v>1014</v>
      </c>
      <c r="D152" s="182" t="s">
        <v>227</v>
      </c>
      <c r="E152" s="182">
        <v>8413.0</v>
      </c>
      <c r="F152" s="182" t="s">
        <v>393</v>
      </c>
      <c r="G152" s="182">
        <v>5652.0</v>
      </c>
      <c r="H152" s="182" t="s">
        <v>189</v>
      </c>
      <c r="I152" s="182">
        <v>2.0</v>
      </c>
      <c r="J152" s="182">
        <v>13.0</v>
      </c>
      <c r="K152" s="182">
        <v>10.0</v>
      </c>
      <c r="L152" s="182">
        <v>6.0</v>
      </c>
      <c r="M152" s="182">
        <v>6.0</v>
      </c>
      <c r="N152" s="182">
        <v>2.0</v>
      </c>
      <c r="O152" s="182">
        <v>1.0</v>
      </c>
      <c r="P152" s="182">
        <v>1.0</v>
      </c>
      <c r="Q152" s="182">
        <v>7.0</v>
      </c>
      <c r="R152" s="182">
        <v>4.0</v>
      </c>
      <c r="S152" s="182">
        <v>6.0</v>
      </c>
      <c r="T152" s="182">
        <v>6.0</v>
      </c>
      <c r="U152" s="182">
        <v>0.0</v>
      </c>
      <c r="V152" s="182">
        <v>0.0</v>
      </c>
      <c r="W152" s="182">
        <v>0.0</v>
      </c>
      <c r="X152" s="182">
        <v>6.0</v>
      </c>
      <c r="Y152" s="182">
        <v>6.0</v>
      </c>
      <c r="Z152" s="182">
        <v>4.0</v>
      </c>
      <c r="AA152" s="182">
        <v>7.0</v>
      </c>
      <c r="AB152" s="182" t="s">
        <v>743</v>
      </c>
      <c r="AC152" s="182" t="s">
        <v>1011</v>
      </c>
      <c r="AD152" s="182" t="s">
        <v>856</v>
      </c>
      <c r="AE152" s="182" t="s">
        <v>827</v>
      </c>
      <c r="AF152" s="182" t="s">
        <v>813</v>
      </c>
      <c r="AG152" s="182" t="s">
        <v>829</v>
      </c>
      <c r="AH152" s="182">
        <v>309.0</v>
      </c>
    </row>
    <row r="153">
      <c r="A153" s="182">
        <v>210356.0</v>
      </c>
      <c r="B153" s="182">
        <v>92556.0</v>
      </c>
      <c r="C153" s="182" t="s">
        <v>996</v>
      </c>
      <c r="D153" s="182" t="s">
        <v>32</v>
      </c>
      <c r="E153" s="182">
        <v>17738.0</v>
      </c>
      <c r="F153" s="182" t="s">
        <v>1018</v>
      </c>
      <c r="G153" s="182">
        <v>299.0</v>
      </c>
      <c r="H153" s="182" t="s">
        <v>185</v>
      </c>
      <c r="I153" s="182">
        <v>1.0</v>
      </c>
      <c r="J153" s="182">
        <v>9.0</v>
      </c>
      <c r="K153" s="182">
        <v>13.0</v>
      </c>
      <c r="L153" s="182">
        <v>6.0</v>
      </c>
      <c r="M153" s="182">
        <v>6.0</v>
      </c>
      <c r="N153" s="182">
        <v>1.0</v>
      </c>
      <c r="O153" s="182">
        <v>1.0</v>
      </c>
      <c r="P153" s="182">
        <v>0.0</v>
      </c>
      <c r="Q153" s="182">
        <v>6.0</v>
      </c>
      <c r="R153" s="182">
        <v>6.0</v>
      </c>
      <c r="S153" s="182">
        <v>3.0</v>
      </c>
      <c r="T153" s="182">
        <v>7.0</v>
      </c>
      <c r="U153" s="182">
        <v>1.0</v>
      </c>
      <c r="V153" s="182">
        <v>1.0</v>
      </c>
      <c r="W153" s="182">
        <v>0.0</v>
      </c>
      <c r="X153" s="182">
        <v>7.0</v>
      </c>
      <c r="Y153" s="182">
        <v>3.0</v>
      </c>
      <c r="Z153" s="182">
        <v>6.0</v>
      </c>
      <c r="AA153" s="182">
        <v>6.0</v>
      </c>
      <c r="AB153" s="182" t="s">
        <v>743</v>
      </c>
      <c r="AC153" s="182" t="s">
        <v>1011</v>
      </c>
      <c r="AD153" s="182" t="s">
        <v>1030</v>
      </c>
      <c r="AE153" s="182" t="s">
        <v>772</v>
      </c>
      <c r="AF153" s="182" t="s">
        <v>1031</v>
      </c>
      <c r="AG153" s="182" t="s">
        <v>751</v>
      </c>
      <c r="AH153" s="182">
        <v>309.0</v>
      </c>
    </row>
    <row r="154">
      <c r="A154" s="182">
        <v>209522.0</v>
      </c>
      <c r="B154" s="182">
        <v>92187.0</v>
      </c>
      <c r="C154" s="182" t="s">
        <v>1032</v>
      </c>
      <c r="D154" s="182" t="s">
        <v>227</v>
      </c>
      <c r="E154" s="182">
        <v>14291.0</v>
      </c>
      <c r="F154" s="182" t="s">
        <v>183</v>
      </c>
      <c r="G154" s="182">
        <v>19256.0</v>
      </c>
      <c r="H154" s="182" t="s">
        <v>434</v>
      </c>
      <c r="I154" s="182">
        <v>2.0</v>
      </c>
      <c r="J154" s="182">
        <v>12.0</v>
      </c>
      <c r="K154" s="182">
        <v>14.0</v>
      </c>
      <c r="L154" s="182">
        <v>6.0</v>
      </c>
      <c r="M154" s="182">
        <v>6.0</v>
      </c>
      <c r="N154" s="182">
        <v>1.0</v>
      </c>
      <c r="O154" s="182">
        <v>1.0</v>
      </c>
      <c r="P154" s="182">
        <v>0.0</v>
      </c>
      <c r="Q154" s="182">
        <v>6.0</v>
      </c>
      <c r="R154" s="182">
        <v>7.0</v>
      </c>
      <c r="S154" s="182">
        <v>6.0</v>
      </c>
      <c r="T154" s="182">
        <v>7.0</v>
      </c>
      <c r="U154" s="182">
        <v>1.0</v>
      </c>
      <c r="V154" s="182">
        <v>1.0</v>
      </c>
      <c r="W154" s="182">
        <v>0.0</v>
      </c>
      <c r="X154" s="182">
        <v>7.0</v>
      </c>
      <c r="Y154" s="182">
        <v>6.0</v>
      </c>
      <c r="Z154" s="182">
        <v>7.0</v>
      </c>
      <c r="AA154" s="182">
        <v>6.0</v>
      </c>
      <c r="AB154" s="182" t="s">
        <v>743</v>
      </c>
      <c r="AC154" s="182" t="s">
        <v>1011</v>
      </c>
      <c r="AD154" s="182" t="s">
        <v>1033</v>
      </c>
      <c r="AE154" s="182" t="s">
        <v>1034</v>
      </c>
      <c r="AF154" s="182" t="s">
        <v>813</v>
      </c>
      <c r="AG154" s="182" t="s">
        <v>747</v>
      </c>
      <c r="AH154" s="182">
        <v>309.0</v>
      </c>
    </row>
    <row r="155">
      <c r="A155" s="182">
        <v>207543.0</v>
      </c>
      <c r="B155" s="182">
        <v>91442.0</v>
      </c>
      <c r="C155" s="182" t="s">
        <v>998</v>
      </c>
      <c r="D155" s="182" t="s">
        <v>40</v>
      </c>
      <c r="E155" s="182">
        <v>7199.0</v>
      </c>
      <c r="F155" s="182" t="s">
        <v>1021</v>
      </c>
      <c r="G155" s="182">
        <v>17807.0</v>
      </c>
      <c r="H155" s="182" t="s">
        <v>187</v>
      </c>
      <c r="I155" s="182">
        <v>2.0</v>
      </c>
      <c r="J155" s="182">
        <v>13.0</v>
      </c>
      <c r="K155" s="182">
        <v>15.0</v>
      </c>
      <c r="L155" s="182">
        <v>6.0</v>
      </c>
      <c r="M155" s="182">
        <v>6.0</v>
      </c>
      <c r="N155" s="182">
        <v>2.0</v>
      </c>
      <c r="O155" s="182">
        <v>1.0</v>
      </c>
      <c r="P155" s="182">
        <v>1.0</v>
      </c>
      <c r="Q155" s="182">
        <v>6.0</v>
      </c>
      <c r="R155" s="182">
        <v>8.0</v>
      </c>
      <c r="S155" s="182">
        <v>7.0</v>
      </c>
      <c r="T155" s="182">
        <v>7.0</v>
      </c>
      <c r="U155" s="182">
        <v>0.0</v>
      </c>
      <c r="V155" s="182">
        <v>0.0</v>
      </c>
      <c r="W155" s="182">
        <v>0.0</v>
      </c>
      <c r="X155" s="182">
        <v>7.0</v>
      </c>
      <c r="Y155" s="182">
        <v>7.0</v>
      </c>
      <c r="Z155" s="182">
        <v>8.0</v>
      </c>
      <c r="AA155" s="182">
        <v>6.0</v>
      </c>
      <c r="AB155" s="182" t="s">
        <v>743</v>
      </c>
      <c r="AC155" s="182" t="s">
        <v>1011</v>
      </c>
      <c r="AD155" s="182" t="s">
        <v>1035</v>
      </c>
      <c r="AE155" s="182" t="s">
        <v>768</v>
      </c>
      <c r="AF155" s="182" t="s">
        <v>1036</v>
      </c>
      <c r="AG155" s="182" t="s">
        <v>770</v>
      </c>
      <c r="AH155" s="182">
        <v>309.0</v>
      </c>
    </row>
    <row r="156">
      <c r="A156" s="182">
        <v>208398.0</v>
      </c>
      <c r="B156" s="182">
        <v>91781.0</v>
      </c>
      <c r="C156" s="182" t="s">
        <v>944</v>
      </c>
      <c r="D156" s="182" t="s">
        <v>227</v>
      </c>
      <c r="E156" s="182">
        <v>3594.0</v>
      </c>
      <c r="F156" s="182" t="s">
        <v>1037</v>
      </c>
      <c r="G156" s="182">
        <v>5293.0</v>
      </c>
      <c r="H156" s="182" t="s">
        <v>186</v>
      </c>
      <c r="I156" s="182">
        <v>1.0</v>
      </c>
      <c r="J156" s="182">
        <v>3.0</v>
      </c>
      <c r="K156" s="182">
        <v>13.0</v>
      </c>
      <c r="L156" s="182">
        <v>3.0</v>
      </c>
      <c r="M156" s="182">
        <v>9.0</v>
      </c>
      <c r="N156" s="182">
        <v>1.0</v>
      </c>
      <c r="O156" s="182">
        <v>1.0</v>
      </c>
      <c r="P156" s="182">
        <v>0.0</v>
      </c>
      <c r="Q156" s="182">
        <v>3.0</v>
      </c>
      <c r="R156" s="182">
        <v>9.0</v>
      </c>
      <c r="S156" s="182">
        <v>0.0</v>
      </c>
      <c r="T156" s="182">
        <v>4.0</v>
      </c>
      <c r="U156" s="182">
        <v>1.0</v>
      </c>
      <c r="V156" s="182">
        <v>1.0</v>
      </c>
      <c r="W156" s="182">
        <v>0.0</v>
      </c>
      <c r="X156" s="182">
        <v>4.0</v>
      </c>
      <c r="Y156" s="182">
        <v>0.0</v>
      </c>
      <c r="Z156" s="182">
        <v>9.0</v>
      </c>
      <c r="AA156" s="182">
        <v>3.0</v>
      </c>
      <c r="AB156" s="182" t="s">
        <v>743</v>
      </c>
      <c r="AC156" s="182" t="s">
        <v>1011</v>
      </c>
      <c r="AD156" s="182" t="s">
        <v>1038</v>
      </c>
      <c r="AE156" s="182" t="s">
        <v>808</v>
      </c>
      <c r="AF156" s="182" t="s">
        <v>813</v>
      </c>
      <c r="AG156" s="182" t="s">
        <v>1028</v>
      </c>
      <c r="AH156" s="182">
        <v>309.0</v>
      </c>
    </row>
    <row r="157">
      <c r="A157" s="182">
        <v>210556.0</v>
      </c>
      <c r="B157" s="182">
        <v>92622.0</v>
      </c>
      <c r="C157" s="182" t="s">
        <v>1014</v>
      </c>
      <c r="D157" s="182" t="s">
        <v>32</v>
      </c>
      <c r="E157" s="182">
        <v>8413.0</v>
      </c>
      <c r="F157" s="182" t="s">
        <v>393</v>
      </c>
      <c r="G157" s="182">
        <v>5652.0</v>
      </c>
      <c r="H157" s="182" t="s">
        <v>189</v>
      </c>
      <c r="I157" s="182">
        <v>1.0</v>
      </c>
      <c r="J157" s="182">
        <v>12.0</v>
      </c>
      <c r="K157" s="182">
        <v>14.0</v>
      </c>
      <c r="L157" s="182">
        <v>5.0</v>
      </c>
      <c r="M157" s="182">
        <v>7.0</v>
      </c>
      <c r="N157" s="182">
        <v>1.0</v>
      </c>
      <c r="O157" s="182">
        <v>1.0</v>
      </c>
      <c r="P157" s="182">
        <v>0.0</v>
      </c>
      <c r="Q157" s="182">
        <v>5.0</v>
      </c>
      <c r="R157" s="182">
        <v>8.0</v>
      </c>
      <c r="S157" s="182">
        <v>7.0</v>
      </c>
      <c r="T157" s="182">
        <v>6.0</v>
      </c>
      <c r="U157" s="182">
        <v>1.0</v>
      </c>
      <c r="V157" s="182">
        <v>1.0</v>
      </c>
      <c r="W157" s="182">
        <v>0.0</v>
      </c>
      <c r="X157" s="182">
        <v>6.0</v>
      </c>
      <c r="Y157" s="182">
        <v>7.0</v>
      </c>
      <c r="Z157" s="182">
        <v>8.0</v>
      </c>
      <c r="AA157" s="182">
        <v>5.0</v>
      </c>
      <c r="AB157" s="182" t="s">
        <v>743</v>
      </c>
      <c r="AC157" s="182" t="s">
        <v>1011</v>
      </c>
      <c r="AD157" s="182" t="s">
        <v>883</v>
      </c>
      <c r="AE157" s="182" t="s">
        <v>823</v>
      </c>
      <c r="AF157" s="182" t="s">
        <v>884</v>
      </c>
      <c r="AG157" s="182" t="s">
        <v>31</v>
      </c>
      <c r="AH157" s="182">
        <v>309.0</v>
      </c>
    </row>
    <row r="158">
      <c r="A158" s="182">
        <v>209521.0</v>
      </c>
      <c r="B158" s="182">
        <v>92187.0</v>
      </c>
      <c r="C158" s="182" t="s">
        <v>1032</v>
      </c>
      <c r="D158" s="182" t="s">
        <v>40</v>
      </c>
      <c r="E158" s="182">
        <v>14291.0</v>
      </c>
      <c r="F158" s="182" t="s">
        <v>183</v>
      </c>
      <c r="G158" s="182">
        <v>19256.0</v>
      </c>
      <c r="H158" s="182" t="s">
        <v>434</v>
      </c>
      <c r="I158" s="182">
        <v>1.0</v>
      </c>
      <c r="J158" s="182">
        <v>9.0</v>
      </c>
      <c r="K158" s="182">
        <v>13.0</v>
      </c>
      <c r="L158" s="182">
        <v>7.0</v>
      </c>
      <c r="M158" s="182">
        <v>5.0</v>
      </c>
      <c r="N158" s="182">
        <v>2.0</v>
      </c>
      <c r="O158" s="182">
        <v>1.0</v>
      </c>
      <c r="P158" s="182">
        <v>1.0</v>
      </c>
      <c r="Q158" s="182">
        <v>7.0</v>
      </c>
      <c r="R158" s="182">
        <v>5.0</v>
      </c>
      <c r="S158" s="182">
        <v>2.0</v>
      </c>
      <c r="T158" s="182">
        <v>8.0</v>
      </c>
      <c r="U158" s="182">
        <v>0.0</v>
      </c>
      <c r="V158" s="182">
        <v>0.0</v>
      </c>
      <c r="W158" s="182">
        <v>0.0</v>
      </c>
      <c r="X158" s="182">
        <v>8.0</v>
      </c>
      <c r="Y158" s="182">
        <v>2.0</v>
      </c>
      <c r="Z158" s="182">
        <v>5.0</v>
      </c>
      <c r="AA158" s="182">
        <v>7.0</v>
      </c>
      <c r="AB158" s="182" t="s">
        <v>743</v>
      </c>
      <c r="AC158" s="182" t="s">
        <v>1011</v>
      </c>
      <c r="AD158" s="182" t="s">
        <v>851</v>
      </c>
      <c r="AE158" s="182" t="s">
        <v>1039</v>
      </c>
      <c r="AF158" s="182" t="s">
        <v>1040</v>
      </c>
      <c r="AG158" s="182" t="s">
        <v>1041</v>
      </c>
      <c r="AH158" s="182">
        <v>309.0</v>
      </c>
    </row>
    <row r="159">
      <c r="A159" s="182">
        <v>208397.0</v>
      </c>
      <c r="B159" s="182">
        <v>91781.0</v>
      </c>
      <c r="C159" s="182" t="s">
        <v>944</v>
      </c>
      <c r="D159" s="182" t="s">
        <v>40</v>
      </c>
      <c r="E159" s="182">
        <v>3594.0</v>
      </c>
      <c r="F159" s="182" t="s">
        <v>1037</v>
      </c>
      <c r="G159" s="182">
        <v>5293.0</v>
      </c>
      <c r="H159" s="182" t="s">
        <v>186</v>
      </c>
      <c r="I159" s="182">
        <v>1.0</v>
      </c>
      <c r="J159" s="182">
        <v>8.0</v>
      </c>
      <c r="K159" s="182">
        <v>13.0</v>
      </c>
      <c r="L159" s="182">
        <v>5.0</v>
      </c>
      <c r="M159" s="182">
        <v>7.0</v>
      </c>
      <c r="N159" s="182">
        <v>1.0</v>
      </c>
      <c r="O159" s="182">
        <v>1.0</v>
      </c>
      <c r="P159" s="182">
        <v>0.0</v>
      </c>
      <c r="Q159" s="182">
        <v>5.0</v>
      </c>
      <c r="R159" s="182">
        <v>7.0</v>
      </c>
      <c r="S159" s="182">
        <v>3.0</v>
      </c>
      <c r="T159" s="182">
        <v>6.0</v>
      </c>
      <c r="U159" s="182">
        <v>1.0</v>
      </c>
      <c r="V159" s="182">
        <v>1.0</v>
      </c>
      <c r="W159" s="182">
        <v>0.0</v>
      </c>
      <c r="X159" s="182">
        <v>6.0</v>
      </c>
      <c r="Y159" s="182">
        <v>3.0</v>
      </c>
      <c r="Z159" s="182">
        <v>7.0</v>
      </c>
      <c r="AA159" s="182">
        <v>5.0</v>
      </c>
      <c r="AB159" s="182" t="s">
        <v>743</v>
      </c>
      <c r="AC159" s="182" t="s">
        <v>1011</v>
      </c>
      <c r="AD159" s="182" t="s">
        <v>1042</v>
      </c>
      <c r="AE159" s="182" t="s">
        <v>803</v>
      </c>
      <c r="AF159" s="182" t="s">
        <v>790</v>
      </c>
      <c r="AG159" s="182" t="s">
        <v>777</v>
      </c>
      <c r="AH159" s="182">
        <v>309.0</v>
      </c>
    </row>
    <row r="160">
      <c r="A160" s="182">
        <v>210752.0</v>
      </c>
      <c r="B160" s="182">
        <v>92707.0</v>
      </c>
      <c r="C160" s="182" t="s">
        <v>984</v>
      </c>
      <c r="D160" s="182" t="s">
        <v>42</v>
      </c>
      <c r="E160" s="182">
        <v>17952.0</v>
      </c>
      <c r="F160" s="182" t="s">
        <v>1</v>
      </c>
      <c r="G160" s="182">
        <v>17870.0</v>
      </c>
      <c r="H160" s="182" t="s">
        <v>1043</v>
      </c>
      <c r="I160" s="182">
        <v>2.0</v>
      </c>
      <c r="J160" s="182">
        <v>13.0</v>
      </c>
      <c r="K160" s="182">
        <v>5.0</v>
      </c>
      <c r="L160" s="182">
        <v>10.0</v>
      </c>
      <c r="M160" s="182">
        <v>2.0</v>
      </c>
      <c r="N160" s="182">
        <v>1.0</v>
      </c>
      <c r="O160" s="182">
        <v>0.0</v>
      </c>
      <c r="P160" s="182">
        <v>1.0</v>
      </c>
      <c r="Q160" s="182">
        <v>3.0</v>
      </c>
      <c r="R160" s="182">
        <v>3.0</v>
      </c>
      <c r="S160" s="182">
        <v>10.0</v>
      </c>
      <c r="T160" s="182">
        <v>2.0</v>
      </c>
      <c r="U160" s="182">
        <v>1.0</v>
      </c>
      <c r="V160" s="182">
        <v>0.0</v>
      </c>
      <c r="W160" s="182">
        <v>1.0</v>
      </c>
      <c r="X160" s="182">
        <v>2.0</v>
      </c>
      <c r="Y160" s="182">
        <v>10.0</v>
      </c>
      <c r="Z160" s="182">
        <v>3.0</v>
      </c>
      <c r="AA160" s="182">
        <v>3.0</v>
      </c>
      <c r="AB160" s="182" t="s">
        <v>743</v>
      </c>
      <c r="AC160" s="182" t="s">
        <v>1011</v>
      </c>
      <c r="AD160" s="182" t="s">
        <v>806</v>
      </c>
      <c r="AE160" s="182" t="s">
        <v>1044</v>
      </c>
      <c r="AF160" s="182" t="s">
        <v>41</v>
      </c>
      <c r="AG160" s="182" t="s">
        <v>1045</v>
      </c>
      <c r="AH160" s="182">
        <v>309.0</v>
      </c>
    </row>
    <row r="161">
      <c r="A161" s="182">
        <v>210751.0</v>
      </c>
      <c r="B161" s="182">
        <v>92707.0</v>
      </c>
      <c r="C161" s="182" t="s">
        <v>984</v>
      </c>
      <c r="D161" s="182" t="s">
        <v>36</v>
      </c>
      <c r="E161" s="182">
        <v>17952.0</v>
      </c>
      <c r="F161" s="182" t="s">
        <v>1</v>
      </c>
      <c r="G161" s="182">
        <v>17870.0</v>
      </c>
      <c r="H161" s="182" t="s">
        <v>1043</v>
      </c>
      <c r="I161" s="182">
        <v>1.0</v>
      </c>
      <c r="J161" s="182">
        <v>13.0</v>
      </c>
      <c r="K161" s="182">
        <v>9.0</v>
      </c>
      <c r="L161" s="182">
        <v>5.0</v>
      </c>
      <c r="M161" s="182">
        <v>7.0</v>
      </c>
      <c r="N161" s="182">
        <v>1.0</v>
      </c>
      <c r="O161" s="182">
        <v>0.0</v>
      </c>
      <c r="P161" s="182">
        <v>1.0</v>
      </c>
      <c r="Q161" s="182">
        <v>5.0</v>
      </c>
      <c r="R161" s="182">
        <v>7.0</v>
      </c>
      <c r="S161" s="182">
        <v>8.0</v>
      </c>
      <c r="T161" s="182">
        <v>2.0</v>
      </c>
      <c r="U161" s="182">
        <v>1.0</v>
      </c>
      <c r="V161" s="182">
        <v>0.0</v>
      </c>
      <c r="W161" s="182">
        <v>1.0</v>
      </c>
      <c r="X161" s="182">
        <v>2.0</v>
      </c>
      <c r="Y161" s="182">
        <v>8.0</v>
      </c>
      <c r="Z161" s="182">
        <v>7.0</v>
      </c>
      <c r="AA161" s="182">
        <v>5.0</v>
      </c>
      <c r="AB161" s="182" t="s">
        <v>743</v>
      </c>
      <c r="AC161" s="182" t="s">
        <v>1011</v>
      </c>
      <c r="AD161" s="182" t="s">
        <v>1046</v>
      </c>
      <c r="AE161" s="182" t="s">
        <v>1047</v>
      </c>
      <c r="AF161" s="182" t="s">
        <v>35</v>
      </c>
      <c r="AG161" s="182" t="s">
        <v>902</v>
      </c>
      <c r="AH161" s="182">
        <v>309.0</v>
      </c>
    </row>
    <row r="162">
      <c r="A162" s="182">
        <v>209531.0</v>
      </c>
      <c r="B162" s="182">
        <v>92190.0</v>
      </c>
      <c r="C162" s="182" t="s">
        <v>1032</v>
      </c>
      <c r="D162" s="182" t="s">
        <v>36</v>
      </c>
      <c r="E162" s="182">
        <v>6415.0</v>
      </c>
      <c r="F162" s="182" t="s">
        <v>180</v>
      </c>
      <c r="G162" s="182">
        <v>5439.0</v>
      </c>
      <c r="H162" s="182" t="s">
        <v>400</v>
      </c>
      <c r="I162" s="182">
        <v>2.0</v>
      </c>
      <c r="J162" s="182">
        <v>13.0</v>
      </c>
      <c r="K162" s="182">
        <v>9.0</v>
      </c>
      <c r="L162" s="182">
        <v>8.0</v>
      </c>
      <c r="M162" s="182">
        <v>4.0</v>
      </c>
      <c r="N162" s="182">
        <v>0.0</v>
      </c>
      <c r="O162" s="182">
        <v>0.0</v>
      </c>
      <c r="P162" s="182">
        <v>0.0</v>
      </c>
      <c r="Q162" s="182">
        <v>5.0</v>
      </c>
      <c r="R162" s="182">
        <v>5.0</v>
      </c>
      <c r="S162" s="182">
        <v>8.0</v>
      </c>
      <c r="T162" s="182">
        <v>4.0</v>
      </c>
      <c r="U162" s="182">
        <v>2.0</v>
      </c>
      <c r="V162" s="182">
        <v>1.0</v>
      </c>
      <c r="W162" s="182">
        <v>1.0</v>
      </c>
      <c r="X162" s="182">
        <v>4.0</v>
      </c>
      <c r="Y162" s="182">
        <v>8.0</v>
      </c>
      <c r="Z162" s="182">
        <v>5.0</v>
      </c>
      <c r="AA162" s="182">
        <v>5.0</v>
      </c>
      <c r="AB162" s="182" t="s">
        <v>743</v>
      </c>
      <c r="AC162" s="182" t="s">
        <v>1048</v>
      </c>
      <c r="AD162" s="182" t="s">
        <v>841</v>
      </c>
      <c r="AE162" s="182" t="s">
        <v>1049</v>
      </c>
      <c r="AF162" s="182" t="s">
        <v>842</v>
      </c>
      <c r="AG162" s="182" t="s">
        <v>902</v>
      </c>
      <c r="AH162" s="182">
        <v>309.0</v>
      </c>
    </row>
    <row r="163">
      <c r="A163" s="182">
        <v>209530.0</v>
      </c>
      <c r="B163" s="182">
        <v>92190.0</v>
      </c>
      <c r="C163" s="182" t="s">
        <v>1032</v>
      </c>
      <c r="D163" s="182" t="s">
        <v>40</v>
      </c>
      <c r="E163" s="182">
        <v>6415.0</v>
      </c>
      <c r="F163" s="182" t="s">
        <v>180</v>
      </c>
      <c r="G163" s="182">
        <v>5439.0</v>
      </c>
      <c r="H163" s="182" t="s">
        <v>400</v>
      </c>
      <c r="I163" s="182">
        <v>2.0</v>
      </c>
      <c r="J163" s="182">
        <v>13.0</v>
      </c>
      <c r="K163" s="182">
        <v>9.0</v>
      </c>
      <c r="L163" s="182">
        <v>6.0</v>
      </c>
      <c r="M163" s="182">
        <v>6.0</v>
      </c>
      <c r="N163" s="182">
        <v>1.0</v>
      </c>
      <c r="O163" s="182">
        <v>0.0</v>
      </c>
      <c r="P163" s="182">
        <v>1.0</v>
      </c>
      <c r="Q163" s="182">
        <v>7.0</v>
      </c>
      <c r="R163" s="182">
        <v>3.0</v>
      </c>
      <c r="S163" s="182">
        <v>6.0</v>
      </c>
      <c r="T163" s="182">
        <v>6.0</v>
      </c>
      <c r="U163" s="182">
        <v>1.0</v>
      </c>
      <c r="V163" s="182">
        <v>0.0</v>
      </c>
      <c r="W163" s="182">
        <v>1.0</v>
      </c>
      <c r="X163" s="182">
        <v>6.0</v>
      </c>
      <c r="Y163" s="182">
        <v>6.0</v>
      </c>
      <c r="Z163" s="182">
        <v>3.0</v>
      </c>
      <c r="AA163" s="182">
        <v>7.0</v>
      </c>
      <c r="AB163" s="182" t="s">
        <v>743</v>
      </c>
      <c r="AC163" s="182" t="s">
        <v>1048</v>
      </c>
      <c r="AD163" s="182" t="s">
        <v>1050</v>
      </c>
      <c r="AE163" s="182" t="s">
        <v>1051</v>
      </c>
      <c r="AF163" s="182" t="s">
        <v>1036</v>
      </c>
      <c r="AG163" s="182" t="s">
        <v>1004</v>
      </c>
      <c r="AH163" s="182">
        <v>309.0</v>
      </c>
    </row>
    <row r="164">
      <c r="A164" s="182">
        <v>210563.0</v>
      </c>
      <c r="B164" s="182">
        <v>92624.0</v>
      </c>
      <c r="C164" s="182" t="s">
        <v>1014</v>
      </c>
      <c r="D164" s="182" t="s">
        <v>38</v>
      </c>
      <c r="E164" s="182">
        <v>9369.0</v>
      </c>
      <c r="F164" s="182" t="s">
        <v>232</v>
      </c>
      <c r="G164" s="182">
        <v>17819.0</v>
      </c>
      <c r="H164" s="182" t="s">
        <v>889</v>
      </c>
      <c r="I164" s="182">
        <v>2.0</v>
      </c>
      <c r="J164" s="182">
        <v>13.0</v>
      </c>
      <c r="K164" s="182">
        <v>11.0</v>
      </c>
      <c r="L164" s="182">
        <v>5.0</v>
      </c>
      <c r="M164" s="182">
        <v>7.0</v>
      </c>
      <c r="N164" s="182">
        <v>2.0</v>
      </c>
      <c r="O164" s="182">
        <v>1.0</v>
      </c>
      <c r="P164" s="182">
        <v>1.0</v>
      </c>
      <c r="Q164" s="182">
        <v>8.0</v>
      </c>
      <c r="R164" s="182">
        <v>4.0</v>
      </c>
      <c r="S164" s="182">
        <v>5.0</v>
      </c>
      <c r="T164" s="182">
        <v>7.0</v>
      </c>
      <c r="U164" s="182">
        <v>0.0</v>
      </c>
      <c r="V164" s="182">
        <v>0.0</v>
      </c>
      <c r="W164" s="182">
        <v>0.0</v>
      </c>
      <c r="X164" s="182">
        <v>7.0</v>
      </c>
      <c r="Y164" s="182">
        <v>5.0</v>
      </c>
      <c r="Z164" s="182">
        <v>4.0</v>
      </c>
      <c r="AA164" s="182">
        <v>8.0</v>
      </c>
      <c r="AB164" s="182" t="s">
        <v>743</v>
      </c>
      <c r="AC164" s="182" t="s">
        <v>1048</v>
      </c>
      <c r="AD164" s="182" t="s">
        <v>822</v>
      </c>
      <c r="AE164" s="182" t="s">
        <v>1052</v>
      </c>
      <c r="AF164" s="182" t="s">
        <v>751</v>
      </c>
      <c r="AG164" s="182" t="s">
        <v>1053</v>
      </c>
      <c r="AH164" s="182">
        <v>309.0</v>
      </c>
    </row>
    <row r="165">
      <c r="A165" s="182">
        <v>210562.0</v>
      </c>
      <c r="B165" s="182">
        <v>92624.0</v>
      </c>
      <c r="C165" s="182" t="s">
        <v>1014</v>
      </c>
      <c r="D165" s="182" t="s">
        <v>32</v>
      </c>
      <c r="E165" s="182">
        <v>9369.0</v>
      </c>
      <c r="F165" s="182" t="s">
        <v>232</v>
      </c>
      <c r="G165" s="182">
        <v>17819.0</v>
      </c>
      <c r="H165" s="182" t="s">
        <v>889</v>
      </c>
      <c r="I165" s="182">
        <v>1.0</v>
      </c>
      <c r="J165" s="182">
        <v>13.0</v>
      </c>
      <c r="K165" s="182">
        <v>6.0</v>
      </c>
      <c r="L165" s="182">
        <v>9.0</v>
      </c>
      <c r="M165" s="182">
        <v>3.0</v>
      </c>
      <c r="N165" s="182">
        <v>2.0</v>
      </c>
      <c r="O165" s="182">
        <v>1.0</v>
      </c>
      <c r="P165" s="182">
        <v>1.0</v>
      </c>
      <c r="Q165" s="182">
        <v>9.0</v>
      </c>
      <c r="R165" s="182">
        <v>3.0</v>
      </c>
      <c r="S165" s="182">
        <v>4.0</v>
      </c>
      <c r="T165" s="182">
        <v>3.0</v>
      </c>
      <c r="U165" s="182">
        <v>0.0</v>
      </c>
      <c r="V165" s="182">
        <v>0.0</v>
      </c>
      <c r="W165" s="182">
        <v>0.0</v>
      </c>
      <c r="X165" s="182">
        <v>3.0</v>
      </c>
      <c r="Y165" s="182">
        <v>4.0</v>
      </c>
      <c r="Z165" s="182">
        <v>3.0</v>
      </c>
      <c r="AA165" s="182">
        <v>9.0</v>
      </c>
      <c r="AB165" s="182" t="s">
        <v>743</v>
      </c>
      <c r="AC165" s="182" t="s">
        <v>1048</v>
      </c>
      <c r="AD165" s="182" t="s">
        <v>822</v>
      </c>
      <c r="AE165" s="182" t="s">
        <v>1054</v>
      </c>
      <c r="AF165" s="182" t="s">
        <v>816</v>
      </c>
      <c r="AG165" s="182" t="s">
        <v>1055</v>
      </c>
      <c r="AH165" s="182">
        <v>309.0</v>
      </c>
    </row>
    <row r="166">
      <c r="A166" s="182">
        <v>210355.0</v>
      </c>
      <c r="B166" s="182">
        <v>92555.0</v>
      </c>
      <c r="C166" s="182" t="s">
        <v>996</v>
      </c>
      <c r="D166" s="182" t="s">
        <v>32</v>
      </c>
      <c r="E166" s="182">
        <v>299.0</v>
      </c>
      <c r="F166" s="182" t="s">
        <v>185</v>
      </c>
      <c r="G166" s="182">
        <v>2.0</v>
      </c>
      <c r="H166" s="182" t="s">
        <v>438</v>
      </c>
      <c r="I166" s="182">
        <v>1.0</v>
      </c>
      <c r="J166" s="182">
        <v>13.0</v>
      </c>
      <c r="K166" s="182">
        <v>7.0</v>
      </c>
      <c r="L166" s="182">
        <v>10.0</v>
      </c>
      <c r="M166" s="182">
        <v>2.0</v>
      </c>
      <c r="N166" s="182">
        <v>1.0</v>
      </c>
      <c r="O166" s="182">
        <v>1.0</v>
      </c>
      <c r="P166" s="182">
        <v>0.0</v>
      </c>
      <c r="Q166" s="182">
        <v>10.0</v>
      </c>
      <c r="R166" s="182">
        <v>2.0</v>
      </c>
      <c r="S166" s="182">
        <v>3.0</v>
      </c>
      <c r="T166" s="182">
        <v>5.0</v>
      </c>
      <c r="U166" s="182">
        <v>1.0</v>
      </c>
      <c r="V166" s="182">
        <v>1.0</v>
      </c>
      <c r="W166" s="182">
        <v>0.0</v>
      </c>
      <c r="X166" s="182">
        <v>5.0</v>
      </c>
      <c r="Y166" s="182">
        <v>3.0</v>
      </c>
      <c r="Z166" s="182">
        <v>2.0</v>
      </c>
      <c r="AA166" s="182">
        <v>10.0</v>
      </c>
      <c r="AB166" s="182" t="s">
        <v>743</v>
      </c>
      <c r="AC166" s="182" t="s">
        <v>1056</v>
      </c>
      <c r="AD166" s="182" t="s">
        <v>772</v>
      </c>
      <c r="AE166" s="182" t="s">
        <v>1057</v>
      </c>
      <c r="AF166" s="182" t="s">
        <v>751</v>
      </c>
      <c r="AG166" s="182" t="s">
        <v>752</v>
      </c>
      <c r="AH166" s="182">
        <v>309.0</v>
      </c>
    </row>
    <row r="167">
      <c r="A167" s="182">
        <v>210354.0</v>
      </c>
      <c r="B167" s="182">
        <v>92555.0</v>
      </c>
      <c r="C167" s="182" t="s">
        <v>996</v>
      </c>
      <c r="D167" s="182" t="s">
        <v>36</v>
      </c>
      <c r="E167" s="182">
        <v>299.0</v>
      </c>
      <c r="F167" s="182" t="s">
        <v>185</v>
      </c>
      <c r="G167" s="182">
        <v>2.0</v>
      </c>
      <c r="H167" s="182" t="s">
        <v>438</v>
      </c>
      <c r="I167" s="182">
        <v>2.0</v>
      </c>
      <c r="J167" s="182">
        <v>13.0</v>
      </c>
      <c r="K167" s="182">
        <v>5.0</v>
      </c>
      <c r="L167" s="182">
        <v>8.0</v>
      </c>
      <c r="M167" s="182">
        <v>4.0</v>
      </c>
      <c r="N167" s="182">
        <v>1.0</v>
      </c>
      <c r="O167" s="182">
        <v>0.0</v>
      </c>
      <c r="P167" s="182">
        <v>1.0</v>
      </c>
      <c r="Q167" s="182">
        <v>5.0</v>
      </c>
      <c r="R167" s="182">
        <v>1.0</v>
      </c>
      <c r="S167" s="182">
        <v>8.0</v>
      </c>
      <c r="T167" s="182">
        <v>4.0</v>
      </c>
      <c r="U167" s="182">
        <v>1.0</v>
      </c>
      <c r="V167" s="182">
        <v>0.0</v>
      </c>
      <c r="W167" s="182">
        <v>1.0</v>
      </c>
      <c r="X167" s="182">
        <v>4.0</v>
      </c>
      <c r="Y167" s="182">
        <v>8.0</v>
      </c>
      <c r="Z167" s="182">
        <v>1.0</v>
      </c>
      <c r="AA167" s="182">
        <v>5.0</v>
      </c>
      <c r="AB167" s="182" t="s">
        <v>743</v>
      </c>
      <c r="AC167" s="182" t="s">
        <v>1056</v>
      </c>
      <c r="AD167" s="182" t="s">
        <v>758</v>
      </c>
      <c r="AE167" s="182" t="s">
        <v>1058</v>
      </c>
      <c r="AF167" s="182" t="s">
        <v>760</v>
      </c>
      <c r="AG167" s="182" t="s">
        <v>1017</v>
      </c>
      <c r="AH167" s="182">
        <v>309.0</v>
      </c>
    </row>
    <row r="168">
      <c r="A168" s="182">
        <v>210097.0</v>
      </c>
      <c r="B168" s="182">
        <v>92404.0</v>
      </c>
      <c r="C168" s="182" t="s">
        <v>996</v>
      </c>
      <c r="D168" s="182" t="s">
        <v>34</v>
      </c>
      <c r="E168" s="182">
        <v>4561.0</v>
      </c>
      <c r="F168" s="182" t="s">
        <v>184</v>
      </c>
      <c r="G168" s="182">
        <v>17738.0</v>
      </c>
      <c r="H168" s="182" t="s">
        <v>1018</v>
      </c>
      <c r="I168" s="182">
        <v>2.0</v>
      </c>
      <c r="J168" s="182">
        <v>13.0</v>
      </c>
      <c r="K168" s="182">
        <v>7.0</v>
      </c>
      <c r="L168" s="182">
        <v>6.0</v>
      </c>
      <c r="M168" s="182">
        <v>6.0</v>
      </c>
      <c r="N168" s="182">
        <v>2.0</v>
      </c>
      <c r="O168" s="182">
        <v>1.0</v>
      </c>
      <c r="P168" s="182">
        <v>1.0</v>
      </c>
      <c r="Q168" s="182">
        <v>7.0</v>
      </c>
      <c r="R168" s="182">
        <v>1.0</v>
      </c>
      <c r="S168" s="182">
        <v>6.0</v>
      </c>
      <c r="T168" s="182">
        <v>6.0</v>
      </c>
      <c r="U168" s="182">
        <v>0.0</v>
      </c>
      <c r="V168" s="182">
        <v>0.0</v>
      </c>
      <c r="W168" s="182">
        <v>0.0</v>
      </c>
      <c r="X168" s="182">
        <v>6.0</v>
      </c>
      <c r="Y168" s="182">
        <v>6.0</v>
      </c>
      <c r="Z168" s="182">
        <v>1.0</v>
      </c>
      <c r="AA168" s="182">
        <v>7.0</v>
      </c>
      <c r="AB168" s="182" t="s">
        <v>743</v>
      </c>
      <c r="AC168" s="182" t="s">
        <v>1056</v>
      </c>
      <c r="AD168" s="182" t="s">
        <v>766</v>
      </c>
      <c r="AE168" s="182" t="s">
        <v>1059</v>
      </c>
      <c r="AF168" s="182" t="s">
        <v>756</v>
      </c>
      <c r="AG168" s="182" t="s">
        <v>1060</v>
      </c>
      <c r="AH168" s="182">
        <v>309.0</v>
      </c>
    </row>
    <row r="169">
      <c r="A169" s="182">
        <v>210353.0</v>
      </c>
      <c r="B169" s="182">
        <v>92555.0</v>
      </c>
      <c r="C169" s="182" t="s">
        <v>996</v>
      </c>
      <c r="D169" s="182" t="s">
        <v>38</v>
      </c>
      <c r="E169" s="182">
        <v>299.0</v>
      </c>
      <c r="F169" s="182" t="s">
        <v>185</v>
      </c>
      <c r="G169" s="182">
        <v>2.0</v>
      </c>
      <c r="H169" s="182" t="s">
        <v>438</v>
      </c>
      <c r="I169" s="182">
        <v>2.0</v>
      </c>
      <c r="J169" s="182">
        <v>10.0</v>
      </c>
      <c r="K169" s="182">
        <v>13.0</v>
      </c>
      <c r="L169" s="182">
        <v>9.0</v>
      </c>
      <c r="M169" s="182">
        <v>3.0</v>
      </c>
      <c r="N169" s="182">
        <v>1.0</v>
      </c>
      <c r="O169" s="182">
        <v>0.0</v>
      </c>
      <c r="P169" s="182">
        <v>1.0</v>
      </c>
      <c r="Q169" s="182">
        <v>1.0</v>
      </c>
      <c r="R169" s="182">
        <v>10.0</v>
      </c>
      <c r="S169" s="182">
        <v>9.0</v>
      </c>
      <c r="T169" s="182">
        <v>3.0</v>
      </c>
      <c r="U169" s="182">
        <v>1.0</v>
      </c>
      <c r="V169" s="182">
        <v>0.0</v>
      </c>
      <c r="W169" s="182">
        <v>1.0</v>
      </c>
      <c r="X169" s="182">
        <v>3.0</v>
      </c>
      <c r="Y169" s="182">
        <v>9.0</v>
      </c>
      <c r="Z169" s="182">
        <v>10.0</v>
      </c>
      <c r="AA169" s="182">
        <v>1.0</v>
      </c>
      <c r="AB169" s="182" t="s">
        <v>743</v>
      </c>
      <c r="AC169" s="182" t="s">
        <v>1056</v>
      </c>
      <c r="AD169" s="182" t="s">
        <v>1061</v>
      </c>
      <c r="AE169" s="182" t="s">
        <v>1062</v>
      </c>
      <c r="AF169" s="182" t="s">
        <v>751</v>
      </c>
      <c r="AG169" s="182" t="s">
        <v>751</v>
      </c>
      <c r="AH169" s="182">
        <v>309.0</v>
      </c>
    </row>
    <row r="170">
      <c r="A170" s="182">
        <v>210096.0</v>
      </c>
      <c r="B170" s="182">
        <v>92404.0</v>
      </c>
      <c r="C170" s="182" t="s">
        <v>996</v>
      </c>
      <c r="D170" s="182" t="s">
        <v>42</v>
      </c>
      <c r="E170" s="182">
        <v>4561.0</v>
      </c>
      <c r="F170" s="182" t="s">
        <v>184</v>
      </c>
      <c r="G170" s="182">
        <v>17738.0</v>
      </c>
      <c r="H170" s="182" t="s">
        <v>1018</v>
      </c>
      <c r="I170" s="182">
        <v>1.0</v>
      </c>
      <c r="J170" s="182">
        <v>13.0</v>
      </c>
      <c r="K170" s="182">
        <v>5.0</v>
      </c>
      <c r="L170" s="182">
        <v>7.0</v>
      </c>
      <c r="M170" s="182">
        <v>5.0</v>
      </c>
      <c r="N170" s="182">
        <v>2.0</v>
      </c>
      <c r="O170" s="182">
        <v>1.0</v>
      </c>
      <c r="P170" s="182">
        <v>1.0</v>
      </c>
      <c r="Q170" s="182">
        <v>7.0</v>
      </c>
      <c r="R170" s="182">
        <v>5.0</v>
      </c>
      <c r="S170" s="182">
        <v>6.0</v>
      </c>
      <c r="T170" s="182">
        <v>0.0</v>
      </c>
      <c r="U170" s="182">
        <v>0.0</v>
      </c>
      <c r="V170" s="182">
        <v>0.0</v>
      </c>
      <c r="W170" s="182">
        <v>0.0</v>
      </c>
      <c r="X170" s="182">
        <v>0.0</v>
      </c>
      <c r="Y170" s="182">
        <v>6.0</v>
      </c>
      <c r="Z170" s="182">
        <v>5.0</v>
      </c>
      <c r="AA170" s="182">
        <v>7.0</v>
      </c>
      <c r="AB170" s="182" t="s">
        <v>743</v>
      </c>
      <c r="AC170" s="182" t="s">
        <v>1056</v>
      </c>
      <c r="AD170" s="182" t="s">
        <v>784</v>
      </c>
      <c r="AE170" s="182" t="s">
        <v>1019</v>
      </c>
      <c r="AF170" s="182" t="s">
        <v>786</v>
      </c>
      <c r="AG170" s="182" t="s">
        <v>1020</v>
      </c>
      <c r="AH170" s="182">
        <v>309.0</v>
      </c>
    </row>
    <row r="171">
      <c r="A171" s="182">
        <v>207566.0</v>
      </c>
      <c r="B171" s="182">
        <v>91449.0</v>
      </c>
      <c r="C171" s="182" t="s">
        <v>998</v>
      </c>
      <c r="D171" s="182" t="s">
        <v>32</v>
      </c>
      <c r="E171" s="182">
        <v>17813.0</v>
      </c>
      <c r="F171" s="182" t="s">
        <v>182</v>
      </c>
      <c r="G171" s="182">
        <v>4736.0</v>
      </c>
      <c r="H171" s="182" t="s">
        <v>439</v>
      </c>
      <c r="I171" s="182">
        <v>2.0</v>
      </c>
      <c r="J171" s="182">
        <v>13.0</v>
      </c>
      <c r="K171" s="182">
        <v>11.0</v>
      </c>
      <c r="L171" s="182">
        <v>4.0</v>
      </c>
      <c r="M171" s="182">
        <v>8.0</v>
      </c>
      <c r="N171" s="182">
        <v>2.0</v>
      </c>
      <c r="O171" s="182">
        <v>1.0</v>
      </c>
      <c r="P171" s="182">
        <v>1.0</v>
      </c>
      <c r="Q171" s="182">
        <v>9.0</v>
      </c>
      <c r="R171" s="182">
        <v>3.0</v>
      </c>
      <c r="S171" s="182">
        <v>4.0</v>
      </c>
      <c r="T171" s="182">
        <v>8.0</v>
      </c>
      <c r="U171" s="182">
        <v>0.0</v>
      </c>
      <c r="V171" s="182">
        <v>0.0</v>
      </c>
      <c r="W171" s="182">
        <v>0.0</v>
      </c>
      <c r="X171" s="182">
        <v>8.0</v>
      </c>
      <c r="Y171" s="182">
        <v>4.0</v>
      </c>
      <c r="Z171" s="182">
        <v>3.0</v>
      </c>
      <c r="AA171" s="182">
        <v>9.0</v>
      </c>
      <c r="AB171" s="182" t="s">
        <v>743</v>
      </c>
      <c r="AC171" s="182" t="s">
        <v>1063</v>
      </c>
      <c r="AD171" s="182" t="s">
        <v>750</v>
      </c>
      <c r="AE171" s="182" t="s">
        <v>1064</v>
      </c>
      <c r="AF171" s="182" t="s">
        <v>752</v>
      </c>
      <c r="AG171" s="182" t="s">
        <v>1065</v>
      </c>
      <c r="AH171" s="182">
        <v>309.0</v>
      </c>
    </row>
    <row r="172">
      <c r="A172" s="182">
        <v>207565.0</v>
      </c>
      <c r="B172" s="182">
        <v>91449.0</v>
      </c>
      <c r="C172" s="182" t="s">
        <v>998</v>
      </c>
      <c r="D172" s="182" t="s">
        <v>38</v>
      </c>
      <c r="E172" s="182">
        <v>17813.0</v>
      </c>
      <c r="F172" s="182" t="s">
        <v>182</v>
      </c>
      <c r="G172" s="182">
        <v>4736.0</v>
      </c>
      <c r="H172" s="182" t="s">
        <v>439</v>
      </c>
      <c r="I172" s="182">
        <v>1.0</v>
      </c>
      <c r="J172" s="182">
        <v>13.0</v>
      </c>
      <c r="K172" s="182">
        <v>2.0</v>
      </c>
      <c r="L172" s="182">
        <v>10.0</v>
      </c>
      <c r="M172" s="182">
        <v>2.0</v>
      </c>
      <c r="N172" s="182">
        <v>2.0</v>
      </c>
      <c r="O172" s="182">
        <v>1.0</v>
      </c>
      <c r="P172" s="182">
        <v>1.0</v>
      </c>
      <c r="Q172" s="182">
        <v>10.0</v>
      </c>
      <c r="R172" s="182">
        <v>2.0</v>
      </c>
      <c r="S172" s="182">
        <v>3.0</v>
      </c>
      <c r="T172" s="182">
        <v>0.0</v>
      </c>
      <c r="U172" s="182">
        <v>0.0</v>
      </c>
      <c r="V172" s="182">
        <v>0.0</v>
      </c>
      <c r="W172" s="182">
        <v>0.0</v>
      </c>
      <c r="X172" s="182">
        <v>0.0</v>
      </c>
      <c r="Y172" s="182">
        <v>3.0</v>
      </c>
      <c r="Z172" s="182">
        <v>2.0</v>
      </c>
      <c r="AA172" s="182">
        <v>10.0</v>
      </c>
      <c r="AB172" s="182" t="s">
        <v>743</v>
      </c>
      <c r="AC172" s="182" t="s">
        <v>1063</v>
      </c>
      <c r="AD172" s="182" t="s">
        <v>746</v>
      </c>
      <c r="AE172" s="182" t="s">
        <v>1066</v>
      </c>
      <c r="AF172" s="182" t="s">
        <v>764</v>
      </c>
      <c r="AG172" s="182" t="s">
        <v>882</v>
      </c>
      <c r="AH172" s="182">
        <v>309.0</v>
      </c>
    </row>
    <row r="173">
      <c r="A173" s="182">
        <v>207564.0</v>
      </c>
      <c r="B173" s="182">
        <v>91449.0</v>
      </c>
      <c r="C173" s="182" t="s">
        <v>998</v>
      </c>
      <c r="D173" s="182" t="s">
        <v>40</v>
      </c>
      <c r="E173" s="182">
        <v>17813.0</v>
      </c>
      <c r="F173" s="182" t="s">
        <v>182</v>
      </c>
      <c r="G173" s="182">
        <v>4736.0</v>
      </c>
      <c r="H173" s="182" t="s">
        <v>439</v>
      </c>
      <c r="I173" s="182">
        <v>1.0</v>
      </c>
      <c r="J173" s="182">
        <v>8.0</v>
      </c>
      <c r="K173" s="182">
        <v>13.0</v>
      </c>
      <c r="L173" s="182">
        <v>2.0</v>
      </c>
      <c r="M173" s="182">
        <v>10.0</v>
      </c>
      <c r="N173" s="182">
        <v>1.0</v>
      </c>
      <c r="O173" s="182">
        <v>0.0</v>
      </c>
      <c r="P173" s="182">
        <v>1.0</v>
      </c>
      <c r="Q173" s="182">
        <v>2.0</v>
      </c>
      <c r="R173" s="182">
        <v>10.0</v>
      </c>
      <c r="S173" s="182">
        <v>6.0</v>
      </c>
      <c r="T173" s="182">
        <v>3.0</v>
      </c>
      <c r="U173" s="182">
        <v>1.0</v>
      </c>
      <c r="V173" s="182">
        <v>0.0</v>
      </c>
      <c r="W173" s="182">
        <v>1.0</v>
      </c>
      <c r="X173" s="182">
        <v>3.0</v>
      </c>
      <c r="Y173" s="182">
        <v>6.0</v>
      </c>
      <c r="Z173" s="182">
        <v>10.0</v>
      </c>
      <c r="AA173" s="182">
        <v>2.0</v>
      </c>
      <c r="AB173" s="182" t="s">
        <v>743</v>
      </c>
      <c r="AC173" s="182" t="s">
        <v>1063</v>
      </c>
      <c r="AD173" s="182" t="s">
        <v>769</v>
      </c>
      <c r="AE173" s="182" t="s">
        <v>1067</v>
      </c>
      <c r="AF173" s="182" t="s">
        <v>771</v>
      </c>
      <c r="AG173" s="182" t="s">
        <v>777</v>
      </c>
      <c r="AH173" s="182">
        <v>309.0</v>
      </c>
    </row>
    <row r="174">
      <c r="A174" s="182">
        <v>209295.0</v>
      </c>
      <c r="B174" s="182">
        <v>92095.0</v>
      </c>
      <c r="C174" s="182" t="s">
        <v>996</v>
      </c>
      <c r="D174" s="182" t="s">
        <v>227</v>
      </c>
      <c r="E174" s="182">
        <v>299.0</v>
      </c>
      <c r="F174" s="182" t="s">
        <v>185</v>
      </c>
      <c r="G174" s="182">
        <v>4561.0</v>
      </c>
      <c r="H174" s="182" t="s">
        <v>184</v>
      </c>
      <c r="I174" s="182">
        <v>1.0</v>
      </c>
      <c r="J174" s="182">
        <v>6.0</v>
      </c>
      <c r="K174" s="182">
        <v>13.0</v>
      </c>
      <c r="L174" s="182">
        <v>3.0</v>
      </c>
      <c r="M174" s="182">
        <v>9.0</v>
      </c>
      <c r="N174" s="182">
        <v>0.0</v>
      </c>
      <c r="O174" s="182">
        <v>0.0</v>
      </c>
      <c r="P174" s="182">
        <v>0.0</v>
      </c>
      <c r="Q174" s="182">
        <v>3.0</v>
      </c>
      <c r="R174" s="182">
        <v>9.0</v>
      </c>
      <c r="S174" s="182">
        <v>3.0</v>
      </c>
      <c r="T174" s="182">
        <v>4.0</v>
      </c>
      <c r="U174" s="182">
        <v>2.0</v>
      </c>
      <c r="V174" s="182">
        <v>1.0</v>
      </c>
      <c r="W174" s="182">
        <v>1.0</v>
      </c>
      <c r="X174" s="182">
        <v>4.0</v>
      </c>
      <c r="Y174" s="182">
        <v>3.0</v>
      </c>
      <c r="Z174" s="182">
        <v>9.0</v>
      </c>
      <c r="AA174" s="182">
        <v>3.0</v>
      </c>
      <c r="AB174" s="182" t="s">
        <v>743</v>
      </c>
      <c r="AC174" s="182" t="s">
        <v>1063</v>
      </c>
      <c r="AD174" s="182" t="s">
        <v>1006</v>
      </c>
      <c r="AE174" s="182" t="s">
        <v>1005</v>
      </c>
      <c r="AF174" s="182" t="s">
        <v>859</v>
      </c>
      <c r="AG174" s="182" t="s">
        <v>859</v>
      </c>
      <c r="AH174" s="182">
        <v>309.0</v>
      </c>
    </row>
    <row r="175">
      <c r="A175" s="182">
        <v>209294.0</v>
      </c>
      <c r="B175" s="182">
        <v>92095.0</v>
      </c>
      <c r="C175" s="182" t="s">
        <v>996</v>
      </c>
      <c r="D175" s="182" t="s">
        <v>32</v>
      </c>
      <c r="E175" s="182">
        <v>299.0</v>
      </c>
      <c r="F175" s="182" t="s">
        <v>185</v>
      </c>
      <c r="G175" s="182">
        <v>4561.0</v>
      </c>
      <c r="H175" s="182" t="s">
        <v>184</v>
      </c>
      <c r="I175" s="182">
        <v>1.0</v>
      </c>
      <c r="J175" s="182">
        <v>13.0</v>
      </c>
      <c r="K175" s="182">
        <v>6.0</v>
      </c>
      <c r="L175" s="182">
        <v>9.0</v>
      </c>
      <c r="M175" s="182">
        <v>3.0</v>
      </c>
      <c r="N175" s="182">
        <v>1.0</v>
      </c>
      <c r="O175" s="182">
        <v>1.0</v>
      </c>
      <c r="P175" s="182">
        <v>0.0</v>
      </c>
      <c r="Q175" s="182">
        <v>9.0</v>
      </c>
      <c r="R175" s="182">
        <v>3.0</v>
      </c>
      <c r="S175" s="182">
        <v>4.0</v>
      </c>
      <c r="T175" s="182">
        <v>3.0</v>
      </c>
      <c r="U175" s="182">
        <v>1.0</v>
      </c>
      <c r="V175" s="182">
        <v>1.0</v>
      </c>
      <c r="W175" s="182">
        <v>0.0</v>
      </c>
      <c r="X175" s="182">
        <v>3.0</v>
      </c>
      <c r="Y175" s="182">
        <v>4.0</v>
      </c>
      <c r="Z175" s="182">
        <v>3.0</v>
      </c>
      <c r="AA175" s="182">
        <v>9.0</v>
      </c>
      <c r="AB175" s="182" t="s">
        <v>743</v>
      </c>
      <c r="AC175" s="182" t="s">
        <v>1063</v>
      </c>
      <c r="AD175" s="182" t="s">
        <v>772</v>
      </c>
      <c r="AE175" s="182" t="s">
        <v>1068</v>
      </c>
      <c r="AF175" s="182" t="s">
        <v>751</v>
      </c>
      <c r="AG175" s="182" t="s">
        <v>816</v>
      </c>
      <c r="AH175" s="182">
        <v>309.0</v>
      </c>
    </row>
    <row r="176">
      <c r="A176" s="182">
        <v>210102.0</v>
      </c>
      <c r="B176" s="182">
        <v>92406.0</v>
      </c>
      <c r="C176" s="182" t="s">
        <v>984</v>
      </c>
      <c r="D176" s="182" t="s">
        <v>40</v>
      </c>
      <c r="E176" s="182">
        <v>9685.0</v>
      </c>
      <c r="F176" s="182" t="s">
        <v>428</v>
      </c>
      <c r="G176" s="182">
        <v>17869.0</v>
      </c>
      <c r="H176" s="182" t="s">
        <v>190</v>
      </c>
      <c r="I176" s="182">
        <v>1.0</v>
      </c>
      <c r="J176" s="182">
        <v>14.0</v>
      </c>
      <c r="K176" s="182">
        <v>16.0</v>
      </c>
      <c r="L176" s="182">
        <v>8.0</v>
      </c>
      <c r="M176" s="182">
        <v>4.0</v>
      </c>
      <c r="N176" s="182">
        <v>2.0</v>
      </c>
      <c r="O176" s="182">
        <v>1.0</v>
      </c>
      <c r="P176" s="182">
        <v>1.0</v>
      </c>
      <c r="Q176" s="182">
        <v>8.0</v>
      </c>
      <c r="R176" s="182">
        <v>7.0</v>
      </c>
      <c r="S176" s="182">
        <v>6.0</v>
      </c>
      <c r="T176" s="182">
        <v>9.0</v>
      </c>
      <c r="U176" s="182">
        <v>0.0</v>
      </c>
      <c r="V176" s="182">
        <v>0.0</v>
      </c>
      <c r="W176" s="182">
        <v>0.0</v>
      </c>
      <c r="X176" s="182">
        <v>9.0</v>
      </c>
      <c r="Y176" s="182">
        <v>6.0</v>
      </c>
      <c r="Z176" s="182">
        <v>7.0</v>
      </c>
      <c r="AA176" s="182">
        <v>8.0</v>
      </c>
      <c r="AB176" s="182" t="s">
        <v>743</v>
      </c>
      <c r="AC176" s="182" t="s">
        <v>1063</v>
      </c>
      <c r="AD176" s="182" t="s">
        <v>1069</v>
      </c>
      <c r="AE176" s="182" t="s">
        <v>989</v>
      </c>
      <c r="AF176" s="182" t="s">
        <v>1004</v>
      </c>
      <c r="AG176" s="182" t="s">
        <v>771</v>
      </c>
      <c r="AH176" s="182">
        <v>309.0</v>
      </c>
    </row>
    <row r="177">
      <c r="A177" s="182">
        <v>210104.0</v>
      </c>
      <c r="B177" s="182">
        <v>92408.0</v>
      </c>
      <c r="C177" s="182" t="s">
        <v>984</v>
      </c>
      <c r="D177" s="182" t="s">
        <v>40</v>
      </c>
      <c r="E177" s="182">
        <v>17952.0</v>
      </c>
      <c r="F177" s="182" t="s">
        <v>1</v>
      </c>
      <c r="G177" s="182">
        <v>18392.0</v>
      </c>
      <c r="H177" s="182" t="s">
        <v>181</v>
      </c>
      <c r="I177" s="182">
        <v>2.0</v>
      </c>
      <c r="J177" s="182">
        <v>7.0</v>
      </c>
      <c r="K177" s="182">
        <v>13.0</v>
      </c>
      <c r="L177" s="182">
        <v>7.0</v>
      </c>
      <c r="M177" s="182">
        <v>5.0</v>
      </c>
      <c r="N177" s="182">
        <v>1.0</v>
      </c>
      <c r="O177" s="182">
        <v>0.0</v>
      </c>
      <c r="P177" s="182">
        <v>1.0</v>
      </c>
      <c r="Q177" s="182">
        <v>0.0</v>
      </c>
      <c r="R177" s="182">
        <v>8.0</v>
      </c>
      <c r="S177" s="182">
        <v>7.0</v>
      </c>
      <c r="T177" s="182">
        <v>5.0</v>
      </c>
      <c r="U177" s="182">
        <v>1.0</v>
      </c>
      <c r="V177" s="182">
        <v>0.0</v>
      </c>
      <c r="W177" s="182">
        <v>1.0</v>
      </c>
      <c r="X177" s="182">
        <v>5.0</v>
      </c>
      <c r="Y177" s="182">
        <v>7.0</v>
      </c>
      <c r="Z177" s="182">
        <v>8.0</v>
      </c>
      <c r="AA177" s="182">
        <v>0.0</v>
      </c>
      <c r="AB177" s="182" t="s">
        <v>743</v>
      </c>
      <c r="AC177" s="182" t="s">
        <v>1063</v>
      </c>
      <c r="AD177" s="182" t="s">
        <v>1070</v>
      </c>
      <c r="AE177" s="182" t="s">
        <v>907</v>
      </c>
      <c r="AF177" s="182" t="s">
        <v>862</v>
      </c>
      <c r="AG177" s="182" t="s">
        <v>793</v>
      </c>
      <c r="AH177" s="182">
        <v>309.0</v>
      </c>
    </row>
    <row r="178">
      <c r="A178" s="182">
        <v>210103.0</v>
      </c>
      <c r="B178" s="182">
        <v>92407.0</v>
      </c>
      <c r="C178" s="182" t="s">
        <v>984</v>
      </c>
      <c r="D178" s="182" t="s">
        <v>227</v>
      </c>
      <c r="E178" s="182">
        <v>539.0</v>
      </c>
      <c r="F178" s="182" t="s">
        <v>179</v>
      </c>
      <c r="G178" s="182">
        <v>14373.0</v>
      </c>
      <c r="H178" s="182" t="s">
        <v>458</v>
      </c>
      <c r="I178" s="182">
        <v>2.0</v>
      </c>
      <c r="J178" s="182">
        <v>13.0</v>
      </c>
      <c r="K178" s="182">
        <v>7.0</v>
      </c>
      <c r="L178" s="182">
        <v>7.0</v>
      </c>
      <c r="M178" s="182">
        <v>5.0</v>
      </c>
      <c r="N178" s="182">
        <v>2.0</v>
      </c>
      <c r="O178" s="182">
        <v>1.0</v>
      </c>
      <c r="P178" s="182">
        <v>1.0</v>
      </c>
      <c r="Q178" s="182">
        <v>6.0</v>
      </c>
      <c r="R178" s="182">
        <v>2.0</v>
      </c>
      <c r="S178" s="182">
        <v>7.0</v>
      </c>
      <c r="T178" s="182">
        <v>5.0</v>
      </c>
      <c r="U178" s="182">
        <v>0.0</v>
      </c>
      <c r="V178" s="182">
        <v>0.0</v>
      </c>
      <c r="W178" s="182">
        <v>0.0</v>
      </c>
      <c r="X178" s="182">
        <v>5.0</v>
      </c>
      <c r="Y178" s="182">
        <v>7.0</v>
      </c>
      <c r="Z178" s="182">
        <v>2.0</v>
      </c>
      <c r="AA178" s="182">
        <v>6.0</v>
      </c>
      <c r="AB178" s="182" t="s">
        <v>743</v>
      </c>
      <c r="AC178" s="182" t="s">
        <v>1063</v>
      </c>
      <c r="AD178" s="182" t="s">
        <v>811</v>
      </c>
      <c r="AE178" s="182" t="s">
        <v>1071</v>
      </c>
      <c r="AF178" s="182" t="s">
        <v>813</v>
      </c>
      <c r="AG178" s="182" t="s">
        <v>859</v>
      </c>
      <c r="AH178" s="182">
        <v>309.0</v>
      </c>
    </row>
    <row r="179">
      <c r="A179" s="182">
        <v>209293.0</v>
      </c>
      <c r="B179" s="182">
        <v>92095.0</v>
      </c>
      <c r="C179" s="182" t="s">
        <v>996</v>
      </c>
      <c r="D179" s="182" t="s">
        <v>40</v>
      </c>
      <c r="E179" s="182">
        <v>299.0</v>
      </c>
      <c r="F179" s="182" t="s">
        <v>185</v>
      </c>
      <c r="G179" s="182">
        <v>4561.0</v>
      </c>
      <c r="H179" s="182" t="s">
        <v>184</v>
      </c>
      <c r="I179" s="182">
        <v>1.0</v>
      </c>
      <c r="J179" s="182">
        <v>6.0</v>
      </c>
      <c r="K179" s="182">
        <v>13.0</v>
      </c>
      <c r="L179" s="182">
        <v>4.0</v>
      </c>
      <c r="M179" s="182">
        <v>8.0</v>
      </c>
      <c r="N179" s="182">
        <v>0.0</v>
      </c>
      <c r="O179" s="182">
        <v>0.0</v>
      </c>
      <c r="P179" s="182">
        <v>0.0</v>
      </c>
      <c r="Q179" s="182">
        <v>4.0</v>
      </c>
      <c r="R179" s="182">
        <v>8.0</v>
      </c>
      <c r="S179" s="182">
        <v>2.0</v>
      </c>
      <c r="T179" s="182">
        <v>5.0</v>
      </c>
      <c r="U179" s="182">
        <v>2.0</v>
      </c>
      <c r="V179" s="182">
        <v>1.0</v>
      </c>
      <c r="W179" s="182">
        <v>1.0</v>
      </c>
      <c r="X179" s="182">
        <v>5.0</v>
      </c>
      <c r="Y179" s="182">
        <v>2.0</v>
      </c>
      <c r="Z179" s="182">
        <v>8.0</v>
      </c>
      <c r="AA179" s="182">
        <v>4.0</v>
      </c>
      <c r="AB179" s="182" t="s">
        <v>743</v>
      </c>
      <c r="AC179" s="182" t="s">
        <v>1063</v>
      </c>
      <c r="AD179" s="182" t="s">
        <v>772</v>
      </c>
      <c r="AE179" s="182" t="s">
        <v>776</v>
      </c>
      <c r="AF179" s="182" t="s">
        <v>751</v>
      </c>
      <c r="AG179" s="182" t="s">
        <v>771</v>
      </c>
      <c r="AH179" s="182">
        <v>309.0</v>
      </c>
    </row>
    <row r="180">
      <c r="A180" s="182">
        <v>209861.0</v>
      </c>
      <c r="B180" s="182">
        <v>92323.0</v>
      </c>
      <c r="C180" s="182" t="s">
        <v>984</v>
      </c>
      <c r="D180" s="182" t="s">
        <v>227</v>
      </c>
      <c r="E180" s="182">
        <v>10653.0</v>
      </c>
      <c r="F180" s="182" t="s">
        <v>1072</v>
      </c>
      <c r="G180" s="182">
        <v>17869.0</v>
      </c>
      <c r="H180" s="182" t="s">
        <v>190</v>
      </c>
      <c r="I180" s="182">
        <v>1.0</v>
      </c>
      <c r="J180" s="182">
        <v>5.0</v>
      </c>
      <c r="K180" s="182">
        <v>13.0</v>
      </c>
      <c r="L180" s="182">
        <v>3.0</v>
      </c>
      <c r="M180" s="182">
        <v>9.0</v>
      </c>
      <c r="N180" s="182">
        <v>1.0</v>
      </c>
      <c r="O180" s="182">
        <v>0.0</v>
      </c>
      <c r="P180" s="182">
        <v>1.0</v>
      </c>
      <c r="Q180" s="182">
        <v>3.0</v>
      </c>
      <c r="R180" s="182">
        <v>9.0</v>
      </c>
      <c r="S180" s="182">
        <v>2.0</v>
      </c>
      <c r="T180" s="182">
        <v>4.0</v>
      </c>
      <c r="U180" s="182">
        <v>1.0</v>
      </c>
      <c r="V180" s="182">
        <v>0.0</v>
      </c>
      <c r="W180" s="182">
        <v>1.0</v>
      </c>
      <c r="X180" s="182">
        <v>4.0</v>
      </c>
      <c r="Y180" s="182">
        <v>2.0</v>
      </c>
      <c r="Z180" s="182">
        <v>9.0</v>
      </c>
      <c r="AA180" s="182">
        <v>3.0</v>
      </c>
      <c r="AB180" s="182" t="s">
        <v>743</v>
      </c>
      <c r="AC180" s="182" t="s">
        <v>1063</v>
      </c>
      <c r="AD180" s="182" t="s">
        <v>1073</v>
      </c>
      <c r="AE180" s="182" t="s">
        <v>916</v>
      </c>
      <c r="AF180" s="182" t="s">
        <v>859</v>
      </c>
      <c r="AG180" s="182" t="s">
        <v>748</v>
      </c>
      <c r="AH180" s="182">
        <v>309.0</v>
      </c>
    </row>
    <row r="181">
      <c r="A181" s="182">
        <v>209857.0</v>
      </c>
      <c r="B181" s="182">
        <v>92319.0</v>
      </c>
      <c r="C181" s="182" t="s">
        <v>984</v>
      </c>
      <c r="D181" s="182" t="s">
        <v>38</v>
      </c>
      <c r="E181" s="182">
        <v>539.0</v>
      </c>
      <c r="F181" s="182" t="s">
        <v>179</v>
      </c>
      <c r="G181" s="182">
        <v>10651.0</v>
      </c>
      <c r="H181" s="182" t="s">
        <v>404</v>
      </c>
      <c r="I181" s="182">
        <v>2.0</v>
      </c>
      <c r="J181" s="182">
        <v>4.0</v>
      </c>
      <c r="K181" s="182">
        <v>13.0</v>
      </c>
      <c r="L181" s="182">
        <v>4.0</v>
      </c>
      <c r="M181" s="182">
        <v>8.0</v>
      </c>
      <c r="N181" s="182">
        <v>1.0</v>
      </c>
      <c r="O181" s="182">
        <v>0.0</v>
      </c>
      <c r="P181" s="182">
        <v>1.0</v>
      </c>
      <c r="Q181" s="182">
        <v>0.0</v>
      </c>
      <c r="R181" s="182">
        <v>5.0</v>
      </c>
      <c r="S181" s="182">
        <v>4.0</v>
      </c>
      <c r="T181" s="182">
        <v>8.0</v>
      </c>
      <c r="U181" s="182">
        <v>1.0</v>
      </c>
      <c r="V181" s="182">
        <v>0.0</v>
      </c>
      <c r="W181" s="182">
        <v>1.0</v>
      </c>
      <c r="X181" s="182">
        <v>8.0</v>
      </c>
      <c r="Y181" s="182">
        <v>4.0</v>
      </c>
      <c r="Z181" s="182">
        <v>5.0</v>
      </c>
      <c r="AA181" s="182">
        <v>0.0</v>
      </c>
      <c r="AB181" s="182" t="s">
        <v>743</v>
      </c>
      <c r="AC181" s="182" t="s">
        <v>1063</v>
      </c>
      <c r="AD181" s="182" t="s">
        <v>1074</v>
      </c>
      <c r="AE181" s="182" t="s">
        <v>942</v>
      </c>
      <c r="AF181" s="182" t="s">
        <v>882</v>
      </c>
      <c r="AG181" s="182" t="s">
        <v>751</v>
      </c>
      <c r="AH181" s="182">
        <v>309.0</v>
      </c>
    </row>
    <row r="182">
      <c r="A182" s="182">
        <v>209864.0</v>
      </c>
      <c r="B182" s="182">
        <v>92326.0</v>
      </c>
      <c r="C182" s="182" t="s">
        <v>984</v>
      </c>
      <c r="D182" s="182" t="s">
        <v>32</v>
      </c>
      <c r="E182" s="182">
        <v>18392.0</v>
      </c>
      <c r="F182" s="182" t="s">
        <v>181</v>
      </c>
      <c r="G182" s="182">
        <v>17237.0</v>
      </c>
      <c r="H182" s="182" t="s">
        <v>475</v>
      </c>
      <c r="I182" s="182">
        <v>1.0</v>
      </c>
      <c r="J182" s="182">
        <v>13.0</v>
      </c>
      <c r="K182" s="182">
        <v>2.0</v>
      </c>
      <c r="L182" s="182">
        <v>10.0</v>
      </c>
      <c r="M182" s="182">
        <v>2.0</v>
      </c>
      <c r="N182" s="182">
        <v>2.0</v>
      </c>
      <c r="O182" s="182">
        <v>1.0</v>
      </c>
      <c r="P182" s="182">
        <v>1.0</v>
      </c>
      <c r="Q182" s="182">
        <v>10.0</v>
      </c>
      <c r="R182" s="182">
        <v>2.0</v>
      </c>
      <c r="S182" s="182">
        <v>3.0</v>
      </c>
      <c r="T182" s="182">
        <v>0.0</v>
      </c>
      <c r="U182" s="182">
        <v>0.0</v>
      </c>
      <c r="V182" s="182">
        <v>0.0</v>
      </c>
      <c r="W182" s="182">
        <v>0.0</v>
      </c>
      <c r="X182" s="182">
        <v>0.0</v>
      </c>
      <c r="Y182" s="182">
        <v>3.0</v>
      </c>
      <c r="Z182" s="182">
        <v>2.0</v>
      </c>
      <c r="AA182" s="182">
        <v>10.0</v>
      </c>
      <c r="AB182" s="182" t="s">
        <v>743</v>
      </c>
      <c r="AC182" s="182" t="s">
        <v>1063</v>
      </c>
      <c r="AD182" s="182" t="s">
        <v>928</v>
      </c>
      <c r="AE182" s="182" t="s">
        <v>1075</v>
      </c>
      <c r="AF182" s="182" t="s">
        <v>751</v>
      </c>
      <c r="AG182" s="182" t="s">
        <v>973</v>
      </c>
      <c r="AH182" s="182">
        <v>309.0</v>
      </c>
    </row>
    <row r="183">
      <c r="A183" s="182">
        <v>209860.0</v>
      </c>
      <c r="B183" s="182">
        <v>92322.0</v>
      </c>
      <c r="C183" s="182" t="s">
        <v>984</v>
      </c>
      <c r="D183" s="182" t="s">
        <v>40</v>
      </c>
      <c r="E183" s="182">
        <v>17952.0</v>
      </c>
      <c r="F183" s="182" t="s">
        <v>1</v>
      </c>
      <c r="G183" s="182">
        <v>8581.0</v>
      </c>
      <c r="H183" s="182" t="s">
        <v>401</v>
      </c>
      <c r="I183" s="182">
        <v>2.0</v>
      </c>
      <c r="J183" s="182">
        <v>9.0</v>
      </c>
      <c r="K183" s="182">
        <v>13.0</v>
      </c>
      <c r="L183" s="182">
        <v>4.0</v>
      </c>
      <c r="M183" s="182">
        <v>8.0</v>
      </c>
      <c r="N183" s="182">
        <v>0.0</v>
      </c>
      <c r="O183" s="182">
        <v>0.0</v>
      </c>
      <c r="P183" s="182">
        <v>0.0</v>
      </c>
      <c r="Q183" s="182">
        <v>5.0</v>
      </c>
      <c r="R183" s="182">
        <v>5.0</v>
      </c>
      <c r="S183" s="182">
        <v>4.0</v>
      </c>
      <c r="T183" s="182">
        <v>8.0</v>
      </c>
      <c r="U183" s="182">
        <v>2.0</v>
      </c>
      <c r="V183" s="182">
        <v>1.0</v>
      </c>
      <c r="W183" s="182">
        <v>1.0</v>
      </c>
      <c r="X183" s="182">
        <v>8.0</v>
      </c>
      <c r="Y183" s="182">
        <v>4.0</v>
      </c>
      <c r="Z183" s="182">
        <v>5.0</v>
      </c>
      <c r="AA183" s="182">
        <v>5.0</v>
      </c>
      <c r="AB183" s="182" t="s">
        <v>743</v>
      </c>
      <c r="AC183" s="182" t="s">
        <v>1063</v>
      </c>
      <c r="AD183" s="182" t="s">
        <v>1070</v>
      </c>
      <c r="AE183" s="182" t="s">
        <v>931</v>
      </c>
      <c r="AF183" s="182" t="s">
        <v>862</v>
      </c>
      <c r="AG183" s="182" t="s">
        <v>932</v>
      </c>
      <c r="AH183" s="182">
        <v>309.0</v>
      </c>
    </row>
    <row r="184">
      <c r="A184" s="182">
        <v>208389.0</v>
      </c>
      <c r="B184" s="182">
        <v>91778.0</v>
      </c>
      <c r="C184" s="182" t="s">
        <v>944</v>
      </c>
      <c r="D184" s="182" t="s">
        <v>40</v>
      </c>
      <c r="E184" s="182">
        <v>5293.0</v>
      </c>
      <c r="F184" s="182" t="s">
        <v>186</v>
      </c>
      <c r="G184" s="182">
        <v>5937.0</v>
      </c>
      <c r="H184" s="182" t="s">
        <v>398</v>
      </c>
      <c r="I184" s="182">
        <v>2.0</v>
      </c>
      <c r="J184" s="182">
        <v>13.0</v>
      </c>
      <c r="K184" s="182">
        <v>9.0</v>
      </c>
      <c r="L184" s="182">
        <v>7.0</v>
      </c>
      <c r="M184" s="182">
        <v>5.0</v>
      </c>
      <c r="N184" s="182">
        <v>1.0</v>
      </c>
      <c r="O184" s="182">
        <v>0.0</v>
      </c>
      <c r="P184" s="182">
        <v>1.0</v>
      </c>
      <c r="Q184" s="182">
        <v>6.0</v>
      </c>
      <c r="R184" s="182">
        <v>4.0</v>
      </c>
      <c r="S184" s="182">
        <v>7.0</v>
      </c>
      <c r="T184" s="182">
        <v>5.0</v>
      </c>
      <c r="U184" s="182">
        <v>1.0</v>
      </c>
      <c r="V184" s="182">
        <v>0.0</v>
      </c>
      <c r="W184" s="182">
        <v>1.0</v>
      </c>
      <c r="X184" s="182">
        <v>5.0</v>
      </c>
      <c r="Y184" s="182">
        <v>7.0</v>
      </c>
      <c r="Z184" s="182">
        <v>4.0</v>
      </c>
      <c r="AA184" s="182">
        <v>6.0</v>
      </c>
      <c r="AB184" s="182" t="s">
        <v>743</v>
      </c>
      <c r="AC184" s="182" t="s">
        <v>1076</v>
      </c>
      <c r="AD184" s="182" t="s">
        <v>803</v>
      </c>
      <c r="AE184" s="182" t="s">
        <v>897</v>
      </c>
      <c r="AF184" s="182" t="s">
        <v>777</v>
      </c>
      <c r="AG184" s="182" t="s">
        <v>1077</v>
      </c>
      <c r="AH184" s="182">
        <v>309.0</v>
      </c>
    </row>
    <row r="185">
      <c r="A185" s="182">
        <v>208388.0</v>
      </c>
      <c r="B185" s="182">
        <v>91778.0</v>
      </c>
      <c r="C185" s="182" t="s">
        <v>944</v>
      </c>
      <c r="D185" s="182" t="s">
        <v>38</v>
      </c>
      <c r="E185" s="182">
        <v>5293.0</v>
      </c>
      <c r="F185" s="182" t="s">
        <v>186</v>
      </c>
      <c r="G185" s="182">
        <v>5937.0</v>
      </c>
      <c r="H185" s="182" t="s">
        <v>398</v>
      </c>
      <c r="I185" s="182">
        <v>1.0</v>
      </c>
      <c r="J185" s="182">
        <v>14.0</v>
      </c>
      <c r="K185" s="182">
        <v>12.0</v>
      </c>
      <c r="L185" s="182">
        <v>6.0</v>
      </c>
      <c r="M185" s="182">
        <v>6.0</v>
      </c>
      <c r="N185" s="182">
        <v>0.0</v>
      </c>
      <c r="O185" s="182">
        <v>0.0</v>
      </c>
      <c r="P185" s="182">
        <v>0.0</v>
      </c>
      <c r="Q185" s="182">
        <v>7.0</v>
      </c>
      <c r="R185" s="182">
        <v>6.0</v>
      </c>
      <c r="S185" s="182">
        <v>7.0</v>
      </c>
      <c r="T185" s="182">
        <v>6.0</v>
      </c>
      <c r="U185" s="182">
        <v>2.0</v>
      </c>
      <c r="V185" s="182">
        <v>1.0</v>
      </c>
      <c r="W185" s="182">
        <v>1.0</v>
      </c>
      <c r="X185" s="182">
        <v>6.0</v>
      </c>
      <c r="Y185" s="182">
        <v>7.0</v>
      </c>
      <c r="Z185" s="182">
        <v>6.0</v>
      </c>
      <c r="AA185" s="182">
        <v>7.0</v>
      </c>
      <c r="AB185" s="182" t="s">
        <v>743</v>
      </c>
      <c r="AC185" s="182" t="s">
        <v>1076</v>
      </c>
      <c r="AD185" s="182" t="s">
        <v>814</v>
      </c>
      <c r="AE185" s="182" t="s">
        <v>1078</v>
      </c>
      <c r="AF185" s="182" t="s">
        <v>751</v>
      </c>
      <c r="AG185" s="182" t="s">
        <v>1079</v>
      </c>
      <c r="AH185" s="182">
        <v>309.0</v>
      </c>
    </row>
    <row r="186">
      <c r="A186" s="182">
        <v>209540.0</v>
      </c>
      <c r="B186" s="182">
        <v>92193.0</v>
      </c>
      <c r="C186" s="182" t="s">
        <v>1014</v>
      </c>
      <c r="D186" s="182" t="s">
        <v>227</v>
      </c>
      <c r="E186" s="182">
        <v>5652.0</v>
      </c>
      <c r="F186" s="182" t="s">
        <v>189</v>
      </c>
      <c r="G186" s="182">
        <v>18659.0</v>
      </c>
      <c r="H186" s="182" t="s">
        <v>1080</v>
      </c>
      <c r="I186" s="182">
        <v>2.0</v>
      </c>
      <c r="J186" s="182">
        <v>14.0</v>
      </c>
      <c r="K186" s="182">
        <v>12.0</v>
      </c>
      <c r="L186" s="182">
        <v>7.0</v>
      </c>
      <c r="M186" s="182">
        <v>5.0</v>
      </c>
      <c r="N186" s="182">
        <v>1.0</v>
      </c>
      <c r="O186" s="182">
        <v>1.0</v>
      </c>
      <c r="P186" s="182">
        <v>0.0</v>
      </c>
      <c r="Q186" s="182">
        <v>6.0</v>
      </c>
      <c r="R186" s="182">
        <v>7.0</v>
      </c>
      <c r="S186" s="182">
        <v>8.0</v>
      </c>
      <c r="T186" s="182">
        <v>5.0</v>
      </c>
      <c r="U186" s="182">
        <v>1.0</v>
      </c>
      <c r="V186" s="182">
        <v>1.0</v>
      </c>
      <c r="W186" s="182">
        <v>0.0</v>
      </c>
      <c r="X186" s="182">
        <v>5.0</v>
      </c>
      <c r="Y186" s="182">
        <v>8.0</v>
      </c>
      <c r="Z186" s="182">
        <v>7.0</v>
      </c>
      <c r="AA186" s="182">
        <v>6.0</v>
      </c>
      <c r="AB186" s="182" t="s">
        <v>743</v>
      </c>
      <c r="AC186" s="182" t="s">
        <v>1076</v>
      </c>
      <c r="AD186" s="182" t="s">
        <v>827</v>
      </c>
      <c r="AE186" s="182" t="s">
        <v>1081</v>
      </c>
      <c r="AF186" s="182" t="s">
        <v>829</v>
      </c>
      <c r="AG186" s="182" t="s">
        <v>859</v>
      </c>
      <c r="AH186" s="182">
        <v>309.0</v>
      </c>
    </row>
    <row r="187">
      <c r="A187" s="182">
        <v>209528.0</v>
      </c>
      <c r="B187" s="182">
        <v>92189.0</v>
      </c>
      <c r="C187" s="182" t="s">
        <v>1032</v>
      </c>
      <c r="D187" s="182" t="s">
        <v>36</v>
      </c>
      <c r="E187" s="182">
        <v>6415.0</v>
      </c>
      <c r="F187" s="182" t="s">
        <v>180</v>
      </c>
      <c r="G187" s="182">
        <v>3916.0</v>
      </c>
      <c r="H187" s="182" t="s">
        <v>933</v>
      </c>
      <c r="I187" s="182">
        <v>2.0</v>
      </c>
      <c r="J187" s="182">
        <v>13.0</v>
      </c>
      <c r="K187" s="182">
        <v>6.0</v>
      </c>
      <c r="L187" s="182">
        <v>7.0</v>
      </c>
      <c r="M187" s="182">
        <v>5.0</v>
      </c>
      <c r="N187" s="182">
        <v>1.0</v>
      </c>
      <c r="O187" s="182">
        <v>1.0</v>
      </c>
      <c r="P187" s="182">
        <v>0.0</v>
      </c>
      <c r="Q187" s="182">
        <v>6.0</v>
      </c>
      <c r="R187" s="182">
        <v>1.0</v>
      </c>
      <c r="S187" s="182">
        <v>7.0</v>
      </c>
      <c r="T187" s="182">
        <v>5.0</v>
      </c>
      <c r="U187" s="182">
        <v>1.0</v>
      </c>
      <c r="V187" s="182">
        <v>1.0</v>
      </c>
      <c r="W187" s="182">
        <v>0.0</v>
      </c>
      <c r="X187" s="182">
        <v>5.0</v>
      </c>
      <c r="Y187" s="182">
        <v>7.0</v>
      </c>
      <c r="Z187" s="182">
        <v>1.0</v>
      </c>
      <c r="AA187" s="182">
        <v>6.0</v>
      </c>
      <c r="AB187" s="182" t="s">
        <v>743</v>
      </c>
      <c r="AC187" s="182" t="s">
        <v>1076</v>
      </c>
      <c r="AD187" s="182" t="s">
        <v>841</v>
      </c>
      <c r="AE187" s="182" t="s">
        <v>1082</v>
      </c>
      <c r="AF187" s="182" t="s">
        <v>842</v>
      </c>
      <c r="AG187" s="182" t="s">
        <v>1083</v>
      </c>
      <c r="AH187" s="182">
        <v>309.0</v>
      </c>
    </row>
    <row r="188">
      <c r="A188" s="182">
        <v>209348.0</v>
      </c>
      <c r="B188" s="182">
        <v>92128.0</v>
      </c>
      <c r="C188" s="182" t="s">
        <v>984</v>
      </c>
      <c r="D188" s="182" t="s">
        <v>38</v>
      </c>
      <c r="E188" s="182">
        <v>8581.0</v>
      </c>
      <c r="F188" s="182" t="s">
        <v>401</v>
      </c>
      <c r="G188" s="182">
        <v>18392.0</v>
      </c>
      <c r="H188" s="182" t="s">
        <v>181</v>
      </c>
      <c r="I188" s="182">
        <v>2.0</v>
      </c>
      <c r="J188" s="182">
        <v>13.0</v>
      </c>
      <c r="K188" s="182">
        <v>2.0</v>
      </c>
      <c r="L188" s="182">
        <v>10.0</v>
      </c>
      <c r="M188" s="182">
        <v>2.0</v>
      </c>
      <c r="N188" s="182">
        <v>2.0</v>
      </c>
      <c r="O188" s="182">
        <v>1.0</v>
      </c>
      <c r="P188" s="182">
        <v>1.0</v>
      </c>
      <c r="Q188" s="182">
        <v>3.0</v>
      </c>
      <c r="R188" s="182">
        <v>0.0</v>
      </c>
      <c r="S188" s="182">
        <v>10.0</v>
      </c>
      <c r="T188" s="182">
        <v>2.0</v>
      </c>
      <c r="U188" s="182">
        <v>0.0</v>
      </c>
      <c r="V188" s="182">
        <v>0.0</v>
      </c>
      <c r="W188" s="182">
        <v>0.0</v>
      </c>
      <c r="X188" s="182">
        <v>2.0</v>
      </c>
      <c r="Y188" s="182">
        <v>10.0</v>
      </c>
      <c r="Z188" s="182">
        <v>0.0</v>
      </c>
      <c r="AA188" s="182">
        <v>3.0</v>
      </c>
      <c r="AB188" s="182" t="s">
        <v>743</v>
      </c>
      <c r="AC188" s="182" t="s">
        <v>1076</v>
      </c>
      <c r="AD188" s="182" t="s">
        <v>925</v>
      </c>
      <c r="AE188" s="182" t="s">
        <v>924</v>
      </c>
      <c r="AF188" s="182" t="s">
        <v>926</v>
      </c>
      <c r="AG188" s="182" t="s">
        <v>882</v>
      </c>
      <c r="AH188" s="182">
        <v>309.0</v>
      </c>
    </row>
    <row r="189">
      <c r="A189" s="182">
        <v>209539.0</v>
      </c>
      <c r="B189" s="182">
        <v>92193.0</v>
      </c>
      <c r="C189" s="182" t="s">
        <v>1014</v>
      </c>
      <c r="D189" s="182" t="s">
        <v>32</v>
      </c>
      <c r="E189" s="182">
        <v>5652.0</v>
      </c>
      <c r="F189" s="182" t="s">
        <v>189</v>
      </c>
      <c r="G189" s="182">
        <v>18659.0</v>
      </c>
      <c r="H189" s="182" t="s">
        <v>1080</v>
      </c>
      <c r="I189" s="182">
        <v>1.0</v>
      </c>
      <c r="J189" s="182">
        <v>13.0</v>
      </c>
      <c r="K189" s="182">
        <v>7.0</v>
      </c>
      <c r="L189" s="182">
        <v>7.0</v>
      </c>
      <c r="M189" s="182">
        <v>5.0</v>
      </c>
      <c r="N189" s="182">
        <v>1.0</v>
      </c>
      <c r="O189" s="182">
        <v>0.0</v>
      </c>
      <c r="P189" s="182">
        <v>1.0</v>
      </c>
      <c r="Q189" s="182">
        <v>7.0</v>
      </c>
      <c r="R189" s="182">
        <v>5.0</v>
      </c>
      <c r="S189" s="182">
        <v>6.0</v>
      </c>
      <c r="T189" s="182">
        <v>2.0</v>
      </c>
      <c r="U189" s="182">
        <v>1.0</v>
      </c>
      <c r="V189" s="182">
        <v>0.0</v>
      </c>
      <c r="W189" s="182">
        <v>1.0</v>
      </c>
      <c r="X189" s="182">
        <v>2.0</v>
      </c>
      <c r="Y189" s="182">
        <v>6.0</v>
      </c>
      <c r="Z189" s="182">
        <v>5.0</v>
      </c>
      <c r="AA189" s="182">
        <v>7.0</v>
      </c>
      <c r="AB189" s="182" t="s">
        <v>743</v>
      </c>
      <c r="AC189" s="182" t="s">
        <v>1076</v>
      </c>
      <c r="AD189" s="182" t="s">
        <v>823</v>
      </c>
      <c r="AE189" s="182" t="s">
        <v>1084</v>
      </c>
      <c r="AF189" s="182" t="s">
        <v>31</v>
      </c>
      <c r="AG189" s="182" t="s">
        <v>816</v>
      </c>
      <c r="AH189" s="182">
        <v>309.0</v>
      </c>
    </row>
    <row r="190">
      <c r="A190" s="182">
        <v>209527.0</v>
      </c>
      <c r="B190" s="182">
        <v>92189.0</v>
      </c>
      <c r="C190" s="182" t="s">
        <v>1032</v>
      </c>
      <c r="D190" s="182" t="s">
        <v>32</v>
      </c>
      <c r="E190" s="182">
        <v>6415.0</v>
      </c>
      <c r="F190" s="182" t="s">
        <v>180</v>
      </c>
      <c r="G190" s="182">
        <v>3916.0</v>
      </c>
      <c r="H190" s="182" t="s">
        <v>933</v>
      </c>
      <c r="I190" s="182">
        <v>2.0</v>
      </c>
      <c r="J190" s="182">
        <v>13.0</v>
      </c>
      <c r="K190" s="182">
        <v>3.0</v>
      </c>
      <c r="L190" s="182">
        <v>9.0</v>
      </c>
      <c r="M190" s="182">
        <v>3.0</v>
      </c>
      <c r="N190" s="182">
        <v>2.0</v>
      </c>
      <c r="O190" s="182">
        <v>1.0</v>
      </c>
      <c r="P190" s="182">
        <v>1.0</v>
      </c>
      <c r="Q190" s="182">
        <v>4.0</v>
      </c>
      <c r="R190" s="182">
        <v>0.0</v>
      </c>
      <c r="S190" s="182">
        <v>9.0</v>
      </c>
      <c r="T190" s="182">
        <v>3.0</v>
      </c>
      <c r="U190" s="182">
        <v>0.0</v>
      </c>
      <c r="V190" s="182">
        <v>0.0</v>
      </c>
      <c r="W190" s="182">
        <v>0.0</v>
      </c>
      <c r="X190" s="182">
        <v>3.0</v>
      </c>
      <c r="Y190" s="182">
        <v>9.0</v>
      </c>
      <c r="Z190" s="182">
        <v>0.0</v>
      </c>
      <c r="AA190" s="182">
        <v>4.0</v>
      </c>
      <c r="AB190" s="182" t="s">
        <v>743</v>
      </c>
      <c r="AC190" s="182" t="s">
        <v>1076</v>
      </c>
      <c r="AD190" s="182" t="s">
        <v>847</v>
      </c>
      <c r="AE190" s="182" t="s">
        <v>940</v>
      </c>
      <c r="AF190" s="182" t="s">
        <v>31</v>
      </c>
      <c r="AG190" s="182" t="s">
        <v>752</v>
      </c>
      <c r="AH190" s="182">
        <v>309.0</v>
      </c>
    </row>
    <row r="191">
      <c r="A191" s="182">
        <v>209347.0</v>
      </c>
      <c r="B191" s="182">
        <v>92127.0</v>
      </c>
      <c r="C191" s="182" t="s">
        <v>984</v>
      </c>
      <c r="D191" s="182" t="s">
        <v>227</v>
      </c>
      <c r="E191" s="182">
        <v>17952.0</v>
      </c>
      <c r="F191" s="182" t="s">
        <v>1</v>
      </c>
      <c r="G191" s="182">
        <v>17237.0</v>
      </c>
      <c r="H191" s="182" t="s">
        <v>475</v>
      </c>
      <c r="I191" s="182">
        <v>2.0</v>
      </c>
      <c r="J191" s="182">
        <v>13.0</v>
      </c>
      <c r="K191" s="182">
        <v>0.0</v>
      </c>
      <c r="L191" s="182">
        <v>12.0</v>
      </c>
      <c r="M191" s="182">
        <v>0.0</v>
      </c>
      <c r="N191" s="182">
        <v>2.0</v>
      </c>
      <c r="O191" s="182">
        <v>1.0</v>
      </c>
      <c r="P191" s="182">
        <v>1.0</v>
      </c>
      <c r="Q191" s="182">
        <v>1.0</v>
      </c>
      <c r="R191" s="182">
        <v>0.0</v>
      </c>
      <c r="S191" s="182">
        <v>12.0</v>
      </c>
      <c r="T191" s="182">
        <v>0.0</v>
      </c>
      <c r="U191" s="182">
        <v>0.0</v>
      </c>
      <c r="V191" s="182">
        <v>0.0</v>
      </c>
      <c r="W191" s="182">
        <v>0.0</v>
      </c>
      <c r="X191" s="182">
        <v>0.0</v>
      </c>
      <c r="Y191" s="182">
        <v>12.0</v>
      </c>
      <c r="Z191" s="182">
        <v>0.0</v>
      </c>
      <c r="AA191" s="182">
        <v>1.0</v>
      </c>
      <c r="AB191" s="182" t="s">
        <v>743</v>
      </c>
      <c r="AC191" s="182" t="s">
        <v>1076</v>
      </c>
      <c r="AD191" s="182" t="s">
        <v>812</v>
      </c>
      <c r="AE191" s="182" t="s">
        <v>1085</v>
      </c>
      <c r="AF191" s="182" t="s">
        <v>37</v>
      </c>
      <c r="AG191" s="182" t="s">
        <v>859</v>
      </c>
      <c r="AH191" s="182">
        <v>309.0</v>
      </c>
    </row>
    <row r="192">
      <c r="A192" s="182">
        <v>209544.0</v>
      </c>
      <c r="B192" s="182">
        <v>92194.0</v>
      </c>
      <c r="C192" s="182" t="s">
        <v>1014</v>
      </c>
      <c r="D192" s="182" t="s">
        <v>227</v>
      </c>
      <c r="E192" s="182">
        <v>9369.0</v>
      </c>
      <c r="F192" s="182" t="s">
        <v>232</v>
      </c>
      <c r="G192" s="182">
        <v>19360.0</v>
      </c>
      <c r="H192" s="182" t="s">
        <v>443</v>
      </c>
      <c r="I192" s="182">
        <v>2.0</v>
      </c>
      <c r="J192" s="182">
        <v>10.0</v>
      </c>
      <c r="K192" s="182">
        <v>13.0</v>
      </c>
      <c r="L192" s="182">
        <v>7.0</v>
      </c>
      <c r="M192" s="182">
        <v>5.0</v>
      </c>
      <c r="N192" s="182">
        <v>2.0</v>
      </c>
      <c r="O192" s="182">
        <v>1.0</v>
      </c>
      <c r="P192" s="182">
        <v>1.0</v>
      </c>
      <c r="Q192" s="182">
        <v>3.0</v>
      </c>
      <c r="R192" s="182">
        <v>8.0</v>
      </c>
      <c r="S192" s="182">
        <v>7.0</v>
      </c>
      <c r="T192" s="182">
        <v>5.0</v>
      </c>
      <c r="U192" s="182">
        <v>0.0</v>
      </c>
      <c r="V192" s="182">
        <v>0.0</v>
      </c>
      <c r="W192" s="182">
        <v>0.0</v>
      </c>
      <c r="X192" s="182">
        <v>5.0</v>
      </c>
      <c r="Y192" s="182">
        <v>7.0</v>
      </c>
      <c r="Z192" s="182">
        <v>8.0</v>
      </c>
      <c r="AA192" s="182">
        <v>3.0</v>
      </c>
      <c r="AB192" s="182" t="s">
        <v>743</v>
      </c>
      <c r="AC192" s="182" t="s">
        <v>1086</v>
      </c>
      <c r="AD192" s="182" t="s">
        <v>1087</v>
      </c>
      <c r="AE192" s="182" t="s">
        <v>1088</v>
      </c>
      <c r="AF192" s="182" t="s">
        <v>748</v>
      </c>
      <c r="AG192" s="182" t="s">
        <v>747</v>
      </c>
      <c r="AH192" s="182">
        <v>309.0</v>
      </c>
    </row>
    <row r="193">
      <c r="A193" s="182">
        <v>209543.0</v>
      </c>
      <c r="B193" s="182">
        <v>92194.0</v>
      </c>
      <c r="C193" s="182" t="s">
        <v>1014</v>
      </c>
      <c r="D193" s="182" t="s">
        <v>32</v>
      </c>
      <c r="E193" s="182">
        <v>9369.0</v>
      </c>
      <c r="F193" s="182" t="s">
        <v>232</v>
      </c>
      <c r="G193" s="182">
        <v>19360.0</v>
      </c>
      <c r="H193" s="182" t="s">
        <v>443</v>
      </c>
      <c r="I193" s="182">
        <v>2.0</v>
      </c>
      <c r="J193" s="182">
        <v>13.0</v>
      </c>
      <c r="K193" s="182">
        <v>9.0</v>
      </c>
      <c r="L193" s="182">
        <v>6.0</v>
      </c>
      <c r="M193" s="182">
        <v>6.0</v>
      </c>
      <c r="N193" s="182">
        <v>0.0</v>
      </c>
      <c r="O193" s="182">
        <v>0.0</v>
      </c>
      <c r="P193" s="182">
        <v>0.0</v>
      </c>
      <c r="Q193" s="182">
        <v>7.0</v>
      </c>
      <c r="R193" s="182">
        <v>3.0</v>
      </c>
      <c r="S193" s="182">
        <v>6.0</v>
      </c>
      <c r="T193" s="182">
        <v>6.0</v>
      </c>
      <c r="U193" s="182">
        <v>2.0</v>
      </c>
      <c r="V193" s="182">
        <v>1.0</v>
      </c>
      <c r="W193" s="182">
        <v>1.0</v>
      </c>
      <c r="X193" s="182">
        <v>6.0</v>
      </c>
      <c r="Y193" s="182">
        <v>6.0</v>
      </c>
      <c r="Z193" s="182">
        <v>3.0</v>
      </c>
      <c r="AA193" s="182">
        <v>7.0</v>
      </c>
      <c r="AB193" s="182" t="s">
        <v>743</v>
      </c>
      <c r="AC193" s="182" t="s">
        <v>1086</v>
      </c>
      <c r="AD193" s="182" t="s">
        <v>822</v>
      </c>
      <c r="AE193" s="182" t="s">
        <v>1089</v>
      </c>
      <c r="AF193" s="182" t="s">
        <v>816</v>
      </c>
      <c r="AG193" s="182" t="s">
        <v>816</v>
      </c>
      <c r="AH193" s="182">
        <v>309.0</v>
      </c>
    </row>
    <row r="194">
      <c r="A194" s="182">
        <v>209513.0</v>
      </c>
      <c r="B194" s="182">
        <v>92184.0</v>
      </c>
      <c r="C194" s="182" t="s">
        <v>1032</v>
      </c>
      <c r="D194" s="182" t="s">
        <v>227</v>
      </c>
      <c r="E194" s="182">
        <v>14291.0</v>
      </c>
      <c r="F194" s="182" t="s">
        <v>183</v>
      </c>
      <c r="G194" s="182">
        <v>1045.0</v>
      </c>
      <c r="H194" s="182" t="s">
        <v>1090</v>
      </c>
      <c r="I194" s="182">
        <v>2.0</v>
      </c>
      <c r="J194" s="182">
        <v>13.0</v>
      </c>
      <c r="K194" s="182">
        <v>3.0</v>
      </c>
      <c r="L194" s="182">
        <v>10.0</v>
      </c>
      <c r="M194" s="182">
        <v>2.0</v>
      </c>
      <c r="N194" s="182">
        <v>2.0</v>
      </c>
      <c r="O194" s="182">
        <v>1.0</v>
      </c>
      <c r="P194" s="182">
        <v>1.0</v>
      </c>
      <c r="Q194" s="182">
        <v>3.0</v>
      </c>
      <c r="R194" s="182">
        <v>1.0</v>
      </c>
      <c r="S194" s="182">
        <v>10.0</v>
      </c>
      <c r="T194" s="182">
        <v>2.0</v>
      </c>
      <c r="U194" s="182">
        <v>0.0</v>
      </c>
      <c r="V194" s="182">
        <v>0.0</v>
      </c>
      <c r="W194" s="182">
        <v>0.0</v>
      </c>
      <c r="X194" s="182">
        <v>2.0</v>
      </c>
      <c r="Y194" s="182">
        <v>10.0</v>
      </c>
      <c r="Z194" s="182">
        <v>1.0</v>
      </c>
      <c r="AA194" s="182">
        <v>3.0</v>
      </c>
      <c r="AB194" s="182" t="s">
        <v>743</v>
      </c>
      <c r="AC194" s="182" t="s">
        <v>1086</v>
      </c>
      <c r="AD194" s="182" t="s">
        <v>1033</v>
      </c>
      <c r="AE194" s="182" t="s">
        <v>1091</v>
      </c>
      <c r="AF194" s="182" t="s">
        <v>813</v>
      </c>
      <c r="AG194" s="182" t="s">
        <v>859</v>
      </c>
      <c r="AH194" s="182">
        <v>309.0</v>
      </c>
    </row>
    <row r="195">
      <c r="A195" s="182">
        <v>209542.0</v>
      </c>
      <c r="B195" s="182">
        <v>92194.0</v>
      </c>
      <c r="C195" s="182" t="s">
        <v>1014</v>
      </c>
      <c r="D195" s="182" t="s">
        <v>34</v>
      </c>
      <c r="E195" s="182">
        <v>9369.0</v>
      </c>
      <c r="F195" s="182" t="s">
        <v>232</v>
      </c>
      <c r="G195" s="182">
        <v>19360.0</v>
      </c>
      <c r="H195" s="182" t="s">
        <v>443</v>
      </c>
      <c r="I195" s="182">
        <v>1.0</v>
      </c>
      <c r="J195" s="182">
        <v>8.0</v>
      </c>
      <c r="K195" s="182">
        <v>13.0</v>
      </c>
      <c r="L195" s="182">
        <v>7.0</v>
      </c>
      <c r="M195" s="182">
        <v>5.0</v>
      </c>
      <c r="N195" s="182">
        <v>1.0</v>
      </c>
      <c r="O195" s="182">
        <v>1.0</v>
      </c>
      <c r="P195" s="182">
        <v>0.0</v>
      </c>
      <c r="Q195" s="182">
        <v>7.0</v>
      </c>
      <c r="R195" s="182">
        <v>5.0</v>
      </c>
      <c r="S195" s="182">
        <v>1.0</v>
      </c>
      <c r="T195" s="182">
        <v>8.0</v>
      </c>
      <c r="U195" s="182">
        <v>1.0</v>
      </c>
      <c r="V195" s="182">
        <v>1.0</v>
      </c>
      <c r="W195" s="182">
        <v>0.0</v>
      </c>
      <c r="X195" s="182">
        <v>8.0</v>
      </c>
      <c r="Y195" s="182">
        <v>1.0</v>
      </c>
      <c r="Z195" s="182">
        <v>5.0</v>
      </c>
      <c r="AA195" s="182">
        <v>7.0</v>
      </c>
      <c r="AB195" s="182" t="s">
        <v>743</v>
      </c>
      <c r="AC195" s="182" t="s">
        <v>1086</v>
      </c>
      <c r="AD195" s="182" t="s">
        <v>1092</v>
      </c>
      <c r="AE195" s="182" t="s">
        <v>1093</v>
      </c>
      <c r="AF195" s="182" t="s">
        <v>782</v>
      </c>
      <c r="AG195" s="182" t="s">
        <v>1094</v>
      </c>
      <c r="AH195" s="182">
        <v>309.0</v>
      </c>
    </row>
    <row r="196">
      <c r="A196" s="182">
        <v>209512.0</v>
      </c>
      <c r="B196" s="182">
        <v>92184.0</v>
      </c>
      <c r="C196" s="182" t="s">
        <v>1032</v>
      </c>
      <c r="D196" s="182" t="s">
        <v>40</v>
      </c>
      <c r="E196" s="182">
        <v>14291.0</v>
      </c>
      <c r="F196" s="182" t="s">
        <v>183</v>
      </c>
      <c r="G196" s="182">
        <v>1045.0</v>
      </c>
      <c r="H196" s="182" t="s">
        <v>1090</v>
      </c>
      <c r="I196" s="182">
        <v>1.0</v>
      </c>
      <c r="J196" s="182">
        <v>13.0</v>
      </c>
      <c r="K196" s="182">
        <v>9.0</v>
      </c>
      <c r="L196" s="182">
        <v>5.0</v>
      </c>
      <c r="M196" s="182">
        <v>7.0</v>
      </c>
      <c r="N196" s="182">
        <v>2.0</v>
      </c>
      <c r="O196" s="182">
        <v>1.0</v>
      </c>
      <c r="P196" s="182">
        <v>1.0</v>
      </c>
      <c r="Q196" s="182">
        <v>5.0</v>
      </c>
      <c r="R196" s="182">
        <v>7.0</v>
      </c>
      <c r="S196" s="182">
        <v>8.0</v>
      </c>
      <c r="T196" s="182">
        <v>2.0</v>
      </c>
      <c r="U196" s="182">
        <v>0.0</v>
      </c>
      <c r="V196" s="182">
        <v>0.0</v>
      </c>
      <c r="W196" s="182">
        <v>0.0</v>
      </c>
      <c r="X196" s="182">
        <v>2.0</v>
      </c>
      <c r="Y196" s="182">
        <v>8.0</v>
      </c>
      <c r="Z196" s="182">
        <v>7.0</v>
      </c>
      <c r="AA196" s="182">
        <v>5.0</v>
      </c>
      <c r="AB196" s="182" t="s">
        <v>743</v>
      </c>
      <c r="AC196" s="182" t="s">
        <v>1086</v>
      </c>
      <c r="AD196" s="182" t="s">
        <v>851</v>
      </c>
      <c r="AE196" s="182" t="s">
        <v>1095</v>
      </c>
      <c r="AF196" s="182" t="s">
        <v>1040</v>
      </c>
      <c r="AG196" s="182" t="s">
        <v>1096</v>
      </c>
      <c r="AH196" s="182">
        <v>309.0</v>
      </c>
    </row>
    <row r="197">
      <c r="A197" s="182">
        <v>208380.0</v>
      </c>
      <c r="B197" s="182">
        <v>91775.0</v>
      </c>
      <c r="C197" s="182" t="s">
        <v>944</v>
      </c>
      <c r="D197" s="182" t="s">
        <v>43</v>
      </c>
      <c r="E197" s="182">
        <v>4878.0</v>
      </c>
      <c r="F197" s="182" t="s">
        <v>480</v>
      </c>
      <c r="G197" s="182">
        <v>18501.0</v>
      </c>
      <c r="H197" s="182" t="s">
        <v>188</v>
      </c>
      <c r="I197" s="182">
        <v>2.0</v>
      </c>
      <c r="J197" s="182">
        <v>8.0</v>
      </c>
      <c r="K197" s="182">
        <v>13.0</v>
      </c>
      <c r="L197" s="182">
        <v>6.0</v>
      </c>
      <c r="M197" s="182">
        <v>6.0</v>
      </c>
      <c r="N197" s="182">
        <v>1.0</v>
      </c>
      <c r="O197" s="182">
        <v>0.0</v>
      </c>
      <c r="P197" s="182">
        <v>1.0</v>
      </c>
      <c r="Q197" s="182">
        <v>2.0</v>
      </c>
      <c r="R197" s="182">
        <v>7.0</v>
      </c>
      <c r="S197" s="182">
        <v>6.0</v>
      </c>
      <c r="T197" s="182">
        <v>6.0</v>
      </c>
      <c r="U197" s="182">
        <v>1.0</v>
      </c>
      <c r="V197" s="182">
        <v>0.0</v>
      </c>
      <c r="W197" s="182">
        <v>1.0</v>
      </c>
      <c r="X197" s="182">
        <v>6.0</v>
      </c>
      <c r="Y197" s="182">
        <v>6.0</v>
      </c>
      <c r="Z197" s="182">
        <v>7.0</v>
      </c>
      <c r="AA197" s="182">
        <v>2.0</v>
      </c>
      <c r="AB197" s="182" t="s">
        <v>743</v>
      </c>
      <c r="AC197" s="182" t="s">
        <v>1086</v>
      </c>
      <c r="AD197" s="182" t="s">
        <v>1097</v>
      </c>
      <c r="AE197" s="182" t="s">
        <v>1098</v>
      </c>
      <c r="AF197" s="182" t="s">
        <v>1099</v>
      </c>
      <c r="AG197" s="182" t="s">
        <v>1100</v>
      </c>
      <c r="AH197" s="182">
        <v>309.0</v>
      </c>
    </row>
    <row r="198">
      <c r="A198" s="182">
        <v>208379.0</v>
      </c>
      <c r="B198" s="182">
        <v>91775.0</v>
      </c>
      <c r="C198" s="182" t="s">
        <v>944</v>
      </c>
      <c r="D198" s="182" t="s">
        <v>40</v>
      </c>
      <c r="E198" s="182">
        <v>4878.0</v>
      </c>
      <c r="F198" s="182" t="s">
        <v>480</v>
      </c>
      <c r="G198" s="182">
        <v>18501.0</v>
      </c>
      <c r="H198" s="182" t="s">
        <v>188</v>
      </c>
      <c r="I198" s="182">
        <v>2.0</v>
      </c>
      <c r="J198" s="182">
        <v>3.0</v>
      </c>
      <c r="K198" s="182">
        <v>13.0</v>
      </c>
      <c r="L198" s="182">
        <v>2.0</v>
      </c>
      <c r="M198" s="182">
        <v>10.0</v>
      </c>
      <c r="N198" s="182">
        <v>1.0</v>
      </c>
      <c r="O198" s="182">
        <v>0.0</v>
      </c>
      <c r="P198" s="182">
        <v>1.0</v>
      </c>
      <c r="Q198" s="182">
        <v>1.0</v>
      </c>
      <c r="R198" s="182">
        <v>3.0</v>
      </c>
      <c r="S198" s="182">
        <v>2.0</v>
      </c>
      <c r="T198" s="182">
        <v>10.0</v>
      </c>
      <c r="U198" s="182">
        <v>1.0</v>
      </c>
      <c r="V198" s="182">
        <v>0.0</v>
      </c>
      <c r="W198" s="182">
        <v>1.0</v>
      </c>
      <c r="X198" s="182">
        <v>10.0</v>
      </c>
      <c r="Y198" s="182">
        <v>2.0</v>
      </c>
      <c r="Z198" s="182">
        <v>3.0</v>
      </c>
      <c r="AA198" s="182">
        <v>1.0</v>
      </c>
      <c r="AB198" s="182" t="s">
        <v>743</v>
      </c>
      <c r="AC198" s="182" t="s">
        <v>1086</v>
      </c>
      <c r="AD198" s="182" t="s">
        <v>1101</v>
      </c>
      <c r="AE198" s="182" t="s">
        <v>804</v>
      </c>
      <c r="AF198" s="182" t="s">
        <v>1102</v>
      </c>
      <c r="AG198" s="182" t="s">
        <v>777</v>
      </c>
      <c r="AH198" s="182">
        <v>309.0</v>
      </c>
    </row>
    <row r="199">
      <c r="A199" s="182">
        <v>209342.0</v>
      </c>
      <c r="B199" s="182">
        <v>92122.0</v>
      </c>
      <c r="C199" s="182" t="s">
        <v>984</v>
      </c>
      <c r="D199" s="182" t="s">
        <v>227</v>
      </c>
      <c r="E199" s="182">
        <v>539.0</v>
      </c>
      <c r="F199" s="182" t="s">
        <v>179</v>
      </c>
      <c r="G199" s="182">
        <v>17869.0</v>
      </c>
      <c r="H199" s="182" t="s">
        <v>190</v>
      </c>
      <c r="I199" s="182">
        <v>2.0</v>
      </c>
      <c r="J199" s="182">
        <v>13.0</v>
      </c>
      <c r="K199" s="182">
        <v>8.0</v>
      </c>
      <c r="L199" s="182">
        <v>9.0</v>
      </c>
      <c r="M199" s="182">
        <v>3.0</v>
      </c>
      <c r="N199" s="182">
        <v>1.0</v>
      </c>
      <c r="O199" s="182">
        <v>0.0</v>
      </c>
      <c r="P199" s="182">
        <v>1.0</v>
      </c>
      <c r="Q199" s="182">
        <v>4.0</v>
      </c>
      <c r="R199" s="182">
        <v>5.0</v>
      </c>
      <c r="S199" s="182">
        <v>9.0</v>
      </c>
      <c r="T199" s="182">
        <v>3.0</v>
      </c>
      <c r="U199" s="182">
        <v>1.0</v>
      </c>
      <c r="V199" s="182">
        <v>0.0</v>
      </c>
      <c r="W199" s="182">
        <v>1.0</v>
      </c>
      <c r="X199" s="182">
        <v>3.0</v>
      </c>
      <c r="Y199" s="182">
        <v>9.0</v>
      </c>
      <c r="Z199" s="182">
        <v>5.0</v>
      </c>
      <c r="AA199" s="182">
        <v>4.0</v>
      </c>
      <c r="AB199" s="182" t="s">
        <v>743</v>
      </c>
      <c r="AC199" s="182" t="s">
        <v>1086</v>
      </c>
      <c r="AD199" s="182" t="s">
        <v>811</v>
      </c>
      <c r="AE199" s="182" t="s">
        <v>916</v>
      </c>
      <c r="AF199" s="182" t="s">
        <v>813</v>
      </c>
      <c r="AG199" s="182" t="s">
        <v>748</v>
      </c>
      <c r="AH199" s="182">
        <v>309.0</v>
      </c>
    </row>
    <row r="200">
      <c r="A200" s="182">
        <v>207559.0</v>
      </c>
      <c r="B200" s="182">
        <v>91447.0</v>
      </c>
      <c r="C200" s="182" t="s">
        <v>998</v>
      </c>
      <c r="D200" s="182" t="s">
        <v>227</v>
      </c>
      <c r="E200" s="182">
        <v>13355.0</v>
      </c>
      <c r="F200" s="182" t="s">
        <v>1103</v>
      </c>
      <c r="G200" s="182">
        <v>17813.0</v>
      </c>
      <c r="H200" s="182" t="s">
        <v>182</v>
      </c>
      <c r="I200" s="182">
        <v>1.0</v>
      </c>
      <c r="J200" s="182">
        <v>3.0</v>
      </c>
      <c r="K200" s="182">
        <v>13.0</v>
      </c>
      <c r="L200" s="182">
        <v>1.0</v>
      </c>
      <c r="M200" s="182">
        <v>11.0</v>
      </c>
      <c r="N200" s="182">
        <v>1.0</v>
      </c>
      <c r="O200" s="182">
        <v>0.0</v>
      </c>
      <c r="P200" s="182">
        <v>1.0</v>
      </c>
      <c r="Q200" s="182">
        <v>1.0</v>
      </c>
      <c r="R200" s="182">
        <v>11.0</v>
      </c>
      <c r="S200" s="182">
        <v>2.0</v>
      </c>
      <c r="T200" s="182">
        <v>2.0</v>
      </c>
      <c r="U200" s="182">
        <v>1.0</v>
      </c>
      <c r="V200" s="182">
        <v>0.0</v>
      </c>
      <c r="W200" s="182">
        <v>1.0</v>
      </c>
      <c r="X200" s="182">
        <v>2.0</v>
      </c>
      <c r="Y200" s="182">
        <v>2.0</v>
      </c>
      <c r="Z200" s="182">
        <v>11.0</v>
      </c>
      <c r="AA200" s="182">
        <v>1.0</v>
      </c>
      <c r="AB200" s="182" t="s">
        <v>743</v>
      </c>
      <c r="AC200" s="182" t="s">
        <v>1104</v>
      </c>
      <c r="AD200" s="182" t="s">
        <v>1105</v>
      </c>
      <c r="AE200" s="182" t="s">
        <v>746</v>
      </c>
      <c r="AF200" s="182" t="s">
        <v>747</v>
      </c>
      <c r="AG200" s="182" t="s">
        <v>748</v>
      </c>
      <c r="AH200" s="182">
        <v>309.0</v>
      </c>
    </row>
    <row r="201">
      <c r="A201" s="182">
        <v>207558.0</v>
      </c>
      <c r="B201" s="182">
        <v>91447.0</v>
      </c>
      <c r="C201" s="182" t="s">
        <v>998</v>
      </c>
      <c r="D201" s="182" t="s">
        <v>40</v>
      </c>
      <c r="E201" s="182">
        <v>13355.0</v>
      </c>
      <c r="F201" s="182" t="s">
        <v>1103</v>
      </c>
      <c r="G201" s="182">
        <v>17813.0</v>
      </c>
      <c r="H201" s="182" t="s">
        <v>182</v>
      </c>
      <c r="I201" s="182">
        <v>1.0</v>
      </c>
      <c r="J201" s="182">
        <v>4.0</v>
      </c>
      <c r="K201" s="182">
        <v>13.0</v>
      </c>
      <c r="L201" s="182">
        <v>2.0</v>
      </c>
      <c r="M201" s="182">
        <v>10.0</v>
      </c>
      <c r="N201" s="182">
        <v>2.0</v>
      </c>
      <c r="O201" s="182">
        <v>1.0</v>
      </c>
      <c r="P201" s="182">
        <v>1.0</v>
      </c>
      <c r="Q201" s="182">
        <v>2.0</v>
      </c>
      <c r="R201" s="182">
        <v>10.0</v>
      </c>
      <c r="S201" s="182">
        <v>2.0</v>
      </c>
      <c r="T201" s="182">
        <v>3.0</v>
      </c>
      <c r="U201" s="182">
        <v>0.0</v>
      </c>
      <c r="V201" s="182">
        <v>0.0</v>
      </c>
      <c r="W201" s="182">
        <v>0.0</v>
      </c>
      <c r="X201" s="182">
        <v>3.0</v>
      </c>
      <c r="Y201" s="182">
        <v>2.0</v>
      </c>
      <c r="Z201" s="182">
        <v>10.0</v>
      </c>
      <c r="AA201" s="182">
        <v>2.0</v>
      </c>
      <c r="AB201" s="182" t="s">
        <v>743</v>
      </c>
      <c r="AC201" s="182" t="s">
        <v>1104</v>
      </c>
      <c r="AD201" s="182" t="s">
        <v>1106</v>
      </c>
      <c r="AE201" s="182" t="s">
        <v>769</v>
      </c>
      <c r="AF201" s="182" t="s">
        <v>793</v>
      </c>
      <c r="AG201" s="182" t="s">
        <v>771</v>
      </c>
      <c r="AH201" s="182">
        <v>309.0</v>
      </c>
    </row>
    <row r="202">
      <c r="A202" s="182">
        <v>207530.0</v>
      </c>
      <c r="B202" s="182">
        <v>91437.0</v>
      </c>
      <c r="C202" s="182" t="s">
        <v>998</v>
      </c>
      <c r="D202" s="182" t="s">
        <v>227</v>
      </c>
      <c r="E202" s="182">
        <v>17807.0</v>
      </c>
      <c r="F202" s="182" t="s">
        <v>187</v>
      </c>
      <c r="G202" s="182">
        <v>360.0</v>
      </c>
      <c r="H202" s="182" t="s">
        <v>448</v>
      </c>
      <c r="I202" s="182">
        <v>1.0</v>
      </c>
      <c r="J202" s="182">
        <v>14.0</v>
      </c>
      <c r="K202" s="182">
        <v>12.0</v>
      </c>
      <c r="L202" s="182">
        <v>5.0</v>
      </c>
      <c r="M202" s="182">
        <v>7.0</v>
      </c>
      <c r="N202" s="182">
        <v>1.0</v>
      </c>
      <c r="O202" s="182">
        <v>1.0</v>
      </c>
      <c r="P202" s="182">
        <v>0.0</v>
      </c>
      <c r="Q202" s="182">
        <v>6.0</v>
      </c>
      <c r="R202" s="182">
        <v>7.0</v>
      </c>
      <c r="S202" s="182">
        <v>8.0</v>
      </c>
      <c r="T202" s="182">
        <v>5.0</v>
      </c>
      <c r="U202" s="182">
        <v>1.0</v>
      </c>
      <c r="V202" s="182">
        <v>1.0</v>
      </c>
      <c r="W202" s="182">
        <v>0.0</v>
      </c>
      <c r="X202" s="182">
        <v>5.0</v>
      </c>
      <c r="Y202" s="182">
        <v>8.0</v>
      </c>
      <c r="Z202" s="182">
        <v>7.0</v>
      </c>
      <c r="AA202" s="182">
        <v>6.0</v>
      </c>
      <c r="AB202" s="182" t="s">
        <v>743</v>
      </c>
      <c r="AC202" s="182" t="s">
        <v>1107</v>
      </c>
      <c r="AD202" s="182" t="s">
        <v>745</v>
      </c>
      <c r="AE202" s="182" t="s">
        <v>1108</v>
      </c>
      <c r="AF202" s="182" t="s">
        <v>747</v>
      </c>
      <c r="AG202" s="182" t="s">
        <v>813</v>
      </c>
      <c r="AH202" s="182">
        <v>309.0</v>
      </c>
    </row>
    <row r="203">
      <c r="A203" s="182">
        <v>207529.0</v>
      </c>
      <c r="B203" s="182">
        <v>91437.0</v>
      </c>
      <c r="C203" s="182" t="s">
        <v>998</v>
      </c>
      <c r="D203" s="182" t="s">
        <v>40</v>
      </c>
      <c r="E203" s="182">
        <v>17807.0</v>
      </c>
      <c r="F203" s="182" t="s">
        <v>187</v>
      </c>
      <c r="G203" s="182">
        <v>360.0</v>
      </c>
      <c r="H203" s="182" t="s">
        <v>448</v>
      </c>
      <c r="I203" s="182">
        <v>2.0</v>
      </c>
      <c r="J203" s="182">
        <v>13.0</v>
      </c>
      <c r="K203" s="182">
        <v>11.0</v>
      </c>
      <c r="L203" s="182">
        <v>6.0</v>
      </c>
      <c r="M203" s="182">
        <v>6.0</v>
      </c>
      <c r="N203" s="182">
        <v>1.0</v>
      </c>
      <c r="O203" s="182">
        <v>0.0</v>
      </c>
      <c r="P203" s="182">
        <v>1.0</v>
      </c>
      <c r="Q203" s="182">
        <v>7.0</v>
      </c>
      <c r="R203" s="182">
        <v>5.0</v>
      </c>
      <c r="S203" s="182">
        <v>6.0</v>
      </c>
      <c r="T203" s="182">
        <v>6.0</v>
      </c>
      <c r="U203" s="182">
        <v>1.0</v>
      </c>
      <c r="V203" s="182">
        <v>0.0</v>
      </c>
      <c r="W203" s="182">
        <v>1.0</v>
      </c>
      <c r="X203" s="182">
        <v>6.0</v>
      </c>
      <c r="Y203" s="182">
        <v>6.0</v>
      </c>
      <c r="Z203" s="182">
        <v>5.0</v>
      </c>
      <c r="AA203" s="182">
        <v>7.0</v>
      </c>
      <c r="AB203" s="182" t="s">
        <v>743</v>
      </c>
      <c r="AC203" s="182" t="s">
        <v>1107</v>
      </c>
      <c r="AD203" s="182" t="s">
        <v>768</v>
      </c>
      <c r="AE203" s="182" t="s">
        <v>880</v>
      </c>
      <c r="AF203" s="182" t="s">
        <v>770</v>
      </c>
      <c r="AG203" s="182" t="s">
        <v>751</v>
      </c>
      <c r="AH203" s="182">
        <v>309.0</v>
      </c>
    </row>
    <row r="204">
      <c r="A204" s="182">
        <v>207528.0</v>
      </c>
      <c r="B204" s="182">
        <v>91437.0</v>
      </c>
      <c r="C204" s="182" t="s">
        <v>998</v>
      </c>
      <c r="D204" s="182" t="s">
        <v>34</v>
      </c>
      <c r="E204" s="182">
        <v>17807.0</v>
      </c>
      <c r="F204" s="182" t="s">
        <v>187</v>
      </c>
      <c r="G204" s="182">
        <v>360.0</v>
      </c>
      <c r="H204" s="182" t="s">
        <v>448</v>
      </c>
      <c r="I204" s="182">
        <v>1.0</v>
      </c>
      <c r="J204" s="182">
        <v>12.0</v>
      </c>
      <c r="K204" s="182">
        <v>14.0</v>
      </c>
      <c r="L204" s="182">
        <v>5.0</v>
      </c>
      <c r="M204" s="182">
        <v>7.0</v>
      </c>
      <c r="N204" s="182">
        <v>0.0</v>
      </c>
      <c r="O204" s="182">
        <v>0.0</v>
      </c>
      <c r="P204" s="182">
        <v>0.0</v>
      </c>
      <c r="Q204" s="182">
        <v>5.0</v>
      </c>
      <c r="R204" s="182">
        <v>8.0</v>
      </c>
      <c r="S204" s="182">
        <v>7.0</v>
      </c>
      <c r="T204" s="182">
        <v>6.0</v>
      </c>
      <c r="U204" s="182">
        <v>2.0</v>
      </c>
      <c r="V204" s="182">
        <v>1.0</v>
      </c>
      <c r="W204" s="182">
        <v>1.0</v>
      </c>
      <c r="X204" s="182">
        <v>6.0</v>
      </c>
      <c r="Y204" s="182">
        <v>7.0</v>
      </c>
      <c r="Z204" s="182">
        <v>8.0</v>
      </c>
      <c r="AA204" s="182">
        <v>5.0</v>
      </c>
      <c r="AB204" s="182" t="s">
        <v>743</v>
      </c>
      <c r="AC204" s="182" t="s">
        <v>1107</v>
      </c>
      <c r="AD204" s="182" t="s">
        <v>753</v>
      </c>
      <c r="AE204" s="182" t="s">
        <v>1109</v>
      </c>
      <c r="AF204" s="182" t="s">
        <v>755</v>
      </c>
      <c r="AG204" s="182" t="s">
        <v>1110</v>
      </c>
      <c r="AH204" s="182">
        <v>309.0</v>
      </c>
    </row>
    <row r="205">
      <c r="A205" s="182">
        <v>209340.0</v>
      </c>
      <c r="B205" s="182">
        <v>92121.0</v>
      </c>
      <c r="C205" s="182" t="s">
        <v>1111</v>
      </c>
      <c r="D205" s="182" t="s">
        <v>40</v>
      </c>
      <c r="E205" s="182">
        <v>14607.0</v>
      </c>
      <c r="F205" s="182" t="s">
        <v>450</v>
      </c>
      <c r="G205" s="182">
        <v>17869.0</v>
      </c>
      <c r="H205" s="182" t="s">
        <v>190</v>
      </c>
      <c r="I205" s="182">
        <v>2.0</v>
      </c>
      <c r="J205" s="182">
        <v>13.0</v>
      </c>
      <c r="K205" s="182">
        <v>11.0</v>
      </c>
      <c r="L205" s="182">
        <v>5.0</v>
      </c>
      <c r="M205" s="182">
        <v>7.0</v>
      </c>
      <c r="N205" s="182">
        <v>1.0</v>
      </c>
      <c r="O205" s="182">
        <v>1.0</v>
      </c>
      <c r="P205" s="182">
        <v>0.0</v>
      </c>
      <c r="Q205" s="182">
        <v>8.0</v>
      </c>
      <c r="R205" s="182">
        <v>4.0</v>
      </c>
      <c r="S205" s="182">
        <v>5.0</v>
      </c>
      <c r="T205" s="182">
        <v>7.0</v>
      </c>
      <c r="U205" s="182">
        <v>1.0</v>
      </c>
      <c r="V205" s="182">
        <v>1.0</v>
      </c>
      <c r="W205" s="182">
        <v>0.0</v>
      </c>
      <c r="X205" s="182">
        <v>7.0</v>
      </c>
      <c r="Y205" s="182">
        <v>5.0</v>
      </c>
      <c r="Z205" s="182">
        <v>4.0</v>
      </c>
      <c r="AA205" s="182">
        <v>8.0</v>
      </c>
      <c r="AB205" s="182" t="s">
        <v>743</v>
      </c>
      <c r="AC205" s="182" t="s">
        <v>1112</v>
      </c>
      <c r="AD205" s="182" t="s">
        <v>1113</v>
      </c>
      <c r="AE205" s="182" t="s">
        <v>1114</v>
      </c>
      <c r="AF205" s="182" t="s">
        <v>1115</v>
      </c>
      <c r="AG205" s="182" t="s">
        <v>1004</v>
      </c>
      <c r="AH205" s="182">
        <v>309.0</v>
      </c>
    </row>
    <row r="206">
      <c r="A206" s="182">
        <v>209339.0</v>
      </c>
      <c r="B206" s="182">
        <v>92121.0</v>
      </c>
      <c r="C206" s="182" t="s">
        <v>1111</v>
      </c>
      <c r="D206" s="182" t="s">
        <v>45</v>
      </c>
      <c r="E206" s="182">
        <v>14607.0</v>
      </c>
      <c r="F206" s="182" t="s">
        <v>450</v>
      </c>
      <c r="G206" s="182">
        <v>17869.0</v>
      </c>
      <c r="H206" s="182" t="s">
        <v>190</v>
      </c>
      <c r="I206" s="182">
        <v>2.0</v>
      </c>
      <c r="J206" s="182">
        <v>13.0</v>
      </c>
      <c r="K206" s="182">
        <v>11.0</v>
      </c>
      <c r="L206" s="182">
        <v>10.0</v>
      </c>
      <c r="M206" s="182">
        <v>2.0</v>
      </c>
      <c r="N206" s="182">
        <v>2.0</v>
      </c>
      <c r="O206" s="182">
        <v>1.0</v>
      </c>
      <c r="P206" s="182">
        <v>1.0</v>
      </c>
      <c r="Q206" s="182">
        <v>3.0</v>
      </c>
      <c r="R206" s="182">
        <v>9.0</v>
      </c>
      <c r="S206" s="182">
        <v>10.0</v>
      </c>
      <c r="T206" s="182">
        <v>2.0</v>
      </c>
      <c r="U206" s="182">
        <v>0.0</v>
      </c>
      <c r="V206" s="182">
        <v>0.0</v>
      </c>
      <c r="W206" s="182">
        <v>0.0</v>
      </c>
      <c r="X206" s="182">
        <v>2.0</v>
      </c>
      <c r="Y206" s="182">
        <v>10.0</v>
      </c>
      <c r="Z206" s="182">
        <v>9.0</v>
      </c>
      <c r="AA206" s="182">
        <v>3.0</v>
      </c>
      <c r="AB206" s="182" t="s">
        <v>743</v>
      </c>
      <c r="AC206" s="182" t="s">
        <v>1112</v>
      </c>
      <c r="AD206" s="182" t="s">
        <v>1116</v>
      </c>
      <c r="AE206" s="182" t="s">
        <v>1117</v>
      </c>
      <c r="AF206" s="182" t="s">
        <v>1118</v>
      </c>
      <c r="AG206" s="182" t="s">
        <v>912</v>
      </c>
      <c r="AH206" s="182">
        <v>309.0</v>
      </c>
    </row>
    <row r="207">
      <c r="A207" s="182">
        <v>209298.0</v>
      </c>
      <c r="B207" s="182">
        <v>92096.0</v>
      </c>
      <c r="C207" s="182" t="s">
        <v>1111</v>
      </c>
      <c r="D207" s="182" t="s">
        <v>38</v>
      </c>
      <c r="E207" s="182">
        <v>17869.0</v>
      </c>
      <c r="F207" s="182" t="s">
        <v>190</v>
      </c>
      <c r="G207" s="182">
        <v>17873.0</v>
      </c>
      <c r="H207" s="182" t="s">
        <v>452</v>
      </c>
      <c r="I207" s="182">
        <v>1.0</v>
      </c>
      <c r="J207" s="182">
        <v>13.0</v>
      </c>
      <c r="K207" s="182">
        <v>7.0</v>
      </c>
      <c r="L207" s="182">
        <v>11.0</v>
      </c>
      <c r="M207" s="182">
        <v>1.0</v>
      </c>
      <c r="N207" s="182">
        <v>1.0</v>
      </c>
      <c r="O207" s="182">
        <v>1.0</v>
      </c>
      <c r="P207" s="182">
        <v>0.0</v>
      </c>
      <c r="Q207" s="182">
        <v>11.0</v>
      </c>
      <c r="R207" s="182">
        <v>1.0</v>
      </c>
      <c r="S207" s="182">
        <v>2.0</v>
      </c>
      <c r="T207" s="182">
        <v>6.0</v>
      </c>
      <c r="U207" s="182">
        <v>1.0</v>
      </c>
      <c r="V207" s="182">
        <v>1.0</v>
      </c>
      <c r="W207" s="182">
        <v>0.0</v>
      </c>
      <c r="X207" s="182">
        <v>6.0</v>
      </c>
      <c r="Y207" s="182">
        <v>2.0</v>
      </c>
      <c r="Z207" s="182">
        <v>1.0</v>
      </c>
      <c r="AA207" s="182">
        <v>11.0</v>
      </c>
      <c r="AB207" s="182" t="s">
        <v>743</v>
      </c>
      <c r="AC207" s="182" t="s">
        <v>1112</v>
      </c>
      <c r="AD207" s="182" t="s">
        <v>1119</v>
      </c>
      <c r="AE207" s="182" t="s">
        <v>1120</v>
      </c>
      <c r="AF207" s="182" t="s">
        <v>1121</v>
      </c>
      <c r="AG207" s="182" t="s">
        <v>1122</v>
      </c>
      <c r="AH207" s="182">
        <v>309.0</v>
      </c>
    </row>
    <row r="208">
      <c r="A208" s="182">
        <v>209297.0</v>
      </c>
      <c r="B208" s="182">
        <v>92096.0</v>
      </c>
      <c r="C208" s="182" t="s">
        <v>1111</v>
      </c>
      <c r="D208" s="182" t="s">
        <v>45</v>
      </c>
      <c r="E208" s="182">
        <v>17869.0</v>
      </c>
      <c r="F208" s="182" t="s">
        <v>190</v>
      </c>
      <c r="G208" s="182">
        <v>17873.0</v>
      </c>
      <c r="H208" s="182" t="s">
        <v>452</v>
      </c>
      <c r="I208" s="182">
        <v>1.0</v>
      </c>
      <c r="J208" s="182">
        <v>13.0</v>
      </c>
      <c r="K208" s="182">
        <v>5.0</v>
      </c>
      <c r="L208" s="182">
        <v>8.0</v>
      </c>
      <c r="M208" s="182">
        <v>4.0</v>
      </c>
      <c r="N208" s="182">
        <v>2.0</v>
      </c>
      <c r="O208" s="182">
        <v>1.0</v>
      </c>
      <c r="P208" s="182">
        <v>1.0</v>
      </c>
      <c r="Q208" s="182">
        <v>8.0</v>
      </c>
      <c r="R208" s="182">
        <v>4.0</v>
      </c>
      <c r="S208" s="182">
        <v>5.0</v>
      </c>
      <c r="T208" s="182">
        <v>1.0</v>
      </c>
      <c r="U208" s="182">
        <v>0.0</v>
      </c>
      <c r="V208" s="182">
        <v>0.0</v>
      </c>
      <c r="W208" s="182">
        <v>0.0</v>
      </c>
      <c r="X208" s="182">
        <v>1.0</v>
      </c>
      <c r="Y208" s="182">
        <v>5.0</v>
      </c>
      <c r="Z208" s="182">
        <v>4.0</v>
      </c>
      <c r="AA208" s="182">
        <v>8.0</v>
      </c>
      <c r="AB208" s="182" t="s">
        <v>743</v>
      </c>
      <c r="AC208" s="182" t="s">
        <v>1112</v>
      </c>
      <c r="AD208" s="182" t="s">
        <v>1117</v>
      </c>
      <c r="AE208" s="182" t="s">
        <v>1123</v>
      </c>
      <c r="AF208" s="182" t="s">
        <v>912</v>
      </c>
      <c r="AG208" s="182" t="s">
        <v>912</v>
      </c>
      <c r="AH208" s="182">
        <v>309.0</v>
      </c>
    </row>
    <row r="209">
      <c r="A209" s="182">
        <v>209296.0</v>
      </c>
      <c r="B209" s="182">
        <v>92096.0</v>
      </c>
      <c r="C209" s="182" t="s">
        <v>1111</v>
      </c>
      <c r="D209" s="182" t="s">
        <v>40</v>
      </c>
      <c r="E209" s="182">
        <v>17869.0</v>
      </c>
      <c r="F209" s="182" t="s">
        <v>190</v>
      </c>
      <c r="G209" s="182">
        <v>17873.0</v>
      </c>
      <c r="H209" s="182" t="s">
        <v>452</v>
      </c>
      <c r="I209" s="182">
        <v>1.0</v>
      </c>
      <c r="J209" s="182">
        <v>11.0</v>
      </c>
      <c r="K209" s="182">
        <v>13.0</v>
      </c>
      <c r="L209" s="182">
        <v>6.0</v>
      </c>
      <c r="M209" s="182">
        <v>6.0</v>
      </c>
      <c r="N209" s="182">
        <v>1.0</v>
      </c>
      <c r="O209" s="182">
        <v>1.0</v>
      </c>
      <c r="P209" s="182">
        <v>0.0</v>
      </c>
      <c r="Q209" s="182">
        <v>6.0</v>
      </c>
      <c r="R209" s="182">
        <v>6.0</v>
      </c>
      <c r="S209" s="182">
        <v>5.0</v>
      </c>
      <c r="T209" s="182">
        <v>7.0</v>
      </c>
      <c r="U209" s="182">
        <v>1.0</v>
      </c>
      <c r="V209" s="182">
        <v>1.0</v>
      </c>
      <c r="W209" s="182">
        <v>0.0</v>
      </c>
      <c r="X209" s="182">
        <v>7.0</v>
      </c>
      <c r="Y209" s="182">
        <v>5.0</v>
      </c>
      <c r="Z209" s="182">
        <v>6.0</v>
      </c>
      <c r="AA209" s="182">
        <v>6.0</v>
      </c>
      <c r="AB209" s="182" t="s">
        <v>743</v>
      </c>
      <c r="AC209" s="182" t="s">
        <v>1112</v>
      </c>
      <c r="AD209" s="182" t="s">
        <v>1124</v>
      </c>
      <c r="AE209" s="182" t="s">
        <v>1125</v>
      </c>
      <c r="AF209" s="182" t="s">
        <v>807</v>
      </c>
      <c r="AG209" s="182" t="s">
        <v>862</v>
      </c>
      <c r="AH209" s="182">
        <v>309.0</v>
      </c>
    </row>
    <row r="210">
      <c r="A210" s="182">
        <v>208378.0</v>
      </c>
      <c r="B210" s="182">
        <v>91774.0</v>
      </c>
      <c r="C210" s="182" t="s">
        <v>944</v>
      </c>
      <c r="D210" s="182" t="s">
        <v>38</v>
      </c>
      <c r="E210" s="182">
        <v>18501.0</v>
      </c>
      <c r="F210" s="182" t="s">
        <v>188</v>
      </c>
      <c r="G210" s="182">
        <v>76.0</v>
      </c>
      <c r="H210" s="182" t="s">
        <v>453</v>
      </c>
      <c r="I210" s="182">
        <v>1.0</v>
      </c>
      <c r="J210" s="182">
        <v>13.0</v>
      </c>
      <c r="K210" s="182">
        <v>5.0</v>
      </c>
      <c r="L210" s="182">
        <v>9.0</v>
      </c>
      <c r="M210" s="182">
        <v>3.0</v>
      </c>
      <c r="N210" s="182">
        <v>1.0</v>
      </c>
      <c r="O210" s="182">
        <v>1.0</v>
      </c>
      <c r="P210" s="182">
        <v>0.0</v>
      </c>
      <c r="Q210" s="182">
        <v>9.0</v>
      </c>
      <c r="R210" s="182">
        <v>3.0</v>
      </c>
      <c r="S210" s="182">
        <v>4.0</v>
      </c>
      <c r="T210" s="182">
        <v>2.0</v>
      </c>
      <c r="U210" s="182">
        <v>1.0</v>
      </c>
      <c r="V210" s="182">
        <v>1.0</v>
      </c>
      <c r="W210" s="182">
        <v>0.0</v>
      </c>
      <c r="X210" s="182">
        <v>2.0</v>
      </c>
      <c r="Y210" s="182">
        <v>4.0</v>
      </c>
      <c r="Z210" s="182">
        <v>3.0</v>
      </c>
      <c r="AA210" s="182">
        <v>9.0</v>
      </c>
      <c r="AB210" s="182" t="s">
        <v>743</v>
      </c>
      <c r="AC210" s="182" t="s">
        <v>1126</v>
      </c>
      <c r="AD210" s="182" t="s">
        <v>809</v>
      </c>
      <c r="AE210" s="182" t="s">
        <v>1127</v>
      </c>
      <c r="AF210" s="182" t="s">
        <v>810</v>
      </c>
      <c r="AG210" s="182" t="s">
        <v>1128</v>
      </c>
      <c r="AH210" s="182">
        <v>309.0</v>
      </c>
    </row>
    <row r="211">
      <c r="A211" s="182">
        <v>209285.0</v>
      </c>
      <c r="B211" s="182">
        <v>92092.0</v>
      </c>
      <c r="C211" s="182" t="s">
        <v>1111</v>
      </c>
      <c r="D211" s="182" t="s">
        <v>40</v>
      </c>
      <c r="E211" s="182">
        <v>18392.0</v>
      </c>
      <c r="F211" s="182" t="s">
        <v>181</v>
      </c>
      <c r="G211" s="182">
        <v>15281.0</v>
      </c>
      <c r="H211" s="182" t="s">
        <v>425</v>
      </c>
      <c r="I211" s="182">
        <v>1.0</v>
      </c>
      <c r="J211" s="182">
        <v>13.0</v>
      </c>
      <c r="K211" s="182">
        <v>7.0</v>
      </c>
      <c r="L211" s="182">
        <v>10.0</v>
      </c>
      <c r="M211" s="182">
        <v>2.0</v>
      </c>
      <c r="N211" s="182">
        <v>1.0</v>
      </c>
      <c r="O211" s="182">
        <v>1.0</v>
      </c>
      <c r="P211" s="182">
        <v>0.0</v>
      </c>
      <c r="Q211" s="182">
        <v>10.0</v>
      </c>
      <c r="R211" s="182">
        <v>2.0</v>
      </c>
      <c r="S211" s="182">
        <v>3.0</v>
      </c>
      <c r="T211" s="182">
        <v>5.0</v>
      </c>
      <c r="U211" s="182">
        <v>1.0</v>
      </c>
      <c r="V211" s="182">
        <v>1.0</v>
      </c>
      <c r="W211" s="182">
        <v>0.0</v>
      </c>
      <c r="X211" s="182">
        <v>5.0</v>
      </c>
      <c r="Y211" s="182">
        <v>3.0</v>
      </c>
      <c r="Z211" s="182">
        <v>2.0</v>
      </c>
      <c r="AA211" s="182">
        <v>10.0</v>
      </c>
      <c r="AB211" s="182" t="s">
        <v>743</v>
      </c>
      <c r="AC211" s="182" t="s">
        <v>1126</v>
      </c>
      <c r="AD211" s="182" t="s">
        <v>907</v>
      </c>
      <c r="AE211" s="182" t="s">
        <v>988</v>
      </c>
      <c r="AF211" s="182" t="s">
        <v>793</v>
      </c>
      <c r="AG211" s="182" t="s">
        <v>771</v>
      </c>
      <c r="AH211" s="182">
        <v>309.0</v>
      </c>
    </row>
    <row r="212">
      <c r="A212" s="182">
        <v>208377.0</v>
      </c>
      <c r="B212" s="182">
        <v>91774.0</v>
      </c>
      <c r="C212" s="182" t="s">
        <v>944</v>
      </c>
      <c r="D212" s="182" t="s">
        <v>40</v>
      </c>
      <c r="E212" s="182">
        <v>18501.0</v>
      </c>
      <c r="F212" s="182" t="s">
        <v>188</v>
      </c>
      <c r="G212" s="182">
        <v>76.0</v>
      </c>
      <c r="H212" s="182" t="s">
        <v>453</v>
      </c>
      <c r="I212" s="182">
        <v>1.0</v>
      </c>
      <c r="J212" s="182">
        <v>11.0</v>
      </c>
      <c r="K212" s="182">
        <v>13.0</v>
      </c>
      <c r="L212" s="182">
        <v>6.0</v>
      </c>
      <c r="M212" s="182">
        <v>6.0</v>
      </c>
      <c r="N212" s="182">
        <v>1.0</v>
      </c>
      <c r="O212" s="182">
        <v>1.0</v>
      </c>
      <c r="P212" s="182">
        <v>0.0</v>
      </c>
      <c r="Q212" s="182">
        <v>6.0</v>
      </c>
      <c r="R212" s="182">
        <v>6.0</v>
      </c>
      <c r="S212" s="182">
        <v>5.0</v>
      </c>
      <c r="T212" s="182">
        <v>7.0</v>
      </c>
      <c r="U212" s="182">
        <v>1.0</v>
      </c>
      <c r="V212" s="182">
        <v>1.0</v>
      </c>
      <c r="W212" s="182">
        <v>0.0</v>
      </c>
      <c r="X212" s="182">
        <v>7.0</v>
      </c>
      <c r="Y212" s="182">
        <v>5.0</v>
      </c>
      <c r="Z212" s="182">
        <v>6.0</v>
      </c>
      <c r="AA212" s="182">
        <v>6.0</v>
      </c>
      <c r="AB212" s="182" t="s">
        <v>743</v>
      </c>
      <c r="AC212" s="182" t="s">
        <v>1126</v>
      </c>
      <c r="AD212" s="182" t="s">
        <v>804</v>
      </c>
      <c r="AE212" s="182" t="s">
        <v>1129</v>
      </c>
      <c r="AF212" s="182" t="s">
        <v>777</v>
      </c>
      <c r="AG212" s="182" t="s">
        <v>751</v>
      </c>
      <c r="AH212" s="182">
        <v>309.0</v>
      </c>
    </row>
    <row r="213">
      <c r="A213" s="182">
        <v>209279.0</v>
      </c>
      <c r="B213" s="182">
        <v>92090.0</v>
      </c>
      <c r="C213" s="182" t="s">
        <v>1014</v>
      </c>
      <c r="D213" s="182" t="s">
        <v>36</v>
      </c>
      <c r="E213" s="182">
        <v>9369.0</v>
      </c>
      <c r="F213" s="182" t="s">
        <v>232</v>
      </c>
      <c r="G213" s="182">
        <v>18979.0</v>
      </c>
      <c r="H213" s="182" t="s">
        <v>395</v>
      </c>
      <c r="I213" s="182">
        <v>2.0</v>
      </c>
      <c r="J213" s="182">
        <v>13.0</v>
      </c>
      <c r="K213" s="182">
        <v>6.0</v>
      </c>
      <c r="L213" s="182">
        <v>6.0</v>
      </c>
      <c r="M213" s="182">
        <v>6.0</v>
      </c>
      <c r="N213" s="182">
        <v>1.0</v>
      </c>
      <c r="O213" s="182">
        <v>1.0</v>
      </c>
      <c r="P213" s="182">
        <v>0.0</v>
      </c>
      <c r="Q213" s="182">
        <v>7.0</v>
      </c>
      <c r="R213" s="182">
        <v>0.0</v>
      </c>
      <c r="S213" s="182">
        <v>6.0</v>
      </c>
      <c r="T213" s="182">
        <v>6.0</v>
      </c>
      <c r="U213" s="182">
        <v>1.0</v>
      </c>
      <c r="V213" s="182">
        <v>1.0</v>
      </c>
      <c r="W213" s="182">
        <v>0.0</v>
      </c>
      <c r="X213" s="182">
        <v>6.0</v>
      </c>
      <c r="Y213" s="182">
        <v>6.0</v>
      </c>
      <c r="Z213" s="182">
        <v>0.0</v>
      </c>
      <c r="AA213" s="182">
        <v>7.0</v>
      </c>
      <c r="AB213" s="182" t="s">
        <v>743</v>
      </c>
      <c r="AC213" s="182" t="s">
        <v>1126</v>
      </c>
      <c r="AD213" s="182" t="s">
        <v>1087</v>
      </c>
      <c r="AE213" s="182" t="s">
        <v>908</v>
      </c>
      <c r="AF213" s="182" t="s">
        <v>842</v>
      </c>
      <c r="AG213" s="182" t="s">
        <v>1130</v>
      </c>
      <c r="AH213" s="182">
        <v>309.0</v>
      </c>
    </row>
    <row r="214">
      <c r="A214" s="182">
        <v>209284.0</v>
      </c>
      <c r="B214" s="182">
        <v>92092.0</v>
      </c>
      <c r="C214" s="182" t="s">
        <v>1111</v>
      </c>
      <c r="D214" s="182" t="s">
        <v>38</v>
      </c>
      <c r="E214" s="182">
        <v>18392.0</v>
      </c>
      <c r="F214" s="182" t="s">
        <v>181</v>
      </c>
      <c r="G214" s="182">
        <v>15281.0</v>
      </c>
      <c r="H214" s="182" t="s">
        <v>425</v>
      </c>
      <c r="I214" s="182">
        <v>1.0</v>
      </c>
      <c r="J214" s="182">
        <v>13.0</v>
      </c>
      <c r="K214" s="182">
        <v>10.0</v>
      </c>
      <c r="L214" s="182">
        <v>7.0</v>
      </c>
      <c r="M214" s="182">
        <v>5.0</v>
      </c>
      <c r="N214" s="182">
        <v>0.0</v>
      </c>
      <c r="O214" s="182">
        <v>0.0</v>
      </c>
      <c r="P214" s="182">
        <v>0.0</v>
      </c>
      <c r="Q214" s="182">
        <v>7.0</v>
      </c>
      <c r="R214" s="182">
        <v>5.0</v>
      </c>
      <c r="S214" s="182">
        <v>6.0</v>
      </c>
      <c r="T214" s="182">
        <v>5.0</v>
      </c>
      <c r="U214" s="182">
        <v>2.0</v>
      </c>
      <c r="V214" s="182">
        <v>1.0</v>
      </c>
      <c r="W214" s="182">
        <v>1.0</v>
      </c>
      <c r="X214" s="182">
        <v>5.0</v>
      </c>
      <c r="Y214" s="182">
        <v>6.0</v>
      </c>
      <c r="Z214" s="182">
        <v>5.0</v>
      </c>
      <c r="AA214" s="182">
        <v>7.0</v>
      </c>
      <c r="AB214" s="182" t="s">
        <v>743</v>
      </c>
      <c r="AC214" s="182" t="s">
        <v>1126</v>
      </c>
      <c r="AD214" s="182" t="s">
        <v>924</v>
      </c>
      <c r="AE214" s="182" t="s">
        <v>1131</v>
      </c>
      <c r="AF214" s="182" t="s">
        <v>882</v>
      </c>
      <c r="AG214" s="182" t="s">
        <v>764</v>
      </c>
      <c r="AH214" s="182">
        <v>309.0</v>
      </c>
    </row>
    <row r="215">
      <c r="A215" s="182">
        <v>208376.0</v>
      </c>
      <c r="B215" s="182">
        <v>91774.0</v>
      </c>
      <c r="C215" s="182" t="s">
        <v>944</v>
      </c>
      <c r="D215" s="182" t="s">
        <v>32</v>
      </c>
      <c r="E215" s="182">
        <v>18501.0</v>
      </c>
      <c r="F215" s="182" t="s">
        <v>188</v>
      </c>
      <c r="G215" s="182">
        <v>76.0</v>
      </c>
      <c r="H215" s="182" t="s">
        <v>453</v>
      </c>
      <c r="I215" s="182">
        <v>1.0</v>
      </c>
      <c r="J215" s="182">
        <v>13.0</v>
      </c>
      <c r="K215" s="182">
        <v>11.0</v>
      </c>
      <c r="L215" s="182">
        <v>7.0</v>
      </c>
      <c r="M215" s="182">
        <v>5.0</v>
      </c>
      <c r="N215" s="182">
        <v>1.0</v>
      </c>
      <c r="O215" s="182">
        <v>1.0</v>
      </c>
      <c r="P215" s="182">
        <v>0.0</v>
      </c>
      <c r="Q215" s="182">
        <v>7.0</v>
      </c>
      <c r="R215" s="182">
        <v>5.0</v>
      </c>
      <c r="S215" s="182">
        <v>6.0</v>
      </c>
      <c r="T215" s="182">
        <v>6.0</v>
      </c>
      <c r="U215" s="182">
        <v>1.0</v>
      </c>
      <c r="V215" s="182">
        <v>1.0</v>
      </c>
      <c r="W215" s="182">
        <v>0.0</v>
      </c>
      <c r="X215" s="182">
        <v>6.0</v>
      </c>
      <c r="Y215" s="182">
        <v>6.0</v>
      </c>
      <c r="Z215" s="182">
        <v>5.0</v>
      </c>
      <c r="AA215" s="182">
        <v>7.0</v>
      </c>
      <c r="AB215" s="182" t="s">
        <v>743</v>
      </c>
      <c r="AC215" s="182" t="s">
        <v>1126</v>
      </c>
      <c r="AD215" s="182" t="s">
        <v>956</v>
      </c>
      <c r="AE215" s="182" t="s">
        <v>1129</v>
      </c>
      <c r="AF215" s="182" t="s">
        <v>884</v>
      </c>
      <c r="AG215" s="182" t="s">
        <v>751</v>
      </c>
      <c r="AH215" s="182">
        <v>309.0</v>
      </c>
    </row>
    <row r="216">
      <c r="A216" s="182">
        <v>209278.0</v>
      </c>
      <c r="B216" s="182">
        <v>92090.0</v>
      </c>
      <c r="C216" s="182" t="s">
        <v>1014</v>
      </c>
      <c r="D216" s="182" t="s">
        <v>40</v>
      </c>
      <c r="E216" s="182">
        <v>9369.0</v>
      </c>
      <c r="F216" s="182" t="s">
        <v>232</v>
      </c>
      <c r="G216" s="182">
        <v>18979.0</v>
      </c>
      <c r="H216" s="182" t="s">
        <v>395</v>
      </c>
      <c r="I216" s="182">
        <v>1.0</v>
      </c>
      <c r="J216" s="182">
        <v>13.0</v>
      </c>
      <c r="K216" s="182">
        <v>8.0</v>
      </c>
      <c r="L216" s="182">
        <v>8.0</v>
      </c>
      <c r="M216" s="182">
        <v>4.0</v>
      </c>
      <c r="N216" s="182">
        <v>2.0</v>
      </c>
      <c r="O216" s="182">
        <v>1.0</v>
      </c>
      <c r="P216" s="182">
        <v>1.0</v>
      </c>
      <c r="Q216" s="182">
        <v>8.0</v>
      </c>
      <c r="R216" s="182">
        <v>4.0</v>
      </c>
      <c r="S216" s="182">
        <v>5.0</v>
      </c>
      <c r="T216" s="182">
        <v>4.0</v>
      </c>
      <c r="U216" s="182">
        <v>0.0</v>
      </c>
      <c r="V216" s="182">
        <v>0.0</v>
      </c>
      <c r="W216" s="182">
        <v>0.0</v>
      </c>
      <c r="X216" s="182">
        <v>4.0</v>
      </c>
      <c r="Y216" s="182">
        <v>5.0</v>
      </c>
      <c r="Z216" s="182">
        <v>4.0</v>
      </c>
      <c r="AA216" s="182">
        <v>8.0</v>
      </c>
      <c r="AB216" s="182" t="s">
        <v>743</v>
      </c>
      <c r="AC216" s="182" t="s">
        <v>1126</v>
      </c>
      <c r="AD216" s="182" t="s">
        <v>1092</v>
      </c>
      <c r="AE216" s="182" t="s">
        <v>936</v>
      </c>
      <c r="AF216" s="182" t="s">
        <v>771</v>
      </c>
      <c r="AG216" s="182" t="s">
        <v>937</v>
      </c>
      <c r="AH216" s="182">
        <v>309.0</v>
      </c>
    </row>
    <row r="217">
      <c r="A217" s="182">
        <v>208432.0</v>
      </c>
      <c r="B217" s="182">
        <v>91792.0</v>
      </c>
      <c r="C217" s="182" t="s">
        <v>1032</v>
      </c>
      <c r="D217" s="182" t="s">
        <v>32</v>
      </c>
      <c r="E217" s="182">
        <v>14324.0</v>
      </c>
      <c r="F217" s="182" t="s">
        <v>456</v>
      </c>
      <c r="G217" s="182">
        <v>6415.0</v>
      </c>
      <c r="H217" s="182" t="s">
        <v>180</v>
      </c>
      <c r="I217" s="182">
        <v>1.0</v>
      </c>
      <c r="J217" s="182">
        <v>7.0</v>
      </c>
      <c r="K217" s="182">
        <v>13.0</v>
      </c>
      <c r="L217" s="182">
        <v>5.0</v>
      </c>
      <c r="M217" s="182">
        <v>7.0</v>
      </c>
      <c r="N217" s="182">
        <v>0.0</v>
      </c>
      <c r="O217" s="182">
        <v>0.0</v>
      </c>
      <c r="P217" s="182">
        <v>0.0</v>
      </c>
      <c r="Q217" s="182">
        <v>5.0</v>
      </c>
      <c r="R217" s="182">
        <v>7.0</v>
      </c>
      <c r="S217" s="182">
        <v>2.0</v>
      </c>
      <c r="T217" s="182">
        <v>6.0</v>
      </c>
      <c r="U217" s="182">
        <v>2.0</v>
      </c>
      <c r="V217" s="182">
        <v>1.0</v>
      </c>
      <c r="W217" s="182">
        <v>1.0</v>
      </c>
      <c r="X217" s="182">
        <v>6.0</v>
      </c>
      <c r="Y217" s="182">
        <v>2.0</v>
      </c>
      <c r="Z217" s="182">
        <v>7.0</v>
      </c>
      <c r="AA217" s="182">
        <v>5.0</v>
      </c>
      <c r="AB217" s="182" t="s">
        <v>743</v>
      </c>
      <c r="AC217" s="182" t="s">
        <v>1126</v>
      </c>
      <c r="AD217" s="182" t="s">
        <v>1132</v>
      </c>
      <c r="AE217" s="182" t="s">
        <v>847</v>
      </c>
      <c r="AF217" s="182" t="s">
        <v>751</v>
      </c>
      <c r="AG217" s="182" t="s">
        <v>31</v>
      </c>
      <c r="AH217" s="182">
        <v>309.0</v>
      </c>
    </row>
    <row r="218">
      <c r="A218" s="182">
        <v>209276.0</v>
      </c>
      <c r="B218" s="182">
        <v>92089.0</v>
      </c>
      <c r="C218" s="182" t="s">
        <v>1014</v>
      </c>
      <c r="D218" s="182" t="s">
        <v>40</v>
      </c>
      <c r="E218" s="182">
        <v>5652.0</v>
      </c>
      <c r="F218" s="182" t="s">
        <v>189</v>
      </c>
      <c r="G218" s="182">
        <v>19375.0</v>
      </c>
      <c r="H218" s="182" t="s">
        <v>1133</v>
      </c>
      <c r="I218" s="182">
        <v>1.0</v>
      </c>
      <c r="J218" s="182">
        <v>14.0</v>
      </c>
      <c r="K218" s="182">
        <v>12.0</v>
      </c>
      <c r="L218" s="182">
        <v>5.0</v>
      </c>
      <c r="M218" s="182">
        <v>7.0</v>
      </c>
      <c r="N218" s="182">
        <v>1.0</v>
      </c>
      <c r="O218" s="182">
        <v>0.0</v>
      </c>
      <c r="P218" s="182">
        <v>1.0</v>
      </c>
      <c r="Q218" s="182">
        <v>6.0</v>
      </c>
      <c r="R218" s="182">
        <v>7.0</v>
      </c>
      <c r="S218" s="182">
        <v>8.0</v>
      </c>
      <c r="T218" s="182">
        <v>5.0</v>
      </c>
      <c r="U218" s="182">
        <v>1.0</v>
      </c>
      <c r="V218" s="182">
        <v>0.0</v>
      </c>
      <c r="W218" s="182">
        <v>1.0</v>
      </c>
      <c r="X218" s="182">
        <v>5.0</v>
      </c>
      <c r="Y218" s="182">
        <v>8.0</v>
      </c>
      <c r="Z218" s="182">
        <v>7.0</v>
      </c>
      <c r="AA218" s="182">
        <v>6.0</v>
      </c>
      <c r="AB218" s="182" t="s">
        <v>743</v>
      </c>
      <c r="AC218" s="182" t="s">
        <v>1126</v>
      </c>
      <c r="AD218" s="182" t="s">
        <v>823</v>
      </c>
      <c r="AE218" s="182" t="s">
        <v>1134</v>
      </c>
      <c r="AF218" s="182" t="s">
        <v>859</v>
      </c>
      <c r="AG218" s="182" t="s">
        <v>1010</v>
      </c>
      <c r="AH218" s="182">
        <v>309.0</v>
      </c>
    </row>
    <row r="219">
      <c r="A219" s="182">
        <v>208431.0</v>
      </c>
      <c r="B219" s="182">
        <v>91792.0</v>
      </c>
      <c r="C219" s="182" t="s">
        <v>1032</v>
      </c>
      <c r="D219" s="182" t="s">
        <v>45</v>
      </c>
      <c r="E219" s="182">
        <v>14324.0</v>
      </c>
      <c r="F219" s="182" t="s">
        <v>456</v>
      </c>
      <c r="G219" s="182">
        <v>6415.0</v>
      </c>
      <c r="H219" s="182" t="s">
        <v>180</v>
      </c>
      <c r="I219" s="182">
        <v>1.0</v>
      </c>
      <c r="J219" s="182">
        <v>13.0</v>
      </c>
      <c r="K219" s="182">
        <v>11.0</v>
      </c>
      <c r="L219" s="182">
        <v>5.0</v>
      </c>
      <c r="M219" s="182">
        <v>7.0</v>
      </c>
      <c r="N219" s="182">
        <v>1.0</v>
      </c>
      <c r="O219" s="182">
        <v>0.0</v>
      </c>
      <c r="P219" s="182">
        <v>1.0</v>
      </c>
      <c r="Q219" s="182">
        <v>5.0</v>
      </c>
      <c r="R219" s="182">
        <v>7.0</v>
      </c>
      <c r="S219" s="182">
        <v>8.0</v>
      </c>
      <c r="T219" s="182">
        <v>4.0</v>
      </c>
      <c r="U219" s="182">
        <v>1.0</v>
      </c>
      <c r="V219" s="182">
        <v>0.0</v>
      </c>
      <c r="W219" s="182">
        <v>1.0</v>
      </c>
      <c r="X219" s="182">
        <v>4.0</v>
      </c>
      <c r="Y219" s="182">
        <v>8.0</v>
      </c>
      <c r="Z219" s="182">
        <v>7.0</v>
      </c>
      <c r="AA219" s="182">
        <v>5.0</v>
      </c>
      <c r="AB219" s="182" t="s">
        <v>743</v>
      </c>
      <c r="AC219" s="182" t="s">
        <v>1126</v>
      </c>
      <c r="AD219" s="182" t="s">
        <v>1135</v>
      </c>
      <c r="AE219" s="182" t="s">
        <v>1136</v>
      </c>
      <c r="AF219" s="182" t="s">
        <v>1137</v>
      </c>
      <c r="AG219" s="182" t="s">
        <v>912</v>
      </c>
      <c r="AH219" s="182">
        <v>309.0</v>
      </c>
    </row>
    <row r="220">
      <c r="A220" s="182">
        <v>209075.0</v>
      </c>
      <c r="B220" s="182">
        <v>92019.0</v>
      </c>
      <c r="C220" s="182" t="s">
        <v>1111</v>
      </c>
      <c r="D220" s="182" t="s">
        <v>40</v>
      </c>
      <c r="E220" s="182">
        <v>17952.0</v>
      </c>
      <c r="F220" s="182" t="s">
        <v>1</v>
      </c>
      <c r="G220" s="182">
        <v>15281.0</v>
      </c>
      <c r="H220" s="182" t="s">
        <v>425</v>
      </c>
      <c r="I220" s="182">
        <v>1.0</v>
      </c>
      <c r="J220" s="182">
        <v>13.0</v>
      </c>
      <c r="K220" s="182">
        <v>3.0</v>
      </c>
      <c r="L220" s="182">
        <v>9.0</v>
      </c>
      <c r="M220" s="182">
        <v>3.0</v>
      </c>
      <c r="N220" s="182">
        <v>1.0</v>
      </c>
      <c r="O220" s="182">
        <v>0.0</v>
      </c>
      <c r="P220" s="182">
        <v>1.0</v>
      </c>
      <c r="Q220" s="182">
        <v>9.0</v>
      </c>
      <c r="R220" s="182">
        <v>3.0</v>
      </c>
      <c r="S220" s="182">
        <v>4.0</v>
      </c>
      <c r="T220" s="182">
        <v>0.0</v>
      </c>
      <c r="U220" s="182">
        <v>1.0</v>
      </c>
      <c r="V220" s="182">
        <v>0.0</v>
      </c>
      <c r="W220" s="182">
        <v>1.0</v>
      </c>
      <c r="X220" s="182">
        <v>0.0</v>
      </c>
      <c r="Y220" s="182">
        <v>4.0</v>
      </c>
      <c r="Z220" s="182">
        <v>3.0</v>
      </c>
      <c r="AA220" s="182">
        <v>9.0</v>
      </c>
      <c r="AB220" s="182" t="s">
        <v>743</v>
      </c>
      <c r="AC220" s="182" t="s">
        <v>1126</v>
      </c>
      <c r="AD220" s="182" t="s">
        <v>1070</v>
      </c>
      <c r="AE220" s="182" t="s">
        <v>988</v>
      </c>
      <c r="AF220" s="182" t="s">
        <v>862</v>
      </c>
      <c r="AG220" s="182" t="s">
        <v>771</v>
      </c>
      <c r="AH220" s="182">
        <v>309.0</v>
      </c>
    </row>
    <row r="221">
      <c r="A221" s="182">
        <v>209275.0</v>
      </c>
      <c r="B221" s="182">
        <v>92089.0</v>
      </c>
      <c r="C221" s="182" t="s">
        <v>1014</v>
      </c>
      <c r="D221" s="182" t="s">
        <v>45</v>
      </c>
      <c r="E221" s="182">
        <v>5652.0</v>
      </c>
      <c r="F221" s="182" t="s">
        <v>189</v>
      </c>
      <c r="G221" s="182">
        <v>19375.0</v>
      </c>
      <c r="H221" s="182" t="s">
        <v>1133</v>
      </c>
      <c r="I221" s="182">
        <v>2.0</v>
      </c>
      <c r="J221" s="182">
        <v>15.0</v>
      </c>
      <c r="K221" s="182">
        <v>13.0</v>
      </c>
      <c r="L221" s="182">
        <v>6.0</v>
      </c>
      <c r="M221" s="182">
        <v>6.0</v>
      </c>
      <c r="N221" s="182">
        <v>2.0</v>
      </c>
      <c r="O221" s="182">
        <v>1.0</v>
      </c>
      <c r="P221" s="182">
        <v>1.0</v>
      </c>
      <c r="Q221" s="182">
        <v>8.0</v>
      </c>
      <c r="R221" s="182">
        <v>6.0</v>
      </c>
      <c r="S221" s="182">
        <v>7.0</v>
      </c>
      <c r="T221" s="182">
        <v>7.0</v>
      </c>
      <c r="U221" s="182">
        <v>0.0</v>
      </c>
      <c r="V221" s="182">
        <v>0.0</v>
      </c>
      <c r="W221" s="182">
        <v>0.0</v>
      </c>
      <c r="X221" s="182">
        <v>7.0</v>
      </c>
      <c r="Y221" s="182">
        <v>7.0</v>
      </c>
      <c r="Z221" s="182">
        <v>6.0</v>
      </c>
      <c r="AA221" s="182">
        <v>8.0</v>
      </c>
      <c r="AB221" s="182" t="s">
        <v>743</v>
      </c>
      <c r="AC221" s="182" t="s">
        <v>1126</v>
      </c>
      <c r="AD221" s="182" t="s">
        <v>1138</v>
      </c>
      <c r="AE221" s="182" t="s">
        <v>1139</v>
      </c>
      <c r="AF221" s="182" t="s">
        <v>1140</v>
      </c>
      <c r="AG221" s="182" t="s">
        <v>1137</v>
      </c>
      <c r="AH221" s="182">
        <v>309.0</v>
      </c>
    </row>
    <row r="222">
      <c r="A222" s="182">
        <v>208430.0</v>
      </c>
      <c r="B222" s="182">
        <v>91792.0</v>
      </c>
      <c r="C222" s="182" t="s">
        <v>1032</v>
      </c>
      <c r="D222" s="182" t="s">
        <v>36</v>
      </c>
      <c r="E222" s="182">
        <v>14324.0</v>
      </c>
      <c r="F222" s="182" t="s">
        <v>456</v>
      </c>
      <c r="G222" s="182">
        <v>6415.0</v>
      </c>
      <c r="H222" s="182" t="s">
        <v>180</v>
      </c>
      <c r="I222" s="182">
        <v>2.0</v>
      </c>
      <c r="J222" s="182">
        <v>8.0</v>
      </c>
      <c r="K222" s="182">
        <v>13.0</v>
      </c>
      <c r="L222" s="182">
        <v>6.0</v>
      </c>
      <c r="M222" s="182">
        <v>6.0</v>
      </c>
      <c r="N222" s="182">
        <v>1.0</v>
      </c>
      <c r="O222" s="182">
        <v>0.0</v>
      </c>
      <c r="P222" s="182">
        <v>1.0</v>
      </c>
      <c r="Q222" s="182">
        <v>2.0</v>
      </c>
      <c r="R222" s="182">
        <v>7.0</v>
      </c>
      <c r="S222" s="182">
        <v>6.0</v>
      </c>
      <c r="T222" s="182">
        <v>6.0</v>
      </c>
      <c r="U222" s="182">
        <v>1.0</v>
      </c>
      <c r="V222" s="182">
        <v>0.0</v>
      </c>
      <c r="W222" s="182">
        <v>1.0</v>
      </c>
      <c r="X222" s="182">
        <v>6.0</v>
      </c>
      <c r="Y222" s="182">
        <v>6.0</v>
      </c>
      <c r="Z222" s="182">
        <v>7.0</v>
      </c>
      <c r="AA222" s="182">
        <v>2.0</v>
      </c>
      <c r="AB222" s="182" t="s">
        <v>743</v>
      </c>
      <c r="AC222" s="182" t="s">
        <v>1126</v>
      </c>
      <c r="AD222" s="182" t="s">
        <v>1141</v>
      </c>
      <c r="AE222" s="182" t="s">
        <v>841</v>
      </c>
      <c r="AF222" s="182" t="s">
        <v>1142</v>
      </c>
      <c r="AG222" s="182" t="s">
        <v>842</v>
      </c>
      <c r="AH222" s="182">
        <v>309.0</v>
      </c>
    </row>
    <row r="223">
      <c r="A223" s="182">
        <v>209074.0</v>
      </c>
      <c r="B223" s="182">
        <v>92019.0</v>
      </c>
      <c r="C223" s="182" t="s">
        <v>1111</v>
      </c>
      <c r="D223" s="182" t="s">
        <v>45</v>
      </c>
      <c r="E223" s="182">
        <v>17952.0</v>
      </c>
      <c r="F223" s="182" t="s">
        <v>1</v>
      </c>
      <c r="G223" s="182">
        <v>15281.0</v>
      </c>
      <c r="H223" s="182" t="s">
        <v>425</v>
      </c>
      <c r="I223" s="182">
        <v>1.0</v>
      </c>
      <c r="J223" s="182">
        <v>9.0</v>
      </c>
      <c r="K223" s="182">
        <v>13.0</v>
      </c>
      <c r="L223" s="182">
        <v>2.0</v>
      </c>
      <c r="M223" s="182">
        <v>10.0</v>
      </c>
      <c r="N223" s="182">
        <v>1.0</v>
      </c>
      <c r="O223" s="182">
        <v>0.0</v>
      </c>
      <c r="P223" s="182">
        <v>1.0</v>
      </c>
      <c r="Q223" s="182">
        <v>2.0</v>
      </c>
      <c r="R223" s="182">
        <v>10.0</v>
      </c>
      <c r="S223" s="182">
        <v>7.0</v>
      </c>
      <c r="T223" s="182">
        <v>3.0</v>
      </c>
      <c r="U223" s="182">
        <v>1.0</v>
      </c>
      <c r="V223" s="182">
        <v>0.0</v>
      </c>
      <c r="W223" s="182">
        <v>1.0</v>
      </c>
      <c r="X223" s="182">
        <v>3.0</v>
      </c>
      <c r="Y223" s="182">
        <v>7.0</v>
      </c>
      <c r="Z223" s="182">
        <v>10.0</v>
      </c>
      <c r="AA223" s="182">
        <v>2.0</v>
      </c>
      <c r="AB223" s="182" t="s">
        <v>743</v>
      </c>
      <c r="AC223" s="182" t="s">
        <v>1126</v>
      </c>
      <c r="AD223" s="182" t="s">
        <v>1143</v>
      </c>
      <c r="AE223" s="182" t="s">
        <v>1144</v>
      </c>
      <c r="AF223" s="182" t="s">
        <v>44</v>
      </c>
      <c r="AG223" s="182" t="s">
        <v>1077</v>
      </c>
      <c r="AH223" s="182">
        <v>309.0</v>
      </c>
    </row>
    <row r="224">
      <c r="A224" s="182">
        <v>209073.0</v>
      </c>
      <c r="B224" s="182">
        <v>92019.0</v>
      </c>
      <c r="C224" s="182" t="s">
        <v>1111</v>
      </c>
      <c r="D224" s="182" t="s">
        <v>227</v>
      </c>
      <c r="E224" s="182">
        <v>17952.0</v>
      </c>
      <c r="F224" s="182" t="s">
        <v>1</v>
      </c>
      <c r="G224" s="182">
        <v>15281.0</v>
      </c>
      <c r="H224" s="182" t="s">
        <v>425</v>
      </c>
      <c r="I224" s="182">
        <v>1.0</v>
      </c>
      <c r="J224" s="182">
        <v>13.0</v>
      </c>
      <c r="K224" s="182">
        <v>5.0</v>
      </c>
      <c r="L224" s="182">
        <v>8.0</v>
      </c>
      <c r="M224" s="182">
        <v>4.0</v>
      </c>
      <c r="N224" s="182">
        <v>2.0</v>
      </c>
      <c r="O224" s="182">
        <v>1.0</v>
      </c>
      <c r="P224" s="182">
        <v>1.0</v>
      </c>
      <c r="Q224" s="182">
        <v>8.0</v>
      </c>
      <c r="R224" s="182">
        <v>4.0</v>
      </c>
      <c r="S224" s="182">
        <v>5.0</v>
      </c>
      <c r="T224" s="182">
        <v>1.0</v>
      </c>
      <c r="U224" s="182">
        <v>0.0</v>
      </c>
      <c r="V224" s="182">
        <v>0.0</v>
      </c>
      <c r="W224" s="182">
        <v>0.0</v>
      </c>
      <c r="X224" s="182">
        <v>1.0</v>
      </c>
      <c r="Y224" s="182">
        <v>5.0</v>
      </c>
      <c r="Z224" s="182">
        <v>4.0</v>
      </c>
      <c r="AA224" s="182">
        <v>8.0</v>
      </c>
      <c r="AB224" s="182" t="s">
        <v>743</v>
      </c>
      <c r="AC224" s="182" t="s">
        <v>1126</v>
      </c>
      <c r="AD224" s="182" t="s">
        <v>812</v>
      </c>
      <c r="AE224" s="182" t="s">
        <v>1145</v>
      </c>
      <c r="AF224" s="182" t="s">
        <v>37</v>
      </c>
      <c r="AG224" s="182" t="s">
        <v>748</v>
      </c>
      <c r="AH224" s="182">
        <v>309.0</v>
      </c>
    </row>
    <row r="225">
      <c r="A225" s="182">
        <v>209080.0</v>
      </c>
      <c r="B225" s="182">
        <v>92022.0</v>
      </c>
      <c r="C225" s="182" t="s">
        <v>1111</v>
      </c>
      <c r="D225" s="182" t="s">
        <v>32</v>
      </c>
      <c r="E225" s="182">
        <v>18392.0</v>
      </c>
      <c r="F225" s="182" t="s">
        <v>181</v>
      </c>
      <c r="G225" s="182">
        <v>18395.0</v>
      </c>
      <c r="H225" s="182" t="s">
        <v>1146</v>
      </c>
      <c r="I225" s="182">
        <v>2.0</v>
      </c>
      <c r="J225" s="182">
        <v>13.0</v>
      </c>
      <c r="K225" s="182">
        <v>11.0</v>
      </c>
      <c r="L225" s="182">
        <v>8.0</v>
      </c>
      <c r="M225" s="182">
        <v>4.0</v>
      </c>
      <c r="N225" s="182">
        <v>1.0</v>
      </c>
      <c r="O225" s="182">
        <v>0.0</v>
      </c>
      <c r="P225" s="182">
        <v>1.0</v>
      </c>
      <c r="Q225" s="182">
        <v>5.0</v>
      </c>
      <c r="R225" s="182">
        <v>7.0</v>
      </c>
      <c r="S225" s="182">
        <v>8.0</v>
      </c>
      <c r="T225" s="182">
        <v>4.0</v>
      </c>
      <c r="U225" s="182">
        <v>1.0</v>
      </c>
      <c r="V225" s="182">
        <v>0.0</v>
      </c>
      <c r="W225" s="182">
        <v>1.0</v>
      </c>
      <c r="X225" s="182">
        <v>4.0</v>
      </c>
      <c r="Y225" s="182">
        <v>8.0</v>
      </c>
      <c r="Z225" s="182">
        <v>7.0</v>
      </c>
      <c r="AA225" s="182">
        <v>5.0</v>
      </c>
      <c r="AB225" s="182" t="s">
        <v>743</v>
      </c>
      <c r="AC225" s="182" t="s">
        <v>1126</v>
      </c>
      <c r="AD225" s="182" t="s">
        <v>928</v>
      </c>
      <c r="AE225" s="182" t="s">
        <v>1147</v>
      </c>
      <c r="AF225" s="182" t="s">
        <v>751</v>
      </c>
      <c r="AG225" s="182" t="s">
        <v>752</v>
      </c>
      <c r="AH225" s="182">
        <v>309.0</v>
      </c>
    </row>
    <row r="226">
      <c r="A226" s="182">
        <v>209081.0</v>
      </c>
      <c r="B226" s="182">
        <v>92023.0</v>
      </c>
      <c r="C226" s="182" t="s">
        <v>1111</v>
      </c>
      <c r="D226" s="182" t="s">
        <v>32</v>
      </c>
      <c r="E226" s="182">
        <v>17869.0</v>
      </c>
      <c r="F226" s="182" t="s">
        <v>190</v>
      </c>
      <c r="G226" s="182">
        <v>14373.0</v>
      </c>
      <c r="H226" s="182" t="s">
        <v>458</v>
      </c>
      <c r="I226" s="182">
        <v>1.0</v>
      </c>
      <c r="J226" s="182">
        <v>9.0</v>
      </c>
      <c r="K226" s="182">
        <v>13.0</v>
      </c>
      <c r="L226" s="182">
        <v>5.0</v>
      </c>
      <c r="M226" s="182">
        <v>7.0</v>
      </c>
      <c r="N226" s="182">
        <v>2.0</v>
      </c>
      <c r="O226" s="182">
        <v>1.0</v>
      </c>
      <c r="P226" s="182">
        <v>1.0</v>
      </c>
      <c r="Q226" s="182">
        <v>5.0</v>
      </c>
      <c r="R226" s="182">
        <v>7.0</v>
      </c>
      <c r="S226" s="182">
        <v>4.0</v>
      </c>
      <c r="T226" s="182">
        <v>6.0</v>
      </c>
      <c r="U226" s="182">
        <v>0.0</v>
      </c>
      <c r="V226" s="182">
        <v>0.0</v>
      </c>
      <c r="W226" s="182">
        <v>0.0</v>
      </c>
      <c r="X226" s="182">
        <v>6.0</v>
      </c>
      <c r="Y226" s="182">
        <v>4.0</v>
      </c>
      <c r="Z226" s="182">
        <v>7.0</v>
      </c>
      <c r="AA226" s="182">
        <v>5.0</v>
      </c>
      <c r="AB226" s="182" t="s">
        <v>743</v>
      </c>
      <c r="AC226" s="182" t="s">
        <v>1126</v>
      </c>
      <c r="AD226" s="182" t="s">
        <v>1148</v>
      </c>
      <c r="AE226" s="182" t="s">
        <v>1149</v>
      </c>
      <c r="AF226" s="182" t="s">
        <v>816</v>
      </c>
      <c r="AG226" s="182" t="s">
        <v>31</v>
      </c>
      <c r="AH226" s="182">
        <v>309.0</v>
      </c>
    </row>
    <row r="227">
      <c r="A227" s="182">
        <v>206636.0</v>
      </c>
      <c r="B227" s="182">
        <v>91112.0</v>
      </c>
      <c r="C227" s="182" t="s">
        <v>1150</v>
      </c>
      <c r="D227" s="182" t="s">
        <v>38</v>
      </c>
      <c r="E227" s="182">
        <v>14291.0</v>
      </c>
      <c r="F227" s="182" t="s">
        <v>183</v>
      </c>
      <c r="G227" s="182">
        <v>6415.0</v>
      </c>
      <c r="H227" s="182" t="s">
        <v>180</v>
      </c>
      <c r="I227" s="182">
        <v>2.0</v>
      </c>
      <c r="J227" s="182">
        <v>13.0</v>
      </c>
      <c r="K227" s="182">
        <v>8.0</v>
      </c>
      <c r="L227" s="182">
        <v>7.0</v>
      </c>
      <c r="M227" s="182">
        <v>5.0</v>
      </c>
      <c r="N227" s="182">
        <v>0.0</v>
      </c>
      <c r="O227" s="182">
        <v>0.0</v>
      </c>
      <c r="P227" s="182">
        <v>0.0</v>
      </c>
      <c r="Q227" s="182">
        <v>6.0</v>
      </c>
      <c r="R227" s="182">
        <v>3.0</v>
      </c>
      <c r="S227" s="182">
        <v>7.0</v>
      </c>
      <c r="T227" s="182">
        <v>5.0</v>
      </c>
      <c r="U227" s="182">
        <v>2.0</v>
      </c>
      <c r="V227" s="182">
        <v>1.0</v>
      </c>
      <c r="W227" s="182">
        <v>1.0</v>
      </c>
      <c r="X227" s="182">
        <v>5.0</v>
      </c>
      <c r="Y227" s="182">
        <v>7.0</v>
      </c>
      <c r="Z227" s="182">
        <v>3.0</v>
      </c>
      <c r="AA227" s="182">
        <v>6.0</v>
      </c>
      <c r="AB227" s="182" t="s">
        <v>743</v>
      </c>
      <c r="AC227" s="182" t="s">
        <v>1151</v>
      </c>
      <c r="AD227" s="182" t="s">
        <v>927</v>
      </c>
      <c r="AE227" s="182" t="s">
        <v>1152</v>
      </c>
      <c r="AF227" s="182" t="s">
        <v>882</v>
      </c>
      <c r="AG227" s="182" t="s">
        <v>810</v>
      </c>
      <c r="AH227" s="182">
        <v>309.0</v>
      </c>
    </row>
    <row r="228">
      <c r="A228" s="182">
        <v>206635.0</v>
      </c>
      <c r="B228" s="182">
        <v>91112.0</v>
      </c>
      <c r="C228" s="182" t="s">
        <v>1150</v>
      </c>
      <c r="D228" s="182" t="s">
        <v>227</v>
      </c>
      <c r="E228" s="182">
        <v>14291.0</v>
      </c>
      <c r="F228" s="182" t="s">
        <v>183</v>
      </c>
      <c r="G228" s="182">
        <v>6415.0</v>
      </c>
      <c r="H228" s="182" t="s">
        <v>180</v>
      </c>
      <c r="I228" s="182">
        <v>1.0</v>
      </c>
      <c r="J228" s="182">
        <v>13.0</v>
      </c>
      <c r="K228" s="182">
        <v>8.0</v>
      </c>
      <c r="L228" s="182">
        <v>7.0</v>
      </c>
      <c r="M228" s="182">
        <v>5.0</v>
      </c>
      <c r="N228" s="182">
        <v>1.0</v>
      </c>
      <c r="O228" s="182">
        <v>0.0</v>
      </c>
      <c r="P228" s="182">
        <v>1.0</v>
      </c>
      <c r="Q228" s="182">
        <v>7.0</v>
      </c>
      <c r="R228" s="182">
        <v>5.0</v>
      </c>
      <c r="S228" s="182">
        <v>6.0</v>
      </c>
      <c r="T228" s="182">
        <v>3.0</v>
      </c>
      <c r="U228" s="182">
        <v>1.0</v>
      </c>
      <c r="V228" s="182">
        <v>0.0</v>
      </c>
      <c r="W228" s="182">
        <v>1.0</v>
      </c>
      <c r="X228" s="182">
        <v>3.0</v>
      </c>
      <c r="Y228" s="182">
        <v>6.0</v>
      </c>
      <c r="Z228" s="182">
        <v>5.0</v>
      </c>
      <c r="AA228" s="182">
        <v>7.0</v>
      </c>
      <c r="AB228" s="182" t="s">
        <v>743</v>
      </c>
      <c r="AC228" s="182" t="s">
        <v>1151</v>
      </c>
      <c r="AD228" s="182" t="s">
        <v>1033</v>
      </c>
      <c r="AE228" s="182" t="s">
        <v>1153</v>
      </c>
      <c r="AF228" s="182" t="s">
        <v>813</v>
      </c>
      <c r="AG228" s="182" t="s">
        <v>1154</v>
      </c>
      <c r="AH228" s="182">
        <v>309.0</v>
      </c>
    </row>
    <row r="229">
      <c r="A229" s="182">
        <v>209062.0</v>
      </c>
      <c r="B229" s="182">
        <v>92012.0</v>
      </c>
      <c r="C229" s="182" t="s">
        <v>1111</v>
      </c>
      <c r="D229" s="182" t="s">
        <v>38</v>
      </c>
      <c r="E229" s="182">
        <v>8581.0</v>
      </c>
      <c r="F229" s="182" t="s">
        <v>401</v>
      </c>
      <c r="G229" s="182">
        <v>18392.0</v>
      </c>
      <c r="H229" s="182" t="s">
        <v>181</v>
      </c>
      <c r="I229" s="182">
        <v>2.0</v>
      </c>
      <c r="J229" s="182">
        <v>13.0</v>
      </c>
      <c r="K229" s="182">
        <v>7.0</v>
      </c>
      <c r="L229" s="182">
        <v>6.0</v>
      </c>
      <c r="M229" s="182">
        <v>6.0</v>
      </c>
      <c r="N229" s="182">
        <v>2.0</v>
      </c>
      <c r="O229" s="182">
        <v>1.0</v>
      </c>
      <c r="P229" s="182">
        <v>1.0</v>
      </c>
      <c r="Q229" s="182">
        <v>7.0</v>
      </c>
      <c r="R229" s="182">
        <v>1.0</v>
      </c>
      <c r="S229" s="182">
        <v>6.0</v>
      </c>
      <c r="T229" s="182">
        <v>6.0</v>
      </c>
      <c r="U229" s="182">
        <v>0.0</v>
      </c>
      <c r="V229" s="182">
        <v>0.0</v>
      </c>
      <c r="W229" s="182">
        <v>0.0</v>
      </c>
      <c r="X229" s="182">
        <v>6.0</v>
      </c>
      <c r="Y229" s="182">
        <v>6.0</v>
      </c>
      <c r="Z229" s="182">
        <v>1.0</v>
      </c>
      <c r="AA229" s="182">
        <v>7.0</v>
      </c>
      <c r="AB229" s="182" t="s">
        <v>743</v>
      </c>
      <c r="AC229" s="182" t="s">
        <v>1151</v>
      </c>
      <c r="AD229" s="182" t="s">
        <v>925</v>
      </c>
      <c r="AE229" s="182" t="s">
        <v>924</v>
      </c>
      <c r="AF229" s="182" t="s">
        <v>926</v>
      </c>
      <c r="AG229" s="182" t="s">
        <v>882</v>
      </c>
      <c r="AH229" s="182">
        <v>309.0</v>
      </c>
    </row>
    <row r="230">
      <c r="A230" s="182">
        <v>209059.0</v>
      </c>
      <c r="B230" s="182">
        <v>92009.0</v>
      </c>
      <c r="C230" s="182" t="s">
        <v>1111</v>
      </c>
      <c r="D230" s="182" t="s">
        <v>40</v>
      </c>
      <c r="E230" s="182">
        <v>17869.0</v>
      </c>
      <c r="F230" s="182" t="s">
        <v>190</v>
      </c>
      <c r="G230" s="182">
        <v>7467.0</v>
      </c>
      <c r="H230" s="182" t="s">
        <v>459</v>
      </c>
      <c r="I230" s="182">
        <v>1.0</v>
      </c>
      <c r="J230" s="182">
        <v>13.0</v>
      </c>
      <c r="K230" s="182">
        <v>15.0</v>
      </c>
      <c r="L230" s="182">
        <v>10.0</v>
      </c>
      <c r="M230" s="182">
        <v>2.0</v>
      </c>
      <c r="N230" s="182">
        <v>2.0</v>
      </c>
      <c r="O230" s="182">
        <v>1.0</v>
      </c>
      <c r="P230" s="182">
        <v>1.0</v>
      </c>
      <c r="Q230" s="182">
        <v>11.0</v>
      </c>
      <c r="R230" s="182">
        <v>3.0</v>
      </c>
      <c r="S230" s="182">
        <v>2.0</v>
      </c>
      <c r="T230" s="182">
        <v>12.0</v>
      </c>
      <c r="U230" s="182">
        <v>0.0</v>
      </c>
      <c r="V230" s="182">
        <v>0.0</v>
      </c>
      <c r="W230" s="182">
        <v>0.0</v>
      </c>
      <c r="X230" s="182">
        <v>12.0</v>
      </c>
      <c r="Y230" s="182">
        <v>2.0</v>
      </c>
      <c r="Z230" s="182">
        <v>3.0</v>
      </c>
      <c r="AA230" s="182">
        <v>11.0</v>
      </c>
      <c r="AB230" s="182" t="s">
        <v>743</v>
      </c>
      <c r="AC230" s="182" t="s">
        <v>1151</v>
      </c>
      <c r="AD230" s="182" t="s">
        <v>1124</v>
      </c>
      <c r="AE230" s="182" t="s">
        <v>1155</v>
      </c>
      <c r="AF230" s="182" t="s">
        <v>807</v>
      </c>
      <c r="AG230" s="182" t="s">
        <v>771</v>
      </c>
      <c r="AH230" s="182">
        <v>309.0</v>
      </c>
    </row>
    <row r="231">
      <c r="A231" s="182">
        <v>209060.0</v>
      </c>
      <c r="B231" s="182">
        <v>92010.0</v>
      </c>
      <c r="C231" s="182" t="s">
        <v>1111</v>
      </c>
      <c r="D231" s="182" t="s">
        <v>40</v>
      </c>
      <c r="E231" s="182">
        <v>17952.0</v>
      </c>
      <c r="F231" s="182" t="s">
        <v>1</v>
      </c>
      <c r="G231" s="182">
        <v>14373.0</v>
      </c>
      <c r="H231" s="182" t="s">
        <v>458</v>
      </c>
      <c r="I231" s="182">
        <v>1.0</v>
      </c>
      <c r="J231" s="182">
        <v>13.0</v>
      </c>
      <c r="K231" s="182">
        <v>2.0</v>
      </c>
      <c r="L231" s="182">
        <v>10.0</v>
      </c>
      <c r="M231" s="182">
        <v>2.0</v>
      </c>
      <c r="N231" s="182">
        <v>2.0</v>
      </c>
      <c r="O231" s="182">
        <v>1.0</v>
      </c>
      <c r="P231" s="182">
        <v>1.0</v>
      </c>
      <c r="Q231" s="182">
        <v>10.0</v>
      </c>
      <c r="R231" s="182">
        <v>2.0</v>
      </c>
      <c r="S231" s="182">
        <v>3.0</v>
      </c>
      <c r="T231" s="182">
        <v>0.0</v>
      </c>
      <c r="U231" s="182">
        <v>0.0</v>
      </c>
      <c r="V231" s="182">
        <v>0.0</v>
      </c>
      <c r="W231" s="182">
        <v>0.0</v>
      </c>
      <c r="X231" s="182">
        <v>0.0</v>
      </c>
      <c r="Y231" s="182">
        <v>3.0</v>
      </c>
      <c r="Z231" s="182">
        <v>2.0</v>
      </c>
      <c r="AA231" s="182">
        <v>10.0</v>
      </c>
      <c r="AB231" s="182" t="s">
        <v>743</v>
      </c>
      <c r="AC231" s="182" t="s">
        <v>1151</v>
      </c>
      <c r="AD231" s="182" t="s">
        <v>1070</v>
      </c>
      <c r="AE231" s="182" t="s">
        <v>1156</v>
      </c>
      <c r="AF231" s="182" t="s">
        <v>862</v>
      </c>
      <c r="AG231" s="182" t="s">
        <v>771</v>
      </c>
      <c r="AH231" s="182">
        <v>309.0</v>
      </c>
    </row>
    <row r="232">
      <c r="A232" s="182">
        <v>208369.0</v>
      </c>
      <c r="B232" s="182">
        <v>91771.0</v>
      </c>
      <c r="C232" s="182" t="s">
        <v>944</v>
      </c>
      <c r="D232" s="182" t="s">
        <v>32</v>
      </c>
      <c r="E232" s="182">
        <v>5293.0</v>
      </c>
      <c r="F232" s="182" t="s">
        <v>186</v>
      </c>
      <c r="G232" s="182">
        <v>3540.0</v>
      </c>
      <c r="H232" s="182" t="s">
        <v>399</v>
      </c>
      <c r="I232" s="182">
        <v>2.0</v>
      </c>
      <c r="J232" s="182">
        <v>10.0</v>
      </c>
      <c r="K232" s="182">
        <v>13.0</v>
      </c>
      <c r="L232" s="182">
        <v>8.0</v>
      </c>
      <c r="M232" s="182">
        <v>4.0</v>
      </c>
      <c r="N232" s="182">
        <v>1.0</v>
      </c>
      <c r="O232" s="182">
        <v>0.0</v>
      </c>
      <c r="P232" s="182">
        <v>1.0</v>
      </c>
      <c r="Q232" s="182">
        <v>2.0</v>
      </c>
      <c r="R232" s="182">
        <v>9.0</v>
      </c>
      <c r="S232" s="182">
        <v>8.0</v>
      </c>
      <c r="T232" s="182">
        <v>4.0</v>
      </c>
      <c r="U232" s="182">
        <v>1.0</v>
      </c>
      <c r="V232" s="182">
        <v>0.0</v>
      </c>
      <c r="W232" s="182">
        <v>1.0</v>
      </c>
      <c r="X232" s="182">
        <v>4.0</v>
      </c>
      <c r="Y232" s="182">
        <v>8.0</v>
      </c>
      <c r="Z232" s="182">
        <v>9.0</v>
      </c>
      <c r="AA232" s="182">
        <v>2.0</v>
      </c>
      <c r="AB232" s="182" t="s">
        <v>743</v>
      </c>
      <c r="AC232" s="182" t="s">
        <v>1151</v>
      </c>
      <c r="AD232" s="182" t="s">
        <v>814</v>
      </c>
      <c r="AE232" s="182" t="s">
        <v>904</v>
      </c>
      <c r="AF232" s="182" t="s">
        <v>816</v>
      </c>
      <c r="AG232" s="182" t="s">
        <v>751</v>
      </c>
      <c r="AH232" s="182">
        <v>309.0</v>
      </c>
    </row>
    <row r="233">
      <c r="A233" s="182">
        <v>209057.0</v>
      </c>
      <c r="B233" s="182">
        <v>92007.0</v>
      </c>
      <c r="C233" s="182" t="s">
        <v>1111</v>
      </c>
      <c r="D233" s="182" t="s">
        <v>38</v>
      </c>
      <c r="E233" s="182">
        <v>10651.0</v>
      </c>
      <c r="F233" s="182" t="s">
        <v>404</v>
      </c>
      <c r="G233" s="182">
        <v>18392.0</v>
      </c>
      <c r="H233" s="182" t="s">
        <v>181</v>
      </c>
      <c r="I233" s="182">
        <v>2.0</v>
      </c>
      <c r="J233" s="182">
        <v>8.0</v>
      </c>
      <c r="K233" s="182">
        <v>13.0</v>
      </c>
      <c r="L233" s="182">
        <v>7.0</v>
      </c>
      <c r="M233" s="182">
        <v>5.0</v>
      </c>
      <c r="N233" s="182">
        <v>0.0</v>
      </c>
      <c r="O233" s="182">
        <v>0.0</v>
      </c>
      <c r="P233" s="182">
        <v>0.0</v>
      </c>
      <c r="Q233" s="182">
        <v>1.0</v>
      </c>
      <c r="R233" s="182">
        <v>8.0</v>
      </c>
      <c r="S233" s="182">
        <v>7.0</v>
      </c>
      <c r="T233" s="182">
        <v>5.0</v>
      </c>
      <c r="U233" s="182">
        <v>2.0</v>
      </c>
      <c r="V233" s="182">
        <v>1.0</v>
      </c>
      <c r="W233" s="182">
        <v>1.0</v>
      </c>
      <c r="X233" s="182">
        <v>5.0</v>
      </c>
      <c r="Y233" s="182">
        <v>7.0</v>
      </c>
      <c r="Z233" s="182">
        <v>8.0</v>
      </c>
      <c r="AA233" s="182">
        <v>1.0</v>
      </c>
      <c r="AB233" s="182" t="s">
        <v>743</v>
      </c>
      <c r="AC233" s="182" t="s">
        <v>1151</v>
      </c>
      <c r="AD233" s="182" t="s">
        <v>1157</v>
      </c>
      <c r="AE233" s="182" t="s">
        <v>924</v>
      </c>
      <c r="AF233" s="182" t="s">
        <v>764</v>
      </c>
      <c r="AG233" s="182" t="s">
        <v>882</v>
      </c>
      <c r="AH233" s="182">
        <v>309.0</v>
      </c>
    </row>
    <row r="234">
      <c r="A234" s="182">
        <v>208368.0</v>
      </c>
      <c r="B234" s="182">
        <v>91771.0</v>
      </c>
      <c r="C234" s="182" t="s">
        <v>944</v>
      </c>
      <c r="D234" s="182" t="s">
        <v>40</v>
      </c>
      <c r="E234" s="182">
        <v>5293.0</v>
      </c>
      <c r="F234" s="182" t="s">
        <v>186</v>
      </c>
      <c r="G234" s="182">
        <v>3540.0</v>
      </c>
      <c r="H234" s="182" t="s">
        <v>399</v>
      </c>
      <c r="I234" s="182">
        <v>2.0</v>
      </c>
      <c r="J234" s="182">
        <v>1.0</v>
      </c>
      <c r="K234" s="182">
        <v>13.0</v>
      </c>
      <c r="L234" s="182">
        <v>1.0</v>
      </c>
      <c r="M234" s="182">
        <v>11.0</v>
      </c>
      <c r="N234" s="182">
        <v>0.0</v>
      </c>
      <c r="O234" s="182">
        <v>0.0</v>
      </c>
      <c r="P234" s="182">
        <v>0.0</v>
      </c>
      <c r="Q234" s="182">
        <v>0.0</v>
      </c>
      <c r="R234" s="182">
        <v>2.0</v>
      </c>
      <c r="S234" s="182">
        <v>1.0</v>
      </c>
      <c r="T234" s="182">
        <v>11.0</v>
      </c>
      <c r="U234" s="182">
        <v>2.0</v>
      </c>
      <c r="V234" s="182">
        <v>1.0</v>
      </c>
      <c r="W234" s="182">
        <v>1.0</v>
      </c>
      <c r="X234" s="182">
        <v>11.0</v>
      </c>
      <c r="Y234" s="182">
        <v>1.0</v>
      </c>
      <c r="Z234" s="182">
        <v>2.0</v>
      </c>
      <c r="AA234" s="182">
        <v>0.0</v>
      </c>
      <c r="AB234" s="182" t="s">
        <v>743</v>
      </c>
      <c r="AC234" s="182" t="s">
        <v>1151</v>
      </c>
      <c r="AD234" s="182" t="s">
        <v>814</v>
      </c>
      <c r="AE234" s="182" t="s">
        <v>903</v>
      </c>
      <c r="AF234" s="182" t="s">
        <v>751</v>
      </c>
      <c r="AG234" s="182" t="s">
        <v>862</v>
      </c>
      <c r="AH234" s="182">
        <v>309.0</v>
      </c>
    </row>
    <row r="235">
      <c r="A235" s="182">
        <v>208367.0</v>
      </c>
      <c r="B235" s="182">
        <v>91771.0</v>
      </c>
      <c r="C235" s="182" t="s">
        <v>944</v>
      </c>
      <c r="D235" s="182" t="s">
        <v>43</v>
      </c>
      <c r="E235" s="182">
        <v>5293.0</v>
      </c>
      <c r="F235" s="182" t="s">
        <v>186</v>
      </c>
      <c r="G235" s="182">
        <v>3540.0</v>
      </c>
      <c r="H235" s="182" t="s">
        <v>399</v>
      </c>
      <c r="I235" s="182">
        <v>2.0</v>
      </c>
      <c r="J235" s="182">
        <v>13.0</v>
      </c>
      <c r="K235" s="182">
        <v>6.0</v>
      </c>
      <c r="L235" s="182">
        <v>10.0</v>
      </c>
      <c r="M235" s="182">
        <v>2.0</v>
      </c>
      <c r="N235" s="182">
        <v>1.0</v>
      </c>
      <c r="O235" s="182">
        <v>0.0</v>
      </c>
      <c r="P235" s="182">
        <v>1.0</v>
      </c>
      <c r="Q235" s="182">
        <v>3.0</v>
      </c>
      <c r="R235" s="182">
        <v>4.0</v>
      </c>
      <c r="S235" s="182">
        <v>10.0</v>
      </c>
      <c r="T235" s="182">
        <v>2.0</v>
      </c>
      <c r="U235" s="182">
        <v>1.0</v>
      </c>
      <c r="V235" s="182">
        <v>0.0</v>
      </c>
      <c r="W235" s="182">
        <v>1.0</v>
      </c>
      <c r="X235" s="182">
        <v>2.0</v>
      </c>
      <c r="Y235" s="182">
        <v>10.0</v>
      </c>
      <c r="Z235" s="182">
        <v>4.0</v>
      </c>
      <c r="AA235" s="182">
        <v>3.0</v>
      </c>
      <c r="AB235" s="182" t="s">
        <v>743</v>
      </c>
      <c r="AC235" s="182" t="s">
        <v>1151</v>
      </c>
      <c r="AD235" s="182" t="s">
        <v>1158</v>
      </c>
      <c r="AE235" s="182" t="s">
        <v>1159</v>
      </c>
      <c r="AF235" s="182" t="s">
        <v>1100</v>
      </c>
      <c r="AG235" s="182" t="s">
        <v>947</v>
      </c>
      <c r="AH235" s="182">
        <v>309.0</v>
      </c>
    </row>
    <row r="236">
      <c r="A236" s="182">
        <v>209044.0</v>
      </c>
      <c r="B236" s="182">
        <v>92000.0</v>
      </c>
      <c r="C236" s="182" t="s">
        <v>1111</v>
      </c>
      <c r="D236" s="182" t="s">
        <v>40</v>
      </c>
      <c r="E236" s="182">
        <v>17952.0</v>
      </c>
      <c r="F236" s="182" t="s">
        <v>1</v>
      </c>
      <c r="G236" s="182">
        <v>14607.0</v>
      </c>
      <c r="H236" s="182" t="s">
        <v>450</v>
      </c>
      <c r="I236" s="182">
        <v>2.0</v>
      </c>
      <c r="J236" s="182">
        <v>16.0</v>
      </c>
      <c r="K236" s="182">
        <v>14.0</v>
      </c>
      <c r="L236" s="182">
        <v>3.0</v>
      </c>
      <c r="M236" s="182">
        <v>9.0</v>
      </c>
      <c r="N236" s="182">
        <v>1.0</v>
      </c>
      <c r="O236" s="182">
        <v>1.0</v>
      </c>
      <c r="P236" s="182">
        <v>0.0</v>
      </c>
      <c r="Q236" s="182">
        <v>11.0</v>
      </c>
      <c r="R236" s="182">
        <v>4.0</v>
      </c>
      <c r="S236" s="182">
        <v>5.0</v>
      </c>
      <c r="T236" s="182">
        <v>10.0</v>
      </c>
      <c r="U236" s="182">
        <v>1.0</v>
      </c>
      <c r="V236" s="182">
        <v>1.0</v>
      </c>
      <c r="W236" s="182">
        <v>0.0</v>
      </c>
      <c r="X236" s="182">
        <v>10.0</v>
      </c>
      <c r="Y236" s="182">
        <v>5.0</v>
      </c>
      <c r="Z236" s="182">
        <v>4.0</v>
      </c>
      <c r="AA236" s="182">
        <v>11.0</v>
      </c>
      <c r="AB236" s="182" t="s">
        <v>743</v>
      </c>
      <c r="AC236" s="182" t="s">
        <v>1151</v>
      </c>
      <c r="AD236" s="182" t="s">
        <v>1070</v>
      </c>
      <c r="AE236" s="182" t="s">
        <v>1113</v>
      </c>
      <c r="AF236" s="182" t="s">
        <v>862</v>
      </c>
      <c r="AG236" s="182" t="s">
        <v>1115</v>
      </c>
      <c r="AH236" s="182">
        <v>309.0</v>
      </c>
    </row>
    <row r="237">
      <c r="A237" s="182">
        <v>209041.0</v>
      </c>
      <c r="B237" s="182">
        <v>91999.0</v>
      </c>
      <c r="C237" s="182" t="s">
        <v>1111</v>
      </c>
      <c r="D237" s="182" t="s">
        <v>32</v>
      </c>
      <c r="E237" s="182">
        <v>17869.0</v>
      </c>
      <c r="F237" s="182" t="s">
        <v>190</v>
      </c>
      <c r="G237" s="182">
        <v>9325.0</v>
      </c>
      <c r="H237" s="182" t="s">
        <v>1160</v>
      </c>
      <c r="I237" s="182">
        <v>1.0</v>
      </c>
      <c r="J237" s="182">
        <v>13.0</v>
      </c>
      <c r="K237" s="182">
        <v>3.0</v>
      </c>
      <c r="L237" s="182">
        <v>9.0</v>
      </c>
      <c r="M237" s="182">
        <v>3.0</v>
      </c>
      <c r="N237" s="182">
        <v>2.0</v>
      </c>
      <c r="O237" s="182">
        <v>1.0</v>
      </c>
      <c r="P237" s="182">
        <v>1.0</v>
      </c>
      <c r="Q237" s="182">
        <v>9.0</v>
      </c>
      <c r="R237" s="182">
        <v>3.0</v>
      </c>
      <c r="S237" s="182">
        <v>4.0</v>
      </c>
      <c r="T237" s="182">
        <v>0.0</v>
      </c>
      <c r="U237" s="182">
        <v>0.0</v>
      </c>
      <c r="V237" s="182">
        <v>0.0</v>
      </c>
      <c r="W237" s="182">
        <v>0.0</v>
      </c>
      <c r="X237" s="182">
        <v>0.0</v>
      </c>
      <c r="Y237" s="182">
        <v>4.0</v>
      </c>
      <c r="Z237" s="182">
        <v>3.0</v>
      </c>
      <c r="AA237" s="182">
        <v>9.0</v>
      </c>
      <c r="AB237" s="182" t="s">
        <v>743</v>
      </c>
      <c r="AC237" s="182" t="s">
        <v>1151</v>
      </c>
      <c r="AD237" s="182" t="s">
        <v>1148</v>
      </c>
      <c r="AE237" s="182" t="s">
        <v>1161</v>
      </c>
      <c r="AF237" s="182" t="s">
        <v>816</v>
      </c>
      <c r="AG237" s="182" t="s">
        <v>751</v>
      </c>
      <c r="AH237" s="182">
        <v>309.0</v>
      </c>
    </row>
    <row r="238">
      <c r="A238" s="182">
        <v>207524.0</v>
      </c>
      <c r="B238" s="182">
        <v>91435.0</v>
      </c>
      <c r="C238" s="182" t="s">
        <v>998</v>
      </c>
      <c r="D238" s="182" t="s">
        <v>227</v>
      </c>
      <c r="E238" s="182">
        <v>11057.0</v>
      </c>
      <c r="F238" s="182" t="s">
        <v>463</v>
      </c>
      <c r="G238" s="182">
        <v>17807.0</v>
      </c>
      <c r="H238" s="182" t="s">
        <v>187</v>
      </c>
      <c r="I238" s="182">
        <v>1.0</v>
      </c>
      <c r="J238" s="182">
        <v>7.0</v>
      </c>
      <c r="K238" s="182">
        <v>13.0</v>
      </c>
      <c r="L238" s="182">
        <v>4.0</v>
      </c>
      <c r="M238" s="182">
        <v>8.0</v>
      </c>
      <c r="N238" s="182">
        <v>1.0</v>
      </c>
      <c r="O238" s="182">
        <v>0.0</v>
      </c>
      <c r="P238" s="182">
        <v>1.0</v>
      </c>
      <c r="Q238" s="182">
        <v>4.0</v>
      </c>
      <c r="R238" s="182">
        <v>8.0</v>
      </c>
      <c r="S238" s="182">
        <v>3.0</v>
      </c>
      <c r="T238" s="182">
        <v>5.0</v>
      </c>
      <c r="U238" s="182">
        <v>1.0</v>
      </c>
      <c r="V238" s="182">
        <v>0.0</v>
      </c>
      <c r="W238" s="182">
        <v>1.0</v>
      </c>
      <c r="X238" s="182">
        <v>5.0</v>
      </c>
      <c r="Y238" s="182">
        <v>3.0</v>
      </c>
      <c r="Z238" s="182">
        <v>8.0</v>
      </c>
      <c r="AA238" s="182">
        <v>4.0</v>
      </c>
      <c r="AB238" s="182" t="s">
        <v>743</v>
      </c>
      <c r="AC238" s="182" t="s">
        <v>1162</v>
      </c>
      <c r="AD238" s="182" t="s">
        <v>1163</v>
      </c>
      <c r="AE238" s="182" t="s">
        <v>745</v>
      </c>
      <c r="AF238" s="182" t="s">
        <v>748</v>
      </c>
      <c r="AG238" s="182" t="s">
        <v>747</v>
      </c>
      <c r="AH238" s="182">
        <v>309.0</v>
      </c>
    </row>
    <row r="239">
      <c r="A239" s="182">
        <v>207523.0</v>
      </c>
      <c r="B239" s="182">
        <v>91435.0</v>
      </c>
      <c r="C239" s="182" t="s">
        <v>998</v>
      </c>
      <c r="D239" s="182" t="s">
        <v>45</v>
      </c>
      <c r="E239" s="182">
        <v>11057.0</v>
      </c>
      <c r="F239" s="182" t="s">
        <v>463</v>
      </c>
      <c r="G239" s="182">
        <v>17807.0</v>
      </c>
      <c r="H239" s="182" t="s">
        <v>187</v>
      </c>
      <c r="I239" s="182">
        <v>1.0</v>
      </c>
      <c r="J239" s="182">
        <v>9.0</v>
      </c>
      <c r="K239" s="182">
        <v>13.0</v>
      </c>
      <c r="L239" s="182">
        <v>6.0</v>
      </c>
      <c r="M239" s="182">
        <v>6.0</v>
      </c>
      <c r="N239" s="182">
        <v>0.0</v>
      </c>
      <c r="O239" s="182">
        <v>0.0</v>
      </c>
      <c r="P239" s="182">
        <v>0.0</v>
      </c>
      <c r="Q239" s="182">
        <v>6.0</v>
      </c>
      <c r="R239" s="182">
        <v>6.0</v>
      </c>
      <c r="S239" s="182">
        <v>3.0</v>
      </c>
      <c r="T239" s="182">
        <v>7.0</v>
      </c>
      <c r="U239" s="182">
        <v>2.0</v>
      </c>
      <c r="V239" s="182">
        <v>1.0</v>
      </c>
      <c r="W239" s="182">
        <v>1.0</v>
      </c>
      <c r="X239" s="182">
        <v>7.0</v>
      </c>
      <c r="Y239" s="182">
        <v>3.0</v>
      </c>
      <c r="Z239" s="182">
        <v>6.0</v>
      </c>
      <c r="AA239" s="182">
        <v>6.0</v>
      </c>
      <c r="AB239" s="182" t="s">
        <v>743</v>
      </c>
      <c r="AC239" s="182" t="s">
        <v>1162</v>
      </c>
      <c r="AD239" s="182" t="s">
        <v>1164</v>
      </c>
      <c r="AE239" s="182" t="s">
        <v>1165</v>
      </c>
      <c r="AF239" s="182" t="s">
        <v>1166</v>
      </c>
      <c r="AG239" s="182" t="s">
        <v>1167</v>
      </c>
      <c r="AH239" s="182">
        <v>309.0</v>
      </c>
    </row>
    <row r="240">
      <c r="A240" s="182">
        <v>207522.0</v>
      </c>
      <c r="B240" s="182">
        <v>91435.0</v>
      </c>
      <c r="C240" s="182" t="s">
        <v>998</v>
      </c>
      <c r="D240" s="182" t="s">
        <v>40</v>
      </c>
      <c r="E240" s="182">
        <v>11057.0</v>
      </c>
      <c r="F240" s="182" t="s">
        <v>463</v>
      </c>
      <c r="G240" s="182">
        <v>17807.0</v>
      </c>
      <c r="H240" s="182" t="s">
        <v>187</v>
      </c>
      <c r="I240" s="182">
        <v>1.0</v>
      </c>
      <c r="J240" s="182">
        <v>13.0</v>
      </c>
      <c r="K240" s="182">
        <v>9.0</v>
      </c>
      <c r="L240" s="182">
        <v>7.0</v>
      </c>
      <c r="M240" s="182">
        <v>5.0</v>
      </c>
      <c r="N240" s="182">
        <v>1.0</v>
      </c>
      <c r="O240" s="182">
        <v>1.0</v>
      </c>
      <c r="P240" s="182">
        <v>0.0</v>
      </c>
      <c r="Q240" s="182">
        <v>7.0</v>
      </c>
      <c r="R240" s="182">
        <v>5.0</v>
      </c>
      <c r="S240" s="182">
        <v>6.0</v>
      </c>
      <c r="T240" s="182">
        <v>4.0</v>
      </c>
      <c r="U240" s="182">
        <v>1.0</v>
      </c>
      <c r="V240" s="182">
        <v>1.0</v>
      </c>
      <c r="W240" s="182">
        <v>0.0</v>
      </c>
      <c r="X240" s="182">
        <v>4.0</v>
      </c>
      <c r="Y240" s="182">
        <v>6.0</v>
      </c>
      <c r="Z240" s="182">
        <v>5.0</v>
      </c>
      <c r="AA240" s="182">
        <v>7.0</v>
      </c>
      <c r="AB240" s="182" t="s">
        <v>743</v>
      </c>
      <c r="AC240" s="182" t="s">
        <v>1162</v>
      </c>
      <c r="AD240" s="182" t="s">
        <v>1168</v>
      </c>
      <c r="AE240" s="182" t="s">
        <v>768</v>
      </c>
      <c r="AF240" s="182" t="s">
        <v>862</v>
      </c>
      <c r="AG240" s="182" t="s">
        <v>770</v>
      </c>
      <c r="AH240" s="182">
        <v>309.0</v>
      </c>
    </row>
    <row r="241">
      <c r="A241" s="182">
        <v>207551.0</v>
      </c>
      <c r="B241" s="182">
        <v>91444.0</v>
      </c>
      <c r="C241" s="182" t="s">
        <v>998</v>
      </c>
      <c r="D241" s="182" t="s">
        <v>40</v>
      </c>
      <c r="E241" s="182">
        <v>17813.0</v>
      </c>
      <c r="F241" s="182" t="s">
        <v>182</v>
      </c>
      <c r="G241" s="182">
        <v>14756.0</v>
      </c>
      <c r="H241" s="182" t="s">
        <v>464</v>
      </c>
      <c r="I241" s="182">
        <v>1.0</v>
      </c>
      <c r="J241" s="182">
        <v>13.0</v>
      </c>
      <c r="K241" s="182">
        <v>8.0</v>
      </c>
      <c r="L241" s="182">
        <v>9.0</v>
      </c>
      <c r="M241" s="182">
        <v>3.0</v>
      </c>
      <c r="N241" s="182">
        <v>1.0</v>
      </c>
      <c r="O241" s="182">
        <v>0.0</v>
      </c>
      <c r="P241" s="182">
        <v>1.0</v>
      </c>
      <c r="Q241" s="182">
        <v>9.0</v>
      </c>
      <c r="R241" s="182">
        <v>3.0</v>
      </c>
      <c r="S241" s="182">
        <v>4.0</v>
      </c>
      <c r="T241" s="182">
        <v>5.0</v>
      </c>
      <c r="U241" s="182">
        <v>1.0</v>
      </c>
      <c r="V241" s="182">
        <v>0.0</v>
      </c>
      <c r="W241" s="182">
        <v>1.0</v>
      </c>
      <c r="X241" s="182">
        <v>5.0</v>
      </c>
      <c r="Y241" s="182">
        <v>4.0</v>
      </c>
      <c r="Z241" s="182">
        <v>3.0</v>
      </c>
      <c r="AA241" s="182">
        <v>9.0</v>
      </c>
      <c r="AB241" s="182" t="s">
        <v>743</v>
      </c>
      <c r="AC241" s="182" t="s">
        <v>1169</v>
      </c>
      <c r="AD241" s="182" t="s">
        <v>769</v>
      </c>
      <c r="AE241" s="182" t="s">
        <v>1170</v>
      </c>
      <c r="AF241" s="182" t="s">
        <v>771</v>
      </c>
      <c r="AG241" s="182" t="s">
        <v>1031</v>
      </c>
      <c r="AH241" s="182">
        <v>309.0</v>
      </c>
    </row>
    <row r="242">
      <c r="A242" s="182">
        <v>207550.0</v>
      </c>
      <c r="B242" s="182">
        <v>91444.0</v>
      </c>
      <c r="C242" s="182" t="s">
        <v>998</v>
      </c>
      <c r="D242" s="182" t="s">
        <v>36</v>
      </c>
      <c r="E242" s="182">
        <v>17813.0</v>
      </c>
      <c r="F242" s="182" t="s">
        <v>182</v>
      </c>
      <c r="G242" s="182">
        <v>14756.0</v>
      </c>
      <c r="H242" s="182" t="s">
        <v>464</v>
      </c>
      <c r="I242" s="182">
        <v>1.0</v>
      </c>
      <c r="J242" s="182">
        <v>4.0</v>
      </c>
      <c r="K242" s="182">
        <v>13.0</v>
      </c>
      <c r="L242" s="182">
        <v>4.0</v>
      </c>
      <c r="M242" s="182">
        <v>8.0</v>
      </c>
      <c r="N242" s="182">
        <v>1.0</v>
      </c>
      <c r="O242" s="182">
        <v>1.0</v>
      </c>
      <c r="P242" s="182">
        <v>0.0</v>
      </c>
      <c r="Q242" s="182">
        <v>4.0</v>
      </c>
      <c r="R242" s="182">
        <v>8.0</v>
      </c>
      <c r="S242" s="182">
        <v>0.0</v>
      </c>
      <c r="T242" s="182">
        <v>5.0</v>
      </c>
      <c r="U242" s="182">
        <v>1.0</v>
      </c>
      <c r="V242" s="182">
        <v>1.0</v>
      </c>
      <c r="W242" s="182">
        <v>0.0</v>
      </c>
      <c r="X242" s="182">
        <v>5.0</v>
      </c>
      <c r="Y242" s="182">
        <v>0.0</v>
      </c>
      <c r="Z242" s="182">
        <v>8.0</v>
      </c>
      <c r="AA242" s="182">
        <v>4.0</v>
      </c>
      <c r="AB242" s="182" t="s">
        <v>743</v>
      </c>
      <c r="AC242" s="182" t="s">
        <v>1169</v>
      </c>
      <c r="AD242" s="182" t="s">
        <v>1171</v>
      </c>
      <c r="AE242" s="182" t="s">
        <v>1172</v>
      </c>
      <c r="AF242" s="182" t="s">
        <v>1017</v>
      </c>
      <c r="AG242" s="182" t="s">
        <v>1173</v>
      </c>
      <c r="AH242" s="182">
        <v>309.0</v>
      </c>
    </row>
    <row r="243">
      <c r="A243" s="182">
        <v>207549.0</v>
      </c>
      <c r="B243" s="182">
        <v>91444.0</v>
      </c>
      <c r="C243" s="182" t="s">
        <v>998</v>
      </c>
      <c r="D243" s="182" t="s">
        <v>38</v>
      </c>
      <c r="E243" s="182">
        <v>17813.0</v>
      </c>
      <c r="F243" s="182" t="s">
        <v>182</v>
      </c>
      <c r="G243" s="182">
        <v>14756.0</v>
      </c>
      <c r="H243" s="182" t="s">
        <v>464</v>
      </c>
      <c r="I243" s="182">
        <v>2.0</v>
      </c>
      <c r="J243" s="182">
        <v>13.0</v>
      </c>
      <c r="K243" s="182">
        <v>4.0</v>
      </c>
      <c r="L243" s="182">
        <v>10.0</v>
      </c>
      <c r="M243" s="182">
        <v>2.0</v>
      </c>
      <c r="N243" s="182">
        <v>2.0</v>
      </c>
      <c r="O243" s="182">
        <v>1.0</v>
      </c>
      <c r="P243" s="182">
        <v>1.0</v>
      </c>
      <c r="Q243" s="182">
        <v>3.0</v>
      </c>
      <c r="R243" s="182">
        <v>2.0</v>
      </c>
      <c r="S243" s="182">
        <v>10.0</v>
      </c>
      <c r="T243" s="182">
        <v>2.0</v>
      </c>
      <c r="U243" s="182">
        <v>0.0</v>
      </c>
      <c r="V243" s="182">
        <v>0.0</v>
      </c>
      <c r="W243" s="182">
        <v>0.0</v>
      </c>
      <c r="X243" s="182">
        <v>2.0</v>
      </c>
      <c r="Y243" s="182">
        <v>10.0</v>
      </c>
      <c r="Z243" s="182">
        <v>2.0</v>
      </c>
      <c r="AA243" s="182">
        <v>3.0</v>
      </c>
      <c r="AB243" s="182" t="s">
        <v>743</v>
      </c>
      <c r="AC243" s="182" t="s">
        <v>1169</v>
      </c>
      <c r="AD243" s="182" t="s">
        <v>746</v>
      </c>
      <c r="AE243" s="182" t="s">
        <v>1174</v>
      </c>
      <c r="AF243" s="182" t="s">
        <v>764</v>
      </c>
      <c r="AG243" s="182" t="s">
        <v>1175</v>
      </c>
      <c r="AH243" s="182">
        <v>309.0</v>
      </c>
    </row>
    <row r="244">
      <c r="A244" s="182">
        <v>207517.0</v>
      </c>
      <c r="B244" s="182">
        <v>91433.0</v>
      </c>
      <c r="C244" s="182" t="s">
        <v>998</v>
      </c>
      <c r="D244" s="182" t="s">
        <v>40</v>
      </c>
      <c r="E244" s="182">
        <v>17807.0</v>
      </c>
      <c r="F244" s="182" t="s">
        <v>187</v>
      </c>
      <c r="G244" s="182">
        <v>7198.0</v>
      </c>
      <c r="H244" s="182" t="s">
        <v>410</v>
      </c>
      <c r="I244" s="182">
        <v>2.0</v>
      </c>
      <c r="J244" s="182">
        <v>13.0</v>
      </c>
      <c r="K244" s="182">
        <v>6.0</v>
      </c>
      <c r="L244" s="182">
        <v>7.0</v>
      </c>
      <c r="M244" s="182">
        <v>5.0</v>
      </c>
      <c r="N244" s="182">
        <v>1.0</v>
      </c>
      <c r="O244" s="182">
        <v>0.0</v>
      </c>
      <c r="P244" s="182">
        <v>1.0</v>
      </c>
      <c r="Q244" s="182">
        <v>6.0</v>
      </c>
      <c r="R244" s="182">
        <v>1.0</v>
      </c>
      <c r="S244" s="182">
        <v>7.0</v>
      </c>
      <c r="T244" s="182">
        <v>5.0</v>
      </c>
      <c r="U244" s="182">
        <v>1.0</v>
      </c>
      <c r="V244" s="182">
        <v>0.0</v>
      </c>
      <c r="W244" s="182">
        <v>1.0</v>
      </c>
      <c r="X244" s="182">
        <v>5.0</v>
      </c>
      <c r="Y244" s="182">
        <v>7.0</v>
      </c>
      <c r="Z244" s="182">
        <v>1.0</v>
      </c>
      <c r="AA244" s="182">
        <v>6.0</v>
      </c>
      <c r="AB244" s="182" t="s">
        <v>743</v>
      </c>
      <c r="AC244" s="182" t="s">
        <v>1176</v>
      </c>
      <c r="AD244" s="182" t="s">
        <v>768</v>
      </c>
      <c r="AE244" s="182" t="s">
        <v>888</v>
      </c>
      <c r="AF244" s="182" t="s">
        <v>770</v>
      </c>
      <c r="AG244" s="182" t="s">
        <v>839</v>
      </c>
      <c r="AH244" s="182">
        <v>309.0</v>
      </c>
    </row>
    <row r="245">
      <c r="A245" s="182">
        <v>207516.0</v>
      </c>
      <c r="B245" s="182">
        <v>91433.0</v>
      </c>
      <c r="C245" s="182" t="s">
        <v>998</v>
      </c>
      <c r="D245" s="182" t="s">
        <v>45</v>
      </c>
      <c r="E245" s="182">
        <v>17807.0</v>
      </c>
      <c r="F245" s="182" t="s">
        <v>187</v>
      </c>
      <c r="G245" s="182">
        <v>7198.0</v>
      </c>
      <c r="H245" s="182" t="s">
        <v>410</v>
      </c>
      <c r="I245" s="182">
        <v>2.0</v>
      </c>
      <c r="J245" s="182">
        <v>13.0</v>
      </c>
      <c r="K245" s="182">
        <v>7.0</v>
      </c>
      <c r="L245" s="182">
        <v>6.0</v>
      </c>
      <c r="M245" s="182">
        <v>6.0</v>
      </c>
      <c r="N245" s="182">
        <v>2.0</v>
      </c>
      <c r="O245" s="182">
        <v>1.0</v>
      </c>
      <c r="P245" s="182">
        <v>1.0</v>
      </c>
      <c r="Q245" s="182">
        <v>7.0</v>
      </c>
      <c r="R245" s="182">
        <v>1.0</v>
      </c>
      <c r="S245" s="182">
        <v>6.0</v>
      </c>
      <c r="T245" s="182">
        <v>6.0</v>
      </c>
      <c r="U245" s="182">
        <v>0.0</v>
      </c>
      <c r="V245" s="182">
        <v>0.0</v>
      </c>
      <c r="W245" s="182">
        <v>0.0</v>
      </c>
      <c r="X245" s="182">
        <v>6.0</v>
      </c>
      <c r="Y245" s="182">
        <v>6.0</v>
      </c>
      <c r="Z245" s="182">
        <v>1.0</v>
      </c>
      <c r="AA245" s="182">
        <v>7.0</v>
      </c>
      <c r="AB245" s="182" t="s">
        <v>743</v>
      </c>
      <c r="AC245" s="182" t="s">
        <v>1176</v>
      </c>
      <c r="AD245" s="182" t="s">
        <v>1165</v>
      </c>
      <c r="AE245" s="182" t="s">
        <v>886</v>
      </c>
      <c r="AF245" s="182" t="s">
        <v>1167</v>
      </c>
      <c r="AG245" s="182" t="s">
        <v>1137</v>
      </c>
      <c r="AH245" s="182">
        <v>309.0</v>
      </c>
    </row>
    <row r="246">
      <c r="A246" s="182">
        <v>208062.0</v>
      </c>
      <c r="B246" s="182">
        <v>91668.0</v>
      </c>
      <c r="C246" s="182" t="s">
        <v>1177</v>
      </c>
      <c r="D246" s="182" t="s">
        <v>40</v>
      </c>
      <c r="E246" s="182">
        <v>18392.0</v>
      </c>
      <c r="F246" s="182" t="s">
        <v>181</v>
      </c>
      <c r="G246" s="182">
        <v>17237.0</v>
      </c>
      <c r="H246" s="182" t="s">
        <v>475</v>
      </c>
      <c r="I246" s="182">
        <v>1.0</v>
      </c>
      <c r="J246" s="182">
        <v>13.0</v>
      </c>
      <c r="K246" s="182">
        <v>11.0</v>
      </c>
      <c r="L246" s="182">
        <v>7.0</v>
      </c>
      <c r="M246" s="182">
        <v>5.0</v>
      </c>
      <c r="N246" s="182">
        <v>1.0</v>
      </c>
      <c r="O246" s="182">
        <v>0.0</v>
      </c>
      <c r="P246" s="182">
        <v>1.0</v>
      </c>
      <c r="Q246" s="182">
        <v>7.0</v>
      </c>
      <c r="R246" s="182">
        <v>5.0</v>
      </c>
      <c r="S246" s="182">
        <v>6.0</v>
      </c>
      <c r="T246" s="182">
        <v>6.0</v>
      </c>
      <c r="U246" s="182">
        <v>1.0</v>
      </c>
      <c r="V246" s="182">
        <v>0.0</v>
      </c>
      <c r="W246" s="182">
        <v>1.0</v>
      </c>
      <c r="X246" s="182">
        <v>6.0</v>
      </c>
      <c r="Y246" s="182">
        <v>6.0</v>
      </c>
      <c r="Z246" s="182">
        <v>5.0</v>
      </c>
      <c r="AA246" s="182">
        <v>7.0</v>
      </c>
      <c r="AB246" s="182" t="s">
        <v>743</v>
      </c>
      <c r="AC246" s="182" t="s">
        <v>1178</v>
      </c>
      <c r="AD246" s="182" t="s">
        <v>907</v>
      </c>
      <c r="AE246" s="182" t="s">
        <v>1179</v>
      </c>
      <c r="AF246" s="182" t="s">
        <v>793</v>
      </c>
      <c r="AG246" s="182" t="s">
        <v>1180</v>
      </c>
      <c r="AH246" s="182">
        <v>309.0</v>
      </c>
    </row>
    <row r="247">
      <c r="A247" s="182">
        <v>207510.0</v>
      </c>
      <c r="B247" s="182">
        <v>91431.0</v>
      </c>
      <c r="C247" s="182" t="s">
        <v>1032</v>
      </c>
      <c r="D247" s="182" t="s">
        <v>36</v>
      </c>
      <c r="E247" s="182">
        <v>14291.0</v>
      </c>
      <c r="F247" s="182" t="s">
        <v>183</v>
      </c>
      <c r="G247" s="182">
        <v>7033.0</v>
      </c>
      <c r="H247" s="182" t="s">
        <v>465</v>
      </c>
      <c r="I247" s="182">
        <v>1.0</v>
      </c>
      <c r="J247" s="182">
        <v>17.0</v>
      </c>
      <c r="K247" s="182">
        <v>15.0</v>
      </c>
      <c r="L247" s="182">
        <v>7.0</v>
      </c>
      <c r="M247" s="182">
        <v>5.0</v>
      </c>
      <c r="N247" s="182">
        <v>1.0</v>
      </c>
      <c r="O247" s="182">
        <v>0.0</v>
      </c>
      <c r="P247" s="182">
        <v>1.0</v>
      </c>
      <c r="Q247" s="182">
        <v>9.0</v>
      </c>
      <c r="R247" s="182">
        <v>7.0</v>
      </c>
      <c r="S247" s="182">
        <v>8.0</v>
      </c>
      <c r="T247" s="182">
        <v>8.0</v>
      </c>
      <c r="U247" s="182">
        <v>1.0</v>
      </c>
      <c r="V247" s="182">
        <v>0.0</v>
      </c>
      <c r="W247" s="182">
        <v>1.0</v>
      </c>
      <c r="X247" s="182">
        <v>8.0</v>
      </c>
      <c r="Y247" s="182">
        <v>8.0</v>
      </c>
      <c r="Z247" s="182">
        <v>7.0</v>
      </c>
      <c r="AA247" s="182">
        <v>9.0</v>
      </c>
      <c r="AB247" s="182" t="s">
        <v>743</v>
      </c>
      <c r="AC247" s="182" t="s">
        <v>1181</v>
      </c>
      <c r="AD247" s="182" t="s">
        <v>840</v>
      </c>
      <c r="AE247" s="182" t="s">
        <v>1182</v>
      </c>
      <c r="AF247" s="182" t="s">
        <v>836</v>
      </c>
      <c r="AG247" s="182" t="s">
        <v>902</v>
      </c>
      <c r="AH247" s="182">
        <v>309.0</v>
      </c>
    </row>
    <row r="248">
      <c r="A248" s="182">
        <v>207509.0</v>
      </c>
      <c r="B248" s="182">
        <v>91431.0</v>
      </c>
      <c r="C248" s="182" t="s">
        <v>1032</v>
      </c>
      <c r="D248" s="182" t="s">
        <v>32</v>
      </c>
      <c r="E248" s="182">
        <v>14291.0</v>
      </c>
      <c r="F248" s="182" t="s">
        <v>183</v>
      </c>
      <c r="G248" s="182">
        <v>7033.0</v>
      </c>
      <c r="H248" s="182" t="s">
        <v>465</v>
      </c>
      <c r="I248" s="182">
        <v>1.0</v>
      </c>
      <c r="J248" s="182">
        <v>8.0</v>
      </c>
      <c r="K248" s="182">
        <v>13.0</v>
      </c>
      <c r="L248" s="182">
        <v>5.0</v>
      </c>
      <c r="M248" s="182">
        <v>7.0</v>
      </c>
      <c r="N248" s="182">
        <v>0.0</v>
      </c>
      <c r="O248" s="182">
        <v>0.0</v>
      </c>
      <c r="P248" s="182">
        <v>0.0</v>
      </c>
      <c r="Q248" s="182">
        <v>5.0</v>
      </c>
      <c r="R248" s="182">
        <v>7.0</v>
      </c>
      <c r="S248" s="182">
        <v>3.0</v>
      </c>
      <c r="T248" s="182">
        <v>6.0</v>
      </c>
      <c r="U248" s="182">
        <v>2.0</v>
      </c>
      <c r="V248" s="182">
        <v>1.0</v>
      </c>
      <c r="W248" s="182">
        <v>1.0</v>
      </c>
      <c r="X248" s="182">
        <v>6.0</v>
      </c>
      <c r="Y248" s="182">
        <v>3.0</v>
      </c>
      <c r="Z248" s="182">
        <v>7.0</v>
      </c>
      <c r="AA248" s="182">
        <v>5.0</v>
      </c>
      <c r="AB248" s="182" t="s">
        <v>743</v>
      </c>
      <c r="AC248" s="182" t="s">
        <v>1181</v>
      </c>
      <c r="AD248" s="182" t="s">
        <v>927</v>
      </c>
      <c r="AE248" s="182" t="s">
        <v>848</v>
      </c>
      <c r="AF248" s="182" t="s">
        <v>794</v>
      </c>
      <c r="AG248" s="182" t="s">
        <v>752</v>
      </c>
      <c r="AH248" s="182">
        <v>309.0</v>
      </c>
    </row>
    <row r="249">
      <c r="A249" s="182">
        <v>207805.0</v>
      </c>
      <c r="B249" s="182">
        <v>91581.0</v>
      </c>
      <c r="C249" s="182" t="s">
        <v>1183</v>
      </c>
      <c r="D249" s="182" t="s">
        <v>38</v>
      </c>
      <c r="E249" s="182">
        <v>10739.0</v>
      </c>
      <c r="F249" s="182" t="s">
        <v>467</v>
      </c>
      <c r="G249" s="182">
        <v>5293.0</v>
      </c>
      <c r="H249" s="182" t="s">
        <v>186</v>
      </c>
      <c r="I249" s="182">
        <v>2.0</v>
      </c>
      <c r="J249" s="182">
        <v>13.0</v>
      </c>
      <c r="K249" s="182">
        <v>11.0</v>
      </c>
      <c r="L249" s="182">
        <v>4.0</v>
      </c>
      <c r="M249" s="182">
        <v>8.0</v>
      </c>
      <c r="N249" s="182">
        <v>1.0</v>
      </c>
      <c r="O249" s="182">
        <v>1.0</v>
      </c>
      <c r="P249" s="182">
        <v>0.0</v>
      </c>
      <c r="Q249" s="182">
        <v>9.0</v>
      </c>
      <c r="R249" s="182">
        <v>3.0</v>
      </c>
      <c r="S249" s="182">
        <v>4.0</v>
      </c>
      <c r="T249" s="182">
        <v>8.0</v>
      </c>
      <c r="U249" s="182">
        <v>1.0</v>
      </c>
      <c r="V249" s="182">
        <v>1.0</v>
      </c>
      <c r="W249" s="182">
        <v>0.0</v>
      </c>
      <c r="X249" s="182">
        <v>8.0</v>
      </c>
      <c r="Y249" s="182">
        <v>4.0</v>
      </c>
      <c r="Z249" s="182">
        <v>3.0</v>
      </c>
      <c r="AA249" s="182">
        <v>9.0</v>
      </c>
      <c r="AB249" s="182" t="s">
        <v>743</v>
      </c>
      <c r="AC249" s="182" t="s">
        <v>1181</v>
      </c>
      <c r="AD249" s="182" t="s">
        <v>1184</v>
      </c>
      <c r="AE249" s="182" t="s">
        <v>814</v>
      </c>
      <c r="AF249" s="182" t="s">
        <v>926</v>
      </c>
      <c r="AG249" s="182" t="s">
        <v>751</v>
      </c>
      <c r="AH249" s="182">
        <v>309.0</v>
      </c>
    </row>
    <row r="250">
      <c r="A250" s="182">
        <v>207508.0</v>
      </c>
      <c r="B250" s="182">
        <v>91431.0</v>
      </c>
      <c r="C250" s="182" t="s">
        <v>1032</v>
      </c>
      <c r="D250" s="182" t="s">
        <v>40</v>
      </c>
      <c r="E250" s="182">
        <v>14291.0</v>
      </c>
      <c r="F250" s="182" t="s">
        <v>183</v>
      </c>
      <c r="G250" s="182">
        <v>7033.0</v>
      </c>
      <c r="H250" s="182" t="s">
        <v>465</v>
      </c>
      <c r="I250" s="182">
        <v>1.0</v>
      </c>
      <c r="J250" s="182">
        <v>13.0</v>
      </c>
      <c r="K250" s="182">
        <v>7.0</v>
      </c>
      <c r="L250" s="182">
        <v>7.0</v>
      </c>
      <c r="M250" s="182">
        <v>5.0</v>
      </c>
      <c r="N250" s="182">
        <v>1.0</v>
      </c>
      <c r="O250" s="182">
        <v>1.0</v>
      </c>
      <c r="P250" s="182">
        <v>0.0</v>
      </c>
      <c r="Q250" s="182">
        <v>7.0</v>
      </c>
      <c r="R250" s="182">
        <v>5.0</v>
      </c>
      <c r="S250" s="182">
        <v>6.0</v>
      </c>
      <c r="T250" s="182">
        <v>2.0</v>
      </c>
      <c r="U250" s="182">
        <v>1.0</v>
      </c>
      <c r="V250" s="182">
        <v>1.0</v>
      </c>
      <c r="W250" s="182">
        <v>0.0</v>
      </c>
      <c r="X250" s="182">
        <v>2.0</v>
      </c>
      <c r="Y250" s="182">
        <v>6.0</v>
      </c>
      <c r="Z250" s="182">
        <v>5.0</v>
      </c>
      <c r="AA250" s="182">
        <v>7.0</v>
      </c>
      <c r="AB250" s="182" t="s">
        <v>743</v>
      </c>
      <c r="AC250" s="182" t="s">
        <v>1181</v>
      </c>
      <c r="AD250" s="182" t="s">
        <v>851</v>
      </c>
      <c r="AE250" s="182" t="s">
        <v>1185</v>
      </c>
      <c r="AF250" s="182" t="s">
        <v>1040</v>
      </c>
      <c r="AG250" s="182" t="s">
        <v>771</v>
      </c>
      <c r="AH250" s="182">
        <v>309.0</v>
      </c>
    </row>
    <row r="251">
      <c r="A251" s="182">
        <v>207804.0</v>
      </c>
      <c r="B251" s="182">
        <v>91581.0</v>
      </c>
      <c r="C251" s="182" t="s">
        <v>1183</v>
      </c>
      <c r="D251" s="182" t="s">
        <v>32</v>
      </c>
      <c r="E251" s="182">
        <v>10739.0</v>
      </c>
      <c r="F251" s="182" t="s">
        <v>467</v>
      </c>
      <c r="G251" s="182">
        <v>5293.0</v>
      </c>
      <c r="H251" s="182" t="s">
        <v>186</v>
      </c>
      <c r="I251" s="182">
        <v>2.0</v>
      </c>
      <c r="J251" s="182">
        <v>11.0</v>
      </c>
      <c r="K251" s="182">
        <v>13.0</v>
      </c>
      <c r="L251" s="182">
        <v>3.0</v>
      </c>
      <c r="M251" s="182">
        <v>9.0</v>
      </c>
      <c r="N251" s="182">
        <v>1.0</v>
      </c>
      <c r="O251" s="182">
        <v>1.0</v>
      </c>
      <c r="P251" s="182">
        <v>0.0</v>
      </c>
      <c r="Q251" s="182">
        <v>8.0</v>
      </c>
      <c r="R251" s="182">
        <v>4.0</v>
      </c>
      <c r="S251" s="182">
        <v>3.0</v>
      </c>
      <c r="T251" s="182">
        <v>9.0</v>
      </c>
      <c r="U251" s="182">
        <v>1.0</v>
      </c>
      <c r="V251" s="182">
        <v>1.0</v>
      </c>
      <c r="W251" s="182">
        <v>0.0</v>
      </c>
      <c r="X251" s="182">
        <v>9.0</v>
      </c>
      <c r="Y251" s="182">
        <v>3.0</v>
      </c>
      <c r="Z251" s="182">
        <v>4.0</v>
      </c>
      <c r="AA251" s="182">
        <v>8.0</v>
      </c>
      <c r="AB251" s="182" t="s">
        <v>743</v>
      </c>
      <c r="AC251" s="182" t="s">
        <v>1181</v>
      </c>
      <c r="AD251" s="182" t="s">
        <v>1186</v>
      </c>
      <c r="AE251" s="182" t="s">
        <v>814</v>
      </c>
      <c r="AF251" s="182" t="s">
        <v>752</v>
      </c>
      <c r="AG251" s="182" t="s">
        <v>816</v>
      </c>
      <c r="AH251" s="182">
        <v>309.0</v>
      </c>
    </row>
    <row r="252">
      <c r="A252" s="182">
        <v>205625.0</v>
      </c>
      <c r="B252" s="182">
        <v>90707.0</v>
      </c>
      <c r="C252" s="182" t="s">
        <v>1187</v>
      </c>
      <c r="D252" s="182" t="s">
        <v>40</v>
      </c>
      <c r="E252" s="182">
        <v>4561.0</v>
      </c>
      <c r="F252" s="182" t="s">
        <v>184</v>
      </c>
      <c r="G252" s="182">
        <v>19007.0</v>
      </c>
      <c r="H252" s="182" t="s">
        <v>1188</v>
      </c>
      <c r="I252" s="182">
        <v>2.0</v>
      </c>
      <c r="J252" s="182">
        <v>13.0</v>
      </c>
      <c r="K252" s="182">
        <v>6.0</v>
      </c>
      <c r="L252" s="182">
        <v>6.0</v>
      </c>
      <c r="M252" s="182">
        <v>6.0</v>
      </c>
      <c r="N252" s="182">
        <v>1.0</v>
      </c>
      <c r="O252" s="182">
        <v>1.0</v>
      </c>
      <c r="P252" s="182">
        <v>0.0</v>
      </c>
      <c r="Q252" s="182">
        <v>7.0</v>
      </c>
      <c r="R252" s="182">
        <v>0.0</v>
      </c>
      <c r="S252" s="182">
        <v>6.0</v>
      </c>
      <c r="T252" s="182">
        <v>6.0</v>
      </c>
      <c r="U252" s="182">
        <v>1.0</v>
      </c>
      <c r="V252" s="182">
        <v>1.0</v>
      </c>
      <c r="W252" s="182">
        <v>0.0</v>
      </c>
      <c r="X252" s="182">
        <v>6.0</v>
      </c>
      <c r="Y252" s="182">
        <v>6.0</v>
      </c>
      <c r="Z252" s="182">
        <v>0.0</v>
      </c>
      <c r="AA252" s="182">
        <v>7.0</v>
      </c>
      <c r="AB252" s="182" t="s">
        <v>743</v>
      </c>
      <c r="AC252" s="182" t="s">
        <v>1181</v>
      </c>
      <c r="AD252" s="182" t="s">
        <v>776</v>
      </c>
      <c r="AE252" s="182" t="s">
        <v>1189</v>
      </c>
      <c r="AF252" s="182" t="s">
        <v>771</v>
      </c>
      <c r="AG252" s="182" t="s">
        <v>777</v>
      </c>
      <c r="AH252" s="182">
        <v>309.0</v>
      </c>
    </row>
    <row r="253">
      <c r="A253" s="182">
        <v>207803.0</v>
      </c>
      <c r="B253" s="182">
        <v>91581.0</v>
      </c>
      <c r="C253" s="182" t="s">
        <v>1183</v>
      </c>
      <c r="D253" s="182" t="s">
        <v>40</v>
      </c>
      <c r="E253" s="182">
        <v>10739.0</v>
      </c>
      <c r="F253" s="182" t="s">
        <v>467</v>
      </c>
      <c r="G253" s="182">
        <v>5293.0</v>
      </c>
      <c r="H253" s="182" t="s">
        <v>186</v>
      </c>
      <c r="I253" s="182">
        <v>1.0</v>
      </c>
      <c r="J253" s="182">
        <v>13.0</v>
      </c>
      <c r="K253" s="182">
        <v>7.0</v>
      </c>
      <c r="L253" s="182">
        <v>7.0</v>
      </c>
      <c r="M253" s="182">
        <v>5.0</v>
      </c>
      <c r="N253" s="182">
        <v>2.0</v>
      </c>
      <c r="O253" s="182">
        <v>1.0</v>
      </c>
      <c r="P253" s="182">
        <v>1.0</v>
      </c>
      <c r="Q253" s="182">
        <v>7.0</v>
      </c>
      <c r="R253" s="182">
        <v>5.0</v>
      </c>
      <c r="S253" s="182">
        <v>6.0</v>
      </c>
      <c r="T253" s="182">
        <v>2.0</v>
      </c>
      <c r="U253" s="182">
        <v>0.0</v>
      </c>
      <c r="V253" s="182">
        <v>0.0</v>
      </c>
      <c r="W253" s="182">
        <v>0.0</v>
      </c>
      <c r="X253" s="182">
        <v>2.0</v>
      </c>
      <c r="Y253" s="182">
        <v>6.0</v>
      </c>
      <c r="Z253" s="182">
        <v>5.0</v>
      </c>
      <c r="AA253" s="182">
        <v>7.0</v>
      </c>
      <c r="AB253" s="182" t="s">
        <v>743</v>
      </c>
      <c r="AC253" s="182" t="s">
        <v>1181</v>
      </c>
      <c r="AD253" s="182" t="s">
        <v>1190</v>
      </c>
      <c r="AE253" s="182" t="s">
        <v>814</v>
      </c>
      <c r="AF253" s="182" t="s">
        <v>1020</v>
      </c>
      <c r="AG253" s="182" t="s">
        <v>751</v>
      </c>
      <c r="AH253" s="182">
        <v>309.0</v>
      </c>
    </row>
    <row r="254">
      <c r="A254" s="182">
        <v>205624.0</v>
      </c>
      <c r="B254" s="182">
        <v>90707.0</v>
      </c>
      <c r="C254" s="182" t="s">
        <v>1187</v>
      </c>
      <c r="D254" s="182" t="s">
        <v>36</v>
      </c>
      <c r="E254" s="182">
        <v>4561.0</v>
      </c>
      <c r="F254" s="182" t="s">
        <v>184</v>
      </c>
      <c r="G254" s="182">
        <v>19007.0</v>
      </c>
      <c r="H254" s="182" t="s">
        <v>1188</v>
      </c>
      <c r="I254" s="182">
        <v>2.0</v>
      </c>
      <c r="J254" s="182">
        <v>13.0</v>
      </c>
      <c r="K254" s="182">
        <v>4.0</v>
      </c>
      <c r="L254" s="182">
        <v>10.0</v>
      </c>
      <c r="M254" s="182">
        <v>2.0</v>
      </c>
      <c r="N254" s="182">
        <v>1.0</v>
      </c>
      <c r="O254" s="182">
        <v>0.0</v>
      </c>
      <c r="P254" s="182">
        <v>1.0</v>
      </c>
      <c r="Q254" s="182">
        <v>3.0</v>
      </c>
      <c r="R254" s="182">
        <v>2.0</v>
      </c>
      <c r="S254" s="182">
        <v>10.0</v>
      </c>
      <c r="T254" s="182">
        <v>2.0</v>
      </c>
      <c r="U254" s="182">
        <v>1.0</v>
      </c>
      <c r="V254" s="182">
        <v>0.0</v>
      </c>
      <c r="W254" s="182">
        <v>1.0</v>
      </c>
      <c r="X254" s="182">
        <v>2.0</v>
      </c>
      <c r="Y254" s="182">
        <v>10.0</v>
      </c>
      <c r="Z254" s="182">
        <v>2.0</v>
      </c>
      <c r="AA254" s="182">
        <v>3.0</v>
      </c>
      <c r="AB254" s="182" t="s">
        <v>743</v>
      </c>
      <c r="AC254" s="182" t="s">
        <v>1181</v>
      </c>
      <c r="AD254" s="182" t="s">
        <v>1191</v>
      </c>
      <c r="AE254" s="182" t="s">
        <v>1192</v>
      </c>
      <c r="AF254" s="182" t="s">
        <v>1017</v>
      </c>
      <c r="AG254" s="182" t="s">
        <v>1193</v>
      </c>
      <c r="AH254" s="182">
        <v>309.0</v>
      </c>
    </row>
    <row r="255">
      <c r="A255" s="182">
        <v>208061.0</v>
      </c>
      <c r="B255" s="182">
        <v>91667.0</v>
      </c>
      <c r="C255" s="182" t="s">
        <v>1177</v>
      </c>
      <c r="D255" s="182" t="s">
        <v>38</v>
      </c>
      <c r="E255" s="182">
        <v>18392.0</v>
      </c>
      <c r="F255" s="182" t="s">
        <v>181</v>
      </c>
      <c r="G255" s="182">
        <v>14607.0</v>
      </c>
      <c r="H255" s="182" t="s">
        <v>450</v>
      </c>
      <c r="I255" s="182">
        <v>1.0</v>
      </c>
      <c r="J255" s="182">
        <v>13.0</v>
      </c>
      <c r="K255" s="182">
        <v>9.0</v>
      </c>
      <c r="L255" s="182">
        <v>7.0</v>
      </c>
      <c r="M255" s="182">
        <v>5.0</v>
      </c>
      <c r="N255" s="182">
        <v>1.0</v>
      </c>
      <c r="O255" s="182">
        <v>1.0</v>
      </c>
      <c r="P255" s="182">
        <v>0.0</v>
      </c>
      <c r="Q255" s="182">
        <v>7.0</v>
      </c>
      <c r="R255" s="182">
        <v>5.0</v>
      </c>
      <c r="S255" s="182">
        <v>6.0</v>
      </c>
      <c r="T255" s="182">
        <v>4.0</v>
      </c>
      <c r="U255" s="182">
        <v>1.0</v>
      </c>
      <c r="V255" s="182">
        <v>1.0</v>
      </c>
      <c r="W255" s="182">
        <v>0.0</v>
      </c>
      <c r="X255" s="182">
        <v>4.0</v>
      </c>
      <c r="Y255" s="182">
        <v>6.0</v>
      </c>
      <c r="Z255" s="182">
        <v>5.0</v>
      </c>
      <c r="AA255" s="182">
        <v>7.0</v>
      </c>
      <c r="AB255" s="182" t="s">
        <v>743</v>
      </c>
      <c r="AC255" s="182" t="s">
        <v>1181</v>
      </c>
      <c r="AD255" s="182" t="s">
        <v>924</v>
      </c>
      <c r="AE255" s="182" t="s">
        <v>983</v>
      </c>
      <c r="AF255" s="182" t="s">
        <v>882</v>
      </c>
      <c r="AG255" s="182" t="s">
        <v>751</v>
      </c>
      <c r="AH255" s="182">
        <v>309.0</v>
      </c>
    </row>
    <row r="256">
      <c r="A256" s="182">
        <v>207801.0</v>
      </c>
      <c r="B256" s="182">
        <v>91580.0</v>
      </c>
      <c r="C256" s="182" t="s">
        <v>1183</v>
      </c>
      <c r="D256" s="182" t="s">
        <v>36</v>
      </c>
      <c r="E256" s="182">
        <v>4220.0</v>
      </c>
      <c r="F256" s="182" t="s">
        <v>471</v>
      </c>
      <c r="G256" s="182">
        <v>18501.0</v>
      </c>
      <c r="H256" s="182" t="s">
        <v>188</v>
      </c>
      <c r="I256" s="182">
        <v>2.0</v>
      </c>
      <c r="J256" s="182">
        <v>13.0</v>
      </c>
      <c r="K256" s="182">
        <v>7.0</v>
      </c>
      <c r="L256" s="182">
        <v>8.0</v>
      </c>
      <c r="M256" s="182">
        <v>4.0</v>
      </c>
      <c r="N256" s="182">
        <v>1.0</v>
      </c>
      <c r="O256" s="182">
        <v>0.0</v>
      </c>
      <c r="P256" s="182">
        <v>1.0</v>
      </c>
      <c r="Q256" s="182">
        <v>5.0</v>
      </c>
      <c r="R256" s="182">
        <v>3.0</v>
      </c>
      <c r="S256" s="182">
        <v>8.0</v>
      </c>
      <c r="T256" s="182">
        <v>4.0</v>
      </c>
      <c r="U256" s="182">
        <v>1.0</v>
      </c>
      <c r="V256" s="182">
        <v>0.0</v>
      </c>
      <c r="W256" s="182">
        <v>1.0</v>
      </c>
      <c r="X256" s="182">
        <v>4.0</v>
      </c>
      <c r="Y256" s="182">
        <v>8.0</v>
      </c>
      <c r="Z256" s="182">
        <v>3.0</v>
      </c>
      <c r="AA256" s="182">
        <v>5.0</v>
      </c>
      <c r="AB256" s="182" t="s">
        <v>743</v>
      </c>
      <c r="AC256" s="182" t="s">
        <v>1181</v>
      </c>
      <c r="AD256" s="182" t="s">
        <v>1194</v>
      </c>
      <c r="AE256" s="182" t="s">
        <v>958</v>
      </c>
      <c r="AF256" s="182" t="s">
        <v>836</v>
      </c>
      <c r="AG256" s="182" t="s">
        <v>761</v>
      </c>
      <c r="AH256" s="182">
        <v>309.0</v>
      </c>
    </row>
    <row r="257">
      <c r="A257" s="182">
        <v>208057.0</v>
      </c>
      <c r="B257" s="182">
        <v>91665.0</v>
      </c>
      <c r="C257" s="182" t="s">
        <v>1177</v>
      </c>
      <c r="D257" s="182" t="s">
        <v>43</v>
      </c>
      <c r="E257" s="182">
        <v>17237.0</v>
      </c>
      <c r="F257" s="182" t="s">
        <v>475</v>
      </c>
      <c r="G257" s="182">
        <v>18392.0</v>
      </c>
      <c r="H257" s="182" t="s">
        <v>181</v>
      </c>
      <c r="I257" s="182">
        <v>2.0</v>
      </c>
      <c r="J257" s="182">
        <v>6.0</v>
      </c>
      <c r="K257" s="182">
        <v>13.0</v>
      </c>
      <c r="L257" s="182">
        <v>4.0</v>
      </c>
      <c r="M257" s="182">
        <v>8.0</v>
      </c>
      <c r="N257" s="182">
        <v>1.0</v>
      </c>
      <c r="O257" s="182">
        <v>1.0</v>
      </c>
      <c r="P257" s="182">
        <v>0.0</v>
      </c>
      <c r="Q257" s="182">
        <v>2.0</v>
      </c>
      <c r="R257" s="182">
        <v>5.0</v>
      </c>
      <c r="S257" s="182">
        <v>4.0</v>
      </c>
      <c r="T257" s="182">
        <v>8.0</v>
      </c>
      <c r="U257" s="182">
        <v>1.0</v>
      </c>
      <c r="V257" s="182">
        <v>1.0</v>
      </c>
      <c r="W257" s="182">
        <v>0.0</v>
      </c>
      <c r="X257" s="182">
        <v>8.0</v>
      </c>
      <c r="Y257" s="182">
        <v>4.0</v>
      </c>
      <c r="Z257" s="182">
        <v>5.0</v>
      </c>
      <c r="AA257" s="182">
        <v>2.0</v>
      </c>
      <c r="AB257" s="182" t="s">
        <v>743</v>
      </c>
      <c r="AC257" s="182" t="s">
        <v>1181</v>
      </c>
      <c r="AD257" s="182" t="s">
        <v>1195</v>
      </c>
      <c r="AE257" s="182" t="s">
        <v>924</v>
      </c>
      <c r="AF257" s="182" t="s">
        <v>1196</v>
      </c>
      <c r="AG257" s="182" t="s">
        <v>1196</v>
      </c>
      <c r="AH257" s="182">
        <v>309.0</v>
      </c>
    </row>
    <row r="258">
      <c r="A258" s="182">
        <v>207800.0</v>
      </c>
      <c r="B258" s="182">
        <v>91580.0</v>
      </c>
      <c r="C258" s="182" t="s">
        <v>1183</v>
      </c>
      <c r="D258" s="182" t="s">
        <v>38</v>
      </c>
      <c r="E258" s="182">
        <v>4220.0</v>
      </c>
      <c r="F258" s="182" t="s">
        <v>471</v>
      </c>
      <c r="G258" s="182">
        <v>18501.0</v>
      </c>
      <c r="H258" s="182" t="s">
        <v>188</v>
      </c>
      <c r="I258" s="182">
        <v>2.0</v>
      </c>
      <c r="J258" s="182">
        <v>13.0</v>
      </c>
      <c r="K258" s="182">
        <v>3.0</v>
      </c>
      <c r="L258" s="182">
        <v>9.0</v>
      </c>
      <c r="M258" s="182">
        <v>3.0</v>
      </c>
      <c r="N258" s="182">
        <v>2.0</v>
      </c>
      <c r="O258" s="182">
        <v>1.0</v>
      </c>
      <c r="P258" s="182">
        <v>1.0</v>
      </c>
      <c r="Q258" s="182">
        <v>4.0</v>
      </c>
      <c r="R258" s="182">
        <v>0.0</v>
      </c>
      <c r="S258" s="182">
        <v>9.0</v>
      </c>
      <c r="T258" s="182">
        <v>3.0</v>
      </c>
      <c r="U258" s="182">
        <v>0.0</v>
      </c>
      <c r="V258" s="182">
        <v>0.0</v>
      </c>
      <c r="W258" s="182">
        <v>0.0</v>
      </c>
      <c r="X258" s="182">
        <v>3.0</v>
      </c>
      <c r="Y258" s="182">
        <v>9.0</v>
      </c>
      <c r="Z258" s="182">
        <v>0.0</v>
      </c>
      <c r="AA258" s="182">
        <v>4.0</v>
      </c>
      <c r="AB258" s="182" t="s">
        <v>743</v>
      </c>
      <c r="AC258" s="182" t="s">
        <v>1181</v>
      </c>
      <c r="AD258" s="182" t="s">
        <v>1197</v>
      </c>
      <c r="AE258" s="182" t="s">
        <v>809</v>
      </c>
      <c r="AF258" s="182" t="s">
        <v>882</v>
      </c>
      <c r="AG258" s="182" t="s">
        <v>810</v>
      </c>
      <c r="AH258" s="182">
        <v>309.0</v>
      </c>
    </row>
    <row r="259">
      <c r="A259" s="182">
        <v>208056.0</v>
      </c>
      <c r="B259" s="182">
        <v>91665.0</v>
      </c>
      <c r="C259" s="182" t="s">
        <v>1177</v>
      </c>
      <c r="D259" s="182" t="s">
        <v>45</v>
      </c>
      <c r="E259" s="182">
        <v>17237.0</v>
      </c>
      <c r="F259" s="182" t="s">
        <v>475</v>
      </c>
      <c r="G259" s="182">
        <v>18392.0</v>
      </c>
      <c r="H259" s="182" t="s">
        <v>181</v>
      </c>
      <c r="I259" s="182">
        <v>2.0</v>
      </c>
      <c r="J259" s="182">
        <v>15.0</v>
      </c>
      <c r="K259" s="182">
        <v>13.0</v>
      </c>
      <c r="L259" s="182">
        <v>5.0</v>
      </c>
      <c r="M259" s="182">
        <v>7.0</v>
      </c>
      <c r="N259" s="182">
        <v>1.0</v>
      </c>
      <c r="O259" s="182">
        <v>0.0</v>
      </c>
      <c r="P259" s="182">
        <v>1.0</v>
      </c>
      <c r="Q259" s="182">
        <v>8.0</v>
      </c>
      <c r="R259" s="182">
        <v>6.0</v>
      </c>
      <c r="S259" s="182">
        <v>7.0</v>
      </c>
      <c r="T259" s="182">
        <v>7.0</v>
      </c>
      <c r="U259" s="182">
        <v>1.0</v>
      </c>
      <c r="V259" s="182">
        <v>0.0</v>
      </c>
      <c r="W259" s="182">
        <v>1.0</v>
      </c>
      <c r="X259" s="182">
        <v>7.0</v>
      </c>
      <c r="Y259" s="182">
        <v>7.0</v>
      </c>
      <c r="Z259" s="182">
        <v>6.0</v>
      </c>
      <c r="AA259" s="182">
        <v>8.0</v>
      </c>
      <c r="AB259" s="182" t="s">
        <v>743</v>
      </c>
      <c r="AC259" s="182" t="s">
        <v>1181</v>
      </c>
      <c r="AD259" s="182" t="s">
        <v>1198</v>
      </c>
      <c r="AE259" s="182" t="s">
        <v>907</v>
      </c>
      <c r="AF259" s="182" t="s">
        <v>1065</v>
      </c>
      <c r="AG259" s="182" t="s">
        <v>1199</v>
      </c>
      <c r="AH259" s="182">
        <v>309.0</v>
      </c>
    </row>
    <row r="260">
      <c r="A260" s="182">
        <v>208055.0</v>
      </c>
      <c r="B260" s="182">
        <v>91665.0</v>
      </c>
      <c r="C260" s="182" t="s">
        <v>1177</v>
      </c>
      <c r="D260" s="182" t="s">
        <v>40</v>
      </c>
      <c r="E260" s="182">
        <v>17237.0</v>
      </c>
      <c r="F260" s="182" t="s">
        <v>475</v>
      </c>
      <c r="G260" s="182">
        <v>18392.0</v>
      </c>
      <c r="H260" s="182" t="s">
        <v>181</v>
      </c>
      <c r="I260" s="182">
        <v>2.0</v>
      </c>
      <c r="J260" s="182">
        <v>9.0</v>
      </c>
      <c r="K260" s="182">
        <v>13.0</v>
      </c>
      <c r="L260" s="182">
        <v>5.0</v>
      </c>
      <c r="M260" s="182">
        <v>7.0</v>
      </c>
      <c r="N260" s="182">
        <v>1.0</v>
      </c>
      <c r="O260" s="182">
        <v>0.0</v>
      </c>
      <c r="P260" s="182">
        <v>1.0</v>
      </c>
      <c r="Q260" s="182">
        <v>4.0</v>
      </c>
      <c r="R260" s="182">
        <v>6.0</v>
      </c>
      <c r="S260" s="182">
        <v>5.0</v>
      </c>
      <c r="T260" s="182">
        <v>7.0</v>
      </c>
      <c r="U260" s="182">
        <v>1.0</v>
      </c>
      <c r="V260" s="182">
        <v>0.0</v>
      </c>
      <c r="W260" s="182">
        <v>1.0</v>
      </c>
      <c r="X260" s="182">
        <v>7.0</v>
      </c>
      <c r="Y260" s="182">
        <v>5.0</v>
      </c>
      <c r="Z260" s="182">
        <v>6.0</v>
      </c>
      <c r="AA260" s="182">
        <v>4.0</v>
      </c>
      <c r="AB260" s="182" t="s">
        <v>743</v>
      </c>
      <c r="AC260" s="182" t="s">
        <v>1181</v>
      </c>
      <c r="AD260" s="182" t="s">
        <v>1200</v>
      </c>
      <c r="AE260" s="182" t="s">
        <v>907</v>
      </c>
      <c r="AF260" s="182" t="s">
        <v>1004</v>
      </c>
      <c r="AG260" s="182" t="s">
        <v>793</v>
      </c>
      <c r="AH260" s="182">
        <v>309.0</v>
      </c>
    </row>
    <row r="261">
      <c r="A261" s="182">
        <v>208047.0</v>
      </c>
      <c r="B261" s="182">
        <v>91662.0</v>
      </c>
      <c r="C261" s="182" t="s">
        <v>1177</v>
      </c>
      <c r="D261" s="182" t="s">
        <v>32</v>
      </c>
      <c r="E261" s="182">
        <v>17436.0</v>
      </c>
      <c r="F261" s="182" t="s">
        <v>1201</v>
      </c>
      <c r="G261" s="182">
        <v>18392.0</v>
      </c>
      <c r="H261" s="182" t="s">
        <v>181</v>
      </c>
      <c r="I261" s="182">
        <v>2.0</v>
      </c>
      <c r="J261" s="182">
        <v>3.0</v>
      </c>
      <c r="K261" s="182">
        <v>13.0</v>
      </c>
      <c r="L261" s="182">
        <v>3.0</v>
      </c>
      <c r="M261" s="182">
        <v>9.0</v>
      </c>
      <c r="N261" s="182">
        <v>1.0</v>
      </c>
      <c r="O261" s="182">
        <v>0.0</v>
      </c>
      <c r="P261" s="182">
        <v>1.0</v>
      </c>
      <c r="Q261" s="182">
        <v>0.0</v>
      </c>
      <c r="R261" s="182">
        <v>4.0</v>
      </c>
      <c r="S261" s="182">
        <v>3.0</v>
      </c>
      <c r="T261" s="182">
        <v>9.0</v>
      </c>
      <c r="U261" s="182">
        <v>1.0</v>
      </c>
      <c r="V261" s="182">
        <v>0.0</v>
      </c>
      <c r="W261" s="182">
        <v>1.0</v>
      </c>
      <c r="X261" s="182">
        <v>9.0</v>
      </c>
      <c r="Y261" s="182">
        <v>3.0</v>
      </c>
      <c r="Z261" s="182">
        <v>4.0</v>
      </c>
      <c r="AA261" s="182">
        <v>0.0</v>
      </c>
      <c r="AB261" s="182" t="s">
        <v>743</v>
      </c>
      <c r="AC261" s="182" t="s">
        <v>1202</v>
      </c>
      <c r="AD261" s="182" t="s">
        <v>1203</v>
      </c>
      <c r="AE261" s="182" t="s">
        <v>928</v>
      </c>
      <c r="AF261" s="182" t="s">
        <v>1204</v>
      </c>
      <c r="AG261" s="182" t="s">
        <v>751</v>
      </c>
      <c r="AH261" s="182">
        <v>309.0</v>
      </c>
    </row>
    <row r="262">
      <c r="A262" s="182">
        <v>208046.0</v>
      </c>
      <c r="B262" s="182">
        <v>91662.0</v>
      </c>
      <c r="C262" s="182" t="s">
        <v>1177</v>
      </c>
      <c r="D262" s="182" t="s">
        <v>40</v>
      </c>
      <c r="E262" s="182">
        <v>17436.0</v>
      </c>
      <c r="F262" s="182" t="s">
        <v>1201</v>
      </c>
      <c r="G262" s="182">
        <v>18392.0</v>
      </c>
      <c r="H262" s="182" t="s">
        <v>181</v>
      </c>
      <c r="I262" s="182">
        <v>1.0</v>
      </c>
      <c r="J262" s="182">
        <v>12.0</v>
      </c>
      <c r="K262" s="182">
        <v>14.0</v>
      </c>
      <c r="L262" s="182">
        <v>8.0</v>
      </c>
      <c r="M262" s="182">
        <v>4.0</v>
      </c>
      <c r="N262" s="182">
        <v>2.0</v>
      </c>
      <c r="O262" s="182">
        <v>1.0</v>
      </c>
      <c r="P262" s="182">
        <v>1.0</v>
      </c>
      <c r="Q262" s="182">
        <v>8.0</v>
      </c>
      <c r="R262" s="182">
        <v>5.0</v>
      </c>
      <c r="S262" s="182">
        <v>4.0</v>
      </c>
      <c r="T262" s="182">
        <v>9.0</v>
      </c>
      <c r="U262" s="182">
        <v>0.0</v>
      </c>
      <c r="V262" s="182">
        <v>0.0</v>
      </c>
      <c r="W262" s="182">
        <v>0.0</v>
      </c>
      <c r="X262" s="182">
        <v>9.0</v>
      </c>
      <c r="Y262" s="182">
        <v>4.0</v>
      </c>
      <c r="Z262" s="182">
        <v>5.0</v>
      </c>
      <c r="AA262" s="182">
        <v>8.0</v>
      </c>
      <c r="AB262" s="182" t="s">
        <v>743</v>
      </c>
      <c r="AC262" s="182" t="s">
        <v>1202</v>
      </c>
      <c r="AD262" s="182" t="s">
        <v>1205</v>
      </c>
      <c r="AE262" s="182" t="s">
        <v>907</v>
      </c>
      <c r="AF262" s="182" t="s">
        <v>1206</v>
      </c>
      <c r="AG262" s="182" t="s">
        <v>793</v>
      </c>
      <c r="AH262" s="182">
        <v>309.0</v>
      </c>
    </row>
    <row r="263">
      <c r="A263" s="182">
        <v>208033.0</v>
      </c>
      <c r="B263" s="182">
        <v>91657.0</v>
      </c>
      <c r="C263" s="182" t="s">
        <v>1177</v>
      </c>
      <c r="D263" s="182" t="s">
        <v>38</v>
      </c>
      <c r="E263" s="182">
        <v>18392.0</v>
      </c>
      <c r="F263" s="182" t="s">
        <v>181</v>
      </c>
      <c r="G263" s="182">
        <v>19322.0</v>
      </c>
      <c r="H263" s="182" t="s">
        <v>479</v>
      </c>
      <c r="I263" s="182">
        <v>1.0</v>
      </c>
      <c r="J263" s="182">
        <v>13.0</v>
      </c>
      <c r="K263" s="182">
        <v>7.0</v>
      </c>
      <c r="L263" s="182">
        <v>7.0</v>
      </c>
      <c r="M263" s="182">
        <v>5.0</v>
      </c>
      <c r="N263" s="182">
        <v>1.0</v>
      </c>
      <c r="O263" s="182">
        <v>0.0</v>
      </c>
      <c r="P263" s="182">
        <v>1.0</v>
      </c>
      <c r="Q263" s="182">
        <v>7.0</v>
      </c>
      <c r="R263" s="182">
        <v>5.0</v>
      </c>
      <c r="S263" s="182">
        <v>6.0</v>
      </c>
      <c r="T263" s="182">
        <v>2.0</v>
      </c>
      <c r="U263" s="182">
        <v>1.0</v>
      </c>
      <c r="V263" s="182">
        <v>0.0</v>
      </c>
      <c r="W263" s="182">
        <v>1.0</v>
      </c>
      <c r="X263" s="182">
        <v>2.0</v>
      </c>
      <c r="Y263" s="182">
        <v>6.0</v>
      </c>
      <c r="Z263" s="182">
        <v>5.0</v>
      </c>
      <c r="AA263" s="182">
        <v>7.0</v>
      </c>
      <c r="AB263" s="182" t="s">
        <v>743</v>
      </c>
      <c r="AC263" s="182" t="s">
        <v>1202</v>
      </c>
      <c r="AD263" s="182" t="s">
        <v>924</v>
      </c>
      <c r="AE263" s="182" t="s">
        <v>1207</v>
      </c>
      <c r="AF263" s="182" t="s">
        <v>882</v>
      </c>
      <c r="AG263" s="182" t="s">
        <v>1208</v>
      </c>
      <c r="AH263" s="182">
        <v>309.0</v>
      </c>
    </row>
    <row r="264">
      <c r="A264" s="182">
        <v>208032.0</v>
      </c>
      <c r="B264" s="182">
        <v>91657.0</v>
      </c>
      <c r="C264" s="182" t="s">
        <v>1177</v>
      </c>
      <c r="D264" s="182" t="s">
        <v>32</v>
      </c>
      <c r="E264" s="182">
        <v>18392.0</v>
      </c>
      <c r="F264" s="182" t="s">
        <v>181</v>
      </c>
      <c r="G264" s="182">
        <v>19322.0</v>
      </c>
      <c r="H264" s="182" t="s">
        <v>479</v>
      </c>
      <c r="I264" s="182">
        <v>1.0</v>
      </c>
      <c r="J264" s="182">
        <v>13.0</v>
      </c>
      <c r="K264" s="182">
        <v>4.0</v>
      </c>
      <c r="L264" s="182">
        <v>8.0</v>
      </c>
      <c r="M264" s="182">
        <v>4.0</v>
      </c>
      <c r="N264" s="182">
        <v>2.0</v>
      </c>
      <c r="O264" s="182">
        <v>1.0</v>
      </c>
      <c r="P264" s="182">
        <v>1.0</v>
      </c>
      <c r="Q264" s="182">
        <v>8.0</v>
      </c>
      <c r="R264" s="182">
        <v>4.0</v>
      </c>
      <c r="S264" s="182">
        <v>5.0</v>
      </c>
      <c r="T264" s="182">
        <v>0.0</v>
      </c>
      <c r="U264" s="182">
        <v>0.0</v>
      </c>
      <c r="V264" s="182">
        <v>0.0</v>
      </c>
      <c r="W264" s="182">
        <v>0.0</v>
      </c>
      <c r="X264" s="182">
        <v>0.0</v>
      </c>
      <c r="Y264" s="182">
        <v>5.0</v>
      </c>
      <c r="Z264" s="182">
        <v>4.0</v>
      </c>
      <c r="AA264" s="182">
        <v>8.0</v>
      </c>
      <c r="AB264" s="182" t="s">
        <v>743</v>
      </c>
      <c r="AC264" s="182" t="s">
        <v>1202</v>
      </c>
      <c r="AD264" s="182" t="s">
        <v>928</v>
      </c>
      <c r="AE264" s="182" t="s">
        <v>1209</v>
      </c>
      <c r="AF264" s="182" t="s">
        <v>751</v>
      </c>
      <c r="AG264" s="182" t="s">
        <v>1210</v>
      </c>
      <c r="AH264" s="182">
        <v>309.0</v>
      </c>
    </row>
    <row r="265">
      <c r="A265" s="182">
        <v>208031.0</v>
      </c>
      <c r="B265" s="182">
        <v>91657.0</v>
      </c>
      <c r="C265" s="182" t="s">
        <v>1177</v>
      </c>
      <c r="D265" s="182" t="s">
        <v>227</v>
      </c>
      <c r="E265" s="182">
        <v>18392.0</v>
      </c>
      <c r="F265" s="182" t="s">
        <v>181</v>
      </c>
      <c r="G265" s="182">
        <v>19322.0</v>
      </c>
      <c r="H265" s="182" t="s">
        <v>479</v>
      </c>
      <c r="I265" s="182">
        <v>2.0</v>
      </c>
      <c r="J265" s="182">
        <v>9.0</v>
      </c>
      <c r="K265" s="182">
        <v>13.0</v>
      </c>
      <c r="L265" s="182">
        <v>8.0</v>
      </c>
      <c r="M265" s="182">
        <v>4.0</v>
      </c>
      <c r="N265" s="182">
        <v>1.0</v>
      </c>
      <c r="O265" s="182">
        <v>0.0</v>
      </c>
      <c r="P265" s="182">
        <v>1.0</v>
      </c>
      <c r="Q265" s="182">
        <v>1.0</v>
      </c>
      <c r="R265" s="182">
        <v>9.0</v>
      </c>
      <c r="S265" s="182">
        <v>8.0</v>
      </c>
      <c r="T265" s="182">
        <v>4.0</v>
      </c>
      <c r="U265" s="182">
        <v>1.0</v>
      </c>
      <c r="V265" s="182">
        <v>0.0</v>
      </c>
      <c r="W265" s="182">
        <v>1.0</v>
      </c>
      <c r="X265" s="182">
        <v>4.0</v>
      </c>
      <c r="Y265" s="182">
        <v>8.0</v>
      </c>
      <c r="Z265" s="182">
        <v>9.0</v>
      </c>
      <c r="AA265" s="182">
        <v>1.0</v>
      </c>
      <c r="AB265" s="182" t="s">
        <v>743</v>
      </c>
      <c r="AC265" s="182" t="s">
        <v>1202</v>
      </c>
      <c r="AD265" s="182" t="s">
        <v>1211</v>
      </c>
      <c r="AE265" s="182" t="s">
        <v>1209</v>
      </c>
      <c r="AF265" s="182" t="s">
        <v>1212</v>
      </c>
      <c r="AG265" s="182" t="s">
        <v>1213</v>
      </c>
      <c r="AH265" s="182">
        <v>309.0</v>
      </c>
    </row>
    <row r="266">
      <c r="A266" s="182">
        <v>204952.0</v>
      </c>
      <c r="B266" s="182">
        <v>90469.0</v>
      </c>
      <c r="C266" s="182" t="s">
        <v>1187</v>
      </c>
      <c r="D266" s="182" t="s">
        <v>40</v>
      </c>
      <c r="E266" s="182">
        <v>4561.0</v>
      </c>
      <c r="F266" s="182" t="s">
        <v>184</v>
      </c>
      <c r="G266" s="182">
        <v>3551.0</v>
      </c>
      <c r="H266" s="182" t="s">
        <v>1214</v>
      </c>
      <c r="I266" s="182">
        <v>1.0</v>
      </c>
      <c r="J266" s="182">
        <v>13.0</v>
      </c>
      <c r="K266" s="182">
        <v>4.0</v>
      </c>
      <c r="L266" s="182">
        <v>8.0</v>
      </c>
      <c r="M266" s="182">
        <v>4.0</v>
      </c>
      <c r="N266" s="182">
        <v>2.0</v>
      </c>
      <c r="O266" s="182">
        <v>1.0</v>
      </c>
      <c r="P266" s="182">
        <v>1.0</v>
      </c>
      <c r="Q266" s="182">
        <v>8.0</v>
      </c>
      <c r="R266" s="182">
        <v>4.0</v>
      </c>
      <c r="S266" s="182">
        <v>5.0</v>
      </c>
      <c r="T266" s="182">
        <v>0.0</v>
      </c>
      <c r="U266" s="182">
        <v>0.0</v>
      </c>
      <c r="V266" s="182">
        <v>0.0</v>
      </c>
      <c r="W266" s="182">
        <v>0.0</v>
      </c>
      <c r="X266" s="182">
        <v>0.0</v>
      </c>
      <c r="Y266" s="182">
        <v>5.0</v>
      </c>
      <c r="Z266" s="182">
        <v>4.0</v>
      </c>
      <c r="AA266" s="182">
        <v>8.0</v>
      </c>
      <c r="AB266" s="182" t="s">
        <v>743</v>
      </c>
      <c r="AC266" s="182" t="s">
        <v>1215</v>
      </c>
      <c r="AD266" s="182" t="s">
        <v>776</v>
      </c>
      <c r="AE266" s="182" t="s">
        <v>1216</v>
      </c>
      <c r="AF266" s="182" t="s">
        <v>771</v>
      </c>
      <c r="AG266" s="182" t="s">
        <v>1217</v>
      </c>
      <c r="AH266" s="182">
        <v>309.0</v>
      </c>
    </row>
    <row r="267">
      <c r="A267" s="182">
        <v>204951.0</v>
      </c>
      <c r="B267" s="182">
        <v>90469.0</v>
      </c>
      <c r="C267" s="182" t="s">
        <v>1187</v>
      </c>
      <c r="D267" s="182" t="s">
        <v>32</v>
      </c>
      <c r="E267" s="182">
        <v>4561.0</v>
      </c>
      <c r="F267" s="182" t="s">
        <v>184</v>
      </c>
      <c r="G267" s="182">
        <v>3551.0</v>
      </c>
      <c r="H267" s="182" t="s">
        <v>1214</v>
      </c>
      <c r="I267" s="182">
        <v>2.0</v>
      </c>
      <c r="J267" s="182">
        <v>13.0</v>
      </c>
      <c r="K267" s="182">
        <v>7.0</v>
      </c>
      <c r="L267" s="182">
        <v>7.0</v>
      </c>
      <c r="M267" s="182">
        <v>5.0</v>
      </c>
      <c r="N267" s="182">
        <v>1.0</v>
      </c>
      <c r="O267" s="182">
        <v>0.0</v>
      </c>
      <c r="P267" s="182">
        <v>1.0</v>
      </c>
      <c r="Q267" s="182">
        <v>6.0</v>
      </c>
      <c r="R267" s="182">
        <v>2.0</v>
      </c>
      <c r="S267" s="182">
        <v>7.0</v>
      </c>
      <c r="T267" s="182">
        <v>5.0</v>
      </c>
      <c r="U267" s="182">
        <v>1.0</v>
      </c>
      <c r="V267" s="182">
        <v>0.0</v>
      </c>
      <c r="W267" s="182">
        <v>1.0</v>
      </c>
      <c r="X267" s="182">
        <v>5.0</v>
      </c>
      <c r="Y267" s="182">
        <v>7.0</v>
      </c>
      <c r="Z267" s="182">
        <v>2.0</v>
      </c>
      <c r="AA267" s="182">
        <v>6.0</v>
      </c>
      <c r="AB267" s="182" t="s">
        <v>743</v>
      </c>
      <c r="AC267" s="182" t="s">
        <v>1215</v>
      </c>
      <c r="AD267" s="182" t="s">
        <v>1068</v>
      </c>
      <c r="AE267" s="182" t="s">
        <v>1218</v>
      </c>
      <c r="AF267" s="182" t="s">
        <v>816</v>
      </c>
      <c r="AG267" s="182" t="s">
        <v>1219</v>
      </c>
      <c r="AH267" s="182">
        <v>309.0</v>
      </c>
    </row>
    <row r="268">
      <c r="A268" s="182">
        <v>207311.0</v>
      </c>
      <c r="B268" s="182">
        <v>91356.0</v>
      </c>
      <c r="C268" s="182" t="s">
        <v>1220</v>
      </c>
      <c r="D268" s="182" t="s">
        <v>38</v>
      </c>
      <c r="E268" s="182">
        <v>299.0</v>
      </c>
      <c r="F268" s="182" t="s">
        <v>185</v>
      </c>
      <c r="G268" s="182">
        <v>4561.0</v>
      </c>
      <c r="H268" s="182" t="s">
        <v>184</v>
      </c>
      <c r="I268" s="182">
        <v>2.0</v>
      </c>
      <c r="J268" s="182">
        <v>9.0</v>
      </c>
      <c r="K268" s="182">
        <v>13.0</v>
      </c>
      <c r="L268" s="182">
        <v>4.0</v>
      </c>
      <c r="M268" s="182">
        <v>8.0</v>
      </c>
      <c r="N268" s="182">
        <v>2.0</v>
      </c>
      <c r="O268" s="182">
        <v>1.0</v>
      </c>
      <c r="P268" s="182">
        <v>1.0</v>
      </c>
      <c r="Q268" s="182">
        <v>5.0</v>
      </c>
      <c r="R268" s="182">
        <v>5.0</v>
      </c>
      <c r="S268" s="182">
        <v>4.0</v>
      </c>
      <c r="T268" s="182">
        <v>8.0</v>
      </c>
      <c r="U268" s="182">
        <v>0.0</v>
      </c>
      <c r="V268" s="182">
        <v>0.0</v>
      </c>
      <c r="W268" s="182">
        <v>0.0</v>
      </c>
      <c r="X268" s="182">
        <v>8.0</v>
      </c>
      <c r="Y268" s="182">
        <v>4.0</v>
      </c>
      <c r="Z268" s="182">
        <v>5.0</v>
      </c>
      <c r="AA268" s="182">
        <v>5.0</v>
      </c>
      <c r="AB268" s="182" t="s">
        <v>743</v>
      </c>
      <c r="AC268" s="182" t="s">
        <v>1221</v>
      </c>
      <c r="AD268" s="182" t="s">
        <v>1222</v>
      </c>
      <c r="AE268" s="182" t="s">
        <v>1223</v>
      </c>
      <c r="AF268" s="182" t="s">
        <v>898</v>
      </c>
      <c r="AG268" s="182" t="s">
        <v>751</v>
      </c>
      <c r="AH268" s="182">
        <v>309.0</v>
      </c>
    </row>
    <row r="269">
      <c r="A269" s="182">
        <v>207310.0</v>
      </c>
      <c r="B269" s="182">
        <v>91356.0</v>
      </c>
      <c r="C269" s="182" t="s">
        <v>1220</v>
      </c>
      <c r="D269" s="182" t="s">
        <v>227</v>
      </c>
      <c r="E269" s="182">
        <v>299.0</v>
      </c>
      <c r="F269" s="182" t="s">
        <v>185</v>
      </c>
      <c r="G269" s="182">
        <v>4561.0</v>
      </c>
      <c r="H269" s="182" t="s">
        <v>184</v>
      </c>
      <c r="I269" s="182">
        <v>2.0</v>
      </c>
      <c r="J269" s="182">
        <v>8.0</v>
      </c>
      <c r="K269" s="182">
        <v>13.0</v>
      </c>
      <c r="L269" s="182">
        <v>4.0</v>
      </c>
      <c r="M269" s="182">
        <v>8.0</v>
      </c>
      <c r="N269" s="182">
        <v>1.0</v>
      </c>
      <c r="O269" s="182">
        <v>1.0</v>
      </c>
      <c r="P269" s="182">
        <v>0.0</v>
      </c>
      <c r="Q269" s="182">
        <v>4.0</v>
      </c>
      <c r="R269" s="182">
        <v>5.0</v>
      </c>
      <c r="S269" s="182">
        <v>4.0</v>
      </c>
      <c r="T269" s="182">
        <v>8.0</v>
      </c>
      <c r="U269" s="182">
        <v>1.0</v>
      </c>
      <c r="V269" s="182">
        <v>1.0</v>
      </c>
      <c r="W269" s="182">
        <v>0.0</v>
      </c>
      <c r="X269" s="182">
        <v>8.0</v>
      </c>
      <c r="Y269" s="182">
        <v>4.0</v>
      </c>
      <c r="Z269" s="182">
        <v>5.0</v>
      </c>
      <c r="AA269" s="182">
        <v>4.0</v>
      </c>
      <c r="AB269" s="182" t="s">
        <v>743</v>
      </c>
      <c r="AC269" s="182" t="s">
        <v>1221</v>
      </c>
      <c r="AD269" s="182" t="s">
        <v>1224</v>
      </c>
      <c r="AE269" s="182" t="s">
        <v>1225</v>
      </c>
      <c r="AF269" s="182" t="s">
        <v>859</v>
      </c>
      <c r="AG269" s="182" t="s">
        <v>859</v>
      </c>
      <c r="AH269" s="182">
        <v>309.0</v>
      </c>
    </row>
    <row r="270">
      <c r="A270" s="182">
        <v>207309.0</v>
      </c>
      <c r="B270" s="182">
        <v>91356.0</v>
      </c>
      <c r="C270" s="182" t="s">
        <v>1220</v>
      </c>
      <c r="D270" s="182" t="s">
        <v>36</v>
      </c>
      <c r="E270" s="182">
        <v>299.0</v>
      </c>
      <c r="F270" s="182" t="s">
        <v>185</v>
      </c>
      <c r="G270" s="182">
        <v>4561.0</v>
      </c>
      <c r="H270" s="182" t="s">
        <v>184</v>
      </c>
      <c r="I270" s="182">
        <v>2.0</v>
      </c>
      <c r="J270" s="182">
        <v>13.0</v>
      </c>
      <c r="K270" s="182">
        <v>4.0</v>
      </c>
      <c r="L270" s="182">
        <v>10.0</v>
      </c>
      <c r="M270" s="182">
        <v>2.0</v>
      </c>
      <c r="N270" s="182">
        <v>1.0</v>
      </c>
      <c r="O270" s="182">
        <v>0.0</v>
      </c>
      <c r="P270" s="182">
        <v>1.0</v>
      </c>
      <c r="Q270" s="182">
        <v>3.0</v>
      </c>
      <c r="R270" s="182">
        <v>2.0</v>
      </c>
      <c r="S270" s="182">
        <v>10.0</v>
      </c>
      <c r="T270" s="182">
        <v>2.0</v>
      </c>
      <c r="U270" s="182">
        <v>1.0</v>
      </c>
      <c r="V270" s="182">
        <v>0.0</v>
      </c>
      <c r="W270" s="182">
        <v>1.0</v>
      </c>
      <c r="X270" s="182">
        <v>2.0</v>
      </c>
      <c r="Y270" s="182">
        <v>10.0</v>
      </c>
      <c r="Z270" s="182">
        <v>2.0</v>
      </c>
      <c r="AA270" s="182">
        <v>3.0</v>
      </c>
      <c r="AB270" s="182" t="s">
        <v>743</v>
      </c>
      <c r="AC270" s="182" t="s">
        <v>1221</v>
      </c>
      <c r="AD270" s="182" t="s">
        <v>1226</v>
      </c>
      <c r="AE270" s="182" t="s">
        <v>1227</v>
      </c>
      <c r="AF270" s="182" t="s">
        <v>760</v>
      </c>
      <c r="AG270" s="182" t="s">
        <v>1017</v>
      </c>
      <c r="AH270" s="182">
        <v>309.0</v>
      </c>
    </row>
    <row r="271">
      <c r="A271" s="182">
        <v>207515.0</v>
      </c>
      <c r="B271" s="182">
        <v>91432.0</v>
      </c>
      <c r="C271" s="182" t="s">
        <v>1228</v>
      </c>
      <c r="D271" s="182" t="s">
        <v>32</v>
      </c>
      <c r="E271" s="182">
        <v>5293.0</v>
      </c>
      <c r="F271" s="182" t="s">
        <v>186</v>
      </c>
      <c r="G271" s="182">
        <v>4878.0</v>
      </c>
      <c r="H271" s="182" t="s">
        <v>480</v>
      </c>
      <c r="I271" s="182">
        <v>1.0</v>
      </c>
      <c r="J271" s="182">
        <v>13.0</v>
      </c>
      <c r="K271" s="182">
        <v>11.0</v>
      </c>
      <c r="L271" s="182">
        <v>5.0</v>
      </c>
      <c r="M271" s="182">
        <v>7.0</v>
      </c>
      <c r="N271" s="182">
        <v>1.0</v>
      </c>
      <c r="O271" s="182">
        <v>0.0</v>
      </c>
      <c r="P271" s="182">
        <v>1.0</v>
      </c>
      <c r="Q271" s="182">
        <v>5.0</v>
      </c>
      <c r="R271" s="182">
        <v>7.0</v>
      </c>
      <c r="S271" s="182">
        <v>8.0</v>
      </c>
      <c r="T271" s="182">
        <v>4.0</v>
      </c>
      <c r="U271" s="182">
        <v>1.0</v>
      </c>
      <c r="V271" s="182">
        <v>0.0</v>
      </c>
      <c r="W271" s="182">
        <v>1.0</v>
      </c>
      <c r="X271" s="182">
        <v>4.0</v>
      </c>
      <c r="Y271" s="182">
        <v>8.0</v>
      </c>
      <c r="Z271" s="182">
        <v>7.0</v>
      </c>
      <c r="AA271" s="182">
        <v>5.0</v>
      </c>
      <c r="AB271" s="182" t="s">
        <v>743</v>
      </c>
      <c r="AC271" s="182" t="s">
        <v>1221</v>
      </c>
      <c r="AD271" s="182" t="s">
        <v>814</v>
      </c>
      <c r="AE271" s="182" t="s">
        <v>865</v>
      </c>
      <c r="AF271" s="182" t="s">
        <v>816</v>
      </c>
      <c r="AG271" s="182" t="s">
        <v>31</v>
      </c>
      <c r="AH271" s="182">
        <v>309.0</v>
      </c>
    </row>
    <row r="272">
      <c r="A272" s="182">
        <v>207308.0</v>
      </c>
      <c r="B272" s="182">
        <v>91356.0</v>
      </c>
      <c r="C272" s="182" t="s">
        <v>1220</v>
      </c>
      <c r="D272" s="182" t="s">
        <v>45</v>
      </c>
      <c r="E272" s="182">
        <v>299.0</v>
      </c>
      <c r="F272" s="182" t="s">
        <v>185</v>
      </c>
      <c r="G272" s="182">
        <v>4561.0</v>
      </c>
      <c r="H272" s="182" t="s">
        <v>184</v>
      </c>
      <c r="I272" s="182">
        <v>2.0</v>
      </c>
      <c r="J272" s="182">
        <v>11.0</v>
      </c>
      <c r="K272" s="182">
        <v>13.0</v>
      </c>
      <c r="L272" s="182">
        <v>8.0</v>
      </c>
      <c r="M272" s="182">
        <v>4.0</v>
      </c>
      <c r="N272" s="182">
        <v>1.0</v>
      </c>
      <c r="O272" s="182">
        <v>1.0</v>
      </c>
      <c r="P272" s="182">
        <v>0.0</v>
      </c>
      <c r="Q272" s="182">
        <v>3.0</v>
      </c>
      <c r="R272" s="182">
        <v>9.0</v>
      </c>
      <c r="S272" s="182">
        <v>8.0</v>
      </c>
      <c r="T272" s="182">
        <v>4.0</v>
      </c>
      <c r="U272" s="182">
        <v>1.0</v>
      </c>
      <c r="V272" s="182">
        <v>1.0</v>
      </c>
      <c r="W272" s="182">
        <v>0.0</v>
      </c>
      <c r="X272" s="182">
        <v>4.0</v>
      </c>
      <c r="Y272" s="182">
        <v>8.0</v>
      </c>
      <c r="Z272" s="182">
        <v>9.0</v>
      </c>
      <c r="AA272" s="182">
        <v>3.0</v>
      </c>
      <c r="AB272" s="182" t="s">
        <v>743</v>
      </c>
      <c r="AC272" s="182" t="s">
        <v>1221</v>
      </c>
      <c r="AD272" s="182" t="s">
        <v>1222</v>
      </c>
      <c r="AE272" s="182" t="s">
        <v>1229</v>
      </c>
      <c r="AF272" s="182" t="s">
        <v>1166</v>
      </c>
      <c r="AG272" s="182" t="s">
        <v>1137</v>
      </c>
      <c r="AH272" s="182">
        <v>309.0</v>
      </c>
    </row>
    <row r="273">
      <c r="A273" s="182">
        <v>207514.0</v>
      </c>
      <c r="B273" s="182">
        <v>91432.0</v>
      </c>
      <c r="C273" s="182" t="s">
        <v>1228</v>
      </c>
      <c r="D273" s="182" t="s">
        <v>45</v>
      </c>
      <c r="E273" s="182">
        <v>5293.0</v>
      </c>
      <c r="F273" s="182" t="s">
        <v>186</v>
      </c>
      <c r="G273" s="182">
        <v>4878.0</v>
      </c>
      <c r="H273" s="182" t="s">
        <v>480</v>
      </c>
      <c r="I273" s="182">
        <v>2.0</v>
      </c>
      <c r="J273" s="182">
        <v>13.0</v>
      </c>
      <c r="K273" s="182">
        <v>9.0</v>
      </c>
      <c r="L273" s="182">
        <v>7.0</v>
      </c>
      <c r="M273" s="182">
        <v>5.0</v>
      </c>
      <c r="N273" s="182">
        <v>1.0</v>
      </c>
      <c r="O273" s="182">
        <v>1.0</v>
      </c>
      <c r="P273" s="182">
        <v>0.0</v>
      </c>
      <c r="Q273" s="182">
        <v>6.0</v>
      </c>
      <c r="R273" s="182">
        <v>4.0</v>
      </c>
      <c r="S273" s="182">
        <v>7.0</v>
      </c>
      <c r="T273" s="182">
        <v>5.0</v>
      </c>
      <c r="U273" s="182">
        <v>1.0</v>
      </c>
      <c r="V273" s="182">
        <v>1.0</v>
      </c>
      <c r="W273" s="182">
        <v>0.0</v>
      </c>
      <c r="X273" s="182">
        <v>5.0</v>
      </c>
      <c r="Y273" s="182">
        <v>7.0</v>
      </c>
      <c r="Z273" s="182">
        <v>4.0</v>
      </c>
      <c r="AA273" s="182">
        <v>6.0</v>
      </c>
      <c r="AB273" s="182" t="s">
        <v>743</v>
      </c>
      <c r="AC273" s="182" t="s">
        <v>1221</v>
      </c>
      <c r="AD273" s="182" t="s">
        <v>1230</v>
      </c>
      <c r="AE273" s="182" t="s">
        <v>1231</v>
      </c>
      <c r="AF273" s="182" t="s">
        <v>1137</v>
      </c>
      <c r="AG273" s="182" t="s">
        <v>1137</v>
      </c>
      <c r="AH273" s="182">
        <v>309.0</v>
      </c>
    </row>
    <row r="274">
      <c r="A274" s="182">
        <v>207307.0</v>
      </c>
      <c r="B274" s="182">
        <v>91356.0</v>
      </c>
      <c r="C274" s="182" t="s">
        <v>1220</v>
      </c>
      <c r="D274" s="182" t="s">
        <v>32</v>
      </c>
      <c r="E274" s="182">
        <v>299.0</v>
      </c>
      <c r="F274" s="182" t="s">
        <v>185</v>
      </c>
      <c r="G274" s="182">
        <v>4561.0</v>
      </c>
      <c r="H274" s="182" t="s">
        <v>184</v>
      </c>
      <c r="I274" s="182">
        <v>2.0</v>
      </c>
      <c r="J274" s="182">
        <v>14.0</v>
      </c>
      <c r="K274" s="182">
        <v>12.0</v>
      </c>
      <c r="L274" s="182">
        <v>8.0</v>
      </c>
      <c r="M274" s="182">
        <v>4.0</v>
      </c>
      <c r="N274" s="182">
        <v>2.0</v>
      </c>
      <c r="O274" s="182">
        <v>1.0</v>
      </c>
      <c r="P274" s="182">
        <v>1.0</v>
      </c>
      <c r="Q274" s="182">
        <v>5.0</v>
      </c>
      <c r="R274" s="182">
        <v>8.0</v>
      </c>
      <c r="S274" s="182">
        <v>9.0</v>
      </c>
      <c r="T274" s="182">
        <v>4.0</v>
      </c>
      <c r="U274" s="182">
        <v>0.0</v>
      </c>
      <c r="V274" s="182">
        <v>0.0</v>
      </c>
      <c r="W274" s="182">
        <v>0.0</v>
      </c>
      <c r="X274" s="182">
        <v>4.0</v>
      </c>
      <c r="Y274" s="182">
        <v>9.0</v>
      </c>
      <c r="Z274" s="182">
        <v>8.0</v>
      </c>
      <c r="AA274" s="182">
        <v>5.0</v>
      </c>
      <c r="AB274" s="182" t="s">
        <v>743</v>
      </c>
      <c r="AC274" s="182" t="s">
        <v>1221</v>
      </c>
      <c r="AD274" s="182" t="s">
        <v>1232</v>
      </c>
      <c r="AE274" s="182" t="s">
        <v>1223</v>
      </c>
      <c r="AF274" s="182" t="s">
        <v>751</v>
      </c>
      <c r="AG274" s="182" t="s">
        <v>816</v>
      </c>
      <c r="AH274" s="182">
        <v>309.0</v>
      </c>
    </row>
    <row r="275">
      <c r="A275" s="182">
        <v>207513.0</v>
      </c>
      <c r="B275" s="182">
        <v>91432.0</v>
      </c>
      <c r="C275" s="182" t="s">
        <v>1228</v>
      </c>
      <c r="D275" s="182" t="s">
        <v>36</v>
      </c>
      <c r="E275" s="182">
        <v>5293.0</v>
      </c>
      <c r="F275" s="182" t="s">
        <v>186</v>
      </c>
      <c r="G275" s="182">
        <v>4878.0</v>
      </c>
      <c r="H275" s="182" t="s">
        <v>480</v>
      </c>
      <c r="I275" s="182">
        <v>1.0</v>
      </c>
      <c r="J275" s="182">
        <v>8.0</v>
      </c>
      <c r="K275" s="182">
        <v>13.0</v>
      </c>
      <c r="L275" s="182">
        <v>5.0</v>
      </c>
      <c r="M275" s="182">
        <v>7.0</v>
      </c>
      <c r="N275" s="182">
        <v>1.0</v>
      </c>
      <c r="O275" s="182">
        <v>1.0</v>
      </c>
      <c r="P275" s="182">
        <v>0.0</v>
      </c>
      <c r="Q275" s="182">
        <v>5.0</v>
      </c>
      <c r="R275" s="182">
        <v>7.0</v>
      </c>
      <c r="S275" s="182">
        <v>3.0</v>
      </c>
      <c r="T275" s="182">
        <v>6.0</v>
      </c>
      <c r="U275" s="182">
        <v>1.0</v>
      </c>
      <c r="V275" s="182">
        <v>1.0</v>
      </c>
      <c r="W275" s="182">
        <v>0.0</v>
      </c>
      <c r="X275" s="182">
        <v>6.0</v>
      </c>
      <c r="Y275" s="182">
        <v>3.0</v>
      </c>
      <c r="Z275" s="182">
        <v>7.0</v>
      </c>
      <c r="AA275" s="182">
        <v>5.0</v>
      </c>
      <c r="AB275" s="182" t="s">
        <v>743</v>
      </c>
      <c r="AC275" s="182" t="s">
        <v>1221</v>
      </c>
      <c r="AD275" s="182" t="s">
        <v>1233</v>
      </c>
      <c r="AE275" s="182" t="s">
        <v>1234</v>
      </c>
      <c r="AF275" s="182" t="s">
        <v>1235</v>
      </c>
      <c r="AG275" s="182" t="s">
        <v>761</v>
      </c>
      <c r="AH275" s="182">
        <v>309.0</v>
      </c>
    </row>
    <row r="276">
      <c r="A276" s="182">
        <v>207512.0</v>
      </c>
      <c r="B276" s="182">
        <v>91432.0</v>
      </c>
      <c r="C276" s="182" t="s">
        <v>1228</v>
      </c>
      <c r="D276" s="182" t="s">
        <v>38</v>
      </c>
      <c r="E276" s="182">
        <v>5293.0</v>
      </c>
      <c r="F276" s="182" t="s">
        <v>186</v>
      </c>
      <c r="G276" s="182">
        <v>4878.0</v>
      </c>
      <c r="H276" s="182" t="s">
        <v>480</v>
      </c>
      <c r="I276" s="182">
        <v>1.0</v>
      </c>
      <c r="J276" s="182">
        <v>4.0</v>
      </c>
      <c r="K276" s="182">
        <v>13.0</v>
      </c>
      <c r="L276" s="182">
        <v>2.0</v>
      </c>
      <c r="M276" s="182">
        <v>10.0</v>
      </c>
      <c r="N276" s="182">
        <v>0.0</v>
      </c>
      <c r="O276" s="182">
        <v>0.0</v>
      </c>
      <c r="P276" s="182">
        <v>0.0</v>
      </c>
      <c r="Q276" s="182">
        <v>2.0</v>
      </c>
      <c r="R276" s="182">
        <v>10.0</v>
      </c>
      <c r="S276" s="182">
        <v>2.0</v>
      </c>
      <c r="T276" s="182">
        <v>3.0</v>
      </c>
      <c r="U276" s="182">
        <v>2.0</v>
      </c>
      <c r="V276" s="182">
        <v>1.0</v>
      </c>
      <c r="W276" s="182">
        <v>1.0</v>
      </c>
      <c r="X276" s="182">
        <v>3.0</v>
      </c>
      <c r="Y276" s="182">
        <v>2.0</v>
      </c>
      <c r="Z276" s="182">
        <v>10.0</v>
      </c>
      <c r="AA276" s="182">
        <v>2.0</v>
      </c>
      <c r="AB276" s="182" t="s">
        <v>743</v>
      </c>
      <c r="AC276" s="182" t="s">
        <v>1221</v>
      </c>
      <c r="AD276" s="182" t="s">
        <v>814</v>
      </c>
      <c r="AE276" s="182" t="s">
        <v>865</v>
      </c>
      <c r="AF276" s="182" t="s">
        <v>751</v>
      </c>
      <c r="AG276" s="182" t="s">
        <v>31</v>
      </c>
      <c r="AH276" s="182">
        <v>309.0</v>
      </c>
    </row>
    <row r="277">
      <c r="A277" s="182">
        <v>207306.0</v>
      </c>
      <c r="B277" s="182">
        <v>91355.0</v>
      </c>
      <c r="C277" s="182" t="s">
        <v>1220</v>
      </c>
      <c r="D277" s="182" t="s">
        <v>40</v>
      </c>
      <c r="E277" s="182">
        <v>18676.0</v>
      </c>
      <c r="F277" s="182" t="s">
        <v>484</v>
      </c>
      <c r="G277" s="182">
        <v>4561.0</v>
      </c>
      <c r="H277" s="182" t="s">
        <v>184</v>
      </c>
      <c r="I277" s="182">
        <v>2.0</v>
      </c>
      <c r="J277" s="182">
        <v>14.0</v>
      </c>
      <c r="K277" s="182">
        <v>16.0</v>
      </c>
      <c r="L277" s="182">
        <v>4.0</v>
      </c>
      <c r="M277" s="182">
        <v>8.0</v>
      </c>
      <c r="N277" s="182">
        <v>0.0</v>
      </c>
      <c r="O277" s="182">
        <v>0.0</v>
      </c>
      <c r="P277" s="182">
        <v>0.0</v>
      </c>
      <c r="Q277" s="182">
        <v>8.0</v>
      </c>
      <c r="R277" s="182">
        <v>7.0</v>
      </c>
      <c r="S277" s="182">
        <v>6.0</v>
      </c>
      <c r="T277" s="182">
        <v>9.0</v>
      </c>
      <c r="U277" s="182">
        <v>2.0</v>
      </c>
      <c r="V277" s="182">
        <v>1.0</v>
      </c>
      <c r="W277" s="182">
        <v>1.0</v>
      </c>
      <c r="X277" s="182">
        <v>9.0</v>
      </c>
      <c r="Y277" s="182">
        <v>6.0</v>
      </c>
      <c r="Z277" s="182">
        <v>7.0</v>
      </c>
      <c r="AA277" s="182">
        <v>8.0</v>
      </c>
      <c r="AB277" s="182" t="s">
        <v>743</v>
      </c>
      <c r="AC277" s="182" t="s">
        <v>1221</v>
      </c>
      <c r="AD277" s="182" t="s">
        <v>1236</v>
      </c>
      <c r="AE277" s="182" t="s">
        <v>1237</v>
      </c>
      <c r="AF277" s="182" t="s">
        <v>1010</v>
      </c>
      <c r="AG277" s="182" t="s">
        <v>771</v>
      </c>
      <c r="AH277" s="182">
        <v>309.0</v>
      </c>
    </row>
    <row r="278">
      <c r="A278" s="182">
        <v>207511.0</v>
      </c>
      <c r="B278" s="182">
        <v>91432.0</v>
      </c>
      <c r="C278" s="182" t="s">
        <v>1228</v>
      </c>
      <c r="D278" s="182" t="s">
        <v>40</v>
      </c>
      <c r="E278" s="182">
        <v>5293.0</v>
      </c>
      <c r="F278" s="182" t="s">
        <v>186</v>
      </c>
      <c r="G278" s="182">
        <v>4878.0</v>
      </c>
      <c r="H278" s="182" t="s">
        <v>480</v>
      </c>
      <c r="I278" s="182">
        <v>1.0</v>
      </c>
      <c r="J278" s="182">
        <v>13.0</v>
      </c>
      <c r="K278" s="182">
        <v>9.0</v>
      </c>
      <c r="L278" s="182">
        <v>6.0</v>
      </c>
      <c r="M278" s="182">
        <v>6.0</v>
      </c>
      <c r="N278" s="182">
        <v>1.0</v>
      </c>
      <c r="O278" s="182">
        <v>0.0</v>
      </c>
      <c r="P278" s="182">
        <v>1.0</v>
      </c>
      <c r="Q278" s="182">
        <v>6.0</v>
      </c>
      <c r="R278" s="182">
        <v>6.0</v>
      </c>
      <c r="S278" s="182">
        <v>7.0</v>
      </c>
      <c r="T278" s="182">
        <v>3.0</v>
      </c>
      <c r="U278" s="182">
        <v>1.0</v>
      </c>
      <c r="V278" s="182">
        <v>0.0</v>
      </c>
      <c r="W278" s="182">
        <v>1.0</v>
      </c>
      <c r="X278" s="182">
        <v>3.0</v>
      </c>
      <c r="Y278" s="182">
        <v>7.0</v>
      </c>
      <c r="Z278" s="182">
        <v>6.0</v>
      </c>
      <c r="AA278" s="182">
        <v>6.0</v>
      </c>
      <c r="AB278" s="182" t="s">
        <v>743</v>
      </c>
      <c r="AC278" s="182" t="s">
        <v>1221</v>
      </c>
      <c r="AD278" s="182" t="s">
        <v>814</v>
      </c>
      <c r="AE278" s="182" t="s">
        <v>1101</v>
      </c>
      <c r="AF278" s="182" t="s">
        <v>751</v>
      </c>
      <c r="AG278" s="182" t="s">
        <v>1102</v>
      </c>
      <c r="AH278" s="182">
        <v>309.0</v>
      </c>
    </row>
    <row r="279">
      <c r="A279" s="182">
        <v>207305.0</v>
      </c>
      <c r="B279" s="182">
        <v>91355.0</v>
      </c>
      <c r="C279" s="182" t="s">
        <v>1220</v>
      </c>
      <c r="D279" s="182" t="s">
        <v>36</v>
      </c>
      <c r="E279" s="182">
        <v>18676.0</v>
      </c>
      <c r="F279" s="182" t="s">
        <v>484</v>
      </c>
      <c r="G279" s="182">
        <v>4561.0</v>
      </c>
      <c r="H279" s="182" t="s">
        <v>184</v>
      </c>
      <c r="I279" s="182">
        <v>2.0</v>
      </c>
      <c r="J279" s="182">
        <v>11.0</v>
      </c>
      <c r="K279" s="182">
        <v>13.0</v>
      </c>
      <c r="L279" s="182">
        <v>6.0</v>
      </c>
      <c r="M279" s="182">
        <v>6.0</v>
      </c>
      <c r="N279" s="182">
        <v>0.0</v>
      </c>
      <c r="O279" s="182">
        <v>0.0</v>
      </c>
      <c r="P279" s="182">
        <v>0.0</v>
      </c>
      <c r="Q279" s="182">
        <v>5.0</v>
      </c>
      <c r="R279" s="182">
        <v>7.0</v>
      </c>
      <c r="S279" s="182">
        <v>6.0</v>
      </c>
      <c r="T279" s="182">
        <v>6.0</v>
      </c>
      <c r="U279" s="182">
        <v>2.0</v>
      </c>
      <c r="V279" s="182">
        <v>1.0</v>
      </c>
      <c r="W279" s="182">
        <v>1.0</v>
      </c>
      <c r="X279" s="182">
        <v>6.0</v>
      </c>
      <c r="Y279" s="182">
        <v>6.0</v>
      </c>
      <c r="Z279" s="182">
        <v>7.0</v>
      </c>
      <c r="AA279" s="182">
        <v>5.0</v>
      </c>
      <c r="AB279" s="182" t="s">
        <v>743</v>
      </c>
      <c r="AC279" s="182" t="s">
        <v>1221</v>
      </c>
      <c r="AD279" s="182" t="s">
        <v>1238</v>
      </c>
      <c r="AE279" s="182" t="s">
        <v>1227</v>
      </c>
      <c r="AF279" s="182" t="s">
        <v>1193</v>
      </c>
      <c r="AG279" s="182" t="s">
        <v>1017</v>
      </c>
      <c r="AH279" s="182">
        <v>309.0</v>
      </c>
    </row>
    <row r="280">
      <c r="A280" s="182">
        <v>207304.0</v>
      </c>
      <c r="B280" s="182">
        <v>91355.0</v>
      </c>
      <c r="C280" s="182" t="s">
        <v>1220</v>
      </c>
      <c r="D280" s="182" t="s">
        <v>38</v>
      </c>
      <c r="E280" s="182">
        <v>18676.0</v>
      </c>
      <c r="F280" s="182" t="s">
        <v>484</v>
      </c>
      <c r="G280" s="182">
        <v>4561.0</v>
      </c>
      <c r="H280" s="182" t="s">
        <v>184</v>
      </c>
      <c r="I280" s="182">
        <v>1.0</v>
      </c>
      <c r="J280" s="182">
        <v>15.0</v>
      </c>
      <c r="K280" s="182">
        <v>13.0</v>
      </c>
      <c r="L280" s="182">
        <v>9.0</v>
      </c>
      <c r="M280" s="182">
        <v>3.0</v>
      </c>
      <c r="N280" s="182">
        <v>0.0</v>
      </c>
      <c r="O280" s="182">
        <v>0.0</v>
      </c>
      <c r="P280" s="182">
        <v>0.0</v>
      </c>
      <c r="Q280" s="182">
        <v>11.0</v>
      </c>
      <c r="R280" s="182">
        <v>3.0</v>
      </c>
      <c r="S280" s="182">
        <v>4.0</v>
      </c>
      <c r="T280" s="182">
        <v>10.0</v>
      </c>
      <c r="U280" s="182">
        <v>2.0</v>
      </c>
      <c r="V280" s="182">
        <v>1.0</v>
      </c>
      <c r="W280" s="182">
        <v>1.0</v>
      </c>
      <c r="X280" s="182">
        <v>10.0</v>
      </c>
      <c r="Y280" s="182">
        <v>4.0</v>
      </c>
      <c r="Z280" s="182">
        <v>3.0</v>
      </c>
      <c r="AA280" s="182">
        <v>11.0</v>
      </c>
      <c r="AB280" s="182" t="s">
        <v>743</v>
      </c>
      <c r="AC280" s="182" t="s">
        <v>1221</v>
      </c>
      <c r="AD280" s="182" t="s">
        <v>1239</v>
      </c>
      <c r="AE280" s="182" t="s">
        <v>1223</v>
      </c>
      <c r="AF280" s="182" t="s">
        <v>751</v>
      </c>
      <c r="AG280" s="182" t="s">
        <v>751</v>
      </c>
      <c r="AH280" s="182">
        <v>309.0</v>
      </c>
    </row>
    <row r="281">
      <c r="A281" s="182">
        <v>206696.0</v>
      </c>
      <c r="B281" s="182">
        <v>91132.0</v>
      </c>
      <c r="C281" s="182" t="s">
        <v>1228</v>
      </c>
      <c r="D281" s="182" t="s">
        <v>45</v>
      </c>
      <c r="E281" s="182">
        <v>5293.0</v>
      </c>
      <c r="F281" s="182" t="s">
        <v>186</v>
      </c>
      <c r="G281" s="182">
        <v>18501.0</v>
      </c>
      <c r="H281" s="182" t="s">
        <v>188</v>
      </c>
      <c r="I281" s="182">
        <v>2.0</v>
      </c>
      <c r="J281" s="182">
        <v>4.0</v>
      </c>
      <c r="K281" s="182">
        <v>13.0</v>
      </c>
      <c r="L281" s="182">
        <v>2.0</v>
      </c>
      <c r="M281" s="182">
        <v>10.0</v>
      </c>
      <c r="N281" s="182">
        <v>0.0</v>
      </c>
      <c r="O281" s="182">
        <v>0.0</v>
      </c>
      <c r="P281" s="182">
        <v>0.0</v>
      </c>
      <c r="Q281" s="182">
        <v>2.0</v>
      </c>
      <c r="R281" s="182">
        <v>3.0</v>
      </c>
      <c r="S281" s="182">
        <v>2.0</v>
      </c>
      <c r="T281" s="182">
        <v>10.0</v>
      </c>
      <c r="U281" s="182">
        <v>2.0</v>
      </c>
      <c r="V281" s="182">
        <v>1.0</v>
      </c>
      <c r="W281" s="182">
        <v>1.0</v>
      </c>
      <c r="X281" s="182">
        <v>10.0</v>
      </c>
      <c r="Y281" s="182">
        <v>2.0</v>
      </c>
      <c r="Z281" s="182">
        <v>3.0</v>
      </c>
      <c r="AA281" s="182">
        <v>2.0</v>
      </c>
      <c r="AB281" s="182" t="s">
        <v>743</v>
      </c>
      <c r="AC281" s="182" t="s">
        <v>1240</v>
      </c>
      <c r="AD281" s="182" t="s">
        <v>1230</v>
      </c>
      <c r="AE281" s="182" t="s">
        <v>1241</v>
      </c>
      <c r="AF281" s="182" t="s">
        <v>1137</v>
      </c>
      <c r="AG281" s="182" t="s">
        <v>1137</v>
      </c>
      <c r="AH281" s="182">
        <v>309.0</v>
      </c>
    </row>
    <row r="282">
      <c r="A282" s="182">
        <v>207249.0</v>
      </c>
      <c r="B282" s="182">
        <v>91336.0</v>
      </c>
      <c r="C282" s="182" t="s">
        <v>1220</v>
      </c>
      <c r="D282" s="182" t="s">
        <v>43</v>
      </c>
      <c r="E282" s="182">
        <v>18676.0</v>
      </c>
      <c r="F282" s="182" t="s">
        <v>484</v>
      </c>
      <c r="G282" s="182">
        <v>299.0</v>
      </c>
      <c r="H282" s="182" t="s">
        <v>185</v>
      </c>
      <c r="I282" s="182">
        <v>2.0</v>
      </c>
      <c r="J282" s="182">
        <v>8.0</v>
      </c>
      <c r="K282" s="182">
        <v>13.0</v>
      </c>
      <c r="L282" s="182">
        <v>7.0</v>
      </c>
      <c r="M282" s="182">
        <v>5.0</v>
      </c>
      <c r="N282" s="182">
        <v>1.0</v>
      </c>
      <c r="O282" s="182">
        <v>0.0</v>
      </c>
      <c r="P282" s="182">
        <v>1.0</v>
      </c>
      <c r="Q282" s="182">
        <v>1.0</v>
      </c>
      <c r="R282" s="182">
        <v>8.0</v>
      </c>
      <c r="S282" s="182">
        <v>7.0</v>
      </c>
      <c r="T282" s="182">
        <v>5.0</v>
      </c>
      <c r="U282" s="182">
        <v>1.0</v>
      </c>
      <c r="V282" s="182">
        <v>0.0</v>
      </c>
      <c r="W282" s="182">
        <v>1.0</v>
      </c>
      <c r="X282" s="182">
        <v>5.0</v>
      </c>
      <c r="Y282" s="182">
        <v>7.0</v>
      </c>
      <c r="Z282" s="182">
        <v>8.0</v>
      </c>
      <c r="AA282" s="182">
        <v>1.0</v>
      </c>
      <c r="AB282" s="182" t="s">
        <v>743</v>
      </c>
      <c r="AC282" s="182" t="s">
        <v>1240</v>
      </c>
      <c r="AD282" s="182" t="s">
        <v>1242</v>
      </c>
      <c r="AE282" s="182" t="s">
        <v>1243</v>
      </c>
      <c r="AF282" s="182" t="s">
        <v>1244</v>
      </c>
      <c r="AG282" s="182" t="s">
        <v>1245</v>
      </c>
      <c r="AH282" s="182">
        <v>309.0</v>
      </c>
    </row>
    <row r="283">
      <c r="A283" s="182">
        <v>207251.0</v>
      </c>
      <c r="B283" s="182">
        <v>91337.0</v>
      </c>
      <c r="C283" s="182" t="s">
        <v>1220</v>
      </c>
      <c r="D283" s="182" t="s">
        <v>45</v>
      </c>
      <c r="E283" s="182">
        <v>4561.0</v>
      </c>
      <c r="F283" s="182" t="s">
        <v>184</v>
      </c>
      <c r="G283" s="182">
        <v>17738.0</v>
      </c>
      <c r="H283" s="182" t="s">
        <v>1018</v>
      </c>
      <c r="I283" s="182">
        <v>2.0</v>
      </c>
      <c r="J283" s="182">
        <v>16.0</v>
      </c>
      <c r="K283" s="182">
        <v>14.0</v>
      </c>
      <c r="L283" s="182">
        <v>4.0</v>
      </c>
      <c r="M283" s="182">
        <v>8.0</v>
      </c>
      <c r="N283" s="182">
        <v>0.0</v>
      </c>
      <c r="O283" s="182">
        <v>0.0</v>
      </c>
      <c r="P283" s="182">
        <v>0.0</v>
      </c>
      <c r="Q283" s="182">
        <v>10.0</v>
      </c>
      <c r="R283" s="182">
        <v>5.0</v>
      </c>
      <c r="S283" s="182">
        <v>6.0</v>
      </c>
      <c r="T283" s="182">
        <v>9.0</v>
      </c>
      <c r="U283" s="182">
        <v>2.0</v>
      </c>
      <c r="V283" s="182">
        <v>1.0</v>
      </c>
      <c r="W283" s="182">
        <v>1.0</v>
      </c>
      <c r="X283" s="182">
        <v>9.0</v>
      </c>
      <c r="Y283" s="182">
        <v>6.0</v>
      </c>
      <c r="Z283" s="182">
        <v>5.0</v>
      </c>
      <c r="AA283" s="182">
        <v>10.0</v>
      </c>
      <c r="AB283" s="182" t="s">
        <v>743</v>
      </c>
      <c r="AC283" s="182" t="s">
        <v>1240</v>
      </c>
      <c r="AD283" s="182" t="s">
        <v>1229</v>
      </c>
      <c r="AE283" s="182" t="s">
        <v>1246</v>
      </c>
      <c r="AF283" s="182" t="s">
        <v>1137</v>
      </c>
      <c r="AG283" s="182" t="s">
        <v>1077</v>
      </c>
      <c r="AH283" s="182">
        <v>309.0</v>
      </c>
    </row>
    <row r="284">
      <c r="A284" s="182">
        <v>207248.0</v>
      </c>
      <c r="B284" s="182">
        <v>91336.0</v>
      </c>
      <c r="C284" s="182" t="s">
        <v>1220</v>
      </c>
      <c r="D284" s="182" t="s">
        <v>36</v>
      </c>
      <c r="E284" s="182">
        <v>18676.0</v>
      </c>
      <c r="F284" s="182" t="s">
        <v>484</v>
      </c>
      <c r="G284" s="182">
        <v>299.0</v>
      </c>
      <c r="H284" s="182" t="s">
        <v>185</v>
      </c>
      <c r="I284" s="182">
        <v>1.0</v>
      </c>
      <c r="J284" s="182">
        <v>3.0</v>
      </c>
      <c r="K284" s="182">
        <v>13.0</v>
      </c>
      <c r="L284" s="182">
        <v>3.0</v>
      </c>
      <c r="M284" s="182">
        <v>9.0</v>
      </c>
      <c r="N284" s="182">
        <v>1.0</v>
      </c>
      <c r="O284" s="182">
        <v>1.0</v>
      </c>
      <c r="P284" s="182">
        <v>0.0</v>
      </c>
      <c r="Q284" s="182">
        <v>3.0</v>
      </c>
      <c r="R284" s="182">
        <v>9.0</v>
      </c>
      <c r="S284" s="182">
        <v>0.0</v>
      </c>
      <c r="T284" s="182">
        <v>4.0</v>
      </c>
      <c r="U284" s="182">
        <v>1.0</v>
      </c>
      <c r="V284" s="182">
        <v>1.0</v>
      </c>
      <c r="W284" s="182">
        <v>0.0</v>
      </c>
      <c r="X284" s="182">
        <v>4.0</v>
      </c>
      <c r="Y284" s="182">
        <v>0.0</v>
      </c>
      <c r="Z284" s="182">
        <v>9.0</v>
      </c>
      <c r="AA284" s="182">
        <v>3.0</v>
      </c>
      <c r="AB284" s="182" t="s">
        <v>743</v>
      </c>
      <c r="AC284" s="182" t="s">
        <v>1240</v>
      </c>
      <c r="AD284" s="182" t="s">
        <v>1247</v>
      </c>
      <c r="AE284" s="182" t="s">
        <v>1226</v>
      </c>
      <c r="AF284" s="182" t="s">
        <v>902</v>
      </c>
      <c r="AG284" s="182" t="s">
        <v>760</v>
      </c>
      <c r="AH284" s="182">
        <v>309.0</v>
      </c>
    </row>
    <row r="285">
      <c r="A285" s="182">
        <v>206695.0</v>
      </c>
      <c r="B285" s="182">
        <v>91132.0</v>
      </c>
      <c r="C285" s="182" t="s">
        <v>1228</v>
      </c>
      <c r="D285" s="182" t="s">
        <v>40</v>
      </c>
      <c r="E285" s="182">
        <v>5293.0</v>
      </c>
      <c r="F285" s="182" t="s">
        <v>186</v>
      </c>
      <c r="G285" s="182">
        <v>18501.0</v>
      </c>
      <c r="H285" s="182" t="s">
        <v>188</v>
      </c>
      <c r="I285" s="182">
        <v>1.0</v>
      </c>
      <c r="J285" s="182">
        <v>9.0</v>
      </c>
      <c r="K285" s="182">
        <v>13.0</v>
      </c>
      <c r="L285" s="182">
        <v>6.0</v>
      </c>
      <c r="M285" s="182">
        <v>6.0</v>
      </c>
      <c r="N285" s="182">
        <v>1.0</v>
      </c>
      <c r="O285" s="182">
        <v>0.0</v>
      </c>
      <c r="P285" s="182">
        <v>1.0</v>
      </c>
      <c r="Q285" s="182">
        <v>6.0</v>
      </c>
      <c r="R285" s="182">
        <v>6.0</v>
      </c>
      <c r="S285" s="182">
        <v>3.0</v>
      </c>
      <c r="T285" s="182">
        <v>7.0</v>
      </c>
      <c r="U285" s="182">
        <v>1.0</v>
      </c>
      <c r="V285" s="182">
        <v>0.0</v>
      </c>
      <c r="W285" s="182">
        <v>1.0</v>
      </c>
      <c r="X285" s="182">
        <v>7.0</v>
      </c>
      <c r="Y285" s="182">
        <v>3.0</v>
      </c>
      <c r="Z285" s="182">
        <v>6.0</v>
      </c>
      <c r="AA285" s="182">
        <v>6.0</v>
      </c>
      <c r="AB285" s="182" t="s">
        <v>743</v>
      </c>
      <c r="AC285" s="182" t="s">
        <v>1240</v>
      </c>
      <c r="AD285" s="182" t="s">
        <v>814</v>
      </c>
      <c r="AE285" s="182" t="s">
        <v>804</v>
      </c>
      <c r="AF285" s="182" t="s">
        <v>751</v>
      </c>
      <c r="AG285" s="182" t="s">
        <v>777</v>
      </c>
      <c r="AH285" s="182">
        <v>309.0</v>
      </c>
    </row>
    <row r="286">
      <c r="A286" s="182">
        <v>207250.0</v>
      </c>
      <c r="B286" s="182">
        <v>91337.0</v>
      </c>
      <c r="C286" s="182" t="s">
        <v>1220</v>
      </c>
      <c r="D286" s="182" t="s">
        <v>36</v>
      </c>
      <c r="E286" s="182">
        <v>4561.0</v>
      </c>
      <c r="F286" s="182" t="s">
        <v>184</v>
      </c>
      <c r="G286" s="182">
        <v>17738.0</v>
      </c>
      <c r="H286" s="182" t="s">
        <v>1018</v>
      </c>
      <c r="I286" s="182">
        <v>2.0</v>
      </c>
      <c r="J286" s="182">
        <v>13.0</v>
      </c>
      <c r="K286" s="182">
        <v>8.0</v>
      </c>
      <c r="L286" s="182">
        <v>9.0</v>
      </c>
      <c r="M286" s="182">
        <v>3.0</v>
      </c>
      <c r="N286" s="182">
        <v>1.0</v>
      </c>
      <c r="O286" s="182">
        <v>0.0</v>
      </c>
      <c r="P286" s="182">
        <v>1.0</v>
      </c>
      <c r="Q286" s="182">
        <v>4.0</v>
      </c>
      <c r="R286" s="182">
        <v>5.0</v>
      </c>
      <c r="S286" s="182">
        <v>9.0</v>
      </c>
      <c r="T286" s="182">
        <v>3.0</v>
      </c>
      <c r="U286" s="182">
        <v>1.0</v>
      </c>
      <c r="V286" s="182">
        <v>0.0</v>
      </c>
      <c r="W286" s="182">
        <v>1.0</v>
      </c>
      <c r="X286" s="182">
        <v>3.0</v>
      </c>
      <c r="Y286" s="182">
        <v>9.0</v>
      </c>
      <c r="Z286" s="182">
        <v>5.0</v>
      </c>
      <c r="AA286" s="182">
        <v>4.0</v>
      </c>
      <c r="AB286" s="182" t="s">
        <v>743</v>
      </c>
      <c r="AC286" s="182" t="s">
        <v>1240</v>
      </c>
      <c r="AD286" s="182" t="s">
        <v>1227</v>
      </c>
      <c r="AE286" s="182" t="s">
        <v>1248</v>
      </c>
      <c r="AF286" s="182" t="s">
        <v>1017</v>
      </c>
      <c r="AG286" s="182" t="s">
        <v>1235</v>
      </c>
      <c r="AH286" s="182">
        <v>309.0</v>
      </c>
    </row>
    <row r="287">
      <c r="A287" s="182">
        <v>207247.0</v>
      </c>
      <c r="B287" s="182">
        <v>91336.0</v>
      </c>
      <c r="C287" s="182" t="s">
        <v>1220</v>
      </c>
      <c r="D287" s="182" t="s">
        <v>40</v>
      </c>
      <c r="E287" s="182">
        <v>18676.0</v>
      </c>
      <c r="F287" s="182" t="s">
        <v>484</v>
      </c>
      <c r="G287" s="182">
        <v>299.0</v>
      </c>
      <c r="H287" s="182" t="s">
        <v>185</v>
      </c>
      <c r="I287" s="182">
        <v>2.0</v>
      </c>
      <c r="J287" s="182">
        <v>13.0</v>
      </c>
      <c r="K287" s="182">
        <v>7.0</v>
      </c>
      <c r="L287" s="182">
        <v>7.0</v>
      </c>
      <c r="M287" s="182">
        <v>5.0</v>
      </c>
      <c r="N287" s="182">
        <v>1.0</v>
      </c>
      <c r="O287" s="182">
        <v>1.0</v>
      </c>
      <c r="P287" s="182">
        <v>0.0</v>
      </c>
      <c r="Q287" s="182">
        <v>6.0</v>
      </c>
      <c r="R287" s="182">
        <v>2.0</v>
      </c>
      <c r="S287" s="182">
        <v>7.0</v>
      </c>
      <c r="T287" s="182">
        <v>5.0</v>
      </c>
      <c r="U287" s="182">
        <v>1.0</v>
      </c>
      <c r="V287" s="182">
        <v>1.0</v>
      </c>
      <c r="W287" s="182">
        <v>0.0</v>
      </c>
      <c r="X287" s="182">
        <v>5.0</v>
      </c>
      <c r="Y287" s="182">
        <v>7.0</v>
      </c>
      <c r="Z287" s="182">
        <v>2.0</v>
      </c>
      <c r="AA287" s="182">
        <v>6.0</v>
      </c>
      <c r="AB287" s="182" t="s">
        <v>743</v>
      </c>
      <c r="AC287" s="182" t="s">
        <v>1240</v>
      </c>
      <c r="AD287" s="182" t="s">
        <v>1236</v>
      </c>
      <c r="AE287" s="182" t="s">
        <v>1249</v>
      </c>
      <c r="AF287" s="182" t="s">
        <v>1010</v>
      </c>
      <c r="AG287" s="182" t="s">
        <v>797</v>
      </c>
      <c r="AH287" s="182">
        <v>309.0</v>
      </c>
    </row>
    <row r="288">
      <c r="A288" s="182">
        <v>207086.0</v>
      </c>
      <c r="B288" s="182">
        <v>91268.0</v>
      </c>
      <c r="C288" s="182" t="s">
        <v>1220</v>
      </c>
      <c r="D288" s="182" t="s">
        <v>227</v>
      </c>
      <c r="E288" s="182">
        <v>17738.0</v>
      </c>
      <c r="F288" s="182" t="s">
        <v>1018</v>
      </c>
      <c r="G288" s="182">
        <v>299.0</v>
      </c>
      <c r="H288" s="182" t="s">
        <v>185</v>
      </c>
      <c r="I288" s="182">
        <v>1.0</v>
      </c>
      <c r="J288" s="182">
        <v>2.0</v>
      </c>
      <c r="K288" s="182">
        <v>13.0</v>
      </c>
      <c r="L288" s="182">
        <v>2.0</v>
      </c>
      <c r="M288" s="182">
        <v>10.0</v>
      </c>
      <c r="N288" s="182">
        <v>0.0</v>
      </c>
      <c r="O288" s="182">
        <v>0.0</v>
      </c>
      <c r="P288" s="182">
        <v>0.0</v>
      </c>
      <c r="Q288" s="182">
        <v>2.0</v>
      </c>
      <c r="R288" s="182">
        <v>10.0</v>
      </c>
      <c r="S288" s="182">
        <v>0.0</v>
      </c>
      <c r="T288" s="182">
        <v>3.0</v>
      </c>
      <c r="U288" s="182">
        <v>2.0</v>
      </c>
      <c r="V288" s="182">
        <v>1.0</v>
      </c>
      <c r="W288" s="182">
        <v>1.0</v>
      </c>
      <c r="X288" s="182">
        <v>3.0</v>
      </c>
      <c r="Y288" s="182">
        <v>0.0</v>
      </c>
      <c r="Z288" s="182">
        <v>10.0</v>
      </c>
      <c r="AA288" s="182">
        <v>2.0</v>
      </c>
      <c r="AB288" s="182" t="s">
        <v>743</v>
      </c>
      <c r="AC288" s="182" t="s">
        <v>1240</v>
      </c>
      <c r="AD288" s="182" t="s">
        <v>1250</v>
      </c>
      <c r="AE288" s="182" t="s">
        <v>1224</v>
      </c>
      <c r="AF288" s="182" t="s">
        <v>813</v>
      </c>
      <c r="AG288" s="182" t="s">
        <v>859</v>
      </c>
      <c r="AH288" s="182">
        <v>309.0</v>
      </c>
    </row>
    <row r="289">
      <c r="A289" s="182">
        <v>207085.0</v>
      </c>
      <c r="B289" s="182">
        <v>91268.0</v>
      </c>
      <c r="C289" s="182" t="s">
        <v>1220</v>
      </c>
      <c r="D289" s="182" t="s">
        <v>38</v>
      </c>
      <c r="E289" s="182">
        <v>17738.0</v>
      </c>
      <c r="F289" s="182" t="s">
        <v>1018</v>
      </c>
      <c r="G289" s="182">
        <v>299.0</v>
      </c>
      <c r="H289" s="182" t="s">
        <v>185</v>
      </c>
      <c r="I289" s="182">
        <v>2.0</v>
      </c>
      <c r="J289" s="182">
        <v>14.0</v>
      </c>
      <c r="K289" s="182">
        <v>16.0</v>
      </c>
      <c r="L289" s="182">
        <v>6.0</v>
      </c>
      <c r="M289" s="182">
        <v>6.0</v>
      </c>
      <c r="N289" s="182">
        <v>1.0</v>
      </c>
      <c r="O289" s="182">
        <v>0.0</v>
      </c>
      <c r="P289" s="182">
        <v>1.0</v>
      </c>
      <c r="Q289" s="182">
        <v>7.0</v>
      </c>
      <c r="R289" s="182">
        <v>8.0</v>
      </c>
      <c r="S289" s="182">
        <v>7.0</v>
      </c>
      <c r="T289" s="182">
        <v>8.0</v>
      </c>
      <c r="U289" s="182">
        <v>1.0</v>
      </c>
      <c r="V289" s="182">
        <v>0.0</v>
      </c>
      <c r="W289" s="182">
        <v>1.0</v>
      </c>
      <c r="X289" s="182">
        <v>8.0</v>
      </c>
      <c r="Y289" s="182">
        <v>7.0</v>
      </c>
      <c r="Z289" s="182">
        <v>8.0</v>
      </c>
      <c r="AA289" s="182">
        <v>7.0</v>
      </c>
      <c r="AB289" s="182" t="s">
        <v>743</v>
      </c>
      <c r="AC289" s="182" t="s">
        <v>1240</v>
      </c>
      <c r="AD289" s="182" t="s">
        <v>1246</v>
      </c>
      <c r="AE289" s="182" t="s">
        <v>1222</v>
      </c>
      <c r="AF289" s="182" t="s">
        <v>898</v>
      </c>
      <c r="AG289" s="182" t="s">
        <v>898</v>
      </c>
      <c r="AH289" s="182">
        <v>309.0</v>
      </c>
    </row>
    <row r="290">
      <c r="A290" s="182">
        <v>206633.0</v>
      </c>
      <c r="B290" s="182">
        <v>91111.0</v>
      </c>
      <c r="C290" s="182" t="s">
        <v>1150</v>
      </c>
      <c r="D290" s="182" t="s">
        <v>36</v>
      </c>
      <c r="E290" s="182">
        <v>6415.0</v>
      </c>
      <c r="F290" s="182" t="s">
        <v>180</v>
      </c>
      <c r="G290" s="182">
        <v>1045.0</v>
      </c>
      <c r="H290" s="182" t="s">
        <v>1090</v>
      </c>
      <c r="I290" s="182">
        <v>2.0</v>
      </c>
      <c r="J290" s="182">
        <v>13.0</v>
      </c>
      <c r="K290" s="182">
        <v>4.0</v>
      </c>
      <c r="L290" s="182">
        <v>8.0</v>
      </c>
      <c r="M290" s="182">
        <v>4.0</v>
      </c>
      <c r="N290" s="182">
        <v>2.0</v>
      </c>
      <c r="O290" s="182">
        <v>1.0</v>
      </c>
      <c r="P290" s="182">
        <v>1.0</v>
      </c>
      <c r="Q290" s="182">
        <v>5.0</v>
      </c>
      <c r="R290" s="182">
        <v>0.0</v>
      </c>
      <c r="S290" s="182">
        <v>8.0</v>
      </c>
      <c r="T290" s="182">
        <v>4.0</v>
      </c>
      <c r="U290" s="182">
        <v>0.0</v>
      </c>
      <c r="V290" s="182">
        <v>0.0</v>
      </c>
      <c r="W290" s="182">
        <v>0.0</v>
      </c>
      <c r="X290" s="182">
        <v>4.0</v>
      </c>
      <c r="Y290" s="182">
        <v>8.0</v>
      </c>
      <c r="Z290" s="182">
        <v>0.0</v>
      </c>
      <c r="AA290" s="182">
        <v>5.0</v>
      </c>
      <c r="AB290" s="182" t="s">
        <v>743</v>
      </c>
      <c r="AC290" s="182" t="s">
        <v>1251</v>
      </c>
      <c r="AD290" s="182" t="s">
        <v>841</v>
      </c>
      <c r="AE290" s="182" t="s">
        <v>1252</v>
      </c>
      <c r="AF290" s="182" t="s">
        <v>842</v>
      </c>
      <c r="AG290" s="182" t="s">
        <v>842</v>
      </c>
      <c r="AH290" s="182">
        <v>309.0</v>
      </c>
    </row>
    <row r="291">
      <c r="A291" s="182">
        <v>206632.0</v>
      </c>
      <c r="B291" s="182">
        <v>91111.0</v>
      </c>
      <c r="C291" s="182" t="s">
        <v>1150</v>
      </c>
      <c r="D291" s="182" t="s">
        <v>43</v>
      </c>
      <c r="E291" s="182">
        <v>6415.0</v>
      </c>
      <c r="F291" s="182" t="s">
        <v>180</v>
      </c>
      <c r="G291" s="182">
        <v>1045.0</v>
      </c>
      <c r="H291" s="182" t="s">
        <v>1090</v>
      </c>
      <c r="I291" s="182">
        <v>2.0</v>
      </c>
      <c r="J291" s="182">
        <v>13.0</v>
      </c>
      <c r="K291" s="182">
        <v>8.0</v>
      </c>
      <c r="L291" s="182">
        <v>7.0</v>
      </c>
      <c r="M291" s="182">
        <v>5.0</v>
      </c>
      <c r="N291" s="182">
        <v>2.0</v>
      </c>
      <c r="O291" s="182">
        <v>1.0</v>
      </c>
      <c r="P291" s="182">
        <v>1.0</v>
      </c>
      <c r="Q291" s="182">
        <v>6.0</v>
      </c>
      <c r="R291" s="182">
        <v>3.0</v>
      </c>
      <c r="S291" s="182">
        <v>7.0</v>
      </c>
      <c r="T291" s="182">
        <v>5.0</v>
      </c>
      <c r="U291" s="182">
        <v>0.0</v>
      </c>
      <c r="V291" s="182">
        <v>0.0</v>
      </c>
      <c r="W291" s="182">
        <v>0.0</v>
      </c>
      <c r="X291" s="182">
        <v>5.0</v>
      </c>
      <c r="Y291" s="182">
        <v>7.0</v>
      </c>
      <c r="Z291" s="182">
        <v>3.0</v>
      </c>
      <c r="AA291" s="182">
        <v>6.0</v>
      </c>
      <c r="AB291" s="182" t="s">
        <v>743</v>
      </c>
      <c r="AC291" s="182" t="s">
        <v>1251</v>
      </c>
      <c r="AD291" s="182" t="s">
        <v>1253</v>
      </c>
      <c r="AE291" s="182" t="s">
        <v>1254</v>
      </c>
      <c r="AF291" s="182" t="s">
        <v>1255</v>
      </c>
      <c r="AG291" s="182" t="s">
        <v>1256</v>
      </c>
      <c r="AH291" s="182">
        <v>309.0</v>
      </c>
    </row>
    <row r="292">
      <c r="A292" s="182">
        <v>204947.0</v>
      </c>
      <c r="B292" s="182">
        <v>90467.0</v>
      </c>
      <c r="C292" s="182" t="s">
        <v>1187</v>
      </c>
      <c r="D292" s="182" t="s">
        <v>38</v>
      </c>
      <c r="E292" s="182">
        <v>299.0</v>
      </c>
      <c r="F292" s="182" t="s">
        <v>185</v>
      </c>
      <c r="G292" s="182">
        <v>2.0</v>
      </c>
      <c r="H292" s="182" t="s">
        <v>438</v>
      </c>
      <c r="I292" s="182">
        <v>2.0</v>
      </c>
      <c r="J292" s="182">
        <v>10.0</v>
      </c>
      <c r="K292" s="182">
        <v>13.0</v>
      </c>
      <c r="L292" s="182">
        <v>4.0</v>
      </c>
      <c r="M292" s="182">
        <v>8.0</v>
      </c>
      <c r="N292" s="182">
        <v>1.0</v>
      </c>
      <c r="O292" s="182">
        <v>1.0</v>
      </c>
      <c r="P292" s="182">
        <v>0.0</v>
      </c>
      <c r="Q292" s="182">
        <v>6.0</v>
      </c>
      <c r="R292" s="182">
        <v>5.0</v>
      </c>
      <c r="S292" s="182">
        <v>4.0</v>
      </c>
      <c r="T292" s="182">
        <v>8.0</v>
      </c>
      <c r="U292" s="182">
        <v>1.0</v>
      </c>
      <c r="V292" s="182">
        <v>1.0</v>
      </c>
      <c r="W292" s="182">
        <v>0.0</v>
      </c>
      <c r="X292" s="182">
        <v>8.0</v>
      </c>
      <c r="Y292" s="182">
        <v>4.0</v>
      </c>
      <c r="Z292" s="182">
        <v>5.0</v>
      </c>
      <c r="AA292" s="182">
        <v>6.0</v>
      </c>
      <c r="AB292" s="182" t="s">
        <v>743</v>
      </c>
      <c r="AC292" s="182" t="s">
        <v>1257</v>
      </c>
      <c r="AD292" s="182" t="s">
        <v>1258</v>
      </c>
      <c r="AE292" s="182" t="s">
        <v>1062</v>
      </c>
      <c r="AF292" s="182" t="s">
        <v>898</v>
      </c>
      <c r="AG292" s="182" t="s">
        <v>751</v>
      </c>
      <c r="AH292" s="182">
        <v>309.0</v>
      </c>
    </row>
    <row r="293">
      <c r="A293" s="182">
        <v>204946.0</v>
      </c>
      <c r="B293" s="182">
        <v>90467.0</v>
      </c>
      <c r="C293" s="182" t="s">
        <v>1187</v>
      </c>
      <c r="D293" s="182" t="s">
        <v>36</v>
      </c>
      <c r="E293" s="182">
        <v>299.0</v>
      </c>
      <c r="F293" s="182" t="s">
        <v>185</v>
      </c>
      <c r="G293" s="182">
        <v>2.0</v>
      </c>
      <c r="H293" s="182" t="s">
        <v>438</v>
      </c>
      <c r="I293" s="182">
        <v>2.0</v>
      </c>
      <c r="J293" s="182">
        <v>13.0</v>
      </c>
      <c r="K293" s="182">
        <v>8.0</v>
      </c>
      <c r="L293" s="182">
        <v>7.0</v>
      </c>
      <c r="M293" s="182">
        <v>5.0</v>
      </c>
      <c r="N293" s="182">
        <v>1.0</v>
      </c>
      <c r="O293" s="182">
        <v>1.0</v>
      </c>
      <c r="P293" s="182">
        <v>0.0</v>
      </c>
      <c r="Q293" s="182">
        <v>6.0</v>
      </c>
      <c r="R293" s="182">
        <v>3.0</v>
      </c>
      <c r="S293" s="182">
        <v>7.0</v>
      </c>
      <c r="T293" s="182">
        <v>5.0</v>
      </c>
      <c r="U293" s="182">
        <v>1.0</v>
      </c>
      <c r="V293" s="182">
        <v>1.0</v>
      </c>
      <c r="W293" s="182">
        <v>0.0</v>
      </c>
      <c r="X293" s="182">
        <v>5.0</v>
      </c>
      <c r="Y293" s="182">
        <v>7.0</v>
      </c>
      <c r="Z293" s="182">
        <v>3.0</v>
      </c>
      <c r="AA293" s="182">
        <v>6.0</v>
      </c>
      <c r="AB293" s="182" t="s">
        <v>743</v>
      </c>
      <c r="AC293" s="182" t="s">
        <v>1257</v>
      </c>
      <c r="AD293" s="182" t="s">
        <v>1259</v>
      </c>
      <c r="AE293" s="182" t="s">
        <v>1058</v>
      </c>
      <c r="AF293" s="182" t="s">
        <v>760</v>
      </c>
      <c r="AG293" s="182" t="s">
        <v>1017</v>
      </c>
      <c r="AH293" s="182">
        <v>309.0</v>
      </c>
    </row>
    <row r="294">
      <c r="A294" s="182">
        <v>204945.0</v>
      </c>
      <c r="B294" s="182">
        <v>90467.0</v>
      </c>
      <c r="C294" s="182" t="s">
        <v>1187</v>
      </c>
      <c r="D294" s="182" t="s">
        <v>40</v>
      </c>
      <c r="E294" s="182">
        <v>299.0</v>
      </c>
      <c r="F294" s="182" t="s">
        <v>185</v>
      </c>
      <c r="G294" s="182">
        <v>2.0</v>
      </c>
      <c r="H294" s="182" t="s">
        <v>438</v>
      </c>
      <c r="I294" s="182">
        <v>2.0</v>
      </c>
      <c r="J294" s="182">
        <v>11.0</v>
      </c>
      <c r="K294" s="182">
        <v>13.0</v>
      </c>
      <c r="L294" s="182">
        <v>4.0</v>
      </c>
      <c r="M294" s="182">
        <v>8.0</v>
      </c>
      <c r="N294" s="182">
        <v>1.0</v>
      </c>
      <c r="O294" s="182">
        <v>0.0</v>
      </c>
      <c r="P294" s="182">
        <v>1.0</v>
      </c>
      <c r="Q294" s="182">
        <v>7.0</v>
      </c>
      <c r="R294" s="182">
        <v>5.0</v>
      </c>
      <c r="S294" s="182">
        <v>4.0</v>
      </c>
      <c r="T294" s="182">
        <v>8.0</v>
      </c>
      <c r="U294" s="182">
        <v>1.0</v>
      </c>
      <c r="V294" s="182">
        <v>0.0</v>
      </c>
      <c r="W294" s="182">
        <v>1.0</v>
      </c>
      <c r="X294" s="182">
        <v>8.0</v>
      </c>
      <c r="Y294" s="182">
        <v>4.0</v>
      </c>
      <c r="Z294" s="182">
        <v>5.0</v>
      </c>
      <c r="AA294" s="182">
        <v>7.0</v>
      </c>
      <c r="AB294" s="182" t="s">
        <v>743</v>
      </c>
      <c r="AC294" s="182" t="s">
        <v>1257</v>
      </c>
      <c r="AD294" s="182" t="s">
        <v>1260</v>
      </c>
      <c r="AE294" s="182" t="s">
        <v>1058</v>
      </c>
      <c r="AF294" s="182" t="s">
        <v>797</v>
      </c>
      <c r="AG294" s="182" t="s">
        <v>793</v>
      </c>
      <c r="AH294" s="182">
        <v>309.0</v>
      </c>
    </row>
    <row r="295">
      <c r="A295" s="182">
        <v>206693.0</v>
      </c>
      <c r="B295" s="182">
        <v>91131.0</v>
      </c>
      <c r="C295" s="182" t="s">
        <v>1228</v>
      </c>
      <c r="D295" s="182" t="s">
        <v>38</v>
      </c>
      <c r="E295" s="182">
        <v>18501.0</v>
      </c>
      <c r="F295" s="182" t="s">
        <v>188</v>
      </c>
      <c r="G295" s="182">
        <v>4878.0</v>
      </c>
      <c r="H295" s="182" t="s">
        <v>480</v>
      </c>
      <c r="I295" s="182">
        <v>1.0</v>
      </c>
      <c r="J295" s="182">
        <v>13.0</v>
      </c>
      <c r="K295" s="182">
        <v>9.0</v>
      </c>
      <c r="L295" s="182">
        <v>7.0</v>
      </c>
      <c r="M295" s="182">
        <v>5.0</v>
      </c>
      <c r="N295" s="182">
        <v>2.0</v>
      </c>
      <c r="O295" s="182">
        <v>1.0</v>
      </c>
      <c r="P295" s="182">
        <v>1.0</v>
      </c>
      <c r="Q295" s="182">
        <v>7.0</v>
      </c>
      <c r="R295" s="182">
        <v>5.0</v>
      </c>
      <c r="S295" s="182">
        <v>6.0</v>
      </c>
      <c r="T295" s="182">
        <v>4.0</v>
      </c>
      <c r="U295" s="182">
        <v>0.0</v>
      </c>
      <c r="V295" s="182">
        <v>0.0</v>
      </c>
      <c r="W295" s="182">
        <v>0.0</v>
      </c>
      <c r="X295" s="182">
        <v>4.0</v>
      </c>
      <c r="Y295" s="182">
        <v>6.0</v>
      </c>
      <c r="Z295" s="182">
        <v>5.0</v>
      </c>
      <c r="AA295" s="182">
        <v>7.0</v>
      </c>
      <c r="AB295" s="182" t="s">
        <v>743</v>
      </c>
      <c r="AC295" s="182" t="s">
        <v>1261</v>
      </c>
      <c r="AD295" s="182" t="s">
        <v>809</v>
      </c>
      <c r="AE295" s="182" t="s">
        <v>865</v>
      </c>
      <c r="AF295" s="182" t="s">
        <v>810</v>
      </c>
      <c r="AG295" s="182" t="s">
        <v>31</v>
      </c>
      <c r="AH295" s="182">
        <v>309.0</v>
      </c>
    </row>
    <row r="296">
      <c r="A296" s="182">
        <v>205852.0</v>
      </c>
      <c r="B296" s="182">
        <v>90797.0</v>
      </c>
      <c r="C296" s="182" t="s">
        <v>1150</v>
      </c>
      <c r="D296" s="182" t="s">
        <v>45</v>
      </c>
      <c r="E296" s="182">
        <v>14291.0</v>
      </c>
      <c r="F296" s="182" t="s">
        <v>183</v>
      </c>
      <c r="G296" s="182">
        <v>6415.0</v>
      </c>
      <c r="H296" s="182" t="s">
        <v>180</v>
      </c>
      <c r="I296" s="182">
        <v>2.0</v>
      </c>
      <c r="J296" s="182">
        <v>13.0</v>
      </c>
      <c r="K296" s="182">
        <v>4.0</v>
      </c>
      <c r="L296" s="182">
        <v>10.0</v>
      </c>
      <c r="M296" s="182">
        <v>2.0</v>
      </c>
      <c r="N296" s="182">
        <v>2.0</v>
      </c>
      <c r="O296" s="182">
        <v>1.0</v>
      </c>
      <c r="P296" s="182">
        <v>1.0</v>
      </c>
      <c r="Q296" s="182">
        <v>3.0</v>
      </c>
      <c r="R296" s="182">
        <v>2.0</v>
      </c>
      <c r="S296" s="182">
        <v>10.0</v>
      </c>
      <c r="T296" s="182">
        <v>2.0</v>
      </c>
      <c r="U296" s="182">
        <v>0.0</v>
      </c>
      <c r="V296" s="182">
        <v>0.0</v>
      </c>
      <c r="W296" s="182">
        <v>0.0</v>
      </c>
      <c r="X296" s="182">
        <v>2.0</v>
      </c>
      <c r="Y296" s="182">
        <v>10.0</v>
      </c>
      <c r="Z296" s="182">
        <v>2.0</v>
      </c>
      <c r="AA296" s="182">
        <v>3.0</v>
      </c>
      <c r="AB296" s="182" t="s">
        <v>743</v>
      </c>
      <c r="AC296" s="182" t="s">
        <v>1261</v>
      </c>
      <c r="AD296" s="182" t="s">
        <v>1262</v>
      </c>
      <c r="AE296" s="182" t="s">
        <v>1136</v>
      </c>
      <c r="AF296" s="182" t="s">
        <v>912</v>
      </c>
      <c r="AG296" s="182" t="s">
        <v>912</v>
      </c>
      <c r="AH296" s="182">
        <v>309.0</v>
      </c>
    </row>
    <row r="297">
      <c r="A297" s="182">
        <v>206692.0</v>
      </c>
      <c r="B297" s="182">
        <v>91131.0</v>
      </c>
      <c r="C297" s="182" t="s">
        <v>1228</v>
      </c>
      <c r="D297" s="182" t="s">
        <v>227</v>
      </c>
      <c r="E297" s="182">
        <v>18501.0</v>
      </c>
      <c r="F297" s="182" t="s">
        <v>188</v>
      </c>
      <c r="G297" s="182">
        <v>4878.0</v>
      </c>
      <c r="H297" s="182" t="s">
        <v>480</v>
      </c>
      <c r="I297" s="182">
        <v>1.0</v>
      </c>
      <c r="J297" s="182">
        <v>13.0</v>
      </c>
      <c r="K297" s="182">
        <v>8.0</v>
      </c>
      <c r="L297" s="182">
        <v>5.0</v>
      </c>
      <c r="M297" s="182">
        <v>7.0</v>
      </c>
      <c r="N297" s="182">
        <v>2.0</v>
      </c>
      <c r="O297" s="182">
        <v>1.0</v>
      </c>
      <c r="P297" s="182">
        <v>1.0</v>
      </c>
      <c r="Q297" s="182">
        <v>5.0</v>
      </c>
      <c r="R297" s="182">
        <v>7.0</v>
      </c>
      <c r="S297" s="182">
        <v>8.0</v>
      </c>
      <c r="T297" s="182">
        <v>1.0</v>
      </c>
      <c r="U297" s="182">
        <v>0.0</v>
      </c>
      <c r="V297" s="182">
        <v>0.0</v>
      </c>
      <c r="W297" s="182">
        <v>0.0</v>
      </c>
      <c r="X297" s="182">
        <v>1.0</v>
      </c>
      <c r="Y297" s="182">
        <v>8.0</v>
      </c>
      <c r="Z297" s="182">
        <v>7.0</v>
      </c>
      <c r="AA297" s="182">
        <v>5.0</v>
      </c>
      <c r="AB297" s="182" t="s">
        <v>743</v>
      </c>
      <c r="AC297" s="182" t="s">
        <v>1261</v>
      </c>
      <c r="AD297" s="182" t="s">
        <v>1026</v>
      </c>
      <c r="AE297" s="182" t="s">
        <v>865</v>
      </c>
      <c r="AF297" s="182" t="s">
        <v>794</v>
      </c>
      <c r="AG297" s="182" t="s">
        <v>31</v>
      </c>
      <c r="AH297" s="182">
        <v>309.0</v>
      </c>
    </row>
    <row r="298">
      <c r="A298" s="182">
        <v>205851.0</v>
      </c>
      <c r="B298" s="182">
        <v>90797.0</v>
      </c>
      <c r="C298" s="182" t="s">
        <v>1150</v>
      </c>
      <c r="D298" s="182" t="s">
        <v>38</v>
      </c>
      <c r="E298" s="182">
        <v>14291.0</v>
      </c>
      <c r="F298" s="182" t="s">
        <v>183</v>
      </c>
      <c r="G298" s="182">
        <v>6415.0</v>
      </c>
      <c r="H298" s="182" t="s">
        <v>180</v>
      </c>
      <c r="I298" s="182">
        <v>1.0</v>
      </c>
      <c r="J298" s="182">
        <v>13.0</v>
      </c>
      <c r="K298" s="182">
        <v>11.0</v>
      </c>
      <c r="L298" s="182">
        <v>8.0</v>
      </c>
      <c r="M298" s="182">
        <v>4.0</v>
      </c>
      <c r="N298" s="182">
        <v>1.0</v>
      </c>
      <c r="O298" s="182">
        <v>1.0</v>
      </c>
      <c r="P298" s="182">
        <v>0.0</v>
      </c>
      <c r="Q298" s="182">
        <v>8.0</v>
      </c>
      <c r="R298" s="182">
        <v>4.0</v>
      </c>
      <c r="S298" s="182">
        <v>5.0</v>
      </c>
      <c r="T298" s="182">
        <v>7.0</v>
      </c>
      <c r="U298" s="182">
        <v>1.0</v>
      </c>
      <c r="V298" s="182">
        <v>1.0</v>
      </c>
      <c r="W298" s="182">
        <v>0.0</v>
      </c>
      <c r="X298" s="182">
        <v>7.0</v>
      </c>
      <c r="Y298" s="182">
        <v>5.0</v>
      </c>
      <c r="Z298" s="182">
        <v>4.0</v>
      </c>
      <c r="AA298" s="182">
        <v>8.0</v>
      </c>
      <c r="AB298" s="182" t="s">
        <v>743</v>
      </c>
      <c r="AC298" s="182" t="s">
        <v>1261</v>
      </c>
      <c r="AD298" s="182" t="s">
        <v>1263</v>
      </c>
      <c r="AE298" s="182" t="s">
        <v>1152</v>
      </c>
      <c r="AF298" s="182" t="s">
        <v>882</v>
      </c>
      <c r="AG298" s="182" t="s">
        <v>810</v>
      </c>
      <c r="AH298" s="182">
        <v>309.0</v>
      </c>
    </row>
    <row r="299">
      <c r="A299" s="182">
        <v>206690.0</v>
      </c>
      <c r="B299" s="182">
        <v>91130.0</v>
      </c>
      <c r="C299" s="182" t="s">
        <v>1228</v>
      </c>
      <c r="D299" s="182" t="s">
        <v>40</v>
      </c>
      <c r="E299" s="182">
        <v>5293.0</v>
      </c>
      <c r="F299" s="182" t="s">
        <v>186</v>
      </c>
      <c r="G299" s="182">
        <v>3540.0</v>
      </c>
      <c r="H299" s="182" t="s">
        <v>399</v>
      </c>
      <c r="I299" s="182">
        <v>2.0</v>
      </c>
      <c r="J299" s="182">
        <v>13.0</v>
      </c>
      <c r="K299" s="182">
        <v>8.0</v>
      </c>
      <c r="L299" s="182">
        <v>8.0</v>
      </c>
      <c r="M299" s="182">
        <v>4.0</v>
      </c>
      <c r="N299" s="182">
        <v>2.0</v>
      </c>
      <c r="O299" s="182">
        <v>1.0</v>
      </c>
      <c r="P299" s="182">
        <v>1.0</v>
      </c>
      <c r="Q299" s="182">
        <v>5.0</v>
      </c>
      <c r="R299" s="182">
        <v>4.0</v>
      </c>
      <c r="S299" s="182">
        <v>8.0</v>
      </c>
      <c r="T299" s="182">
        <v>4.0</v>
      </c>
      <c r="U299" s="182">
        <v>0.0</v>
      </c>
      <c r="V299" s="182">
        <v>0.0</v>
      </c>
      <c r="W299" s="182">
        <v>0.0</v>
      </c>
      <c r="X299" s="182">
        <v>4.0</v>
      </c>
      <c r="Y299" s="182">
        <v>8.0</v>
      </c>
      <c r="Z299" s="182">
        <v>4.0</v>
      </c>
      <c r="AA299" s="182">
        <v>5.0</v>
      </c>
      <c r="AB299" s="182" t="s">
        <v>743</v>
      </c>
      <c r="AC299" s="182" t="s">
        <v>1261</v>
      </c>
      <c r="AD299" s="182" t="s">
        <v>814</v>
      </c>
      <c r="AE299" s="182" t="s">
        <v>903</v>
      </c>
      <c r="AF299" s="182" t="s">
        <v>751</v>
      </c>
      <c r="AG299" s="182" t="s">
        <v>862</v>
      </c>
      <c r="AH299" s="182">
        <v>309.0</v>
      </c>
    </row>
    <row r="300">
      <c r="A300" s="182">
        <v>205850.0</v>
      </c>
      <c r="B300" s="182">
        <v>90797.0</v>
      </c>
      <c r="C300" s="182" t="s">
        <v>1150</v>
      </c>
      <c r="D300" s="182" t="s">
        <v>40</v>
      </c>
      <c r="E300" s="182">
        <v>14291.0</v>
      </c>
      <c r="F300" s="182" t="s">
        <v>183</v>
      </c>
      <c r="G300" s="182">
        <v>6415.0</v>
      </c>
      <c r="H300" s="182" t="s">
        <v>180</v>
      </c>
      <c r="I300" s="182">
        <v>1.0</v>
      </c>
      <c r="J300" s="182">
        <v>9.0</v>
      </c>
      <c r="K300" s="182">
        <v>13.0</v>
      </c>
      <c r="L300" s="182">
        <v>6.0</v>
      </c>
      <c r="M300" s="182">
        <v>6.0</v>
      </c>
      <c r="N300" s="182">
        <v>1.0</v>
      </c>
      <c r="O300" s="182">
        <v>0.0</v>
      </c>
      <c r="P300" s="182">
        <v>1.0</v>
      </c>
      <c r="Q300" s="182">
        <v>6.0</v>
      </c>
      <c r="R300" s="182">
        <v>6.0</v>
      </c>
      <c r="S300" s="182">
        <v>3.0</v>
      </c>
      <c r="T300" s="182">
        <v>7.0</v>
      </c>
      <c r="U300" s="182">
        <v>1.0</v>
      </c>
      <c r="V300" s="182">
        <v>0.0</v>
      </c>
      <c r="W300" s="182">
        <v>1.0</v>
      </c>
      <c r="X300" s="182">
        <v>7.0</v>
      </c>
      <c r="Y300" s="182">
        <v>3.0</v>
      </c>
      <c r="Z300" s="182">
        <v>6.0</v>
      </c>
      <c r="AA300" s="182">
        <v>6.0</v>
      </c>
      <c r="AB300" s="182" t="s">
        <v>743</v>
      </c>
      <c r="AC300" s="182" t="s">
        <v>1261</v>
      </c>
      <c r="AD300" s="182" t="s">
        <v>1264</v>
      </c>
      <c r="AE300" s="182" t="s">
        <v>841</v>
      </c>
      <c r="AF300" s="182" t="s">
        <v>1040</v>
      </c>
      <c r="AG300" s="182" t="s">
        <v>1265</v>
      </c>
      <c r="AH300" s="182">
        <v>309.0</v>
      </c>
    </row>
    <row r="301">
      <c r="A301" s="182">
        <v>206689.0</v>
      </c>
      <c r="B301" s="182">
        <v>91130.0</v>
      </c>
      <c r="C301" s="182" t="s">
        <v>1228</v>
      </c>
      <c r="D301" s="182" t="s">
        <v>43</v>
      </c>
      <c r="E301" s="182">
        <v>5293.0</v>
      </c>
      <c r="F301" s="182" t="s">
        <v>186</v>
      </c>
      <c r="G301" s="182">
        <v>3540.0</v>
      </c>
      <c r="H301" s="182" t="s">
        <v>399</v>
      </c>
      <c r="I301" s="182">
        <v>2.0</v>
      </c>
      <c r="J301" s="182">
        <v>13.0</v>
      </c>
      <c r="K301" s="182">
        <v>8.0</v>
      </c>
      <c r="L301" s="182">
        <v>6.0</v>
      </c>
      <c r="M301" s="182">
        <v>6.0</v>
      </c>
      <c r="N301" s="182">
        <v>2.0</v>
      </c>
      <c r="O301" s="182">
        <v>1.0</v>
      </c>
      <c r="P301" s="182">
        <v>1.0</v>
      </c>
      <c r="Q301" s="182">
        <v>7.0</v>
      </c>
      <c r="R301" s="182">
        <v>2.0</v>
      </c>
      <c r="S301" s="182">
        <v>6.0</v>
      </c>
      <c r="T301" s="182">
        <v>6.0</v>
      </c>
      <c r="U301" s="182">
        <v>0.0</v>
      </c>
      <c r="V301" s="182">
        <v>0.0</v>
      </c>
      <c r="W301" s="182">
        <v>0.0</v>
      </c>
      <c r="X301" s="182">
        <v>6.0</v>
      </c>
      <c r="Y301" s="182">
        <v>6.0</v>
      </c>
      <c r="Z301" s="182">
        <v>2.0</v>
      </c>
      <c r="AA301" s="182">
        <v>7.0</v>
      </c>
      <c r="AB301" s="182" t="s">
        <v>743</v>
      </c>
      <c r="AC301" s="182" t="s">
        <v>1261</v>
      </c>
      <c r="AD301" s="182" t="s">
        <v>1158</v>
      </c>
      <c r="AE301" s="182" t="s">
        <v>1159</v>
      </c>
      <c r="AF301" s="182" t="s">
        <v>1100</v>
      </c>
      <c r="AG301" s="182" t="s">
        <v>947</v>
      </c>
      <c r="AH301" s="182">
        <v>309.0</v>
      </c>
    </row>
    <row r="302">
      <c r="A302" s="182">
        <v>206625.0</v>
      </c>
      <c r="B302" s="182">
        <v>91108.0</v>
      </c>
      <c r="C302" s="182" t="s">
        <v>1150</v>
      </c>
      <c r="D302" s="182" t="s">
        <v>45</v>
      </c>
      <c r="E302" s="182">
        <v>6415.0</v>
      </c>
      <c r="F302" s="182" t="s">
        <v>180</v>
      </c>
      <c r="G302" s="182">
        <v>7033.0</v>
      </c>
      <c r="H302" s="182" t="s">
        <v>465</v>
      </c>
      <c r="I302" s="182">
        <v>1.0</v>
      </c>
      <c r="J302" s="182">
        <v>13.0</v>
      </c>
      <c r="K302" s="182">
        <v>1.0</v>
      </c>
      <c r="L302" s="182">
        <v>11.0</v>
      </c>
      <c r="M302" s="182">
        <v>1.0</v>
      </c>
      <c r="N302" s="182">
        <v>2.0</v>
      </c>
      <c r="O302" s="182">
        <v>1.0</v>
      </c>
      <c r="P302" s="182">
        <v>1.0</v>
      </c>
      <c r="Q302" s="182">
        <v>11.0</v>
      </c>
      <c r="R302" s="182">
        <v>1.0</v>
      </c>
      <c r="S302" s="182">
        <v>2.0</v>
      </c>
      <c r="T302" s="182">
        <v>0.0</v>
      </c>
      <c r="U302" s="182">
        <v>0.0</v>
      </c>
      <c r="V302" s="182">
        <v>0.0</v>
      </c>
      <c r="W302" s="182">
        <v>0.0</v>
      </c>
      <c r="X302" s="182">
        <v>0.0</v>
      </c>
      <c r="Y302" s="182">
        <v>2.0</v>
      </c>
      <c r="Z302" s="182">
        <v>1.0</v>
      </c>
      <c r="AA302" s="182">
        <v>11.0</v>
      </c>
      <c r="AB302" s="182" t="s">
        <v>743</v>
      </c>
      <c r="AC302" s="182" t="s">
        <v>1266</v>
      </c>
      <c r="AD302" s="182" t="s">
        <v>1136</v>
      </c>
      <c r="AE302" s="182" t="s">
        <v>1267</v>
      </c>
      <c r="AF302" s="182" t="s">
        <v>912</v>
      </c>
      <c r="AG302" s="182" t="s">
        <v>1268</v>
      </c>
      <c r="AH302" s="182">
        <v>309.0</v>
      </c>
    </row>
    <row r="303">
      <c r="A303" s="182">
        <v>206624.0</v>
      </c>
      <c r="B303" s="182">
        <v>91108.0</v>
      </c>
      <c r="C303" s="182" t="s">
        <v>1150</v>
      </c>
      <c r="D303" s="182" t="s">
        <v>32</v>
      </c>
      <c r="E303" s="182">
        <v>6415.0</v>
      </c>
      <c r="F303" s="182" t="s">
        <v>180</v>
      </c>
      <c r="G303" s="182">
        <v>7033.0</v>
      </c>
      <c r="H303" s="182" t="s">
        <v>465</v>
      </c>
      <c r="I303" s="182">
        <v>2.0</v>
      </c>
      <c r="J303" s="182">
        <v>13.0</v>
      </c>
      <c r="K303" s="182">
        <v>5.0</v>
      </c>
      <c r="L303" s="182">
        <v>9.0</v>
      </c>
      <c r="M303" s="182">
        <v>3.0</v>
      </c>
      <c r="N303" s="182">
        <v>1.0</v>
      </c>
      <c r="O303" s="182">
        <v>0.0</v>
      </c>
      <c r="P303" s="182">
        <v>1.0</v>
      </c>
      <c r="Q303" s="182">
        <v>4.0</v>
      </c>
      <c r="R303" s="182">
        <v>2.0</v>
      </c>
      <c r="S303" s="182">
        <v>9.0</v>
      </c>
      <c r="T303" s="182">
        <v>3.0</v>
      </c>
      <c r="U303" s="182">
        <v>1.0</v>
      </c>
      <c r="V303" s="182">
        <v>0.0</v>
      </c>
      <c r="W303" s="182">
        <v>1.0</v>
      </c>
      <c r="X303" s="182">
        <v>3.0</v>
      </c>
      <c r="Y303" s="182">
        <v>9.0</v>
      </c>
      <c r="Z303" s="182">
        <v>2.0</v>
      </c>
      <c r="AA303" s="182">
        <v>4.0</v>
      </c>
      <c r="AB303" s="182" t="s">
        <v>743</v>
      </c>
      <c r="AC303" s="182" t="s">
        <v>1266</v>
      </c>
      <c r="AD303" s="182" t="s">
        <v>847</v>
      </c>
      <c r="AE303" s="182" t="s">
        <v>1269</v>
      </c>
      <c r="AF303" s="182" t="s">
        <v>31</v>
      </c>
      <c r="AG303" s="182" t="s">
        <v>751</v>
      </c>
      <c r="AH303" s="182">
        <v>309.0</v>
      </c>
    </row>
    <row r="304">
      <c r="A304" s="182">
        <v>206623.0</v>
      </c>
      <c r="B304" s="182">
        <v>91108.0</v>
      </c>
      <c r="C304" s="182" t="s">
        <v>1150</v>
      </c>
      <c r="D304" s="182" t="s">
        <v>40</v>
      </c>
      <c r="E304" s="182">
        <v>6415.0</v>
      </c>
      <c r="F304" s="182" t="s">
        <v>180</v>
      </c>
      <c r="G304" s="182">
        <v>7033.0</v>
      </c>
      <c r="H304" s="182" t="s">
        <v>465</v>
      </c>
      <c r="I304" s="182">
        <v>2.0</v>
      </c>
      <c r="J304" s="182">
        <v>7.0</v>
      </c>
      <c r="K304" s="182">
        <v>13.0</v>
      </c>
      <c r="L304" s="182">
        <v>4.0</v>
      </c>
      <c r="M304" s="182">
        <v>8.0</v>
      </c>
      <c r="N304" s="182">
        <v>1.0</v>
      </c>
      <c r="O304" s="182">
        <v>1.0</v>
      </c>
      <c r="P304" s="182">
        <v>0.0</v>
      </c>
      <c r="Q304" s="182">
        <v>3.0</v>
      </c>
      <c r="R304" s="182">
        <v>5.0</v>
      </c>
      <c r="S304" s="182">
        <v>4.0</v>
      </c>
      <c r="T304" s="182">
        <v>8.0</v>
      </c>
      <c r="U304" s="182">
        <v>1.0</v>
      </c>
      <c r="V304" s="182">
        <v>1.0</v>
      </c>
      <c r="W304" s="182">
        <v>0.0</v>
      </c>
      <c r="X304" s="182">
        <v>8.0</v>
      </c>
      <c r="Y304" s="182">
        <v>4.0</v>
      </c>
      <c r="Z304" s="182">
        <v>5.0</v>
      </c>
      <c r="AA304" s="182">
        <v>3.0</v>
      </c>
      <c r="AB304" s="182" t="s">
        <v>743</v>
      </c>
      <c r="AC304" s="182" t="s">
        <v>1266</v>
      </c>
      <c r="AD304" s="182" t="s">
        <v>841</v>
      </c>
      <c r="AE304" s="182" t="s">
        <v>1270</v>
      </c>
      <c r="AF304" s="182" t="s">
        <v>1265</v>
      </c>
      <c r="AG304" s="182" t="s">
        <v>1271</v>
      </c>
      <c r="AH304" s="182">
        <v>309.0</v>
      </c>
    </row>
    <row r="305">
      <c r="A305" s="182">
        <v>204968.0</v>
      </c>
      <c r="B305" s="182">
        <v>90473.0</v>
      </c>
      <c r="C305" s="182" t="s">
        <v>1150</v>
      </c>
      <c r="D305" s="182" t="s">
        <v>38</v>
      </c>
      <c r="E305" s="182">
        <v>1045.0</v>
      </c>
      <c r="F305" s="182" t="s">
        <v>1090</v>
      </c>
      <c r="G305" s="182">
        <v>14291.0</v>
      </c>
      <c r="H305" s="182" t="s">
        <v>183</v>
      </c>
      <c r="I305" s="182">
        <v>1.0</v>
      </c>
      <c r="J305" s="182">
        <v>6.0</v>
      </c>
      <c r="K305" s="182">
        <v>13.0</v>
      </c>
      <c r="L305" s="182">
        <v>6.0</v>
      </c>
      <c r="M305" s="182">
        <v>6.0</v>
      </c>
      <c r="N305" s="182">
        <v>0.0</v>
      </c>
      <c r="O305" s="182">
        <v>0.0</v>
      </c>
      <c r="P305" s="182">
        <v>0.0</v>
      </c>
      <c r="Q305" s="182">
        <v>6.0</v>
      </c>
      <c r="R305" s="182">
        <v>6.0</v>
      </c>
      <c r="S305" s="182">
        <v>0.0</v>
      </c>
      <c r="T305" s="182">
        <v>7.0</v>
      </c>
      <c r="U305" s="182">
        <v>2.0</v>
      </c>
      <c r="V305" s="182">
        <v>1.0</v>
      </c>
      <c r="W305" s="182">
        <v>1.0</v>
      </c>
      <c r="X305" s="182">
        <v>7.0</v>
      </c>
      <c r="Y305" s="182">
        <v>0.0</v>
      </c>
      <c r="Z305" s="182">
        <v>6.0</v>
      </c>
      <c r="AA305" s="182">
        <v>6.0</v>
      </c>
      <c r="AB305" s="182" t="s">
        <v>743</v>
      </c>
      <c r="AC305" s="182" t="s">
        <v>1266</v>
      </c>
      <c r="AD305" s="182" t="s">
        <v>1272</v>
      </c>
      <c r="AE305" s="182" t="s">
        <v>1263</v>
      </c>
      <c r="AF305" s="182" t="s">
        <v>1273</v>
      </c>
      <c r="AG305" s="182" t="s">
        <v>882</v>
      </c>
      <c r="AH305" s="182">
        <v>309.0</v>
      </c>
    </row>
    <row r="306">
      <c r="A306" s="182">
        <v>204967.0</v>
      </c>
      <c r="B306" s="182">
        <v>90473.0</v>
      </c>
      <c r="C306" s="182" t="s">
        <v>1150</v>
      </c>
      <c r="D306" s="182" t="s">
        <v>40</v>
      </c>
      <c r="E306" s="182">
        <v>1045.0</v>
      </c>
      <c r="F306" s="182" t="s">
        <v>1090</v>
      </c>
      <c r="G306" s="182">
        <v>14291.0</v>
      </c>
      <c r="H306" s="182" t="s">
        <v>183</v>
      </c>
      <c r="I306" s="182">
        <v>1.0</v>
      </c>
      <c r="J306" s="182">
        <v>6.0</v>
      </c>
      <c r="K306" s="182">
        <v>13.0</v>
      </c>
      <c r="L306" s="182">
        <v>6.0</v>
      </c>
      <c r="M306" s="182">
        <v>6.0</v>
      </c>
      <c r="N306" s="182">
        <v>0.0</v>
      </c>
      <c r="O306" s="182">
        <v>0.0</v>
      </c>
      <c r="P306" s="182">
        <v>0.0</v>
      </c>
      <c r="Q306" s="182">
        <v>6.0</v>
      </c>
      <c r="R306" s="182">
        <v>6.0</v>
      </c>
      <c r="S306" s="182">
        <v>0.0</v>
      </c>
      <c r="T306" s="182">
        <v>7.0</v>
      </c>
      <c r="U306" s="182">
        <v>2.0</v>
      </c>
      <c r="V306" s="182">
        <v>1.0</v>
      </c>
      <c r="W306" s="182">
        <v>1.0</v>
      </c>
      <c r="X306" s="182">
        <v>7.0</v>
      </c>
      <c r="Y306" s="182">
        <v>0.0</v>
      </c>
      <c r="Z306" s="182">
        <v>6.0</v>
      </c>
      <c r="AA306" s="182">
        <v>6.0</v>
      </c>
      <c r="AB306" s="182" t="s">
        <v>743</v>
      </c>
      <c r="AC306" s="182" t="s">
        <v>1266</v>
      </c>
      <c r="AD306" s="182" t="s">
        <v>1274</v>
      </c>
      <c r="AE306" s="182" t="s">
        <v>1264</v>
      </c>
      <c r="AF306" s="182" t="s">
        <v>816</v>
      </c>
      <c r="AG306" s="182" t="s">
        <v>1040</v>
      </c>
      <c r="AH306" s="182">
        <v>309.0</v>
      </c>
    </row>
    <row r="307">
      <c r="A307" s="182">
        <v>204726.0</v>
      </c>
      <c r="B307" s="182">
        <v>90395.0</v>
      </c>
      <c r="C307" s="182" t="s">
        <v>1150</v>
      </c>
      <c r="D307" s="182" t="s">
        <v>38</v>
      </c>
      <c r="E307" s="182">
        <v>6415.0</v>
      </c>
      <c r="F307" s="182" t="s">
        <v>180</v>
      </c>
      <c r="G307" s="182">
        <v>3916.0</v>
      </c>
      <c r="H307" s="182" t="s">
        <v>933</v>
      </c>
      <c r="I307" s="182">
        <v>1.0</v>
      </c>
      <c r="J307" s="182">
        <v>14.0</v>
      </c>
      <c r="K307" s="182">
        <v>12.0</v>
      </c>
      <c r="L307" s="182">
        <v>6.0</v>
      </c>
      <c r="M307" s="182">
        <v>6.0</v>
      </c>
      <c r="N307" s="182">
        <v>0.0</v>
      </c>
      <c r="O307" s="182">
        <v>0.0</v>
      </c>
      <c r="P307" s="182">
        <v>0.0</v>
      </c>
      <c r="Q307" s="182">
        <v>7.0</v>
      </c>
      <c r="R307" s="182">
        <v>6.0</v>
      </c>
      <c r="S307" s="182">
        <v>7.0</v>
      </c>
      <c r="T307" s="182">
        <v>6.0</v>
      </c>
      <c r="U307" s="182">
        <v>2.0</v>
      </c>
      <c r="V307" s="182">
        <v>1.0</v>
      </c>
      <c r="W307" s="182">
        <v>1.0</v>
      </c>
      <c r="X307" s="182">
        <v>6.0</v>
      </c>
      <c r="Y307" s="182">
        <v>7.0</v>
      </c>
      <c r="Z307" s="182">
        <v>6.0</v>
      </c>
      <c r="AA307" s="182">
        <v>7.0</v>
      </c>
      <c r="AB307" s="182" t="s">
        <v>743</v>
      </c>
      <c r="AC307" s="182" t="s">
        <v>1275</v>
      </c>
      <c r="AD307" s="182" t="s">
        <v>1152</v>
      </c>
      <c r="AE307" s="182" t="s">
        <v>1276</v>
      </c>
      <c r="AF307" s="182" t="s">
        <v>810</v>
      </c>
      <c r="AG307" s="182" t="s">
        <v>859</v>
      </c>
      <c r="AH307" s="182">
        <v>309.0</v>
      </c>
    </row>
    <row r="308">
      <c r="A308" s="182">
        <v>204725.0</v>
      </c>
      <c r="B308" s="182">
        <v>90395.0</v>
      </c>
      <c r="C308" s="182" t="s">
        <v>1150</v>
      </c>
      <c r="D308" s="182" t="s">
        <v>40</v>
      </c>
      <c r="E308" s="182">
        <v>6415.0</v>
      </c>
      <c r="F308" s="182" t="s">
        <v>180</v>
      </c>
      <c r="G308" s="182">
        <v>3916.0</v>
      </c>
      <c r="H308" s="182" t="s">
        <v>933</v>
      </c>
      <c r="I308" s="182">
        <v>2.0</v>
      </c>
      <c r="J308" s="182">
        <v>13.0</v>
      </c>
      <c r="K308" s="182">
        <v>7.0</v>
      </c>
      <c r="L308" s="182">
        <v>6.0</v>
      </c>
      <c r="M308" s="182">
        <v>6.0</v>
      </c>
      <c r="N308" s="182">
        <v>0.0</v>
      </c>
      <c r="O308" s="182">
        <v>0.0</v>
      </c>
      <c r="P308" s="182">
        <v>0.0</v>
      </c>
      <c r="Q308" s="182">
        <v>7.0</v>
      </c>
      <c r="R308" s="182">
        <v>1.0</v>
      </c>
      <c r="S308" s="182">
        <v>6.0</v>
      </c>
      <c r="T308" s="182">
        <v>6.0</v>
      </c>
      <c r="U308" s="182">
        <v>2.0</v>
      </c>
      <c r="V308" s="182">
        <v>1.0</v>
      </c>
      <c r="W308" s="182">
        <v>1.0</v>
      </c>
      <c r="X308" s="182">
        <v>6.0</v>
      </c>
      <c r="Y308" s="182">
        <v>6.0</v>
      </c>
      <c r="Z308" s="182">
        <v>1.0</v>
      </c>
      <c r="AA308" s="182">
        <v>7.0</v>
      </c>
      <c r="AB308" s="182" t="s">
        <v>743</v>
      </c>
      <c r="AC308" s="182" t="s">
        <v>1275</v>
      </c>
      <c r="AD308" s="182" t="s">
        <v>841</v>
      </c>
      <c r="AE308" s="182" t="s">
        <v>1277</v>
      </c>
      <c r="AF308" s="182" t="s">
        <v>1265</v>
      </c>
      <c r="AG308" s="182" t="s">
        <v>1010</v>
      </c>
      <c r="AH308" s="182">
        <v>309.0</v>
      </c>
    </row>
    <row r="309">
      <c r="A309" s="182">
        <v>204723.0</v>
      </c>
      <c r="B309" s="182">
        <v>90394.0</v>
      </c>
      <c r="C309" s="182" t="s">
        <v>1150</v>
      </c>
      <c r="D309" s="182" t="s">
        <v>32</v>
      </c>
      <c r="E309" s="182">
        <v>14291.0</v>
      </c>
      <c r="F309" s="182" t="s">
        <v>183</v>
      </c>
      <c r="G309" s="182">
        <v>14324.0</v>
      </c>
      <c r="H309" s="182" t="s">
        <v>456</v>
      </c>
      <c r="I309" s="182">
        <v>2.0</v>
      </c>
      <c r="J309" s="182">
        <v>13.0</v>
      </c>
      <c r="K309" s="182">
        <v>11.0</v>
      </c>
      <c r="L309" s="182">
        <v>8.0</v>
      </c>
      <c r="M309" s="182">
        <v>4.0</v>
      </c>
      <c r="N309" s="182">
        <v>1.0</v>
      </c>
      <c r="O309" s="182">
        <v>0.0</v>
      </c>
      <c r="P309" s="182">
        <v>1.0</v>
      </c>
      <c r="Q309" s="182">
        <v>5.0</v>
      </c>
      <c r="R309" s="182">
        <v>7.0</v>
      </c>
      <c r="S309" s="182">
        <v>8.0</v>
      </c>
      <c r="T309" s="182">
        <v>4.0</v>
      </c>
      <c r="U309" s="182">
        <v>1.0</v>
      </c>
      <c r="V309" s="182">
        <v>0.0</v>
      </c>
      <c r="W309" s="182">
        <v>1.0</v>
      </c>
      <c r="X309" s="182">
        <v>4.0</v>
      </c>
      <c r="Y309" s="182">
        <v>8.0</v>
      </c>
      <c r="Z309" s="182">
        <v>7.0</v>
      </c>
      <c r="AA309" s="182">
        <v>5.0</v>
      </c>
      <c r="AB309" s="182" t="s">
        <v>743</v>
      </c>
      <c r="AC309" s="182" t="s">
        <v>1278</v>
      </c>
      <c r="AD309" s="182" t="s">
        <v>1279</v>
      </c>
      <c r="AE309" s="182" t="s">
        <v>1132</v>
      </c>
      <c r="AF309" s="182" t="s">
        <v>816</v>
      </c>
      <c r="AG309" s="182" t="s">
        <v>751</v>
      </c>
      <c r="AH309" s="182">
        <v>309.0</v>
      </c>
    </row>
    <row r="310">
      <c r="A310" s="182">
        <v>204722.0</v>
      </c>
      <c r="B310" s="182">
        <v>90394.0</v>
      </c>
      <c r="C310" s="182" t="s">
        <v>1150</v>
      </c>
      <c r="D310" s="182" t="s">
        <v>40</v>
      </c>
      <c r="E310" s="182">
        <v>14291.0</v>
      </c>
      <c r="F310" s="182" t="s">
        <v>183</v>
      </c>
      <c r="G310" s="182">
        <v>14324.0</v>
      </c>
      <c r="H310" s="182" t="s">
        <v>456</v>
      </c>
      <c r="I310" s="182">
        <v>2.0</v>
      </c>
      <c r="J310" s="182">
        <v>13.0</v>
      </c>
      <c r="K310" s="182">
        <v>7.0</v>
      </c>
      <c r="L310" s="182">
        <v>8.0</v>
      </c>
      <c r="M310" s="182">
        <v>4.0</v>
      </c>
      <c r="N310" s="182">
        <v>1.0</v>
      </c>
      <c r="O310" s="182">
        <v>1.0</v>
      </c>
      <c r="P310" s="182">
        <v>0.0</v>
      </c>
      <c r="Q310" s="182">
        <v>5.0</v>
      </c>
      <c r="R310" s="182">
        <v>3.0</v>
      </c>
      <c r="S310" s="182">
        <v>8.0</v>
      </c>
      <c r="T310" s="182">
        <v>4.0</v>
      </c>
      <c r="U310" s="182">
        <v>1.0</v>
      </c>
      <c r="V310" s="182">
        <v>1.0</v>
      </c>
      <c r="W310" s="182">
        <v>0.0</v>
      </c>
      <c r="X310" s="182">
        <v>4.0</v>
      </c>
      <c r="Y310" s="182">
        <v>8.0</v>
      </c>
      <c r="Z310" s="182">
        <v>3.0</v>
      </c>
      <c r="AA310" s="182">
        <v>5.0</v>
      </c>
      <c r="AB310" s="182" t="s">
        <v>743</v>
      </c>
      <c r="AC310" s="182" t="s">
        <v>1278</v>
      </c>
      <c r="AD310" s="182" t="s">
        <v>1264</v>
      </c>
      <c r="AE310" s="182" t="s">
        <v>1280</v>
      </c>
      <c r="AF310" s="182" t="s">
        <v>1040</v>
      </c>
      <c r="AG310" s="182" t="s">
        <v>793</v>
      </c>
      <c r="AH310" s="182">
        <v>309.0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2025-07-19T20:28:59Z</dcterms:created>
</cp:coreProperties>
</file>